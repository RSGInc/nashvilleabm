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Calibration\2018\DaySimSummaries\output\"/>
    </mc:Choice>
  </mc:AlternateContent>
  <bookViews>
    <workbookView activeTab="17" firstSheet="4" tabRatio="884" windowHeight="11595" windowWidth="19395" xWindow="-105" yWindow="-105"/>
  </bookViews>
  <sheets>
    <sheet name="Summary" r:id="rId1" sheetId="1"/>
    <sheet name="NumberOfTours" r:id="rId2" sheetId="2"/>
    <sheet name="TourStopCombos" r:id="rId3" sheetId="3"/>
    <sheet name="Tours&amp;StopsByPurpose" r:id="rId4" sheetId="4"/>
    <sheet name="ExactToursByPurpose (if&gt;0)" r:id="rId5" sheetId="5"/>
    <sheet name="ExactToursByPurpose" r:id="rId6" sheetId="6"/>
    <sheet name="ExactSubtours" r:id="rId7" sheetId="7"/>
    <sheet name="StopsByTourPurpose" r:id="rId8" sheetId="8"/>
    <sheet name="ToursByTourPurpose" r:id="rId9" sheetId="9"/>
    <sheet name="TripsByDestinationPurpose" r:id="rId10" sheetId="10"/>
    <sheet name="output" r:id="rId11" sheetId="11"/>
    <sheet name="output_NHTS" r:id="rId12" sheetId="12"/>
    <sheet name="CoeffDef" r:id="rId13" sheetId="13"/>
    <sheet name="DayPatternCoefficients" r:id="rId14" sheetId="14"/>
    <sheet name="WorkbasedSubtourGenerationCoeff" r:id="rId15" sheetId="15"/>
    <sheet name="StopsByStopPurpose" r:id="rId16" sheetId="16"/>
    <sheet name="new_summaries" r:id="rId17" sheetId="17"/>
    <sheet name="calibration" r:id="rId18" sheetId="18"/>
    <sheet name="survey_scaling" r:id="rId19" sheetId="19"/>
    <sheet name="qa_qc" r:id="rId20" sheetId="20"/>
  </sheets>
  <definedNames>
    <definedName hidden="1" localSheetId="17" name="_xlnm._FilterDatabase">calibration!$AG$2:$AK$122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11">output_NHTS!$O$356:$O$363</definedName>
    <definedName name="out_112">output!$O$356:$O$363</definedName>
    <definedName name="out_113">output_NHTS!$P$357:$P$363</definedName>
    <definedName name="out_114">output!$P$357:$P$363</definedName>
    <definedName name="out_115">output_NHTS!$Q$358:$Q$363</definedName>
    <definedName name="out_116">output!$Q$358:$Q$363</definedName>
    <definedName name="out_117">output_NHTS!$R$359:$R$363</definedName>
    <definedName name="out_118">output!$R$359:$R$363</definedName>
    <definedName name="out_119">output_NHTS!$S$360:$S$363</definedName>
    <definedName name="out_120">output!$S$360:$S$363</definedName>
    <definedName name="out_121">output_NHTS!$T$361:$T$363</definedName>
    <definedName name="out_122">output!$T$361:$T$363</definedName>
    <definedName name="out_123">output_NHTS!$O$368:$O$375</definedName>
    <definedName name="out_124">output!$O$368:$O$375</definedName>
    <definedName name="out_125">output_NHTS!$P$369:$P$375</definedName>
    <definedName name="out_126">output!$P$369:$P$375</definedName>
    <definedName name="out_127">output_NHTS!$Q$370:$Q$375</definedName>
    <definedName name="out_128">output!$Q$370:$Q$375</definedName>
    <definedName name="out_129">output_NHTS!$R$371:$R$375</definedName>
    <definedName name="out_130">output!$R$371:$R$375</definedName>
    <definedName name="out_131">output_NHTS!$S$372:$S$375</definedName>
    <definedName name="out_132">output!$S$372:$S$375</definedName>
    <definedName name="out_133">output_NHTS!$T$373:$T$375</definedName>
    <definedName name="out_134">output!$T$373:$T$375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output_NHTS!$O$344:$O$351</definedName>
    <definedName name="out_99">output_NHTS!$P$344:$P$351</definedName>
    <definedName name="out_101">output_NHTS!$Q$344:$Q$351</definedName>
    <definedName name="out_103">output_NHTS!$R$344:$R$351</definedName>
    <definedName name="out_105">output_NHTS!$S$344:$S$351</definedName>
    <definedName name="out_107">output_NHTS!$T$344:$T$351</definedName>
    <definedName name="out_109">output_NHTS!$U$344:$U$351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output!$O$344:$O$351</definedName>
    <definedName name="out_100">output!$P$344:$P$351</definedName>
    <definedName name="out_102">output!$Q$344:$Q$351</definedName>
    <definedName name="out_104">output!$R$344:$R$351</definedName>
    <definedName name="out_106">output!$S$344:$S$351</definedName>
    <definedName name="out_108">output!$T$344:$T$351</definedName>
    <definedName name="out_110">output!$U$344:$U$351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8" l="1" r="AA17"/>
  <c i="18" r="AA16"/>
  <c i="18" r="AA15"/>
  <c i="18" r="AA14"/>
  <c i="18" r="AA13"/>
  <c i="18" r="AA12"/>
  <c i="18" r="AA11"/>
  <c i="18" r="AA10"/>
  <c i="18" r="AA9"/>
  <c i="18" r="AA8"/>
  <c i="18" r="AA7"/>
  <c i="18" r="AA6"/>
  <c i="18" r="AA5"/>
  <c i="18" r="AA4"/>
  <c i="18" r="AB17"/>
  <c i="18" r="AB16"/>
  <c i="18" r="AB15"/>
  <c i="18" r="AB14"/>
  <c i="18" r="AB13"/>
  <c i="18" r="AB12"/>
  <c i="18" r="AB11"/>
  <c i="18" r="AB10"/>
  <c i="18" r="AB9"/>
  <c i="18" r="AB8"/>
  <c i="18" r="AB7"/>
  <c i="18" r="AB6"/>
  <c i="18" r="AB5"/>
  <c i="18" r="AB4"/>
  <c i="18" r="AA3"/>
  <c i="18" r="Z17"/>
  <c i="18" r="Z16"/>
  <c i="18" r="Z15"/>
  <c i="18" r="Z14"/>
  <c i="18" r="Z13"/>
  <c i="18" r="Z12"/>
  <c i="18" r="Z11"/>
  <c i="18" r="Z10"/>
  <c i="18" r="Z9"/>
  <c i="18" r="Z8"/>
  <c i="18" r="Z7"/>
  <c i="18" r="Z6"/>
  <c i="18" r="Z5"/>
  <c i="18" r="Z4"/>
  <c i="18" r="Z3"/>
  <c i="18" r="V362"/>
  <c i="18" r="V363"/>
  <c i="18" r="V364"/>
  <c i="18" r="V365"/>
  <c i="18" r="V366"/>
  <c i="18" r="V367"/>
  <c i="18" r="V368"/>
  <c i="18" r="V369"/>
  <c i="18" r="V370"/>
  <c i="18" r="V371"/>
  <c i="18" r="V372"/>
  <c i="18" r="V373"/>
  <c i="18" r="V374"/>
  <c i="18" r="V375"/>
  <c i="18" r="V376"/>
  <c i="18" r="V377"/>
  <c i="18" r="V378"/>
  <c i="18" r="V379"/>
  <c i="18" r="V380"/>
  <c i="18" r="V381"/>
  <c i="18" r="V382"/>
  <c i="18" r="V383"/>
  <c i="18" r="V384"/>
  <c i="18" r="V385"/>
  <c i="18" r="V386"/>
  <c i="18" r="V387"/>
  <c i="18" r="V388"/>
  <c i="18" r="V389"/>
  <c i="18" r="V390"/>
  <c i="18" r="W390" s="1"/>
  <c i="18" r="V391"/>
  <c i="18" r="V392"/>
  <c i="18" r="V393"/>
  <c i="18" r="V394"/>
  <c i="18" r="U362"/>
  <c i="18" r="U363"/>
  <c i="18" r="U364"/>
  <c i="18" r="U365"/>
  <c i="18" r="U366"/>
  <c i="18" r="U367"/>
  <c i="18" r="U368"/>
  <c i="18" r="U369"/>
  <c i="18" r="U370"/>
  <c i="18" r="U371"/>
  <c i="18" r="U372"/>
  <c i="18" r="U373"/>
  <c i="18" r="U374"/>
  <c i="18" r="U375"/>
  <c i="18" r="U376"/>
  <c i="18" r="U377"/>
  <c i="18" r="U378"/>
  <c i="18" r="U379"/>
  <c i="18" r="U380"/>
  <c i="18" r="U381"/>
  <c i="18" r="U382"/>
  <c i="18" r="U383"/>
  <c i="18" r="U384"/>
  <c i="18" r="U385"/>
  <c i="18" r="U386"/>
  <c i="18" r="U387"/>
  <c i="18" r="U388"/>
  <c i="18" r="U389"/>
  <c i="18" r="U390"/>
  <c i="18" r="U391"/>
  <c i="18" r="U392"/>
  <c i="18" r="U393"/>
  <c i="18" r="U394"/>
  <c i="18" r="T370"/>
  <c i="18" r="T371"/>
  <c i="18" r="T372"/>
  <c i="18" r="T373"/>
  <c i="18" r="T374"/>
  <c i="18" r="T375"/>
  <c i="18" r="T376"/>
  <c i="18" r="T377"/>
  <c i="18" r="T378"/>
  <c i="18" r="T379"/>
  <c i="18" r="T380"/>
  <c i="18" r="T381"/>
  <c i="18" r="T382"/>
  <c i="18" r="T383"/>
  <c i="18" r="T384"/>
  <c i="18" r="T385"/>
  <c i="18" r="T386"/>
  <c i="18" r="T387"/>
  <c i="18" r="T388"/>
  <c i="18" r="T389"/>
  <c i="18" r="T390"/>
  <c i="18" r="T391"/>
  <c i="18" r="T392"/>
  <c i="18" r="W392" s="1"/>
  <c i="18" r="T393"/>
  <c i="18" r="T394"/>
  <c i="18" r="T362"/>
  <c i="18" r="T363"/>
  <c i="18" r="T364"/>
  <c i="18" r="T365"/>
  <c i="18" r="T366"/>
  <c i="18" r="T367"/>
  <c i="18" r="T368"/>
  <c i="18" r="T369"/>
  <c i="18" r="T4"/>
  <c i="18" r="T5"/>
  <c i="18" r="T6"/>
  <c i="18" r="T7"/>
  <c i="18" r="T8"/>
  <c i="18" r="T9"/>
  <c i="18" r="T10"/>
  <c i="18" r="T11"/>
  <c i="18" r="T12"/>
  <c i="18" r="T13"/>
  <c i="18" r="T14"/>
  <c i="18" r="T15"/>
  <c i="18" r="T16"/>
  <c i="18" r="T17"/>
  <c i="18" r="T18"/>
  <c i="18" r="T19"/>
  <c i="18" r="T20"/>
  <c i="18" r="T21"/>
  <c i="18" r="T22"/>
  <c i="18" r="T23"/>
  <c i="18" r="T24"/>
  <c i="18" r="T25"/>
  <c i="18" r="T26"/>
  <c i="18" r="T27"/>
  <c i="18" r="T28"/>
  <c i="18" r="T29"/>
  <c i="18" r="T30"/>
  <c i="18" r="T31"/>
  <c i="18" r="T32"/>
  <c i="18" r="T33"/>
  <c i="18" r="T34"/>
  <c i="18" r="T35"/>
  <c i="18" r="T36"/>
  <c i="18" r="T37"/>
  <c i="18" r="T38"/>
  <c i="18" r="T39"/>
  <c i="18" r="T40"/>
  <c i="18" r="T41"/>
  <c i="18" r="T42"/>
  <c i="18" r="T43"/>
  <c i="18" r="T44"/>
  <c i="18" r="T45"/>
  <c i="18" r="T46"/>
  <c i="18" r="T47"/>
  <c i="18" r="T48"/>
  <c i="18" r="T49"/>
  <c i="18" r="T50"/>
  <c i="18" r="T51"/>
  <c i="18" r="T52"/>
  <c i="18" r="T53"/>
  <c i="18" r="T54"/>
  <c i="18" r="T55"/>
  <c i="18" r="T56"/>
  <c i="18" r="T57"/>
  <c i="18" r="T58"/>
  <c i="18" r="T59"/>
  <c i="18" r="T60"/>
  <c i="18" r="T61"/>
  <c i="18" r="T62"/>
  <c i="18" r="T63"/>
  <c i="18" r="T64"/>
  <c i="18" r="T65"/>
  <c i="18" r="T66"/>
  <c i="18" r="T67"/>
  <c i="18" r="T68"/>
  <c i="18" r="T69"/>
  <c i="18" r="T70"/>
  <c i="18" r="T71"/>
  <c i="18" r="T72"/>
  <c i="18" r="T73"/>
  <c i="18" r="T74"/>
  <c i="18" r="T75"/>
  <c i="18" r="T76"/>
  <c i="18" r="T77"/>
  <c i="18" r="T78"/>
  <c i="18" r="T79"/>
  <c i="18" r="T80"/>
  <c i="18" r="T81"/>
  <c i="18" r="T82"/>
  <c i="18" r="T83"/>
  <c i="18" r="T84"/>
  <c i="18" r="T85"/>
  <c i="18" r="T86"/>
  <c i="18" r="T87"/>
  <c i="18" r="T88"/>
  <c i="18" r="T89"/>
  <c i="18" r="T90"/>
  <c i="18" r="T91"/>
  <c i="18" r="T92"/>
  <c i="18" r="T93"/>
  <c i="18" r="T94"/>
  <c i="18" r="T95"/>
  <c i="18" r="T96"/>
  <c i="18" r="T97"/>
  <c i="18" r="T98"/>
  <c i="18" r="T99"/>
  <c i="18" r="T100"/>
  <c i="18" r="T101"/>
  <c i="18" r="T102"/>
  <c i="18" r="T103"/>
  <c i="18" r="T104"/>
  <c i="18" r="T105"/>
  <c i="18" r="T106"/>
  <c i="18" r="T107"/>
  <c i="18" r="T108"/>
  <c i="18" r="T109"/>
  <c i="18" r="T110"/>
  <c i="18" r="T111"/>
  <c i="18" r="T112"/>
  <c i="18" r="T113"/>
  <c i="18" r="T114"/>
  <c i="18" r="T115"/>
  <c i="18" r="T116"/>
  <c i="18" r="T117"/>
  <c i="18" r="T118"/>
  <c i="18" r="T119"/>
  <c i="18" r="T120"/>
  <c i="18" r="T121"/>
  <c i="18" r="T122"/>
  <c i="18" r="T123"/>
  <c i="18" r="T124"/>
  <c i="18" r="T125"/>
  <c i="18" r="T126"/>
  <c i="18" r="T127"/>
  <c i="18" r="T128"/>
  <c i="18" r="T129"/>
  <c i="18" r="T130"/>
  <c i="18" r="T131"/>
  <c i="18" r="T132"/>
  <c i="18" r="T133"/>
  <c i="18" r="T134"/>
  <c i="18" r="T135"/>
  <c i="18" r="T136"/>
  <c i="18" r="T137"/>
  <c i="18" r="T138"/>
  <c i="18" r="T139"/>
  <c i="18" r="T140"/>
  <c i="18" r="T141"/>
  <c i="18" r="T142"/>
  <c i="18" r="T143"/>
  <c i="18" r="T144"/>
  <c i="18" r="T145"/>
  <c i="18" r="T146"/>
  <c i="18" r="T147"/>
  <c i="18" r="T148"/>
  <c i="18" r="T149"/>
  <c i="18" r="T150"/>
  <c i="18" r="T151"/>
  <c i="18" r="T152"/>
  <c i="18" r="T153"/>
  <c i="18" r="T154"/>
  <c i="18" r="T155"/>
  <c i="18" r="T156"/>
  <c i="18" r="T157"/>
  <c i="18" r="T158"/>
  <c i="18" r="T159"/>
  <c i="18" r="T160"/>
  <c i="18" r="T161"/>
  <c i="18" r="T162"/>
  <c i="18" r="T163"/>
  <c i="18" r="T164"/>
  <c i="18" r="T165"/>
  <c i="18" r="T166"/>
  <c i="18" r="T167"/>
  <c i="18" r="T168"/>
  <c i="18" r="T169"/>
  <c i="18" r="T170"/>
  <c i="18" r="T171"/>
  <c i="18" r="T172"/>
  <c i="18" r="T173"/>
  <c i="18" r="T174"/>
  <c i="18" r="T175"/>
  <c i="18" r="T176"/>
  <c i="18" r="T177"/>
  <c i="18" r="T178"/>
  <c i="18" r="T179"/>
  <c i="18" r="T180"/>
  <c i="18" r="T181"/>
  <c i="18" r="T182"/>
  <c i="18" r="T183"/>
  <c i="18" r="T184"/>
  <c i="18" r="T185"/>
  <c i="18" r="T186"/>
  <c i="18" r="T187"/>
  <c i="18" r="T188"/>
  <c i="18" r="T189"/>
  <c i="18" r="T190"/>
  <c i="18" r="T191"/>
  <c i="18" r="T192"/>
  <c i="18" r="T193"/>
  <c i="18" r="T194"/>
  <c i="18" r="T195"/>
  <c i="18" r="T196"/>
  <c i="18" r="T197"/>
  <c i="18" r="T198"/>
  <c i="18" r="T199"/>
  <c i="18" r="T200"/>
  <c i="18" r="T201"/>
  <c i="18" r="T202"/>
  <c i="18" r="T203"/>
  <c i="18" r="T204"/>
  <c i="18" r="T205"/>
  <c i="18" r="T206"/>
  <c i="18" r="T207"/>
  <c i="18" r="T208"/>
  <c i="18" r="T209"/>
  <c i="18" r="T210"/>
  <c i="18" r="T211"/>
  <c i="18" r="T212"/>
  <c i="18" r="T213"/>
  <c i="18" r="T214"/>
  <c i="18" r="T215"/>
  <c i="18" r="T216"/>
  <c i="18" r="T217"/>
  <c i="18" r="T218"/>
  <c i="18" r="T219"/>
  <c i="18" r="T220"/>
  <c i="18" r="T221"/>
  <c i="18" r="T222"/>
  <c i="18" r="T223"/>
  <c i="18" r="T224"/>
  <c i="18" r="T225"/>
  <c i="18" r="T226"/>
  <c i="18" r="T227"/>
  <c i="18" r="T228"/>
  <c i="18" r="T229"/>
  <c i="18" r="T230"/>
  <c i="18" r="T231"/>
  <c i="18" r="T232"/>
  <c i="18" r="T233"/>
  <c i="18" r="T234"/>
  <c i="18" r="T235"/>
  <c i="18" r="T236"/>
  <c i="18" r="T237"/>
  <c i="18" r="T238"/>
  <c i="18" r="T239"/>
  <c i="18" r="T240"/>
  <c i="18" r="T241"/>
  <c i="18" r="T242"/>
  <c i="18" r="T243"/>
  <c i="18" r="T244"/>
  <c i="18" r="T245"/>
  <c i="18" r="T246"/>
  <c i="18" r="T247"/>
  <c i="18" r="T248"/>
  <c i="18" r="T249"/>
  <c i="18" r="T250"/>
  <c i="18" r="T251"/>
  <c i="18" r="T252"/>
  <c i="18" r="T253"/>
  <c i="18" r="T254"/>
  <c i="18" r="T255"/>
  <c i="18" r="T256"/>
  <c i="18" r="T257"/>
  <c i="18" r="T258"/>
  <c i="18" r="T259"/>
  <c i="18" r="T260"/>
  <c i="18" r="T261"/>
  <c i="18" r="T262"/>
  <c i="18" r="T263"/>
  <c i="18" r="T264"/>
  <c i="18" r="T265"/>
  <c i="18" r="T266"/>
  <c i="18" r="T267"/>
  <c i="18" r="T268"/>
  <c i="18" r="T269"/>
  <c i="18" r="T270"/>
  <c i="18" r="T271"/>
  <c i="18" r="T272"/>
  <c i="18" r="T273"/>
  <c i="18" r="T274"/>
  <c i="18" r="T275"/>
  <c i="18" r="T276"/>
  <c i="18" r="T277"/>
  <c i="18" r="T278"/>
  <c i="18" r="T279"/>
  <c i="18" r="T280"/>
  <c i="18" r="T281"/>
  <c i="18" r="T282"/>
  <c i="18" r="T283"/>
  <c i="18" r="T284"/>
  <c i="18" r="T285"/>
  <c i="18" r="T286"/>
  <c i="18" r="T287"/>
  <c i="18" r="T288"/>
  <c i="18" r="T289"/>
  <c i="18" r="T290"/>
  <c i="18" r="T291"/>
  <c i="18" r="T292"/>
  <c i="18" r="T293"/>
  <c i="18" r="T294"/>
  <c i="18" r="T295"/>
  <c i="18" r="T296"/>
  <c i="18" r="T297"/>
  <c i="18" r="T298"/>
  <c i="18" r="T299"/>
  <c i="18" r="T300"/>
  <c i="18" r="T301"/>
  <c i="18" r="T302"/>
  <c i="18" r="T303"/>
  <c i="18" r="T304"/>
  <c i="18" r="T305"/>
  <c i="18" r="T306"/>
  <c i="18" r="T307"/>
  <c i="18" r="T308"/>
  <c i="18" r="T309"/>
  <c i="18" r="T310"/>
  <c i="18" r="T311"/>
  <c i="18" r="T312"/>
  <c i="18" r="T313"/>
  <c i="18" r="T314"/>
  <c i="18" r="T315"/>
  <c i="18" r="T316"/>
  <c i="18" r="T317"/>
  <c i="18" r="T318"/>
  <c i="18" r="T319"/>
  <c i="18" r="T320"/>
  <c i="18" r="T321"/>
  <c i="18" r="T322"/>
  <c i="18" r="T323"/>
  <c i="18" r="T324"/>
  <c i="18" r="T325"/>
  <c i="18" r="T326"/>
  <c i="18" r="T327"/>
  <c i="18" r="T328"/>
  <c i="18" r="T329"/>
  <c i="18" r="T330"/>
  <c i="18" r="T331"/>
  <c i="18" r="T332"/>
  <c i="18" r="T333"/>
  <c i="18" r="T334"/>
  <c i="18" r="T335"/>
  <c i="18" r="T336"/>
  <c i="18" r="T337"/>
  <c i="18" r="T338"/>
  <c i="18" r="T339"/>
  <c i="18" r="T340"/>
  <c i="18" r="T341"/>
  <c i="18" r="T342"/>
  <c i="18" r="T343"/>
  <c i="18" r="T344"/>
  <c i="18" r="T345"/>
  <c i="18" r="T346"/>
  <c i="18" r="T347"/>
  <c i="18" r="T348"/>
  <c i="18" r="T349"/>
  <c i="18" r="T350"/>
  <c i="18" r="T351"/>
  <c i="18" r="T352"/>
  <c i="18" r="T353"/>
  <c i="18" r="T354"/>
  <c i="18" r="T355"/>
  <c i="18" r="T356"/>
  <c i="18" r="T357"/>
  <c i="18" r="T358"/>
  <c i="18" r="T359"/>
  <c i="18" r="T360"/>
  <c i="18" r="T361"/>
  <c i="18" l="1" r="W393"/>
  <c i="18" r="X393" s="1"/>
  <c i="18" r="W394"/>
  <c i="18" r="X394" s="1"/>
  <c i="18" r="W387"/>
  <c i="18" r="X387" s="1"/>
  <c i="18" r="W386"/>
  <c i="18" r="X386" s="1"/>
  <c i="18" r="W384"/>
  <c i="18" r="X384" s="1"/>
  <c i="18" r="W383"/>
  <c i="18" r="X383" s="1"/>
  <c i="18" r="W385"/>
  <c i="18" r="X385" s="1"/>
  <c i="18" r="W388"/>
  <c i="18" r="X388" s="1"/>
  <c i="18" r="W389"/>
  <c i="18" r="X389" s="1"/>
  <c i="18" r="X392"/>
  <c i="18" r="X390"/>
  <c i="18" r="W391"/>
  <c i="18" r="X391" s="1"/>
  <c i="9" r="R64"/>
  <c i="9" r="R63"/>
  <c i="9" r="R62"/>
  <c i="9" r="R61"/>
  <c i="9" r="R60"/>
  <c i="9" r="R59"/>
  <c i="9" r="R58"/>
  <c i="9" r="R57"/>
  <c i="20" l="1" r="D40"/>
  <c i="20" r="C40"/>
  <c i="20" r="D26"/>
  <c i="20" r="C26"/>
  <c i="20" r="I18"/>
  <c i="20" r="H18"/>
  <c i="20" r="E18"/>
  <c i="20" r="E32" s="1"/>
  <c i="20" r="D18"/>
  <c i="20" r="D32" s="1"/>
  <c i="20" r="C18"/>
  <c i="20" r="C32" s="1"/>
  <c i="20" r="B16"/>
  <c i="20" r="B13"/>
  <c i="20" r="B27" s="1"/>
  <c i="20" r="B41" s="1"/>
  <c i="20" r="B12"/>
  <c i="20" r="B11"/>
  <c i="20" r="B25" s="1"/>
  <c i="20" r="B39" s="1"/>
  <c i="20" r="B10"/>
  <c i="20" r="B24" s="1"/>
  <c i="20" r="B38" s="1"/>
  <c i="20" r="B9"/>
  <c i="20" r="B23" s="1"/>
  <c i="20" r="B37" s="1"/>
  <c i="20" r="B8"/>
  <c i="20" r="B22" s="1"/>
  <c i="20" r="B36" s="1"/>
  <c i="20" r="B7"/>
  <c i="20" r="B21" s="1"/>
  <c i="20" r="B35" s="1"/>
  <c i="20" r="B6"/>
  <c i="20" r="B20" s="1"/>
  <c i="20" r="B34" s="1"/>
  <c i="20" r="B5"/>
  <c i="20" r="B19" s="1"/>
  <c i="20" r="B33" s="1"/>
  <c i="20" r="I4"/>
  <c i="20" r="N18" s="1"/>
  <c i="20" r="H4"/>
  <c i="20" r="M18" s="1"/>
  <c i="20" r="B4"/>
  <c i="20" r="B18" s="1"/>
  <c i="20" r="B32" s="1"/>
  <c i="19" r="M47"/>
  <c i="19" r="M32"/>
  <c i="19" r="M17"/>
  <c i="19" r="X7"/>
  <c i="19" r="W7"/>
  <c i="19" r="V7"/>
  <c i="19" r="AA6"/>
  <c i="19" r="X6"/>
  <c i="19" r="W6"/>
  <c i="19" r="M2"/>
  <c i="18" r="V361"/>
  <c i="18" r="U361"/>
  <c i="18" r="V360"/>
  <c i="18" r="U360"/>
  <c i="18" r="V359"/>
  <c i="18" r="U359"/>
  <c i="18" r="V358"/>
  <c i="18" r="U358"/>
  <c i="18" r="V357"/>
  <c i="18" r="U357"/>
  <c i="18" r="V356"/>
  <c i="18" r="U356"/>
  <c i="18" r="V355"/>
  <c i="18" r="U355"/>
  <c i="18" r="V354"/>
  <c i="18" r="U354"/>
  <c i="18" r="V353"/>
  <c i="18" r="U353"/>
  <c i="18" r="V352"/>
  <c i="18" r="U352"/>
  <c i="18" r="V351"/>
  <c i="18" r="U351"/>
  <c i="18" r="V350"/>
  <c i="18" r="U350"/>
  <c i="18" r="V349"/>
  <c i="18" r="U349"/>
  <c i="18" r="V348"/>
  <c i="18" r="U348"/>
  <c i="18" r="V347"/>
  <c i="18" r="U347"/>
  <c i="18" r="V346"/>
  <c i="18" r="U346"/>
  <c i="18" r="V345"/>
  <c i="18" r="U345"/>
  <c i="18" r="V344"/>
  <c i="18" r="U344"/>
  <c i="18" r="V343"/>
  <c i="18" r="U343"/>
  <c i="18" r="V342"/>
  <c i="18" r="U342"/>
  <c i="18" r="V341"/>
  <c i="18" r="U341"/>
  <c i="18" r="V340"/>
  <c i="18" r="U340"/>
  <c i="18" r="V339"/>
  <c i="18" r="U339"/>
  <c i="18" r="V338"/>
  <c i="18" r="U338"/>
  <c i="18" r="V337"/>
  <c i="18" r="U337"/>
  <c i="18" r="V336"/>
  <c i="18" r="U336"/>
  <c i="18" r="V335"/>
  <c i="18" r="U335"/>
  <c i="18" r="V334"/>
  <c i="18" r="U334"/>
  <c i="18" r="V333"/>
  <c i="18" r="U333"/>
  <c i="18" r="V332"/>
  <c i="18" r="U332"/>
  <c i="18" r="V331"/>
  <c i="18" r="U331"/>
  <c i="18" r="V330"/>
  <c i="18" r="U330"/>
  <c i="18" r="V329"/>
  <c i="18" r="U329"/>
  <c i="18" r="V328"/>
  <c i="18" r="U328"/>
  <c i="18" r="V327"/>
  <c i="18" r="U327"/>
  <c i="18" r="V326"/>
  <c i="18" r="U326"/>
  <c i="18" r="V325"/>
  <c i="18" r="U325"/>
  <c i="18" r="V324"/>
  <c i="18" r="U324"/>
  <c i="18" r="V323"/>
  <c i="18" r="U323"/>
  <c i="18" r="V322"/>
  <c i="18" r="U322"/>
  <c i="18" r="V321"/>
  <c i="18" r="U321"/>
  <c i="18" r="V320"/>
  <c i="18" r="U320"/>
  <c i="18" r="V319"/>
  <c i="18" r="U319"/>
  <c i="18" r="V318"/>
  <c i="18" r="U318"/>
  <c i="18" r="V317"/>
  <c i="18" r="U317"/>
  <c i="18" r="V316"/>
  <c i="18" r="U316"/>
  <c i="18" r="V315"/>
  <c i="18" r="U315"/>
  <c i="18" r="V314"/>
  <c i="18" r="U314"/>
  <c i="18" r="V313"/>
  <c i="18" r="U313"/>
  <c i="18" r="V312"/>
  <c i="18" r="U312"/>
  <c i="18" r="V311"/>
  <c i="18" r="U311"/>
  <c i="18" r="V310"/>
  <c i="18" r="U310"/>
  <c i="18" r="V309"/>
  <c i="18" r="U309"/>
  <c i="18" r="V308"/>
  <c i="18" r="U308"/>
  <c i="18" r="V307"/>
  <c i="18" r="U307"/>
  <c i="18" r="V306"/>
  <c i="18" r="U306"/>
  <c i="18" r="V305"/>
  <c i="18" r="U305"/>
  <c i="18" r="V304"/>
  <c i="18" r="U304"/>
  <c i="18" r="V303"/>
  <c i="18" r="U303"/>
  <c i="18" r="V302"/>
  <c i="18" r="U302"/>
  <c i="18" r="V301"/>
  <c i="18" r="U301"/>
  <c i="18" r="V300"/>
  <c i="18" r="U300"/>
  <c i="18" r="V299"/>
  <c i="18" r="U299"/>
  <c i="18" r="V298"/>
  <c i="18" r="U298"/>
  <c i="18" r="V297"/>
  <c i="18" r="U297"/>
  <c i="18" r="V296"/>
  <c i="18" r="U296"/>
  <c i="18" r="V295"/>
  <c i="18" r="U295"/>
  <c i="18" r="V294"/>
  <c i="18" r="U294"/>
  <c i="18" r="V293"/>
  <c i="18" r="U293"/>
  <c i="18" r="V292"/>
  <c i="18" r="U292"/>
  <c i="18" r="V291"/>
  <c i="18" r="U291"/>
  <c i="18" r="V290"/>
  <c i="18" r="U290"/>
  <c i="18" r="V289"/>
  <c i="18" r="U289"/>
  <c i="18" r="V288"/>
  <c i="18" r="U288"/>
  <c i="18" r="V287"/>
  <c i="18" r="U287"/>
  <c i="18" r="V286"/>
  <c i="18" r="U286"/>
  <c i="18" r="V285"/>
  <c i="18" r="U285"/>
  <c i="18" r="V284"/>
  <c i="18" r="U284"/>
  <c i="18" r="V283"/>
  <c i="18" r="U283"/>
  <c i="18" r="V282"/>
  <c i="18" r="U282"/>
  <c i="18" r="V281"/>
  <c i="18" r="U281"/>
  <c i="18" r="V280"/>
  <c i="18" r="U280"/>
  <c i="18" r="V279"/>
  <c i="18" r="U279"/>
  <c i="18" r="V278"/>
  <c i="18" r="U278"/>
  <c i="18" r="V277"/>
  <c i="18" r="U277"/>
  <c i="18" r="V276"/>
  <c i="18" r="U276"/>
  <c i="18" r="V275"/>
  <c i="18" r="U275"/>
  <c i="18" r="V274"/>
  <c i="18" r="U274"/>
  <c i="18" r="V273"/>
  <c i="18" r="U273"/>
  <c i="18" r="V272"/>
  <c i="18" r="U272"/>
  <c i="18" r="V271"/>
  <c i="18" r="U271"/>
  <c i="18" r="V270"/>
  <c i="18" r="U270"/>
  <c i="18" r="V269"/>
  <c i="18" r="U269"/>
  <c i="18" r="V268"/>
  <c i="18" r="U268"/>
  <c i="18" r="V267"/>
  <c i="18" r="U267"/>
  <c i="18" r="V266"/>
  <c i="18" r="U266"/>
  <c i="18" r="V265"/>
  <c i="18" r="U265"/>
  <c i="18" r="V264"/>
  <c i="18" r="U264"/>
  <c i="18" r="V263"/>
  <c i="18" r="U263"/>
  <c i="18" r="V262"/>
  <c i="18" r="U262"/>
  <c i="18" r="V261"/>
  <c i="18" r="U261"/>
  <c i="18" r="V260"/>
  <c i="18" r="U260"/>
  <c i="18" r="V259"/>
  <c i="18" r="U259"/>
  <c i="18" r="V258"/>
  <c i="18" r="U258"/>
  <c i="18" r="V257"/>
  <c i="18" r="U257"/>
  <c i="18" r="V256"/>
  <c i="18" r="U256"/>
  <c i="18" r="V255"/>
  <c i="18" r="U255"/>
  <c i="18" r="V254"/>
  <c i="18" r="U254"/>
  <c i="18" r="V253"/>
  <c i="18" r="U253"/>
  <c i="18" r="V252"/>
  <c i="18" r="U252"/>
  <c i="18" r="V251"/>
  <c i="18" r="U251"/>
  <c i="18" r="V250"/>
  <c i="18" r="U250"/>
  <c i="18" r="V249"/>
  <c i="18" r="U249"/>
  <c i="18" r="V248"/>
  <c i="18" r="U248"/>
  <c i="18" r="V247"/>
  <c i="18" r="U247"/>
  <c i="18" r="V246"/>
  <c i="18" r="U246"/>
  <c i="18" r="V245"/>
  <c i="18" r="U245"/>
  <c i="18" r="V244"/>
  <c i="18" r="U244"/>
  <c i="18" r="V243"/>
  <c i="18" r="U243"/>
  <c i="18" r="V242"/>
  <c i="18" r="U242"/>
  <c i="18" r="V241"/>
  <c i="18" r="U241"/>
  <c i="18" r="V240"/>
  <c i="18" r="U240"/>
  <c i="18" r="V239"/>
  <c i="18" r="U239"/>
  <c i="18" r="V238"/>
  <c i="18" r="U238"/>
  <c i="18" r="V237"/>
  <c i="18" r="U237"/>
  <c i="18" r="V236"/>
  <c i="18" r="U236"/>
  <c i="18" r="V235"/>
  <c i="18" r="U235"/>
  <c i="18" r="V234"/>
  <c i="18" r="U234"/>
  <c i="18" r="V233"/>
  <c i="18" r="U233"/>
  <c i="18" r="V232"/>
  <c i="18" r="U232"/>
  <c i="18" r="V231"/>
  <c i="18" r="U231"/>
  <c i="18" r="V230"/>
  <c i="18" r="U230"/>
  <c i="18" r="V229"/>
  <c i="18" r="U229"/>
  <c i="18" r="V228"/>
  <c i="18" r="U228"/>
  <c i="18" r="V227"/>
  <c i="18" r="U227"/>
  <c i="18" r="V226"/>
  <c i="18" r="U226"/>
  <c i="18" r="V225"/>
  <c i="18" r="U225"/>
  <c i="18" r="V224"/>
  <c i="18" r="U224"/>
  <c i="18" r="V223"/>
  <c i="18" r="U223"/>
  <c i="18" r="V222"/>
  <c i="18" r="U222"/>
  <c i="18" r="V221"/>
  <c i="18" r="U221"/>
  <c i="18" r="V220"/>
  <c i="18" r="U220"/>
  <c i="18" r="V219"/>
  <c i="18" r="U219"/>
  <c i="18" r="V218"/>
  <c i="18" r="U218"/>
  <c i="18" r="V217"/>
  <c i="18" r="U217"/>
  <c i="18" r="V216"/>
  <c i="18" r="U216"/>
  <c i="18" r="V215"/>
  <c i="18" r="U215"/>
  <c i="18" r="V214"/>
  <c i="18" r="U214"/>
  <c i="18" r="V213"/>
  <c i="18" r="U213"/>
  <c i="18" r="V212"/>
  <c i="18" r="U212"/>
  <c i="18" r="V211"/>
  <c i="18" r="U211"/>
  <c i="18" r="V210"/>
  <c i="18" r="U210"/>
  <c i="18" r="V209"/>
  <c i="18" r="U209"/>
  <c i="18" r="V208"/>
  <c i="18" r="U208"/>
  <c i="18" r="V207"/>
  <c i="18" r="U207"/>
  <c i="18" r="V206"/>
  <c i="18" r="U206"/>
  <c i="18" r="V205"/>
  <c i="18" r="U205"/>
  <c i="18" r="V204"/>
  <c i="18" r="U204"/>
  <c i="18" r="V203"/>
  <c i="18" r="U203"/>
  <c i="18" r="V202"/>
  <c i="18" r="U202"/>
  <c i="18" r="V201"/>
  <c i="18" r="U201"/>
  <c i="18" r="V200"/>
  <c i="18" r="U200"/>
  <c i="18" r="V199"/>
  <c i="18" r="U199"/>
  <c i="18" r="V198"/>
  <c i="18" r="U198"/>
  <c i="18" r="V197"/>
  <c i="18" r="U197"/>
  <c i="18" r="V196"/>
  <c i="18" r="U196"/>
  <c i="18" r="V195"/>
  <c i="18" r="U195"/>
  <c i="18" r="V194"/>
  <c i="18" r="U194"/>
  <c i="18" r="V193"/>
  <c i="18" r="U193"/>
  <c i="18" r="V192"/>
  <c i="18" r="U192"/>
  <c i="18" r="V191"/>
  <c i="18" r="U191"/>
  <c i="18" r="V190"/>
  <c i="18" r="U190"/>
  <c i="18" r="V189"/>
  <c i="18" r="U189"/>
  <c i="18" r="V188"/>
  <c i="18" r="U188"/>
  <c i="18" r="V187"/>
  <c i="18" r="U187"/>
  <c i="18" r="V186"/>
  <c i="18" r="U186"/>
  <c i="18" r="V185"/>
  <c i="18" r="U185"/>
  <c i="18" r="V184"/>
  <c i="18" r="U184"/>
  <c i="18" r="V183"/>
  <c i="18" r="U183"/>
  <c i="18" r="V182"/>
  <c i="18" r="U182"/>
  <c i="18" r="V181"/>
  <c i="18" r="U181"/>
  <c i="18" r="V180"/>
  <c i="18" r="U180"/>
  <c i="18" r="V179"/>
  <c i="18" r="U179"/>
  <c i="18" r="V178"/>
  <c i="18" r="U178"/>
  <c i="18" r="V177"/>
  <c i="18" r="U177"/>
  <c i="18" r="V176"/>
  <c i="18" r="U176"/>
  <c i="18" r="V175"/>
  <c i="18" r="U175"/>
  <c i="18" r="V174"/>
  <c i="18" r="U174"/>
  <c i="18" r="V173"/>
  <c i="18" r="U173"/>
  <c i="18" r="V172"/>
  <c i="18" r="U172"/>
  <c i="18" r="V171"/>
  <c i="18" r="U171"/>
  <c i="18" r="V170"/>
  <c i="18" r="U170"/>
  <c i="18" r="V169"/>
  <c i="18" r="U169"/>
  <c i="18" r="V168"/>
  <c i="18" r="U168"/>
  <c i="18" r="V167"/>
  <c i="18" r="U167"/>
  <c i="18" r="V166"/>
  <c i="18" r="U166"/>
  <c i="18" r="V165"/>
  <c i="18" r="U165"/>
  <c i="18" r="V164"/>
  <c i="18" r="U164"/>
  <c i="18" r="V163"/>
  <c i="18" r="U163"/>
  <c i="18" r="V162"/>
  <c i="18" r="U162"/>
  <c i="18" r="V161"/>
  <c i="18" r="U161"/>
  <c i="18" r="V160"/>
  <c i="18" r="U160"/>
  <c i="18" r="V159"/>
  <c i="18" r="U159"/>
  <c i="18" r="V158"/>
  <c i="18" r="U158"/>
  <c i="18" r="V157"/>
  <c i="18" r="U157"/>
  <c i="18" r="V156"/>
  <c i="18" r="U156"/>
  <c i="18" r="V155"/>
  <c i="18" r="U155"/>
  <c i="18" r="V154"/>
  <c i="18" r="U154"/>
  <c i="18" r="V153"/>
  <c i="18" r="U153"/>
  <c i="18" r="V152"/>
  <c i="18" r="U152"/>
  <c i="18" r="V151"/>
  <c i="18" r="U151"/>
  <c i="18" r="V150"/>
  <c i="18" r="U150"/>
  <c i="18" r="V149"/>
  <c i="18" r="U149"/>
  <c i="18" r="V148"/>
  <c i="18" r="U148"/>
  <c i="18" r="V147"/>
  <c i="18" r="U147"/>
  <c i="18" r="V146"/>
  <c i="18" r="U146"/>
  <c i="18" r="V145"/>
  <c i="18" r="U145"/>
  <c i="18" r="V144"/>
  <c i="18" r="U144"/>
  <c i="18" r="V143"/>
  <c i="18" r="U143"/>
  <c i="18" r="V142"/>
  <c i="18" r="U142"/>
  <c i="18" r="V141"/>
  <c i="18" r="U141"/>
  <c i="18" r="V140"/>
  <c i="18" r="U140"/>
  <c i="18" r="V139"/>
  <c i="18" r="U139"/>
  <c i="18" r="V138"/>
  <c i="18" r="U138"/>
  <c i="18" r="V137"/>
  <c i="18" r="U137"/>
  <c i="18" r="V136"/>
  <c i="18" r="U136"/>
  <c i="18" r="V135"/>
  <c i="18" r="U135"/>
  <c i="18" r="V134"/>
  <c i="18" r="U134"/>
  <c i="18" r="V133"/>
  <c i="18" r="U133"/>
  <c i="18" r="V132"/>
  <c i="18" r="U132"/>
  <c i="18" r="V131"/>
  <c i="18" r="U131"/>
  <c i="18" r="V130"/>
  <c i="18" r="U130"/>
  <c i="18" r="V129"/>
  <c i="18" r="U129"/>
  <c i="18" r="V128"/>
  <c i="18" r="U128"/>
  <c i="18" r="V127"/>
  <c i="18" r="U127"/>
  <c i="18" r="V126"/>
  <c i="18" r="U126"/>
  <c i="18" r="V125"/>
  <c i="18" r="U125"/>
  <c i="18" r="V124"/>
  <c i="18" r="U124"/>
  <c i="18" r="V123"/>
  <c i="18" r="U123"/>
  <c i="18" r="V122"/>
  <c i="18" r="U122"/>
  <c i="18" r="V121"/>
  <c i="18" r="U121"/>
  <c i="18" r="V120"/>
  <c i="18" r="U120"/>
  <c i="18" r="V119"/>
  <c i="18" r="U119"/>
  <c i="18" r="V118"/>
  <c i="18" r="U118"/>
  <c i="18" r="V117"/>
  <c i="18" r="U117"/>
  <c i="18" r="V116"/>
  <c i="18" r="U116"/>
  <c i="18" r="V115"/>
  <c i="18" r="U115"/>
  <c i="18" r="V114"/>
  <c i="18" r="U114"/>
  <c i="18" r="V113"/>
  <c i="18" r="U113"/>
  <c i="18" r="V112"/>
  <c i="18" r="U112"/>
  <c i="18" r="V111"/>
  <c i="18" r="U111"/>
  <c i="18" r="V110"/>
  <c i="18" r="U110"/>
  <c i="18" r="V109"/>
  <c i="18" r="U109"/>
  <c i="18" r="V108"/>
  <c i="18" r="U108"/>
  <c i="18" r="V107"/>
  <c i="18" r="U107"/>
  <c i="18" r="V106"/>
  <c i="18" r="U106"/>
  <c i="18" r="V105"/>
  <c i="18" r="U105"/>
  <c i="18" r="V104"/>
  <c i="18" r="U104"/>
  <c i="18" r="V103"/>
  <c i="18" r="U103"/>
  <c i="18" r="V102"/>
  <c i="18" r="U102"/>
  <c i="18" r="V101"/>
  <c i="18" r="U101"/>
  <c i="18" r="J101"/>
  <c i="18" r="I101"/>
  <c i="18" r="H101"/>
  <c i="18" r="G101"/>
  <c i="18" r="F101"/>
  <c i="18" r="E101"/>
  <c i="18" r="D101"/>
  <c i="18" r="C101"/>
  <c i="18" r="V100"/>
  <c i="18" r="U100"/>
  <c i="18" r="V99"/>
  <c i="18" r="U99"/>
  <c i="18" r="V98"/>
  <c i="18" r="U98"/>
  <c i="18" r="V97"/>
  <c i="18" r="U97"/>
  <c i="18" r="V96"/>
  <c i="18" r="U96"/>
  <c i="18" r="V95"/>
  <c i="18" r="U95"/>
  <c i="18" r="V94"/>
  <c i="18" r="U94"/>
  <c i="18" r="V93"/>
  <c i="18" r="U93"/>
  <c i="18" r="V92"/>
  <c i="18" r="U92"/>
  <c i="18" r="V91"/>
  <c i="18" r="U91"/>
  <c i="18" r="V90"/>
  <c i="18" r="U90"/>
  <c i="18" r="V89"/>
  <c i="18" r="U89"/>
  <c i="18" r="V88"/>
  <c i="18" r="U88"/>
  <c i="18" r="V87"/>
  <c i="18" r="U87"/>
  <c i="18" r="V86"/>
  <c i="18" r="U86"/>
  <c i="18" r="V85"/>
  <c i="18" r="U85"/>
  <c i="18" r="V84"/>
  <c i="18" r="U84"/>
  <c i="18" r="V83"/>
  <c i="18" r="U83"/>
  <c i="18" r="V82"/>
  <c i="18" r="U82"/>
  <c i="18" r="V81"/>
  <c i="18" r="U81"/>
  <c i="18" r="V80"/>
  <c i="18" r="U80"/>
  <c i="18" r="V79"/>
  <c i="18" r="U79"/>
  <c i="18" r="V78"/>
  <c i="18" r="U78"/>
  <c i="18" r="V77"/>
  <c i="18" r="U77"/>
  <c i="18" r="V76"/>
  <c i="18" r="U76"/>
  <c i="18" r="V75"/>
  <c i="18" r="U75"/>
  <c i="18" r="J75"/>
  <c i="18" r="J88" s="1"/>
  <c i="18" r="J102" s="1"/>
  <c i="18" r="J115" s="1"/>
  <c i="18" r="V74"/>
  <c i="18" r="U74"/>
  <c i="18" r="V73"/>
  <c i="18" r="U73"/>
  <c i="18" r="V72"/>
  <c i="18" r="U72"/>
  <c i="18" r="V71"/>
  <c i="18" r="U71"/>
  <c i="18" r="V70"/>
  <c i="18" r="U70"/>
  <c i="18" r="V69"/>
  <c i="18" r="U69"/>
  <c i="18" r="V68"/>
  <c i="18" r="U68"/>
  <c i="18" r="V67"/>
  <c i="18" r="U67"/>
  <c i="18" r="V66"/>
  <c i="18" r="U66"/>
  <c i="18" r="V65"/>
  <c i="18" r="U65"/>
  <c i="18" r="V64"/>
  <c i="18" r="U64"/>
  <c i="18" r="V63"/>
  <c i="18" r="U63"/>
  <c i="18" r="V62"/>
  <c i="18" r="U62"/>
  <c i="18" r="V61"/>
  <c i="18" r="U61"/>
  <c i="18" r="V60"/>
  <c i="18" r="U60"/>
  <c i="18" r="V59"/>
  <c i="18" r="U59"/>
  <c i="18" r="V58"/>
  <c i="18" r="U58"/>
  <c i="18" r="V57"/>
  <c i="18" r="U57"/>
  <c i="18" r="V56"/>
  <c i="18" r="U56"/>
  <c i="18" r="K56"/>
  <c i="18" r="B56"/>
  <c i="18" r="V55"/>
  <c i="18" r="U55"/>
  <c i="18" r="K55"/>
  <c i="18" r="B55"/>
  <c i="18" r="V54"/>
  <c i="18" r="U54"/>
  <c i="18" r="K54"/>
  <c i="18" r="B54"/>
  <c i="18" r="V53"/>
  <c i="18" r="U53"/>
  <c i="18" r="K53"/>
  <c i="18" r="B53"/>
  <c i="18" r="V52"/>
  <c i="18" r="U52"/>
  <c i="18" r="K52"/>
  <c i="18" r="B52"/>
  <c i="18" r="V51"/>
  <c i="18" r="U51"/>
  <c i="18" r="K51"/>
  <c i="18" r="B51"/>
  <c i="18" r="V50"/>
  <c i="18" r="U50"/>
  <c i="18" r="K50"/>
  <c i="18" r="B50"/>
  <c i="18" r="V49"/>
  <c i="18" r="U49"/>
  <c i="18" r="K49"/>
  <c i="18" r="B49"/>
  <c i="18" r="V48"/>
  <c i="18" r="U48"/>
  <c i="18" r="K48"/>
  <c i="18" r="B48"/>
  <c i="18" r="V47"/>
  <c i="18" r="U47"/>
  <c i="18" r="R47"/>
  <c i="18" r="Q47"/>
  <c i="18" r="P47"/>
  <c i="18" r="O47"/>
  <c i="18" r="N47"/>
  <c i="18" r="M47"/>
  <c i="18" r="L47"/>
  <c i="18" r="K47"/>
  <c i="18" r="I47"/>
  <c i="18" r="H47"/>
  <c i="18" r="G47"/>
  <c i="18" r="F47"/>
  <c i="18" r="E47"/>
  <c i="18" r="D47"/>
  <c i="18" r="C47"/>
  <c i="18" r="B47"/>
  <c i="18" r="V46"/>
  <c i="18" r="U46"/>
  <c i="18" r="V45"/>
  <c i="18" r="U45"/>
  <c i="18" r="K45"/>
  <c i="18" r="B45"/>
  <c i="18" r="V44"/>
  <c i="18" r="U44"/>
  <c i="18" r="K44"/>
  <c i="18" r="B44"/>
  <c i="18" r="V43"/>
  <c i="18" r="U43"/>
  <c i="18" r="V42"/>
  <c i="18" r="U42"/>
  <c i="18" r="V41"/>
  <c i="18" r="U41"/>
  <c i="18" r="V40"/>
  <c i="18" r="U40"/>
  <c i="18" r="V39"/>
  <c i="18" r="U39"/>
  <c i="18" r="F39"/>
  <c i="18" r="V38"/>
  <c i="18" r="U38"/>
  <c i="18" r="F38"/>
  <c i="18" r="V37"/>
  <c i="18" r="U37"/>
  <c i="18" r="F37"/>
  <c i="18" r="V36"/>
  <c i="18" r="U36"/>
  <c i="18" r="F36"/>
  <c i="18" r="V35"/>
  <c i="18" r="U35"/>
  <c i="18" r="F35"/>
  <c i="18" r="V34"/>
  <c i="18" r="U34"/>
  <c i="18" r="F34"/>
  <c i="18" r="V33"/>
  <c i="18" r="U33"/>
  <c i="18" r="F33"/>
  <c i="18" r="V32"/>
  <c i="18" r="U32"/>
  <c i="18" r="V31"/>
  <c i="18" r="U31"/>
  <c i="18" r="V30"/>
  <c i="18" r="U30"/>
  <c i="18" r="V29"/>
  <c i="18" r="U29"/>
  <c i="18" r="V28"/>
  <c i="18" r="U28"/>
  <c i="18" r="V27"/>
  <c i="18" r="U27"/>
  <c i="18" r="V26"/>
  <c i="18" r="U26"/>
  <c i="18" r="V25"/>
  <c i="18" r="U25"/>
  <c i="18" r="F25"/>
  <c i="18" r="V24"/>
  <c i="18" r="U24"/>
  <c i="18" r="F24"/>
  <c i="18" r="V23"/>
  <c i="18" r="U23"/>
  <c i="18" r="F23"/>
  <c i="18" r="V22"/>
  <c i="18" r="U22"/>
  <c i="18" r="F22"/>
  <c i="18" r="V21"/>
  <c i="18" r="U21"/>
  <c i="18" r="F21"/>
  <c i="18" r="V20"/>
  <c i="18" r="U20"/>
  <c i="18" r="F20"/>
  <c i="18" r="V19"/>
  <c i="18" r="U19"/>
  <c i="18" r="F19"/>
  <c i="18" r="V18"/>
  <c i="18" r="U18"/>
  <c i="18" r="E18"/>
  <c i="18" r="E32" s="1"/>
  <c i="18" r="AC17"/>
  <c i="18" r="V17"/>
  <c i="18" r="U17"/>
  <c i="18" r="V16"/>
  <c i="18" r="U16"/>
  <c i="18" r="AC15"/>
  <c i="18" r="AD15" s="1"/>
  <c i="18" r="V15"/>
  <c i="18" r="U15"/>
  <c i="18" r="AC14"/>
  <c i="18" r="V14"/>
  <c i="18" r="U14"/>
  <c i="18" r="V13"/>
  <c i="18" r="U13"/>
  <c i="18" r="B13"/>
  <c i="18" r="B27" s="1"/>
  <c i="18" r="B41" s="1"/>
  <c i="18" r="V12"/>
  <c i="18" r="U12"/>
  <c i="18" r="B12"/>
  <c i="18" r="AC11"/>
  <c i="18" r="AD11" s="1"/>
  <c i="18" r="V11"/>
  <c i="18" r="U11"/>
  <c i="18" r="B11"/>
  <c i="18" r="B25" s="1"/>
  <c i="18" r="B39" s="1"/>
  <c i="18" r="V10"/>
  <c i="18" r="U10"/>
  <c i="18" r="B10"/>
  <c i="18" r="B24" s="1"/>
  <c i="18" r="B38" s="1"/>
  <c i="18" r="I138"/>
  <c i="18" r="V9"/>
  <c i="18" r="U9"/>
  <c i="18" r="B9"/>
  <c i="18" r="B23" s="1"/>
  <c i="18" r="B37" s="1"/>
  <c i="18" r="I137"/>
  <c i="18" r="V8"/>
  <c i="18" r="U8"/>
  <c i="18" r="B8"/>
  <c i="18" r="B22" s="1"/>
  <c i="18" r="B36" s="1"/>
  <c i="18" r="I136"/>
  <c i="18" r="V7"/>
  <c i="18" r="U7"/>
  <c i="18" r="B7"/>
  <c i="18" r="B21" s="1"/>
  <c i="18" r="B35" s="1"/>
  <c i="18" r="I135"/>
  <c i="18" r="V6"/>
  <c i="18" r="U6"/>
  <c i="18" r="B6"/>
  <c i="18" r="B20" s="1"/>
  <c i="18" r="B34" s="1"/>
  <c i="18" r="V5"/>
  <c i="18" r="U5"/>
  <c i="18" r="B5"/>
  <c i="18" r="B19" s="1"/>
  <c i="18" r="B33" s="1"/>
  <c i="18" r="I133"/>
  <c i="18" r="V4"/>
  <c i="18" r="U4"/>
  <c i="18" r="C4"/>
  <c i="18" r="C18" s="1"/>
  <c i="18" r="C32" s="1"/>
  <c i="18" r="B4"/>
  <c i="18" r="B18" s="1"/>
  <c i="18" r="B32" s="1"/>
  <c i="18" r="AB3"/>
  <c i="18" r="V3"/>
  <c i="18" r="U3"/>
  <c i="18" r="T3"/>
  <c i="17" r="G214"/>
  <c i="17" r="F214"/>
  <c i="17" r="E214"/>
  <c i="17" r="D214"/>
  <c i="17" r="C214"/>
  <c i="17" r="G213"/>
  <c i="17" r="F213"/>
  <c i="17" r="E213"/>
  <c i="17" r="D213"/>
  <c i="17" r="C213"/>
  <c i="17" r="F212"/>
  <c i="17" r="E212"/>
  <c i="17" r="D212"/>
  <c i="17" r="C212"/>
  <c i="17" r="E211"/>
  <c i="17" r="D211"/>
  <c i="17" r="C211"/>
  <c i="17" r="D210"/>
  <c i="17" r="C210"/>
  <c i="17" r="C209"/>
  <c i="17" r="B193"/>
  <c i="17" r="B207" s="1"/>
  <c i="17" r="M192"/>
  <c i="17" r="M206" s="1"/>
  <c i="17" r="M220" s="1"/>
  <c i="17" r="C192"/>
  <c i="17" r="C206" s="1"/>
  <c i="17" r="B191"/>
  <c i="17" r="B205" s="1"/>
  <c i="17" r="L219" s="1"/>
  <c i="17" r="L179"/>
  <c i="17" r="L193" s="1"/>
  <c i="17" r="L207" s="1"/>
  <c i="17" r="L221" s="1"/>
  <c i="17" r="L177"/>
  <c i="17" r="L191" s="1"/>
  <c i="17" r="L205" s="1"/>
  <c i="17" r="G160"/>
  <c i="17" r="F160"/>
  <c i="17" r="E160"/>
  <c i="17" r="D160"/>
  <c i="17" r="C160"/>
  <c i="17" r="G159"/>
  <c i="17" r="F159"/>
  <c i="17" r="E159"/>
  <c i="17" r="D159"/>
  <c i="17" r="C159"/>
  <c i="17" r="F158"/>
  <c i="17" r="E158"/>
  <c i="17" r="D158"/>
  <c i="17" r="C158"/>
  <c i="17" r="E157"/>
  <c i="17" r="D157"/>
  <c i="17" r="C157"/>
  <c i="17" r="D156"/>
  <c i="17" r="C156"/>
  <c i="17" r="C155"/>
  <c i="17" r="L139"/>
  <c i="17" r="L153" s="1"/>
  <c i="17" r="L167" s="1"/>
  <c i="17" r="B139"/>
  <c i="17" r="B153" s="1"/>
  <c i="17" r="L137"/>
  <c i="17" r="B137"/>
  <c i="17" r="B151" s="1"/>
  <c i="17" r="L165" s="1"/>
  <c i="17" r="M40"/>
  <c i="17" r="L40"/>
  <c i="17" r="K40"/>
  <c i="16" r="AI116"/>
  <c i="16" r="AH116"/>
  <c i="16" r="AG116"/>
  <c i="16" r="AF116"/>
  <c i="16" r="AE116"/>
  <c i="16" r="AD116"/>
  <c i="16" r="AC116"/>
  <c i="16" r="AB116"/>
  <c i="16" r="AA116"/>
  <c i="16" r="Z116"/>
  <c i="16" r="T116"/>
  <c i="16" r="S116"/>
  <c i="16" r="R116"/>
  <c i="16" r="Q116"/>
  <c i="16" r="P116"/>
  <c i="16" r="O116"/>
  <c i="16" r="N116"/>
  <c i="16" r="H116"/>
  <c i="16" r="G116"/>
  <c i="16" r="F116"/>
  <c i="16" r="E116"/>
  <c i="16" r="D116"/>
  <c i="16" r="C116"/>
  <c i="16" r="B116"/>
  <c i="16" r="AI100"/>
  <c i="16" r="AH100"/>
  <c i="16" r="AG100"/>
  <c i="16" r="AF100"/>
  <c i="16" r="AE100"/>
  <c i="16" r="AD100"/>
  <c i="16" r="AC100"/>
  <c i="16" r="AB100"/>
  <c i="16" r="AA100"/>
  <c i="16" r="Z100"/>
  <c i="16" r="W100"/>
  <c i="16" r="V100"/>
  <c i="16" r="U100"/>
  <c i="16" r="T100"/>
  <c i="16" r="S100"/>
  <c i="16" r="R100"/>
  <c i="16" r="Q100"/>
  <c i="16" r="P100"/>
  <c i="16" r="O100"/>
  <c i="16" r="N100"/>
  <c i="16" r="R60"/>
  <c i="16" r="F60"/>
  <c i="16" r="R59"/>
  <c i="16" r="F59"/>
  <c i="16" r="R58"/>
  <c i="16" r="F58"/>
  <c i="16" r="R57"/>
  <c i="16" r="F57"/>
  <c i="16" r="R56"/>
  <c i="16" r="F56"/>
  <c i="16" r="R55"/>
  <c i="16" r="F55"/>
  <c i="16" r="R54"/>
  <c i="16" r="F54"/>
  <c i="16" r="R53"/>
  <c i="16" r="F53"/>
  <c i="16" r="F47"/>
  <c i="16" r="R46"/>
  <c i="16" r="R47" s="1"/>
  <c i="16" r="AD44"/>
  <c i="16" r="AD43"/>
  <c i="16" r="AD42"/>
  <c i="16" r="AD41"/>
  <c i="16" r="AD40"/>
  <c i="16" r="AD39"/>
  <c i="16" r="AD38"/>
  <c i="16" r="AD37"/>
  <c i="12" r="H374"/>
  <c i="17" r="I186" s="1"/>
  <c i="12" r="G374"/>
  <c i="17" r="H186" s="1"/>
  <c i="12" r="F374"/>
  <c i="17" r="G186" s="1"/>
  <c i="12" r="E374"/>
  <c i="17" r="F186" s="1"/>
  <c i="12" r="D374"/>
  <c i="12" r="C374"/>
  <c i="17" r="D186" s="1"/>
  <c i="12" r="B374"/>
  <c i="17" r="C186" s="1"/>
  <c i="12" r="H373"/>
  <c i="17" r="I185" s="1"/>
  <c i="12" r="G373"/>
  <c i="17" r="H185" s="1"/>
  <c i="12" r="F373"/>
  <c i="17" r="G185" s="1"/>
  <c i="12" r="E373"/>
  <c i="17" r="F185" s="1"/>
  <c i="12" r="D373"/>
  <c i="17" r="E185" s="1"/>
  <c i="12" r="C373"/>
  <c i="17" r="D185" s="1"/>
  <c i="12" r="B373"/>
  <c i="17" r="C185" s="1"/>
  <c i="12" r="H372"/>
  <c i="17" r="I184" s="1"/>
  <c i="12" r="G372"/>
  <c i="17" r="H184" s="1"/>
  <c i="12" r="F372"/>
  <c i="17" r="G184" s="1"/>
  <c i="12" r="E372"/>
  <c i="17" r="F184" s="1"/>
  <c i="12" r="D372"/>
  <c i="17" r="E184" s="1"/>
  <c i="12" r="C372"/>
  <c i="17" r="D184" s="1"/>
  <c i="12" r="B372"/>
  <c i="17" r="C184" s="1"/>
  <c i="12" r="H371"/>
  <c i="17" r="I183" s="1"/>
  <c i="12" r="G371"/>
  <c i="17" r="H183" s="1"/>
  <c i="12" r="F371"/>
  <c i="17" r="G183" s="1"/>
  <c i="12" r="E371"/>
  <c i="17" r="F183" s="1"/>
  <c i="12" r="D371"/>
  <c i="12" r="C371"/>
  <c i="17" r="D183" s="1"/>
  <c i="12" r="B371"/>
  <c i="17" r="C183" s="1"/>
  <c i="12" r="H370"/>
  <c i="17" r="I182" s="1"/>
  <c i="12" r="G370"/>
  <c i="17" r="H182" s="1"/>
  <c i="12" r="F370"/>
  <c i="17" r="G182" s="1"/>
  <c i="12" r="E370"/>
  <c i="17" r="F182" s="1"/>
  <c i="12" r="D370"/>
  <c i="17" r="E182" s="1"/>
  <c i="12" r="C370"/>
  <c i="17" r="D182" s="1"/>
  <c i="12" r="B370"/>
  <c i="17" r="C182" s="1"/>
  <c i="12" r="H369"/>
  <c i="17" r="I181" s="1"/>
  <c i="12" r="G369"/>
  <c i="17" r="H181" s="1"/>
  <c i="12" r="F369"/>
  <c i="17" r="G181" s="1"/>
  <c i="12" r="E369"/>
  <c i="17" r="F181" s="1"/>
  <c i="12" r="D369"/>
  <c i="17" r="E181" s="1"/>
  <c i="12" r="C369"/>
  <c i="17" r="D181" s="1"/>
  <c i="12" r="B369"/>
  <c i="17" r="C181" s="1"/>
  <c i="12" r="H368"/>
  <c i="17" r="I180" s="1"/>
  <c i="12" r="G368"/>
  <c i="17" r="H180" s="1"/>
  <c i="12" r="F368"/>
  <c i="17" r="G180" s="1"/>
  <c i="12" r="E368"/>
  <c i="17" r="F180" s="1"/>
  <c i="12" r="D368"/>
  <c i="12" r="C368"/>
  <c i="17" r="D180" s="1"/>
  <c i="12" r="B368"/>
  <c i="12" r="H362"/>
  <c i="17" r="I132" s="1"/>
  <c i="12" r="G362"/>
  <c i="17" r="H132" s="1"/>
  <c i="12" r="F362"/>
  <c i="17" r="G132" s="1"/>
  <c i="12" r="E362"/>
  <c i="17" r="F132" s="1"/>
  <c i="12" r="D362"/>
  <c i="17" r="E132" s="1"/>
  <c i="12" r="C362"/>
  <c i="17" r="D132" s="1"/>
  <c i="12" r="B362"/>
  <c i="17" r="C132" s="1"/>
  <c i="12" r="H361"/>
  <c i="17" r="I131" s="1"/>
  <c i="12" r="G361"/>
  <c i="17" r="H131" s="1"/>
  <c i="12" r="F361"/>
  <c i="17" r="G131" s="1"/>
  <c i="12" r="E361"/>
  <c i="17" r="F131" s="1"/>
  <c i="12" r="D361"/>
  <c i="17" r="E131" s="1"/>
  <c i="12" r="C361"/>
  <c i="12" r="B361"/>
  <c i="17" r="C131" s="1"/>
  <c i="12" r="H360"/>
  <c i="17" r="I130" s="1"/>
  <c i="12" r="G360"/>
  <c i="17" r="H130" s="1"/>
  <c i="12" r="F360"/>
  <c i="17" r="G130" s="1"/>
  <c i="12" r="E360"/>
  <c i="17" r="F130" s="1"/>
  <c i="12" r="D360"/>
  <c i="17" r="E130" s="1"/>
  <c i="12" r="C360"/>
  <c i="17" r="D130" s="1"/>
  <c i="12" r="B360"/>
  <c i="17" r="C130" s="1"/>
  <c i="12" r="H359"/>
  <c i="17" r="I129" s="1"/>
  <c i="12" r="G359"/>
  <c i="17" r="H129" s="1"/>
  <c i="12" r="F359"/>
  <c i="17" r="G129" s="1"/>
  <c i="12" r="E359"/>
  <c i="17" r="F129" s="1"/>
  <c i="12" r="D359"/>
  <c i="17" r="E129" s="1"/>
  <c i="12" r="C359"/>
  <c i="17" r="D129" s="1"/>
  <c i="12" r="B359"/>
  <c i="17" r="C129" s="1"/>
  <c i="12" r="H358"/>
  <c i="17" r="I128" s="1"/>
  <c i="12" r="G358"/>
  <c i="17" r="H128" s="1"/>
  <c i="12" r="F358"/>
  <c i="17" r="G128" s="1"/>
  <c i="12" r="E358"/>
  <c i="17" r="F128" s="1"/>
  <c i="12" r="D358"/>
  <c i="17" r="E128" s="1"/>
  <c i="12" r="C358"/>
  <c i="12" r="B358"/>
  <c i="17" r="C128" s="1"/>
  <c i="12" r="H357"/>
  <c i="17" r="I127" s="1"/>
  <c i="12" r="G357"/>
  <c i="17" r="H127" s="1"/>
  <c i="12" r="F357"/>
  <c i="17" r="G127" s="1"/>
  <c i="12" r="E357"/>
  <c i="17" r="F127" s="1"/>
  <c i="12" r="D357"/>
  <c i="17" r="E127" s="1"/>
  <c i="12" r="C357"/>
  <c i="17" r="D127" s="1"/>
  <c i="12" r="B357"/>
  <c i="17" r="C127" s="1"/>
  <c i="12" r="H356"/>
  <c i="17" r="I126" s="1"/>
  <c i="12" r="G356"/>
  <c i="17" r="H126" s="1"/>
  <c i="12" r="F356"/>
  <c i="12" r="E356"/>
  <c i="17" r="F126" s="1"/>
  <c i="12" r="D356"/>
  <c i="17" r="E126" s="1"/>
  <c i="12" r="C356"/>
  <c i="17" r="D126" s="1"/>
  <c i="12" r="B356"/>
  <c i="17" r="C126" s="1"/>
  <c i="12" r="H351"/>
  <c i="17" r="I75" s="1"/>
  <c i="12" r="G351"/>
  <c i="17" r="H75" s="1"/>
  <c i="12" r="F351"/>
  <c i="17" r="G75" s="1"/>
  <c i="12" r="E351"/>
  <c i="17" r="F75" s="1"/>
  <c i="12" r="D351"/>
  <c i="17" r="E75" s="1"/>
  <c i="12" r="C351"/>
  <c i="17" r="D75" s="1"/>
  <c i="12" r="B351"/>
  <c i="17" r="C75" s="1"/>
  <c i="12" r="H350"/>
  <c i="17" r="I74" s="1"/>
  <c i="12" r="G350"/>
  <c i="17" r="H74" s="1"/>
  <c i="12" r="F350"/>
  <c i="17" r="G74" s="1"/>
  <c i="12" r="E350"/>
  <c i="17" r="F74" s="1"/>
  <c i="12" r="D350"/>
  <c i="17" r="E74" s="1"/>
  <c i="12" r="C350"/>
  <c i="17" r="D74" s="1"/>
  <c i="12" r="B350"/>
  <c i="17" r="C74" s="1"/>
  <c i="12" r="H349"/>
  <c i="17" r="I73" s="1"/>
  <c i="12" r="G349"/>
  <c i="17" r="H73" s="1"/>
  <c i="12" r="F349"/>
  <c i="17" r="G73" s="1"/>
  <c i="12" r="E349"/>
  <c i="17" r="F73" s="1"/>
  <c i="12" r="D349"/>
  <c i="17" r="E73" s="1"/>
  <c i="12" r="C349"/>
  <c i="12" r="B349"/>
  <c i="17" r="C73" s="1"/>
  <c i="12" r="H348"/>
  <c i="17" r="I72" s="1"/>
  <c i="12" r="G348"/>
  <c i="17" r="H72" s="1"/>
  <c i="12" r="F348"/>
  <c i="17" r="G72" s="1"/>
  <c i="12" r="E348"/>
  <c i="17" r="F72" s="1"/>
  <c i="12" r="D348"/>
  <c i="17" r="E72" s="1"/>
  <c i="12" r="C348"/>
  <c i="17" r="D72" s="1"/>
  <c i="12" r="B348"/>
  <c i="12" r="H347"/>
  <c i="17" r="I71" s="1"/>
  <c i="12" r="G347"/>
  <c i="17" r="H71" s="1"/>
  <c i="12" r="F347"/>
  <c i="17" r="G71" s="1"/>
  <c i="12" r="E347"/>
  <c i="17" r="F71" s="1"/>
  <c i="12" r="D347"/>
  <c i="17" r="E71" s="1"/>
  <c i="12" r="C347"/>
  <c i="17" r="D71" s="1"/>
  <c i="12" r="B347"/>
  <c i="17" r="C71" s="1"/>
  <c i="12" r="H346"/>
  <c i="17" r="I70" s="1"/>
  <c i="12" r="G346"/>
  <c i="17" r="H70" s="1"/>
  <c i="12" r="F346"/>
  <c i="17" r="G70" s="1"/>
  <c i="12" r="E346"/>
  <c i="17" r="F70" s="1"/>
  <c i="12" r="D346"/>
  <c i="17" r="E70" s="1"/>
  <c i="12" r="C346"/>
  <c i="12" r="B346"/>
  <c i="17" r="C70" s="1"/>
  <c i="12" r="H345"/>
  <c i="17" r="I69" s="1"/>
  <c i="12" r="G345"/>
  <c i="17" r="H69" s="1"/>
  <c i="12" r="F345"/>
  <c i="17" r="G69" s="1"/>
  <c i="12" r="E345"/>
  <c i="17" r="F69" s="1"/>
  <c i="12" r="D345"/>
  <c i="17" r="E69" s="1"/>
  <c i="12" r="C345"/>
  <c i="17" r="D69" s="1"/>
  <c i="12" r="B345"/>
  <c i="17" r="C69" s="1"/>
  <c i="12" r="H344"/>
  <c i="17" r="I68" s="1"/>
  <c i="12" r="G344"/>
  <c i="17" r="H68" s="1"/>
  <c i="12" r="F344"/>
  <c i="17" r="G68" s="1"/>
  <c i="12" r="E344"/>
  <c i="17" r="F68" s="1"/>
  <c i="12" r="D344"/>
  <c i="17" r="E68" s="1"/>
  <c i="12" r="C344"/>
  <c i="17" r="D68" s="1"/>
  <c i="12" r="B344"/>
  <c i="17" r="C68" s="1"/>
  <c i="12" r="B340"/>
  <c i="9" r="K118" s="1"/>
  <c i="1" r="B13" s="1"/>
  <c i="12" r="B339"/>
  <c i="9" r="J118" s="1"/>
  <c i="1" r="B12" s="1"/>
  <c i="12" r="B338"/>
  <c i="9" r="I118" s="1"/>
  <c i="12" r="B337"/>
  <c i="9" r="H118" s="1"/>
  <c i="1" r="B10" s="1"/>
  <c i="12" r="B336"/>
  <c i="9" r="G118" s="1"/>
  <c i="1" r="B9" s="1"/>
  <c i="12" r="B335"/>
  <c i="9" r="F118" s="1"/>
  <c i="1" r="B8" s="1"/>
  <c i="12" r="B334"/>
  <c i="9" r="E118" s="1"/>
  <c i="1" r="B7" s="1"/>
  <c i="12" r="B333"/>
  <c i="9" r="D118" s="1"/>
  <c i="1" r="B6" s="1"/>
  <c i="12" r="B332"/>
  <c i="9" r="C118" s="1"/>
  <c i="1" r="B5" s="1"/>
  <c i="12" r="B331"/>
  <c i="9" r="B118" s="1"/>
  <c i="16" r="B110" s="1"/>
  <c i="12" r="B327"/>
  <c i="9" r="E84" s="1"/>
  <c i="12" r="B326"/>
  <c i="9" r="D84" s="1"/>
  <c i="12" r="B325"/>
  <c i="9" r="C84" s="1"/>
  <c i="12" r="B324"/>
  <c i="9" r="B84" s="1"/>
  <c i="12" r="B320"/>
  <c i="9" r="E50" s="1"/>
  <c i="16" r="E46" s="1"/>
  <c i="12" r="B319"/>
  <c i="9" r="D50" s="1"/>
  <c i="12" r="B318"/>
  <c i="9" r="C50" s="1"/>
  <c i="12" r="B317"/>
  <c i="12" r="B313"/>
  <c i="9" r="J15" s="1"/>
  <c i="1" r="B26" s="1"/>
  <c i="12" r="B312"/>
  <c i="9" r="I15" s="1"/>
  <c i="1" r="B25" s="1"/>
  <c i="12" r="B311"/>
  <c i="9" r="G15" s="1"/>
  <c i="16" r="G14" s="1"/>
  <c i="12" r="B310"/>
  <c i="12" r="B309"/>
  <c i="9" r="E15" s="1"/>
  <c i="12" r="B308"/>
  <c i="9" r="D15" s="1"/>
  <c i="1" r="B21" s="1"/>
  <c i="12" r="B307"/>
  <c i="9" r="C15" s="1"/>
  <c i="1" r="B20" s="1"/>
  <c i="12" r="B306"/>
  <c i="9" r="B15" s="1"/>
  <c i="1" r="B19" s="1"/>
  <c i="12" r="Y302"/>
  <c i="12" r="L302" s="1"/>
  <c i="12" r="K302"/>
  <c i="10" r="K114" s="1"/>
  <c i="12" r="J302"/>
  <c i="10" r="J114" s="1"/>
  <c i="12" r="I302"/>
  <c i="10" r="I114" s="1"/>
  <c i="12" r="H302"/>
  <c i="10" r="H114" s="1"/>
  <c i="12" r="G302"/>
  <c i="10" r="G114" s="1"/>
  <c i="12" r="F302"/>
  <c i="10" r="F114" s="1"/>
  <c i="12" r="E302"/>
  <c i="10" r="E114" s="1"/>
  <c i="12" r="D302"/>
  <c i="10" r="D114" s="1"/>
  <c i="12" r="C302"/>
  <c i="10" r="C114" s="1"/>
  <c i="12" r="B302"/>
  <c i="10" r="B114" s="1"/>
  <c i="12" r="Y301"/>
  <c i="12" r="L301" s="1"/>
  <c i="12" r="K301"/>
  <c i="10" r="K113" s="1"/>
  <c i="12" r="J301"/>
  <c i="10" r="J113" s="1"/>
  <c i="12" r="I301"/>
  <c i="10" r="I113" s="1"/>
  <c i="12" r="H301"/>
  <c i="10" r="H113" s="1"/>
  <c i="12" r="G301"/>
  <c i="10" r="G113" s="1"/>
  <c i="12" r="F301"/>
  <c i="10" r="F113" s="1"/>
  <c i="12" r="E301"/>
  <c i="10" r="E113" s="1"/>
  <c i="12" r="D301"/>
  <c i="10" r="D113" s="1"/>
  <c i="12" r="C301"/>
  <c i="10" r="C113" s="1"/>
  <c i="12" r="B301"/>
  <c i="10" r="B113" s="1"/>
  <c i="12" r="Y300"/>
  <c i="12" r="L300" s="1"/>
  <c i="12" r="K300"/>
  <c i="10" r="K112" s="1"/>
  <c i="12" r="J300"/>
  <c i="10" r="J112" s="1"/>
  <c i="12" r="I300"/>
  <c i="10" r="I112" s="1"/>
  <c i="12" r="H300"/>
  <c i="10" r="H112" s="1"/>
  <c i="12" r="G300"/>
  <c i="10" r="G112" s="1"/>
  <c i="12" r="F300"/>
  <c i="10" r="F112" s="1"/>
  <c i="12" r="E300"/>
  <c i="10" r="E112" s="1"/>
  <c i="12" r="D300"/>
  <c i="10" r="D112" s="1"/>
  <c i="12" r="C300"/>
  <c i="10" r="C112" s="1"/>
  <c i="12" r="B300"/>
  <c i="10" r="B112" s="1"/>
  <c i="12" r="Y299"/>
  <c i="12" r="L299" s="1"/>
  <c i="12" r="K299"/>
  <c i="10" r="K111" s="1"/>
  <c i="12" r="J299"/>
  <c i="10" r="J111" s="1"/>
  <c i="12" r="I299"/>
  <c i="10" r="I111" s="1"/>
  <c i="12" r="H299"/>
  <c i="10" r="H111" s="1"/>
  <c i="12" r="G299"/>
  <c i="10" r="G111" s="1"/>
  <c i="12" r="F299"/>
  <c i="10" r="F111" s="1"/>
  <c i="12" r="E299"/>
  <c i="10" r="E111" s="1"/>
  <c i="12" r="D299"/>
  <c i="10" r="D111" s="1"/>
  <c i="12" r="C299"/>
  <c i="10" r="C111" s="1"/>
  <c i="12" r="B299"/>
  <c i="10" r="B111" s="1"/>
  <c i="12" r="Y298"/>
  <c i="12" r="L298" s="1"/>
  <c i="12" r="K298"/>
  <c i="10" r="K110" s="1"/>
  <c i="12" r="J298"/>
  <c i="10" r="J110" s="1"/>
  <c i="12" r="I298"/>
  <c i="10" r="I110" s="1"/>
  <c i="12" r="H298"/>
  <c i="10" r="H110" s="1"/>
  <c i="12" r="G298"/>
  <c i="10" r="G110" s="1"/>
  <c i="12" r="F298"/>
  <c i="10" r="F110" s="1"/>
  <c i="12" r="E298"/>
  <c i="10" r="E110" s="1"/>
  <c i="12" r="D298"/>
  <c i="10" r="D110" s="1"/>
  <c i="12" r="C298"/>
  <c i="10" r="C110" s="1"/>
  <c i="12" r="B298"/>
  <c i="10" r="B110" s="1"/>
  <c i="12" r="Y297"/>
  <c i="12" r="L297" s="1"/>
  <c i="12" r="K297"/>
  <c i="10" r="K109" s="1"/>
  <c i="12" r="J297"/>
  <c i="10" r="J109" s="1"/>
  <c i="12" r="I297"/>
  <c i="10" r="I109" s="1"/>
  <c i="12" r="H297"/>
  <c i="10" r="H109" s="1"/>
  <c i="12" r="G297"/>
  <c i="10" r="G109" s="1"/>
  <c i="12" r="F297"/>
  <c i="10" r="F109" s="1"/>
  <c i="12" r="E297"/>
  <c i="10" r="E109" s="1"/>
  <c i="12" r="D297"/>
  <c i="10" r="D109" s="1"/>
  <c i="12" r="C297"/>
  <c i="10" r="C109" s="1"/>
  <c i="12" r="B297"/>
  <c i="10" r="B109" s="1"/>
  <c i="12" r="Y296"/>
  <c i="12" r="L296" s="1"/>
  <c i="12" r="K296"/>
  <c i="10" r="K108" s="1"/>
  <c i="12" r="J296"/>
  <c i="10" r="J108" s="1"/>
  <c i="12" r="I296"/>
  <c i="12" r="H296"/>
  <c i="12" r="G296"/>
  <c i="10" r="G108" s="1"/>
  <c i="12" r="F296"/>
  <c i="10" r="F108" s="1"/>
  <c i="12" r="E296"/>
  <c i="10" r="E108" s="1"/>
  <c i="12" r="D296"/>
  <c i="10" r="D108" s="1"/>
  <c i="12" r="C296"/>
  <c i="10" r="C108" s="1"/>
  <c i="12" r="B296"/>
  <c i="10" r="B108" s="1"/>
  <c i="12" r="Y295"/>
  <c i="12" r="L295" s="1"/>
  <c i="12" r="K295"/>
  <c i="10" r="K107" s="1"/>
  <c i="12" r="J295"/>
  <c i="10" r="J107" s="1"/>
  <c i="12" r="I295"/>
  <c i="10" r="I107" s="1"/>
  <c i="12" r="H295"/>
  <c i="10" r="H107" s="1"/>
  <c i="12" r="G295"/>
  <c i="10" r="G107" s="1"/>
  <c i="12" r="F295"/>
  <c i="10" r="F107" s="1"/>
  <c i="12" r="E295"/>
  <c i="10" r="E107" s="1"/>
  <c i="12" r="D295"/>
  <c i="10" r="D107" s="1"/>
  <c i="12" r="C295"/>
  <c i="10" r="C107" s="1"/>
  <c i="12" r="B295"/>
  <c i="10" r="B107" s="1"/>
  <c i="12" r="S291"/>
  <c i="12" r="F291" s="1"/>
  <c i="10" r="F80" s="1"/>
  <c i="1" r="B71" s="1"/>
  <c i="12" r="E291"/>
  <c i="10" r="E80" s="1"/>
  <c i="12" r="D291"/>
  <c i="10" r="D80" s="1"/>
  <c i="12" r="C291"/>
  <c i="10" r="C80" s="1"/>
  <c i="12" r="B291"/>
  <c i="10" r="B80" s="1"/>
  <c i="12" r="S290"/>
  <c i="12" r="F290" s="1"/>
  <c i="10" r="F79" s="1"/>
  <c i="1" r="B70" s="1"/>
  <c i="12" r="E290"/>
  <c i="10" r="E79" s="1"/>
  <c i="12" r="D290"/>
  <c i="10" r="D79" s="1"/>
  <c i="12" r="C290"/>
  <c i="10" r="C79" s="1"/>
  <c i="12" r="B290"/>
  <c i="10" r="B79" s="1"/>
  <c i="12" r="S289"/>
  <c i="12" r="F289" s="1"/>
  <c i="10" r="F78" s="1"/>
  <c i="1" r="B69" s="1"/>
  <c i="12" r="E289"/>
  <c i="10" r="E78" s="1"/>
  <c i="12" r="D289"/>
  <c i="12" r="C289"/>
  <c i="10" r="C78" s="1"/>
  <c i="12" r="B289"/>
  <c i="10" r="B78" s="1"/>
  <c i="12" r="S288"/>
  <c i="12" r="F288" s="1"/>
  <c i="10" r="F77" s="1"/>
  <c i="1" r="B68" s="1"/>
  <c i="12" r="E288"/>
  <c i="12" r="D288"/>
  <c i="10" r="D77" s="1"/>
  <c i="12" r="C288"/>
  <c i="10" r="C77" s="1"/>
  <c i="12" r="B288"/>
  <c i="10" r="B77" s="1"/>
  <c i="12" r="S287"/>
  <c i="12" r="F287" s="1"/>
  <c i="10" r="F76" s="1"/>
  <c i="1" r="B67" s="1"/>
  <c i="12" r="E287"/>
  <c i="10" r="E76" s="1"/>
  <c i="12" r="D287"/>
  <c i="10" r="D76" s="1"/>
  <c i="12" r="C287"/>
  <c i="10" r="C76" s="1"/>
  <c i="12" r="B287"/>
  <c i="10" r="B76" s="1"/>
  <c i="12" r="S286"/>
  <c i="12" r="F286" s="1"/>
  <c i="10" r="F75" s="1"/>
  <c i="1" r="B66" s="1"/>
  <c i="12" r="E286"/>
  <c i="10" r="E75" s="1"/>
  <c i="12" r="D286"/>
  <c i="10" r="D75" s="1"/>
  <c i="12" r="C286"/>
  <c i="10" r="C75" s="1"/>
  <c i="12" r="B286"/>
  <c i="10" r="B75" s="1"/>
  <c i="12" r="S285"/>
  <c i="12" r="F285" s="1"/>
  <c i="10" r="F74" s="1"/>
  <c i="1" r="B65" s="1"/>
  <c i="12" r="E285"/>
  <c i="10" r="E74" s="1"/>
  <c i="12" r="D285"/>
  <c i="10" r="D74" s="1"/>
  <c i="12" r="C285"/>
  <c i="10" r="C74" s="1"/>
  <c i="12" r="B285"/>
  <c i="10" r="B74" s="1"/>
  <c i="12" r="S284"/>
  <c i="12" r="F284" s="1"/>
  <c i="10" r="F73" s="1"/>
  <c i="1" r="B64" s="1"/>
  <c i="12" r="E284"/>
  <c i="10" r="E73" s="1"/>
  <c i="12" r="D284"/>
  <c i="10" r="D73" s="1"/>
  <c i="12" r="C284"/>
  <c i="10" r="C73" s="1"/>
  <c i="12" r="B284"/>
  <c i="10" r="B73" s="1"/>
  <c i="12" r="S280"/>
  <c i="12" r="F280" s="1"/>
  <c i="12" r="E280"/>
  <c i="10" r="E46" s="1"/>
  <c i="12" r="D280"/>
  <c i="10" r="D46" s="1"/>
  <c i="12" r="C280"/>
  <c i="10" r="C46" s="1"/>
  <c i="12" r="B280"/>
  <c i="10" r="B46" s="1"/>
  <c i="12" r="S279"/>
  <c i="12" r="F279" s="1"/>
  <c i="12" r="E279"/>
  <c i="10" r="E45" s="1"/>
  <c i="12" r="D279"/>
  <c i="10" r="D45" s="1"/>
  <c i="12" r="C279"/>
  <c i="10" r="C45" s="1"/>
  <c i="12" r="B279"/>
  <c i="10" r="B45" s="1"/>
  <c i="12" r="S278"/>
  <c i="12" r="F278" s="1"/>
  <c i="12" r="E278"/>
  <c i="10" r="E44" s="1"/>
  <c i="12" r="D278"/>
  <c i="10" r="D44" s="1"/>
  <c i="12" r="C278"/>
  <c i="10" r="C44" s="1"/>
  <c i="12" r="B278"/>
  <c i="10" r="B44" s="1"/>
  <c i="12" r="S277"/>
  <c i="12" r="F277" s="1"/>
  <c i="12" r="E277"/>
  <c i="10" r="E43" s="1"/>
  <c i="12" r="D277"/>
  <c i="10" r="D43" s="1"/>
  <c i="12" r="C277"/>
  <c i="12" r="B277"/>
  <c i="10" r="B43" s="1"/>
  <c i="12" r="S276"/>
  <c i="12" r="F276" s="1"/>
  <c i="12" r="E276"/>
  <c i="10" r="E42" s="1"/>
  <c i="12" r="D276"/>
  <c i="10" r="D42" s="1"/>
  <c i="12" r="C276"/>
  <c i="10" r="C42" s="1"/>
  <c i="12" r="B276"/>
  <c i="10" r="B42" s="1"/>
  <c i="12" r="S275"/>
  <c i="12" r="F275" s="1"/>
  <c i="12" r="E275"/>
  <c i="12" r="D275"/>
  <c i="10" r="D41" s="1"/>
  <c i="12" r="C275"/>
  <c i="12" r="B275"/>
  <c i="10" r="B41" s="1"/>
  <c i="12" r="S274"/>
  <c i="12" r="F274" s="1"/>
  <c i="12" r="E274"/>
  <c i="10" r="E40" s="1"/>
  <c i="12" r="D274"/>
  <c i="12" r="C274"/>
  <c i="10" r="C40" s="1"/>
  <c i="12" r="B274"/>
  <c i="10" r="B40" s="1"/>
  <c i="12" r="S273"/>
  <c i="12" r="F273" s="1"/>
  <c i="12" r="E273"/>
  <c i="10" r="E39" s="1"/>
  <c i="12" r="D273"/>
  <c i="12" r="C273"/>
  <c i="10" r="C39" s="1"/>
  <c i="12" r="B273"/>
  <c i="10" r="B39" s="1"/>
  <c i="12" r="W269"/>
  <c i="12" r="J269" s="1"/>
  <c i="10" r="K12" s="1"/>
  <c i="12" r="I269"/>
  <c i="10" r="J12" s="1"/>
  <c i="19" r="AB57" s="1"/>
  <c i="12" r="H269"/>
  <c i="10" r="I12" s="1"/>
  <c i="19" r="AA57" s="1"/>
  <c i="12" r="G269"/>
  <c i="12" r="F269"/>
  <c i="10" r="F12" s="1"/>
  <c i="19" r="Y57" s="1"/>
  <c i="12" r="E269"/>
  <c i="10" r="E12" s="1"/>
  <c i="12" r="D269"/>
  <c i="10" r="D12" s="1"/>
  <c i="12" r="C269"/>
  <c i="10" r="C12" s="1"/>
  <c i="12" r="B269"/>
  <c i="10" r="B12" s="1"/>
  <c i="19" r="U57" s="1"/>
  <c i="12" r="W268"/>
  <c i="12" r="J268" s="1"/>
  <c i="10" r="K11" s="1"/>
  <c i="12" r="I268"/>
  <c i="10" r="J11" s="1"/>
  <c i="19" r="AB56" s="1"/>
  <c i="12" r="H268"/>
  <c i="10" r="I11" s="1"/>
  <c i="12" r="G268"/>
  <c i="10" r="G11" s="1"/>
  <c i="19" r="Z56" s="1"/>
  <c i="12" r="F268"/>
  <c i="10" r="F11" s="1"/>
  <c i="12" r="E268"/>
  <c i="10" r="E11" s="1"/>
  <c i="19" r="X56" s="1"/>
  <c i="12" r="D268"/>
  <c i="10" r="D11" s="1"/>
  <c i="19" r="W56" s="1"/>
  <c i="12" r="C268"/>
  <c i="10" r="C11" s="1"/>
  <c i="19" r="V56" s="1"/>
  <c i="12" r="B268"/>
  <c i="10" r="B11" s="1"/>
  <c i="19" r="U56" s="1"/>
  <c i="12" r="W267"/>
  <c i="12" r="J267" s="1"/>
  <c i="10" r="K10" s="1"/>
  <c i="12" r="I267"/>
  <c i="10" r="J10" s="1"/>
  <c i="19" r="AB55" s="1"/>
  <c i="12" r="H267"/>
  <c i="10" r="I10" s="1"/>
  <c i="12" r="G267"/>
  <c i="10" r="G10" s="1"/>
  <c i="12" r="F267"/>
  <c i="10" r="F10" s="1"/>
  <c i="19" r="Y55" s="1"/>
  <c i="12" r="E267"/>
  <c i="12" r="D267"/>
  <c i="10" r="D10" s="1"/>
  <c i="19" r="W55" s="1"/>
  <c i="12" r="C267"/>
  <c i="10" r="C10" s="1"/>
  <c i="19" r="V55" s="1"/>
  <c i="12" r="B267"/>
  <c i="10" r="B10" s="1"/>
  <c i="19" r="U55" s="1"/>
  <c i="12" r="W266"/>
  <c i="12" r="J266" s="1"/>
  <c i="10" r="K9" s="1"/>
  <c i="12" r="I266"/>
  <c i="10" r="J9" s="1"/>
  <c i="12" r="H266"/>
  <c i="10" r="I9" s="1"/>
  <c i="19" r="AA54" s="1"/>
  <c i="12" r="G266"/>
  <c i="10" r="G9" s="1"/>
  <c i="19" r="Z54" s="1"/>
  <c i="12" r="F266"/>
  <c i="12" r="E266"/>
  <c i="10" r="E9" s="1"/>
  <c i="19" r="X54" s="1"/>
  <c i="12" r="D266"/>
  <c i="12" r="C266"/>
  <c i="10" r="C9" s="1"/>
  <c i="12" r="B266"/>
  <c i="10" r="B9" s="1"/>
  <c i="19" r="U54" s="1"/>
  <c i="12" r="W265"/>
  <c i="12" r="J265" s="1"/>
  <c i="10" r="K8" s="1"/>
  <c i="12" r="I265"/>
  <c i="10" r="J8" s="1"/>
  <c i="19" r="AB53" s="1"/>
  <c i="12" r="H265"/>
  <c i="10" r="I8" s="1"/>
  <c i="12" r="G265"/>
  <c i="10" r="G8" s="1"/>
  <c i="19" r="Z53" s="1"/>
  <c i="12" r="F265"/>
  <c i="10" r="F8" s="1"/>
  <c i="19" r="Y53" s="1"/>
  <c i="12" r="E265"/>
  <c i="10" r="E8" s="1"/>
  <c i="12" r="D265"/>
  <c i="10" r="D8" s="1"/>
  <c i="12" r="C265"/>
  <c i="10" r="C8" s="1"/>
  <c i="19" r="V53" s="1"/>
  <c i="12" r="B265"/>
  <c i="10" r="B8" s="1"/>
  <c i="19" r="U53" s="1"/>
  <c i="12" r="W264"/>
  <c i="12" r="J264" s="1"/>
  <c i="10" r="K7" s="1"/>
  <c i="12" r="I264"/>
  <c i="10" r="J7" s="1"/>
  <c i="19" r="AB52" s="1"/>
  <c i="12" r="H264"/>
  <c i="12" r="G264"/>
  <c i="12" r="F264"/>
  <c i="10" r="F7" s="1"/>
  <c i="19" r="Y52" s="1"/>
  <c i="12" r="E264"/>
  <c i="10" r="E7" s="1"/>
  <c i="12" r="D264"/>
  <c i="12" r="C264"/>
  <c i="12" r="B264"/>
  <c i="10" r="B7" s="1"/>
  <c i="19" r="U52" s="1"/>
  <c i="12" r="W263"/>
  <c i="12" r="J263" s="1"/>
  <c i="10" r="K6" s="1"/>
  <c i="12" r="I263"/>
  <c i="10" r="J6" s="1"/>
  <c i="12" r="H263"/>
  <c i="10" r="I6" s="1"/>
  <c i="19" r="AA51" s="1"/>
  <c i="12" r="G263"/>
  <c i="10" r="G6" s="1"/>
  <c i="12" r="F263"/>
  <c i="10" r="F6" s="1"/>
  <c i="12" r="E263"/>
  <c i="10" r="E6" s="1"/>
  <c i="12" r="D263"/>
  <c i="10" r="D6" s="1"/>
  <c i="12" r="C263"/>
  <c i="10" r="C6" s="1"/>
  <c i="12" r="B263"/>
  <c i="10" r="B6" s="1"/>
  <c i="19" r="U51" s="1"/>
  <c i="12" r="W262"/>
  <c i="12" r="J262" s="1"/>
  <c i="10" r="K5" s="1"/>
  <c i="12" r="I262"/>
  <c i="10" r="J5" s="1"/>
  <c i="12" r="H262"/>
  <c i="10" r="I5" s="1"/>
  <c i="12" r="G262"/>
  <c i="10" r="G5" s="1"/>
  <c i="19" r="Z50" s="1"/>
  <c i="12" r="F262"/>
  <c i="10" r="F5" s="1"/>
  <c i="19" r="Y50" s="1"/>
  <c i="12" r="E262"/>
  <c i="10" r="E5" s="1"/>
  <c i="12" r="D262"/>
  <c i="10" r="D5" s="1"/>
  <c i="12" r="C262"/>
  <c i="10" r="C5" s="1"/>
  <c i="19" r="V50" s="1"/>
  <c i="12" r="B262"/>
  <c i="12" r="Y258"/>
  <c i="12" r="L258" s="1"/>
  <c i="12" r="K258"/>
  <c i="16" r="K107" s="1"/>
  <c i="12" r="J258"/>
  <c i="16" r="J107" s="1"/>
  <c i="12" r="I258"/>
  <c i="16" r="I107" s="1"/>
  <c i="12" r="H258"/>
  <c i="16" r="H107" s="1"/>
  <c i="12" r="G258"/>
  <c i="16" r="G107" s="1"/>
  <c i="12" r="F258"/>
  <c i="16" r="F107" s="1"/>
  <c i="12" r="E258"/>
  <c i="16" r="E107" s="1"/>
  <c i="12" r="D258"/>
  <c i="16" r="D107" s="1"/>
  <c i="12" r="C258"/>
  <c i="16" r="C107" s="1"/>
  <c i="12" r="B258"/>
  <c i="16" r="B107" s="1"/>
  <c i="12" r="Y257"/>
  <c i="12" r="L257" s="1"/>
  <c i="12" r="K257"/>
  <c i="16" r="K106" s="1"/>
  <c i="12" r="J257"/>
  <c i="16" r="J106" s="1"/>
  <c i="12" r="I257"/>
  <c i="16" r="I106" s="1"/>
  <c i="12" r="H257"/>
  <c i="16" r="H106" s="1"/>
  <c i="12" r="G257"/>
  <c i="16" r="G106" s="1"/>
  <c i="12" r="F257"/>
  <c i="16" r="F106" s="1"/>
  <c i="12" r="E257"/>
  <c i="16" r="E106" s="1"/>
  <c i="12" r="D257"/>
  <c i="16" r="D106" s="1"/>
  <c i="12" r="C257"/>
  <c i="16" r="C106" s="1"/>
  <c i="12" r="B257"/>
  <c i="16" r="B106" s="1"/>
  <c i="12" r="Y256"/>
  <c i="12" r="L256" s="1"/>
  <c i="12" r="K256"/>
  <c i="16" r="K105" s="1"/>
  <c i="12" r="J256"/>
  <c i="16" r="J105" s="1"/>
  <c i="12" r="I256"/>
  <c i="16" r="I105" s="1"/>
  <c i="12" r="H256"/>
  <c i="16" r="H105" s="1"/>
  <c i="12" r="G256"/>
  <c i="16" r="G105" s="1"/>
  <c i="12" r="F256"/>
  <c i="16" r="F105" s="1"/>
  <c i="12" r="E256"/>
  <c i="16" r="E105" s="1"/>
  <c i="12" r="D256"/>
  <c i="16" r="D105" s="1"/>
  <c i="12" r="C256"/>
  <c i="16" r="C105" s="1"/>
  <c i="12" r="B256"/>
  <c i="16" r="B105" s="1"/>
  <c i="12" r="Y255"/>
  <c i="12" r="L255" s="1"/>
  <c i="12" r="K255"/>
  <c i="16" r="K104" s="1"/>
  <c i="12" r="J255"/>
  <c i="16" r="J104" s="1"/>
  <c i="12" r="I255"/>
  <c i="16" r="I104" s="1"/>
  <c i="12" r="H255"/>
  <c i="16" r="H104" s="1"/>
  <c i="12" r="G255"/>
  <c i="16" r="G104" s="1"/>
  <c i="12" r="F255"/>
  <c i="16" r="F104" s="1"/>
  <c i="12" r="E255"/>
  <c i="16" r="E104" s="1"/>
  <c i="12" r="D255"/>
  <c i="16" r="D104" s="1"/>
  <c i="12" r="C255"/>
  <c i="16" r="C104" s="1"/>
  <c i="12" r="B255"/>
  <c i="16" r="B104" s="1"/>
  <c i="12" r="Y254"/>
  <c i="12" r="L254" s="1"/>
  <c i="12" r="K254"/>
  <c i="16" r="K103" s="1"/>
  <c i="12" r="J254"/>
  <c i="16" r="J103" s="1"/>
  <c i="12" r="I254"/>
  <c i="16" r="I103" s="1"/>
  <c i="12" r="H254"/>
  <c i="16" r="H103" s="1"/>
  <c i="12" r="G254"/>
  <c i="16" r="G103" s="1"/>
  <c i="12" r="F254"/>
  <c i="16" r="F103" s="1"/>
  <c i="12" r="E254"/>
  <c i="16" r="E103" s="1"/>
  <c i="12" r="D254"/>
  <c i="16" r="D103" s="1"/>
  <c i="12" r="C254"/>
  <c i="16" r="C103" s="1"/>
  <c i="12" r="B254"/>
  <c i="16" r="B103" s="1"/>
  <c i="12" r="Y253"/>
  <c i="12" r="L253" s="1"/>
  <c i="12" r="K253"/>
  <c i="16" r="K102" s="1"/>
  <c i="12" r="J253"/>
  <c i="16" r="J102" s="1"/>
  <c i="12" r="I253"/>
  <c i="16" r="I102" s="1"/>
  <c i="12" r="H253"/>
  <c i="16" r="H102" s="1"/>
  <c i="12" r="G253"/>
  <c i="16" r="G102" s="1"/>
  <c i="12" r="F253"/>
  <c i="16" r="F102" s="1"/>
  <c i="12" r="E253"/>
  <c i="16" r="E102" s="1"/>
  <c i="12" r="D253"/>
  <c i="16" r="D102" s="1"/>
  <c i="12" r="C253"/>
  <c i="16" r="C102" s="1"/>
  <c i="12" r="B253"/>
  <c i="16" r="B102" s="1"/>
  <c i="12" r="Y252"/>
  <c i="12" r="L252" s="1"/>
  <c i="12" r="K252"/>
  <c i="16" r="K101" s="1"/>
  <c i="12" r="J252"/>
  <c i="16" r="J101" s="1"/>
  <c i="12" r="I252"/>
  <c i="16" r="I101" s="1"/>
  <c i="12" r="H252"/>
  <c i="16" r="H101" s="1"/>
  <c i="12" r="G252"/>
  <c i="16" r="G101" s="1"/>
  <c i="12" r="F252"/>
  <c i="16" r="F101" s="1"/>
  <c i="12" r="E252"/>
  <c i="16" r="E101" s="1"/>
  <c i="12" r="D252"/>
  <c i="16" r="D101" s="1"/>
  <c i="12" r="C252"/>
  <c i="16" r="C101" s="1"/>
  <c i="12" r="B252"/>
  <c i="16" r="B101" s="1"/>
  <c i="12" r="S248"/>
  <c i="12" r="F248" s="1"/>
  <c i="16" r="F75" s="1"/>
  <c i="12" r="E248"/>
  <c i="16" r="E75" s="1"/>
  <c i="12" r="D248"/>
  <c i="16" r="D75" s="1"/>
  <c i="12" r="C248"/>
  <c i="16" r="C75" s="1"/>
  <c i="12" r="B248"/>
  <c i="16" r="B75" s="1"/>
  <c i="12" r="S247"/>
  <c i="12" r="F247" s="1"/>
  <c i="16" r="F74" s="1"/>
  <c i="12" r="E247"/>
  <c i="16" r="E74" s="1"/>
  <c i="12" r="D247"/>
  <c i="16" r="D74" s="1"/>
  <c i="12" r="C247"/>
  <c i="16" r="C74" s="1"/>
  <c i="12" r="B247"/>
  <c i="16" r="B74" s="1"/>
  <c i="12" r="S246"/>
  <c i="12" r="F246" s="1"/>
  <c i="16" r="F73" s="1"/>
  <c i="12" r="E246"/>
  <c i="16" r="E73" s="1"/>
  <c i="12" r="D246"/>
  <c i="16" r="D73" s="1"/>
  <c i="12" r="C246"/>
  <c i="16" r="C73" s="1"/>
  <c i="12" r="B246"/>
  <c i="16" r="B73" s="1"/>
  <c i="12" r="S245"/>
  <c i="12" r="F245" s="1"/>
  <c i="16" r="F72" s="1"/>
  <c i="12" r="E245"/>
  <c i="16" r="E72" s="1"/>
  <c i="12" r="D245"/>
  <c i="16" r="D72" s="1"/>
  <c i="12" r="C245"/>
  <c i="16" r="C72" s="1"/>
  <c i="12" r="B245"/>
  <c i="16" r="B72" s="1"/>
  <c i="12" r="S244"/>
  <c i="12" r="F244" s="1"/>
  <c i="16" r="F71" s="1"/>
  <c i="12" r="E244"/>
  <c i="16" r="E71" s="1"/>
  <c i="12" r="D244"/>
  <c i="16" r="D71" s="1"/>
  <c i="12" r="C244"/>
  <c i="16" r="C71" s="1"/>
  <c i="12" r="B244"/>
  <c i="16" r="B71" s="1"/>
  <c i="12" r="S243"/>
  <c i="12" r="F243" s="1"/>
  <c i="16" r="F70" s="1"/>
  <c i="12" r="E243"/>
  <c i="16" r="E70" s="1"/>
  <c i="12" r="D243"/>
  <c i="16" r="D70" s="1"/>
  <c i="12" r="C243"/>
  <c i="16" r="C70" s="1"/>
  <c i="12" r="B243"/>
  <c i="16" r="B70" s="1"/>
  <c i="12" r="S242"/>
  <c i="12" r="F242" s="1"/>
  <c i="16" r="F69" s="1"/>
  <c i="12" r="E242"/>
  <c i="16" r="E69" s="1"/>
  <c i="12" r="D242"/>
  <c i="16" r="D69" s="1"/>
  <c i="12" r="C242"/>
  <c i="16" r="C69" s="1"/>
  <c i="12" r="B242"/>
  <c i="16" r="B69" s="1"/>
  <c i="12" r="S238"/>
  <c i="12" r="F238" s="1"/>
  <c i="12" r="E238"/>
  <c i="16" r="E43" s="1"/>
  <c i="12" r="D238"/>
  <c i="16" r="D43" s="1"/>
  <c i="12" r="C238"/>
  <c i="16" r="C43" s="1"/>
  <c i="12" r="B238"/>
  <c i="16" r="B43" s="1"/>
  <c i="12" r="S237"/>
  <c i="12" r="F237" s="1"/>
  <c i="12" r="E237"/>
  <c i="16" r="E42" s="1"/>
  <c i="12" r="D237"/>
  <c i="16" r="D42" s="1"/>
  <c i="12" r="C237"/>
  <c i="16" r="C42" s="1"/>
  <c i="12" r="B237"/>
  <c i="16" r="B42" s="1"/>
  <c i="12" r="S236"/>
  <c i="12" r="F236" s="1"/>
  <c i="12" r="E236"/>
  <c i="16" r="E41" s="1"/>
  <c i="12" r="D236"/>
  <c i="16" r="D41" s="1"/>
  <c i="12" r="C236"/>
  <c i="16" r="C41" s="1"/>
  <c i="12" r="B236"/>
  <c i="16" r="B41" s="1"/>
  <c i="12" r="S235"/>
  <c i="12" r="F235" s="1"/>
  <c i="12" r="E235"/>
  <c i="16" r="E40" s="1"/>
  <c i="12" r="D235"/>
  <c i="16" r="D40" s="1"/>
  <c i="12" r="C235"/>
  <c i="16" r="C40" s="1"/>
  <c i="12" r="B235"/>
  <c i="16" r="B40" s="1"/>
  <c i="12" r="S234"/>
  <c i="12" r="F234" s="1"/>
  <c i="12" r="E234"/>
  <c i="16" r="E39" s="1"/>
  <c i="12" r="D234"/>
  <c i="16" r="D39" s="1"/>
  <c i="12" r="C234"/>
  <c i="16" r="C39" s="1"/>
  <c i="12" r="B234"/>
  <c i="16" r="B39" s="1"/>
  <c i="12" r="S233"/>
  <c i="12" r="F233" s="1"/>
  <c i="12" r="E233"/>
  <c i="16" r="E38" s="1"/>
  <c i="12" r="D233"/>
  <c i="16" r="D38" s="1"/>
  <c i="12" r="C233"/>
  <c i="16" r="C38" s="1"/>
  <c i="12" r="B233"/>
  <c i="16" r="B38" s="1"/>
  <c i="12" r="S232"/>
  <c i="12" r="F232" s="1"/>
  <c i="12" r="E232"/>
  <c i="16" r="E37" s="1"/>
  <c i="12" r="D232"/>
  <c i="16" r="D37" s="1"/>
  <c i="12" r="C232"/>
  <c i="16" r="C37" s="1"/>
  <c i="12" r="B232"/>
  <c i="16" r="B37" s="1"/>
  <c i="12" r="W228"/>
  <c i="12" r="J228" s="1"/>
  <c i="16" r="K11" s="1"/>
  <c i="12" r="I228"/>
  <c i="16" r="J11" s="1"/>
  <c i="12" r="H228"/>
  <c i="16" r="I11" s="1"/>
  <c i="12" r="G228"/>
  <c i="16" r="G11" s="1"/>
  <c i="12" r="F228"/>
  <c i="16" r="F11" s="1"/>
  <c i="12" r="E228"/>
  <c i="16" r="E11" s="1"/>
  <c i="12" r="D228"/>
  <c i="16" r="D11" s="1"/>
  <c i="12" r="C228"/>
  <c i="16" r="C11" s="1"/>
  <c i="12" r="B228"/>
  <c i="16" r="B11" s="1"/>
  <c i="12" r="W227"/>
  <c i="12" r="J227" s="1"/>
  <c i="16" r="K10" s="1"/>
  <c i="12" r="I227"/>
  <c i="16" r="J10" s="1"/>
  <c i="12" r="H227"/>
  <c i="16" r="I10" s="1"/>
  <c i="12" r="G227"/>
  <c i="16" r="G10" s="1"/>
  <c i="12" r="F227"/>
  <c i="16" r="F10" s="1"/>
  <c i="12" r="E227"/>
  <c i="16" r="E10" s="1"/>
  <c i="12" r="D227"/>
  <c i="16" r="D10" s="1"/>
  <c i="12" r="C227"/>
  <c i="16" r="C10" s="1"/>
  <c i="12" r="B227"/>
  <c i="16" r="B10" s="1"/>
  <c i="12" r="W226"/>
  <c i="12" r="J226" s="1"/>
  <c i="16" r="K9" s="1"/>
  <c i="12" r="I226"/>
  <c i="16" r="J9" s="1"/>
  <c i="12" r="H226"/>
  <c i="16" r="I9" s="1"/>
  <c i="12" r="G226"/>
  <c i="16" r="G9" s="1"/>
  <c i="12" r="F226"/>
  <c i="16" r="F9" s="1"/>
  <c i="12" r="E226"/>
  <c i="16" r="E9" s="1"/>
  <c i="12" r="D226"/>
  <c i="16" r="D9" s="1"/>
  <c i="12" r="C226"/>
  <c i="16" r="C9" s="1"/>
  <c i="12" r="B226"/>
  <c i="16" r="B9" s="1"/>
  <c i="12" r="W225"/>
  <c i="12" r="J225" s="1"/>
  <c i="16" r="K8" s="1"/>
  <c i="12" r="I225"/>
  <c i="16" r="J8" s="1"/>
  <c i="12" r="H225"/>
  <c i="16" r="I8" s="1"/>
  <c i="12" r="G225"/>
  <c i="16" r="G8" s="1"/>
  <c i="12" r="F225"/>
  <c i="16" r="F8" s="1"/>
  <c i="12" r="E225"/>
  <c i="16" r="E8" s="1"/>
  <c i="12" r="D225"/>
  <c i="16" r="D8" s="1"/>
  <c i="12" r="C225"/>
  <c i="16" r="C8" s="1"/>
  <c i="12" r="B225"/>
  <c i="16" r="B8" s="1"/>
  <c i="12" r="W224"/>
  <c i="12" r="J224" s="1"/>
  <c i="16" r="K7" s="1"/>
  <c i="12" r="I224"/>
  <c i="16" r="J7" s="1"/>
  <c i="12" r="H224"/>
  <c i="16" r="I7" s="1"/>
  <c i="12" r="G224"/>
  <c i="16" r="G7" s="1"/>
  <c i="12" r="F224"/>
  <c i="16" r="F7" s="1"/>
  <c i="12" r="E224"/>
  <c i="16" r="E7" s="1"/>
  <c i="12" r="D224"/>
  <c i="16" r="D7" s="1"/>
  <c i="12" r="C224"/>
  <c i="16" r="C7" s="1"/>
  <c i="12" r="B224"/>
  <c i="16" r="B7" s="1"/>
  <c i="12" r="W223"/>
  <c i="12" r="J223" s="1"/>
  <c i="16" r="K6" s="1"/>
  <c i="12" r="I223"/>
  <c i="16" r="J6" s="1"/>
  <c i="12" r="H223"/>
  <c i="16" r="I6" s="1"/>
  <c i="12" r="G223"/>
  <c i="16" r="G6" s="1"/>
  <c i="12" r="F223"/>
  <c i="16" r="F6" s="1"/>
  <c i="12" r="E223"/>
  <c i="16" r="E6" s="1"/>
  <c i="12" r="D223"/>
  <c i="16" r="D6" s="1"/>
  <c i="12" r="C223"/>
  <c i="16" r="C6" s="1"/>
  <c i="12" r="B223"/>
  <c i="16" r="B6" s="1"/>
  <c i="12" r="W222"/>
  <c i="12" r="J222" s="1"/>
  <c i="16" r="K5" s="1"/>
  <c i="12" r="I222"/>
  <c i="16" r="J5" s="1"/>
  <c i="12" r="H222"/>
  <c i="16" r="I5" s="1"/>
  <c i="12" r="G222"/>
  <c i="16" r="G5" s="1"/>
  <c i="12" r="F222"/>
  <c i="16" r="F5" s="1"/>
  <c i="12" r="E222"/>
  <c i="16" r="E5" s="1"/>
  <c i="12" r="D222"/>
  <c i="16" r="D5" s="1"/>
  <c i="12" r="C222"/>
  <c i="16" r="C5" s="1"/>
  <c i="12" r="B222"/>
  <c i="16" r="B5" s="1"/>
  <c i="12" r="Y218"/>
  <c i="12" r="L218" s="1"/>
  <c i="12" r="K218"/>
  <c i="9" r="K115" s="1"/>
  <c i="12" r="J218"/>
  <c i="12" r="I218"/>
  <c i="9" r="I115" s="1"/>
  <c i="12" r="H218"/>
  <c i="9" r="H115" s="1"/>
  <c i="12" r="G218"/>
  <c i="9" r="G115" s="1"/>
  <c i="12" r="F218"/>
  <c i="9" r="F115" s="1"/>
  <c i="12" r="E218"/>
  <c i="9" r="E115" s="1"/>
  <c i="12" r="D218"/>
  <c i="9" r="D115" s="1"/>
  <c i="12" r="C218"/>
  <c i="9" r="C115" s="1"/>
  <c i="12" r="B218"/>
  <c i="9" r="B115" s="1"/>
  <c i="12" r="Y217"/>
  <c i="12" r="L217" s="1"/>
  <c i="12" r="K217"/>
  <c i="9" r="K114" s="1"/>
  <c i="12" r="J217"/>
  <c i="9" r="J114" s="1"/>
  <c i="12" r="I217"/>
  <c i="9" r="I114" s="1"/>
  <c i="12" r="H217"/>
  <c i="9" r="H114" s="1"/>
  <c i="12" r="G217"/>
  <c i="9" r="G114" s="1"/>
  <c i="12" r="F217"/>
  <c i="9" r="F114" s="1"/>
  <c i="12" r="E217"/>
  <c i="9" r="E114" s="1"/>
  <c i="12" r="D217"/>
  <c i="9" r="D114" s="1"/>
  <c i="12" r="C217"/>
  <c i="9" r="C114" s="1"/>
  <c i="12" r="B217"/>
  <c i="9" r="B114" s="1"/>
  <c i="12" r="Y216"/>
  <c i="12" r="L216" s="1"/>
  <c i="12" r="K216"/>
  <c i="9" r="K113" s="1"/>
  <c i="12" r="J216"/>
  <c i="9" r="J113" s="1"/>
  <c i="12" r="I216"/>
  <c i="9" r="I113" s="1"/>
  <c i="12" r="H216"/>
  <c i="12" r="G216"/>
  <c i="9" r="G113" s="1"/>
  <c i="12" r="F216"/>
  <c i="9" r="F113" s="1"/>
  <c i="12" r="E216"/>
  <c i="9" r="E113" s="1"/>
  <c i="12" r="D216"/>
  <c i="9" r="D113" s="1"/>
  <c i="12" r="C216"/>
  <c i="9" r="C113" s="1"/>
  <c i="12" r="B216"/>
  <c i="9" r="B113" s="1"/>
  <c i="12" r="Y215"/>
  <c i="12" r="L215" s="1"/>
  <c i="12" r="K215"/>
  <c i="9" r="K112" s="1"/>
  <c i="12" r="J215"/>
  <c i="9" r="J112" s="1"/>
  <c i="12" r="I215"/>
  <c i="9" r="I112" s="1"/>
  <c i="12" r="H215"/>
  <c i="9" r="H112" s="1"/>
  <c i="12" r="G215"/>
  <c i="9" r="G112" s="1"/>
  <c i="12" r="F215"/>
  <c i="12" r="E215"/>
  <c i="9" r="E112" s="1"/>
  <c i="12" r="D215"/>
  <c i="9" r="D112" s="1"/>
  <c i="12" r="C215"/>
  <c i="9" r="C112" s="1"/>
  <c i="12" r="B215"/>
  <c i="9" r="B112" s="1"/>
  <c i="12" r="Y214"/>
  <c i="12" r="L214" s="1"/>
  <c i="12" r="K214"/>
  <c i="9" r="K111" s="1"/>
  <c i="12" r="J214"/>
  <c i="9" r="J111" s="1"/>
  <c i="12" r="I214"/>
  <c i="9" r="I111" s="1"/>
  <c i="12" r="H214"/>
  <c i="9" r="H111" s="1"/>
  <c i="12" r="G214"/>
  <c i="12" r="F214"/>
  <c i="9" r="F111" s="1"/>
  <c i="12" r="E214"/>
  <c i="9" r="E111" s="1"/>
  <c i="12" r="D214"/>
  <c i="12" r="C214"/>
  <c i="12" r="B214"/>
  <c i="9" r="B111" s="1"/>
  <c i="12" r="Y213"/>
  <c i="12" r="L213" s="1"/>
  <c i="12" r="K213"/>
  <c i="12" r="J213"/>
  <c i="9" r="J110" s="1"/>
  <c i="12" r="I213"/>
  <c i="9" r="I110" s="1"/>
  <c i="12" r="H213"/>
  <c i="9" r="H110" s="1"/>
  <c i="12" r="G213"/>
  <c i="9" r="G110" s="1"/>
  <c i="12" r="F213"/>
  <c i="9" r="F110" s="1"/>
  <c i="12" r="E213"/>
  <c i="9" r="E110" s="1"/>
  <c i="12" r="D213"/>
  <c i="9" r="D110" s="1"/>
  <c i="12" r="C213"/>
  <c i="9" r="C110" s="1"/>
  <c i="12" r="B213"/>
  <c i="9" r="B110" s="1"/>
  <c i="12" r="Y212"/>
  <c i="12" r="L212" s="1"/>
  <c i="12" r="K212"/>
  <c i="9" r="K109" s="1"/>
  <c i="12" r="J212"/>
  <c i="9" r="J109" s="1"/>
  <c i="12" r="I212"/>
  <c i="9" r="I109" s="1"/>
  <c i="12" r="H212"/>
  <c i="9" r="H109" s="1"/>
  <c i="12" r="G212"/>
  <c i="9" r="G109" s="1"/>
  <c i="12" r="F212"/>
  <c i="9" r="F109" s="1"/>
  <c i="12" r="E212"/>
  <c i="9" r="E109" s="1"/>
  <c i="12" r="D212"/>
  <c i="9" r="D109" s="1"/>
  <c i="12" r="C212"/>
  <c i="9" r="C109" s="1"/>
  <c i="12" r="B212"/>
  <c i="9" r="B109" s="1"/>
  <c i="12" r="Y211"/>
  <c i="12" r="L211" s="1"/>
  <c i="12" r="K211"/>
  <c i="9" r="K108" s="1"/>
  <c i="12" r="J211"/>
  <c i="9" r="J108" s="1"/>
  <c i="12" r="I211"/>
  <c i="9" r="I108" s="1"/>
  <c i="12" r="H211"/>
  <c i="9" r="H108" s="1"/>
  <c i="12" r="G211"/>
  <c i="9" r="G108" s="1"/>
  <c i="12" r="F211"/>
  <c i="9" r="F108" s="1"/>
  <c i="12" r="E211"/>
  <c i="9" r="E108" s="1"/>
  <c i="12" r="D211"/>
  <c i="9" r="D108" s="1"/>
  <c i="12" r="C211"/>
  <c i="9" r="C108" s="1"/>
  <c i="12" r="B211"/>
  <c i="9" r="B108" s="1"/>
  <c i="12" r="S207"/>
  <c i="12" r="F207" s="1"/>
  <c i="9" r="F81" s="1"/>
  <c i="1" r="B41" s="1"/>
  <c i="12" r="E207"/>
  <c i="9" r="E81" s="1"/>
  <c i="12" r="D207"/>
  <c i="9" r="D81" s="1"/>
  <c i="12" r="C207"/>
  <c i="9" r="C81" s="1"/>
  <c i="12" r="B207"/>
  <c i="9" r="B81" s="1"/>
  <c i="12" r="S206"/>
  <c i="12" r="F206" s="1"/>
  <c i="9" r="F80" s="1"/>
  <c i="1" r="B40" s="1"/>
  <c i="12" r="E206"/>
  <c i="9" r="E80" s="1"/>
  <c i="12" r="D206"/>
  <c i="9" r="D80" s="1"/>
  <c i="12" r="C206"/>
  <c i="12" r="B206"/>
  <c i="9" r="B80" s="1"/>
  <c i="12" r="S205"/>
  <c i="12" r="F205" s="1"/>
  <c i="9" r="F79" s="1"/>
  <c i="1" r="B39" s="1"/>
  <c i="12" r="E205"/>
  <c i="9" r="E79" s="1"/>
  <c i="12" r="D205"/>
  <c i="9" r="D79" s="1"/>
  <c i="12" r="C205"/>
  <c i="9" r="C79" s="1"/>
  <c i="12" r="B205"/>
  <c i="9" r="B79" s="1"/>
  <c i="12" r="S204"/>
  <c i="12" r="F204" s="1"/>
  <c i="9" r="F78" s="1"/>
  <c i="1" r="B38" s="1"/>
  <c i="12" r="E204"/>
  <c i="9" r="E78" s="1"/>
  <c i="12" r="D204"/>
  <c i="12" r="C204"/>
  <c i="9" r="C78" s="1"/>
  <c i="12" r="B204"/>
  <c i="9" r="B78" s="1"/>
  <c i="12" r="S203"/>
  <c i="12" r="F203" s="1"/>
  <c i="9" r="F77" s="1"/>
  <c i="1" r="B37" s="1"/>
  <c i="12" r="E203"/>
  <c i="9" r="E77" s="1"/>
  <c i="12" r="D203"/>
  <c i="9" r="D77" s="1"/>
  <c i="12" r="C203"/>
  <c i="9" r="C77" s="1"/>
  <c i="12" r="B203"/>
  <c i="9" r="B77" s="1"/>
  <c i="12" r="S202"/>
  <c i="12" r="F202" s="1"/>
  <c i="9" r="F76" s="1"/>
  <c i="1" r="B36" s="1"/>
  <c i="12" r="E202"/>
  <c i="9" r="E76" s="1"/>
  <c i="12" r="D202"/>
  <c i="9" r="D76" s="1"/>
  <c i="12" r="C202"/>
  <c i="9" r="C76" s="1"/>
  <c i="12" r="B202"/>
  <c i="9" r="B76" s="1"/>
  <c i="12" r="S201"/>
  <c i="12" r="F201" s="1"/>
  <c i="9" r="F75" s="1"/>
  <c i="1" r="B35" s="1"/>
  <c i="12" r="E201"/>
  <c i="9" r="E75" s="1"/>
  <c i="12" r="D201"/>
  <c i="9" r="D75" s="1"/>
  <c i="12" r="C201"/>
  <c i="9" r="C75" s="1"/>
  <c i="12" r="B201"/>
  <c i="12" r="S200"/>
  <c i="12" r="F200" s="1"/>
  <c i="12" r="E200"/>
  <c i="9" r="E74" s="1"/>
  <c i="12" r="D200"/>
  <c i="9" r="D74" s="1"/>
  <c i="12" r="C200"/>
  <c i="9" r="C74" s="1"/>
  <c i="12" r="B200"/>
  <c i="9" r="B74" s="1"/>
  <c i="12" r="S196"/>
  <c i="12" r="F196" s="1"/>
  <c i="12" r="E196"/>
  <c i="9" r="E47" s="1"/>
  <c i="12" r="D196"/>
  <c i="9" r="D47" s="1"/>
  <c i="12" r="C196"/>
  <c i="9" r="C47" s="1"/>
  <c i="12" r="B196"/>
  <c i="9" r="B47" s="1"/>
  <c i="12" r="S195"/>
  <c i="12" r="F195" s="1"/>
  <c i="12" r="E195"/>
  <c i="9" r="E46" s="1"/>
  <c i="12" r="D195"/>
  <c i="9" r="D46" s="1"/>
  <c i="12" r="C195"/>
  <c i="9" r="C46" s="1"/>
  <c i="12" r="B195"/>
  <c i="9" r="B46" s="1"/>
  <c i="12" r="S194"/>
  <c i="12" r="F194" s="1"/>
  <c i="12" r="E194"/>
  <c i="9" r="E45" s="1"/>
  <c i="12" r="D194"/>
  <c i="9" r="D45" s="1"/>
  <c i="12" r="C194"/>
  <c i="9" r="C45" s="1"/>
  <c i="12" r="B194"/>
  <c i="9" r="B45" s="1"/>
  <c i="12" r="S193"/>
  <c i="12" r="F193" s="1"/>
  <c i="12" r="E193"/>
  <c i="9" r="E44" s="1"/>
  <c i="12" r="D193"/>
  <c i="9" r="D44" s="1"/>
  <c i="12" r="C193"/>
  <c i="9" r="C44" s="1"/>
  <c i="12" r="B193"/>
  <c i="9" r="B44" s="1"/>
  <c i="12" r="S192"/>
  <c i="12" r="F192" s="1"/>
  <c i="12" r="E192"/>
  <c i="9" r="E43" s="1"/>
  <c i="12" r="D192"/>
  <c i="12" r="C192"/>
  <c i="9" r="C43" s="1"/>
  <c i="12" r="B192"/>
  <c i="9" r="B43" s="1"/>
  <c i="12" r="S191"/>
  <c i="12" r="F191" s="1"/>
  <c i="12" r="E191"/>
  <c i="9" r="E42" s="1"/>
  <c i="12" r="D191"/>
  <c i="9" r="D42" s="1"/>
  <c i="12" r="C191"/>
  <c i="9" r="C42" s="1"/>
  <c i="12" r="B191"/>
  <c i="9" r="B42" s="1"/>
  <c i="12" r="S190"/>
  <c i="12" r="F190" s="1"/>
  <c i="12" r="E190"/>
  <c i="9" r="E41" s="1"/>
  <c i="12" r="D190"/>
  <c i="9" r="D41" s="1"/>
  <c i="12" r="C190"/>
  <c i="9" r="C41" s="1"/>
  <c i="12" r="B190"/>
  <c i="9" r="B41" s="1"/>
  <c i="12" r="S189"/>
  <c i="12" r="F189" s="1"/>
  <c i="12" r="E189"/>
  <c i="9" r="E40" s="1"/>
  <c i="12" r="D189"/>
  <c i="9" r="D40" s="1"/>
  <c i="12" r="C189"/>
  <c i="9" r="C40" s="1"/>
  <c i="12" r="B189"/>
  <c i="9" r="B40" s="1"/>
  <c i="12" r="W185"/>
  <c i="12" r="J185" s="1"/>
  <c i="9" r="K12" s="1"/>
  <c i="12" r="I185"/>
  <c i="12" r="H185"/>
  <c i="9" r="I12" s="1"/>
  <c i="18" r="I55" s="1"/>
  <c i="19" r="AA13" s="1"/>
  <c i="12" r="G185"/>
  <c i="9" r="G12" s="1"/>
  <c i="18" r="H55" s="1"/>
  <c i="19" r="Z13" s="1"/>
  <c i="12" r="F185"/>
  <c i="9" r="F12" s="1"/>
  <c i="12" r="E185"/>
  <c i="9" r="E12" s="1"/>
  <c i="18" r="F55" s="1"/>
  <c i="19" r="X13" s="1"/>
  <c i="12" r="D185"/>
  <c i="9" r="D12" s="1"/>
  <c i="18" r="E55" s="1"/>
  <c i="19" r="W13" s="1"/>
  <c i="12" r="C185"/>
  <c i="9" r="C12" s="1"/>
  <c i="18" r="D55" s="1"/>
  <c i="19" r="V13" s="1"/>
  <c i="12" r="B185"/>
  <c i="9" r="B12" s="1"/>
  <c i="18" r="C55" s="1"/>
  <c i="12" r="W184"/>
  <c i="12" r="J184" s="1"/>
  <c i="9" r="K11" s="1"/>
  <c i="12" r="I184"/>
  <c i="9" r="J11" s="1"/>
  <c i="12" r="H184"/>
  <c i="9" r="I11" s="1"/>
  <c i="18" r="I54" s="1"/>
  <c i="19" r="AA12" s="1"/>
  <c i="12" r="G184"/>
  <c i="9" r="G11" s="1"/>
  <c i="18" r="H54" s="1"/>
  <c i="19" r="Z12" s="1"/>
  <c i="12" r="F184"/>
  <c i="9" r="F11" s="1"/>
  <c i="12" r="E184"/>
  <c i="9" r="E11" s="1"/>
  <c i="12" r="D184"/>
  <c i="9" r="D11" s="1"/>
  <c i="12" r="C184"/>
  <c i="9" r="C11" s="1"/>
  <c i="18" r="D54" s="1"/>
  <c i="19" r="V12" s="1"/>
  <c i="12" r="B184"/>
  <c i="9" r="B11" s="1"/>
  <c i="18" r="C54" s="1"/>
  <c i="12" r="W183"/>
  <c i="12" r="J183" s="1"/>
  <c i="9" r="K10" s="1"/>
  <c i="12" r="I183"/>
  <c i="9" r="J10" s="1"/>
  <c i="12" r="H183"/>
  <c i="9" r="I10" s="1"/>
  <c i="18" r="I53" s="1"/>
  <c i="19" r="AA11" s="1"/>
  <c i="12" r="G183"/>
  <c i="9" r="G10" s="1"/>
  <c i="12" r="F183"/>
  <c i="12" r="E183"/>
  <c i="9" r="E10" s="1"/>
  <c i="18" r="F53" s="1"/>
  <c i="19" r="X11" s="1"/>
  <c i="12" r="D183"/>
  <c i="9" r="D10" s="1"/>
  <c i="18" r="E53" s="1"/>
  <c i="19" r="W11" s="1"/>
  <c i="12" r="C183"/>
  <c i="9" r="C10" s="1"/>
  <c i="18" r="D53" s="1"/>
  <c i="19" r="V11" s="1"/>
  <c i="12" r="B183"/>
  <c i="9" r="B10" s="1"/>
  <c i="18" r="C53" s="1"/>
  <c i="12" r="W182"/>
  <c i="12" r="J182" s="1"/>
  <c i="9" r="K9" s="1"/>
  <c i="12" r="I182"/>
  <c i="9" r="J9" s="1"/>
  <c i="18" r="J52" s="1"/>
  <c i="19" r="AB10" s="1"/>
  <c i="12" r="H182"/>
  <c i="12" r="G182"/>
  <c i="9" r="G9" s="1"/>
  <c i="18" r="H52" s="1"/>
  <c i="19" r="Z10" s="1"/>
  <c i="12" r="F182"/>
  <c i="9" r="F9" s="1"/>
  <c i="18" r="G52" s="1"/>
  <c i="19" r="Y10" s="1"/>
  <c i="12" r="E182"/>
  <c i="9" r="E9" s="1"/>
  <c i="18" r="F52" s="1"/>
  <c i="19" r="X10" s="1"/>
  <c i="12" r="D182"/>
  <c i="9" r="D9" s="1"/>
  <c i="18" r="E52" s="1"/>
  <c i="19" r="W10" s="1"/>
  <c i="12" r="C182"/>
  <c i="9" r="C9" s="1"/>
  <c i="18" r="D52" s="1"/>
  <c i="19" r="V10" s="1"/>
  <c i="12" r="B182"/>
  <c i="9" r="B9" s="1"/>
  <c i="18" r="C52" s="1"/>
  <c i="12" r="W181"/>
  <c i="12" r="J181" s="1"/>
  <c i="9" r="K8" s="1"/>
  <c i="12" r="I181"/>
  <c i="9" r="J8" s="1"/>
  <c i="18" r="J51" s="1"/>
  <c i="19" r="AB9" s="1"/>
  <c i="12" r="H181"/>
  <c i="9" r="I8" s="1"/>
  <c i="12" r="G181"/>
  <c i="9" r="G8" s="1"/>
  <c i="18" r="H51" s="1"/>
  <c i="19" r="Z9" s="1"/>
  <c i="12" r="F181"/>
  <c i="9" r="F8" s="1"/>
  <c i="18" r="G51" s="1"/>
  <c i="19" r="Y9" s="1"/>
  <c i="12" r="E181"/>
  <c i="9" r="E8" s="1"/>
  <c i="12" r="D181"/>
  <c i="9" r="D8" s="1"/>
  <c i="12" r="C181"/>
  <c i="9" r="C8" s="1"/>
  <c i="18" r="D51" s="1"/>
  <c i="19" r="V9" s="1"/>
  <c i="12" r="B181"/>
  <c i="9" r="B8" s="1"/>
  <c i="18" r="C51" s="1"/>
  <c i="12" r="W180"/>
  <c i="12" r="J180" s="1"/>
  <c i="9" r="K7" s="1"/>
  <c i="12" r="I180"/>
  <c i="9" r="J7" s="1"/>
  <c i="18" r="J50" s="1"/>
  <c i="19" r="AB8" s="1"/>
  <c i="12" r="H180"/>
  <c i="9" r="I7" s="1"/>
  <c i="12" r="G180"/>
  <c i="9" r="G7" s="1"/>
  <c i="12" r="F180"/>
  <c i="9" r="F7" s="1"/>
  <c i="18" r="G50" s="1"/>
  <c i="19" r="Y8" s="1"/>
  <c i="12" r="E180"/>
  <c i="9" r="E7" s="1"/>
  <c i="12" r="D180"/>
  <c i="12" r="C180"/>
  <c i="12" r="B180"/>
  <c i="12" r="W179"/>
  <c i="12" r="J179" s="1"/>
  <c i="9" r="K6" s="1"/>
  <c i="12" r="I179"/>
  <c i="9" r="J6" s="1"/>
  <c i="18" r="J49" s="1"/>
  <c i="19" r="AB7" s="1"/>
  <c i="12" r="H179"/>
  <c i="9" r="I6" s="1"/>
  <c i="18" r="I49" s="1"/>
  <c i="19" r="AA7" s="1"/>
  <c i="12" r="G179"/>
  <c i="12" r="F179"/>
  <c i="9" r="F6" s="1"/>
  <c i="18" r="G49" s="1"/>
  <c i="19" r="Y7" s="1"/>
  <c i="12" r="E179"/>
  <c i="9" r="E6" s="1"/>
  <c i="12" r="D179"/>
  <c i="9" r="D6" s="1"/>
  <c i="12" r="C179"/>
  <c i="9" r="C6" s="1"/>
  <c i="12" r="B179"/>
  <c i="9" r="B6" s="1"/>
  <c i="18" r="C49" s="1"/>
  <c i="12" r="W178"/>
  <c i="12" r="J178" s="1"/>
  <c i="9" r="K5" s="1"/>
  <c i="12" r="I178"/>
  <c i="9" r="J5" s="1"/>
  <c i="18" r="J48" s="1"/>
  <c i="19" r="AB6" s="1"/>
  <c i="12" r="H178"/>
  <c i="9" r="I5" s="1"/>
  <c i="12" r="G178"/>
  <c i="9" r="G5" s="1"/>
  <c i="12" r="F178"/>
  <c i="9" r="F5" s="1"/>
  <c i="12" r="E178"/>
  <c i="9" r="E5" s="1"/>
  <c i="12" r="D178"/>
  <c i="9" r="D5" s="1"/>
  <c i="12" r="C178"/>
  <c i="9" r="C5" s="1"/>
  <c i="12" r="B178"/>
  <c i="9" r="B5" s="1"/>
  <c i="18" r="C48" s="1"/>
  <c i="12" r="V174"/>
  <c i="12" r="I174" s="1"/>
  <c i="8" r="I71" s="1"/>
  <c i="12" r="H174"/>
  <c i="8" r="H71" s="1"/>
  <c i="12" r="G174"/>
  <c i="8" r="G71" s="1"/>
  <c i="12" r="F174"/>
  <c i="8" r="F71" s="1"/>
  <c i="12" r="E174"/>
  <c i="8" r="E71" s="1"/>
  <c i="12" r="D174"/>
  <c i="8" r="D71" s="1"/>
  <c i="12" r="C174"/>
  <c i="8" r="C71" s="1"/>
  <c i="12" r="B174"/>
  <c i="8" r="B71" s="1"/>
  <c i="12" r="V173"/>
  <c i="12" r="I173" s="1"/>
  <c i="8" r="I70" s="1"/>
  <c i="12" r="H173"/>
  <c i="8" r="H70" s="1"/>
  <c i="12" r="G173"/>
  <c i="8" r="G70" s="1"/>
  <c i="12" r="F173"/>
  <c i="8" r="F70" s="1"/>
  <c i="12" r="E173"/>
  <c i="8" r="E70" s="1"/>
  <c i="12" r="D173"/>
  <c i="8" r="D70" s="1"/>
  <c i="12" r="C173"/>
  <c i="8" r="C70" s="1"/>
  <c i="12" r="B173"/>
  <c i="8" r="B70" s="1"/>
  <c i="12" r="V172"/>
  <c i="12" r="I172" s="1"/>
  <c i="8" r="I69" s="1"/>
  <c i="12" r="H172"/>
  <c i="8" r="H69" s="1"/>
  <c i="12" r="G172"/>
  <c i="8" r="G69" s="1"/>
  <c i="12" r="F172"/>
  <c i="8" r="F69" s="1"/>
  <c i="12" r="E172"/>
  <c i="8" r="E69" s="1"/>
  <c i="12" r="D172"/>
  <c i="8" r="D69" s="1"/>
  <c i="12" r="C172"/>
  <c i="8" r="C69" s="1"/>
  <c i="12" r="B172"/>
  <c i="8" r="B69" s="1"/>
  <c i="12" r="V171"/>
  <c i="12" r="I171" s="1"/>
  <c i="8" r="I68" s="1"/>
  <c i="12" r="H171"/>
  <c i="8" r="H68" s="1"/>
  <c i="12" r="G171"/>
  <c i="8" r="G68" s="1"/>
  <c i="12" r="F171"/>
  <c i="8" r="F68" s="1"/>
  <c i="12" r="E171"/>
  <c i="8" r="E68" s="1"/>
  <c i="12" r="D171"/>
  <c i="8" r="D68" s="1"/>
  <c i="12" r="C171"/>
  <c i="8" r="C68" s="1"/>
  <c i="12" r="B171"/>
  <c i="8" r="B68" s="1"/>
  <c i="12" r="V170"/>
  <c i="12" r="I170" s="1"/>
  <c i="8" r="I67" s="1"/>
  <c i="12" r="H170"/>
  <c i="8" r="H67" s="1"/>
  <c i="12" r="G170"/>
  <c i="8" r="G67" s="1"/>
  <c i="12" r="F170"/>
  <c i="8" r="F67" s="1"/>
  <c i="12" r="E170"/>
  <c i="8" r="E67" s="1"/>
  <c i="12" r="D170"/>
  <c i="8" r="D67" s="1"/>
  <c i="12" r="C170"/>
  <c i="8" r="C67" s="1"/>
  <c i="12" r="B170"/>
  <c i="8" r="B67" s="1"/>
  <c i="12" r="V169"/>
  <c i="12" r="I169" s="1"/>
  <c i="8" r="I66" s="1"/>
  <c i="12" r="H169"/>
  <c i="8" r="H66" s="1"/>
  <c i="12" r="G169"/>
  <c i="8" r="G66" s="1"/>
  <c i="12" r="F169"/>
  <c i="8" r="F66" s="1"/>
  <c i="12" r="E169"/>
  <c i="8" r="E66" s="1"/>
  <c i="12" r="D169"/>
  <c i="8" r="D66" s="1"/>
  <c i="12" r="C169"/>
  <c i="8" r="C66" s="1"/>
  <c i="12" r="B169"/>
  <c i="8" r="B66" s="1"/>
  <c i="12" r="V168"/>
  <c i="12" r="I168" s="1"/>
  <c i="8" r="I65" s="1"/>
  <c i="12" r="H168"/>
  <c i="8" r="H65" s="1"/>
  <c i="12" r="G168"/>
  <c i="8" r="G65" s="1"/>
  <c i="12" r="F168"/>
  <c i="8" r="F65" s="1"/>
  <c i="12" r="E168"/>
  <c i="8" r="E65" s="1"/>
  <c i="12" r="D168"/>
  <c i="8" r="D65" s="1"/>
  <c i="12" r="C168"/>
  <c i="8" r="C65" s="1"/>
  <c i="12" r="B168"/>
  <c i="8" r="B65" s="1"/>
  <c i="12" r="V164"/>
  <c i="12" r="I164" s="1"/>
  <c i="8" r="I41" s="1"/>
  <c i="12" r="H164"/>
  <c i="8" r="H41" s="1"/>
  <c i="12" r="G164"/>
  <c i="12" r="F164"/>
  <c i="8" r="F41" s="1"/>
  <c i="12" r="E164"/>
  <c i="8" r="E41" s="1"/>
  <c i="12" r="D164"/>
  <c i="12" r="C164"/>
  <c i="8" r="C41" s="1"/>
  <c i="12" r="B164"/>
  <c i="12" r="V163"/>
  <c i="12" r="I163" s="1"/>
  <c i="8" r="I40" s="1"/>
  <c i="12" r="H163"/>
  <c i="8" r="H40" s="1"/>
  <c i="12" r="G163"/>
  <c i="8" r="G40" s="1"/>
  <c i="12" r="F163"/>
  <c i="8" r="F40" s="1"/>
  <c i="12" r="E163"/>
  <c i="8" r="E40" s="1"/>
  <c i="12" r="D163"/>
  <c i="12" r="C163"/>
  <c i="8" r="C40" s="1"/>
  <c i="12" r="B163"/>
  <c i="8" r="B40" s="1"/>
  <c i="12" r="V162"/>
  <c i="12" r="I162" s="1"/>
  <c i="8" r="I39" s="1"/>
  <c i="12" r="H162"/>
  <c i="8" r="H39" s="1"/>
  <c i="12" r="G162"/>
  <c i="8" r="G39" s="1"/>
  <c i="12" r="F162"/>
  <c i="12" r="E162"/>
  <c i="8" r="E39" s="1"/>
  <c i="12" r="D162"/>
  <c i="8" r="D39" s="1"/>
  <c i="12" r="C162"/>
  <c i="8" r="C39" s="1"/>
  <c i="12" r="B162"/>
  <c i="8" r="B39" s="1"/>
  <c i="12" r="V161"/>
  <c i="12" r="I161" s="1"/>
  <c i="8" r="I38" s="1"/>
  <c i="12" r="H161"/>
  <c i="12" r="G161"/>
  <c i="8" r="G38" s="1"/>
  <c i="12" r="F161"/>
  <c i="8" r="F38" s="1"/>
  <c i="12" r="E161"/>
  <c i="8" r="E38" s="1"/>
  <c i="12" r="D161"/>
  <c i="8" r="D38" s="1"/>
  <c i="12" r="C161"/>
  <c i="12" r="B161"/>
  <c i="12" r="V160"/>
  <c i="12" r="I160" s="1"/>
  <c i="8" r="I37" s="1"/>
  <c i="12" r="H160"/>
  <c i="8" r="H37" s="1"/>
  <c i="12" r="G160"/>
  <c i="8" r="G37" s="1"/>
  <c i="12" r="F160"/>
  <c i="8" r="F37" s="1"/>
  <c i="12" r="E160"/>
  <c i="8" r="E37" s="1"/>
  <c i="12" r="D160"/>
  <c i="8" r="D37" s="1"/>
  <c i="12" r="C160"/>
  <c i="8" r="C37" s="1"/>
  <c i="12" r="B160"/>
  <c i="8" r="B37" s="1"/>
  <c i="12" r="V159"/>
  <c i="12" r="I159" s="1"/>
  <c i="12" r="H159"/>
  <c i="8" r="H36" s="1"/>
  <c i="12" r="G159"/>
  <c i="8" r="G36" s="1"/>
  <c i="12" r="F159"/>
  <c i="8" r="F36" s="1"/>
  <c i="12" r="E159"/>
  <c i="8" r="E36" s="1"/>
  <c i="12" r="D159"/>
  <c i="8" r="D36" s="1"/>
  <c i="12" r="C159"/>
  <c i="12" r="B159"/>
  <c i="8" r="B36" s="1"/>
  <c i="12" r="V158"/>
  <c i="12" r="I158" s="1"/>
  <c i="8" r="I35" s="1"/>
  <c i="12" r="H158"/>
  <c i="8" r="H35" s="1"/>
  <c i="12" r="G158"/>
  <c i="8" r="G35" s="1"/>
  <c i="12" r="F158"/>
  <c i="8" r="F35" s="1"/>
  <c i="12" r="E158"/>
  <c i="8" r="E35" s="1"/>
  <c i="12" r="D158"/>
  <c i="12" r="C158"/>
  <c i="8" r="C35" s="1"/>
  <c i="12" r="B158"/>
  <c i="8" r="B35" s="1"/>
  <c i="12" r="V154"/>
  <c i="12" r="I154" s="1"/>
  <c i="8" r="I11" s="1"/>
  <c i="12" r="H154"/>
  <c i="8" r="H11" s="1"/>
  <c i="12" r="G154"/>
  <c i="8" r="G11" s="1"/>
  <c i="12" r="F154"/>
  <c i="8" r="F11" s="1"/>
  <c i="12" r="E154"/>
  <c i="8" r="E11" s="1"/>
  <c i="12" r="D154"/>
  <c i="8" r="D11" s="1"/>
  <c i="12" r="C154"/>
  <c i="8" r="C11" s="1"/>
  <c i="12" r="B154"/>
  <c i="8" r="B11" s="1"/>
  <c i="12" r="V153"/>
  <c i="12" r="I153" s="1"/>
  <c i="8" r="I10" s="1"/>
  <c i="12" r="H153"/>
  <c i="8" r="H10" s="1"/>
  <c i="12" r="G153"/>
  <c i="8" r="G10" s="1"/>
  <c i="12" r="F153"/>
  <c i="8" r="F10" s="1"/>
  <c i="12" r="E153"/>
  <c i="8" r="E10" s="1"/>
  <c i="12" r="D153"/>
  <c i="8" r="D10" s="1"/>
  <c i="12" r="C153"/>
  <c i="8" r="C10" s="1"/>
  <c i="12" r="B153"/>
  <c i="8" r="B10" s="1"/>
  <c i="12" r="V152"/>
  <c i="12" r="I152" s="1"/>
  <c i="8" r="I9" s="1"/>
  <c i="12" r="H152"/>
  <c i="8" r="H9" s="1"/>
  <c i="12" r="G152"/>
  <c i="8" r="G9" s="1"/>
  <c i="12" r="F152"/>
  <c i="8" r="F9" s="1"/>
  <c i="12" r="E152"/>
  <c i="8" r="E9" s="1"/>
  <c i="12" r="D152"/>
  <c i="8" r="D9" s="1"/>
  <c i="12" r="C152"/>
  <c i="8" r="C9" s="1"/>
  <c i="12" r="B152"/>
  <c i="8" r="B9" s="1"/>
  <c i="12" r="V151"/>
  <c i="12" r="I151" s="1"/>
  <c i="8" r="I8" s="1"/>
  <c i="12" r="H151"/>
  <c i="8" r="H8" s="1"/>
  <c i="12" r="G151"/>
  <c i="8" r="G8" s="1"/>
  <c i="12" r="F151"/>
  <c i="8" r="F8" s="1"/>
  <c i="12" r="E151"/>
  <c i="8" r="E8" s="1"/>
  <c i="12" r="D151"/>
  <c i="8" r="D8" s="1"/>
  <c i="12" r="C151"/>
  <c i="8" r="C8" s="1"/>
  <c i="12" r="B151"/>
  <c i="8" r="B8" s="1"/>
  <c i="12" r="V150"/>
  <c i="12" r="I150" s="1"/>
  <c i="8" r="I7" s="1"/>
  <c i="12" r="H150"/>
  <c i="8" r="H7" s="1"/>
  <c i="12" r="G150"/>
  <c i="8" r="G7" s="1"/>
  <c i="12" r="F150"/>
  <c i="8" r="F7" s="1"/>
  <c i="12" r="E150"/>
  <c i="8" r="E7" s="1"/>
  <c i="12" r="D150"/>
  <c i="8" r="D7" s="1"/>
  <c i="12" r="C150"/>
  <c i="8" r="C7" s="1"/>
  <c i="12" r="B150"/>
  <c i="8" r="B7" s="1"/>
  <c i="12" r="V149"/>
  <c i="12" r="I149" s="1"/>
  <c i="8" r="I6" s="1"/>
  <c i="12" r="H149"/>
  <c i="8" r="H6" s="1"/>
  <c i="12" r="G149"/>
  <c i="8" r="G6" s="1"/>
  <c i="12" r="F149"/>
  <c i="8" r="F6" s="1"/>
  <c i="12" r="E149"/>
  <c i="8" r="E6" s="1"/>
  <c i="12" r="D149"/>
  <c i="8" r="D6" s="1"/>
  <c i="12" r="C149"/>
  <c i="8" r="C6" s="1"/>
  <c i="12" r="B149"/>
  <c i="8" r="B6" s="1"/>
  <c i="12" r="V148"/>
  <c i="12" r="I148" s="1"/>
  <c i="8" r="I5" s="1"/>
  <c i="12" r="H148"/>
  <c i="8" r="H5" s="1"/>
  <c i="12" r="G148"/>
  <c i="8" r="G5" s="1"/>
  <c i="12" r="F148"/>
  <c i="8" r="F5" s="1"/>
  <c i="12" r="E148"/>
  <c i="8" r="E5" s="1"/>
  <c i="12" r="D148"/>
  <c i="8" r="D5" s="1"/>
  <c i="12" r="C148"/>
  <c i="8" r="C5" s="1"/>
  <c i="12" r="B148"/>
  <c i="8" r="B5" s="1"/>
  <c i="12" r="Q142"/>
  <c i="12" r="D142" s="1"/>
  <c i="18" r="C138" s="1"/>
  <c i="12" r="C142"/>
  <c i="12" r="B142"/>
  <c i="12" r="Q141"/>
  <c i="12" r="D141" s="1"/>
  <c i="12" r="C141"/>
  <c i="12" r="B141"/>
  <c i="12" r="Q140"/>
  <c i="12" r="D140" s="1"/>
  <c i="18" r="C136" s="1"/>
  <c i="12" r="C140"/>
  <c i="12" r="B140"/>
  <c i="12" r="Q139"/>
  <c i="12" r="D139" s="1"/>
  <c i="12" r="C139"/>
  <c i="12" r="B139"/>
  <c i="12" r="Q138"/>
  <c i="12" r="D138" s="1"/>
  <c i="18" r="C134" s="1"/>
  <c i="12" r="C138"/>
  <c i="12" r="B138"/>
  <c i="12" r="Q137"/>
  <c i="12" r="D137" s="1"/>
  <c i="18" r="C133" s="1"/>
  <c i="12" r="C137"/>
  <c i="12" r="B137"/>
  <c i="12" r="Q136"/>
  <c i="12" r="D136" s="1"/>
  <c i="18" r="C132" s="1"/>
  <c i="12" r="C136"/>
  <c i="12" r="B136"/>
  <c i="12" r="Q132"/>
  <c i="12" r="D132" s="1"/>
  <c i="12" r="C132"/>
  <c i="12" r="B132"/>
  <c i="12" r="Q131"/>
  <c i="12" r="D131" s="1"/>
  <c i="12" r="C131"/>
  <c i="12" r="B131"/>
  <c i="12" r="Q130"/>
  <c i="12" r="D130" s="1"/>
  <c i="12" r="C130"/>
  <c i="12" r="B130"/>
  <c i="12" r="Q129"/>
  <c i="12" r="D129" s="1"/>
  <c i="12" r="C129"/>
  <c i="12" r="B129"/>
  <c i="12" r="W125"/>
  <c i="12" r="J125" s="1"/>
  <c i="12" r="I125"/>
  <c i="12" r="H125"/>
  <c i="12" r="G125"/>
  <c i="12" r="F125"/>
  <c i="12" r="E125"/>
  <c i="12" r="D125"/>
  <c i="12" r="C125"/>
  <c i="12" r="B125"/>
  <c i="12" r="W124"/>
  <c i="12" r="J124" s="1"/>
  <c i="12" r="I124"/>
  <c i="12" r="H124"/>
  <c i="12" r="G124"/>
  <c i="12" r="F124"/>
  <c i="12" r="E124"/>
  <c i="12" r="D124"/>
  <c i="12" r="C124"/>
  <c i="12" r="B124"/>
  <c i="12" r="W123"/>
  <c i="12" r="J123" s="1"/>
  <c i="12" r="I123"/>
  <c i="12" r="H123"/>
  <c i="12" r="G123"/>
  <c i="12" r="F123"/>
  <c i="12" r="E123"/>
  <c i="12" r="D123"/>
  <c i="12" r="C123"/>
  <c i="12" r="B123"/>
  <c i="12" r="W122"/>
  <c i="12" r="J122" s="1"/>
  <c i="12" r="I122"/>
  <c i="12" r="H122"/>
  <c i="12" r="G122"/>
  <c i="12" r="F122"/>
  <c i="12" r="E122"/>
  <c i="12" r="D122"/>
  <c i="12" r="C122"/>
  <c i="12" r="B122"/>
  <c i="12" r="W118"/>
  <c i="12" r="J118" s="1"/>
  <c i="12" r="I118"/>
  <c i="12" r="H118"/>
  <c i="12" r="G118"/>
  <c i="12" r="F118"/>
  <c i="12" r="E118"/>
  <c i="12" r="D118"/>
  <c i="12" r="C118"/>
  <c i="12" r="B118"/>
  <c i="12" r="W117"/>
  <c i="12" r="J117" s="1"/>
  <c i="12" r="I117"/>
  <c i="12" r="H117"/>
  <c i="12" r="G117"/>
  <c i="12" r="F117"/>
  <c i="12" r="E117"/>
  <c i="12" r="D117"/>
  <c i="12" r="C117"/>
  <c i="12" r="B117"/>
  <c i="12" r="W116"/>
  <c i="12" r="J116" s="1"/>
  <c i="12" r="I116"/>
  <c i="12" r="H116"/>
  <c i="12" r="G116"/>
  <c i="12" r="F116"/>
  <c i="12" r="E116"/>
  <c i="12" r="D116"/>
  <c i="12" r="C116"/>
  <c i="12" r="B116"/>
  <c i="12" r="W115"/>
  <c i="12" r="J115" s="1"/>
  <c i="12" r="I115"/>
  <c i="12" r="H115"/>
  <c i="12" r="G115"/>
  <c i="12" r="F115"/>
  <c i="12" r="E115"/>
  <c i="12" r="D115"/>
  <c i="12" r="C115"/>
  <c i="12" r="B115"/>
  <c i="12" r="W111"/>
  <c i="12" r="J111" s="1"/>
  <c i="12" r="I111"/>
  <c i="12" r="H111"/>
  <c i="12" r="G111"/>
  <c i="12" r="F111"/>
  <c i="12" r="E111"/>
  <c i="12" r="D111"/>
  <c i="12" r="C111"/>
  <c i="12" r="B111"/>
  <c i="12" r="W110"/>
  <c i="12" r="J110" s="1"/>
  <c i="12" r="I110"/>
  <c i="12" r="H110"/>
  <c i="12" r="G110"/>
  <c i="12" r="F110"/>
  <c i="12" r="E110"/>
  <c i="12" r="D110"/>
  <c i="12" r="C110"/>
  <c i="12" r="B110"/>
  <c i="12" r="W109"/>
  <c i="12" r="J109" s="1"/>
  <c i="12" r="I109"/>
  <c i="12" r="H109"/>
  <c i="12" r="G109"/>
  <c i="12" r="F109"/>
  <c i="12" r="E109"/>
  <c i="12" r="D109"/>
  <c i="12" r="C109"/>
  <c i="12" r="B109"/>
  <c i="12" r="W108"/>
  <c i="12" r="J108" s="1"/>
  <c i="12" r="I108"/>
  <c i="12" r="H108"/>
  <c i="12" r="G108"/>
  <c i="12" r="F108"/>
  <c i="12" r="E108"/>
  <c i="12" r="D108"/>
  <c i="12" r="C108"/>
  <c i="12" r="B108"/>
  <c i="12" r="W104"/>
  <c i="12" r="J104" s="1"/>
  <c i="12" r="I104"/>
  <c i="12" r="H104"/>
  <c i="12" r="G104"/>
  <c i="12" r="F104"/>
  <c i="12" r="E104"/>
  <c i="12" r="D104"/>
  <c i="12" r="C104"/>
  <c i="12" r="B104"/>
  <c i="12" r="W103"/>
  <c i="12" r="J103" s="1"/>
  <c i="12" r="I103"/>
  <c i="12" r="H103"/>
  <c i="12" r="G103"/>
  <c i="12" r="F103"/>
  <c i="12" r="E103"/>
  <c i="12" r="D103"/>
  <c i="12" r="C103"/>
  <c i="12" r="B103"/>
  <c i="12" r="W102"/>
  <c i="12" r="J102" s="1"/>
  <c i="12" r="I102"/>
  <c i="12" r="H102"/>
  <c i="12" r="G102"/>
  <c i="12" r="F102"/>
  <c i="12" r="E102"/>
  <c i="12" r="D102"/>
  <c i="12" r="C102"/>
  <c i="12" r="B102"/>
  <c i="12" r="W101"/>
  <c i="12" r="J101" s="1"/>
  <c i="12" r="I101"/>
  <c i="12" r="H101"/>
  <c i="12" r="G101"/>
  <c i="12" r="F101"/>
  <c i="12" r="E101"/>
  <c i="12" r="D101"/>
  <c i="12" r="C101"/>
  <c i="12" r="B101"/>
  <c i="12" r="W97"/>
  <c i="12" r="J97" s="1"/>
  <c i="12" r="I97"/>
  <c i="12" r="H97"/>
  <c i="12" r="G97"/>
  <c i="12" r="F97"/>
  <c i="12" r="E97"/>
  <c i="12" r="D97"/>
  <c i="12" r="C97"/>
  <c i="12" r="B97"/>
  <c i="12" r="W96"/>
  <c i="12" r="J96" s="1"/>
  <c i="12" r="I96"/>
  <c i="12" r="H96"/>
  <c i="12" r="G96"/>
  <c i="12" r="F96"/>
  <c i="12" r="E96"/>
  <c i="12" r="D96"/>
  <c i="12" r="C96"/>
  <c i="12" r="B96"/>
  <c i="12" r="W95"/>
  <c i="12" r="J95" s="1"/>
  <c i="12" r="I95"/>
  <c i="12" r="H95"/>
  <c i="12" r="G95"/>
  <c i="12" r="F95"/>
  <c i="12" r="E95"/>
  <c i="12" r="D95"/>
  <c i="12" r="C95"/>
  <c i="12" r="B95"/>
  <c i="12" r="W94"/>
  <c i="12" r="J94" s="1"/>
  <c i="12" r="I94"/>
  <c i="12" r="H94"/>
  <c i="12" r="G94"/>
  <c i="12" r="F94"/>
  <c i="12" r="E94"/>
  <c i="12" r="D94"/>
  <c i="12" r="C94"/>
  <c i="12" r="B94"/>
  <c i="12" r="W90"/>
  <c i="12" r="J90" s="1"/>
  <c i="12" r="I90"/>
  <c i="12" r="H90"/>
  <c i="12" r="G90"/>
  <c i="12" r="F90"/>
  <c i="12" r="E90"/>
  <c i="12" r="D90"/>
  <c i="12" r="C90"/>
  <c i="12" r="B90"/>
  <c i="12" r="W89"/>
  <c i="12" r="J89" s="1"/>
  <c i="12" r="I89"/>
  <c i="12" r="H89"/>
  <c i="12" r="G89"/>
  <c i="12" r="F89"/>
  <c i="12" r="E89"/>
  <c i="12" r="D89"/>
  <c i="12" r="C89"/>
  <c i="12" r="B89"/>
  <c i="12" r="W88"/>
  <c i="12" r="J88" s="1"/>
  <c i="12" r="I88"/>
  <c i="12" r="H88"/>
  <c i="12" r="G88"/>
  <c i="12" r="F88"/>
  <c i="12" r="E88"/>
  <c i="12" r="D88"/>
  <c i="12" r="C88"/>
  <c i="12" r="B88"/>
  <c i="12" r="W87"/>
  <c i="12" r="J87" s="1"/>
  <c i="12" r="I87"/>
  <c i="12" r="H87"/>
  <c i="12" r="G87"/>
  <c i="12" r="F87"/>
  <c i="12" r="E87"/>
  <c i="12" r="D87"/>
  <c i="12" r="C87"/>
  <c i="12" r="B87"/>
  <c i="12" r="W83"/>
  <c i="12" r="J83" s="1"/>
  <c i="12" r="I83"/>
  <c i="12" r="H83"/>
  <c i="12" r="G83"/>
  <c i="12" r="F83"/>
  <c i="12" r="E83"/>
  <c i="12" r="D83"/>
  <c i="12" r="C83"/>
  <c i="12" r="B83"/>
  <c i="12" r="W82"/>
  <c i="12" r="J82" s="1"/>
  <c i="12" r="I82"/>
  <c i="12" r="H82"/>
  <c i="12" r="G82"/>
  <c i="12" r="F82"/>
  <c i="12" r="E82"/>
  <c i="12" r="D82"/>
  <c i="12" r="C82"/>
  <c i="12" r="B82"/>
  <c i="12" r="W81"/>
  <c i="12" r="J81" s="1"/>
  <c i="12" r="I81"/>
  <c i="12" r="H81"/>
  <c i="12" r="G81"/>
  <c i="12" r="F81"/>
  <c i="12" r="E81"/>
  <c i="12" r="D81"/>
  <c i="12" r="C81"/>
  <c i="12" r="B81"/>
  <c i="12" r="W80"/>
  <c i="12" r="J80" s="1"/>
  <c i="12" r="I80"/>
  <c i="12" r="H80"/>
  <c i="12" r="G80"/>
  <c i="12" r="F80"/>
  <c i="12" r="E80"/>
  <c i="12" r="D80"/>
  <c i="12" r="C80"/>
  <c i="12" r="B80"/>
  <c i="12" r="W74"/>
  <c i="12" r="J74" s="1"/>
  <c i="12" r="I74"/>
  <c i="12" r="H74"/>
  <c i="12" r="G74"/>
  <c i="12" r="F74"/>
  <c i="12" r="E74"/>
  <c i="12" r="D74"/>
  <c i="12" r="C74"/>
  <c i="12" r="B74"/>
  <c i="12" r="W73"/>
  <c i="12" r="I73"/>
  <c i="12" r="H73"/>
  <c i="12" r="G73"/>
  <c i="12" r="F73"/>
  <c i="12" r="E73"/>
  <c i="12" r="D73"/>
  <c i="12" r="C73"/>
  <c i="12" r="B73"/>
  <c i="12" r="W72"/>
  <c i="12" r="I72"/>
  <c i="12" r="H72"/>
  <c i="12" r="G72"/>
  <c i="12" r="F72"/>
  <c i="12" r="E72"/>
  <c i="12" r="D72"/>
  <c i="12" r="C72"/>
  <c i="12" r="B72"/>
  <c i="12" r="W71"/>
  <c i="12" r="J71" s="1"/>
  <c i="12" r="I71"/>
  <c i="12" r="H71"/>
  <c i="12" r="G71"/>
  <c i="12" r="F71"/>
  <c i="12" r="E71"/>
  <c i="12" r="D71"/>
  <c i="12" r="C71"/>
  <c i="12" r="B71"/>
  <c i="12" r="W67"/>
  <c i="12" r="J67" s="1"/>
  <c i="12" r="I67"/>
  <c i="12" r="H67"/>
  <c i="12" r="G67"/>
  <c i="12" r="F67"/>
  <c i="12" r="E67"/>
  <c i="12" r="D67"/>
  <c i="12" r="C67"/>
  <c i="12" r="B67"/>
  <c i="12" r="W66"/>
  <c i="12" r="I66"/>
  <c i="12" r="H66"/>
  <c i="12" r="G66"/>
  <c i="12" r="F66"/>
  <c i="12" r="E66"/>
  <c i="12" r="D66"/>
  <c i="12" r="C66"/>
  <c i="12" r="B66"/>
  <c i="12" r="W65"/>
  <c i="12" r="J65" s="1"/>
  <c i="12" r="I65"/>
  <c i="12" r="H65"/>
  <c i="12" r="G65"/>
  <c i="12" r="F65"/>
  <c i="12" r="E65"/>
  <c i="12" r="D65"/>
  <c i="12" r="C65"/>
  <c i="12" r="B65"/>
  <c i="12" r="W64"/>
  <c i="12" r="J64" s="1"/>
  <c i="12" r="I64"/>
  <c i="12" r="H64"/>
  <c i="12" r="G64"/>
  <c i="12" r="F64"/>
  <c i="12" r="E64"/>
  <c i="12" r="D64"/>
  <c i="12" r="C64"/>
  <c i="12" r="B64"/>
  <c i="12" r="W60"/>
  <c i="12" r="J60" s="1"/>
  <c i="12" r="I60"/>
  <c i="12" r="H60"/>
  <c i="12" r="G60"/>
  <c i="12" r="F60"/>
  <c i="12" r="E60"/>
  <c i="12" r="D60"/>
  <c i="12" r="C60"/>
  <c i="12" r="B60"/>
  <c i="12" r="W59"/>
  <c i="12" r="J59" s="1"/>
  <c i="12" r="I59"/>
  <c i="12" r="H59"/>
  <c i="12" r="G59"/>
  <c i="12" r="F59"/>
  <c i="12" r="E59"/>
  <c i="12" r="D59"/>
  <c i="12" r="C59"/>
  <c i="12" r="B59"/>
  <c i="12" r="W58"/>
  <c i="12" r="J58" s="1"/>
  <c i="12" r="I58"/>
  <c i="12" r="H58"/>
  <c i="12" r="G58"/>
  <c i="12" r="F58"/>
  <c i="12" r="E58"/>
  <c i="12" r="D58"/>
  <c i="12" r="C58"/>
  <c i="12" r="B58"/>
  <c i="12" r="W57"/>
  <c i="12" r="J57" s="1"/>
  <c i="12" r="I57"/>
  <c i="12" r="H57"/>
  <c i="12" r="G57"/>
  <c i="12" r="F57"/>
  <c i="12" r="E57"/>
  <c i="12" r="D57"/>
  <c i="12" r="C57"/>
  <c i="12" r="B57"/>
  <c i="12" r="W53"/>
  <c i="12" r="J53" s="1"/>
  <c i="12" r="I53"/>
  <c i="12" r="H53"/>
  <c i="12" r="G53"/>
  <c i="12" r="F53"/>
  <c i="12" r="E53"/>
  <c i="12" r="D53"/>
  <c i="12" r="C53"/>
  <c i="12" r="B53"/>
  <c i="12" r="W52"/>
  <c i="12" r="I52"/>
  <c i="12" r="H52"/>
  <c i="12" r="G52"/>
  <c i="12" r="F52"/>
  <c i="12" r="E52"/>
  <c i="12" r="D52"/>
  <c i="12" r="C52"/>
  <c i="12" r="B52"/>
  <c i="12" r="W51"/>
  <c i="12" r="I51"/>
  <c i="12" r="H51"/>
  <c i="12" r="G51"/>
  <c i="12" r="F51"/>
  <c i="12" r="E51"/>
  <c i="12" r="D51"/>
  <c i="12" r="C51"/>
  <c i="12" r="B51"/>
  <c i="12" r="W50"/>
  <c i="12" r="J50" s="1"/>
  <c i="12" r="I50"/>
  <c i="12" r="H50"/>
  <c i="12" r="G50"/>
  <c i="12" r="F50"/>
  <c i="12" r="E50"/>
  <c i="12" r="D50"/>
  <c i="12" r="C50"/>
  <c i="12" r="B50"/>
  <c i="12" r="W46"/>
  <c i="12" r="J46" s="1"/>
  <c i="12" r="I46"/>
  <c i="12" r="H46"/>
  <c i="12" r="G46"/>
  <c i="12" r="F46"/>
  <c i="12" r="E46"/>
  <c i="12" r="D46"/>
  <c i="12" r="C46"/>
  <c i="12" r="B46"/>
  <c i="12" r="W45"/>
  <c i="12" r="J45" s="1"/>
  <c i="12" r="I45"/>
  <c i="12" r="H45"/>
  <c i="12" r="G45"/>
  <c i="12" r="F45"/>
  <c i="12" r="E45"/>
  <c i="12" r="D45"/>
  <c i="12" r="C45"/>
  <c i="12" r="B45"/>
  <c i="12" r="W44"/>
  <c i="12" r="I44"/>
  <c i="12" r="H44"/>
  <c i="12" r="G44"/>
  <c i="12" r="F44"/>
  <c i="12" r="E44"/>
  <c i="12" r="D44"/>
  <c i="12" r="C44"/>
  <c i="12" r="B44"/>
  <c i="12" r="W43"/>
  <c i="12" r="J43" s="1"/>
  <c i="12" r="I43"/>
  <c i="12" r="H43"/>
  <c i="12" r="G43"/>
  <c i="12" r="F43"/>
  <c i="12" r="E43"/>
  <c i="12" r="D43"/>
  <c i="12" r="C43"/>
  <c i="12" r="B43"/>
  <c i="12" r="W39"/>
  <c i="12" r="J39" s="1"/>
  <c i="12" r="I39"/>
  <c i="12" r="H39"/>
  <c i="12" r="G39"/>
  <c i="12" r="F39"/>
  <c i="12" r="E39"/>
  <c i="12" r="D39"/>
  <c i="12" r="C39"/>
  <c i="12" r="B39"/>
  <c i="12" r="W38"/>
  <c i="12" r="J38" s="1"/>
  <c i="12" r="I38"/>
  <c i="12" r="H38"/>
  <c i="12" r="G38"/>
  <c i="12" r="F38"/>
  <c i="12" r="E38"/>
  <c i="12" r="D38"/>
  <c i="12" r="C38"/>
  <c i="12" r="B38"/>
  <c i="12" r="W37"/>
  <c i="12" r="J37" s="1"/>
  <c i="12" r="I37"/>
  <c i="12" r="H37"/>
  <c i="12" r="G37"/>
  <c i="12" r="F37"/>
  <c i="12" r="E37"/>
  <c i="12" r="D37"/>
  <c i="12" r="C37"/>
  <c i="12" r="B37"/>
  <c i="12" r="W36"/>
  <c i="12" r="J36" s="1"/>
  <c i="12" r="I36"/>
  <c i="12" r="H36"/>
  <c i="12" r="G36"/>
  <c i="12" r="F36"/>
  <c i="12" r="E36"/>
  <c i="12" r="D36"/>
  <c i="12" r="C36"/>
  <c i="12" r="B36"/>
  <c i="12" r="W32"/>
  <c i="12" r="J32" s="1"/>
  <c i="12" r="I32"/>
  <c i="12" r="H32"/>
  <c i="12" r="G32"/>
  <c i="12" r="F32"/>
  <c i="12" r="E32"/>
  <c i="12" r="D32"/>
  <c i="12" r="C32"/>
  <c i="12" r="B32"/>
  <c i="12" r="W31"/>
  <c i="12" r="I31"/>
  <c i="12" r="H31"/>
  <c i="12" r="G31"/>
  <c i="12" r="F31"/>
  <c i="12" r="E31"/>
  <c i="12" r="D31"/>
  <c i="12" r="C31"/>
  <c i="12" r="B31"/>
  <c i="12" r="W30"/>
  <c i="12" r="I30"/>
  <c i="12" r="H30"/>
  <c i="12" r="G30"/>
  <c i="12" r="F30"/>
  <c i="12" r="E30"/>
  <c i="12" r="D30"/>
  <c i="12" r="C30"/>
  <c i="12" r="B30"/>
  <c i="12" r="W29"/>
  <c i="12" r="J29" s="1"/>
  <c i="12" r="I29"/>
  <c i="12" r="H29"/>
  <c i="12" r="G29"/>
  <c i="12" r="F29"/>
  <c i="12" r="E29"/>
  <c i="12" r="D29"/>
  <c i="12" r="C29"/>
  <c i="12" r="B29"/>
  <c i="12" r="W23"/>
  <c i="12" r="I23"/>
  <c i="12" r="H23"/>
  <c i="12" r="G23"/>
  <c i="12" r="F23"/>
  <c i="12" r="E23"/>
  <c i="12" r="D23"/>
  <c i="12" r="C23"/>
  <c i="12" r="B23"/>
  <c i="12" r="W22"/>
  <c i="17" r="E34" s="1"/>
  <c i="12" r="I22"/>
  <c i="12" r="H22"/>
  <c i="12" r="G22"/>
  <c i="12" r="F22"/>
  <c i="12" r="E22"/>
  <c i="12" r="D22"/>
  <c i="12" r="C22"/>
  <c i="12" r="B22"/>
  <c i="12" r="W21"/>
  <c i="17" r="D34" s="1"/>
  <c i="12" r="I21"/>
  <c i="12" r="H21"/>
  <c i="12" r="G21"/>
  <c i="12" r="F21"/>
  <c i="12" r="E21"/>
  <c i="12" r="D21"/>
  <c i="12" r="C21"/>
  <c i="12" r="B21"/>
  <c i="12" r="W20"/>
  <c i="17" r="C34" s="1"/>
  <c i="12" r="I20"/>
  <c i="12" r="H20"/>
  <c i="12" r="G20"/>
  <c i="12" r="F20"/>
  <c i="12" r="E20"/>
  <c i="12" r="D20"/>
  <c i="12" r="C20"/>
  <c i="12" r="B20"/>
  <c i="12" r="W19"/>
  <c i="17" r="F33" s="1"/>
  <c i="12" r="I19"/>
  <c i="12" r="H19"/>
  <c i="12" r="G19"/>
  <c i="12" r="F19"/>
  <c i="12" r="E19"/>
  <c i="12" r="D19"/>
  <c i="12" r="C19"/>
  <c i="12" r="B19"/>
  <c i="12" r="W18"/>
  <c i="12" r="I18"/>
  <c i="12" r="H18"/>
  <c i="12" r="G18"/>
  <c i="12" r="F18"/>
  <c i="12" r="E18"/>
  <c i="12" r="D18"/>
  <c i="12" r="C18"/>
  <c i="12" r="B18"/>
  <c i="12" r="W17"/>
  <c i="17" r="D33" s="1"/>
  <c i="12" r="I17"/>
  <c i="12" r="H17"/>
  <c i="12" r="G17"/>
  <c i="12" r="F17"/>
  <c i="12" r="E17"/>
  <c i="12" r="D17"/>
  <c i="12" r="C17"/>
  <c i="12" r="B17"/>
  <c i="12" r="W16"/>
  <c i="17" r="C33" s="1"/>
  <c i="12" r="I16"/>
  <c i="12" r="H16"/>
  <c i="12" r="G16"/>
  <c i="12" r="F16"/>
  <c i="12" r="E16"/>
  <c i="12" r="D16"/>
  <c i="12" r="C16"/>
  <c i="12" r="B16"/>
  <c i="12" r="W15"/>
  <c i="17" r="F32" s="1"/>
  <c i="12" r="I15"/>
  <c i="12" r="H15"/>
  <c i="12" r="G15"/>
  <c i="12" r="F15"/>
  <c i="12" r="E15"/>
  <c i="12" r="D15"/>
  <c i="12" r="C15"/>
  <c i="12" r="B15"/>
  <c i="12" r="W14"/>
  <c i="17" r="E32" s="1"/>
  <c i="12" r="I14"/>
  <c i="12" r="H14"/>
  <c i="12" r="G14"/>
  <c i="12" r="F14"/>
  <c i="12" r="E14"/>
  <c i="12" r="D14"/>
  <c i="12" r="C14"/>
  <c i="12" r="B14"/>
  <c i="12" r="W13"/>
  <c i="12" r="I13"/>
  <c i="12" r="H13"/>
  <c i="12" r="G13"/>
  <c i="12" r="F13"/>
  <c i="12" r="E13"/>
  <c i="12" r="D13"/>
  <c i="12" r="C13"/>
  <c i="12" r="B13"/>
  <c i="12" r="W12"/>
  <c i="17" r="C32" s="1"/>
  <c i="12" r="I12"/>
  <c i="12" r="H12"/>
  <c i="12" r="G12"/>
  <c i="12" r="F12"/>
  <c i="12" r="E12"/>
  <c i="12" r="D12"/>
  <c i="12" r="C12"/>
  <c i="12" r="B12"/>
  <c i="12" r="W11"/>
  <c i="12" r="I11"/>
  <c i="12" r="H11"/>
  <c i="12" r="G11"/>
  <c i="12" r="F11"/>
  <c i="12" r="E11"/>
  <c i="12" r="D11"/>
  <c i="12" r="C11"/>
  <c i="12" r="B11"/>
  <c i="12" r="W7"/>
  <c i="12" r="J7" s="1"/>
  <c i="12" r="I7"/>
  <c i="12" r="H7"/>
  <c i="12" r="G7"/>
  <c i="12" r="F7"/>
  <c i="12" r="E7"/>
  <c i="12" r="D7"/>
  <c i="12" r="C7"/>
  <c i="12" r="B7"/>
  <c i="12" r="W6"/>
  <c i="12" r="J6" s="1"/>
  <c i="12" r="I6"/>
  <c i="12" r="H6"/>
  <c i="12" r="G6"/>
  <c i="12" r="F6"/>
  <c i="12" r="E6"/>
  <c i="12" r="D6"/>
  <c i="12" r="C6"/>
  <c i="12" r="B6"/>
  <c i="12" r="W5"/>
  <c i="12" r="J5" s="1"/>
  <c i="12" r="I5"/>
  <c i="12" r="H5"/>
  <c i="12" r="G5"/>
  <c i="12" r="F5"/>
  <c i="12" r="E5"/>
  <c i="12" r="D5"/>
  <c i="12" r="C5"/>
  <c i="12" r="B5"/>
  <c i="12" r="W4"/>
  <c i="12" r="J4" s="1"/>
  <c i="12" r="I4"/>
  <c i="12" r="H4"/>
  <c i="12" r="G4"/>
  <c i="12" r="F4"/>
  <c i="12" r="E4"/>
  <c i="12" r="D4"/>
  <c i="12" r="C4"/>
  <c i="12" r="B4"/>
  <c i="11" r="H374"/>
  <c i="17" r="S186" s="1"/>
  <c i="17" r="S200" s="1"/>
  <c i="11" r="G374"/>
  <c i="17" r="R186" s="1"/>
  <c i="17" r="R200" s="1"/>
  <c i="11" r="F374"/>
  <c i="17" r="Q186" s="1"/>
  <c i="17" r="Q200" s="1"/>
  <c i="11" r="E374"/>
  <c i="17" r="P186" s="1"/>
  <c i="17" r="P200" s="1"/>
  <c i="11" r="D374"/>
  <c i="17" r="O186" s="1"/>
  <c i="17" r="O200" s="1"/>
  <c i="11" r="C374"/>
  <c i="17" r="N186" s="1"/>
  <c i="17" r="N200" s="1"/>
  <c i="11" r="B374"/>
  <c i="17" r="M186" s="1"/>
  <c i="17" r="M200" s="1"/>
  <c i="11" r="H373"/>
  <c i="17" r="S185" s="1"/>
  <c i="17" r="S199" s="1"/>
  <c i="11" r="G373"/>
  <c i="17" r="R185" s="1"/>
  <c i="17" r="R199" s="1"/>
  <c i="11" r="F373"/>
  <c i="17" r="Q185" s="1"/>
  <c i="17" r="Q199" s="1"/>
  <c i="11" r="E373"/>
  <c i="17" r="P185" s="1"/>
  <c i="17" r="P199" s="1"/>
  <c i="11" r="D373"/>
  <c i="17" r="O185" s="1"/>
  <c i="17" r="O199" s="1"/>
  <c i="11" r="C373"/>
  <c i="17" r="N185" s="1"/>
  <c i="17" r="N199" s="1"/>
  <c i="11" r="B373"/>
  <c i="17" r="M185" s="1"/>
  <c i="17" r="M199" s="1"/>
  <c i="11" r="H372"/>
  <c i="17" r="S184" s="1"/>
  <c i="17" r="S198" s="1"/>
  <c i="11" r="G372"/>
  <c i="17" r="R184" s="1"/>
  <c i="17" r="R198" s="1"/>
  <c i="11" r="F372"/>
  <c i="17" r="Q184" s="1"/>
  <c i="17" r="Q198" s="1"/>
  <c i="11" r="E372"/>
  <c i="17" r="P184" s="1"/>
  <c i="17" r="P198" s="1"/>
  <c i="11" r="D372"/>
  <c i="17" r="O184" s="1"/>
  <c i="17" r="O198" s="1"/>
  <c i="11" r="C372"/>
  <c i="17" r="N184" s="1"/>
  <c i="17" r="N198" s="1"/>
  <c i="11" r="B372"/>
  <c i="17" r="M184" s="1"/>
  <c i="17" r="M198" s="1"/>
  <c i="11" r="H371"/>
  <c i="17" r="S183" s="1"/>
  <c i="17" r="S197" s="1"/>
  <c i="11" r="G371"/>
  <c i="17" r="R183" s="1"/>
  <c i="17" r="R197" s="1"/>
  <c i="11" r="F371"/>
  <c i="17" r="Q183" s="1"/>
  <c i="17" r="Q197" s="1"/>
  <c i="11" r="E371"/>
  <c i="17" r="P183" s="1"/>
  <c i="17" r="P197" s="1"/>
  <c i="11" r="D371"/>
  <c i="17" r="O183" s="1"/>
  <c i="17" r="O197" s="1"/>
  <c i="11" r="C371"/>
  <c i="17" r="N183" s="1"/>
  <c i="17" r="N197" s="1"/>
  <c i="11" r="B371"/>
  <c i="17" r="M183" s="1"/>
  <c i="17" r="M197" s="1"/>
  <c i="11" r="H370"/>
  <c i="17" r="S182" s="1"/>
  <c i="17" r="S196" s="1"/>
  <c i="11" r="G370"/>
  <c i="17" r="R182" s="1"/>
  <c i="17" r="R196" s="1"/>
  <c i="11" r="F370"/>
  <c i="17" r="Q182" s="1"/>
  <c i="17" r="Q196" s="1"/>
  <c i="11" r="E370"/>
  <c i="17" r="P182" s="1"/>
  <c i="17" r="P196" s="1"/>
  <c i="11" r="D370"/>
  <c i="17" r="O182" s="1"/>
  <c i="17" r="O196" s="1"/>
  <c i="11" r="C370"/>
  <c i="17" r="N182" s="1"/>
  <c i="17" r="N196" s="1"/>
  <c i="11" r="B370"/>
  <c i="17" r="M182" s="1"/>
  <c i="17" r="M196" s="1"/>
  <c i="11" r="H369"/>
  <c i="17" r="S181" s="1"/>
  <c i="17" r="S195" s="1"/>
  <c i="11" r="G369"/>
  <c i="17" r="R181" s="1"/>
  <c i="17" r="R195" s="1"/>
  <c i="11" r="F369"/>
  <c i="17" r="Q181" s="1"/>
  <c i="17" r="Q195" s="1"/>
  <c i="11" r="E369"/>
  <c i="17" r="P181" s="1"/>
  <c i="17" r="P195" s="1"/>
  <c i="11" r="D369"/>
  <c i="17" r="O181" s="1"/>
  <c i="17" r="O195" s="1"/>
  <c i="11" r="C369"/>
  <c i="17" r="N181" s="1"/>
  <c i="17" r="N195" s="1"/>
  <c i="11" r="B369"/>
  <c i="17" r="M181" s="1"/>
  <c i="17" r="M195" s="1"/>
  <c i="11" r="H368"/>
  <c i="17" r="S180" s="1"/>
  <c i="11" r="G368"/>
  <c i="17" r="R180" s="1"/>
  <c i="11" r="F368"/>
  <c i="17" r="Q180" s="1"/>
  <c i="11" r="E368"/>
  <c i="17" r="P180" s="1"/>
  <c i="11" r="D368"/>
  <c i="17" r="O180" s="1"/>
  <c i="11" r="C368"/>
  <c i="17" r="N180" s="1"/>
  <c i="11" r="B368"/>
  <c i="17" r="M180" s="1"/>
  <c i="11" r="H362"/>
  <c i="17" r="S132" s="1"/>
  <c i="17" r="S146" s="1"/>
  <c i="11" r="G362"/>
  <c i="17" r="R132" s="1"/>
  <c i="17" r="R146" s="1"/>
  <c i="11" r="F362"/>
  <c i="17" r="Q132" s="1"/>
  <c i="17" r="Q146" s="1"/>
  <c i="11" r="E362"/>
  <c i="17" r="P132" s="1"/>
  <c i="17" r="P146" s="1"/>
  <c i="11" r="D362"/>
  <c i="17" r="O132" s="1"/>
  <c i="17" r="O146" s="1"/>
  <c i="11" r="C362"/>
  <c i="11" r="B362"/>
  <c i="17" r="M132" s="1"/>
  <c i="17" r="M146" s="1"/>
  <c i="11" r="H361"/>
  <c i="17" r="S131" s="1"/>
  <c i="17" r="S145" s="1"/>
  <c i="11" r="G361"/>
  <c i="17" r="R131" s="1"/>
  <c i="17" r="R145" s="1"/>
  <c i="11" r="F361"/>
  <c i="17" r="Q131" s="1"/>
  <c i="17" r="Q145" s="1"/>
  <c i="11" r="E361"/>
  <c i="17" r="P131" s="1"/>
  <c i="17" r="P145" s="1"/>
  <c i="11" r="D361"/>
  <c i="17" r="O131" s="1"/>
  <c i="17" r="O145" s="1"/>
  <c i="11" r="C361"/>
  <c i="17" r="N131" s="1"/>
  <c i="17" r="N145" s="1"/>
  <c i="11" r="B361"/>
  <c i="17" r="M131" s="1"/>
  <c i="17" r="M145" s="1"/>
  <c i="11" r="H360"/>
  <c i="17" r="S130" s="1"/>
  <c i="17" r="S144" s="1"/>
  <c i="11" r="G360"/>
  <c i="17" r="R130" s="1"/>
  <c i="17" r="R144" s="1"/>
  <c i="11" r="F360"/>
  <c i="17" r="Q130" s="1"/>
  <c i="17" r="Q144" s="1"/>
  <c i="11" r="E360"/>
  <c i="17" r="P130" s="1"/>
  <c i="17" r="P144" s="1"/>
  <c i="11" r="D360"/>
  <c i="17" r="O130" s="1"/>
  <c i="17" r="O144" s="1"/>
  <c i="11" r="C360"/>
  <c i="17" r="N130" s="1"/>
  <c i="17" r="N144" s="1"/>
  <c i="11" r="B360"/>
  <c i="17" r="M130" s="1"/>
  <c i="17" r="M144" s="1"/>
  <c i="11" r="H359"/>
  <c i="17" r="S129" s="1"/>
  <c i="17" r="S143" s="1"/>
  <c i="11" r="G359"/>
  <c i="17" r="R129" s="1"/>
  <c i="17" r="R143" s="1"/>
  <c i="11" r="F359"/>
  <c i="17" r="Q129" s="1"/>
  <c i="17" r="Q143" s="1"/>
  <c i="11" r="E359"/>
  <c i="17" r="P129" s="1"/>
  <c i="17" r="P143" s="1"/>
  <c i="11" r="D359"/>
  <c i="17" r="O129" s="1"/>
  <c i="17" r="O143" s="1"/>
  <c i="11" r="C359"/>
  <c i="11" r="B359"/>
  <c i="17" r="M129" s="1"/>
  <c i="17" r="M143" s="1"/>
  <c i="11" r="H358"/>
  <c i="17" r="S128" s="1"/>
  <c i="17" r="S142" s="1"/>
  <c i="11" r="G358"/>
  <c i="17" r="R128" s="1"/>
  <c i="17" r="R142" s="1"/>
  <c i="11" r="F358"/>
  <c i="17" r="Q128" s="1"/>
  <c i="17" r="Q142" s="1"/>
  <c i="11" r="E358"/>
  <c i="17" r="P128" s="1"/>
  <c i="17" r="P142" s="1"/>
  <c i="11" r="D358"/>
  <c i="17" r="O128" s="1"/>
  <c i="17" r="O142" s="1"/>
  <c i="11" r="C358"/>
  <c i="17" r="N128" s="1"/>
  <c i="17" r="N142" s="1"/>
  <c i="11" r="B358"/>
  <c i="17" r="M128" s="1"/>
  <c i="17" r="M142" s="1"/>
  <c i="11" r="H357"/>
  <c i="17" r="S127" s="1"/>
  <c i="17" r="S141" s="1"/>
  <c i="11" r="G357"/>
  <c i="17" r="R127" s="1"/>
  <c i="17" r="R141" s="1"/>
  <c i="11" r="F357"/>
  <c i="17" r="Q127" s="1"/>
  <c i="17" r="Q141" s="1"/>
  <c i="11" r="E357"/>
  <c i="17" r="P127" s="1"/>
  <c i="17" r="P141" s="1"/>
  <c i="11" r="D357"/>
  <c i="17" r="O127" s="1"/>
  <c i="17" r="O141" s="1"/>
  <c i="11" r="C357"/>
  <c i="17" r="N127" s="1"/>
  <c i="17" r="N141" s="1"/>
  <c i="11" r="B357"/>
  <c i="17" r="M127" s="1"/>
  <c i="17" r="M141" s="1"/>
  <c i="11" r="H356"/>
  <c i="17" r="S126" s="1"/>
  <c i="11" r="G356"/>
  <c i="17" r="R126" s="1"/>
  <c i="11" r="F356"/>
  <c i="17" r="Q126" s="1"/>
  <c i="11" r="E356"/>
  <c i="11" r="D356"/>
  <c i="11" r="C356"/>
  <c i="11" r="B356"/>
  <c i="11" r="H351"/>
  <c i="17" r="S75" s="1"/>
  <c i="17" r="S90" s="1"/>
  <c i="11" r="G351"/>
  <c i="17" r="R75" s="1"/>
  <c i="17" r="R90" s="1"/>
  <c i="11" r="F351"/>
  <c i="17" r="Q75" s="1"/>
  <c i="17" r="Q90" s="1"/>
  <c i="11" r="E351"/>
  <c i="17" r="P75" s="1"/>
  <c i="17" r="P90" s="1"/>
  <c i="11" r="D351"/>
  <c i="17" r="O75" s="1"/>
  <c i="17" r="O90" s="1"/>
  <c i="11" r="C351"/>
  <c i="17" r="N75" s="1"/>
  <c i="17" r="N90" s="1"/>
  <c i="11" r="B351"/>
  <c i="17" r="M75" s="1"/>
  <c i="17" r="M90" s="1"/>
  <c i="11" r="H350"/>
  <c i="17" r="S74" s="1"/>
  <c i="17" r="S89" s="1"/>
  <c i="11" r="G350"/>
  <c i="17" r="R74" s="1"/>
  <c i="17" r="R89" s="1"/>
  <c i="11" r="F350"/>
  <c i="17" r="Q74" s="1"/>
  <c i="17" r="Q89" s="1"/>
  <c i="11" r="E350"/>
  <c i="17" r="P74" s="1"/>
  <c i="17" r="P89" s="1"/>
  <c i="11" r="D350"/>
  <c i="17" r="O74" s="1"/>
  <c i="17" r="O89" s="1"/>
  <c i="11" r="C350"/>
  <c i="11" r="B350"/>
  <c i="17" r="M74" s="1"/>
  <c i="17" r="M89" s="1"/>
  <c i="11" r="H349"/>
  <c i="17" r="S73" s="1"/>
  <c i="17" r="S88" s="1"/>
  <c i="11" r="G349"/>
  <c i="17" r="R73" s="1"/>
  <c i="17" r="R88" s="1"/>
  <c i="11" r="F349"/>
  <c i="17" r="Q73" s="1"/>
  <c i="17" r="Q88" s="1"/>
  <c i="11" r="E349"/>
  <c i="17" r="P73" s="1"/>
  <c i="17" r="P88" s="1"/>
  <c i="11" r="D349"/>
  <c i="17" r="O73" s="1"/>
  <c i="17" r="O88" s="1"/>
  <c i="11" r="C349"/>
  <c i="17" r="N73" s="1"/>
  <c i="17" r="N88" s="1"/>
  <c i="11" r="B349"/>
  <c i="17" r="M73" s="1"/>
  <c i="17" r="M88" s="1"/>
  <c i="11" r="H348"/>
  <c i="17" r="S72" s="1"/>
  <c i="17" r="S87" s="1"/>
  <c i="11" r="G348"/>
  <c i="17" r="R72" s="1"/>
  <c i="17" r="R87" s="1"/>
  <c i="11" r="F348"/>
  <c i="17" r="Q72" s="1"/>
  <c i="17" r="Q87" s="1"/>
  <c i="11" r="E348"/>
  <c i="17" r="P72" s="1"/>
  <c i="17" r="P87" s="1"/>
  <c i="11" r="D348"/>
  <c i="17" r="O72" s="1"/>
  <c i="17" r="O87" s="1"/>
  <c i="11" r="C348"/>
  <c i="17" r="N72" s="1"/>
  <c i="17" r="N87" s="1"/>
  <c i="11" r="B348"/>
  <c i="17" r="M72" s="1"/>
  <c i="17" r="M87" s="1"/>
  <c i="11" r="H347"/>
  <c i="17" r="S71" s="1"/>
  <c i="17" r="S86" s="1"/>
  <c i="11" r="G347"/>
  <c i="17" r="R71" s="1"/>
  <c i="17" r="R86" s="1"/>
  <c i="11" r="F347"/>
  <c i="17" r="Q71" s="1"/>
  <c i="17" r="Q86" s="1"/>
  <c i="11" r="E347"/>
  <c i="17" r="P71" s="1"/>
  <c i="17" r="P86" s="1"/>
  <c i="11" r="D347"/>
  <c i="17" r="O71" s="1"/>
  <c i="17" r="O86" s="1"/>
  <c i="11" r="C347"/>
  <c i="11" r="B347"/>
  <c i="17" r="M71" s="1"/>
  <c i="17" r="M86" s="1"/>
  <c i="11" r="H346"/>
  <c i="17" r="S70" s="1"/>
  <c i="17" r="S85" s="1"/>
  <c i="11" r="G346"/>
  <c i="17" r="R70" s="1"/>
  <c i="17" r="R85" s="1"/>
  <c i="11" r="F346"/>
  <c i="17" r="Q70" s="1"/>
  <c i="17" r="Q85" s="1"/>
  <c i="11" r="E346"/>
  <c i="17" r="P70" s="1"/>
  <c i="17" r="P85" s="1"/>
  <c i="11" r="D346"/>
  <c i="17" r="O70" s="1"/>
  <c i="17" r="O85" s="1"/>
  <c i="11" r="C346"/>
  <c i="17" r="N70" s="1"/>
  <c i="17" r="N85" s="1"/>
  <c i="11" r="B346"/>
  <c i="17" r="M70" s="1"/>
  <c i="17" r="M85" s="1"/>
  <c i="11" r="H345"/>
  <c i="17" r="S69" s="1"/>
  <c i="17" r="S84" s="1"/>
  <c i="11" r="G345"/>
  <c i="17" r="R69" s="1"/>
  <c i="17" r="R84" s="1"/>
  <c i="11" r="F345"/>
  <c i="17" r="Q69" s="1"/>
  <c i="17" r="Q84" s="1"/>
  <c i="11" r="E345"/>
  <c i="17" r="P69" s="1"/>
  <c i="17" r="P84" s="1"/>
  <c i="11" r="D345"/>
  <c i="17" r="O69" s="1"/>
  <c i="17" r="O84" s="1"/>
  <c i="11" r="C345"/>
  <c i="17" r="N69" s="1"/>
  <c i="17" r="N84" s="1"/>
  <c i="11" r="B345"/>
  <c i="17" r="M69" s="1"/>
  <c i="17" r="M84" s="1"/>
  <c i="11" r="H344"/>
  <c i="17" r="S68" s="1"/>
  <c i="11" r="G344"/>
  <c i="17" r="R68" s="1"/>
  <c i="11" r="F344"/>
  <c i="17" r="Q68" s="1"/>
  <c i="11" r="E344"/>
  <c i="17" r="P68" s="1"/>
  <c i="11" r="D344"/>
  <c i="17" r="O68" s="1"/>
  <c i="11" r="C344"/>
  <c i="11" r="B344"/>
  <c i="17" r="M68" s="1"/>
  <c i="11" r="B340"/>
  <c i="9" r="W118" s="1"/>
  <c i="1" r="C13" s="1"/>
  <c i="11" r="B339"/>
  <c i="9" r="V118" s="1"/>
  <c i="1" r="C12" s="1"/>
  <c i="11" r="B338"/>
  <c i="9" r="U118" s="1"/>
  <c i="11" r="B337"/>
  <c i="9" r="T118" s="1"/>
  <c i="1" r="C10" s="1"/>
  <c i="11" r="B336"/>
  <c i="9" r="S118" s="1"/>
  <c i="1" r="C9" s="1"/>
  <c i="11" r="B335"/>
  <c i="9" r="R118" s="1"/>
  <c i="1" r="C8" s="1"/>
  <c i="11" r="B334"/>
  <c i="9" r="Q118" s="1"/>
  <c i="1" r="C7" s="1"/>
  <c i="11" r="B333"/>
  <c i="9" r="P118" s="1"/>
  <c i="1" r="C6" s="1"/>
  <c i="11" r="B332"/>
  <c i="9" r="O118" s="1"/>
  <c i="16" r="O110" s="1"/>
  <c i="11" r="B331"/>
  <c i="9" r="N118" s="1"/>
  <c i="11" r="B327"/>
  <c i="9" r="Q84" s="1"/>
  <c i="11" r="B326"/>
  <c i="9" r="P84" s="1"/>
  <c i="16" r="P78" s="1"/>
  <c i="11" r="B325"/>
  <c i="9" r="O84" s="1"/>
  <c i="11" r="B324"/>
  <c i="9" r="N84" s="1"/>
  <c i="11" r="B320"/>
  <c i="9" r="Q50" s="1"/>
  <c i="11" r="B319"/>
  <c i="9" r="P50" s="1"/>
  <c i="11" r="B318"/>
  <c i="9" r="O50" s="1"/>
  <c i="11" r="B317"/>
  <c i="9" r="N50" s="1"/>
  <c i="11" r="B313"/>
  <c i="9" r="V15" s="1"/>
  <c i="1" r="C26" s="1"/>
  <c i="11" r="B312"/>
  <c i="9" r="U15" s="1"/>
  <c i="1" r="C25" s="1"/>
  <c i="11" r="B311"/>
  <c i="9" r="S15" s="1"/>
  <c i="11" r="B310"/>
  <c i="9" r="R15" s="1"/>
  <c i="1" r="C23" s="1"/>
  <c i="11" r="B309"/>
  <c i="9" r="Q15" s="1"/>
  <c i="9" r="AC15" s="1"/>
  <c i="11" r="B308"/>
  <c i="9" r="P15" s="1"/>
  <c i="11" r="B307"/>
  <c i="9" r="O15" s="1"/>
  <c i="1" r="C20" s="1"/>
  <c i="11" r="B306"/>
  <c i="9" r="N15" s="1"/>
  <c i="1" r="C19" s="1"/>
  <c i="11" r="Y302"/>
  <c i="11" r="L302" s="1"/>
  <c i="11" r="K302"/>
  <c i="10" r="W114" s="1"/>
  <c i="11" r="J302"/>
  <c i="10" r="V114" s="1"/>
  <c i="11" r="I302"/>
  <c i="10" r="U114" s="1"/>
  <c i="11" r="H302"/>
  <c i="10" r="T114" s="1"/>
  <c i="11" r="G302"/>
  <c i="10" r="S114" s="1"/>
  <c i="11" r="F302"/>
  <c i="10" r="R114" s="1"/>
  <c i="11" r="E302"/>
  <c i="10" r="Q114" s="1"/>
  <c i="11" r="D302"/>
  <c i="10" r="P114" s="1"/>
  <c i="11" r="C302"/>
  <c i="10" r="O114" s="1"/>
  <c i="11" r="B302"/>
  <c i="10" r="N114" s="1"/>
  <c i="11" r="Y301"/>
  <c i="11" r="L301" s="1"/>
  <c i="11" r="K301"/>
  <c i="10" r="W113" s="1"/>
  <c i="11" r="J301"/>
  <c i="10" r="V113" s="1"/>
  <c i="11" r="I301"/>
  <c i="10" r="U113" s="1"/>
  <c i="11" r="H301"/>
  <c i="10" r="T113" s="1"/>
  <c i="11" r="G301"/>
  <c i="10" r="S113" s="1"/>
  <c i="11" r="F301"/>
  <c i="10" r="R113" s="1"/>
  <c i="11" r="E301"/>
  <c i="10" r="Q113" s="1"/>
  <c i="11" r="D301"/>
  <c i="10" r="P113" s="1"/>
  <c i="11" r="C301"/>
  <c i="10" r="O113" s="1"/>
  <c i="11" r="B301"/>
  <c i="10" r="N113" s="1"/>
  <c i="11" r="Y300"/>
  <c i="11" r="L300" s="1"/>
  <c i="11" r="K300"/>
  <c i="10" r="W112" s="1"/>
  <c i="11" r="J300"/>
  <c i="10" r="V112" s="1"/>
  <c i="11" r="I300"/>
  <c i="10" r="U112" s="1"/>
  <c i="11" r="H300"/>
  <c i="10" r="T112" s="1"/>
  <c i="11" r="G300"/>
  <c i="10" r="S112" s="1"/>
  <c i="11" r="F300"/>
  <c i="10" r="R112" s="1"/>
  <c i="11" r="E300"/>
  <c i="10" r="Q112" s="1"/>
  <c i="11" r="D300"/>
  <c i="10" r="P112" s="1"/>
  <c i="11" r="C300"/>
  <c i="10" r="O112" s="1"/>
  <c i="11" r="B300"/>
  <c i="10" r="N112" s="1"/>
  <c i="11" r="Y299"/>
  <c i="11" r="L299" s="1"/>
  <c i="11" r="K299"/>
  <c i="10" r="W111" s="1"/>
  <c i="11" r="J299"/>
  <c i="10" r="V111" s="1"/>
  <c i="11" r="I299"/>
  <c i="10" r="U111" s="1"/>
  <c i="11" r="H299"/>
  <c i="10" r="T111" s="1"/>
  <c i="11" r="G299"/>
  <c i="10" r="S111" s="1"/>
  <c i="11" r="F299"/>
  <c i="10" r="R111" s="1"/>
  <c i="11" r="E299"/>
  <c i="10" r="Q111" s="1"/>
  <c i="11" r="D299"/>
  <c i="10" r="P111" s="1"/>
  <c i="11" r="C299"/>
  <c i="10" r="O111" s="1"/>
  <c i="11" r="B299"/>
  <c i="10" r="N111" s="1"/>
  <c i="11" r="Y298"/>
  <c i="11" r="L298" s="1"/>
  <c i="11" r="K298"/>
  <c i="10" r="W110" s="1"/>
  <c i="11" r="J298"/>
  <c i="10" r="V110" s="1"/>
  <c i="11" r="I298"/>
  <c i="10" r="U110" s="1"/>
  <c i="11" r="H298"/>
  <c i="10" r="T110" s="1"/>
  <c i="11" r="G298"/>
  <c i="10" r="S110" s="1"/>
  <c i="11" r="F298"/>
  <c i="10" r="R110" s="1"/>
  <c i="11" r="E298"/>
  <c i="10" r="Q110" s="1"/>
  <c i="11" r="D298"/>
  <c i="10" r="P110" s="1"/>
  <c i="11" r="C298"/>
  <c i="10" r="O110" s="1"/>
  <c i="11" r="B298"/>
  <c i="10" r="N110" s="1"/>
  <c i="11" r="Y297"/>
  <c i="11" r="L297" s="1"/>
  <c i="11" r="K297"/>
  <c i="10" r="W109" s="1"/>
  <c i="11" r="J297"/>
  <c i="10" r="V109" s="1"/>
  <c i="11" r="I297"/>
  <c i="10" r="U109" s="1"/>
  <c i="11" r="H297"/>
  <c i="10" r="T109" s="1"/>
  <c i="11" r="G297"/>
  <c i="10" r="S109" s="1"/>
  <c i="11" r="F297"/>
  <c i="10" r="R109" s="1"/>
  <c i="11" r="E297"/>
  <c i="10" r="Q109" s="1"/>
  <c i="11" r="D297"/>
  <c i="10" r="P109" s="1"/>
  <c i="11" r="C297"/>
  <c i="10" r="O109" s="1"/>
  <c i="11" r="B297"/>
  <c i="10" r="N109" s="1"/>
  <c i="11" r="Y296"/>
  <c i="11" r="L296" s="1"/>
  <c i="11" r="K296"/>
  <c i="10" r="W108" s="1"/>
  <c i="11" r="J296"/>
  <c i="10" r="V108" s="1"/>
  <c i="11" r="I296"/>
  <c i="10" r="U108" s="1"/>
  <c i="11" r="H296"/>
  <c i="10" r="T108" s="1"/>
  <c i="11" r="G296"/>
  <c i="10" r="S108" s="1"/>
  <c i="11" r="F296"/>
  <c i="10" r="R108" s="1"/>
  <c i="11" r="E296"/>
  <c i="10" r="Q108" s="1"/>
  <c i="11" r="D296"/>
  <c i="10" r="P108" s="1"/>
  <c i="11" r="C296"/>
  <c i="10" r="O108" s="1"/>
  <c i="11" r="B296"/>
  <c i="10" r="N108" s="1"/>
  <c i="11" r="Y295"/>
  <c i="11" r="L295" s="1"/>
  <c i="11" r="K295"/>
  <c i="10" r="W107" s="1"/>
  <c i="11" r="J295"/>
  <c i="10" r="V107" s="1"/>
  <c i="11" r="I295"/>
  <c i="10" r="U107" s="1"/>
  <c i="11" r="H295"/>
  <c i="10" r="T107" s="1"/>
  <c i="11" r="G295"/>
  <c i="10" r="S107" s="1"/>
  <c i="11" r="F295"/>
  <c i="10" r="R107" s="1"/>
  <c i="11" r="E295"/>
  <c i="10" r="Q107" s="1"/>
  <c i="11" r="D295"/>
  <c i="10" r="P107" s="1"/>
  <c i="11" r="C295"/>
  <c i="10" r="O107" s="1"/>
  <c i="11" r="B295"/>
  <c i="10" r="N107" s="1"/>
  <c i="11" r="S291"/>
  <c i="11" r="F291" s="1"/>
  <c i="10" r="R80" s="1"/>
  <c i="11" r="E291"/>
  <c i="10" r="Q80" s="1"/>
  <c i="11" r="D291"/>
  <c i="10" r="P80" s="1"/>
  <c i="11" r="C291"/>
  <c i="10" r="O80" s="1"/>
  <c i="11" r="B291"/>
  <c i="10" r="N80" s="1"/>
  <c i="11" r="S290"/>
  <c i="11" r="F290" s="1"/>
  <c i="10" r="R79" s="1"/>
  <c i="11" r="E290"/>
  <c i="10" r="Q79" s="1"/>
  <c i="11" r="D290"/>
  <c i="10" r="P79" s="1"/>
  <c i="11" r="C290"/>
  <c i="10" r="O79" s="1"/>
  <c i="11" r="B290"/>
  <c i="10" r="N79" s="1"/>
  <c i="11" r="S289"/>
  <c i="11" r="F289" s="1"/>
  <c i="10" r="R78" s="1"/>
  <c i="11" r="E289"/>
  <c i="10" r="Q78" s="1"/>
  <c i="11" r="D289"/>
  <c i="10" r="P78" s="1"/>
  <c i="11" r="C289"/>
  <c i="10" r="O78" s="1"/>
  <c i="11" r="B289"/>
  <c i="10" r="N78" s="1"/>
  <c i="11" r="S288"/>
  <c i="11" r="F288" s="1"/>
  <c i="10" r="R77" s="1"/>
  <c i="11" r="E288"/>
  <c i="10" r="Q77" s="1"/>
  <c i="11" r="D288"/>
  <c i="10" r="P77" s="1"/>
  <c i="11" r="C288"/>
  <c i="10" r="O77" s="1"/>
  <c i="11" r="B288"/>
  <c i="10" r="N77" s="1"/>
  <c i="11" r="S287"/>
  <c i="11" r="F287" s="1"/>
  <c i="10" r="R76" s="1"/>
  <c i="11" r="E287"/>
  <c i="10" r="Q76" s="1"/>
  <c i="11" r="D287"/>
  <c i="10" r="P76" s="1"/>
  <c i="11" r="C287"/>
  <c i="10" r="O76" s="1"/>
  <c i="11" r="B287"/>
  <c i="10" r="N76" s="1"/>
  <c i="11" r="S286"/>
  <c i="11" r="F286" s="1"/>
  <c i="10" r="R75" s="1"/>
  <c i="11" r="E286"/>
  <c i="10" r="Q75" s="1"/>
  <c i="11" r="D286"/>
  <c i="10" r="P75" s="1"/>
  <c i="11" r="C286"/>
  <c i="10" r="O75" s="1"/>
  <c i="11" r="B286"/>
  <c i="10" r="N75" s="1"/>
  <c i="11" r="S285"/>
  <c i="11" r="F285" s="1"/>
  <c i="10" r="R74" s="1"/>
  <c i="11" r="E285"/>
  <c i="10" r="Q74" s="1"/>
  <c i="11" r="D285"/>
  <c i="10" r="P74" s="1"/>
  <c i="11" r="C285"/>
  <c i="10" r="O74" s="1"/>
  <c i="11" r="B285"/>
  <c i="10" r="N74" s="1"/>
  <c i="11" r="S284"/>
  <c i="11" r="F284" s="1"/>
  <c i="10" r="R73" s="1"/>
  <c i="11" r="E284"/>
  <c i="11" r="D284"/>
  <c i="10" r="P73" s="1"/>
  <c i="11" r="C284"/>
  <c i="10" r="O73" s="1"/>
  <c i="11" r="B284"/>
  <c i="10" r="N73" s="1"/>
  <c i="11" r="S280"/>
  <c i="11" r="F280" s="1"/>
  <c i="11" r="E280"/>
  <c i="10" r="Q46" s="1"/>
  <c i="11" r="D280"/>
  <c i="10" r="P46" s="1"/>
  <c i="11" r="C280"/>
  <c i="10" r="O46" s="1"/>
  <c i="11" r="B280"/>
  <c i="10" r="N46" s="1"/>
  <c i="11" r="S279"/>
  <c i="11" r="F279" s="1"/>
  <c i="11" r="E279"/>
  <c i="10" r="Q45" s="1"/>
  <c i="11" r="D279"/>
  <c i="10" r="P45" s="1"/>
  <c i="11" r="C279"/>
  <c i="10" r="O45" s="1"/>
  <c i="11" r="B279"/>
  <c i="10" r="N45" s="1"/>
  <c i="11" r="S278"/>
  <c i="11" r="F278" s="1"/>
  <c i="11" r="E278"/>
  <c i="10" r="Q44" s="1"/>
  <c i="11" r="D278"/>
  <c i="10" r="P44" s="1"/>
  <c i="11" r="C278"/>
  <c i="10" r="O44" s="1"/>
  <c i="11" r="B278"/>
  <c i="10" r="N44" s="1"/>
  <c i="11" r="S277"/>
  <c i="11" r="F277" s="1"/>
  <c i="11" r="E277"/>
  <c i="11" r="D277"/>
  <c i="10" r="P43" s="1"/>
  <c i="11" r="C277"/>
  <c i="10" r="O43" s="1"/>
  <c i="11" r="B277"/>
  <c i="10" r="N43" s="1"/>
  <c i="11" r="S276"/>
  <c i="11" r="F276" s="1"/>
  <c i="11" r="E276"/>
  <c i="10" r="Q42" s="1"/>
  <c i="11" r="D276"/>
  <c i="10" r="P42" s="1"/>
  <c i="11" r="C276"/>
  <c i="10" r="O42" s="1"/>
  <c i="11" r="B276"/>
  <c i="10" r="N42" s="1"/>
  <c i="11" r="S275"/>
  <c i="11" r="F275" s="1"/>
  <c i="11" r="E275"/>
  <c i="10" r="Q41" s="1"/>
  <c i="11" r="D275"/>
  <c i="10" r="P41" s="1"/>
  <c i="11" r="C275"/>
  <c i="10" r="O41" s="1"/>
  <c i="11" r="B275"/>
  <c i="10" r="N41" s="1"/>
  <c i="11" r="S274"/>
  <c i="11" r="F274" s="1"/>
  <c i="11" r="E274"/>
  <c i="10" r="Q40" s="1"/>
  <c i="11" r="D274"/>
  <c i="10" r="P40" s="1"/>
  <c i="11" r="C274"/>
  <c i="10" r="O40" s="1"/>
  <c i="11" r="B274"/>
  <c i="10" r="N40" s="1"/>
  <c i="11" r="S273"/>
  <c i="11" r="F273" s="1"/>
  <c i="11" r="E273"/>
  <c i="10" r="Q39" s="1"/>
  <c i="11" r="D273"/>
  <c i="10" r="P39" s="1"/>
  <c i="11" r="C273"/>
  <c i="10" r="O39" s="1"/>
  <c i="11" r="B273"/>
  <c i="10" r="N39" s="1"/>
  <c i="11" r="W269"/>
  <c i="11" r="J269" s="1"/>
  <c i="10" r="W12" s="1"/>
  <c i="1" r="C71" s="1"/>
  <c i="11" r="I269"/>
  <c i="10" r="V12" s="1"/>
  <c i="19" r="AM57" s="1"/>
  <c i="11" r="H269"/>
  <c i="10" r="U12" s="1"/>
  <c i="11" r="G269"/>
  <c i="10" r="S12" s="1"/>
  <c i="11" r="F269"/>
  <c i="10" r="R12" s="1"/>
  <c i="11" r="E269"/>
  <c i="10" r="Q12" s="1"/>
  <c i="19" r="AI57" s="1"/>
  <c i="11" r="D269"/>
  <c i="10" r="P12" s="1"/>
  <c i="19" r="AH57" s="1"/>
  <c i="11" r="C269"/>
  <c i="10" r="O12" s="1"/>
  <c i="19" r="AG57" s="1"/>
  <c i="11" r="B269"/>
  <c i="10" r="N12" s="1"/>
  <c i="19" r="AF57" s="1"/>
  <c i="11" r="W268"/>
  <c i="11" r="J268" s="1"/>
  <c i="11" r="I268"/>
  <c i="10" r="V11" s="1"/>
  <c i="11" r="H268"/>
  <c i="10" r="U11" s="1"/>
  <c i="19" r="AL56" s="1"/>
  <c i="11" r="G268"/>
  <c i="10" r="S11" s="1"/>
  <c i="19" r="AK56" s="1"/>
  <c i="11" r="F268"/>
  <c i="10" r="R11" s="1"/>
  <c i="11" r="E268"/>
  <c i="10" r="Q11" s="1"/>
  <c i="19" r="AI56" s="1"/>
  <c i="11" r="D268"/>
  <c i="10" r="P11" s="1"/>
  <c i="19" r="AH56" s="1"/>
  <c i="11" r="C268"/>
  <c i="10" r="O11" s="1"/>
  <c i="19" r="AG56" s="1"/>
  <c i="11" r="B268"/>
  <c i="10" r="N11" s="1"/>
  <c i="19" r="AF56" s="1"/>
  <c i="11" r="W267"/>
  <c i="11" r="J267" s="1"/>
  <c i="10" r="W10" s="1"/>
  <c i="11" r="I267"/>
  <c i="10" r="V10" s="1"/>
  <c i="19" r="AM55" s="1"/>
  <c i="11" r="H267"/>
  <c i="10" r="U10" s="1"/>
  <c i="11" r="G267"/>
  <c i="11" r="F267"/>
  <c i="10" r="R10" s="1"/>
  <c i="19" r="AJ55" s="1"/>
  <c i="11" r="E267"/>
  <c i="10" r="Q10" s="1"/>
  <c i="19" r="AI55" s="1"/>
  <c i="11" r="D267"/>
  <c i="11" r="C267"/>
  <c i="10" r="O10" s="1"/>
  <c i="19" r="AG55" s="1"/>
  <c i="11" r="B267"/>
  <c i="10" r="N10" s="1"/>
  <c i="11" r="W266"/>
  <c i="11" r="J266" s="1"/>
  <c i="10" r="W9" s="1"/>
  <c i="1" r="C68" s="1"/>
  <c i="11" r="I266"/>
  <c i="10" r="V9" s="1"/>
  <c i="11" r="H266"/>
  <c i="10" r="U9" s="1"/>
  <c i="19" r="AL54" s="1"/>
  <c i="11" r="G266"/>
  <c i="10" r="S9" s="1"/>
  <c i="19" r="AK54" s="1"/>
  <c i="11" r="F266"/>
  <c i="10" r="R9" s="1"/>
  <c i="19" r="AJ54" s="1"/>
  <c i="11" r="E266"/>
  <c i="10" r="Q9" s="1"/>
  <c i="11" r="D266"/>
  <c i="10" r="P9" s="1"/>
  <c i="19" r="AH54" s="1"/>
  <c i="11" r="C266"/>
  <c i="10" r="O9" s="1"/>
  <c i="11" r="B266"/>
  <c i="10" r="N9" s="1"/>
  <c i="11" r="W265"/>
  <c i="11" r="J265" s="1"/>
  <c i="10" r="W8" s="1"/>
  <c i="1" r="C67" s="1"/>
  <c i="11" r="I265"/>
  <c i="10" r="V8" s="1"/>
  <c i="19" r="AM53" s="1"/>
  <c i="11" r="H265"/>
  <c i="10" r="U8" s="1"/>
  <c i="11" r="G265"/>
  <c i="10" r="S8" s="1"/>
  <c i="19" r="AK53" s="1"/>
  <c i="11" r="F265"/>
  <c i="10" r="R8" s="1"/>
  <c i="19" r="AJ53" s="1"/>
  <c i="11" r="E265"/>
  <c i="10" r="Q8" s="1"/>
  <c i="19" r="AI53" s="1"/>
  <c i="11" r="D265"/>
  <c i="10" r="P8" s="1"/>
  <c i="11" r="C265"/>
  <c i="10" r="O8" s="1"/>
  <c i="11" r="B265"/>
  <c i="10" r="N8" s="1"/>
  <c i="11" r="W264"/>
  <c i="11" r="J264" s="1"/>
  <c i="10" r="W7" s="1"/>
  <c i="1" r="C66" s="1"/>
  <c i="11" r="I264"/>
  <c i="10" r="V7" s="1"/>
  <c i="19" r="AM52" s="1"/>
  <c i="11" r="H264"/>
  <c i="10" r="U7" s="1"/>
  <c i="19" r="AL52" s="1"/>
  <c i="11" r="G264"/>
  <c i="10" r="S7" s="1"/>
  <c i="11" r="F264"/>
  <c i="10" r="R7" s="1"/>
  <c i="19" r="AJ52" s="1"/>
  <c i="11" r="E264"/>
  <c i="10" r="Q7" s="1"/>
  <c i="11" r="D264"/>
  <c i="10" r="P7" s="1"/>
  <c i="19" r="AH52" s="1"/>
  <c i="11" r="C264"/>
  <c i="10" r="O7" s="1"/>
  <c i="19" r="AG52" s="1"/>
  <c i="11" r="B264"/>
  <c i="10" r="N7" s="1"/>
  <c i="11" r="W263"/>
  <c i="11" r="J263" s="1"/>
  <c i="10" r="W6" s="1"/>
  <c i="1" r="C65" s="1"/>
  <c i="11" r="I263"/>
  <c i="10" r="V6" s="1"/>
  <c i="19" r="AM51" s="1"/>
  <c i="11" r="H263"/>
  <c i="10" r="U6" s="1"/>
  <c i="19" r="AL51" s="1"/>
  <c i="11" r="G263"/>
  <c i="10" r="S6" s="1"/>
  <c i="19" r="AK51" s="1"/>
  <c i="11" r="F263"/>
  <c i="10" r="R6" s="1"/>
  <c i="19" r="AJ51" s="1"/>
  <c i="11" r="E263"/>
  <c i="10" r="Q6" s="1"/>
  <c i="11" r="D263"/>
  <c i="10" r="P6" s="1"/>
  <c i="11" r="C263"/>
  <c i="10" r="O6" s="1"/>
  <c i="19" r="AG51" s="1"/>
  <c i="19" r="V81" s="1"/>
  <c i="11" r="B263"/>
  <c i="10" r="N6" s="1"/>
  <c i="19" r="AF51" s="1"/>
  <c i="11" r="W262"/>
  <c i="11" r="J262" s="1"/>
  <c i="10" r="W5" s="1"/>
  <c i="1" r="C64" s="1"/>
  <c i="11" r="I262"/>
  <c i="10" r="V5" s="1"/>
  <c i="19" r="AM50" s="1"/>
  <c i="11" r="H262"/>
  <c i="10" r="U5" s="1"/>
  <c i="11" r="G262"/>
  <c i="10" r="S5" s="1"/>
  <c i="11" r="F262"/>
  <c i="10" r="R5" s="1"/>
  <c i="11" r="E262"/>
  <c i="10" r="Q5" s="1"/>
  <c i="19" r="AI50" s="1"/>
  <c i="11" r="D262"/>
  <c i="10" r="P5" s="1"/>
  <c i="19" r="AH50" s="1"/>
  <c i="11" r="C262"/>
  <c i="10" r="O5" s="1"/>
  <c i="19" r="AG50" s="1"/>
  <c i="11" r="B262"/>
  <c i="10" r="N5" s="1"/>
  <c i="19" r="AF50" s="1"/>
  <c i="11" r="Y258"/>
  <c i="11" r="L258" s="1"/>
  <c i="11" r="K258"/>
  <c i="16" r="W107" s="1"/>
  <c i="11" r="J258"/>
  <c i="16" r="V107" s="1"/>
  <c i="11" r="I258"/>
  <c i="16" r="U107" s="1"/>
  <c i="11" r="H258"/>
  <c i="16" r="T107" s="1"/>
  <c i="11" r="G258"/>
  <c i="16" r="S107" s="1"/>
  <c i="11" r="F258"/>
  <c i="16" r="R107" s="1"/>
  <c i="11" r="E258"/>
  <c i="16" r="Q107" s="1"/>
  <c i="11" r="D258"/>
  <c i="16" r="P107" s="1"/>
  <c i="11" r="C258"/>
  <c i="16" r="O107" s="1"/>
  <c i="11" r="B258"/>
  <c i="16" r="N107" s="1"/>
  <c i="11" r="Y257"/>
  <c i="11" r="L257" s="1"/>
  <c i="11" r="K257"/>
  <c i="16" r="W106" s="1"/>
  <c i="11" r="J257"/>
  <c i="16" r="V106" s="1"/>
  <c i="11" r="I257"/>
  <c i="16" r="U106" s="1"/>
  <c i="11" r="H257"/>
  <c i="16" r="T106" s="1"/>
  <c i="11" r="G257"/>
  <c i="16" r="S106" s="1"/>
  <c i="11" r="F257"/>
  <c i="16" r="R106" s="1"/>
  <c i="11" r="E257"/>
  <c i="16" r="Q106" s="1"/>
  <c i="11" r="D257"/>
  <c i="16" r="P106" s="1"/>
  <c i="11" r="C257"/>
  <c i="16" r="O106" s="1"/>
  <c i="11" r="B257"/>
  <c i="16" r="N106" s="1"/>
  <c i="11" r="Y256"/>
  <c i="11" r="L256" s="1"/>
  <c i="11" r="K256"/>
  <c i="16" r="W105" s="1"/>
  <c i="11" r="J256"/>
  <c i="16" r="V105" s="1"/>
  <c i="11" r="I256"/>
  <c i="16" r="U105" s="1"/>
  <c i="11" r="H256"/>
  <c i="16" r="T105" s="1"/>
  <c i="11" r="G256"/>
  <c i="16" r="S105" s="1"/>
  <c i="11" r="F256"/>
  <c i="16" r="R105" s="1"/>
  <c i="11" r="E256"/>
  <c i="16" r="Q105" s="1"/>
  <c i="11" r="D256"/>
  <c i="16" r="P105" s="1"/>
  <c i="11" r="C256"/>
  <c i="16" r="O105" s="1"/>
  <c i="11" r="B256"/>
  <c i="16" r="N105" s="1"/>
  <c i="11" r="Y255"/>
  <c i="11" r="L255" s="1"/>
  <c i="11" r="K255"/>
  <c i="16" r="W104" s="1"/>
  <c i="11" r="J255"/>
  <c i="16" r="V104" s="1"/>
  <c i="11" r="I255"/>
  <c i="16" r="U104" s="1"/>
  <c i="11" r="H255"/>
  <c i="16" r="T104" s="1"/>
  <c i="11" r="G255"/>
  <c i="16" r="S104" s="1"/>
  <c i="11" r="F255"/>
  <c i="16" r="R104" s="1"/>
  <c i="11" r="E255"/>
  <c i="16" r="Q104" s="1"/>
  <c i="11" r="D255"/>
  <c i="16" r="P104" s="1"/>
  <c i="11" r="C255"/>
  <c i="16" r="O104" s="1"/>
  <c i="11" r="B255"/>
  <c i="16" r="N104" s="1"/>
  <c i="11" r="Y254"/>
  <c i="11" r="L254" s="1"/>
  <c i="11" r="K254"/>
  <c i="16" r="W103" s="1"/>
  <c i="11" r="J254"/>
  <c i="16" r="V103" s="1"/>
  <c i="11" r="I254"/>
  <c i="16" r="U103" s="1"/>
  <c i="11" r="H254"/>
  <c i="16" r="T103" s="1"/>
  <c i="11" r="G254"/>
  <c i="16" r="S103" s="1"/>
  <c i="11" r="F254"/>
  <c i="16" r="R103" s="1"/>
  <c i="11" r="E254"/>
  <c i="16" r="Q103" s="1"/>
  <c i="11" r="D254"/>
  <c i="16" r="P103" s="1"/>
  <c i="11" r="C254"/>
  <c i="16" r="O103" s="1"/>
  <c i="11" r="B254"/>
  <c i="16" r="N103" s="1"/>
  <c i="11" r="Y253"/>
  <c i="11" r="L253" s="1"/>
  <c i="11" r="K253"/>
  <c i="16" r="W102" s="1"/>
  <c i="11" r="J253"/>
  <c i="16" r="V102" s="1"/>
  <c i="11" r="I253"/>
  <c i="16" r="U102" s="1"/>
  <c i="11" r="H253"/>
  <c i="16" r="T102" s="1"/>
  <c i="11" r="G253"/>
  <c i="16" r="S102" s="1"/>
  <c i="11" r="F253"/>
  <c i="16" r="R102" s="1"/>
  <c i="11" r="E253"/>
  <c i="16" r="Q102" s="1"/>
  <c i="11" r="D253"/>
  <c i="16" r="P102" s="1"/>
  <c i="11" r="C253"/>
  <c i="16" r="O102" s="1"/>
  <c i="11" r="B253"/>
  <c i="16" r="N102" s="1"/>
  <c i="11" r="Y252"/>
  <c i="11" r="L252" s="1"/>
  <c i="11" r="K252"/>
  <c i="16" r="W101" s="1"/>
  <c i="11" r="J252"/>
  <c i="16" r="V101" s="1"/>
  <c i="11" r="I252"/>
  <c i="16" r="U101" s="1"/>
  <c i="11" r="H252"/>
  <c i="16" r="T101" s="1"/>
  <c i="11" r="G252"/>
  <c i="16" r="S101" s="1"/>
  <c i="11" r="F252"/>
  <c i="16" r="R101" s="1"/>
  <c i="11" r="E252"/>
  <c i="16" r="Q101" s="1"/>
  <c i="11" r="D252"/>
  <c i="16" r="P101" s="1"/>
  <c i="11" r="C252"/>
  <c i="16" r="O101" s="1"/>
  <c i="11" r="B252"/>
  <c i="16" r="N101" s="1"/>
  <c i="11" r="S248"/>
  <c i="11" r="F248" s="1"/>
  <c i="16" r="R75" s="1"/>
  <c i="11" r="E248"/>
  <c i="16" r="Q75" s="1"/>
  <c i="11" r="D248"/>
  <c i="16" r="P75" s="1"/>
  <c i="11" r="C248"/>
  <c i="16" r="O75" s="1"/>
  <c i="11" r="B248"/>
  <c i="16" r="N75" s="1"/>
  <c i="11" r="S247"/>
  <c i="11" r="F247" s="1"/>
  <c i="16" r="R74" s="1"/>
  <c i="11" r="E247"/>
  <c i="16" r="Q74" s="1"/>
  <c i="11" r="D247"/>
  <c i="16" r="P74" s="1"/>
  <c i="11" r="C247"/>
  <c i="16" r="O74" s="1"/>
  <c i="11" r="B247"/>
  <c i="16" r="N74" s="1"/>
  <c i="11" r="S246"/>
  <c i="11" r="F246" s="1"/>
  <c i="16" r="R73" s="1"/>
  <c i="11" r="E246"/>
  <c i="16" r="Q73" s="1"/>
  <c i="11" r="D246"/>
  <c i="16" r="P73" s="1"/>
  <c i="11" r="C246"/>
  <c i="16" r="O73" s="1"/>
  <c i="11" r="B246"/>
  <c i="16" r="N73" s="1"/>
  <c i="11" r="S245"/>
  <c i="11" r="F245" s="1"/>
  <c i="16" r="R72" s="1"/>
  <c i="11" r="E245"/>
  <c i="16" r="Q72" s="1"/>
  <c i="11" r="D245"/>
  <c i="16" r="P72" s="1"/>
  <c i="11" r="C245"/>
  <c i="16" r="O72" s="1"/>
  <c i="11" r="B245"/>
  <c i="16" r="N72" s="1"/>
  <c i="11" r="S244"/>
  <c i="11" r="F244" s="1"/>
  <c i="16" r="R71" s="1"/>
  <c i="11" r="E244"/>
  <c i="16" r="Q71" s="1"/>
  <c i="11" r="D244"/>
  <c i="16" r="P71" s="1"/>
  <c i="11" r="C244"/>
  <c i="16" r="O71" s="1"/>
  <c i="11" r="B244"/>
  <c i="16" r="N71" s="1"/>
  <c i="11" r="S243"/>
  <c i="11" r="F243" s="1"/>
  <c i="16" r="R70" s="1"/>
  <c i="11" r="E243"/>
  <c i="16" r="Q70" s="1"/>
  <c i="11" r="D243"/>
  <c i="16" r="P70" s="1"/>
  <c i="11" r="C243"/>
  <c i="16" r="O70" s="1"/>
  <c i="11" r="B243"/>
  <c i="16" r="N70" s="1"/>
  <c i="11" r="S242"/>
  <c i="11" r="F242" s="1"/>
  <c i="16" r="R69" s="1"/>
  <c i="11" r="E242"/>
  <c i="16" r="Q69" s="1"/>
  <c i="11" r="D242"/>
  <c i="16" r="P69" s="1"/>
  <c i="11" r="C242"/>
  <c i="16" r="O69" s="1"/>
  <c i="11" r="B242"/>
  <c i="16" r="N69" s="1"/>
  <c i="11" r="S238"/>
  <c i="11" r="F238" s="1"/>
  <c i="11" r="E238"/>
  <c i="16" r="Q43" s="1"/>
  <c i="11" r="D238"/>
  <c i="16" r="P43" s="1"/>
  <c i="11" r="C238"/>
  <c i="16" r="O43" s="1"/>
  <c i="11" r="B238"/>
  <c i="16" r="N43" s="1"/>
  <c i="11" r="S237"/>
  <c i="11" r="F237" s="1"/>
  <c i="11" r="E237"/>
  <c i="16" r="Q42" s="1"/>
  <c i="11" r="D237"/>
  <c i="16" r="P42" s="1"/>
  <c i="11" r="C237"/>
  <c i="16" r="O42" s="1"/>
  <c i="11" r="B237"/>
  <c i="16" r="N42" s="1"/>
  <c i="11" r="S236"/>
  <c i="11" r="F236" s="1"/>
  <c i="11" r="E236"/>
  <c i="16" r="Q41" s="1"/>
  <c i="11" r="D236"/>
  <c i="16" r="P41" s="1"/>
  <c i="11" r="C236"/>
  <c i="16" r="O41" s="1"/>
  <c i="11" r="B236"/>
  <c i="16" r="N41" s="1"/>
  <c i="11" r="S235"/>
  <c i="11" r="F235" s="1"/>
  <c i="11" r="E235"/>
  <c i="16" r="Q40" s="1"/>
  <c i="11" r="D235"/>
  <c i="16" r="P40" s="1"/>
  <c i="11" r="C235"/>
  <c i="16" r="O40" s="1"/>
  <c i="11" r="B235"/>
  <c i="16" r="N40" s="1"/>
  <c i="11" r="S234"/>
  <c i="11" r="F234" s="1"/>
  <c i="11" r="E234"/>
  <c i="16" r="Q39" s="1"/>
  <c i="11" r="D234"/>
  <c i="16" r="P39" s="1"/>
  <c i="11" r="C234"/>
  <c i="16" r="O39" s="1"/>
  <c i="11" r="B234"/>
  <c i="16" r="N39" s="1"/>
  <c i="11" r="S233"/>
  <c i="11" r="F233" s="1"/>
  <c i="11" r="E233"/>
  <c i="16" r="Q38" s="1"/>
  <c i="11" r="D233"/>
  <c i="16" r="P38" s="1"/>
  <c i="11" r="C233"/>
  <c i="16" r="O38" s="1"/>
  <c i="11" r="B233"/>
  <c i="16" r="N38" s="1"/>
  <c i="11" r="S232"/>
  <c i="11" r="F232" s="1"/>
  <c i="11" r="E232"/>
  <c i="16" r="Q37" s="1"/>
  <c i="11" r="D232"/>
  <c i="16" r="P37" s="1"/>
  <c i="11" r="C232"/>
  <c i="16" r="O37" s="1"/>
  <c i="11" r="B232"/>
  <c i="16" r="N37" s="1"/>
  <c i="11" r="W228"/>
  <c i="11" r="J228" s="1"/>
  <c i="16" r="W11" s="1"/>
  <c i="11" r="I228"/>
  <c i="16" r="V11" s="1"/>
  <c i="11" r="H228"/>
  <c i="16" r="U11" s="1"/>
  <c i="11" r="G228"/>
  <c i="16" r="S11" s="1"/>
  <c i="11" r="F228"/>
  <c i="16" r="R11" s="1"/>
  <c i="11" r="E228"/>
  <c i="16" r="Q11" s="1"/>
  <c i="11" r="D228"/>
  <c i="16" r="P11" s="1"/>
  <c i="11" r="C228"/>
  <c i="16" r="O11" s="1"/>
  <c i="11" r="B228"/>
  <c i="16" r="N11" s="1"/>
  <c i="11" r="W227"/>
  <c i="11" r="J227" s="1"/>
  <c i="16" r="W10" s="1"/>
  <c i="11" r="I227"/>
  <c i="16" r="V10" s="1"/>
  <c i="11" r="H227"/>
  <c i="16" r="U10" s="1"/>
  <c i="11" r="G227"/>
  <c i="16" r="S10" s="1"/>
  <c i="11" r="F227"/>
  <c i="16" r="R10" s="1"/>
  <c i="11" r="E227"/>
  <c i="16" r="Q10" s="1"/>
  <c i="11" r="D227"/>
  <c i="16" r="P10" s="1"/>
  <c i="11" r="C227"/>
  <c i="16" r="O10" s="1"/>
  <c i="11" r="B227"/>
  <c i="16" r="N10" s="1"/>
  <c i="11" r="W226"/>
  <c i="11" r="J226" s="1"/>
  <c i="16" r="W9" s="1"/>
  <c i="11" r="I226"/>
  <c i="16" r="V9" s="1"/>
  <c i="11" r="H226"/>
  <c i="16" r="U9" s="1"/>
  <c i="11" r="G226"/>
  <c i="16" r="S9" s="1"/>
  <c i="11" r="F226"/>
  <c i="16" r="R9" s="1"/>
  <c i="11" r="E226"/>
  <c i="16" r="Q9" s="1"/>
  <c i="11" r="D226"/>
  <c i="16" r="P9" s="1"/>
  <c i="11" r="C226"/>
  <c i="16" r="O9" s="1"/>
  <c i="11" r="B226"/>
  <c i="16" r="N9" s="1"/>
  <c i="11" r="W225"/>
  <c i="11" r="J225" s="1"/>
  <c i="16" r="W8" s="1"/>
  <c i="11" r="I225"/>
  <c i="16" r="V8" s="1"/>
  <c i="11" r="H225"/>
  <c i="16" r="U8" s="1"/>
  <c i="11" r="G225"/>
  <c i="16" r="S8" s="1"/>
  <c i="11" r="F225"/>
  <c i="16" r="R8" s="1"/>
  <c i="11" r="E225"/>
  <c i="16" r="Q8" s="1"/>
  <c i="11" r="D225"/>
  <c i="16" r="P8" s="1"/>
  <c i="11" r="C225"/>
  <c i="16" r="O8" s="1"/>
  <c i="11" r="B225"/>
  <c i="16" r="N8" s="1"/>
  <c i="11" r="W224"/>
  <c i="11" r="J224" s="1"/>
  <c i="16" r="W7" s="1"/>
  <c i="11" r="I224"/>
  <c i="16" r="V7" s="1"/>
  <c i="11" r="H224"/>
  <c i="16" r="U7" s="1"/>
  <c i="11" r="G224"/>
  <c i="16" r="S7" s="1"/>
  <c i="11" r="F224"/>
  <c i="16" r="R7" s="1"/>
  <c i="11" r="E224"/>
  <c i="16" r="Q7" s="1"/>
  <c i="11" r="D224"/>
  <c i="16" r="P7" s="1"/>
  <c i="11" r="C224"/>
  <c i="16" r="O7" s="1"/>
  <c i="11" r="B224"/>
  <c i="16" r="N7" s="1"/>
  <c i="11" r="W223"/>
  <c i="11" r="J223" s="1"/>
  <c i="16" r="W6" s="1"/>
  <c i="11" r="I223"/>
  <c i="16" r="V6" s="1"/>
  <c i="11" r="H223"/>
  <c i="16" r="U6" s="1"/>
  <c i="11" r="G223"/>
  <c i="16" r="S6" s="1"/>
  <c i="11" r="F223"/>
  <c i="16" r="R6" s="1"/>
  <c i="11" r="E223"/>
  <c i="16" r="Q6" s="1"/>
  <c i="11" r="D223"/>
  <c i="16" r="P6" s="1"/>
  <c i="11" r="C223"/>
  <c i="16" r="O6" s="1"/>
  <c i="11" r="B223"/>
  <c i="16" r="N6" s="1"/>
  <c i="11" r="W222"/>
  <c i="11" r="J222" s="1"/>
  <c i="16" r="W5" s="1"/>
  <c i="11" r="I222"/>
  <c i="16" r="V5" s="1"/>
  <c i="11" r="H222"/>
  <c i="16" r="U5" s="1"/>
  <c i="11" r="G222"/>
  <c i="16" r="S5" s="1"/>
  <c i="11" r="F222"/>
  <c i="16" r="R5" s="1"/>
  <c i="11" r="E222"/>
  <c i="16" r="Q5" s="1"/>
  <c i="11" r="D222"/>
  <c i="16" r="P5" s="1"/>
  <c i="11" r="C222"/>
  <c i="16" r="O5" s="1"/>
  <c i="11" r="B222"/>
  <c i="16" r="N5" s="1"/>
  <c i="11" r="Y218"/>
  <c i="11" r="L218" s="1"/>
  <c i="11" r="K218"/>
  <c i="11" r="J218"/>
  <c i="9" r="V115" s="1"/>
  <c i="11" r="I218"/>
  <c i="9" r="U115" s="1"/>
  <c i="11" r="H218"/>
  <c i="9" r="T115" s="1"/>
  <c i="11" r="G218"/>
  <c i="9" r="S115" s="1"/>
  <c i="11" r="F218"/>
  <c i="9" r="R115" s="1"/>
  <c i="11" r="E218"/>
  <c i="9" r="Q115" s="1"/>
  <c i="11" r="D218"/>
  <c i="9" r="P115" s="1"/>
  <c i="11" r="C218"/>
  <c i="9" r="O115" s="1"/>
  <c i="11" r="B218"/>
  <c i="9" r="N115" s="1"/>
  <c i="11" r="Y217"/>
  <c i="11" r="L217" s="1"/>
  <c i="11" r="K217"/>
  <c i="9" r="W114" s="1"/>
  <c i="11" r="J217"/>
  <c i="9" r="V114" s="1"/>
  <c i="11" r="I217"/>
  <c i="9" r="U114" s="1"/>
  <c i="11" r="H217"/>
  <c i="9" r="T114" s="1"/>
  <c i="11" r="G217"/>
  <c i="9" r="S114" s="1"/>
  <c i="11" r="F217"/>
  <c i="9" r="R114" s="1"/>
  <c i="11" r="E217"/>
  <c i="9" r="Q114" s="1"/>
  <c i="11" r="D217"/>
  <c i="9" r="P114" s="1"/>
  <c i="11" r="C217"/>
  <c i="9" r="O114" s="1"/>
  <c i="11" r="B217"/>
  <c i="9" r="N114" s="1"/>
  <c i="11" r="Y216"/>
  <c i="11" r="L216" s="1"/>
  <c i="11" r="K216"/>
  <c i="9" r="W113" s="1"/>
  <c i="11" r="J216"/>
  <c i="9" r="V113" s="1"/>
  <c i="11" r="I216"/>
  <c i="9" r="U113" s="1"/>
  <c i="11" r="H216"/>
  <c i="9" r="T113" s="1"/>
  <c i="11" r="G216"/>
  <c i="9" r="S113" s="1"/>
  <c i="11" r="F216"/>
  <c i="9" r="R113" s="1"/>
  <c i="11" r="E216"/>
  <c i="9" r="Q113" s="1"/>
  <c i="11" r="D216"/>
  <c i="9" r="P113" s="1"/>
  <c i="11" r="C216"/>
  <c i="9" r="O113" s="1"/>
  <c i="11" r="B216"/>
  <c i="9" r="N113" s="1"/>
  <c i="11" r="Y215"/>
  <c i="11" r="L215" s="1"/>
  <c i="11" r="K215"/>
  <c i="9" r="W112" s="1"/>
  <c i="11" r="J215"/>
  <c i="9" r="V112" s="1"/>
  <c i="11" r="I215"/>
  <c i="9" r="U112" s="1"/>
  <c i="11" r="H215"/>
  <c i="9" r="T112" s="1"/>
  <c i="11" r="G215"/>
  <c i="9" r="S112" s="1"/>
  <c i="11" r="F215"/>
  <c i="9" r="R112" s="1"/>
  <c i="11" r="E215"/>
  <c i="9" r="Q112" s="1"/>
  <c i="11" r="D215"/>
  <c i="9" r="P112" s="1"/>
  <c i="11" r="C215"/>
  <c i="9" r="O112" s="1"/>
  <c i="11" r="B215"/>
  <c i="9" r="N112" s="1"/>
  <c i="11" r="Y214"/>
  <c i="11" r="L214" s="1"/>
  <c i="11" r="K214"/>
  <c i="9" r="W111" s="1"/>
  <c i="11" r="J214"/>
  <c i="9" r="V111" s="1"/>
  <c i="11" r="I214"/>
  <c i="9" r="U111" s="1"/>
  <c i="11" r="H214"/>
  <c i="9" r="T111" s="1"/>
  <c i="11" r="G214"/>
  <c i="9" r="S111" s="1"/>
  <c i="11" r="F214"/>
  <c i="9" r="R111" s="1"/>
  <c i="11" r="E214"/>
  <c i="9" r="Q111" s="1"/>
  <c i="11" r="D214"/>
  <c i="9" r="P111" s="1"/>
  <c i="11" r="C214"/>
  <c i="9" r="O111" s="1"/>
  <c i="11" r="B214"/>
  <c i="9" r="N111" s="1"/>
  <c i="11" r="Y213"/>
  <c i="11" r="L213" s="1"/>
  <c i="11" r="K213"/>
  <c i="9" r="W110" s="1"/>
  <c i="11" r="J213"/>
  <c i="9" r="V110" s="1"/>
  <c i="11" r="I213"/>
  <c i="9" r="U110" s="1"/>
  <c i="11" r="H213"/>
  <c i="9" r="T110" s="1"/>
  <c i="11" r="G213"/>
  <c i="9" r="S110" s="1"/>
  <c i="11" r="F213"/>
  <c i="9" r="R110" s="1"/>
  <c i="11" r="E213"/>
  <c i="9" r="Q110" s="1"/>
  <c i="11" r="D213"/>
  <c i="9" r="P110" s="1"/>
  <c i="11" r="C213"/>
  <c i="9" r="O110" s="1"/>
  <c i="11" r="B213"/>
  <c i="9" r="N110" s="1"/>
  <c i="11" r="Y212"/>
  <c i="11" r="L212" s="1"/>
  <c i="11" r="K212"/>
  <c i="9" r="W109" s="1"/>
  <c i="11" r="J212"/>
  <c i="9" r="V109" s="1"/>
  <c i="11" r="I212"/>
  <c i="9" r="U109" s="1"/>
  <c i="11" r="H212"/>
  <c i="9" r="T109" s="1"/>
  <c i="11" r="G212"/>
  <c i="9" r="S109" s="1"/>
  <c i="11" r="F212"/>
  <c i="9" r="R109" s="1"/>
  <c i="11" r="E212"/>
  <c i="9" r="Q109" s="1"/>
  <c i="11" r="D212"/>
  <c i="9" r="P109" s="1"/>
  <c i="11" r="C212"/>
  <c i="9" r="O109" s="1"/>
  <c i="11" r="B212"/>
  <c i="9" r="N109" s="1"/>
  <c i="11" r="Y211"/>
  <c i="11" r="L211" s="1"/>
  <c i="11" r="K211"/>
  <c i="9" r="W108" s="1"/>
  <c i="11" r="J211"/>
  <c i="9" r="V108" s="1"/>
  <c i="11" r="I211"/>
  <c i="9" r="U108" s="1"/>
  <c i="11" r="H211"/>
  <c i="9" r="T108" s="1"/>
  <c i="11" r="G211"/>
  <c i="9" r="S108" s="1"/>
  <c i="11" r="F211"/>
  <c i="9" r="R108" s="1"/>
  <c i="11" r="E211"/>
  <c i="9" r="Q108" s="1"/>
  <c i="11" r="D211"/>
  <c i="9" r="P108" s="1"/>
  <c i="11" r="C211"/>
  <c i="9" r="O108" s="1"/>
  <c i="11" r="B211"/>
  <c i="9" r="N108" s="1"/>
  <c i="11" r="S207"/>
  <c i="11" r="F207" s="1"/>
  <c i="9" r="R81" s="1"/>
  <c i="18" r="D12" s="1"/>
  <c i="11" r="E207"/>
  <c i="9" r="Q81" s="1"/>
  <c i="11" r="D207"/>
  <c i="9" r="P81" s="1"/>
  <c i="11" r="C207"/>
  <c i="9" r="O81" s="1"/>
  <c i="11" r="B207"/>
  <c i="9" r="N81" s="1"/>
  <c i="11" r="S206"/>
  <c i="11" r="F206" s="1"/>
  <c i="9" r="R80" s="1"/>
  <c i="18" r="D11" s="1"/>
  <c i="11" r="E206"/>
  <c i="9" r="Q80" s="1"/>
  <c i="11" r="D206"/>
  <c i="9" r="P80" s="1"/>
  <c i="11" r="C206"/>
  <c i="9" r="O80" s="1"/>
  <c i="11" r="B206"/>
  <c i="9" r="N80" s="1"/>
  <c i="11" r="S205"/>
  <c i="11" r="F205" s="1"/>
  <c i="9" r="R79" s="1"/>
  <c i="18" r="D10" s="1"/>
  <c i="11" r="E205"/>
  <c i="9" r="Q79" s="1"/>
  <c i="11" r="D205"/>
  <c i="9" r="P79" s="1"/>
  <c i="11" r="C205"/>
  <c i="9" r="O79" s="1"/>
  <c i="11" r="B205"/>
  <c i="9" r="N79" s="1"/>
  <c i="11" r="S204"/>
  <c i="11" r="F204" s="1"/>
  <c i="9" r="R78" s="1"/>
  <c i="11" r="E204"/>
  <c i="9" r="Q78" s="1"/>
  <c i="11" r="D204"/>
  <c i="9" r="P78" s="1"/>
  <c i="11" r="C204"/>
  <c i="9" r="O78" s="1"/>
  <c i="11" r="B204"/>
  <c i="9" r="N78" s="1"/>
  <c i="11" r="S203"/>
  <c i="11" r="F203" s="1"/>
  <c i="9" r="R77" s="1"/>
  <c i="18" r="D8" s="1"/>
  <c i="11" r="E203"/>
  <c i="9" r="Q77" s="1"/>
  <c i="11" r="D203"/>
  <c i="9" r="P77" s="1"/>
  <c i="11" r="C203"/>
  <c i="9" r="O77" s="1"/>
  <c i="11" r="B203"/>
  <c i="9" r="N77" s="1"/>
  <c i="11" r="S202"/>
  <c i="11" r="F202" s="1"/>
  <c i="9" r="R76" s="1"/>
  <c i="11" r="E202"/>
  <c i="9" r="Q76" s="1"/>
  <c i="11" r="D202"/>
  <c i="9" r="P76" s="1"/>
  <c i="11" r="C202"/>
  <c i="9" r="O76" s="1"/>
  <c i="11" r="B202"/>
  <c i="9" r="N76" s="1"/>
  <c i="11" r="S201"/>
  <c i="11" r="F201" s="1"/>
  <c i="9" r="R75" s="1"/>
  <c i="18" r="D6" s="1"/>
  <c i="11" r="E201"/>
  <c i="9" r="Q75" s="1"/>
  <c i="11" r="D201"/>
  <c i="9" r="P75" s="1"/>
  <c i="11" r="C201"/>
  <c i="9" r="O75" s="1"/>
  <c i="11" r="B201"/>
  <c i="9" r="N75" s="1"/>
  <c i="11" r="S200"/>
  <c i="11" r="F200" s="1"/>
  <c i="9" r="R74" s="1"/>
  <c i="11" r="E200"/>
  <c i="9" r="Q74" s="1"/>
  <c i="11" r="D200"/>
  <c i="9" r="P74" s="1"/>
  <c i="11" r="C200"/>
  <c i="9" r="O74" s="1"/>
  <c i="11" r="B200"/>
  <c i="9" r="N74" s="1"/>
  <c i="11" r="S196"/>
  <c i="11" r="F196" s="1"/>
  <c i="11" r="E196"/>
  <c i="9" r="Q47" s="1"/>
  <c i="11" r="D196"/>
  <c i="9" r="P47" s="1"/>
  <c i="11" r="C196"/>
  <c i="9" r="O47" s="1"/>
  <c i="11" r="B196"/>
  <c i="9" r="N47" s="1"/>
  <c i="11" r="S195"/>
  <c i="11" r="F195" s="1"/>
  <c i="11" r="E195"/>
  <c i="9" r="Q46" s="1"/>
  <c i="11" r="D195"/>
  <c i="9" r="P46" s="1"/>
  <c i="11" r="C195"/>
  <c i="9" r="O46" s="1"/>
  <c i="11" r="B195"/>
  <c i="9" r="N46" s="1"/>
  <c i="9" r="Z46" s="1"/>
  <c i="11" r="S194"/>
  <c i="11" r="F194" s="1"/>
  <c i="11" r="E194"/>
  <c i="9" r="Q45" s="1"/>
  <c i="11" r="D194"/>
  <c i="9" r="P45" s="1"/>
  <c i="11" r="C194"/>
  <c i="11" r="B194"/>
  <c i="9" r="N45" s="1"/>
  <c i="11" r="S193"/>
  <c i="11" r="F193" s="1"/>
  <c i="11" r="E193"/>
  <c i="9" r="Q44" s="1"/>
  <c i="11" r="D193"/>
  <c i="9" r="P44" s="1"/>
  <c i="11" r="C193"/>
  <c i="9" r="O44" s="1"/>
  <c i="11" r="B193"/>
  <c i="9" r="N44" s="1"/>
  <c i="11" r="S192"/>
  <c i="11" r="F192" s="1"/>
  <c i="11" r="E192"/>
  <c i="11" r="D192"/>
  <c i="9" r="P43" s="1"/>
  <c i="11" r="C192"/>
  <c i="9" r="O43" s="1"/>
  <c i="11" r="B192"/>
  <c i="9" r="N43" s="1"/>
  <c i="11" r="S191"/>
  <c i="11" r="F191" s="1"/>
  <c i="11" r="E191"/>
  <c i="9" r="Q42" s="1"/>
  <c i="11" r="D191"/>
  <c i="9" r="P42" s="1"/>
  <c i="11" r="C191"/>
  <c i="9" r="O42" s="1"/>
  <c i="11" r="B191"/>
  <c i="9" r="N42" s="1"/>
  <c i="11" r="S190"/>
  <c i="11" r="F190" s="1"/>
  <c i="11" r="E190"/>
  <c i="9" r="Q41" s="1"/>
  <c i="11" r="D190"/>
  <c i="9" r="P41" s="1"/>
  <c i="11" r="C190"/>
  <c i="9" r="O41" s="1"/>
  <c i="11" r="B190"/>
  <c i="9" r="N41" s="1"/>
  <c i="11" r="S189"/>
  <c i="11" r="F189" s="1"/>
  <c i="11" r="E189"/>
  <c i="9" r="Q40" s="1"/>
  <c i="11" r="D189"/>
  <c i="9" r="P40" s="1"/>
  <c i="11" r="C189"/>
  <c i="9" r="O40" s="1"/>
  <c i="11" r="B189"/>
  <c i="9" r="N40" s="1"/>
  <c i="11" r="W185"/>
  <c i="11" r="J185" s="1"/>
  <c i="9" r="W12" s="1"/>
  <c i="1" r="C41" s="1"/>
  <c i="11" r="I185"/>
  <c i="9" r="V12" s="1"/>
  <c i="11" r="H185"/>
  <c i="9" r="U12" s="1"/>
  <c i="11" r="G185"/>
  <c i="9" r="S12" s="1"/>
  <c i="11" r="F185"/>
  <c i="9" r="R12" s="1"/>
  <c i="18" r="P55" s="1"/>
  <c i="19" r="AJ13" s="1"/>
  <c i="11" r="E185"/>
  <c i="9" r="Q12" s="1"/>
  <c i="18" r="O55" s="1"/>
  <c i="19" r="AI13" s="1"/>
  <c i="11" r="D185"/>
  <c i="9" r="P12" s="1"/>
  <c i="18" r="N55" s="1"/>
  <c i="19" r="AH13" s="1"/>
  <c i="11" r="C185"/>
  <c i="9" r="O12" s="1"/>
  <c i="11" r="B185"/>
  <c i="9" r="N12" s="1"/>
  <c i="11" r="W184"/>
  <c i="11" r="J184" s="1"/>
  <c i="9" r="W11" s="1"/>
  <c i="9" r="AM11" s="1"/>
  <c i="11" r="I184"/>
  <c i="9" r="V11" s="1"/>
  <c i="18" r="S54" s="1"/>
  <c i="19" r="AM12" s="1"/>
  <c i="11" r="H184"/>
  <c i="9" r="U11" s="1"/>
  <c i="18" r="R54" s="1"/>
  <c i="19" r="AL12" s="1"/>
  <c i="11" r="G184"/>
  <c i="9" r="S11" s="1"/>
  <c i="11" r="F184"/>
  <c i="9" r="R11" s="1"/>
  <c i="11" r="E184"/>
  <c i="9" r="Q11" s="1"/>
  <c i="18" r="O54" s="1"/>
  <c i="19" r="AI12" s="1"/>
  <c i="11" r="D184"/>
  <c i="9" r="P11" s="1"/>
  <c i="18" r="N54" s="1"/>
  <c i="19" r="AH12" s="1"/>
  <c i="11" r="C184"/>
  <c i="9" r="O11" s="1"/>
  <c i="11" r="B184"/>
  <c i="9" r="N11" s="1"/>
  <c i="18" r="L54" s="1"/>
  <c i="19" r="AF12" s="1"/>
  <c i="11" r="W183"/>
  <c i="11" r="J183" s="1"/>
  <c i="9" r="W10" s="1"/>
  <c i="1" r="C39" s="1"/>
  <c i="11" r="I183"/>
  <c i="9" r="V10" s="1"/>
  <c i="11" r="H183"/>
  <c i="9" r="U10" s="1"/>
  <c i="18" r="R53" s="1"/>
  <c i="19" r="AL11" s="1"/>
  <c i="11" r="G183"/>
  <c i="9" r="S10" s="1"/>
  <c i="18" r="Q53" s="1"/>
  <c i="19" r="AK11" s="1"/>
  <c i="11" r="F183"/>
  <c i="9" r="R10" s="1"/>
  <c i="11" r="E183"/>
  <c i="9" r="Q10" s="1"/>
  <c i="11" r="D183"/>
  <c i="9" r="P10" s="1"/>
  <c i="11" r="C183"/>
  <c i="9" r="O10" s="1"/>
  <c i="18" r="M53" s="1"/>
  <c i="19" r="AG11" s="1"/>
  <c i="11" r="B183"/>
  <c i="9" r="N10" s="1"/>
  <c i="18" r="L53" s="1"/>
  <c i="19" r="AF11" s="1"/>
  <c i="11" r="W182"/>
  <c i="11" r="J182" s="1"/>
  <c i="9" r="W9" s="1"/>
  <c i="1" r="C38" s="1"/>
  <c i="11" r="I182"/>
  <c i="9" r="V9" s="1"/>
  <c i="11" r="H182"/>
  <c i="9" r="U9" s="1"/>
  <c i="11" r="G182"/>
  <c i="9" r="S9" s="1"/>
  <c i="18" r="Q52" s="1"/>
  <c i="19" r="AK10" s="1"/>
  <c i="11" r="F182"/>
  <c i="9" r="R9" s="1"/>
  <c i="18" r="P52" s="1"/>
  <c i="19" r="AJ10" s="1"/>
  <c i="11" r="E182"/>
  <c i="9" r="Q9" s="1"/>
  <c i="18" r="O52" s="1"/>
  <c i="19" r="AI10" s="1"/>
  <c i="11" r="D182"/>
  <c i="9" r="P9" s="1"/>
  <c i="11" r="C182"/>
  <c i="9" r="O9" s="1"/>
  <c i="11" r="B182"/>
  <c i="9" r="N9" s="1"/>
  <c i="18" r="L52" s="1"/>
  <c i="19" r="AF10" s="1"/>
  <c i="11" r="W181"/>
  <c i="11" r="J181" s="1"/>
  <c i="9" r="W8" s="1"/>
  <c i="11" r="I181"/>
  <c i="9" r="V8" s="1"/>
  <c i="11" r="H181"/>
  <c i="9" r="U8" s="1"/>
  <c i="18" r="R51" s="1"/>
  <c i="19" r="AL9" s="1"/>
  <c i="11" r="G181"/>
  <c i="9" r="S8" s="1"/>
  <c i="11" r="F181"/>
  <c i="9" r="R8" s="1"/>
  <c i="11" r="E181"/>
  <c i="9" r="Q8" s="1"/>
  <c i="11" r="D181"/>
  <c i="9" r="P8" s="1"/>
  <c i="18" r="N51" s="1"/>
  <c i="19" r="AH9" s="1"/>
  <c i="11" r="C181"/>
  <c i="9" r="O8" s="1"/>
  <c i="18" r="M51" s="1"/>
  <c i="19" r="AG9" s="1"/>
  <c i="11" r="B181"/>
  <c i="9" r="N8" s="1"/>
  <c i="18" r="L51" s="1"/>
  <c i="19" r="AF9" s="1"/>
  <c i="11" r="W180"/>
  <c i="11" r="J180" s="1"/>
  <c i="9" r="W7" s="1"/>
  <c i="9" r="AM7" s="1"/>
  <c i="11" r="I180"/>
  <c i="9" r="V7" s="1"/>
  <c i="11" r="H180"/>
  <c i="9" r="U7" s="1"/>
  <c i="18" r="R50" s="1"/>
  <c i="19" r="AL8" s="1"/>
  <c i="11" r="G180"/>
  <c i="9" r="S7" s="1"/>
  <c i="18" r="Q50" s="1"/>
  <c i="19" r="AK8" s="1"/>
  <c i="11" r="F180"/>
  <c i="9" r="R7" s="1"/>
  <c i="18" r="P50" s="1"/>
  <c i="19" r="AJ8" s="1"/>
  <c i="11" r="E180"/>
  <c i="9" r="Q7" s="1"/>
  <c i="18" r="O50" s="1"/>
  <c i="19" r="AI8" s="1"/>
  <c i="11" r="D180"/>
  <c i="11" r="C180"/>
  <c i="9" r="O7" s="1"/>
  <c i="18" r="M50" s="1"/>
  <c i="19" r="AG8" s="1"/>
  <c i="11" r="B180"/>
  <c i="9" r="N7" s="1"/>
  <c i="11" r="W179"/>
  <c i="11" r="J179" s="1"/>
  <c i="11" r="I179"/>
  <c i="9" r="V6" s="1"/>
  <c i="18" r="S49" s="1"/>
  <c i="19" r="AM7" s="1"/>
  <c i="11" r="H179"/>
  <c i="9" r="U6" s="1"/>
  <c i="18" r="R49" s="1"/>
  <c i="19" r="AL7" s="1"/>
  <c i="11" r="G179"/>
  <c i="9" r="S6" s="1"/>
  <c i="18" r="Q49" s="1"/>
  <c i="19" r="AK7" s="1"/>
  <c i="11" r="F179"/>
  <c i="9" r="R6" s="1"/>
  <c i="11" r="E179"/>
  <c i="9" r="Q6" s="1"/>
  <c i="18" r="O49" s="1"/>
  <c i="19" r="AI7" s="1"/>
  <c i="19" r="X37" s="1"/>
  <c i="11" r="D179"/>
  <c i="9" r="P6" s="1"/>
  <c i="18" r="N49" s="1"/>
  <c i="19" r="AH7" s="1"/>
  <c i="19" r="W37" s="1"/>
  <c i="11" r="C179"/>
  <c i="9" r="O6" s="1"/>
  <c i="11" r="B179"/>
  <c i="9" r="N6" s="1"/>
  <c i="11" r="W178"/>
  <c i="11" r="J178" s="1"/>
  <c i="9" r="W5" s="1"/>
  <c i="1" r="C34" s="1"/>
  <c i="11" r="I178"/>
  <c i="9" r="V5" s="1"/>
  <c i="18" r="S48" s="1"/>
  <c i="19" r="AM6" s="1"/>
  <c i="11" r="H178"/>
  <c i="9" r="U5" s="1"/>
  <c i="18" r="R48" s="1"/>
  <c i="19" r="AL6" s="1"/>
  <c i="11" r="G178"/>
  <c i="9" r="S5" s="1"/>
  <c i="18" r="Q48" s="1"/>
  <c i="19" r="AK6" s="1"/>
  <c i="11" r="F178"/>
  <c i="9" r="R5" s="1"/>
  <c i="18" r="P48" s="1"/>
  <c i="19" r="AJ6" s="1"/>
  <c i="11" r="E178"/>
  <c i="9" r="Q5" s="1"/>
  <c i="11" r="D178"/>
  <c i="9" r="P5" s="1"/>
  <c i="11" r="C178"/>
  <c i="9" r="O5" s="1"/>
  <c i="18" r="M48" s="1"/>
  <c i="19" r="AG6" s="1"/>
  <c i="11" r="B178"/>
  <c i="9" r="N5" s="1"/>
  <c i="11" r="V174"/>
  <c i="11" r="I174" s="1"/>
  <c i="8" r="S71" s="1"/>
  <c i="8" r="AC71" s="1"/>
  <c i="11" r="H174"/>
  <c i="8" r="R71" s="1"/>
  <c i="11" r="G174"/>
  <c i="8" r="Q71" s="1"/>
  <c i="11" r="F174"/>
  <c i="8" r="P71" s="1"/>
  <c i="11" r="E174"/>
  <c i="8" r="O71" s="1"/>
  <c i="11" r="D174"/>
  <c i="8" r="N71" s="1"/>
  <c i="11" r="C174"/>
  <c i="8" r="M71" s="1"/>
  <c i="11" r="B174"/>
  <c i="8" r="L71" s="1"/>
  <c i="11" r="V173"/>
  <c i="11" r="I173" s="1"/>
  <c i="8" r="S70" s="1"/>
  <c i="11" r="H173"/>
  <c i="8" r="R70" s="1"/>
  <c i="11" r="G173"/>
  <c i="8" r="Q70" s="1"/>
  <c i="11" r="F173"/>
  <c i="8" r="P70" s="1"/>
  <c i="11" r="E173"/>
  <c i="8" r="O70" s="1"/>
  <c i="11" r="D173"/>
  <c i="8" r="N70" s="1"/>
  <c i="11" r="C173"/>
  <c i="8" r="M70" s="1"/>
  <c i="11" r="B173"/>
  <c i="8" r="L70" s="1"/>
  <c i="11" r="V172"/>
  <c i="11" r="I172" s="1"/>
  <c i="8" r="S69" s="1"/>
  <c i="11" r="H172"/>
  <c i="8" r="R69" s="1"/>
  <c i="11" r="G172"/>
  <c i="8" r="Q69" s="1"/>
  <c i="11" r="F172"/>
  <c i="8" r="P69" s="1"/>
  <c i="11" r="E172"/>
  <c i="8" r="O69" s="1"/>
  <c i="11" r="D172"/>
  <c i="8" r="N69" s="1"/>
  <c i="11" r="C172"/>
  <c i="8" r="M69" s="1"/>
  <c i="11" r="B172"/>
  <c i="8" r="L69" s="1"/>
  <c i="11" r="V171"/>
  <c i="11" r="I171" s="1"/>
  <c i="8" r="S68" s="1"/>
  <c i="11" r="H171"/>
  <c i="8" r="R68" s="1"/>
  <c i="11" r="G171"/>
  <c i="8" r="Q68" s="1"/>
  <c i="11" r="F171"/>
  <c i="8" r="P68" s="1"/>
  <c i="11" r="E171"/>
  <c i="8" r="O68" s="1"/>
  <c i="11" r="D171"/>
  <c i="8" r="N68" s="1"/>
  <c i="11" r="C171"/>
  <c i="8" r="M68" s="1"/>
  <c i="11" r="B171"/>
  <c i="8" r="L68" s="1"/>
  <c i="11" r="V170"/>
  <c i="11" r="I170" s="1"/>
  <c i="8" r="S67" s="1"/>
  <c i="11" r="H170"/>
  <c i="8" r="R67" s="1"/>
  <c i="11" r="G170"/>
  <c i="8" r="Q67" s="1"/>
  <c i="11" r="F170"/>
  <c i="8" r="P67" s="1"/>
  <c i="11" r="E170"/>
  <c i="8" r="O67" s="1"/>
  <c i="11" r="D170"/>
  <c i="8" r="N67" s="1"/>
  <c i="11" r="C170"/>
  <c i="8" r="M67" s="1"/>
  <c i="11" r="B170"/>
  <c i="8" r="L67" s="1"/>
  <c i="11" r="V169"/>
  <c i="11" r="I169" s="1"/>
  <c i="8" r="S66" s="1"/>
  <c i="11" r="H169"/>
  <c i="8" r="R66" s="1"/>
  <c i="11" r="G169"/>
  <c i="8" r="Q66" s="1"/>
  <c i="11" r="F169"/>
  <c i="8" r="P66" s="1"/>
  <c i="11" r="E169"/>
  <c i="8" r="O66" s="1"/>
  <c i="11" r="D169"/>
  <c i="8" r="N66" s="1"/>
  <c i="11" r="C169"/>
  <c i="8" r="M66" s="1"/>
  <c i="11" r="B169"/>
  <c i="11" r="V168"/>
  <c i="11" r="I168" s="1"/>
  <c i="8" r="S65" s="1"/>
  <c i="11" r="H168"/>
  <c i="8" r="R65" s="1"/>
  <c i="11" r="G168"/>
  <c i="8" r="Q65" s="1"/>
  <c i="11" r="F168"/>
  <c i="8" r="P65" s="1"/>
  <c i="11" r="E168"/>
  <c i="8" r="O65" s="1"/>
  <c i="11" r="D168"/>
  <c i="8" r="N65" s="1"/>
  <c i="11" r="C168"/>
  <c i="8" r="M65" s="1"/>
  <c i="11" r="B168"/>
  <c i="8" r="L65" s="1"/>
  <c i="11" r="V164"/>
  <c i="11" r="I164" s="1"/>
  <c i="8" r="S41" s="1"/>
  <c i="11" r="H164"/>
  <c i="8" r="R41" s="1"/>
  <c i="11" r="G164"/>
  <c i="8" r="Q41" s="1"/>
  <c i="11" r="F164"/>
  <c i="8" r="P41" s="1"/>
  <c i="11" r="E164"/>
  <c i="8" r="O41" s="1"/>
  <c i="11" r="D164"/>
  <c i="8" r="N41" s="1"/>
  <c i="11" r="C164"/>
  <c i="8" r="M41" s="1"/>
  <c i="11" r="B164"/>
  <c i="8" r="L41" s="1"/>
  <c i="11" r="V163"/>
  <c i="11" r="I163" s="1"/>
  <c i="8" r="S40" s="1"/>
  <c i="11" r="H163"/>
  <c i="8" r="R40" s="1"/>
  <c i="11" r="G163"/>
  <c i="8" r="Q40" s="1"/>
  <c i="11" r="F163"/>
  <c i="8" r="P40" s="1"/>
  <c i="11" r="E163"/>
  <c i="8" r="O40" s="1"/>
  <c i="11" r="D163"/>
  <c i="8" r="N40" s="1"/>
  <c i="11" r="C163"/>
  <c i="8" r="M40" s="1"/>
  <c i="11" r="B163"/>
  <c i="8" r="L40" s="1"/>
  <c i="11" r="V162"/>
  <c i="11" r="I162" s="1"/>
  <c i="8" r="S39" s="1"/>
  <c i="11" r="H162"/>
  <c i="8" r="R39" s="1"/>
  <c i="11" r="G162"/>
  <c i="8" r="Q39" s="1"/>
  <c i="11" r="F162"/>
  <c i="8" r="P39" s="1"/>
  <c i="11" r="E162"/>
  <c i="8" r="O39" s="1"/>
  <c i="11" r="D162"/>
  <c i="8" r="N39" s="1"/>
  <c i="11" r="C162"/>
  <c i="8" r="M39" s="1"/>
  <c i="11" r="B162"/>
  <c i="8" r="L39" s="1"/>
  <c i="11" r="V161"/>
  <c i="11" r="I161" s="1"/>
  <c i="8" r="S38" s="1"/>
  <c i="11" r="H161"/>
  <c i="8" r="R38" s="1"/>
  <c i="11" r="G161"/>
  <c i="8" r="Q38" s="1"/>
  <c i="11" r="F161"/>
  <c i="8" r="P38" s="1"/>
  <c i="11" r="E161"/>
  <c i="8" r="O38" s="1"/>
  <c i="11" r="D161"/>
  <c i="8" r="N38" s="1"/>
  <c i="11" r="C161"/>
  <c i="8" r="M38" s="1"/>
  <c i="11" r="B161"/>
  <c i="8" r="L38" s="1"/>
  <c i="11" r="V160"/>
  <c i="11" r="I160" s="1"/>
  <c i="8" r="S37" s="1"/>
  <c i="11" r="H160"/>
  <c i="8" r="R37" s="1"/>
  <c i="11" r="G160"/>
  <c i="8" r="Q37" s="1"/>
  <c i="11" r="F160"/>
  <c i="8" r="P37" s="1"/>
  <c i="11" r="E160"/>
  <c i="8" r="O37" s="1"/>
  <c i="11" r="D160"/>
  <c i="8" r="N37" s="1"/>
  <c i="11" r="C160"/>
  <c i="8" r="M37" s="1"/>
  <c i="11" r="B160"/>
  <c i="8" r="L37" s="1"/>
  <c i="11" r="V159"/>
  <c i="11" r="I159" s="1"/>
  <c i="8" r="S36" s="1"/>
  <c i="11" r="H159"/>
  <c i="11" r="G159"/>
  <c i="8" r="Q36" s="1"/>
  <c i="11" r="F159"/>
  <c i="8" r="P36" s="1"/>
  <c i="11" r="E159"/>
  <c i="8" r="O36" s="1"/>
  <c i="11" r="D159"/>
  <c i="8" r="N36" s="1"/>
  <c i="11" r="C159"/>
  <c i="8" r="M36" s="1"/>
  <c i="11" r="B159"/>
  <c i="8" r="L36" s="1"/>
  <c i="11" r="V158"/>
  <c i="11" r="I158" s="1"/>
  <c i="8" r="S35" s="1"/>
  <c i="11" r="H158"/>
  <c i="8" r="R35" s="1"/>
  <c i="11" r="G158"/>
  <c i="8" r="Q35" s="1"/>
  <c i="11" r="F158"/>
  <c i="8" r="P35" s="1"/>
  <c i="11" r="E158"/>
  <c i="8" r="O35" s="1"/>
  <c i="11" r="D158"/>
  <c i="8" r="N35" s="1"/>
  <c i="11" r="C158"/>
  <c i="8" r="M35" s="1"/>
  <c i="11" r="B158"/>
  <c i="8" r="L35" s="1"/>
  <c i="11" r="V154"/>
  <c i="11" r="I154" s="1"/>
  <c i="8" r="S11" s="1"/>
  <c i="11" r="H154"/>
  <c i="8" r="R11" s="1"/>
  <c i="11" r="G154"/>
  <c i="8" r="Q11" s="1"/>
  <c i="11" r="F154"/>
  <c i="8" r="P11" s="1"/>
  <c i="11" r="E154"/>
  <c i="8" r="O11" s="1"/>
  <c i="11" r="D154"/>
  <c i="8" r="N11" s="1"/>
  <c i="11" r="C154"/>
  <c i="8" r="M11" s="1"/>
  <c i="11" r="B154"/>
  <c i="8" r="L11" s="1"/>
  <c i="11" r="V153"/>
  <c i="11" r="I153" s="1"/>
  <c i="8" r="S10" s="1"/>
  <c i="11" r="H153"/>
  <c i="8" r="R10" s="1"/>
  <c i="11" r="G153"/>
  <c i="8" r="Q10" s="1"/>
  <c i="11" r="F153"/>
  <c i="8" r="P10" s="1"/>
  <c i="11" r="E153"/>
  <c i="8" r="O10" s="1"/>
  <c i="11" r="D153"/>
  <c i="8" r="N10" s="1"/>
  <c i="11" r="C153"/>
  <c i="8" r="M10" s="1"/>
  <c i="11" r="B153"/>
  <c i="8" r="L10" s="1"/>
  <c i="11" r="V152"/>
  <c i="11" r="I152" s="1"/>
  <c i="8" r="S9" s="1"/>
  <c i="11" r="H152"/>
  <c i="8" r="R9" s="1"/>
  <c i="11" r="G152"/>
  <c i="8" r="Q9" s="1"/>
  <c i="11" r="F152"/>
  <c i="8" r="P9" s="1"/>
  <c i="11" r="E152"/>
  <c i="8" r="O9" s="1"/>
  <c i="11" r="D152"/>
  <c i="8" r="N9" s="1"/>
  <c i="11" r="C152"/>
  <c i="8" r="M9" s="1"/>
  <c i="11" r="B152"/>
  <c i="8" r="L9" s="1"/>
  <c i="11" r="V151"/>
  <c i="11" r="I151" s="1"/>
  <c i="8" r="S8" s="1"/>
  <c i="11" r="H151"/>
  <c i="8" r="R8" s="1"/>
  <c i="11" r="G151"/>
  <c i="8" r="Q8" s="1"/>
  <c i="11" r="F151"/>
  <c i="8" r="P8" s="1"/>
  <c i="11" r="E151"/>
  <c i="8" r="O8" s="1"/>
  <c i="11" r="D151"/>
  <c i="8" r="N8" s="1"/>
  <c i="11" r="C151"/>
  <c i="8" r="M8" s="1"/>
  <c i="11" r="B151"/>
  <c i="8" r="L8" s="1"/>
  <c i="11" r="V150"/>
  <c i="11" r="I150" s="1"/>
  <c i="8" r="S7" s="1"/>
  <c i="11" r="H150"/>
  <c i="8" r="R7" s="1"/>
  <c i="11" r="G150"/>
  <c i="8" r="Q7" s="1"/>
  <c i="11" r="F150"/>
  <c i="8" r="P7" s="1"/>
  <c i="11" r="E150"/>
  <c i="8" r="O7" s="1"/>
  <c i="11" r="D150"/>
  <c i="8" r="N7" s="1"/>
  <c i="11" r="C150"/>
  <c i="8" r="M7" s="1"/>
  <c i="11" r="B150"/>
  <c i="8" r="L7" s="1"/>
  <c i="11" r="V149"/>
  <c i="11" r="I149" s="1"/>
  <c i="8" r="S6" s="1"/>
  <c i="11" r="H149"/>
  <c i="8" r="R6" s="1"/>
  <c i="11" r="G149"/>
  <c i="8" r="Q6" s="1"/>
  <c i="11" r="F149"/>
  <c i="8" r="P6" s="1"/>
  <c i="11" r="E149"/>
  <c i="8" r="O6" s="1"/>
  <c i="11" r="D149"/>
  <c i="8" r="N6" s="1"/>
  <c i="11" r="C149"/>
  <c i="8" r="M6" s="1"/>
  <c i="11" r="B149"/>
  <c i="8" r="L6" s="1"/>
  <c i="11" r="V148"/>
  <c i="11" r="I148" s="1"/>
  <c i="8" r="S5" s="1"/>
  <c i="11" r="H148"/>
  <c i="8" r="R5" s="1"/>
  <c i="11" r="G148"/>
  <c i="8" r="Q5" s="1"/>
  <c i="11" r="F148"/>
  <c i="8" r="P5" s="1"/>
  <c i="11" r="E148"/>
  <c i="8" r="O5" s="1"/>
  <c i="11" r="D148"/>
  <c i="8" r="N5" s="1"/>
  <c i="11" r="C148"/>
  <c i="8" r="M5" s="1"/>
  <c i="11" r="B148"/>
  <c i="8" r="L5" s="1"/>
  <c i="11" r="Q142"/>
  <c i="11" r="D142" s="1"/>
  <c i="11" r="C142"/>
  <c i="11" r="B142"/>
  <c i="11" r="Q141"/>
  <c i="11" r="D141" s="1"/>
  <c i="18" r="D137" s="1"/>
  <c i="20" r="I10" s="1"/>
  <c i="11" r="C141"/>
  <c i="11" r="B141"/>
  <c i="11" r="Q140"/>
  <c i="11" r="D140" s="1"/>
  <c i="11" r="C140"/>
  <c i="11" r="B140"/>
  <c i="11" r="Q139"/>
  <c i="11" r="D139" s="1"/>
  <c i="11" r="C139"/>
  <c i="11" r="B139"/>
  <c i="11" r="Q138"/>
  <c i="11" r="D138" s="1"/>
  <c i="18" r="D134" s="1"/>
  <c i="20" r="I7" s="1"/>
  <c i="11" r="C138"/>
  <c i="11" r="B138"/>
  <c i="11" r="Q137"/>
  <c i="11" r="D137" s="1"/>
  <c i="18" r="D133" s="1"/>
  <c i="20" r="I6" s="1"/>
  <c i="11" r="C137"/>
  <c i="11" r="B137"/>
  <c i="11" r="Q136"/>
  <c i="11" r="D136" s="1"/>
  <c i="18" r="D132" s="1"/>
  <c i="11" r="C136"/>
  <c i="11" r="B136"/>
  <c i="11" r="Q132"/>
  <c i="11" r="D132" s="1"/>
  <c i="11" r="C132"/>
  <c i="11" r="B132"/>
  <c i="11" r="Q131"/>
  <c i="11" r="D131" s="1"/>
  <c i="11" r="C131"/>
  <c i="11" r="B131"/>
  <c i="11" r="Q130"/>
  <c i="11" r="D130" s="1"/>
  <c i="11" r="C130"/>
  <c i="11" r="B130"/>
  <c i="11" r="Q129"/>
  <c i="11" r="D129" s="1"/>
  <c i="11" r="C129"/>
  <c i="11" r="B129"/>
  <c i="11" r="W125"/>
  <c i="11" r="J125" s="1"/>
  <c i="11" r="I125"/>
  <c i="11" r="H125"/>
  <c i="11" r="G125"/>
  <c i="11" r="F125"/>
  <c i="11" r="E125"/>
  <c i="11" r="D125"/>
  <c i="11" r="C125"/>
  <c i="11" r="B125"/>
  <c i="11" r="W124"/>
  <c i="11" r="J124" s="1"/>
  <c i="11" r="I124"/>
  <c i="11" r="H124"/>
  <c i="11" r="G124"/>
  <c i="11" r="F124"/>
  <c i="11" r="E124"/>
  <c i="11" r="D124"/>
  <c i="11" r="C124"/>
  <c i="11" r="B124"/>
  <c i="11" r="W123"/>
  <c i="11" r="J123" s="1"/>
  <c i="11" r="I123"/>
  <c i="11" r="H123"/>
  <c i="11" r="G123"/>
  <c i="11" r="F123"/>
  <c i="11" r="E123"/>
  <c i="11" r="D123"/>
  <c i="11" r="C123"/>
  <c i="11" r="B123"/>
  <c i="11" r="W122"/>
  <c i="11" r="J122" s="1"/>
  <c i="11" r="I122"/>
  <c i="11" r="H122"/>
  <c i="11" r="G122"/>
  <c i="11" r="F122"/>
  <c i="11" r="E122"/>
  <c i="11" r="D122"/>
  <c i="11" r="C122"/>
  <c i="11" r="B122"/>
  <c i="11" r="W118"/>
  <c i="11" r="J118" s="1"/>
  <c i="11" r="I118"/>
  <c i="11" r="H118"/>
  <c i="11" r="G118"/>
  <c i="11" r="F118"/>
  <c i="11" r="E118"/>
  <c i="11" r="D118"/>
  <c i="11" r="C118"/>
  <c i="11" r="B118"/>
  <c i="11" r="W117"/>
  <c i="11" r="J117" s="1"/>
  <c i="11" r="I117"/>
  <c i="11" r="H117"/>
  <c i="11" r="G117"/>
  <c i="11" r="F117"/>
  <c i="11" r="E117"/>
  <c i="11" r="D117"/>
  <c i="11" r="C117"/>
  <c i="11" r="B117"/>
  <c i="11" r="W116"/>
  <c i="11" r="J116" s="1"/>
  <c i="11" r="I116"/>
  <c i="11" r="H116"/>
  <c i="11" r="G116"/>
  <c i="11" r="F116"/>
  <c i="11" r="E116"/>
  <c i="11" r="D116"/>
  <c i="11" r="C116"/>
  <c i="11" r="B116"/>
  <c i="11" r="W115"/>
  <c i="11" r="J115" s="1"/>
  <c i="11" r="I115"/>
  <c i="11" r="H115"/>
  <c i="11" r="G115"/>
  <c i="11" r="F115"/>
  <c i="11" r="E115"/>
  <c i="11" r="D115"/>
  <c i="11" r="C115"/>
  <c i="11" r="B115"/>
  <c i="11" r="W111"/>
  <c i="11" r="J111" s="1"/>
  <c i="11" r="I111"/>
  <c i="11" r="H111"/>
  <c i="11" r="G111"/>
  <c i="11" r="F111"/>
  <c i="11" r="E111"/>
  <c i="11" r="D111"/>
  <c i="11" r="C111"/>
  <c i="11" r="B111"/>
  <c i="11" r="W110"/>
  <c i="11" r="J110" s="1"/>
  <c i="11" r="I110"/>
  <c i="11" r="H110"/>
  <c i="11" r="G110"/>
  <c i="11" r="F110"/>
  <c i="11" r="E110"/>
  <c i="11" r="D110"/>
  <c i="11" r="C110"/>
  <c i="11" r="B110"/>
  <c i="11" r="W109"/>
  <c i="11" r="J109" s="1"/>
  <c i="11" r="I109"/>
  <c i="11" r="H109"/>
  <c i="11" r="G109"/>
  <c i="11" r="F109"/>
  <c i="11" r="E109"/>
  <c i="11" r="D109"/>
  <c i="11" r="C109"/>
  <c i="11" r="B109"/>
  <c i="11" r="W108"/>
  <c i="11" r="J108" s="1"/>
  <c i="11" r="I108"/>
  <c i="11" r="H108"/>
  <c i="11" r="G108"/>
  <c i="11" r="F108"/>
  <c i="11" r="E108"/>
  <c i="11" r="D108"/>
  <c i="11" r="C108"/>
  <c i="11" r="B108"/>
  <c i="11" r="W104"/>
  <c i="11" r="J104" s="1"/>
  <c i="11" r="I104"/>
  <c i="11" r="H104"/>
  <c i="11" r="G104"/>
  <c i="11" r="F104"/>
  <c i="11" r="E104"/>
  <c i="11" r="D104"/>
  <c i="11" r="C104"/>
  <c i="11" r="B104"/>
  <c i="11" r="W103"/>
  <c i="11" r="J103" s="1"/>
  <c i="11" r="I103"/>
  <c i="11" r="H103"/>
  <c i="11" r="G103"/>
  <c i="11" r="F103"/>
  <c i="11" r="E103"/>
  <c i="11" r="D103"/>
  <c i="11" r="C103"/>
  <c i="11" r="B103"/>
  <c i="11" r="W102"/>
  <c i="11" r="J102" s="1"/>
  <c i="11" r="I102"/>
  <c i="11" r="H102"/>
  <c i="11" r="G102"/>
  <c i="11" r="F102"/>
  <c i="11" r="E102"/>
  <c i="11" r="D102"/>
  <c i="11" r="C102"/>
  <c i="11" r="B102"/>
  <c i="11" r="W101"/>
  <c i="11" r="J101" s="1"/>
  <c i="11" r="I101"/>
  <c i="11" r="H101"/>
  <c i="11" r="G101"/>
  <c i="11" r="F101"/>
  <c i="11" r="E101"/>
  <c i="11" r="D101"/>
  <c i="11" r="C101"/>
  <c i="11" r="B101"/>
  <c i="11" r="W97"/>
  <c i="11" r="J97" s="1"/>
  <c i="11" r="I97"/>
  <c i="11" r="H97"/>
  <c i="11" r="G97"/>
  <c i="11" r="F97"/>
  <c i="11" r="E97"/>
  <c i="11" r="D97"/>
  <c i="11" r="C97"/>
  <c i="11" r="B97"/>
  <c i="11" r="W96"/>
  <c i="11" r="J96" s="1"/>
  <c i="11" r="I96"/>
  <c i="11" r="H96"/>
  <c i="11" r="G96"/>
  <c i="11" r="F96"/>
  <c i="11" r="E96"/>
  <c i="11" r="D96"/>
  <c i="11" r="C96"/>
  <c i="11" r="B96"/>
  <c i="11" r="W95"/>
  <c i="11" r="J95" s="1"/>
  <c i="11" r="I95"/>
  <c i="11" r="H95"/>
  <c i="11" r="G95"/>
  <c i="11" r="F95"/>
  <c i="11" r="E95"/>
  <c i="11" r="D95"/>
  <c i="11" r="C95"/>
  <c i="11" r="B95"/>
  <c i="11" r="W94"/>
  <c i="11" r="J94" s="1"/>
  <c i="11" r="I94"/>
  <c i="11" r="H94"/>
  <c i="11" r="G94"/>
  <c i="11" r="F94"/>
  <c i="11" r="E94"/>
  <c i="11" r="D94"/>
  <c i="11" r="C94"/>
  <c i="11" r="B94"/>
  <c i="11" r="W90"/>
  <c i="11" r="J90" s="1"/>
  <c i="11" r="I90"/>
  <c i="11" r="H90"/>
  <c i="11" r="G90"/>
  <c i="11" r="F90"/>
  <c i="11" r="E90"/>
  <c i="11" r="D90"/>
  <c i="11" r="C90"/>
  <c i="11" r="B90"/>
  <c i="11" r="W89"/>
  <c i="11" r="J89" s="1"/>
  <c i="11" r="I89"/>
  <c i="11" r="H89"/>
  <c i="11" r="G89"/>
  <c i="11" r="F89"/>
  <c i="11" r="E89"/>
  <c i="11" r="D89"/>
  <c i="11" r="C89"/>
  <c i="11" r="B89"/>
  <c i="11" r="W88"/>
  <c i="11" r="J88" s="1"/>
  <c i="11" r="I88"/>
  <c i="11" r="H88"/>
  <c i="11" r="G88"/>
  <c i="11" r="F88"/>
  <c i="11" r="E88"/>
  <c i="11" r="D88"/>
  <c i="11" r="C88"/>
  <c i="11" r="B88"/>
  <c i="11" r="W87"/>
  <c i="11" r="J87" s="1"/>
  <c i="11" r="I87"/>
  <c i="11" r="H87"/>
  <c i="11" r="G87"/>
  <c i="11" r="F87"/>
  <c i="11" r="E87"/>
  <c i="11" r="D87"/>
  <c i="11" r="C87"/>
  <c i="11" r="B87"/>
  <c i="11" r="W83"/>
  <c i="11" r="J83" s="1"/>
  <c i="11" r="I83"/>
  <c i="11" r="H83"/>
  <c i="11" r="G83"/>
  <c i="11" r="F83"/>
  <c i="11" r="E83"/>
  <c i="11" r="D83"/>
  <c i="11" r="C83"/>
  <c i="11" r="B83"/>
  <c i="11" r="W82"/>
  <c i="11" r="J82" s="1"/>
  <c i="11" r="I82"/>
  <c i="11" r="H82"/>
  <c i="11" r="G82"/>
  <c i="11" r="F82"/>
  <c i="11" r="E82"/>
  <c i="11" r="D82"/>
  <c i="11" r="C82"/>
  <c i="11" r="B82"/>
  <c i="11" r="W81"/>
  <c i="11" r="J81" s="1"/>
  <c i="11" r="I81"/>
  <c i="11" r="H81"/>
  <c i="11" r="G81"/>
  <c i="11" r="F81"/>
  <c i="11" r="E81"/>
  <c i="11" r="D81"/>
  <c i="11" r="C81"/>
  <c i="11" r="B81"/>
  <c i="11" r="W80"/>
  <c i="11" r="J80" s="1"/>
  <c i="11" r="I80"/>
  <c i="11" r="H80"/>
  <c i="11" r="G80"/>
  <c i="11" r="F80"/>
  <c i="11" r="E80"/>
  <c i="11" r="D80"/>
  <c i="11" r="C80"/>
  <c i="11" r="B80"/>
  <c i="11" r="W74"/>
  <c i="11" r="J74" s="1"/>
  <c i="11" r="I74"/>
  <c i="11" r="H74"/>
  <c i="11" r="G74"/>
  <c i="11" r="F74"/>
  <c i="11" r="E74"/>
  <c i="11" r="D74"/>
  <c i="11" r="C74"/>
  <c i="11" r="B74"/>
  <c i="11" r="W73"/>
  <c i="11" r="I73"/>
  <c i="11" r="H73"/>
  <c i="11" r="G73"/>
  <c i="11" r="F73"/>
  <c i="11" r="E73"/>
  <c i="11" r="D73"/>
  <c i="11" r="C73"/>
  <c i="11" r="B73"/>
  <c i="11" r="W72"/>
  <c i="11" r="I72"/>
  <c i="11" r="H72"/>
  <c i="11" r="G72"/>
  <c i="11" r="F72"/>
  <c i="11" r="E72"/>
  <c i="11" r="D72"/>
  <c i="11" r="C72"/>
  <c i="11" r="B72"/>
  <c i="11" r="W71"/>
  <c i="11" r="J71" s="1"/>
  <c i="11" r="I71"/>
  <c i="11" r="H71"/>
  <c i="11" r="G71"/>
  <c i="11" r="F71"/>
  <c i="11" r="E71"/>
  <c i="11" r="D71"/>
  <c i="11" r="C71"/>
  <c i="11" r="B71"/>
  <c i="11" r="W67"/>
  <c i="11" r="J67" s="1"/>
  <c i="11" r="I67"/>
  <c i="11" r="H67"/>
  <c i="11" r="G67"/>
  <c i="11" r="F67"/>
  <c i="11" r="E67"/>
  <c i="11" r="D67"/>
  <c i="11" r="C67"/>
  <c i="11" r="B67"/>
  <c i="11" r="W66"/>
  <c i="11" r="I66"/>
  <c i="11" r="H66"/>
  <c i="11" r="G66"/>
  <c i="11" r="F66"/>
  <c i="11" r="E66"/>
  <c i="11" r="D66"/>
  <c i="11" r="C66"/>
  <c i="11" r="B66"/>
  <c i="11" r="W65"/>
  <c i="11" r="J65" s="1"/>
  <c i="11" r="I65"/>
  <c i="11" r="H65"/>
  <c i="11" r="G65"/>
  <c i="11" r="F65"/>
  <c i="11" r="E65"/>
  <c i="11" r="D65"/>
  <c i="11" r="C65"/>
  <c i="11" r="B65"/>
  <c i="11" r="W64"/>
  <c i="11" r="J64" s="1"/>
  <c i="11" r="I64"/>
  <c i="11" r="H64"/>
  <c i="11" r="G64"/>
  <c i="11" r="F64"/>
  <c i="11" r="E64"/>
  <c i="11" r="D64"/>
  <c i="11" r="C64"/>
  <c i="11" r="B64"/>
  <c i="11" r="W60"/>
  <c i="11" r="J60" s="1"/>
  <c i="11" r="I60"/>
  <c i="11" r="H60"/>
  <c i="11" r="G60"/>
  <c i="11" r="F60"/>
  <c i="11" r="E60"/>
  <c i="11" r="D60"/>
  <c i="11" r="C60"/>
  <c i="11" r="B60"/>
  <c i="11" r="W59"/>
  <c i="11" r="J59" s="1"/>
  <c i="11" r="I59"/>
  <c i="11" r="H59"/>
  <c i="11" r="G59"/>
  <c i="11" r="F59"/>
  <c i="11" r="E59"/>
  <c i="11" r="D59"/>
  <c i="11" r="C59"/>
  <c i="11" r="B59"/>
  <c i="11" r="W58"/>
  <c i="11" r="I58"/>
  <c i="11" r="H58"/>
  <c i="11" r="G58"/>
  <c i="11" r="F58"/>
  <c i="11" r="E58"/>
  <c i="11" r="D58"/>
  <c i="11" r="C58"/>
  <c i="11" r="B58"/>
  <c i="11" r="W57"/>
  <c i="11" r="J57" s="1"/>
  <c i="11" r="I57"/>
  <c i="11" r="H57"/>
  <c i="11" r="G57"/>
  <c i="11" r="F57"/>
  <c i="11" r="E57"/>
  <c i="11" r="D57"/>
  <c i="11" r="C57"/>
  <c i="11" r="B57"/>
  <c i="11" r="W53"/>
  <c i="11" r="J53" s="1"/>
  <c i="11" r="I53"/>
  <c i="11" r="H53"/>
  <c i="11" r="G53"/>
  <c i="11" r="F53"/>
  <c i="11" r="E53"/>
  <c i="11" r="D53"/>
  <c i="11" r="C53"/>
  <c i="11" r="B53"/>
  <c i="11" r="W52"/>
  <c i="11" r="I52"/>
  <c i="11" r="H52"/>
  <c i="11" r="G52"/>
  <c i="11" r="F52"/>
  <c i="11" r="E52"/>
  <c i="11" r="D52"/>
  <c i="11" r="C52"/>
  <c i="11" r="B52"/>
  <c i="11" r="W51"/>
  <c i="11" r="J51" s="1"/>
  <c i="11" r="I51"/>
  <c i="11" r="H51"/>
  <c i="11" r="G51"/>
  <c i="11" r="F51"/>
  <c i="11" r="E51"/>
  <c i="11" r="D51"/>
  <c i="11" r="C51"/>
  <c i="11" r="B51"/>
  <c i="11" r="W50"/>
  <c i="11" r="J50" s="1"/>
  <c i="11" r="I50"/>
  <c i="11" r="H50"/>
  <c i="11" r="G50"/>
  <c i="11" r="F50"/>
  <c i="11" r="E50"/>
  <c i="11" r="D50"/>
  <c i="11" r="C50"/>
  <c i="11" r="B50"/>
  <c i="11" r="W46"/>
  <c i="11" r="J46" s="1"/>
  <c i="11" r="I46"/>
  <c i="11" r="H46"/>
  <c i="11" r="G46"/>
  <c i="11" r="F46"/>
  <c i="11" r="E46"/>
  <c i="11" r="D46"/>
  <c i="11" r="C46"/>
  <c i="11" r="B46"/>
  <c i="11" r="W45"/>
  <c i="11" r="I45"/>
  <c i="11" r="H45"/>
  <c i="11" r="G45"/>
  <c i="11" r="F45"/>
  <c i="11" r="E45"/>
  <c i="11" r="D45"/>
  <c i="11" r="C45"/>
  <c i="11" r="B45"/>
  <c i="11" r="W44"/>
  <c i="11" r="J44" s="1"/>
  <c i="11" r="I44"/>
  <c i="11" r="H44"/>
  <c i="11" r="G44"/>
  <c i="11" r="F44"/>
  <c i="11" r="E44"/>
  <c i="11" r="D44"/>
  <c i="11" r="C44"/>
  <c i="11" r="B44"/>
  <c i="11" r="W43"/>
  <c i="11" r="J43" s="1"/>
  <c i="11" r="I43"/>
  <c i="11" r="H43"/>
  <c i="11" r="G43"/>
  <c i="11" r="F43"/>
  <c i="11" r="E43"/>
  <c i="11" r="D43"/>
  <c i="11" r="C43"/>
  <c i="11" r="B43"/>
  <c i="11" r="W39"/>
  <c i="11" r="J39" s="1"/>
  <c i="11" r="I39"/>
  <c i="11" r="H39"/>
  <c i="11" r="G39"/>
  <c i="11" r="F39"/>
  <c i="11" r="E39"/>
  <c i="11" r="D39"/>
  <c i="11" r="C39"/>
  <c i="11" r="B39"/>
  <c i="11" r="W38"/>
  <c i="11" r="I38"/>
  <c i="11" r="H38"/>
  <c i="11" r="G38"/>
  <c i="11" r="F38"/>
  <c i="11" r="E38"/>
  <c i="11" r="D38"/>
  <c i="11" r="C38"/>
  <c i="11" r="B38"/>
  <c i="11" r="W37"/>
  <c i="11" r="I37"/>
  <c i="11" r="H37"/>
  <c i="11" r="G37"/>
  <c i="11" r="F37"/>
  <c i="11" r="E37"/>
  <c i="11" r="D37"/>
  <c i="11" r="C37"/>
  <c i="11" r="B37"/>
  <c i="11" r="W36"/>
  <c i="11" r="J36" s="1"/>
  <c i="11" r="I36"/>
  <c i="11" r="H36"/>
  <c i="11" r="G36"/>
  <c i="11" r="F36"/>
  <c i="11" r="E36"/>
  <c i="11" r="D36"/>
  <c i="11" r="C36"/>
  <c i="11" r="B36"/>
  <c i="11" r="W32"/>
  <c i="11" r="J32" s="1"/>
  <c i="11" r="I32"/>
  <c i="11" r="H32"/>
  <c i="11" r="G32"/>
  <c i="11" r="F32"/>
  <c i="11" r="E32"/>
  <c i="11" r="D32"/>
  <c i="11" r="C32"/>
  <c i="11" r="B32"/>
  <c i="11" r="W31"/>
  <c i="11" r="I31"/>
  <c i="11" r="H31"/>
  <c i="11" r="G31"/>
  <c i="11" r="F31"/>
  <c i="11" r="E31"/>
  <c i="11" r="D31"/>
  <c i="11" r="C31"/>
  <c i="11" r="B31"/>
  <c i="11" r="W30"/>
  <c i="11" r="J30" s="1"/>
  <c i="11" r="I30"/>
  <c i="11" r="H30"/>
  <c i="11" r="G30"/>
  <c i="11" r="F30"/>
  <c i="11" r="E30"/>
  <c i="11" r="D30"/>
  <c i="11" r="C30"/>
  <c i="11" r="B30"/>
  <c i="11" r="W29"/>
  <c i="11" r="J29" s="1"/>
  <c i="11" r="I29"/>
  <c i="11" r="H29"/>
  <c i="11" r="G29"/>
  <c i="11" r="F29"/>
  <c i="11" r="E29"/>
  <c i="11" r="D29"/>
  <c i="11" r="C29"/>
  <c i="11" r="B29"/>
  <c i="11" r="W23"/>
  <c i="17" r="M34" s="1"/>
  <c i="17" r="M43" s="1"/>
  <c i="11" r="I23"/>
  <c i="11" r="H23"/>
  <c i="11" r="G23"/>
  <c i="11" r="F23"/>
  <c i="11" r="E23"/>
  <c i="11" r="D23"/>
  <c i="11" r="C23"/>
  <c i="11" r="B23"/>
  <c i="11" r="W22"/>
  <c i="17" r="L34" s="1"/>
  <c i="17" r="L43" s="1"/>
  <c i="11" r="I22"/>
  <c i="11" r="H22"/>
  <c i="11" r="G22"/>
  <c i="11" r="F22"/>
  <c i="11" r="E22"/>
  <c i="11" r="D22"/>
  <c i="11" r="C22"/>
  <c i="11" r="B22"/>
  <c i="11" r="W21"/>
  <c i="11" r="I21"/>
  <c i="11" r="H21"/>
  <c i="11" r="G21"/>
  <c i="11" r="F21"/>
  <c i="11" r="E21"/>
  <c i="11" r="D21"/>
  <c i="11" r="C21"/>
  <c i="11" r="B21"/>
  <c i="11" r="W20"/>
  <c i="17" r="J34" s="1"/>
  <c i="11" r="I20"/>
  <c i="11" r="H20"/>
  <c i="11" r="G20"/>
  <c i="11" r="F20"/>
  <c i="11" r="E20"/>
  <c i="11" r="D20"/>
  <c i="11" r="C20"/>
  <c i="11" r="B20"/>
  <c i="11" r="W19"/>
  <c i="11" r="I19"/>
  <c i="11" r="H19"/>
  <c i="11" r="G19"/>
  <c i="11" r="F19"/>
  <c i="11" r="E19"/>
  <c i="11" r="D19"/>
  <c i="11" r="C19"/>
  <c i="11" r="B19"/>
  <c i="11" r="W18"/>
  <c i="17" r="L33" s="1"/>
  <c i="17" r="L42" s="1"/>
  <c i="11" r="I18"/>
  <c i="11" r="H18"/>
  <c i="11" r="G18"/>
  <c i="11" r="F18"/>
  <c i="11" r="E18"/>
  <c i="11" r="D18"/>
  <c i="11" r="C18"/>
  <c i="11" r="B18"/>
  <c i="11" r="W17"/>
  <c i="17" r="K33" s="1"/>
  <c i="17" r="K42" s="1"/>
  <c i="11" r="I17"/>
  <c i="11" r="H17"/>
  <c i="11" r="G17"/>
  <c i="11" r="F17"/>
  <c i="11" r="E17"/>
  <c i="11" r="D17"/>
  <c i="11" r="C17"/>
  <c i="11" r="B17"/>
  <c i="11" r="W16"/>
  <c i="11" r="I16"/>
  <c i="11" r="H16"/>
  <c i="11" r="G16"/>
  <c i="11" r="F16"/>
  <c i="11" r="E16"/>
  <c i="11" r="D16"/>
  <c i="11" r="C16"/>
  <c i="11" r="B16"/>
  <c i="11" r="W15"/>
  <c i="17" r="M32" s="1"/>
  <c i="11" r="I15"/>
  <c i="11" r="H15"/>
  <c i="11" r="G15"/>
  <c i="11" r="F15"/>
  <c i="11" r="E15"/>
  <c i="11" r="D15"/>
  <c i="11" r="C15"/>
  <c i="11" r="B15"/>
  <c i="11" r="W14"/>
  <c i="11" r="I14"/>
  <c i="11" r="H14"/>
  <c i="11" r="G14"/>
  <c i="11" r="F14"/>
  <c i="11" r="E14"/>
  <c i="11" r="D14"/>
  <c i="11" r="C14"/>
  <c i="11" r="B14"/>
  <c i="11" r="W13"/>
  <c i="17" r="K32" s="1"/>
  <c i="11" r="I13"/>
  <c i="11" r="H13"/>
  <c i="11" r="G13"/>
  <c i="11" r="F13"/>
  <c i="11" r="E13"/>
  <c i="11" r="D13"/>
  <c i="11" r="C13"/>
  <c i="11" r="B13"/>
  <c i="11" r="W12"/>
  <c i="17" r="J32" s="1"/>
  <c i="11" r="I12"/>
  <c i="11" r="H12"/>
  <c i="11" r="G12"/>
  <c i="11" r="F12"/>
  <c i="11" r="E12"/>
  <c i="11" r="D12"/>
  <c i="11" r="C12"/>
  <c i="11" r="B12"/>
  <c i="11" r="W11"/>
  <c i="11" r="I11"/>
  <c i="11" r="H11"/>
  <c i="11" r="G11"/>
  <c i="11" r="F11"/>
  <c i="11" r="E11"/>
  <c i="11" r="D11"/>
  <c i="11" r="C11"/>
  <c i="11" r="B11"/>
  <c i="11" r="W7"/>
  <c i="11" r="J7" s="1"/>
  <c i="11" r="I7"/>
  <c i="11" r="H7"/>
  <c i="11" r="G7"/>
  <c i="11" r="F7"/>
  <c i="11" r="E7"/>
  <c i="11" r="D7"/>
  <c i="11" r="C7"/>
  <c i="11" r="B7"/>
  <c i="11" r="W6"/>
  <c i="11" r="J6" s="1"/>
  <c i="11" r="I6"/>
  <c i="11" r="H6"/>
  <c i="11" r="G6"/>
  <c i="11" r="F6"/>
  <c i="11" r="E6"/>
  <c i="11" r="D6"/>
  <c i="11" r="C6"/>
  <c i="11" r="B6"/>
  <c i="11" r="W5"/>
  <c i="11" r="J5" s="1"/>
  <c i="11" r="I5"/>
  <c i="11" r="H5"/>
  <c i="11" r="G5"/>
  <c i="11" r="F5"/>
  <c i="11" r="E5"/>
  <c i="11" r="D5"/>
  <c i="11" r="C5"/>
  <c i="11" r="B5"/>
  <c i="11" r="W4"/>
  <c i="11" r="J4" s="1"/>
  <c i="11" r="I4"/>
  <c i="11" r="H4"/>
  <c i="11" r="G4"/>
  <c i="11" r="F4"/>
  <c i="11" r="E4"/>
  <c i="11" r="D4"/>
  <c i="11" r="C4"/>
  <c i="11" r="B4"/>
  <c i="10" r="AI123"/>
  <c i="10" r="AH123"/>
  <c i="10" r="AG123"/>
  <c i="10" r="AF123"/>
  <c i="10" r="AE123"/>
  <c i="10" r="AD123"/>
  <c i="10" r="AC123"/>
  <c i="10" r="AB123"/>
  <c i="10" r="AA123"/>
  <c i="10" r="Z123"/>
  <c i="10" r="W123"/>
  <c i="10" r="V123"/>
  <c i="10" r="U123"/>
  <c i="10" r="T123"/>
  <c i="10" r="S123"/>
  <c i="10" r="R123"/>
  <c i="10" r="Q123"/>
  <c i="10" r="P123"/>
  <c i="10" r="O123"/>
  <c i="10" r="N123"/>
  <c i="10" r="K123"/>
  <c i="10" r="J123"/>
  <c i="10" r="I123"/>
  <c i="10" r="H123"/>
  <c i="10" r="G123"/>
  <c i="10" r="F123"/>
  <c i="10" r="E123"/>
  <c i="10" r="D123"/>
  <c i="10" r="C123"/>
  <c i="10" r="B123"/>
  <c i="10" r="I108"/>
  <c i="10" r="H108"/>
  <c i="10" r="AI106"/>
  <c i="10" r="AH106"/>
  <c i="10" r="AG106"/>
  <c i="10" r="AF106"/>
  <c i="10" r="AE106"/>
  <c i="10" r="AD106"/>
  <c i="10" r="AC106"/>
  <c i="10" r="AB106"/>
  <c i="10" r="AA106"/>
  <c i="10" r="Z106"/>
  <c i="10" r="W106"/>
  <c i="10" r="V106"/>
  <c i="10" r="U106"/>
  <c i="10" r="T106"/>
  <c i="10" r="S106"/>
  <c i="10" r="R106"/>
  <c i="10" r="Q106"/>
  <c i="10" r="P106"/>
  <c i="10" r="O106"/>
  <c i="10" r="N106"/>
  <c i="10" r="D78"/>
  <c i="10" r="E77"/>
  <c i="10" r="Q73"/>
  <c i="10" r="R64"/>
  <c i="10" r="F64"/>
  <c i="10" r="R63"/>
  <c i="10" r="F63"/>
  <c i="10" r="R62"/>
  <c i="10" r="F62"/>
  <c i="10" r="R61"/>
  <c i="10" r="F61"/>
  <c i="10" r="R60"/>
  <c i="10" r="F60"/>
  <c i="10" r="R59"/>
  <c i="10" r="F59"/>
  <c i="10" r="R58"/>
  <c i="10" r="F58"/>
  <c i="10" r="R57"/>
  <c i="10" r="F57"/>
  <c i="10" r="R56"/>
  <c i="10" r="F56"/>
  <c i="10" r="F50"/>
  <c i="10" r="R49"/>
  <c i="10" r="R50" s="1"/>
  <c i="10" r="AD47"/>
  <c i="10" r="AD46"/>
  <c i="10" r="AD45"/>
  <c i="10" r="AD44"/>
  <c i="10" r="AD43"/>
  <c i="10" r="Q43"/>
  <c i="10" r="C43"/>
  <c i="10" r="AD42"/>
  <c i="10" r="AD41"/>
  <c i="10" r="E41"/>
  <c i="10" r="C41"/>
  <c i="10" r="AD40"/>
  <c i="10" r="D40"/>
  <c i="10" r="AD39"/>
  <c i="10" r="D39"/>
  <c i="10" r="G12"/>
  <c i="19" r="Z57" s="1"/>
  <c i="10" r="W11"/>
  <c i="1" r="C70" s="1"/>
  <c i="10" r="S10"/>
  <c i="10" r="P10"/>
  <c i="19" r="AH55" s="1"/>
  <c i="10" r="E10"/>
  <c i="19" r="X55" s="1"/>
  <c i="10" r="F9"/>
  <c i="19" r="Y54" s="1"/>
  <c i="10" r="D9"/>
  <c i="19" r="W54" s="1"/>
  <c i="10" r="I7"/>
  <c i="19" r="AA52" s="1"/>
  <c i="10" r="G7"/>
  <c i="10" r="D7"/>
  <c i="10" r="C7"/>
  <c i="10" r="B5"/>
  <c i="9" r="AI124"/>
  <c i="9" r="AH124"/>
  <c i="9" r="AG124"/>
  <c i="9" r="AF124"/>
  <c i="9" r="AE124"/>
  <c i="9" r="AD124"/>
  <c i="9" r="AC124"/>
  <c i="9" r="AB124"/>
  <c i="9" r="AA124"/>
  <c i="9" r="Z124"/>
  <c i="9" r="W124"/>
  <c i="9" r="V124"/>
  <c i="9" r="U124"/>
  <c i="9" r="T124"/>
  <c i="9" r="S124"/>
  <c i="9" r="R124"/>
  <c i="9" r="Q124"/>
  <c i="9" r="P124"/>
  <c i="9" r="O124"/>
  <c i="9" r="N124"/>
  <c i="9" r="K124"/>
  <c i="9" r="J124"/>
  <c i="9" r="I124"/>
  <c i="9" r="H124"/>
  <c i="9" r="G124"/>
  <c i="9" r="F124"/>
  <c i="9" r="E124"/>
  <c i="9" r="D124"/>
  <c i="9" r="C124"/>
  <c i="9" r="B124"/>
  <c i="9" r="W115"/>
  <c i="9" r="J115"/>
  <c i="9" r="H113"/>
  <c i="9" r="F112"/>
  <c i="9" r="G111"/>
  <c i="9" r="D111"/>
  <c i="9" r="C111"/>
  <c i="9" r="K110"/>
  <c i="9" r="AI107"/>
  <c i="9" r="AH107"/>
  <c i="9" r="AG107"/>
  <c i="9" r="AF107"/>
  <c i="9" r="AE107"/>
  <c i="9" r="AD107"/>
  <c i="9" r="AC107"/>
  <c i="9" r="AB107"/>
  <c i="9" r="AA107"/>
  <c i="9" r="Z107"/>
  <c i="9" r="W107"/>
  <c i="9" r="V107"/>
  <c i="9" r="U107"/>
  <c i="9" r="T107"/>
  <c i="9" r="S107"/>
  <c i="9" r="R107"/>
  <c i="9" r="Q107"/>
  <c i="9" r="P107"/>
  <c i="9" r="O107"/>
  <c i="9" r="N107"/>
  <c i="9" r="C80"/>
  <c i="9" r="D78"/>
  <c i="9" r="B75"/>
  <c i="9" r="F74"/>
  <c i="1" r="B34" s="1"/>
  <c i="9" r="R65"/>
  <c i="9" r="AD65" s="1"/>
  <c i="9" r="AD50"/>
  <c i="9" r="B50"/>
  <c i="9" r="F48"/>
  <c i="9" r="AD47"/>
  <c i="9" r="AD46"/>
  <c i="9" r="AD45"/>
  <c i="9" r="O45"/>
  <c i="9" r="AD44"/>
  <c i="9" r="AD43"/>
  <c i="9" r="Q43"/>
  <c i="9" r="D43"/>
  <c i="9" r="AD42"/>
  <c i="9" r="AD41"/>
  <c i="9" r="AD40"/>
  <c i="9" r="F15"/>
  <c i="16" r="F14" s="1"/>
  <c i="9" r="J12"/>
  <c i="9" r="F10"/>
  <c i="18" r="G53" s="1"/>
  <c i="19" r="Y11" s="1"/>
  <c i="9" r="I9"/>
  <c i="18" r="I52" s="1"/>
  <c i="19" r="AA10" s="1"/>
  <c i="9" r="P7"/>
  <c i="18" r="N50" s="1"/>
  <c i="19" r="AH8" s="1"/>
  <c i="9" r="D7"/>
  <c i="9" r="C7"/>
  <c i="9" r="B7"/>
  <c i="18" r="C50" s="1"/>
  <c i="9" r="W6"/>
  <c i="1" r="C35" s="1"/>
  <c i="9" r="G6"/>
  <c i="18" r="H49" s="1"/>
  <c i="19" r="Z7" s="1"/>
  <c i="8" r="L66"/>
  <c i="8" r="G41"/>
  <c i="8" r="D41"/>
  <c i="8" r="B41"/>
  <c i="8" r="D40"/>
  <c i="8" r="F39"/>
  <c i="8" r="H38"/>
  <c i="8" r="C38"/>
  <c i="8" r="B38"/>
  <c i="8" r="R36"/>
  <c i="8" r="I36"/>
  <c i="8" r="C36"/>
  <c i="8" r="D35"/>
  <c i="1" r="P63"/>
  <c i="1" r="O63"/>
  <c i="1" r="M48"/>
  <c i="1" r="L48"/>
  <c i="1" r="L33"/>
  <c i="1" r="B22"/>
  <c i="1" r="G18"/>
  <c i="1" r="C18"/>
  <c i="1" r="C33" s="1"/>
  <c i="18" r="D4" s="1"/>
  <c i="18" r="D18" s="1"/>
  <c i="18" r="D32" s="1"/>
  <c i="1" r="C4"/>
  <c i="4" l="1" r="G43"/>
  <c i="6" r="G56"/>
  <c i="4" r="G53"/>
  <c i="10" r="AA78"/>
  <c i="6" r="D31"/>
  <c i="6" r="F41"/>
  <c i="6" r="I80"/>
  <c i="5" r="C51"/>
  <c i="6" r="G54"/>
  <c i="6" r="C80"/>
  <c i="6" r="I79"/>
  <c i="4" r="F41"/>
  <c i="6" r="F56"/>
  <c i="4" r="F29"/>
  <c i="4" r="B7"/>
  <c i="6" r="E29"/>
  <c i="5" r="T16"/>
  <c i="5" r="T17"/>
  <c i="5" r="T18"/>
  <c i="5" r="T38"/>
  <c i="5" r="T39"/>
  <c i="5" r="T40"/>
  <c i="5" r="T60"/>
  <c i="5" r="T61"/>
  <c i="5" r="T62"/>
  <c i="5" r="I18"/>
  <c i="5" r="I17"/>
  <c i="5" r="I16"/>
  <c i="5" r="I39"/>
  <c i="5" r="I40"/>
  <c i="5" r="I38"/>
  <c i="5" r="I62"/>
  <c i="5" r="I61"/>
  <c i="5" r="I60"/>
  <c i="5" r="D27"/>
  <c i="4" r="H18"/>
  <c i="4" r="H67"/>
  <c i="5" r="E28"/>
  <c i="4" r="T20"/>
  <c i="4" r="T17"/>
  <c i="4" r="T18"/>
  <c i="4" r="T19"/>
  <c i="4" r="T41"/>
  <c i="4" r="T42"/>
  <c i="4" r="T43"/>
  <c i="4" r="T44"/>
  <c i="4" r="T67"/>
  <c i="4" r="T68"/>
  <c i="4" r="T66"/>
  <c i="4" r="T65"/>
  <c i="2" r="C8"/>
  <c i="4" r="I19"/>
  <c i="4" r="I20"/>
  <c i="4" r="I18"/>
  <c i="4" r="I17"/>
  <c i="4" r="F20"/>
  <c i="4" r="I44"/>
  <c i="4" r="I43"/>
  <c i="4" r="I42"/>
  <c i="4" r="I41"/>
  <c i="4" r="I68"/>
  <c i="4" r="I67"/>
  <c i="4" r="I66"/>
  <c i="4" r="I65"/>
  <c i="5" r="F51"/>
  <c i="18" r="W238"/>
  <c i="18" r="X238" s="1"/>
  <c i="2" r="G6"/>
  <c i="4" r="D77"/>
  <c i="5" r="D17"/>
  <c i="2" r="T5"/>
  <c i="2" r="T6"/>
  <c i="2" r="T8"/>
  <c i="2" r="T7"/>
  <c i="2" r="I8"/>
  <c i="2" r="I7"/>
  <c i="2" r="I6"/>
  <c i="2" r="AE6" s="1"/>
  <c i="2" r="I5"/>
  <c i="5" r="F39"/>
  <c i="5" r="P5"/>
  <c i="5" r="P8" s="1"/>
  <c i="5" r="T27"/>
  <c i="5" r="T28"/>
  <c i="5" r="T29"/>
  <c i="5" r="I6"/>
  <c i="5" r="I5"/>
  <c i="5" r="I7"/>
  <c i="5" r="I29"/>
  <c i="5" r="I28"/>
  <c i="5" r="I27"/>
  <c i="5" r="I51"/>
  <c i="5" r="I50"/>
  <c i="5" r="I49"/>
  <c i="5" r="I71"/>
  <c i="5" r="I73"/>
  <c i="5" r="I72"/>
  <c i="5" r="T71"/>
  <c i="5" r="T72"/>
  <c i="5" r="T73"/>
  <c i="6" r="E68"/>
  <c i="4" r="T8"/>
  <c i="4" r="T5"/>
  <c i="4" r="T7"/>
  <c i="4" r="T6"/>
  <c i="4" r="T29"/>
  <c i="4" r="T30"/>
  <c i="4" r="T31"/>
  <c i="4" r="T32"/>
  <c i="4" r="T53"/>
  <c i="4" r="T54"/>
  <c i="4" r="T55"/>
  <c i="4" r="T56"/>
  <c i="4" r="T79"/>
  <c i="4" r="T77"/>
  <c i="4" r="T78"/>
  <c i="4" r="T80"/>
  <c i="4" r="I6"/>
  <c i="4" r="I5"/>
  <c i="4" r="I7"/>
  <c i="4" r="I8"/>
  <c i="4" r="I29"/>
  <c i="4" r="I30"/>
  <c i="4" r="I32"/>
  <c i="4" r="I31"/>
  <c i="4" r="I55"/>
  <c i="4" r="I56"/>
  <c i="4" r="I54"/>
  <c i="4" r="I53"/>
  <c i="4" r="I78"/>
  <c i="4" r="I79"/>
  <c i="4" r="I77"/>
  <c i="4" r="I80"/>
  <c i="5" r="T7"/>
  <c i="5" r="T6"/>
  <c i="5" r="T5"/>
  <c i="5" r="T49"/>
  <c i="5" r="T50"/>
  <c i="5" r="T51"/>
  <c i="6" r="G20"/>
  <c i="3" r="T17"/>
  <c i="3" r="T14"/>
  <c i="3" r="T13"/>
  <c i="3" r="T16"/>
  <c i="3" r="T15"/>
  <c i="3" r="T12"/>
  <c i="3" r="T11"/>
  <c i="3" r="T10"/>
  <c i="3" r="T9"/>
  <c i="3" r="T8"/>
  <c i="3" r="T7"/>
  <c i="3" r="T6"/>
  <c i="3" r="T5"/>
  <c i="3" r="I12"/>
  <c i="3" r="I5"/>
  <c i="3" r="I11"/>
  <c i="3" r="I10"/>
  <c i="3" r="I7"/>
  <c i="3" r="I6"/>
  <c i="3" r="I9"/>
  <c i="3" r="I8"/>
  <c i="3" r="I13"/>
  <c i="3" r="I17"/>
  <c i="3" r="I14"/>
  <c i="3" r="I15"/>
  <c i="3" r="I16"/>
  <c i="1" r="E26"/>
  <c i="1" r="L26"/>
  <c i="9" r="F64"/>
  <c i="9" r="F63"/>
  <c i="9" r="F62"/>
  <c i="9" r="F61"/>
  <c i="9" r="F60"/>
  <c i="9" r="F59"/>
  <c i="9" r="F58"/>
  <c i="9" r="AD58" s="1"/>
  <c i="9" r="F57"/>
  <c i="4" r="E41"/>
  <c i="4" r="G67"/>
  <c i="4" r="M29"/>
  <c i="9" r="AG112"/>
  <c i="4" r="O44"/>
  <c i="5" r="O73"/>
  <c i="4" r="H31"/>
  <c i="5" r="E6"/>
  <c i="6" r="F54"/>
  <c i="9" r="AC115"/>
  <c i="5" r="G51"/>
  <c i="6" r="M20"/>
  <c i="5" r="C62"/>
  <c i="4" r="D32"/>
  <c i="4" r="H54"/>
  <c i="18" r="W54"/>
  <c i="18" r="X54" s="1"/>
  <c i="4" r="Q56"/>
  <c i="5" r="F16"/>
  <c i="6" r="D79"/>
  <c i="2" r="M7"/>
  <c i="4" r="E43"/>
  <c i="4" r="H80"/>
  <c i="6" r="B18"/>
  <c i="6" r="X18" s="1"/>
  <c i="5" r="N40"/>
  <c i="8" r="W69"/>
  <c i="18" r="W42"/>
  <c i="18" r="X42" s="1"/>
  <c i="4" r="O80"/>
  <c i="4" r="D53"/>
  <c i="8" r="X69"/>
  <c i="4" r="E5"/>
  <c i="6" r="H80"/>
  <c i="2" r="F7"/>
  <c i="4" r="R30"/>
  <c i="5" r="G38"/>
  <c i="4" r="Q5"/>
  <c i="6" r="Q5"/>
  <c i="4" r="J55"/>
  <c i="6" r="F20"/>
  <c i="18" r="W27"/>
  <c i="18" r="X27" s="1"/>
  <c i="3" r="N5"/>
  <c i="5" r="U29"/>
  <c i="5" r="M38"/>
  <c i="5" r="O51"/>
  <c i="5" r="P61"/>
  <c i="6" r="Q77"/>
  <c i="4" r="H20"/>
  <c i="6" r="E78"/>
  <c i="1" r="C5"/>
  <c i="4" r="G66"/>
  <c i="18" r="W15"/>
  <c i="18" r="X15" s="1"/>
  <c i="18" r="W45"/>
  <c i="18" r="X45" s="1"/>
  <c i="18" r="W124"/>
  <c i="18" r="X124" s="1"/>
  <c i="18" r="W152"/>
  <c i="18" r="X152" s="1"/>
  <c i="18" r="W255"/>
  <c i="18" r="X255" s="1"/>
  <c i="18" r="W283"/>
  <c i="18" r="X283" s="1"/>
  <c i="4" r="H29"/>
  <c i="5" r="O49"/>
  <c i="6" r="P65"/>
  <c i="4" r="O79"/>
  <c i="5" r="B27"/>
  <c i="1" r="B23"/>
  <c i="4" r="D29"/>
  <c i="9" r="AD113"/>
  <c i="4" r="G41"/>
  <c i="6" r="G41"/>
  <c i="5" r="J61"/>
  <c i="6" r="T53"/>
  <c i="10" r="AC75"/>
  <c i="5" r="F29"/>
  <c i="4" r="N67"/>
  <c i="4" r="O77"/>
  <c i="5" r="M49"/>
  <c i="5" r="N60"/>
  <c i="5" r="F17"/>
  <c i="18" r="W183"/>
  <c i="18" r="X183" s="1"/>
  <c i="18" r="W267"/>
  <c i="18" r="X267" s="1"/>
  <c i="2" r="C7"/>
  <c i="4" r="G78"/>
  <c i="5" r="J17"/>
  <c i="5" r="C40"/>
  <c i="4" r="S18"/>
  <c i="5" r="O60"/>
  <c i="4" r="E7"/>
  <c i="4" r="P79"/>
  <c i="5" r="M7"/>
  <c i="5" r="J60"/>
  <c i="6" r="P30"/>
  <c i="9" r="AE15"/>
  <c i="4" r="D31"/>
  <c i="6" r="H67"/>
  <c i="5" r="O29"/>
  <c i="6" r="H78"/>
  <c i="4" r="P17"/>
  <c i="4" r="Q29"/>
  <c i="5" r="F38"/>
  <c i="5" r="F41" s="1"/>
  <c i="2" r="J7"/>
  <c i="3" r="C10"/>
  <c i="4" r="F7"/>
  <c i="4" r="G20"/>
  <c i="4" r="C66"/>
  <c i="4" r="E78"/>
  <c i="5" r="F6"/>
  <c i="5" r="B51"/>
  <c i="6" r="C67"/>
  <c i="4" r="N17"/>
  <c i="4" r="R56"/>
  <c i="4" r="G77"/>
  <c i="8" r="AA5"/>
  <c i="5" r="H61"/>
  <c i="4" r="R31"/>
  <c i="5" r="S39"/>
  <c i="6" r="T54"/>
  <c i="6" r="T5"/>
  <c i="4" r="S5"/>
  <c i="5" r="N61"/>
  <c i="4" r="Q6"/>
  <c i="4" r="F32"/>
  <c i="9" r="Z6"/>
  <c i="4" r="B66"/>
  <c i="1" r="B24"/>
  <c i="6" r="Q8"/>
  <c i="4" r="P29"/>
  <c i="9" r="AA77"/>
  <c i="9" r="AE113"/>
  <c i="5" r="D16"/>
  <c i="5" r="E27"/>
  <c i="18" r="W55"/>
  <c i="18" r="X55" s="1"/>
  <c i="5" r="R6"/>
  <c i="4" r="E8"/>
  <c i="4" r="G30"/>
  <c i="4" r="H41"/>
  <c i="4" r="O56"/>
  <c i="4" r="O42"/>
  <c i="5" r="F27"/>
  <c i="5" r="F28"/>
  <c i="10" r="AA77"/>
  <c i="4" r="M8"/>
  <c i="4" r="N5"/>
  <c i="17" r="C9"/>
  <c i="6" r="D80"/>
  <c i="6" r="E80"/>
  <c i="9" r="AI109"/>
  <c i="4" r="C32"/>
  <c i="6" r="E8"/>
  <c i="4" r="N65"/>
  <c i="10" r="AA73"/>
  <c i="6" r="F18"/>
  <c i="4" r="B78"/>
  <c i="6" r="D7"/>
  <c i="6" r="E20"/>
  <c i="6" r="F32"/>
  <c i="6" r="H42"/>
  <c i="6" r="I54"/>
  <c i="4" r="B56"/>
  <c i="9" r="AB110"/>
  <c i="6" r="M18"/>
  <c i="3" r="B6"/>
  <c i="3" r="C17"/>
  <c i="4" r="G8"/>
  <c i="9" r="AD15"/>
  <c i="2" r="P7"/>
  <c i="4" r="M7"/>
  <c i="4" r="N18"/>
  <c i="4" r="O31"/>
  <c i="4" r="E79"/>
  <c i="6" r="E77"/>
  <c i="5" r="E73"/>
  <c i="5" r="AA73" s="1"/>
  <c i="4" r="B29"/>
  <c i="4" r="C41"/>
  <c i="10" r="AI12"/>
  <c i="4" r="Q55"/>
  <c i="4" r="N80"/>
  <c i="5" r="P18"/>
  <c i="2" r="D8"/>
  <c i="4" r="Q17"/>
  <c i="4" r="S31"/>
  <c i="5" r="C16"/>
  <c i="6" r="D32"/>
  <c i="6" r="F44"/>
  <c i="6" r="G53"/>
  <c i="5" r="H60"/>
  <c i="6" r="I78"/>
  <c i="6" r="G44"/>
  <c i="6" r="I66"/>
  <c i="3" r="C15"/>
  <c i="6" r="E6"/>
  <c i="4" r="F8"/>
  <c i="4" r="G19"/>
  <c i="4" r="H30"/>
  <c i="4" r="B67"/>
  <c i="5" r="J50"/>
  <c i="6" r="C78"/>
  <c i="4" r="R53"/>
  <c i="10" r="AA41"/>
  <c i="8" r="V11"/>
  <c i="5" r="J40"/>
  <c i="5" r="C61"/>
  <c i="2" r="P6"/>
  <c i="4" r="S68"/>
  <c i="5" r="N17"/>
  <c i="5" r="Q49"/>
  <c i="6" r="R67"/>
  <c i="6" r="S79"/>
  <c i="2" r="Q6"/>
  <c i="4" r="N8"/>
  <c i="4" r="P31"/>
  <c i="4" r="Q42"/>
  <c i="4" r="R44"/>
  <c i="4" r="S53"/>
  <c i="5" r="N7"/>
  <c i="5" r="O16"/>
  <c i="5" r="P29"/>
  <c i="6" r="Q44"/>
  <c i="5" r="S60"/>
  <c i="4" r="F78"/>
  <c i="5" r="H6"/>
  <c i="6" r="I19"/>
  <c i="6" r="B42"/>
  <c i="6" r="C53"/>
  <c i="5" r="E60"/>
  <c i="5" r="F71"/>
  <c i="6" r="Q43"/>
  <c i="4" r="C31"/>
  <c i="4" r="E56"/>
  <c i="4" r="F56"/>
  <c i="4" r="F67"/>
  <c i="4" r="G79"/>
  <c i="5" r="B28"/>
  <c i="5" r="G72"/>
  <c i="6" r="C68"/>
  <c i="5" r="Q16"/>
  <c i="6" r="T55"/>
  <c i="3" r="F15"/>
  <c i="3" r="H12"/>
  <c i="4" r="B18"/>
  <c i="4" r="C20"/>
  <c i="4" r="D30"/>
  <c i="4" r="G65"/>
  <c i="4" r="H78"/>
  <c i="6" r="I5"/>
  <c i="5" r="C28"/>
  <c i="6" r="D44"/>
  <c i="5" r="H71"/>
  <c i="6" r="D78"/>
  <c i="2" r="F6"/>
  <c i="4" r="E32"/>
  <c i="4" r="F43"/>
  <c i="4" r="G55"/>
  <c i="3" r="H10"/>
  <c i="4" r="C6"/>
  <c i="4" r="D19"/>
  <c i="5" r="D71"/>
  <c i="4" r="Q78"/>
  <c i="6" r="S8"/>
  <c i="6" r="T19"/>
  <c i="5" r="N51"/>
  <c i="6" r="O65"/>
  <c i="6" r="P77"/>
  <c i="4" r="J56"/>
  <c i="5" r="D72"/>
  <c i="4" r="P55"/>
  <c i="4" r="J54"/>
  <c i="2" r="Q5"/>
  <c i="5" r="J72"/>
  <c i="5" r="D7"/>
  <c i="2" r="Q8"/>
  <c i="2" r="Q7"/>
  <c i="5" r="H7"/>
  <c i="5" r="F72"/>
  <c i="2" r="R8"/>
  <c i="5" r="E16"/>
  <c i="5" r="F40"/>
  <c i="5" r="H72"/>
  <c i="6" r="E31"/>
  <c i="6" r="F78"/>
  <c i="2" r="R6"/>
  <c i="2" r="S8"/>
  <c i="5" r="G40"/>
  <c i="6" r="I65"/>
  <c i="5" r="J62"/>
  <c i="5" r="M16"/>
  <c i="2" r="B6"/>
  <c i="3" r="C7"/>
  <c i="3" r="G17"/>
  <c i="4" r="H7"/>
  <c i="4" r="C68"/>
  <c i="4" r="C77"/>
  <c i="4" r="D78"/>
  <c i="6" r="E7"/>
  <c i="5" r="F18"/>
  <c i="6" r="G31"/>
  <c i="6" r="J53"/>
  <c i="5" r="B60"/>
  <c i="5" r="C73"/>
  <c i="3" r="C6"/>
  <c i="6" r="Q41"/>
  <c i="6" r="F79"/>
  <c i="2" r="C6"/>
  <c i="3" r="D10"/>
  <c i="3" r="E8"/>
  <c i="4" r="J17"/>
  <c i="4" r="D65"/>
  <c i="4" r="D79"/>
  <c i="4" r="E80"/>
  <c i="5" r="F7"/>
  <c i="3" r="H14"/>
  <c i="4" r="E55"/>
  <c i="4" r="AA55" s="1"/>
  <c i="4" r="F80"/>
  <c i="4" r="E53"/>
  <c i="5" r="Q73"/>
  <c i="6" r="M43"/>
  <c i="1" r="M68"/>
  <c i="4" r="B6"/>
  <c i="4" r="C19"/>
  <c i="4" r="C30"/>
  <c i="4" r="E42"/>
  <c i="4" r="F55"/>
  <c i="4" r="F65"/>
  <c i="4" r="F79"/>
  <c i="4" r="G80"/>
  <c i="6" r="C44"/>
  <c i="5" r="D49"/>
  <c i="18" r="W44"/>
  <c i="18" r="X44" s="1"/>
  <c i="18" r="W197"/>
  <c i="18" r="X197" s="1"/>
  <c i="5" r="P73"/>
  <c i="4" r="B19"/>
  <c i="4" r="F53"/>
  <c i="4" r="E77"/>
  <c i="5" r="O50"/>
  <c i="6" r="H5"/>
  <c i="8" r="AA10"/>
  <c i="5" r="J18"/>
  <c i="5" r="B29"/>
  <c i="6" r="F65"/>
  <c i="6" r="G79"/>
  <c i="5" r="G73"/>
  <c i="18" r="W88"/>
  <c i="18" r="X88" s="1"/>
  <c i="18" r="W150"/>
  <c i="18" r="X150" s="1"/>
  <c i="18" r="W216"/>
  <c i="18" r="X216" s="1"/>
  <c i="3" r="F6"/>
  <c i="4" r="B68"/>
  <c i="6" r="B43"/>
  <c i="4" r="F77"/>
  <c i="5" r="M17"/>
  <c i="6" r="B44"/>
  <c i="5" r="N29"/>
  <c i="6" r="N44"/>
  <c i="5" r="P50"/>
  <c i="5" r="Q61"/>
  <c i="5" r="S73"/>
  <c i="2" r="G5"/>
  <c i="3" r="H5"/>
  <c i="3" r="B15"/>
  <c i="4" r="C5"/>
  <c i="4" r="E30"/>
  <c i="4" r="F44"/>
  <c i="4" r="G44"/>
  <c i="4" r="H55"/>
  <c i="4" r="H66"/>
  <c i="4" r="H77"/>
  <c i="5" r="F49"/>
  <c i="6" r="G65"/>
  <c i="5" r="H73"/>
  <c i="4" r="R43"/>
  <c i="4" r="AC43" s="1"/>
  <c i="10" r="AB39"/>
  <c i="3" r="B9"/>
  <c i="3" r="C12"/>
  <c i="4" r="H43"/>
  <c i="4" r="O53"/>
  <c i="6" r="F80"/>
  <c i="3" r="C16"/>
  <c i="6" r="M5"/>
  <c i="4" r="Q19"/>
  <c i="4" r="S41"/>
  <c i="4" r="AD41" s="1"/>
  <c i="4" r="M79"/>
  <c i="6" r="N7"/>
  <c i="5" r="O7"/>
  <c i="5" r="P17"/>
  <c i="6" r="Q32"/>
  <c i="5" r="R40"/>
  <c i="6" r="T66"/>
  <c i="3" r="D12"/>
  <c i="4" r="H17"/>
  <c i="4" r="B77"/>
  <c i="6" r="D8"/>
  <c i="6" r="E19"/>
  <c i="4" r="Q8"/>
  <c i="4" r="S32"/>
  <c i="4" r="N78"/>
  <c i="5" r="P7"/>
  <c i="9" r="AE111"/>
  <c i="10" r="AA110"/>
  <c i="3" r="E12"/>
  <c i="4" r="G6"/>
  <c i="4" r="B53"/>
  <c i="6" r="F19"/>
  <c i="6" r="B67"/>
  <c i="6" r="C54"/>
  <c i="4" r="B54"/>
  <c i="4" r="R32"/>
  <c i="4" r="G5"/>
  <c i="6" r="I55"/>
  <c i="3" r="M10"/>
  <c i="4" r="Q7"/>
  <c i="4" r="H6"/>
  <c i="4" r="C53"/>
  <c i="6" r="C66"/>
  <c i="5" r="D73"/>
  <c i="7" r="D5"/>
  <c i="9" r="Z47"/>
  <c i="18" r="W90"/>
  <c i="18" r="X90" s="1"/>
  <c i="6" r="H6"/>
  <c i="4" r="F54"/>
  <c i="6" r="H8"/>
  <c i="4" r="R8"/>
  <c i="4" r="Q30"/>
  <c i="4" r="H79"/>
  <c i="6" r="N8"/>
  <c i="4" r="R5"/>
  <c i="4" r="AC5" s="1"/>
  <c i="4" r="M41"/>
  <c i="4" r="N56"/>
  <c i="4" r="P78"/>
  <c i="6" r="Q7"/>
  <c i="5" r="R7"/>
  <c i="5" r="S17"/>
  <c i="4" r="B20"/>
  <c i="5" r="C50"/>
  <c i="6" r="D66"/>
  <c i="5" r="E72"/>
  <c i="18" r="W181"/>
  <c i="18" r="X181" s="1"/>
  <c i="4" r="S30"/>
  <c i="6" r="M17"/>
  <c i="3" r="P14"/>
  <c i="4" r="P56"/>
  <c i="6" r="S7"/>
  <c i="3" r="G5"/>
  <c i="4" r="C17"/>
  <c i="4" r="D20"/>
  <c i="6" r="H7"/>
  <c i="18" r="W191"/>
  <c i="18" r="X191" s="1"/>
  <c i="18" r="W275"/>
  <c i="6" r="I56"/>
  <c i="8" r="AC11"/>
  <c i="2" r="G7"/>
  <c i="3" r="H7"/>
  <c i="4" r="E18"/>
  <c i="4" r="H56"/>
  <c i="5" r="J7"/>
  <c i="6" r="B20"/>
  <c i="6" r="X20" s="1"/>
  <c i="5" r="F50"/>
  <c i="4" r="O55"/>
  <c i="5" r="B38"/>
  <c i="5" r="X38" s="1"/>
  <c i="4" r="M6"/>
  <c i="4" r="P30"/>
  <c i="4" r="R54"/>
  <c i="4" r="S56"/>
  <c i="6" r="M19"/>
  <c i="6" r="X19" s="1"/>
  <c i="5" r="N18"/>
  <c i="4" r="H53"/>
  <c i="4" r="AD53" s="1"/>
  <c i="6" r="B19"/>
  <c i="5" r="C18"/>
  <c i="5" r="D28"/>
  <c i="6" r="G55"/>
  <c i="4" r="N6"/>
  <c i="4" r="S54"/>
  <c i="4" r="AD54" s="1"/>
  <c i="6" r="O20"/>
  <c i="5" r="O28"/>
  <c i="5" r="R51"/>
  <c i="9" r="AF109"/>
  <c i="10" r="AC113"/>
  <c i="3" r="C13"/>
  <c i="4" r="E6"/>
  <c i="12" r="J66"/>
  <c i="4" r="J67" s="1"/>
  <c i="5" r="D18"/>
  <c i="6" r="F43"/>
  <c i="6" r="O18"/>
  <c i="4" r="Q20"/>
  <c i="5" r="N5"/>
  <c i="6" r="R54"/>
  <c i="6" r="AC54" s="1"/>
  <c i="3" r="D13"/>
  <c i="4" r="F6"/>
  <c i="4" r="G17"/>
  <c i="4" r="J53"/>
  <c i="4" r="B65"/>
  <c i="4" r="B79"/>
  <c i="4" r="Q80"/>
  <c i="6" r="P31"/>
  <c i="6" r="Q42"/>
  <c i="3" r="B8"/>
  <c i="4" r="G7"/>
  <c i="5" r="S5"/>
  <c i="5" r="S8" s="1"/>
  <c i="5" r="N38"/>
  <c i="6" r="H66"/>
  <c i="4" r="Q18"/>
  <c i="4" r="N79"/>
  <c i="6" r="P18"/>
  <c i="5" r="M72"/>
  <c i="8" r="AC68"/>
  <c i="6" r="E66"/>
  <c i="4" r="N68"/>
  <c i="4" r="Y68" s="1"/>
  <c i="4" r="O78"/>
  <c i="4" r="Z78" s="1"/>
  <c i="9" r="AA43"/>
  <c i="5" r="D6"/>
  <c i="5" r="B39"/>
  <c i="5" r="M60"/>
  <c i="5" r="X60" s="1"/>
  <c i="5" r="D39"/>
  <c i="5" r="C71"/>
  <c i="6" r="E67"/>
  <c i="4" r="R6"/>
  <c i="4" r="M43"/>
  <c i="4" r="N54"/>
  <c i="4" r="O68"/>
  <c i="4" r="P80"/>
  <c i="5" r="Q5"/>
  <c i="5" r="S18"/>
  <c i="6" r="M65"/>
  <c i="5" r="N62"/>
  <c i="5" r="O71"/>
  <c i="7" r="G19"/>
  <c i="8" r="W9"/>
  <c i="4" r="Q79"/>
  <c i="6" r="P79"/>
  <c i="18" r="W231"/>
  <c i="18" r="X231" s="1"/>
  <c i="18" r="W259"/>
  <c i="18" r="X259" s="1"/>
  <c i="18" r="W287"/>
  <c i="18" r="X287" s="1"/>
  <c i="4" r="N20"/>
  <c i="4" r="S6"/>
  <c i="4" r="M32"/>
  <c i="4" r="P65"/>
  <c i="6" r="T30"/>
  <c i="6" r="N65"/>
  <c i="5" r="O62"/>
  <c i="5" r="N39"/>
  <c i="5" r="E71"/>
  <c i="6" r="D30"/>
  <c i="4" r="M30"/>
  <c i="4" r="O43"/>
  <c i="4" r="P54"/>
  <c i="6" r="T18"/>
  <c i="5" r="U28"/>
  <c i="5" r="M39"/>
  <c i="5" r="N50"/>
  <c i="5" r="P62"/>
  <c i="5" r="Q72"/>
  <c i="5" r="E61"/>
  <c i="5" r="M18"/>
  <c i="4" r="O54"/>
  <c i="4" r="O57" s="1"/>
  <c i="5" r="R5"/>
  <c i="5" r="M50"/>
  <c i="7" r="H18"/>
  <c i="5" r="S6"/>
  <c i="5" r="Q39"/>
  <c i="6" r="E30"/>
  <c i="2" r="P8"/>
  <c i="4" r="Q54"/>
  <c i="4" r="R65"/>
  <c i="4" r="R68"/>
  <c i="10" r="AC42"/>
  <c i="4" r="F66"/>
  <c i="5" r="B40"/>
  <c i="3" r="S10"/>
  <c i="10" r="AG5"/>
  <c i="16" r="U110"/>
  <c i="1" r="C11"/>
  <c i="10" r="AB44"/>
  <c i="10" r="AE109"/>
  <c i="10" r="AI10"/>
  <c i="1" r="C69"/>
  <c i="5" r="J5"/>
  <c i="6" r="J6"/>
  <c i="6" r="J5"/>
  <c i="5" r="J6"/>
  <c i="5" r="J8" s="1"/>
  <c i="4" r="P20"/>
  <c i="4" r="O41"/>
  <c i="6" r="D5"/>
  <c i="6" r="G42"/>
  <c i="6" r="M66"/>
  <c i="18" r="W111"/>
  <c i="18" r="X111" s="1"/>
  <c i="18" r="W167"/>
  <c i="18" r="X167" s="1"/>
  <c i="8" r="AA7"/>
  <c i="8" r="W38"/>
  <c i="4" r="B5"/>
  <c i="4" r="C18"/>
  <c i="4" r="S55"/>
  <c i="4" r="M77"/>
  <c i="5" r="AE6"/>
  <c i="5" r="G71"/>
  <c i="5" r="G74" s="1"/>
  <c i="6" r="B17"/>
  <c i="6" r="P20"/>
  <c i="6" r="J54"/>
  <c i="6" r="P78"/>
  <c i="10" r="AB114"/>
  <c i="2" r="B7"/>
  <c i="4" r="D18"/>
  <c i="4" r="E31"/>
  <c i="4" r="R41"/>
  <c i="4" r="N66"/>
  <c i="4" r="N77"/>
  <c i="4" r="B80"/>
  <c i="5" r="S16"/>
  <c i="5" r="N27"/>
  <c i="5" r="Q38"/>
  <c i="5" r="G50"/>
  <c i="5" r="B61"/>
  <c i="6" r="E5"/>
  <c i="6" r="D17"/>
  <c i="6" r="D29"/>
  <c i="6" r="N66"/>
  <c i="2" r="R7"/>
  <c i="6" r="R8"/>
  <c i="5" r="C27"/>
  <c i="18" r="W43"/>
  <c i="18" r="X43" s="1"/>
  <c i="18" r="W270"/>
  <c i="5" r="N16"/>
  <c i="3" r="C8"/>
  <c i="6" r="N42"/>
  <c i="6" r="M55"/>
  <c i="16" r="AH11"/>
  <c i="8" r="AA37"/>
  <c i="6" r="N41"/>
  <c i="4" r="R7"/>
  <c i="6" r="E79"/>
  <c i="4" r="R78"/>
  <c i="4" r="F5"/>
  <c i="4" r="AB5" s="1"/>
  <c i="4" r="S7"/>
  <c i="4" r="G18"/>
  <c i="4" r="Q53"/>
  <c i="4" r="Q57" s="1"/>
  <c i="4" r="Q77"/>
  <c i="4" r="D80"/>
  <c i="5" r="N6"/>
  <c i="5" r="C17"/>
  <c i="5" r="P27"/>
  <c i="6" r="F29"/>
  <c i="6" r="C55"/>
  <c i="3" r="M5"/>
  <c i="4" r="O19"/>
  <c i="6" r="H79"/>
  <c i="6" r="AD79" s="1"/>
  <c i="18" r="W112"/>
  <c i="18" r="X112" s="1"/>
  <c i="18" r="W168"/>
  <c i="18" r="X168" s="1"/>
  <c i="6" r="S56"/>
  <c i="5" r="M6"/>
  <c i="6" r="S66"/>
  <c i="4" r="N30"/>
  <c i="4" r="C29"/>
  <c i="4" r="C67"/>
  <c i="4" r="Y67" s="1"/>
  <c i="5" r="P6"/>
  <c i="5" r="Q27"/>
  <c i="5" r="AB27" s="1"/>
  <c i="6" r="N17"/>
  <c i="8" r="AA41"/>
  <c i="18" r="W121"/>
  <c i="18" r="X121" s="1"/>
  <c i="6" r="N20"/>
  <c i="4" r="C80"/>
  <c i="5" r="O27"/>
  <c i="6" r="E17"/>
  <c i="4" r="F42"/>
  <c i="4" r="G56"/>
  <c i="4" r="AC56" s="1"/>
  <c i="5" r="P71"/>
  <c i="6" r="P29"/>
  <c i="6" r="F55"/>
  <c i="1" r="C22"/>
  <c i="3" r="C9"/>
  <c i="4" r="H5"/>
  <c i="4" r="AD5" s="1"/>
  <c i="4" r="B8"/>
  <c i="4" r="Q31"/>
  <c i="4" r="G42"/>
  <c i="4" r="C78"/>
  <c i="5" r="Q6"/>
  <c i="5" r="Q8" s="1"/>
  <c i="5" r="E17"/>
  <c i="5" r="G39"/>
  <c i="5" r="G41" s="1"/>
  <c i="5" r="S71"/>
  <c i="6" r="P17"/>
  <c i="6" r="Q29"/>
  <c i="10" r="AC7"/>
  <c i="18" r="W122"/>
  <c i="18" r="X122" s="1"/>
  <c i="18" r="W262"/>
  <c i="18" r="X262" s="1"/>
  <c i="4" r="C8"/>
  <c i="4" r="Y8" s="1"/>
  <c i="4" r="E29"/>
  <c i="4" r="M42"/>
  <c i="5" r="M61"/>
  <c i="5" r="C72"/>
  <c i="6" r="N5"/>
  <c i="6" r="T17"/>
  <c i="6" r="G43"/>
  <c i="9" r="AF110"/>
  <c i="5" r="P16"/>
  <c i="5" r="P19" s="1"/>
  <c i="4" r="P18"/>
  <c i="18" r="W14"/>
  <c i="3" r="P9"/>
  <c i="4" r="R18"/>
  <c i="4" r="R42"/>
  <c i="4" r="G54"/>
  <c i="4" r="M80"/>
  <c i="6" r="S5"/>
  <c i="6" r="E18"/>
  <c i="6" r="F30"/>
  <c i="6" r="N43"/>
  <c i="6" r="C56"/>
  <c i="6" r="I67"/>
  <c i="9" r="AB15"/>
  <c i="10" r="AC73"/>
  <c i="18" r="W21"/>
  <c i="18" r="X21" s="1"/>
  <c i="18" r="W225"/>
  <c i="18" r="X225" s="1"/>
  <c i="18" r="W235"/>
  <c i="18" r="X235" s="1"/>
  <c i="18" r="W263"/>
  <c i="18" r="X263" s="1"/>
  <c i="18" r="W291"/>
  <c i="18" r="X291" s="1"/>
  <c i="18" r="W254"/>
  <c i="18" r="X254" s="1"/>
  <c i="2" r="B8"/>
  <c i="4" r="H8"/>
  <c i="5" r="E7"/>
  <c i="5" r="O17"/>
  <c i="5" r="Z17" s="1"/>
  <c i="5" r="S61"/>
  <c i="6" r="D6"/>
  <c i="6" r="R43"/>
  <c i="6" r="B68"/>
  <c i="6" r="S17"/>
  <c i="6" r="S32"/>
  <c i="18" r="W189"/>
  <c i="18" r="X189" s="1"/>
  <c i="4" r="M78"/>
  <c i="9" r="Z50"/>
  <c i="4" r="G32"/>
  <c i="4" r="F68"/>
  <c i="5" r="D5"/>
  <c i="5" r="P28"/>
  <c i="5" r="M40"/>
  <c i="6" r="F31"/>
  <c i="6" r="T56"/>
  <c i="6" r="AE56" s="1"/>
  <c i="6" r="H68"/>
  <c i="6" r="P80"/>
  <c i="8" r="W37"/>
  <c i="9" r="AA5"/>
  <c i="4" r="N7"/>
  <c i="4" r="S65"/>
  <c i="6" r="M30"/>
  <c i="6" r="R79"/>
  <c i="6" r="H55"/>
  <c i="10" r="G45"/>
  <c i="5" r="N28"/>
  <c i="5" r="B62"/>
  <c i="5" r="X62" s="1"/>
  <c i="6" r="F53"/>
  <c i="4" r="S29"/>
  <c i="1" r="B4"/>
  <c i="2" r="C5"/>
  <c i="2" r="G8"/>
  <c i="2" r="G9" s="1"/>
  <c i="4" r="H32"/>
  <c i="4" r="G68"/>
  <c i="5" r="E5"/>
  <c i="5" r="B18"/>
  <c i="5" r="E62"/>
  <c i="6" r="N6"/>
  <c i="6" r="B65"/>
  <c i="6" r="I68"/>
  <c i="6" r="S80"/>
  <c i="5" r="S72"/>
  <c i="18" r="W62"/>
  <c i="10" r="AA43"/>
  <c i="2" r="F5"/>
  <c i="4" r="H19"/>
  <c i="4" r="C65"/>
  <c i="4" r="H68"/>
  <c i="5" r="F5"/>
  <c i="5" r="AB5" s="1"/>
  <c i="5" r="Q40"/>
  <c i="5" r="AB40" s="1"/>
  <c i="5" r="H62"/>
  <c i="5" r="P72"/>
  <c i="6" r="Q6"/>
  <c i="6" r="D19"/>
  <c i="6" r="C65"/>
  <c i="6" r="O68"/>
  <c i="9" r="AB44"/>
  <c i="2" r="M5"/>
  <c i="6" r="F17"/>
  <c i="18" r="W116"/>
  <c i="18" r="X116" s="1"/>
  <c i="18" r="W200"/>
  <c i="18" r="X200" s="1"/>
  <c i="9" r="G50"/>
  <c i="4" r="B17"/>
  <c i="5" r="H5"/>
  <c i="5" r="D29"/>
  <c i="5" r="Z29" s="1"/>
  <c i="6" r="M44"/>
  <c i="6" r="X44" s="1"/>
  <c i="6" r="E65"/>
  <c i="7" r="G18"/>
  <c i="3" r="Q8"/>
  <c i="5" r="R49"/>
  <c i="6" r="U77"/>
  <c i="5" r="G6"/>
  <c i="5" r="AC6" s="1"/>
  <c i="6" r="B66"/>
  <c i="4" r="P32"/>
  <c i="5" r="Q7"/>
  <c i="5" r="E18"/>
  <c i="5" r="E29"/>
  <c i="5" r="C49"/>
  <c i="6" r="E32"/>
  <c i="6" r="F77"/>
  <c i="5" r="U60"/>
  <c i="5" r="AF60" s="1"/>
  <c i="6" r="B53"/>
  <c i="4" r="R29"/>
  <c i="2" r="F8"/>
  <c i="4" r="D17"/>
  <c i="4" r="Q32"/>
  <c i="4" r="M44"/>
  <c i="4" r="B55"/>
  <c i="4" r="C79"/>
  <c i="5" r="M62"/>
  <c i="6" r="H77"/>
  <c i="4" r="N55"/>
  <c i="9" r="AC44"/>
  <c i="18" r="W64"/>
  <c i="18" r="X64" s="1"/>
  <c i="6" r="Q67"/>
  <c i="1" r="C36"/>
  <c i="1" r="D36" s="1"/>
  <c i="1" r="E36" s="1"/>
  <c i="2" r="R5"/>
  <c i="2" r="AC5" s="1"/>
  <c i="3" r="C5"/>
  <c i="3" r="Y5" s="1"/>
  <c i="3" r="C14"/>
  <c i="4" r="H65"/>
  <c i="5" r="S7"/>
  <c i="5" r="C60"/>
  <c i="6" r="P19"/>
  <c i="6" r="P32"/>
  <c i="6" r="H65"/>
  <c i="6" r="I77"/>
  <c i="6" r="I81" s="1"/>
  <c i="8" r="AC39"/>
  <c i="9" r="AD118"/>
  <c i="4" r="M31"/>
  <c i="4" r="N44"/>
  <c i="18" r="W126"/>
  <c i="18" r="X126" s="1"/>
  <c i="3" r="C11"/>
  <c i="2" r="B5"/>
  <c i="4" r="P19"/>
  <c i="5" r="B16"/>
  <c i="5" r="G49"/>
  <c i="5" r="F73"/>
  <c i="5" r="AB73" s="1"/>
  <c i="11" r="J17"/>
  <c i="11" r="J20"/>
  <c i="5" r="B17"/>
  <c i="8" r="Z9"/>
  <c i="4" r="O67"/>
  <c i="6" r="J56"/>
  <c i="6" r="T32"/>
  <c i="6" r="I53"/>
  <c i="4" r="M5"/>
  <c i="9" r="AH115"/>
  <c i="6" r="E42"/>
  <c i="18" r="W65"/>
  <c i="18" r="X65" s="1"/>
  <c i="6" r="C17"/>
  <c i="5" r="O18"/>
  <c i="5" r="J49"/>
  <c i="5" r="S62"/>
  <c i="6" r="B41"/>
  <c i="18" r="W165"/>
  <c i="18" r="X165" s="1"/>
  <c i="18" r="W156"/>
  <c i="18" r="X156" s="1"/>
  <c i="18" r="W240"/>
  <c i="18" r="X240" s="1"/>
  <c i="3" r="N13"/>
  <c i="10" r="AI11"/>
  <c i="10" r="AI109"/>
  <c i="3" r="O13"/>
  <c i="3" r="Z13" s="1"/>
  <c i="18" r="W18"/>
  <c i="18" r="X18" s="1"/>
  <c i="10" r="AA109"/>
  <c i="9" r="AF113"/>
  <c i="6" r="I29"/>
  <c i="6" r="I33" s="1"/>
  <c i="18" r="W203"/>
  <c i="18" r="X203" s="1"/>
  <c i="3" r="R13"/>
  <c i="4" r="S8"/>
  <c i="4" r="E44"/>
  <c i="6" r="D77"/>
  <c i="5" r="U50"/>
  <c i="5" r="AF50" s="1"/>
  <c i="5" r="U51"/>
  <c i="6" r="U56"/>
  <c i="4" r="P68"/>
  <c i="5" r="H49"/>
  <c i="6" r="M53"/>
  <c i="8" r="AC65"/>
  <c i="8" r="W70"/>
  <c i="3" r="P5"/>
  <c i="3" r="M14"/>
  <c i="4" r="R19"/>
  <c i="5" r="D61"/>
  <c i="6" r="I17"/>
  <c i="6" r="C20"/>
  <c i="6" r="S53"/>
  <c i="6" r="M56"/>
  <c i="9" r="AC77"/>
  <c i="8" r="Y38"/>
  <c i="8" r="X67"/>
  <c i="5" r="R72"/>
  <c i="3" r="R10"/>
  <c i="4" r="O66"/>
  <c i="5" r="O6"/>
  <c i="5" r="AE18"/>
  <c i="5" r="M28"/>
  <c i="5" r="H51"/>
  <c i="5" r="U72"/>
  <c i="5" r="AF72" s="1"/>
  <c i="6" r="I31"/>
  <c i="6" r="E43"/>
  <c i="6" r="B54"/>
  <c i="6" r="D67"/>
  <c i="9" r="AI11"/>
  <c i="1" r="C40"/>
  <c i="1" r="D40" s="1"/>
  <c i="1" r="E40" s="1"/>
  <c i="11" r="J23"/>
  <c i="6" r="S6"/>
  <c i="6" r="Q54"/>
  <c i="5" r="M51"/>
  <c i="4" r="P66"/>
  <c i="5" r="E39"/>
  <c i="6" r="M31"/>
  <c i="4" r="S66"/>
  <c i="6" r="I20"/>
  <c i="3" r="M6"/>
  <c i="3" r="P10"/>
  <c i="6" r="F42"/>
  <c i="6" r="AB42" s="1"/>
  <c i="3" r="M11"/>
  <c i="3" r="M15"/>
  <c i="4" r="N42"/>
  <c i="5" r="S49"/>
  <c i="5" r="Y61"/>
  <c i="6" r="R78"/>
  <c i="3" r="P11"/>
  <c i="3" r="P15"/>
  <c i="5" r="S28"/>
  <c i="6" r="C18"/>
  <c i="6" r="H54"/>
  <c i="6" r="D65"/>
  <c i="8" r="V9"/>
  <c i="8" r="AB40"/>
  <c i="8" r="AB66"/>
  <c i="1" r="C21"/>
  <c i="2" r="S5"/>
  <c i="3" r="Q11"/>
  <c i="3" r="R15"/>
  <c i="5" r="G5"/>
  <c i="5" r="B50"/>
  <c i="9" r="AB40"/>
  <c i="10" r="AH112"/>
  <c i="5" r="R61"/>
  <c i="6" r="M32"/>
  <c i="9" r="AA78"/>
  <c i="9" r="AC112"/>
  <c i="10" r="AC6"/>
  <c i="3" r="O7"/>
  <c i="3" r="M16"/>
  <c i="4" r="O18"/>
  <c i="4" r="N53"/>
  <c i="6" r="I18"/>
  <c i="6" r="M54"/>
  <c i="6" r="X54" s="1"/>
  <c i="6" r="D68"/>
  <c i="9" r="AA115"/>
  <c i="17" r="J33"/>
  <c i="17" r="J42" s="1"/>
  <c i="11" r="J16"/>
  <c i="4" r="E54"/>
  <c i="3" r="P7"/>
  <c i="3" r="N16"/>
  <c i="4" r="O20"/>
  <c i="5" r="G7"/>
  <c i="6" r="U78"/>
  <c i="9" r="AC74"/>
  <c i="1" r="H18"/>
  <c i="3" r="Q6"/>
  <c i="5" r="E40"/>
  <c i="5" r="H50"/>
  <c i="5" r="D60"/>
  <c i="5" r="U61"/>
  <c i="5" r="R71"/>
  <c i="8" r="AB11"/>
  <c i="9" r="Z79"/>
  <c i="4" r="R55"/>
  <c i="4" r="P77"/>
  <c i="9" r="AA118"/>
  <c i="2" r="M8"/>
  <c i="3" r="M12"/>
  <c i="5" r="M29"/>
  <c i="5" r="X29" s="1"/>
  <c i="6" r="E44"/>
  <c i="16" r="Q46"/>
  <c i="16" r="AC46" s="1"/>
  <c i="9" r="AC50"/>
  <c i="10" r="Z114"/>
  <c i="3" r="P16"/>
  <c i="3" r="Q16"/>
  <c i="5" r="O5"/>
  <c i="5" r="O8" s="1"/>
  <c i="1" r="C24"/>
  <c i="2" r="M6"/>
  <c i="2" r="X6" s="1"/>
  <c i="3" r="P12"/>
  <c i="5" r="U71"/>
  <c i="5" r="R73"/>
  <c i="6" r="M29"/>
  <c i="7" r="I5"/>
  <c i="10" r="AC43"/>
  <c i="3" r="M8"/>
  <c i="3" r="X8" s="1"/>
  <c i="4" r="S67"/>
  <c i="5" r="D62"/>
  <c i="6" r="E41"/>
  <c i="6" r="M8"/>
  <c i="5" r="M5"/>
  <c i="6" r="U30"/>
  <c i="8" r="AC35"/>
  <c i="3" r="P8"/>
  <c i="3" r="M17"/>
  <c i="4" r="N43"/>
  <c i="5" r="M27"/>
  <c i="6" r="C19"/>
  <c i="6" r="C79"/>
  <c i="6" r="C77"/>
  <c i="10" r="AD110"/>
  <c i="1" r="L65"/>
  <c i="2" r="AC6"/>
  <c i="3" r="O14"/>
  <c i="9" r="AG108"/>
  <c i="10" r="AC112"/>
  <c i="18" r="W135"/>
  <c i="18" r="X135" s="1"/>
  <c i="3" r="P6"/>
  <c i="2" r="S7"/>
  <c i="3" r="N17"/>
  <c i="3" r="Y17" s="1"/>
  <c i="2" r="S6"/>
  <c i="3" r="M13"/>
  <c i="3" r="P17"/>
  <c i="8" r="W66"/>
  <c i="9" r="AG111"/>
  <c i="4" r="P67"/>
  <c i="6" r="N55"/>
  <c i="5" r="U62"/>
  <c i="3" r="M7"/>
  <c i="5" r="S50"/>
  <c i="8" r="Z41"/>
  <c i="4" r="N19"/>
  <c i="5" r="E38"/>
  <c i="6" r="R80"/>
  <c i="10" r="Z46"/>
  <c i="2" r="P5"/>
  <c i="4" r="O17"/>
  <c i="3" r="M9"/>
  <c i="4" r="N41"/>
  <c i="4" r="Y41" s="1"/>
  <c i="6" r="R77"/>
  <c i="6" r="B6"/>
  <c i="3" r="P13"/>
  <c i="4" r="O65"/>
  <c i="6" r="R55"/>
  <c i="9" r="AC79"/>
  <c i="10" r="AI114"/>
  <c i="19" r="AA53"/>
  <c i="18" r="W63"/>
  <c i="18" r="X63" s="1"/>
  <c i="18" r="W115"/>
  <c i="18" r="X115" s="1"/>
  <c i="18" r="W123"/>
  <c i="18" r="W131"/>
  <c i="18" r="X131" s="1"/>
  <c i="18" r="W155"/>
  <c i="18" r="W226"/>
  <c i="18" r="X226" s="1"/>
  <c i="18" r="W234"/>
  <c i="18" r="X234" s="1"/>
  <c i="9" r="AD11"/>
  <c i="18" r="W242"/>
  <c i="18" r="X242" s="1"/>
  <c i="18" r="W79"/>
  <c i="18" r="X79" s="1"/>
  <c i="8" r="AB41"/>
  <c i="8" r="W67"/>
  <c i="9" r="AB78"/>
  <c i="9" r="AG110"/>
  <c i="18" r="W24"/>
  <c i="18" r="X24" s="1"/>
  <c i="18" r="W133"/>
  <c i="18" r="X133" s="1"/>
  <c i="18" r="W149"/>
  <c i="18" r="X149" s="1"/>
  <c i="18" r="W196"/>
  <c i="18" r="X196" s="1"/>
  <c i="9" r="AC43"/>
  <c i="10" r="AI8"/>
  <c i="6" r="R29"/>
  <c i="9" r="AC75"/>
  <c i="10" r="AA44"/>
  <c i="4" r="M66"/>
  <c i="4" r="X66" s="1"/>
  <c i="6" r="T29"/>
  <c i="6" r="N56"/>
  <c i="6" r="Q78"/>
  <c i="6" r="AB78" s="1"/>
  <c i="17" r="C7"/>
  <c i="9" r="Z110"/>
  <c i="9" r="AB112"/>
  <c i="9" r="AC114"/>
  <c i="18" r="W33"/>
  <c i="18" r="X33" s="1"/>
  <c i="18" r="W166"/>
  <c i="18" r="X166" s="1"/>
  <c i="18" r="W182"/>
  <c i="18" r="X182" s="1"/>
  <c i="18" r="W190"/>
  <c i="18" r="X190" s="1"/>
  <c i="18" r="W198"/>
  <c i="18" r="W237"/>
  <c i="18" r="X237" s="1"/>
  <c i="17" r="W87"/>
  <c i="8" r="Y41"/>
  <c i="9" r="Z84"/>
  <c i="9" r="Z5"/>
  <c i="9" r="AD109"/>
  <c i="6" r="C31"/>
  <c i="18" r="W60"/>
  <c i="18" r="X60" s="1"/>
  <c i="4" r="J20"/>
  <c i="18" r="W28"/>
  <c i="18" r="X28" s="1"/>
  <c i="18" r="W61"/>
  <c i="18" r="X61" s="1"/>
  <c i="18" r="W76"/>
  <c i="18" r="X76" s="1"/>
  <c i="6" r="N53"/>
  <c i="6" r="S54"/>
  <c i="6" r="O67"/>
  <c i="6" r="Q80"/>
  <c i="7" r="G17"/>
  <c i="4" r="C7"/>
  <c i="18" r="W16"/>
  <c i="18" r="X16" s="1"/>
  <c i="6" r="R42"/>
  <c i="10" r="AF108"/>
  <c i="18" r="W161"/>
  <c i="18" r="X161" s="1"/>
  <c i="18" r="W169"/>
  <c i="18" r="X169" s="1"/>
  <c i="18" r="W185"/>
  <c i="18" r="X185" s="1"/>
  <c i="18" r="W193"/>
  <c i="18" r="X193" s="1"/>
  <c i="10" r="AH111"/>
  <c i="6" r="R5"/>
  <c i="6" r="O19"/>
  <c i="6" r="Z19" s="1"/>
  <c i="6" r="Q30"/>
  <c i="6" r="M42"/>
  <c i="8" r="AC8"/>
  <c i="8" r="AA69"/>
  <c i="10" r="Z40"/>
  <c i="10" r="AH113"/>
  <c i="4" r="P53"/>
  <c i="6" r="M67"/>
  <c i="6" r="X67" s="1"/>
  <c i="6" r="O78"/>
  <c i="9" r="AD114"/>
  <c i="18" r="W12"/>
  <c i="18" r="X12" s="1"/>
  <c i="18" r="W86"/>
  <c i="18" r="X86" s="1"/>
  <c i="6" r="J32"/>
  <c i="6" r="J29"/>
  <c i="5" r="J27"/>
  <c i="6" r="J30"/>
  <c i="5" r="J28"/>
  <c i="6" r="J31"/>
  <c i="5" r="J29"/>
  <c i="17" r="W53"/>
  <c i="4" r="AB29"/>
  <c i="5" r="S40"/>
  <c i="6" r="S42"/>
  <c i="6" r="AD42" s="1"/>
  <c i="6" r="S43"/>
  <c i="6" r="P54"/>
  <c i="6" r="P56"/>
  <c i="5" r="P51"/>
  <c i="5" r="P49"/>
  <c i="6" r="P53"/>
  <c i="6" r="T65"/>
  <c i="6" r="T67"/>
  <c i="6" r="T68"/>
  <c i="6" r="Q68"/>
  <c i="5" r="Q62"/>
  <c i="6" r="Q65"/>
  <c i="6" r="AB65" s="1"/>
  <c i="5" r="Q60"/>
  <c i="5" r="M73"/>
  <c i="5" r="M74" s="1"/>
  <c i="6" r="M77"/>
  <c i="6" r="M80"/>
  <c i="6" r="M78"/>
  <c i="5" r="M71"/>
  <c i="5" r="X71" s="1"/>
  <c i="7" r="I8"/>
  <c i="7" r="I7"/>
  <c i="7" r="I6"/>
  <c i="7" r="H17"/>
  <c i="7" r="H21"/>
  <c i="7" r="H20"/>
  <c i="7" r="H22"/>
  <c i="6" r="T43"/>
  <c i="6" r="T42"/>
  <c i="5" r="Q50"/>
  <c i="6" r="Q56"/>
  <c i="6" r="AB56" s="1"/>
  <c i="5" r="Q51"/>
  <c i="5" r="AB51" s="1"/>
  <c i="6" r="Q53"/>
  <c i="6" r="U67"/>
  <c i="6" r="U65"/>
  <c i="6" r="U68"/>
  <c i="6" r="U66"/>
  <c i="5" r="R62"/>
  <c i="5" r="R60"/>
  <c i="6" r="R65"/>
  <c i="6" r="R68"/>
  <c i="6" r="R66"/>
  <c i="6" r="N77"/>
  <c i="6" r="N80"/>
  <c i="6" r="Y80" s="1"/>
  <c i="6" r="N78"/>
  <c i="6" r="Y78" s="1"/>
  <c i="5" r="N71"/>
  <c i="6" r="N79"/>
  <c i="5" r="N72"/>
  <c i="5" r="N73"/>
  <c i="7" r="I18"/>
  <c i="7" r="I17"/>
  <c i="6" r="T8"/>
  <c i="6" r="T6"/>
  <c i="5" r="T8"/>
  <c i="6" r="T7"/>
  <c i="6" r="Q19"/>
  <c i="6" r="AB19" s="1"/>
  <c i="6" r="Q17"/>
  <c i="6" r="Q20"/>
  <c i="6" r="AB20" s="1"/>
  <c i="5" r="Q17"/>
  <c i="5" r="Q18"/>
  <c i="6" r="N30"/>
  <c i="6" r="N31"/>
  <c i="6" r="N32"/>
  <c i="6" r="N29"/>
  <c i="5" r="R27"/>
  <c i="6" r="R30"/>
  <c i="5" r="R28"/>
  <c i="6" r="R31"/>
  <c i="5" r="R29"/>
  <c i="5" r="O38"/>
  <c i="6" r="O41"/>
  <c i="5" r="O39"/>
  <c i="5" r="O40"/>
  <c i="9" r="X113"/>
  <c i="4" r="R79"/>
  <c i="4" r="R80"/>
  <c i="4" r="R77"/>
  <c i="6" r="O5"/>
  <c i="6" r="O6"/>
  <c i="6" r="O7"/>
  <c i="5" r="U5"/>
  <c i="6" r="U7"/>
  <c i="5" r="U6"/>
  <c i="5" r="U7"/>
  <c i="6" r="R19"/>
  <c i="5" r="R16"/>
  <c i="6" r="R17"/>
  <c i="6" r="R20"/>
  <c i="5" r="R17"/>
  <c i="6" r="R18"/>
  <c i="5" r="R18"/>
  <c i="6" r="O32"/>
  <c i="6" r="Z32" s="1"/>
  <c i="6" r="O30"/>
  <c i="6" r="O31"/>
  <c i="6" r="Z31" s="1"/>
  <c i="6" r="O29"/>
  <c i="5" r="S27"/>
  <c i="6" r="S30"/>
  <c i="5" r="S29"/>
  <c i="6" r="P42"/>
  <c i="5" r="P38"/>
  <c i="6" r="P41"/>
  <c i="5" r="P39"/>
  <c i="5" r="P40"/>
  <c i="4" r="S42"/>
  <c i="4" r="S43"/>
  <c i="4" r="S44"/>
  <c i="4" r="P44"/>
  <c i="4" r="P42"/>
  <c i="4" r="P43"/>
  <c i="4" r="AA43" s="1"/>
  <c i="4" r="P41"/>
  <c i="4" r="M56"/>
  <c i="4" r="X56" s="1"/>
  <c i="4" r="M53"/>
  <c i="4" r="X53" s="1"/>
  <c i="4" r="M54"/>
  <c i="4" r="M55"/>
  <c i="4" r="X55" s="1"/>
  <c i="4" r="R66"/>
  <c i="4" r="R67"/>
  <c i="18" r="C135"/>
  <c i="7" r="D19"/>
  <c i="7" r="D22"/>
  <c i="18" r="F54"/>
  <c i="19" r="X12" s="1"/>
  <c i="9" r="AC11"/>
  <c i="2" r="N7"/>
  <c i="2" r="Y7" s="1"/>
  <c i="2" r="N8"/>
  <c i="2" r="Y8" s="1"/>
  <c i="2" r="N5"/>
  <c i="2" r="N6"/>
  <c i="2" r="AE7"/>
  <c i="3" r="Q14"/>
  <c i="3" r="Q7"/>
  <c i="3" r="Q15"/>
  <c i="3" r="AB15" s="1"/>
  <c i="3" r="Q12"/>
  <c i="3" r="Q5"/>
  <c i="3" r="Q9"/>
  <c i="3" r="Q13"/>
  <c i="3" r="Q10"/>
  <c i="3" r="Q17"/>
  <c i="3" r="N14"/>
  <c i="3" r="N7"/>
  <c i="3" r="Y7" s="1"/>
  <c i="3" r="N11"/>
  <c i="3" r="N8"/>
  <c i="3" r="N12"/>
  <c i="3" r="N9"/>
  <c i="3" r="N6"/>
  <c i="3" r="N10"/>
  <c i="3" r="R12"/>
  <c i="3" r="N15"/>
  <c i="3" r="Y15" s="1"/>
  <c i="3" r="AE9"/>
  <c i="4" r="O7"/>
  <c i="4" r="O5"/>
  <c i="4" r="O8"/>
  <c i="4" r="O6"/>
  <c i="4" r="R17"/>
  <c i="4" r="R20"/>
  <c i="4" r="N31"/>
  <c i="4" r="N32"/>
  <c i="4" r="N29"/>
  <c i="4" r="Q44"/>
  <c i="4" r="Q43"/>
  <c i="4" r="Q41"/>
  <c i="6" r="O8"/>
  <c i="7" r="D7"/>
  <c i="7" r="D6"/>
  <c i="7" r="B22"/>
  <c i="7" r="B17"/>
  <c i="7" r="B21"/>
  <c i="7" r="B16"/>
  <c i="7" r="B20"/>
  <c i="7" r="B19"/>
  <c i="7" r="L19" s="1"/>
  <c i="7" r="B18"/>
  <c i="2" r="O7"/>
  <c i="2" r="O8"/>
  <c i="2" r="Z8" s="1"/>
  <c i="2" r="O5"/>
  <c i="2" r="O6"/>
  <c i="2" r="U8"/>
  <c i="2" r="U5"/>
  <c i="2" r="U6"/>
  <c i="2" r="U7"/>
  <c i="2" r="AF7" s="1"/>
  <c i="3" r="R11"/>
  <c i="3" r="R8"/>
  <c i="3" r="R5"/>
  <c i="3" r="R9"/>
  <c i="3" r="R16"/>
  <c i="3" r="R6"/>
  <c i="3" r="R17"/>
  <c i="3" r="R14"/>
  <c i="3" r="R7"/>
  <c i="3" r="O17"/>
  <c i="3" r="O11"/>
  <c i="3" r="O8"/>
  <c i="3" r="O12"/>
  <c i="3" r="O5"/>
  <c i="3" r="O9"/>
  <c i="3" r="O16"/>
  <c i="3" r="O6"/>
  <c i="3" r="O10"/>
  <c i="3" r="S11"/>
  <c i="3" r="S8"/>
  <c i="3" r="S15"/>
  <c i="3" r="S12"/>
  <c i="3" r="S5"/>
  <c i="3" r="S9"/>
  <c i="3" r="S16"/>
  <c i="3" r="S13"/>
  <c i="3" r="S6"/>
  <c i="3" r="S17"/>
  <c i="3" r="S14"/>
  <c i="3" r="S7"/>
  <c i="3" r="O15"/>
  <c i="4" r="P7"/>
  <c i="4" r="AA7" s="1"/>
  <c i="4" r="P8"/>
  <c i="4" r="P5"/>
  <c i="4" r="AA5" s="1"/>
  <c i="4" r="P6"/>
  <c i="4" r="M18"/>
  <c i="4" r="X18" s="1"/>
  <c i="4" r="M19"/>
  <c i="4" r="X19" s="1"/>
  <c i="4" r="M20"/>
  <c i="4" r="X20" s="1"/>
  <c i="4" r="M17"/>
  <c i="4" r="S19"/>
  <c i="4" r="S20"/>
  <c i="4" r="AD20" s="1"/>
  <c i="4" r="S17"/>
  <c i="4" r="O30"/>
  <c i="4" r="Z30" s="1"/>
  <c i="4" r="O32"/>
  <c i="4" r="Z32" s="1"/>
  <c i="4" r="O29"/>
  <c i="4" r="Z29" s="1"/>
  <c i="9" r="R82"/>
  <c i="9" r="R95" s="1"/>
  <c i="7" r="B8"/>
  <c i="7" r="B7"/>
  <c i="7" r="B6"/>
  <c i="7" r="B5"/>
  <c i="7" r="C22"/>
  <c i="7" r="C17"/>
  <c i="7" r="C21"/>
  <c i="7" r="C16"/>
  <c i="7" r="C20"/>
  <c i="7" r="C19"/>
  <c i="7" r="C18"/>
  <c i="7" r="M18" s="1"/>
  <c i="9" r="AI112"/>
  <c i="6" r="U41"/>
  <c i="6" r="U44"/>
  <c i="5" r="U40"/>
  <c i="6" r="U42"/>
  <c i="5" r="U38"/>
  <c i="4" r="J18"/>
  <c i="4" r="J19"/>
  <c i="5" r="J73"/>
  <c i="5" r="J71"/>
  <c i="7" r="C8"/>
  <c i="7" r="C7"/>
  <c i="7" r="C6"/>
  <c i="7" r="C5"/>
  <c i="6" r="Q55"/>
  <c i="6" r="AB55" s="1"/>
  <c i="6" r="M79"/>
  <c i="6" r="M81" s="1"/>
  <c i="6" r="U8"/>
  <c i="6" r="U6"/>
  <c i="6" r="AF6" s="1"/>
  <c i="6" r="C42"/>
  <c i="6" r="C43"/>
  <c i="5" r="C38"/>
  <c i="5" r="Y38" s="1"/>
  <c i="6" r="C41"/>
  <c i="6" r="H43"/>
  <c i="5" r="H38"/>
  <c i="6" r="H41"/>
  <c i="6" r="H44"/>
  <c i="5" r="H39"/>
  <c i="5" r="AD39" s="1"/>
  <c i="5" r="H40"/>
  <c i="6" r="D55"/>
  <c i="6" r="D53"/>
  <c i="5" r="D50"/>
  <c i="5" r="Z50" s="1"/>
  <c i="6" r="D56"/>
  <c i="6" r="D54"/>
  <c i="5" r="D51"/>
  <c i="5" r="Z51" s="1"/>
  <c i="6" r="J66"/>
  <c i="6" r="J67"/>
  <c i="6" r="J65"/>
  <c i="6" r="J68"/>
  <c i="6" r="F66"/>
  <c i="5" r="F61"/>
  <c i="5" r="F62"/>
  <c i="6" r="F67"/>
  <c i="6" r="F68"/>
  <c i="5" r="F60"/>
  <c i="6" r="B79"/>
  <c i="5" r="B72"/>
  <c i="6" r="B77"/>
  <c i="5" r="B73"/>
  <c i="6" r="B80"/>
  <c i="6" r="B78"/>
  <c i="5" r="B71"/>
  <c i="9" r="AA47"/>
  <c i="6" r="B31"/>
  <c i="6" r="B32"/>
  <c i="6" r="B29"/>
  <c i="6" r="B30"/>
  <c i="6" r="X30" s="1"/>
  <c i="5" r="G29"/>
  <c i="6" r="G29"/>
  <c i="6" r="AC29" s="1"/>
  <c i="5" r="G27"/>
  <c i="6" r="G30"/>
  <c i="5" r="G28"/>
  <c i="6" r="G32"/>
  <c i="5" r="D40"/>
  <c i="6" r="D43"/>
  <c i="5" r="D38"/>
  <c i="6" r="D41"/>
  <c i="6" r="D42"/>
  <c i="6" r="I43"/>
  <c i="6" r="I41"/>
  <c i="6" r="I44"/>
  <c i="6" r="I42"/>
  <c i="6" r="E55"/>
  <c i="6" r="E53"/>
  <c i="5" r="E49"/>
  <c i="6" r="E56"/>
  <c i="5" r="E50"/>
  <c i="6" r="E54"/>
  <c i="5" r="E51"/>
  <c i="5" r="G61"/>
  <c i="5" r="G62"/>
  <c i="5" r="G60"/>
  <c i="4" r="B43"/>
  <c i="4" r="B41"/>
  <c i="4" r="B44"/>
  <c i="4" r="X44" s="1"/>
  <c i="4" r="B42"/>
  <c i="4" r="H44"/>
  <c i="4" r="H42"/>
  <c i="4" r="C54"/>
  <c i="4" r="C55"/>
  <c i="4" r="C56"/>
  <c i="4" r="AE65"/>
  <c i="4" r="AE66"/>
  <c i="4" r="D66"/>
  <c i="4" r="D67"/>
  <c i="4" r="D68"/>
  <c i="6" r="F7"/>
  <c i="6" r="AB7" s="1"/>
  <c i="6" r="F5"/>
  <c i="6" r="F8"/>
  <c i="6" r="F6"/>
  <c i="6" r="B7"/>
  <c i="5" r="B5"/>
  <c i="5" r="B6"/>
  <c i="5" r="X6" s="1"/>
  <c i="6" r="B5"/>
  <c i="6" r="X5" s="1"/>
  <c i="6" r="B8"/>
  <c i="5" r="B7"/>
  <c i="5" r="X7" s="1"/>
  <c i="6" r="G18"/>
  <c i="5" r="G18"/>
  <c i="6" r="G19"/>
  <c i="5" r="G16"/>
  <c i="6" r="G17"/>
  <c i="5" r="G17"/>
  <c i="6" r="H29"/>
  <c i="6" r="H32"/>
  <c i="5" r="H27"/>
  <c i="6" r="H30"/>
  <c i="5" r="H28"/>
  <c i="6" r="H31"/>
  <c i="5" r="H29"/>
  <c i="4" r="S79"/>
  <c i="4" r="S80"/>
  <c i="4" r="AD80" s="1"/>
  <c i="4" r="S77"/>
  <c i="4" r="S78"/>
  <c i="18" r="M49"/>
  <c i="19" r="AG7" s="1"/>
  <c i="19" r="V37" s="1"/>
  <c i="19" r="V95" s="1"/>
  <c i="18" r="D90" s="1"/>
  <c i="9" r="AA6"/>
  <c i="4" r="E19"/>
  <c i="4" r="E20"/>
  <c i="4" r="E17"/>
  <c i="4" r="AA17" s="1"/>
  <c i="4" r="F30"/>
  <c i="4" r="AB30" s="1"/>
  <c i="4" r="F31"/>
  <c i="4" r="C44"/>
  <c i="4" r="C42"/>
  <c i="4" r="C43"/>
  <c i="4" r="Y43" s="1"/>
  <c i="4" r="D54"/>
  <c i="4" r="D55"/>
  <c i="4" r="D56"/>
  <c i="4" r="Z56" s="1"/>
  <c i="4" r="E66"/>
  <c i="4" r="E67"/>
  <c i="4" r="E68"/>
  <c i="4" r="E65"/>
  <c i="6" r="G7"/>
  <c i="6" r="G5"/>
  <c i="6" r="G8"/>
  <c i="6" r="AC8" s="1"/>
  <c i="6" r="G6"/>
  <c i="6" r="C7"/>
  <c i="6" r="Y7" s="1"/>
  <c i="5" r="C5"/>
  <c i="5" r="Y5" s="1"/>
  <c i="5" r="C6"/>
  <c i="6" r="C5"/>
  <c i="6" r="C8"/>
  <c i="5" r="C7"/>
  <c i="5" r="Y7" s="1"/>
  <c i="6" r="C6"/>
  <c i="6" r="H18"/>
  <c i="6" r="H19"/>
  <c i="5" r="H16"/>
  <c i="6" r="H17"/>
  <c i="6" r="AD17" s="1"/>
  <c i="6" r="H20"/>
  <c i="5" r="H17"/>
  <c i="6" r="P5"/>
  <c i="6" r="P8"/>
  <c i="6" r="AA8" s="1"/>
  <c i="6" r="P6"/>
  <c i="8" r="AA8"/>
  <c i="3" r="AE6"/>
  <c i="3" r="F16"/>
  <c i="3" r="F13"/>
  <c i="3" r="F10"/>
  <c i="3" r="F17"/>
  <c i="3" r="F14"/>
  <c i="3" r="F7"/>
  <c i="3" r="F11"/>
  <c i="3" r="F8"/>
  <c i="3" r="F12"/>
  <c i="3" r="F5"/>
  <c i="3" r="F9"/>
  <c i="4" r="AE7"/>
  <c i="4" r="AE6"/>
  <c i="4" r="F18"/>
  <c i="4" r="AB18" s="1"/>
  <c i="4" r="F19"/>
  <c i="4" r="F17"/>
  <c i="4" r="B32"/>
  <c i="4" r="B30"/>
  <c i="4" r="B31"/>
  <c i="4" r="X31" s="1"/>
  <c i="4" r="G29"/>
  <c i="4" r="G31"/>
  <c i="4" r="AC31" s="1"/>
  <c i="2" r="D6"/>
  <c i="2" r="D7"/>
  <c i="2" r="D5"/>
  <c i="2" r="J8"/>
  <c i="2" r="J5"/>
  <c i="2" r="J6"/>
  <c i="3" r="G13"/>
  <c i="3" r="AC13" s="1"/>
  <c i="3" r="G10"/>
  <c i="3" r="G14"/>
  <c i="3" r="G7"/>
  <c i="3" r="G11"/>
  <c i="3" r="G8"/>
  <c i="3" r="G12"/>
  <c i="3" r="G9"/>
  <c i="3" r="G16"/>
  <c i="3" r="G6"/>
  <c i="3" r="D9"/>
  <c i="3" r="D16"/>
  <c i="3" r="D6"/>
  <c i="3" r="D11"/>
  <c i="3" r="D17"/>
  <c i="3" r="D14"/>
  <c i="3" r="D7"/>
  <c i="3" r="D8"/>
  <c i="3" r="D15"/>
  <c i="3" r="D5"/>
  <c i="3" r="G15"/>
  <c i="4" r="D6"/>
  <c i="4" r="D7"/>
  <c i="4" r="D8"/>
  <c i="4" r="D5"/>
  <c i="6" r="J19"/>
  <c i="5" r="J16"/>
  <c i="6" r="J17"/>
  <c i="6" r="J20"/>
  <c i="6" r="J18"/>
  <c i="4" r="Q68"/>
  <c i="4" r="Q65"/>
  <c i="4" r="AB65" s="1"/>
  <c i="4" r="Q66"/>
  <c i="4" r="AB66" s="1"/>
  <c i="4" r="Q67"/>
  <c i="4" r="AB67" s="1"/>
  <c i="9" r="AH112"/>
  <c i="2" r="E6"/>
  <c i="2" r="E7"/>
  <c i="2" r="E8"/>
  <c i="2" r="E5"/>
  <c i="3" r="B5"/>
  <c i="3" r="X5" s="1"/>
  <c i="3" r="B16"/>
  <c i="3" r="B13"/>
  <c i="3" r="B10"/>
  <c i="3" r="X10" s="1"/>
  <c i="3" r="B7"/>
  <c i="3" r="B17"/>
  <c i="3" r="B14"/>
  <c i="3" r="B11"/>
  <c i="3" r="B12"/>
  <c i="3" r="H6"/>
  <c i="3" r="H17"/>
  <c i="3" r="H11"/>
  <c i="3" r="H8"/>
  <c i="3" r="H15"/>
  <c i="3" r="H9"/>
  <c i="3" r="H16"/>
  <c i="3" r="H13"/>
  <c i="3" r="E9"/>
  <c i="3" r="E16"/>
  <c i="3" r="E13"/>
  <c i="3" r="E6"/>
  <c i="3" r="E10"/>
  <c i="3" r="E7"/>
  <c i="3" r="E17"/>
  <c i="3" r="E14"/>
  <c i="3" r="E11"/>
  <c i="3" r="E15"/>
  <c i="3" r="E5"/>
  <c i="3" r="AA5" s="1"/>
  <c i="6" r="P7"/>
  <c i="6" r="AA7" s="1"/>
  <c i="5" r="U39"/>
  <c i="6" r="U43"/>
  <c i="7" r="H16"/>
  <c i="4" r="M67"/>
  <c i="4" r="M68"/>
  <c i="4" r="X68" s="1"/>
  <c i="4" r="M65"/>
  <c i="18" r="H48"/>
  <c i="19" r="Z6" s="1"/>
  <c i="9" r="AE5"/>
  <c i="9" r="X108"/>
  <c i="9" r="Z77"/>
  <c i="6" r="R32"/>
  <c i="9" r="AG118"/>
  <c i="1" r="B11"/>
  <c i="9" r="AM8"/>
  <c i="1" r="C37"/>
  <c i="1" r="M67" s="1"/>
  <c i="10" r="AE113"/>
  <c i="1" r="D22"/>
  <c i="1" r="E22" s="1"/>
  <c i="5" r="R38"/>
  <c i="5" r="AC38" s="1"/>
  <c i="5" r="AC40"/>
  <c i="5" r="N49"/>
  <c i="6" r="O77"/>
  <c i="18" r="W48"/>
  <c i="18" r="X48" s="1"/>
  <c i="18" r="W148"/>
  <c i="18" r="X148" s="1"/>
  <c i="18" r="W227"/>
  <c i="18" r="X227" s="1"/>
  <c i="18" r="W258"/>
  <c i="18" r="X258" s="1"/>
  <c i="18" r="W266"/>
  <c i="18" r="X266" s="1"/>
  <c i="18" r="W274"/>
  <c i="18" r="X274" s="1"/>
  <c i="18" r="W282"/>
  <c i="18" r="X282" s="1"/>
  <c i="18" r="W290"/>
  <c i="18" r="X290" s="1"/>
  <c i="18" r="W298"/>
  <c i="18" r="X298" s="1"/>
  <c i="4" r="AA18"/>
  <c i="5" r="O61"/>
  <c i="6" r="O66"/>
  <c i="7" r="G22"/>
  <c i="5" r="U16"/>
  <c i="5" r="AE71"/>
  <c i="2" r="H5"/>
  <c i="2" r="AD5" s="1"/>
  <c i="18" r="W11"/>
  <c i="18" r="X11" s="1"/>
  <c i="18" r="W188"/>
  <c i="18" r="X188" s="1"/>
  <c i="18" r="W204"/>
  <c i="18" r="X204" s="1"/>
  <c i="18" r="W250"/>
  <c i="18" r="X250" s="1"/>
  <c i="4" r="G57"/>
  <c i="8" r="Z8"/>
  <c i="8" r="W41"/>
  <c i="10" r="AD107"/>
  <c i="7" r="H8"/>
  <c i="16" r="AA8"/>
  <c i="6" r="J7"/>
  <c i="18" r="W81"/>
  <c i="18" r="X81" s="1"/>
  <c i="18" r="W125"/>
  <c i="18" r="X125" s="1"/>
  <c i="18" r="W243"/>
  <c i="18" r="X243" s="1"/>
  <c i="5" r="Y40"/>
  <c i="10" r="AH107"/>
  <c i="10" r="AC110"/>
  <c i="8" r="V36"/>
  <c i="18" r="W41"/>
  <c i="18" r="X41" s="1"/>
  <c i="18" r="W82"/>
  <c i="18" r="X82" s="1"/>
  <c i="18" r="W228"/>
  <c i="18" r="X228" s="1"/>
  <c i="4" r="Y66"/>
  <c i="5" r="Q29"/>
  <c i="5" r="AE49"/>
  <c i="5" r="O72"/>
  <c i="5" r="Z72" s="1"/>
  <c i="5" r="U73"/>
  <c i="6" r="S55"/>
  <c i="6" r="M68"/>
  <c i="6" r="X68" s="1"/>
  <c i="6" r="O79"/>
  <c i="6" r="Z79" s="1"/>
  <c i="8" r="AB70"/>
  <c i="9" r="AA9"/>
  <c i="9" r="AI118"/>
  <c i="17" r="E24"/>
  <c i="18" r="D39" s="1"/>
  <c i="6" r="T20"/>
  <c i="18" r="W134"/>
  <c i="18" r="X134" s="1"/>
  <c i="18" r="W260"/>
  <c i="18" r="X260" s="1"/>
  <c i="18" r="W276"/>
  <c i="18" r="W292"/>
  <c i="18" r="X292" s="1"/>
  <c i="9" r="AA110"/>
  <c i="9" r="AF111"/>
  <c i="9" r="AB115"/>
  <c i="10" r="Z80"/>
  <c i="8" r="V68"/>
  <c i="10" r="AF110"/>
  <c i="17" r="W66"/>
  <c i="1" r="D26"/>
  <c i="4" r="AE55"/>
  <c i="6" r="Q79"/>
  <c i="9" r="AC5"/>
  <c i="9" r="AD78"/>
  <c i="10" r="AB10"/>
  <c i="10" r="S41"/>
  <c i="10" r="AC45"/>
  <c i="10" r="AD79"/>
  <c i="18" r="W17"/>
  <c i="18" r="X17" s="1"/>
  <c i="18" r="W83"/>
  <c i="18" r="X83" s="1"/>
  <c i="18" r="W98"/>
  <c i="18" r="X98" s="1"/>
  <c i="18" r="W222"/>
  <c i="18" r="X222" s="1"/>
  <c i="9" r="AD112"/>
  <c i="10" r="AH10"/>
  <c i="10" r="S43"/>
  <c i="12" r="J16"/>
  <c i="6" r="J55"/>
  <c i="18" r="W158"/>
  <c i="18" r="X158" s="1"/>
  <c i="18" r="W230"/>
  <c i="18" r="X230" s="1"/>
  <c i="18" r="W269"/>
  <c i="18" r="X269" s="1"/>
  <c i="18" r="W285"/>
  <c i="18" r="X285" s="1"/>
  <c i="8" r="X66"/>
  <c i="8" r="AB67"/>
  <c i="17" r="E6"/>
  <c i="8" r="AC7"/>
  <c i="4" r="X8"/>
  <c i="6" r="O17"/>
  <c i="7" r="H19"/>
  <c i="8" r="AC67"/>
  <c i="9" r="AE110"/>
  <c i="10" r="AD77"/>
  <c i="10" r="AB109"/>
  <c i="1" r="M64"/>
  <c i="4" r="AB20"/>
  <c i="6" r="Q31"/>
  <c i="6" r="AB31" s="1"/>
  <c i="8" r="AB8"/>
  <c i="8" r="W40"/>
  <c i="10" r="AE5"/>
  <c i="10" r="AC40"/>
  <c i="10" r="AG113"/>
  <c i="18" r="W199"/>
  <c i="18" r="X199" s="1"/>
  <c i="4" r="AE54"/>
  <c i="5" r="Z71"/>
  <c i="6" r="R44"/>
  <c i="6" r="AC44" s="1"/>
  <c i="8" r="Y35"/>
  <c i="8" r="X40"/>
  <c i="9" r="AA12"/>
  <c i="9" r="AA45"/>
  <c i="10" r="Z8"/>
  <c i="10" r="AA80"/>
  <c i="10" r="AA107"/>
  <c i="10" r="AG108"/>
  <c i="5" r="C39"/>
  <c i="18" r="AD17"/>
  <c i="5" r="Q28"/>
  <c i="5" r="AB28" s="1"/>
  <c i="6" r="M41"/>
  <c i="8" r="AC36"/>
  <c i="8" r="Y40"/>
  <c i="8" r="AB69"/>
  <c i="9" r="AB45"/>
  <c i="9" r="Z109"/>
  <c i="10" r="AH108"/>
  <c i="10" r="Z112"/>
  <c i="6" r="O80"/>
  <c i="6" r="Z80" s="1"/>
  <c i="5" r="H18"/>
  <c i="5" r="AD18" s="1"/>
  <c i="18" r="W9"/>
  <c i="18" r="X9" s="1"/>
  <c i="18" r="W23"/>
  <c i="18" r="X23" s="1"/>
  <c i="18" r="W85"/>
  <c i="18" r="X85" s="1"/>
  <c i="18" r="W92"/>
  <c i="18" r="X92" s="1"/>
  <c i="18" r="W100"/>
  <c i="18" r="X100" s="1"/>
  <c i="18" r="W113"/>
  <c i="18" r="X113" s="1"/>
  <c i="18" r="W128"/>
  <c i="18" r="X128" s="1"/>
  <c i="18" r="W247"/>
  <c i="18" r="X247" s="1"/>
  <c i="4" r="AE20"/>
  <c i="5" r="R39"/>
  <c i="5" r="Q71"/>
  <c i="6" r="AA80"/>
  <c i="7" r="G20"/>
  <c i="9" r="Z74"/>
  <c i="10" r="AB46"/>
  <c i="6" r="R53"/>
  <c i="6" r="AC53" s="1"/>
  <c i="6" r="N67"/>
  <c i="6" r="Y67" s="1"/>
  <c i="6" r="S78"/>
  <c i="6" r="AD78" s="1"/>
  <c i="9" r="AA44"/>
  <c i="9" r="AA111"/>
  <c i="9" r="AC113"/>
  <c i="18" r="W77"/>
  <c i="18" r="X77" s="1"/>
  <c i="18" r="W153"/>
  <c i="18" r="X153" s="1"/>
  <c i="18" r="W192"/>
  <c i="18" r="X192" s="1"/>
  <c i="18" r="W239"/>
  <c i="18" r="X239" s="1"/>
  <c i="6" r="Z29"/>
  <c i="9" r="AE8"/>
  <c i="9" r="AF115"/>
  <c i="4" r="Z19"/>
  <c i="4" r="AA31"/>
  <c i="5" r="S51"/>
  <c i="5" r="AA61"/>
  <c i="6" r="AD80"/>
  <c i="8" r="AB5"/>
  <c i="9" r="AE12"/>
  <c i="9" r="Z43"/>
  <c i="10" r="AB6"/>
  <c i="9" r="AH7"/>
  <c i="18" r="W217"/>
  <c i="18" r="X217" s="1"/>
  <c i="5" r="AF28"/>
  <c i="6" r="AE54"/>
  <c i="7" r="G16"/>
  <c i="8" r="Y7"/>
  <c i="8" r="Y37"/>
  <c i="9" r="AE7"/>
  <c i="9" r="AG12"/>
  <c i="9" r="AE109"/>
  <c i="9" r="AC110"/>
  <c i="9" r="AI111"/>
  <c i="10" r="Z78"/>
  <c i="6" r="Q18"/>
  <c i="6" r="N18"/>
  <c i="6" r="Y18" s="1"/>
  <c i="8" r="AC5"/>
  <c i="17" r="W76"/>
  <c i="18" r="W51"/>
  <c i="18" r="X51" s="1"/>
  <c i="18" r="W56"/>
  <c i="18" r="X56" s="1"/>
  <c i="18" r="W130"/>
  <c i="18" r="X130" s="1"/>
  <c i="18" r="W146"/>
  <c i="18" r="X146" s="1"/>
  <c i="18" r="W154"/>
  <c i="18" r="X154" s="1"/>
  <c i="18" r="W288"/>
  <c i="18" r="X288" s="1"/>
  <c i="4" r="X7"/>
  <c i="6" r="R41"/>
  <c i="6" r="AC41" s="1"/>
  <c i="7" r="G21"/>
  <c i="7" r="L21" s="1"/>
  <c i="9" r="AD8"/>
  <c i="10" r="Z7"/>
  <c i="10" r="I115"/>
  <c i="10" r="I127" s="1"/>
  <c i="8" r="AA40"/>
  <c i="8" r="AA66"/>
  <c i="10" r="AB112"/>
  <c i="4" r="D41"/>
  <c i="4" r="Z41" s="1"/>
  <c i="18" r="W32"/>
  <c i="18" r="X32" s="1"/>
  <c i="18" r="W162"/>
  <c i="18" r="X162" s="1"/>
  <c i="18" r="W194"/>
  <c i="18" r="X194" s="1"/>
  <c i="18" r="W202"/>
  <c i="18" r="X202" s="1"/>
  <c i="8" r="Z70"/>
  <c i="9" r="AC6"/>
  <c i="9" r="AD12"/>
  <c i="9" r="AA84"/>
  <c i="8" r="E12"/>
  <c i="8" r="E19" s="1"/>
  <c i="8" r="Y11"/>
  <c i="9" r="AH10"/>
  <c i="9" r="G41"/>
  <c i="10" r="AC76"/>
  <c i="10" r="AI111"/>
  <c i="10" r="Z108"/>
  <c i="17" r="W7"/>
  <c i="18" r="W52"/>
  <c i="18" r="X52" s="1"/>
  <c i="18" r="W265"/>
  <c i="18" r="X265" s="1"/>
  <c i="18" r="W289"/>
  <c i="18" r="X289" s="1"/>
  <c i="1" r="D21"/>
  <c i="1" r="E21" s="1"/>
  <c i="5" r="C63"/>
  <c i="8" r="Z11"/>
  <c i="10" r="G42"/>
  <c i="17" r="C20"/>
  <c i="10" r="AI9"/>
  <c i="17" r="W31"/>
  <c i="18" r="AD14"/>
  <c i="18" r="W87"/>
  <c i="18" r="X87" s="1"/>
  <c i="18" r="W163"/>
  <c i="18" r="X163" s="1"/>
  <c i="18" r="W187"/>
  <c i="18" r="X187" s="1"/>
  <c i="18" r="W195"/>
  <c i="18" r="X195" s="1"/>
  <c i="4" r="AC44"/>
  <c i="10" r="Z5"/>
  <c i="10" r="AE110"/>
  <c i="10" r="AG114"/>
  <c i="5" r="T52"/>
  <c i="5" r="AE72"/>
  <c i="6" r="O53"/>
  <c i="6" r="O54"/>
  <c i="6" r="O55"/>
  <c i="6" r="S68"/>
  <c i="6" r="S65"/>
  <c i="6" r="P67"/>
  <c i="5" r="P60"/>
  <c i="5" r="P63" s="1"/>
  <c i="6" r="P66"/>
  <c i="6" r="O43"/>
  <c i="6" r="O44"/>
  <c i="5" r="S38"/>
  <c i="6" r="S44"/>
  <c i="6" r="S41"/>
  <c i="10" r="Z42"/>
  <c i="10" r="S42"/>
  <c i="7" r="G8"/>
  <c i="7" r="G7"/>
  <c i="7" r="G6"/>
  <c i="6" r="J41"/>
  <c i="6" r="J42"/>
  <c i="6" r="J44"/>
  <c i="6" r="S29"/>
  <c i="6" r="S31"/>
  <c i="18" r="D136"/>
  <c i="20" r="I9" s="1"/>
  <c i="7" r="I20"/>
  <c i="18" r="Q54"/>
  <c i="19" r="AK12" s="1"/>
  <c i="9" r="AE11"/>
  <c i="9" r="AC46"/>
  <c i="6" r="M6"/>
  <c i="6" r="M7"/>
  <c i="6" r="S18"/>
  <c i="6" r="S19"/>
  <c i="6" r="S20"/>
  <c i="7" r="D8"/>
  <c i="7" r="N8" s="1"/>
  <c i="18" r="L55"/>
  <c i="19" r="AF13" s="1"/>
  <c i="9" r="Z12"/>
  <c i="19" r="AG54"/>
  <c i="10" r="AA9"/>
  <c i="6" r="R7"/>
  <c i="6" r="R6"/>
  <c i="5" r="U17"/>
  <c i="6" r="AA77"/>
  <c i="6" r="J8"/>
  <c i="8" r="AC41"/>
  <c i="9" r="Z76"/>
  <c i="10" r="Z109"/>
  <c i="10" r="X109"/>
  <c i="18" r="C137"/>
  <c i="7" r="D18"/>
  <c i="7" r="D21"/>
  <c i="7" r="D17"/>
  <c i="7" r="D20"/>
  <c i="7" r="D16"/>
  <c i="10" r="D81"/>
  <c i="10" r="D92" s="1"/>
  <c i="18" r="W49"/>
  <c i="18" r="X49" s="1"/>
  <c i="4" r="AC41"/>
  <c i="6" r="G78"/>
  <c i="6" r="G77"/>
  <c i="6" r="G80"/>
  <c i="4" r="Y30"/>
  <c i="6" r="U18"/>
  <c i="18" r="D138"/>
  <c i="20" r="I11" s="1"/>
  <c i="7" r="I22"/>
  <c i="8" r="AB10"/>
  <c i="6" r="B55"/>
  <c i="6" r="X55" s="1"/>
  <c i="5" r="B49"/>
  <c i="5" r="X49" s="1"/>
  <c i="6" r="B56"/>
  <c i="6" r="X56" s="1"/>
  <c i="6" r="G66"/>
  <c i="6" r="AC66" s="1"/>
  <c i="6" r="G67"/>
  <c i="6" r="AC67" s="1"/>
  <c i="6" r="G68"/>
  <c i="6" r="AC68" s="1"/>
  <c i="3" r="X6"/>
  <c i="7" r="I16"/>
  <c i="8" r="X70"/>
  <c i="10" r="AF113"/>
  <c i="5" r="Y51"/>
  <c i="8" r="AC38"/>
  <c i="17" r="E19"/>
  <c i="18" r="D34" s="1"/>
  <c i="11" r="J37"/>
  <c i="6" r="H53"/>
  <c i="6" r="H56"/>
  <c i="6" r="AD56" s="1"/>
  <c i="3" r="AD12"/>
  <c i="4" r="D33"/>
  <c i="4" r="AB56"/>
  <c i="5" r="O52"/>
  <c i="6" r="P68"/>
  <c i="6" r="AA68" s="1"/>
  <c i="5" r="U18"/>
  <c i="6" r="U17"/>
  <c i="6" r="U19"/>
  <c i="4" r="Y79"/>
  <c i="6" r="D20"/>
  <c i="6" r="Z20" s="1"/>
  <c i="6" r="D18"/>
  <c i="6" r="C29"/>
  <c i="6" r="C30"/>
  <c i="6" r="C32"/>
  <c i="5" r="C29"/>
  <c i="5" r="Y29" s="1"/>
  <c i="6" r="I30"/>
  <c i="6" r="I32"/>
  <c i="5" r="U27"/>
  <c i="5" r="U30" s="1"/>
  <c i="6" r="U29"/>
  <c i="6" r="U32"/>
  <c i="6" r="AF32" s="1"/>
  <c i="6" r="I6"/>
  <c i="6" r="I7"/>
  <c i="6" r="I8"/>
  <c i="4" r="Y5"/>
  <c i="7" r="G5"/>
  <c i="9" r="AB79"/>
  <c i="10" r="N81"/>
  <c i="10" r="N97" s="1"/>
  <c i="6" r="T78"/>
  <c i="6" r="AE78" s="1"/>
  <c i="6" r="T77"/>
  <c i="6" r="T80"/>
  <c i="6" r="AE80" s="1"/>
  <c i="4" r="AD18"/>
  <c i="6" r="U79"/>
  <c i="6" r="U80"/>
  <c i="6" r="J78"/>
  <c i="6" r="J77"/>
  <c i="6" r="J79"/>
  <c i="6" r="J80"/>
  <c i="2" r="H8"/>
  <c i="2" r="AD8" s="1"/>
  <c i="4" r="T69"/>
  <c i="6" r="G57"/>
  <c i="9" r="D13"/>
  <c i="1" r="B51" s="1"/>
  <c i="9" r="AB5"/>
  <c i="6" r="O56"/>
  <c i="9" r="G44"/>
  <c i="9" r="Z44"/>
  <c i="9" r="AA112"/>
  <c i="9" r="L112"/>
  <c i="10" r="B13"/>
  <c i="1" r="B79" s="1"/>
  <c i="6" r="U5"/>
  <c i="2" r="H7"/>
  <c i="6" r="U20"/>
  <c i="8" r="B12"/>
  <c i="8" r="B51" s="1"/>
  <c i="8" r="X41"/>
  <c i="8" r="O72"/>
  <c i="9" r="AA41"/>
  <c i="8" r="AC37"/>
  <c i="5" r="J38"/>
  <c i="6" r="J43"/>
  <c i="5" r="J39"/>
  <c i="17" r="W20"/>
  <c i="18" r="W94"/>
  <c i="18" r="X94" s="1"/>
  <c i="17" r="W88"/>
  <c i="17" r="W54"/>
  <c i="17" r="W32"/>
  <c i="17" r="W8"/>
  <c i="5" r="AD60"/>
  <c i="6" r="T79"/>
  <c i="6" r="AE79" s="1"/>
  <c i="8" r="C12"/>
  <c i="8" r="C25" s="1"/>
  <c i="9" r="C48"/>
  <c i="9" r="C60" s="1"/>
  <c i="9" r="AA40"/>
  <c i="1" r="B72"/>
  <c i="1" r="O72" s="1"/>
  <c i="4" r="AA78"/>
  <c i="5" r="AE73"/>
  <c i="6" r="S67"/>
  <c i="6" r="AD67" s="1"/>
  <c i="10" r="AD78"/>
  <c i="18" r="O51"/>
  <c i="19" r="AI9" s="1"/>
  <c i="9" r="AC8"/>
  <c i="1" r="D20"/>
  <c i="1" r="E20" s="1"/>
  <c i="2" r="H6"/>
  <c i="4" r="AA77"/>
  <c i="5" r="AD62"/>
  <c i="6" r="O42"/>
  <c i="9" r="Z41"/>
  <c i="10" r="AC111"/>
  <c i="6" r="U53"/>
  <c i="6" r="U54"/>
  <c i="6" r="AF54" s="1"/>
  <c i="6" r="U55"/>
  <c i="5" r="U49"/>
  <c i="4" r="AC8"/>
  <c i="6" r="U31"/>
  <c i="6" r="AF31" s="1"/>
  <c i="8" r="AC70"/>
  <c i="16" r="O14"/>
  <c i="9" r="AA15"/>
  <c i="18" r="D135"/>
  <c i="20" r="I8" s="1"/>
  <c i="7" r="I19"/>
  <c i="5" r="J51"/>
  <c i="8" r="P72"/>
  <c i="8" r="P86" s="1"/>
  <c i="8" r="Z67"/>
  <c i="9" r="L108"/>
  <c i="9" r="Z114"/>
  <c i="10" r="Z11"/>
  <c i="10" r="B47"/>
  <c i="10" r="B61" s="1"/>
  <c i="17" r="W9"/>
  <c i="17" r="W33"/>
  <c i="17" r="W56"/>
  <c i="17" r="W90"/>
  <c i="18" r="W280"/>
  <c i="18" r="X280" s="1"/>
  <c i="18" r="W294"/>
  <c i="18" r="X294" s="1"/>
  <c i="7" r="H5"/>
  <c i="7" r="M5" s="1"/>
  <c i="8" r="AB7"/>
  <c i="8" r="AA39"/>
  <c i="8" r="AA65"/>
  <c i="8" r="AA68"/>
  <c i="8" r="AA71"/>
  <c i="18" r="D50"/>
  <c i="19" r="V8" s="1"/>
  <c i="9" r="AA114"/>
  <c i="10" r="AA11"/>
  <c i="10" r="AD76"/>
  <c i="10" r="AI113"/>
  <c i="17" r="W10"/>
  <c i="17" r="W34"/>
  <c i="17" r="W57"/>
  <c i="17" r="W91"/>
  <c i="18" r="W10"/>
  <c i="18" r="X10" s="1"/>
  <c i="18" r="W129"/>
  <c i="18" r="X129" s="1"/>
  <c i="6" r="T31"/>
  <c i="6" r="T41"/>
  <c i="6" r="Q66"/>
  <c i="6" r="AB66" s="1"/>
  <c i="8" r="AC10"/>
  <c i="8" r="AB65"/>
  <c i="8" r="AB68"/>
  <c i="8" r="AB71"/>
  <c i="9" r="AD5"/>
  <c i="9" r="AB74"/>
  <c i="9" r="L114"/>
  <c i="10" r="AA10"/>
  <c i="10" r="AE11"/>
  <c i="10" r="D47"/>
  <c i="10" r="D59" s="1"/>
  <c i="10" r="Z76"/>
  <c i="10" r="X113"/>
  <c i="16" r="AH9"/>
  <c i="17" r="W11"/>
  <c i="17" r="W35"/>
  <c i="17" r="W58"/>
  <c i="17" r="W94"/>
  <c i="10" r="AC78"/>
  <c i="17" r="W12"/>
  <c i="17" r="W36"/>
  <c i="17" r="W59"/>
  <c i="17" r="W96"/>
  <c i="18" r="W281"/>
  <c i="18" r="X281" s="1"/>
  <c i="8" r="V67"/>
  <c i="9" r="AB50"/>
  <c i="9" r="AA76"/>
  <c i="10" r="H115"/>
  <c i="10" r="H131" s="1"/>
  <c i="10" r="X112"/>
  <c i="17" r="W13"/>
  <c i="17" r="W37"/>
  <c i="17" r="W60"/>
  <c i="17" r="W99"/>
  <c i="17" r="W43"/>
  <c i="18" r="W19"/>
  <c i="18" r="X19" s="1"/>
  <c i="18" r="W223"/>
  <c i="18" r="X223" s="1"/>
  <c i="8" r="D12"/>
  <c i="8" r="D51" s="1"/>
  <c i="9" r="Q48"/>
  <c i="9" r="Q65" s="1"/>
  <c i="9" r="AC65" s="1"/>
  <c i="10" r="O47"/>
  <c i="10" r="O62" s="1"/>
  <c i="10" r="G46"/>
  <c i="17" r="W14"/>
  <c i="17" r="W38"/>
  <c i="17" r="W61"/>
  <c i="17" r="W101"/>
  <c i="18" r="W31"/>
  <c i="18" r="X31" s="1"/>
  <c i="10" r="J115"/>
  <c i="10" r="J127" s="1"/>
  <c i="17" r="W15"/>
  <c i="17" r="W39"/>
  <c i="17" r="W62"/>
  <c i="18" r="X123"/>
  <c i="8" r="E72"/>
  <c i="8" r="E86" s="1"/>
  <c i="9" r="E13"/>
  <c i="1" r="B52" s="1"/>
  <c i="10" r="AC46"/>
  <c i="17" r="E5"/>
  <c i="11" r="F363"/>
  <c i="17" r="W16"/>
  <c i="17" r="W63"/>
  <c i="5" r="AC51"/>
  <c i="6" r="N19"/>
  <c i="6" r="Y19" s="1"/>
  <c i="6" r="N54"/>
  <c i="6" r="Y54" s="1"/>
  <c i="7" r="H6"/>
  <c i="8" r="Z40"/>
  <c i="8" r="Z66"/>
  <c i="8" r="Z69"/>
  <c i="9" r="AC41"/>
  <c i="9" r="Z112"/>
  <c i="10" r="G44"/>
  <c i="10" r="AC109"/>
  <c i="10" r="AE112"/>
  <c i="11" r="G363"/>
  <c i="12" r="I348"/>
  <c i="17" r="W17"/>
  <c i="17" r="W64"/>
  <c i="18" r="W25"/>
  <c i="18" r="X25" s="1"/>
  <c i="5" r="R50"/>
  <c i="6" r="P55"/>
  <c i="6" r="R56"/>
  <c i="6" r="AC56" s="1"/>
  <c i="8" r="AA38"/>
  <c i="8" r="AA67"/>
  <c i="8" r="AA70"/>
  <c i="9" r="AG11"/>
  <c i="9" r="AB12"/>
  <c i="9" r="AB46"/>
  <c i="9" r="AI114"/>
  <c i="10" r="K13"/>
  <c i="10" r="K28" s="1"/>
  <c i="10" r="S46"/>
  <c i="10" r="AD74"/>
  <c i="10" r="AF112"/>
  <c i="17" r="W18"/>
  <c i="17" r="W65"/>
  <c i="18" r="W84"/>
  <c i="18" r="X84" s="1"/>
  <c i="5" r="X39"/>
  <c i="5" r="AE51"/>
  <c i="6" r="F9"/>
  <c i="6" r="X17"/>
  <c i="6" r="P44"/>
  <c i="8" r="AC6"/>
  <c i="8" r="AC9"/>
  <c i="9" r="I13"/>
  <c i="1" r="B55" s="1"/>
  <c i="9" r="AG10"/>
  <c i="9" r="AH11"/>
  <c i="9" r="AC12"/>
  <c i="9" r="Z111"/>
  <c i="11" r="G375"/>
  <c i="17" r="C6"/>
  <c i="17" r="W19"/>
  <c i="17" r="W40"/>
  <c i="18" r="W147"/>
  <c i="18" r="X147" s="1"/>
  <c i="18" r="W218"/>
  <c i="18" r="X218" s="1"/>
  <c i="18" r="W246"/>
  <c i="18" r="X246" s="1"/>
  <c i="18" r="W261"/>
  <c i="18" r="X261" s="1"/>
  <c i="17" r="W41"/>
  <c i="17" r="W68"/>
  <c i="9" r="W13"/>
  <c i="9" r="W31" s="1"/>
  <c i="9" r="P116"/>
  <c i="9" r="P133" s="1"/>
  <c i="10" r="AI7"/>
  <c i="17" r="W21"/>
  <c i="17" r="W42"/>
  <c i="17" r="W69"/>
  <c i="18" r="I10"/>
  <c i="18" r="W268"/>
  <c i="18" r="X268" s="1"/>
  <c i="6" r="AE55"/>
  <c i="6" r="X66"/>
  <c i="6" r="AA79"/>
  <c i="8" r="W39"/>
  <c i="8" r="W65"/>
  <c i="8" r="W68"/>
  <c i="8" r="W71"/>
  <c i="9" r="Z9"/>
  <c i="9" r="C82"/>
  <c i="9" r="C92" s="1"/>
  <c i="9" r="Q116"/>
  <c i="9" r="Q126" s="1"/>
  <c i="10" r="AA46"/>
  <c i="10" r="B81"/>
  <c i="10" r="AH109"/>
  <c i="10" r="AI110"/>
  <c i="11" r="J13"/>
  <c i="11" r="J18"/>
  <c i="17" r="W22"/>
  <c i="17" r="W44"/>
  <c i="17" r="W70"/>
  <c i="6" r="P43"/>
  <c i="6" r="T44"/>
  <c i="7" r="H7"/>
  <c i="8" r="Y8"/>
  <c i="8" r="Y10"/>
  <c i="8" r="X37"/>
  <c i="8" r="X65"/>
  <c i="8" r="X68"/>
  <c i="8" r="X71"/>
  <c i="9" r="AF112"/>
  <c i="10" r="AA7"/>
  <c i="10" r="AA112"/>
  <c i="17" r="W23"/>
  <c i="17" r="W45"/>
  <c i="17" r="W71"/>
  <c i="6" r="G45"/>
  <c i="6" r="N68"/>
  <c i="6" r="N81"/>
  <c i="8" r="Z5"/>
  <c i="8" r="Z7"/>
  <c i="8" r="Z10"/>
  <c i="8" r="Y36"/>
  <c i="8" r="Y39"/>
  <c i="9" r="AA8"/>
  <c i="9" r="AM9"/>
  <c i="9" r="AA42"/>
  <c i="9" r="AI115"/>
  <c i="10" r="AI6"/>
  <c i="10" r="Z75"/>
  <c i="10" r="AB77"/>
  <c i="10" r="AI108"/>
  <c i="17" r="W24"/>
  <c i="17" r="W46"/>
  <c i="17" r="W73"/>
  <c i="18" r="W57"/>
  <c i="18" r="X57" s="1"/>
  <c i="18" r="W277"/>
  <c i="18" r="X277" s="1"/>
  <c i="7" r="I21"/>
  <c i="8" r="Z65"/>
  <c i="8" r="Z68"/>
  <c i="8" r="Z71"/>
  <c i="9" r="O48"/>
  <c i="9" r="O63" s="1"/>
  <c i="9" r="AB42"/>
  <c i="10" r="U117"/>
  <c i="12" r="C352"/>
  <c i="17" r="W25"/>
  <c i="17" r="W47"/>
  <c i="17" r="W74"/>
  <c i="10" r="AB80"/>
  <c i="10" r="AA114"/>
  <c i="17" r="W26"/>
  <c i="17" r="W48"/>
  <c i="6" r="B69"/>
  <c i="9" r="S47"/>
  <c i="10" r="AG6"/>
  <c i="10" r="AC80"/>
  <c i="17" r="E9"/>
  <c i="12" r="J12"/>
  <c i="17" r="C10"/>
  <c i="17" r="W27"/>
  <c i="17" r="W49"/>
  <c i="17" r="W77"/>
  <c i="18" r="W170"/>
  <c i="18" r="X170" s="1"/>
  <c i="18" r="X198"/>
  <c i="6" r="AD66"/>
  <c i="8" r="AC40"/>
  <c i="8" r="I72"/>
  <c i="8" r="AC66"/>
  <c i="8" r="AC69"/>
  <c i="10" r="AB5"/>
  <c i="10" r="Z111"/>
  <c i="17" r="W4"/>
  <c i="17" r="W28"/>
  <c i="17" r="W50"/>
  <c i="17" r="W78"/>
  <c i="18" r="W53"/>
  <c i="18" r="X53" s="1"/>
  <c i="18" r="W93"/>
  <c i="18" r="X93" s="1"/>
  <c i="5" r="AE62"/>
  <c i="6" r="AE66"/>
  <c i="6" r="S77"/>
  <c i="8" r="V39"/>
  <c i="8" r="V65"/>
  <c i="9" r="AB47"/>
  <c i="10" r="AD114"/>
  <c i="12" r="J20"/>
  <c i="17" r="W5"/>
  <c i="17" r="W29"/>
  <c i="17" r="W51"/>
  <c i="17" r="W82"/>
  <c i="18" r="W13"/>
  <c i="18" r="X13" s="1"/>
  <c i="18" r="W29"/>
  <c i="18" r="X29" s="1"/>
  <c i="18" r="W80"/>
  <c i="18" r="X80" s="1"/>
  <c i="18" r="W264"/>
  <c i="18" r="X264" s="1"/>
  <c i="18" r="W286"/>
  <c i="18" r="X286" s="1"/>
  <c i="6" r="AA65"/>
  <c i="9" r="Z115"/>
  <c i="10" r="Z12"/>
  <c i="16" r="AI104"/>
  <c i="17" r="W6"/>
  <c i="17" r="W30"/>
  <c i="17" r="W52"/>
  <c i="17" r="W86"/>
  <c i="18" r="W164"/>
  <c i="18" r="X164" s="1"/>
  <c i="18" r="W186"/>
  <c i="18" r="X186" s="1"/>
  <c i="18" r="W279"/>
  <c i="18" r="X279" s="1"/>
  <c i="19" r="C38"/>
  <c i="19" r="C40"/>
  <c i="19" r="C42"/>
  <c i="5" r="X17"/>
  <c i="5" r="M19"/>
  <c i="5" r="AE61"/>
  <c i="1" r="D65"/>
  <c i="1" r="E65" s="1"/>
  <c i="1" r="D67"/>
  <c i="1" r="E67" s="1"/>
  <c i="1" r="D69"/>
  <c i="1" r="E69" s="1"/>
  <c i="1" r="D71"/>
  <c i="1" r="E71" s="1"/>
  <c i="1" r="H33"/>
  <c i="9" r="AB41"/>
  <c i="1" r="D38"/>
  <c i="1" r="E38" s="1"/>
  <c i="1" r="D25"/>
  <c i="1" r="E25" s="1"/>
  <c i="1" r="D41"/>
  <c i="1" r="E41" s="1"/>
  <c i="4" r="D43"/>
  <c i="4" r="Z43" s="1"/>
  <c i="4" r="D44"/>
  <c i="4" r="Z44" s="1"/>
  <c i="4" r="Z79"/>
  <c i="4" r="D42"/>
  <c i="4" r="Z42" s="1"/>
  <c i="5" r="N19"/>
  <c i="2" r="AB6"/>
  <c i="4" r="Y18"/>
  <c i="4" r="Z77"/>
  <c i="5" r="O19"/>
  <c i="5" r="Z16"/>
  <c i="5" r="AE39"/>
  <c i="1" r="M33"/>
  <c i="1" r="D23"/>
  <c i="5" r="AE17"/>
  <c i="1" r="D34"/>
  <c i="1" r="E34" s="1"/>
  <c i="1" r="L67"/>
  <c i="1" r="L69"/>
  <c i="5" r="AB16"/>
  <c i="19" r="C36"/>
  <c i="1" r="M65"/>
  <c i="4" r="AE44"/>
  <c i="4" r="AC53"/>
  <c i="9" r="AE115"/>
  <c i="9" r="X115"/>
  <c i="1" r="D39"/>
  <c i="1" r="E39" s="1"/>
  <c i="4" r="G45"/>
  <c i="4" r="AD55"/>
  <c i="4" r="S81"/>
  <c i="5" r="T19"/>
  <c i="1" r="M69"/>
  <c i="19" r="C35"/>
  <c i="19" r="C37"/>
  <c i="19" r="C39"/>
  <c i="19" r="C41"/>
  <c i="3" r="AA8"/>
  <c i="1" r="D64"/>
  <c i="1" r="E64" s="1"/>
  <c i="1" r="D66"/>
  <c i="1" r="E66" s="1"/>
  <c i="1" r="D68"/>
  <c i="1" r="E68" s="1"/>
  <c i="1" r="D70"/>
  <c i="1" r="E70" s="1"/>
  <c i="6" r="Q45"/>
  <c i="6" r="AB41"/>
  <c i="8" r="AB37"/>
  <c i="5" r="N63"/>
  <c i="5" r="Y63" s="1"/>
  <c i="5" r="X27"/>
  <c i="6" r="I69"/>
  <c i="1" r="D24"/>
  <c i="1" r="B27"/>
  <c i="1" r="D35"/>
  <c i="1" r="E35" s="1"/>
  <c i="6" r="Y8"/>
  <c i="6" r="AB44"/>
  <c i="4" r="P21"/>
  <c i="1" r="D19"/>
  <c i="1" r="E19" s="1"/>
  <c i="1" r="L64"/>
  <c i="1" r="L66"/>
  <c i="1" r="L68"/>
  <c i="1" r="L70"/>
  <c i="4" r="G9"/>
  <c i="4" r="AA30"/>
  <c i="8" r="F12"/>
  <c i="8" r="F80" s="1"/>
  <c i="16" r="Q78"/>
  <c i="10" r="Q83"/>
  <c i="9" r="AC84"/>
  <c i="8" r="G12"/>
  <c i="8" r="G26" s="1"/>
  <c i="16" r="G46"/>
  <c i="10" r="G49"/>
  <c i="8" r="H12"/>
  <c i="8" r="H80" s="1"/>
  <c i="8" r="C42"/>
  <c i="5" r="Z73"/>
  <c i="8" r="Q12"/>
  <c i="8" r="Q21" s="1"/>
  <c i="8" r="D42"/>
  <c i="8" r="X36"/>
  <c i="8" r="X38"/>
  <c i="8" r="B72"/>
  <c i="8" r="V6"/>
  <c i="8" r="R12"/>
  <c i="8" r="R25" s="1"/>
  <c i="8" r="W6"/>
  <c i="8" r="Z35"/>
  <c i="8" r="F42"/>
  <c i="8" r="Z38"/>
  <c i="8" r="B74"/>
  <c i="18" r="P49"/>
  <c i="19" r="AJ7" s="1"/>
  <c i="9" r="AD6"/>
  <c i="8" r="X6"/>
  <c i="8" r="X9"/>
  <c i="8" r="AA36"/>
  <c i="8" r="Y66"/>
  <c i="8" r="Y69"/>
  <c i="8" r="E74"/>
  <c i="9" r="L109"/>
  <c i="8" r="Y6"/>
  <c i="8" r="Y9"/>
  <c i="8" r="H42"/>
  <c i="8" r="AB36"/>
  <c i="8" r="AB39"/>
  <c i="8" r="Z6"/>
  <c i="9" r="R92"/>
  <c i="6" r="D33"/>
  <c i="8" r="AA6"/>
  <c i="8" r="AA9"/>
  <c i="8" r="V35"/>
  <c i="8" r="V38"/>
  <c i="8" r="V41"/>
  <c i="9" r="AM5"/>
  <c i="9" r="AI5"/>
  <c i="19" r="D35"/>
  <c i="20" r="N19"/>
  <c i="20" r="N21"/>
  <c i="19" r="D37"/>
  <c i="19" r="D39"/>
  <c i="20" r="N23"/>
  <c i="20" r="N25"/>
  <c i="19" r="D41"/>
  <c i="6" r="X65"/>
  <c i="8" r="AB6"/>
  <c i="8" r="AB9"/>
  <c i="8" r="W35"/>
  <c i="9" r="D82"/>
  <c i="9" r="D98" s="1"/>
  <c i="9" r="AB77"/>
  <c i="6" r="AB5"/>
  <c i="8" r="X35"/>
  <c i="8" r="V66"/>
  <c i="8" r="V69"/>
  <c i="8" r="V71"/>
  <c i="8" r="V5"/>
  <c i="8" r="L12"/>
  <c i="8" r="L22" s="1"/>
  <c i="8" r="V8"/>
  <c i="8" r="W5"/>
  <c i="8" r="M12"/>
  <c i="8" r="M22" s="1"/>
  <c i="8" r="W8"/>
  <c i="8" r="W11"/>
  <c i="8" r="Z37"/>
  <c i="6" r="AE5"/>
  <c i="6" r="Y29"/>
  <c i="8" r="X5"/>
  <c i="8" r="N12"/>
  <c i="8" r="N22" s="1"/>
  <c i="8" r="X8"/>
  <c i="8" r="X11"/>
  <c i="8" r="AA35"/>
  <c i="8" r="Q42"/>
  <c i="8" r="Q49" s="1"/>
  <c i="8" r="Y65"/>
  <c i="8" r="Y68"/>
  <c i="8" r="Y71"/>
  <c i="8" r="Y5"/>
  <c i="8" r="O12"/>
  <c i="8" r="O24" s="1"/>
  <c i="8" r="AB35"/>
  <c i="8" r="R42"/>
  <c i="8" r="R54" s="1"/>
  <c i="8" r="AB38"/>
  <c i="16" r="U14"/>
  <c i="10" r="U15"/>
  <c i="9" r="AG15"/>
  <c i="6" r="AA29"/>
  <c i="9" r="G45"/>
  <c i="6" r="AB29"/>
  <c i="8" r="AA11"/>
  <c i="8" r="V37"/>
  <c i="8" r="V40"/>
  <c i="8" r="B42"/>
  <c i="8" r="W36"/>
  <c i="8" r="E42"/>
  <c i="9" r="AI12"/>
  <c i="9" r="AM12"/>
  <c i="8" r="X39"/>
  <c i="8" r="V70"/>
  <c i="8" r="V7"/>
  <c i="8" r="V10"/>
  <c i="9" r="AB43"/>
  <c i="8" r="W7"/>
  <c i="8" r="W10"/>
  <c i="8" r="Z36"/>
  <c i="8" r="Z39"/>
  <c i="18" r="L50"/>
  <c i="19" r="AF8" s="1"/>
  <c i="9" r="Z7"/>
  <c i="19" r="D36"/>
  <c i="20" r="N20"/>
  <c i="20" r="N22"/>
  <c i="19" r="D38"/>
  <c i="20" r="N24"/>
  <c i="19" r="D40"/>
  <c i="20" r="N26"/>
  <c i="19" r="D42"/>
  <c i="6" r="AC79"/>
  <c i="8" r="X7"/>
  <c i="8" r="X10"/>
  <c i="8" r="Y67"/>
  <c i="8" r="Y70"/>
  <c i="8" r="E84"/>
  <c i="8" r="C72"/>
  <c i="8" r="C74"/>
  <c i="18" r="I51"/>
  <c i="19" r="AA9" s="1"/>
  <c i="19" r="U11"/>
  <c i="9" r="AI10"/>
  <c i="16" r="V14"/>
  <c i="10" r="V15"/>
  <c i="16" r="N46"/>
  <c i="10" r="N49"/>
  <c i="8" r="D72"/>
  <c i="8" r="D74"/>
  <c i="9" r="AM10"/>
  <c i="9" r="Z45"/>
  <c i="9" r="S45"/>
  <c i="16" r="O46"/>
  <c i="10" r="O49"/>
  <c i="9" r="AD77"/>
  <c i="19" r="U12"/>
  <c i="8" r="F72"/>
  <c i="8" r="F74"/>
  <c i="9" r="B48"/>
  <c i="9" r="B60" s="1"/>
  <c i="9" r="G40"/>
  <c i="9" r="AA109"/>
  <c i="9" r="X109"/>
  <c i="8" r="G42"/>
  <c i="8" r="G72"/>
  <c i="8" r="G74"/>
  <c i="18" r="E54"/>
  <c i="19" r="W12" s="1"/>
  <c i="9" r="AC45"/>
  <c i="9" r="S50"/>
  <c i="9" r="AB75"/>
  <c i="9" r="Z81"/>
  <c i="8" r="H72"/>
  <c i="8" r="H74"/>
  <c i="18" r="H53"/>
  <c i="19" r="Z11" s="1"/>
  <c i="8" r="I12"/>
  <c i="8" r="I20" s="1"/>
  <c i="8" r="I42"/>
  <c i="19" r="U6"/>
  <c i="9" r="AG5"/>
  <c i="9" r="AB6"/>
  <c i="18" r="S50"/>
  <c i="19" r="AM8" s="1"/>
  <c i="18" r="G54"/>
  <c i="19" r="Y12" s="1"/>
  <c i="19" r="U13"/>
  <c i="9" r="AA50"/>
  <c i="9" r="AA79"/>
  <c i="10" r="S44"/>
  <c i="10" r="Z44"/>
  <c i="8" r="L42"/>
  <c i="8" r="L49" s="1"/>
  <c i="8" r="L72"/>
  <c i="8" r="L80" s="1"/>
  <c i="18" r="D48"/>
  <c i="19" r="V6" s="1"/>
  <c i="9" r="AH5"/>
  <c i="18" r="P51"/>
  <c i="19" r="AJ9" s="1"/>
  <c i="18" r="J53"/>
  <c i="19" r="AB11" s="1"/>
  <c i="9" r="AH15"/>
  <c i="9" r="S40"/>
  <c i="9" r="G46"/>
  <c i="9" r="AC47"/>
  <c i="9" r="Z75"/>
  <c i="8" r="M42"/>
  <c i="8" r="M53" s="1"/>
  <c i="8" r="M72"/>
  <c i="8" r="M79" s="1"/>
  <c i="8" r="D81"/>
  <c i="8" r="D82"/>
  <c i="18" r="Q51"/>
  <c i="19" r="AK9" s="1"/>
  <c i="18" r="M52"/>
  <c i="19" r="AG10" s="1"/>
  <c i="9" r="B13"/>
  <c i="9" r="B24" s="1"/>
  <c i="16" r="B14"/>
  <c i="10" r="B15"/>
  <c i="10" r="B16" s="1"/>
  <c i="9" r="B82"/>
  <c i="9" r="B98" s="1"/>
  <c i="9" r="AA75"/>
  <c i="9" r="S116"/>
  <c i="9" r="S131" s="1"/>
  <c i="9" r="AE108"/>
  <c i="9" r="AB114"/>
  <c i="9" r="X114"/>
  <c i="16" r="P110"/>
  <c i="10" r="P117"/>
  <c i="9" r="AB118"/>
  <c i="9" r="X118"/>
  <c i="19" r="W52"/>
  <c i="10" r="AB7"/>
  <c i="8" r="N42"/>
  <c i="8" r="N49" s="1"/>
  <c i="8" r="N72"/>
  <c i="9" r="AE6"/>
  <c i="9" r="AA7"/>
  <c i="18" r="N52"/>
  <c i="19" r="AH10" s="1"/>
  <c i="18" r="J54"/>
  <c i="19" r="AB12" s="1"/>
  <c i="9" r="C13"/>
  <c i="9" r="C23" s="1"/>
  <c i="16" r="C14"/>
  <c i="10" r="C15"/>
  <c i="9" r="AA74"/>
  <c i="20" r="D10"/>
  <c i="19" r="D10"/>
  <c i="9" r="AA81"/>
  <c i="9" r="T116"/>
  <c i="9" r="T131" s="1"/>
  <c i="9" r="AF108"/>
  <c i="9" r="AG109"/>
  <c i="9" r="AC111"/>
  <c i="9" r="AE112"/>
  <c i="8" r="O42"/>
  <c i="8" r="O51" s="1"/>
  <c i="18" r="G48"/>
  <c i="19" r="Y6" s="1"/>
  <c i="19" r="U7"/>
  <c i="19" r="C6"/>
  <c i="9" r="AG6"/>
  <c i="9" r="AB7"/>
  <c i="18" r="S51"/>
  <c i="19" r="AM9" s="1"/>
  <c i="18" r="G55"/>
  <c i="19" r="Y13" s="1"/>
  <c i="16" r="D14"/>
  <c i="10" r="D15"/>
  <c i="9" r="G42"/>
  <c i="9" r="D48"/>
  <c i="9" r="D59" s="1"/>
  <c i="9" r="AB81"/>
  <c i="9" r="AD111"/>
  <c i="10" r="B30"/>
  <c i="10" r="B28"/>
  <c i="10" r="B24"/>
  <c i="10" r="B25"/>
  <c i="10" r="B26"/>
  <c i="8" r="P12"/>
  <c i="8" r="P19" s="1"/>
  <c i="8" r="P42"/>
  <c i="9" r="AH6"/>
  <c i="9" r="AC7"/>
  <c i="18" r="N53"/>
  <c i="19" r="AH11" s="1"/>
  <c i="9" r="AB10"/>
  <c i="16" r="E14"/>
  <c i="10" r="E15"/>
  <c i="9" r="Z40"/>
  <c i="9" r="Z42"/>
  <c i="9" r="S42"/>
  <c i="9" r="S44"/>
  <c i="9" r="S46"/>
  <c i="9" r="E48"/>
  <c i="9" r="E57" s="1"/>
  <c i="9" r="E82"/>
  <c i="9" r="E98" s="1"/>
  <c i="9" r="AD81"/>
  <c i="9" r="V116"/>
  <c i="9" r="V132" s="1"/>
  <c i="9" r="AH108"/>
  <c i="9" r="AE114"/>
  <c i="8" r="Q72"/>
  <c i="8" r="Q84" s="1"/>
  <c i="9" r="AI6"/>
  <c i="9" r="AD7"/>
  <c i="9" r="Z8"/>
  <c i="18" r="O53"/>
  <c i="19" r="AI11" s="1"/>
  <c i="9" r="AC10"/>
  <c i="18" r="M54"/>
  <c i="19" r="AG12" s="1"/>
  <c i="9" r="F13"/>
  <c i="9" r="F51"/>
  <c i="9" r="AD51" s="1"/>
  <c i="9" r="AD63"/>
  <c i="9" r="AD60"/>
  <c i="9" r="F82"/>
  <c i="9" r="F98" s="1"/>
  <c i="8" r="R72"/>
  <c i="8" r="R79" s="1"/>
  <c i="9" r="AM6"/>
  <c i="18" r="R52"/>
  <c i="19" r="AL10" s="1"/>
  <c i="9" r="AG9"/>
  <c i="18" r="P53"/>
  <c i="19" r="AJ11" s="1"/>
  <c i="18" r="J55"/>
  <c i="19" r="AB13" s="1"/>
  <c i="9" r="G13"/>
  <c i="9" r="G24" s="1"/>
  <c i="9" r="N82"/>
  <c i="9" r="N92" s="1"/>
  <c i="19" r="Y51"/>
  <c i="10" r="AD6"/>
  <c i="8" r="S12"/>
  <c i="8" r="S19" s="1"/>
  <c i="8" r="S42"/>
  <c i="8" r="S53" s="1"/>
  <c i="8" r="S72"/>
  <c i="8" r="S83" s="1"/>
  <c i="9" r="K13"/>
  <c i="19" r="U8"/>
  <c i="9" r="AG7"/>
  <c i="9" r="AB8"/>
  <c i="18" r="S52"/>
  <c i="19" r="AM10" s="1"/>
  <c i="9" r="AH9"/>
  <c i="16" r="I14"/>
  <c i="10" r="I15"/>
  <c i="9" r="AC40"/>
  <c i="9" r="AC42"/>
  <c i="9" r="N48"/>
  <c i="9" r="N62" s="1"/>
  <c i="9" r="O82"/>
  <c i="9" r="O96" s="1"/>
  <c i="9" r="AH111"/>
  <c i="18" r="L48"/>
  <c i="19" r="AF6" s="1"/>
  <c i="9" r="N13"/>
  <c i="9" r="N24" s="1"/>
  <c i="18" r="P54"/>
  <c i="19" r="AJ12" s="1"/>
  <c i="9" r="J13"/>
  <c i="9" r="P82"/>
  <c i="9" r="P92" s="1"/>
  <c i="18" r="E50"/>
  <c i="19" r="W8" s="1"/>
  <c i="9" r="AI7"/>
  <c i="18" r="S53"/>
  <c i="19" r="AM11" s="1"/>
  <c i="18" r="M55"/>
  <c i="19" r="AG13" s="1"/>
  <c i="9" r="O13"/>
  <c i="9" r="O26" s="1"/>
  <c i="9" r="K15"/>
  <c i="9" r="AA46"/>
  <c i="9" r="P48"/>
  <c i="9" r="P57" s="1"/>
  <c i="9" r="AD59"/>
  <c i="9" r="AD61"/>
  <c i="9" r="Q82"/>
  <c i="9" r="Q92" s="1"/>
  <c i="9" r="AB76"/>
  <c i="16" r="B78"/>
  <c i="10" r="B83"/>
  <c i="9" r="F84"/>
  <c i="18" r="N48"/>
  <c i="19" r="AH6" s="1"/>
  <c i="18" r="F50"/>
  <c i="19" r="X8" s="1"/>
  <c i="9" r="P13"/>
  <c i="16" r="N14"/>
  <c i="9" r="Z15"/>
  <c i="9" r="W15"/>
  <c i="10" r="N15"/>
  <c i="9" r="G43"/>
  <c i="9" r="AD48"/>
  <c i="18" r="D5"/>
  <c i="9" r="AD74"/>
  <c i="9" r="AC76"/>
  <c i="18" r="O48"/>
  <c i="19" r="AI6" s="1"/>
  <c i="19" r="U9"/>
  <c i="9" r="AG8"/>
  <c i="9" r="AB9"/>
  <c i="9" r="Z10"/>
  <c i="9" r="Q13"/>
  <c i="9" r="Q28" s="1"/>
  <c i="9" r="AD64"/>
  <c i="18" r="D7"/>
  <c i="18" r="D9"/>
  <c i="9" r="Z80"/>
  <c i="9" r="C116"/>
  <c i="9" r="C132" s="1"/>
  <c i="18" r="L49"/>
  <c i="19" r="AF7" s="1"/>
  <c i="18" r="H50"/>
  <c i="19" r="Z8" s="1"/>
  <c i="9" r="AH8"/>
  <c i="9" r="AC9"/>
  <c i="9" r="AA10"/>
  <c i="9" r="R13"/>
  <c i="9" r="R25" s="1"/>
  <c i="16" r="P14"/>
  <c i="10" r="P15"/>
  <c i="9" r="Z78"/>
  <c i="9" r="L113"/>
  <c i="9" r="Z113"/>
  <c i="19" r="AB50"/>
  <c i="10" r="AH5"/>
  <c i="10" r="J13"/>
  <c i="18" r="I50"/>
  <c i="19" r="AA8" s="1"/>
  <c i="18" r="E51"/>
  <c i="19" r="W9" s="1"/>
  <c i="9" r="AI8"/>
  <c i="9" r="AD9"/>
  <c i="9" r="AD10"/>
  <c i="9" r="Z11"/>
  <c i="18" r="Q55"/>
  <c i="19" r="AK13" s="1"/>
  <c i="9" r="S13"/>
  <c i="9" r="S27" s="1"/>
  <c i="16" r="Q14"/>
  <c i="10" r="Q15"/>
  <c i="16" r="C46"/>
  <c i="10" r="C49"/>
  <c i="9" r="AD76"/>
  <c i="9" r="AB80"/>
  <c i="16" r="N78"/>
  <c i="10" r="N83"/>
  <c i="9" r="R84"/>
  <c i="10" r="AA76"/>
  <c i="19" r="AA36"/>
  <c i="18" r="F51"/>
  <c i="19" r="X9" s="1"/>
  <c i="9" r="AE9"/>
  <c i="9" r="AE10"/>
  <c i="9" r="AA11"/>
  <c i="18" r="R55"/>
  <c i="19" r="AL13" s="1"/>
  <c i="9" r="U13"/>
  <c i="9" r="U29" s="1"/>
  <c i="16" r="R14"/>
  <c i="16" r="AD14" s="1"/>
  <c i="10" r="R15"/>
  <c i="9" r="S43"/>
  <c i="9" r="G47"/>
  <c i="16" r="D46"/>
  <c i="10" r="D49"/>
  <c i="9" r="AD62"/>
  <c i="9" r="AC80"/>
  <c i="16" r="O78"/>
  <c i="10" r="O83"/>
  <c i="9" r="L115"/>
  <c i="19" r="AB36"/>
  <c i="9" r="AI9"/>
  <c i="9" r="AB11"/>
  <c i="18" r="S55"/>
  <c i="19" r="AM13" s="1"/>
  <c i="9" r="AH12"/>
  <c i="9" r="V13"/>
  <c i="16" r="S14"/>
  <c i="16" r="AE14" s="1"/>
  <c i="10" r="S15"/>
  <c i="9" r="AD57"/>
  <c i="9" r="AC78"/>
  <c i="9" r="G116"/>
  <c i="9" r="G131" s="1"/>
  <c i="10" r="E47"/>
  <c i="10" r="E56" s="1"/>
  <c i="10" r="G39"/>
  <c i="16" r="Q110"/>
  <c i="10" r="Q117"/>
  <c i="19" r="Z51"/>
  <c i="10" r="G13"/>
  <c i="10" r="G29" s="1"/>
  <c i="10" r="C13"/>
  <c i="10" r="C26" s="1"/>
  <c i="10" r="U115"/>
  <c i="10" r="U131" s="1"/>
  <c i="10" r="AG107"/>
  <c i="17" r="M33"/>
  <c i="17" r="M42" s="1"/>
  <c i="11" r="J19"/>
  <c i="9" r="AC81"/>
  <c i="9" r="AB113"/>
  <c i="16" r="R110"/>
  <c i="10" r="R117"/>
  <c i="19" r="W53"/>
  <c i="19" r="V54"/>
  <c i="19" r="V57"/>
  <c i="10" r="D13"/>
  <c i="10" r="D24" s="1"/>
  <c i="10" r="O15"/>
  <c i="10" r="B23"/>
  <c i="10" r="B27"/>
  <c i="10" r="N47"/>
  <c i="10" r="N62" s="1"/>
  <c i="10" r="Z39"/>
  <c i="10" r="AC74"/>
  <c i="16" r="S110"/>
  <c i="10" r="S117"/>
  <c i="19" r="AB51"/>
  <c i="19" r="Z52"/>
  <c i="19" r="X53"/>
  <c i="19" r="W57"/>
  <c i="10" r="E13"/>
  <c i="10" r="E26" s="1"/>
  <c i="10" r="AC44"/>
  <c i="10" r="W115"/>
  <c i="10" r="W125" s="1"/>
  <c i="10" r="AI107"/>
  <c i="10" r="L113"/>
  <c i="20" r="D6"/>
  <c i="19" r="D6"/>
  <c i="9" r="W116"/>
  <c i="9" r="W129" s="1"/>
  <c i="9" r="B116"/>
  <c i="9" r="B130" s="1"/>
  <c i="16" r="T110"/>
  <c i="10" r="T117"/>
  <c i="19" r="W80"/>
  <c i="19" r="X57"/>
  <c i="10" r="AC12"/>
  <c i="10" r="F13"/>
  <c i="10" r="F23" s="1"/>
  <c i="10" r="X107"/>
  <c i="10" r="B117"/>
  <c i="19" r="X80"/>
  <c i="10" r="I13"/>
  <c i="10" r="I29" s="1"/>
  <c i="10" r="Q47"/>
  <c i="10" r="Q61" s="1"/>
  <c i="10" r="O81"/>
  <c i="10" r="O92" s="1"/>
  <c i="10" r="AA74"/>
  <c i="10" r="L110"/>
  <c i="10" r="Z110"/>
  <c i="9" r="Z108"/>
  <c i="9" r="D116"/>
  <c i="9" r="D125" s="1"/>
  <c i="16" r="V110"/>
  <c i="10" r="V117"/>
  <c i="19" r="AJ50"/>
  <c i="19" r="Z55"/>
  <c i="19" r="Y56"/>
  <c i="10" r="S39"/>
  <c i="10" r="G41"/>
  <c i="10" r="AB74"/>
  <c i="10" r="AB76"/>
  <c i="20" r="D11"/>
  <c i="19" r="D11"/>
  <c i="9" r="AB84"/>
  <c i="9" r="AA108"/>
  <c i="9" r="AH110"/>
  <c i="9" r="X111"/>
  <c i="9" r="AG113"/>
  <c i="9" r="E116"/>
  <c i="16" r="W110"/>
  <c i="10" r="W117"/>
  <c i="19" r="AK50"/>
  <c i="19" r="AH51"/>
  <c i="19" r="W81" s="1"/>
  <c i="19" r="W95" s="1"/>
  <c i="18" r="E90" s="1"/>
  <c i="19" r="AF52"/>
  <c i="19" r="AA55"/>
  <c i="10" r="O13"/>
  <c i="10" r="O27" s="1"/>
  <c i="10" r="AA39"/>
  <c i="10" r="Q81"/>
  <c i="10" r="Q94" s="1"/>
  <c i="10" r="AB78"/>
  <c i="9" r="AB108"/>
  <c i="9" r="AI110"/>
  <c i="9" r="AH113"/>
  <c i="9" r="F116"/>
  <c i="9" r="F128" s="1"/>
  <c i="19" r="AL50"/>
  <c i="10" r="U13"/>
  <c i="10" r="U23" s="1"/>
  <c i="19" r="AI51"/>
  <c i="19" r="X81" s="1"/>
  <c i="19" r="X95" s="1"/>
  <c i="18" r="F90" s="1"/>
  <c i="19" r="AB54"/>
  <c i="19" r="AA56"/>
  <c i="10" r="AG11"/>
  <c i="10" r="P13"/>
  <c i="10" r="P25" s="1"/>
  <c i="10" r="G43"/>
  <c i="10" r="AD80"/>
  <c i="10" r="L112"/>
  <c i="19" r="C9"/>
  <c i="19" r="U10"/>
  <c i="9" r="AD75"/>
  <c i="9" r="AA80"/>
  <c i="9" r="AC108"/>
  <c i="9" r="AI113"/>
  <c i="9" r="Z118"/>
  <c i="19" r="AF53"/>
  <c i="10" r="Q13"/>
  <c i="10" r="Q23" s="1"/>
  <c i="10" r="AC39"/>
  <c i="10" r="AB41"/>
  <c i="10" r="P47"/>
  <c i="10" r="P61" s="1"/>
  <c i="20" r="D8"/>
  <c i="19" r="D8"/>
  <c i="9" r="AD108"/>
  <c i="9" r="AB111"/>
  <c i="9" r="H116"/>
  <c i="9" r="H127" s="1"/>
  <c i="19" r="AI52"/>
  <c i="19" r="AG53"/>
  <c i="19" r="AF54"/>
  <c i="10" r="Z9"/>
  <c i="19" r="AF55"/>
  <c i="10" r="Z10"/>
  <c i="10" r="R13"/>
  <c i="10" r="R27" s="1"/>
  <c i="10" r="D115"/>
  <c i="10" r="D124" s="1"/>
  <c i="10" r="I130"/>
  <c i="9" r="I116"/>
  <c i="9" r="I125" s="1"/>
  <c i="19" r="AH53"/>
  <c i="10" r="AB8"/>
  <c i="10" r="S13"/>
  <c i="10" r="S22" s="1"/>
  <c i="10" r="I129"/>
  <c i="10" r="I131"/>
  <c i="16" r="J14"/>
  <c i="10" r="J15"/>
  <c i="9" r="AD80"/>
  <c i="9" r="L110"/>
  <c i="9" r="J116"/>
  <c i="9" r="J130" s="1"/>
  <c i="16" r="C110"/>
  <c i="16" r="AA110" s="1"/>
  <c i="10" r="C117"/>
  <c i="9" r="AC118"/>
  <c i="10" r="AA5"/>
  <c i="19" r="AK52"/>
  <c i="10" r="AE7"/>
  <c i="10" r="V13"/>
  <c i="10" r="Z41"/>
  <c i="10" r="Z73"/>
  <c i="10" r="AB75"/>
  <c i="10" r="AA79"/>
  <c i="10" r="AD108"/>
  <c i="9" r="K116"/>
  <c i="9" r="K132" s="1"/>
  <c i="16" r="D110"/>
  <c i="10" r="D117"/>
  <c i="19" r="AI54"/>
  <c i="10" r="AC9"/>
  <c i="10" r="W13"/>
  <c i="10" r="W25" s="1"/>
  <c i="10" r="S45"/>
  <c i="10" r="C81"/>
  <c i="10" r="AG109"/>
  <c i="10" r="AI112"/>
  <c i="9" r="AG115"/>
  <c i="16" r="E110"/>
  <c i="10" r="E117"/>
  <c i="9" r="AE118"/>
  <c i="10" r="AC5"/>
  <c i="10" r="Z6"/>
  <c i="19" r="AJ57"/>
  <c i="10" r="AD12"/>
  <c i="10" r="Z43"/>
  <c i="10" r="AA45"/>
  <c i="9" r="S41"/>
  <c i="16" r="B46"/>
  <c i="10" r="B49"/>
  <c i="9" r="AI108"/>
  <c i="9" r="AA113"/>
  <c i="9" r="AF114"/>
  <c i="9" r="N116"/>
  <c i="9" r="N125" s="1"/>
  <c i="16" r="F110"/>
  <c i="10" r="F117"/>
  <c i="9" r="AF118"/>
  <c i="10" r="AD5"/>
  <c i="10" r="AA6"/>
  <c i="19" r="AL53"/>
  <c i="10" r="AG8"/>
  <c i="19" r="AK55"/>
  <c i="10" r="AE10"/>
  <c i="19" r="AJ56"/>
  <c i="19" r="AK57"/>
  <c i="10" r="AE12"/>
  <c i="10" r="AB45"/>
  <c i="10" r="P83"/>
  <c i="9" r="X112"/>
  <c i="9" r="AG114"/>
  <c i="9" r="O116"/>
  <c i="9" r="O125" s="1"/>
  <c i="16" r="G110"/>
  <c i="10" r="G117"/>
  <c i="19" r="AL55"/>
  <c i="19" r="AL57"/>
  <c i="10" r="AG12"/>
  <c i="10" r="AB43"/>
  <c i="10" r="F81"/>
  <c i="10" r="F92" s="1"/>
  <c i="10" r="Z79"/>
  <c i="9" r="AB109"/>
  <c i="9" r="AD110"/>
  <c i="9" r="AH114"/>
  <c i="16" r="H110"/>
  <c i="10" r="H117"/>
  <c i="9" r="AH118"/>
  <c i="19" r="U50"/>
  <c i="10" r="B22"/>
  <c i="19" r="AM54"/>
  <c i="10" r="AH9"/>
  <c i="10" r="Z45"/>
  <c i="10" r="E49"/>
  <c i="10" r="N90"/>
  <c i="10" r="N98"/>
  <c i="10" r="AB111"/>
  <c i="10" r="X111"/>
  <c i="10" r="AC114"/>
  <c i="9" r="AC109"/>
  <c i="16" r="I110"/>
  <c i="16" r="AG110" s="1"/>
  <c i="10" r="I117"/>
  <c i="19" r="AM56"/>
  <c i="10" r="AH11"/>
  <c i="10" r="AB79"/>
  <c i="10" r="N115"/>
  <c i="10" r="N126" s="1"/>
  <c i="10" r="Z107"/>
  <c i="9" r="R116"/>
  <c i="9" r="R130" s="1"/>
  <c i="16" r="J110"/>
  <c i="10" r="J117"/>
  <c i="10" r="AI5"/>
  <c i="10" r="AE6"/>
  <c i="10" r="AA8"/>
  <c i="10" r="AB73"/>
  <c i="10" r="P81"/>
  <c i="10" r="P94" s="1"/>
  <c i="10" r="AA108"/>
  <c i="10" r="O115"/>
  <c i="10" r="O130" s="1"/>
  <c i="17" r="E22"/>
  <c i="18" r="D37" s="1"/>
  <c i="11" r="J58"/>
  <c i="16" r="C78"/>
  <c i="10" r="C83"/>
  <c i="9" r="L111"/>
  <c i="16" r="K110"/>
  <c i="10" r="K117"/>
  <c i="10" r="AD7"/>
  <c i="10" r="AC8"/>
  <c i="10" r="AB9"/>
  <c i="10" r="AA12"/>
  <c i="10" r="S40"/>
  <c i="10" r="Q49"/>
  <c i="10" r="AA75"/>
  <c i="10" r="N95"/>
  <c i="10" r="P115"/>
  <c i="10" r="P128" s="1"/>
  <c i="10" r="AB107"/>
  <c i="10" r="AB108"/>
  <c i="10" r="AE111"/>
  <c i="9" r="AD79"/>
  <c i="16" r="D78"/>
  <c i="16" r="AB78" s="1"/>
  <c i="10" r="D83"/>
  <c i="9" r="L118"/>
  <c i="10" r="AH6"/>
  <c i="10" r="AG7"/>
  <c i="10" r="AD8"/>
  <c i="10" r="AD9"/>
  <c i="10" r="AC10"/>
  <c i="10" r="AB12"/>
  <c i="10" r="AA42"/>
  <c i="10" r="AD73"/>
  <c i="10" r="R81"/>
  <c i="10" r="R90" s="1"/>
  <c i="10" r="Z77"/>
  <c i="10" r="Q115"/>
  <c i="16" r="P46"/>
  <c i="10" r="P49"/>
  <c i="20" r="D12"/>
  <c i="19" r="D12"/>
  <c i="16" r="E78"/>
  <c i="10" r="E83"/>
  <c i="9" r="AD115"/>
  <c i="9" r="U116"/>
  <c i="9" r="U129" s="1"/>
  <c i="16" r="N110"/>
  <c i="16" r="Z110" s="1"/>
  <c i="10" r="N117"/>
  <c i="10" r="AH7"/>
  <c i="10" r="AE8"/>
  <c i="10" r="AE9"/>
  <c i="10" r="AD10"/>
  <c i="10" r="AC11"/>
  <c i="10" r="AH12"/>
  <c i="10" r="F15"/>
  <c i="10" r="C47"/>
  <c i="10" r="C60" s="1"/>
  <c i="10" r="AA40"/>
  <c i="10" r="AB42"/>
  <c i="10" r="AD75"/>
  <c i="10" r="AE108"/>
  <c i="10" r="S115"/>
  <c i="10" r="S131" s="1"/>
  <c i="10" r="AG111"/>
  <c i="10" r="Z113"/>
  <c i="9" r="AH109"/>
  <c i="9" r="X110"/>
  <c i="19" r="V52"/>
  <c i="10" r="AH8"/>
  <c i="10" r="AG9"/>
  <c i="10" r="AG10"/>
  <c i="10" r="AD11"/>
  <c i="10" r="G15"/>
  <c i="10" r="AB40"/>
  <c i="10" r="AC77"/>
  <c i="10" r="AH110"/>
  <c i="10" r="AF109"/>
  <c i="10" r="AA113"/>
  <c i="11" r="J66"/>
  <c i="16" r="Z7"/>
  <c i="17" r="N68"/>
  <c i="11" r="C352"/>
  <c i="11" r="I344"/>
  <c i="10" r="AB113"/>
  <c i="10" r="K115"/>
  <c i="10" r="K125" s="1"/>
  <c i="11" r="J12"/>
  <c i="11" r="J45"/>
  <c i="17" r="J41"/>
  <c i="17" r="N132"/>
  <c i="17" r="N146" s="1"/>
  <c i="11" r="I362"/>
  <c i="10" r="AB110"/>
  <c i="10" r="AD113"/>
  <c i="11" r="J22"/>
  <c i="16" r="AD75"/>
  <c i="17" r="E33"/>
  <c i="17" r="G33" s="1"/>
  <c i="12" r="J18"/>
  <c i="18" r="D23"/>
  <c i="20" r="D23" s="1"/>
  <c i="16" r="AL9"/>
  <c i="16" r="AI9"/>
  <c i="10" r="B115"/>
  <c i="10" r="B124" s="1"/>
  <c i="16" r="N12"/>
  <c i="16" r="N26" s="1"/>
  <c i="16" r="Z10"/>
  <c i="16" r="AD71"/>
  <c i="17" r="N129"/>
  <c i="17" r="N143" s="1"/>
  <c i="11" r="I359"/>
  <c i="10" r="AC107"/>
  <c i="10" r="X114"/>
  <c i="11" r="J15"/>
  <c i="11" r="J72"/>
  <c i="16" r="AG7"/>
  <c i="10" r="L109"/>
  <c i="10" r="R115"/>
  <c i="10" r="R127" s="1"/>
  <c i="17" r="M41"/>
  <c i="20" r="I5"/>
  <c i="16" r="P12"/>
  <c i="16" r="P21" s="1"/>
  <c i="16" r="AB5"/>
  <c i="10" r="Z74"/>
  <c i="10" r="AE107"/>
  <c i="10" r="AG110"/>
  <c i="17" r="E21"/>
  <c i="18" r="D36" s="1"/>
  <c i="16" r="Q12"/>
  <c i="16" r="Q27" s="1"/>
  <c i="16" r="AC5"/>
  <c i="16" r="R108"/>
  <c i="16" r="R117" s="1"/>
  <c i="16" r="AD101"/>
  <c i="17" r="N126"/>
  <c i="11" r="C363"/>
  <c i="11" r="I356"/>
  <c i="10" r="AF107"/>
  <c i="10" r="X108"/>
  <c i="10" r="AA111"/>
  <c i="10" r="T115"/>
  <c i="10" r="T125" s="1"/>
  <c i="17" r="J43"/>
  <c i="11" r="J38"/>
  <c i="17" r="E8"/>
  <c i="10" r="E81"/>
  <c i="10" r="E91" s="1"/>
  <c i="10" r="AD112"/>
  <c i="10" r="L114"/>
  <c i="17" r="E18"/>
  <c i="18" r="D33" s="1"/>
  <c i="16" r="AD72"/>
  <c i="10" r="V115"/>
  <c i="10" r="V129" s="1"/>
  <c i="10" r="O117"/>
  <c i="10" r="B92"/>
  <c i="10" r="AC79"/>
  <c i="10" r="AD109"/>
  <c i="10" r="L111"/>
  <c i="10" r="AD111"/>
  <c i="10" r="AE114"/>
  <c i="17" r="K41"/>
  <c i="16" r="AH10"/>
  <c i="10" r="AC108"/>
  <c i="10" r="AF114"/>
  <c i="18" r="D19"/>
  <c i="16" r="W12"/>
  <c i="16" r="W21" s="1"/>
  <c i="16" r="AL5"/>
  <c i="16" r="AI5"/>
  <c i="16" r="AC8"/>
  <c i="18" r="D24"/>
  <c i="20" r="D24" s="1"/>
  <c i="16" r="AL10"/>
  <c i="16" r="AI10"/>
  <c i="10" r="L108"/>
  <c i="10" r="AF111"/>
  <c i="10" r="AB11"/>
  <c i="10" r="AC41"/>
  <c i="10" r="L107"/>
  <c i="10" r="X110"/>
  <c i="10" r="AH114"/>
  <c i="17" r="E23"/>
  <c i="18" r="D38" s="1"/>
  <c i="16" r="AA6"/>
  <c i="17" r="J31"/>
  <c i="11" r="J11"/>
  <c i="16" r="AB11"/>
  <c i="16" r="AD73"/>
  <c i="16" r="AE106"/>
  <c i="17" r="E7"/>
  <c i="11" r="J52"/>
  <c i="16" r="Z11"/>
  <c i="10" r="C115"/>
  <c i="10" r="C127" s="1"/>
  <c i="17" r="K34"/>
  <c i="17" r="K43" s="1"/>
  <c i="11" r="J21"/>
  <c i="16" r="AD6"/>
  <c i="18" r="D22"/>
  <c i="20" r="D22" s="1"/>
  <c i="16" r="AL8"/>
  <c i="16" r="AI8"/>
  <c i="16" r="AD69"/>
  <c i="16" r="R76"/>
  <c i="16" r="R89" s="1"/>
  <c i="17" r="N74"/>
  <c i="17" r="N89" s="1"/>
  <c i="11" r="I350"/>
  <c i="10" r="G40"/>
  <c i="10" r="E115"/>
  <c i="10" r="E124" s="1"/>
  <c i="17" r="E4"/>
  <c i="11" r="J31"/>
  <c i="4" r="U7" s="1"/>
  <c i="19" r="AB80"/>
  <c i="10" r="B29"/>
  <c i="10" r="F115"/>
  <c i="10" r="F126" s="1"/>
  <c i="10" r="G115"/>
  <c i="10" r="G130" s="1"/>
  <c i="17" r="L32"/>
  <c i="17" r="N32" s="1"/>
  <c i="11" r="J14"/>
  <c i="16" r="AH6"/>
  <c i="17" r="N71"/>
  <c i="17" r="N86" s="1"/>
  <c i="11" r="I347"/>
  <c i="10" r="AG112"/>
  <c i="18" r="D25"/>
  <c i="20" r="D25" s="1"/>
  <c i="16" r="AL11"/>
  <c i="16" r="AI11"/>
  <c i="16" r="G41"/>
  <c i="16" r="Z6"/>
  <c i="16" r="AD8"/>
  <c i="16" r="Z39"/>
  <c i="16" r="S39"/>
  <c i="16" r="Z43"/>
  <c i="16" r="Z72"/>
  <c i="16" r="X101"/>
  <c i="16" r="N108"/>
  <c i="16" r="N119" s="1"/>
  <c i="16" r="Z101"/>
  <c i="16" r="X103"/>
  <c i="16" r="Z103"/>
  <c i="16" r="Z105"/>
  <c i="16" r="X105"/>
  <c i="16" r="Z107"/>
  <c i="16" r="X107"/>
  <c i="17" r="O83"/>
  <c i="17" r="O91" s="1"/>
  <c i="17" r="O76"/>
  <c i="17" r="O126"/>
  <c i="11" r="D363"/>
  <c i="11" r="H375"/>
  <c i="17" r="F34"/>
  <c i="17" r="F35" s="1"/>
  <c i="12" r="J23"/>
  <c i="12" r="J44"/>
  <c i="16" r="AE8"/>
  <c i="16" r="AA39"/>
  <c i="16" r="AA43"/>
  <c i="16" r="AA72"/>
  <c i="16" r="O108"/>
  <c i="16" r="O117" s="1"/>
  <c i="16" r="AA101"/>
  <c i="16" r="AA103"/>
  <c i="16" r="AA105"/>
  <c i="16" r="AA107"/>
  <c i="17" r="P83"/>
  <c i="17" r="P91" s="1"/>
  <c i="17" r="P76"/>
  <c i="17" r="P126"/>
  <c i="11" r="E363"/>
  <c i="16" r="G37"/>
  <c i="16" r="B44"/>
  <c i="16" r="B56" s="1"/>
  <c i="16" r="AB6"/>
  <c i="16" r="AG8"/>
  <c i="16" r="AB39"/>
  <c i="16" r="AB43"/>
  <c i="16" r="AB72"/>
  <c i="16" r="P108"/>
  <c i="16" r="P119" s="1"/>
  <c i="16" r="AB101"/>
  <c i="16" r="AB103"/>
  <c i="16" r="AB105"/>
  <c i="16" r="AB107"/>
  <c i="17" r="Q76"/>
  <c i="17" r="Q83"/>
  <c i="17" r="Q91" s="1"/>
  <c i="17" r="Q140"/>
  <c i="17" r="Q147" s="1"/>
  <c i="17" r="Q133"/>
  <c i="11" r="I369"/>
  <c i="11" r="I372"/>
  <c i="17" r="C31"/>
  <c i="12" r="J11"/>
  <c i="16" r="C44"/>
  <c i="16" r="C59" s="1"/>
  <c i="16" r="L107"/>
  <c i="16" r="AC6"/>
  <c i="16" r="AH8"/>
  <c i="16" r="AA11"/>
  <c i="16" r="AC39"/>
  <c i="16" r="AC43"/>
  <c i="16" r="AC72"/>
  <c i="16" r="Q108"/>
  <c i="16" r="Q119" s="1"/>
  <c i="16" r="AC101"/>
  <c i="16" r="AC103"/>
  <c i="16" r="AC105"/>
  <c i="16" r="AC107"/>
  <c i="17" r="R83"/>
  <c i="17" r="R91" s="1"/>
  <c i="17" r="R76"/>
  <c i="17" r="R140"/>
  <c i="17" r="R147" s="1"/>
  <c i="17" r="R133"/>
  <c i="16" r="D44"/>
  <c i="16" r="D57" s="1"/>
  <c i="17" r="D131"/>
  <c i="12" r="I361"/>
  <c i="16" r="AD103"/>
  <c i="16" r="AD105"/>
  <c i="16" r="AD107"/>
  <c i="17" r="S83"/>
  <c i="17" r="S91" s="1"/>
  <c i="17" r="S76"/>
  <c i="17" r="S133"/>
  <c i="17" r="S140"/>
  <c i="17" r="S147" s="1"/>
  <c i="12" r="J21"/>
  <c i="17" r="C4"/>
  <c i="12" r="J31"/>
  <c i="16" r="E44"/>
  <c i="16" r="E58" s="1"/>
  <c i="16" r="AE6"/>
  <c i="16" r="AC11"/>
  <c i="16" r="AE101"/>
  <c i="16" r="S108"/>
  <c i="16" r="S122" s="1"/>
  <c i="16" r="AE103"/>
  <c i="16" r="AE105"/>
  <c i="16" r="AE107"/>
  <c i="16" r="L101"/>
  <c i="16" r="B108"/>
  <c i="16" r="B118" s="1"/>
  <c i="16" r="AG6"/>
  <c i="16" r="Z9"/>
  <c i="16" r="AD11"/>
  <c i="16" r="Z40"/>
  <c i="16" r="S40"/>
  <c i="16" r="N76"/>
  <c i="16" r="N85" s="1"/>
  <c i="16" r="Z69"/>
  <c i="16" r="Z73"/>
  <c i="16" r="AF101"/>
  <c i="16" r="T108"/>
  <c i="16" r="T119" s="1"/>
  <c i="16" r="AF103"/>
  <c i="16" r="AF105"/>
  <c i="16" r="AF107"/>
  <c i="12" r="J14"/>
  <c i="16" r="G38"/>
  <c i="17" r="D128"/>
  <c i="12" r="I358"/>
  <c i="16" r="AA9"/>
  <c i="16" r="AE11"/>
  <c i="16" r="AA69"/>
  <c i="16" r="O76"/>
  <c i="16" r="O89" s="1"/>
  <c i="16" r="AA73"/>
  <c i="16" r="AG101"/>
  <c i="16" r="U108"/>
  <c i="16" r="U119" s="1"/>
  <c i="16" r="AG103"/>
  <c i="16" r="AG105"/>
  <c i="16" r="AG107"/>
  <c i="16" r="B12"/>
  <c i="16" r="B21" s="1"/>
  <c i="18" r="D20"/>
  <c i="20" r="D20" s="1"/>
  <c i="16" r="AL6"/>
  <c i="16" r="AI6"/>
  <c i="16" r="AB9"/>
  <c i="16" r="AG11"/>
  <c i="16" r="AB40"/>
  <c i="16" r="P76"/>
  <c i="16" r="P85" s="1"/>
  <c i="16" r="AB69"/>
  <c i="16" r="AB73"/>
  <c i="16" r="V108"/>
  <c i="16" r="V121" s="1"/>
  <c i="16" r="AH101"/>
  <c i="16" r="AH103"/>
  <c i="16" r="AH105"/>
  <c i="12" r="J19"/>
  <c i="16" r="C12"/>
  <c i="16" r="E108"/>
  <c i="16" r="E117" s="1"/>
  <c i="19" r="X52"/>
  <c i="10" r="N13"/>
  <c i="16" r="Q76"/>
  <c i="16" r="Q89" s="1"/>
  <c i="16" r="AC69"/>
  <c i="11" r="H363"/>
  <c i="16" r="D12"/>
  <c i="16" r="G43"/>
  <c i="16" r="AD9"/>
  <c i="11" r="I370"/>
  <c i="11" r="I373"/>
  <c i="17" r="C19"/>
  <c i="16" r="E12"/>
  <c i="16" r="E23" s="1"/>
  <c i="16" r="G108"/>
  <c i="16" r="G123" s="1"/>
  <c i="16" r="AA7"/>
  <c i="16" r="AE9"/>
  <c i="17" r="M194"/>
  <c i="17" r="M201" s="1"/>
  <c i="17" r="M187"/>
  <c i="17" r="C24"/>
  <c i="12" r="J72"/>
  <c i="16" r="F12"/>
  <c i="16" r="F27" s="1"/>
  <c i="17" r="E20"/>
  <c i="18" r="D35" s="1"/>
  <c i="17" r="E10"/>
  <c i="11" r="J73"/>
  <c i="16" r="AB7"/>
  <c i="16" r="AG9"/>
  <c i="16" r="N44"/>
  <c i="16" r="N53" s="1"/>
  <c i="16" r="Z37"/>
  <c i="16" r="S37"/>
  <c i="16" r="Z41"/>
  <c i="16" r="S41"/>
  <c i="16" r="Z70"/>
  <c i="16" r="Z74"/>
  <c i="16" r="X102"/>
  <c i="16" r="Z102"/>
  <c i="16" r="Z104"/>
  <c i="16" r="X104"/>
  <c i="16" r="Z106"/>
  <c i="16" r="X106"/>
  <c i="17" r="N194"/>
  <c i="17" r="N201" s="1"/>
  <c i="17" r="N187"/>
  <c i="12" r="J17"/>
  <c i="16" r="G12"/>
  <c i="16" r="G21" s="1"/>
  <c i="17" r="E186"/>
  <c i="12" r="I374"/>
  <c i="16" r="AC7"/>
  <c i="16" r="O44"/>
  <c i="16" r="O57" s="1"/>
  <c i="16" r="AA37"/>
  <c i="16" r="AA41"/>
  <c i="16" r="AA70"/>
  <c i="16" r="AA74"/>
  <c i="16" r="AA102"/>
  <c i="16" r="AA104"/>
  <c i="16" r="AA106"/>
  <c i="11" r="I345"/>
  <c i="11" r="I348"/>
  <c i="11" r="I351"/>
  <c i="11" r="I357"/>
  <c i="11" r="I360"/>
  <c i="17" r="O187"/>
  <c i="17" r="O194"/>
  <c i="17" r="O201" s="1"/>
  <c i="16" r="I12"/>
  <c i="16" r="I21" s="1"/>
  <c i="16" r="AA40"/>
  <c i="16" r="Z5"/>
  <c i="16" r="AD7"/>
  <c i="16" r="P44"/>
  <c i="16" r="P57" s="1"/>
  <c i="16" r="AB37"/>
  <c i="16" r="AB41"/>
  <c i="16" r="AB70"/>
  <c i="16" r="AB102"/>
  <c i="16" r="AB104"/>
  <c i="16" r="AB106"/>
  <c i="11" r="B352"/>
  <c i="12" r="J22"/>
  <c i="16" r="J12"/>
  <c i="16" r="J22" s="1"/>
  <c i="16" r="AA5"/>
  <c i="16" r="O12"/>
  <c i="16" r="O25" s="1"/>
  <c i="16" r="AE7"/>
  <c i="16" r="AC37"/>
  <c i="16" r="Q44"/>
  <c i="16" r="Q57" s="1"/>
  <c i="16" r="AC41"/>
  <c i="16" r="AC70"/>
  <c i="16" r="AC74"/>
  <c i="16" r="AC102"/>
  <c i="16" r="AC104"/>
  <c i="16" r="AC106"/>
  <c i="17" r="Q194"/>
  <c i="17" r="Q201" s="1"/>
  <c i="17" r="Q187"/>
  <c i="17" r="C21"/>
  <c i="12" r="J51"/>
  <c i="16" r="K12"/>
  <c i="16" r="K27" s="1"/>
  <c i="16" r="B76"/>
  <c i="16" r="B87" s="1"/>
  <c i="17" r="E183"/>
  <c i="12" r="I371"/>
  <c i="16" r="AD70"/>
  <c i="16" r="AD74"/>
  <c i="16" r="AD102"/>
  <c i="16" r="AD104"/>
  <c i="16" r="AD106"/>
  <c i="11" r="D352"/>
  <c i="17" r="R194"/>
  <c i="17" r="R201" s="1"/>
  <c i="17" r="R187"/>
  <c i="12" r="J15"/>
  <c i="17" r="C8"/>
  <c i="16" r="AH7"/>
  <c i="16" r="AA10"/>
  <c i="16" r="AE102"/>
  <c i="16" r="AE104"/>
  <c i="11" r="E352"/>
  <c i="17" r="S187"/>
  <c i="17" r="S194"/>
  <c i="17" r="S201" s="1"/>
  <c i="16" r="G40"/>
  <c i="16" r="D76"/>
  <c i="16" r="D85" s="1"/>
  <c i="16" r="S43"/>
  <c i="16" r="AD5"/>
  <c i="16" r="R12"/>
  <c i="16" r="R23" s="1"/>
  <c i="18" r="D21"/>
  <c i="20" r="D21" s="1"/>
  <c i="16" r="AL7"/>
  <c i="16" r="AI7"/>
  <c i="16" r="AB10"/>
  <c i="16" r="Z38"/>
  <c i="16" r="S38"/>
  <c i="16" r="Z42"/>
  <c i="16" r="S42"/>
  <c i="16" r="Z71"/>
  <c i="16" r="Z75"/>
  <c i="16" r="AF102"/>
  <c i="16" r="AF104"/>
  <c i="16" r="AF106"/>
  <c i="11" r="F352"/>
  <c i="11" r="I368"/>
  <c i="11" r="I371"/>
  <c i="11" r="I374"/>
  <c i="17" r="D73"/>
  <c i="12" r="I349"/>
  <c i="17" r="E180"/>
  <c i="12" r="D375"/>
  <c i="12" r="I368"/>
  <c i="16" r="AB74"/>
  <c i="16" r="AE5"/>
  <c i="16" r="S12"/>
  <c i="16" r="S24" s="1"/>
  <c i="16" r="AC10"/>
  <c i="16" r="AA38"/>
  <c i="16" r="AA42"/>
  <c i="16" r="AA71"/>
  <c i="16" r="AA75"/>
  <c i="16" r="AG102"/>
  <c i="16" r="AG104"/>
  <c i="16" r="AG106"/>
  <c i="11" r="G352"/>
  <c i="11" r="B375"/>
  <c i="17" r="C18"/>
  <c i="12" r="J30"/>
  <c i="16" r="AG5"/>
  <c i="16" r="U12"/>
  <c i="16" r="Z8"/>
  <c i="16" r="AD10"/>
  <c i="16" r="AB38"/>
  <c i="16" r="AB42"/>
  <c i="16" r="AB71"/>
  <c i="16" r="AB75"/>
  <c i="16" r="AH102"/>
  <c i="16" r="AH104"/>
  <c i="16" r="AH106"/>
  <c i="11" r="H352"/>
  <c i="11" r="C375"/>
  <c i="17" r="C5"/>
  <c i="16" r="AH5"/>
  <c i="16" r="V12"/>
  <c i="16" r="V22" s="1"/>
  <c i="16" r="AE10"/>
  <c i="16" r="AC38"/>
  <c i="16" r="AC42"/>
  <c i="16" r="AC71"/>
  <c i="16" r="AC75"/>
  <c i="16" r="AI102"/>
  <c i="16" r="AI106"/>
  <c i="11" r="I346"/>
  <c i="11" r="I349"/>
  <c i="11" r="I358"/>
  <c i="11" r="I361"/>
  <c i="11" r="D375"/>
  <c i="17" r="D32"/>
  <c i="12" r="J13"/>
  <c i="17" r="C23"/>
  <c i="17" r="D70"/>
  <c i="12" r="I346"/>
  <c i="16" r="AB8"/>
  <c i="16" r="AG10"/>
  <c i="17" r="M83"/>
  <c i="17" r="M91" s="1"/>
  <c i="17" r="M76"/>
  <c i="17" r="M126"/>
  <c i="11" r="B363"/>
  <c i="11" r="F375"/>
  <c i="17" r="C22"/>
  <c i="12" r="D352"/>
  <c i="17" r="F187"/>
  <c i="12" r="E352"/>
  <c i="17" r="G187"/>
  <c i="16" r="G42"/>
  <c i="12" r="F352"/>
  <c i="17" r="H187"/>
  <c i="12" r="G352"/>
  <c i="17" r="I187"/>
  <c i="12" r="H352"/>
  <c i="12" r="C375"/>
  <c i="11" r="E375"/>
  <c i="17" r="C133"/>
  <c i="12" r="E375"/>
  <c i="16" r="G39"/>
  <c i="16" r="L103"/>
  <c i="16" r="L105"/>
  <c i="17" r="E76"/>
  <c i="17" r="E133"/>
  <c i="12" r="F375"/>
  <c i="16" r="C108"/>
  <c i="16" r="C119" s="1"/>
  <c i="17" r="F76"/>
  <c i="17" r="F133"/>
  <c i="12" r="G375"/>
  <c i="16" r="D108"/>
  <c i="16" r="D117" s="1"/>
  <c i="17" r="G76"/>
  <c i="17" r="G126"/>
  <c i="12" r="F363"/>
  <c i="12" r="H375"/>
  <c i="17" r="H76"/>
  <c i="17" r="H133"/>
  <c i="16" r="AC9"/>
  <c i="16" r="F108"/>
  <c i="16" r="F117" s="1"/>
  <c i="17" r="I76"/>
  <c i="17" r="I133"/>
  <c i="12" r="I369"/>
  <c i="12" r="I372"/>
  <c i="16" r="AH107"/>
  <c i="12" r="I344"/>
  <c i="12" r="I347"/>
  <c i="12" r="I350"/>
  <c i="12" r="I356"/>
  <c i="12" r="I359"/>
  <c i="12" r="I362"/>
  <c i="16" r="AC40"/>
  <c i="16" r="AC73"/>
  <c i="16" r="AI101"/>
  <c i="16" r="W108"/>
  <c i="16" r="W121" s="1"/>
  <c i="16" r="AI103"/>
  <c i="16" r="AI107"/>
  <c i="16" r="H108"/>
  <c i="16" r="H117" s="1"/>
  <c i="12" r="B363"/>
  <c i="16" r="C76"/>
  <c i="16" r="C87" s="1"/>
  <c i="16" r="I108"/>
  <c i="16" r="I119" s="1"/>
  <c i="12" r="C363"/>
  <c i="17" r="C72"/>
  <c i="16" r="J108"/>
  <c i="16" r="J117" s="1"/>
  <c i="12" r="D363"/>
  <c i="12" r="J52"/>
  <c i="12" r="J73"/>
  <c i="16" r="E76"/>
  <c i="16" r="E90" s="1"/>
  <c i="16" r="K108"/>
  <c i="16" r="K121" s="1"/>
  <c i="12" r="E363"/>
  <c i="16" r="F76"/>
  <c i="16" r="F91" s="1"/>
  <c i="12" r="G363"/>
  <c i="12" r="H363"/>
  <c i="16" r="L102"/>
  <c i="16" r="L104"/>
  <c i="16" r="L106"/>
  <c i="12" r="I370"/>
  <c i="12" r="I373"/>
  <c i="16" r="AI105"/>
  <c i="12" r="I345"/>
  <c i="12" r="I351"/>
  <c i="12" r="I357"/>
  <c i="12" r="I360"/>
  <c i="12" r="B375"/>
  <c i="17" r="C180"/>
  <c i="17" r="P194"/>
  <c i="17" r="P201" s="1"/>
  <c i="17" r="P187"/>
  <c i="16" r="D86"/>
  <c i="12" r="B352"/>
  <c i="17" r="D187"/>
  <c i="18" r="AC10"/>
  <c i="18" r="AD10" s="1"/>
  <c i="17" r="W100"/>
  <c i="18" r="W95"/>
  <c i="18" r="X95" s="1"/>
  <c i="18" r="AC13"/>
  <c i="18" r="AD13" s="1"/>
  <c i="17" r="W89"/>
  <c i="18" r="L109"/>
  <c i="18" r="X14"/>
  <c i="18" r="I25"/>
  <c i="17" r="W98"/>
  <c i="17" r="W92"/>
  <c i="18" r="W22"/>
  <c i="18" r="X22" s="1"/>
  <c i="17" r="W93"/>
  <c i="18" r="C80"/>
  <c i="17" r="W79"/>
  <c i="17" r="L151"/>
  <c i="18" r="L106"/>
  <c i="18" r="L88"/>
  <c i="18" r="L81"/>
  <c i="18" r="D80"/>
  <c i="18" r="G77"/>
  <c i="18" r="I81"/>
  <c i="18" r="E77"/>
  <c i="18" r="L100"/>
  <c i="18" r="L92"/>
  <c i="18" r="L85"/>
  <c i="18" r="G81"/>
  <c i="18" r="J78"/>
  <c i="18" r="C77"/>
  <c i="18" r="L70"/>
  <c i="18" r="I38"/>
  <c i="18" r="I5"/>
  <c i="18" r="E81"/>
  <c i="18" r="H78"/>
  <c i="18" r="L75"/>
  <c i="18" r="L103"/>
  <c i="18" r="J82"/>
  <c i="18" r="C81"/>
  <c i="18" r="F78"/>
  <c i="18" r="F82"/>
  <c i="18" r="I79"/>
  <c i="18" r="L111"/>
  <c i="18" r="L107"/>
  <c i="18" r="L90"/>
  <c i="18" r="D82"/>
  <c i="18" r="G79"/>
  <c i="18" r="J76"/>
  <c i="18" r="L104"/>
  <c i="18" r="L96"/>
  <c i="18" r="E79"/>
  <c i="18" r="H76"/>
  <c i="18" r="L74"/>
  <c i="18" r="L66"/>
  <c i="18" r="I34"/>
  <c i="18" r="H80"/>
  <c i="18" r="L77"/>
  <c i="18" r="D76"/>
  <c i="18" r="L98"/>
  <c i="18" r="L69"/>
  <c i="18" r="I9"/>
  <c i="18" r="I6"/>
  <c i="18" r="I36"/>
  <c i="18" r="I23"/>
  <c i="17" r="W97"/>
  <c i="17" r="W85"/>
  <c i="18" r="L95"/>
  <c i="18" r="L105"/>
  <c i="18" r="L72"/>
  <c i="18" r="L108"/>
  <c i="18" r="L84"/>
  <c i="18" r="L65"/>
  <c i="18" r="I21"/>
  <c i="18" r="L102"/>
  <c i="18" r="L99"/>
  <c i="18" r="L79"/>
  <c i="18" r="J77"/>
  <c i="18" r="J81"/>
  <c i="18" r="J79"/>
  <c i="18" r="I77"/>
  <c i="18" r="I7"/>
  <c i="17" r="W95"/>
  <c i="17" r="W81"/>
  <c i="17" r="W67"/>
  <c i="17" r="W55"/>
  <c i="18" r="H81"/>
  <c i="18" r="H79"/>
  <c i="18" r="H77"/>
  <c i="18" r="L68"/>
  <c i="18" r="L87"/>
  <c i="18" r="F81"/>
  <c i="18" r="F79"/>
  <c i="18" r="F77"/>
  <c i="18" r="D81"/>
  <c i="18" r="D79"/>
  <c i="18" r="D77"/>
  <c i="18" r="I19"/>
  <c i="18" r="L101"/>
  <c i="18" r="L94"/>
  <c i="18" r="C79"/>
  <c i="18" r="L71"/>
  <c i="18" r="I24"/>
  <c i="18" r="W3"/>
  <c i="18" r="X3" s="1"/>
  <c i="17" r="W83"/>
  <c i="18" r="L83"/>
  <c i="18" r="L64"/>
  <c i="18" r="I39"/>
  <c i="18" r="I37"/>
  <c i="18" r="I35"/>
  <c i="18" r="I33"/>
  <c i="18" r="L89"/>
  <c i="18" r="L67"/>
  <c i="18" r="I22"/>
  <c i="18" r="L97"/>
  <c i="18" r="L86"/>
  <c i="18" r="L80"/>
  <c i="18" r="L78"/>
  <c i="18" r="L76"/>
  <c i="18" r="I11"/>
  <c i="18" r="L110"/>
  <c i="18" r="L91"/>
  <c i="18" r="L82"/>
  <c i="18" r="J80"/>
  <c i="18" r="I78"/>
  <c i="18" r="I76"/>
  <c i="17" r="W84"/>
  <c i="17" r="W72"/>
  <c i="18" r="I82"/>
  <c i="18" r="I80"/>
  <c i="18" r="G78"/>
  <c i="18" r="G76"/>
  <c i="18" r="L63"/>
  <c i="18" r="H82"/>
  <c i="18" r="G80"/>
  <c i="18" r="E78"/>
  <c i="18" r="F76"/>
  <c i="18" r="L93"/>
  <c i="18" r="G82"/>
  <c i="18" r="F80"/>
  <c i="18" r="D78"/>
  <c i="18" r="E76"/>
  <c i="18" r="L73"/>
  <c i="18" r="E82"/>
  <c i="18" r="E80"/>
  <c i="18" r="C78"/>
  <c i="18" r="C76"/>
  <c i="17" r="W75"/>
  <c i="17" r="W80"/>
  <c i="18" r="AC16"/>
  <c i="18" r="AD16" s="1"/>
  <c i="18" r="I20"/>
  <c i="18" r="AC12"/>
  <c i="18" r="AD12" s="1"/>
  <c i="18" r="I132"/>
  <c i="18" r="I8"/>
  <c i="18" r="C82"/>
  <c i="18" r="X62"/>
  <c i="18" r="W120"/>
  <c i="18" r="X120" s="1"/>
  <c i="18" r="W248"/>
  <c i="18" r="X248" s="1"/>
  <c i="18" r="W47"/>
  <c i="18" r="X47" s="1"/>
  <c i="18" r="X270"/>
  <c i="18" r="W50"/>
  <c i="18" r="X50" s="1"/>
  <c i="18" r="W78"/>
  <c i="18" r="X78" s="1"/>
  <c i="18" r="W91"/>
  <c i="18" r="X91" s="1"/>
  <c i="18" r="W97"/>
  <c i="18" r="X97" s="1"/>
  <c i="18" r="W127"/>
  <c i="18" r="X127" s="1"/>
  <c i="18" r="W151"/>
  <c i="18" r="X151" s="1"/>
  <c i="18" r="W20"/>
  <c i="18" r="X20" s="1"/>
  <c i="18" r="W46"/>
  <c i="18" r="X46" s="1"/>
  <c i="18" r="W58"/>
  <c i="18" r="X58" s="1"/>
  <c i="18" r="W89"/>
  <c i="18" r="X89" s="1"/>
  <c i="18" r="W30"/>
  <c i="18" r="X30" s="1"/>
  <c i="18" r="W59"/>
  <c i="18" r="X59" s="1"/>
  <c i="18" r="W26"/>
  <c i="18" r="X26" s="1"/>
  <c i="18" r="W117"/>
  <c i="18" r="X117" s="1"/>
  <c i="18" r="W118"/>
  <c i="18" r="X118" s="1"/>
  <c i="18" r="I134"/>
  <c i="18" r="W99"/>
  <c i="18" r="X99" s="1"/>
  <c i="18" r="W114"/>
  <c i="18" r="X114" s="1"/>
  <c i="18" r="W119"/>
  <c i="18" r="X119" s="1"/>
  <c i="18" r="W233"/>
  <c i="18" r="X233" s="1"/>
  <c i="18" r="W293"/>
  <c i="18" r="X293" s="1"/>
  <c i="18" r="X276"/>
  <c i="18" r="W159"/>
  <c i="18" r="X159" s="1"/>
  <c i="18" r="W249"/>
  <c i="18" r="X249" s="1"/>
  <c i="18" r="W201"/>
  <c i="18" r="X201" s="1"/>
  <c i="18" r="W244"/>
  <c i="18" r="X244" s="1"/>
  <c i="18" r="W271"/>
  <c i="18" r="X271" s="1"/>
  <c i="18" r="W160"/>
  <c i="18" r="X160" s="1"/>
  <c i="18" r="W245"/>
  <c i="18" r="X245" s="1"/>
  <c i="18" r="W256"/>
  <c i="18" r="X256" s="1"/>
  <c i="18" r="W278"/>
  <c i="18" r="X278" s="1"/>
  <c i="18" r="W284"/>
  <c i="18" r="X284" s="1"/>
  <c i="18" r="W229"/>
  <c i="18" r="X229" s="1"/>
  <c i="18" r="X155"/>
  <c i="18" r="W257"/>
  <c i="18" r="X257" s="1"/>
  <c i="18" r="W272"/>
  <c i="18" r="X272" s="1"/>
  <c i="18" r="W96"/>
  <c i="18" r="X96" s="1"/>
  <c i="18" r="W219"/>
  <c i="18" r="X219" s="1"/>
  <c i="18" r="W224"/>
  <c i="18" r="X224" s="1"/>
  <c i="18" r="W236"/>
  <c i="18" r="X236" s="1"/>
  <c i="18" r="W295"/>
  <c i="18" r="X295" s="1"/>
  <c i="18" r="W251"/>
  <c i="18" r="X251" s="1"/>
  <c i="18" r="W273"/>
  <c i="18" r="X273" s="1"/>
  <c i="18" r="W157"/>
  <c i="18" r="X157" s="1"/>
  <c i="18" r="W220"/>
  <c i="18" r="X220" s="1"/>
  <c i="18" r="W252"/>
  <c i="18" r="X252" s="1"/>
  <c i="18" r="W296"/>
  <c i="18" r="X296" s="1"/>
  <c i="18" r="W253"/>
  <c i="18" r="X253" s="1"/>
  <c i="18" r="W205"/>
  <c i="18" r="X205" s="1"/>
  <c i="18" r="W221"/>
  <c i="18" r="X221" s="1"/>
  <c i="18" r="W184"/>
  <c i="18" r="X184" s="1"/>
  <c i="18" r="W232"/>
  <c i="18" r="X232" s="1"/>
  <c i="18" r="W132"/>
  <c i="18" r="X132" s="1"/>
  <c i="18" r="X275"/>
  <c i="18" r="W297"/>
  <c i="18" r="X297" s="1"/>
  <c i="4" l="1" r="Z55"/>
  <c i="6" r="AB80"/>
  <c i="10" r="I128"/>
  <c i="5" r="AF51"/>
  <c i="10" r="I126"/>
  <c i="4" r="Y56"/>
  <c i="4" r="AC55"/>
  <c i="10" r="I125"/>
  <c i="10" r="I132"/>
  <c i="6" r="Y32"/>
  <c i="4" r="AA20"/>
  <c i="10" r="I124"/>
  <c i="10" r="N93"/>
  <c i="9" r="R99"/>
  <c i="9" r="R94"/>
  <c i="3" r="Z10"/>
  <c i="9" r="R98"/>
  <c i="5" r="C52"/>
  <c i="5" r="M52"/>
  <c i="5" r="AC72"/>
  <c i="5" r="H63"/>
  <c i="5" r="F30"/>
  <c i="4" r="AE19"/>
  <c i="5" r="N52"/>
  <c i="3" r="Z12"/>
  <c i="3" r="Y16"/>
  <c i="5" r="AC49"/>
  <c i="5" r="AA17"/>
  <c i="5" r="R8"/>
  <c i="4" r="AE32"/>
  <c i="5" r="F74"/>
  <c i="5" r="X5"/>
  <c i="5" r="B30"/>
  <c i="4" r="X78"/>
  <c i="4" r="Z53"/>
  <c i="5" r="Y50"/>
  <c i="4" r="T21"/>
  <c i="4" r="AC18"/>
  <c i="2" r="AB8"/>
  <c i="2" r="AB5"/>
  <c i="6" r="Z65"/>
  <c i="10" r="Z81"/>
  <c i="6" r="AF18"/>
  <c i="4" r="Y77"/>
  <c i="7" r="L6"/>
  <c i="4" r="O9"/>
  <c i="6" r="E57"/>
  <c i="4" r="AA53"/>
  <c i="6" r="Y6"/>
  <c i="4" r="AD8"/>
  <c i="4" r="F9"/>
  <c i="6" r="X8"/>
  <c i="4" r="AC54"/>
  <c i="4" r="B21"/>
  <c i="5" r="O30"/>
  <c i="5" r="AC39"/>
  <c i="5" r="X50"/>
  <c i="10" r="AE42"/>
  <c i="5" r="AA49"/>
  <c i="6" r="Y66"/>
  <c i="6" r="E81"/>
  <c i="4" r="AE5"/>
  <c i="4" r="D69"/>
  <c i="6" r="X31"/>
  <c i="5" r="R52"/>
  <c i="3" r="AB9"/>
  <c i="3" r="AA17"/>
  <c i="5" r="AD38"/>
  <c i="4" r="Y44"/>
  <c i="5" r="AB72"/>
  <c i="4" r="AB31"/>
  <c i="5" r="Y27"/>
  <c i="3" r="AD10"/>
  <c i="10" r="N91"/>
  <c i="10" r="N84"/>
  <c i="3" r="AA16"/>
  <c i="10" r="N96"/>
  <c i="4" r="AA19"/>
  <c i="4" r="Q33"/>
  <c i="10" r="N92"/>
  <c i="10" r="N94"/>
  <c i="6" r="AD65"/>
  <c i="4" r="AC77"/>
  <c i="5" r="Y62"/>
  <c i="4" r="X41"/>
  <c i="6" r="AF8"/>
  <c i="3" r="AB16"/>
  <c i="4" r="AC79"/>
  <c i="6" r="AD55"/>
  <c i="4" r="AA56"/>
  <c i="4" r="AE78"/>
  <c i="8" r="P81"/>
  <c i="3" r="X17"/>
  <c i="6" r="AC43"/>
  <c i="2" r="X7"/>
  <c i="4" r="AA80"/>
  <c i="8" r="P82"/>
  <c i="6" r="AA6"/>
  <c i="6" r="AC55"/>
  <c i="8" r="P83"/>
  <c i="4" r="Z65"/>
  <c i="6" r="F81"/>
  <c i="4" r="AE56"/>
  <c i="8" r="P84"/>
  <c i="5" r="AB29"/>
  <c i="6" r="Z77"/>
  <c i="6" r="AF30"/>
  <c i="5" r="N8"/>
  <c i="9" r="C98"/>
  <c i="7" r="B9"/>
  <c i="5" r="B41"/>
  <c i="6" r="M21"/>
  <c i="5" r="D74"/>
  <c i="4" r="S33"/>
  <c i="4" r="H69"/>
  <c i="7" r="L8"/>
  <c i="3" r="X16"/>
  <c i="6" r="Z5"/>
  <c i="6" r="Y31"/>
  <c i="5" r="Z60"/>
  <c i="3" r="X15"/>
  <c i="4" r="Y20"/>
  <c i="4" r="AA79"/>
  <c i="5" r="AF71"/>
  <c i="6" r="AC77"/>
  <c i="10" r="O56"/>
  <c i="6" r="AF29"/>
  <c i="2" r="AA7"/>
  <c i="5" r="AD16"/>
  <c i="5" r="AC5"/>
  <c i="6" r="AE32"/>
  <c i="5" r="AC61"/>
  <c i="5" r="AF29"/>
  <c i="16" r="B121"/>
  <c i="9" r="AE47"/>
  <c i="8" r="P80"/>
  <c i="1" r="M66"/>
  <c i="6" r="AB6"/>
  <c i="6" r="Z66"/>
  <c i="3" r="Y8"/>
  <c i="4" r="E57"/>
  <c i="10" r="W131"/>
  <c i="6" r="Z18"/>
  <c i="4" r="AC7"/>
  <c i="6" r="F45"/>
  <c i="5" r="P74"/>
  <c i="6" r="R69"/>
  <c i="3" r="AC10"/>
  <c i="5" r="X72"/>
  <c i="3" r="AC17"/>
  <c i="4" r="AB80"/>
  <c i="8" r="D80"/>
  <c i="6" r="AF17"/>
  <c i="6" r="AD31"/>
  <c i="5" r="M8"/>
  <c i="4" r="AB44"/>
  <c i="5" r="E63"/>
  <c i="5" r="M41"/>
  <c i="5" r="X41" s="1"/>
  <c i="5" r="J41"/>
  <c i="4" r="AE77"/>
  <c i="5" r="AE28"/>
  <c i="5" r="AF6"/>
  <c i="4" r="AE79"/>
  <c i="4" r="AE30"/>
  <c i="6" r="AE20"/>
  <c i="4" r="AA67"/>
  <c i="4" r="P69"/>
  <c i="5" r="D8"/>
  <c i="5" r="Z8" s="1"/>
  <c i="5" r="AB38"/>
  <c i="2" r="AA8"/>
  <c i="5" r="F19"/>
  <c i="4" r="G69"/>
  <c i="3" r="AE12"/>
  <c i="4" r="AE17"/>
  <c i="9" r="Q129"/>
  <c i="3" r="X7"/>
  <c i="4" r="AA66"/>
  <c i="6" r="AB53"/>
  <c i="2" r="X5"/>
  <c i="4" r="AA65"/>
  <c i="4" r="AB6"/>
  <c i="5" r="Z7"/>
  <c i="6" r="AE19"/>
  <c i="4" r="R57"/>
  <c i="4" r="Y65"/>
  <c i="6" r="Q9"/>
  <c i="5" r="Y60"/>
  <c i="10" r="B90"/>
  <c i="10" r="B84"/>
  <c i="10" r="B93"/>
  <c i="9" r="R93"/>
  <c i="9" r="R97"/>
  <c i="6" r="C69"/>
  <c i="4" r="X32"/>
  <c i="2" r="Y6"/>
  <c i="6" r="X42"/>
  <c i="5" r="P30"/>
  <c i="6" r="Y65"/>
  <c i="4" r="J57"/>
  <c i="6" r="AD7"/>
  <c i="6" r="C57"/>
  <c i="4" r="AB55"/>
  <c i="4" r="O81"/>
  <c i="4" r="M33"/>
  <c i="3" r="E18"/>
  <c i="4" r="C9"/>
  <c i="5" r="AB39"/>
  <c i="5" r="AA60"/>
  <c i="6" r="AF42"/>
  <c i="3" r="AA12"/>
  <c i="3" r="AB6"/>
  <c i="6" r="D81"/>
  <c i="10" r="B60"/>
  <c i="3" r="Y10"/>
  <c i="4" r="E45"/>
  <c i="4" r="AB68"/>
  <c i="3" r="F18"/>
  <c i="9" r="C95"/>
  <c i="6" r="AB77"/>
  <c i="7" r="N19"/>
  <c i="5" r="AF38"/>
  <c i="6" r="AC80"/>
  <c i="7" r="L7"/>
  <c i="5" r="AF40"/>
  <c i="5" r="AA72"/>
  <c i="4" r="G21"/>
  <c i="10" r="AJ109"/>
  <c i="10" r="B97"/>
  <c i="9" r="C96"/>
  <c i="9" r="AA96" s="1"/>
  <c i="8" r="P79"/>
  <c i="3" r="AB8"/>
  <c i="4" r="AD78"/>
  <c i="9" r="R91"/>
  <c i="10" r="B95"/>
  <c i="10" r="Z95" s="1"/>
  <c i="9" r="C85"/>
  <c i="7" r="L20"/>
  <c i="6" r="AB8"/>
  <c i="4" r="AC66"/>
  <c i="6" r="AC42"/>
  <c i="9" r="C97"/>
  <c i="6" r="AE30"/>
  <c i="4" r="E9"/>
  <c i="10" r="B96"/>
  <c i="8" r="C52"/>
  <c i="9" r="C99"/>
  <c i="4" r="AD79"/>
  <c i="5" r="X73"/>
  <c i="4" r="AA8"/>
  <c i="6" r="AA78"/>
  <c i="9" r="R85"/>
  <c i="10" r="B98"/>
  <c i="10" r="B91"/>
  <c i="8" r="C53"/>
  <c i="9" r="C91"/>
  <c i="16" r="B120"/>
  <c i="8" r="P85"/>
  <c i="5" r="AD28"/>
  <c i="4" r="AA41"/>
  <c i="1" r="C14"/>
  <c i="10" r="B94"/>
  <c i="3" r="X14"/>
  <c i="6" r="Y43"/>
  <c i="6" r="Y55"/>
  <c i="9" r="C93"/>
  <c i="16" r="AA14"/>
  <c i="4" r="AA42"/>
  <c i="5" r="Z49"/>
  <c i="6" r="AB9"/>
  <c i="4" r="Y32"/>
  <c i="5" r="Y49"/>
  <c i="6" r="AF53"/>
  <c i="3" r="X13"/>
  <c i="5" r="AB61"/>
  <c i="4" r="AD43"/>
  <c i="6" r="AA31"/>
  <c i="5" r="E74"/>
  <c i="4" r="AE42"/>
  <c i="9" r="R96"/>
  <c i="5" r="Y52"/>
  <c i="6" r="AB79"/>
  <c i="3" r="AA14"/>
  <c i="6" r="AC17"/>
  <c i="3" r="AD5"/>
  <c i="6" r="Z6"/>
  <c i="6" r="E9"/>
  <c i="4" r="AC6"/>
  <c i="4" r="AE43"/>
  <c i="5" r="AE60"/>
  <c i="8" r="E81"/>
  <c i="8" r="E55"/>
  <c i="8" r="E23"/>
  <c i="5" r="G63"/>
  <c i="5" r="AC29"/>
  <c i="6" r="D57"/>
  <c i="4" r="S21"/>
  <c i="4" r="X29"/>
  <c i="8" r="E50"/>
  <c i="8" r="E51"/>
  <c i="8" r="E20"/>
  <c i="2" r="O9"/>
  <c i="2" r="Z9" s="1"/>
  <c i="5" r="AD40"/>
  <c i="8" r="E85"/>
  <c i="5" r="Z39"/>
  <c i="8" r="E53"/>
  <c i="8" r="E82"/>
  <c i="8" r="E24"/>
  <c i="8" r="Y24" s="1"/>
  <c i="8" r="E21"/>
  <c i="6" r="AE77"/>
  <c i="8" r="E52"/>
  <c i="6" r="AB18"/>
  <c i="6" r="J33"/>
  <c i="8" r="E79"/>
  <c i="6" r="M45"/>
  <c i="8" r="E25"/>
  <c i="4" r="AC67"/>
  <c i="6" r="AC31"/>
  <c i="8" r="E26"/>
  <c i="4" r="Y19"/>
  <c i="16" r="R121"/>
  <c i="9" r="B64"/>
  <c i="8" r="E56"/>
  <c i="4" r="AE8"/>
  <c i="8" r="E83"/>
  <c i="4" r="H57"/>
  <c i="6" r="AC65"/>
  <c i="8" r="E80"/>
  <c i="8" r="E54"/>
  <c i="5" r="Z5"/>
  <c i="9" r="C94"/>
  <c i="8" r="G52"/>
  <c i="5" r="AB18"/>
  <c i="6" r="Y53"/>
  <c i="5" r="AB17"/>
  <c i="4" r="AC30"/>
  <c i="6" r="F57"/>
  <c i="5" r="AE50"/>
  <c i="6" r="AE67"/>
  <c i="4" r="AD29"/>
  <c i="2" r="F9"/>
  <c i="5" r="AA16"/>
  <c i="4" r="AD68"/>
  <c i="4" r="AB17"/>
  <c i="8" r="E49"/>
  <c i="4" r="AC17"/>
  <c i="4" r="AC20"/>
  <c i="4" r="B9"/>
  <c i="5" r="AA74"/>
  <c i="4" r="D21"/>
  <c i="6" r="H9"/>
  <c i="5" r="AA7"/>
  <c i="6" r="B45"/>
  <c i="6" r="X45" s="1"/>
  <c i="4" r="F69"/>
  <c i="2" r="R9"/>
  <c i="4" r="AA32"/>
  <c i="6" r="AB43"/>
  <c i="2" r="P9"/>
  <c i="6" r="AA20"/>
  <c i="5" r="AA27"/>
  <c i="5" r="AB6"/>
  <c i="4" r="AE67"/>
  <c i="9" r="C57"/>
  <c i="8" r="E22"/>
  <c i="4" r="R21"/>
  <c i="4" r="E33"/>
  <c i="5" r="N41"/>
  <c i="4" r="X79"/>
  <c i="2" r="C9"/>
  <c i="6" r="M57"/>
  <c i="5" r="AF49"/>
  <c i="6" r="Z56"/>
  <c i="4" r="B81"/>
  <c i="5" r="AF17"/>
  <c i="1" r="G52"/>
  <c i="2" r="AB7"/>
  <c i="16" r="E22"/>
  <c i="10" r="V29"/>
  <c i="10" r="V28"/>
  <c i="10" r="V27"/>
  <c i="10" r="V26"/>
  <c i="10" r="V25"/>
  <c i="10" r="V24"/>
  <c i="10" r="V23"/>
  <c i="10" r="V22"/>
  <c i="5" r="AA71"/>
  <c i="6" r="AC78"/>
  <c i="3" r="Y12"/>
  <c i="4" r="X5"/>
  <c i="6" r="C9"/>
  <c i="4" r="R9"/>
  <c i="4" r="AC78"/>
  <c i="1" r="E24"/>
  <c i="20" r="I12"/>
  <c i="1" r="G51"/>
  <c i="5" r="E30"/>
  <c i="5" r="AA6"/>
  <c i="18" r="D139"/>
  <c i="5" r="AA28"/>
  <c i="6" r="AF56"/>
  <c i="9" r="B57"/>
  <c i="2" r="AC8"/>
  <c i="6" r="B33"/>
  <c i="5" r="U74"/>
  <c i="7" r="M20"/>
  <c i="10" r="J29"/>
  <c i="10" r="J28"/>
  <c i="10" r="J27"/>
  <c i="10" r="J26"/>
  <c i="10" r="J25"/>
  <c i="10" r="J24"/>
  <c i="10" r="J23"/>
  <c i="10" r="J22"/>
  <c i="5" r="O41"/>
  <c i="5" r="D19"/>
  <c i="5" r="Z19" s="1"/>
  <c i="5" r="F52"/>
  <c i="4" r="AB43"/>
  <c i="9" r="O58"/>
  <c i="6" r="AE31"/>
  <c i="6" r="AF20"/>
  <c i="3" r="AA11"/>
  <c i="3" r="Z7"/>
  <c i="4" r="AC29"/>
  <c i="3" r="AC5"/>
  <c i="9" r="AJ113"/>
  <c i="6" r="X7"/>
  <c i="5" r="X51"/>
  <c i="9" r="V30"/>
  <c i="9" r="V29"/>
  <c i="9" r="V28"/>
  <c i="9" r="AH28" s="1"/>
  <c i="9" r="V27"/>
  <c i="9" r="V26"/>
  <c i="9" r="V25"/>
  <c i="9" r="V24"/>
  <c i="9" r="V23"/>
  <c i="7" r="N18"/>
  <c i="6" r="X53"/>
  <c i="4" r="Y31"/>
  <c i="6" r="AB54"/>
  <c i="17" r="N33"/>
  <c i="5" r="C8"/>
  <c i="1" r="G55"/>
  <c i="1" r="E23"/>
  <c i="6" r="AA43"/>
  <c i="2" r="AA6"/>
  <c i="1" r="G79"/>
  <c i="5" r="O63"/>
  <c i="10" r="AJ113"/>
  <c i="9" r="J26"/>
  <c i="9" r="J23"/>
  <c i="9" r="J28"/>
  <c i="9" r="J29"/>
  <c i="9" r="J27"/>
  <c i="9" r="J30"/>
  <c i="9" r="J25"/>
  <c i="9" r="J24"/>
  <c i="5" r="Y39"/>
  <c i="4" r="AD67"/>
  <c i="7" r="N22"/>
  <c i="4" r="X43"/>
  <c i="6" r="AA42"/>
  <c i="4" r="AD31"/>
  <c i="9" r="O57"/>
  <c i="4" r="U79"/>
  <c i="9" r="O60"/>
  <c i="9" r="AA60" s="1"/>
  <c i="2" r="B9"/>
  <c i="9" r="C24"/>
  <c i="16" r="B27"/>
  <c i="6" r="N9"/>
  <c i="10" r="Q25"/>
  <c i="5" r="AE40"/>
  <c i="4" r="Z31"/>
  <c i="16" r="J120"/>
  <c i="8" r="F23"/>
  <c i="8" r="D49"/>
  <c i="2" r="AC7"/>
  <c i="8" r="G55"/>
  <c i="6" r="AF65"/>
  <c i="4" r="Q9"/>
  <c i="4" r="AB9" s="1"/>
  <c i="5" r="S19"/>
  <c i="4" r="J43"/>
  <c i="7" r="M21"/>
  <c i="3" r="AB12"/>
  <c i="10" r="O129"/>
  <c i="3" r="AB7"/>
  <c i="10" r="U129"/>
  <c i="10" r="AG129" s="1"/>
  <c i="3" r="Y13"/>
  <c i="5" r="AA62"/>
  <c i="5" r="AF62"/>
  <c i="6" r="AD8"/>
  <c i="5" r="AB49"/>
  <c i="5" r="Y16"/>
  <c i="6" r="D9"/>
  <c i="4" r="P33"/>
  <c i="3" r="Y11"/>
  <c i="5" r="E8"/>
  <c i="5" r="AA8" s="1"/>
  <c i="6" r="F33"/>
  <c i="4" r="C33"/>
  <c i="6" r="AE18"/>
  <c i="4" r="Y17"/>
  <c i="4" r="H81"/>
  <c i="4" r="AD81" s="1"/>
  <c i="16" r="C118"/>
  <c i="17" r="D76"/>
  <c i="5" r="AC7"/>
  <c i="4" r="AC19"/>
  <c i="9" r="I30"/>
  <c i="9" r="I29"/>
  <c i="9" r="AG29" s="1"/>
  <c i="5" r="Z38"/>
  <c i="5" r="J74"/>
  <c i="4" r="Q45"/>
  <c i="1" r="C27"/>
  <c i="1" r="H71" s="1"/>
  <c i="10" r="O127"/>
  <c i="9" r="B27"/>
  <c i="6" r="AD41"/>
  <c i="6" r="AD44"/>
  <c i="4" r="AA68"/>
  <c i="4" r="AE18"/>
  <c i="10" r="I26"/>
  <c i="9" r="O28"/>
  <c i="18" r="F56"/>
  <c i="19" r="C23" s="1"/>
  <c i="4" r="E21"/>
  <c i="4" r="AA21" s="1"/>
  <c i="5" r="AC16"/>
  <c i="5" r="AF7"/>
  <c i="5" r="AD61"/>
  <c i="4" r="AB7"/>
  <c i="4" r="AB32"/>
  <c i="7" r="N20"/>
  <c i="6" r="AB30"/>
  <c i="16" r="R119"/>
  <c i="9" r="Q125"/>
  <c i="4" r="AD77"/>
  <c i="4" r="AA29"/>
  <c i="6" r="AB17"/>
  <c i="6" r="C81"/>
  <c i="6" r="Y81" s="1"/>
  <c i="16" r="T118"/>
  <c i="4" r="Y29"/>
  <c i="5" r="AA5"/>
  <c i="9" r="D23"/>
  <c i="9" r="D31"/>
  <c i="9" r="D16"/>
  <c i="3" r="AD14"/>
  <c i="6" r="Z7"/>
  <c i="6" r="Z68"/>
  <c i="18" r="E56"/>
  <c i="19" r="C22" s="1"/>
  <c i="5" r="AE7"/>
  <c i="16" r="D91"/>
  <c i="16" r="N54"/>
  <c i="10" r="O24"/>
  <c i="6" r="X41"/>
  <c i="2" r="U9"/>
  <c i="6" r="AA19"/>
  <c i="9" r="D26"/>
  <c i="9" r="Q51"/>
  <c i="5" r="AA51"/>
  <c i="4" r="Y53"/>
  <c i="5" r="AB7"/>
  <c i="5" r="P52"/>
  <c i="5" r="H74"/>
  <c i="4" r="B69"/>
  <c i="5" r="J63"/>
  <c i="6" r="E33"/>
  <c i="4" r="AD6"/>
  <c i="4" r="AC32"/>
  <c i="6" r="N45"/>
  <c i="4" r="G81"/>
  <c i="4" r="F81"/>
  <c i="4" r="H33"/>
  <c i="9" r="D30"/>
  <c i="6" r="E69"/>
  <c i="4" r="B57"/>
  <c i="4" r="AB19"/>
  <c i="10" r="D97"/>
  <c i="10" r="Q22"/>
  <c i="9" r="D28"/>
  <c i="9" r="Q64"/>
  <c i="6" r="P81"/>
  <c i="6" r="AA81" s="1"/>
  <c i="5" r="AA39"/>
  <c i="5" r="M30"/>
  <c i="4" r="AD19"/>
  <c i="4" r="AD65"/>
  <c i="4" r="F45"/>
  <c i="5" r="C19"/>
  <c i="5" r="Y19" s="1"/>
  <c i="6" r="U81"/>
  <c i="4" r="Y7"/>
  <c i="5" r="C74"/>
  <c i="6" r="E21"/>
  <c i="4" r="AD56"/>
  <c i="2" r="I9"/>
  <c i="9" r="Q62"/>
  <c i="5" r="AD49"/>
  <c i="4" r="D81"/>
  <c i="9" r="D29"/>
  <c i="6" r="AC7"/>
  <c i="3" r="AB11"/>
  <c i="6" r="Y42"/>
  <c i="5" r="Z62"/>
  <c i="5" r="Z6"/>
  <c i="4" r="Y80"/>
  <c i="5" r="AC71"/>
  <c i="4" r="AB53"/>
  <c i="4" r="AB79"/>
  <c i="5" r="U63"/>
  <c i="5" r="S74"/>
  <c i="2" r="S9"/>
  <c i="5" r="H52"/>
  <c i="5" r="I74"/>
  <c i="16" r="Q120"/>
  <c i="9" r="AC116"/>
  <c i="9" r="D25"/>
  <c i="9" r="AJ108"/>
  <c i="7" r="C9"/>
  <c i="6" r="O33"/>
  <c i="6" r="Z33" s="1"/>
  <c i="5" r="R30"/>
  <c i="5" r="X40"/>
  <c i="6" r="Y17"/>
  <c i="10" r="U126"/>
  <c i="10" r="AG126" s="1"/>
  <c i="10" r="AA15"/>
  <c i="9" r="D27"/>
  <c i="9" r="Q133"/>
  <c i="6" r="H33"/>
  <c i="1" r="B14"/>
  <c i="2" r="J9"/>
  <c i="3" r="I18"/>
  <c i="4" r="AD66"/>
  <c i="3" r="AD15"/>
  <c i="2" r="D9"/>
  <c i="6" r="AC5"/>
  <c i="6" r="AD32"/>
  <c i="6" r="Z8"/>
  <c i="3" r="AC12"/>
  <c i="5" r="X18"/>
  <c i="9" r="F96"/>
  <c i="9" r="AD96" s="1"/>
  <c i="4" r="AD17"/>
  <c i="2" r="AF8"/>
  <c i="6" r="R33"/>
  <c i="5" r="I19"/>
  <c i="5" r="AE19" s="1"/>
  <c i="5" r="AD6"/>
  <c i="10" r="B50"/>
  <c i="1" r="O71"/>
  <c i="5" r="AF61"/>
  <c i="6" r="M69"/>
  <c i="6" r="X69" s="1"/>
  <c i="6" r="I9"/>
  <c i="4" r="Q21"/>
  <c i="6" r="J57"/>
  <c i="6" r="G9"/>
  <c i="4" r="AB78"/>
  <c i="2" r="AD7"/>
  <c i="6" r="AF77"/>
  <c i="5" r="AE29"/>
  <c i="3" r="Y6"/>
  <c i="4" r="J66"/>
  <c i="10" r="D28"/>
  <c i="10" r="B57"/>
  <c i="6" r="N69"/>
  <c i="4" r="J65"/>
  <c i="16" r="Q87"/>
  <c i="9" r="P128"/>
  <c i="4" r="X67"/>
  <c i="4" r="J68"/>
  <c i="3" r="AA10"/>
  <c i="5" r="H8"/>
  <c i="5" r="AD8" s="1"/>
  <c i="16" r="D90"/>
  <c i="16" r="D89"/>
  <c i="6" r="T81"/>
  <c i="6" r="AE81" s="1"/>
  <c i="4" r="AD30"/>
  <c i="5" r="Z18"/>
  <c i="4" r="H21"/>
  <c i="4" r="X54"/>
  <c i="5" r="AB50"/>
  <c i="4" r="C69"/>
  <c i="16" r="AB14"/>
  <c i="16" r="D56"/>
  <c i="4" r="N9"/>
  <c i="4" r="Y9" s="1"/>
  <c i="4" r="AB42"/>
  <c i="2" r="Q9"/>
  <c i="2" r="AB9" s="1"/>
  <c i="5" r="AC18"/>
  <c i="6" r="X43"/>
  <c i="4" r="I21"/>
  <c i="4" r="AE21" s="1"/>
  <c i="16" r="S119"/>
  <c i="6" r="AA5"/>
  <c i="1" r="O69"/>
  <c i="6" r="Z30"/>
  <c i="7" r="M6"/>
  <c i="6" r="Z44"/>
  <c i="6" r="AC18"/>
  <c i="6" r="U45"/>
  <c i="5" r="E41"/>
  <c i="4" r="T81"/>
  <c i="10" r="S125"/>
  <c i="1" r="O67"/>
  <c i="1" r="O64"/>
  <c i="4" r="O33"/>
  <c i="3" r="Z11"/>
  <c i="3" r="Y14"/>
  <c i="16" r="D55"/>
  <c i="1" r="O65"/>
  <c i="1" r="O68"/>
  <c i="7" r="N16"/>
  <c i="5" r="S52"/>
  <c i="7" r="M8"/>
  <c i="5" r="AC60"/>
  <c i="6" r="T9"/>
  <c i="6" r="F21"/>
  <c i="4" r="F57"/>
  <c i="4" r="AB57" s="1"/>
  <c i="4" r="N81"/>
  <c i="10" r="AG131"/>
  <c i="9" r="E97"/>
  <c i="1" r="O66"/>
  <c i="6" r="S21"/>
  <c i="6" r="AA66"/>
  <c i="5" r="AD17"/>
  <c i="5" r="AC62"/>
  <c i="6" r="AA18"/>
  <c i="5" r="Z28"/>
  <c i="16" r="D88"/>
  <c i="1" r="O70"/>
  <c i="6" r="X32"/>
  <c i="4" r="AA44"/>
  <c i="4" r="C21"/>
  <c i="4" r="AB8"/>
  <c i="9" r="AI13"/>
  <c i="6" r="Y44"/>
  <c i="6" r="X6"/>
  <c i="3" r="G18"/>
  <c i="4" r="P57"/>
  <c i="4" r="Z68"/>
  <c i="6" r="B21"/>
  <c i="19" r="Z58"/>
  <c i="5" r="R74"/>
  <c i="5" r="AC74" s="1"/>
  <c i="4" r="N69"/>
  <c i="4" r="R33"/>
  <c i="4" r="N21"/>
  <c i="5" r="X28"/>
  <c i="5" r="AD71"/>
  <c i="4" r="O45"/>
  <c i="10" r="B56"/>
  <c i="9" r="N60"/>
  <c i="9" r="Z60" s="1"/>
  <c i="5" r="AA50"/>
  <c i="4" r="AC80"/>
  <c i="5" r="Y73"/>
  <c i="6" r="S9"/>
  <c i="4" r="E81"/>
  <c i="5" r="AA40"/>
  <c i="5" r="Y72"/>
  <c i="4" r="AE31"/>
  <c i="5" r="T63"/>
  <c i="5" r="Y18"/>
  <c i="19" r="AA14"/>
  <c i="6" r="Y5"/>
  <c i="7" r="G9"/>
  <c i="7" r="L9" s="1"/>
  <c i="10" r="B63"/>
  <c i="10" r="B64"/>
  <c i="6" r="AA30"/>
  <c i="4" r="M81"/>
  <c i="4" r="X81" s="1"/>
  <c i="10" r="B59"/>
  <c i="5" r="Y17"/>
  <c i="3" r="C18"/>
  <c i="4" r="S57"/>
  <c i="10" r="B62"/>
  <c i="10" r="Z62" s="1"/>
  <c i="5" r="H30"/>
  <c i="3" r="AA13"/>
  <c i="7" r="L18"/>
  <c i="6" r="AA32"/>
  <c i="5" r="N30"/>
  <c i="4" r="I57"/>
  <c i="6" r="AB32"/>
  <c i="6" r="AF19"/>
  <c i="4" r="S9"/>
  <c i="5" r="Y6"/>
  <c i="2" r="AE8"/>
  <c i="6" r="Y77"/>
  <c i="5" r="E19"/>
  <c i="5" r="AA19" s="1"/>
  <c i="10" r="B58"/>
  <c i="9" r="F97"/>
  <c i="7" r="M7"/>
  <c i="6" r="AA17"/>
  <c i="5" r="F63"/>
  <c i="4" r="I33"/>
  <c i="6" r="I57"/>
  <c i="4" r="AC65"/>
  <c i="4" r="Z67"/>
  <c i="5" r="AD7"/>
  <c i="5" r="AD73"/>
  <c i="6" r="AD29"/>
  <c i="4" r="Z66"/>
  <c i="6" r="AB67"/>
  <c i="5" r="I52"/>
  <c i="5" r="AE52" s="1"/>
  <c i="1" r="H38"/>
  <c i="1" r="H41"/>
  <c i="1" r="H34"/>
  <c i="1" r="H35"/>
  <c i="1" r="H26"/>
  <c i="16" r="T120"/>
  <c i="10" r="H129"/>
  <c i="9" r="P131"/>
  <c i="9" r="E31"/>
  <c i="5" r="T41"/>
  <c i="16" r="N91"/>
  <c i="9" r="E26"/>
  <c i="4" r="M57"/>
  <c i="9" r="W27"/>
  <c i="5" r="U52"/>
  <c i="6" r="AE53"/>
  <c i="4" r="M9"/>
  <c i="4" r="I9"/>
  <c i="4" r="X77"/>
  <c i="10" r="C23"/>
  <c i="9" r="B126"/>
  <c i="9" r="W25"/>
  <c i="5" r="S63"/>
  <c i="5" r="AD63" s="1"/>
  <c i="5" r="Q41"/>
  <c i="5" r="AB41" s="1"/>
  <c i="2" r="E9"/>
  <c i="6" r="T57"/>
  <c i="9" r="P125"/>
  <c i="9" r="AB125" s="1"/>
  <c i="8" r="S85"/>
  <c i="9" r="E28"/>
  <c i="9" r="AC28" s="1"/>
  <c i="6" r="T45"/>
  <c i="8" r="S84"/>
  <c i="8" r="Q54"/>
  <c i="5" r="Y28"/>
  <c i="4" r="I45"/>
  <c i="6" r="T21"/>
  <c i="10" r="H118"/>
  <c i="8" r="S82"/>
  <c i="8" r="Q53"/>
  <c i="9" r="W30"/>
  <c i="5" r="AA18"/>
  <c i="5" r="I8"/>
  <c i="5" r="AE8" s="1"/>
  <c i="8" r="S81"/>
  <c i="9" r="P129"/>
  <c i="9" r="W26"/>
  <c i="5" r="B52"/>
  <c i="5" r="X52" s="1"/>
  <c i="8" r="G83"/>
  <c i="5" r="B63"/>
  <c i="8" r="S80"/>
  <c i="9" r="E27"/>
  <c i="8" r="G80"/>
  <c i="10" r="AE46"/>
  <c i="5" r="M63"/>
  <c i="5" r="G52"/>
  <c i="5" r="AC52" s="1"/>
  <c i="8" r="S79"/>
  <c i="4" r="P81"/>
  <c i="5" r="AF73"/>
  <c i="6" r="Z55"/>
  <c i="6" r="AA41"/>
  <c i="6" r="H69"/>
  <c i="4" r="M45"/>
  <c i="4" r="Q81"/>
  <c i="4" r="AB81" s="1"/>
  <c i="4" r="AB54"/>
  <c i="16" r="C123"/>
  <c i="16" r="W23"/>
  <c i="10" r="H125"/>
  <c i="10" r="AF125" s="1"/>
  <c i="9" r="W28"/>
  <c i="5" r="AF27"/>
  <c i="6" r="P33"/>
  <c i="5" r="E52"/>
  <c i="4" r="I81"/>
  <c i="6" r="AD54"/>
  <c i="16" r="G118"/>
  <c i="9" r="E30"/>
  <c i="9" r="E23"/>
  <c i="8" r="G86"/>
  <c i="8" r="G51"/>
  <c i="8" r="H55"/>
  <c i="6" r="Z53"/>
  <c i="4" r="AE80"/>
  <c i="2" r="T9"/>
  <c i="6" r="I21"/>
  <c i="5" r="B19"/>
  <c i="5" r="X19" s="1"/>
  <c i="4" r="N57"/>
  <c i="9" r="O59"/>
  <c i="4" r="AC57"/>
  <c i="8" r="Y72"/>
  <c i="5" r="Z61"/>
  <c i="6" r="H81"/>
  <c i="4" r="AD7"/>
  <c i="6" r="G33"/>
  <c i="5" r="F8"/>
  <c i="5" r="AB8" s="1"/>
  <c i="4" r="H9"/>
  <c i="3" r="AA9"/>
  <c i="9" r="P126"/>
  <c i="10" r="H127"/>
  <c i="9" r="O65"/>
  <c i="9" r="AA65" s="1"/>
  <c i="6" r="T33"/>
  <c i="6" r="AE33" s="1"/>
  <c i="4" r="C81"/>
  <c i="9" r="W29"/>
  <c i="8" r="M25"/>
  <c i="8" r="W25" s="1"/>
  <c i="9" r="O61"/>
  <c i="5" r="T74"/>
  <c i="6" r="R45"/>
  <c i="6" r="AC45" s="1"/>
  <c i="6" r="I45"/>
  <c i="3" r="T18"/>
  <c i="4" r="R45"/>
  <c i="4" r="AC45" s="1"/>
  <c i="17" r="M44"/>
  <c i="9" r="W16"/>
  <c i="8" r="R55"/>
  <c i="8" r="M24"/>
  <c i="9" r="O64"/>
  <c i="9" r="W24"/>
  <c i="5" r="AE16"/>
  <c i="5" r="I41"/>
  <c i="10" r="U128"/>
  <c i="10" r="AG128" s="1"/>
  <c i="10" r="I25"/>
  <c i="10" r="AG117"/>
  <c i="10" r="H128"/>
  <c i="10" r="K30"/>
  <c i="9" r="D93"/>
  <c i="8" r="M23"/>
  <c i="6" r="AC6"/>
  <c i="6" r="AF44"/>
  <c i="4" r="I69"/>
  <c i="4" r="AE69" s="1"/>
  <c i="4" r="T57"/>
  <c i="16" r="B119"/>
  <c i="16" r="Z119" s="1"/>
  <c i="16" r="N90"/>
  <c i="10" r="U27"/>
  <c i="19" r="AA58"/>
  <c i="9" r="P130"/>
  <c i="8" r="G24"/>
  <c i="5" r="B8"/>
  <c i="5" r="X8" s="1"/>
  <c i="6" r="P21"/>
  <c i="3" r="AA15"/>
  <c i="6" r="D69"/>
  <c i="5" r="I63"/>
  <c i="4" r="AC68"/>
  <c i="10" r="H124"/>
  <c i="9" r="E24"/>
  <c i="9" r="W23"/>
  <c i="9" r="AM13"/>
  <c i="6" r="Z41"/>
  <c i="7" r="N7"/>
  <c i="4" r="AD32"/>
  <c i="5" r="T30"/>
  <c i="10" r="H130"/>
  <c i="9" r="P127"/>
  <c i="8" r="G53"/>
  <c i="8" r="H83"/>
  <c i="5" r="AA29"/>
  <c i="4" r="N33"/>
  <c i="6" r="AF41"/>
  <c i="7" r="N5"/>
  <c i="4" r="T33"/>
  <c i="10" r="H132"/>
  <c i="19" r="AK14"/>
  <c i="9" r="P119"/>
  <c i="8" r="G50"/>
  <c i="8" r="G79"/>
  <c i="8" r="G84"/>
  <c i="8" r="AA84" s="1"/>
  <c i="6" r="Q33"/>
  <c i="3" r="Z17"/>
  <c i="18" r="C139"/>
  <c i="6" r="U69"/>
  <c i="6" r="T69"/>
  <c i="6" r="AE69" s="1"/>
  <c i="6" r="M33"/>
  <c i="6" r="AD5"/>
  <c i="10" r="H126"/>
  <c i="9" r="P132"/>
  <c i="8" r="G81"/>
  <c i="4" r="P45"/>
  <c i="4" r="AA45" s="1"/>
  <c i="4" r="M69"/>
  <c i="3" r="D18"/>
  <c i="4" r="Y54"/>
  <c i="5" r="Z40"/>
  <c i="6" r="J69"/>
  <c i="4" r="J21"/>
  <c i="6" r="R21"/>
  <c i="3" r="X9"/>
  <c i="5" r="AC73"/>
  <c i="4" r="Y78"/>
  <c i="16" r="D53"/>
  <c i="16" r="N24"/>
  <c i="16" r="T122"/>
  <c i="10" r="N130"/>
  <c i="10" r="Z98"/>
  <c i="9" r="C30"/>
  <c i="9" r="O62"/>
  <c i="3" r="X11"/>
  <c i="4" r="X30"/>
  <c i="3" r="AC14"/>
  <c i="3" r="Y9"/>
  <c i="4" r="O21"/>
  <c i="4" r="T9"/>
  <c i="10" r="Z91"/>
  <c i="9" r="E29"/>
  <c i="9" r="D92"/>
  <c i="4" r="T45"/>
  <c i="9" r="D62"/>
  <c i="9" r="E16"/>
  <c i="6" r="O57"/>
  <c i="17" r="C1"/>
  <c i="17" r="D194" s="1"/>
  <c i="7" r="H23"/>
  <c i="4" r="F21"/>
  <c i="4" r="B45"/>
  <c i="3" r="AC6"/>
  <c i="4" r="X65"/>
  <c i="10" r="D57"/>
  <c i="10" r="D50"/>
  <c i="8" r="Q52"/>
  <c i="8" r="AA52" s="1"/>
  <c i="8" r="C51"/>
  <c i="4" r="Z80"/>
  <c i="4" r="G33"/>
  <c i="4" r="AC33" s="1"/>
  <c i="4" r="H45"/>
  <c i="3" r="O18"/>
  <c i="16" r="Q25"/>
  <c i="9" r="C64"/>
  <c i="8" r="Q51"/>
  <c i="7" r="I9"/>
  <c i="4" r="E69"/>
  <c i="4" r="AA69" s="1"/>
  <c i="10" r="G25"/>
  <c i="9" r="C63"/>
  <c i="9" r="AA63" s="1"/>
  <c i="8" r="C85"/>
  <c i="8" r="C50"/>
  <c i="4" r="X42"/>
  <c i="3" r="N18"/>
  <c i="5" r="AC50"/>
  <c i="8" r="C84"/>
  <c i="6" r="Y30"/>
  <c i="3" r="AC16"/>
  <c i="4" r="Y55"/>
  <c i="16" r="O26"/>
  <c i="10" r="P125"/>
  <c i="8" r="C83"/>
  <c i="8" r="H85"/>
  <c i="5" r="AD50"/>
  <c i="4" r="R69"/>
  <c i="4" r="AC69" s="1"/>
  <c i="6" r="R81"/>
  <c i="8" r="C82"/>
  <c i="8" r="H82"/>
  <c i="3" r="Z15"/>
  <c i="5" r="AD72"/>
  <c i="9" r="S129"/>
  <c i="10" r="D62"/>
  <c i="8" r="C81"/>
  <c i="8" r="H79"/>
  <c i="8" r="AB79" s="1"/>
  <c i="2" r="AC9"/>
  <c i="9" r="AA48"/>
  <c i="5" r="D30"/>
  <c i="5" r="Z30" s="1"/>
  <c i="4" r="C45"/>
  <c i="3" r="S18"/>
  <c i="5" r="U8"/>
  <c i="5" r="AF8" s="1"/>
  <c i="6" r="AE6"/>
  <c i="8" r="C80"/>
  <c i="5" r="X16"/>
  <c i="6" r="X29"/>
  <c i="16" r="B54"/>
  <c i="8" r="C79"/>
  <c i="8" r="W79" s="1"/>
  <c i="8" r="H86"/>
  <c i="5" r="D41"/>
  <c i="4" r="B33"/>
  <c i="7" r="C23"/>
  <c i="16" r="V119"/>
  <c i="10" r="S130"/>
  <c i="10" r="AE130" s="1"/>
  <c i="8" r="R20"/>
  <c i="8" r="C19"/>
  <c i="5" r="AC17"/>
  <c i="9" r="B61"/>
  <c i="8" r="L55"/>
  <c i="6" r="AC20"/>
  <c i="6" r="M9"/>
  <c i="5" r="Z27"/>
  <c i="5" r="H19"/>
  <c i="16" r="Q23"/>
  <c i="4" r="AD33"/>
  <c i="6" r="H45"/>
  <c i="4" r="S45"/>
  <c i="4" r="AA57"/>
  <c i="3" r="Q18"/>
  <c i="3" r="AB18" s="1"/>
  <c i="4" r="N45"/>
  <c i="5" r="AD5"/>
  <c i="4" r="X80"/>
  <c i="16" r="Q24"/>
  <c i="10" r="N125"/>
  <c i="10" r="U26"/>
  <c i="10" r="AG26" s="1"/>
  <c i="9" r="V126"/>
  <c i="6" r="J45"/>
  <c i="6" r="O9"/>
  <c i="6" r="Z9" s="1"/>
  <c i="6" r="Z43"/>
  <c i="6" r="Y79"/>
  <c i="17" r="N42"/>
  <c i="9" r="B132"/>
  <c i="9" r="P93"/>
  <c i="9" r="Q132"/>
  <c i="8" r="H52"/>
  <c i="3" r="AB14"/>
  <c i="4" r="AC42"/>
  <c i="16" r="Q26"/>
  <c i="19" r="AC54"/>
  <c i="8" r="C21"/>
  <c i="6" r="B81"/>
  <c i="6" r="X81" s="1"/>
  <c i="5" r="AA38"/>
  <c i="6" r="Z67"/>
  <c i="10" r="D61"/>
  <c i="10" r="AB61" s="1"/>
  <c i="9" r="C51"/>
  <c i="8" r="C24"/>
  <c i="5" r="Q19"/>
  <c i="5" r="AB19" s="1"/>
  <c i="6" r="AC32"/>
  <c i="4" r="C57"/>
  <c i="16" r="V122"/>
  <c i="9" r="C59"/>
  <c i="8" r="H49"/>
  <c i="8" r="C20"/>
  <c i="4" r="AB77"/>
  <c i="3" r="X12"/>
  <c i="16" r="E21"/>
  <c i="10" r="R29"/>
  <c i="9" r="Q93"/>
  <c i="9" r="C61"/>
  <c i="8" r="C56"/>
  <c i="8" r="C23"/>
  <c i="6" r="O21"/>
  <c i="2" r="AF6"/>
  <c i="2" r="M9"/>
  <c i="2" r="X9" s="1"/>
  <c i="5" r="X61"/>
  <c i="10" r="D58"/>
  <c i="9" r="B125"/>
  <c i="9" r="Z125" s="1"/>
  <c i="9" r="B59"/>
  <c i="8" r="C49"/>
  <c i="8" r="C26"/>
  <c i="3" r="AD16"/>
  <c i="5" r="AF16"/>
  <c i="2" r="AF5"/>
  <c i="3" r="Z6"/>
  <c i="3" r="AE16"/>
  <c i="6" r="Y56"/>
  <c i="6" r="E45"/>
  <c i="6" r="N21"/>
  <c i="5" r="Q30"/>
  <c i="5" r="AB30" s="1"/>
  <c i="6" r="AD68"/>
  <c i="6" r="J21"/>
  <c i="9" r="G29"/>
  <c i="10" r="D64"/>
  <c i="9" r="B26"/>
  <c i="8" r="H54"/>
  <c i="8" r="AB54" s="1"/>
  <c i="6" r="J9"/>
  <c i="4" r="D9"/>
  <c i="4" r="Z9" s="1"/>
  <c i="2" r="Z5"/>
  <c i="3" r="AE15"/>
  <c i="6" r="O81"/>
  <c i="6" r="Z81" s="1"/>
  <c i="4" r="O69"/>
  <c i="4" r="Z69" s="1"/>
  <c i="16" r="N25"/>
  <c i="10" r="O96"/>
  <c i="10" r="D63"/>
  <c i="8" r="G25"/>
  <c i="4" r="M21"/>
  <c i="4" r="X21" s="1"/>
  <c i="6" r="Z54"/>
  <c i="4" r="Z8"/>
  <c i="6" r="AE43"/>
  <c i="7" r="B23"/>
  <c i="6" r="S57"/>
  <c i="10" r="E28"/>
  <c i="10" r="O94"/>
  <c i="9" r="O97"/>
  <c i="9" r="AA97" s="1"/>
  <c i="8" r="C86"/>
  <c i="8" r="H51"/>
  <c i="4" r="Z7"/>
  <c i="4" r="AE68"/>
  <c i="7" r="N6"/>
  <c i="6" r="N33"/>
  <c i="5" r="AB62"/>
  <c i="16" r="E27"/>
  <c i="16" r="AC27" s="1"/>
  <c i="10" r="R23"/>
  <c i="10" r="AD23" s="1"/>
  <c i="10" r="D56"/>
  <c i="9" r="P91"/>
  <c i="9" r="Q130"/>
  <c i="8" r="G56"/>
  <c i="8" r="C55"/>
  <c i="5" r="U41"/>
  <c i="3" r="P18"/>
  <c i="6" r="Y20"/>
  <c i="17" r="G34"/>
  <c i="10" r="R25"/>
  <c i="9" r="C62"/>
  <c i="9" r="F93"/>
  <c i="8" r="Q55"/>
  <c i="9" r="Q128"/>
  <c i="8" r="C54"/>
  <c i="9" r="D24"/>
  <c i="6" r="B57"/>
  <c i="6" r="X57" s="1"/>
  <c i="6" r="G69"/>
  <c i="6" r="AC69" s="1"/>
  <c i="3" r="AD6"/>
  <c i="4" r="X17"/>
  <c i="6" r="AE68"/>
  <c i="10" r="O58"/>
  <c i="5" r="AF5"/>
  <c i="3" r="M18"/>
  <c i="6" r="C21"/>
  <c i="7" r="M19"/>
  <c i="1" r="M70"/>
  <c i="4" r="D57"/>
  <c i="4" r="Z57" s="1"/>
  <c i="6" r="O69"/>
  <c i="6" r="AE17"/>
  <c i="10" r="K24"/>
  <c i="19" r="AN11"/>
  <c i="10" r="O60"/>
  <c i="10" r="AA60" s="1"/>
  <c i="9" r="I31"/>
  <c i="5" r="AB60"/>
  <c i="8" r="F52"/>
  <c i="6" r="D45"/>
  <c i="1" r="D37"/>
  <c i="1" r="E37" s="1"/>
  <c i="4" r="S69"/>
  <c i="4" r="AD69" s="1"/>
  <c i="4" r="AE53"/>
  <c i="3" r="AC15"/>
  <c i="4" r="AA54"/>
  <c i="16" r="E123"/>
  <c i="10" r="K25"/>
  <c i="10" r="AI25" s="1"/>
  <c i="10" r="Q56"/>
  <c i="10" r="AC56" s="1"/>
  <c i="9" r="Q59"/>
  <c i="9" r="I28"/>
  <c i="10" r="O63"/>
  <c i="18" r="I56"/>
  <c i="19" r="C26" s="1"/>
  <c i="3" r="AD7"/>
  <c i="2" r="AE5"/>
  <c i="8" r="D25"/>
  <c i="8" r="B55"/>
  <c i="10" r="D96"/>
  <c i="6" r="Z17"/>
  <c i="3" r="AE5"/>
  <c i="6" r="X79"/>
  <c i="8" r="D54"/>
  <c i="16" r="E121"/>
  <c i="16" r="S27"/>
  <c i="10" r="W127"/>
  <c i="19" r="AL14"/>
  <c i="9" r="Q63"/>
  <c i="10" r="O57"/>
  <c i="8" r="L19"/>
  <c i="8" r="F56"/>
  <c i="4" r="Y42"/>
  <c i="4" r="F33"/>
  <c i="4" r="AB33" s="1"/>
  <c i="8" r="D22"/>
  <c i="8" r="X22" s="1"/>
  <c i="8" r="B23"/>
  <c i="6" r="B9"/>
  <c i="7" r="L22"/>
  <c i="6" r="R9"/>
  <c i="16" r="E120"/>
  <c i="16" r="F85"/>
  <c i="16" r="E118"/>
  <c i="16" r="E122"/>
  <c i="16" r="S23"/>
  <c i="16" r="D54"/>
  <c i="10" r="K29"/>
  <c i="10" r="Q27"/>
  <c i="19" r="AC53"/>
  <c i="10" r="AB15"/>
  <c i="9" r="Q58"/>
  <c i="10" r="O64"/>
  <c i="8" r="L21"/>
  <c i="5" r="D63"/>
  <c i="5" r="Z63" s="1"/>
  <c i="4" r="AB41"/>
  <c i="8" r="D21"/>
  <c i="8" r="B52"/>
  <c i="8" r="B20"/>
  <c i="6" r="AA44"/>
  <c i="6" r="F69"/>
  <c i="5" r="Q52"/>
  <c i="6" r="AA56"/>
  <c i="7" r="G23"/>
  <c i="16" r="E56"/>
  <c i="16" r="V117"/>
  <c i="16" r="AH117" s="1"/>
  <c i="10" r="O59"/>
  <c i="10" r="Z97"/>
  <c i="8" r="L25"/>
  <c i="8" r="B19"/>
  <c i="4" r="Z17"/>
  <c i="8" r="D24"/>
  <c i="8" r="B49"/>
  <c i="8" r="V49" s="1"/>
  <c i="6" r="Q69"/>
  <c i="6" r="H21"/>
  <c i="16" r="P24"/>
  <c i="16" r="F22"/>
  <c i="17" r="D133"/>
  <c i="16" r="P123"/>
  <c i="10" r="K26"/>
  <c i="10" r="D93"/>
  <c i="8" r="L24"/>
  <c i="5" r="AE38"/>
  <c i="8" r="D20"/>
  <c i="3" r="R18"/>
  <c i="2" r="X8"/>
  <c i="3" r="Z14"/>
  <c i="7" r="M22"/>
  <c i="8" r="D55"/>
  <c i="16" r="R21"/>
  <c i="16" r="D58"/>
  <c i="10" r="O90"/>
  <c i="10" r="O61"/>
  <c i="9" r="I27"/>
  <c i="9" r="B63"/>
  <c i="8" r="L23"/>
  <c i="8" r="O79"/>
  <c i="7" r="L5"/>
  <c i="8" r="D23"/>
  <c i="7" r="D23"/>
  <c i="6" r="P9"/>
  <c i="2" r="AA5"/>
  <c i="5" r="J19"/>
  <c i="16" r="Q56"/>
  <c i="16" r="K117"/>
  <c i="16" r="U122"/>
  <c i="16" r="E119"/>
  <c i="16" r="AC119" s="1"/>
  <c i="16" r="R86"/>
  <c i="16" r="E55"/>
  <c i="10" r="Q26"/>
  <c i="10" r="AC26" s="1"/>
  <c i="19" r="X14"/>
  <c i="8" r="O80"/>
  <c i="8" r="Y80" s="1"/>
  <c i="8" r="F51"/>
  <c i="9" r="O51"/>
  <c i="8" r="B25"/>
  <c i="8" r="D26"/>
  <c i="6" r="AF55"/>
  <c i="6" r="U9"/>
  <c i="5" r="O74"/>
  <c i="5" r="Z74" s="1"/>
  <c i="6" r="AE8"/>
  <c i="3" r="AA7"/>
  <c i="10" r="P126"/>
  <c i="10" r="D91"/>
  <c i="9" r="B58"/>
  <c i="9" r="Q57"/>
  <c i="9" r="AC57" s="1"/>
  <c i="8" r="O81"/>
  <c i="8" r="Y81" s="1"/>
  <c i="8" r="B22"/>
  <c i="8" r="V22" s="1"/>
  <c i="4" r="R81"/>
  <c i="6" r="AD53"/>
  <c i="6" r="AE7"/>
  <c i="8" r="D86"/>
  <c i="16" r="U120"/>
  <c i="10" r="E22"/>
  <c i="10" r="AC22" s="1"/>
  <c i="10" r="D95"/>
  <c i="9" r="I23"/>
  <c i="9" r="I24"/>
  <c i="9" r="Q60"/>
  <c i="8" r="O82"/>
  <c i="8" r="Y82" s="1"/>
  <c i="8" r="B56"/>
  <c i="8" r="B24"/>
  <c i="5" r="AE5"/>
  <c i="4" r="AE29"/>
  <c i="3" r="AA6"/>
  <c i="6" r="AC30"/>
  <c i="6" r="AD6"/>
  <c i="16" r="D59"/>
  <c i="16" r="U118"/>
  <c i="10" r="Q59"/>
  <c i="10" r="R28"/>
  <c i="9" r="I25"/>
  <c i="19" r="Z14"/>
  <c i="9" r="V127"/>
  <c i="10" r="D90"/>
  <c i="8" r="O83"/>
  <c i="8" r="B84"/>
  <c i="8" r="B53"/>
  <c i="6" r="Q57"/>
  <c i="5" r="G8"/>
  <c i="5" r="AC8" s="1"/>
  <c i="5" r="AC27"/>
  <c i="16" r="S21"/>
  <c i="16" r="AE21" s="1"/>
  <c i="16" r="V120"/>
  <c i="16" r="P122"/>
  <c i="10" r="K27"/>
  <c i="8" r="L79"/>
  <c i="10" r="D94"/>
  <c i="10" r="AB94" s="1"/>
  <c i="8" r="F83"/>
  <c i="8" r="Z83" s="1"/>
  <c i="8" r="O84"/>
  <c i="8" r="Y84" s="1"/>
  <c i="8" r="B85"/>
  <c i="8" r="B86"/>
  <c i="8" r="B54"/>
  <c i="6" r="G21"/>
  <c i="6" r="AD20"/>
  <c i="8" r="B50"/>
  <c i="16" r="E26"/>
  <c i="19" r="AG58"/>
  <c i="10" r="U24"/>
  <c i="10" r="D98"/>
  <c i="8" r="F82"/>
  <c i="8" r="Z82" s="1"/>
  <c i="9" r="Q127"/>
  <c i="8" r="O85"/>
  <c i="8" r="Y85" s="1"/>
  <c i="8" r="B81"/>
  <c i="5" r="B74"/>
  <c i="5" r="X74" s="1"/>
  <c i="8" r="B83"/>
  <c i="8" r="B26"/>
  <c i="6" r="AE65"/>
  <c i="7" r="N21"/>
  <c i="6" r="AD19"/>
  <c i="3" r="Z16"/>
  <c i="9" r="I26"/>
  <c i="9" r="I16"/>
  <c i="16" r="G121"/>
  <c i="16" r="R87"/>
  <c i="10" r="Q24"/>
  <c i="8" r="R83"/>
  <c i="8" r="AB83" s="1"/>
  <c i="8" r="F79"/>
  <c i="8" r="Z79" s="1"/>
  <c i="19" r="AB14"/>
  <c i="9" r="Q119"/>
  <c i="8" r="O86"/>
  <c i="8" r="Y86" s="1"/>
  <c i="8" r="D53"/>
  <c i="7" r="H9"/>
  <c i="7" r="M9" s="1"/>
  <c i="8" r="D19"/>
  <c i="8" r="B80"/>
  <c i="8" r="V80" s="1"/>
  <c i="7" r="M16"/>
  <c i="5" r="C30"/>
  <c i="6" r="Z42"/>
  <c i="5" r="AF39"/>
  <c i="6" r="AD18"/>
  <c i="4" r="Q69"/>
  <c i="3" r="Z9"/>
  <c i="3" r="AE7"/>
  <c i="16" r="AB57"/>
  <c i="16" r="C122"/>
  <c i="16" r="G119"/>
  <c i="16" r="V118"/>
  <c i="16" r="P120"/>
  <c i="10" r="E95"/>
  <c i="10" r="K22"/>
  <c i="9" r="E130"/>
  <c i="9" r="C127"/>
  <c i="9" r="O23"/>
  <c i="9" r="AA23" s="1"/>
  <c i="8" r="Y51"/>
  <c i="8" r="N25"/>
  <c i="19" r="AJ14"/>
  <c i="9" r="Q131"/>
  <c i="8" r="B82"/>
  <c i="8" r="D52"/>
  <c i="6" r="Q21"/>
  <c i="6" r="Z78"/>
  <c i="6" r="AF43"/>
  <c i="8" r="D79"/>
  <c i="6" r="AE41"/>
  <c i="16" r="V123"/>
  <c i="16" r="P118"/>
  <c i="10" r="B128"/>
  <c i="10" r="D84"/>
  <c i="8" r="N24"/>
  <c i="8" r="D85"/>
  <c i="8" r="D50"/>
  <c i="5" r="G19"/>
  <c i="6" r="AE44"/>
  <c i="3" r="AE17"/>
  <c i="17" r="E35"/>
  <c i="10" r="I27"/>
  <c i="9" r="Q61"/>
  <c i="19" r="AC51"/>
  <c i="19" r="AN12"/>
  <c i="8" r="D84"/>
  <c i="8" r="F53"/>
  <c i="8" r="B79"/>
  <c i="4" r="AE41"/>
  <c i="3" r="H18"/>
  <c i="16" r="Q122"/>
  <c i="10" r="Q58"/>
  <c i="8" r="D83"/>
  <c i="5" r="S41"/>
  <c i="8" r="D56"/>
  <c i="3" r="B18"/>
  <c i="4" r="Z54"/>
  <c i="3" r="AC7"/>
  <c i="5" r="Q63"/>
  <c i="6" r="AE29"/>
  <c i="10" r="AC83"/>
  <c i="6" r="S69"/>
  <c i="3" r="AD8"/>
  <c i="2" r="Z6"/>
  <c i="16" r="B58"/>
  <c i="16" r="C56"/>
  <c i="9" r="D91"/>
  <c i="5" r="AD51"/>
  <c i="3" r="AD11"/>
  <c i="6" r="AA53"/>
  <c i="16" r="W122"/>
  <c i="16" r="N122"/>
  <c i="16" r="Q22"/>
  <c i="16" r="AC22" s="1"/>
  <c i="16" r="B53"/>
  <c i="16" r="Z53" s="1"/>
  <c i="9" r="F131"/>
  <c i="19" r="AI58"/>
  <c i="9" r="Q27"/>
  <c i="9" r="AC27" s="1"/>
  <c i="9" r="P59"/>
  <c i="9" r="AB59" s="1"/>
  <c i="6" r="S33"/>
  <c i="3" r="AB17"/>
  <c i="6" r="Y68"/>
  <c i="2" r="Z7"/>
  <c i="4" r="Z5"/>
  <c i="3" r="AB10"/>
  <c i="5" r="N74"/>
  <c i="16" r="V27"/>
  <c i="3" r="AB13"/>
  <c i="5" r="AC28"/>
  <c i="16" r="P91"/>
  <c i="10" r="Q91"/>
  <c i="10" r="AC91" s="1"/>
  <c i="5" r="H41"/>
  <c i="6" r="AA54"/>
  <c i="16" r="J27"/>
  <c i="10" r="AA117"/>
  <c i="19" r="AC56"/>
  <c i="10" r="D22"/>
  <c i="8" r="Q19"/>
  <c i="6" r="D21"/>
  <c i="6" r="Q81"/>
  <c i="6" r="AB81" s="1"/>
  <c i="3" r="Z5"/>
  <c i="3" r="AE14"/>
  <c i="3" r="AB5"/>
  <c i="6" r="AD43"/>
  <c i="19" r="AC55"/>
  <c i="6" r="C45"/>
  <c i="6" r="Y41"/>
  <c i="7" r="L16"/>
  <c i="16" r="O122"/>
  <c i="16" r="AA122" s="1"/>
  <c i="10" r="K130"/>
  <c i="8" r="O23"/>
  <c i="8" r="Y23" s="1"/>
  <c i="9" r="G23"/>
  <c i="5" r="C41"/>
  <c i="3" r="Z8"/>
  <c i="3" r="AE10"/>
  <c i="16" r="S120"/>
  <c i="16" r="S123"/>
  <c i="16" r="AE123" s="1"/>
  <c i="16" r="N117"/>
  <c i="9" r="H126"/>
  <c i="9" r="Q23"/>
  <c i="8" r="O22"/>
  <c i="8" r="Y22" s="1"/>
  <c i="8" r="X49"/>
  <c i="3" r="AE13"/>
  <c i="5" r="R19"/>
  <c i="16" r="S118"/>
  <c i="16" r="AE118" s="1"/>
  <c i="16" r="O120"/>
  <c i="10" r="C22"/>
  <c i="9" r="S130"/>
  <c i="8" r="O21"/>
  <c i="8" r="Q22"/>
  <c i="4" r="P9"/>
  <c i="4" r="AA9" s="1"/>
  <c i="6" r="AC19"/>
  <c i="5" r="R63"/>
  <c i="5" r="AC63" s="1"/>
  <c i="4" r="AD44"/>
  <c i="8" r="O19"/>
  <c i="8" r="Y19" s="1"/>
  <c i="9" r="D94"/>
  <c i="6" r="AF66"/>
  <c i="16" r="V21"/>
  <c i="19" r="AC57"/>
  <c i="4" r="AD42"/>
  <c i="6" r="AF7"/>
  <c i="6" r="AF68"/>
  <c i="16" r="J24"/>
  <c i="16" r="V23"/>
  <c i="8" r="Q85"/>
  <c i="3" r="AE8"/>
  <c i="6" r="X78"/>
  <c i="16" r="J25"/>
  <c i="16" r="G122"/>
  <c i="16" r="AE122" s="1"/>
  <c i="16" r="W120"/>
  <c i="16" r="P86"/>
  <c i="16" r="AB86" s="1"/>
  <c i="16" r="S117"/>
  <c i="16" r="P121"/>
  <c i="8" r="Q83"/>
  <c i="3" r="AE11"/>
  <c i="2" r="Y5"/>
  <c i="2" r="N9"/>
  <c i="5" r="Y71"/>
  <c i="6" r="AF67"/>
  <c i="6" r="X80"/>
  <c i="16" r="G24"/>
  <c i="16" r="AE24" s="1"/>
  <c i="10" r="F93"/>
  <c i="16" r="Z78"/>
  <c i="8" r="Q81"/>
  <c i="9" r="E63"/>
  <c i="4" r="Z33"/>
  <c i="3" r="AD17"/>
  <c i="3" r="AC9"/>
  <c i="6" r="X77"/>
  <c i="5" r="J30"/>
  <c i="5" r="AF30" s="1"/>
  <c i="16" r="J119"/>
  <c i="10" r="F96"/>
  <c i="9" r="E128"/>
  <c i="9" r="N98"/>
  <c i="9" r="Z98" s="1"/>
  <c i="10" r="O91"/>
  <c i="8" r="Q79"/>
  <c i="8" r="G49"/>
  <c i="8" r="AA49" s="1"/>
  <c i="16" r="G27"/>
  <c i="16" r="T117"/>
  <c i="16" r="AF117" s="1"/>
  <c i="16" r="Q117"/>
  <c i="16" r="AC117" s="1"/>
  <c i="10" r="S129"/>
  <c i="10" r="F90"/>
  <c i="10" r="AD90" s="1"/>
  <c i="10" r="S128"/>
  <c i="9" r="N127"/>
  <c i="10" r="D26"/>
  <c i="19" r="AN13"/>
  <c i="9" r="E95"/>
  <c i="8" r="F50"/>
  <c i="8" r="G85"/>
  <c i="6" r="AB33"/>
  <c i="3" r="AD13"/>
  <c i="3" r="AC8"/>
  <c i="16" r="N89"/>
  <c i="16" r="B57"/>
  <c i="10" r="AB49"/>
  <c i="9" r="P64"/>
  <c i="9" r="E93"/>
  <c i="8" r="G82"/>
  <c i="8" r="H50"/>
  <c i="1" r="H24"/>
  <c i="1" r="K24" s="1"/>
  <c i="1" r="L24" s="1"/>
  <c i="3" r="AC11"/>
  <c i="5" r="P41"/>
  <c i="16" r="AB46"/>
  <c i="10" r="Q96"/>
  <c i="9" r="R27"/>
  <c i="10" r="D29"/>
  <c i="9" r="S128"/>
  <c i="10" r="Z15"/>
  <c i="10" r="AJ112"/>
  <c i="6" r="G81"/>
  <c i="5" r="AB71"/>
  <c i="5" r="Q74"/>
  <c i="5" r="AB74" s="1"/>
  <c i="5" r="R41"/>
  <c i="5" r="AC41" s="1"/>
  <c i="5" r="G30"/>
  <c i="5" r="AC30" s="1"/>
  <c i="3" r="AD9"/>
  <c i="10" r="Q93"/>
  <c i="8" r="Q20"/>
  <c i="5" r="AD29"/>
  <c i="6" r="AE42"/>
  <c i="6" r="AB68"/>
  <c i="17" r="K35"/>
  <c i="10" r="P59"/>
  <c i="10" r="AB59" s="1"/>
  <c i="2" r="H9"/>
  <c i="5" r="D52"/>
  <c i="5" r="Z52" s="1"/>
  <c i="6" r="AD30"/>
  <c i="16" r="B122"/>
  <c i="16" r="Q53"/>
  <c i="9" r="Q91"/>
  <c i="10" r="AC15"/>
  <c i="8" r="S52"/>
  <c i="9" r="B23"/>
  <c i="6" r="U57"/>
  <c i="6" r="P69"/>
  <c i="6" r="AA69" s="1"/>
  <c i="5" r="S30"/>
  <c i="5" r="AD27"/>
  <c i="16" r="B85"/>
  <c i="16" r="Z85" s="1"/>
  <c i="16" r="O88"/>
  <c i="10" r="P24"/>
  <c i="10" r="AB24" s="1"/>
  <c i="9" r="N93"/>
  <c i="8" r="S51"/>
  <c i="8" r="L54"/>
  <c i="10" r="K23"/>
  <c i="6" r="N57"/>
  <c i="6" r="Y57" s="1"/>
  <c i="16" r="E24"/>
  <c i="16" r="E59"/>
  <c i="16" r="O85"/>
  <c i="16" r="P117"/>
  <c i="16" r="AB117" s="1"/>
  <c i="9" r="G126"/>
  <c i="10" r="R131"/>
  <c i="10" r="U25"/>
  <c i="19" r="AN51"/>
  <c i="9" r="G129"/>
  <c i="8" r="Q80"/>
  <c i="8" r="S50"/>
  <c i="8" r="L53"/>
  <c i="9" r="F94"/>
  <c i="9" r="AD94" s="1"/>
  <c i="8" r="G19"/>
  <c i="8" r="C22"/>
  <c i="8" r="W22" s="1"/>
  <c i="7" r="D9"/>
  <c i="16" r="D122"/>
  <c i="16" r="D123"/>
  <c i="16" r="F24"/>
  <c i="16" r="K21"/>
  <c i="16" r="AI21" s="1"/>
  <c i="16" r="C55"/>
  <c i="19" r="Y58"/>
  <c i="9" r="G127"/>
  <c i="9" r="B94"/>
  <c i="8" r="S49"/>
  <c i="8" r="L52"/>
  <c i="19" r="C10"/>
  <c i="9" r="J126"/>
  <c i="16" r="D118"/>
  <c i="16" r="B90"/>
  <c i="16" r="Z90" s="1"/>
  <c i="16" r="D121"/>
  <c i="16" r="AB121" s="1"/>
  <c i="16" r="B59"/>
  <c i="10" r="AD117"/>
  <c i="9" r="B92"/>
  <c i="9" r="Z92" s="1"/>
  <c i="10" r="I22"/>
  <c i="8" r="N51"/>
  <c i="8" r="X51" s="1"/>
  <c i="8" r="L51"/>
  <c i="8" r="V51" s="1"/>
  <c i="16" r="B55"/>
  <c i="16" r="C89"/>
  <c i="16" r="AA89" s="1"/>
  <c i="16" r="D119"/>
  <c i="16" r="AB119" s="1"/>
  <c i="16" r="AB85"/>
  <c i="16" r="C57"/>
  <c i="16" r="AA57" s="1"/>
  <c i="10" r="R124"/>
  <c i="10" r="S26"/>
  <c i="8" r="S22"/>
  <c i="8" r="N50"/>
  <c i="8" r="L50"/>
  <c i="16" r="C85"/>
  <c i="9" r="L116"/>
  <c i="9" r="L133" s="1"/>
  <c i="6" r="J81"/>
  <c i="10" r="E59"/>
  <c i="6" r="AF80"/>
  <c i="16" r="C86"/>
  <c i="16" r="C58"/>
  <c i="16" r="R123"/>
  <c i="10" r="F27"/>
  <c i="10" r="AD27" s="1"/>
  <c i="10" r="J131"/>
  <c i="10" r="E60"/>
  <c i="9" r="N97"/>
  <c i="9" r="T130"/>
  <c i="8" r="P20"/>
  <c i="9" r="S26"/>
  <c i="9" r="N130"/>
  <c i="9" r="Z130" s="1"/>
  <c i="8" r="I21"/>
  <c i="6" r="AF79"/>
  <c i="10" r="T131"/>
  <c i="10" r="AF131" s="1"/>
  <c i="10" r="F25"/>
  <c i="10" r="AD25" s="1"/>
  <c i="10" r="F28"/>
  <c i="19" r="C50"/>
  <c i="9" r="C58"/>
  <c i="9" r="E25"/>
  <c i="16" r="I22"/>
  <c i="6" r="U33"/>
  <c i="5" r="I30"/>
  <c i="5" r="AE27"/>
  <c i="10" r="T130"/>
  <c i="6" r="P45"/>
  <c i="6" r="AA45" s="1"/>
  <c i="16" r="E54"/>
  <c i="11" r="I363"/>
  <c i="16" r="O91"/>
  <c i="16" r="P90"/>
  <c i="16" r="AB90" s="1"/>
  <c i="16" r="O118"/>
  <c i="16" r="AA118" s="1"/>
  <c i="16" r="N120"/>
  <c i="16" r="Z120" s="1"/>
  <c i="16" r="C54"/>
  <c i="16" r="S121"/>
  <c i="19" r="AM58"/>
  <c i="10" r="R126"/>
  <c i="10" r="AD126" s="1"/>
  <c i="10" r="U29"/>
  <c i="10" r="AG29" s="1"/>
  <c i="10" r="I28"/>
  <c i="10" r="E29"/>
  <c i="9" r="N58"/>
  <c i="8" r="R85"/>
  <c i="9" r="O29"/>
  <c i="8" r="G54"/>
  <c i="8" r="AA54" s="1"/>
  <c i="8" r="Q50"/>
  <c i="8" r="G20"/>
  <c i="10" r="J128"/>
  <c i="6" r="U21"/>
  <c i="8" r="B21"/>
  <c i="16" r="Q58"/>
  <c i="16" r="AC58" s="1"/>
  <c i="16" r="C120"/>
  <c i="16" r="R122"/>
  <c i="19" r="AC52"/>
  <c i="16" r="T121"/>
  <c i="10" r="T129"/>
  <c i="16" r="Q21"/>
  <c i="16" r="AC21" s="1"/>
  <c i="8" r="R84"/>
  <c i="16" r="Z14"/>
  <c i="9" r="AB92"/>
  <c i="8" r="H56"/>
  <c i="1" r="G69"/>
  <c i="10" r="J126"/>
  <c i="5" r="U19"/>
  <c i="5" r="AF18"/>
  <c i="6" r="S45"/>
  <c i="16" r="O87"/>
  <c i="16" r="AA87" s="1"/>
  <c i="16" r="O90"/>
  <c i="9" r="B95"/>
  <c i="9" r="B28"/>
  <c i="8" r="O50"/>
  <c i="6" r="O45"/>
  <c i="5" r="J52"/>
  <c i="16" r="W119"/>
  <c i="16" r="F88"/>
  <c i="16" r="C121"/>
  <c i="16" r="J118"/>
  <c i="16" r="Q54"/>
  <c i="16" r="N118"/>
  <c i="16" r="Z118" s="1"/>
  <c i="16" r="N123"/>
  <c i="10" r="B131"/>
  <c i="10" r="AB83"/>
  <c i="10" r="O23"/>
  <c i="10" r="AA23" s="1"/>
  <c i="9" r="C25"/>
  <c i="8" r="R82"/>
  <c i="8" r="L83"/>
  <c i="8" r="Q24"/>
  <c i="2" r="AD6"/>
  <c i="16" r="W117"/>
  <c i="16" r="P54"/>
  <c i="16" r="O58"/>
  <c i="16" r="R120"/>
  <c i="16" r="J123"/>
  <c i="16" r="U123"/>
  <c i="10" r="N127"/>
  <c i="9" r="E132"/>
  <c i="10" r="F94"/>
  <c i="10" r="F22"/>
  <c i="8" r="R81"/>
  <c i="9" r="G27"/>
  <c i="9" r="AE27" s="1"/>
  <c i="8" r="L82"/>
  <c i="9" r="R28"/>
  <c i="10" r="D60"/>
  <c i="1" r="C57"/>
  <c i="1" r="C42"/>
  <c i="6" r="C33"/>
  <c i="6" r="AA67"/>
  <c i="4" r="J79"/>
  <c i="4" r="AF79" s="1"/>
  <c i="16" r="C53"/>
  <c i="16" r="AH22"/>
  <c i="16" r="R118"/>
  <c i="16" r="O86"/>
  <c i="16" r="G117"/>
  <c i="16" r="U121"/>
  <c i="16" r="N121"/>
  <c i="16" r="Z121" s="1"/>
  <c i="9" r="X116"/>
  <c i="9" r="X119" s="1"/>
  <c i="10" r="J125"/>
  <c i="10" r="Q60"/>
  <c i="8" r="R80"/>
  <c i="8" r="AB80" s="1"/>
  <c i="9" r="G25"/>
  <c i="8" r="L81"/>
  <c i="9" r="N63"/>
  <c i="9" r="G28"/>
  <c i="8" r="L20"/>
  <c i="6" r="Y69"/>
  <c i="6" r="S81"/>
  <c i="6" r="AD77"/>
  <c i="16" r="C90"/>
  <c i="16" r="F21"/>
  <c i="16" r="AD21" s="1"/>
  <c i="16" r="R26"/>
  <c i="16" r="I24"/>
  <c i="16" r="O121"/>
  <c i="10" r="J124"/>
  <c i="9" r="E131"/>
  <c i="8" r="F85"/>
  <c i="8" r="M49"/>
  <c i="6" r="H57"/>
  <c i="6" r="AD57" s="1"/>
  <c i="8" r="Z80"/>
  <c i="16" r="O54"/>
  <c i="16" r="O53"/>
  <c i="3" r="U8"/>
  <c i="10" r="K124"/>
  <c i="10" r="J129"/>
  <c i="10" r="AH129" s="1"/>
  <c i="8" r="F84"/>
  <c i="8" r="Z84" s="1"/>
  <c i="8" r="W53"/>
  <c i="6" r="AF5"/>
  <c i="16" r="J121"/>
  <c i="16" r="AH121" s="1"/>
  <c i="16" r="F26"/>
  <c i="16" r="O119"/>
  <c i="16" r="AA119" s="1"/>
  <c i="10" r="J130"/>
  <c i="10" r="E62"/>
  <c i="10" r="U22"/>
  <c i="8" r="F86"/>
  <c i="8" r="Z86" s="1"/>
  <c i="16" r="I118"/>
  <c i="10" r="V126"/>
  <c i="10" r="J132"/>
  <c i="10" r="C57"/>
  <c i="8" r="S55"/>
  <c i="9" r="O127"/>
  <c i="8" r="F55"/>
  <c i="1" r="G34"/>
  <c i="6" r="AA55"/>
  <c i="6" r="P57"/>
  <c i="6" r="AA57" s="1"/>
  <c i="7" r="I23"/>
  <c i="16" r="E53"/>
  <c i="10" r="Z117"/>
  <c i="10" r="F29"/>
  <c i="10" r="E58"/>
  <c i="9" r="B25"/>
  <c i="9" r="K24"/>
  <c i="9" r="AI24" s="1"/>
  <c i="9" r="V131"/>
  <c i="8" r="S54"/>
  <c i="8" r="F81"/>
  <c i="8" r="Z81" s="1"/>
  <c i="8" r="F54"/>
  <c i="6" r="R57"/>
  <c i="6" r="AC57" s="1"/>
  <c i="16" r="AC14"/>
  <c i="17" r="M35"/>
  <c i="10" r="V127"/>
  <c i="10" r="AH127" s="1"/>
  <c i="10" r="J118"/>
  <c i="9" r="V128"/>
  <c i="8" r="AB55"/>
  <c i="4" r="AC9"/>
  <c i="6" r="AF78"/>
  <c i="5" r="AA63"/>
  <c i="16" r="AI121"/>
  <c i="16" r="C28"/>
  <c i="16" r="C15"/>
  <c i="16" r="C22"/>
  <c i="16" r="C23"/>
  <c i="16" r="C27"/>
  <c i="16" r="C25"/>
  <c i="16" r="AA25" s="1"/>
  <c i="16" r="C26"/>
  <c i="16" r="C24"/>
  <c i="16" r="C21"/>
  <c i="19" r="AM14"/>
  <c i="18" r="N56"/>
  <c i="9" r="P31"/>
  <c i="9" r="AB31" s="1"/>
  <c i="9" r="P16"/>
  <c i="9" r="AB16" s="1"/>
  <c i="9" r="P28"/>
  <c i="9" r="AB28" s="1"/>
  <c i="9" r="AB13"/>
  <c i="1" r="C51"/>
  <c i="1" r="H51" s="1"/>
  <c i="1" r="I51" s="1"/>
  <c i="9" r="P24"/>
  <c i="9" r="P30"/>
  <c i="9" r="P25"/>
  <c i="9" r="P26"/>
  <c i="9" r="P29"/>
  <c i="9" r="AB29" s="1"/>
  <c i="9" r="P23"/>
  <c i="9" r="AB23" s="1"/>
  <c i="9" r="P27"/>
  <c i="9" r="AB27" s="1"/>
  <c i="19" r="AN53"/>
  <c i="19" r="AF58"/>
  <c i="19" r="AN56"/>
  <c i="16" r="D28"/>
  <c i="16" r="D15"/>
  <c i="16" r="D22"/>
  <c i="16" r="D26"/>
  <c i="16" r="D23"/>
  <c i="16" r="D24"/>
  <c i="16" r="D27"/>
  <c i="16" r="D25"/>
  <c i="16" r="D21"/>
  <c i="16" r="AB21" s="1"/>
  <c i="19" r="N38"/>
  <c i="19" r="E38"/>
  <c i="19" r="F38" s="1"/>
  <c i="19" r="AN57"/>
  <c i="3" r="J14"/>
  <c i="3" r="J10"/>
  <c i="3" r="J6"/>
  <c i="3" r="J5"/>
  <c i="16" r="AD117"/>
  <c i="9" r="AE131"/>
  <c i="19" r="AJ58"/>
  <c i="19" r="AN50"/>
  <c i="10" r="Q132"/>
  <c i="10" r="Q118"/>
  <c i="10" r="AC115"/>
  <c i="10" r="Q129"/>
  <c i="10" r="Q124"/>
  <c i="10" r="AC124" s="1"/>
  <c i="10" r="Q126"/>
  <c i="10" r="Q130"/>
  <c i="10" r="Q127"/>
  <c i="10" r="Q128"/>
  <c i="10" r="Q131"/>
  <c i="10" r="Q125"/>
  <c i="12" r="I363"/>
  <c i="16" r="F124"/>
  <c i="16" r="F111"/>
  <c i="16" r="H120"/>
  <c i="3" r="J7"/>
  <c i="16" r="S44"/>
  <c i="16" r="S53" s="1"/>
  <c i="16" r="AE37"/>
  <c i="17" r="C35"/>
  <c i="17" r="G31"/>
  <c i="10" r="K127"/>
  <c i="10" r="D125"/>
  <c i="10" r="AB125" s="1"/>
  <c i="10" r="AB13"/>
  <c i="10" r="P16"/>
  <c i="10" r="P29"/>
  <c i="10" r="P30"/>
  <c i="10" r="P28"/>
  <c i="10" r="AB28" s="1"/>
  <c i="1" r="C81"/>
  <c i="1" r="H81" s="1"/>
  <c i="10" r="Q84"/>
  <c i="10" r="AC81"/>
  <c i="10" r="Q97"/>
  <c i="10" r="Q92"/>
  <c i="10" r="Q95"/>
  <c i="10" r="Q98"/>
  <c i="10" r="Q90"/>
  <c i="9" r="AJ111"/>
  <c i="10" r="AH117"/>
  <c i="9" r="W130"/>
  <c i="9" r="W119"/>
  <c i="9" r="AI116"/>
  <c i="9" r="W133"/>
  <c i="9" r="W132"/>
  <c i="9" r="AI132" s="1"/>
  <c i="9" r="W125"/>
  <c i="18" r="L56"/>
  <c i="9" r="N31"/>
  <c i="9" r="N16"/>
  <c i="9" r="N28"/>
  <c i="9" r="N29"/>
  <c i="9" r="Z13"/>
  <c i="9" r="N30"/>
  <c i="9" r="N26"/>
  <c i="1" r="C49"/>
  <c i="1" r="H49" s="1"/>
  <c i="8" r="S21"/>
  <c i="18" r="G56"/>
  <c i="19" r="C24" s="1"/>
  <c i="9" r="F31"/>
  <c i="9" r="F16"/>
  <c i="9" r="F26"/>
  <c i="1" r="B53"/>
  <c i="8" r="V72"/>
  <c i="8" r="L86"/>
  <c i="8" r="V86" s="1"/>
  <c i="9" r="O129"/>
  <c i="20" r="D36"/>
  <c i="9" r="P60"/>
  <c i="19" r="E39"/>
  <c i="19" r="F39" s="1"/>
  <c i="19" r="N39"/>
  <c i="9" r="H125"/>
  <c i="16" r="AC78"/>
  <c i="4" r="U8"/>
  <c i="16" r="K123"/>
  <c i="17" r="G133"/>
  <c i="17" r="D35"/>
  <c i="16" r="R15"/>
  <c i="16" r="AD12"/>
  <c i="16" r="R28"/>
  <c i="16" r="Q60"/>
  <c i="16" r="AC44"/>
  <c i="16" r="Q47"/>
  <c i="16" r="I26"/>
  <c i="3" r="J13"/>
  <c i="16" r="O56"/>
  <c i="16" r="P22"/>
  <c i="10" r="E129"/>
  <c i="10" r="E132"/>
  <c i="10" r="E118"/>
  <c i="10" r="E131"/>
  <c i="10" r="E130"/>
  <c i="10" r="E125"/>
  <c i="4" r="U56"/>
  <c i="4" r="AF56" s="1"/>
  <c i="4" r="U55"/>
  <c i="4" r="AF55" s="1"/>
  <c i="4" r="U54"/>
  <c i="4" r="AF54" s="1"/>
  <c i="4" r="U53"/>
  <c i="10" r="R129"/>
  <c i="10" r="R130"/>
  <c i="9" r="K119"/>
  <c i="9" r="K133"/>
  <c i="9" r="K129"/>
  <c i="9" r="AI129" s="1"/>
  <c i="9" r="K128"/>
  <c i="19" r="N8"/>
  <c i="9" r="U128"/>
  <c i="16" r="AH110"/>
  <c i="19" r="N6"/>
  <c i="10" r="C30"/>
  <c i="10" r="C28"/>
  <c i="10" r="C16"/>
  <c i="10" r="C24"/>
  <c i="10" r="C27"/>
  <c i="10" r="AA27" s="1"/>
  <c i="1" r="B80"/>
  <c i="19" r="AF14"/>
  <c i="19" r="AN6"/>
  <c i="8" r="S20"/>
  <c i="8" r="AC20" s="1"/>
  <c i="9" r="T129"/>
  <c i="9" r="T119"/>
  <c i="9" r="T128"/>
  <c i="9" r="AF116"/>
  <c i="9" r="T133"/>
  <c i="9" r="T126"/>
  <c i="9" r="T132"/>
  <c i="9" r="R129"/>
  <c i="9" r="S48"/>
  <c i="9" r="S62" s="1"/>
  <c i="9" r="AE62" s="1"/>
  <c i="9" r="AE40"/>
  <c i="10" r="AA49"/>
  <c i="20" r="D34"/>
  <c i="8" r="M82"/>
  <c i="8" r="AB42"/>
  <c i="8" r="R56"/>
  <c i="8" r="X12"/>
  <c i="8" r="N26"/>
  <c i="8" r="W12"/>
  <c i="8" r="M26"/>
  <c i="19" r="N37"/>
  <c i="19" r="E37"/>
  <c i="19" r="F37" s="1"/>
  <c i="8" r="AB12"/>
  <c i="8" r="R26"/>
  <c i="8" r="R23"/>
  <c i="6" r="AB45"/>
  <c i="1" r="G19"/>
  <c i="16" r="F120"/>
  <c i="16" r="B92"/>
  <c i="16" r="B79"/>
  <c i="16" r="Z44"/>
  <c i="16" r="N60"/>
  <c i="16" r="N47"/>
  <c i="16" r="H119"/>
  <c i="16" r="AF119" s="1"/>
  <c i="16" r="B88"/>
  <c i="16" r="C91"/>
  <c i="16" r="O59"/>
  <c i="16" r="AA59" s="1"/>
  <c i="16" r="AJ105"/>
  <c i="10" r="T118"/>
  <c i="10" r="AF118" s="1"/>
  <c i="10" r="AF115"/>
  <c i="10" r="T132"/>
  <c i="10" r="AF132" s="1"/>
  <c i="10" r="T127"/>
  <c i="10" r="R92"/>
  <c i="10" r="AD92" s="1"/>
  <c i="10" r="R98"/>
  <c i="10" r="R94"/>
  <c i="10" r="AD81"/>
  <c i="10" r="R91"/>
  <c i="10" r="R96"/>
  <c i="10" r="D129"/>
  <c i="10" r="D132"/>
  <c i="10" r="D127"/>
  <c i="10" r="D118"/>
  <c i="10" r="D126"/>
  <c i="20" r="I22"/>
  <c i="9" r="D119"/>
  <c i="9" r="D127"/>
  <c i="9" r="D133"/>
  <c i="9" r="AB133" s="1"/>
  <c i="9" r="D132"/>
  <c i="9" r="D129"/>
  <c i="20" r="I20"/>
  <c i="9" r="C133"/>
  <c i="9" r="C119"/>
  <c i="9" r="C129"/>
  <c i="19" r="X36"/>
  <c i="19" r="X94" s="1"/>
  <c i="18" r="F89" s="1"/>
  <c i="19" r="AI14"/>
  <c i="10" r="T124"/>
  <c i="19" r="C7"/>
  <c i="9" r="T125"/>
  <c i="9" r="N132"/>
  <c i="16" r="AA46"/>
  <c i="19" r="N36"/>
  <c i="19" r="E36"/>
  <c i="19" r="F36" s="1"/>
  <c i="8" r="R49"/>
  <c i="8" r="N19"/>
  <c i="8" r="M19"/>
  <c i="8" r="R53"/>
  <c i="8" r="G22"/>
  <c i="8" r="AA22" s="1"/>
  <c i="1" r="G35"/>
  <c i="16" r="F86"/>
  <c i="16" r="O55"/>
  <c i="16" r="P28"/>
  <c i="16" r="P15"/>
  <c i="16" r="AB15" s="1"/>
  <c i="16" r="AB12"/>
  <c i="16" r="N15"/>
  <c i="16" r="Z12"/>
  <c i="16" r="N28"/>
  <c i="10" r="AJ111"/>
  <c i="10" r="AE117"/>
  <c i="10" r="F97"/>
  <c i="19" r="AC8"/>
  <c i="8" r="AC12"/>
  <c i="8" r="S26"/>
  <c i="9" r="W126"/>
  <c i="9" r="R131"/>
  <c i="19" r="AC7"/>
  <c i="9" r="I131"/>
  <c i="9" r="I132"/>
  <c i="20" r="N27"/>
  <c i="16" r="K124"/>
  <c i="16" r="K111"/>
  <c i="12" r="I352"/>
  <c i="16" r="K122"/>
  <c i="16" r="AG12"/>
  <c i="16" r="U15"/>
  <c i="16" r="U28"/>
  <c i="16" r="G28"/>
  <c i="16" r="G15"/>
  <c i="16" r="U25"/>
  <c i="16" r="G124"/>
  <c i="16" r="G111"/>
  <c i="16" r="Q79"/>
  <c i="16" r="AC76"/>
  <c i="16" r="Q92"/>
  <c i="16" r="AE119"/>
  <c i="16" r="Q124"/>
  <c i="16" r="Q111"/>
  <c i="16" r="AC108"/>
  <c i="10" r="AJ108"/>
  <c i="10" r="C131"/>
  <c i="10" r="K129"/>
  <c i="19" r="N11"/>
  <c i="10" r="D130"/>
  <c i="10" r="I118"/>
  <c i="16" r="AE110"/>
  <c i="16" r="AD110"/>
  <c i="10" r="AE15"/>
  <c i="18" r="P56"/>
  <c i="9" r="AD13"/>
  <c i="9" r="R31"/>
  <c i="9" r="R16"/>
  <c i="9" r="R30"/>
  <c i="1" r="C53"/>
  <c i="1" r="H53" s="1"/>
  <c i="9" r="E126"/>
  <c i="9" r="AC126" s="1"/>
  <c i="19" r="W36"/>
  <c i="19" r="W94" s="1"/>
  <c i="18" r="E89" s="1"/>
  <c i="19" r="AH14"/>
  <c i="19" r="W14"/>
  <c i="9" r="F23"/>
  <c i="19" r="N10"/>
  <c i="9" r="AE116"/>
  <c i="9" r="S119"/>
  <c i="9" r="S127"/>
  <c i="9" r="S133"/>
  <c i="9" r="S126"/>
  <c i="9" r="O24"/>
  <c i="9" r="AA24" s="1"/>
  <c i="9" r="C28"/>
  <c i="9" r="AA28" s="1"/>
  <c i="10" r="F91"/>
  <c i="9" r="AE45"/>
  <c i="9" r="N25"/>
  <c i="9" r="Z25" s="1"/>
  <c i="8" r="O54"/>
  <c i="8" r="Y54" s="1"/>
  <c i="9" r="E62"/>
  <c i="19" r="N35"/>
  <c i="19" r="E35"/>
  <c i="19" r="F35" s="1"/>
  <c i="19" r="D43"/>
  <c i="9" r="R24"/>
  <c i="16" r="E92"/>
  <c i="16" r="E79"/>
  <c i="16" r="H123"/>
  <c i="16" r="C124"/>
  <c i="16" r="C111"/>
  <c i="16" r="K120"/>
  <c i="16" r="I122"/>
  <c i="16" r="AG122" s="1"/>
  <c i="16" r="B86"/>
  <c i="16" r="E89"/>
  <c i="16" r="AC89" s="1"/>
  <c i="16" r="P47"/>
  <c i="16" r="P60"/>
  <c i="16" r="AB44"/>
  <c i="3" r="J11"/>
  <c i="16" r="E88"/>
  <c i="16" r="Q85"/>
  <c i="16" r="G23"/>
  <c i="16" r="N79"/>
  <c i="16" r="Z76"/>
  <c i="16" r="N92"/>
  <c i="16" r="Q88"/>
  <c i="16" r="W27"/>
  <c i="16" r="AI27" s="1"/>
  <c i="10" r="F132"/>
  <c i="10" r="F118"/>
  <c i="10" r="F130"/>
  <c i="10" r="T126"/>
  <c i="10" r="AB115"/>
  <c i="10" r="P132"/>
  <c i="10" r="P131"/>
  <c i="10" r="P118"/>
  <c i="10" r="P130"/>
  <c i="10" r="O132"/>
  <c i="10" r="O131"/>
  <c i="10" r="O118"/>
  <c i="10" r="AA115"/>
  <c i="10" r="O126"/>
  <c i="10" r="O128"/>
  <c i="10" r="N132"/>
  <c i="10" r="N118"/>
  <c i="10" r="N131"/>
  <c i="10" r="Z115"/>
  <c i="10" r="N129"/>
  <c i="10" r="N128"/>
  <c i="10" r="P127"/>
  <c i="9" r="O132"/>
  <c i="9" r="AA132" s="1"/>
  <c i="9" r="O128"/>
  <c i="9" r="O119"/>
  <c i="9" r="AA116"/>
  <c i="9" r="O133"/>
  <c i="20" r="I25"/>
  <c i="10" r="C129"/>
  <c i="10" r="B129"/>
  <c i="10" r="G26"/>
  <c i="10" r="AE26" s="1"/>
  <c i="10" r="G16"/>
  <c i="10" r="G28"/>
  <c i="10" r="G22"/>
  <c i="10" r="AE22" s="1"/>
  <c i="10" r="G30"/>
  <c i="1" r="B84"/>
  <c i="9" r="C125"/>
  <c i="9" r="AA125" s="1"/>
  <c i="9" r="B129"/>
  <c i="9" r="C126"/>
  <c i="9" r="K30"/>
  <c i="9" r="K31"/>
  <c i="9" r="AI31" s="1"/>
  <c i="9" r="K16"/>
  <c i="9" r="AI16" s="1"/>
  <c i="9" r="K25"/>
  <c i="9" r="V130"/>
  <c i="9" r="AH130" s="1"/>
  <c i="9" r="V119"/>
  <c i="9" r="AH116"/>
  <c i="9" r="V133"/>
  <c i="19" r="Y14"/>
  <c i="20" r="I24"/>
  <c i="9" r="S125"/>
  <c i="9" r="Q25"/>
  <c i="16" r="S46"/>
  <c i="16" r="AE46" s="1"/>
  <c i="10" r="S49"/>
  <c i="10" r="AE49" s="1"/>
  <c i="9" r="AE50"/>
  <c i="9" r="H131"/>
  <c i="9" r="AF131" s="1"/>
  <c i="9" r="I127"/>
  <c i="8" r="O25"/>
  <c i="8" r="Y25" s="1"/>
  <c i="8" r="R50"/>
  <c i="9" r="H132"/>
  <c i="16" r="K118"/>
  <c i="16" r="I120"/>
  <c i="16" r="U21"/>
  <c i="16" r="AG21" s="1"/>
  <c i="16" r="AE43"/>
  <c i="16" r="K28"/>
  <c i="16" r="O28"/>
  <c i="16" r="O15"/>
  <c i="16" r="AA12"/>
  <c i="16" r="P53"/>
  <c i="16" r="AB53" s="1"/>
  <c i="16" r="P23"/>
  <c i="16" r="V25"/>
  <c i="16" r="AE40"/>
  <c i="16" r="S111"/>
  <c i="16" r="AE108"/>
  <c i="16" r="S124"/>
  <c i="16" r="B60"/>
  <c i="16" r="B47"/>
  <c i="16" r="AJ103"/>
  <c i="16" r="W26"/>
  <c i="10" r="R93"/>
  <c i="10" r="AD93" s="1"/>
  <c i="10" r="Z92"/>
  <c i="4" r="U32"/>
  <c i="4" r="U31"/>
  <c i="4" r="U30"/>
  <c i="4" r="U29"/>
  <c i="10" r="AE115"/>
  <c i="10" r="S118"/>
  <c i="10" r="S126"/>
  <c i="10" r="S124"/>
  <c i="10" r="S127"/>
  <c i="10" r="S132"/>
  <c i="9" r="U133"/>
  <c i="9" r="U119"/>
  <c i="9" r="AG116"/>
  <c i="9" r="U126"/>
  <c i="9" r="U132"/>
  <c i="10" r="P124"/>
  <c i="10" r="AB124" s="1"/>
  <c i="10" r="O125"/>
  <c i="10" r="N124"/>
  <c i="10" r="Z124" s="1"/>
  <c i="10" r="S23"/>
  <c i="10" r="S30"/>
  <c i="10" r="AE13"/>
  <c i="10" r="S24"/>
  <c i="10" r="S28"/>
  <c i="10" r="S25"/>
  <c i="10" r="AE25" s="1"/>
  <c i="10" r="S16"/>
  <c i="1" r="C84"/>
  <c i="1" r="H84" s="1"/>
  <c i="10" r="AH24"/>
  <c i="10" r="D131"/>
  <c i="10" r="X115"/>
  <c i="10" r="X128" s="1"/>
  <c i="10" r="AJ107"/>
  <c i="10" r="B130"/>
  <c i="10" r="Z130" s="1"/>
  <c i="9" r="I129"/>
  <c i="18" r="S56"/>
  <c i="9" r="V31"/>
  <c i="9" r="V16"/>
  <c i="9" r="AH13"/>
  <c i="1" r="C56"/>
  <c i="1" r="H56" s="1"/>
  <c i="9" r="D126"/>
  <c i="16" r="F78"/>
  <c i="16" r="F79" s="1"/>
  <c i="10" r="F83"/>
  <c i="10" r="F84" s="1"/>
  <c i="8" r="AB72"/>
  <c i="8" r="R86"/>
  <c i="9" r="V125"/>
  <c i="9" r="R128"/>
  <c i="9" r="AD128" s="1"/>
  <c i="8" r="X72"/>
  <c i="8" r="N86"/>
  <c i="9" r="Q96"/>
  <c i="9" r="N96"/>
  <c i="9" r="I128"/>
  <c i="9" r="I130"/>
  <c i="19" r="AN8"/>
  <c i="8" r="Y12"/>
  <c i="8" r="O26"/>
  <c i="8" r="Y26" s="1"/>
  <c i="9" r="D95"/>
  <c i="9" r="D85"/>
  <c i="9" r="D99"/>
  <c i="9" r="D96"/>
  <c i="9" r="AD97"/>
  <c i="9" r="H129"/>
  <c i="9" r="K23"/>
  <c i="9" r="AI23" s="1"/>
  <c i="8" r="Z72"/>
  <c i="9" r="AJ115"/>
  <c i="16" r="H124"/>
  <c i="16" r="H111"/>
  <c i="10" r="N22"/>
  <c i="10" r="Z22" s="1"/>
  <c i="10" r="N30"/>
  <c i="10" r="Z30" s="1"/>
  <c i="10" r="N16"/>
  <c i="10" r="Z16" s="1"/>
  <c i="10" r="Z13"/>
  <c i="10" r="N26"/>
  <c i="10" r="Z26" s="1"/>
  <c i="10" r="N28"/>
  <c i="10" r="Z28" s="1"/>
  <c i="1" r="C79"/>
  <c i="1" r="H79" s="1"/>
  <c i="16" r="B28"/>
  <c i="16" r="B15"/>
  <c i="16" r="Q59"/>
  <c i="16" r="G44"/>
  <c i="16" r="G58" s="1"/>
  <c i="16" r="B91"/>
  <c i="16" r="AD76"/>
  <c i="16" r="R92"/>
  <c i="16" r="P27"/>
  <c i="3" r="U6"/>
  <c i="9" r="AJ112"/>
  <c i="10" r="F125"/>
  <c i="10" r="G131"/>
  <c i="10" r="AE131" s="1"/>
  <c i="10" r="AA13"/>
  <c i="10" r="O16"/>
  <c i="10" r="O29"/>
  <c i="10" r="O26"/>
  <c i="10" r="AA26" s="1"/>
  <c i="10" r="O30"/>
  <c i="10" r="O28"/>
  <c i="1" r="C80"/>
  <c i="1" r="H80" s="1"/>
  <c i="10" r="B127"/>
  <c i="10" r="E93"/>
  <c i="10" r="AC117"/>
  <c i="19" r="AG14"/>
  <c i="9" r="U131"/>
  <c i="9" r="U127"/>
  <c i="9" r="AJ109"/>
  <c i="9" r="K127"/>
  <c i="9" r="C29"/>
  <c i="8" r="N85"/>
  <c i="8" r="N84"/>
  <c i="8" r="X84" s="1"/>
  <c i="16" r="F122"/>
  <c i="16" r="F89"/>
  <c i="16" r="AD89" s="1"/>
  <c i="16" r="B22"/>
  <c i="4" r="J44"/>
  <c i="4" r="J41"/>
  <c i="4" r="J42"/>
  <c i="16" r="O21"/>
  <c i="16" r="K23"/>
  <c i="16" r="V111"/>
  <c i="16" r="AH108"/>
  <c i="16" r="V124"/>
  <c i="16" r="N56"/>
  <c i="16" r="Z56" s="1"/>
  <c i="16" r="F25"/>
  <c i="16" r="E86"/>
  <c i="3" r="U10"/>
  <c i="3" r="U7"/>
  <c i="3" r="U17"/>
  <c i="3" r="U5"/>
  <c i="3" r="U14"/>
  <c i="3" r="U12"/>
  <c i="3" r="U11"/>
  <c i="10" r="R132"/>
  <c i="10" r="R118"/>
  <c i="10" r="AD115"/>
  <c i="10" r="R125"/>
  <c i="10" r="K128"/>
  <c i="10" r="K132"/>
  <c i="10" r="K118"/>
  <c i="10" r="K131"/>
  <c i="10" r="AI131" s="1"/>
  <c i="10" r="O124"/>
  <c i="10" r="P96"/>
  <c i="10" r="G124"/>
  <c i="10" r="G129"/>
  <c i="10" r="P91"/>
  <c i="9" r="B127"/>
  <c i="16" r="AC110"/>
  <c i="9" r="AE43"/>
  <c i="9" r="W131"/>
  <c i="9" r="O95"/>
  <c i="9" r="AA95" s="1"/>
  <c i="9" r="O85"/>
  <c i="9" r="AA85" s="1"/>
  <c i="9" r="AA82"/>
  <c i="9" r="O91"/>
  <c i="9" r="AA91" s="1"/>
  <c i="9" r="O99"/>
  <c i="9" r="O94"/>
  <c i="9" r="AA94" s="1"/>
  <c i="9" r="O93"/>
  <c i="9" r="AA93" s="1"/>
  <c i="8" r="Z42"/>
  <c i="8" r="P56"/>
  <c i="9" r="B99"/>
  <c i="9" r="B97"/>
  <c i="9" r="B85"/>
  <c i="9" r="B93"/>
  <c i="9" r="B96"/>
  <c i="9" r="B91"/>
  <c i="8" r="W72"/>
  <c i="8" r="M86"/>
  <c i="8" r="M85"/>
  <c i="8" r="W85" s="1"/>
  <c i="8" r="M84"/>
  <c i="8" r="V42"/>
  <c i="8" r="L56"/>
  <c i="19" r="C12"/>
  <c i="9" r="K125"/>
  <c i="9" r="AA57"/>
  <c i="8" r="N82"/>
  <c i="8" r="X82" s="1"/>
  <c i="8" r="I54"/>
  <c i="8" r="M55"/>
  <c i="8" r="N81"/>
  <c i="8" r="X81" s="1"/>
  <c i="8" r="L84"/>
  <c i="9" r="S132"/>
  <c i="1" r="G41"/>
  <c i="1" r="I41" s="1"/>
  <c i="1" r="J41" s="1"/>
  <c i="1" r="G40"/>
  <c i="4" r="D45"/>
  <c i="4" r="Z45" s="1"/>
  <c i="17" r="G32"/>
  <c i="16" r="I123"/>
  <c i="16" r="AG123" s="1"/>
  <c i="16" r="W123"/>
  <c i="17" r="M133"/>
  <c i="17" r="M140"/>
  <c i="17" r="M147" s="1"/>
  <c i="16" r="W118"/>
  <c i="16" r="AJ106"/>
  <c i="16" r="F87"/>
  <c i="16" r="N124"/>
  <c i="16" r="N111"/>
  <c i="16" r="Z108"/>
  <c i="16" r="R85"/>
  <c i="17" r="J35"/>
  <c i="17" r="J40"/>
  <c i="17" r="N31"/>
  <c i="10" r="AH115"/>
  <c i="10" r="V130"/>
  <c i="10" r="V124"/>
  <c i="10" r="V132"/>
  <c i="10" r="AH132" s="1"/>
  <c i="10" r="V118"/>
  <c i="10" r="B132"/>
  <c i="10" r="B118"/>
  <c i="10" r="B126"/>
  <c i="10" r="Z126" s="1"/>
  <c i="10" r="B125"/>
  <c i="10" r="AC49"/>
  <c i="10" r="C63"/>
  <c i="10" r="C98"/>
  <c i="10" r="C94"/>
  <c i="10" r="C84"/>
  <c i="10" r="C97"/>
  <c i="10" r="C92"/>
  <c i="10" r="AA92" s="1"/>
  <c i="10" r="C90"/>
  <c i="10" r="C95"/>
  <c i="10" r="F124"/>
  <c i="10" r="AD13"/>
  <c i="10" r="R16"/>
  <c i="10" r="R30"/>
  <c i="1" r="C83"/>
  <c i="1" r="H83" s="1"/>
  <c i="10" r="F127"/>
  <c i="10" r="AD127" s="1"/>
  <c i="10" r="R97"/>
  <c i="10" r="R24"/>
  <c i="10" r="AI115"/>
  <c i="10" r="W130"/>
  <c i="10" r="W129"/>
  <c i="10" r="W128"/>
  <c i="10" r="W132"/>
  <c i="10" r="W118"/>
  <c i="9" r="K126"/>
  <c i="18" r="Q56"/>
  <c i="9" r="S16"/>
  <c i="9" r="S31"/>
  <c i="9" r="AE13"/>
  <c i="1" r="C54"/>
  <c i="1" r="H54" s="1"/>
  <c i="10" r="G47"/>
  <c i="10" r="G57" s="1"/>
  <c i="19" r="D9"/>
  <c i="20" r="D9"/>
  <c i="20" r="I23" s="1"/>
  <c i="9" r="P61"/>
  <c i="10" r="Q57"/>
  <c i="9" r="P63"/>
  <c i="19" r="AN10"/>
  <c i="19" r="AC13"/>
  <c i="9" r="O126"/>
  <c i="10" r="Z49"/>
  <c i="8" r="N21"/>
  <c i="8" r="X21" s="1"/>
  <c i="8" r="N79"/>
  <c i="8" r="I51"/>
  <c i="8" r="M52"/>
  <c i="9" r="AD98"/>
  <c i="8" r="P53"/>
  <c i="6" r="Y9"/>
  <c i="16" r="I121"/>
  <c i="16" r="D124"/>
  <c i="16" r="D111"/>
  <c i="16" r="G120"/>
  <c i="16" r="AE12"/>
  <c i="16" r="S15"/>
  <c i="16" r="S28"/>
  <c i="16" r="D79"/>
  <c i="16" r="D92"/>
  <c i="3" r="J9"/>
  <c i="16" r="K26"/>
  <c i="16" r="N21"/>
  <c i="16" r="Z21" s="1"/>
  <c i="16" r="P89"/>
  <c i="16" r="R27"/>
  <c i="16" r="AD27" s="1"/>
  <c i="16" r="E91"/>
  <c i="16" r="Q55"/>
  <c i="16" r="E25"/>
  <c i="16" r="AC25" s="1"/>
  <c i="16" r="X108"/>
  <c i="16" r="X119" s="1"/>
  <c i="16" r="AJ101"/>
  <c i="10" r="AE45"/>
  <c i="9" r="J129"/>
  <c i="9" r="J133"/>
  <c i="9" r="J119"/>
  <c i="10" r="E126"/>
  <c i="19" r="AC10"/>
  <c i="10" r="F16"/>
  <c i="10" r="F30"/>
  <c i="10" r="F24"/>
  <c i="1" r="B83"/>
  <c i="10" r="W124"/>
  <c i="9" r="U125"/>
  <c i="9" r="S30"/>
  <c i="9" r="AD93"/>
  <c i="9" r="Q95"/>
  <c i="9" r="Z48"/>
  <c i="9" r="N64"/>
  <c i="9" r="Z64" s="1"/>
  <c i="9" r="N61"/>
  <c i="9" r="N51"/>
  <c i="9" r="N65"/>
  <c i="9" r="Z65" s="1"/>
  <c i="9" r="N57"/>
  <c i="9" r="Z57" s="1"/>
  <c i="9" r="U130"/>
  <c i="8" r="AA72"/>
  <c i="8" r="Q86"/>
  <c i="8" r="AA86" s="1"/>
  <c i="9" r="E91"/>
  <c i="9" r="E94"/>
  <c i="9" r="E99"/>
  <c i="9" r="E92"/>
  <c i="9" r="AC92" s="1"/>
  <c i="9" r="E96"/>
  <c i="9" r="E85"/>
  <c i="8" r="X42"/>
  <c i="8" r="N56"/>
  <c i="8" r="W42"/>
  <c i="8" r="M56"/>
  <c i="9" r="F29"/>
  <c i="16" r="Z46"/>
  <c i="8" r="P54"/>
  <c i="9" r="AD82"/>
  <c i="8" r="R21"/>
  <c i="8" r="M50"/>
  <c i="8" r="I53"/>
  <c i="8" r="AC53" s="1"/>
  <c i="16" r="I117"/>
  <c i="16" r="Q91"/>
  <c i="16" r="K24"/>
  <c i="16" r="N87"/>
  <c i="16" r="Z87" s="1"/>
  <c i="16" r="E28"/>
  <c i="16" r="E15"/>
  <c i="19" r="X58"/>
  <c i="16" r="D47"/>
  <c i="16" r="D60"/>
  <c i="17" r="P140"/>
  <c i="17" r="P147" s="1"/>
  <c i="17" r="P133"/>
  <c i="16" r="K22"/>
  <c i="16" r="N88"/>
  <c i="10" r="AI125"/>
  <c i="16" r="R88"/>
  <c i="16" r="U23"/>
  <c i="10" r="R128"/>
  <c i="10" r="AE40"/>
  <c i="10" r="P90"/>
  <c i="10" r="N29"/>
  <c i="10" r="Z29" s="1"/>
  <c i="10" r="Z90"/>
  <c i="9" r="N133"/>
  <c i="9" r="N126"/>
  <c i="9" r="Z126" s="1"/>
  <c i="9" r="N131"/>
  <c i="9" r="N128"/>
  <c i="9" r="N119"/>
  <c i="9" r="Z116"/>
  <c i="10" r="C96"/>
  <c i="10" r="AA96" s="1"/>
  <c i="10" r="R95"/>
  <c i="10" r="U16"/>
  <c i="10" r="U30"/>
  <c i="10" r="AG13"/>
  <c i="10" r="U28"/>
  <c i="1" r="C85"/>
  <c i="1" r="H85" s="1"/>
  <c i="10" r="AE39"/>
  <c i="10" r="O98"/>
  <c i="10" r="O84"/>
  <c i="10" r="AA81"/>
  <c i="10" r="O97"/>
  <c i="10" r="O95"/>
  <c i="10" r="O93"/>
  <c i="10" r="E50"/>
  <c i="10" r="E63"/>
  <c i="10" r="E64"/>
  <c i="10" r="E61"/>
  <c i="10" r="AC61" s="1"/>
  <c i="9" r="U27"/>
  <c i="9" r="AG27" s="1"/>
  <c i="10" r="J16"/>
  <c i="10" r="J30"/>
  <c i="1" r="B86"/>
  <c i="20" r="D7"/>
  <c i="20" r="I21" s="1"/>
  <c i="19" r="D7"/>
  <c i="9" r="P99"/>
  <c i="9" r="AB82"/>
  <c i="9" r="P97"/>
  <c i="9" r="P95"/>
  <c i="9" r="P85"/>
  <c i="9" r="P94"/>
  <c i="8" r="AC72"/>
  <c i="8" r="S86"/>
  <c i="9" r="F95"/>
  <c i="9" r="AD95" s="1"/>
  <c i="9" r="V129"/>
  <c i="9" r="E61"/>
  <c i="9" r="E51"/>
  <c i="9" r="E64"/>
  <c i="9" r="E58"/>
  <c i="9" r="AC58" s="1"/>
  <c i="8" r="Z12"/>
  <c i="8" r="P26"/>
  <c i="9" r="R26"/>
  <c i="8" r="I86"/>
  <c i="8" r="R22"/>
  <c i="9" r="E59"/>
  <c i="8" r="N53"/>
  <c i="8" r="I50"/>
  <c i="8" r="G21"/>
  <c i="8" r="AA21" s="1"/>
  <c i="1" r="G23"/>
  <c i="1" r="D27"/>
  <c i="1" r="E27" s="1"/>
  <c i="16" r="I124"/>
  <c i="16" r="I111"/>
  <c i="16" r="K119"/>
  <c i="16" r="AJ104"/>
  <c i="16" r="G26"/>
  <c i="16" r="S22"/>
  <c i="16" r="I25"/>
  <c i="16" r="O27"/>
  <c i="16" r="W24"/>
  <c i="10" r="AA127"/>
  <c i="11" r="I352"/>
  <c i="19" r="N12"/>
  <c i="10" r="P97"/>
  <c i="10" r="P92"/>
  <c i="10" r="AB92" s="1"/>
  <c i="10" r="P84"/>
  <c i="10" r="P93"/>
  <c i="10" r="AB81"/>
  <c i="10" r="P98"/>
  <c i="10" r="N27"/>
  <c i="10" r="Z27" s="1"/>
  <c i="10" r="N24"/>
  <c i="10" r="Z24" s="1"/>
  <c i="10" r="W28"/>
  <c i="10" r="AI28" s="1"/>
  <c i="19" r="AB94"/>
  <c i="18" r="J89" s="1"/>
  <c i="10" r="C93"/>
  <c i="9" r="Z24"/>
  <c i="9" r="Q85"/>
  <c i="9" r="Q99"/>
  <c i="9" r="AC82"/>
  <c i="9" r="Q97"/>
  <c i="9" r="AC97" s="1"/>
  <c i="9" r="Q94"/>
  <c i="9" r="W127"/>
  <c i="9" r="D51"/>
  <c i="9" r="D64"/>
  <c i="9" r="D58"/>
  <c i="9" r="D60"/>
  <c i="9" r="D63"/>
  <c i="9" r="S29"/>
  <c i="9" r="AE29" s="1"/>
  <c i="9" r="O92"/>
  <c i="9" r="AA92" s="1"/>
  <c i="19" r="AC12"/>
  <c i="8" r="P25"/>
  <c i="9" r="O98"/>
  <c i="9" r="AA98" s="1"/>
  <c i="9" r="D57"/>
  <c i="9" r="AB57" s="1"/>
  <c i="8" r="P50"/>
  <c i="8" r="F26"/>
  <c i="8" r="F25"/>
  <c i="8" r="F22"/>
  <c i="8" r="F24"/>
  <c i="1" r="G71"/>
  <c i="16" r="U26"/>
  <c i="16" r="AE42"/>
  <c i="16" r="J15"/>
  <c i="16" r="J28"/>
  <c i="16" r="B89"/>
  <c i="16" r="B24"/>
  <c i="16" r="Z24" s="1"/>
  <c i="16" r="P92"/>
  <c i="16" r="P79"/>
  <c i="16" r="AB76"/>
  <c i="16" r="B26"/>
  <c i="16" r="Z26" s="1"/>
  <c i="16" r="U22"/>
  <c i="16" r="N55"/>
  <c i="16" r="W28"/>
  <c i="16" r="AL12"/>
  <c i="16" r="AI12"/>
  <c i="18" r="D41"/>
  <c i="17" r="N133"/>
  <c i="17" r="N140"/>
  <c i="17" r="N147" s="1"/>
  <c i="4" r="U78"/>
  <c i="4" r="U77"/>
  <c i="4" r="U80"/>
  <c i="16" r="W25"/>
  <c i="10" r="Z84"/>
  <c i="19" r="AN55"/>
  <c i="10" r="P64"/>
  <c i="10" r="AB64" s="1"/>
  <c i="10" r="P50"/>
  <c i="10" r="AB50" s="1"/>
  <c i="10" r="P56"/>
  <c i="10" r="P63"/>
  <c i="10" r="P60"/>
  <c i="10" r="P57"/>
  <c i="10" r="AB47"/>
  <c i="19" r="AL58"/>
  <c i="19" r="AA80"/>
  <c i="19" r="AA94" s="1"/>
  <c i="18" r="I89" s="1"/>
  <c i="19" r="AN52"/>
  <c i="10" r="N64"/>
  <c i="10" r="Z64" s="1"/>
  <c i="10" r="Z47"/>
  <c i="10" r="N60"/>
  <c i="10" r="Z60" s="1"/>
  <c i="10" r="N63"/>
  <c i="10" r="Z63" s="1"/>
  <c i="10" r="N57"/>
  <c i="10" r="Z57" s="1"/>
  <c i="10" r="N59"/>
  <c i="10" r="Z59" s="1"/>
  <c i="10" r="S47"/>
  <c i="10" r="S62" s="1"/>
  <c i="10" r="N58"/>
  <c i="10" r="N50"/>
  <c i="10" r="Z50" s="1"/>
  <c i="3" r="U13"/>
  <c i="19" r="AN7"/>
  <c i="9" r="N85"/>
  <c i="9" r="Z82"/>
  <c i="9" r="N99"/>
  <c i="9" r="N91"/>
  <c i="9" r="N95"/>
  <c i="9" r="N94"/>
  <c i="9" r="AE46"/>
  <c i="8" r="Y42"/>
  <c i="8" r="O56"/>
  <c i="8" r="Y56" s="1"/>
  <c i="9" r="D61"/>
  <c i="10" r="E57"/>
  <c i="10" r="AE44"/>
  <c i="9" r="K27"/>
  <c i="9" r="O25"/>
  <c i="9" r="E60"/>
  <c i="9" r="AC60" s="1"/>
  <c i="19" r="C11"/>
  <c i="9" r="AC48"/>
  <c i="8" r="P51"/>
  <c i="8" r="M54"/>
  <c i="8" r="P22"/>
  <c i="9" r="K29"/>
  <c i="9" r="AI29" s="1"/>
  <c i="8" r="O20"/>
  <c i="8" r="Y20" s="1"/>
  <c i="8" r="H26"/>
  <c i="8" r="H25"/>
  <c i="8" r="AB25" s="1"/>
  <c i="8" r="H22"/>
  <c i="8" r="P24"/>
  <c i="1" r="G65"/>
  <c i="16" r="W111"/>
  <c i="16" r="AI108"/>
  <c i="16" r="W124"/>
  <c i="4" r="J8"/>
  <c i="4" r="J6"/>
  <c i="4" r="J5"/>
  <c i="16" r="J21"/>
  <c i="16" r="F28"/>
  <c i="16" r="F15"/>
  <c i="16" r="P56"/>
  <c i="16" r="F23"/>
  <c i="16" r="AD23" s="1"/>
  <c i="16" r="V24"/>
  <c i="4" r="J29"/>
  <c i="4" r="J32"/>
  <c i="4" r="J31"/>
  <c i="4" r="J30"/>
  <c i="16" r="N59"/>
  <c i="16" r="O22"/>
  <c i="20" r="D19"/>
  <c i="20" r="D27" s="1"/>
  <c i="18" r="D27"/>
  <c i="3" r="U9"/>
  <c i="17" r="N83"/>
  <c i="17" r="N91" s="1"/>
  <c i="17" r="N76"/>
  <c i="9" r="O130"/>
  <c i="9" r="D131"/>
  <c i="10" r="P23"/>
  <c i="10" r="E16"/>
  <c i="10" r="E27"/>
  <c i="10" r="E24"/>
  <c i="10" r="E30"/>
  <c i="10" r="E23"/>
  <c i="10" r="AC23" s="1"/>
  <c i="1" r="B82"/>
  <c i="10" r="N56"/>
  <c i="10" r="Z56" s="1"/>
  <c i="10" r="AD15"/>
  <c i="10" r="AE41"/>
  <c i="19" r="AB58"/>
  <c i="20" r="D5"/>
  <c i="20" r="D33" s="1"/>
  <c i="19" r="D5"/>
  <c i="18" r="D13"/>
  <c i="9" r="U28"/>
  <c i="9" r="AG28" s="1"/>
  <c i="9" r="S28"/>
  <c i="9" r="AE44"/>
  <c i="9" r="S25"/>
  <c i="9" r="AE25" s="1"/>
  <c i="9" r="R132"/>
  <c i="10" r="N61"/>
  <c i="10" r="Z61" s="1"/>
  <c i="9" r="G48"/>
  <c i="9" r="G51" s="1"/>
  <c i="8" r="L85"/>
  <c i="8" r="V85" s="1"/>
  <c i="8" r="M51"/>
  <c i="8" r="N83"/>
  <c i="8" r="M83"/>
  <c i="8" r="W83" s="1"/>
  <c i="8" r="N55"/>
  <c i="8" r="N23"/>
  <c i="8" r="F49"/>
  <c i="10" r="C91"/>
  <c i="8" r="P21"/>
  <c i="16" r="F92"/>
  <c i="16" r="C79"/>
  <c i="16" r="C92"/>
  <c i="16" r="N58"/>
  <c i="3" r="J16"/>
  <c i="16" r="J26"/>
  <c i="4" r="J80"/>
  <c i="4" r="J77"/>
  <c i="4" r="J78"/>
  <c i="16" r="AG119"/>
  <c i="3" r="J8"/>
  <c i="16" r="O24"/>
  <c i="16" r="D87"/>
  <c i="16" r="P124"/>
  <c i="16" r="P111"/>
  <c i="16" r="AB108"/>
  <c i="16" r="O123"/>
  <c i="3" r="J17"/>
  <c i="16" r="AE39"/>
  <c i="16" r="R22"/>
  <c i="10" r="P129"/>
  <c i="10" r="V131"/>
  <c i="10" r="C64"/>
  <c i="10" r="AA64" s="1"/>
  <c i="10" r="C50"/>
  <c i="10" r="C62"/>
  <c i="10" r="AA62" s="1"/>
  <c i="10" r="C56"/>
  <c i="10" r="AA56" s="1"/>
  <c i="10" r="C61"/>
  <c i="10" r="AA61" s="1"/>
  <c i="10" r="P62"/>
  <c i="10" r="AB62" s="1"/>
  <c i="10" r="W23"/>
  <c i="9" r="W128"/>
  <c i="19" r="AN54"/>
  <c i="10" r="P58"/>
  <c i="10" r="AB58" s="1"/>
  <c i="10" r="G23"/>
  <c i="10" r="AC47"/>
  <c i="10" r="Q50"/>
  <c i="10" r="Q63"/>
  <c i="10" r="Q62"/>
  <c i="10" r="Q64"/>
  <c i="10" r="W126"/>
  <c i="9" r="D128"/>
  <c i="9" r="AB116"/>
  <c i="9" r="N27"/>
  <c i="9" r="Z27" s="1"/>
  <c i="9" r="P65"/>
  <c i="9" r="AB65" s="1"/>
  <c i="9" r="P51"/>
  <c i="9" r="AB48"/>
  <c i="9" r="P62"/>
  <c i="9" r="AB62" s="1"/>
  <c i="9" r="F27"/>
  <c i="9" r="F92"/>
  <c i="9" r="AD92" s="1"/>
  <c i="9" r="F85"/>
  <c i="9" r="AD85" s="1"/>
  <c i="9" r="F99"/>
  <c i="9" r="AD99" s="1"/>
  <c i="9" r="F91"/>
  <c i="9" r="AD91" s="1"/>
  <c i="1" r="B42"/>
  <c i="9" r="AE42"/>
  <c i="9" r="B51"/>
  <c i="9" r="B62"/>
  <c i="9" r="Z62" s="1"/>
  <c i="9" r="B29"/>
  <c i="8" r="N80"/>
  <c i="8" r="X80" s="1"/>
  <c i="8" r="M80"/>
  <c i="8" r="N52"/>
  <c i="8" r="X52" s="1"/>
  <c i="1" r="G27"/>
  <c i="1" r="G24"/>
  <c i="1" r="G37"/>
  <c i="1" r="G21"/>
  <c i="1" r="G70"/>
  <c i="1" r="G68"/>
  <c i="1" r="G66"/>
  <c i="1" r="G64"/>
  <c i="1" r="K26"/>
  <c i="1" r="G22"/>
  <c i="1" r="G26"/>
  <c i="1" r="I26" s="1"/>
  <c i="1" r="G39"/>
  <c i="1" r="G25"/>
  <c i="1" r="G38"/>
  <c i="1" r="I38" s="1"/>
  <c i="1" r="J38" s="1"/>
  <c i="16" r="AB91"/>
  <c i="11" r="I375"/>
  <c i="17" r="E187"/>
  <c i="16" r="AJ102"/>
  <c i="16" r="U27"/>
  <c i="16" r="B124"/>
  <c i="16" r="B111"/>
  <c i="3" r="U15"/>
  <c i="16" r="R124"/>
  <c i="16" r="R111"/>
  <c i="16" r="AD108"/>
  <c i="10" r="AJ114"/>
  <c i="3" r="J12"/>
  <c i="16" r="N23"/>
  <c i="10" r="F95"/>
  <c i="10" r="F98"/>
  <c i="10" r="W22"/>
  <c i="10" r="AI13"/>
  <c i="10" r="W30"/>
  <c i="10" r="W27"/>
  <c i="10" r="W29"/>
  <c i="1" r="C72"/>
  <c i="10" r="AC60"/>
  <c i="9" r="I133"/>
  <c i="9" r="I119"/>
  <c i="10" r="O25"/>
  <c i="10" r="D128"/>
  <c i="10" r="AB128" s="1"/>
  <c i="9" r="F119"/>
  <c i="9" r="F133"/>
  <c i="9" r="F130"/>
  <c i="9" r="AD130" s="1"/>
  <c i="9" r="F129"/>
  <c i="10" r="V125"/>
  <c i="9" r="F132"/>
  <c i="18" r="R56"/>
  <c i="9" r="U16"/>
  <c i="9" r="U31"/>
  <c i="9" r="AG13"/>
  <c i="1" r="C55"/>
  <c i="1" r="H55" s="1"/>
  <c i="1" r="I55" s="1"/>
  <c i="9" r="U23"/>
  <c i="9" r="S23"/>
  <c i="9" r="F28"/>
  <c i="19" r="W58"/>
  <c i="19" r="V14"/>
  <c i="9" r="U26"/>
  <c i="8" r="P55"/>
  <c i="8" r="O55"/>
  <c i="8" r="Y55" s="1"/>
  <c i="8" r="N20"/>
  <c i="8" r="F19"/>
  <c i="8" r="Z19" s="1"/>
  <c i="1" r="G72"/>
  <c i="16" r="E85"/>
  <c i="17" r="C187"/>
  <c i="16" r="AE38"/>
  <c i="16" r="Q118"/>
  <c i="16" r="R25"/>
  <c i="16" r="U111"/>
  <c i="16" r="AG108"/>
  <c i="16" r="U124"/>
  <c i="16" r="T123"/>
  <c i="16" r="B117"/>
  <c i="16" r="E60"/>
  <c i="16" r="E47"/>
  <c i="16" r="B123"/>
  <c i="16" r="P88"/>
  <c i="16" r="R24"/>
  <c i="16" r="AD24" s="1"/>
  <c i="17" r="L41"/>
  <c i="17" r="L44" s="1"/>
  <c i="17" r="L35"/>
  <c i="10" r="K126"/>
  <c i="4" r="U68"/>
  <c i="4" r="AF68" s="1"/>
  <c i="4" r="U67"/>
  <c i="4" r="AF67" s="1"/>
  <c i="4" r="U66"/>
  <c i="4" r="AF66" s="1"/>
  <c i="4" r="U65"/>
  <c i="9" r="O131"/>
  <c i="16" r="L110"/>
  <c i="10" r="L117"/>
  <c i="10" r="W26"/>
  <c i="10" r="P26"/>
  <c i="10" r="AB26" s="1"/>
  <c i="10" r="E127"/>
  <c i="19" r="AK58"/>
  <c i="10" r="I16"/>
  <c i="10" r="I30"/>
  <c i="10" r="I23"/>
  <c i="10" r="AG23" s="1"/>
  <c i="10" r="I24"/>
  <c i="10" r="AG24" s="1"/>
  <c i="1" r="B85"/>
  <c i="9" r="I126"/>
  <c i="9" r="D130"/>
  <c i="9" r="U30"/>
  <c i="9" r="C130"/>
  <c i="18" r="O56"/>
  <c i="9" r="Q31"/>
  <c i="9" r="AC13"/>
  <c i="9" r="Q16"/>
  <c i="9" r="Q24"/>
  <c i="9" r="AC24" s="1"/>
  <c i="9" r="Q29"/>
  <c i="9" r="AC29" s="1"/>
  <c i="9" r="Q26"/>
  <c i="9" r="Q30"/>
  <c i="1" r="C52"/>
  <c i="1" r="H52" s="1"/>
  <c i="1" r="I52" s="1"/>
  <c i="18" r="J56"/>
  <c i="19" r="C27" s="1"/>
  <c i="9" r="J31"/>
  <c i="9" r="J16"/>
  <c i="1" r="B56"/>
  <c i="9" r="N59"/>
  <c i="10" r="S27"/>
  <c i="9" r="U25"/>
  <c i="16" r="X110"/>
  <c i="10" r="X117"/>
  <c i="9" r="AJ118"/>
  <c i="9" r="R127"/>
  <c i="9" r="F24"/>
  <c i="9" r="F25"/>
  <c i="9" r="AD25" s="1"/>
  <c i="9" r="K26"/>
  <c i="8" r="P52"/>
  <c i="8" r="O52"/>
  <c i="8" r="Y52" s="1"/>
  <c i="8" r="I55"/>
  <c i="8" r="M20"/>
  <c i="8" r="W20" s="1"/>
  <c i="8" r="F21"/>
  <c i="9" r="N23"/>
  <c i="8" r="H23"/>
  <c i="8" r="F20"/>
  <c i="8" r="Z20" s="1"/>
  <c i="1" r="G67"/>
  <c i="19" r="C43"/>
  <c i="19" r="H43" s="1"/>
  <c i="9" r="P58"/>
  <c i="12" r="I375"/>
  <c i="16" r="AC54"/>
  <c i="16" r="I28"/>
  <c i="16" r="I15"/>
  <c i="16" r="O60"/>
  <c i="16" r="O47"/>
  <c i="16" r="AA44"/>
  <c i="16" r="H121"/>
  <c i="16" r="L108"/>
  <c i="16" r="P59"/>
  <c i="10" r="C124"/>
  <c i="10" r="C132"/>
  <c i="10" r="C118"/>
  <c i="10" r="C126"/>
  <c i="10" r="C130"/>
  <c i="10" r="AA130" s="1"/>
  <c i="10" r="C125"/>
  <c i="10" r="E128"/>
  <c i="10" r="E98"/>
  <c i="10" r="E96"/>
  <c i="10" r="E94"/>
  <c i="10" r="AC94" s="1"/>
  <c i="10" r="E84"/>
  <c i="10" r="E90"/>
  <c i="10" r="E92"/>
  <c i="10" r="E97"/>
  <c i="9" r="AJ110"/>
  <c i="10" r="C59"/>
  <c i="10" r="O22"/>
  <c i="10" r="N23"/>
  <c i="10" r="Z23" s="1"/>
  <c i="9" r="C131"/>
  <c i="19" r="AH58"/>
  <c i="10" r="U118"/>
  <c i="10" r="AG115"/>
  <c i="10" r="U130"/>
  <c i="10" r="AG130" s="1"/>
  <c i="10" r="U125"/>
  <c i="10" r="AG125" s="1"/>
  <c i="10" r="U132"/>
  <c i="10" r="AG132" s="1"/>
  <c i="10" r="U127"/>
  <c i="10" r="AG127" s="1"/>
  <c i="9" r="G133"/>
  <c i="9" r="G132"/>
  <c i="9" r="G130"/>
  <c i="9" r="G119"/>
  <c i="9" r="C128"/>
  <c i="9" r="E127"/>
  <c i="9" r="AC127" s="1"/>
  <c i="9" r="R23"/>
  <c i="9" r="F30"/>
  <c i="9" r="H130"/>
  <c i="8" r="N54"/>
  <c i="8" r="X54" s="1"/>
  <c i="8" r="O49"/>
  <c i="8" r="Y49" s="1"/>
  <c i="8" r="I25"/>
  <c i="8" r="I52"/>
  <c i="8" r="AA12"/>
  <c i="8" r="Q25"/>
  <c i="8" r="Q26"/>
  <c i="8" r="AA26" s="1"/>
  <c i="8" r="Q23"/>
  <c i="8" r="H84"/>
  <c i="8" r="H20"/>
  <c i="1" r="G36"/>
  <c i="16" r="J124"/>
  <c i="16" r="J111"/>
  <c i="16" r="I27"/>
  <c i="16" r="P87"/>
  <c i="16" r="Q90"/>
  <c i="16" r="AC90" s="1"/>
  <c i="16" r="AC23"/>
  <c i="16" r="E124"/>
  <c i="16" r="E111"/>
  <c i="16" r="P25"/>
  <c i="16" r="U117"/>
  <c i="16" r="E87"/>
  <c i="4" r="J7"/>
  <c i="4" r="AF7" s="1"/>
  <c i="16" r="E57"/>
  <c i="16" r="AC57" s="1"/>
  <c i="17" r="O133"/>
  <c i="17" r="O140"/>
  <c i="17" r="O147" s="1"/>
  <c i="10" r="G128"/>
  <c i="10" r="G132"/>
  <c i="10" r="G127"/>
  <c i="10" r="G118"/>
  <c i="10" r="G125"/>
  <c i="10" r="AJ110"/>
  <c i="10" r="X127"/>
  <c i="16" r="Q15"/>
  <c i="16" r="AC12"/>
  <c i="16" r="Q28"/>
  <c i="16" r="R91"/>
  <c i="16" r="AD91" s="1"/>
  <c i="19" r="V58"/>
  <c i="10" r="R26"/>
  <c i="10" r="S29"/>
  <c i="10" r="AE29" s="1"/>
  <c i="10" r="F26"/>
  <c i="10" r="AC13"/>
  <c i="10" r="Q30"/>
  <c i="10" r="Q16"/>
  <c i="10" r="Q29"/>
  <c i="10" r="Q28"/>
  <c i="1" r="C82"/>
  <c i="1" r="H82" s="1"/>
  <c i="10" r="AE43"/>
  <c i="9" r="N129"/>
  <c i="10" r="G27"/>
  <c i="10" r="AF117"/>
  <c i="10" r="E25"/>
  <c i="10" r="AC25" s="1"/>
  <c i="10" r="D25"/>
  <c i="10" r="AB25" s="1"/>
  <c i="10" r="D16"/>
  <c i="10" r="D30"/>
  <c i="10" r="D27"/>
  <c i="10" r="D23"/>
  <c i="1" r="B81"/>
  <c i="10" r="U124"/>
  <c i="10" r="AG124" s="1"/>
  <c i="9" r="G125"/>
  <c i="9" r="F127"/>
  <c i="9" r="E125"/>
  <c i="9" r="AC125" s="1"/>
  <c i="9" r="F126"/>
  <c i="8" r="Q82"/>
  <c i="9" r="R29"/>
  <c i="8" r="AC42"/>
  <c i="8" r="S56"/>
  <c i="18" r="H56"/>
  <c i="19" r="C25" s="1"/>
  <c i="9" r="G30"/>
  <c i="9" r="G26"/>
  <c i="9" r="AE26" s="1"/>
  <c i="9" r="G31"/>
  <c i="9" r="G16"/>
  <c i="1" r="B54"/>
  <c i="9" r="S24"/>
  <c i="9" r="AE24" s="1"/>
  <c i="10" r="AB117"/>
  <c i="18" r="C56"/>
  <c i="19" r="C20" s="1"/>
  <c i="9" r="B31"/>
  <c i="9" r="B30"/>
  <c i="9" r="B16"/>
  <c i="1" r="B49"/>
  <c i="9" r="Q98"/>
  <c i="9" r="AC98" s="1"/>
  <c i="19" r="U14"/>
  <c i="19" r="AC6"/>
  <c i="9" r="G128"/>
  <c i="10" r="AH15"/>
  <c i="19" r="N42"/>
  <c i="19" r="E42"/>
  <c i="19" r="F42" s="1"/>
  <c i="8" r="M21"/>
  <c i="10" r="AG15"/>
  <c i="8" r="AA42"/>
  <c i="8" r="Q56"/>
  <c i="8" r="AA56" s="1"/>
  <c i="8" r="I22"/>
  <c i="8" r="I49"/>
  <c i="8" r="I23"/>
  <c i="8" r="H81"/>
  <c i="8" r="H19"/>
  <c i="9" r="D97"/>
  <c i="16" r="F123"/>
  <c i="16" r="AD123" s="1"/>
  <c i="16" r="B25"/>
  <c i="16" r="S26"/>
  <c i="16" r="D120"/>
  <c i="16" r="AB120" s="1"/>
  <c i="16" r="P26"/>
  <c i="16" r="R90"/>
  <c i="16" r="N86"/>
  <c i="16" r="C88"/>
  <c i="16" r="C47"/>
  <c i="16" r="C60"/>
  <c i="16" r="P55"/>
  <c i="16" r="N22"/>
  <c i="16" r="N27"/>
  <c i="16" r="Z27" s="1"/>
  <c i="10" r="L115"/>
  <c i="10" r="L125" s="1"/>
  <c i="4" r="U20"/>
  <c i="4" r="AF20" s="1"/>
  <c i="4" r="U17"/>
  <c i="4" r="U18"/>
  <c i="4" r="AF18" s="1"/>
  <c i="4" r="U19"/>
  <c i="4" r="AF19" s="1"/>
  <c i="3" r="U16"/>
  <c i="10" r="Z93"/>
  <c i="10" r="C25"/>
  <c i="9" r="K131"/>
  <c i="10" r="AI117"/>
  <c i="16" r="AF110"/>
  <c i="10" r="C29"/>
  <c i="9" r="F125"/>
  <c i="16" r="R78"/>
  <c i="10" r="R83"/>
  <c i="9" r="AD84"/>
  <c i="16" r="W14"/>
  <c i="10" r="W15"/>
  <c i="9" r="AI15"/>
  <c i="16" r="K14"/>
  <c i="16" r="K15" s="1"/>
  <c i="10" r="K15"/>
  <c i="10" r="K16" s="1"/>
  <c i="8" r="S25"/>
  <c i="16" r="AB110"/>
  <c i="9" r="K28"/>
  <c i="9" r="AI28" s="1"/>
  <c i="9" r="P96"/>
  <c i="19" r="C5"/>
  <c i="9" r="J131"/>
  <c i="9" r="J127"/>
  <c i="16" r="AH14"/>
  <c i="16" r="AG14"/>
  <c i="8" r="P49"/>
  <c i="8" r="I19"/>
  <c i="8" r="AC19" s="1"/>
  <c i="8" r="R24"/>
  <c i="8" r="M81"/>
  <c i="8" r="W81" s="1"/>
  <c i="8" r="H53"/>
  <c i="8" r="H24"/>
  <c i="1" r="G20"/>
  <c i="16" r="C117"/>
  <c i="16" r="AA117" s="1"/>
  <c i="16" r="F121"/>
  <c i="16" r="AD121" s="1"/>
  <c i="16" r="H122"/>
  <c i="16" r="AF122" s="1"/>
  <c i="16" r="G22"/>
  <c i="16" r="AH12"/>
  <c i="16" r="V28"/>
  <c i="16" r="V15"/>
  <c i="16" r="P58"/>
  <c i="16" r="N57"/>
  <c i="16" r="S25"/>
  <c i="16" r="K25"/>
  <c i="3" r="J15"/>
  <c i="16" r="Q123"/>
  <c i="16" r="AC123" s="1"/>
  <c i="16" r="G25"/>
  <c i="16" r="J122"/>
  <c i="4" r="U42"/>
  <c i="4" r="U41"/>
  <c i="4" r="U44"/>
  <c i="4" r="U43"/>
  <c i="4" r="AF43" s="1"/>
  <c i="16" r="V26"/>
  <c i="17" r="N34"/>
  <c i="10" r="F131"/>
  <c i="10" r="AD131" s="1"/>
  <c i="10" r="P22"/>
  <c i="10" r="AB22" s="1"/>
  <c i="9" r="AE41"/>
  <c i="10" r="V16"/>
  <c i="10" r="V30"/>
  <c i="10" r="AH13"/>
  <c i="10" r="AH25"/>
  <c i="1" r="C86"/>
  <c i="1" r="H86" s="1"/>
  <c i="9" r="H133"/>
  <c i="9" r="H119"/>
  <c i="9" r="H128"/>
  <c i="10" r="P27"/>
  <c i="10" r="C128"/>
  <c i="16" r="AI110"/>
  <c i="9" r="B133"/>
  <c i="9" r="B119"/>
  <c i="9" r="B128"/>
  <c i="9" r="B131"/>
  <c i="10" r="G24"/>
  <c i="10" r="AA83"/>
  <c i="10" r="Z83"/>
  <c i="19" r="AC9"/>
  <c i="18" r="M56"/>
  <c i="9" r="O31"/>
  <c i="9" r="O16"/>
  <c i="9" r="AA13"/>
  <c i="1" r="C50"/>
  <c i="1" r="H50" s="1"/>
  <c i="8" r="S24"/>
  <c i="18" r="D56"/>
  <c i="19" r="C21" s="1"/>
  <c i="9" r="C31"/>
  <c i="9" r="C16"/>
  <c i="9" r="C26"/>
  <c i="9" r="AA26" s="1"/>
  <c i="9" r="C27"/>
  <c i="1" r="B50"/>
  <c i="9" r="AJ114"/>
  <c i="9" r="O27"/>
  <c i="8" r="I56"/>
  <c i="9" r="K130"/>
  <c i="19" r="AN9"/>
  <c i="9" r="J125"/>
  <c i="10" r="O50"/>
  <c i="19" r="N40"/>
  <c i="19" r="E40"/>
  <c i="19" r="F40" s="1"/>
  <c i="8" r="R19"/>
  <c i="19" r="N41"/>
  <c i="19" r="E41"/>
  <c i="19" r="F41" s="1"/>
  <c i="8" r="P23"/>
  <c i="8" r="Z23" s="1"/>
  <c i="8" r="G23"/>
  <c i="8" r="R51"/>
  <c i="8" r="H21"/>
  <c i="4" r="U6"/>
  <c i="16" r="F119"/>
  <c i="17" r="C76"/>
  <c i="16" r="H118"/>
  <c i="16" r="AF118" s="1"/>
  <c i="16" r="F118"/>
  <c i="16" r="Q86"/>
  <c i="16" r="AE41"/>
  <c i="16" r="O23"/>
  <c i="16" r="AA23" s="1"/>
  <c i="16" r="J23"/>
  <c i="16" r="AH23" s="1"/>
  <c i="16" r="I23"/>
  <c i="16" r="W22"/>
  <c i="16" r="O92"/>
  <c i="16" r="AA76"/>
  <c i="16" r="O79"/>
  <c i="16" r="T111"/>
  <c i="16" r="AF108"/>
  <c i="16" r="T124"/>
  <c i="16" r="Q121"/>
  <c i="16" r="B23"/>
  <c i="16" r="U24"/>
  <c i="16" r="O124"/>
  <c i="16" r="O111"/>
  <c i="16" r="AA108"/>
  <c i="16" r="AJ107"/>
  <c i="16" r="F90"/>
  <c i="17" r="K44"/>
  <c i="17" r="N43"/>
  <c i="10" r="V128"/>
  <c i="10" r="T128"/>
  <c i="10" r="F129"/>
  <c i="9" r="R125"/>
  <c i="9" r="R119"/>
  <c i="9" r="AD116"/>
  <c i="9" r="R133"/>
  <c i="9" r="R126"/>
  <c i="19" r="AC50"/>
  <c i="19" r="U58"/>
  <c i="10" r="G126"/>
  <c i="10" r="F128"/>
  <c i="10" r="N25"/>
  <c i="10" r="Z25" s="1"/>
  <c i="10" r="W24"/>
  <c i="10" r="AI24" s="1"/>
  <c i="10" r="P95"/>
  <c i="10" r="AB95" s="1"/>
  <c i="9" r="E119"/>
  <c i="9" r="E133"/>
  <c i="9" r="E129"/>
  <c i="9" r="AC129" s="1"/>
  <c i="10" r="R22"/>
  <c i="9" r="J132"/>
  <c i="9" r="AH132" s="1"/>
  <c i="10" r="C58"/>
  <c i="10" r="AA58" s="1"/>
  <c i="16" r="AA78"/>
  <c i="19" r="C8"/>
  <c i="9" r="O30"/>
  <c i="8" r="S23"/>
  <c i="9" r="U24"/>
  <c i="9" r="T127"/>
  <c i="9" r="AF127" s="1"/>
  <c i="9" r="P98"/>
  <c i="9" r="AB98" s="1"/>
  <c i="8" r="I85"/>
  <c i="8" r="I84"/>
  <c i="8" r="I83"/>
  <c i="8" r="AC83" s="1"/>
  <c i="8" r="I82"/>
  <c i="8" r="I81"/>
  <c i="8" r="AC81" s="1"/>
  <c i="8" r="I80"/>
  <c i="8" r="AC80" s="1"/>
  <c i="8" r="I79"/>
  <c i="8" r="I26"/>
  <c i="9" r="J128"/>
  <c i="10" r="AA47"/>
  <c i="19" r="AC11"/>
  <c i="20" r="D38"/>
  <c i="8" r="I24"/>
  <c i="8" r="R52"/>
  <c i="8" r="AB52" s="1"/>
  <c i="8" r="V12"/>
  <c i="8" r="L26"/>
  <c i="8" r="V26" s="1"/>
  <c i="20" r="D39"/>
  <c i="8" r="O53"/>
  <c i="8" r="Y53" s="1"/>
  <c i="4" r="U5"/>
  <c i="6" l="1" r="AB21"/>
  <c i="4" r="Z21"/>
  <c i="16" r="AB26"/>
  <c i="10" r="AI127"/>
  <c i="9" r="AA59"/>
  <c i="16" r="AA121"/>
  <c i="7" r="L23"/>
  <c i="5" r="X30"/>
  <c i="10" r="AB60"/>
  <c i="8" r="W56"/>
  <c i="10" r="AB91"/>
  <c i="1" r="I24"/>
  <c i="10" r="AB129"/>
  <c i="8" r="W80"/>
  <c i="8" r="AA24"/>
  <c i="8" r="AB81"/>
  <c i="16" r="AE27"/>
  <c i="9" r="AE126"/>
  <c i="9" r="AC132"/>
  <c i="8" r="AC22"/>
  <c i="10" r="AC96"/>
  <c i="16" r="AH27"/>
  <c i="6" r="AF81"/>
  <c i="5" r="AF41"/>
  <c i="6" r="X21"/>
  <c i="9" r="AC61"/>
  <c i="10" r="Z96"/>
  <c i="8" r="Z53"/>
  <c i="4" r="AA33"/>
  <c i="4" r="AC21"/>
  <c i="4" r="Z81"/>
  <c i="5" r="AF74"/>
  <c i="6" r="AA21"/>
  <c i="6" r="AA33"/>
  <c i="5" r="Y8"/>
  <c i="5" r="AA30"/>
  <c i="3" r="AF10"/>
  <c i="9" r="AA99"/>
  <c i="4" r="AD57"/>
  <c i="10" r="AI26"/>
  <c i="6" r="AF57"/>
  <c i="5" r="Y41"/>
  <c i="8" r="Y83"/>
  <c i="6" r="Y45"/>
  <c i="2" r="AD9"/>
  <c i="6" r="AA9"/>
  <c i="16" r="Z117"/>
  <c i="9" r="AB24"/>
  <c i="6" r="AD9"/>
  <c i="8" r="AB84"/>
  <c i="9" r="AI27"/>
  <c i="8" r="AA55"/>
  <c i="10" r="AF126"/>
  <c i="1" r="I34"/>
  <c i="1" r="J34" s="1"/>
  <c i="8" r="AA79"/>
  <c i="10" r="Z94"/>
  <c i="10" r="AF127"/>
  <c i="10" r="AA94"/>
  <c i="9" r="AE129"/>
  <c i="8" r="W52"/>
  <c i="10" r="AA57"/>
  <c i="9" r="AB119"/>
  <c i="3" r="AA18"/>
  <c i="16" r="AF121"/>
  <c i="16" r="Z58"/>
  <c i="8" r="W82"/>
  <c i="4" r="X33"/>
  <c i="9" r="AH24"/>
  <c i="9" r="AC95"/>
  <c i="10" r="Z125"/>
  <c i="8" r="W86"/>
  <c i="9" r="AF130"/>
  <c i="16" r="Z59"/>
  <c i="10" r="AB93"/>
  <c i="16" r="AA56"/>
  <c i="16" r="AF124"/>
  <c i="16" r="AF111"/>
  <c i="16" r="AH24"/>
  <c i="10" r="AH124"/>
  <c i="1" r="I79"/>
  <c i="1" r="J79" s="1"/>
  <c i="9" r="AF126"/>
  <c i="4" r="X9"/>
  <c i="8" r="Z56"/>
  <c i="10" r="AC62"/>
  <c i="9" r="AA58"/>
  <c i="1" r="H21"/>
  <c i="1" r="K21" s="1"/>
  <c i="1" r="L21" s="1"/>
  <c i="16" r="AA24"/>
  <c i="16" r="AB54"/>
  <c i="9" r="AB129"/>
  <c i="1" r="H68"/>
  <c i="1" r="I68" s="1"/>
  <c i="1" r="J68" s="1"/>
  <c i="1" r="H66"/>
  <c i="1" r="I66" s="1"/>
  <c i="1" r="J66" s="1"/>
  <c i="9" r="AE28"/>
  <c i="9" r="AC131"/>
  <c i="1" r="H65"/>
  <c i="1" r="I65" s="1"/>
  <c i="1" r="J65" s="1"/>
  <c i="9" r="AI128"/>
  <c i="16" r="AB123"/>
  <c i="4" r="AB45"/>
  <c i="10" r="AC28"/>
  <c i="1" r="H23"/>
  <c i="1" r="K23" s="1"/>
  <c i="1" r="L23" s="1"/>
  <c i="17" r="F196"/>
  <c i="17" r="P210" s="1"/>
  <c i="16" r="AD88"/>
  <c i="8" r="AB49"/>
  <c i="17" r="C143"/>
  <c i="17" r="M157" s="1"/>
  <c i="17" r="M171" s="1"/>
  <c i="17" r="X64" s="1"/>
  <c i="17" r="Y64" s="1"/>
  <c i="1" r="H39"/>
  <c i="1" r="H19"/>
  <c i="1" r="K19" s="1"/>
  <c i="1" r="L19" s="1"/>
  <c i="8" r="X85"/>
  <c i="16" r="Z91"/>
  <c i="1" r="H27"/>
  <c i="1" r="K27" s="1"/>
  <c i="1" r="L27" s="1"/>
  <c i="6" r="AD81"/>
  <c i="5" r="Y74"/>
  <c i="4" r="X69"/>
  <c i="1" r="H25"/>
  <c i="1" r="K25" s="1"/>
  <c i="1" r="L25" s="1"/>
  <c i="10" r="AA84"/>
  <c i="10" r="AH118"/>
  <c i="9" r="AB95"/>
  <c i="1" r="H67"/>
  <c i="1" r="I67" s="1"/>
  <c i="1" r="J67" s="1"/>
  <c i="1" r="H40"/>
  <c i="1" r="I40" s="1"/>
  <c i="1" r="J40" s="1"/>
  <c i="1" r="H22"/>
  <c i="1" r="K22" s="1"/>
  <c i="1" r="L22" s="1"/>
  <c i="1" r="H69"/>
  <c i="1" r="I69" s="1"/>
  <c i="1" r="J69" s="1"/>
  <c i="1" r="H37"/>
  <c i="1" r="I37" s="1"/>
  <c i="1" r="J37" s="1"/>
  <c i="16" r="AH120"/>
  <c i="8" r="Y50"/>
  <c i="1" r="H20"/>
  <c i="1" r="K20" s="1"/>
  <c i="1" r="L20" s="1"/>
  <c i="1" r="H64"/>
  <c i="1" r="I64" s="1"/>
  <c i="1" r="J64" s="1"/>
  <c i="9" r="Z61"/>
  <c i="1" r="H70"/>
  <c i="1" r="I70" s="1"/>
  <c i="1" r="J70" s="1"/>
  <c i="9" r="AI25"/>
  <c i="9" r="S58"/>
  <c i="9" r="AE58" s="1"/>
  <c i="9" r="AG25"/>
  <c i="8" r="AB51"/>
  <c i="1" r="I20"/>
  <c i="16" r="AD22"/>
  <c i="8" r="X23"/>
  <c i="10" r="AC24"/>
  <c i="10" r="AB57"/>
  <c i="8" r="X19"/>
  <c i="17" r="H85"/>
  <c i="17" r="R100" s="1"/>
  <c i="17" r="R115" s="1"/>
  <c i="17" r="X49" s="1"/>
  <c i="17" r="Y49" s="1"/>
  <c i="9" r="AB25"/>
  <c i="8" r="Z85"/>
  <c i="16" r="AI117"/>
  <c i="9" r="AB30"/>
  <c i="5" r="AF19"/>
  <c i="9" r="Z59"/>
  <c i="16" r="S55"/>
  <c i="16" r="Z89"/>
  <c i="9" r="AC119"/>
  <c i="16" r="AG24"/>
  <c i="9" r="AI30"/>
  <c i="17" r="G84"/>
  <c i="17" r="Q99" s="1"/>
  <c i="17" r="Q114" s="1"/>
  <c i="17" r="X41" s="1"/>
  <c i="17" r="Y41" s="1"/>
  <c i="10" r="AG28"/>
  <c i="4" r="AC81"/>
  <c i="16" r="AC121"/>
  <c i="10" r="G60"/>
  <c i="16" r="AA123"/>
  <c i="8" r="W51"/>
  <c i="16" r="S58"/>
  <c i="9" r="AB85"/>
  <c i="16" r="AG120"/>
  <c i="9" r="AD131"/>
  <c i="17" r="I197"/>
  <c i="17" r="S211" s="1"/>
  <c i="16" r="S54"/>
  <c i="16" r="AG26"/>
  <c i="6" r="Y33"/>
  <c i="10" r="AG22"/>
  <c i="10" r="AF124"/>
  <c i="6" r="Z57"/>
  <c i="4" r="Y33"/>
  <c i="9" r="S61"/>
  <c i="9" r="AE61" s="1"/>
  <c i="10" r="Z58"/>
  <c i="8" r="Z50"/>
  <c i="9" r="AC59"/>
  <c i="16" r="AB89"/>
  <c i="10" r="AC93"/>
  <c i="2" r="Y9"/>
  <c i="10" r="AD124"/>
  <c i="5" r="AA41"/>
  <c i="9" r="S59"/>
  <c i="9" r="AE59" s="1"/>
  <c i="8" r="W54"/>
  <c i="8" r="W50"/>
  <c i="9" r="Z127"/>
  <c i="10" r="AD29"/>
  <c i="5" r="AB63"/>
  <c i="16" r="S57"/>
  <c i="8" r="AA83"/>
  <c i="8" r="AB86"/>
  <c i="8" r="Y21"/>
  <c i="16" r="AH15"/>
  <c i="9" r="AD28"/>
  <c i="10" r="AI22"/>
  <c i="6" r="Z45"/>
  <c i="10" r="AC59"/>
  <c i="4" r="Y57"/>
  <c i="10" r="AH22"/>
  <c i="8" r="Y79"/>
  <c i="9" r="AA30"/>
  <c i="16" r="AD118"/>
  <c i="16" r="AB59"/>
  <c i="9" r="AE23"/>
  <c i="16" r="AE28"/>
  <c i="16" r="AA55"/>
  <c i="4" r="AB69"/>
  <c i="4" r="AD21"/>
  <c i="9" r="AH26"/>
  <c i="10" r="AH27"/>
  <c i="10" r="AH23"/>
  <c i="8" r="W84"/>
  <c i="9" r="AA25"/>
  <c i="9" r="AB126"/>
  <c i="6" r="X33"/>
  <c i="2" r="AA9"/>
  <c i="1" r="H36"/>
  <c i="1" r="I36" s="1"/>
  <c i="1" r="J36" s="1"/>
  <c i="16" r="Z54"/>
  <c i="9" r="AH25"/>
  <c i="9" r="AH27"/>
  <c i="9" r="AC62"/>
  <c i="8" r="W24"/>
  <c i="16" r="AE120"/>
  <c i="10" r="AB126"/>
  <c i="8" r="X83"/>
  <c i="16" r="AI124"/>
  <c i="9" r="Z94"/>
  <c i="10" r="AD96"/>
  <c i="6" r="AB57"/>
  <c i="9" r="AC30"/>
  <c i="8" r="X55"/>
  <c i="9" r="AA29"/>
  <c i="8" r="W26"/>
  <c i="10" r="AA24"/>
  <c i="9" r="Z85"/>
  <c i="9" r="AG24"/>
  <c i="6" r="AC81"/>
  <c i="3" r="AF7"/>
  <c i="5" r="AD19"/>
  <c i="4" r="AB21"/>
  <c i="16" r="Z57"/>
  <c i="10" r="AI23"/>
  <c i="16" r="AB88"/>
  <c i="8" r="Z51"/>
  <c i="10" r="AG118"/>
  <c i="9" r="AG23"/>
  <c i="10" r="AB97"/>
  <c i="9" r="AC133"/>
  <c i="16" r="Z25"/>
  <c i="16" r="AH25"/>
  <c i="6" r="AE45"/>
  <c i="10" r="AA90"/>
  <c i="9" r="AH126"/>
  <c i="10" r="AA63"/>
  <c i="6" r="AF33"/>
  <c i="6" r="AD33"/>
  <c i="16" r="AB118"/>
  <c i="16" r="AB122"/>
  <c i="7" r="M23"/>
  <c i="5" r="X63"/>
  <c i="16" r="AC24"/>
  <c i="8" r="AC49"/>
  <c i="16" r="AI120"/>
  <c i="16" r="AB56"/>
  <c i="8" r="V56"/>
  <c i="6" r="AC9"/>
  <c i="16" r="AH122"/>
  <c i="16" r="AC118"/>
  <c i="1" r="G82"/>
  <c i="1" r="I82" s="1"/>
  <c i="1" r="J82" s="1"/>
  <c i="16" r="AG22"/>
  <c i="9" r="AD26"/>
  <c i="10" r="AA129"/>
  <c i="10" r="AA91"/>
  <c i="5" r="Z41"/>
  <c i="8" r="X26"/>
  <c i="9" r="AD23"/>
  <c i="5" r="AB52"/>
  <c i="1" r="E56"/>
  <c i="1" r="G56"/>
  <c i="1" r="J56" s="1"/>
  <c i="9" r="L128"/>
  <c i="1" r="G50"/>
  <c i="1" r="I50" s="1"/>
  <c i="8" r="AA82"/>
  <c i="9" r="AC64"/>
  <c i="9" r="AB132"/>
  <c i="8" r="AB82"/>
  <c i="1" r="E86"/>
  <c i="1" r="G86"/>
  <c i="1" r="J86" s="1"/>
  <c i="9" r="L132"/>
  <c i="9" r="AC51"/>
  <c i="10" r="AA97"/>
  <c i="1" r="G83"/>
  <c i="1" r="I83" s="1"/>
  <c i="1" r="J83" s="1"/>
  <c i="8" r="AC84"/>
  <c i="9" r="L126"/>
  <c i="10" r="AA16"/>
  <c i="9" r="AB127"/>
  <c i="9" r="AB131"/>
  <c i="16" r="AB58"/>
  <c i="9" r="AC31"/>
  <c i="10" r="Z128"/>
  <c i="16" r="AB55"/>
  <c i="8" r="Z55"/>
  <c i="16" r="AD119"/>
  <c i="10" r="AH30"/>
  <c i="1" r="G81"/>
  <c i="1" r="I81" s="1"/>
  <c i="1" r="J81" s="1"/>
  <c i="9" r="L130"/>
  <c i="10" r="AF129"/>
  <c i="10" r="AH16"/>
  <c i="9" r="L129"/>
  <c i="1" r="G49"/>
  <c i="9" r="AG30"/>
  <c i="3" r="AF13"/>
  <c i="9" r="L125"/>
  <c i="1" r="J52"/>
  <c i="1" r="G54"/>
  <c i="1" r="G85"/>
  <c i="1" r="I85" s="1"/>
  <c i="1" r="J85" s="1"/>
  <c i="9" r="L131"/>
  <c i="4" r="X57"/>
  <c i="9" r="L127"/>
  <c i="9" r="L119"/>
  <c i="1" r="J55"/>
  <c i="1" r="J51"/>
  <c i="16" r="AC59"/>
  <c i="1" r="G84"/>
  <c i="1" r="I84" s="1"/>
  <c i="1" r="J84" s="1"/>
  <c i="1" r="G80"/>
  <c i="1" r="I80" s="1"/>
  <c i="1" r="J80" s="1"/>
  <c i="10" r="AI27"/>
  <c i="8" r="AA25"/>
  <c i="10" r="AA22"/>
  <c i="1" r="G53"/>
  <c i="1" r="I53" s="1"/>
  <c i="8" r="V19"/>
  <c i="5" r="AF63"/>
  <c i="2" r="AE9"/>
  <c i="2" r="AF9"/>
  <c i="4" r="AE81"/>
  <c i="4" r="Y69"/>
  <c i="6" r="AE9"/>
  <c i="5" r="AD52"/>
  <c i="5" r="AA52"/>
  <c i="9" r="AA51"/>
  <c i="3" r="AF9"/>
  <c i="16" r="AB28"/>
  <c i="9" r="AA64"/>
  <c i="9" r="AD133"/>
  <c i="6" r="AF45"/>
  <c i="6" r="AC21"/>
  <c i="5" r="AD74"/>
  <c i="3" r="AF16"/>
  <c i="16" r="AH26"/>
  <c i="6" r="AF21"/>
  <c i="3" r="AC18"/>
  <c i="8" r="AA50"/>
  <c i="4" r="Y21"/>
  <c i="10" r="AG27"/>
  <c i="8" r="AB85"/>
  <c i="16" r="AG121"/>
  <c i="8" r="V55"/>
  <c i="9" r="AA61"/>
  <c i="8" r="V81"/>
  <c i="8" r="AA80"/>
  <c i="16" r="Z122"/>
  <c i="9" r="AC128"/>
  <c i="9" r="AC23"/>
  <c i="16" r="AA91"/>
  <c i="5" r="AE63"/>
  <c i="1" r="I71"/>
  <c i="1" r="J71" s="1"/>
  <c i="3" r="AF6"/>
  <c i="16" r="AA26"/>
  <c i="6" r="AE57"/>
  <c i="9" r="AA119"/>
  <c i="8" r="V20"/>
  <c i="16" r="AD87"/>
  <c i="4" r="AD9"/>
  <c i="8" r="AA53"/>
  <c i="16" r="AI23"/>
  <c i="9" r="AD27"/>
  <c i="8" r="W23"/>
  <c i="6" r="AC33"/>
  <c i="16" r="AE121"/>
  <c i="9" r="AB93"/>
  <c i="16" r="AB23"/>
  <c i="16" r="AC53"/>
  <c i="4" r="Y81"/>
  <c i="10" r="AE125"/>
  <c i="16" r="AE117"/>
  <c i="8" r="V83"/>
  <c i="9" r="Z23"/>
  <c i="16" r="AA86"/>
  <c i="1" r="I35"/>
  <c i="1" r="J35" s="1"/>
  <c i="8" r="V52"/>
  <c i="4" r="AA81"/>
  <c i="8" r="W49"/>
  <c i="9" r="AC63"/>
  <c i="16" r="AC120"/>
  <c i="9" r="AA127"/>
  <c i="10" r="AF130"/>
  <c i="8" r="AC51"/>
  <c i="5" r="AD41"/>
  <c i="9" r="AI26"/>
  <c i="9" r="AH29"/>
  <c i="9" r="AD31"/>
  <c i="16" r="AA120"/>
  <c i="10" r="AI129"/>
  <c i="10" r="AH130"/>
  <c i="10" r="AD94"/>
  <c i="9" r="Z28"/>
  <c i="5" r="AE30"/>
  <c i="3" r="AE18"/>
  <c i="10" r="AB63"/>
  <c i="8" r="Z54"/>
  <c i="9" r="AB26"/>
  <c i="8" r="V21"/>
  <c i="4" r="AE33"/>
  <c i="9" r="AE130"/>
  <c i="10" r="AH29"/>
  <c i="10" r="AC29"/>
  <c i="9" r="S63"/>
  <c i="9" r="AE63" s="1"/>
  <c i="5" r="AE74"/>
  <c i="16" r="AI22"/>
  <c i="16" r="AA21"/>
  <c i="5" r="AD30"/>
  <c i="5" r="AF52"/>
  <c i="7" r="N9"/>
  <c i="8" r="AB20"/>
  <c i="5" r="Y30"/>
  <c i="10" r="AI30"/>
  <c i="1" r="I39"/>
  <c i="1" r="J39" s="1"/>
  <c i="10" r="X124"/>
  <c i="9" r="Z132"/>
  <c i="4" r="AF42"/>
  <c i="9" r="AC26"/>
  <c i="9" r="Z93"/>
  <c i="9" r="AB96"/>
  <c i="6" r="AE21"/>
  <c i="10" r="X131"/>
  <c i="16" r="AE23"/>
  <c i="16" r="Z123"/>
  <c i="16" r="AA79"/>
  <c i="8" r="AC55"/>
  <c i="9" r="AA62"/>
  <c i="17" r="D23"/>
  <c i="17" r="F23" s="1"/>
  <c i="6" r="AF69"/>
  <c i="9" r="AH128"/>
  <c i="9" r="AB128"/>
  <c i="9" r="AE127"/>
  <c i="16" r="AC87"/>
  <c i="10" r="AG25"/>
  <c i="9" r="AB99"/>
  <c i="4" r="Y45"/>
  <c i="3" r="Y18"/>
  <c i="10" r="AH26"/>
  <c i="8" r="AA85"/>
  <c i="4" r="AE57"/>
  <c i="8" r="AC82"/>
  <c i="7" r="N23"/>
  <c i="6" r="AD69"/>
  <c i="16" r="AA85"/>
  <c i="16" r="AH119"/>
  <c i="6" r="Z69"/>
  <c i="6" r="X9"/>
  <c i="16" r="S59"/>
  <c i="9" r="AC130"/>
  <c i="10" r="AI130"/>
  <c i="9" r="Z26"/>
  <c i="10" r="AC27"/>
  <c i="10" r="AF128"/>
  <c i="16" r="AB24"/>
  <c i="4" r="J69"/>
  <c i="8" r="W19"/>
  <c i="6" r="AD21"/>
  <c i="6" r="Y21"/>
  <c i="17" r="G196"/>
  <c i="17" r="Q210" s="1"/>
  <c i="8" r="AC85"/>
  <c i="16" r="AF120"/>
  <c i="17" r="E195"/>
  <c i="17" r="O209" s="1"/>
  <c i="17" r="G144"/>
  <c i="17" r="Q158" s="1"/>
  <c i="17" r="H200"/>
  <c i="17" r="R214" s="1"/>
  <c i="17" r="E83"/>
  <c i="17" r="O98" s="1"/>
  <c i="17" r="C86"/>
  <c i="17" r="M101" s="1"/>
  <c i="17" r="M116" s="1"/>
  <c i="17" r="X15" s="1"/>
  <c i="17" r="Y15" s="1"/>
  <c i="8" r="V53"/>
  <c i="17" r="I143"/>
  <c i="17" r="S157" s="1"/>
  <c i="9" r="AB130"/>
  <c i="17" r="H141"/>
  <c i="17" r="R155" s="1"/>
  <c i="17" r="D141"/>
  <c i="17" r="N155" s="1"/>
  <c i="17" r="D89"/>
  <c i="17" r="N104" s="1"/>
  <c i="17" r="N119" s="1"/>
  <c i="17" r="X25" s="1"/>
  <c i="17" r="Y25" s="1"/>
  <c i="17" r="H83"/>
  <c i="17" r="R98" s="1"/>
  <c i="17" r="F41"/>
  <c i="17" r="M50" s="1"/>
  <c i="17" r="M60" s="1"/>
  <c i="17" r="X10" s="1"/>
  <c i="17" r="Y10" s="1"/>
  <c i="18" r="W377" s="1"/>
  <c i="18" r="X377" s="1"/>
  <c i="17" r="D199"/>
  <c i="17" r="N213" s="1"/>
  <c i="17" r="N227" s="1"/>
  <c i="17" r="X91" s="1"/>
  <c i="17" r="Y91" s="1"/>
  <c i="18" r="W364" s="1"/>
  <c i="18" r="X364" s="1"/>
  <c i="6" r="Z21"/>
  <c i="17" r="H140"/>
  <c i="17" r="C195"/>
  <c i="17" r="M209" s="1"/>
  <c i="17" r="M223" s="1"/>
  <c i="17" r="X82" s="1"/>
  <c i="17" r="Y82" s="1"/>
  <c i="16" r="AD111"/>
  <c i="9" r="AC91"/>
  <c i="17" r="F84"/>
  <c i="17" r="P99" s="1"/>
  <c i="17" r="P114" s="1"/>
  <c i="17" r="X34" s="1"/>
  <c i="17" r="Y34" s="1"/>
  <c i="17" r="I198"/>
  <c i="17" r="S212" s="1"/>
  <c i="17" r="I145"/>
  <c i="17" r="S159" s="1"/>
  <c i="17" r="I85"/>
  <c i="17" r="S100" s="1"/>
  <c i="17" r="S115" s="1"/>
  <c i="17" r="X56" s="1"/>
  <c i="17" r="Y56" s="1"/>
  <c i="17" r="D6"/>
  <c i="17" r="F6" s="1"/>
  <c i="17" r="C196"/>
  <c i="17" r="M210" s="1"/>
  <c i="17" r="M224" s="1"/>
  <c i="17" r="X83" s="1"/>
  <c i="17" r="Y83" s="1"/>
  <c i="16" r="AC122"/>
  <c i="9" r="X129"/>
  <c i="17" r="H145"/>
  <c i="17" r="R159" s="1"/>
  <c i="17" r="G83"/>
  <c i="17" r="Q98" s="1"/>
  <c i="17" r="F85"/>
  <c i="17" r="P100" s="1"/>
  <c i="17" r="P115" s="1"/>
  <c i="17" r="X35" s="1"/>
  <c i="17" r="Y35" s="1"/>
  <c i="17" r="H197"/>
  <c i="17" r="R211" s="1"/>
  <c i="17" r="I83"/>
  <c i="17" r="S98" s="1"/>
  <c i="17" r="G146"/>
  <c i="17" r="Q160" s="1"/>
  <c i="17" r="Q174" s="1"/>
  <c i="17" r="X81" s="1"/>
  <c i="17" r="Y81" s="1"/>
  <c i="16" r="AC26"/>
  <c i="17" r="D145"/>
  <c i="17" r="N159" s="1"/>
  <c i="17" r="N173" s="1"/>
  <c i="17" r="X71" s="1"/>
  <c i="17" r="Y71" s="1"/>
  <c i="17" r="F195"/>
  <c i="17" r="P209" s="1"/>
  <c i="16" r="AI28"/>
  <c i="17" r="D21"/>
  <c i="18" r="C36" s="1"/>
  <c i="17" r="H90"/>
  <c i="17" r="R105" s="1"/>
  <c i="17" r="R120" s="1"/>
  <c i="17" r="X54" s="1"/>
  <c i="17" r="Y54" s="1"/>
  <c i="17" r="D146"/>
  <c i="17" r="N160" s="1"/>
  <c i="17" r="N174" s="1"/>
  <c i="17" r="X72" s="1"/>
  <c i="17" r="Y72" s="1"/>
  <c i="17" r="E41"/>
  <c i="17" r="L50" s="1"/>
  <c i="17" r="L60" s="1"/>
  <c i="17" r="X7" s="1"/>
  <c i="17" r="Y7" s="1"/>
  <c i="18" r="W376" s="1"/>
  <c i="18" r="X376" s="1"/>
  <c i="17" r="F200"/>
  <c i="17" r="P214" s="1"/>
  <c i="17" r="P228" s="1"/>
  <c i="17" r="X99" s="1"/>
  <c i="17" r="Y99" s="1"/>
  <c i="18" r="W372" s="1"/>
  <c i="18" r="X372" s="1"/>
  <c i="17" r="F146"/>
  <c i="17" r="P160" s="1"/>
  <c i="17" r="P174" s="1"/>
  <c i="17" r="X79" s="1"/>
  <c i="17" r="Y79" s="1"/>
  <c i="17" r="F89"/>
  <c i="17" r="P104" s="1"/>
  <c i="17" r="P119" s="1"/>
  <c i="17" r="X39" s="1"/>
  <c i="17" r="Y39" s="1"/>
  <c i="17" r="F43"/>
  <c i="17" r="M52" s="1"/>
  <c i="17" r="M62" s="1"/>
  <c i="17" r="X12" s="1"/>
  <c i="17" r="Y12" s="1"/>
  <c i="16" r="Z55"/>
  <c i="17" r="D8"/>
  <c i="17" r="F8" s="1"/>
  <c i="17" r="E199"/>
  <c i="17" r="O213" s="1"/>
  <c i="17" r="O227" s="1"/>
  <c i="17" r="X95" s="1"/>
  <c i="17" r="Y95" s="1"/>
  <c i="18" r="W368" s="1"/>
  <c i="18" r="X368" s="1"/>
  <c i="17" r="F145"/>
  <c i="17" r="P159" s="1"/>
  <c i="17" r="P173" s="1"/>
  <c i="17" r="X78" s="1"/>
  <c i="17" r="Y78" s="1"/>
  <c i="17" r="D20"/>
  <c i="18" r="C35" s="1"/>
  <c i="17" r="E87"/>
  <c i="17" r="O102" s="1"/>
  <c i="17" r="O117" s="1"/>
  <c i="17" r="X30" s="1"/>
  <c i="17" r="Y30" s="1"/>
  <c i="17" r="C140"/>
  <c i="17" r="M154" s="1"/>
  <c i="17" r="E40"/>
  <c i="17" r="L49" s="1"/>
  <c i="9" r="X132"/>
  <c i="16" r="AD124"/>
  <c i="10" r="AH125"/>
  <c i="17" r="C144"/>
  <c i="17" r="M158" s="1"/>
  <c i="17" r="M172" s="1"/>
  <c i="17" r="X65" s="1"/>
  <c i="17" r="Y65" s="1"/>
  <c i="17" r="C146"/>
  <c i="17" r="M160" s="1"/>
  <c i="17" r="M174" s="1"/>
  <c i="17" r="X67" s="1"/>
  <c i="17" r="Y67" s="1"/>
  <c i="17" r="C41"/>
  <c i="17" r="J50" s="1"/>
  <c i="17" r="J60" s="1"/>
  <c i="17" r="I140"/>
  <c i="17" r="S154" s="1"/>
  <c i="17" r="E142"/>
  <c i="17" r="O156" s="1"/>
  <c i="17" r="D40"/>
  <c i="17" r="K49" s="1"/>
  <c i="10" r="AH28"/>
  <c i="17" r="F90"/>
  <c i="17" r="P105" s="1"/>
  <c i="17" r="P120" s="1"/>
  <c i="17" r="X40" s="1"/>
  <c i="17" r="Y40" s="1"/>
  <c i="17" r="F83"/>
  <c i="17" r="P98" s="1"/>
  <c i="17" r="H199"/>
  <c i="17" r="R213" s="1"/>
  <c i="17" r="I87"/>
  <c i="17" r="S102" s="1"/>
  <c i="17" r="S117" s="1"/>
  <c i="17" r="X58" s="1"/>
  <c i="17" r="Y58" s="1"/>
  <c i="17" r="E89"/>
  <c i="17" r="O104" s="1"/>
  <c i="17" r="O119" s="1"/>
  <c i="17" r="X32" s="1"/>
  <c i="17" r="Y32" s="1"/>
  <c i="17" r="D200"/>
  <c i="17" r="N214" s="1"/>
  <c i="17" r="N228" s="1"/>
  <c i="17" r="X92" s="1"/>
  <c i="17" r="Y92" s="1"/>
  <c i="18" r="W365" s="1"/>
  <c i="18" r="X365" s="1"/>
  <c i="17" r="F40"/>
  <c i="17" r="M49" s="1"/>
  <c i="17" r="C43"/>
  <c i="17" r="J52" s="1"/>
  <c i="17" r="J62" s="1"/>
  <c i="17" r="D90"/>
  <c i="17" r="N105" s="1"/>
  <c i="17" r="N120" s="1"/>
  <c i="17" r="X26" s="1"/>
  <c i="17" r="Y26" s="1"/>
  <c i="17" r="G141"/>
  <c i="17" r="Q155" s="1"/>
  <c i="17" r="F197"/>
  <c i="17" r="P211" s="1"/>
  <c i="17" r="F143"/>
  <c i="17" r="P157" s="1"/>
  <c i="17" r="G142"/>
  <c i="17" r="Q156" s="1"/>
  <c i="8" r="W21"/>
  <c i="17" r="H142"/>
  <c i="17" r="R156" s="1"/>
  <c i="17" r="I195"/>
  <c i="17" r="S209" s="1"/>
  <c i="17" r="E146"/>
  <c i="17" r="O160" s="1"/>
  <c i="17" r="O174" s="1"/>
  <c i="17" r="X76" s="1"/>
  <c i="17" r="Y76" s="1"/>
  <c i="17" r="C42"/>
  <c i="17" r="J51" s="1"/>
  <c i="17" r="J61" s="1"/>
  <c i="17" r="G88"/>
  <c i="17" r="Q103" s="1"/>
  <c i="17" r="Q118" s="1"/>
  <c i="17" r="X45" s="1"/>
  <c i="17" r="Y45" s="1"/>
  <c i="8" r="AA51"/>
  <c i="17" r="D24"/>
  <c i="17" r="F24" s="1"/>
  <c i="10" r="AC63"/>
  <c i="8" r="AC21"/>
  <c i="17" r="G200"/>
  <c i="17" r="Q214" s="1"/>
  <c i="17" r="Q228" s="1"/>
  <c i="17" r="X101" s="1"/>
  <c i="17" r="Y101" s="1"/>
  <c i="18" r="W374" s="1"/>
  <c i="18" r="X374" s="1"/>
  <c i="17" r="D143"/>
  <c i="17" r="N157" s="1"/>
  <c i="17" r="N171" s="1"/>
  <c i="17" r="X69" s="1"/>
  <c i="17" r="Y69" s="1"/>
  <c i="17" r="D86"/>
  <c i="17" r="N101" s="1"/>
  <c i="17" r="N116" s="1"/>
  <c i="17" r="X22" s="1"/>
  <c i="17" r="Y22" s="1"/>
  <c i="17" r="C200"/>
  <c i="17" r="M214" s="1"/>
  <c i="17" r="M228" s="1"/>
  <c i="17" r="X87" s="1"/>
  <c i="17" r="Y87" s="1"/>
  <c i="17" r="D197"/>
  <c i="17" r="N211" s="1"/>
  <c i="17" r="N225" s="1"/>
  <c i="17" r="X89" s="1"/>
  <c i="17" r="Y89" s="1"/>
  <c i="18" r="W362" s="1"/>
  <c i="18" r="X362" s="1"/>
  <c i="16" r="AC56"/>
  <c i="17" r="D19"/>
  <c i="10" r="AB29"/>
  <c i="17" r="F42"/>
  <c i="17" r="M51" s="1"/>
  <c i="17" r="M61" s="1"/>
  <c i="17" r="X11" s="1"/>
  <c i="17" r="Y11" s="1"/>
  <c i="18" r="W380" s="1"/>
  <c i="18" r="X380" s="1"/>
  <c i="17" r="F142"/>
  <c i="17" r="P156" s="1"/>
  <c i="17" r="I142"/>
  <c i="17" r="S156" s="1"/>
  <c i="17" r="E84"/>
  <c i="17" r="O99" s="1"/>
  <c i="17" r="O114" s="1"/>
  <c i="17" r="X27" s="1"/>
  <c i="17" r="Y27" s="1"/>
  <c i="17" r="I199"/>
  <c i="17" r="S213" s="1"/>
  <c i="9" r="AB91"/>
  <c i="16" r="AE15"/>
  <c i="17" r="E197"/>
  <c i="17" r="O211" s="1"/>
  <c i="17" r="O225" s="1"/>
  <c i="17" r="X93" s="1"/>
  <c i="17" r="Y93" s="1"/>
  <c i="18" r="W366" s="1"/>
  <c i="18" r="X366" s="1"/>
  <c i="17" r="C88"/>
  <c i="17" r="M103" s="1"/>
  <c i="17" r="M118" s="1"/>
  <c i="17" r="X17" s="1"/>
  <c i="17" r="Y17" s="1"/>
  <c i="18" r="W307" s="1"/>
  <c i="18" r="X307" s="1"/>
  <c i="17" r="I144"/>
  <c i="17" r="S158" s="1"/>
  <c i="17" r="E43"/>
  <c i="17" r="L52" s="1"/>
  <c i="17" r="L62" s="1"/>
  <c i="17" r="X9" s="1"/>
  <c i="17" r="Y9" s="1"/>
  <c i="18" r="W382" s="1"/>
  <c i="18" r="X382" s="1"/>
  <c i="17" r="E86"/>
  <c i="17" r="O101" s="1"/>
  <c i="17" r="O116" s="1"/>
  <c i="17" r="X29" s="1"/>
  <c i="17" r="Y29" s="1"/>
  <c i="17" r="F144"/>
  <c i="17" r="P158" s="1"/>
  <c i="17" r="P172" s="1"/>
  <c i="17" r="X77" s="1"/>
  <c i="17" r="Y77" s="1"/>
  <c i="3" r="Z18"/>
  <c i="4" r="AE9"/>
  <c i="17" r="C142"/>
  <c i="17" r="M156" s="1"/>
  <c i="17" r="M170" s="1"/>
  <c i="17" r="X63" s="1"/>
  <c i="17" r="Y63" s="1"/>
  <c i="9" r="X126"/>
  <c i="9" r="AJ126" s="1"/>
  <c i="17" r="H87"/>
  <c i="17" r="R102" s="1"/>
  <c i="17" r="R117" s="1"/>
  <c i="17" r="X51" s="1"/>
  <c i="17" r="Y51" s="1"/>
  <c i="18" r="W333" s="1"/>
  <c i="18" r="X333" s="1"/>
  <c i="17" r="H196"/>
  <c i="17" r="R210" s="1"/>
  <c i="17" r="I84"/>
  <c i="17" r="S99" s="1"/>
  <c i="17" r="S114" s="1"/>
  <c i="17" r="X55" s="1"/>
  <c i="17" r="Y55" s="1"/>
  <c i="17" r="D198"/>
  <c i="17" r="N212" s="1"/>
  <c i="17" r="N226" s="1"/>
  <c i="17" r="X90" s="1"/>
  <c i="17" r="Y90" s="1"/>
  <c i="18" r="W363" s="1"/>
  <c i="18" r="X363" s="1"/>
  <c i="17" r="H198"/>
  <c i="17" r="R212" s="1"/>
  <c i="9" r="X128"/>
  <c i="9" r="AE128"/>
  <c i="17" r="E196"/>
  <c i="17" r="O210" s="1"/>
  <c i="17" r="D87"/>
  <c i="17" r="N102" s="1"/>
  <c i="17" r="N117" s="1"/>
  <c i="17" r="X23" s="1"/>
  <c i="17" r="Y23" s="1"/>
  <c i="17" r="G90"/>
  <c i="17" r="Q105" s="1"/>
  <c i="17" r="Q120" s="1"/>
  <c i="17" r="X47" s="1"/>
  <c i="17" r="Y47" s="1"/>
  <c i="17" r="H194"/>
  <c i="17" r="R208" s="1"/>
  <c i="17" r="F140"/>
  <c i="17" r="P154" s="1"/>
  <c i="17" r="D88"/>
  <c i="17" r="N103" s="1"/>
  <c i="17" r="N118" s="1"/>
  <c i="17" r="X24" s="1"/>
  <c i="17" r="Y24" s="1"/>
  <c i="17" r="C141"/>
  <c i="17" r="M155" s="1"/>
  <c i="17" r="M169" s="1"/>
  <c i="17" r="X62" s="1"/>
  <c i="17" r="Y62" s="1"/>
  <c i="17" r="H146"/>
  <c i="17" r="R160" s="1"/>
  <c i="17" r="E144"/>
  <c i="17" r="O158" s="1"/>
  <c i="17" r="O172" s="1"/>
  <c i="17" r="X74" s="1"/>
  <c i="17" r="Y74" s="1"/>
  <c i="17" r="F194"/>
  <c i="17" r="P208" s="1"/>
  <c i="17" r="C89"/>
  <c i="17" r="M104" s="1"/>
  <c i="17" r="M119" s="1"/>
  <c i="17" r="X18" s="1"/>
  <c i="17" r="Y18" s="1"/>
  <c i="17" r="E90"/>
  <c i="17" r="O105" s="1"/>
  <c i="17" r="O120" s="1"/>
  <c i="17" r="X33" s="1"/>
  <c i="17" r="Y33" s="1"/>
  <c i="10" r="AI124"/>
  <c i="17" r="D41"/>
  <c i="17" r="K50" s="1"/>
  <c i="17" r="K60" s="1"/>
  <c i="17" r="X4" s="1"/>
  <c i="17" r="Y4" s="1"/>
  <c i="18" r="W375" s="1"/>
  <c i="18" r="X375" s="1"/>
  <c i="17" r="G89"/>
  <c i="17" r="Q104" s="1"/>
  <c i="17" r="Q119" s="1"/>
  <c i="17" r="X46" s="1"/>
  <c i="17" r="Y46" s="1"/>
  <c i="17" r="D140"/>
  <c i="17" r="N154" s="1"/>
  <c i="17" r="H89"/>
  <c i="17" r="R104" s="1"/>
  <c i="17" r="R119" s="1"/>
  <c i="17" r="X53" s="1"/>
  <c i="17" r="Y53" s="1"/>
  <c i="17" r="C197"/>
  <c i="17" r="M211" s="1"/>
  <c i="17" r="M225" s="1"/>
  <c i="17" r="X84" s="1"/>
  <c i="17" r="Y84" s="1"/>
  <c i="17" r="I200"/>
  <c i="17" r="S214" s="1"/>
  <c i="17" r="C194"/>
  <c i="9" r="X127"/>
  <c i="17" r="D85"/>
  <c i="17" r="N100" s="1"/>
  <c i="17" r="N115" s="1"/>
  <c i="17" r="X21" s="1"/>
  <c i="17" r="Y21" s="1"/>
  <c i="17" r="D18"/>
  <c i="18" r="C33" s="1"/>
  <c i="10" r="AB56"/>
  <c i="8" r="V84"/>
  <c i="17" r="G197"/>
  <c i="17" r="Q211" s="1"/>
  <c i="17" r="I141"/>
  <c i="17" r="S155" s="1"/>
  <c i="17" r="E143"/>
  <c i="17" r="O157" s="1"/>
  <c i="17" r="O171" s="1"/>
  <c i="17" r="X73" s="1"/>
  <c i="17" r="Y73" s="1"/>
  <c i="17" r="D10"/>
  <c i="17" r="F10" s="1"/>
  <c i="17" r="G85"/>
  <c i="17" r="Q100" s="1"/>
  <c i="17" r="Q115" s="1"/>
  <c i="17" r="X42" s="1"/>
  <c i="17" r="Y42" s="1"/>
  <c i="8" r="V50"/>
  <c i="17" r="D22"/>
  <c i="17" r="G194"/>
  <c i="17" r="Q208" s="1"/>
  <c i="8" r="AC52"/>
  <c i="10" r="AI29"/>
  <c i="17" r="C40"/>
  <c i="17" r="J49" s="1"/>
  <c i="17" r="C90"/>
  <c i="17" r="M105" s="1"/>
  <c i="17" r="M120" s="1"/>
  <c i="17" r="X19" s="1"/>
  <c i="17" r="Y19" s="1"/>
  <c i="17" r="F199"/>
  <c i="17" r="P213" s="1"/>
  <c i="17" r="P227" s="1"/>
  <c i="17" r="X98" s="1"/>
  <c i="17" r="Y98" s="1"/>
  <c i="18" r="W371" s="1"/>
  <c i="18" r="X371" s="1"/>
  <c i="17" r="D83"/>
  <c i="17" r="N98" s="1"/>
  <c i="17" r="I89"/>
  <c i="17" r="S104" s="1"/>
  <c i="17" r="S119" s="1"/>
  <c i="17" r="X60" s="1"/>
  <c i="17" r="Y60" s="1"/>
  <c i="17" r="E88"/>
  <c i="17" r="O103" s="1"/>
  <c i="17" r="O118" s="1"/>
  <c i="17" r="X31" s="1"/>
  <c i="17" r="Y31" s="1"/>
  <c i="17" r="E145"/>
  <c i="17" r="O159" s="1"/>
  <c i="17" r="O173" s="1"/>
  <c i="17" r="X75" s="1"/>
  <c i="17" r="Y75" s="1"/>
  <c i="18" r="W353" s="1"/>
  <c i="18" r="X353" s="1"/>
  <c i="8" r="AC79"/>
  <c i="17" r="D4"/>
  <c i="17" r="F4" s="1"/>
  <c i="8" r="AC50"/>
  <c i="17" r="G140"/>
  <c i="17" r="Q154" s="1"/>
  <c i="17" r="G86"/>
  <c i="17" r="Q101" s="1"/>
  <c i="17" r="Q116" s="1"/>
  <c i="17" r="X43" s="1"/>
  <c i="17" r="Y43" s="1"/>
  <c i="17" r="D84"/>
  <c i="17" r="N99" s="1"/>
  <c i="17" r="N114" s="1"/>
  <c i="17" r="X20" s="1"/>
  <c i="17" r="Y20" s="1"/>
  <c i="17" r="G87"/>
  <c i="17" r="Q102" s="1"/>
  <c i="17" r="Q117" s="1"/>
  <c i="17" r="X44" s="1"/>
  <c i="17" r="Y44" s="1"/>
  <c i="17" r="G198"/>
  <c i="17" r="Q212" s="1"/>
  <c i="17" r="D42"/>
  <c i="17" r="K51" s="1"/>
  <c i="17" r="K61" s="1"/>
  <c i="17" r="X5" s="1"/>
  <c i="17" r="Y5" s="1"/>
  <c i="18" r="W378" s="1"/>
  <c i="18" r="X378" s="1"/>
  <c i="10" r="AE128"/>
  <c i="17" r="D142"/>
  <c i="17" r="N156" s="1"/>
  <c i="17" r="N170" s="1"/>
  <c i="17" r="X68" s="1"/>
  <c i="17" r="Y68" s="1"/>
  <c i="17" r="E198"/>
  <c i="17" r="O212" s="1"/>
  <c i="17" r="O226" s="1"/>
  <c i="17" r="X94" s="1"/>
  <c i="17" r="Y94" s="1"/>
  <c i="18" r="W367" s="1"/>
  <c i="18" r="X367" s="1"/>
  <c i="17" r="H143"/>
  <c i="17" r="R157" s="1"/>
  <c i="17" r="E141"/>
  <c i="17" r="O155" s="1"/>
  <c i="17" r="D195"/>
  <c i="17" r="N209" s="1"/>
  <c i="17" r="C83"/>
  <c i="17" r="M98" s="1"/>
  <c i="17" r="C85"/>
  <c i="17" r="M100" s="1"/>
  <c i="17" r="M115" s="1"/>
  <c i="17" r="X14" s="1"/>
  <c i="17" r="Y14" s="1"/>
  <c i="17" r="F87"/>
  <c i="17" r="P102" s="1"/>
  <c i="17" r="P117" s="1"/>
  <c i="17" r="X37" s="1"/>
  <c i="17" r="Y37" s="1"/>
  <c i="17" r="C145"/>
  <c i="17" r="M159" s="1"/>
  <c i="17" r="M173" s="1"/>
  <c i="17" r="X66" s="1"/>
  <c i="17" r="Y66" s="1"/>
  <c i="17" r="G199"/>
  <c i="17" r="Q213" s="1"/>
  <c i="17" r="Q227" s="1"/>
  <c i="17" r="X100" s="1"/>
  <c i="17" r="Y100" s="1"/>
  <c i="18" r="W373" s="1"/>
  <c i="18" r="X373" s="1"/>
  <c i="17" r="H144"/>
  <c i="17" r="R158" s="1"/>
  <c i="17" r="H84"/>
  <c i="17" r="R99" s="1"/>
  <c i="17" r="R114" s="1"/>
  <c i="17" r="X48" s="1"/>
  <c i="17" r="Y48" s="1"/>
  <c i="17" r="D43"/>
  <c i="17" r="K52" s="1"/>
  <c i="17" r="K62" s="1"/>
  <c i="17" r="X6" s="1"/>
  <c i="17" r="Y6" s="1"/>
  <c i="18" r="W381" s="1"/>
  <c i="18" r="X381" s="1"/>
  <c i="17" r="F86"/>
  <c i="17" r="P101" s="1"/>
  <c i="17" r="P116" s="1"/>
  <c i="17" r="X36" s="1"/>
  <c i="17" r="Y36" s="1"/>
  <c i="17" r="D196"/>
  <c i="17" r="N210" s="1"/>
  <c i="17" r="N224" s="1"/>
  <c i="17" r="X88" s="1"/>
  <c i="17" r="Y88" s="1"/>
  <c i="17" r="G143"/>
  <c i="17" r="Q157" s="1"/>
  <c i="17" r="I194"/>
  <c i="17" r="S208" s="1"/>
  <c i="16" r="Z86"/>
  <c i="17" r="E42"/>
  <c i="17" r="L51" s="1"/>
  <c i="17" r="L61" s="1"/>
  <c i="17" r="X8" s="1"/>
  <c i="17" r="Y8" s="1"/>
  <c i="18" r="W379" s="1"/>
  <c i="18" r="X379" s="1"/>
  <c i="17" r="H88"/>
  <c i="17" r="R103" s="1"/>
  <c i="17" r="R118" s="1"/>
  <c i="17" r="X52" s="1"/>
  <c i="17" r="Y52" s="1"/>
  <c i="17" r="F198"/>
  <c i="17" r="P212" s="1"/>
  <c i="17" r="P226" s="1"/>
  <c i="17" r="X97" s="1"/>
  <c i="17" r="Y97" s="1"/>
  <c i="18" r="W370" s="1"/>
  <c i="18" r="X370" s="1"/>
  <c i="17" r="I146"/>
  <c i="17" r="S160" s="1"/>
  <c i="17" r="G145"/>
  <c i="17" r="Q159" s="1"/>
  <c i="17" r="Q173" s="1"/>
  <c i="17" r="X80" s="1"/>
  <c i="17" r="Y80" s="1"/>
  <c i="17" r="I196"/>
  <c i="17" r="S210" s="1"/>
  <c i="9" r="Z63"/>
  <c i="10" r="AD28"/>
  <c i="8" r="AA81"/>
  <c i="4" r="X45"/>
  <c i="4" r="AE45"/>
  <c i="9" r="AC16"/>
  <c i="9" r="Z91"/>
  <c i="17" r="C198"/>
  <c i="17" r="M212" s="1"/>
  <c i="17" r="M226" s="1"/>
  <c i="17" r="X85" s="1"/>
  <c i="17" r="Y85" s="1"/>
  <c i="17" r="F88"/>
  <c i="17" r="P103" s="1"/>
  <c i="17" r="P118" s="1"/>
  <c i="17" r="X38" s="1"/>
  <c i="17" r="Y38" s="1"/>
  <c i="17" r="H86"/>
  <c i="17" r="R101" s="1"/>
  <c i="17" r="R116" s="1"/>
  <c i="17" r="X50" s="1"/>
  <c i="17" r="Y50" s="1"/>
  <c i="17" r="D7"/>
  <c i="17" r="F7" s="1"/>
  <c i="17" r="F141"/>
  <c i="17" r="P155" s="1"/>
  <c i="10" r="AC58"/>
  <c i="16" r="AA90"/>
  <c i="9" r="Z58"/>
  <c i="5" r="AE41"/>
  <c i="17" r="C87"/>
  <c i="17" r="M102" s="1"/>
  <c i="17" r="M117" s="1"/>
  <c i="17" r="X16" s="1"/>
  <c i="17" r="Y16" s="1"/>
  <c i="9" r="X131"/>
  <c i="10" r="AB98"/>
  <c i="10" r="AA30"/>
  <c i="17" r="D5"/>
  <c i="17" r="F5" s="1"/>
  <c i="17" r="D144"/>
  <c i="17" r="N158" s="1"/>
  <c i="17" r="N172" s="1"/>
  <c i="17" r="X70" s="1"/>
  <c i="17" r="Y70" s="1"/>
  <c i="17" r="D9"/>
  <c i="17" r="F9" s="1"/>
  <c i="17" r="E140"/>
  <c i="17" r="I86"/>
  <c i="17" r="S101" s="1"/>
  <c i="17" r="S116" s="1"/>
  <c i="17" r="X57" s="1"/>
  <c i="17" r="Y57" s="1"/>
  <c i="17" r="C199"/>
  <c i="17" r="M213" s="1"/>
  <c i="17" r="M227" s="1"/>
  <c i="17" r="X86" s="1"/>
  <c i="17" r="Y86" s="1"/>
  <c i="17" r="E85"/>
  <c i="17" r="O100" s="1"/>
  <c i="17" r="O115" s="1"/>
  <c i="17" r="X28" s="1"/>
  <c i="17" r="Y28" s="1"/>
  <c i="17" r="E194"/>
  <c i="17" r="O208" s="1"/>
  <c i="17" r="E200"/>
  <c i="17" r="O214" s="1"/>
  <c i="17" r="O228" s="1"/>
  <c i="17" r="X96" s="1"/>
  <c i="17" r="Y96" s="1"/>
  <c i="18" r="W369" s="1"/>
  <c i="18" r="X369" s="1"/>
  <c i="8" r="X79"/>
  <c i="10" r="AE129"/>
  <c i="17" r="C84"/>
  <c i="17" r="M99" s="1"/>
  <c i="17" r="M114" s="1"/>
  <c i="17" r="X13" s="1"/>
  <c i="17" r="Y13" s="1"/>
  <c i="17" r="I90"/>
  <c i="17" r="S105" s="1"/>
  <c i="17" r="S120" s="1"/>
  <c i="17" r="X61" s="1"/>
  <c i="17" r="Y61" s="1"/>
  <c i="17" r="I88"/>
  <c i="17" r="S103" s="1"/>
  <c i="17" r="S118" s="1"/>
  <c i="17" r="X59" s="1"/>
  <c i="17" r="Y59" s="1"/>
  <c i="18" r="W338" s="1"/>
  <c i="18" r="X338" s="1"/>
  <c i="17" r="G195"/>
  <c i="17" r="Q209" s="1"/>
  <c i="17" r="H195"/>
  <c i="17" r="R209" s="1"/>
  <c i="8" r="AA19"/>
  <c i="16" r="AD120"/>
  <c i="6" r="AD45"/>
  <c i="10" r="AD22"/>
  <c i="6" r="AF9"/>
  <c i="8" r="AC86"/>
  <c i="8" r="AB19"/>
  <c i="10" r="AC64"/>
  <c i="9" r="AB64"/>
  <c i="16" r="AI122"/>
  <c i="16" r="AH118"/>
  <c i="9" r="AH127"/>
  <c i="10" r="AC50"/>
  <c i="3" r="AF11"/>
  <c i="3" r="AF14"/>
  <c i="8" r="X24"/>
  <c i="10" r="AH126"/>
  <c i="9" r="AA133"/>
  <c i="8" r="V24"/>
  <c i="10" r="AI132"/>
  <c i="16" r="AG118"/>
  <c i="10" r="AI128"/>
  <c i="9" r="AC25"/>
  <c i="8" r="W55"/>
  <c i="8" r="X53"/>
  <c i="9" r="S60"/>
  <c i="9" r="AE60" s="1"/>
  <c i="8" r="V82"/>
  <c i="9" r="AC93"/>
  <c i="16" r="S56"/>
  <c i="8" r="V54"/>
  <c i="5" r="AC19"/>
  <c i="3" r="AD18"/>
  <c i="4" r="AD45"/>
  <c i="19" r="AC58"/>
  <c i="8" r="AA20"/>
  <c i="16" r="AF123"/>
  <c i="16" r="AG111"/>
  <c i="16" r="AB124"/>
  <c i="10" r="AB96"/>
  <c i="16" r="AD25"/>
  <c i="9" r="AG31"/>
  <c i="10" r="AB84"/>
  <c i="16" r="AI123"/>
  <c i="16" r="AD78"/>
  <c i="16" r="AC15"/>
  <c i="9" r="AG16"/>
  <c i="16" r="AC55"/>
  <c i="8" r="V79"/>
  <c i="10" r="AH128"/>
  <c i="9" r="Z95"/>
  <c i="10" r="AD97"/>
  <c i="9" r="Z97"/>
  <c i="16" r="AA22"/>
  <c i="16" r="AD86"/>
  <c i="8" r="X50"/>
  <c i="8" r="V23"/>
  <c i="6" r="AB69"/>
  <c i="16" r="AH21"/>
  <c i="8" r="Z52"/>
  <c i="9" r="AC94"/>
  <c i="16" r="AA27"/>
  <c i="10" r="AB90"/>
  <c i="16" r="AD85"/>
  <c i="8" r="X86"/>
  <c i="8" r="X25"/>
  <c i="3" r="X18"/>
  <c i="16" r="AA88"/>
  <c i="4" r="AF6"/>
  <c i="9" r="AH131"/>
  <c i="10" r="AA59"/>
  <c i="8" r="X20"/>
  <c i="8" r="AB50"/>
  <c i="8" r="V25"/>
  <c i="10" r="AC16"/>
  <c i="10" r="AH131"/>
  <c i="10" r="AC95"/>
  <c i="16" r="AA124"/>
  <c i="10" r="AC30"/>
  <c i="9" r="AG26"/>
  <c i="9" r="AB94"/>
  <c i="10" r="AA98"/>
  <c i="8" r="X56"/>
  <c i="10" r="AE30"/>
  <c i="16" r="AA53"/>
  <c i="16" r="AJ110"/>
  <c i="16" r="AA54"/>
  <c i="16" r="AH123"/>
  <c i="9" r="AD29"/>
  <c i="16" r="Z22"/>
  <c i="16" r="AA92"/>
  <c i="16" r="AB27"/>
  <c i="10" r="AA50"/>
  <c i="10" r="AD130"/>
  <c i="16" r="AI119"/>
  <c i="9" r="AD125"/>
  <c i="16" r="AB87"/>
  <c i="10" r="AB132"/>
  <c i="3" r="AF8"/>
  <c i="8" r="AC23"/>
  <c i="16" r="AC28"/>
  <c i="16" r="AB111"/>
  <c i="16" r="AE26"/>
  <c i="8" r="AC54"/>
  <c i="16" r="AA58"/>
  <c i="4" r="AF44"/>
  <c i="8" r="AB24"/>
  <c i="9" r="Z129"/>
  <c i="16" r="AI24"/>
  <c i="10" r="AC129"/>
  <c i="9" r="AA126"/>
  <c i="16" r="Z79"/>
  <c i="10" r="S57"/>
  <c i="10" r="AE57" s="1"/>
  <c i="10" r="AD118"/>
  <c i="10" r="Z131"/>
  <c i="8" r="AB56"/>
  <c i="9" r="AI127"/>
  <c i="10" r="AB130"/>
  <c i="16" r="X118"/>
  <c i="9" r="Z51"/>
  <c i="16" r="AI14"/>
  <c i="8" r="AB21"/>
  <c i="9" r="AA129"/>
  <c i="8" r="Z21"/>
  <c i="10" r="L126"/>
  <c i="16" r="AC86"/>
  <c i="16" r="AC124"/>
  <c i="9" r="S57"/>
  <c i="9" r="AE57" s="1"/>
  <c i="10" r="Z127"/>
  <c i="16" r="AA15"/>
  <c i="9" r="AI126"/>
  <c i="10" r="AA28"/>
  <c i="16" r="X123"/>
  <c i="10" r="AD16"/>
  <c i="16" r="AC88"/>
  <c i="9" r="X125"/>
  <c i="16" r="AC79"/>
  <c i="9" r="X130"/>
  <c i="9" r="AG130" s="1"/>
  <c i="16" r="AD26"/>
  <c i="10" r="AA29"/>
  <c i="10" r="Z129"/>
  <c i="9" r="X133"/>
  <c i="9" r="AJ133" s="1"/>
  <c i="1" r="M42"/>
  <c i="1" r="M39"/>
  <c i="1" r="M37"/>
  <c i="1" r="M34"/>
  <c i="1" r="M41"/>
  <c i="1" r="M35"/>
  <c i="1" r="M36"/>
  <c i="1" r="H42"/>
  <c i="1" r="M38"/>
  <c i="1" r="M40"/>
  <c i="10" r="AD132"/>
  <c i="9" r="AD16"/>
  <c i="9" r="AJ116"/>
  <c i="1" r="M57"/>
  <c i="1" r="H57"/>
  <c i="9" r="AF129"/>
  <c i="9" r="AC96"/>
  <c i="4" r="AF31"/>
  <c i="8" r="AC56"/>
  <c i="16" r="AI111"/>
  <c i="16" r="AB79"/>
  <c i="16" r="AD122"/>
  <c i="16" r="X121"/>
  <c i="10" r="AE28"/>
  <c i="16" r="AG117"/>
  <c i="9" r="Z99"/>
  <c i="16" r="X117"/>
  <c i="9" r="AA31"/>
  <c i="16" r="AH28"/>
  <c i="8" r="AC25"/>
  <c i="10" r="AA131"/>
  <c i="16" r="AB47"/>
  <c i="16" r="L124"/>
  <c i="16" r="L111"/>
  <c i="10" r="AE27"/>
  <c i="9" r="AA130"/>
  <c i="4" r="U81"/>
  <c i="4" r="AF77"/>
  <c i="16" r="G56"/>
  <c i="9" r="AI131"/>
  <c i="16" r="AD92"/>
  <c i="9" r="Z96"/>
  <c i="10" r="AE126"/>
  <c i="10" r="AA126"/>
  <c i="10" r="AC90"/>
  <c i="10" r="AC118"/>
  <c i="17" r="N208"/>
  <c i="10" r="AB27"/>
  <c i="4" r="AF5"/>
  <c i="4" r="U9"/>
  <c i="9" r="AD126"/>
  <c i="8" r="Z49"/>
  <c i="9" r="AH23"/>
  <c i="10" r="AI126"/>
  <c i="10" r="L131"/>
  <c i="4" r="AF78"/>
  <c i="9" r="AH129"/>
  <c i="10" r="AA93"/>
  <c i="9" r="Z133"/>
  <c i="16" r="AC91"/>
  <c i="10" r="G58"/>
  <c i="3" r="AF12"/>
  <c i="16" r="R79"/>
  <c i="16" r="AD79" s="1"/>
  <c i="10" r="AJ115"/>
  <c i="10" r="X132"/>
  <c i="10" r="X118"/>
  <c i="10" r="X129"/>
  <c i="10" r="X126"/>
  <c i="10" r="X130"/>
  <c i="10" r="AE118"/>
  <c i="19" r="N43"/>
  <c i="19" r="P37" s="1"/>
  <c i="10" r="X125"/>
  <c i="10" r="AJ125" s="1"/>
  <c i="9" r="AF133"/>
  <c i="10" r="AC98"/>
  <c i="10" r="AC132"/>
  <c i="9" r="AJ119"/>
  <c i="16" r="AD90"/>
  <c i="8" r="AA23"/>
  <c i="9" r="AB58"/>
  <c i="10" r="AA95"/>
  <c i="10" r="AD24"/>
  <c i="16" r="AA28"/>
  <c i="10" r="AA118"/>
  <c i="16" r="Z28"/>
  <c i="8" r="AB23"/>
  <c i="16" r="AB22"/>
  <c i="4" r="AF8"/>
  <c i="19" r="D20"/>
  <c i="1" r="M49"/>
  <c i="1" r="D49"/>
  <c i="1" r="E49" s="1"/>
  <c i="19" r="D57"/>
  <c i="1" r="D86"/>
  <c i="16" r="L120"/>
  <c i="16" r="AI118"/>
  <c i="3" r="AF5"/>
  <c i="3" r="U18"/>
  <c i="4" r="U33"/>
  <c i="4" r="AF29"/>
  <c i="9" r="AE125"/>
  <c i="10" r="L128"/>
  <c i="10" r="AJ128" s="1"/>
  <c i="8" r="AB26"/>
  <c i="9" r="AF128"/>
  <c i="10" r="AC92"/>
  <c i="16" r="AE44"/>
  <c i="16" r="S60"/>
  <c i="16" r="S47"/>
  <c i="19" r="AN58"/>
  <c i="19" r="AO50" s="1"/>
  <c i="16" r="G57"/>
  <c i="16" r="AE57" s="1"/>
  <c i="9" r="AD119"/>
  <c i="8" r="AC24"/>
  <c i="16" r="AE25"/>
  <c i="19" r="AC14"/>
  <c i="16" r="AB25"/>
  <c i="9" r="AB63"/>
  <c i="3" r="AF17"/>
  <c i="10" r="L130"/>
  <c i="4" r="AF30"/>
  <c i="10" r="AA132"/>
  <c i="16" r="AB60"/>
  <c i="16" r="AC111"/>
  <c i="16" r="Z15"/>
  <c i="9" r="AF119"/>
  <c i="9" r="Z30"/>
  <c i="10" r="AC97"/>
  <c i="19" r="C13"/>
  <c i="19" r="E7" s="1"/>
  <c i="16" r="L122"/>
  <c i="19" r="D54"/>
  <c i="1" r="D83"/>
  <c i="1" r="E83" s="1"/>
  <c i="19" r="D51"/>
  <c i="1" r="D80"/>
  <c i="1" r="E80" s="1"/>
  <c i="16" r="G53"/>
  <c i="16" r="AE53" s="1"/>
  <c i="9" r="AH125"/>
  <c i="10" r="AE16"/>
  <c i="4" r="AF32"/>
  <c i="10" r="AB118"/>
  <c i="9" r="AD30"/>
  <c i="9" r="Z29"/>
  <c i="10" r="AC84"/>
  <c i="9" r="AA16"/>
  <c i="16" r="L119"/>
  <c i="16" r="AJ119" s="1"/>
  <c i="10" r="AD26"/>
  <c i="16" r="G59"/>
  <c i="16" r="AE59" s="1"/>
  <c i="16" r="AG124"/>
  <c i="10" r="AA25"/>
  <c i="3" r="AF15"/>
  <c i="19" r="D13"/>
  <c i="19" r="F7" s="1"/>
  <c i="19" r="N5"/>
  <c i="8" r="Z24"/>
  <c i="16" r="W15"/>
  <c i="16" r="AI15" s="1"/>
  <c i="10" r="AD128"/>
  <c i="10" r="AC57"/>
  <c i="10" r="AD30"/>
  <c i="10" r="L127"/>
  <c i="10" r="AJ127" s="1"/>
  <c i="9" r="AH133"/>
  <c i="10" r="AB131"/>
  <c i="19" r="D52"/>
  <c i="1" r="D81"/>
  <c i="1" r="E81" s="1"/>
  <c i="20" r="D37"/>
  <c i="19" r="D24"/>
  <c i="1" r="M53"/>
  <c i="1" r="D53"/>
  <c i="1" r="E53" s="1"/>
  <c i="1" r="B57"/>
  <c i="1" r="L50" s="1"/>
  <c i="16" r="L123"/>
  <c i="19" r="D23"/>
  <c i="1" r="M52"/>
  <c i="1" r="D52"/>
  <c i="1" r="E52" s="1"/>
  <c i="10" r="L129"/>
  <c i="20" r="I19"/>
  <c i="20" r="D13"/>
  <c i="20" r="I26" s="1"/>
  <c i="9" r="AB97"/>
  <c i="10" r="S56"/>
  <c i="16" r="AG23"/>
  <c i="9" r="AB61"/>
  <c i="9" r="AF125"/>
  <c i="19" r="AN14"/>
  <c i="19" r="AM15" s="1"/>
  <c i="9" r="AB60"/>
  <c i="9" r="Z16"/>
  <c i="19" r="D22"/>
  <c i="1" r="D51"/>
  <c i="1" r="E51" s="1"/>
  <c i="1" r="M51"/>
  <c i="16" r="G60"/>
  <c i="16" r="G47"/>
  <c i="19" r="D55"/>
  <c i="1" r="D84"/>
  <c i="1" r="E84" s="1"/>
  <c i="19" r="C52"/>
  <c i="16" r="L117"/>
  <c i="10" r="AE24"/>
  <c i="16" r="AI26"/>
  <c i="9" r="AH119"/>
  <c i="16" r="AC92"/>
  <c i="16" r="AC47"/>
  <c i="9" r="Z31"/>
  <c i="10" r="AB30"/>
  <c i="4" r="J33"/>
  <c i="19" r="N7"/>
  <c i="16" r="Z88"/>
  <c i="10" r="G50"/>
  <c i="10" r="G64"/>
  <c i="10" r="G63"/>
  <c i="10" r="G59"/>
  <c i="10" r="G62"/>
  <c i="10" r="AE62" s="1"/>
  <c i="10" r="G61"/>
  <c i="17" r="N35"/>
  <c i="19" r="D50"/>
  <c i="1" r="C87"/>
  <c i="1" r="P82" s="1"/>
  <c i="1" r="D79"/>
  <c i="1" r="E79" s="1"/>
  <c i="10" r="AD129"/>
  <c i="16" r="AC60"/>
  <c i="10" r="AB16"/>
  <c i="19" r="D21"/>
  <c i="1" r="M50"/>
  <c i="1" r="D50"/>
  <c i="1" r="E50" s="1"/>
  <c i="4" r="AF17"/>
  <c i="4" r="U21"/>
  <c i="4" r="AF21" s="1"/>
  <c i="19" r="C28"/>
  <c i="19" r="E21" s="1"/>
  <c i="1" r="P72"/>
  <c i="1" r="M72"/>
  <c i="1" r="H72"/>
  <c i="1" r="I72" s="1"/>
  <c i="1" r="J72" s="1"/>
  <c i="1" r="D72"/>
  <c i="1" r="E72" s="1"/>
  <c i="1" r="P69"/>
  <c i="1" r="P67"/>
  <c i="1" r="P65"/>
  <c i="1" r="P71"/>
  <c i="1" r="P70"/>
  <c i="1" r="P68"/>
  <c i="1" r="P66"/>
  <c i="1" r="P64"/>
  <c i="19" r="D25"/>
  <c i="1" r="M54"/>
  <c i="1" r="D54"/>
  <c i="1" r="E54" s="1"/>
  <c i="17" r="J44"/>
  <c i="17" r="N40"/>
  <c i="10" r="AE23"/>
  <c i="4" r="U57"/>
  <c i="4" r="AF57" s="1"/>
  <c i="4" r="AF53"/>
  <c i="19" r="N9"/>
  <c i="16" r="L121"/>
  <c i="8" r="Z22"/>
  <c i="10" r="AG30"/>
  <c i="16" r="X111"/>
  <c i="16" r="AJ108"/>
  <c i="16" r="X124"/>
  <c i="10" r="AA124"/>
  <c i="16" r="Z47"/>
  <c i="19" r="C51"/>
  <c i="1" r="B87"/>
  <c i="1" r="O84" s="1"/>
  <c i="16" r="AD28"/>
  <c i="16" r="AG27"/>
  <c i="9" r="AC99"/>
  <c i="8" r="AB22"/>
  <c i="19" r="C57"/>
  <c i="10" r="AG16"/>
  <c i="9" r="AE31"/>
  <c i="16" r="AH124"/>
  <c i="19" r="D27"/>
  <c i="1" r="D56"/>
  <c i="1" r="M56"/>
  <c i="10" r="AA125"/>
  <c i="9" r="AA128"/>
  <c i="16" r="AG25"/>
  <c i="8" r="AC26"/>
  <c i="16" r="Z60"/>
  <c i="1" r="L42"/>
  <c i="1" r="L40"/>
  <c i="1" r="G42"/>
  <c i="1" r="L39"/>
  <c i="1" r="D42"/>
  <c i="1" r="E42" s="1"/>
  <c i="1" r="L35"/>
  <c i="1" r="L41"/>
  <c i="1" r="L37"/>
  <c i="1" r="L72"/>
  <c i="1" r="L34"/>
  <c i="1" r="L36"/>
  <c i="1" r="L38"/>
  <c i="10" r="L132"/>
  <c i="10" r="L118"/>
  <c i="10" r="L124"/>
  <c i="16" r="AA47"/>
  <c i="9" r="AA131"/>
  <c i="19" r="C53"/>
  <c i="16" r="AB92"/>
  <c i="9" r="AC85"/>
  <c i="9" r="AE16"/>
  <c i="9" r="AE132"/>
  <c i="9" r="AH30"/>
  <c i="16" r="AE124"/>
  <c i="9" r="AE133"/>
  <c i="16" r="AD15"/>
  <c i="9" r="AI125"/>
  <c i="10" r="AC125"/>
  <c i="16" r="AA60"/>
  <c i="4" r="U69"/>
  <c i="4" r="AF65"/>
  <c i="16" r="L118"/>
  <c i="4" r="J81"/>
  <c i="18" r="C34"/>
  <c i="17" r="F19"/>
  <c i="16" r="Z111"/>
  <c i="16" r="AH111"/>
  <c i="10" r="AB127"/>
  <c i="10" r="AC131"/>
  <c i="19" r="D26"/>
  <c i="1" r="M55"/>
  <c i="1" r="D55"/>
  <c i="1" r="E55" s="1"/>
  <c i="16" r="AE22"/>
  <c i="10" r="AD95"/>
  <c i="16" r="G54"/>
  <c i="16" r="AE54" s="1"/>
  <c i="9" r="AE30"/>
  <c i="16" r="Z124"/>
  <c i="16" r="AE111"/>
  <c i="9" r="AE119"/>
  <c i="10" r="AD91"/>
  <c i="9" r="AI133"/>
  <c i="10" r="AC128"/>
  <c i="3" r="J18"/>
  <c i="9" r="AA27"/>
  <c i="10" r="AI15"/>
  <c i="16" r="G55"/>
  <c i="16" r="AE55" s="1"/>
  <c i="10" r="W16"/>
  <c i="10" r="AI16" s="1"/>
  <c i="8" r="Z25"/>
  <c i="10" r="G56"/>
  <c i="9" r="AH16"/>
  <c i="16" r="AG28"/>
  <c i="10" r="AC127"/>
  <c i="19" r="D56"/>
  <c i="1" r="D85"/>
  <c i="1" r="E85" s="1"/>
  <c i="16" r="AA111"/>
  <c i="9" r="AD127"/>
  <c i="9" r="AB51"/>
  <c i="8" r="Z26"/>
  <c i="10" r="AD125"/>
  <c i="9" r="AH31"/>
  <c i="9" r="AG119"/>
  <c i="16" r="Z92"/>
  <c i="16" r="AG15"/>
  <c i="9" r="AI119"/>
  <c i="10" r="AC130"/>
  <c i="17" r="R154"/>
  <c i="10" r="AD83"/>
  <c i="10" r="AI118"/>
  <c i="8" r="AB53"/>
  <c i="10" r="R84"/>
  <c i="10" r="AD84" s="1"/>
  <c i="9" r="S65"/>
  <c i="9" r="AE65" s="1"/>
  <c i="9" r="AE48"/>
  <c i="9" r="S51"/>
  <c i="9" r="AE51" s="1"/>
  <c i="9" r="S64"/>
  <c i="9" r="AE64" s="1"/>
  <c i="9" r="AI130"/>
  <c i="17" r="G35"/>
  <c i="10" r="AC126"/>
  <c i="4" r="U45"/>
  <c i="4" r="AF41"/>
  <c i="19" r="D53"/>
  <c i="1" r="D82"/>
  <c i="1" r="E82" s="1"/>
  <c i="10" r="AJ117"/>
  <c i="4" r="J9"/>
  <c i="16" r="X120"/>
  <c i="9" r="Z119"/>
  <c i="19" r="C54"/>
  <c i="10" r="AE132"/>
  <c i="10" r="Z118"/>
  <c i="20" r="D35"/>
  <c i="10" r="AD98"/>
  <c i="9" r="AD132"/>
  <c i="10" r="AB23"/>
  <c i="10" r="S50"/>
  <c i="10" r="AE47"/>
  <c i="10" r="S64"/>
  <c i="10" r="S59"/>
  <c i="10" r="S58"/>
  <c i="10" r="S60"/>
  <c i="10" r="AE60" s="1"/>
  <c i="10" r="S63"/>
  <c i="16" r="AI25"/>
  <c i="16" r="AE58"/>
  <c i="9" r="Z128"/>
  <c i="10" r="AE127"/>
  <c i="19" r="C55"/>
  <c i="10" r="Z132"/>
  <c i="9" r="AD24"/>
  <c i="9" r="AD129"/>
  <c i="19" r="C56"/>
  <c i="16" r="Z23"/>
  <c i="10" r="S61"/>
  <c i="4" r="AF80"/>
  <c i="9" r="Z131"/>
  <c i="16" r="X122"/>
  <c i="4" r="J45"/>
  <c i="10" r="AE124"/>
  <c i="10" r="AA128"/>
  <c i="16" r="AC85"/>
  <c i="19" r="I43"/>
  <c i="19" r="M35" s="1"/>
  <c i="19" r="Q35" s="1"/>
  <c i="19" r="E43"/>
  <c i="19" r="F43" s="1"/>
  <c i="17" r="N41"/>
  <c i="9" r="AF132"/>
  <c i="1" l="1" r="I22"/>
  <c i="1" r="I21"/>
  <c i="1" r="I25"/>
  <c i="1" r="I19"/>
  <c i="1" r="I27"/>
  <c i="18" r="W346"/>
  <c i="18" r="X346" s="1"/>
  <c i="17" r="F21"/>
  <c i="18" r="W356"/>
  <c i="18" r="X356" s="1"/>
  <c i="1" r="I23"/>
  <c i="9" r="AG125"/>
  <c i="18" r="W332"/>
  <c i="18" r="X332" s="1"/>
  <c i="18" r="W352"/>
  <c i="18" r="X352" s="1"/>
  <c i="9" r="AJ128"/>
  <c i="9" r="AG131"/>
  <c i="17" r="F44"/>
  <c i="17" r="M53" s="1"/>
  <c i="18" r="W324"/>
  <c i="18" r="X324" s="1"/>
  <c i="18" r="W339"/>
  <c i="18" r="X339" s="1"/>
  <c i="18" r="W326"/>
  <c i="18" r="X326" s="1"/>
  <c i="18" r="W355"/>
  <c i="18" r="X355" s="1"/>
  <c i="18" r="W308"/>
  <c i="18" r="X308" s="1"/>
  <c i="4" r="AF69"/>
  <c i="10" r="AJ131"/>
  <c i="9" r="AJ127"/>
  <c i="18" r="W317"/>
  <c i="18" r="X317" s="1"/>
  <c i="18" r="W344"/>
  <c i="18" r="X344" s="1"/>
  <c i="18" r="W325"/>
  <c i="18" r="X325" s="1"/>
  <c i="18" r="W343"/>
  <c i="18" r="X343" s="1"/>
  <c i="1" r="I56"/>
  <c i="9" r="AJ132"/>
  <c i="9" r="AJ129"/>
  <c i="1" r="I86"/>
  <c i="18" r="W341"/>
  <c i="18" r="X341" s="1"/>
  <c i="18" r="W359"/>
  <c i="18" r="X359" s="1"/>
  <c i="18" r="W336"/>
  <c i="18" r="X336" s="1"/>
  <c i="18" r="W360"/>
  <c i="18" r="X360" s="1"/>
  <c i="18" r="W312"/>
  <c i="18" r="X312" s="1"/>
  <c i="18" r="W361"/>
  <c i="18" r="X361" s="1"/>
  <c i="18" r="W330"/>
  <c i="18" r="X330" s="1"/>
  <c i="18" r="W331"/>
  <c i="18" r="X331" s="1"/>
  <c i="18" r="W351"/>
  <c i="18" r="X351" s="1"/>
  <c i="18" r="W349"/>
  <c i="18" r="X349" s="1"/>
  <c i="18" r="W303"/>
  <c i="18" r="X303" s="1"/>
  <c i="18" r="W299"/>
  <c i="18" r="X299" s="1"/>
  <c i="18" r="W320"/>
  <c i="18" r="X320" s="1"/>
  <c i="18" r="W345"/>
  <c i="18" r="X345" s="1"/>
  <c i="18" r="W304"/>
  <c i="18" r="X304" s="1"/>
  <c i="18" r="W300"/>
  <c i="18" r="X300" s="1"/>
  <c i="18" r="W354"/>
  <c i="18" r="X354" s="1"/>
  <c i="18" r="W340"/>
  <c i="18" r="X340" s="1"/>
  <c i="18" r="W305"/>
  <c i="18" r="X305" s="1"/>
  <c i="18" r="W301"/>
  <c i="18" r="X301" s="1"/>
  <c i="18" r="W316"/>
  <c i="18" r="X316" s="1"/>
  <c i="18" r="W321"/>
  <c i="18" r="X321" s="1"/>
  <c i="18" r="W358"/>
  <c i="18" r="X358" s="1"/>
  <c i="18" r="W348"/>
  <c i="18" r="X348" s="1"/>
  <c i="18" r="W315"/>
  <c i="18" r="X315" s="1"/>
  <c i="18" r="W311"/>
  <c i="18" r="X311" s="1"/>
  <c i="18" r="W329"/>
  <c i="18" r="X329" s="1"/>
  <c i="18" r="W334"/>
  <c i="18" r="X334" s="1"/>
  <c i="18" r="W328"/>
  <c i="18" r="X328" s="1"/>
  <c i="18" r="W313"/>
  <c i="18" r="X313" s="1"/>
  <c i="18" r="W309"/>
  <c i="18" r="X309" s="1"/>
  <c i="18" r="W323"/>
  <c i="18" r="X323" s="1"/>
  <c i="18" r="W319"/>
  <c i="18" r="X319" s="1"/>
  <c i="18" r="W327"/>
  <c i="18" r="X327" s="1"/>
  <c i="18" r="W306"/>
  <c i="18" r="X306" s="1"/>
  <c i="18" r="W302"/>
  <c i="18" r="X302" s="1"/>
  <c i="18" r="W337"/>
  <c i="18" r="X337" s="1"/>
  <c i="18" r="W357"/>
  <c i="18" r="X357" s="1"/>
  <c i="18" r="W314"/>
  <c i="18" r="X314" s="1"/>
  <c i="18" r="W310"/>
  <c i="18" r="X310" s="1"/>
  <c i="18" r="W347"/>
  <c i="18" r="X347" s="1"/>
  <c i="18" r="W350"/>
  <c i="18" r="X350" s="1"/>
  <c i="18" r="W322"/>
  <c i="18" r="X322" s="1"/>
  <c i="18" r="W318"/>
  <c i="18" r="X318" s="1"/>
  <c i="18" r="W335"/>
  <c i="18" r="X335" s="1"/>
  <c i="18" r="W342"/>
  <c i="18" r="X342" s="1"/>
  <c i="1" r="J53"/>
  <c i="1" r="I49"/>
  <c i="1" r="J49" s="1"/>
  <c i="10" r="AJ124"/>
  <c i="1" r="J50"/>
  <c i="1" r="I54"/>
  <c i="1" r="J54" s="1"/>
  <c i="17" r="C201"/>
  <c i="17" r="M215" s="1"/>
  <c i="19" r="AO56"/>
  <c i="9" r="AG133"/>
  <c i="16" r="AE56"/>
  <c i="19" r="AO54"/>
  <c i="17" r="E147"/>
  <c i="17" r="O161" s="1"/>
  <c i="17" r="D91"/>
  <c i="17" r="N106" s="1"/>
  <c i="9" r="AG128"/>
  <c i="17" r="M208"/>
  <c i="18" r="C39"/>
  <c i="9" r="AG129"/>
  <c i="17" r="C147"/>
  <c i="17" r="M161" s="1"/>
  <c i="17" r="H201"/>
  <c i="17" r="R215" s="1"/>
  <c i="16" r="AJ121"/>
  <c i="16" r="AJ123"/>
  <c i="17" r="F18"/>
  <c i="1" r="L54"/>
  <c i="9" r="AG132"/>
  <c i="19" r="M36"/>
  <c i="19" r="Q36" s="1"/>
  <c i="9" r="AG127"/>
  <c i="19" r="P40"/>
  <c i="1" r="O85"/>
  <c i="9" r="AG126"/>
  <c i="18" r="C38"/>
  <c i="17" r="G201"/>
  <c i="17" r="Q215" s="1"/>
  <c i="17" r="D147"/>
  <c i="17" r="N161" s="1"/>
  <c i="17" r="H147"/>
  <c i="17" r="R161" s="1"/>
  <c i="17" r="G91"/>
  <c i="17" r="Q106" s="1"/>
  <c i="17" r="D44"/>
  <c i="17" r="K53" s="1"/>
  <c i="17" r="F147"/>
  <c i="17" r="P161" s="1"/>
  <c i="17" r="O154"/>
  <c i="17" r="E44"/>
  <c i="17" r="L53" s="1"/>
  <c i="19" r="E24"/>
  <c i="17" r="I201"/>
  <c i="17" r="S215" s="1"/>
  <c i="17" r="G42"/>
  <c i="17" r="N51" s="1"/>
  <c i="18" r="C37"/>
  <c i="17" r="F22"/>
  <c i="17" r="F91"/>
  <c i="17" r="P106" s="1"/>
  <c i="17" r="G147"/>
  <c i="17" r="Q161" s="1"/>
  <c i="17" r="E201"/>
  <c i="17" r="O215" s="1"/>
  <c i="17" r="F201"/>
  <c i="17" r="P215" s="1"/>
  <c i="19" r="E25"/>
  <c i="10" r="AE58"/>
  <c i="17" r="E91"/>
  <c i="17" r="O106" s="1"/>
  <c i="17" r="H91"/>
  <c i="17" r="R106" s="1"/>
  <c i="17" r="I91"/>
  <c i="17" r="S106" s="1"/>
  <c i="17" r="G43"/>
  <c i="17" r="N52" s="1"/>
  <c i="17" r="F20"/>
  <c i="17" r="D201"/>
  <c i="17" r="N215" s="1"/>
  <c i="16" r="AJ118"/>
  <c i="16" r="AJ122"/>
  <c i="19" r="AF59"/>
  <c i="17" r="C44"/>
  <c i="17" r="J53" s="1"/>
  <c i="19" r="AK59"/>
  <c i="17" r="C91"/>
  <c i="17" r="M106" s="1"/>
  <c i="10" r="AE61"/>
  <c i="17" r="G40"/>
  <c i="17" r="N49" s="1"/>
  <c i="9" r="AJ131"/>
  <c i="17" r="I147"/>
  <c i="17" r="S161" s="1"/>
  <c i="17" r="G41"/>
  <c i="17" r="N50" s="1"/>
  <c i="16" r="AJ117"/>
  <c i="9" r="AJ130"/>
  <c i="10" r="AE59"/>
  <c i="1" r="O82"/>
  <c i="10" r="AE63"/>
  <c i="10" r="AE64"/>
  <c i="10" r="AE50"/>
  <c i="1" r="I42"/>
  <c i="1" r="J42" s="1"/>
  <c i="19" r="AO52"/>
  <c i="19" r="P38"/>
  <c i="16" r="AJ124"/>
  <c i="19" r="AO53"/>
  <c i="1" r="O83"/>
  <c i="19" r="AO57"/>
  <c i="19" r="AO55"/>
  <c i="19" r="P39"/>
  <c i="16" r="AJ120"/>
  <c i="9" r="AJ125"/>
  <c i="19" r="E27"/>
  <c i="16" r="AJ111"/>
  <c i="19" r="AG15"/>
  <c i="19" r="AF15"/>
  <c i="19" r="AI15"/>
  <c i="19" r="AO7"/>
  <c i="19" r="AO8"/>
  <c i="19" r="F5"/>
  <c i="20" r="D41"/>
  <c i="19" r="E11"/>
  <c i="19" r="AO9"/>
  <c i="10" r="AJ126"/>
  <c i="19" r="E13"/>
  <c i="19" r="E9"/>
  <c i="19" r="E10"/>
  <c i="19" r="E6"/>
  <c i="17" r="N44"/>
  <c i="19" r="E55"/>
  <c i="19" r="F55" s="1"/>
  <c i="19" r="N55"/>
  <c i="19" r="N23"/>
  <c i="19" r="M42"/>
  <c i="19" r="E5"/>
  <c i="19" r="E12"/>
  <c i="19" r="N21"/>
  <c i="1" r="L55"/>
  <c i="1" r="G57"/>
  <c i="1" r="I57" s="1"/>
  <c i="1" r="J57" s="1"/>
  <c i="1" r="L57"/>
  <c i="1" r="L51"/>
  <c i="1" r="D57"/>
  <c i="1" r="E57" s="1"/>
  <c i="1" r="L52"/>
  <c i="19" r="AN59"/>
  <c i="19" r="AO58"/>
  <c i="19" r="AO51"/>
  <c i="19" r="AM59"/>
  <c i="19" r="AI59"/>
  <c i="19" r="AG59"/>
  <c i="1" r="L49"/>
  <c i="16" r="AE47"/>
  <c i="19" r="N13"/>
  <c i="19" r="P9" s="1"/>
  <c i="16" r="AE60"/>
  <c i="19" r="N25"/>
  <c i="19" r="F13"/>
  <c i="19" r="F6"/>
  <c i="19" r="F10"/>
  <c i="19" r="F11"/>
  <c i="19" r="F12"/>
  <c i="19" r="F8"/>
  <c i="1" r="D87"/>
  <c i="1" r="E87" s="1"/>
  <c i="19" r="N22"/>
  <c i="19" r="N20"/>
  <c i="19" r="D28"/>
  <c i="19" r="F23" s="1"/>
  <c i="1" r="O79"/>
  <c i="1" r="O87"/>
  <c i="1" r="G87"/>
  <c i="1" r="P87"/>
  <c i="1" r="H87"/>
  <c i="1" r="I87" s="1"/>
  <c i="1" r="J87" s="1"/>
  <c i="19" r="M37"/>
  <c i="19" r="N53"/>
  <c i="19" r="E53"/>
  <c i="19" r="F53" s="1"/>
  <c i="1" r="P79"/>
  <c i="1" r="O80"/>
  <c i="19" r="N24"/>
  <c i="19" r="M40"/>
  <c i="4" r="AF81"/>
  <c i="19" r="C58"/>
  <c i="19" r="H58" s="1"/>
  <c i="19" r="N50"/>
  <c i="19" r="D58"/>
  <c i="19" r="E50"/>
  <c i="19" r="F50" s="1"/>
  <c i="19" r="N26"/>
  <c i="19" r="AN15"/>
  <c i="19" r="AO14"/>
  <c i="19" r="AO12"/>
  <c i="19" r="AO11"/>
  <c i="19" r="AK15"/>
  <c i="19" r="AJ15"/>
  <c i="19" r="AO13"/>
  <c i="19" r="AL15"/>
  <c i="19" r="P43"/>
  <c i="19" r="M38"/>
  <c i="4" r="AF45"/>
  <c i="19" r="M39"/>
  <c i="19" r="AO6"/>
  <c i="19" r="P36"/>
  <c i="19" r="P35"/>
  <c i="19" r="AL59"/>
  <c i="1" r="P81"/>
  <c i="4" r="AF33"/>
  <c i="19" r="P42"/>
  <c i="3" r="AF18"/>
  <c i="1" r="O81"/>
  <c i="1" r="P80"/>
  <c i="1" r="L56"/>
  <c i="19" r="AH15"/>
  <c i="10" r="AJ130"/>
  <c i="10" r="AE56"/>
  <c i="19" r="E52"/>
  <c i="19" r="F52" s="1"/>
  <c i="19" r="N52"/>
  <c i="19" r="AH59"/>
  <c i="4" r="AF9"/>
  <c i="19" r="N27"/>
  <c i="19" r="N51"/>
  <c i="19" r="E51"/>
  <c i="19" r="F51" s="1"/>
  <c i="19" r="AO10"/>
  <c i="10" r="AJ129"/>
  <c i="19" r="H28"/>
  <c i="19" r="E28"/>
  <c i="19" r="E26"/>
  <c i="19" r="E23"/>
  <c i="19" r="E22"/>
  <c i="19" r="P41"/>
  <c i="10" r="AJ118"/>
  <c i="1" r="P85"/>
  <c i="19" r="E20"/>
  <c i="19" r="E8"/>
  <c i="20" r="I27"/>
  <c i="19" r="AJ59"/>
  <c i="10" r="AJ132"/>
  <c i="1" r="L53"/>
  <c i="19" r="N56"/>
  <c i="19" r="E56"/>
  <c i="19" r="F56" s="1"/>
  <c i="19" r="F9"/>
  <c i="1" r="P83"/>
  <c i="1" r="P86"/>
  <c i="19" r="N54"/>
  <c i="19" r="E54"/>
  <c i="19" r="F54" s="1"/>
  <c i="1" r="O86"/>
  <c i="1" r="P84"/>
  <c i="19" r="M41"/>
  <c i="19" r="N57"/>
  <c i="19" r="E57"/>
  <c i="19" r="F57" s="1"/>
  <c i="18" l="1" r="C41"/>
  <c i="18" r="E41" s="1"/>
  <c i="17" r="G44"/>
  <c i="19" r="F20"/>
  <c i="19" r="F21"/>
  <c i="19" r="F24"/>
  <c i="17" r="N53"/>
  <c i="19" r="F25"/>
  <c i="19" r="F27"/>
  <c i="19" r="Q39"/>
  <c i="19" r="Q38"/>
  <c i="19" r="Q42"/>
  <c i="19" r="I28"/>
  <c i="19" r="M6" s="1"/>
  <c i="19" r="F28"/>
  <c i="19" r="N28"/>
  <c i="19" r="P13"/>
  <c i="19" r="P6"/>
  <c i="19" r="P8"/>
  <c i="19" r="P11"/>
  <c i="19" r="P10"/>
  <c i="19" r="P12"/>
  <c i="19" r="F22"/>
  <c i="19" r="P5"/>
  <c i="19" r="F26"/>
  <c i="19" r="E58"/>
  <c i="19" r="F58" s="1"/>
  <c i="19" r="I58"/>
  <c i="19" r="Q41"/>
  <c i="19" r="P7"/>
  <c i="19" r="N58"/>
  <c i="19" r="P52" s="1"/>
  <c i="19" r="Q37"/>
  <c i="19" r="M43"/>
  <c i="19" r="O42" s="1"/>
  <c i="19" r="Q40"/>
  <c i="19" l="1" r="O41"/>
  <c i="19" r="M12"/>
  <c i="19" r="Q12" s="1"/>
  <c i="19" r="P53"/>
  <c i="19" r="P55"/>
  <c i="19" r="P54"/>
  <c i="19" r="P51"/>
  <c i="19" r="P56"/>
  <c i="19" r="P28"/>
  <c i="18" r="C6"/>
  <c i="19" r="Q6"/>
  <c i="19" r="P24"/>
  <c i="19" r="M8"/>
  <c i="19" r="M9"/>
  <c i="19" r="M5"/>
  <c i="19" r="P27"/>
  <c i="19" r="O38"/>
  <c i="19" r="P22"/>
  <c i="19" r="P26"/>
  <c i="19" r="P20"/>
  <c i="19" r="O40"/>
  <c i="19" r="M11"/>
  <c i="19" r="O37"/>
  <c i="19" r="O39"/>
  <c i="18" r="C12"/>
  <c i="20" r="C12" s="1"/>
  <c i="19" r="P25"/>
  <c i="19" r="P58"/>
  <c i="19" r="M44"/>
  <c i="19" r="O43"/>
  <c i="19" r="M50"/>
  <c i="19" r="M52"/>
  <c i="19" r="M57"/>
  <c i="19" r="Q43"/>
  <c i="19" r="M51"/>
  <c i="19" r="M56"/>
  <c i="19" r="O35"/>
  <c i="19" r="M55"/>
  <c i="19" r="O36"/>
  <c i="19" r="M53"/>
  <c i="19" r="M54"/>
  <c i="19" r="P23"/>
  <c i="19" r="M7"/>
  <c i="19" r="P50"/>
  <c i="19" r="P57"/>
  <c i="19" r="P21"/>
  <c i="19" r="M10"/>
  <c i="18" l="1" r="C10"/>
  <c i="19" r="Q10"/>
  <c i="18" r="C7"/>
  <c i="19" r="Q7"/>
  <c i="20" r="E12"/>
  <c i="20" r="H9"/>
  <c i="20" r="J9" s="1"/>
  <c i="18" r="E136" s="1"/>
  <c i="18" r="J136" s="1"/>
  <c i="18" r="K136" s="1"/>
  <c i="20" r="H7"/>
  <c i="20" r="J7" s="1"/>
  <c i="18" r="E134" s="1"/>
  <c i="18" r="J134" s="1"/>
  <c i="18" r="K134" s="1"/>
  <c i="20" r="H5"/>
  <c i="20" r="H11"/>
  <c i="20" r="J11" s="1"/>
  <c i="18" r="E138" s="1"/>
  <c i="18" r="J138" s="1"/>
  <c i="18" r="K138" s="1"/>
  <c i="20" r="H10"/>
  <c i="20" r="J10" s="1"/>
  <c i="18" r="E137" s="1"/>
  <c i="18" r="J137" s="1"/>
  <c i="18" r="K137" s="1"/>
  <c i="20" r="H6"/>
  <c i="20" r="J6" s="1"/>
  <c i="18" r="E133" s="1"/>
  <c i="18" r="J133" s="1"/>
  <c i="18" r="K133" s="1"/>
  <c i="20" r="H8"/>
  <c i="20" r="J8" s="1"/>
  <c i="18" r="E135" s="1"/>
  <c i="18" r="J135" s="1"/>
  <c i="18" r="K135" s="1"/>
  <c i="18" r="C11"/>
  <c i="19" r="Q11"/>
  <c i="19" r="Q53"/>
  <c i="19" r="M13"/>
  <c i="19" r="O11" s="1"/>
  <c i="18" r="C5"/>
  <c i="19" r="Q5"/>
  <c i="19" r="Q54"/>
  <c i="19" r="Q51"/>
  <c i="19" r="Q52"/>
  <c i="19" r="Q55"/>
  <c i="19" r="Q56"/>
  <c i="19" r="M58"/>
  <c i="19" r="O57" s="1"/>
  <c i="19" r="Q50"/>
  <c i="18" r="C8"/>
  <c i="19" r="Q8"/>
  <c i="19" r="Q57"/>
  <c i="18" r="C9"/>
  <c i="19" r="Q9"/>
  <c i="20" r="C6"/>
  <c i="18" r="E6"/>
  <c i="18" r="J6" s="1"/>
  <c i="18" r="C23"/>
  <c i="20" r="M22"/>
  <c i="20" r="M19"/>
  <c i="20" r="M21"/>
  <c i="20" r="M24"/>
  <c i="20" r="M26"/>
  <c i="20" r="O26" s="1"/>
  <c i="20" r="M23"/>
  <c i="18" r="C20"/>
  <c i="18" r="C22"/>
  <c i="20" r="M25"/>
  <c i="18" r="C24"/>
  <c i="18" r="C21"/>
  <c i="18" r="C19"/>
  <c i="20" r="M20"/>
  <c i="18" r="C25"/>
  <c i="19" l="1" r="O50"/>
  <c i="19" r="O53"/>
  <c i="19" r="O54"/>
  <c i="20" r="O22"/>
  <c i="20" r="C5"/>
  <c i="20" r="C33" s="1"/>
  <c i="18" r="C13"/>
  <c i="18" r="E5"/>
  <c i="18" r="J5" s="1"/>
  <c i="20" r="C11"/>
  <c i="20" r="C39" s="1"/>
  <c i="20" r="E39" s="1"/>
  <c i="18" r="E39" s="1"/>
  <c i="18" r="J39" s="1"/>
  <c i="18" r="K39" s="1"/>
  <c i="18" r="E11"/>
  <c i="18" r="J11" s="1"/>
  <c i="20" r="E6"/>
  <c i="20" r="C34"/>
  <c i="20" r="E34" s="1"/>
  <c i="18" r="E34" s="1"/>
  <c i="18" r="J34" s="1"/>
  <c i="18" r="K34" s="1"/>
  <c i="20" r="O20"/>
  <c i="18" r="AC4"/>
  <c i="20" r="O25"/>
  <c i="18" r="AC6"/>
  <c i="20" r="C19"/>
  <c i="18" r="C27"/>
  <c i="18" r="E27" s="1"/>
  <c i="18" r="E19"/>
  <c i="18" r="J19" s="1"/>
  <c i="18" r="AC9"/>
  <c i="19" r="O13"/>
  <c i="19" r="M14"/>
  <c i="19" r="M26"/>
  <c i="19" r="M23"/>
  <c i="19" r="M22"/>
  <c i="19" r="M20"/>
  <c i="19" r="M25"/>
  <c i="19" r="M21"/>
  <c i="19" r="M24"/>
  <c i="19" r="M27"/>
  <c i="19" r="Q13"/>
  <c i="19" r="O6"/>
  <c i="19" r="O12"/>
  <c i="20" r="C8"/>
  <c i="18" r="E8"/>
  <c i="18" r="J8" s="1"/>
  <c i="19" r="O8"/>
  <c i="19" r="O58"/>
  <c i="19" r="Q58"/>
  <c i="20" r="C22"/>
  <c i="20" r="E22" s="1"/>
  <c i="18" r="E22"/>
  <c i="18" r="J22" s="1"/>
  <c i="20" r="C7"/>
  <c i="18" r="E7"/>
  <c i="18" r="J7" s="1"/>
  <c i="18" r="D104"/>
  <c i="18" r="F104"/>
  <c i="18" r="K6"/>
  <c i="18" r="E104"/>
  <c i="20" r="C9"/>
  <c i="20" r="C37" s="1"/>
  <c i="20" r="E37" s="1"/>
  <c i="18" r="E37" s="1"/>
  <c i="18" r="J37" s="1"/>
  <c i="18" r="K37" s="1"/>
  <c i="18" r="E9"/>
  <c i="18" r="J9" s="1"/>
  <c i="19" r="O9"/>
  <c i="18" r="AC5"/>
  <c i="19" r="O52"/>
  <c i="19" r="O7"/>
  <c i="20" r="C23"/>
  <c i="20" r="E23" s="1"/>
  <c i="18" r="E23"/>
  <c i="18" r="J23" s="1"/>
  <c i="20" r="C25"/>
  <c i="20" r="E25" s="1"/>
  <c i="18" r="E25"/>
  <c i="18" r="J25" s="1"/>
  <c i="20" r="J5"/>
  <c i="18" r="E132" s="1"/>
  <c i="18" r="J132" s="1"/>
  <c i="18" r="K132" s="1"/>
  <c i="20" r="H12"/>
  <c i="20" r="J12" s="1"/>
  <c i="18" r="E139" s="1"/>
  <c i="19" r="O56"/>
  <c i="20" r="O24"/>
  <c i="18" r="AC8"/>
  <c i="20" r="C21"/>
  <c i="20" r="E21" s="1"/>
  <c i="18" r="E21"/>
  <c i="18" r="J21" s="1"/>
  <c i="20" r="C24"/>
  <c i="20" r="E24" s="1"/>
  <c i="18" r="E24"/>
  <c i="18" r="J24" s="1"/>
  <c i="19" r="O55"/>
  <c i="20" r="O21"/>
  <c i="19" r="O51"/>
  <c i="20" r="C10"/>
  <c i="20" r="C38" s="1"/>
  <c i="20" r="E38" s="1"/>
  <c i="18" r="E38" s="1"/>
  <c i="18" r="J38" s="1"/>
  <c i="18" r="K38" s="1"/>
  <c i="18" r="E10"/>
  <c i="18" r="J10" s="1"/>
  <c i="19" r="O5"/>
  <c i="18" r="AC7"/>
  <c i="20" r="C20"/>
  <c i="20" r="E20" s="1"/>
  <c i="18" r="E20"/>
  <c i="18" r="J20" s="1"/>
  <c i="20" r="O23"/>
  <c i="20" r="M27"/>
  <c i="20" r="O27" s="1"/>
  <c i="20" r="O19"/>
  <c i="19" r="O10"/>
  <c i="18" l="1" r="L138"/>
  <c i="18" r="M138" s="1"/>
  <c i="18" r="AD9"/>
  <c i="18" r="K7"/>
  <c i="20" r="E19"/>
  <c i="20" r="C27"/>
  <c i="20" r="E27" s="1"/>
  <c i="20" r="H21"/>
  <c i="20" r="J21" s="1"/>
  <c i="20" r="E7"/>
  <c i="18" r="K19"/>
  <c i="20" r="E8"/>
  <c i="20" r="H22"/>
  <c i="20" r="J22" s="1"/>
  <c i="19" r="Q27"/>
  <c i="20" r="H20"/>
  <c i="20" r="J20" s="1"/>
  <c i="19" r="X65"/>
  <c i="19" r="W65"/>
  <c i="19" r="V65"/>
  <c i="19" r="AA20"/>
  <c i="19" r="AA64"/>
  <c i="19" r="X64"/>
  <c i="19" r="W64"/>
  <c i="19" r="W21"/>
  <c i="19" r="W20"/>
  <c i="19" r="X27"/>
  <c i="19" r="Z27"/>
  <c i="19" r="V22"/>
  <c i="19" r="V38" s="1"/>
  <c i="19" r="V69"/>
  <c i="19" r="V85" s="1"/>
  <c i="19" r="AB66"/>
  <c i="19" r="AB82" s="1"/>
  <c i="19" r="Z67"/>
  <c i="19" r="Z83" s="1"/>
  <c i="19" r="AA67"/>
  <c i="19" r="AA83" s="1"/>
  <c i="19" r="Z24"/>
  <c i="19" r="Z40" s="1"/>
  <c i="19" r="Y68"/>
  <c i="19" r="Y84" s="1"/>
  <c i="19" r="AB70"/>
  <c i="19" r="AB86" s="1"/>
  <c i="19" r="X25"/>
  <c i="19" r="X41" s="1"/>
  <c i="19" r="AA24"/>
  <c i="19" r="AA40" s="1"/>
  <c i="19" r="X70"/>
  <c i="19" r="X86" s="1"/>
  <c i="19" r="V26"/>
  <c i="19" r="V42" s="1"/>
  <c i="19" r="Y25"/>
  <c i="19" r="Y41" s="1"/>
  <c i="19" r="W68"/>
  <c i="19" r="W84" s="1"/>
  <c i="19" r="Y71"/>
  <c i="19" r="V64"/>
  <c i="19" r="U65"/>
  <c i="19" r="W69"/>
  <c i="19" r="W85" s="1"/>
  <c i="19" r="Z26"/>
  <c i="19" r="Z42" s="1"/>
  <c i="19" r="AA66"/>
  <c i="19" r="AA82" s="1"/>
  <c i="19" r="Z71"/>
  <c i="19" r="V27"/>
  <c i="19" r="AB67"/>
  <c i="19" r="AB83" s="1"/>
  <c i="19" r="Y24"/>
  <c i="19" r="Y40" s="1"/>
  <c i="19" r="AB24"/>
  <c i="19" r="AB40" s="1"/>
  <c i="19" r="Y67"/>
  <c i="19" r="Y83" s="1"/>
  <c i="19" r="Y64"/>
  <c i="19" r="Z68"/>
  <c i="19" r="Z84" s="1"/>
  <c i="19" r="W25"/>
  <c i="19" r="W41" s="1"/>
  <c i="19" r="X68"/>
  <c i="19" r="X84" s="1"/>
  <c i="19" r="X69"/>
  <c i="19" r="X85" s="1"/>
  <c i="19" r="AB23"/>
  <c i="19" r="AB39" s="1"/>
  <c i="19" r="V70"/>
  <c i="19" r="V86" s="1"/>
  <c i="19" r="X24"/>
  <c i="19" r="X40" s="1"/>
  <c i="19" r="X26"/>
  <c i="19" r="X42" s="1"/>
  <c i="19" r="AA25"/>
  <c i="19" r="AA41" s="1"/>
  <c i="19" r="Y23"/>
  <c i="19" r="Y39" s="1"/>
  <c i="19" r="AA65"/>
  <c i="19" r="AA81" s="1"/>
  <c i="19" r="V25"/>
  <c i="19" r="V41" s="1"/>
  <c i="19" r="Z64"/>
  <c i="19" r="U71"/>
  <c i="19" r="U67"/>
  <c i="19" r="V23"/>
  <c i="19" r="V39" s="1"/>
  <c i="19" r="Z70"/>
  <c i="19" r="Z86" s="1"/>
  <c i="19" r="AA71"/>
  <c i="19" r="Z20"/>
  <c i="19" r="Z23"/>
  <c i="19" r="Z39" s="1"/>
  <c i="19" r="AA21"/>
  <c i="19" r="AA37" s="1"/>
  <c i="19" r="AB69"/>
  <c i="19" r="AB85" s="1"/>
  <c i="19" r="V24"/>
  <c i="19" r="V40" s="1"/>
  <c i="19" r="AB20"/>
  <c i="19" r="Y21"/>
  <c i="19" r="Y37" s="1"/>
  <c i="19" r="V67"/>
  <c i="19" r="V83" s="1"/>
  <c i="19" r="U69"/>
  <c i="19" r="U66"/>
  <c i="19" r="U70"/>
  <c i="19" r="AB21"/>
  <c i="19" r="AB37" s="1"/>
  <c i="19" r="Y66"/>
  <c i="19" r="Y82" s="1"/>
  <c i="19" r="AA68"/>
  <c i="19" r="AA84" s="1"/>
  <c i="19" r="AA27"/>
  <c i="19" r="AB71"/>
  <c i="19" r="Y69"/>
  <c i="19" r="Y85" s="1"/>
  <c i="19" r="W24"/>
  <c i="19" r="W40" s="1"/>
  <c i="19" r="AB22"/>
  <c i="19" r="AB38" s="1"/>
  <c i="19" r="AA26"/>
  <c i="19" r="AA42" s="1"/>
  <c i="19" r="W70"/>
  <c i="19" r="W86" s="1"/>
  <c i="19" r="X21"/>
  <c i="19" r="X20"/>
  <c i="19" r="V21"/>
  <c i="19" r="U68"/>
  <c i="19" r="Y22"/>
  <c i="19" r="Y38" s="1"/>
  <c i="19" r="Z21"/>
  <c i="19" r="Z37" s="1"/>
  <c i="19" r="W27"/>
  <c i="19" r="V66"/>
  <c i="19" r="V82" s="1"/>
  <c i="19" r="Z65"/>
  <c i="19" r="Z81" s="1"/>
  <c i="19" r="U26"/>
  <c i="19" r="AA70"/>
  <c i="19" r="AA86" s="1"/>
  <c i="19" r="Z25"/>
  <c i="19" r="Z41" s="1"/>
  <c i="19" r="W67"/>
  <c i="19" r="W83" s="1"/>
  <c i="19" r="X66"/>
  <c i="19" r="X82" s="1"/>
  <c i="19" r="W23"/>
  <c i="19" r="W39" s="1"/>
  <c i="19" r="AB26"/>
  <c i="19" r="AB42" s="1"/>
  <c i="19" r="U22"/>
  <c i="19" r="Y26"/>
  <c i="19" r="Y42" s="1"/>
  <c i="19" r="W26"/>
  <c i="19" r="W42" s="1"/>
  <c i="19" r="U25"/>
  <c i="19" r="AA23"/>
  <c i="19" r="AA39" s="1"/>
  <c i="19" r="V71"/>
  <c i="19" r="Y27"/>
  <c i="19" r="AB65"/>
  <c i="19" r="AB81" s="1"/>
  <c i="19" r="Z66"/>
  <c i="19" r="Z82" s="1"/>
  <c i="19" r="X71"/>
  <c i="19" r="V68"/>
  <c i="19" r="V84" s="1"/>
  <c i="19" r="AB68"/>
  <c i="19" r="AB84" s="1"/>
  <c i="19" r="Z22"/>
  <c i="19" r="Z38" s="1"/>
  <c i="19" r="U23"/>
  <c i="19" r="W66"/>
  <c i="19" r="W82" s="1"/>
  <c i="19" r="AB64"/>
  <c i="19" r="Y65"/>
  <c i="19" r="Y81" s="1"/>
  <c i="19" r="AA69"/>
  <c i="19" r="AA85" s="1"/>
  <c i="19" r="Y20"/>
  <c i="19" r="V20"/>
  <c i="19" r="U20"/>
  <c i="19" r="AB25"/>
  <c i="19" r="AB41" s="1"/>
  <c i="19" r="AA22"/>
  <c i="19" r="AA38" s="1"/>
  <c i="19" r="AB27"/>
  <c i="19" r="Y70"/>
  <c i="19" r="Y86" s="1"/>
  <c i="19" r="U24"/>
  <c i="19" r="X22"/>
  <c i="19" r="X38" s="1"/>
  <c i="19" r="X23"/>
  <c i="19" r="X39" s="1"/>
  <c i="19" r="U27"/>
  <c i="19" r="Z69"/>
  <c i="19" r="Z85" s="1"/>
  <c i="19" r="U21"/>
  <c i="19" r="W22"/>
  <c i="19" r="W38" s="1"/>
  <c i="19" r="W71"/>
  <c i="19" r="X67"/>
  <c i="19" r="X83" s="1"/>
  <c i="19" r="U64"/>
  <c i="18" r="K11"/>
  <c i="18" r="W208"/>
  <c i="18" r="K25"/>
  <c i="18" r="L134"/>
  <c i="18" r="M134" s="1"/>
  <c i="18" r="AD5"/>
  <c i="19" r="Q21"/>
  <c i="20" r="E11"/>
  <c i="20" r="H25"/>
  <c i="20" r="J25" s="1"/>
  <c i="18" r="K21"/>
  <c i="18" r="L135"/>
  <c i="18" r="M135" s="1"/>
  <c i="18" r="AD6"/>
  <c i="18" r="K8"/>
  <c i="18" r="W36"/>
  <c i="18" r="K20"/>
  <c i="19" r="Q25"/>
  <c i="18" r="K5"/>
  <c i="18" r="I103"/>
  <c i="18" r="E103"/>
  <c i="18" r="J103"/>
  <c i="18" r="F103"/>
  <c i="18" r="W35"/>
  <c i="18" r="K22"/>
  <c i="18" r="L133"/>
  <c i="18" r="M133" s="1"/>
  <c i="18" r="AD4"/>
  <c i="18" r="W138"/>
  <c i="18" r="K23"/>
  <c i="19" r="Q24"/>
  <c i="20" r="E10"/>
  <c i="20" r="H24"/>
  <c i="20" r="J24" s="1"/>
  <c i="19" r="M28"/>
  <c i="19" r="O25" s="1"/>
  <c i="19" r="Q20"/>
  <c i="18" r="L137"/>
  <c i="18" r="M137" s="1"/>
  <c i="18" r="AD8"/>
  <c i="20" r="E33"/>
  <c i="18" r="E33" s="1"/>
  <c i="18" r="J33" s="1"/>
  <c i="18" r="K33" s="1"/>
  <c i="18" r="W5" s="1"/>
  <c i="18" r="K9"/>
  <c i="19" r="Q22"/>
  <c i="20" r="H19"/>
  <c i="20" r="C13"/>
  <c i="20" r="E5"/>
  <c i="20" r="H23"/>
  <c i="20" r="J23" s="1"/>
  <c i="20" r="E9"/>
  <c i="19" r="Q23"/>
  <c i="20" r="C36"/>
  <c i="20" r="E36" s="1"/>
  <c i="18" r="E36" s="1"/>
  <c i="18" r="J36" s="1"/>
  <c i="18" r="K36" s="1"/>
  <c i="18" r="W103" s="1"/>
  <c i="18" r="W173"/>
  <c i="18" r="K24"/>
  <c i="18" r="AC3"/>
  <c i="18" r="L136"/>
  <c i="18" r="M136" s="1"/>
  <c i="18" r="AD7"/>
  <c i="18" r="K10"/>
  <c i="20" r="C35"/>
  <c i="20" r="E35" s="1"/>
  <c i="18" r="E35" s="1"/>
  <c i="18" r="J35" s="1"/>
  <c i="18" r="K35" s="1"/>
  <c i="19" r="Q26"/>
  <c i="19" l="1" r="X96"/>
  <c i="18" r="F91" s="1"/>
  <c i="18" r="F105" s="1"/>
  <c i="18" r="F118" s="1"/>
  <c i="18" r="M81" s="1"/>
  <c i="19" r="Y100"/>
  <c i="18" r="G95" s="1"/>
  <c i="18" r="G109" s="1"/>
  <c i="18" r="G122" s="1"/>
  <c i="18" r="M92" s="1"/>
  <c i="19" r="AB98"/>
  <c i="18" r="J93" s="1"/>
  <c i="18" r="J107" s="1"/>
  <c i="18" r="J120" s="1"/>
  <c i="18" r="M109" s="1"/>
  <c i="19" r="W96"/>
  <c i="18" r="E91" s="1"/>
  <c i="18" r="E105" s="1"/>
  <c i="18" r="E118" s="1"/>
  <c i="18" r="M76" s="1"/>
  <c i="19" r="AB95"/>
  <c i="18" r="J90" s="1"/>
  <c i="18" r="J104" s="1"/>
  <c i="18" r="J117" s="1"/>
  <c i="18" r="M106" s="1"/>
  <c i="18" r="W40" s="1"/>
  <c i="19" r="AB97"/>
  <c i="18" r="J92" s="1"/>
  <c i="18" r="J106" s="1"/>
  <c i="18" r="J119" s="1"/>
  <c i="18" r="M108" s="1"/>
  <c i="18" r="W110" s="1"/>
  <c i="19" r="AA97"/>
  <c i="18" r="I92" s="1"/>
  <c i="18" r="I106" s="1"/>
  <c i="18" r="I119" s="1"/>
  <c i="18" r="M102" s="1"/>
  <c i="18" r="W109" s="1"/>
  <c i="19" r="V100"/>
  <c i="18" r="D95" s="1"/>
  <c i="18" r="D109" s="1"/>
  <c i="18" r="D122" s="1"/>
  <c i="18" r="M75" s="1"/>
  <c i="18" r="W209" s="1"/>
  <c i="19" r="AB99"/>
  <c i="18" r="J94" s="1"/>
  <c i="18" r="J108" s="1"/>
  <c i="18" r="J121" s="1"/>
  <c i="18" r="M110" s="1"/>
  <c i="19" r="AB96"/>
  <c i="18" r="J91" s="1"/>
  <c i="18" r="J105" s="1"/>
  <c i="18" r="J118" s="1"/>
  <c i="18" r="M107" s="1"/>
  <c i="18" r="W75" s="1"/>
  <c i="19" r="AB100"/>
  <c i="18" r="J95" s="1"/>
  <c i="18" r="J109" s="1"/>
  <c i="18" r="J122" s="1"/>
  <c i="18" r="M111" s="1"/>
  <c i="18" r="W215" s="1"/>
  <c i="19" r="V99"/>
  <c i="18" r="D94" s="1"/>
  <c i="18" r="D108" s="1"/>
  <c i="18" r="D121" s="1"/>
  <c i="18" r="M74" s="1"/>
  <c i="18" r="W174" s="1"/>
  <c i="19" r="V97"/>
  <c i="18" r="D92" s="1"/>
  <c i="18" r="D106" s="1"/>
  <c i="18" r="D119" s="1"/>
  <c i="18" r="M72" s="1"/>
  <c i="18" r="W104" s="1"/>
  <c i="19" r="AA100"/>
  <c i="18" r="I95" s="1"/>
  <c i="18" r="I109" s="1"/>
  <c i="18" r="I122" s="1"/>
  <c i="18" r="M105" s="1"/>
  <c i="18" r="W214" s="1"/>
  <c i="19" r="Y97"/>
  <c i="18" r="G92" s="1"/>
  <c i="18" r="G106" s="1"/>
  <c i="18" r="G119" s="1"/>
  <c i="18" r="M89" s="1"/>
  <c i="18" r="W107" s="1"/>
  <c i="19" r="AA99"/>
  <c i="18" r="I94" s="1"/>
  <c i="18" r="I108" s="1"/>
  <c i="18" r="I121" s="1"/>
  <c i="18" r="M104" s="1"/>
  <c i="18" r="W179" s="1"/>
  <c i="19" r="W98"/>
  <c i="18" r="E93" s="1"/>
  <c i="18" r="E107" s="1"/>
  <c i="18" r="E120" s="1"/>
  <c i="18" r="M78" s="1"/>
  <c i="18" r="W140" s="1"/>
  <c i="19" r="X100"/>
  <c i="18" r="F95" s="1"/>
  <c i="18" r="F109" s="1"/>
  <c i="18" r="F122" s="1"/>
  <c i="18" r="M85" s="1"/>
  <c i="18" r="W211" s="1"/>
  <c i="19" r="X98"/>
  <c i="18" r="F93" s="1"/>
  <c i="18" r="F107" s="1"/>
  <c i="18" r="F120" s="1"/>
  <c i="18" r="M83" s="1"/>
  <c i="18" r="W141" s="1"/>
  <c i="19" r="Z100"/>
  <c i="18" r="H95" s="1"/>
  <c i="18" r="H109" s="1"/>
  <c i="18" r="H122" s="1"/>
  <c i="18" r="M99" s="1"/>
  <c i="18" r="W213" s="1"/>
  <c i="19" r="X72"/>
  <c i="19" r="X97"/>
  <c i="18" r="F92" s="1"/>
  <c i="18" r="F106" s="1"/>
  <c i="18" r="F119" s="1"/>
  <c i="18" r="M82" s="1"/>
  <c i="18" r="W106" s="1"/>
  <c i="19" r="AA96"/>
  <c i="18" r="I91" s="1"/>
  <c i="18" r="I105" s="1"/>
  <c i="18" r="I118" s="1"/>
  <c i="18" r="M101" s="1"/>
  <c i="18" r="W74" s="1"/>
  <c i="19" r="W100"/>
  <c i="18" r="E95" s="1"/>
  <c i="18" r="E109" s="1"/>
  <c i="18" r="E122" s="1"/>
  <c i="18" r="M80" s="1"/>
  <c i="18" r="W210" s="1"/>
  <c i="20" r="C41"/>
  <c i="20" r="E41" s="1"/>
  <c i="19" r="V98"/>
  <c i="18" r="D93" s="1"/>
  <c i="18" r="D107" s="1"/>
  <c i="18" r="D120" s="1"/>
  <c i="18" r="M73" s="1"/>
  <c i="18" r="W139" s="1"/>
  <c i="18" r="X103"/>
  <c i="18" r="L36"/>
  <c i="18" r="M36" s="1"/>
  <c i="18" r="L22"/>
  <c i="18" r="M22" s="1"/>
  <c i="18" r="X5"/>
  <c i="18" r="L33"/>
  <c i="18" r="M33" s="1"/>
  <c i="18" r="L19"/>
  <c i="18" r="M19" s="1"/>
  <c i="19" r="AC67"/>
  <c i="19" r="U83"/>
  <c i="19" r="AA72"/>
  <c i="19" r="AC71"/>
  <c i="19" r="AC65"/>
  <c i="19" r="U81"/>
  <c i="19" r="AA28"/>
  <c i="18" r="W70"/>
  <c i="19" r="Z72"/>
  <c i="19" r="Z80"/>
  <c i="19" r="V72"/>
  <c i="19" r="V80"/>
  <c i="18" r="X36"/>
  <c i="18" r="L20"/>
  <c i="18" r="M20" s="1"/>
  <c i="18" r="L34"/>
  <c i="18" r="M34" s="1"/>
  <c i="19" r="AC25"/>
  <c i="19" r="U41"/>
  <c i="19" r="Y99"/>
  <c i="18" r="G94" s="1"/>
  <c i="18" r="G108" s="1"/>
  <c i="18" r="G121" s="1"/>
  <c i="18" r="M91" s="1"/>
  <c i="19" r="O28"/>
  <c i="19" r="Q28"/>
  <c i="19" r="O20"/>
  <c i="19" r="O27"/>
  <c i="18" r="W212"/>
  <c i="19" r="O24"/>
  <c i="19" r="AA98"/>
  <c i="18" r="I93" s="1"/>
  <c i="18" r="I107" s="1"/>
  <c i="18" r="I120" s="1"/>
  <c i="18" r="M103" s="1"/>
  <c i="18" r="L132"/>
  <c i="18" r="M132" s="1"/>
  <c i="18" r="M139" s="1"/>
  <c i="18" r="AD3"/>
  <c i="19" r="W97"/>
  <c i="18" r="E92" s="1"/>
  <c i="18" r="E106" s="1"/>
  <c i="18" r="E119" s="1"/>
  <c i="18" r="M77" s="1"/>
  <c i="19" r="X99"/>
  <c i="18" r="F94" s="1"/>
  <c i="18" r="F108" s="1"/>
  <c i="18" r="F121" s="1"/>
  <c i="18" r="M84" s="1"/>
  <c i="19" r="AC22"/>
  <c i="19" r="U38"/>
  <c i="18" r="X138"/>
  <c i="18" r="L23"/>
  <c i="18" r="M23" s="1"/>
  <c i="18" r="L37"/>
  <c i="18" r="M37" s="1"/>
  <c i="19" r="AC70"/>
  <c i="19" r="U86"/>
  <c i="19" r="AC24"/>
  <c i="19" r="U40"/>
  <c i="19" r="AC66"/>
  <c i="19" r="U82"/>
  <c i="19" r="Z99"/>
  <c i="18" r="H94" s="1"/>
  <c i="18" r="H108" s="1"/>
  <c i="18" r="H121" s="1"/>
  <c i="18" r="M98" s="1"/>
  <c i="19" r="AC69"/>
  <c i="19" r="U85"/>
  <c i="19" r="Z98"/>
  <c i="18" r="H93" s="1"/>
  <c i="18" r="H107" s="1"/>
  <c i="18" r="H120" s="1"/>
  <c i="18" r="M97" s="1"/>
  <c i="19" r="W99"/>
  <c i="18" r="E94" s="1"/>
  <c i="18" r="E108" s="1"/>
  <c i="18" r="E121" s="1"/>
  <c i="18" r="M79" s="1"/>
  <c i="18" r="W180"/>
  <c i="18" r="W102"/>
  <c i="19" r="V28"/>
  <c i="19" r="V36"/>
  <c i="19" r="AC26"/>
  <c i="19" r="U42"/>
  <c i="19" r="Y95"/>
  <c i="18" r="G90" s="1"/>
  <c i="18" r="G104" s="1"/>
  <c i="18" r="G117" s="1"/>
  <c i="18" r="M87" s="1"/>
  <c i="19" r="AC20"/>
  <c i="19" r="U28"/>
  <c i="19" r="U36"/>
  <c i="19" r="AB28"/>
  <c i="19" r="Y72"/>
  <c i="19" r="Y80"/>
  <c i="19" r="O26"/>
  <c i="19" r="AC27"/>
  <c i="18" r="X173"/>
  <c i="18" r="L24"/>
  <c i="18" r="M24" s="1"/>
  <c i="18" r="L38"/>
  <c i="18" r="M38" s="1"/>
  <c i="18" r="L6"/>
  <c i="18" r="M6" s="1"/>
  <c i="18" r="X35"/>
  <c i="19" r="V96"/>
  <c i="18" r="D91" s="1"/>
  <c i="18" r="D105" s="1"/>
  <c i="18" r="D118" s="1"/>
  <c i="18" r="M71" s="1"/>
  <c i="19" r="AC21"/>
  <c i="19" r="U37"/>
  <c i="18" r="W172"/>
  <c i="19" r="AC23"/>
  <c i="19" r="U39"/>
  <c i="19" r="Z95"/>
  <c i="18" r="H90" s="1"/>
  <c i="18" r="H104" s="1"/>
  <c i="18" r="H117" s="1"/>
  <c i="18" r="M94" s="1"/>
  <c i="19" r="AA95"/>
  <c i="18" r="I90" s="1"/>
  <c i="18" r="I104" s="1"/>
  <c i="18" r="I117" s="1"/>
  <c i="18" r="M100" s="1"/>
  <c i="19" r="Y98"/>
  <c i="18" r="G93" s="1"/>
  <c i="18" r="G107" s="1"/>
  <c i="18" r="G120" s="1"/>
  <c i="18" r="M90" s="1"/>
  <c i="19" r="Y28"/>
  <c i="19" r="Y36"/>
  <c i="20" r="H26"/>
  <c i="20" r="J26" s="1"/>
  <c i="20" r="E13"/>
  <c i="19" r="Z96"/>
  <c i="18" r="H91" s="1"/>
  <c i="18" r="H105" s="1"/>
  <c i="18" r="H118" s="1"/>
  <c i="18" r="M95" s="1"/>
  <c i="19" r="Y96"/>
  <c i="18" r="G91" s="1"/>
  <c i="18" r="G105" s="1"/>
  <c i="18" r="G118" s="1"/>
  <c i="18" r="M88" s="1"/>
  <c i="19" r="Z97"/>
  <c i="18" r="H92" s="1"/>
  <c i="18" r="H106" s="1"/>
  <c i="18" r="H119" s="1"/>
  <c i="18" r="M96" s="1"/>
  <c i="18" r="W68"/>
  <c i="19" r="O21"/>
  <c i="18" r="L39"/>
  <c i="18" r="M39" s="1"/>
  <c i="18" r="X208"/>
  <c i="18" r="L25"/>
  <c i="18" r="M25" s="1"/>
  <c i="19" r="O22"/>
  <c i="18" r="W207"/>
  <c i="18" r="W137"/>
  <c i="19" r="AC68"/>
  <c i="19" r="U84"/>
  <c i="19" r="Z28"/>
  <c i="19" r="Z36"/>
  <c i="19" r="W28"/>
  <c i="18" r="W67"/>
  <c i="18" r="W71"/>
  <c i="19" r="O23"/>
  <c i="19" r="AB72"/>
  <c i="20" r="J19"/>
  <c i="18" r="W145"/>
  <c i="18" r="W4"/>
  <c i="19" r="U72"/>
  <c i="19" r="AC64"/>
  <c i="19" r="U80"/>
  <c i="18" r="X40"/>
  <c i="18" r="N106"/>
  <c i="18" r="O106" s="1"/>
  <c i="19" r="X28"/>
  <c i="19" r="W72"/>
  <c i="20" l="1" r="H27"/>
  <c i="20" r="J27" s="1"/>
  <c i="19" r="U98"/>
  <c i="18" r="C93" s="1"/>
  <c i="18" r="C107" s="1"/>
  <c i="18" r="C120" s="1"/>
  <c i="18" r="M67" s="1"/>
  <c i="18" r="W171" s="1"/>
  <c i="19" r="U99"/>
  <c i="18" r="C94" s="1"/>
  <c i="18" r="C108" s="1"/>
  <c i="18" r="C121" s="1"/>
  <c i="18" r="M68" s="1"/>
  <c i="19" r="U97"/>
  <c i="18" r="C92" s="1"/>
  <c i="18" r="C106" s="1"/>
  <c i="18" r="C119" s="1"/>
  <c i="18" r="M66" s="1"/>
  <c i="18" r="W136" s="1"/>
  <c i="18" r="N92"/>
  <c i="18" r="O92" s="1"/>
  <c i="18" r="X212"/>
  <c i="18" r="W142"/>
  <c i="18" r="W39"/>
  <c i="18" r="N85"/>
  <c i="18" r="O85" s="1"/>
  <c i="18" r="X211"/>
  <c i="19" r="U94"/>
  <c i="18" r="C89" s="1"/>
  <c i="18" r="C103" s="1"/>
  <c i="18" r="C116" s="1"/>
  <c i="18" r="M63" s="1"/>
  <c i="18" r="X215"/>
  <c i="18" r="N111"/>
  <c i="18" r="O111" s="1"/>
  <c i="19" r="AC28"/>
  <c i="19" r="AD22" s="1"/>
  <c i="18" r="N101"/>
  <c i="18" r="O101" s="1"/>
  <c i="18" r="X74"/>
  <c i="18" r="X172"/>
  <c i="18" r="L10"/>
  <c i="18" r="M10" s="1"/>
  <c i="18" r="W37"/>
  <c i="19" r="U95"/>
  <c i="18" r="C90" s="1"/>
  <c i="18" r="C104" s="1"/>
  <c i="18" r="C117" s="1"/>
  <c i="18" r="M64" s="1"/>
  <c i="19" r="U100"/>
  <c i="18" r="C95" s="1"/>
  <c i="18" r="C109" s="1"/>
  <c i="18" r="C122" s="1"/>
  <c i="18" r="M69" s="1"/>
  <c i="18" r="X104"/>
  <c i="18" r="N72"/>
  <c i="18" r="O72" s="1"/>
  <c i="18" r="L9"/>
  <c i="18" r="M9" s="1"/>
  <c i="18" r="X137"/>
  <c i="18" r="X68"/>
  <c i="18" r="L21"/>
  <c i="18" r="M21" s="1"/>
  <c i="18" r="M26" s="1"/>
  <c i="18" r="L35"/>
  <c i="18" r="M35" s="1"/>
  <c i="18" r="M40" s="1"/>
  <c i="19" r="U96"/>
  <c i="18" r="C91" s="1"/>
  <c i="18" r="C105" s="1"/>
  <c i="18" r="C118" s="1"/>
  <c i="18" r="M65" s="1"/>
  <c i="18" r="X214"/>
  <c i="18" r="N105"/>
  <c i="18" r="O105" s="1"/>
  <c i="18" r="N82"/>
  <c i="18" r="O82" s="1"/>
  <c i="18" r="X106"/>
  <c i="18" r="W177"/>
  <c i="18" r="W178"/>
  <c i="18" r="N109"/>
  <c i="18" r="O109" s="1"/>
  <c i="18" r="X145"/>
  <c i="19" r="V94"/>
  <c i="18" r="D89" s="1"/>
  <c i="18" r="D103" s="1"/>
  <c i="18" r="D116" s="1"/>
  <c i="18" r="M70" s="1"/>
  <c i="18" r="N108"/>
  <c i="18" r="O108" s="1"/>
  <c i="18" r="X110"/>
  <c i="18" r="X107"/>
  <c i="18" r="N89"/>
  <c i="18" r="O89" s="1"/>
  <c i="18" r="L11"/>
  <c i="18" r="M11" s="1"/>
  <c i="18" r="X207"/>
  <c i="18" r="X209"/>
  <c i="18" r="N75"/>
  <c i="18" r="O75" s="1"/>
  <c i="18" r="W176"/>
  <c i="18" r="W206"/>
  <c i="18" r="W38"/>
  <c i="18" r="W105"/>
  <c i="18" r="X213"/>
  <c i="18" r="N99"/>
  <c i="18" r="O99" s="1"/>
  <c i="18" r="L7"/>
  <c i="18" r="M7" s="1"/>
  <c i="18" r="X67"/>
  <c i="18" r="W72"/>
  <c i="18" r="N76"/>
  <c i="18" r="O76" s="1"/>
  <c i="18" r="X70"/>
  <c i="18" r="X71"/>
  <c i="18" r="N81"/>
  <c i="18" r="O81" s="1"/>
  <c i="18" r="W73"/>
  <c i="18" r="X139"/>
  <c i="18" r="N73"/>
  <c i="18" r="O73" s="1"/>
  <c i="18" r="N110"/>
  <c i="18" r="O110" s="1"/>
  <c i="18" r="X180"/>
  <c i="19" r="AC72"/>
  <c i="19" r="V73" s="1"/>
  <c i="18" r="X4"/>
  <c i="18" r="L5"/>
  <c i="18" r="M5" s="1"/>
  <c i="18" r="L8"/>
  <c i="18" r="M8" s="1"/>
  <c i="18" r="X102"/>
  <c i="18" r="W175"/>
  <c i="18" r="W108"/>
  <c i="18" r="W144"/>
  <c i="18" r="W69"/>
  <c i="18" r="W143"/>
  <c i="18" r="X141"/>
  <c i="18" r="N83"/>
  <c i="18" r="O83" s="1"/>
  <c i="18" r="X174"/>
  <c i="18" r="N74"/>
  <c i="18" r="O74" s="1"/>
  <c i="18" r="N104"/>
  <c i="18" r="O104" s="1"/>
  <c i="18" r="X179"/>
  <c i="19" r="Y94"/>
  <c i="18" r="G89" s="1"/>
  <c i="18" r="G103" s="1"/>
  <c i="18" r="G116" s="1"/>
  <c i="18" r="M86" s="1"/>
  <c i="18" r="N78"/>
  <c i="18" r="O78" s="1"/>
  <c i="18" r="X140"/>
  <c i="18" r="X210"/>
  <c i="18" r="N80"/>
  <c i="18" r="O80" s="1"/>
  <c i="18" r="X75"/>
  <c i="18" r="N107"/>
  <c i="18" r="O107" s="1"/>
  <c i="19" r="Z94"/>
  <c i="18" r="H89" s="1"/>
  <c i="18" r="H103" s="1"/>
  <c i="18" r="H116" s="1"/>
  <c i="18" r="M93" s="1"/>
  <c i="18" r="X109"/>
  <c i="18" r="N102"/>
  <c i="18" r="O102" s="1"/>
  <c i="19" l="1" r="AD68"/>
  <c i="19" r="AA73"/>
  <c i="19" r="W73"/>
  <c i="19" r="AD71"/>
  <c i="19" r="Z73"/>
  <c i="19" r="AD66"/>
  <c i="19" r="AB73"/>
  <c i="19" r="AD69"/>
  <c i="19" r="AD67"/>
  <c i="19" r="AA29"/>
  <c i="19" r="AD24"/>
  <c i="18" r="N97"/>
  <c i="18" r="O97" s="1"/>
  <c i="18" r="X143"/>
  <c i="18" r="W34"/>
  <c i="18" r="X136"/>
  <c i="18" r="N66"/>
  <c i="18" r="O66" s="1"/>
  <c i="18" r="X72"/>
  <c i="18" r="N88"/>
  <c i="18" r="O88" s="1"/>
  <c i="19" r="AD20"/>
  <c i="18" r="N103"/>
  <c i="18" r="O103" s="1"/>
  <c i="18" r="X144"/>
  <c i="19" r="Z29"/>
  <c i="19" r="X29"/>
  <c i="18" r="W241"/>
  <c i="18" r="X171"/>
  <c i="18" r="N67"/>
  <c i="18" r="O67" s="1"/>
  <c i="19" r="AD26"/>
  <c i="18" r="X37"/>
  <c i="18" r="N87"/>
  <c i="18" r="O87" s="1"/>
  <c i="18" r="W101"/>
  <c i="18" r="W6"/>
  <c i="18" r="X178"/>
  <c i="18" r="N98"/>
  <c i="18" r="O98" s="1"/>
  <c i="19" r="Y73"/>
  <c i="18" r="N95"/>
  <c i="18" r="O95" s="1"/>
  <c i="18" r="X73"/>
  <c i="18" r="N100"/>
  <c i="18" r="O100" s="1"/>
  <c i="18" r="X39"/>
  <c i="19" r="V29"/>
  <c i="18" r="W8"/>
  <c i="18" r="N96"/>
  <c i="18" r="O96" s="1"/>
  <c i="18" r="X108"/>
  <c i="18" r="W66"/>
  <c i="18" r="X175"/>
  <c i="18" r="N79"/>
  <c i="18" r="O79" s="1"/>
  <c i="19" r="AD25"/>
  <c i="18" r="N77"/>
  <c i="18" r="O77" s="1"/>
  <c i="18" r="X105"/>
  <c i="19" r="Y29"/>
  <c i="18" r="M12"/>
  <c i="18" r="X206"/>
  <c i="18" r="N68"/>
  <c i="18" r="O68" s="1"/>
  <c i="19" r="U29"/>
  <c i="18" r="W7"/>
  <c i="18" r="X177"/>
  <c i="18" r="N91"/>
  <c i="18" r="O91" s="1"/>
  <c i="19" r="AB29"/>
  <c i="18" r="N84"/>
  <c i="18" r="O84" s="1"/>
  <c i="18" r="X176"/>
  <c i="19" r="AD21"/>
  <c i="19" r="AD27"/>
  <c i="19" r="AD23"/>
  <c i="19" r="AD72"/>
  <c i="19" r="AC73"/>
  <c i="19" r="X73"/>
  <c i="18" r="X38"/>
  <c i="18" r="N94"/>
  <c i="18" r="O94" s="1"/>
  <c i="19" r="AD70"/>
  <c i="18" r="X142"/>
  <c i="18" r="N90"/>
  <c i="18" r="O90" s="1"/>
  <c i="19" r="AD28"/>
  <c i="19" r="AC29"/>
  <c i="18" r="X69"/>
  <c i="18" r="N71"/>
  <c i="18" r="O71" s="1"/>
  <c i="19" r="AD65"/>
  <c i="19" r="W29"/>
  <c i="19" r="AD64"/>
  <c i="19" r="U73"/>
  <c i="18" l="1" r="X241"/>
  <c i="18" r="N69"/>
  <c i="18" r="O69" s="1"/>
  <c i="18" r="X8"/>
  <c i="18" r="N93"/>
  <c i="18" r="O93" s="1"/>
  <c i="18" r="X101"/>
  <c i="18" r="N65"/>
  <c i="18" r="O65" s="1"/>
  <c i="18" r="X34"/>
  <c i="18" r="N63"/>
  <c i="18" r="O63" s="1"/>
  <c i="18" r="N64"/>
  <c i="18" r="O64" s="1"/>
  <c i="18" r="X66"/>
  <c i="18" r="X7"/>
  <c i="18" r="N86"/>
  <c i="18" r="O86" s="1"/>
  <c i="18" r="X6"/>
  <c i="18" r="N70"/>
  <c i="18" r="O70" s="1"/>
  <c i="18" l="1" r="X1"/>
  <c i="18" r="O112"/>
</calcChain>
</file>

<file path=xl/sharedStrings.xml><?xml version="1.0" encoding="utf-8"?>
<sst xmlns="http://schemas.openxmlformats.org/spreadsheetml/2006/main" count="8327" uniqueCount="1264">
  <si>
    <t>TABLE 1. HH POPULATION BY COUNTY</t>
  </si>
  <si>
    <t>District</t>
  </si>
  <si>
    <t>ExpandSurv</t>
  </si>
  <si>
    <t>Model</t>
  </si>
  <si>
    <t>Total</t>
  </si>
  <si>
    <t>TABLE 2. POPULATION BY PERSONTYPE</t>
  </si>
  <si>
    <t>Persontype</t>
  </si>
  <si>
    <t>Diff</t>
  </si>
  <si>
    <t>% Diff</t>
  </si>
  <si>
    <t>Ratio</t>
  </si>
  <si>
    <t>ExpandSurvey_New</t>
  </si>
  <si>
    <t>Factor</t>
  </si>
  <si>
    <t>ft worker</t>
  </si>
  <si>
    <t>pt worker</t>
  </si>
  <si>
    <t>retired</t>
  </si>
  <si>
    <t>nonworker</t>
  </si>
  <si>
    <t>uinv.stud</t>
  </si>
  <si>
    <t>stud 16+</t>
  </si>
  <si>
    <t>stud.5-15</t>
  </si>
  <si>
    <t>under 5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</si>
  <si>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</si>
  <si>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</si>
  <si>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</si>
  <si>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</si>
  <si>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</si>
  <si>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</si>
  <si>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</si>
  <si>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</si>
  <si>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</si>
  <si>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</si>
  <si>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</si>
  <si>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</si>
  <si>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</si>
  <si>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SynthPop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</si>
  <si>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</si>
  <si>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</si>
  <si>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</si>
  <si>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</si>
  <si>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</si>
  <si>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</si>
  <si>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TABLE 10. TRIP RATES BY PERSONTYPE  (Total trips/total person for person type)</t>
  </si>
  <si>
    <t>Table X.X</t>
  </si>
  <si>
    <t>NUMBER OF TOURS (% by persontype)</t>
  </si>
  <si>
    <t>ESTIMATED NUMBER OF TOURS (% by persontype)</t>
  </si>
  <si>
    <t>DIFFERENCE NUMBER OF TOURS (% by persontype)</t>
  </si>
  <si>
    <t>Tours</t>
  </si>
  <si>
    <t>none</t>
  </si>
  <si>
    <t>one</t>
  </si>
  <si>
    <t>two</t>
  </si>
  <si>
    <t>three or more</t>
  </si>
  <si>
    <t>OBSERVED TOUR / STOP COMBINATIONS (% by persontype)</t>
  </si>
  <si>
    <t>ESTIMATED TOUR / STOP COMBINATIONS (% by persontype)</t>
  </si>
  <si>
    <t>DIFFERENCE TOUR / STOP COMBINATIONS (% by persontype)</t>
  </si>
  <si>
    <t>Tours/Stops</t>
  </si>
  <si>
    <t>0/0</t>
  </si>
  <si>
    <t>1/0</t>
  </si>
  <si>
    <t>1/1</t>
  </si>
  <si>
    <t>1/2</t>
  </si>
  <si>
    <t>1/3+</t>
  </si>
  <si>
    <t>2/0</t>
  </si>
  <si>
    <t>2/1</t>
  </si>
  <si>
    <t>2/2</t>
  </si>
  <si>
    <t>2/3+</t>
  </si>
  <si>
    <t>3+/0</t>
  </si>
  <si>
    <t>3+/1</t>
  </si>
  <si>
    <t>3+/2</t>
  </si>
  <si>
    <t>3+/3+</t>
  </si>
  <si>
    <t>OBSERVED WORK TOURS &amp; STOPS (% by persontype)</t>
  </si>
  <si>
    <t>ESTIMATED  WORK TOURS &amp; STOPS (% by persontype)</t>
  </si>
  <si>
    <t>DIFFERENCE  WORK TOURS &amp; STOPS (% by persontype)</t>
  </si>
  <si>
    <t>0/1+</t>
  </si>
  <si>
    <t>1+/0</t>
  </si>
  <si>
    <t>1+/1+</t>
  </si>
  <si>
    <t>OBSERVED SCHOOL TOURS &amp; STOPS (% by persontype)</t>
  </si>
  <si>
    <t>ESTIMATED  SCHOOL TOURS &amp; STOPS (% by persontype)</t>
  </si>
  <si>
    <t>DIFFERENCE  SCHOOL TOURS &amp; STOPS (% by persontype)</t>
  </si>
  <si>
    <t>OBSERVED SERVE PASSENGER TOURS &amp; STOPS (% by persontype)</t>
  </si>
  <si>
    <t>ESTIMATED  SERVE PASSENGER TOURS &amp; STOPS (% by persontype)</t>
  </si>
  <si>
    <t>DIFFERENCE  SERVE PASSENGER TOURS &amp; STOPS (% by persontype)</t>
  </si>
  <si>
    <t>OBSERVED PERSONAL BUSINESS TOURS &amp; STOPS (% by persontype)</t>
  </si>
  <si>
    <t>ESTIMATED  PERSONAL BUSINESS TOURS &amp; STOPS (% by persontype)</t>
  </si>
  <si>
    <t>DIFFERENCE  PERSONAL BUSINESS TOURS &amp; STOPS (% by persontype)</t>
  </si>
  <si>
    <t>OBSERVED SHOP TOURS &amp; STOPS (% by persontype)</t>
  </si>
  <si>
    <t>ESTIMATED  SHOP TOURS &amp; STOPS (% by persontype)</t>
  </si>
  <si>
    <t>DIFFERENCE  SHOP TOURS &amp; STOPS (% by persontype)</t>
  </si>
  <si>
    <t>OBSERVED MEAL TOURS &amp; STOPS (% by persontype)</t>
  </si>
  <si>
    <t>ESTIMATED  MEAL TOURS &amp; STOPS (% by persontype)</t>
  </si>
  <si>
    <t>DIFFERENCE  MEAL TOURS &amp; STOPS (% by persontype)</t>
  </si>
  <si>
    <t>OBSERVED SOCIAL/RECREATIONAL TOURS &amp; STOPS (% by persontype)</t>
  </si>
  <si>
    <t>ESTIMATED  SOCIAL/RECREATIONAL TOURS &amp; STOPS (% by persontype)</t>
  </si>
  <si>
    <t>DIFFERENCE  SOCIAL/RECREATIONAL TOURS &amp; STOPS (% by persontype)</t>
  </si>
  <si>
    <t>OBSERVED EXACT # WORK TOURS (if &gt; 0)</t>
  </si>
  <si>
    <t>ESTIMATED EXACT # WORK TOURS (if &gt; 0)</t>
  </si>
  <si>
    <t>DIFFERENCE EXACT # WORK TOURS (if &gt; 0)</t>
  </si>
  <si>
    <t>3+</t>
  </si>
  <si>
    <t>OBSERVED EXACT # SCHOOL TOURS (if &gt; 0)</t>
  </si>
  <si>
    <t>ESTIMATED EXACT # SCHOOL TOURS (if &gt; 0)</t>
  </si>
  <si>
    <t>DIFFERENCE EXACT # SCHOOL TOURS (if &gt; 0)</t>
  </si>
  <si>
    <t>OBSERVED EXACT # ESCORT TOURS (if &gt; 0)</t>
  </si>
  <si>
    <t>ESTIMATED EXACT # ESCORT TOURS (if &gt; 0)</t>
  </si>
  <si>
    <t>DIFFERENCE EXACT # ESCORT TOURS (if &gt; 0)</t>
  </si>
  <si>
    <t>OBSERVED EXACT # PERSONAL BUSINESS TOURS (if &gt; 0)</t>
  </si>
  <si>
    <t>ESTIMATED EXACT # PERSONAL BUSINESS TOURS (if &gt; 0)</t>
  </si>
  <si>
    <t>DIFFERENCE EXACT # PERSONAL BUSINESS TOURS (if &gt; 0)</t>
  </si>
  <si>
    <t>OBSERVED EXACT # SHOP TOURS (if &gt; 0)</t>
  </si>
  <si>
    <t>ESTIMATED EXACT # SHOP TOURS (if &gt; 0)</t>
  </si>
  <si>
    <t>DIFFERENCE EXACT # SHOP TOURS (if &gt; 0)</t>
  </si>
  <si>
    <t>OBSERVED EXACT # MEAL TOURS (if &gt; 0)</t>
  </si>
  <si>
    <t>ESTIMATED EXACT # MEAL TOURS (if &gt; 0)</t>
  </si>
  <si>
    <t>DIFFERENCE EXACT # MEAL TOURS (if &gt; 0)</t>
  </si>
  <si>
    <t>OBSERVED EXACT # SOCIAL/RECREATIONAL TOURS (if &gt; 0)</t>
  </si>
  <si>
    <t>ESTIMATED EXACT # SOCIAL/RECREATIONAL TOURS (if &gt; 0)</t>
  </si>
  <si>
    <t>DIFFERENCE EXACT # SOCIAL/RECREATIONAL TOURS (if &gt; 0)</t>
  </si>
  <si>
    <t xml:space="preserve">OBSERVED EXACT # WORK TOURS  </t>
  </si>
  <si>
    <t xml:space="preserve">ESTIMATED EXACT # WORK TOURS  </t>
  </si>
  <si>
    <t xml:space="preserve">DIFFERENCE EXACT # WORK TOURS  </t>
  </si>
  <si>
    <t xml:space="preserve">OBSERVED EXACT # SCHOOL TOURS  </t>
  </si>
  <si>
    <t xml:space="preserve">ESTIMATED EXACT # SCHOOL TOURS  </t>
  </si>
  <si>
    <t xml:space="preserve">DIFFERENCE EXACT # SCHOOL TOURS  </t>
  </si>
  <si>
    <t xml:space="preserve">OBSERVED EXACT # ESCORT TOURS  </t>
  </si>
  <si>
    <t xml:space="preserve">ESTIMATED EXACT # ESCORT TOURS  </t>
  </si>
  <si>
    <t xml:space="preserve">DIFFERENCE EXACT # ESCORT TOURS  </t>
  </si>
  <si>
    <t xml:space="preserve">OBSERVED EXACT # PERSONAL BUSINESS TOURS  </t>
  </si>
  <si>
    <t xml:space="preserve">ESTIMATED EXACT # PERSONAL BUSINESS TOURS  </t>
  </si>
  <si>
    <t xml:space="preserve">DIFFERENCE EXACT # PERSONAL BUSINESS TOURS  </t>
  </si>
  <si>
    <t xml:space="preserve">OBSERVED EXACT # SHOP TOURS  </t>
  </si>
  <si>
    <t xml:space="preserve">ESTIMATED EXACT # SHOP TOURS  </t>
  </si>
  <si>
    <t xml:space="preserve">DIFFERENCE ESTIMATED EXACT # SHOP TOURS  </t>
  </si>
  <si>
    <t xml:space="preserve">OBSERVED EXACT # MEAL TOURS  </t>
  </si>
  <si>
    <t xml:space="preserve">ESTIMATED EXACT # MEAL TOURS  </t>
  </si>
  <si>
    <t xml:space="preserve">DIFFERENCE EXACT # MEAL TOURS  </t>
  </si>
  <si>
    <t xml:space="preserve">OBSERVED EXACT # SOCIAL/RECREATIONAL TOURS  </t>
  </si>
  <si>
    <t xml:space="preserve">ESTIMATED EXACT # SOCIAL/RECREATIONAL TOURS  </t>
  </si>
  <si>
    <t xml:space="preserve">DIFFERENCE EXACT # SOCIAL/RECREATIONAL TOURS  </t>
  </si>
  <si>
    <t>OBSERVED EXACT # OF WORKBASED SUBTOURS (work tours only)</t>
  </si>
  <si>
    <t>ESTIMATED EXACT # OF WORKBASED SUBTOURS (work tours only)</t>
  </si>
  <si>
    <t>DIFFERENCE EXACT # OF WORKBASED SUBTOURS (work tours only)</t>
  </si>
  <si>
    <t>Workbased Subtours</t>
  </si>
  <si>
    <t>FT Worker</t>
  </si>
  <si>
    <t>Other</t>
  </si>
  <si>
    <t>OBSERVED SUBTOURS BY PURPOSE (work tours only)</t>
  </si>
  <si>
    <t>ESTIMATED SUBTOURS BY PURPOSE (work tours only)</t>
  </si>
  <si>
    <t>DIFFERENCE SUBTOURS BY PURPOSE (work tours only)</t>
  </si>
  <si>
    <t>Work</t>
  </si>
  <si>
    <t>School</t>
  </si>
  <si>
    <t>Escort</t>
  </si>
  <si>
    <t>PersBus</t>
  </si>
  <si>
    <t>Shop</t>
  </si>
  <si>
    <t>Meal</t>
  </si>
  <si>
    <t>SocRec</t>
  </si>
  <si>
    <t>OBSERVED TOURS BY # STOPS and PURPOSE</t>
  </si>
  <si>
    <t>ESTIMATED TOURS BY # STOPS and PURPOSE</t>
  </si>
  <si>
    <t>DIFFERENCE TOURS BY # STOPS and PURPOSE</t>
  </si>
  <si>
    <t>Stops</t>
  </si>
  <si>
    <t>6+</t>
  </si>
  <si>
    <t>OBSERVED % TOURS BY # OF STOPS and PURPOSE</t>
  </si>
  <si>
    <t>ESTIMATED % TOURS BY # OF STOPS and PURPOSE</t>
  </si>
  <si>
    <t>DIFFERENCE % TOURS BY # OF STOPS and PURPOSE</t>
  </si>
  <si>
    <t>OBSERVED OUTBOUND TOURS BY # STOPS and PURPOSE</t>
  </si>
  <si>
    <t>ESTIMATED OUTBOUND TOURS BY # STOPS and PURPOSE</t>
  </si>
  <si>
    <t>DIFFERENCE OUTBOUND TOURS BY # STOPS and PURPOSE</t>
  </si>
  <si>
    <t>OBSERVED % OUTBOUND TOURS BY # OF STOPS and PURPOSE</t>
  </si>
  <si>
    <t>ESTIMATED % OUTBOUND TOURS BY # OF STOPS and PURPOSE</t>
  </si>
  <si>
    <t>DIFFERENCE % OUTBOUND TOURS BY # OF STOPS and PURPOSE</t>
  </si>
  <si>
    <t>OBSERVED RETURN TOURS BY # STOPS and PURPOSE</t>
  </si>
  <si>
    <t>ESTIMATED RETURN TOURS BY # STOPS and PURPOSE</t>
  </si>
  <si>
    <t>DIFFERENCE RETURN TOURS BY # STOPS and PURPOSE</t>
  </si>
  <si>
    <t>OBSERVED % RETURN TOURS BY # OF STOPS and PURPOSE</t>
  </si>
  <si>
    <t>ESTIMATED % RETURN TOURS BY # OF STOPS and PURPOSE</t>
  </si>
  <si>
    <t>DIFFERENCE % RETURN TOURS BY # OF STOPS and PURPOSE</t>
  </si>
  <si>
    <t>OBSERVED TOTAL TOURS (by persontype)</t>
  </si>
  <si>
    <t>ESTIMATED TOTAL TOURS (by persontype)</t>
  </si>
  <si>
    <t>DIFFERENCE TOTAL TOURS (by persontype)</t>
  </si>
  <si>
    <t>diff</t>
  </si>
  <si>
    <t>Persons</t>
  </si>
  <si>
    <t>Tours/Person</t>
  </si>
  <si>
    <t>OBSERVED % TOTAL TOURS (by persontype)</t>
  </si>
  <si>
    <t>ESTIMATED % TOTAL TOURS (by persontype)</t>
  </si>
  <si>
    <t>DIFFERENCE % TOTAL TOURS (by persontype)</t>
  </si>
  <si>
    <t>TOTAL TOURS (by hhincome)</t>
  </si>
  <si>
    <t>ESTIMATED TOTAL TOURS (by hhincome)</t>
  </si>
  <si>
    <t>DIFFERENCE TOTAL TOURS (by hhincome)</t>
  </si>
  <si>
    <t>$K 0-25</t>
  </si>
  <si>
    <t>$K 25-45</t>
  </si>
  <si>
    <t>$K 45-75</t>
  </si>
  <si>
    <t>$K &gt;75</t>
  </si>
  <si>
    <t>missing</t>
  </si>
  <si>
    <t>% TOTAL TOURS (by hhincome)</t>
  </si>
  <si>
    <t>ESTIMATED % TOTAL TOURS (by hhincome)</t>
  </si>
  <si>
    <t>DIFFERENCE % TOTAL TOURS (by hhincome)</t>
  </si>
  <si>
    <t>OBSERVED TOTAL TOURS (by auto sufficiency)</t>
  </si>
  <si>
    <t>ESTIMATED TOTAL TOURS (by auto sufficiency)</t>
  </si>
  <si>
    <t>DIFFERENCE TOTAL TOURS (by auto sufficiency)</t>
  </si>
  <si>
    <t>0veh</t>
  </si>
  <si>
    <t>autos&lt;drivers</t>
  </si>
  <si>
    <t>autos=drivers</t>
  </si>
  <si>
    <t>autos&gt;drivers</t>
  </si>
  <si>
    <t>OBSERVED % TOTAL TOURS (by auto sufficiency)</t>
  </si>
  <si>
    <t>OBSERVED TOTAL TOURS (by county)</t>
  </si>
  <si>
    <t>ESTIMATED TOTAL TOURS (by county)</t>
  </si>
  <si>
    <t>DIFFERENCE TOTAL TOURS (by district)</t>
  </si>
  <si>
    <t>OBSERVED % TOTAL TOURS (by county)</t>
  </si>
  <si>
    <t>ESTIMATED % TOTAL TOURS (by county)</t>
  </si>
  <si>
    <t>DIFFERENCE % TOTAL TOURS (by district)</t>
  </si>
  <si>
    <t>OBSERVED TOTAL TRIPS (by persontype)</t>
  </si>
  <si>
    <t>ESTIMATED TOTAL TRIPS (by persontype)</t>
  </si>
  <si>
    <t>DIFFERENCE TOTAL TRIPS (by persontype)</t>
  </si>
  <si>
    <t>Trips/Person</t>
  </si>
  <si>
    <t>OBSERVED % TOTAL TRIPS (by persontype)</t>
  </si>
  <si>
    <t>ESTIMATED % TOTAL TRIPS (by persontype)</t>
  </si>
  <si>
    <t>DIFFERENCE % TOTAL TRIPS (by persontype)</t>
  </si>
  <si>
    <t>TOTAL TRIPS (by hhincome)</t>
  </si>
  <si>
    <t>ESTIMATED TOTAL TRIPS (by hhincome)</t>
  </si>
  <si>
    <t>DIFFERENCE TOTAL TRIPS (by hhincome)</t>
  </si>
  <si>
    <t>% TOTAL TRIPS (by hhincome)</t>
  </si>
  <si>
    <t>ESTIMATED % TOTAL TRIPS (by hhincome)</t>
  </si>
  <si>
    <t>DIFFERENCE % TOTAL TRIPS (by hhincome)</t>
  </si>
  <si>
    <t>OBSERVED TOTAL TRIPS (by auto sufficiency)</t>
  </si>
  <si>
    <t>ESTIMATED TOTAL TRIPS (by auto sufficiency)</t>
  </si>
  <si>
    <t>DIFFERENCE TOTAL TRIPS (by auto sufficiency)</t>
  </si>
  <si>
    <t>OBSERVED % TOTAL TRIPS (by auto sufficiency)</t>
  </si>
  <si>
    <t>ESTIMATED % TOTAL TRIPS (by auto sufficiency)</t>
  </si>
  <si>
    <t>DIFFERENCE % TOTAL TRIPS (by auto sufficiency)</t>
  </si>
  <si>
    <t>OBSERVED TOTAL TRIPS (by county)</t>
  </si>
  <si>
    <t>ESTIMATED TOTAL TRIPS (by county)</t>
  </si>
  <si>
    <t>DIFFERENCE TOTAL TRIPS (by county)</t>
  </si>
  <si>
    <t>OBSERVED % TOTAL TRIPS (by county)</t>
  </si>
  <si>
    <t>ESTIMATED % TOTAL TRIPS (by county)</t>
  </si>
  <si>
    <t>DIFFERENCE % TOTAL TRIPS (by county)</t>
  </si>
  <si>
    <t>HHSRAT=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</si>
  <si>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</si>
  <si>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</si>
  <si>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</si>
  <si>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</si>
  <si>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</si>
  <si>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</si>
  <si>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</si>
  <si>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</si>
  <si>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</si>
  <si>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</si>
  <si>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</si>
  <si>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</si>
  <si>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</si>
  <si>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</si>
  <si>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</si>
  <si>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</si>
  <si>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</si>
  <si>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</si>
  <si>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</si>
  <si>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</si>
  <si>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</si>
  <si>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</si>
  <si>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</si>
  <si>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</si>
  <si>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</si>
  <si>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</si>
  <si>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</si>
  <si>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</si>
  <si>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</si>
  <si>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</si>
  <si>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</si>
  <si>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</si>
  <si>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</si>
  <si>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</si>
  <si>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</si>
  <si>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</si>
  <si>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</si>
  <si>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</si>
  <si>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</si>
  <si>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</si>
  <si>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</si>
  <si>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</si>
  <si>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</si>
  <si>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</si>
  <si>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</si>
  <si>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</si>
  <si>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$K 75+</t>
  </si>
  <si>
    <t>by auto s</t>
  </si>
  <si>
    <t>ufficiency</t>
  </si>
  <si>
    <t>auto&lt;driv</t>
  </si>
  <si>
    <t>auto=driv</t>
  </si>
  <si>
    <t>auto&gt;driv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</si>
  <si>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</si>
  <si>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</si>
  <si>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</si>
  <si>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</si>
  <si>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</si>
  <si>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</si>
  <si>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</si>
  <si>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</si>
  <si>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</si>
  <si>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</si>
  <si>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</si>
  <si>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</si>
  <si>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</si>
  <si>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auto suff</t>
  </si>
  <si>
    <t>iciency</t>
  </si>
  <si>
    <t>autosuf</t>
  </si>
  <si>
    <t>district</t>
  </si>
  <si>
    <t>county</t>
  </si>
  <si>
    <t>persons by tours&gt;0 and stops&gt;0</t>
  </si>
  <si>
    <t>stop/tour purp</t>
  </si>
  <si>
    <t>tour and tour combination</t>
  </si>
  <si>
    <t>tour/tour purpose</t>
  </si>
  <si>
    <t>stop and stop combination</t>
  </si>
  <si>
    <t>stop/stop purpose</t>
  </si>
  <si>
    <t>Index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</si>
  <si>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</si>
  <si>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</si>
  <si>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</si>
  <si>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</si>
  <si>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</si>
  <si>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</si>
  <si>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</si>
  <si>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</si>
  <si>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</si>
  <si>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</si>
  <si>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</si>
  <si>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</si>
  <si>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</si>
  <si>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</si>
  <si>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</si>
  <si>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</si>
  <si>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</si>
  <si>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</si>
  <si>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</si>
  <si>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</si>
  <si>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</si>
  <si>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</si>
  <si>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</si>
  <si>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</si>
  <si>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</si>
  <si>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</si>
  <si>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</si>
  <si>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</si>
  <si>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</si>
  <si>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</si>
  <si>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</si>
  <si>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</si>
  <si>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</si>
  <si>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</si>
  <si>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</si>
  <si>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</si>
  <si>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</si>
  <si>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</si>
  <si>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</si>
  <si>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</si>
  <si>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</si>
  <si>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</si>
  <si>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</si>
  <si>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</si>
  <si>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</si>
  <si>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</si>
  <si>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</si>
  <si>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</si>
  <si>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</si>
  <si>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</si>
  <si>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</si>
  <si>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</si>
  <si>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</si>
  <si>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</si>
  <si>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</si>
  <si>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</si>
  <si>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</si>
  <si>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</si>
  <si>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</si>
  <si>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</si>
  <si>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</si>
  <si>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</si>
  <si>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</si>
  <si>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</si>
  <si>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</si>
  <si>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</si>
  <si>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</si>
  <si>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</si>
  <si>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</si>
  <si>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</si>
  <si>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</si>
  <si>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</si>
  <si>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</si>
  <si>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</si>
  <si>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</si>
  <si>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</si>
  <si>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</si>
  <si>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</si>
  <si>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</si>
  <si>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</si>
  <si>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</si>
  <si>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</si>
  <si>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</si>
  <si>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</si>
  <si>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</si>
  <si>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</si>
  <si>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</si>
  <si>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</si>
  <si>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</si>
  <si>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</si>
  <si>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</si>
  <si>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</si>
  <si>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</si>
  <si>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</si>
  <si>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</si>
  <si>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</si>
  <si>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</si>
  <si>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</si>
  <si>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</si>
  <si>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</si>
  <si>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</si>
  <si>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</si>
  <si>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</si>
  <si>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</si>
  <si>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</si>
  <si>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</si>
  <si>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</si>
  <si>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</si>
  <si>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</si>
  <si>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</si>
  <si>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</si>
  <si>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</si>
  <si>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</si>
  <si>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</si>
  <si>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</si>
  <si>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</si>
  <si>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</si>
  <si>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</si>
  <si>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</si>
  <si>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</si>
  <si>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</si>
  <si>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</si>
  <si>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</si>
  <si>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</si>
  <si>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</si>
  <si>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</si>
  <si>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</si>
  <si>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</si>
  <si>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</si>
  <si>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</si>
  <si>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</si>
  <si>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</si>
  <si>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</si>
  <si>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</si>
  <si>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</si>
  <si>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</si>
  <si>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</si>
  <si>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</si>
  <si>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</si>
  <si>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</si>
  <si>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</si>
  <si>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</si>
  <si>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</si>
  <si>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</si>
  <si>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</si>
  <si>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</si>
  <si>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</si>
  <si>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</si>
  <si>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</si>
  <si>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</si>
  <si>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</si>
  <si>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</si>
  <si>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</si>
  <si>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</si>
  <si>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</si>
  <si>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</si>
  <si>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</si>
  <si>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</si>
  <si>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</si>
  <si>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</si>
  <si>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</si>
  <si>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</si>
  <si>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</si>
  <si>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</si>
  <si>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</si>
  <si>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</si>
  <si>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</si>
  <si>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</si>
  <si>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</si>
  <si>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</si>
  <si>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</si>
  <si>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</si>
  <si>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</si>
  <si>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</si>
  <si>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</si>
  <si>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</si>
  <si>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</si>
  <si>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</si>
  <si>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</si>
  <si>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</si>
  <si>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</si>
  <si>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</si>
  <si>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</si>
  <si>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</si>
  <si>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</si>
  <si>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</si>
  <si>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</si>
  <si>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</si>
  <si>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</si>
  <si>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</si>
  <si>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</si>
  <si>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</si>
  <si>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</si>
  <si>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</si>
  <si>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</si>
  <si>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</si>
  <si>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</si>
  <si>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</si>
  <si>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</si>
  <si>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</si>
  <si>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</si>
  <si>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</si>
  <si>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</si>
  <si>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</si>
  <si>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</si>
  <si>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</si>
  <si>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</si>
  <si>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</si>
  <si>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</si>
  <si>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</si>
  <si>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</si>
  <si>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</si>
  <si>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</si>
  <si>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</si>
  <si>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</si>
  <si>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</si>
  <si>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</si>
  <si>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</si>
  <si>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</si>
  <si>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</si>
  <si>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</si>
  <si>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</si>
  <si>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</si>
  <si>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</si>
  <si>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</si>
  <si>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</si>
  <si>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</si>
  <si>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</si>
  <si>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</si>
  <si>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</si>
  <si>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</si>
  <si>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</si>
  <si>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</si>
  <si>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</si>
  <si>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</si>
  <si>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</si>
  <si>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</si>
  <si>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</si>
  <si>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</si>
  <si>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</si>
  <si>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</si>
  <si>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</si>
  <si>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</si>
  <si>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</si>
  <si>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</si>
  <si>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</si>
  <si>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</si>
  <si>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</si>
  <si>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</si>
  <si>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</si>
  <si>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</si>
  <si>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</si>
  <si>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</si>
  <si>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</si>
  <si>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</si>
  <si>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</si>
  <si>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</si>
  <si>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</si>
  <si>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</si>
  <si>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</si>
  <si>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</si>
  <si>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</si>
  <si>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</si>
  <si>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</si>
  <si>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</si>
  <si>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</si>
  <si>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</si>
  <si>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</si>
  <si>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</si>
  <si>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</si>
  <si>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</si>
  <si>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</si>
  <si>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</si>
  <si>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</si>
  <si>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</si>
  <si>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</si>
  <si>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</si>
  <si>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</si>
  <si>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</si>
  <si>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</si>
  <si>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</si>
  <si>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</si>
  <si>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</si>
  <si>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</si>
  <si>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</si>
  <si>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</si>
  <si>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</si>
  <si>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</si>
  <si>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</si>
  <si>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</si>
  <si>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</si>
  <si>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</si>
  <si>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</si>
  <si>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</si>
  <si>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</si>
  <si>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</si>
  <si>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</si>
  <si>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</si>
  <si>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</si>
  <si>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</si>
  <si>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</si>
  <si>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</si>
  <si>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</si>
  <si>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</si>
  <si>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</si>
  <si>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</si>
  <si>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</si>
  <si>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</si>
  <si>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</si>
  <si>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</si>
  <si>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</si>
  <si>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</si>
  <si>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</si>
  <si>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</si>
  <si>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</si>
  <si>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</si>
  <si>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</si>
  <si>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</si>
  <si>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</si>
  <si>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</si>
  <si>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</si>
  <si>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</si>
  <si>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</si>
  <si>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</si>
  <si>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</si>
  <si>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</si>
  <si>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</si>
  <si>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</si>
  <si>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</si>
  <si>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</si>
  <si>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</si>
  <si>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</si>
  <si>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</si>
  <si>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</si>
  <si>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</si>
  <si>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</si>
  <si>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</si>
  <si>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</si>
  <si>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</si>
  <si>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</si>
  <si>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</si>
  <si>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</si>
  <si>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</si>
  <si>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</si>
  <si>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</si>
  <si>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</si>
  <si>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</si>
  <si>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</si>
  <si>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</si>
  <si>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</si>
  <si>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</si>
  <si>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</si>
  <si>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</si>
  <si>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</si>
  <si>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</si>
  <si>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</si>
  <si>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</si>
  <si>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</si>
  <si>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</si>
  <si>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</si>
  <si>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</si>
  <si>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</si>
  <si>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</si>
  <si>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</si>
  <si>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</si>
  <si>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</si>
  <si>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</si>
  <si>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</si>
  <si>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</si>
  <si>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</si>
  <si>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</si>
  <si>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</si>
  <si>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</si>
  <si>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</si>
  <si>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</si>
  <si>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</si>
  <si>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</si>
  <si>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</si>
  <si>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</si>
  <si>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</si>
  <si>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</si>
  <si>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</si>
  <si>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</si>
  <si>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</si>
  <si>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</si>
  <si>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</si>
  <si>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</si>
  <si>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</si>
  <si>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</si>
  <si>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</si>
  <si>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</si>
  <si>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</si>
  <si>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</si>
  <si>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</si>
  <si>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</si>
  <si>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</si>
  <si>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</si>
  <si>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</si>
  <si>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</si>
  <si>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</si>
  <si>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</si>
  <si>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</si>
  <si>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</si>
  <si>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</si>
  <si>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</si>
  <si>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</si>
  <si>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</si>
  <si>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</si>
  <si>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</si>
  <si>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</si>
  <si>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</si>
  <si>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</si>
  <si>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</si>
  <si>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</si>
  <si>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</si>
  <si>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</si>
  <si>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</si>
  <si>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</si>
  <si>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</si>
  <si>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</si>
  <si>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</si>
  <si>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</si>
  <si>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</si>
  <si>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</si>
  <si>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</si>
  <si>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</si>
  <si>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</si>
  <si>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</si>
  <si>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</si>
  <si>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</si>
  <si>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</si>
  <si>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</si>
  <si>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</si>
  <si>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</si>
  <si>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</si>
  <si>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</si>
  <si>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</si>
  <si>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</si>
  <si>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</si>
  <si>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</si>
  <si>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</si>
  <si>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</si>
  <si>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</si>
  <si>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</si>
  <si>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</si>
  <si>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</si>
  <si>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</si>
  <si>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</si>
  <si>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</si>
  <si>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</si>
  <si>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</si>
  <si>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</si>
  <si>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</si>
  <si>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</si>
  <si>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</si>
  <si>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</si>
  <si>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</si>
  <si>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</si>
  <si>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</si>
  <si>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</si>
  <si>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</si>
  <si>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</si>
  <si>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</si>
  <si>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</si>
  <si>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</si>
  <si>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</si>
  <si>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</si>
  <si>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</si>
  <si>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</si>
  <si>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</si>
  <si>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</si>
  <si>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</si>
  <si>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</si>
  <si>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</si>
  <si>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</si>
  <si>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</si>
  <si>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</si>
  <si>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</si>
  <si>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</si>
  <si>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</si>
  <si>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</si>
  <si>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</si>
  <si>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</si>
  <si>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</si>
  <si>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</si>
  <si>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</si>
  <si>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</si>
  <si>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</si>
  <si>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</si>
  <si>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</si>
  <si>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</si>
  <si>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</si>
  <si>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</si>
  <si>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</si>
  <si>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</si>
  <si>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</si>
  <si>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</si>
  <si>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</si>
  <si>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</si>
  <si>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</si>
  <si>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</si>
  <si>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</si>
  <si>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</si>
  <si>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</si>
  <si>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</si>
  <si>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</si>
  <si>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</si>
  <si>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</si>
  <si>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</si>
  <si>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</si>
  <si>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</si>
  <si>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</si>
  <si>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</si>
  <si>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</si>
  <si>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</si>
  <si>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</si>
  <si>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</si>
  <si>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</si>
  <si>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</si>
  <si>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</si>
  <si>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</si>
  <si>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</si>
  <si>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</si>
  <si>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</si>
  <si>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</si>
  <si>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</si>
  <si>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</si>
  <si>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</si>
  <si>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</si>
  <si>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</si>
  <si>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</si>
  <si>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</si>
  <si>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</si>
  <si>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</si>
  <si>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</si>
  <si>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</si>
  <si>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</si>
  <si>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</si>
  <si>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</si>
  <si>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</si>
  <si>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</si>
  <si>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</si>
  <si>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</si>
  <si>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</si>
  <si>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</si>
  <si>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</si>
  <si>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</si>
  <si>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</si>
  <si>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</si>
  <si>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</si>
  <si>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</si>
  <si>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</si>
  <si>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</si>
  <si>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</si>
  <si>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</si>
  <si>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</si>
  <si>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</si>
  <si>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</si>
  <si>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</si>
  <si>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</si>
  <si>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</si>
  <si>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</si>
  <si>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</si>
  <si>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</si>
  <si>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</si>
  <si>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</si>
  <si>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</si>
  <si>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</si>
  <si>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</si>
  <si>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</si>
  <si>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</si>
  <si>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</si>
  <si>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</si>
  <si>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</si>
  <si>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</si>
  <si>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</si>
  <si>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</si>
  <si>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</si>
  <si>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</si>
  <si>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</si>
  <si>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</si>
  <si>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</si>
  <si>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</si>
  <si>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</si>
  <si>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</si>
  <si>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</si>
  <si>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</si>
  <si>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</si>
  <si>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</si>
  <si>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</si>
  <si>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</si>
  <si>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</si>
  <si>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</si>
  <si>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</si>
  <si>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</si>
  <si>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</si>
  <si>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</si>
  <si>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</si>
  <si>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</si>
  <si>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</si>
  <si>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</si>
  <si>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</si>
  <si>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</si>
  <si>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</si>
  <si>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</si>
  <si>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</si>
  <si>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</si>
  <si>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</si>
  <si>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</si>
  <si>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</si>
  <si>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</si>
  <si>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</si>
  <si>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</si>
  <si>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</si>
  <si>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</si>
  <si>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</si>
  <si>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</si>
  <si>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</si>
  <si>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</si>
  <si>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</si>
  <si>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</si>
  <si>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</si>
  <si>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</si>
  <si>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</si>
  <si>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</si>
  <si>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</si>
  <si>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</si>
  <si>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</si>
  <si>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</si>
  <si>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</si>
  <si>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</si>
  <si>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</si>
  <si>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</si>
  <si>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</si>
  <si>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</si>
  <si>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</si>
  <si>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</si>
  <si>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</si>
  <si>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</si>
  <si>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</si>
  <si>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</si>
  <si>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</si>
  <si>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</si>
  <si>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</si>
  <si>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</si>
  <si>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</si>
  <si>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</si>
  <si>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</si>
  <si>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</si>
  <si>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</si>
  <si>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</si>
  <si>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</si>
  <si>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</si>
  <si>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</si>
  <si>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</si>
  <si>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</si>
  <si>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</si>
  <si>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</si>
  <si>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</si>
  <si>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</si>
  <si>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</si>
  <si>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</si>
  <si>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</si>
  <si>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</si>
  <si>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</si>
  <si>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</si>
  <si>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</si>
  <si>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</si>
  <si>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</si>
  <si>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</si>
  <si>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</si>
  <si>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</si>
  <si>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</si>
  <si>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</si>
  <si>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</si>
  <si>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</si>
  <si>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</si>
  <si>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</si>
  <si>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</si>
  <si>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</si>
  <si>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</si>
  <si>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</si>
  <si>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</si>
  <si>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</si>
  <si>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</si>
  <si>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</si>
  <si>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</si>
  <si>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</si>
  <si>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</si>
  <si>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</si>
  <si>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</si>
  <si>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</si>
  <si>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</si>
  <si>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</si>
  <si>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</si>
  <si>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</si>
  <si>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</si>
  <si>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</si>
  <si>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</si>
  <si>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</si>
  <si>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</si>
  <si>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</si>
  <si>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</si>
  <si>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</si>
  <si>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Instructions:</t>
  </si>
  <si>
    <t>By: nagendra.dhakar@rsginc.com</t>
  </si>
  <si>
    <t>Open "IndividualPersonDayPatternModel.F12" in Notepad+</t>
  </si>
  <si>
    <t>Select all(ctrl+A)</t>
  </si>
  <si>
    <t>Paste in cell A8</t>
  </si>
  <si>
    <t>Go to "Data" --&gt;Text to Columns - Select "Fixed Width" ---&gt; Finish</t>
  </si>
  <si>
    <t>Note:</t>
  </si>
  <si>
    <t>"Fixed Width" is used nstead of "Delimited" because  "Delimited" mode messes up the columns (first columns) after coefficient tokens 1000 due to big range (100 - 1415)</t>
  </si>
  <si>
    <t>Pattern1101.alo/f12</t>
  </si>
  <si>
    <t>branches/v1.8</t>
  </si>
  <si>
    <t>version</t>
  </si>
  <si>
    <t>(SACOG2000)</t>
  </si>
  <si>
    <t>Created</t>
  </si>
  <si>
    <t>by</t>
  </si>
  <si>
    <t>ALOGIT</t>
  </si>
  <si>
    <t>on</t>
  </si>
  <si>
    <t>END</t>
  </si>
  <si>
    <t>X-WKATHOME</t>
  </si>
  <si>
    <t>W-TPASS</t>
  </si>
  <si>
    <t>W-T-PPRK</t>
  </si>
  <si>
    <t>W-NODIAR</t>
  </si>
  <si>
    <t>W-PROXY</t>
  </si>
  <si>
    <t>W-WATHOME</t>
  </si>
  <si>
    <t>S-TPASS</t>
  </si>
  <si>
    <t>S-T-PPRK</t>
  </si>
  <si>
    <t>S-NODIAR</t>
  </si>
  <si>
    <t>S-PROXY</t>
  </si>
  <si>
    <t>S-WATHOME</t>
  </si>
  <si>
    <t>E-TPASS</t>
  </si>
  <si>
    <t>E-T-PPRK</t>
  </si>
  <si>
    <t>E-NODIAR</t>
  </si>
  <si>
    <t>E-PROXY</t>
  </si>
  <si>
    <t>E-WATHOME</t>
  </si>
  <si>
    <t>P-TPASS</t>
  </si>
  <si>
    <t>P-T-PPRK</t>
  </si>
  <si>
    <t>P-NODIAR</t>
  </si>
  <si>
    <t>P-PROXY</t>
  </si>
  <si>
    <t>P-WATHOME</t>
  </si>
  <si>
    <t>H-TPASS</t>
  </si>
  <si>
    <t>H-T-PPRK</t>
  </si>
  <si>
    <t>H-NODIAR</t>
  </si>
  <si>
    <t>H-PROXY</t>
  </si>
  <si>
    <t>H-WATHOME</t>
  </si>
  <si>
    <t>M-TPASS</t>
  </si>
  <si>
    <t>M-T-PPRK</t>
  </si>
  <si>
    <t>M-NODIAR</t>
  </si>
  <si>
    <t>M-PROXY</t>
  </si>
  <si>
    <t>M-WATHOME</t>
  </si>
  <si>
    <t>D-TPASS</t>
  </si>
  <si>
    <t>D-T-PPRK</t>
  </si>
  <si>
    <t>D-NODIAR</t>
  </si>
  <si>
    <t>D-PROXY</t>
  </si>
  <si>
    <t>D-WATHOME</t>
  </si>
  <si>
    <t>T-WISLOG</t>
  </si>
  <si>
    <t>T-WATHOME</t>
  </si>
  <si>
    <t>I-WISLOG</t>
  </si>
  <si>
    <t>TxTPASS</t>
  </si>
  <si>
    <t>SxTPASS</t>
  </si>
  <si>
    <t>Open "WorkbasedSubtourGenerationCoefficients_SACOG-v1.5.F12" in Notepad+</t>
  </si>
  <si>
    <t>Go to "Data" --&gt;Text to Columns - Select "Delimited" ---&gt; Select "Space" --&gt; Finish</t>
  </si>
  <si>
    <t>based</t>
  </si>
  <si>
    <t>tour</t>
  </si>
  <si>
    <t>frequency</t>
  </si>
  <si>
    <t>and</t>
  </si>
  <si>
    <t>wbfreq0501.ALO</t>
  </si>
  <si>
    <t>Theta0050</t>
  </si>
  <si>
    <t>OBSERVED TOTAL STOPS (by persontype)</t>
  </si>
  <si>
    <t>ESTIMATED TOTAL STOPS (by persontype)</t>
  </si>
  <si>
    <t>DIFFERENCE TOTAL STOPS (by persontype)</t>
  </si>
  <si>
    <t>Stops/Person</t>
  </si>
  <si>
    <t>OBSERVED % TOTAL STOPS (by persontype)</t>
  </si>
  <si>
    <t>ESTIMATED % TOTAL STOPS (by persontype)</t>
  </si>
  <si>
    <t>DIFFERENCE % TOTAL STOPS (by persontype)</t>
  </si>
  <si>
    <t>TOTAL STOPS (by hhincome)</t>
  </si>
  <si>
    <t>ESTIMATED TOTAL STOPS (by hhincome)</t>
  </si>
  <si>
    <t>DIFFERENCE TOTAL STOPS (by hhincome)</t>
  </si>
  <si>
    <t>% TOTAL STOPS (by hhincome)</t>
  </si>
  <si>
    <t>ESTIMATED % TOTAL STOPS (by hhincome)</t>
  </si>
  <si>
    <t>DIFFERENCE % TOTAL STOPS (by hhincome)</t>
  </si>
  <si>
    <t>OBSERVED TOTAL STOPS (by auto sufficiency)</t>
  </si>
  <si>
    <t>ESTIMATED TOTAL STOPS (by auto sufficiency)</t>
  </si>
  <si>
    <t>DIFFERENCE TOTAL STOPS (by auto sufficiency)</t>
  </si>
  <si>
    <t>OBSERVED % TOTAL STOPS (by auto sufficiency)</t>
  </si>
  <si>
    <t>ESTIMATED % TOTAL STOPS (by auto sufficiency)</t>
  </si>
  <si>
    <t>DIFFERENCE % TOTAL STOPS (by auto sufficiency)</t>
  </si>
  <si>
    <t>OBSERVED TOTAL STOPS (by county)</t>
  </si>
  <si>
    <t>ESTIMATED TOTAL STOPS (by county)</t>
  </si>
  <si>
    <t>DIFFERENCE TOTAL STOPS (by county)</t>
  </si>
  <si>
    <t>OBSERVED % TOTAL STOPS (by district)</t>
  </si>
  <si>
    <t>ESTIMATED % TOTAL STOPS (by district)</t>
  </si>
  <si>
    <t>DIFFERENCE % TOTAL STOPS (by district)</t>
  </si>
  <si>
    <t>person scaling factor</t>
  </si>
  <si>
    <t>Persons with 1+ tours</t>
  </si>
  <si>
    <t>ExpandSurv_scaled</t>
  </si>
  <si>
    <t>Old Coeff</t>
  </si>
  <si>
    <t>Adj</t>
  </si>
  <si>
    <t>New Coeff</t>
  </si>
  <si>
    <t>Persons with 1+ stops</t>
  </si>
  <si>
    <t>Survey</t>
  </si>
  <si>
    <t>number tours and number stops combination</t>
  </si>
  <si>
    <t># tours/# stops</t>
  </si>
  <si>
    <t>TOTAL</t>
  </si>
  <si>
    <t>Survey_scaled</t>
  </si>
  <si>
    <t>Coefficient Index</t>
  </si>
  <si>
    <t>Ratio (survey/model)</t>
  </si>
  <si>
    <t>Adjustment</t>
  </si>
  <si>
    <t>damp</t>
  </si>
  <si>
    <t>survey</t>
  </si>
  <si>
    <t>model</t>
  </si>
  <si>
    <t>tour and stop combination</t>
  </si>
  <si>
    <t>tour purpose</t>
  </si>
  <si>
    <t>stop purpose</t>
  </si>
  <si>
    <t>survey_scaled</t>
  </si>
  <si>
    <t>coefficient index</t>
  </si>
  <si>
    <t>IndividualPersonDayPatternModel.F12</t>
  </si>
  <si>
    <t>WorkbasedSubtourGenerationCoefficients_SACOG-v1.5.F12</t>
  </si>
  <si>
    <t>IntermediateStopGenerationCoefficients_SACOG-v1.5.F12</t>
  </si>
  <si>
    <t>Tours By Purpose</t>
  </si>
  <si>
    <t>Damp</t>
  </si>
  <si>
    <t>UltraEdit Instructions:</t>
  </si>
  <si>
    <t>Old</t>
  </si>
  <si>
    <t>New</t>
  </si>
  <si>
    <t>Stop Purpose</t>
  </si>
  <si>
    <t>Adjustments</t>
  </si>
  <si>
    <t>Copy (Ctrl-c) cells V3:V384</t>
  </si>
  <si>
    <t>Beta00001</t>
  </si>
  <si>
    <t>twoSimulatedTripsFlag * halfTourFromOriginFlag</t>
  </si>
  <si>
    <t>NO MORE STOPS</t>
  </si>
  <si>
    <t>validate</t>
  </si>
  <si>
    <t>flag</t>
  </si>
  <si>
    <t>Open "IndividualPersonDayPatternModel.F12" in UltraEdit</t>
  </si>
  <si>
    <t>Beta00003</t>
  </si>
  <si>
    <t>threeSimulatedTripsFlag * halfTourFromOriginFlag</t>
  </si>
  <si>
    <t>Choose column mode and select 4th columns from line 4 to line 353</t>
  </si>
  <si>
    <t>Beta00004</t>
  </si>
  <si>
    <t>fourSimulatedTripsFlag * halfTourFromOriginFlag</t>
  </si>
  <si>
    <t>Make sure that you select Col 21 to Col 31</t>
  </si>
  <si>
    <t>Beta00006</t>
  </si>
  <si>
    <t xml:space="preserve"> fiveSimulatedTripsFlag * halfTourFromOriginFlag</t>
  </si>
  <si>
    <t>Paste (Ctrl-v) the copied values</t>
  </si>
  <si>
    <t>Beta00008</t>
  </si>
  <si>
    <t>twoSimulatedTripsFlag * halfTourFromDestinationFlag</t>
  </si>
  <si>
    <t>Beta00010</t>
  </si>
  <si>
    <t>threeSimulatedTripsFlag * halfTourFromDestinationFlag</t>
  </si>
  <si>
    <t>Notepad ++ Instructions</t>
  </si>
  <si>
    <t>Beta00013</t>
  </si>
  <si>
    <t>fourSimulatedTripsFlag * halfTourFromDestinationFlag</t>
  </si>
  <si>
    <t>Beta00015</t>
  </si>
  <si>
    <t>fiveSimulatedTripsFlag * halfTourFromDestinationFlag</t>
  </si>
  <si>
    <t>Paste in an empty document in Notepad++</t>
  </si>
  <si>
    <t>Beta00016</t>
  </si>
  <si>
    <t>homeBasedTours</t>
  </si>
  <si>
    <t>Hold the Alt key and select the lines as columns</t>
  </si>
  <si>
    <t>Beta00018</t>
  </si>
  <si>
    <t>simulatedToursFlag</t>
  </si>
  <si>
    <t>Cut or Copy the selection (Ctrl-x or Ctrl-c)</t>
  </si>
  <si>
    <t>Beta00022</t>
  </si>
  <si>
    <t xml:space="preserve"> notHomeBasedTourFlag</t>
  </si>
  <si>
    <t>Open "IndividualPersonDayPatternModel.F12"</t>
  </si>
  <si>
    <t>Beta00023</t>
  </si>
  <si>
    <t>beforeMandatoryDestinationFlag</t>
  </si>
  <si>
    <t>Hold Alt and using mouse select the 4th column from line line 4 to line 353</t>
  </si>
  <si>
    <t>Beta00032</t>
  </si>
  <si>
    <t>(transitTourFlag + walkTourFlag + bikeTourFlag) * c34Ratio * foodRetailServiceMedicalQtrMileLog)</t>
  </si>
  <si>
    <t>Stops by Destination Purpose</t>
  </si>
  <si>
    <t>-PLEASE DO NOT USE IN CALIBRATION</t>
  </si>
  <si>
    <t>Stops by Purpose</t>
  </si>
  <si>
    <t>Beta00039</t>
  </si>
  <si>
    <t>transitTourFlag</t>
  </si>
  <si>
    <t>Paste (Ctrl-v)</t>
  </si>
  <si>
    <t>workTourFlag + schoolTourFlag</t>
  </si>
  <si>
    <t>WORK</t>
  </si>
  <si>
    <t>SCHOOL</t>
  </si>
  <si>
    <t>ESCORT</t>
  </si>
  <si>
    <t>Copy cells AA3:AA17</t>
  </si>
  <si>
    <t>PERSBUS</t>
  </si>
  <si>
    <t>Following instructions as above</t>
  </si>
  <si>
    <t>SHOP</t>
  </si>
  <si>
    <t>Here the coeff file will be "WorkbasedSubtourGenerationCoefficients_SACOG-v1.5.F12"</t>
  </si>
  <si>
    <t>workTourFlag</t>
  </si>
  <si>
    <t>MEAL</t>
  </si>
  <si>
    <t>line selec tion: line 4 to line 18</t>
  </si>
  <si>
    <t xml:space="preserve"> workTourFlag + schoolTourFlag</t>
  </si>
  <si>
    <t>SOCREC</t>
  </si>
  <si>
    <t>column selection: Col 21 to Col 31</t>
  </si>
  <si>
    <t>schoolTourFlag</t>
  </si>
  <si>
    <t>changemode</t>
  </si>
  <si>
    <t>escortTourFlag</t>
  </si>
  <si>
    <t>NOTES:</t>
  </si>
  <si>
    <t>"validate" and "flag" are to validate correspondence</t>
  </si>
  <si>
    <t>if sum of "flag"&gt;1 then correspondence is WRONG - look in to it</t>
  </si>
  <si>
    <t>Number of Day Patterns with Stops&gt;0</t>
  </si>
  <si>
    <t>this column ratio is from qa_qc</t>
  </si>
  <si>
    <t>personalBusinessOrMedicalTourFlag</t>
  </si>
  <si>
    <t>shoppingTourFlag</t>
  </si>
  <si>
    <t>mealTourFlag</t>
  </si>
  <si>
    <t>--</t>
  </si>
  <si>
    <t>socialOrRecreationTourFlag</t>
  </si>
  <si>
    <t>Under 5</t>
  </si>
  <si>
    <t>halfTourFromOriginFlag</t>
  </si>
  <si>
    <t>simulatedWorkStops</t>
  </si>
  <si>
    <t>simulatedSchoolStops</t>
  </si>
  <si>
    <t>simulatedEscortStops</t>
  </si>
  <si>
    <t>simulatedPersonalBusinessStops</t>
  </si>
  <si>
    <t>simulatedShoppingStops</t>
  </si>
  <si>
    <t>simulatedMealStops</t>
  </si>
  <si>
    <t>DAYSIM COEFFICIENT INDICES</t>
  </si>
  <si>
    <t>Tours by Person Type</t>
  </si>
  <si>
    <t>simulatedSocialStops</t>
  </si>
  <si>
    <t>simulatedWorkStopsFlag</t>
  </si>
  <si>
    <t>remainingToursCount</t>
  </si>
  <si>
    <t>duration</t>
  </si>
  <si>
    <t xml:space="preserve"> duration</t>
  </si>
  <si>
    <t>ORIGINAL COEFFICIENT</t>
  </si>
  <si>
    <t>from9AMto11AMFlag + from11AMto1PMFlag + from1PMto3PMFlag + from3PMto5PMFlag</t>
  </si>
  <si>
    <t>from7AMto9AMFlag + from7PMto9PMFlag + from9PMto11PMFlag + from11PMto7AMFlag</t>
  </si>
  <si>
    <t>from7AMto9AMFlag</t>
  </si>
  <si>
    <t xml:space="preserve"> from9AMto11AMFlag + from11AMto1PMFlag + from1PMto3PMFlag + from3PMto5PMFlag</t>
  </si>
  <si>
    <t>PERBUS</t>
  </si>
  <si>
    <t>from7AMto9AMFlag + from9PMto11PMFlag + from11PMto7AMFlag</t>
  </si>
  <si>
    <t>from11AMto1PMFlag + from1PMto3PMFlag + from3PMto5PMFlag</t>
  </si>
  <si>
    <t>from7AMto9AMFlag + from11PMto7AMFlag</t>
  </si>
  <si>
    <t>if 1 then tours else trips</t>
  </si>
  <si>
    <t>from11AMto1PMFlag + from1PMto3PMFlag</t>
  </si>
  <si>
    <t>RATIO (SURVEY/ABM)</t>
  </si>
  <si>
    <t>from7PMto9PMFlag</t>
  </si>
  <si>
    <t>adultMaleFlag</t>
  </si>
  <si>
    <t>childrenFlag * adultFemaleFlag</t>
  </si>
  <si>
    <t>hov2TourFlag</t>
  </si>
  <si>
    <t>hov3TourFlag</t>
  </si>
  <si>
    <t>onePersonHouseholdFlag</t>
  </si>
  <si>
    <t>COEFFICIENT ADJUSTMENT</t>
  </si>
  <si>
    <t>partTimeWorkerFlag + retiredAdultFlag + drivingAgeStudentFlag</t>
  </si>
  <si>
    <t>nonworkingAdultFlag + childAge5Through15Flag + childUnder5Flag</t>
  </si>
  <si>
    <t>oneSimulatedTripFlag</t>
  </si>
  <si>
    <t>NEXT COEFFICIENT</t>
  </si>
  <si>
    <t>WORKBASED SUBTOURS</t>
  </si>
  <si>
    <t>growth</t>
  </si>
  <si>
    <t>Survey_Scaled</t>
  </si>
  <si>
    <t>%Diff</t>
  </si>
  <si>
    <t>SCALED Survey</t>
  </si>
  <si>
    <t>RATIO (SURVEY/ABM) - AVERAGE OF TOUR AND TRIPS</t>
  </si>
  <si>
    <t>-</t>
  </si>
  <si>
    <t>The number of trips with purpose Home is equal to the number of home-based tours.</t>
  </si>
  <si>
    <t>The number of trips with the purpose Work is equal to (a) the number of home-based work tours + (b) the number of intermediate work stops + (c) the number of work-based subtours</t>
  </si>
  <si>
    <t>ABM</t>
  </si>
  <si>
    <t>For all other purposes, the number of trips with that purpose is equal to (a) the number of home-based tours with that purpose + (b) the number of intermediate stop with that purpose.</t>
  </si>
  <si>
    <t>Trips by Destination Purpose (Calculated)</t>
  </si>
  <si>
    <t>Trips by Destination Purpose (from "Summary")</t>
  </si>
  <si>
    <t>Number of Stops by Destination Purpose (Use in calibration)</t>
  </si>
  <si>
    <t>Jun</t>
  </si>
  <si>
    <t>Apr</t>
  </si>
  <si>
    <t>012:39:34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</si>
</sst>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0000000"/>
    <numFmt numFmtId="167" formatCode="#,##0.0"/>
    <numFmt numFmtId="168" formatCode="0.0"/>
    <numFmt numFmtId="169" formatCode="0.000000000000"/>
    <numFmt numFmtId="170" formatCode="0.0000"/>
    <numFmt numFmtId="171" formatCode="0.000000000"/>
    <numFmt numFmtId="172" formatCode="0.000000"/>
    <numFmt numFmtId="173" formatCode="#,##0.000000"/>
    <numFmt numFmtId="174" formatCode="_(* #,##0.00000_);_(* \(#,##0.00000\);_(* &quot;-&quot;??_);_(@_)"/>
    <numFmt numFmtId="175" formatCode="mm/dd/yyyy\ hh:mm:ss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1"/>
      <name val="Calibri"/>
      <family val="2"/>
    </font>
    <font>
      <sz val="10"/>
      <color theme="9"/>
      <name val="Verdana"/>
      <family val="2"/>
    </font>
  </fonts>
  <fills count="5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9">
    <xf borderId="0" fillId="0" fontId="0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0" fillId="0" fontId="27" numFmtId="0"/>
    <xf borderId="14" fillId="0" fontId="28" numFmtId="0"/>
    <xf borderId="15" fillId="0" fontId="29" numFmtId="0"/>
    <xf borderId="16" fillId="0" fontId="30" numFmtId="0"/>
    <xf borderId="0" fillId="0" fontId="30" numFmtId="0"/>
    <xf borderId="0" fillId="18" fontId="31" numFmtId="0"/>
    <xf borderId="0" fillId="19" fontId="32" numFmtId="0"/>
    <xf borderId="0" fillId="20" fontId="33" numFmtId="0"/>
    <xf borderId="17" fillId="21" fontId="34" numFmtId="0"/>
    <xf borderId="18" fillId="22" fontId="35" numFmtId="0"/>
    <xf borderId="17" fillId="22" fontId="36" numFmtId="0"/>
    <xf borderId="19" fillId="0" fontId="37" numFmtId="0"/>
    <xf borderId="20" fillId="23" fontId="38" numFmtId="0"/>
    <xf borderId="0" fillId="0" fontId="39" numFmtId="0"/>
    <xf borderId="21" fillId="24" fontId="1" numFmtId="0"/>
    <xf borderId="0" fillId="0" fontId="40" numFmtId="0"/>
    <xf borderId="22" fillId="0" fontId="41" numFmtId="0"/>
    <xf borderId="0" fillId="25" fontId="42" numFmtId="0"/>
    <xf borderId="0" fillId="26" fontId="1" numFmtId="0"/>
    <xf borderId="0" fillId="27" fontId="1" numFmtId="0"/>
    <xf borderId="0" fillId="28" fontId="42" numFmtId="0"/>
    <xf borderId="0" fillId="29" fontId="42" numFmtId="0"/>
    <xf borderId="0" fillId="30" fontId="1" numFmtId="0"/>
    <xf borderId="0" fillId="31" fontId="1" numFmtId="0"/>
    <xf borderId="0" fillId="32" fontId="42" numFmtId="0"/>
    <xf borderId="0" fillId="33" fontId="42" numFmtId="0"/>
    <xf borderId="0" fillId="34" fontId="1" numFmtId="0"/>
    <xf borderId="0" fillId="35" fontId="1" numFmtId="0"/>
    <xf borderId="0" fillId="36" fontId="42" numFmtId="0"/>
    <xf borderId="0" fillId="37" fontId="42" numFmtId="0"/>
    <xf borderId="0" fillId="38" fontId="1" numFmtId="0"/>
    <xf borderId="0" fillId="39" fontId="1" numFmtId="0"/>
    <xf borderId="0" fillId="40" fontId="42" numFmtId="0"/>
    <xf borderId="0" fillId="41" fontId="42" numFmtId="0"/>
    <xf borderId="0" fillId="42" fontId="1" numFmtId="0"/>
    <xf borderId="0" fillId="43" fontId="1" numFmtId="0"/>
    <xf borderId="0" fillId="44" fontId="42" numFmtId="0"/>
    <xf borderId="0" fillId="45" fontId="42" numFmtId="0"/>
    <xf borderId="0" fillId="46" fontId="1" numFmtId="0"/>
    <xf borderId="0" fillId="47" fontId="1" numFmtId="0"/>
    <xf borderId="0" fillId="48" fontId="42" numFmtId="0"/>
    <xf borderId="0" fillId="0" fontId="1" numFmtId="43"/>
    <xf borderId="0" fillId="0" fontId="48" numFmtId="0"/>
    <xf borderId="0" fillId="0" fontId="1" numFmtId="0"/>
    <xf borderId="0" fillId="0" fontId="48" numFmtId="0"/>
    <xf borderId="0" fillId="2" fontId="6" numFmtId="0"/>
    <xf borderId="0" fillId="3" fontId="6" numFmtId="0"/>
    <xf borderId="0" fillId="4" fontId="6" numFmtId="0"/>
    <xf borderId="0" fillId="2" fontId="6" numFmtId="0"/>
    <xf borderId="0" fillId="5" fontId="6" numFmtId="0"/>
    <xf borderId="0" fillId="3" fontId="6" numFmtId="0"/>
    <xf borderId="0" fillId="6" fontId="6" numFmtId="0"/>
    <xf borderId="0" fillId="3" fontId="6" numFmtId="0"/>
    <xf borderId="0" fillId="4" fontId="6" numFmtId="0"/>
    <xf borderId="0" fillId="6" fontId="6" numFmtId="0"/>
    <xf borderId="0" fillId="7" fontId="6" numFmtId="0"/>
    <xf borderId="0" fillId="3" fontId="6" numFmtId="0"/>
    <xf borderId="0" fillId="8" fontId="7" numFmtId="0"/>
    <xf borderId="0" fillId="9" fontId="7" numFmtId="0"/>
    <xf borderId="0" fillId="4" fontId="7" numFmtId="0"/>
    <xf borderId="0" fillId="6" fontId="7" numFmtId="0"/>
    <xf borderId="0" fillId="8" fontId="7" numFmtId="0"/>
    <xf borderId="0" fillId="3" fontId="7" numFmtId="0"/>
    <xf borderId="0" fillId="8" fontId="7" numFmtId="0"/>
    <xf borderId="0" fillId="10" fontId="7" numFmtId="0"/>
    <xf borderId="0" fillId="4" fontId="7" numFmtId="0"/>
    <xf borderId="0" fillId="11" fontId="7" numFmtId="0"/>
    <xf borderId="0" fillId="8" fontId="7" numFmtId="0"/>
    <xf borderId="0" fillId="9" fontId="7" numFmtId="0"/>
    <xf borderId="0" fillId="12" fontId="8" numFmtId="0"/>
    <xf borderId="1" fillId="2" fontId="9" numFmtId="0"/>
    <xf borderId="2" fillId="13" fontId="10" numFmtId="0"/>
    <xf borderId="0" fillId="0" fontId="11" numFmtId="0"/>
    <xf borderId="0" fillId="14" fontId="12" numFmtId="0"/>
    <xf borderId="3" fillId="0" fontId="13" numFmtId="0"/>
    <xf borderId="4" fillId="0" fontId="14" numFmtId="0"/>
    <xf borderId="5" fillId="0" fontId="15" numFmtId="0"/>
    <xf borderId="0" fillId="0" fontId="15" numFmtId="0"/>
    <xf borderId="1" fillId="3" fontId="16" numFmtId="0"/>
    <xf borderId="6" fillId="0" fontId="17" numFmtId="0"/>
    <xf borderId="0" fillId="15" fontId="18" numFmtId="0"/>
    <xf borderId="7" fillId="16" fontId="48" numFmtId="0"/>
    <xf borderId="8" fillId="2" fontId="19" numFmtId="0"/>
    <xf borderId="0" fillId="0" fontId="20" numFmtId="0"/>
    <xf borderId="9" fillId="0" fontId="21" numFmtId="0"/>
    <xf borderId="0" fillId="0" fontId="22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21" fillId="24" fontId="1" numFmtId="0"/>
    <xf borderId="0" fillId="26" fontId="1" numFmtId="0"/>
    <xf borderId="0" fillId="27" fontId="1" numFmtId="0"/>
    <xf borderId="0" fillId="30" fontId="1" numFmtId="0"/>
    <xf borderId="0" fillId="31" fontId="1" numFmtId="0"/>
    <xf borderId="0" fillId="34" fontId="1" numFmtId="0"/>
    <xf borderId="0" fillId="35" fontId="1" numFmtId="0"/>
    <xf borderId="0" fillId="38" fontId="1" numFmtId="0"/>
    <xf borderId="0" fillId="39" fontId="1" numFmtId="0"/>
    <xf borderId="0" fillId="42" fontId="1" numFmtId="0"/>
    <xf borderId="0" fillId="43" fontId="1" numFmtId="0"/>
    <xf borderId="0" fillId="46" fontId="1" numFmtId="0"/>
    <xf borderId="0" fillId="47" fontId="1" numFmtId="0"/>
    <xf borderId="0" fillId="0" fontId="1" numFmtId="43"/>
    <xf borderId="0" fillId="0" fontId="48" numFmtId="0"/>
    <xf borderId="0" fillId="0" fontId="48" numFmtId="43"/>
  </cellStyleXfs>
  <cellXfs count="268">
    <xf borderId="0" fillId="0" fontId="0" numFmtId="0" xfId="0"/>
    <xf applyBorder="1" borderId="10" fillId="0" fontId="0" numFmtId="0" xfId="0"/>
    <xf applyBorder="1" applyFont="1" borderId="10" fillId="0" fontId="4" numFmtId="0" xfId="0"/>
    <xf applyAlignment="1" applyBorder="1" applyFont="1" borderId="11" fillId="0" fontId="4" numFmtId="0" xfId="0">
      <alignment horizontal="left"/>
    </xf>
    <xf applyAlignment="1" applyBorder="1" applyFont="1" borderId="11" fillId="0" fontId="4" numFmtId="0" xfId="0">
      <alignment horizontal="center"/>
    </xf>
    <xf applyFont="1" applyNumberFormat="1" borderId="0" fillId="0" fontId="5" numFmtId="3" xfId="0"/>
    <xf applyBorder="1" applyFont="1" borderId="12" fillId="0" fontId="5" numFmtId="0" xfId="0"/>
    <xf applyBorder="1" applyFont="1" applyNumberFormat="1" borderId="12" fillId="0" fontId="5" numFmtId="3" xfId="0"/>
    <xf applyBorder="1" applyFont="1" borderId="13" fillId="0" fontId="5" numFmtId="0" xfId="0"/>
    <xf applyBorder="1" applyFont="1" applyNumberFormat="1" borderId="13" fillId="0" fontId="5" numFmtId="3" xfId="0"/>
    <xf applyFont="1" applyNumberFormat="1" borderId="0" fillId="0" fontId="5" numFmtId="164" xfId="0"/>
    <xf applyBorder="1" applyFont="1" applyNumberFormat="1" borderId="12" fillId="0" fontId="5" numFmtId="164" xfId="0"/>
    <xf applyBorder="1" applyFont="1" applyNumberFormat="1" borderId="13" fillId="0" fontId="5" numFmtId="164" xfId="0"/>
    <xf applyBorder="1" applyFont="1" borderId="10" fillId="0" fontId="5" numFmtId="0" xfId="0"/>
    <xf applyBorder="1" applyFont="1" borderId="11" fillId="0" fontId="4" numFmtId="0" xfId="0"/>
    <xf applyBorder="1" applyFont="1" applyNumberFormat="1" borderId="10" fillId="0" fontId="5" numFmtId="164" xfId="0"/>
    <xf applyAlignment="1" applyFont="1" borderId="0" fillId="0" fontId="5" numFmtId="0" xfId="0">
      <alignment horizontal="left"/>
    </xf>
    <xf applyAlignment="1" applyBorder="1" applyFont="1" borderId="13" fillId="0" fontId="5" numFmtId="0" xfId="0">
      <alignment horizontal="left"/>
    </xf>
    <xf applyBorder="1" applyFont="1" applyNumberFormat="1" borderId="10" fillId="0" fontId="5" numFmtId="3" xfId="0"/>
    <xf applyAlignment="1" applyBorder="1" applyFont="1" borderId="12" fillId="0" fontId="5" numFmtId="0" xfId="0">
      <alignment horizontal="left"/>
    </xf>
    <xf applyAlignment="1" applyBorder="1" applyFont="1" applyNumberFormat="1" borderId="11" fillId="0" fontId="4" numFmtId="164" xfId="0">
      <alignment horizontal="center"/>
    </xf>
    <xf applyFont="1" applyNumberFormat="1" borderId="0" fillId="0" fontId="5" numFmtId="10" xfId="0"/>
    <xf applyAlignment="1" applyFont="1" applyNumberFormat="1" borderId="0" fillId="0" fontId="5" numFmtId="49" xfId="0">
      <alignment horizontal="left"/>
    </xf>
    <xf applyAlignment="1" applyFont="1" applyNumberFormat="1" borderId="0" fillId="0" fontId="5" numFmtId="164" xfId="0">
      <alignment horizontal="right"/>
    </xf>
    <xf applyAlignment="1" applyBorder="1" applyFont="1" applyNumberFormat="1" borderId="12" fillId="0" fontId="5" numFmtId="49" xfId="0">
      <alignment horizontal="left"/>
    </xf>
    <xf applyAlignment="1" applyBorder="1" applyFont="1" applyNumberFormat="1" borderId="12" fillId="0" fontId="5" numFmtId="164" xfId="0">
      <alignment horizontal="right"/>
    </xf>
    <xf applyAlignment="1" applyBorder="1" applyFont="1" applyNumberFormat="1" borderId="10" fillId="0" fontId="5" numFmtId="164" xfId="0">
      <alignment horizontal="right"/>
    </xf>
    <xf applyAlignment="1" applyBorder="1" applyFont="1" borderId="12" fillId="0" fontId="4" numFmtId="0" xfId="0">
      <alignment horizontal="center"/>
    </xf>
    <xf applyFont="1" borderId="0" fillId="0" fontId="23" numFmtId="0" xfId="0"/>
    <xf applyFont="1" borderId="0" fillId="0" fontId="2" numFmtId="0" xfId="0"/>
    <xf applyAlignment="1" applyBorder="1" applyFont="1" borderId="12" fillId="0" fontId="24" numFmtId="0" xfId="0">
      <alignment horizontal="center"/>
    </xf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5" numFmtId="0" xfId="0"/>
    <xf applyFont="1" applyNumberFormat="1" borderId="0" fillId="0" fontId="25" numFmtId="3" xfId="0"/>
    <xf applyBorder="1" applyFont="1" borderId="13" fillId="0" fontId="25" numFmtId="0" xfId="0"/>
    <xf applyBorder="1" applyFont="1" applyNumberFormat="1" borderId="13" fillId="0" fontId="25" numFmtId="3" xfId="0"/>
    <xf applyFont="1" applyNumberFormat="1" borderId="0" fillId="0" fontId="25" numFmtId="9" xfId="0"/>
    <xf applyBorder="1" applyFont="1" applyNumberFormat="1" borderId="12" fillId="0" fontId="25" numFmtId="3" xfId="0"/>
    <xf applyBorder="1" applyFont="1" applyNumberFormat="1" borderId="12" fillId="0" fontId="25" numFmtId="9" xfId="0"/>
    <xf applyBorder="1" applyFont="1" applyNumberFormat="1" borderId="10" fillId="0" fontId="25" numFmtId="3" xfId="0"/>
    <xf applyBorder="1" applyFont="1" applyNumberFormat="1" borderId="10" fillId="0" fontId="25" numFmtId="9" xfId="0"/>
    <xf applyFont="1" applyNumberFormat="1" borderId="0" fillId="0" fontId="25" numFmtId="2" xfId="0"/>
    <xf applyBorder="1" applyFont="1" applyNumberFormat="1" borderId="12" fillId="0" fontId="25" numFmtId="2" xfId="0"/>
    <xf applyBorder="1" applyFont="1" applyNumberFormat="1" borderId="10" fillId="0" fontId="25" numFmtId="2" xfId="0"/>
    <xf applyBorder="1" applyFont="1" borderId="12" fillId="0" fontId="25" numFmtId="0" xfId="0"/>
    <xf applyBorder="1" applyFont="1" applyNumberFormat="1" borderId="13" fillId="0" fontId="25" numFmtId="9" xfId="0"/>
    <xf applyBorder="1" applyFont="1" borderId="10" fillId="0" fontId="25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Alignment="1" applyFont="1" borderId="0" fillId="0" fontId="4" numFmtId="0" xfId="0">
      <alignment horizontal="center"/>
    </xf>
    <xf applyBorder="1" applyFill="1" applyFont="1" applyNumberFormat="1" borderId="12" fillId="17" fontId="5" numFmtId="164" xfId="0"/>
    <xf applyBorder="1" applyFill="1" applyFont="1" applyNumberFormat="1" borderId="10" fillId="17" fontId="5" numFmtId="164" xfId="0"/>
    <xf applyFill="1" applyFont="1" applyNumberFormat="1" borderId="0" fillId="17" fontId="5" numFmtId="164" xfId="0"/>
    <xf applyNumberFormat="1" borderId="0" fillId="0" fontId="0" numFmtId="16" xfId="0"/>
    <xf applyAlignment="1" applyBorder="1" applyFill="1" applyFont="1" borderId="11" fillId="17" fontId="4" numFmtId="0" xfId="0">
      <alignment horizontal="center"/>
    </xf>
    <xf applyNumberFormat="1" borderId="0" fillId="0" fontId="0" numFmtId="17" xfId="0"/>
    <xf applyAlignment="1" applyFont="1" borderId="0" fillId="0" fontId="4" numFmtId="0" xfId="0">
      <alignment horizontal="left"/>
    </xf>
    <xf applyAlignment="1" applyFont="1" borderId="0" fillId="0" fontId="26" numFmtId="0" xfId="2"/>
    <xf borderId="0" fillId="0" fontId="1" numFmtId="0" xfId="8"/>
    <xf applyAlignment="1" borderId="0" fillId="0" fontId="1" numFmtId="0" xfId="8">
      <alignment horizontal="center"/>
    </xf>
    <xf applyAlignment="1" applyNumberFormat="1" borderId="0" fillId="0" fontId="1" numFmtId="11" xfId="8">
      <alignment horizontal="center"/>
    </xf>
    <xf applyAlignment="1" applyFont="1" borderId="0" fillId="0" fontId="41" numFmtId="0" xfId="8">
      <alignment horizontal="center"/>
    </xf>
    <xf applyAlignment="1" applyFont="1" applyNumberFormat="1" borderId="0" fillId="0" fontId="41" numFmtId="11" xfId="8">
      <alignment horizontal="center"/>
    </xf>
    <xf applyAlignment="1" applyFont="1" borderId="0" fillId="0" fontId="41" numFmtId="0" xfId="8">
      <alignment horizontal="left"/>
    </xf>
    <xf applyAlignment="1" applyFill="1" applyNumberFormat="1" borderId="0" fillId="49" fontId="1" numFmtId="11" xfId="8">
      <alignment horizontal="center"/>
    </xf>
    <xf applyFont="1" borderId="0" fillId="0" fontId="43" numFmtId="0" xfId="0"/>
    <xf applyFont="1" applyNumberFormat="1" borderId="0" fillId="0" fontId="44" numFmtId="21" xfId="0"/>
    <xf applyFont="1" applyNumberFormat="1" borderId="0" fillId="0" fontId="44" numFmtId="11" xfId="0"/>
    <xf applyBorder="1" applyFont="1" borderId="12" fillId="0" fontId="45" numFmtId="0" xfId="0"/>
    <xf applyBorder="1" applyFont="1" borderId="12" fillId="0" fontId="44" numFmtId="0" xfId="0"/>
    <xf applyBorder="1" applyFont="1" applyNumberFormat="1" borderId="12" fillId="0" fontId="44" numFmtId="2" xfId="0"/>
    <xf applyBorder="1" applyFont="1" borderId="10" fillId="0" fontId="44" numFmtId="0" xfId="0"/>
    <xf applyFont="1" applyNumberFormat="1" borderId="0" fillId="0" fontId="44" numFmtId="3" xfId="0"/>
    <xf applyFont="1" applyNumberFormat="1" borderId="0" fillId="0" fontId="44" numFmtId="17" xfId="0"/>
    <xf applyFont="1" applyNumberFormat="1" borderId="0" fillId="0" fontId="44" numFmtId="16" xfId="0"/>
    <xf applyFont="1" borderId="0" fillId="0" fontId="46" numFmtId="0" xfId="0"/>
    <xf applyAlignment="1" applyFont="1" applyNumberFormat="1" borderId="0" fillId="0" fontId="44" numFmtId="1" quotePrefix="1" xfId="0">
      <alignment horizontal="right"/>
    </xf>
    <xf applyBorder="1" applyFont="1" applyNumberFormat="1" borderId="10" fillId="0" fontId="44" numFmtId="3" xfId="0"/>
    <xf applyBorder="1" applyFont="1" applyNumberFormat="1" borderId="12" fillId="0" fontId="44" numFmtId="3" xfId="0"/>
    <xf applyAlignment="1" applyBorder="1" applyFont="1" applyNumberFormat="1" borderId="12" fillId="0" fontId="44" numFmtId="1" quotePrefix="1" xfId="0">
      <alignment horizontal="right"/>
    </xf>
    <xf applyBorder="1" applyFont="1" borderId="10" fillId="0" fontId="45" numFmtId="0" xfId="0"/>
    <xf applyFill="1" applyFont="1" borderId="0" fillId="52" fontId="44" numFmtId="0" xfId="0"/>
    <xf applyBorder="1" applyFont="1" borderId="12" fillId="0" fontId="4" numFmtId="0" xfId="0"/>
    <xf applyFont="1" applyNumberFormat="1" borderId="0" fillId="0" fontId="5" numFmtId="2" xfId="0"/>
    <xf applyAlignment="1" applyFont="1" borderId="0" fillId="0" fontId="24" numFmtId="0" xfId="0">
      <alignment horizontal="center"/>
    </xf>
    <xf applyFont="1" applyNumberFormat="1" borderId="0" fillId="0" fontId="44" numFmtId="14" xfId="0"/>
    <xf applyAlignment="1" applyBorder="1" applyFont="1" borderId="11" fillId="0" fontId="2" numFmtId="0" xfId="0">
      <alignment horizontal="right"/>
    </xf>
    <xf applyFill="1" applyFont="1" borderId="0" fillId="49" fontId="44" numFmtId="0" xfId="0"/>
    <xf applyAlignment="1" applyBorder="1" applyFont="1" borderId="12" fillId="0" fontId="45" numFmtId="0" xfId="0">
      <alignment horizontal="right"/>
    </xf>
    <xf applyFont="1" applyNumberFormat="1" borderId="0" fillId="0" fontId="5" numFmtId="3" xfId="53"/>
    <xf applyAlignment="1" applyBorder="1" applyFill="1" applyFont="1" borderId="12" fillId="51" fontId="45" numFmtId="0" xfId="0">
      <alignment horizontal="right"/>
    </xf>
    <xf applyFill="1" applyFont="1" borderId="0" fillId="54" fontId="44" numFmtId="0" xfId="0"/>
    <xf applyBorder="1" applyFill="1" applyFont="1" borderId="10" fillId="54" fontId="44" numFmtId="0" xfId="0"/>
    <xf applyAlignment="1" applyBorder="1" applyFill="1" applyFont="1" borderId="12" fillId="54" fontId="45" numFmtId="0" xfId="0">
      <alignment horizontal="right"/>
    </xf>
    <xf applyAlignment="1" applyBorder="1" applyFill="1" applyFont="1" borderId="11" fillId="54" fontId="45" numFmtId="0" xfId="0">
      <alignment horizontal="right"/>
    </xf>
    <xf applyFill="1" applyFont="1" borderId="0" fillId="49" fontId="5" numFmtId="0" xfId="0"/>
    <xf applyBorder="1" applyFill="1" applyFont="1" borderId="12" fillId="50" fontId="38" numFmtId="0" xfId="0"/>
    <xf applyAlignment="1" applyBorder="1" applyFill="1" applyFont="1" borderId="12" fillId="50" fontId="38" numFmtId="0" xfId="0">
      <alignment horizontal="right"/>
    </xf>
    <xf applyBorder="1" applyFill="1" applyFont="1" borderId="23" fillId="53" fontId="43" numFmtId="0" xfId="0"/>
    <xf applyBorder="1" applyFill="1" applyFont="1" borderId="24" fillId="53" fontId="44" numFmtId="0" xfId="0"/>
    <xf applyBorder="1" applyFill="1" applyFont="1" borderId="25" fillId="53" fontId="44" numFmtId="0" xfId="0"/>
    <xf applyBorder="1" applyFill="1" applyFont="1" borderId="26" fillId="53" fontId="44" numFmtId="0" xfId="0"/>
    <xf applyFill="1" applyFont="1" borderId="0" fillId="53" fontId="44" numFmtId="0" xfId="0"/>
    <xf applyBorder="1" applyFill="1" applyFont="1" borderId="27" fillId="53" fontId="44" numFmtId="0" xfId="0"/>
    <xf applyBorder="1" applyFill="1" applyFont="1" borderId="12" fillId="53" fontId="44" numFmtId="0" xfId="0"/>
    <xf applyBorder="1" applyFill="1" applyFont="1" borderId="29" fillId="53" fontId="44" numFmtId="0" xfId="0"/>
    <xf applyAlignment="1" applyBorder="1" applyFill="1" applyFont="1" borderId="28" fillId="53" fontId="45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4" numFmtId="0" xfId="0"/>
    <xf applyAlignment="1" applyFont="1" applyNumberFormat="1" borderId="0" fillId="0" fontId="5" numFmtId="3" quotePrefix="1" xfId="0">
      <alignment horizontal="right"/>
    </xf>
    <xf applyBorder="1" applyFont="1" applyNumberFormat="1" borderId="13" fillId="0" fontId="25" numFmtId="2" xfId="0"/>
    <xf applyFont="1" applyNumberFormat="1" borderId="0" fillId="0" fontId="25" numFmtId="9" xfId="51"/>
    <xf applyBorder="1" applyFont="1" applyNumberFormat="1" borderId="10" fillId="0" fontId="5" numFmtId="4" xfId="0"/>
    <xf applyBorder="1" applyFont="1" applyNumberFormat="1" borderId="24" fillId="0" fontId="5" numFmtId="3" xfId="0"/>
    <xf applyBorder="1" applyFont="1" applyNumberFormat="1" borderId="10" fillId="0" fontId="44" numFmtId="2" xfId="0"/>
    <xf applyAlignment="1" applyBorder="1" applyFill="1" applyFont="1" borderId="11" fillId="56" fontId="4" numFmtId="0" xfId="0">
      <alignment horizontal="left"/>
    </xf>
    <xf applyAlignment="1" applyBorder="1" applyFill="1" applyFont="1" borderId="11" fillId="56" fontId="4" numFmtId="0" xfId="0">
      <alignment horizontal="center"/>
    </xf>
    <xf applyFill="1" applyFont="1" applyNumberFormat="1" borderId="0" fillId="56" fontId="5" numFmtId="3" xfId="0"/>
    <xf applyAlignment="1" applyBorder="1" applyFill="1" applyFont="1" borderId="11" fillId="53" fontId="4" numFmtId="0" xfId="0">
      <alignment horizontal="left"/>
    </xf>
    <xf applyAlignment="1" applyBorder="1" applyFill="1" applyFont="1" borderId="11" fillId="53" fontId="4" numFmtId="0" xfId="0">
      <alignment horizontal="center"/>
    </xf>
    <xf applyFill="1" applyFont="1" applyNumberFormat="1" borderId="0" fillId="53" fontId="5" numFmtId="3" xfId="0"/>
    <xf applyFill="1" applyFont="1" borderId="0" fillId="53" fontId="4" numFmtId="0" xfId="0"/>
    <xf applyBorder="1" applyFill="1" applyFont="1" borderId="13" fillId="53" fontId="4" numFmtId="0" xfId="0"/>
    <xf applyBorder="1" applyFill="1" applyFont="1" applyNumberFormat="1" borderId="13" fillId="53" fontId="4" numFmtId="3" xfId="0"/>
    <xf applyFill="1" applyFont="1" borderId="0" fillId="56" fontId="4" numFmtId="0" xfId="0"/>
    <xf applyBorder="1" applyFill="1" applyFont="1" borderId="13" fillId="56" fontId="4" numFmtId="0" xfId="0"/>
    <xf applyBorder="1" applyFill="1" applyFont="1" applyNumberFormat="1" borderId="13" fillId="56" fontId="4" numFmtId="3" xfId="0"/>
    <xf applyAlignment="1" applyBorder="1" applyFont="1" borderId="12" fillId="0" fontId="4" numFmtId="0" xfId="0">
      <alignment horizontal="right"/>
    </xf>
    <xf applyBorder="1" applyNumberFormat="1" borderId="10" fillId="0" fontId="0" numFmtId="3" xfId="0"/>
    <xf applyAlignment="1" applyBorder="1" applyFont="1" borderId="12" fillId="0" fontId="24" numFmtId="0" xfId="0">
      <alignment horizontal="right"/>
    </xf>
    <xf applyBorder="1" applyFont="1" applyNumberFormat="1" borderId="24" fillId="0" fontId="44" numFmtId="3" xfId="0"/>
    <xf applyBorder="1" applyFont="1" applyNumberFormat="1" borderId="24" fillId="0" fontId="3" numFmtId="3" xfId="0"/>
    <xf applyBorder="1" applyFont="1" borderId="12" fillId="0" fontId="3" numFmtId="0" xfId="0"/>
    <xf applyBorder="1" applyFont="1" applyNumberFormat="1" borderId="12" fillId="0" fontId="3" numFmtId="3" xfId="0"/>
    <xf applyFont="1" applyNumberFormat="1" borderId="0" fillId="0" fontId="44" numFmtId="1" xfId="0"/>
    <xf applyFont="1" borderId="0" fillId="0" fontId="25" numFmtId="43" xfId="118"/>
    <xf applyBorder="1" applyFont="1" borderId="12" fillId="0" fontId="25" numFmtId="43" xfId="118"/>
    <xf applyBorder="1" applyFont="1" borderId="10" fillId="0" fontId="25" numFmtId="43" xfId="118"/>
    <xf applyFont="1" applyNumberFormat="1" borderId="0" fillId="0" fontId="25" numFmtId="43" xfId="0"/>
    <xf applyFont="1" borderId="0" fillId="0" fontId="44" numFmtId="43" xfId="118"/>
    <xf applyFill="1" applyFont="1" applyNumberFormat="1" borderId="0" fillId="51" fontId="5" numFmtId="3" xfId="0"/>
    <xf applyFill="1" applyFont="1" applyNumberFormat="1" borderId="0" fillId="57" fontId="5" numFmtId="3" xfId="0"/>
    <xf applyFont="1" borderId="0" fillId="0" fontId="49" numFmtId="0" xfId="0"/>
    <xf applyFont="1" borderId="0" fillId="0" fontId="50" numFmtId="0" xfId="0"/>
    <xf applyBorder="1" applyFont="1" borderId="10" fillId="0" fontId="50" numFmtId="0" xfId="0"/>
    <xf applyAlignment="1" applyBorder="1" applyFont="1" borderId="11" fillId="0" fontId="49" numFmtId="0" xfId="0">
      <alignment horizontal="left"/>
    </xf>
    <xf applyFont="1" applyNumberFormat="1" borderId="0" fillId="0" fontId="50" numFmtId="3" xfId="0"/>
    <xf applyFont="1" applyNumberFormat="1" borderId="0" fillId="0" fontId="50" numFmtId="9" xfId="0"/>
    <xf applyBorder="1" applyFont="1" applyNumberFormat="1" borderId="12" fillId="0" fontId="50" numFmtId="3" xfId="0"/>
    <xf applyBorder="1" applyFont="1" applyNumberFormat="1" borderId="12" fillId="0" fontId="50" numFmtId="9" xfId="0"/>
    <xf applyBorder="1" applyFont="1" borderId="13" fillId="0" fontId="50" numFmtId="0" xfId="0"/>
    <xf applyBorder="1" applyFont="1" applyNumberFormat="1" borderId="10" fillId="0" fontId="50" numFmtId="3" xfId="0"/>
    <xf applyBorder="1" applyFont="1" applyNumberFormat="1" borderId="10" fillId="0" fontId="50" numFmtId="9" xfId="0"/>
    <xf applyFont="1" applyNumberFormat="1" borderId="0" fillId="0" fontId="50" numFmtId="2" xfId="0"/>
    <xf applyBorder="1" applyFont="1" applyNumberFormat="1" borderId="12" fillId="0" fontId="50" numFmtId="2" xfId="0"/>
    <xf applyBorder="1" applyFont="1" applyNumberFormat="1" borderId="10" fillId="0" fontId="50" numFmtId="2" xfId="0"/>
    <xf applyFont="1" borderId="0" fillId="0" fontId="50" numFmtId="43" xfId="118"/>
    <xf applyAlignment="1" applyBorder="1" applyFont="1" borderId="12" fillId="0" fontId="49" numFmtId="0" xfId="0">
      <alignment horizontal="right"/>
    </xf>
    <xf applyBorder="1" applyFont="1" applyNumberFormat="1" borderId="12" fillId="0" fontId="50" numFmtId="9" xfId="51"/>
    <xf applyBorder="1" applyFont="1" applyNumberFormat="1" borderId="13" fillId="0" fontId="50" numFmtId="3" xfId="0"/>
    <xf applyBorder="1" applyFont="1" applyNumberFormat="1" borderId="13" fillId="0" fontId="50" numFmtId="9" xfId="51"/>
    <xf applyBorder="1" applyFont="1" applyNumberFormat="1" borderId="10" fillId="0" fontId="50" numFmtId="9" xfId="51"/>
    <xf applyAlignment="1" applyBorder="1" applyFont="1" borderId="11" fillId="0" fontId="49" numFmtId="0" xfId="0">
      <alignment horizontal="right"/>
    </xf>
    <xf applyAlignment="1" applyFont="1" borderId="0" fillId="0" fontId="49" numFmtId="0" xfId="0">
      <alignment horizontal="right"/>
    </xf>
    <xf applyFont="1" borderId="0" fillId="0" fontId="51" numFmtId="0" xfId="0"/>
    <xf applyBorder="1" applyFont="1" borderId="10" fillId="0" fontId="49" numFmtId="0" xfId="0"/>
    <xf applyAlignment="1" applyBorder="1" applyFill="1" applyFont="1" borderId="11" fillId="56" fontId="49" numFmtId="0" xfId="0">
      <alignment horizontal="left"/>
    </xf>
    <xf applyAlignment="1" applyBorder="1" applyFill="1" applyFont="1" borderId="11" fillId="56" fontId="49" numFmtId="0" xfId="0">
      <alignment horizontal="center"/>
    </xf>
    <xf applyAlignment="1" applyBorder="1" applyFill="1" applyFont="1" borderId="11" fillId="53" fontId="49" numFmtId="0" xfId="0">
      <alignment horizontal="left"/>
    </xf>
    <xf applyAlignment="1" applyBorder="1" applyFill="1" applyFont="1" borderId="11" fillId="53" fontId="49" numFmtId="0" xfId="0">
      <alignment horizontal="center"/>
    </xf>
    <xf applyFill="1" applyFont="1" borderId="0" fillId="56" fontId="49" numFmtId="0" xfId="0"/>
    <xf applyFill="1" applyFont="1" applyNumberFormat="1" borderId="0" fillId="56" fontId="50" numFmtId="3" xfId="0"/>
    <xf applyFill="1" applyFont="1" applyNumberFormat="1" borderId="0" fillId="56" fontId="49" numFmtId="3" xfId="0"/>
    <xf applyFill="1" applyFont="1" borderId="0" fillId="53" fontId="49" numFmtId="0" xfId="0"/>
    <xf applyFill="1" applyFont="1" applyNumberFormat="1" borderId="0" fillId="53" fontId="50" numFmtId="3" xfId="0"/>
    <xf applyBorder="1" applyFill="1" applyFont="1" borderId="13" fillId="56" fontId="49" numFmtId="0" xfId="0"/>
    <xf applyBorder="1" applyFill="1" applyFont="1" applyNumberFormat="1" borderId="13" fillId="56" fontId="49" numFmtId="3" xfId="0"/>
    <xf applyBorder="1" applyFill="1" applyFont="1" borderId="13" fillId="53" fontId="49" numFmtId="0" xfId="0"/>
    <xf applyBorder="1" applyFill="1" applyFont="1" applyNumberFormat="1" borderId="13" fillId="53" fontId="49" numFmtId="3" xfId="0"/>
    <xf applyFill="1" applyFont="1" applyNumberFormat="1" borderId="0" fillId="57" fontId="50" numFmtId="3" xfId="0"/>
    <xf applyFill="1" applyFont="1" applyNumberFormat="1" borderId="0" fillId="51" fontId="50" numFmtId="3" xfId="0"/>
    <xf applyAlignment="1" applyBorder="1" applyFont="1" borderId="11" fillId="0" fontId="49" numFmtId="0" xfId="0">
      <alignment horizontal="center"/>
    </xf>
    <xf applyBorder="1" applyFont="1" applyNumberFormat="1" borderId="24" fillId="0" fontId="50" numFmtId="4" xfId="0"/>
    <xf applyBorder="1" applyFill="1" applyFont="1" applyNumberFormat="1" borderId="24" fillId="55" fontId="50" numFmtId="4" xfId="0"/>
    <xf applyFont="1" applyNumberFormat="1" borderId="0" fillId="0" fontId="50" numFmtId="4" xfId="0"/>
    <xf applyFill="1" applyFont="1" applyNumberFormat="1" borderId="0" fillId="55" fontId="50" numFmtId="4" xfId="0"/>
    <xf applyBorder="1" applyFont="1" borderId="12" fillId="0" fontId="50" numFmtId="0" xfId="0"/>
    <xf applyBorder="1" applyFont="1" applyNumberFormat="1" borderId="10" fillId="0" fontId="50" numFmtId="4" xfId="0"/>
    <xf applyBorder="1" applyFont="1" applyNumberFormat="1" borderId="13" fillId="0" fontId="50" numFmtId="2" xfId="0"/>
    <xf applyAlignment="1" applyBorder="1" applyFont="1" borderId="12" fillId="0" fontId="49" numFmtId="0" xfId="0">
      <alignment horizontal="center"/>
    </xf>
    <xf applyAlignment="1" applyFont="1" borderId="0" fillId="0" fontId="49" numFmtId="0" xfId="0">
      <alignment horizontal="left"/>
    </xf>
    <xf applyAlignment="1" applyFont="1" borderId="0" fillId="0" fontId="49" numFmtId="0" xfId="0">
      <alignment horizontal="center"/>
    </xf>
    <xf applyFont="1" applyNumberFormat="1" borderId="0" fillId="0" fontId="49" numFmtId="3" xfId="0"/>
    <xf applyFont="1" applyNumberFormat="1" borderId="0" fillId="0" fontId="50" numFmtId="9" xfId="51"/>
    <xf applyAlignment="1" applyFill="1" applyFont="1" applyNumberFormat="1" borderId="0" fillId="57" fontId="5" numFmtId="3" quotePrefix="1" xfId="0">
      <alignment horizontal="right"/>
    </xf>
    <xf applyAlignment="1" applyFont="1" borderId="0" fillId="0" fontId="3" numFmtId="0" xfId="0">
      <alignment horizontal="right"/>
    </xf>
    <xf applyFont="1" borderId="0" fillId="0" fontId="0" numFmtId="43" xfId="118"/>
    <xf applyFont="1" borderId="0" fillId="0" fontId="44" numFmtId="0" xfId="0"/>
    <xf applyFont="1" borderId="0" fillId="0" fontId="45" numFmtId="0" xfId="0"/>
    <xf applyFont="1" applyNumberFormat="1" borderId="0" fillId="0" fontId="0" numFmtId="0" xfId="118"/>
    <xf applyAlignment="1" applyFont="1" borderId="0" fillId="0" fontId="45" numFmtId="0" xfId="0">
      <alignment horizontal="right"/>
    </xf>
    <xf applyFont="1" applyNumberFormat="1" borderId="0" fillId="0" fontId="44" numFmtId="2" xfId="0"/>
    <xf applyFont="1" borderId="0" fillId="0" fontId="52" numFmtId="0" xfId="0"/>
    <xf applyNumberFormat="1" borderId="0" fillId="0" fontId="0" numFmtId="43" xfId="0"/>
    <xf applyFill="1" borderId="0" fillId="49" fontId="0" numFmtId="0" xfId="0"/>
    <xf applyFont="1" applyNumberFormat="1" borderId="0" fillId="0" fontId="44" numFmtId="4" xfId="0"/>
    <xf applyBorder="1" applyFont="1" applyNumberFormat="1" borderId="12" fillId="0" fontId="44" numFmtId="4" xfId="0"/>
    <xf applyBorder="1" applyFont="1" applyNumberFormat="1" borderId="10" fillId="0" fontId="44" numFmtId="4" xfId="0"/>
    <xf applyFont="1" borderId="0" fillId="0" fontId="45" numFmtId="0" quotePrefix="1" xfId="0"/>
    <xf applyFont="1" applyNumberFormat="1" borderId="0" fillId="0" fontId="50" numFmtId="43" xfId="0"/>
    <xf applyFill="1" applyFont="1" borderId="0" fillId="58" fontId="44" numFmtId="0" xfId="0"/>
    <xf applyFont="1" applyNumberFormat="1" borderId="0" fillId="0" fontId="25" numFmtId="165" xfId="118"/>
    <xf applyFont="1" applyNumberFormat="1" borderId="0" fillId="0" fontId="0" numFmtId="165" xfId="118"/>
    <xf applyFont="1" applyNumberFormat="1" borderId="0" fillId="0" fontId="5" numFmtId="166" xfId="0"/>
    <xf applyFont="1" applyNumberFormat="1" borderId="0" fillId="0" fontId="5" numFmtId="167" xfId="0"/>
    <xf applyFont="1" applyNumberFormat="1" borderId="0" fillId="0" fontId="5" numFmtId="168" xfId="0"/>
    <xf applyNumberFormat="1" borderId="0" fillId="0" fontId="0" numFmtId="168" xfId="0"/>
    <xf applyNumberFormat="1" borderId="0" fillId="0" fontId="0" numFmtId="165" xfId="0"/>
    <xf applyFont="1" applyNumberFormat="1" borderId="0" fillId="0" fontId="44" numFmtId="166" xfId="0"/>
    <xf applyFill="1" applyFont="1" applyNumberFormat="1" borderId="0" fillId="50" fontId="42" numFmtId="166" xfId="0"/>
    <xf applyFill="1" applyFont="1" applyNumberFormat="1" borderId="0" fillId="51" fontId="44" numFmtId="169" xfId="0"/>
    <xf applyFill="1" applyFont="1" applyNumberFormat="1" borderId="0" fillId="50" fontId="42" numFmtId="169" xfId="0"/>
    <xf applyFill="1" applyFont="1" applyNumberFormat="1" borderId="0" fillId="51" fontId="44" numFmtId="166" xfId="0"/>
    <xf applyFont="1" applyNumberFormat="1" borderId="0" fillId="0" fontId="44" numFmtId="170" xfId="0"/>
    <xf applyFill="1" applyFont="1" applyNumberFormat="1" borderId="0" fillId="50" fontId="42" numFmtId="171" xfId="0"/>
    <xf applyFill="1" applyFont="1" applyNumberFormat="1" borderId="0" fillId="54" fontId="44" numFmtId="171" xfId="0"/>
    <xf applyFont="1" applyNumberFormat="1" borderId="0" fillId="0" fontId="44" numFmtId="169" xfId="0"/>
    <xf applyBorder="1" applyFont="1" applyNumberFormat="1" borderId="10" fillId="0" fontId="44" numFmtId="166" xfId="0"/>
    <xf applyBorder="1" applyFill="1" applyFont="1" applyNumberFormat="1" borderId="10" fillId="51" fontId="44" numFmtId="166" xfId="0"/>
    <xf applyBorder="1" applyFont="1" applyNumberFormat="1" borderId="10" fillId="0" fontId="44" numFmtId="170" xfId="0"/>
    <xf applyBorder="1" applyFill="1" applyFont="1" applyNumberFormat="1" borderId="10" fillId="50" fontId="42" numFmtId="171" xfId="0"/>
    <xf applyBorder="1" applyFill="1" applyFont="1" applyNumberFormat="1" borderId="10" fillId="54" fontId="44" numFmtId="171" xfId="0"/>
    <xf applyFont="1" applyNumberFormat="1" borderId="0" fillId="0" fontId="44" numFmtId="165" xfId="118"/>
    <xf applyFill="1" applyFont="1" applyNumberFormat="1" borderId="0" fillId="50" fontId="42" numFmtId="172" xfId="0"/>
    <xf applyFill="1" applyFont="1" applyNumberFormat="1" borderId="0" fillId="54" fontId="44" numFmtId="172" xfId="0"/>
    <xf applyFill="1" applyFont="1" applyNumberFormat="1" borderId="0" fillId="50" fontId="42" numFmtId="173" xfId="0"/>
    <xf applyFont="1" applyNumberFormat="1" borderId="0" fillId="0" fontId="5" numFmtId="173" xfId="0"/>
    <xf applyAlignment="1" applyFont="1" applyNumberFormat="1" borderId="0" fillId="0" fontId="5" numFmtId="173" xfId="0">
      <alignment horizontal="right"/>
    </xf>
    <xf applyBorder="1" applyFont="1" applyNumberFormat="1" borderId="10" fillId="0" fontId="5" numFmtId="173" xfId="0"/>
    <xf applyFill="1" applyFont="1" applyNumberFormat="1" borderId="0" fillId="50" fontId="47" numFmtId="173" xfId="0"/>
    <xf applyBorder="1" applyFill="1" applyFont="1" applyNumberFormat="1" borderId="10" fillId="50" fontId="47" numFmtId="173" xfId="0"/>
    <xf applyBorder="1" applyFill="1" applyFont="1" applyNumberFormat="1" borderId="10" fillId="54" fontId="44" numFmtId="172" xfId="0"/>
    <xf applyFill="1" applyFont="1" applyNumberFormat="1" borderId="0" fillId="51" fontId="5" numFmtId="172" xfId="0"/>
    <xf applyFont="1" applyNumberFormat="1" borderId="0" fillId="0" fontId="5" numFmtId="172" xfId="0"/>
    <xf applyFill="1" applyFont="1" applyNumberFormat="1" borderId="0" fillId="50" fontId="47" numFmtId="172" xfId="0"/>
    <xf applyBorder="1" applyFill="1" applyFont="1" applyNumberFormat="1" borderId="10" fillId="51" fontId="5" numFmtId="172" xfId="0"/>
    <xf applyBorder="1" applyFont="1" applyNumberFormat="1" borderId="10" fillId="0" fontId="5" numFmtId="172" xfId="0"/>
    <xf applyBorder="1" applyFill="1" applyFont="1" applyNumberFormat="1" borderId="10" fillId="50" fontId="47" numFmtId="172" xfId="0"/>
    <xf applyFont="1" applyNumberFormat="1" borderId="0" fillId="0" fontId="50" numFmtId="165" xfId="118"/>
    <xf applyBorder="1" applyFont="1" applyNumberFormat="1" borderId="12" fillId="0" fontId="50" numFmtId="165" xfId="118"/>
    <xf applyFont="1" applyNumberFormat="1" borderId="0" fillId="0" fontId="50" numFmtId="174" xfId="118"/>
    <xf applyBorder="1" applyFont="1" applyNumberFormat="1" borderId="10" fillId="0" fontId="50" numFmtId="165" xfId="118"/>
    <xf applyBorder="1" applyFont="1" applyNumberFormat="1" borderId="24" fillId="0" fontId="44" numFmtId="4" xfId="0"/>
    <xf applyBorder="1" applyFill="1" applyFont="1" applyNumberFormat="1" borderId="24" fillId="55" fontId="44" numFmtId="4" xfId="0"/>
    <xf applyFill="1" applyFont="1" applyNumberFormat="1" borderId="0" fillId="55" fontId="44" numFmtId="4" xfId="0"/>
    <xf applyAlignment="1" applyBorder="1" applyFont="1" borderId="11" fillId="0" fontId="45" numFmtId="0" xfId="0">
      <alignment horizontal="left"/>
    </xf>
    <xf applyAlignment="1" applyBorder="1" applyFont="1" borderId="11" fillId="0" fontId="45" numFmtId="0" xfId="0">
      <alignment horizontal="center"/>
    </xf>
    <xf applyFont="1" applyNumberFormat="1" borderId="0" fillId="0" fontId="53" numFmtId="0" xfId="118"/>
    <xf applyFill="1" applyFont="1" borderId="0" fillId="58" fontId="0" numFmtId="43" xfId="118"/>
    <xf applyFill="1" applyFont="1" borderId="0" fillId="49" fontId="50" numFmtId="0" xfId="0"/>
    <xf applyFont="1" borderId="0" fillId="0" fontId="4" numFmtId="0" xfId="0"/>
    <xf applyFont="1" borderId="0" fillId="0" fontId="5" numFmtId="0" xfId="0"/>
    <xf applyFont="1" borderId="0" fillId="0" fontId="4" numFmtId="0" xfId="0"/>
    <xf applyFont="1" borderId="0" fillId="0" fontId="5" numFmtId="0" xfId="0"/>
  </cellXfs>
  <cellStyles count="119">
    <cellStyle name="20% - Accent1 2" xfId="27"/>
    <cellStyle name="20% - Accent1 2 2" xfId="104"/>
    <cellStyle name="20% - Accent1 3" xfId="54"/>
    <cellStyle name="20% - Accent2 2" xfId="31"/>
    <cellStyle name="20% - Accent2 2 2" xfId="106"/>
    <cellStyle name="20% - Accent2 3" xfId="55"/>
    <cellStyle name="20% - Accent3 2" xfId="35"/>
    <cellStyle name="20% - Accent3 2 2" xfId="108"/>
    <cellStyle name="20% - Accent3 3" xfId="56"/>
    <cellStyle name="20% - Accent4 2" xfId="39"/>
    <cellStyle name="20% - Accent4 2 2" xfId="110"/>
    <cellStyle name="20% - Accent4 3" xfId="57"/>
    <cellStyle name="20% - Accent5 2" xfId="43"/>
    <cellStyle name="20% - Accent5 2 2" xfId="112"/>
    <cellStyle name="20% - Accent5 3" xfId="58"/>
    <cellStyle name="20% - Accent6 2" xfId="47"/>
    <cellStyle name="20% - Accent6 2 2" xfId="114"/>
    <cellStyle name="20% - Accent6 3" xfId="59"/>
    <cellStyle name="40% - Accent1 2" xfId="28"/>
    <cellStyle name="40% - Accent1 2 2" xfId="105"/>
    <cellStyle name="40% - Accent1 3" xfId="60"/>
    <cellStyle name="40% - Accent2 2" xfId="32"/>
    <cellStyle name="40% - Accent2 2 2" xfId="107"/>
    <cellStyle name="40% - Accent2 3" xfId="61"/>
    <cellStyle name="40% - Accent3 2" xfId="36"/>
    <cellStyle name="40% - Accent3 2 2" xfId="109"/>
    <cellStyle name="40% - Accent3 3" xfId="62"/>
    <cellStyle name="40% - Accent4 2" xfId="40"/>
    <cellStyle name="40% - Accent4 2 2" xfId="111"/>
    <cellStyle name="40% - Accent4 3" xfId="63"/>
    <cellStyle name="40% - Accent5 2" xfId="44"/>
    <cellStyle name="40% - Accent5 2 2" xfId="113"/>
    <cellStyle name="40% - Accent5 3" xfId="64"/>
    <cellStyle name="40% - Accent6 2" xfId="48"/>
    <cellStyle name="40% - Accent6 2 2" xfId="115"/>
    <cellStyle name="40% - Accent6 3" xfId="65"/>
    <cellStyle name="60% - Accent1 2" xfId="29"/>
    <cellStyle name="60% - Accent1 3" xfId="66"/>
    <cellStyle name="60% - Accent2 2" xfId="33"/>
    <cellStyle name="60% - Accent2 3" xfId="67"/>
    <cellStyle name="60% - Accent3 2" xfId="37"/>
    <cellStyle name="60% - Accent3 3" xfId="68"/>
    <cellStyle name="60% - Accent4 2" xfId="41"/>
    <cellStyle name="60% - Accent4 3" xfId="69"/>
    <cellStyle name="60% - Accent5 2" xfId="45"/>
    <cellStyle name="60% - Accent5 3" xfId="70"/>
    <cellStyle name="60% - Accent6 2" xfId="49"/>
    <cellStyle name="60% - Accent6 3" xfId="71"/>
    <cellStyle name="Accent1 2" xfId="26"/>
    <cellStyle name="Accent1 3" xfId="72"/>
    <cellStyle name="Accent2 2" xfId="30"/>
    <cellStyle name="Accent2 3" xfId="73"/>
    <cellStyle name="Accent3 2" xfId="34"/>
    <cellStyle name="Accent3 3" xfId="74"/>
    <cellStyle name="Accent4 2" xfId="38"/>
    <cellStyle name="Accent4 3" xfId="75"/>
    <cellStyle name="Accent5 2" xfId="42"/>
    <cellStyle name="Accent5 3" xfId="76"/>
    <cellStyle name="Accent6 2" xfId="46"/>
    <cellStyle name="Accent6 3" xfId="77"/>
    <cellStyle name="Bad 2" xfId="15"/>
    <cellStyle name="Bad 3" xfId="78"/>
    <cellStyle name="Calculation 2" xfId="19"/>
    <cellStyle name="Calculation 3" xfId="79"/>
    <cellStyle name="Check Cell 2" xfId="21"/>
    <cellStyle name="Check Cell 3" xfId="80"/>
    <cellStyle builtinId="3" name="Comma" xfId="118"/>
    <cellStyle name="Comma 2" xfId="50"/>
    <cellStyle name="Comma 2 2" xfId="116"/>
    <cellStyle name="Explanatory Text 2" xfId="24"/>
    <cellStyle name="Explanatory Text 3" xfId="81"/>
    <cellStyle name="Good 2" xfId="14"/>
    <cellStyle name="Good 3" xfId="82"/>
    <cellStyle name="Heading 1 2" xfId="10"/>
    <cellStyle name="Heading 1 3" xfId="83"/>
    <cellStyle name="Heading 2 2" xfId="11"/>
    <cellStyle name="Heading 2 3" xfId="84"/>
    <cellStyle name="Heading 3 2" xfId="12"/>
    <cellStyle name="Heading 3 3" xfId="85"/>
    <cellStyle name="Heading 4 2" xfId="13"/>
    <cellStyle name="Heading 4 3" xfId="86"/>
    <cellStyle name="Input 2" xfId="17"/>
    <cellStyle name="Input 3" xfId="87"/>
    <cellStyle name="Linked Cell 2" xfId="20"/>
    <cellStyle name="Linked Cell 3" xfId="88"/>
    <cellStyle name="Neutral 2" xfId="16"/>
    <cellStyle name="Neutral 3" xfId="89"/>
    <cellStyle builtinId="0" name="Normal" xfId="0"/>
    <cellStyle name="Normal 2" xfId="8"/>
    <cellStyle name="Normal 2 2" xfId="102"/>
    <cellStyle name="Normal 3" xfId="53"/>
    <cellStyle name="Normal 4" xfId="52"/>
    <cellStyle name="Note 2" xfId="23"/>
    <cellStyle name="Note 2 2" xfId="103"/>
    <cellStyle name="Note 3" xfId="90"/>
    <cellStyle name="Output 2" xfId="18"/>
    <cellStyle name="Output 3" xfId="91"/>
    <cellStyle builtinId="5" name="Percent" xfId="51"/>
    <cellStyle name="Percent 2" xfId="117"/>
    <cellStyle name="Title 2" xfId="9"/>
    <cellStyle name="Title 3" xfId="92"/>
    <cellStyle name="Total 2" xfId="25"/>
    <cellStyle name="Total 3" xfId="93"/>
    <cellStyle name="Warning Text 2" xfId="22"/>
    <cellStyle name="Warning Text 3" xfId="94"/>
    <cellStyle name="XLConnect.Boolean" xfId="6"/>
    <cellStyle name="XLConnect.Boolean 2" xfId="100"/>
    <cellStyle name="XLConnect.Date" xfId="3"/>
    <cellStyle name="XLConnect.Date 2" xfId="97"/>
    <cellStyle name="XLConnect.DateTime" xfId="7"/>
    <cellStyle name="XLConnect.DateTime 2" xfId="101"/>
    <cellStyle name="XLConnect.General" xfId="2"/>
    <cellStyle name="XLConnect.General 2" xfId="96"/>
    <cellStyle name="XLConnect.Header" xfId="1"/>
    <cellStyle name="XLConnect.Header 2" xfId="95"/>
    <cellStyle name="XLConnect.Numeric" xfId="5"/>
    <cellStyle name="XLConnect.Numeric 2" xfId="99"/>
    <cellStyle name="XLConnect.String" xfId="4"/>
    <cellStyle name="XLConnect.String 2" xfId="98"/>
  </cellStyles>
  <dxfs count="4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theme/theme1.xml" Type="http://schemas.openxmlformats.org/officeDocument/2006/relationships/theme"/>
<Relationship Id="rId22" Target="styles.xml" Type="http://schemas.openxmlformats.org/officeDocument/2006/relationships/styles"/>
<Relationship Id="rId23" Target="sharedStrings.xml" Type="http://schemas.openxmlformats.org/officeDocument/2006/relationships/sharedStrings"/>
<Relationship Id="rId24" Target="calcChain.xml" Type="http://schemas.openxmlformats.org/officeDocument/2006/relationships/calcChain"/>
<Relationship Id="rId25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02"/>
  <sheetViews>
    <sheetView workbookViewId="0" zoomScale="85" zoomScaleNormal="85">
      <selection activeCell="E72" sqref="E72"/>
    </sheetView>
  </sheetViews>
  <sheetFormatPr defaultColWidth="10.75" defaultRowHeight="12.75" x14ac:dyDescent="0.2"/>
  <cols>
    <col min="1" max="1" customWidth="true" style="31" width="17.75" collapsed="true"/>
    <col min="2" max="5" customWidth="true" style="31" width="12.625" collapsed="true"/>
    <col min="6" max="6" customWidth="true" style="31" width="4.875" collapsed="true"/>
    <col min="7" max="10" customWidth="true" style="31" width="10.75" collapsed="true"/>
    <col min="11" max="11" bestFit="true" customWidth="true" style="31" width="12.0" collapsed="true"/>
    <col min="12" max="13" customWidth="true" style="31" width="10.75" collapsed="true"/>
    <col min="14" max="14" bestFit="true" customWidth="true" style="31" width="14.625" collapsed="true"/>
    <col min="15" max="15" bestFit="true" customWidth="true" style="31" width="13.625" collapsed="true"/>
    <col min="16" max="22" customWidth="true" style="31" width="10.75" collapsed="true"/>
    <col min="23" max="16384" style="31" width="10.75" collapsed="true"/>
  </cols>
  <sheetData>
    <row customHeight="1" ht="18" r="1" spans="1:9" x14ac:dyDescent="0.2">
      <c r="A1" s="29" t="s">
        <v>0</v>
      </c>
    </row>
    <row customHeight="1" ht="18" r="2" spans="1:9" thickBot="1" x14ac:dyDescent="0.25">
      <c r="B2" s="32"/>
      <c r="C2" s="32"/>
      <c r="E2" s="34"/>
      <c r="F2" s="34"/>
      <c r="G2" s="34"/>
    </row>
    <row customFormat="1" customHeight="1" ht="18" r="3" s="34" spans="1:9" x14ac:dyDescent="0.2">
      <c r="A3" s="33" t="s">
        <v>1</v>
      </c>
      <c r="B3" s="30" t="s">
        <v>2</v>
      </c>
      <c r="C3" s="30" t="s">
        <v>3</v>
      </c>
    </row>
    <row customFormat="1" customHeight="1" ht="18" r="4" s="34" spans="1:9" x14ac:dyDescent="0.2">
      <c r="A4" s="31">
        <v>1</v>
      </c>
      <c r="B4" s="49">
        <f>SUM(ToursByTourPurpose!B118)</f>
        <v>653169.10305177723</v>
      </c>
      <c r="C4" s="49">
        <f>SUM(ToursByTourPurpose!N118)</f>
        <v>653968</v>
      </c>
    </row>
    <row customFormat="1" customHeight="1" ht="18" r="5" s="34" spans="1:9" x14ac:dyDescent="0.2">
      <c r="A5">
        <v>2</v>
      </c>
      <c r="B5" s="49">
        <f>SUM(ToursByTourPurpose!C118)</f>
        <v>103500.99999999993</v>
      </c>
      <c r="C5" s="49">
        <f>ToursByTourPurpose!O118</f>
        <v>103501</v>
      </c>
    </row>
    <row customFormat="1" customHeight="1" ht="18" r="6" s="34" spans="1:9" x14ac:dyDescent="0.2">
      <c r="A6">
        <v>3</v>
      </c>
      <c r="B6" s="49">
        <f>SUM(ToursByTourPurpose!D118)</f>
        <v>72126.842960679831</v>
      </c>
      <c r="C6" s="49">
        <f>ToursByTourPurpose!P118</f>
        <v>71370</v>
      </c>
    </row>
    <row customFormat="1" customHeight="1" ht="18" r="7" s="34" spans="1:9" x14ac:dyDescent="0.2">
      <c r="A7">
        <v>4</v>
      </c>
      <c r="B7" s="49">
        <f>SUM(ToursByTourPurpose!E118)</f>
        <v>339467.00000000047</v>
      </c>
      <c r="C7" s="49">
        <f>ToursByTourPurpose!Q118</f>
        <v>339384</v>
      </c>
    </row>
    <row customFormat="1" customHeight="1" ht="18" r="8" s="34" spans="1:9" x14ac:dyDescent="0.2">
      <c r="A8">
        <v>5</v>
      </c>
      <c r="B8" s="49">
        <f>SUM(ToursByTourPurpose!F118)</f>
        <v>193840.00865513986</v>
      </c>
      <c r="C8" s="49">
        <f>ToursByTourPurpose!R118</f>
        <v>193955</v>
      </c>
    </row>
    <row customFormat="1" customHeight="1" ht="18" r="9" s="34" spans="1:9" x14ac:dyDescent="0.2">
      <c r="A9">
        <v>6</v>
      </c>
      <c r="B9" s="49">
        <f>SUM(ToursByTourPurpose!G118)</f>
        <v>251106.05398754237</v>
      </c>
      <c r="C9" s="49">
        <f>ToursByTourPurpose!S118</f>
        <v>251147</v>
      </c>
    </row>
    <row customFormat="1" customHeight="1" ht="18" r="10" s="34" spans="1:9" x14ac:dyDescent="0.2">
      <c r="A10">
        <v>7</v>
      </c>
      <c r="B10" s="49">
        <f>SUM(ToursByTourPurpose!H118)</f>
        <v>153010.99134486017</v>
      </c>
      <c r="C10" s="49">
        <f>ToursByTourPurpose!T118</f>
        <v>152896</v>
      </c>
    </row>
    <row customFormat="1" customHeight="1" ht="18" r="11" s="34" spans="1:9" x14ac:dyDescent="0.2">
      <c r="A11" s="34">
        <v>8</v>
      </c>
      <c r="B11" s="35">
        <f>SUM(ToursByTourPurpose!I118)</f>
        <v>0</v>
      </c>
      <c r="C11" s="35">
        <f>ToursByTourPurpose!U118</f>
        <v>0</v>
      </c>
    </row>
    <row customFormat="1" customHeight="1" ht="18" r="12" s="34" spans="1:9" x14ac:dyDescent="0.2">
      <c r="A12" s="31">
        <v>9</v>
      </c>
      <c r="B12" s="35">
        <f>SUM(ToursByTourPurpose!J118)</f>
        <v>0</v>
      </c>
      <c r="C12" s="35">
        <f>ToursByTourPurpose!V118</f>
        <v>0</v>
      </c>
    </row>
    <row customFormat="1" customHeight="1" ht="18" r="13" s="34" spans="1:9" x14ac:dyDescent="0.2">
      <c r="A13" s="31">
        <v>10</v>
      </c>
      <c r="B13" s="35">
        <f>SUM(ToursByTourPurpose!K118)</f>
        <v>0</v>
      </c>
      <c r="C13" s="35">
        <f>ToursByTourPurpose!W118</f>
        <v>0</v>
      </c>
    </row>
    <row customFormat="1" customHeight="1" ht="18" r="14" s="34" spans="1:9" thickBot="1" x14ac:dyDescent="0.25">
      <c r="A14" s="50" t="s">
        <v>4</v>
      </c>
      <c r="B14" s="51">
        <f>SUM(B4:B13)</f>
        <v>1766221</v>
      </c>
      <c r="C14" s="51">
        <f>SUM(C4:C13)</f>
        <v>1766221</v>
      </c>
      <c r="I14" s="87"/>
    </row>
    <row customFormat="1" customHeight="1" ht="18" r="15" s="34" spans="1:9" x14ac:dyDescent="0.2">
      <c r="A15" s="31"/>
      <c r="B15" s="49"/>
      <c r="C15" s="49"/>
      <c r="I15" s="87"/>
    </row>
    <row customHeight="1" ht="18" r="16" spans="1:9" x14ac:dyDescent="0.2">
      <c r="A16" s="29" t="s">
        <v>5</v>
      </c>
    </row>
    <row customHeight="1" ht="18" r="17" spans="1:15" thickBot="1" x14ac:dyDescent="0.25">
      <c r="B17" s="32"/>
      <c r="C17" s="32"/>
      <c r="D17" s="32"/>
      <c r="E17" s="32"/>
      <c r="G17" s="32"/>
      <c r="H17" s="32"/>
      <c r="I17" s="32"/>
      <c r="K17" s="32"/>
      <c r="L17" s="32"/>
    </row>
    <row customFormat="1" customHeight="1" ht="18" r="18" s="34" spans="1:15" x14ac:dyDescent="0.2">
      <c r="A18" s="33" t="s">
        <v>6</v>
      </c>
      <c r="B18" s="30" t="s">
        <v>2</v>
      </c>
      <c r="C18" s="30" t="str">
        <f>C3</f>
        <v>Model</v>
      </c>
      <c r="D18" s="30" t="s">
        <v>7</v>
      </c>
      <c r="E18" s="30" t="s">
        <v>8</v>
      </c>
      <c r="G18" s="30" t="str">
        <f>B18</f>
        <v>ExpandSurv</v>
      </c>
      <c r="H18" s="30" t="str">
        <f>C18</f>
        <v>Model</v>
      </c>
      <c r="I18" s="30" t="s">
        <v>9</v>
      </c>
      <c r="J18" s="87"/>
      <c r="K18" s="30" t="s">
        <v>10</v>
      </c>
      <c r="L18" s="30" t="s">
        <v>11</v>
      </c>
    </row>
    <row customFormat="1" customHeight="1" ht="18" r="19" s="34" spans="1:15" x14ac:dyDescent="0.2">
      <c r="A19" s="34" t="s">
        <v>12</v>
      </c>
      <c r="B19" s="35">
        <f>ToursByTourPurpose!B15</f>
        <v>852014.9999999993</v>
      </c>
      <c r="C19" s="35">
        <f>ToursByTourPurpose!N15</f>
        <v>852015</v>
      </c>
      <c r="D19" s="35">
        <f ref="D19:D27" si="0" t="shared">C19-B19</f>
        <v>0</v>
      </c>
      <c r="E19" s="38">
        <f ref="E19:E26" si="1" t="shared">IF(B19&gt;0,D19/B19,0)</f>
        <v>0</v>
      </c>
      <c r="G19" s="38">
        <f ref="G19:G27" si="2" t="shared">B19/B$27</f>
        <v>0.48239433230609274</v>
      </c>
      <c r="H19" s="38">
        <f ref="H19:H27" si="3" t="shared">C19/C$27</f>
        <v>0.48239433230609308</v>
      </c>
      <c r="I19" s="43">
        <f>IF(G19&gt;0,H19/G19,0)</f>
        <v>1.0000000000000007</v>
      </c>
      <c r="J19" s="139"/>
      <c r="K19" s="35">
        <f ref="K19:K27" si="4" t="shared">B$27*H19</f>
        <v>852014.99999999988</v>
      </c>
      <c r="L19" s="139">
        <f>IF(B19&gt;0,K19/B19,0)</f>
        <v>1.0000000000000007</v>
      </c>
      <c r="N19" s="215"/>
      <c r="O19" s="142"/>
    </row>
    <row customFormat="1" customHeight="1" ht="18" r="20" s="34" spans="1:15" x14ac:dyDescent="0.2">
      <c r="A20" s="34" t="s">
        <v>13</v>
      </c>
      <c r="B20" s="35">
        <f>ToursByTourPurpose!C15</f>
        <v>108625</v>
      </c>
      <c r="C20" s="35">
        <f>ToursByTourPurpose!O15</f>
        <v>108625</v>
      </c>
      <c r="D20" s="35">
        <f si="0" t="shared"/>
        <v>0</v>
      </c>
      <c r="E20" s="38">
        <f si="1" t="shared"/>
        <v>0</v>
      </c>
      <c r="G20" s="38">
        <f si="2" t="shared"/>
        <v>6.1501363645885772E-2</v>
      </c>
      <c r="H20" s="38">
        <f si="3" t="shared"/>
        <v>6.1501363645885765E-2</v>
      </c>
      <c r="I20" s="43">
        <f ref="I20:I26" si="5" t="shared">IF(G20&gt;0,H20/G20,0)</f>
        <v>0.99999999999999989</v>
      </c>
      <c r="J20" s="35"/>
      <c r="K20" s="35">
        <f si="4" t="shared"/>
        <v>108624.99999999999</v>
      </c>
      <c r="L20" s="139">
        <f ref="L20:L26" si="6" t="shared">IF(B20&gt;0,K20/B20,0)</f>
        <v>0.99999999999999989</v>
      </c>
      <c r="N20" s="215"/>
      <c r="O20" s="142"/>
    </row>
    <row customFormat="1" customHeight="1" ht="18" r="21" s="34" spans="1:15" x14ac:dyDescent="0.2">
      <c r="A21" s="34" t="s">
        <v>14</v>
      </c>
      <c r="B21" s="35">
        <f>ToursByTourPurpose!D15</f>
        <v>215410.00000000029</v>
      </c>
      <c r="C21" s="35">
        <f>ToursByTourPurpose!P15</f>
        <v>215410</v>
      </c>
      <c r="D21" s="35">
        <f si="0" t="shared"/>
        <v>-2.9103830456733704E-10</v>
      </c>
      <c r="E21" s="38">
        <f si="1" t="shared"/>
        <v>-1.3510900355941537E-15</v>
      </c>
      <c r="G21" s="38">
        <f si="2" t="shared"/>
        <v>0.12196095505602092</v>
      </c>
      <c r="H21" s="38">
        <f si="3" t="shared"/>
        <v>0.12196095505602074</v>
      </c>
      <c r="I21" s="43">
        <f si="5" t="shared"/>
        <v>0.99999999999999856</v>
      </c>
      <c r="J21" s="35"/>
      <c r="K21" s="35">
        <f si="4" t="shared"/>
        <v>215409.99999999997</v>
      </c>
      <c r="L21" s="139">
        <f si="6" t="shared"/>
        <v>0.99999999999999856</v>
      </c>
      <c r="N21" s="215"/>
      <c r="O21" s="142"/>
    </row>
    <row customFormat="1" customHeight="1" ht="18" r="22" s="34" spans="1:15" x14ac:dyDescent="0.2">
      <c r="A22" s="34" t="s">
        <v>15</v>
      </c>
      <c r="B22" s="35">
        <f>ToursByTourPurpose!E15</f>
        <v>202915.0000000002</v>
      </c>
      <c r="C22" s="35">
        <f>ToursByTourPurpose!Q15</f>
        <v>202915</v>
      </c>
      <c r="D22" s="35">
        <f si="0" t="shared"/>
        <v>0</v>
      </c>
      <c r="E22" s="38">
        <f si="1" t="shared"/>
        <v>0</v>
      </c>
      <c r="G22" s="38">
        <f si="2" t="shared"/>
        <v>0.11488652892248491</v>
      </c>
      <c r="H22" s="38">
        <f si="3" t="shared"/>
        <v>0.11488652892248478</v>
      </c>
      <c r="I22" s="43">
        <f si="5" t="shared"/>
        <v>0.99999999999999889</v>
      </c>
      <c r="J22" s="35"/>
      <c r="K22" s="35">
        <f si="4" t="shared"/>
        <v>202914.99999999997</v>
      </c>
      <c r="L22" s="139">
        <f si="6" t="shared"/>
        <v>0.99999999999999889</v>
      </c>
      <c r="N22" s="215"/>
      <c r="O22" s="142"/>
    </row>
    <row customFormat="1" customHeight="1" ht="18" r="23" s="34" spans="1:15" x14ac:dyDescent="0.2">
      <c r="A23" s="34" t="s">
        <v>16</v>
      </c>
      <c r="B23" s="35">
        <f>ToursByTourPurpose!F15</f>
        <v>64632.999999999993</v>
      </c>
      <c r="C23" s="35">
        <f>ToursByTourPurpose!R15</f>
        <v>64633</v>
      </c>
      <c r="D23" s="35">
        <f si="0" t="shared"/>
        <v>0</v>
      </c>
      <c r="E23" s="38">
        <f si="1" t="shared"/>
        <v>0</v>
      </c>
      <c r="G23" s="38">
        <f si="2" t="shared"/>
        <v>3.6593948322435302E-2</v>
      </c>
      <c r="H23" s="38">
        <f si="3" t="shared"/>
        <v>3.6593948322435302E-2</v>
      </c>
      <c r="I23" s="43">
        <f si="5" t="shared"/>
        <v>1</v>
      </c>
      <c r="J23" s="35"/>
      <c r="K23" s="35">
        <f si="4" t="shared"/>
        <v>64632.999999999993</v>
      </c>
      <c r="L23" s="139">
        <f si="6" t="shared"/>
        <v>1</v>
      </c>
      <c r="N23" s="215"/>
      <c r="O23" s="142"/>
    </row>
    <row customFormat="1" customHeight="1" ht="18" r="24" s="34" spans="1:15" x14ac:dyDescent="0.2">
      <c r="A24" s="34" t="s">
        <v>17</v>
      </c>
      <c r="B24" s="35">
        <f>ToursByTourPurpose!G15</f>
        <v>55502.000000000007</v>
      </c>
      <c r="C24" s="35">
        <f>ToursByTourPurpose!S15</f>
        <v>55502</v>
      </c>
      <c r="D24" s="35">
        <f si="0" t="shared"/>
        <v>0</v>
      </c>
      <c r="E24" s="38">
        <f si="1" t="shared"/>
        <v>0</v>
      </c>
      <c r="G24" s="38">
        <f si="2" t="shared"/>
        <v>3.1424153602522001E-2</v>
      </c>
      <c r="H24" s="38">
        <f si="3" t="shared"/>
        <v>3.1424153602521994E-2</v>
      </c>
      <c r="I24" s="43">
        <f si="5" t="shared"/>
        <v>0.99999999999999978</v>
      </c>
      <c r="J24" s="35"/>
      <c r="K24" s="35">
        <f si="4" t="shared"/>
        <v>55501.999999999993</v>
      </c>
      <c r="L24" s="139">
        <f si="6" t="shared"/>
        <v>0.99999999999999978</v>
      </c>
      <c r="N24" s="215"/>
      <c r="O24" s="142"/>
    </row>
    <row customFormat="1" customHeight="1" ht="18" r="25" s="34" spans="1:15" x14ac:dyDescent="0.2">
      <c r="A25" s="34" t="s">
        <v>18</v>
      </c>
      <c r="B25" s="35">
        <f>ToursByTourPurpose!I15</f>
        <v>267121.00000000006</v>
      </c>
      <c r="C25" s="35">
        <f>ToursByTourPurpose!U15</f>
        <v>267121</v>
      </c>
      <c r="D25" s="35">
        <f si="0" t="shared"/>
        <v>0</v>
      </c>
      <c r="E25" s="38">
        <f si="1" t="shared"/>
        <v>0</v>
      </c>
      <c r="G25" s="38">
        <f si="2" t="shared"/>
        <v>0.15123871814455842</v>
      </c>
      <c r="H25" s="38">
        <f si="3" t="shared"/>
        <v>0.15123871814455836</v>
      </c>
      <c r="I25" s="43">
        <f si="5" t="shared"/>
        <v>0.99999999999999967</v>
      </c>
      <c r="J25" s="35"/>
      <c r="K25" s="35">
        <f si="4" t="shared"/>
        <v>267121</v>
      </c>
      <c r="L25" s="139">
        <f si="6" t="shared"/>
        <v>0.99999999999999978</v>
      </c>
      <c r="N25" s="215"/>
      <c r="O25" s="142"/>
    </row>
    <row customFormat="1" customHeight="1" ht="18" r="26" s="34" spans="1:15" x14ac:dyDescent="0.2">
      <c r="A26" s="34" t="s">
        <v>19</v>
      </c>
      <c r="B26" s="39">
        <f>ToursByTourPurpose!J15</f>
        <v>0</v>
      </c>
      <c r="C26" s="39">
        <f>ToursByTourPurpose!V15</f>
        <v>0</v>
      </c>
      <c r="D26" s="39">
        <f si="0" t="shared"/>
        <v>0</v>
      </c>
      <c r="E26" s="40">
        <f si="1" t="shared"/>
        <v>0</v>
      </c>
      <c r="G26" s="40">
        <f si="2" t="shared"/>
        <v>0</v>
      </c>
      <c r="H26" s="40">
        <f si="3" t="shared"/>
        <v>0</v>
      </c>
      <c r="I26" s="43">
        <f si="5" t="shared"/>
        <v>0</v>
      </c>
      <c r="J26" s="35"/>
      <c r="K26" s="39">
        <f si="4" t="shared"/>
        <v>0</v>
      </c>
      <c r="L26" s="140">
        <f si="6" t="shared"/>
        <v>0</v>
      </c>
      <c r="N26" s="215"/>
      <c r="O26" s="142"/>
    </row>
    <row customFormat="1" customHeight="1" ht="18" r="27" s="34" spans="1:15" thickBot="1" x14ac:dyDescent="0.25">
      <c r="A27" s="36" t="s">
        <v>4</v>
      </c>
      <c r="B27" s="41">
        <f>SUM(B19:B26)</f>
        <v>1766220.9999999998</v>
      </c>
      <c r="C27" s="41">
        <f>SUM(C19:C26)</f>
        <v>1766221</v>
      </c>
      <c r="D27" s="41">
        <f si="0" t="shared"/>
        <v>0</v>
      </c>
      <c r="E27" s="42">
        <f ref="E27" si="7" t="shared">D27/B27</f>
        <v>0</v>
      </c>
      <c r="G27" s="42">
        <f si="2" t="shared"/>
        <v>1</v>
      </c>
      <c r="H27" s="42">
        <f si="3" t="shared"/>
        <v>1</v>
      </c>
      <c r="I27" s="114">
        <f ref="I27" si="8" t="shared">H27/G27</f>
        <v>1</v>
      </c>
      <c r="J27" s="35"/>
      <c r="K27" s="41">
        <f si="4" t="shared"/>
        <v>1766220.9999999998</v>
      </c>
      <c r="L27" s="141">
        <f ref="L27" si="9" t="shared">K27/B27</f>
        <v>1</v>
      </c>
      <c r="N27" s="215"/>
      <c r="O27" s="142"/>
    </row>
    <row customFormat="1" customHeight="1" ht="18" r="28" s="34" spans="1:15" x14ac:dyDescent="0.2"/>
    <row customFormat="1" customHeight="1" ht="18" r="29" s="34" spans="1:15" x14ac:dyDescent="0.2"/>
    <row customFormat="1" customHeight="1" ht="18" r="30" s="34" spans="1:15" x14ac:dyDescent="0.2"/>
    <row customHeight="1" ht="18" r="31" spans="1:15" x14ac:dyDescent="0.2">
      <c r="A31" s="29" t="s">
        <v>20</v>
      </c>
      <c r="G31" s="29" t="s">
        <v>21</v>
      </c>
    </row>
    <row customHeight="1" ht="18" r="32" spans="1:15" thickBot="1" x14ac:dyDescent="0.25">
      <c r="B32" s="32"/>
      <c r="C32" s="32"/>
      <c r="D32" s="32"/>
      <c r="E32" s="32"/>
      <c r="G32" s="32"/>
      <c r="H32" s="32"/>
      <c r="I32" s="32"/>
      <c r="J32" s="32"/>
      <c r="L32" s="32"/>
      <c r="M32" s="32"/>
    </row>
    <row customFormat="1" customHeight="1" ht="18" r="33" s="34" spans="1:13" x14ac:dyDescent="0.2">
      <c r="A33" s="33" t="s">
        <v>22</v>
      </c>
      <c r="B33" s="30" t="s">
        <v>2</v>
      </c>
      <c r="C33" s="30" t="str">
        <f>C18</f>
        <v>Model</v>
      </c>
      <c r="D33" s="30" t="s">
        <v>7</v>
      </c>
      <c r="E33" s="30" t="s">
        <v>8</v>
      </c>
      <c r="G33" s="30" t="s">
        <v>2</v>
      </c>
      <c r="H33" s="30" t="str">
        <f>C33</f>
        <v>Model</v>
      </c>
      <c r="I33" s="30" t="s">
        <v>7</v>
      </c>
      <c r="J33" s="30" t="s">
        <v>8</v>
      </c>
      <c r="L33" s="30" t="str">
        <f>B33</f>
        <v>ExpandSurv</v>
      </c>
      <c r="M33" s="30" t="str">
        <f>C33</f>
        <v>Model</v>
      </c>
    </row>
    <row customFormat="1" customHeight="1" ht="18" r="34" s="34" spans="1:13" x14ac:dyDescent="0.2">
      <c r="A34" s="34" t="s">
        <v>23</v>
      </c>
      <c r="B34" s="35">
        <f>ToursByTourPurpose!F74</f>
        <v>805725.52125659736</v>
      </c>
      <c r="C34" s="35">
        <f>ToursByTourPurpose!W5</f>
        <v>674467</v>
      </c>
      <c r="D34" s="35">
        <f ref="D34:D42" si="10" t="shared">C34-B34</f>
        <v>-131258.52125659736</v>
      </c>
      <c r="E34" s="38">
        <f ref="E34:E41" si="11" t="shared">IF(B34&gt;0,D34/B34,0)</f>
        <v>-0.16290724048543051</v>
      </c>
      <c r="G34" s="43">
        <f ref="G34:G42" si="12" t="shared">B34/B$27</f>
        <v>0.45618612917443369</v>
      </c>
      <c r="H34" s="43">
        <f ref="H34:H42" si="13" t="shared">C34/C$27</f>
        <v>0.38187010572289654</v>
      </c>
      <c r="I34" s="43">
        <f ref="I34:I42" si="14" t="shared">H34-G34</f>
        <v>-7.431602345153715E-2</v>
      </c>
      <c r="J34" s="38">
        <f ref="J34:J42" si="15" t="shared">I34/G34</f>
        <v>-0.16290724048543054</v>
      </c>
      <c r="L34" s="38">
        <f ref="L34:L42" si="16" t="shared">B34/B$42</f>
        <v>0.36458520563215391</v>
      </c>
      <c r="M34" s="38">
        <f ref="M34:M42" si="17" t="shared">C34/C$42</f>
        <v>0.34738137852001599</v>
      </c>
    </row>
    <row customFormat="1" customHeight="1" ht="18" r="35" s="34" spans="1:13" x14ac:dyDescent="0.2">
      <c r="A35" s="34" t="s">
        <v>24</v>
      </c>
      <c r="B35" s="35">
        <f>ToursByTourPurpose!F75</f>
        <v>270555.96643280663</v>
      </c>
      <c r="C35" s="35">
        <f>ToursByTourPurpose!W6</f>
        <v>231781</v>
      </c>
      <c r="D35" s="35">
        <f si="10" t="shared"/>
        <v>-38774.966432806628</v>
      </c>
      <c r="E35" s="38">
        <f si="11" t="shared"/>
        <v>-0.14331588005262677</v>
      </c>
      <c r="G35" s="43">
        <f si="12" t="shared"/>
        <v>0.15318352937305504</v>
      </c>
      <c r="H35" s="43">
        <f si="13" t="shared"/>
        <v>0.13122989705138824</v>
      </c>
      <c r="I35" s="43">
        <f si="14" t="shared"/>
        <v>-2.1953632321666805E-2</v>
      </c>
      <c r="J35" s="38">
        <f si="15" t="shared"/>
        <v>-0.14331588005262688</v>
      </c>
      <c r="L35" s="38">
        <f si="16" t="shared"/>
        <v>0.12242469681619664</v>
      </c>
      <c r="M35" s="38">
        <f si="17" t="shared"/>
        <v>0.11937782470417058</v>
      </c>
    </row>
    <row customFormat="1" customHeight="1" ht="18" r="36" s="34" spans="1:13" x14ac:dyDescent="0.2">
      <c r="A36" s="34" t="s">
        <v>25</v>
      </c>
      <c r="B36" s="35">
        <f>ToursByTourPurpose!F76</f>
        <v>213420.58977008317</v>
      </c>
      <c r="C36" s="35">
        <f>ToursByTourPurpose!W7</f>
        <v>193716</v>
      </c>
      <c r="D36" s="35">
        <f si="10" t="shared"/>
        <v>-19704.58977008317</v>
      </c>
      <c r="E36" s="38">
        <f si="11" t="shared"/>
        <v>-9.2327501256138492E-2</v>
      </c>
      <c r="G36" s="43">
        <f si="12" t="shared"/>
        <v>0.12083458965219143</v>
      </c>
      <c r="H36" s="43">
        <f si="13" t="shared"/>
        <v>0.10967823392429374</v>
      </c>
      <c r="I36" s="43">
        <f si="14" t="shared"/>
        <v>-1.1156355727897693E-2</v>
      </c>
      <c r="J36" s="38">
        <f si="15" t="shared"/>
        <v>-9.2327501256138575E-2</v>
      </c>
      <c r="L36" s="38">
        <f si="16" t="shared"/>
        <v>9.6571335466834968E-2</v>
      </c>
      <c r="M36" s="38">
        <f si="17" t="shared"/>
        <v>9.9772607290472937E-2</v>
      </c>
    </row>
    <row customFormat="1" customHeight="1" ht="18" r="37" s="34" spans="1:13" x14ac:dyDescent="0.2">
      <c r="A37" s="34" t="s">
        <v>26</v>
      </c>
      <c r="B37" s="35">
        <f>ToursByTourPurpose!F77</f>
        <v>263379.0851661429</v>
      </c>
      <c r="C37" s="35">
        <f>ToursByTourPurpose!W8</f>
        <v>250044</v>
      </c>
      <c r="D37" s="35">
        <f si="10" t="shared"/>
        <v>-13335.085166142904</v>
      </c>
      <c r="E37" s="38">
        <f si="11" t="shared"/>
        <v>-5.063076727497539E-2</v>
      </c>
      <c r="G37" s="43">
        <f si="12" t="shared"/>
        <v>0.14912011869757122</v>
      </c>
      <c r="H37" s="43">
        <f si="13" t="shared"/>
        <v>0.14157005267177777</v>
      </c>
      <c r="I37" s="43">
        <f si="14" t="shared"/>
        <v>-7.5500660257934449E-3</v>
      </c>
      <c r="J37" s="38">
        <f si="15" t="shared"/>
        <v>-5.0630767274975459E-2</v>
      </c>
      <c r="L37" s="38">
        <f si="16" t="shared"/>
        <v>0.11917720785950657</v>
      </c>
      <c r="M37" s="38">
        <f si="17" t="shared"/>
        <v>0.12878410568739296</v>
      </c>
    </row>
    <row customFormat="1" customHeight="1" ht="18" r="38" s="34" spans="1:13" x14ac:dyDescent="0.2">
      <c r="A38" s="34" t="s">
        <v>27</v>
      </c>
      <c r="B38" s="35">
        <f>ToursByTourPurpose!F78</f>
        <v>175887.46479563916</v>
      </c>
      <c r="C38" s="35">
        <f>ToursByTourPurpose!W9</f>
        <v>164317</v>
      </c>
      <c r="D38" s="35">
        <f si="10" t="shared"/>
        <v>-11570.464795639156</v>
      </c>
      <c r="E38" s="38">
        <f si="11" t="shared"/>
        <v>-6.5783339415817349E-2</v>
      </c>
      <c r="G38" s="43">
        <f si="12" t="shared"/>
        <v>9.9584063826462926E-2</v>
      </c>
      <c r="H38" s="43">
        <f si="13" t="shared"/>
        <v>9.3033091555360284E-2</v>
      </c>
      <c r="I38" s="43">
        <f si="14" t="shared"/>
        <v>-6.5509722711026425E-3</v>
      </c>
      <c r="J38" s="38">
        <f si="15" t="shared"/>
        <v>-6.5783339415817488E-2</v>
      </c>
      <c r="L38" s="38">
        <f si="16" t="shared"/>
        <v>7.9587856942431756E-2</v>
      </c>
      <c r="M38" s="38">
        <f si="17" t="shared"/>
        <v>8.4630776560266796E-2</v>
      </c>
    </row>
    <row customFormat="1" customHeight="1" ht="18" r="39" s="34" spans="1:13" x14ac:dyDescent="0.2">
      <c r="A39" s="34" t="s">
        <v>28</v>
      </c>
      <c r="B39" s="35">
        <f>ToursByTourPurpose!F79</f>
        <v>106746.72900381587</v>
      </c>
      <c r="C39" s="35">
        <f>ToursByTourPurpose!W10</f>
        <v>98329</v>
      </c>
      <c r="D39" s="35">
        <f si="10" t="shared"/>
        <v>-8417.7290038158681</v>
      </c>
      <c r="E39" s="38">
        <f si="11" t="shared"/>
        <v>-7.8857020560461011E-2</v>
      </c>
      <c r="G39" s="43">
        <f si="12" t="shared"/>
        <v>6.0437923115972396E-2</v>
      </c>
      <c r="H39" s="43">
        <f si="13" t="shared"/>
        <v>5.5671968570184589E-2</v>
      </c>
      <c r="I39" s="43">
        <f si="14" t="shared"/>
        <v>-4.7659545457878066E-3</v>
      </c>
      <c r="J39" s="38">
        <f si="15" t="shared"/>
        <v>-7.8857020560461163E-2</v>
      </c>
      <c r="L39" s="38">
        <f si="16" t="shared"/>
        <v>4.8302153919264783E-2</v>
      </c>
      <c r="M39" s="38">
        <f si="17" t="shared"/>
        <v>5.0643935979810206E-2</v>
      </c>
    </row>
    <row customFormat="1" customHeight="1" ht="18" r="40" s="34" spans="1:13" x14ac:dyDescent="0.2">
      <c r="A40" s="34" t="s">
        <v>29</v>
      </c>
      <c r="B40" s="35">
        <f>ToursByTourPurpose!F80</f>
        <v>249239.80479938642</v>
      </c>
      <c r="C40" s="35">
        <f>ToursByTourPurpose!W11</f>
        <v>224720</v>
      </c>
      <c r="D40" s="35">
        <f si="10" t="shared"/>
        <v>-24519.804799386417</v>
      </c>
      <c r="E40" s="38">
        <f si="11" t="shared"/>
        <v>-9.8378366245000279E-2</v>
      </c>
      <c r="G40" s="43">
        <f si="12" t="shared"/>
        <v>0.14111473298040644</v>
      </c>
      <c r="H40" s="43">
        <f si="13" t="shared"/>
        <v>0.12723209609669459</v>
      </c>
      <c r="I40" s="43">
        <f si="14" t="shared"/>
        <v>-1.3882636883711857E-2</v>
      </c>
      <c r="J40" s="38">
        <f si="15" t="shared"/>
        <v>-9.8378366245000362E-2</v>
      </c>
      <c r="L40" s="38">
        <f si="16" t="shared"/>
        <v>0.11277928163772701</v>
      </c>
      <c r="M40" s="38">
        <f si="17" t="shared"/>
        <v>0.11574108648906171</v>
      </c>
    </row>
    <row customFormat="1" customHeight="1" ht="18" r="41" s="34" spans="1:13" x14ac:dyDescent="0.2">
      <c r="A41" s="34" t="s">
        <v>30</v>
      </c>
      <c r="B41" s="39">
        <f>ToursByTourPurpose!F81</f>
        <v>125023.49070560568</v>
      </c>
      <c r="C41" s="39">
        <f>ToursByTourPurpose!W12</f>
        <v>104201</v>
      </c>
      <c r="D41" s="39">
        <f si="10" t="shared"/>
        <v>-20822.490705605684</v>
      </c>
      <c r="E41" s="40">
        <f si="11" t="shared"/>
        <v>-0.16654862688673966</v>
      </c>
      <c r="G41" s="43">
        <f si="12" t="shared"/>
        <v>7.0785870344427848E-2</v>
      </c>
      <c r="H41" s="43">
        <f si="13" t="shared"/>
        <v>5.8996580835580598E-2</v>
      </c>
      <c r="I41" s="44">
        <f si="14" t="shared"/>
        <v>-1.178928950884725E-2</v>
      </c>
      <c r="J41" s="40">
        <f si="15" t="shared"/>
        <v>-0.16654862688673977</v>
      </c>
      <c r="L41" s="40">
        <f si="16" t="shared"/>
        <v>5.6572261725884483E-2</v>
      </c>
      <c r="M41" s="40">
        <f si="17" t="shared"/>
        <v>5.3668284768808826E-2</v>
      </c>
    </row>
    <row customFormat="1" customHeight="1" ht="18" r="42" s="34" spans="1:13" thickBot="1" x14ac:dyDescent="0.25">
      <c r="A42" s="36" t="s">
        <v>4</v>
      </c>
      <c r="B42" s="41">
        <f>ToursByTourPurpose!F82</f>
        <v>2209978.651930077</v>
      </c>
      <c r="C42" s="41">
        <f>ToursByTourPurpose!W13</f>
        <v>1941575</v>
      </c>
      <c r="D42" s="41">
        <f si="10" t="shared"/>
        <v>-268403.651930077</v>
      </c>
      <c r="E42" s="42">
        <f ref="E42" si="18" t="shared">D42/B42</f>
        <v>-0.12145078944344898</v>
      </c>
      <c r="G42" s="114">
        <f si="12" t="shared"/>
        <v>1.2512469571645208</v>
      </c>
      <c r="H42" s="114">
        <f si="13" t="shared"/>
        <v>1.0992820264281764</v>
      </c>
      <c r="I42" s="45">
        <f si="14" t="shared"/>
        <v>-0.15196493073634443</v>
      </c>
      <c r="J42" s="42">
        <f si="15" t="shared"/>
        <v>-0.12145078944344896</v>
      </c>
      <c r="L42" s="42">
        <f si="16" t="shared"/>
        <v>1</v>
      </c>
      <c r="M42" s="42">
        <f si="17" t="shared"/>
        <v>1</v>
      </c>
    </row>
    <row customFormat="1" customHeight="1" ht="18" r="43" s="34" spans="1:13" x14ac:dyDescent="0.2">
      <c r="B43" s="35"/>
      <c r="C43" s="35"/>
      <c r="D43" s="35"/>
    </row>
    <row customFormat="1" customHeight="1" ht="18" r="44" s="34" spans="1:13" x14ac:dyDescent="0.2">
      <c r="B44" s="35"/>
      <c r="C44" s="35"/>
      <c r="D44" s="35"/>
    </row>
    <row customFormat="1" customHeight="1" ht="18" r="45" s="34" spans="1:13" x14ac:dyDescent="0.2">
      <c r="B45" s="35"/>
      <c r="C45" s="35"/>
      <c r="D45" s="35"/>
    </row>
    <row customHeight="1" ht="18" r="46" spans="1:13" x14ac:dyDescent="0.2">
      <c r="A46" s="29" t="s">
        <v>31</v>
      </c>
      <c r="G46" s="29" t="s">
        <v>32</v>
      </c>
    </row>
    <row customHeight="1" ht="18" r="47" spans="1:13" thickBot="1" x14ac:dyDescent="0.25">
      <c r="B47" s="32"/>
      <c r="C47" s="32"/>
      <c r="D47" s="32"/>
      <c r="E47" s="32"/>
      <c r="G47" s="32"/>
      <c r="H47" s="32"/>
      <c r="I47" s="32"/>
      <c r="J47" s="32"/>
      <c r="L47" s="32"/>
      <c r="M47" s="32"/>
    </row>
    <row customFormat="1" customHeight="1" ht="18" r="48" s="34" spans="1:13" x14ac:dyDescent="0.2">
      <c r="A48" s="33" t="s">
        <v>6</v>
      </c>
      <c r="B48" s="30" t="s">
        <v>2</v>
      </c>
      <c r="C48" s="30" t="s">
        <v>33</v>
      </c>
      <c r="D48" s="30" t="s">
        <v>7</v>
      </c>
      <c r="E48" s="30" t="s">
        <v>8</v>
      </c>
      <c r="G48" s="30" t="s">
        <v>2</v>
      </c>
      <c r="H48" s="30" t="s">
        <v>33</v>
      </c>
      <c r="I48" s="30" t="s">
        <v>7</v>
      </c>
      <c r="J48" s="30" t="s">
        <v>8</v>
      </c>
      <c r="L48" s="30" t="str">
        <f>B48</f>
        <v>ExpandSurv</v>
      </c>
      <c r="M48" s="30" t="str">
        <f>C48</f>
        <v>SynthPop</v>
      </c>
    </row>
    <row customFormat="1" customHeight="1" ht="18" r="49" s="34" spans="1:16" x14ac:dyDescent="0.2">
      <c r="A49" s="34" t="s">
        <v>12</v>
      </c>
      <c r="B49" s="35">
        <f>ToursByTourPurpose!B13</f>
        <v>1186960.6327676964</v>
      </c>
      <c r="C49" s="35">
        <f>ToursByTourPurpose!N13</f>
        <v>1031872</v>
      </c>
      <c r="D49" s="35">
        <f ref="D49:D57" si="19" t="shared">C49-B49</f>
        <v>-155088.6327676964</v>
      </c>
      <c r="E49" s="38">
        <f ref="E49:E56" si="20" t="shared">IF(B49&gt;0,D49/B49,0)</f>
        <v>-0.13066030033874701</v>
      </c>
      <c r="G49" s="43">
        <f>IF(B49&gt;0,B49/B19,0)</f>
        <v>1.3931217557997186</v>
      </c>
      <c r="H49" s="43">
        <f>IF(C49&gt;0,C49/C19,0)</f>
        <v>1.2110960487784839</v>
      </c>
      <c r="I49" s="43">
        <f ref="I49:I56" si="21" t="shared">H49-G49</f>
        <v>-0.18202570702123477</v>
      </c>
      <c r="J49" s="38">
        <f>IF(G49&gt;0,I49/G49,0)</f>
        <v>-0.1306603003387477</v>
      </c>
      <c r="L49" s="38">
        <f ref="L49:L57" si="22" t="shared">B49/B$57</f>
        <v>0.5370914473454611</v>
      </c>
      <c r="M49" s="38">
        <f ref="M49:M57" si="23" t="shared">C49/C$57</f>
        <v>0.53146131362424831</v>
      </c>
    </row>
    <row customFormat="1" customHeight="1" ht="18" r="50" s="34" spans="1:16" x14ac:dyDescent="0.2">
      <c r="A50" s="34" t="s">
        <v>13</v>
      </c>
      <c r="B50" s="35">
        <f>ToursByTourPurpose!C13</f>
        <v>156931.4284527665</v>
      </c>
      <c r="C50" s="35">
        <f>ToursByTourPurpose!O13</f>
        <v>138388</v>
      </c>
      <c r="D50" s="35">
        <f si="19" t="shared"/>
        <v>-18543.4284527665</v>
      </c>
      <c r="E50" s="38">
        <f si="20" t="shared"/>
        <v>-0.11816261812940634</v>
      </c>
      <c r="G50" s="43">
        <f ref="G50:H55" si="24" t="shared">IF(B50&gt;0,B50/B20,0)</f>
        <v>1.4447082020968147</v>
      </c>
      <c r="H50" s="43">
        <f si="24" t="shared"/>
        <v>1.2739976985040276</v>
      </c>
      <c r="I50" s="43">
        <f si="21" t="shared"/>
        <v>-0.17071050359278717</v>
      </c>
      <c r="J50" s="38">
        <f ref="J50:J56" si="25" t="shared">IF(G50&gt;0,I50/G50,0)</f>
        <v>-0.11816261812940637</v>
      </c>
      <c r="L50" s="38">
        <f si="22" t="shared"/>
        <v>7.1010382075732251E-2</v>
      </c>
      <c r="M50" s="38">
        <f si="23" t="shared"/>
        <v>7.1276154668246147E-2</v>
      </c>
    </row>
    <row customFormat="1" customHeight="1" ht="18" r="51" s="34" spans="1:16" x14ac:dyDescent="0.2">
      <c r="A51" s="34" t="s">
        <v>14</v>
      </c>
      <c r="B51" s="35">
        <f>ToursByTourPurpose!D13</f>
        <v>205379.46754476099</v>
      </c>
      <c r="C51" s="35">
        <f>ToursByTourPurpose!P13</f>
        <v>186741</v>
      </c>
      <c r="D51" s="35">
        <f si="19" t="shared"/>
        <v>-18638.467544760992</v>
      </c>
      <c r="E51" s="38">
        <f si="20" t="shared"/>
        <v>-9.0751367542127218E-2</v>
      </c>
      <c r="G51" s="43">
        <f si="24" t="shared"/>
        <v>0.95343515874268003</v>
      </c>
      <c r="H51" s="43">
        <f si="24" t="shared"/>
        <v>0.86690961422403789</v>
      </c>
      <c r="I51" s="43">
        <f si="21" t="shared"/>
        <v>-8.6525544518642139E-2</v>
      </c>
      <c r="J51" s="38">
        <f si="25" t="shared"/>
        <v>-9.0751367542125927E-2</v>
      </c>
      <c r="L51" s="38">
        <f si="22" t="shared"/>
        <v>9.293278347525824E-2</v>
      </c>
      <c r="M51" s="38">
        <f si="23" t="shared"/>
        <v>9.6180163011987688E-2</v>
      </c>
    </row>
    <row customFormat="1" customHeight="1" ht="18" r="52" s="34" spans="1:16" x14ac:dyDescent="0.2">
      <c r="A52" s="34" t="s">
        <v>15</v>
      </c>
      <c r="B52" s="35">
        <f>ToursByTourPurpose!E13</f>
        <v>231791.08085735227</v>
      </c>
      <c r="C52" s="35">
        <f>ToursByTourPurpose!Q13</f>
        <v>205242</v>
      </c>
      <c r="D52" s="35">
        <f si="19" t="shared"/>
        <v>-26549.080857352266</v>
      </c>
      <c r="E52" s="38">
        <f si="20" t="shared"/>
        <v>-0.1145388371250185</v>
      </c>
      <c r="G52" s="43">
        <f si="24" t="shared"/>
        <v>1.1423062901084298</v>
      </c>
      <c r="H52" s="43">
        <f si="24" t="shared"/>
        <v>1.0114678559988173</v>
      </c>
      <c r="I52" s="43">
        <f si="21" t="shared"/>
        <v>-0.13083843410961249</v>
      </c>
      <c r="J52" s="38">
        <f si="25" t="shared"/>
        <v>-0.11453883712501756</v>
      </c>
      <c r="L52" s="38">
        <f si="22" t="shared"/>
        <v>0.1048838551697856</v>
      </c>
      <c r="M52" s="38">
        <f si="23" t="shared"/>
        <v>0.10570902488958706</v>
      </c>
    </row>
    <row customFormat="1" customHeight="1" ht="18" r="53" s="34" spans="1:16" x14ac:dyDescent="0.2">
      <c r="A53" s="34" t="s">
        <v>16</v>
      </c>
      <c r="B53" s="35">
        <f>ToursByTourPurpose!F13</f>
        <v>57170.733888223353</v>
      </c>
      <c r="C53" s="35">
        <f>ToursByTourPurpose!R13</f>
        <v>54701</v>
      </c>
      <c r="D53" s="35">
        <f si="19" t="shared"/>
        <v>-2469.7338882233526</v>
      </c>
      <c r="E53" s="38">
        <f si="20" t="shared"/>
        <v>-4.3199268581229376E-2</v>
      </c>
      <c r="G53" s="43">
        <f si="24" t="shared"/>
        <v>0.88454402376840557</v>
      </c>
      <c r="H53" s="43">
        <f si="24" t="shared"/>
        <v>0.84633236891371277</v>
      </c>
      <c r="I53" s="43">
        <f si="21" t="shared"/>
        <v>-3.82116548546928E-2</v>
      </c>
      <c r="J53" s="38">
        <f si="25" t="shared"/>
        <v>-4.3199268581229494E-2</v>
      </c>
      <c r="L53" s="38">
        <f si="22" t="shared"/>
        <v>2.5869360248477281E-2</v>
      </c>
      <c r="M53" s="38">
        <f si="23" t="shared"/>
        <v>2.8173518921494146E-2</v>
      </c>
    </row>
    <row customFormat="1" customHeight="1" ht="18" r="54" s="34" spans="1:16" x14ac:dyDescent="0.2">
      <c r="A54" s="34" t="s">
        <v>17</v>
      </c>
      <c r="B54" s="35">
        <f>ToursByTourPurpose!G13</f>
        <v>65767.227655675393</v>
      </c>
      <c r="C54" s="35">
        <f>ToursByTourPurpose!S13</f>
        <v>60926</v>
      </c>
      <c r="D54" s="35">
        <f si="19" t="shared"/>
        <v>-4841.2276556753932</v>
      </c>
      <c r="E54" s="38">
        <f si="20" t="shared"/>
        <v>-7.3611551349277812E-2</v>
      </c>
      <c r="G54" s="43">
        <f si="24" t="shared"/>
        <v>1.1849523919079561</v>
      </c>
      <c r="H54" s="43">
        <f si="24" t="shared"/>
        <v>1.0977262080645742</v>
      </c>
      <c r="I54" s="43">
        <f si="21" t="shared"/>
        <v>-8.7226183843381877E-2</v>
      </c>
      <c r="J54" s="38">
        <f si="25" t="shared"/>
        <v>-7.3611551349277646E-2</v>
      </c>
      <c r="L54" s="38">
        <f si="22" t="shared"/>
        <v>2.9759214007899038E-2</v>
      </c>
      <c r="M54" s="38">
        <f si="23" t="shared"/>
        <v>3.1379678868959482E-2</v>
      </c>
    </row>
    <row customFormat="1" customHeight="1" ht="18" r="55" s="34" spans="1:16" x14ac:dyDescent="0.2">
      <c r="A55" s="34" t="s">
        <v>18</v>
      </c>
      <c r="B55" s="35">
        <f>ToursByTourPurpose!I13</f>
        <v>305978.08076360234</v>
      </c>
      <c r="C55" s="35">
        <f>ToursByTourPurpose!U13</f>
        <v>263705</v>
      </c>
      <c r="D55" s="35">
        <f si="19" t="shared"/>
        <v>-42273.080763602338</v>
      </c>
      <c r="E55" s="38">
        <f si="20" t="shared"/>
        <v>-0.13815721916454002</v>
      </c>
      <c r="G55" s="43">
        <f si="24" t="shared"/>
        <v>1.145466214800043</v>
      </c>
      <c r="H55" s="43">
        <f si="24" t="shared"/>
        <v>0.98721178791633757</v>
      </c>
      <c r="I55" s="43">
        <f si="21" t="shared"/>
        <v>-0.15825442688370539</v>
      </c>
      <c r="J55" s="38">
        <f si="25" t="shared"/>
        <v>-0.13815721916453982</v>
      </c>
      <c r="L55" s="38">
        <f si="22" t="shared"/>
        <v>0.13845295767738633</v>
      </c>
      <c r="M55" s="38">
        <f si="23" t="shared"/>
        <v>0.13582014601547712</v>
      </c>
    </row>
    <row customFormat="1" customHeight="1" ht="18" r="56" s="34" spans="1:16" x14ac:dyDescent="0.2">
      <c r="A56" s="34" t="s">
        <v>19</v>
      </c>
      <c r="B56" s="39">
        <f>ToursByTourPurpose!J13</f>
        <v>0</v>
      </c>
      <c r="C56" s="39">
        <f>ToursByTourPurpose!V13</f>
        <v>0</v>
      </c>
      <c r="D56" s="39">
        <f si="19" t="shared"/>
        <v>0</v>
      </c>
      <c r="E56" s="40">
        <f si="20" t="shared"/>
        <v>0</v>
      </c>
      <c r="G56" s="44">
        <f>IF(B56&gt;0,B56/B26,0)</f>
        <v>0</v>
      </c>
      <c r="H56" s="44">
        <f>IF(C56&gt;0,C56/C26,0)</f>
        <v>0</v>
      </c>
      <c r="I56" s="44">
        <f si="21" t="shared"/>
        <v>0</v>
      </c>
      <c r="J56" s="40">
        <f si="25" t="shared"/>
        <v>0</v>
      </c>
      <c r="L56" s="40">
        <f si="22" t="shared"/>
        <v>0</v>
      </c>
      <c r="M56" s="40">
        <f si="23" t="shared"/>
        <v>0</v>
      </c>
    </row>
    <row customFormat="1" customHeight="1" ht="18" r="57" s="34" spans="1:16" thickBot="1" x14ac:dyDescent="0.25">
      <c r="A57" s="36" t="s">
        <v>4</v>
      </c>
      <c r="B57" s="41">
        <f>SUM(B49:B56)</f>
        <v>2209978.6519300775</v>
      </c>
      <c r="C57" s="41">
        <f>ToursByTourPurpose!W13</f>
        <v>1941575</v>
      </c>
      <c r="D57" s="41">
        <f si="19" t="shared"/>
        <v>-268403.65193007747</v>
      </c>
      <c r="E57" s="42">
        <f ref="E57" si="26" t="shared">D57/B57</f>
        <v>-0.12145078944344917</v>
      </c>
      <c r="G57" s="45">
        <f ref="G57" si="27" t="shared">B57/B27</f>
        <v>1.2512469571645213</v>
      </c>
      <c r="H57" s="45">
        <f ref="H57" si="28" t="shared">C57/C27</f>
        <v>1.0992820264281764</v>
      </c>
      <c r="I57" s="45">
        <f ref="I57" si="29" t="shared">H57-G57</f>
        <v>-0.15196493073634487</v>
      </c>
      <c r="J57" s="42">
        <f ref="J57" si="30" t="shared">I57/G57</f>
        <v>-0.12145078944344928</v>
      </c>
      <c r="L57" s="42">
        <f si="22" t="shared"/>
        <v>1</v>
      </c>
      <c r="M57" s="42">
        <f si="23" t="shared"/>
        <v>1</v>
      </c>
      <c r="N57" s="215"/>
      <c r="O57" s="215"/>
    </row>
    <row customFormat="1" customHeight="1" ht="18" r="58" s="34" spans="1:16" x14ac:dyDescent="0.2"/>
    <row customFormat="1" customHeight="1" ht="18" r="59" s="34" spans="1:16" x14ac:dyDescent="0.2"/>
    <row customFormat="1" customHeight="1" ht="18" r="60" s="34" spans="1:16" x14ac:dyDescent="0.2"/>
    <row customHeight="1" ht="18" r="61" spans="1:16" x14ac:dyDescent="0.2">
      <c r="A61" s="29" t="s">
        <v>34</v>
      </c>
      <c r="G61" s="29" t="s">
        <v>35</v>
      </c>
      <c r="L61" s="29" t="s">
        <v>36</v>
      </c>
    </row>
    <row customHeight="1" ht="18" r="62" spans="1:16" thickBot="1" x14ac:dyDescent="0.25">
      <c r="B62" s="32"/>
      <c r="C62" s="32"/>
      <c r="D62" s="32"/>
      <c r="E62" s="32"/>
      <c r="G62" s="32"/>
      <c r="H62" s="32"/>
      <c r="I62" s="32"/>
      <c r="J62" s="32"/>
    </row>
    <row customFormat="1" customHeight="1" ht="18" r="63" s="34" spans="1:16" x14ac:dyDescent="0.2">
      <c r="A63" s="33" t="s">
        <v>37</v>
      </c>
      <c r="B63" s="30" t="s">
        <v>2</v>
      </c>
      <c r="C63" s="30" t="s">
        <v>33</v>
      </c>
      <c r="D63" s="30" t="s">
        <v>7</v>
      </c>
      <c r="E63" s="30" t="s">
        <v>8</v>
      </c>
      <c r="G63" s="30" t="s">
        <v>2</v>
      </c>
      <c r="H63" s="30" t="s">
        <v>33</v>
      </c>
      <c r="I63" s="30" t="s">
        <v>7</v>
      </c>
      <c r="J63" s="30" t="s">
        <v>8</v>
      </c>
      <c r="L63" s="30" t="s">
        <v>2</v>
      </c>
      <c r="M63" s="30" t="s">
        <v>33</v>
      </c>
      <c r="O63" s="34" t="str">
        <f>B63</f>
        <v>ExpandSurv</v>
      </c>
      <c r="P63" s="34" t="str">
        <f>C63</f>
        <v>SynthPop</v>
      </c>
    </row>
    <row customFormat="1" customHeight="1" ht="18" r="64" s="34" spans="1:16" x14ac:dyDescent="0.2">
      <c r="A64" s="34" t="s">
        <v>23</v>
      </c>
      <c r="B64" s="35">
        <f>TripsByDestinationPurpose!F73</f>
        <v>1101441.8246395225</v>
      </c>
      <c r="C64" s="35">
        <f>TripsByDestinationPurpose!W5</f>
        <v>929942</v>
      </c>
      <c r="D64" s="35">
        <f ref="D64:D72" si="31" t="shared">C64-B64</f>
        <v>-171499.82463952247</v>
      </c>
      <c r="E64" s="38">
        <f ref="E64:E71" si="32" t="shared">IF(B64&gt;0,D64/B64,0)</f>
        <v>-0.15570484142060845</v>
      </c>
      <c r="G64" s="43">
        <f ref="G64:G72" si="33" t="shared">B64/B$27</f>
        <v>0.62361495228486274</v>
      </c>
      <c r="H64" s="43">
        <f ref="H64:H72" si="34" t="shared">C64/C$27</f>
        <v>0.52651508503182787</v>
      </c>
      <c r="I64" s="43">
        <f ref="I64:I72" si="35" t="shared">H64-G64</f>
        <v>-9.7099867253034877E-2</v>
      </c>
      <c r="J64" s="38">
        <f ref="J64:J72" si="36" t="shared">I64/G64</f>
        <v>-0.15570484142060848</v>
      </c>
      <c r="L64" s="43">
        <f ref="L64:M70" si="37" t="shared">B64/B34</f>
        <v>1.3670186627844807</v>
      </c>
      <c r="M64" s="43">
        <f si="37" t="shared"/>
        <v>1.3787805778488791</v>
      </c>
      <c r="O64" s="115">
        <f ref="O64:O72" si="38" t="shared">B64/B$72</f>
        <v>0.18070163990237911</v>
      </c>
      <c r="P64" s="115">
        <f ref="P64:P72" si="39" t="shared">C64/C$72</f>
        <v>0.17834722035233636</v>
      </c>
    </row>
    <row customFormat="1" customHeight="1" ht="18" r="65" s="34" spans="1:16" x14ac:dyDescent="0.2">
      <c r="A65" s="34" t="s">
        <v>24</v>
      </c>
      <c r="B65" s="35">
        <f>TripsByDestinationPurpose!F74</f>
        <v>290411.60606545332</v>
      </c>
      <c r="C65" s="35">
        <f>TripsByDestinationPurpose!W6</f>
        <v>247091</v>
      </c>
      <c r="D65" s="35">
        <f si="31" t="shared"/>
        <v>-43320.606065453321</v>
      </c>
      <c r="E65" s="38">
        <f si="32" t="shared"/>
        <v>-0.14916967903717204</v>
      </c>
      <c r="G65" s="43">
        <f si="33" t="shared"/>
        <v>0.16442540659716612</v>
      </c>
      <c r="H65" s="43">
        <f si="34" t="shared"/>
        <v>0.13989812146951033</v>
      </c>
      <c r="I65" s="43">
        <f si="35" t="shared"/>
        <v>-2.4527285127655785E-2</v>
      </c>
      <c r="J65" s="38">
        <f si="36" t="shared"/>
        <v>-0.14916967903717207</v>
      </c>
      <c r="L65" s="43">
        <f si="37" t="shared"/>
        <v>1.0733882896556928</v>
      </c>
      <c r="M65" s="43">
        <f si="37" t="shared"/>
        <v>1.0660537317554071</v>
      </c>
      <c r="O65" s="115">
        <f si="38" t="shared"/>
        <v>4.764468925073366E-2</v>
      </c>
      <c r="P65" s="115">
        <f si="39" t="shared"/>
        <v>4.7387894109610217E-2</v>
      </c>
    </row>
    <row customFormat="1" customHeight="1" ht="18" r="66" s="34" spans="1:16" x14ac:dyDescent="0.2">
      <c r="A66" s="34" t="s">
        <v>25</v>
      </c>
      <c r="B66" s="35">
        <f>TripsByDestinationPurpose!F75</f>
        <v>503794.57246368844</v>
      </c>
      <c r="C66" s="35">
        <f>TripsByDestinationPurpose!W7</f>
        <v>423019</v>
      </c>
      <c r="D66" s="35">
        <f si="31" t="shared"/>
        <v>-80775.572463688441</v>
      </c>
      <c r="E66" s="38">
        <f si="32" t="shared"/>
        <v>-0.16033434435125923</v>
      </c>
      <c r="G66" s="43">
        <f si="33" t="shared"/>
        <v>0.28523869462750612</v>
      </c>
      <c r="H66" s="43">
        <f si="34" t="shared"/>
        <v>0.23950513554079586</v>
      </c>
      <c r="I66" s="43">
        <f si="35" t="shared"/>
        <v>-4.5733559086710257E-2</v>
      </c>
      <c r="J66" s="38">
        <f si="36" t="shared"/>
        <v>-0.16033434435125929</v>
      </c>
      <c r="L66" s="43">
        <f si="37" t="shared"/>
        <v>2.3605715503195994</v>
      </c>
      <c r="M66" s="43">
        <f si="37" t="shared"/>
        <v>2.1837070763385573</v>
      </c>
      <c r="O66" s="115">
        <f si="38" t="shared"/>
        <v>8.2652123227571012E-2</v>
      </c>
      <c r="P66" s="115">
        <f si="39" t="shared"/>
        <v>8.1127922823385726E-2</v>
      </c>
    </row>
    <row customFormat="1" customHeight="1" ht="18" r="67" s="34" spans="1:16" x14ac:dyDescent="0.2">
      <c r="A67" s="34" t="s">
        <v>26</v>
      </c>
      <c r="B67" s="35">
        <f>TripsByDestinationPurpose!F76</f>
        <v>803449.93999445066</v>
      </c>
      <c r="C67" s="35">
        <f>TripsByDestinationPurpose!W8</f>
        <v>689829</v>
      </c>
      <c r="D67" s="35">
        <f si="31" t="shared"/>
        <v>-113620.93999445066</v>
      </c>
      <c r="E67" s="38">
        <f si="32" t="shared"/>
        <v>-0.14141632768711815</v>
      </c>
      <c r="G67" s="43">
        <f si="33" t="shared"/>
        <v>0.45489773929448851</v>
      </c>
      <c r="H67" s="43">
        <f si="34" t="shared"/>
        <v>0.39056777153028982</v>
      </c>
      <c r="I67" s="43">
        <f si="35" t="shared"/>
        <v>-6.4329967764198692E-2</v>
      </c>
      <c r="J67" s="38">
        <f si="36" t="shared"/>
        <v>-0.14141632768711829</v>
      </c>
      <c r="L67" s="43">
        <f si="37" t="shared"/>
        <v>3.0505457162159408</v>
      </c>
      <c r="M67" s="43">
        <f si="37" t="shared"/>
        <v>2.7588304458415318</v>
      </c>
      <c r="O67" s="115">
        <f si="38" t="shared"/>
        <v>0.13181333638204731</v>
      </c>
      <c r="P67" s="115">
        <f si="39" t="shared"/>
        <v>0.13229758917054166</v>
      </c>
    </row>
    <row customFormat="1" customHeight="1" ht="18" r="68" s="34" spans="1:16" x14ac:dyDescent="0.2">
      <c r="A68" s="34" t="s">
        <v>27</v>
      </c>
      <c r="B68" s="35">
        <f>TripsByDestinationPurpose!F77</f>
        <v>553552.03062019264</v>
      </c>
      <c r="C68" s="35">
        <f>TripsByDestinationPurpose!W9</f>
        <v>437281</v>
      </c>
      <c r="D68" s="35">
        <f si="31" t="shared"/>
        <v>-116271.03062019264</v>
      </c>
      <c r="E68" s="38">
        <f si="32" t="shared"/>
        <v>-0.21004535109359831</v>
      </c>
      <c r="G68" s="43">
        <f si="33" t="shared"/>
        <v>0.31341040029542888</v>
      </c>
      <c r="H68" s="43">
        <f si="34" t="shared"/>
        <v>0.24758000272899031</v>
      </c>
      <c r="I68" s="43">
        <f si="35" t="shared"/>
        <v>-6.5830397566438575E-2</v>
      </c>
      <c r="J68" s="38">
        <f si="36" t="shared"/>
        <v>-0.2100453510935984</v>
      </c>
      <c r="L68" s="43">
        <f si="37" t="shared"/>
        <v>3.1471943225934602</v>
      </c>
      <c r="M68" s="43">
        <f si="37" t="shared"/>
        <v>2.6612036490442255</v>
      </c>
      <c r="O68" s="115">
        <f si="38" t="shared"/>
        <v>9.0815290891189518E-2</v>
      </c>
      <c r="P68" s="115">
        <f si="39" t="shared"/>
        <v>8.386313432761397E-2</v>
      </c>
    </row>
    <row customFormat="1" customHeight="1" ht="18" r="69" s="34" spans="1:16" x14ac:dyDescent="0.2">
      <c r="A69" s="34" t="s">
        <v>28</v>
      </c>
      <c r="B69" s="35">
        <f>TripsByDestinationPurpose!F78</f>
        <v>315628.2306758046</v>
      </c>
      <c r="C69" s="35">
        <f>TripsByDestinationPurpose!W10</f>
        <v>270404</v>
      </c>
      <c r="D69" s="35">
        <f si="31" t="shared"/>
        <v>-45224.230675804603</v>
      </c>
      <c r="E69" s="38">
        <f si="32" t="shared"/>
        <v>-0.14328322463099433</v>
      </c>
      <c r="G69" s="43">
        <f si="33" t="shared"/>
        <v>0.17870256931369555</v>
      </c>
      <c r="H69" s="43">
        <f si="34" t="shared"/>
        <v>0.15309748893258546</v>
      </c>
      <c r="I69" s="43">
        <f si="35" t="shared"/>
        <v>-2.560508038111009E-2</v>
      </c>
      <c r="J69" s="38">
        <f si="36" t="shared"/>
        <v>-0.14328322463099444</v>
      </c>
      <c r="L69" s="43">
        <f si="37" t="shared"/>
        <v>2.9567953380990426</v>
      </c>
      <c r="M69" s="43">
        <f si="37" t="shared"/>
        <v>2.7499923725452309</v>
      </c>
      <c r="O69" s="115">
        <f si="38" t="shared"/>
        <v>5.1781707945647001E-2</v>
      </c>
      <c r="P69" s="115">
        <f si="39" t="shared"/>
        <v>5.185893504342546E-2</v>
      </c>
    </row>
    <row customFormat="1" customHeight="1" ht="18" r="70" s="34" spans="1:16" x14ac:dyDescent="0.2">
      <c r="A70" s="34" t="s">
        <v>29</v>
      </c>
      <c r="B70" s="35">
        <f>TripsByDestinationPurpose!F79</f>
        <v>452895.51507167297</v>
      </c>
      <c r="C70" s="35">
        <f>TripsByDestinationPurpose!W11</f>
        <v>379911</v>
      </c>
      <c r="D70" s="35">
        <f si="31" t="shared"/>
        <v>-72984.515071672969</v>
      </c>
      <c r="E70" s="38">
        <f si="32" t="shared"/>
        <v>-0.16115088942782488</v>
      </c>
      <c r="G70" s="43">
        <f si="33" t="shared"/>
        <v>0.25642063766180623</v>
      </c>
      <c r="H70" s="43">
        <f si="34" t="shared"/>
        <v>0.21509822383495611</v>
      </c>
      <c r="I70" s="43">
        <f si="35" t="shared"/>
        <v>-4.1322413826850118E-2</v>
      </c>
      <c r="J70" s="38">
        <f si="36" t="shared"/>
        <v>-0.16115088942782502</v>
      </c>
      <c r="L70" s="43">
        <f si="37" t="shared"/>
        <v>1.8171074858456473</v>
      </c>
      <c r="M70" s="43">
        <f si="37" t="shared"/>
        <v>1.6905971876112496</v>
      </c>
      <c r="O70" s="115">
        <f si="38" t="shared"/>
        <v>7.4301665732248764E-2</v>
      </c>
      <c r="P70" s="115">
        <f si="39" t="shared"/>
        <v>7.2860534131458154E-2</v>
      </c>
    </row>
    <row customFormat="1" customHeight="1" ht="18" r="71" s="34" spans="1:16" x14ac:dyDescent="0.2">
      <c r="A71" s="46" t="s">
        <v>38</v>
      </c>
      <c r="B71" s="39">
        <f>TripsByDestinationPurpose!F80</f>
        <v>2074187.8125203748</v>
      </c>
      <c r="C71" s="39">
        <f>TripsByDestinationPurpose!W12</f>
        <v>1836745</v>
      </c>
      <c r="D71" s="39">
        <f si="31" t="shared"/>
        <v>-237442.81252037478</v>
      </c>
      <c r="E71" s="40">
        <f si="32" t="shared"/>
        <v>-0.1144750784317138</v>
      </c>
      <c r="G71" s="43">
        <f si="33" t="shared"/>
        <v>1.1743648232697805</v>
      </c>
      <c r="H71" s="43">
        <f si="34" t="shared"/>
        <v>1.0399293180185265</v>
      </c>
      <c r="I71" s="44">
        <f si="35" t="shared"/>
        <v>-0.13443550525125403</v>
      </c>
      <c r="J71" s="40">
        <f si="36" t="shared"/>
        <v>-0.11447507843171396</v>
      </c>
      <c r="L71" s="43"/>
      <c r="M71" s="43"/>
      <c r="O71" s="115">
        <f si="38" t="shared"/>
        <v>0.34028954666818373</v>
      </c>
      <c r="P71" s="115">
        <f si="39" t="shared"/>
        <v>0.35225677004162848</v>
      </c>
    </row>
    <row customFormat="1" customHeight="1" ht="18" r="72" s="34" spans="1:16" thickBot="1" x14ac:dyDescent="0.25">
      <c r="A72" s="36" t="s">
        <v>4</v>
      </c>
      <c r="B72" s="37">
        <f>SUM(B64:B71)</f>
        <v>6095361.5320511591</v>
      </c>
      <c r="C72" s="37">
        <f>TripsByDestinationPurpose!W13</f>
        <v>5214222</v>
      </c>
      <c r="D72" s="37">
        <f si="31" t="shared"/>
        <v>-881139.53205115907</v>
      </c>
      <c r="E72" s="47">
        <f ref="E72" si="40" t="shared">D72/B72</f>
        <v>-0.14455902696138279</v>
      </c>
      <c r="G72" s="114">
        <f si="33" t="shared"/>
        <v>3.4510752233447342</v>
      </c>
      <c r="H72" s="114">
        <f si="34" t="shared"/>
        <v>2.9521911470874822</v>
      </c>
      <c r="I72" s="45">
        <f si="35" t="shared"/>
        <v>-0.49888407625725195</v>
      </c>
      <c r="J72" s="42">
        <f si="36" t="shared"/>
        <v>-0.1445590269613829</v>
      </c>
      <c r="L72" s="114">
        <f>B72/B42</f>
        <v>2.7581087838689289</v>
      </c>
      <c r="M72" s="114">
        <f>C72/C42</f>
        <v>2.6855630094124616</v>
      </c>
      <c r="O72" s="115">
        <f si="38" t="shared"/>
        <v>1</v>
      </c>
      <c r="P72" s="115">
        <f si="39" t="shared"/>
        <v>1</v>
      </c>
    </row>
    <row customFormat="1" customHeight="1" ht="18" r="73" s="34" spans="1:16" x14ac:dyDescent="0.2"/>
    <row customFormat="1" customHeight="1" ht="18" r="74" s="34" spans="1:16" x14ac:dyDescent="0.2"/>
    <row customFormat="1" customHeight="1" ht="18" r="75" s="34" spans="1:16" x14ac:dyDescent="0.2"/>
    <row customFormat="1" customHeight="1" ht="18" r="76" s="34" spans="1:16" x14ac:dyDescent="0.2">
      <c r="A76" s="29" t="s">
        <v>39</v>
      </c>
      <c r="G76" s="29" t="s">
        <v>40</v>
      </c>
    </row>
    <row customFormat="1" customHeight="1" ht="18" r="77" s="34" spans="1:16" thickBot="1" x14ac:dyDescent="0.25">
      <c r="A77" s="31"/>
      <c r="B77" s="48"/>
      <c r="C77" s="48"/>
      <c r="D77" s="48"/>
      <c r="E77" s="48"/>
      <c r="G77" s="48"/>
      <c r="H77" s="48"/>
      <c r="I77" s="48"/>
      <c r="J77" s="48"/>
    </row>
    <row customFormat="1" customHeight="1" ht="18" r="78" s="34" spans="1:16" x14ac:dyDescent="0.2">
      <c r="A78" s="33" t="s">
        <v>6</v>
      </c>
      <c r="B78" s="30" t="s">
        <v>2</v>
      </c>
      <c r="C78" s="30" t="s">
        <v>33</v>
      </c>
      <c r="D78" s="30" t="s">
        <v>7</v>
      </c>
      <c r="E78" s="30" t="s">
        <v>8</v>
      </c>
      <c r="G78" s="30" t="s">
        <v>2</v>
      </c>
      <c r="H78" s="30" t="s">
        <v>33</v>
      </c>
      <c r="I78" s="30" t="s">
        <v>7</v>
      </c>
      <c r="J78" s="30" t="s">
        <v>8</v>
      </c>
    </row>
    <row customFormat="1" customHeight="1" ht="18" r="79" s="34" spans="1:16" x14ac:dyDescent="0.2">
      <c r="A79" s="34" t="s">
        <v>12</v>
      </c>
      <c r="B79" s="35">
        <f>TripsByDestinationPurpose!B13</f>
        <v>3302617.0999602312</v>
      </c>
      <c r="C79" s="35">
        <f>TripsByDestinationPurpose!N13</f>
        <v>2822093</v>
      </c>
      <c r="D79" s="35">
        <f ref="D79:D86" si="41" t="shared">C79-B79</f>
        <v>-480524.09996023122</v>
      </c>
      <c r="E79" s="38">
        <f ref="E79:E86" si="42" t="shared">IF(B79&gt;0,D79/B79,0)</f>
        <v>-0.1454979749139001</v>
      </c>
      <c r="G79" s="43">
        <f ref="G79:H85" si="43" t="shared">B79/B19</f>
        <v>3.8762429064749258</v>
      </c>
      <c r="H79" s="43">
        <f si="43" t="shared"/>
        <v>3.3122574133084512</v>
      </c>
      <c r="I79" s="43">
        <f ref="I79:I86" si="44" t="shared">H79-G79</f>
        <v>-0.56398549316647451</v>
      </c>
      <c r="J79" s="38">
        <f>I79/G79</f>
        <v>-0.14549797491390076</v>
      </c>
      <c r="O79" s="115">
        <f ref="O79:O87" si="45" t="shared">B79/B$87</f>
        <v>0.54182464528053376</v>
      </c>
      <c r="P79" s="115">
        <f ref="P79:P87" si="46" t="shared">C79/C$87</f>
        <v>0.54122992845337237</v>
      </c>
    </row>
    <row customFormat="1" customHeight="1" ht="18" r="80" s="34" spans="1:16" x14ac:dyDescent="0.2">
      <c r="A80" s="34" t="s">
        <v>13</v>
      </c>
      <c r="B80" s="35">
        <f>TripsByDestinationPurpose!C13</f>
        <v>445507.10091425281</v>
      </c>
      <c r="C80" s="35">
        <f>TripsByDestinationPurpose!O13</f>
        <v>383145</v>
      </c>
      <c r="D80" s="35">
        <f si="41" t="shared"/>
        <v>-62362.100914252806</v>
      </c>
      <c r="E80" s="38">
        <f si="42" t="shared"/>
        <v>-0.13998003799776854</v>
      </c>
      <c r="G80" s="43">
        <f si="43" t="shared"/>
        <v>4.101331193687022</v>
      </c>
      <c r="H80" s="43">
        <f si="43" t="shared"/>
        <v>3.5272266973532798</v>
      </c>
      <c r="I80" s="43">
        <f si="44" t="shared"/>
        <v>-0.57410449633374228</v>
      </c>
      <c r="J80" s="38">
        <f ref="J80:J85" si="47" t="shared">I80/G80</f>
        <v>-0.13998003799776843</v>
      </c>
      <c r="O80" s="115">
        <f si="45" t="shared"/>
        <v>7.3089528581963284E-2</v>
      </c>
      <c r="P80" s="115">
        <f si="46" t="shared"/>
        <v>7.3480760888201532E-2</v>
      </c>
    </row>
    <row customFormat="1" customHeight="1" ht="18" r="81" s="34" spans="1:16" x14ac:dyDescent="0.2">
      <c r="A81" s="34" t="s">
        <v>14</v>
      </c>
      <c r="B81" s="35">
        <f>TripsByDestinationPurpose!D13</f>
        <v>603996.01186072128</v>
      </c>
      <c r="C81" s="35">
        <f>TripsByDestinationPurpose!P13</f>
        <v>514635</v>
      </c>
      <c r="D81" s="35">
        <f si="41" t="shared"/>
        <v>-89361.011860721279</v>
      </c>
      <c r="E81" s="38">
        <f si="42" t="shared"/>
        <v>-0.14794967202751583</v>
      </c>
      <c r="G81" s="43">
        <f si="43" t="shared"/>
        <v>2.8039367339525576</v>
      </c>
      <c r="H81" s="43">
        <f si="43" t="shared"/>
        <v>2.3890952137783761</v>
      </c>
      <c r="I81" s="43">
        <f si="44" t="shared"/>
        <v>-0.41484152017418152</v>
      </c>
      <c r="J81" s="38">
        <f si="47" t="shared"/>
        <v>-0.14794967202751466</v>
      </c>
      <c r="O81" s="115">
        <f si="45" t="shared"/>
        <v>9.9091088967362614E-2</v>
      </c>
      <c r="P81" s="115">
        <f si="46" t="shared"/>
        <v>9.8698329300133364E-2</v>
      </c>
    </row>
    <row customFormat="1" customHeight="1" ht="18" r="82" s="34" spans="1:16" x14ac:dyDescent="0.2">
      <c r="A82" s="34" t="s">
        <v>15</v>
      </c>
      <c r="B82" s="35">
        <f>TripsByDestinationPurpose!E13</f>
        <v>667379.73158200807</v>
      </c>
      <c r="C82" s="35">
        <f>TripsByDestinationPurpose!Q13</f>
        <v>569105</v>
      </c>
      <c r="D82" s="35">
        <f si="41" t="shared"/>
        <v>-98274.731582008069</v>
      </c>
      <c r="E82" s="38">
        <f si="42" t="shared"/>
        <v>-0.14725459424584278</v>
      </c>
      <c r="G82" s="43">
        <f si="43" t="shared"/>
        <v>3.2889620362319563</v>
      </c>
      <c r="H82" s="43">
        <f si="43" t="shared"/>
        <v>2.8046472660966413</v>
      </c>
      <c r="I82" s="43">
        <f si="44" t="shared"/>
        <v>-0.48431477013531499</v>
      </c>
      <c r="J82" s="38">
        <f si="47" t="shared"/>
        <v>-0.147254594245842</v>
      </c>
      <c r="O82" s="115">
        <f si="45" t="shared"/>
        <v>0.1094897698967869</v>
      </c>
      <c r="P82" s="115">
        <f si="46" t="shared"/>
        <v>0.10914475831677285</v>
      </c>
    </row>
    <row customFormat="1" customHeight="1" ht="18" r="83" s="34" spans="1:16" x14ac:dyDescent="0.2">
      <c r="A83" s="34" t="s">
        <v>16</v>
      </c>
      <c r="B83" s="35">
        <f>TripsByDestinationPurpose!F13</f>
        <v>151306.74402796646</v>
      </c>
      <c r="C83" s="35">
        <f>TripsByDestinationPurpose!R13</f>
        <v>135583</v>
      </c>
      <c r="D83" s="35">
        <f si="41" t="shared"/>
        <v>-15723.744027966459</v>
      </c>
      <c r="E83" s="38">
        <f si="42" t="shared"/>
        <v>-0.10391965096453464</v>
      </c>
      <c r="G83" s="43">
        <f si="43" t="shared"/>
        <v>2.3410137859602136</v>
      </c>
      <c r="H83" s="43">
        <f si="43" t="shared"/>
        <v>2.0977364504200642</v>
      </c>
      <c r="I83" s="43">
        <f si="44" t="shared"/>
        <v>-0.24327733554014941</v>
      </c>
      <c r="J83" s="38">
        <f si="47" t="shared"/>
        <v>-0.10391965096453473</v>
      </c>
      <c r="O83" s="115">
        <f si="45" t="shared"/>
        <v>2.4823259987508887E-2</v>
      </c>
      <c r="P83" s="115">
        <f si="46" t="shared"/>
        <v>2.6002536907711257E-2</v>
      </c>
    </row>
    <row customFormat="1" customHeight="1" ht="18" r="84" s="34" spans="1:16" x14ac:dyDescent="0.2">
      <c r="A84" s="34" t="s">
        <v>17</v>
      </c>
      <c r="B84" s="35">
        <f>TripsByDestinationPurpose!G13</f>
        <v>172907.57818910776</v>
      </c>
      <c r="C84" s="35">
        <f>TripsByDestinationPurpose!S13</f>
        <v>149079</v>
      </c>
      <c r="D84" s="35">
        <f si="41" t="shared"/>
        <v>-23828.578189107764</v>
      </c>
      <c r="E84" s="38">
        <f si="42" t="shared"/>
        <v>-0.13781106900385026</v>
      </c>
      <c r="G84" s="43">
        <f si="43" t="shared"/>
        <v>3.1153395947733009</v>
      </c>
      <c r="H84" s="43">
        <f si="43" t="shared"/>
        <v>2.6860113149075708</v>
      </c>
      <c r="I84" s="43">
        <f si="44" t="shared"/>
        <v>-0.42932827986573008</v>
      </c>
      <c r="J84" s="38">
        <f si="47" t="shared"/>
        <v>-0.13781106900385021</v>
      </c>
      <c r="O84" s="115">
        <f si="45" t="shared"/>
        <v>2.8367075075023864E-2</v>
      </c>
      <c r="P84" s="115">
        <f si="46" t="shared"/>
        <v>2.8590842507281049E-2</v>
      </c>
    </row>
    <row customFormat="1" customHeight="1" ht="18" r="85" s="34" spans="1:16" x14ac:dyDescent="0.2">
      <c r="A85" s="34" t="s">
        <v>18</v>
      </c>
      <c r="B85" s="35">
        <f>TripsByDestinationPurpose!I13</f>
        <v>751647.26551687205</v>
      </c>
      <c r="C85" s="35">
        <f>TripsByDestinationPurpose!U13</f>
        <v>640582</v>
      </c>
      <c r="D85" s="35">
        <f si="41" t="shared"/>
        <v>-111065.26551687205</v>
      </c>
      <c r="E85" s="38">
        <f si="42" t="shared"/>
        <v>-0.14776248196751937</v>
      </c>
      <c r="G85" s="43">
        <f si="43" t="shared"/>
        <v>2.813883092369645</v>
      </c>
      <c r="H85" s="43">
        <f si="43" t="shared"/>
        <v>2.3980967426746682</v>
      </c>
      <c r="I85" s="43">
        <f si="44" t="shared"/>
        <v>-0.41578634969497674</v>
      </c>
      <c r="J85" s="38">
        <f si="47" t="shared"/>
        <v>-0.14776248196751918</v>
      </c>
      <c r="O85" s="115">
        <f si="45" t="shared"/>
        <v>0.12331463221082047</v>
      </c>
      <c r="P85" s="115">
        <f si="46" t="shared"/>
        <v>0.1228528436265276</v>
      </c>
    </row>
    <row customFormat="1" customHeight="1" ht="18" r="86" s="34" spans="1:16" x14ac:dyDescent="0.2">
      <c r="A86" s="34" t="s">
        <v>19</v>
      </c>
      <c r="B86" s="39">
        <f>TripsByDestinationPurpose!J13</f>
        <v>0</v>
      </c>
      <c r="C86" s="39">
        <f>TripsByDestinationPurpose!V13</f>
        <v>0</v>
      </c>
      <c r="D86" s="39">
        <f si="41" t="shared"/>
        <v>0</v>
      </c>
      <c r="E86" s="40">
        <f si="42" t="shared"/>
        <v>0</v>
      </c>
      <c r="G86" s="43">
        <f>IF(B86&gt;0,B86/B26,0)</f>
        <v>0</v>
      </c>
      <c r="H86" s="43">
        <f>IF(C86&gt;0,C86/C26,0)</f>
        <v>0</v>
      </c>
      <c r="I86" s="44">
        <f si="44" t="shared"/>
        <v>0</v>
      </c>
      <c r="J86" s="40">
        <f>IF(G86&gt;0,I86/G86,0)</f>
        <v>0</v>
      </c>
      <c r="O86" s="115">
        <f si="45" t="shared"/>
        <v>0</v>
      </c>
      <c r="P86" s="115">
        <f si="46" t="shared"/>
        <v>0</v>
      </c>
    </row>
    <row customFormat="1" customHeight="1" ht="18" r="87" s="34" spans="1:16" thickBot="1" x14ac:dyDescent="0.25">
      <c r="A87" s="36" t="s">
        <v>4</v>
      </c>
      <c r="B87" s="41">
        <f>SUM(B79:B86)</f>
        <v>6095361.5320511609</v>
      </c>
      <c r="C87" s="41">
        <f>SUM(C79:C86)</f>
        <v>5214222</v>
      </c>
      <c r="D87" s="41">
        <f>SUM(D79:D86)</f>
        <v>-881139.53205115977</v>
      </c>
      <c r="E87" s="42">
        <f ref="E87" si="48" t="shared">D87/B87</f>
        <v>-0.14455902696138287</v>
      </c>
      <c r="G87" s="114">
        <f ref="G87" si="49" t="shared">B87/B27</f>
        <v>3.4510752233447355</v>
      </c>
      <c r="H87" s="114">
        <f ref="H87" si="50" t="shared">C87/C27</f>
        <v>2.9521911470874822</v>
      </c>
      <c r="I87" s="45">
        <f ref="I87" si="51" t="shared">H87-G87</f>
        <v>-0.49888407625725328</v>
      </c>
      <c r="J87" s="42">
        <f ref="J87" si="52" t="shared">I87/G87</f>
        <v>-0.14455902696138323</v>
      </c>
      <c r="K87" s="43"/>
      <c r="L87" s="43"/>
      <c r="O87" s="115">
        <f si="45" t="shared"/>
        <v>1</v>
      </c>
      <c r="P87" s="115">
        <f si="46" t="shared"/>
        <v>1</v>
      </c>
    </row>
    <row customFormat="1" customHeight="1" ht="18" r="88" s="34" spans="1:16" x14ac:dyDescent="0.2"/>
    <row customFormat="1" customHeight="1" ht="18" r="89" s="34" spans="1:16" x14ac:dyDescent="0.2">
      <c r="B89" s="216"/>
      <c r="C89" s="216"/>
    </row>
    <row customFormat="1" customHeight="1" ht="18" r="90" s="34" spans="1:16" x14ac:dyDescent="0.2"/>
    <row customFormat="1" customHeight="1" ht="18" r="91" s="34" spans="1:16" x14ac:dyDescent="0.2"/>
    <row customFormat="1" customHeight="1" ht="18" r="92" s="34" spans="1:16" x14ac:dyDescent="0.2"/>
    <row customFormat="1" customHeight="1" ht="18" r="93" s="34" spans="1:16" x14ac:dyDescent="0.2"/>
    <row customFormat="1" customHeight="1" ht="18" r="94" s="34" spans="1:16" x14ac:dyDescent="0.2"/>
    <row customFormat="1" customHeight="1" ht="18" r="95" s="34" spans="1:16" x14ac:dyDescent="0.2"/>
    <row customFormat="1" customHeight="1" ht="18" r="96" s="34" spans="1:16" x14ac:dyDescent="0.2"/>
    <row customHeight="1" ht="18" r="97" x14ac:dyDescent="0.2"/>
    <row customHeight="1" ht="18" r="98" x14ac:dyDescent="0.2"/>
    <row customHeight="1" ht="18" r="99" x14ac:dyDescent="0.2"/>
    <row customHeight="1" ht="18" r="100" x14ac:dyDescent="0.2"/>
    <row customHeight="1" ht="18" r="101" x14ac:dyDescent="0.2"/>
    <row customHeight="1" ht="18" r="102" x14ac:dyDescent="0.2"/>
  </sheetData>
  <pageMargins bottom="1" footer="0.5" header="0.5" left="0.75" right="0.75" top="1"/>
  <pageSetup horizontalDpi="4294967292" orientation="portrait" verticalDpi="429496729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9"/>
  <sheetViews>
    <sheetView topLeftCell="AE1" workbookViewId="0">
      <selection activeCell="T14" sqref="T14"/>
    </sheetView>
  </sheetViews>
  <sheetFormatPr defaultColWidth="10.75" defaultRowHeight="12.75" x14ac:dyDescent="0.2"/>
  <cols>
    <col min="1" max="1" customWidth="true" style="265" width="15.75" collapsed="true"/>
    <col min="2" max="8" customWidth="true" style="265" width="10.75" collapsed="true"/>
    <col min="9" max="16384" style="265" width="10.75" collapsed="true"/>
  </cols>
  <sheetData>
    <row customHeight="1" ht="13.15" r="1" spans="1:32" x14ac:dyDescent="0.2">
      <c r="A1" s="264" t="s">
        <v>41</v>
      </c>
      <c r="L1" s="264" t="s">
        <v>41</v>
      </c>
      <c r="W1" s="264" t="s">
        <v>41</v>
      </c>
    </row>
    <row customHeight="1" ht="13.15" r="2" spans="1:32" x14ac:dyDescent="0.2">
      <c r="A2" s="264" t="s">
        <v>42</v>
      </c>
      <c r="L2" s="264" t="s">
        <v>43</v>
      </c>
      <c r="W2" s="264" t="s">
        <v>44</v>
      </c>
    </row>
    <row customHeight="1" ht="13.15" r="3" spans="1:32" thickBo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2">
      <c r="A4" s="14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2">
      <c r="A5" s="265" t="s">
        <v>46</v>
      </c>
      <c r="B5" s="10">
        <f>output_NHTS!B4/SUM(output_NHTS!B$4:B$7)</f>
        <v>9.4638653599336403E-2</v>
      </c>
      <c r="C5" s="10">
        <f>output_NHTS!C4/SUM(output_NHTS!C$4:C$7)</f>
        <v>0.17003799507465603</v>
      </c>
      <c r="D5" s="10">
        <f>output_NHTS!D4/SUM(output_NHTS!D$4:D$7)</f>
        <v>0.35846916678691715</v>
      </c>
      <c r="E5" s="10">
        <f>output_NHTS!E4/SUM(output_NHTS!E$4:E$7)</f>
        <v>0.32822591047377325</v>
      </c>
      <c r="F5" s="10">
        <f>output_NHTS!F4/SUM(output_NHTS!F$4:F$7)</f>
        <v>0.40564594198837717</v>
      </c>
      <c r="G5" s="10">
        <f>output_NHTS!G4/SUM(output_NHTS!G$4:G$7)</f>
        <v>9.4458782780735856E-2</v>
      </c>
      <c r="H5" s="10">
        <f>output_NHTS!H4/SUM(output_NHTS!H$4:H$7)</f>
        <v>0.11143294495113426</v>
      </c>
      <c r="I5" s="10">
        <f>IF(SUM(output_NHTS!I$4:I$7)&gt;0,output_NHTS!I4/SUM(output_NHTS!I$4:I$7),0)</f>
        <v>0</v>
      </c>
      <c r="J5" s="10">
        <f>output_NHTS!J4/SUM(output_NHTS!J$4:J$7)</f>
        <v>0.17220414586934588</v>
      </c>
      <c r="L5" s="265" t="s">
        <v>46</v>
      </c>
      <c r="M5" s="10">
        <f>output!B4/SUM(output!B$4:B$7)</f>
        <v>0.23842420614660539</v>
      </c>
      <c r="N5" s="10">
        <f>output!C4/SUM(output!C$4:C$7)</f>
        <v>0.26353970080552358</v>
      </c>
      <c r="O5" s="10">
        <f>output!D4/SUM(output!D$4:D$7)</f>
        <v>0.39768348730328212</v>
      </c>
      <c r="P5" s="10">
        <f>output!E4/SUM(output!E$4:E$7)</f>
        <v>0.36657221003868617</v>
      </c>
      <c r="Q5" s="10">
        <f>output!F4/SUM(output!F$4:F$7)</f>
        <v>0.42068293286711123</v>
      </c>
      <c r="R5" s="10">
        <f>output!G4/SUM(output!G$4:G$7)</f>
        <v>0.2542791250765738</v>
      </c>
      <c r="S5" s="10">
        <f>output!H4/SUM(output!H$4:H$7)</f>
        <v>0.24160212038738998</v>
      </c>
      <c r="T5" s="10">
        <f>IF(SUM(output!I$4:I$7)&gt;0,output!I4/SUM(output!I$4:I$7),0)</f>
        <v>0</v>
      </c>
      <c r="U5" s="10">
        <f>output!J4/SUM(output!J$4:J$7)</f>
        <v>0.28176315421456316</v>
      </c>
      <c r="W5" s="265" t="s">
        <v>46</v>
      </c>
      <c r="X5" s="10">
        <f ref="X5:AF9" si="0" t="shared">M5-B5</f>
        <v>0.14378555254726899</v>
      </c>
      <c r="Y5" s="10">
        <f si="0" t="shared"/>
        <v>9.3501705730867551E-2</v>
      </c>
      <c r="Z5" s="10">
        <f si="0" t="shared"/>
        <v>3.9214320516364976E-2</v>
      </c>
      <c r="AA5" s="10">
        <f si="0" t="shared"/>
        <v>3.8346299564912922E-2</v>
      </c>
      <c r="AB5" s="10">
        <f si="0" t="shared"/>
        <v>1.5036990878734058E-2</v>
      </c>
      <c r="AC5" s="10">
        <f si="0" t="shared"/>
        <v>0.15982034229583794</v>
      </c>
      <c r="AD5" s="10">
        <f si="0" t="shared"/>
        <v>0.13016917543625572</v>
      </c>
      <c r="AE5" s="10">
        <f si="0" t="shared"/>
        <v>0</v>
      </c>
      <c r="AF5" s="10">
        <f si="0" t="shared"/>
        <v>0.10955900834521728</v>
      </c>
    </row>
    <row r="6" spans="1:32" x14ac:dyDescent="0.2">
      <c r="A6" s="265" t="s">
        <v>47</v>
      </c>
      <c r="B6" s="10">
        <f>output_NHTS!B5/SUM(output_NHTS!B$4:B$7)</f>
        <v>0.6253258213820162</v>
      </c>
      <c r="C6" s="10">
        <f>output_NHTS!C5/SUM(output_NHTS!C$4:C$7)</f>
        <v>0.44465220039733128</v>
      </c>
      <c r="D6" s="10">
        <f>output_NHTS!D5/SUM(output_NHTS!D$4:D$7)</f>
        <v>0.40342145246120964</v>
      </c>
      <c r="E6" s="10">
        <f>output_NHTS!E5/SUM(output_NHTS!E$4:E$7)</f>
        <v>0.35784810274802764</v>
      </c>
      <c r="F6" s="10">
        <f>output_NHTS!F5/SUM(output_NHTS!F$4:F$7)</f>
        <v>0.36975493980321694</v>
      </c>
      <c r="G6" s="10">
        <f>output_NHTS!G5/SUM(output_NHTS!G$4:G$7)</f>
        <v>0.65169455081258276</v>
      </c>
      <c r="H6" s="10">
        <f>output_NHTS!H5/SUM(output_NHTS!H$4:H$7)</f>
        <v>0.65251415220686282</v>
      </c>
      <c r="I6" s="10">
        <f>IF(SUM(output_NHTS!I$4:I$7)&gt;0,output_NHTS!I5/SUM(output_NHTS!I$4:I$7),0)</f>
        <v>0</v>
      </c>
      <c r="J6" s="10">
        <f>output_NHTS!J5/SUM(output_NHTS!J$4:J$7)</f>
        <v>0.55200908756712463</v>
      </c>
      <c r="L6" s="265" t="s">
        <v>47</v>
      </c>
      <c r="M6" s="10">
        <f>output!B5/SUM(output!B$4:B$7)</f>
        <v>0.48840572055656295</v>
      </c>
      <c r="N6" s="10">
        <f>output!C5/SUM(output!C$4:C$7)</f>
        <v>0.38124741081703106</v>
      </c>
      <c r="O6" s="10">
        <f>output!D5/SUM(output!D$4:D$7)</f>
        <v>0.39558980548721046</v>
      </c>
      <c r="P6" s="10">
        <f>output!E5/SUM(output!E$4:E$7)</f>
        <v>0.36686297218046965</v>
      </c>
      <c r="Q6" s="10">
        <f>output!F5/SUM(output!F$4:F$7)</f>
        <v>0.38130676279918929</v>
      </c>
      <c r="R6" s="10">
        <f>output!G5/SUM(output!G$4:G$7)</f>
        <v>0.46340672408201505</v>
      </c>
      <c r="S6" s="10">
        <f>output!H5/SUM(output!H$4:H$7)</f>
        <v>0.56443709030738876</v>
      </c>
      <c r="T6" s="10">
        <f>IF(SUM(output!I$4:I$7)&gt;0,output!I5/SUM(output!I$4:I$7),0)</f>
        <v>0</v>
      </c>
      <c r="U6" s="10">
        <f>output!J5/SUM(output!J$4:J$7)</f>
        <v>0.4633259371279132</v>
      </c>
      <c r="W6" s="265" t="s">
        <v>47</v>
      </c>
      <c r="X6" s="10">
        <f si="0" t="shared"/>
        <v>-0.13692010082545325</v>
      </c>
      <c r="Y6" s="10">
        <f si="0" t="shared"/>
        <v>-6.3404789580300214E-2</v>
      </c>
      <c r="Z6" s="10">
        <f si="0" t="shared"/>
        <v>-7.8316469739991845E-3</v>
      </c>
      <c r="AA6" s="10">
        <f si="0" t="shared"/>
        <v>9.0148694324420076E-3</v>
      </c>
      <c r="AB6" s="10">
        <f si="0" t="shared"/>
        <v>1.155182299597235E-2</v>
      </c>
      <c r="AC6" s="10">
        <f si="0" t="shared"/>
        <v>-0.18828782673056771</v>
      </c>
      <c r="AD6" s="10">
        <f si="0" t="shared"/>
        <v>-8.8077061899474063E-2</v>
      </c>
      <c r="AE6" s="10">
        <f si="0" t="shared"/>
        <v>0</v>
      </c>
      <c r="AF6" s="10">
        <f si="0" t="shared"/>
        <v>-8.8683150439211433E-2</v>
      </c>
    </row>
    <row r="7" spans="1:32" x14ac:dyDescent="0.2">
      <c r="A7" s="265" t="s">
        <v>48</v>
      </c>
      <c r="B7" s="10">
        <f>output_NHTS!B6/SUM(output_NHTS!B$4:B$7)</f>
        <v>0.22552868034927004</v>
      </c>
      <c r="C7" s="10">
        <f>output_NHTS!C6/SUM(output_NHTS!C$4:C$7)</f>
        <v>0.25634628372043172</v>
      </c>
      <c r="D7" s="10">
        <f>output_NHTS!D6/SUM(output_NHTS!D$4:D$7)</f>
        <v>0.1775841882202765</v>
      </c>
      <c r="E7" s="10">
        <f>output_NHTS!E6/SUM(output_NHTS!E$4:E$7)</f>
        <v>0.20132470791280016</v>
      </c>
      <c r="F7" s="10">
        <f>output_NHTS!F6/SUM(output_NHTS!F$4:F$7)</f>
        <v>0.17399137235158124</v>
      </c>
      <c r="G7" s="10">
        <f>output_NHTS!G6/SUM(output_NHTS!G$4:G$7)</f>
        <v>0.2282821581246707</v>
      </c>
      <c r="H7" s="10">
        <f>output_NHTS!H6/SUM(output_NHTS!H$4:H$7)</f>
        <v>0.21643525264376398</v>
      </c>
      <c r="I7" s="10">
        <f>IF(SUM(output_NHTS!I$4:I$7)&gt;0,output_NHTS!I6/SUM(output_NHTS!I$4:I$7),0)</f>
        <v>0</v>
      </c>
      <c r="J7" s="10">
        <f>output_NHTS!J6/SUM(output_NHTS!J$4:J$7)</f>
        <v>0.21562123232509461</v>
      </c>
      <c r="L7" s="265" t="s">
        <v>48</v>
      </c>
      <c r="M7" s="10">
        <f>output!B6/SUM(output!B$4:B$7)</f>
        <v>0.21934825091107552</v>
      </c>
      <c r="N7" s="10">
        <f>output!C6/SUM(output!C$4:C$7)</f>
        <v>0.25652474108170309</v>
      </c>
      <c r="O7" s="10">
        <f>output!D6/SUM(output!D$4:D$7)</f>
        <v>0.158182071398728</v>
      </c>
      <c r="P7" s="10">
        <f>output!E6/SUM(output!E$4:E$7)</f>
        <v>0.1788285735406451</v>
      </c>
      <c r="Q7" s="10">
        <f>output!F6/SUM(output!F$4:F$7)</f>
        <v>0.15581823526681415</v>
      </c>
      <c r="R7" s="10">
        <f>output!G6/SUM(output!G$4:G$7)</f>
        <v>0.22689272458650139</v>
      </c>
      <c r="S7" s="10">
        <f>output!H6/SUM(output!H$4:H$7)</f>
        <v>0.16481294993654561</v>
      </c>
      <c r="T7" s="10">
        <f>IF(SUM(output!I$4:I$7)&gt;0,output!I6/SUM(output!I$4:I$7),0)</f>
        <v>0</v>
      </c>
      <c r="U7" s="10">
        <f>output!J6/SUM(output!J$4:J$7)</f>
        <v>0.19918402057273693</v>
      </c>
      <c r="W7" s="265" t="s">
        <v>48</v>
      </c>
      <c r="X7" s="10">
        <f si="0" t="shared"/>
        <v>-6.1804294381945235E-3</v>
      </c>
      <c r="Y7" s="10">
        <f si="0" t="shared"/>
        <v>1.7845736127136691E-4</v>
      </c>
      <c r="Z7" s="10">
        <f si="0" t="shared"/>
        <v>-1.9402116821548493E-2</v>
      </c>
      <c r="AA7" s="10">
        <f si="0" t="shared"/>
        <v>-2.2496134372155058E-2</v>
      </c>
      <c r="AB7" s="10">
        <f si="0" t="shared"/>
        <v>-1.8173137084767088E-2</v>
      </c>
      <c r="AC7" s="10">
        <f si="0" t="shared"/>
        <v>-1.3894335381693101E-3</v>
      </c>
      <c r="AD7" s="10">
        <f si="0" t="shared"/>
        <v>-5.1622302707218376E-2</v>
      </c>
      <c r="AE7" s="10">
        <f si="0" t="shared"/>
        <v>0</v>
      </c>
      <c r="AF7" s="10">
        <f si="0" t="shared"/>
        <v>-1.6437211752357683E-2</v>
      </c>
    </row>
    <row r="8" spans="1:32" x14ac:dyDescent="0.2">
      <c r="A8" s="6" t="s">
        <v>49</v>
      </c>
      <c r="B8" s="11">
        <f>output_NHTS!B7/SUM(output_NHTS!B$4:B$7)</f>
        <v>5.4506844669377275E-2</v>
      </c>
      <c r="C8" s="11">
        <f>output_NHTS!C7/SUM(output_NHTS!C$4:C$7)</f>
        <v>0.12896352080758094</v>
      </c>
      <c r="D8" s="11">
        <f>output_NHTS!D7/SUM(output_NHTS!D$4:D$7)</f>
        <v>6.0525192531596515E-2</v>
      </c>
      <c r="E8" s="11">
        <f>output_NHTS!E7/SUM(output_NHTS!E$4:E$7)</f>
        <v>0.11260127886539902</v>
      </c>
      <c r="F8" s="11">
        <f>output_NHTS!F7/SUM(output_NHTS!F$4:F$7)</f>
        <v>5.0607745856824579E-2</v>
      </c>
      <c r="G8" s="11">
        <f>output_NHTS!G7/SUM(output_NHTS!G$4:G$7)</f>
        <v>2.5564508282010654E-2</v>
      </c>
      <c r="H8" s="11">
        <f>output_NHTS!H7/SUM(output_NHTS!H$4:H$7)</f>
        <v>1.9617650198238887E-2</v>
      </c>
      <c r="I8" s="11">
        <f>IF(SUM(output_NHTS!I$4:I$7)&gt;0,output_NHTS!I7/SUM(output_NHTS!I$4:I$7),0)</f>
        <v>0</v>
      </c>
      <c r="J8" s="11">
        <f>output_NHTS!J7/SUM(output_NHTS!J$4:J$7)</f>
        <v>6.0165534238434876E-2</v>
      </c>
      <c r="L8" s="6" t="s">
        <v>49</v>
      </c>
      <c r="M8" s="11">
        <f>output!B7/SUM(output!B$4:B$7)</f>
        <v>5.382182238575612E-2</v>
      </c>
      <c r="N8" s="11">
        <f>output!C7/SUM(output!C$4:C$7)</f>
        <v>9.8688147295742226E-2</v>
      </c>
      <c r="O8" s="11">
        <f>output!D7/SUM(output!D$4:D$7)</f>
        <v>4.8544635810779446E-2</v>
      </c>
      <c r="P8" s="11">
        <f>output!E7/SUM(output!E$4:E$7)</f>
        <v>8.7736244240199102E-2</v>
      </c>
      <c r="Q8" s="11">
        <f>output!F7/SUM(output!F$4:F$7)</f>
        <v>4.2192069066885336E-2</v>
      </c>
      <c r="R8" s="11">
        <f>output!G7/SUM(output!G$4:G$7)</f>
        <v>5.5421426254909735E-2</v>
      </c>
      <c r="S8" s="11">
        <f>output!H7/SUM(output!H$4:H$7)</f>
        <v>2.914783936867562E-2</v>
      </c>
      <c r="T8" s="11">
        <f>IF(SUM(output!I$4:I$7)&gt;0,output!I7/SUM(output!I$4:I$7),0)</f>
        <v>0</v>
      </c>
      <c r="U8" s="11">
        <f>output!J7/SUM(output!J$4:J$7)</f>
        <v>5.5726888084786673E-2</v>
      </c>
      <c r="W8" s="6" t="s">
        <v>49</v>
      </c>
      <c r="X8" s="11">
        <f si="0" t="shared"/>
        <v>-6.8502228362115475E-4</v>
      </c>
      <c r="Y8" s="11">
        <f si="0" t="shared"/>
        <v>-3.0275373511838718E-2</v>
      </c>
      <c r="Z8" s="11">
        <f si="0" t="shared"/>
        <v>-1.1980556720817069E-2</v>
      </c>
      <c r="AA8" s="11">
        <f si="0" t="shared"/>
        <v>-2.4865034625199914E-2</v>
      </c>
      <c r="AB8" s="11">
        <f si="0" t="shared"/>
        <v>-8.4156767899392429E-3</v>
      </c>
      <c r="AC8" s="11">
        <f si="0" t="shared"/>
        <v>2.9856917972899081E-2</v>
      </c>
      <c r="AD8" s="11">
        <f si="0" t="shared"/>
        <v>9.5301891704367321E-3</v>
      </c>
      <c r="AE8" s="11">
        <f si="0" t="shared"/>
        <v>0</v>
      </c>
      <c r="AF8" s="11">
        <f si="0" t="shared"/>
        <v>-4.4386461536482028E-3</v>
      </c>
    </row>
    <row customHeight="1" ht="13.15" r="9" spans="1:32" thickBot="1" x14ac:dyDescent="0.25">
      <c r="A9" s="13" t="s">
        <v>4</v>
      </c>
      <c r="B9" s="15">
        <f ref="B9:J9" si="1" t="shared">SUM(B5:B8)</f>
        <v>1</v>
      </c>
      <c r="C9" s="15">
        <f si="1" t="shared"/>
        <v>1</v>
      </c>
      <c r="D9" s="15">
        <f si="1" t="shared"/>
        <v>0.99999999999999967</v>
      </c>
      <c r="E9" s="15">
        <f si="1" t="shared"/>
        <v>1</v>
      </c>
      <c r="F9" s="15">
        <f si="1" t="shared"/>
        <v>0.99999999999999989</v>
      </c>
      <c r="G9" s="15">
        <f si="1" t="shared"/>
        <v>0.99999999999999989</v>
      </c>
      <c r="H9" s="15">
        <f si="1" t="shared"/>
        <v>1</v>
      </c>
      <c r="I9" s="15">
        <f si="1" t="shared"/>
        <v>0</v>
      </c>
      <c r="J9" s="15">
        <f si="1" t="shared"/>
        <v>1</v>
      </c>
      <c r="L9" s="13" t="s">
        <v>4</v>
      </c>
      <c r="M9" s="15">
        <f ref="M9:U9" si="2" t="shared">SUM(M5:M8)</f>
        <v>1</v>
      </c>
      <c r="N9" s="15">
        <f si="2" t="shared"/>
        <v>1</v>
      </c>
      <c r="O9" s="15">
        <f si="2" t="shared"/>
        <v>1</v>
      </c>
      <c r="P9" s="15">
        <f si="2" t="shared"/>
        <v>1</v>
      </c>
      <c r="Q9" s="15">
        <f si="2" t="shared"/>
        <v>1</v>
      </c>
      <c r="R9" s="15">
        <f si="2" t="shared"/>
        <v>1</v>
      </c>
      <c r="S9" s="15">
        <f si="2" t="shared"/>
        <v>0.99999999999999989</v>
      </c>
      <c r="T9" s="15">
        <f si="2" t="shared"/>
        <v>0</v>
      </c>
      <c r="U9" s="15">
        <f si="2" t="shared"/>
        <v>0.99999999999999989</v>
      </c>
      <c r="W9" s="13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>
        <f si="0" t="shared"/>
        <v>0</v>
      </c>
      <c r="AF9" s="12">
        <f si="0" t="shared"/>
        <v>0</v>
      </c>
    </row>
  </sheetData>
  <conditionalFormatting sqref="X5:AF9">
    <cfRule dxfId="48" operator="notBetween" priority="1" stopIfTrue="1" type="cellIs">
      <formula>-0.15</formula>
      <formula>0.15</formula>
    </cfRule>
    <cfRule dxfId="47" operator="notBetween" priority="2" stopIfTrue="1" type="cellIs">
      <formula>-0.1</formula>
      <formula>0.1</formula>
    </cfRule>
    <cfRule dxfId="4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18"/>
  <sheetViews>
    <sheetView topLeftCell="AA1" workbookViewId="0">
      <selection activeCell="S23" sqref="S23"/>
    </sheetView>
  </sheetViews>
  <sheetFormatPr defaultColWidth="10.75" defaultRowHeight="12.75" x14ac:dyDescent="0.2"/>
  <cols>
    <col min="1" max="1" customWidth="true" style="265" width="15.75" collapsed="true"/>
    <col min="2" max="8" customWidth="true" style="265" width="10.75" collapsed="true"/>
    <col min="9" max="16384" style="265" width="10.75" collapsed="true"/>
  </cols>
  <sheetData>
    <row customHeight="1" ht="13.15" r="1" spans="1:32" x14ac:dyDescent="0.2">
      <c r="A1" s="264" t="s">
        <v>41</v>
      </c>
      <c r="L1" s="264" t="s">
        <v>41</v>
      </c>
      <c r="W1" s="264" t="s">
        <v>41</v>
      </c>
    </row>
    <row customHeight="1" ht="13.15" r="2" spans="1:32" x14ac:dyDescent="0.2">
      <c r="A2" s="264" t="s">
        <v>50</v>
      </c>
      <c r="L2" s="264" t="s">
        <v>51</v>
      </c>
      <c r="W2" s="264" t="s">
        <v>52</v>
      </c>
    </row>
    <row customHeight="1" ht="13.15" r="3" spans="1:32" thickBo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2">
      <c r="A4" s="14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2">
      <c r="A5" s="22" t="s">
        <v>54</v>
      </c>
      <c r="B5" s="23">
        <f>output_NHTS!B11/SUM(output_NHTS!B$11:B$23)</f>
        <v>9.4638653599336403E-2</v>
      </c>
      <c r="C5" s="23">
        <f>output_NHTS!C11/SUM(output_NHTS!C$11:C$23)</f>
        <v>0.17003799507465606</v>
      </c>
      <c r="D5" s="23">
        <f>output_NHTS!D11/SUM(output_NHTS!D$11:D$23)</f>
        <v>0.3584691667869172</v>
      </c>
      <c r="E5" s="23">
        <f>output_NHTS!E11/SUM(output_NHTS!E$11:E$23)</f>
        <v>0.32822591047377325</v>
      </c>
      <c r="F5" s="23">
        <f>output_NHTS!F11/SUM(output_NHTS!F$11:F$23)</f>
        <v>0.40564594198837717</v>
      </c>
      <c r="G5" s="23">
        <f>output_NHTS!G11/SUM(output_NHTS!G$11:G$23)</f>
        <v>9.4458782780735884E-2</v>
      </c>
      <c r="H5" s="23">
        <f>output_NHTS!H11/SUM(output_NHTS!H$11:H$23)</f>
        <v>0.11143294495113426</v>
      </c>
      <c r="I5" s="23">
        <f>IF(SUM(output_NHTS!I$11:I$23)&gt;0,output_NHTS!I11/SUM(output_NHTS!I$11:I$23),0)</f>
        <v>0</v>
      </c>
      <c r="J5" s="23">
        <f>output_NHTS!J11/SUM(output_NHTS!J$11:J$23)</f>
        <v>0.17220414586934585</v>
      </c>
      <c r="L5" s="22" t="s">
        <v>54</v>
      </c>
      <c r="M5" s="23">
        <f>output!B11/SUM(output!B$11:B$23)</f>
        <v>0.23842420614660539</v>
      </c>
      <c r="N5" s="23">
        <f>output!C11/SUM(output!C$11:C$23)</f>
        <v>0.26353970080552358</v>
      </c>
      <c r="O5" s="23">
        <f>output!D11/SUM(output!D$11:D$23)</f>
        <v>0.39768348730328212</v>
      </c>
      <c r="P5" s="23">
        <f>output!E11/SUM(output!E$11:E$23)</f>
        <v>0.36657221003868617</v>
      </c>
      <c r="Q5" s="23">
        <f>output!F11/SUM(output!F$11:F$23)</f>
        <v>0.42068293286711123</v>
      </c>
      <c r="R5" s="23">
        <f>output!G11/SUM(output!G$11:G$23)</f>
        <v>0.2542791250765738</v>
      </c>
      <c r="S5" s="23">
        <f>output!H11/SUM(output!H$11:H$23)</f>
        <v>0.24160212038738998</v>
      </c>
      <c r="T5" s="23">
        <f>IF(SUM(output!I$11:I$23)&gt;0,output!I11/SUM(output!I$11:I$23),0)</f>
        <v>0</v>
      </c>
      <c r="U5" s="23">
        <f>output!J11/SUM(output!J$11:J$23)</f>
        <v>0.28176315421456316</v>
      </c>
      <c r="W5" s="22" t="s">
        <v>54</v>
      </c>
      <c r="X5" s="10">
        <f ref="X5:X18" si="0" t="shared">M5-B5</f>
        <v>0.14378555254726899</v>
      </c>
      <c r="Y5" s="10">
        <f ref="Y5:Y18" si="1" t="shared">N5-C5</f>
        <v>9.3501705730867524E-2</v>
      </c>
      <c r="Z5" s="10">
        <f ref="Z5:Z18" si="2" t="shared">O5-D5</f>
        <v>3.921432051636492E-2</v>
      </c>
      <c r="AA5" s="10">
        <f ref="AA5:AA18" si="3" t="shared">P5-E5</f>
        <v>3.8346299564912922E-2</v>
      </c>
      <c r="AB5" s="10">
        <f ref="AB5:AB18" si="4" t="shared">Q5-F5</f>
        <v>1.5036990878734058E-2</v>
      </c>
      <c r="AC5" s="10">
        <f ref="AC5:AC18" si="5" t="shared">R5-G5</f>
        <v>0.15982034229583791</v>
      </c>
      <c r="AD5" s="10">
        <f ref="AD5:AD18" si="6" t="shared">S5-H5</f>
        <v>0.13016917543625572</v>
      </c>
      <c r="AE5" s="10">
        <f ref="AE5:AE18" si="7" t="shared">T5-I5</f>
        <v>0</v>
      </c>
      <c r="AF5" s="10">
        <f ref="AF5:AF18" si="8" t="shared">U5-J5</f>
        <v>0.10955900834521731</v>
      </c>
    </row>
    <row r="6" spans="1:32" x14ac:dyDescent="0.2">
      <c r="A6" s="22" t="s">
        <v>55</v>
      </c>
      <c r="B6" s="23">
        <f>output_NHTS!B12/SUM(output_NHTS!B$11:B$23)</f>
        <v>0.28589674513393631</v>
      </c>
      <c r="C6" s="23">
        <f>output_NHTS!C12/SUM(output_NHTS!C$11:C$23)</f>
        <v>0.20292712685982839</v>
      </c>
      <c r="D6" s="23">
        <f>output_NHTS!D12/SUM(output_NHTS!D$11:D$23)</f>
        <v>0.1984803571783674</v>
      </c>
      <c r="E6" s="23">
        <f>output_NHTS!E12/SUM(output_NHTS!E$11:E$23)</f>
        <v>0.17198397734388721</v>
      </c>
      <c r="F6" s="23">
        <f>output_NHTS!F12/SUM(output_NHTS!F$11:F$23)</f>
        <v>0.22525440009027423</v>
      </c>
      <c r="G6" s="23">
        <f>output_NHTS!G12/SUM(output_NHTS!G$11:G$23)</f>
        <v>0.39089995535904887</v>
      </c>
      <c r="H6" s="23">
        <f>output_NHTS!H12/SUM(output_NHTS!H$11:H$23)</f>
        <v>0.47005289814230244</v>
      </c>
      <c r="I6" s="23">
        <f>IF(SUM(output_NHTS!I$11:I$23)&gt;0,output_NHTS!I12/SUM(output_NHTS!I$11:I$23),0)</f>
        <v>0</v>
      </c>
      <c r="J6" s="23">
        <f>output_NHTS!J12/SUM(output_NHTS!J$11:J$23)</f>
        <v>0.28597760650055065</v>
      </c>
      <c r="L6" s="22" t="s">
        <v>55</v>
      </c>
      <c r="M6" s="23">
        <f>output!B12/SUM(output!B$11:B$23)</f>
        <v>0.13231339823829394</v>
      </c>
      <c r="N6" s="23">
        <f>output!C12/SUM(output!C$11:C$23)</f>
        <v>9.1857307249712319E-2</v>
      </c>
      <c r="O6" s="23">
        <f>output!D12/SUM(output!D$11:D$23)</f>
        <v>0.11906596722529131</v>
      </c>
      <c r="P6" s="23">
        <f>output!E12/SUM(output!E$11:E$23)</f>
        <v>0.1097503880935367</v>
      </c>
      <c r="Q6" s="23">
        <f>output!F12/SUM(output!F$11:F$23)</f>
        <v>0.19638574721891294</v>
      </c>
      <c r="R6" s="23">
        <f>output!G12/SUM(output!G$11:G$23)</f>
        <v>0.25811682461893265</v>
      </c>
      <c r="S6" s="23">
        <f>output!H12/SUM(output!H$11:H$23)</f>
        <v>0.30984460225890137</v>
      </c>
      <c r="T6" s="23">
        <f>IF(SUM(output!I$11:I$23)&gt;0,output!I12/SUM(output!I$11:I$23),0)</f>
        <v>0</v>
      </c>
      <c r="U6" s="23">
        <f>output!J12/SUM(output!J$11:J$23)</f>
        <v>0.15876495636729493</v>
      </c>
      <c r="W6" s="22" t="s">
        <v>55</v>
      </c>
      <c r="X6" s="10">
        <f si="0" t="shared"/>
        <v>-0.15358334689564238</v>
      </c>
      <c r="Y6" s="10">
        <f si="1" t="shared"/>
        <v>-0.11106981961011607</v>
      </c>
      <c r="Z6" s="10">
        <f si="2" t="shared"/>
        <v>-7.9414389953076092E-2</v>
      </c>
      <c r="AA6" s="10">
        <f si="3" t="shared"/>
        <v>-6.223358925035051E-2</v>
      </c>
      <c r="AB6" s="10">
        <f si="4" t="shared"/>
        <v>-2.8868652871361283E-2</v>
      </c>
      <c r="AC6" s="10">
        <f si="5" t="shared"/>
        <v>-0.13278313074011622</v>
      </c>
      <c r="AD6" s="10">
        <f si="6" t="shared"/>
        <v>-0.16020829588340108</v>
      </c>
      <c r="AE6" s="10">
        <f si="7" t="shared"/>
        <v>0</v>
      </c>
      <c r="AF6" s="10">
        <f si="8" t="shared"/>
        <v>-0.12721265013325572</v>
      </c>
    </row>
    <row r="7" spans="1:32" x14ac:dyDescent="0.2">
      <c r="A7" s="22" t="s">
        <v>56</v>
      </c>
      <c r="B7" s="23">
        <f>output_NHTS!B13/SUM(output_NHTS!B$11:B$23)</f>
        <v>0.14769304704670919</v>
      </c>
      <c r="C7" s="23">
        <f>output_NHTS!C13/SUM(output_NHTS!C$11:C$23)</f>
        <v>0.10588237313203264</v>
      </c>
      <c r="D7" s="23">
        <f>output_NHTS!D13/SUM(output_NHTS!D$11:D$23)</f>
        <v>8.566615498329376E-2</v>
      </c>
      <c r="E7" s="23">
        <f>output_NHTS!E13/SUM(output_NHTS!E$11:E$23)</f>
        <v>7.8981754246645525E-2</v>
      </c>
      <c r="F7" s="23">
        <f>output_NHTS!F13/SUM(output_NHTS!F$11:F$23)</f>
        <v>7.2869247184956423E-2</v>
      </c>
      <c r="G7" s="23">
        <f>output_NHTS!G13/SUM(output_NHTS!G$11:G$23)</f>
        <v>0.15738332680795106</v>
      </c>
      <c r="H7" s="23">
        <f>output_NHTS!H13/SUM(output_NHTS!H$11:H$23)</f>
        <v>9.5785147547028729E-2</v>
      </c>
      <c r="I7" s="23">
        <f>IF(SUM(output_NHTS!I$11:I$23)&gt;0,output_NHTS!I13/SUM(output_NHTS!I$11:I$23),0)</f>
        <v>0</v>
      </c>
      <c r="J7" s="23">
        <f>output_NHTS!J13/SUM(output_NHTS!J$11:J$23)</f>
        <v>0.11937869905554761</v>
      </c>
      <c r="L7" s="22" t="s">
        <v>56</v>
      </c>
      <c r="M7" s="23">
        <f>output!B13/SUM(output!B$11:B$23)</f>
        <v>0.1301092116922824</v>
      </c>
      <c r="N7" s="23">
        <f>output!C13/SUM(output!C$11:C$23)</f>
        <v>0.11080322209436133</v>
      </c>
      <c r="O7" s="23">
        <f>output!D13/SUM(output!D$11:D$23)</f>
        <v>0.12889373752379185</v>
      </c>
      <c r="P7" s="23">
        <f>output!E13/SUM(output!E$11:E$23)</f>
        <v>0.11274671660547519</v>
      </c>
      <c r="Q7" s="23">
        <f>output!F13/SUM(output!F$11:F$23)</f>
        <v>0.10918571008617889</v>
      </c>
      <c r="R7" s="23">
        <f>output!G13/SUM(output!G$11:G$23)</f>
        <v>0.10559979820547007</v>
      </c>
      <c r="S7" s="23">
        <f>output!H13/SUM(output!H$11:H$23)</f>
        <v>0.16461079435911066</v>
      </c>
      <c r="T7" s="23">
        <f>IF(SUM(output!I$11:I$23)&gt;0,output!I13/SUM(output!I$11:I$23),0)</f>
        <v>0</v>
      </c>
      <c r="U7" s="23">
        <f>output!J13/SUM(output!J$11:J$23)</f>
        <v>0.13046102384695912</v>
      </c>
      <c r="W7" s="22" t="s">
        <v>56</v>
      </c>
      <c r="X7" s="10">
        <f si="0" t="shared"/>
        <v>-1.7583835354426786E-2</v>
      </c>
      <c r="Y7" s="10">
        <f si="1" t="shared"/>
        <v>4.9208489623286944E-3</v>
      </c>
      <c r="Z7" s="10">
        <f si="2" t="shared"/>
        <v>4.3227582540498091E-2</v>
      </c>
      <c r="AA7" s="10">
        <f si="3" t="shared"/>
        <v>3.376496235882967E-2</v>
      </c>
      <c r="AB7" s="10">
        <f si="4" t="shared"/>
        <v>3.6316462901222465E-2</v>
      </c>
      <c r="AC7" s="10">
        <f si="5" t="shared"/>
        <v>-5.1783528602480991E-2</v>
      </c>
      <c r="AD7" s="10">
        <f si="6" t="shared"/>
        <v>6.8825646812081934E-2</v>
      </c>
      <c r="AE7" s="10">
        <f si="7" t="shared"/>
        <v>0</v>
      </c>
      <c r="AF7" s="10">
        <f si="8" t="shared"/>
        <v>1.108232479141151E-2</v>
      </c>
    </row>
    <row r="8" spans="1:32" x14ac:dyDescent="0.2">
      <c r="A8" s="22" t="s">
        <v>57</v>
      </c>
      <c r="B8" s="23">
        <f>output_NHTS!B14/SUM(output_NHTS!B$11:B$23)</f>
        <v>9.2095080865034595E-2</v>
      </c>
      <c r="C8" s="23">
        <f>output_NHTS!C14/SUM(output_NHTS!C$11:C$23)</f>
        <v>6.212004064681112E-2</v>
      </c>
      <c r="D8" s="23">
        <f>output_NHTS!D14/SUM(output_NHTS!D$11:D$23)</f>
        <v>5.5240505206975273E-2</v>
      </c>
      <c r="E8" s="23">
        <f>output_NHTS!E14/SUM(output_NHTS!E$11:E$23)</f>
        <v>4.1641958508289459E-2</v>
      </c>
      <c r="F8" s="23">
        <f>output_NHTS!F14/SUM(output_NHTS!F$11:F$23)</f>
        <v>4.3439420444694003E-2</v>
      </c>
      <c r="G8" s="23">
        <f>output_NHTS!G14/SUM(output_NHTS!G$11:G$23)</f>
        <v>3.046757301922794E-2</v>
      </c>
      <c r="H8" s="23">
        <f>output_NHTS!H14/SUM(output_NHTS!H$11:H$23)</f>
        <v>5.3727746957445408E-2</v>
      </c>
      <c r="I8" s="23">
        <f>IF(SUM(output_NHTS!I$11:I$23)&gt;0,output_NHTS!I14/SUM(output_NHTS!I$11:I$23),0)</f>
        <v>0</v>
      </c>
      <c r="J8" s="23">
        <f>output_NHTS!J14/SUM(output_NHTS!J$11:J$23)</f>
        <v>7.0440650275453209E-2</v>
      </c>
      <c r="L8" s="22" t="s">
        <v>57</v>
      </c>
      <c r="M8" s="23">
        <f>output!B14/SUM(output!B$11:B$23)</f>
        <v>0.11411888288351731</v>
      </c>
      <c r="N8" s="23">
        <f>output!C14/SUM(output!C$11:C$23)</f>
        <v>9.5125431530494825E-2</v>
      </c>
      <c r="O8" s="23">
        <f>output!D14/SUM(output!D$11:D$23)</f>
        <v>9.8602664685947722E-2</v>
      </c>
      <c r="P8" s="23">
        <f>output!E14/SUM(output!E$11:E$23)</f>
        <v>9.1422516817386584E-2</v>
      </c>
      <c r="Q8" s="23">
        <f>output!F14/SUM(output!F$11:F$23)</f>
        <v>5.283678616186778E-2</v>
      </c>
      <c r="R8" s="23">
        <f>output!G14/SUM(output!G$11:G$23)</f>
        <v>6.7330906994342549E-2</v>
      </c>
      <c r="S8" s="23">
        <f>output!H14/SUM(output!H$11:H$23)</f>
        <v>6.6250875071596771E-2</v>
      </c>
      <c r="T8" s="23">
        <f>IF(SUM(output!I$11:I$23)&gt;0,output!I14/SUM(output!I$11:I$23),0)</f>
        <v>0</v>
      </c>
      <c r="U8" s="23">
        <f>output!J14/SUM(output!J$11:J$23)</f>
        <v>9.7498557655015985E-2</v>
      </c>
      <c r="W8" s="22" t="s">
        <v>57</v>
      </c>
      <c r="X8" s="10">
        <f si="0" t="shared"/>
        <v>2.202380201848271E-2</v>
      </c>
      <c r="Y8" s="10">
        <f si="1" t="shared"/>
        <v>3.3005390883683705E-2</v>
      </c>
      <c r="Z8" s="10">
        <f si="2" t="shared"/>
        <v>4.3362159478972449E-2</v>
      </c>
      <c r="AA8" s="10">
        <f si="3" t="shared"/>
        <v>4.9780558309097125E-2</v>
      </c>
      <c r="AB8" s="10">
        <f si="4" t="shared"/>
        <v>9.3973657171737765E-3</v>
      </c>
      <c r="AC8" s="10">
        <f si="5" t="shared"/>
        <v>3.6863333975114612E-2</v>
      </c>
      <c r="AD8" s="10">
        <f si="6" t="shared"/>
        <v>1.2523128114151363E-2</v>
      </c>
      <c r="AE8" s="10">
        <f si="7" t="shared"/>
        <v>0</v>
      </c>
      <c r="AF8" s="10">
        <f si="8" t="shared"/>
        <v>2.7057907379562776E-2</v>
      </c>
    </row>
    <row r="9" spans="1:32" x14ac:dyDescent="0.2">
      <c r="A9" s="22" t="s">
        <v>58</v>
      </c>
      <c r="B9" s="23">
        <f>output_NHTS!B15/SUM(output_NHTS!B$11:B$23)</f>
        <v>9.9640948336336146E-2</v>
      </c>
      <c r="C9" s="23">
        <f>output_NHTS!C15/SUM(output_NHTS!C$11:C$23)</f>
        <v>7.3722659758659284E-2</v>
      </c>
      <c r="D9" s="23">
        <f>output_NHTS!D15/SUM(output_NHTS!D$11:D$23)</f>
        <v>6.4034435092573255E-2</v>
      </c>
      <c r="E9" s="23">
        <f>output_NHTS!E15/SUM(output_NHTS!E$11:E$23)</f>
        <v>6.5240412649205437E-2</v>
      </c>
      <c r="F9" s="23">
        <f>output_NHTS!F15/SUM(output_NHTS!F$11:F$23)</f>
        <v>2.8191872083292348E-2</v>
      </c>
      <c r="G9" s="23">
        <f>output_NHTS!G15/SUM(output_NHTS!G$11:G$23)</f>
        <v>7.2943695626355012E-2</v>
      </c>
      <c r="H9" s="23">
        <f>output_NHTS!H15/SUM(output_NHTS!H$11:H$23)</f>
        <v>3.2948359560086231E-2</v>
      </c>
      <c r="I9" s="23">
        <f>IF(SUM(output_NHTS!I$11:I$23)&gt;0,output_NHTS!I15/SUM(output_NHTS!I$11:I$23),0)</f>
        <v>0</v>
      </c>
      <c r="J9" s="23">
        <f>output_NHTS!J15/SUM(output_NHTS!J$11:J$23)</f>
        <v>7.6212131735573105E-2</v>
      </c>
      <c r="L9" s="22" t="s">
        <v>58</v>
      </c>
      <c r="M9" s="23">
        <f>output!B15/SUM(output!B$11:B$23)</f>
        <v>0.11186422774246932</v>
      </c>
      <c r="N9" s="23">
        <f>output!C15/SUM(output!C$11:C$23)</f>
        <v>8.3461449942462601E-2</v>
      </c>
      <c r="O9" s="23">
        <f>output!D15/SUM(output!D$11:D$23)</f>
        <v>4.9027436052179567E-2</v>
      </c>
      <c r="P9" s="23">
        <f>output!E15/SUM(output!E$11:E$23)</f>
        <v>5.2943350664071166E-2</v>
      </c>
      <c r="Q9" s="23">
        <f>output!F15/SUM(output!F$11:F$23)</f>
        <v>2.2898519332229667E-2</v>
      </c>
      <c r="R9" s="23">
        <f>output!G15/SUM(output!G$11:G$23)</f>
        <v>3.2359194263269789E-2</v>
      </c>
      <c r="S9" s="23">
        <f>output!H15/SUM(output!H$11:H$23)</f>
        <v>2.3730818617779956E-2</v>
      </c>
      <c r="T9" s="23">
        <f>IF(SUM(output!I$11:I$23)&gt;0,output!I15/SUM(output!I$11:I$23),0)</f>
        <v>0</v>
      </c>
      <c r="U9" s="23">
        <f>output!J15/SUM(output!J$11:J$23)</f>
        <v>7.6601399258643177E-2</v>
      </c>
      <c r="W9" s="22" t="s">
        <v>58</v>
      </c>
      <c r="X9" s="10">
        <f si="0" t="shared"/>
        <v>1.2223279406133172E-2</v>
      </c>
      <c r="Y9" s="10">
        <f si="1" t="shared"/>
        <v>9.738790183803317E-3</v>
      </c>
      <c r="Z9" s="10">
        <f si="2" t="shared"/>
        <v>-1.5006999040393688E-2</v>
      </c>
      <c r="AA9" s="10">
        <f si="3" t="shared"/>
        <v>-1.2297061985134271E-2</v>
      </c>
      <c r="AB9" s="10">
        <f si="4" t="shared"/>
        <v>-5.293352751062682E-3</v>
      </c>
      <c r="AC9" s="10">
        <f si="5" t="shared"/>
        <v>-4.0584501363085224E-2</v>
      </c>
      <c r="AD9" s="10">
        <f si="6" t="shared"/>
        <v>-9.2175409423062744E-3</v>
      </c>
      <c r="AE9" s="10">
        <f si="7" t="shared"/>
        <v>0</v>
      </c>
      <c r="AF9" s="10">
        <f si="8" t="shared"/>
        <v>3.8926752307007206E-4</v>
      </c>
    </row>
    <row r="10" spans="1:32" x14ac:dyDescent="0.2">
      <c r="A10" s="22" t="s">
        <v>59</v>
      </c>
      <c r="B10" s="23">
        <f>output_NHTS!B16/SUM(output_NHTS!B$11:B$23)</f>
        <v>7.1826449086404051E-2</v>
      </c>
      <c r="C10" s="23">
        <f>output_NHTS!C16/SUM(output_NHTS!C$11:C$23)</f>
        <v>8.2090108766995934E-2</v>
      </c>
      <c r="D10" s="23">
        <f>output_NHTS!D16/SUM(output_NHTS!D$11:D$23)</f>
        <v>5.6655438355848908E-2</v>
      </c>
      <c r="E10" s="23">
        <f>output_NHTS!E16/SUM(output_NHTS!E$11:E$23)</f>
        <v>6.8937330496647353E-2</v>
      </c>
      <c r="F10" s="23">
        <f>output_NHTS!F16/SUM(output_NHTS!F$11:F$23)</f>
        <v>8.2043280745616162E-2</v>
      </c>
      <c r="G10" s="23">
        <f>output_NHTS!G16/SUM(output_NHTS!G$11:G$23)</f>
        <v>0.11787835119361044</v>
      </c>
      <c r="H10" s="23">
        <f>output_NHTS!H16/SUM(output_NHTS!H$11:H$23)</f>
        <v>0.1217515217267799</v>
      </c>
      <c r="I10" s="23">
        <f>IF(SUM(output_NHTS!I$11:I$23)&gt;0,output_NHTS!I16/SUM(output_NHTS!I$11:I$23),0)</f>
        <v>0</v>
      </c>
      <c r="J10" s="23">
        <f>output_NHTS!J16/SUM(output_NHTS!J$11:J$23)</f>
        <v>7.9647106633137302E-2</v>
      </c>
      <c r="L10" s="22" t="s">
        <v>59</v>
      </c>
      <c r="M10" s="23">
        <f>output!B16/SUM(output!B$11:B$23)</f>
        <v>3.9289214391765401E-2</v>
      </c>
      <c r="N10" s="23">
        <f>output!C16/SUM(output!C$11:C$23)</f>
        <v>4.0653624856156499E-2</v>
      </c>
      <c r="O10" s="23">
        <f>output!D16/SUM(output!D$11:D$23)</f>
        <v>3.0829580799405783E-2</v>
      </c>
      <c r="P10" s="23">
        <f>output!E16/SUM(output!E$11:E$23)</f>
        <v>3.3546066086785106E-2</v>
      </c>
      <c r="Q10" s="23">
        <f>output!F16/SUM(output!F$11:F$23)</f>
        <v>5.4090015936131698E-2</v>
      </c>
      <c r="R10" s="23">
        <f>output!G16/SUM(output!G$11:G$23)</f>
        <v>8.3240243594825417E-2</v>
      </c>
      <c r="S10" s="23">
        <f>output!H16/SUM(output!H$11:H$23)</f>
        <v>6.1230678231962293E-2</v>
      </c>
      <c r="T10" s="23">
        <f>IF(SUM(output!I$11:I$23)&gt;0,output!I16/SUM(output!I$11:I$23),0)</f>
        <v>0</v>
      </c>
      <c r="U10" s="23">
        <f>output!J16/SUM(output!J$11:J$23)</f>
        <v>4.2922714654621365E-2</v>
      </c>
      <c r="W10" s="22" t="s">
        <v>59</v>
      </c>
      <c r="X10" s="10">
        <f si="0" t="shared"/>
        <v>-3.253723469463865E-2</v>
      </c>
      <c r="Y10" s="10">
        <f si="1" t="shared"/>
        <v>-4.1436483910839435E-2</v>
      </c>
      <c r="Z10" s="10">
        <f si="2" t="shared"/>
        <v>-2.5825857556443125E-2</v>
      </c>
      <c r="AA10" s="10">
        <f si="3" t="shared"/>
        <v>-3.5391264409862247E-2</v>
      </c>
      <c r="AB10" s="10">
        <f si="4" t="shared"/>
        <v>-2.7953264809484464E-2</v>
      </c>
      <c r="AC10" s="10">
        <f si="5" t="shared"/>
        <v>-3.4638107598785023E-2</v>
      </c>
      <c r="AD10" s="10">
        <f si="6" t="shared"/>
        <v>-6.0520843494817608E-2</v>
      </c>
      <c r="AE10" s="10">
        <f si="7" t="shared"/>
        <v>0</v>
      </c>
      <c r="AF10" s="10">
        <f si="8" t="shared"/>
        <v>-3.6724391978515937E-2</v>
      </c>
    </row>
    <row r="11" spans="1:32" x14ac:dyDescent="0.2">
      <c r="A11" s="22" t="s">
        <v>60</v>
      </c>
      <c r="B11" s="23">
        <f>output_NHTS!B17/SUM(output_NHTS!B$11:B$23)</f>
        <v>5.7651267400695566E-2</v>
      </c>
      <c r="C11" s="23">
        <f>output_NHTS!C17/SUM(output_NHTS!C$11:C$23)</f>
        <v>5.8022021074927314E-2</v>
      </c>
      <c r="D11" s="23">
        <f>output_NHTS!D17/SUM(output_NHTS!D$11:D$23)</f>
        <v>4.1268360564240915E-2</v>
      </c>
      <c r="E11" s="23">
        <f>output_NHTS!E17/SUM(output_NHTS!E$11:E$23)</f>
        <v>5.6288716638214789E-2</v>
      </c>
      <c r="F11" s="23">
        <f>output_NHTS!F17/SUM(output_NHTS!F$11:F$23)</f>
        <v>3.0802776745722578E-2</v>
      </c>
      <c r="G11" s="23">
        <f>output_NHTS!G17/SUM(output_NHTS!G$11:G$23)</f>
        <v>4.9776019449328364E-2</v>
      </c>
      <c r="H11" s="23">
        <f>output_NHTS!H17/SUM(output_NHTS!H$11:H$23)</f>
        <v>5.859206401586381E-2</v>
      </c>
      <c r="I11" s="23">
        <f>IF(SUM(output_NHTS!I$11:I$23)&gt;0,output_NHTS!I17/SUM(output_NHTS!I$11:I$23),0)</f>
        <v>0</v>
      </c>
      <c r="J11" s="23">
        <f>output_NHTS!J17/SUM(output_NHTS!J$11:J$23)</f>
        <v>5.4431775158555219E-2</v>
      </c>
      <c r="L11" s="22" t="s">
        <v>60</v>
      </c>
      <c r="M11" s="23">
        <f>output!B17/SUM(output!B$11:B$23)</f>
        <v>5.7879262689037161E-2</v>
      </c>
      <c r="N11" s="23">
        <f>output!C17/SUM(output!C$11:C$23)</f>
        <v>6.9762945914844651E-2</v>
      </c>
      <c r="O11" s="23">
        <f>output!D17/SUM(output!D$11:D$23)</f>
        <v>4.7890070098881202E-2</v>
      </c>
      <c r="P11" s="23">
        <f>output!E17/SUM(output!E$11:E$23)</f>
        <v>5.0597540842224578E-2</v>
      </c>
      <c r="Q11" s="23">
        <f>output!F17/SUM(output!F$11:F$23)</f>
        <v>5.1165813129515882E-2</v>
      </c>
      <c r="R11" s="23">
        <f>output!G17/SUM(output!G$11:G$23)</f>
        <v>6.2772512702244959E-2</v>
      </c>
      <c r="S11" s="23">
        <f>output!H17/SUM(output!H$11:H$23)</f>
        <v>5.6775768284784797E-2</v>
      </c>
      <c r="T11" s="23">
        <f>IF(SUM(output!I$11:I$23)&gt;0,output!I17/SUM(output!I$11:I$23),0)</f>
        <v>0</v>
      </c>
      <c r="U11" s="23">
        <f>output!J17/SUM(output!J$11:J$23)</f>
        <v>5.6296465731072158E-2</v>
      </c>
      <c r="W11" s="22" t="s">
        <v>60</v>
      </c>
      <c r="X11" s="10">
        <f si="0" t="shared"/>
        <v>2.2799528834159533E-4</v>
      </c>
      <c r="Y11" s="10">
        <f si="1" t="shared"/>
        <v>1.1740924839917337E-2</v>
      </c>
      <c r="Z11" s="10">
        <f si="2" t="shared"/>
        <v>6.6217095346402868E-3</v>
      </c>
      <c r="AA11" s="10">
        <f si="3" t="shared"/>
        <v>-5.691175795990211E-3</v>
      </c>
      <c r="AB11" s="10">
        <f si="4" t="shared"/>
        <v>2.0363036383793304E-2</v>
      </c>
      <c r="AC11" s="10">
        <f si="5" t="shared"/>
        <v>1.2996493252916595E-2</v>
      </c>
      <c r="AD11" s="10">
        <f si="6" t="shared"/>
        <v>-1.8162957310790123E-3</v>
      </c>
      <c r="AE11" s="10">
        <f si="7" t="shared"/>
        <v>0</v>
      </c>
      <c r="AF11" s="10">
        <f si="8" t="shared"/>
        <v>1.8646905725169388E-3</v>
      </c>
    </row>
    <row r="12" spans="1:32" x14ac:dyDescent="0.2">
      <c r="A12" s="22" t="s">
        <v>61</v>
      </c>
      <c r="B12" s="23">
        <f>output_NHTS!B18/SUM(output_NHTS!B$11:B$23)</f>
        <v>4.594216333320994E-2</v>
      </c>
      <c r="C12" s="23">
        <f>output_NHTS!C18/SUM(output_NHTS!C$11:C$23)</f>
        <v>4.628227051230395E-2</v>
      </c>
      <c r="D12" s="23">
        <f>output_NHTS!D18/SUM(output_NHTS!D$11:D$23)</f>
        <v>4.0560208327474701E-2</v>
      </c>
      <c r="E12" s="23">
        <f>output_NHTS!E18/SUM(output_NHTS!E$11:E$23)</f>
        <v>2.8439136710356167E-2</v>
      </c>
      <c r="F12" s="23">
        <f>output_NHTS!F18/SUM(output_NHTS!F$11:F$23)</f>
        <v>2.4323720526252729E-2</v>
      </c>
      <c r="G12" s="23">
        <f>output_NHTS!G18/SUM(output_NHTS!G$11:G$23)</f>
        <v>2.829625285671104E-2</v>
      </c>
      <c r="H12" s="23">
        <f>output_NHTS!H18/SUM(output_NHTS!H$11:H$23)</f>
        <v>2.6070796934618227E-2</v>
      </c>
      <c r="I12" s="23">
        <f>IF(SUM(output_NHTS!I$11:I$23)&gt;0,output_NHTS!I18/SUM(output_NHTS!I$11:I$23),0)</f>
        <v>0</v>
      </c>
      <c r="J12" s="23">
        <f>output_NHTS!J18/SUM(output_NHTS!J$11:J$23)</f>
        <v>3.8944898079541421E-2</v>
      </c>
      <c r="L12" s="22" t="s">
        <v>61</v>
      </c>
      <c r="M12" s="23">
        <f>output!B18/SUM(output!B$11:B$23)</f>
        <v>6.369371431254145E-2</v>
      </c>
      <c r="N12" s="23">
        <f>output!C18/SUM(output!C$11:C$23)</f>
        <v>7.8407364787111619E-2</v>
      </c>
      <c r="O12" s="23">
        <f>output!D18/SUM(output!D$11:D$23)</f>
        <v>5.0494406016433777E-2</v>
      </c>
      <c r="P12" s="23">
        <f>output!E18/SUM(output!E$11:E$23)</f>
        <v>5.6550772490944486E-2</v>
      </c>
      <c r="Q12" s="23">
        <f>output!F18/SUM(output!F$11:F$23)</f>
        <v>3.2475670323209506E-2</v>
      </c>
      <c r="R12" s="23">
        <f>output!G18/SUM(output!G$11:G$23)</f>
        <v>5.1763900399985588E-2</v>
      </c>
      <c r="S12" s="23">
        <f>output!H18/SUM(output!H$11:H$23)</f>
        <v>3.2569509697852286E-2</v>
      </c>
      <c r="T12" s="23">
        <f>IF(SUM(output!I$11:I$23)&gt;0,output!I18/SUM(output!I$11:I$23),0)</f>
        <v>0</v>
      </c>
      <c r="U12" s="23">
        <f>output!J18/SUM(output!J$11:J$23)</f>
        <v>5.5943735240380453E-2</v>
      </c>
      <c r="W12" s="22" t="s">
        <v>61</v>
      </c>
      <c r="X12" s="10">
        <f si="0" t="shared"/>
        <v>1.775155097933151E-2</v>
      </c>
      <c r="Y12" s="10">
        <f si="1" t="shared"/>
        <v>3.212509427480767E-2</v>
      </c>
      <c r="Z12" s="10">
        <f si="2" t="shared"/>
        <v>9.9341976889590761E-3</v>
      </c>
      <c r="AA12" s="10">
        <f si="3" t="shared"/>
        <v>2.8111635780588319E-2</v>
      </c>
      <c r="AB12" s="10">
        <f si="4" t="shared"/>
        <v>8.151949796956777E-3</v>
      </c>
      <c r="AC12" s="10">
        <f si="5" t="shared"/>
        <v>2.3467647543274548E-2</v>
      </c>
      <c r="AD12" s="10">
        <f si="6" t="shared"/>
        <v>6.4987127632340595E-3</v>
      </c>
      <c r="AE12" s="10">
        <f si="7" t="shared"/>
        <v>0</v>
      </c>
      <c r="AF12" s="10">
        <f si="8" t="shared"/>
        <v>1.6998837160839032E-2</v>
      </c>
    </row>
    <row r="13" spans="1:32" x14ac:dyDescent="0.2">
      <c r="A13" s="22" t="s">
        <v>62</v>
      </c>
      <c r="B13" s="23">
        <f>output_NHTS!B19/SUM(output_NHTS!B$11:B$23)</f>
        <v>5.0108800528960468E-2</v>
      </c>
      <c r="C13" s="23">
        <f>output_NHTS!C19/SUM(output_NHTS!C$11:C$23)</f>
        <v>6.9951883366204573E-2</v>
      </c>
      <c r="D13" s="23">
        <f>output_NHTS!D19/SUM(output_NHTS!D$11:D$23)</f>
        <v>3.9100180972711999E-2</v>
      </c>
      <c r="E13" s="23">
        <f>output_NHTS!E19/SUM(output_NHTS!E$11:E$23)</f>
        <v>4.7659524067581858E-2</v>
      </c>
      <c r="F13" s="23">
        <f>output_NHTS!F19/SUM(output_NHTS!F$11:F$23)</f>
        <v>3.6821594333989759E-2</v>
      </c>
      <c r="G13" s="23">
        <f>output_NHTS!G19/SUM(output_NHTS!G$11:G$23)</f>
        <v>3.2331534625020891E-2</v>
      </c>
      <c r="H13" s="23">
        <f>output_NHTS!H19/SUM(output_NHTS!H$11:H$23)</f>
        <v>1.0020869966502045E-2</v>
      </c>
      <c r="I13" s="23">
        <f>IF(SUM(output_NHTS!I$11:I$23)&gt;0,output_NHTS!I19/SUM(output_NHTS!I$11:I$23),0)</f>
        <v>0</v>
      </c>
      <c r="J13" s="23">
        <f>output_NHTS!J19/SUM(output_NHTS!J$11:J$23)</f>
        <v>4.2597452453860596E-2</v>
      </c>
      <c r="L13" s="22" t="s">
        <v>62</v>
      </c>
      <c r="M13" s="23">
        <f>output!B19/SUM(output!B$11:B$23)</f>
        <v>5.8486059517731497E-2</v>
      </c>
      <c r="N13" s="23">
        <f>output!C19/SUM(output!C$11:C$23)</f>
        <v>6.7700805523590341E-2</v>
      </c>
      <c r="O13" s="23">
        <f>output!D19/SUM(output!D$11:D$23)</f>
        <v>2.8968014484007241E-2</v>
      </c>
      <c r="P13" s="23">
        <f>output!E19/SUM(output!E$11:E$23)</f>
        <v>3.8134194120690933E-2</v>
      </c>
      <c r="Q13" s="23">
        <f>output!F19/SUM(output!F$11:F$23)</f>
        <v>1.8086735877957082E-2</v>
      </c>
      <c r="R13" s="23">
        <f>output!G19/SUM(output!G$11:G$23)</f>
        <v>2.9116067889445426E-2</v>
      </c>
      <c r="S13" s="23">
        <f>output!H19/SUM(output!H$11:H$23)</f>
        <v>1.4236993721946234E-2</v>
      </c>
      <c r="T13" s="23">
        <f>IF(SUM(output!I$11:I$23)&gt;0,output!I19/SUM(output!I$11:I$23),0)</f>
        <v>0</v>
      </c>
      <c r="U13" s="23">
        <f>output!J19/SUM(output!J$11:J$23)</f>
        <v>4.4021104946662962E-2</v>
      </c>
      <c r="W13" s="22" t="s">
        <v>62</v>
      </c>
      <c r="X13" s="10">
        <f si="0" t="shared"/>
        <v>8.3772589887710289E-3</v>
      </c>
      <c r="Y13" s="10">
        <f si="1" t="shared"/>
        <v>-2.2510778426142325E-3</v>
      </c>
      <c r="Z13" s="10">
        <f si="2" t="shared"/>
        <v>-1.0132166488704759E-2</v>
      </c>
      <c r="AA13" s="10">
        <f si="3" t="shared"/>
        <v>-9.5253299468909258E-3</v>
      </c>
      <c r="AB13" s="10">
        <f si="4" t="shared"/>
        <v>-1.8734858456032677E-2</v>
      </c>
      <c r="AC13" s="10">
        <f si="5" t="shared"/>
        <v>-3.2154667355754653E-3</v>
      </c>
      <c r="AD13" s="10">
        <f si="6" t="shared"/>
        <v>4.2161237554441885E-3</v>
      </c>
      <c r="AE13" s="10">
        <f si="7" t="shared"/>
        <v>0</v>
      </c>
      <c r="AF13" s="10">
        <f si="8" t="shared"/>
        <v>1.4236524928023658E-3</v>
      </c>
    </row>
    <row r="14" spans="1:32" x14ac:dyDescent="0.2">
      <c r="A14" s="22" t="s">
        <v>63</v>
      </c>
      <c r="B14" s="23">
        <f>output_NHTS!B20/SUM(output_NHTS!B$11:B$23)</f>
        <v>1.5799397686404034E-2</v>
      </c>
      <c r="C14" s="23">
        <f>output_NHTS!C20/SUM(output_NHTS!C$11:C$23)</f>
        <v>3.5463752677051361E-2</v>
      </c>
      <c r="D14" s="23">
        <f>output_NHTS!D20/SUM(output_NHTS!D$11:D$23)</f>
        <v>1.5285624384158645E-2</v>
      </c>
      <c r="E14" s="23">
        <f>output_NHTS!E20/SUM(output_NHTS!E$11:E$23)</f>
        <v>2.0457507914010159E-2</v>
      </c>
      <c r="F14" s="23">
        <f>output_NHTS!F20/SUM(output_NHTS!F$11:F$23)</f>
        <v>2.4742618408452266E-2</v>
      </c>
      <c r="G14" s="23">
        <f>output_NHTS!G20/SUM(output_NHTS!G$11:G$23)</f>
        <v>1.0622844000208206E-2</v>
      </c>
      <c r="H14" s="23">
        <f>output_NHTS!H20/SUM(output_NHTS!H$11:H$23)</f>
        <v>5.5928818522269315E-3</v>
      </c>
      <c r="I14" s="23">
        <f>IF(SUM(output_NHTS!I$11:I$23)&gt;0,output_NHTS!I20/SUM(output_NHTS!I$11:I$23),0)</f>
        <v>0</v>
      </c>
      <c r="J14" s="23">
        <f>output_NHTS!J20/SUM(output_NHTS!J$11:J$23)</f>
        <v>1.6102254733598446E-2</v>
      </c>
      <c r="L14" s="22" t="s">
        <v>63</v>
      </c>
      <c r="M14" s="23">
        <f>output!B20/SUM(output!B$11:B$23)</f>
        <v>7.6019788384007322E-3</v>
      </c>
      <c r="N14" s="23">
        <f>output!C20/SUM(output!C$11:C$23)</f>
        <v>1.1479861910241657E-2</v>
      </c>
      <c r="O14" s="23">
        <f>output!D20/SUM(output!D$11:D$23)</f>
        <v>6.963465020194049E-3</v>
      </c>
      <c r="P14" s="23">
        <f>output!E20/SUM(output!E$11:E$23)</f>
        <v>1.1965601360175443E-2</v>
      </c>
      <c r="Q14" s="23">
        <f>output!F20/SUM(output!F$11:F$23)</f>
        <v>9.9175343864589295E-3</v>
      </c>
      <c r="R14" s="23">
        <f>output!G20/SUM(output!G$11:G$23)</f>
        <v>1.3999495513675183E-2</v>
      </c>
      <c r="S14" s="23">
        <f>output!H20/SUM(output!H$11:H$23)</f>
        <v>7.7230917823757775E-3</v>
      </c>
      <c r="T14" s="23">
        <f>IF(SUM(output!I$11:I$23)&gt;0,output!I20/SUM(output!I$11:I$23),0)</f>
        <v>0</v>
      </c>
      <c r="U14" s="23">
        <f>output!J20/SUM(output!J$11:J$23)</f>
        <v>8.5680104584873584E-3</v>
      </c>
      <c r="W14" s="22" t="s">
        <v>63</v>
      </c>
      <c r="X14" s="10">
        <f si="0" t="shared"/>
        <v>-8.197418848003301E-3</v>
      </c>
      <c r="Y14" s="10">
        <f si="1" t="shared"/>
        <v>-2.3983890766809703E-2</v>
      </c>
      <c r="Z14" s="10">
        <f si="2" t="shared"/>
        <v>-8.3221593639645972E-3</v>
      </c>
      <c r="AA14" s="10">
        <f si="3" t="shared"/>
        <v>-8.4919065538347164E-3</v>
      </c>
      <c r="AB14" s="10">
        <f si="4" t="shared"/>
        <v>-1.4825084021993336E-2</v>
      </c>
      <c r="AC14" s="10">
        <f si="5" t="shared"/>
        <v>3.3766515134669769E-3</v>
      </c>
      <c r="AD14" s="10">
        <f si="6" t="shared"/>
        <v>2.1302099301488461E-3</v>
      </c>
      <c r="AE14" s="10">
        <f si="7" t="shared"/>
        <v>0</v>
      </c>
      <c r="AF14" s="10">
        <f si="8" t="shared"/>
        <v>-7.5342442751110874E-3</v>
      </c>
    </row>
    <row r="15" spans="1:32" x14ac:dyDescent="0.2">
      <c r="A15" s="22" t="s">
        <v>64</v>
      </c>
      <c r="B15" s="23">
        <f>output_NHTS!B21/SUM(output_NHTS!B$11:B$23)</f>
        <v>1.1568516620021289E-2</v>
      </c>
      <c r="C15" s="23">
        <f>output_NHTS!C21/SUM(output_NHTS!C$11:C$23)</f>
        <v>3.1170754515639134E-2</v>
      </c>
      <c r="D15" s="23">
        <f>output_NHTS!D21/SUM(output_NHTS!D$11:D$23)</f>
        <v>1.9604979564199407E-2</v>
      </c>
      <c r="E15" s="23">
        <f>output_NHTS!E21/SUM(output_NHTS!E$11:E$23)</f>
        <v>3.393716578981066E-2</v>
      </c>
      <c r="F15" s="23">
        <f>output_NHTS!F21/SUM(output_NHTS!F$11:F$23)</f>
        <v>7.5153451198246724E-3</v>
      </c>
      <c r="G15" s="23">
        <f>output_NHTS!G21/SUM(output_NHTS!G$11:G$23)</f>
        <v>9.4003583892655028E-3</v>
      </c>
      <c r="H15" s="23">
        <f>output_NHTS!H21/SUM(output_NHTS!H$11:H$23)</f>
        <v>5.617075081074104E-3</v>
      </c>
      <c r="I15" s="23">
        <f>IF(SUM(output_NHTS!I$11:I$23)&gt;0,output_NHTS!I21/SUM(output_NHTS!I$11:I$23),0)</f>
        <v>0</v>
      </c>
      <c r="J15" s="23">
        <f>output_NHTS!J21/SUM(output_NHTS!J$11:J$23)</f>
        <v>1.5207529661698395E-2</v>
      </c>
      <c r="L15" s="22" t="s">
        <v>64</v>
      </c>
      <c r="M15" s="23">
        <f>output!B21/SUM(output!B$11:B$23)</f>
        <v>1.6337740532737101E-2</v>
      </c>
      <c r="N15" s="23">
        <f>output!C21/SUM(output!C$11:C$23)</f>
        <v>2.9486766398158802E-2</v>
      </c>
      <c r="O15" s="23">
        <f>output!D21/SUM(output!D$11:D$23)</f>
        <v>1.4511861102084397E-2</v>
      </c>
      <c r="P15" s="23">
        <f>output!E21/SUM(output!E$11:E$23)</f>
        <v>2.414311411182022E-2</v>
      </c>
      <c r="Q15" s="23">
        <f>output!F21/SUM(output!F$11:F$23)</f>
        <v>1.4760261785775068E-2</v>
      </c>
      <c r="R15" s="23">
        <f>output!G21/SUM(output!G$11:G$23)</f>
        <v>1.6738135562682426E-2</v>
      </c>
      <c r="S15" s="23">
        <f>output!H21/SUM(output!H$11:H$23)</f>
        <v>1.0890195828856586E-2</v>
      </c>
      <c r="T15" s="23">
        <f>IF(SUM(output!I$11:I$23)&gt;0,output!I21/SUM(output!I$11:I$23),0)</f>
        <v>0</v>
      </c>
      <c r="U15" s="23">
        <f>output!J21/SUM(output!J$11:J$23)</f>
        <v>1.6951446053466695E-2</v>
      </c>
      <c r="W15" s="22" t="s">
        <v>64</v>
      </c>
      <c r="X15" s="10">
        <f si="0" t="shared"/>
        <v>4.7692239127158122E-3</v>
      </c>
      <c r="Y15" s="10">
        <f si="1" t="shared"/>
        <v>-1.6839881174803319E-3</v>
      </c>
      <c r="Z15" s="10">
        <f si="2" t="shared"/>
        <v>-5.0931184621150101E-3</v>
      </c>
      <c r="AA15" s="10">
        <f si="3" t="shared"/>
        <v>-9.7940516779904396E-3</v>
      </c>
      <c r="AB15" s="10">
        <f si="4" t="shared"/>
        <v>7.2449166659503961E-3</v>
      </c>
      <c r="AC15" s="10">
        <f si="5" t="shared"/>
        <v>7.3377771734169234E-3</v>
      </c>
      <c r="AD15" s="10">
        <f si="6" t="shared"/>
        <v>5.2731207477824818E-3</v>
      </c>
      <c r="AE15" s="10">
        <f si="7" t="shared"/>
        <v>0</v>
      </c>
      <c r="AF15" s="10">
        <f si="8" t="shared"/>
        <v>1.7439163917683E-3</v>
      </c>
    </row>
    <row r="16" spans="1:32" x14ac:dyDescent="0.2">
      <c r="A16" s="22" t="s">
        <v>65</v>
      </c>
      <c r="B16" s="23">
        <f>output_NHTS!B22/SUM(output_NHTS!B$11:B$23)</f>
        <v>1.1764940508085821E-2</v>
      </c>
      <c r="C16" s="23">
        <f>output_NHTS!C22/SUM(output_NHTS!C$11:C$23)</f>
        <v>2.1459327101360785E-2</v>
      </c>
      <c r="D16" s="23">
        <f>output_NHTS!D22/SUM(output_NHTS!D$11:D$23)</f>
        <v>1.1720447430046412E-2</v>
      </c>
      <c r="E16" s="23">
        <f>output_NHTS!E22/SUM(output_NHTS!E$11:E$23)</f>
        <v>1.4838752101118728E-2</v>
      </c>
      <c r="F16" s="23">
        <f>output_NHTS!F22/SUM(output_NHTS!F$11:F$23)</f>
        <v>3.2123879627135366E-3</v>
      </c>
      <c r="G16" s="23">
        <f>output_NHTS!G22/SUM(output_NHTS!G$11:G$23)</f>
        <v>5.5413058925369504E-3</v>
      </c>
      <c r="H16" s="23">
        <f>output_NHTS!H22/SUM(output_NHTS!H$11:H$23)</f>
        <v>2.047679529126083E-3</v>
      </c>
      <c r="I16" s="23">
        <f>IF(SUM(output_NHTS!I$11:I$23)&gt;0,output_NHTS!I22/SUM(output_NHTS!I$11:I$23),0)</f>
        <v>0</v>
      </c>
      <c r="J16" s="23">
        <f>output_NHTS!J22/SUM(output_NHTS!J$11:J$23)</f>
        <v>1.0730701419147545E-2</v>
      </c>
      <c r="L16" s="22" t="s">
        <v>65</v>
      </c>
      <c r="M16" s="23">
        <f>output!B22/SUM(output!B$11:B$23)</f>
        <v>2.0560670880207507E-2</v>
      </c>
      <c r="N16" s="23">
        <f>output!C22/SUM(output!C$11:C$23)</f>
        <v>4.004602991944764E-2</v>
      </c>
      <c r="O16" s="23">
        <f>output!D22/SUM(output!D$11:D$23)</f>
        <v>1.8717793974281603E-2</v>
      </c>
      <c r="P16" s="23">
        <f>output!E22/SUM(output!E$11:E$23)</f>
        <v>3.2442155582386716E-2</v>
      </c>
      <c r="Q16" s="23">
        <f>output!F22/SUM(output!F$11:F$23)</f>
        <v>1.2996456918292513E-2</v>
      </c>
      <c r="R16" s="23">
        <f>output!G22/SUM(output!G$11:G$23)</f>
        <v>1.819754243090339E-2</v>
      </c>
      <c r="S16" s="23">
        <f>output!H22/SUM(output!H$11:H$23)</f>
        <v>8.2696605658110003E-3</v>
      </c>
      <c r="T16" s="23">
        <f>IF(SUM(output!I$11:I$23)&gt;0,output!I22/SUM(output!I$11:I$23),0)</f>
        <v>0</v>
      </c>
      <c r="U16" s="23">
        <f>output!J22/SUM(output!J$11:J$23)</f>
        <v>2.068937012978557E-2</v>
      </c>
      <c r="W16" s="22" t="s">
        <v>65</v>
      </c>
      <c r="X16" s="10">
        <f si="0" t="shared"/>
        <v>8.7957303721216858E-3</v>
      </c>
      <c r="Y16" s="10">
        <f si="1" t="shared"/>
        <v>1.8586702818086855E-2</v>
      </c>
      <c r="Z16" s="10">
        <f si="2" t="shared"/>
        <v>6.9973465442351914E-3</v>
      </c>
      <c r="AA16" s="10">
        <f si="3" t="shared"/>
        <v>1.7603403481267987E-2</v>
      </c>
      <c r="AB16" s="10">
        <f si="4" t="shared"/>
        <v>9.784068955578977E-3</v>
      </c>
      <c r="AC16" s="10">
        <f si="5" t="shared"/>
        <v>1.2656236538366439E-2</v>
      </c>
      <c r="AD16" s="10">
        <f si="6" t="shared"/>
        <v>6.2219810366849169E-3</v>
      </c>
      <c r="AE16" s="10">
        <f si="7" t="shared"/>
        <v>0</v>
      </c>
      <c r="AF16" s="10">
        <f si="8" t="shared"/>
        <v>9.9586687106380245E-3</v>
      </c>
    </row>
    <row r="17" spans="1:32" x14ac:dyDescent="0.2">
      <c r="A17" s="24" t="s">
        <v>66</v>
      </c>
      <c r="B17" s="25">
        <f>output_NHTS!B23/SUM(output_NHTS!B$11:B$23)</f>
        <v>1.537398985486613E-2</v>
      </c>
      <c r="C17" s="25">
        <f>output_NHTS!C23/SUM(output_NHTS!C$11:C$23)</f>
        <v>4.08696865135297E-2</v>
      </c>
      <c r="D17" s="25">
        <f>output_NHTS!D23/SUM(output_NHTS!D$11:D$23)</f>
        <v>1.3914141153192063E-2</v>
      </c>
      <c r="E17" s="25">
        <f>output_NHTS!E23/SUM(output_NHTS!E$11:E$23)</f>
        <v>4.3367853060459469E-2</v>
      </c>
      <c r="F17" s="25">
        <f>output_NHTS!F23/SUM(output_NHTS!F$11:F$23)</f>
        <v>1.5137394365834103E-2</v>
      </c>
      <c r="G17" s="25">
        <f>output_NHTS!G23/SUM(output_NHTS!G$11:G$23)</f>
        <v>0</v>
      </c>
      <c r="H17" s="25">
        <f>output_NHTS!H23/SUM(output_NHTS!H$11:H$23)</f>
        <v>6.3600137358117677E-3</v>
      </c>
      <c r="I17" s="25">
        <f>IF(SUM(output_NHTS!I$11:I$23)&gt;0,output_NHTS!I23/SUM(output_NHTS!I$11:I$23),0)</f>
        <v>0</v>
      </c>
      <c r="J17" s="25">
        <f>output_NHTS!J23/SUM(output_NHTS!J$11:J$23)</f>
        <v>1.8125048423990483E-2</v>
      </c>
      <c r="L17" s="24" t="s">
        <v>66</v>
      </c>
      <c r="M17" s="25">
        <f>output!B23/SUM(output!B$11:B$23)</f>
        <v>9.3214321344107787E-3</v>
      </c>
      <c r="N17" s="25">
        <f>output!C23/SUM(output!C$11:C$23)</f>
        <v>1.767548906789413E-2</v>
      </c>
      <c r="O17" s="25">
        <f>output!D23/SUM(output!D$11:D$23)</f>
        <v>8.3515157142193958E-3</v>
      </c>
      <c r="P17" s="25">
        <f>output!E23/SUM(output!E$11:E$23)</f>
        <v>1.9185373185816722E-2</v>
      </c>
      <c r="Q17" s="25">
        <f>output!F23/SUM(output!F$11:F$23)</f>
        <v>4.5178159763588259E-3</v>
      </c>
      <c r="R17" s="25">
        <f>output!G23/SUM(output!G$11:G$23)</f>
        <v>6.4862527476487334E-3</v>
      </c>
      <c r="S17" s="25">
        <f>output!H23/SUM(output!H$11:H$23)</f>
        <v>2.2648911916322567E-3</v>
      </c>
      <c r="T17" s="25">
        <f>IF(SUM(output!I$11:I$23)&gt;0,output!I23/SUM(output!I$11:I$23),0)</f>
        <v>0</v>
      </c>
      <c r="U17" s="25">
        <f>output!J23/SUM(output!J$11:J$23)</f>
        <v>9.5180614430470482E-3</v>
      </c>
      <c r="W17" s="24" t="s">
        <v>66</v>
      </c>
      <c r="X17" s="10">
        <f si="0" t="shared"/>
        <v>-6.0525577204553517E-3</v>
      </c>
      <c r="Y17" s="10">
        <f si="1" t="shared"/>
        <v>-2.319419744563557E-2</v>
      </c>
      <c r="Z17" s="10">
        <f si="2" t="shared"/>
        <v>-5.5626254389726671E-3</v>
      </c>
      <c r="AA17" s="10">
        <f si="3" t="shared"/>
        <v>-2.4182479874642747E-2</v>
      </c>
      <c r="AB17" s="10">
        <f si="4" t="shared"/>
        <v>-1.0619578389475276E-2</v>
      </c>
      <c r="AC17" s="10">
        <f si="5" t="shared"/>
        <v>6.4862527476487334E-3</v>
      </c>
      <c r="AD17" s="10">
        <f si="6" t="shared"/>
        <v>-4.095122544179511E-3</v>
      </c>
      <c r="AE17" s="10">
        <f si="7" t="shared"/>
        <v>0</v>
      </c>
      <c r="AF17" s="10">
        <f si="8" t="shared"/>
        <v>-8.6069869809434346E-3</v>
      </c>
    </row>
    <row customHeight="1" ht="13.15" r="18" spans="1:32" thickBot="1" x14ac:dyDescent="0.25">
      <c r="A18" s="13" t="s">
        <v>4</v>
      </c>
      <c r="B18" s="26">
        <f ref="B18:J18" si="9" t="shared">SUM(B5:B17)</f>
        <v>1</v>
      </c>
      <c r="C18" s="26">
        <f si="9" t="shared"/>
        <v>1.0000000000000002</v>
      </c>
      <c r="D18" s="26">
        <f si="9" t="shared"/>
        <v>0.99999999999999978</v>
      </c>
      <c r="E18" s="26">
        <f si="9" t="shared"/>
        <v>1</v>
      </c>
      <c r="F18" s="26">
        <f si="9" t="shared"/>
        <v>1</v>
      </c>
      <c r="G18" s="26">
        <f si="9" t="shared"/>
        <v>1.0000000000000002</v>
      </c>
      <c r="H18" s="26">
        <f si="9" t="shared"/>
        <v>1</v>
      </c>
      <c r="I18" s="26">
        <f si="9" t="shared"/>
        <v>0</v>
      </c>
      <c r="J18" s="26">
        <f si="9" t="shared"/>
        <v>0.99999999999999978</v>
      </c>
      <c r="L18" s="13" t="s">
        <v>4</v>
      </c>
      <c r="M18" s="26">
        <f ref="M18:U18" si="10" t="shared">SUM(M5:M17)</f>
        <v>1</v>
      </c>
      <c r="N18" s="26">
        <f si="10" t="shared"/>
        <v>1</v>
      </c>
      <c r="O18" s="26">
        <f si="10" t="shared"/>
        <v>1</v>
      </c>
      <c r="P18" s="26">
        <f si="10" t="shared"/>
        <v>1.0000000000000002</v>
      </c>
      <c r="Q18" s="26">
        <f si="10" t="shared"/>
        <v>0.99999999999999989</v>
      </c>
      <c r="R18" s="26">
        <f si="10" t="shared"/>
        <v>0.99999999999999989</v>
      </c>
      <c r="S18" s="26">
        <f si="10" t="shared"/>
        <v>1</v>
      </c>
      <c r="T18" s="26">
        <f si="10" t="shared"/>
        <v>0</v>
      </c>
      <c r="U18" s="26">
        <f si="10" t="shared"/>
        <v>0.99999999999999989</v>
      </c>
      <c r="W18" s="13" t="s">
        <v>4</v>
      </c>
      <c r="X18" s="12">
        <f si="0" t="shared"/>
        <v>0</v>
      </c>
      <c r="Y18" s="12">
        <f si="1" t="shared"/>
        <v>0</v>
      </c>
      <c r="Z18" s="12">
        <f si="2" t="shared"/>
        <v>0</v>
      </c>
      <c r="AA18" s="12">
        <f si="3" t="shared"/>
        <v>0</v>
      </c>
      <c r="AB18" s="12">
        <f si="4" t="shared"/>
        <v>0</v>
      </c>
      <c r="AC18" s="12">
        <f si="5" t="shared"/>
        <v>0</v>
      </c>
      <c r="AD18" s="12">
        <f si="6" t="shared"/>
        <v>0</v>
      </c>
      <c r="AE18" s="12">
        <f si="7" t="shared"/>
        <v>0</v>
      </c>
      <c r="AF18" s="12">
        <f si="8" t="shared"/>
        <v>0</v>
      </c>
    </row>
  </sheetData>
  <conditionalFormatting sqref="X5:AF18">
    <cfRule dxfId="45" operator="notBetween" priority="1" stopIfTrue="1" type="cellIs">
      <formula>-0.15</formula>
      <formula>0.15</formula>
    </cfRule>
    <cfRule dxfId="44" operator="notBetween" priority="2" stopIfTrue="1" type="cellIs">
      <formula>-0.1</formula>
      <formula>0.1</formula>
    </cfRule>
    <cfRule dxfId="4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I28" workbookViewId="0">
      <selection activeCell="N45" sqref="N45"/>
    </sheetView>
  </sheetViews>
  <sheetFormatPr defaultColWidth="10.75" defaultRowHeight="12.75" x14ac:dyDescent="0.2"/>
  <cols>
    <col min="1" max="1" customWidth="true" style="265" width="15.75" collapsed="true"/>
    <col min="2" max="11" customWidth="true" style="265" width="10.75" collapsed="true"/>
    <col min="12" max="12" customWidth="true" style="265" width="15.75" collapsed="true"/>
    <col min="13" max="13" customWidth="true" style="265" width="11.25" collapsed="true"/>
    <col min="14" max="22" customWidth="true" style="265" width="10.75" collapsed="true"/>
    <col min="23" max="23" customWidth="true" style="265" width="15.75" collapsed="true"/>
    <col min="24" max="30" customWidth="true" style="265" width="10.75" collapsed="true"/>
    <col min="31" max="16384" style="265" width="10.75" collapsed="true"/>
  </cols>
  <sheetData>
    <row customHeight="1" ht="13.15" r="1" spans="1:32" x14ac:dyDescent="0.2">
      <c r="A1" s="264" t="s">
        <v>41</v>
      </c>
      <c r="L1" s="264" t="s">
        <v>41</v>
      </c>
      <c r="W1" s="264" t="s">
        <v>41</v>
      </c>
    </row>
    <row customHeight="1" ht="13.15" r="2" spans="1:32" x14ac:dyDescent="0.2">
      <c r="A2" s="264" t="s">
        <v>67</v>
      </c>
      <c r="L2" s="264" t="s">
        <v>68</v>
      </c>
      <c r="W2" s="264" t="s">
        <v>69</v>
      </c>
    </row>
    <row customHeight="1" ht="13.5" r="3" spans="1:32" thickBot="1" x14ac:dyDescent="0.25">
      <c r="B3" s="2"/>
      <c r="C3" s="2"/>
      <c r="D3" s="2"/>
      <c r="E3" s="2"/>
      <c r="F3" s="2"/>
      <c r="G3" s="2"/>
      <c r="H3" s="2"/>
      <c r="I3" s="2"/>
      <c r="J3" s="2"/>
      <c r="M3" s="2"/>
      <c r="N3" s="2"/>
      <c r="O3" s="2"/>
      <c r="P3" s="2"/>
      <c r="Q3" s="2"/>
      <c r="R3" s="2"/>
      <c r="S3" s="2"/>
      <c r="T3" s="2"/>
      <c r="U3" s="2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2">
      <c r="A4" s="3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2">
      <c r="A5" s="265" t="s">
        <v>54</v>
      </c>
      <c r="B5" s="10">
        <f>output_NHTS!B29/SUM(output_NHTS!B$29:B$32)</f>
        <v>0.19956617179348035</v>
      </c>
      <c r="C5" s="10">
        <f>output_NHTS!C29/SUM(output_NHTS!C$29:C$32)</f>
        <v>0.48297139495777419</v>
      </c>
      <c r="D5" s="10">
        <f>output_NHTS!D29/SUM(output_NHTS!D$29:D$32)</f>
        <v>0.98272611859760006</v>
      </c>
      <c r="E5" s="10">
        <f>output_NHTS!E29/SUM(output_NHTS!E$29:E$32)</f>
        <v>0.94244940501505037</v>
      </c>
      <c r="F5" s="10">
        <f>output_NHTS!F29/SUM(output_NHTS!F$29:F$32)</f>
        <v>0.77961020011056337</v>
      </c>
      <c r="G5" s="10">
        <f>output_NHTS!G29/SUM(output_NHTS!G$29:G$32)</f>
        <v>0.94606762168713365</v>
      </c>
      <c r="H5" s="10">
        <f>output_NHTS!H29/SUM(output_NHTS!H$29:H$32)</f>
        <v>0.99595263931056199</v>
      </c>
      <c r="I5" s="10">
        <f>IF(SUM(output_NHTS!I$29:I$32)&gt;0,output_NHTS!I29/SUM(output_NHTS!I$29:I$32),0)</f>
        <v>0</v>
      </c>
      <c r="J5" s="10">
        <f>output_NHTS!J29/SUM(output_NHTS!J$29:J$32)</f>
        <v>0.56298693653373533</v>
      </c>
      <c r="L5" s="265" t="s">
        <v>54</v>
      </c>
      <c r="M5" s="10">
        <f>output!B29/SUM(output!B$29:B$32)</f>
        <v>0.32308468747615948</v>
      </c>
      <c r="N5" s="10">
        <f>output!C29/SUM(output!C$29:C$32)</f>
        <v>0.53886306098964332</v>
      </c>
      <c r="O5" s="10">
        <f>output!D29/SUM(output!D$29:D$32)</f>
        <v>1</v>
      </c>
      <c r="P5" s="10">
        <f>output!E29/SUM(output!E$29:E$32)</f>
        <v>1</v>
      </c>
      <c r="Q5" s="10">
        <f>output!F29/SUM(output!F$29:F$32)</f>
        <v>0.81090155183884394</v>
      </c>
      <c r="R5" s="10">
        <f>output!G29/SUM(output!G$29:G$32)</f>
        <v>0.95538899499117147</v>
      </c>
      <c r="S5" s="10">
        <f>output!H29/SUM(output!H$29:H$32)</f>
        <v>1</v>
      </c>
      <c r="T5" s="10">
        <f>IF(SUM(output!I$29:I$32)&gt;0,output!I29/SUM(output!I$29:I$32),0)</f>
        <v>0</v>
      </c>
      <c r="U5" s="10">
        <f>output!J29/SUM(output!J$29:J$32)</f>
        <v>0.63677761729704263</v>
      </c>
      <c r="W5" s="265" t="s">
        <v>54</v>
      </c>
      <c r="X5" s="10">
        <f ref="X5:AF5" si="0" t="shared">M5-B5</f>
        <v>0.12351851568267913</v>
      </c>
      <c r="Y5" s="10">
        <f si="0" t="shared"/>
        <v>5.5891666031869125E-2</v>
      </c>
      <c r="Z5" s="10">
        <f si="0" t="shared"/>
        <v>1.7273881402399938E-2</v>
      </c>
      <c r="AA5" s="10">
        <f si="0" t="shared"/>
        <v>5.7550594984949632E-2</v>
      </c>
      <c r="AB5" s="10">
        <f si="0" t="shared"/>
        <v>3.129135172828057E-2</v>
      </c>
      <c r="AC5" s="10">
        <f si="0" t="shared"/>
        <v>9.3213733040378166E-3</v>
      </c>
      <c r="AD5" s="10">
        <f si="0" t="shared"/>
        <v>4.0473606894380065E-3</v>
      </c>
      <c r="AE5" s="10">
        <f si="0" t="shared"/>
        <v>0</v>
      </c>
      <c r="AF5" s="10">
        <f si="0" t="shared"/>
        <v>7.3790680763307304E-2</v>
      </c>
    </row>
    <row r="6" spans="1:32" x14ac:dyDescent="0.2">
      <c r="A6" s="265" t="s">
        <v>70</v>
      </c>
      <c r="B6" s="10">
        <f>output_NHTS!B30/SUM(output_NHTS!B$29:B$32)</f>
        <v>0</v>
      </c>
      <c r="C6" s="10">
        <f>output_NHTS!C30/SUM(output_NHTS!C$29:C$32)</f>
        <v>0</v>
      </c>
      <c r="D6" s="10">
        <f>output_NHTS!D30/SUM(output_NHTS!D$29:D$32)</f>
        <v>0</v>
      </c>
      <c r="E6" s="10">
        <f>output_NHTS!E30/SUM(output_NHTS!E$29:E$32)</f>
        <v>0</v>
      </c>
      <c r="F6" s="10">
        <f>output_NHTS!F30/SUM(output_NHTS!F$29:F$32)</f>
        <v>2.5691980005709214E-2</v>
      </c>
      <c r="G6" s="10">
        <f>output_NHTS!G30/SUM(output_NHTS!G$29:G$32)</f>
        <v>1.2890463240525124E-2</v>
      </c>
      <c r="H6" s="10">
        <f>output_NHTS!H30/SUM(output_NHTS!H$29:H$32)</f>
        <v>2.0489873166799318E-3</v>
      </c>
      <c r="I6" s="10">
        <f>IF(SUM(output_NHTS!I$29:I$32)&gt;0,output_NHTS!I30/SUM(output_NHTS!I$29:I$32),0)</f>
        <v>0</v>
      </c>
      <c r="J6" s="10">
        <f>output_NHTS!J30/SUM(output_NHTS!J$29:J$32)</f>
        <v>1.6551291007770202E-3</v>
      </c>
      <c r="L6" s="265" t="s">
        <v>70</v>
      </c>
      <c r="M6" s="10">
        <f>output!B30/SUM(output!B$29:B$32)</f>
        <v>2.2616972705879592E-3</v>
      </c>
      <c r="N6" s="10">
        <f>output!C30/SUM(output!C$29:C$32)</f>
        <v>0</v>
      </c>
      <c r="O6" s="10">
        <f>output!D30/SUM(output!D$29:D$32)</f>
        <v>0</v>
      </c>
      <c r="P6" s="10">
        <f>output!E30/SUM(output!E$29:E$32)</f>
        <v>0</v>
      </c>
      <c r="Q6" s="10">
        <f>output!F30/SUM(output!F$29:F$32)</f>
        <v>7.8752340135843923E-3</v>
      </c>
      <c r="R6" s="10">
        <f>output!G30/SUM(output!G$29:G$32)</f>
        <v>5.4592627292710172E-3</v>
      </c>
      <c r="S6" s="10">
        <f>output!H30/SUM(output!H$29:H$32)</f>
        <v>0</v>
      </c>
      <c r="T6" s="10">
        <f>IF(SUM(output!I$29:I$32)&gt;0,output!I30/SUM(output!I$29:I$32),0)</f>
        <v>0</v>
      </c>
      <c r="U6" s="10">
        <f>output!J30/SUM(output!J$29:J$32)</f>
        <v>1.5507685618051195E-3</v>
      </c>
      <c r="W6" s="265" t="s">
        <v>70</v>
      </c>
      <c r="X6" s="10"/>
      <c r="Y6" s="10"/>
      <c r="Z6" s="10"/>
      <c r="AA6" s="10"/>
      <c r="AB6" s="10">
        <f ref="AB6:AF9" si="1" t="shared">Q6-F6</f>
        <v>-1.7816745992124822E-2</v>
      </c>
      <c r="AC6" s="10">
        <f si="1" t="shared"/>
        <v>-7.4312005112541065E-3</v>
      </c>
      <c r="AD6" s="10">
        <f si="1" t="shared"/>
        <v>-2.0489873166799318E-3</v>
      </c>
      <c r="AE6" s="10">
        <f si="1" t="shared"/>
        <v>0</v>
      </c>
      <c r="AF6" s="10">
        <f si="1" t="shared"/>
        <v>-1.043605389719007E-4</v>
      </c>
    </row>
    <row r="7" spans="1:32" x14ac:dyDescent="0.2">
      <c r="A7" s="265" t="s">
        <v>71</v>
      </c>
      <c r="B7" s="10">
        <f>output_NHTS!B31/SUM(output_NHTS!B$29:B$32)</f>
        <v>0.70887345746491415</v>
      </c>
      <c r="C7" s="10">
        <f>output_NHTS!C31/SUM(output_NHTS!C$29:C$32)</f>
        <v>0.44642532898651205</v>
      </c>
      <c r="D7" s="10">
        <f>output_NHTS!D31/SUM(output_NHTS!D$29:D$32)</f>
        <v>1.538374861317955E-2</v>
      </c>
      <c r="E7" s="10">
        <f>output_NHTS!E31/SUM(output_NHTS!E$29:E$32)</f>
        <v>4.6253315947614636E-2</v>
      </c>
      <c r="F7" s="10">
        <f>output_NHTS!F31/SUM(output_NHTS!F$29:F$32)</f>
        <v>0.17671308310281916</v>
      </c>
      <c r="G7" s="10">
        <f>output_NHTS!G31/SUM(output_NHTS!G$29:G$32)</f>
        <v>4.1041915072341215E-2</v>
      </c>
      <c r="H7" s="10">
        <f>output_NHTS!H31/SUM(output_NHTS!H$29:H$32)</f>
        <v>1.9983733727582712E-3</v>
      </c>
      <c r="I7" s="10">
        <f>IF(SUM(output_NHTS!I$29:I$32)&gt;0,output_NHTS!I31/SUM(output_NHTS!I$29:I$32),0)</f>
        <v>0</v>
      </c>
      <c r="J7" s="10">
        <f>output_NHTS!J31/SUM(output_NHTS!J$29:J$32)</f>
        <v>0.38466097259722193</v>
      </c>
      <c r="L7" s="265" t="s">
        <v>71</v>
      </c>
      <c r="M7" s="10">
        <f>output!B31/SUM(output!B$29:B$32)</f>
        <v>0.49940552689800061</v>
      </c>
      <c r="N7" s="10">
        <f>output!C31/SUM(output!C$29:C$32)</f>
        <v>0.35120828538550058</v>
      </c>
      <c r="O7" s="10">
        <f>output!D31/SUM(output!D$29:D$32)</f>
        <v>0</v>
      </c>
      <c r="P7" s="10">
        <f>output!E31/SUM(output!E$29:E$32)</f>
        <v>0</v>
      </c>
      <c r="Q7" s="10">
        <f>output!F31/SUM(output!F$29:F$32)</f>
        <v>0.14588522890783345</v>
      </c>
      <c r="R7" s="10">
        <f>output!G31/SUM(output!G$29:G$32)</f>
        <v>3.3296097437930168E-2</v>
      </c>
      <c r="S7" s="10">
        <f>output!H31/SUM(output!H$29:H$32)</f>
        <v>0</v>
      </c>
      <c r="T7" s="10">
        <f>IF(SUM(output!I$29:I$32)&gt;0,output!I31/SUM(output!I$29:I$32),0)</f>
        <v>0</v>
      </c>
      <c r="U7" s="10">
        <f>output!J31/SUM(output!J$29:J$32)</f>
        <v>0.26889500238078928</v>
      </c>
      <c r="W7" s="265" t="s">
        <v>71</v>
      </c>
      <c r="X7" s="10">
        <f ref="X7:AA9" si="2" t="shared">M7-B7</f>
        <v>-0.20946793056691354</v>
      </c>
      <c r="Y7" s="10">
        <f si="2" t="shared"/>
        <v>-9.5217043601011464E-2</v>
      </c>
      <c r="Z7" s="10">
        <f si="2" t="shared"/>
        <v>-1.538374861317955E-2</v>
      </c>
      <c r="AA7" s="10">
        <f si="2" t="shared"/>
        <v>-4.6253315947614636E-2</v>
      </c>
      <c r="AB7" s="10">
        <f si="1" t="shared"/>
        <v>-3.082785419498571E-2</v>
      </c>
      <c r="AC7" s="10">
        <f si="1" t="shared"/>
        <v>-7.7458176344110466E-3</v>
      </c>
      <c r="AD7" s="10">
        <f si="1" t="shared"/>
        <v>-1.9983733727582712E-3</v>
      </c>
      <c r="AE7" s="10">
        <f si="1" t="shared"/>
        <v>0</v>
      </c>
      <c r="AF7" s="10">
        <f si="1" t="shared"/>
        <v>-0.11576597021643265</v>
      </c>
    </row>
    <row r="8" spans="1:32" x14ac:dyDescent="0.2">
      <c r="A8" s="6" t="s">
        <v>72</v>
      </c>
      <c r="B8" s="11">
        <f>output_NHTS!B32/SUM(output_NHTS!B$29:B$32)</f>
        <v>9.1560370741605501E-2</v>
      </c>
      <c r="C8" s="11">
        <f>output_NHTS!C32/SUM(output_NHTS!C$29:C$32)</f>
        <v>7.0603276055713746E-2</v>
      </c>
      <c r="D8" s="11">
        <f>output_NHTS!D32/SUM(output_NHTS!D$29:D$32)</f>
        <v>1.8901327892204463E-3</v>
      </c>
      <c r="E8" s="11">
        <f>output_NHTS!E32/SUM(output_NHTS!E$29:E$32)</f>
        <v>1.1297279037334924E-2</v>
      </c>
      <c r="F8" s="11">
        <f>output_NHTS!F32/SUM(output_NHTS!F$29:F$32)</f>
        <v>1.7984736780908336E-2</v>
      </c>
      <c r="G8" s="11">
        <f>output_NHTS!G32/SUM(output_NHTS!G$29:G$32)</f>
        <v>0</v>
      </c>
      <c r="H8" s="11">
        <f>output_NHTS!H32/SUM(output_NHTS!H$29:H$32)</f>
        <v>0</v>
      </c>
      <c r="I8" s="11">
        <f>IF(SUM(output_NHTS!I$29:I$32)&gt;0,output_NHTS!I32/SUM(output_NHTS!I$29:I$32),0)</f>
        <v>0</v>
      </c>
      <c r="J8" s="11">
        <f>output_NHTS!J32/SUM(output_NHTS!J$29:J$32)</f>
        <v>5.0696961768265755E-2</v>
      </c>
      <c r="L8" s="6" t="s">
        <v>72</v>
      </c>
      <c r="M8" s="11">
        <f>output!B32/SUM(output!B$29:B$32)</f>
        <v>0.17524808835525196</v>
      </c>
      <c r="N8" s="11">
        <f>output!C32/SUM(output!C$29:C$32)</f>
        <v>0.10992865362485615</v>
      </c>
      <c r="O8" s="11">
        <f>output!D32/SUM(output!D$29:D$32)</f>
        <v>0</v>
      </c>
      <c r="P8" s="11">
        <f>output!E32/SUM(output!E$29:E$32)</f>
        <v>0</v>
      </c>
      <c r="Q8" s="11">
        <f>output!F32/SUM(output!F$29:F$32)</f>
        <v>3.5337985239738211E-2</v>
      </c>
      <c r="R8" s="11">
        <f>output!G32/SUM(output!G$29:G$32)</f>
        <v>5.8556448416273287E-3</v>
      </c>
      <c r="S8" s="11">
        <f>output!H32/SUM(output!H$29:H$32)</f>
        <v>0</v>
      </c>
      <c r="T8" s="11">
        <f>IF(SUM(output!I$29:I$32)&gt;0,output!I32/SUM(output!I$29:I$32),0)</f>
        <v>0</v>
      </c>
      <c r="U8" s="11">
        <f>output!J32/SUM(output!J$29:J$32)</f>
        <v>9.2776611760362948E-2</v>
      </c>
      <c r="W8" s="6" t="s">
        <v>72</v>
      </c>
      <c r="X8" s="10">
        <f si="2" t="shared"/>
        <v>8.3687717613646462E-2</v>
      </c>
      <c r="Y8" s="10">
        <f si="2" t="shared"/>
        <v>3.9325377569142408E-2</v>
      </c>
      <c r="Z8" s="10">
        <f si="2" t="shared"/>
        <v>-1.8901327892204463E-3</v>
      </c>
      <c r="AA8" s="10">
        <f si="2" t="shared"/>
        <v>-1.1297279037334924E-2</v>
      </c>
      <c r="AB8" s="10">
        <f si="1" t="shared"/>
        <v>1.7353248458829875E-2</v>
      </c>
      <c r="AC8" s="10">
        <f si="1" t="shared"/>
        <v>5.8556448416273287E-3</v>
      </c>
      <c r="AD8" s="10">
        <f si="1" t="shared"/>
        <v>0</v>
      </c>
      <c r="AE8" s="10">
        <f si="1" t="shared"/>
        <v>0</v>
      </c>
      <c r="AF8" s="10">
        <f si="1" t="shared"/>
        <v>4.2079649992097193E-2</v>
      </c>
    </row>
    <row customHeight="1" ht="13.15" r="9" spans="1:32" thickBot="1" x14ac:dyDescent="0.25">
      <c r="A9" s="13" t="s">
        <v>4</v>
      </c>
      <c r="B9" s="15">
        <f ref="B9:J9" si="3" t="shared">SUM(B5:B8)</f>
        <v>1</v>
      </c>
      <c r="C9" s="15">
        <f si="3" t="shared"/>
        <v>0.99999999999999989</v>
      </c>
      <c r="D9" s="15">
        <f si="3" t="shared"/>
        <v>1</v>
      </c>
      <c r="E9" s="15">
        <f si="3" t="shared"/>
        <v>0.99999999999999989</v>
      </c>
      <c r="F9" s="15">
        <f si="3" t="shared"/>
        <v>1</v>
      </c>
      <c r="G9" s="15">
        <f si="3" t="shared"/>
        <v>1</v>
      </c>
      <c r="H9" s="15">
        <f si="3" t="shared"/>
        <v>1.0000000000000002</v>
      </c>
      <c r="I9" s="15">
        <f si="3" t="shared"/>
        <v>0</v>
      </c>
      <c r="J9" s="15">
        <f si="3" t="shared"/>
        <v>1</v>
      </c>
      <c r="L9" s="13" t="s">
        <v>4</v>
      </c>
      <c r="M9" s="15">
        <f ref="M9:U9" si="4" t="shared">SUM(M5:M8)</f>
        <v>1</v>
      </c>
      <c r="N9" s="15">
        <f si="4" t="shared"/>
        <v>1</v>
      </c>
      <c r="O9" s="15">
        <f si="4" t="shared"/>
        <v>1</v>
      </c>
      <c r="P9" s="15">
        <f si="4" t="shared"/>
        <v>1</v>
      </c>
      <c r="Q9" s="15">
        <f si="4" t="shared"/>
        <v>1</v>
      </c>
      <c r="R9" s="15">
        <f si="4" t="shared"/>
        <v>1</v>
      </c>
      <c r="S9" s="15">
        <f si="4" t="shared"/>
        <v>1</v>
      </c>
      <c r="T9" s="15">
        <f si="4" t="shared"/>
        <v>0</v>
      </c>
      <c r="U9" s="15">
        <f si="4" t="shared"/>
        <v>1</v>
      </c>
      <c r="W9" s="13" t="s">
        <v>4</v>
      </c>
      <c r="X9" s="12">
        <f si="2" t="shared"/>
        <v>0</v>
      </c>
      <c r="Y9" s="12">
        <f si="2" t="shared"/>
        <v>0</v>
      </c>
      <c r="Z9" s="12">
        <f si="2" t="shared"/>
        <v>0</v>
      </c>
      <c r="AA9" s="12">
        <f si="2" t="shared"/>
        <v>0</v>
      </c>
      <c r="AB9" s="12">
        <f si="1" t="shared"/>
        <v>0</v>
      </c>
      <c r="AC9" s="12">
        <f si="1" t="shared"/>
        <v>0</v>
      </c>
      <c r="AD9" s="12">
        <f si="1" t="shared"/>
        <v>0</v>
      </c>
      <c r="AE9" s="12">
        <f si="1" t="shared"/>
        <v>0</v>
      </c>
      <c r="AF9" s="12">
        <f si="1" t="shared"/>
        <v>0</v>
      </c>
    </row>
    <row r="10" spans="1:32" x14ac:dyDescent="0.2">
      <c r="B10" s="21"/>
      <c r="C10" s="21"/>
      <c r="D10" s="21"/>
      <c r="E10" s="21"/>
      <c r="F10" s="21"/>
      <c r="G10" s="21"/>
      <c r="H10" s="21"/>
      <c r="I10" s="21"/>
      <c r="J10" s="21"/>
      <c r="M10" s="21"/>
      <c r="N10" s="21"/>
      <c r="O10" s="21"/>
      <c r="P10" s="21"/>
      <c r="Q10" s="21"/>
      <c r="R10" s="21"/>
      <c r="S10" s="21"/>
      <c r="T10" s="21"/>
      <c r="U10" s="21"/>
      <c r="X10" s="21"/>
      <c r="Y10" s="21"/>
      <c r="Z10" s="21"/>
      <c r="AA10" s="21"/>
      <c r="AB10" s="21"/>
      <c r="AC10" s="21"/>
      <c r="AD10" s="21"/>
      <c r="AE10" s="21"/>
      <c r="AF10" s="21"/>
    </row>
    <row customHeight="1" ht="13.15" r="13" spans="1:32" x14ac:dyDescent="0.2">
      <c r="A13" s="264" t="s">
        <v>41</v>
      </c>
      <c r="L13" s="264" t="s">
        <v>41</v>
      </c>
      <c r="W13" s="264" t="s">
        <v>41</v>
      </c>
    </row>
    <row customHeight="1" ht="13.15" r="14" spans="1:32" x14ac:dyDescent="0.2">
      <c r="A14" s="264" t="s">
        <v>73</v>
      </c>
      <c r="L14" s="264" t="s">
        <v>74</v>
      </c>
      <c r="W14" s="264" t="s">
        <v>75</v>
      </c>
    </row>
    <row customHeight="1" ht="13.15" r="15" spans="1:32" thickBot="1" x14ac:dyDescent="0.25"/>
    <row customHeight="1" ht="13.15" r="16" spans="1:32" x14ac:dyDescent="0.2">
      <c r="A16" s="3" t="s">
        <v>53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53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53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2">
      <c r="A17" s="265" t="s">
        <v>54</v>
      </c>
      <c r="B17" s="10">
        <f>output_NHTS!B36/SUM(output_NHTS!B$36:B$39)</f>
        <v>0.98448661501685419</v>
      </c>
      <c r="C17" s="10">
        <f>output_NHTS!C36/SUM(output_NHTS!C$36:C$39)</f>
        <v>0.98160243400319058</v>
      </c>
      <c r="D17" s="10">
        <f>output_NHTS!D36/SUM(output_NHTS!D$36:D$39)</f>
        <v>0.99819111605223221</v>
      </c>
      <c r="E17" s="10">
        <f>output_NHTS!E36/SUM(output_NHTS!E$36:E$39)</f>
        <v>0.98802554132477705</v>
      </c>
      <c r="F17" s="10">
        <f>output_NHTS!F36/SUM(output_NHTS!F$36:F$39)</f>
        <v>0.76737756217777897</v>
      </c>
      <c r="G17" s="10">
        <f>output_NHTS!G36/SUM(output_NHTS!G$36:G$39)</f>
        <v>0.30522836319866992</v>
      </c>
      <c r="H17" s="10">
        <f>output_NHTS!H36/SUM(output_NHTS!H$36:H$39)</f>
        <v>0.25872643837032522</v>
      </c>
      <c r="I17" s="10">
        <f>IF(SUM(output_NHTS!I$36:I$39)&gt;0,output_NHTS!I36/SUM(output_NHTS!I$36:I$39),0)</f>
        <v>0</v>
      </c>
      <c r="J17" s="10">
        <f>output_NHTS!J36/SUM(output_NHTS!J$36:J$39)</f>
        <v>0.84733419104875241</v>
      </c>
      <c r="L17" s="265" t="s">
        <v>54</v>
      </c>
      <c r="M17" s="10">
        <f>output!B36/SUM(output!B$36:B$39)</f>
        <v>0.98479486863494192</v>
      </c>
      <c r="N17" s="10">
        <f>output!C36/SUM(output!C$36:C$39)</f>
        <v>1</v>
      </c>
      <c r="O17" s="10">
        <f>output!D36/SUM(output!D$36:D$39)</f>
        <v>1</v>
      </c>
      <c r="P17" s="10">
        <f>output!E36/SUM(output!E$36:E$39)</f>
        <v>1</v>
      </c>
      <c r="Q17" s="10">
        <f>output!F36/SUM(output!F$36:F$39)</f>
        <v>0.79092723531323006</v>
      </c>
      <c r="R17" s="10">
        <f>output!G36/SUM(output!G$36:G$39)</f>
        <v>0.4166876869302007</v>
      </c>
      <c r="S17" s="10">
        <f>output!H36/SUM(output!H$36:H$39)</f>
        <v>0.36782956038649151</v>
      </c>
      <c r="T17" s="10">
        <f>IF(SUM(output!I$36:I$39)&gt;0,output!I36/SUM(output!I$36:I$39),0)</f>
        <v>0</v>
      </c>
      <c r="U17" s="10">
        <f>output!J36/SUM(output!J$36:J$39)</f>
        <v>0.8710755902007733</v>
      </c>
      <c r="W17" s="265" t="s">
        <v>54</v>
      </c>
      <c r="X17" s="10">
        <f ref="X17:AF17" si="5" t="shared">M17-B17</f>
        <v>3.0825361808772822E-4</v>
      </c>
      <c r="Y17" s="10">
        <f si="5" t="shared"/>
        <v>1.8397565996809417E-2</v>
      </c>
      <c r="Z17" s="10">
        <f si="5" t="shared"/>
        <v>1.808883947767792E-3</v>
      </c>
      <c r="AA17" s="10">
        <f si="5" t="shared"/>
        <v>1.1974458675222954E-2</v>
      </c>
      <c r="AB17" s="10">
        <f si="5" t="shared"/>
        <v>2.3549673135451088E-2</v>
      </c>
      <c r="AC17" s="10">
        <f si="5" t="shared"/>
        <v>0.11145932373153078</v>
      </c>
      <c r="AD17" s="10">
        <f si="5" t="shared"/>
        <v>0.10910312201616629</v>
      </c>
      <c r="AE17" s="10">
        <f si="5" t="shared"/>
        <v>0</v>
      </c>
      <c r="AF17" s="10">
        <f si="5" t="shared"/>
        <v>2.3741399152020892E-2</v>
      </c>
    </row>
    <row r="18" spans="1:32" x14ac:dyDescent="0.2">
      <c r="A18" s="265" t="s">
        <v>70</v>
      </c>
      <c r="B18" s="10">
        <f>output_NHTS!B37/SUM(output_NHTS!B$36:B$39)</f>
        <v>6.3323594123837895E-3</v>
      </c>
      <c r="C18" s="10">
        <f>output_NHTS!C37/SUM(output_NHTS!C$36:C$39)</f>
        <v>6.8338959379064474E-3</v>
      </c>
      <c r="D18" s="10">
        <f>output_NHTS!D37/SUM(output_NHTS!D$36:D$39)</f>
        <v>0</v>
      </c>
      <c r="E18" s="10">
        <f>output_NHTS!E37/SUM(output_NHTS!E$36:E$39)</f>
        <v>3.6405178077284986E-4</v>
      </c>
      <c r="F18" s="10">
        <f>output_NHTS!F37/SUM(output_NHTS!F$36:F$39)</f>
        <v>0</v>
      </c>
      <c r="G18" s="10">
        <f>output_NHTS!G37/SUM(output_NHTS!G$36:G$39)</f>
        <v>0</v>
      </c>
      <c r="H18" s="10">
        <f>output_NHTS!H37/SUM(output_NHTS!H$36:H$39)</f>
        <v>0</v>
      </c>
      <c r="I18" s="10">
        <f>IF(SUM(output_NHTS!I$36:I$39)&gt;0,output_NHTS!I37/SUM(output_NHTS!I$36:I$39),0)</f>
        <v>0</v>
      </c>
      <c r="J18" s="10">
        <f>output_NHTS!J37/SUM(output_NHTS!J$36:J$39)</f>
        <v>3.5168128552954475E-3</v>
      </c>
      <c r="L18" s="265" t="s">
        <v>70</v>
      </c>
      <c r="M18" s="10">
        <f>output!B37/SUM(output!B$36:B$39)</f>
        <v>5.1372334994102212E-3</v>
      </c>
      <c r="N18" s="10">
        <f>output!C37/SUM(output!C$36:C$39)</f>
        <v>0</v>
      </c>
      <c r="O18" s="10">
        <f>output!D37/SUM(output!D$36:D$39)</f>
        <v>0</v>
      </c>
      <c r="P18" s="10">
        <f>output!E37/SUM(output!E$36:E$39)</f>
        <v>0</v>
      </c>
      <c r="Q18" s="10">
        <f>output!F37/SUM(output!F$36:F$39)</f>
        <v>1.958751721256943E-2</v>
      </c>
      <c r="R18" s="10">
        <f>output!G37/SUM(output!G$36:G$39)</f>
        <v>1.5603041331843898E-2</v>
      </c>
      <c r="S18" s="10">
        <f>output!H37/SUM(output!H$36:H$39)</f>
        <v>0</v>
      </c>
      <c r="T18" s="10">
        <f>IF(SUM(output!I$36:I$39)&gt;0,output!I37/SUM(output!I$36:I$39),0)</f>
        <v>0</v>
      </c>
      <c r="U18" s="10">
        <f>output!J37/SUM(output!J$36:J$39)</f>
        <v>3.6852692839684275E-3</v>
      </c>
      <c r="W18" s="265" t="s">
        <v>70</v>
      </c>
      <c r="X18" s="10">
        <f ref="X18:Y21" si="6" t="shared">M18-B18</f>
        <v>-1.1951259129735683E-3</v>
      </c>
      <c r="Y18" s="10">
        <f si="6" t="shared"/>
        <v>-6.8338959379064474E-3</v>
      </c>
      <c r="Z18" s="10"/>
      <c r="AA18" s="10">
        <f ref="AA18:AF21" si="7" t="shared">P18-E18</f>
        <v>-3.6405178077284986E-4</v>
      </c>
      <c r="AB18" s="10">
        <f si="7" t="shared"/>
        <v>1.958751721256943E-2</v>
      </c>
      <c r="AC18" s="10">
        <f si="7" t="shared"/>
        <v>1.5603041331843898E-2</v>
      </c>
      <c r="AD18" s="10">
        <f si="7" t="shared"/>
        <v>0</v>
      </c>
      <c r="AE18" s="10">
        <f si="7" t="shared"/>
        <v>0</v>
      </c>
      <c r="AF18" s="10">
        <f si="7" t="shared"/>
        <v>1.6845642867297991E-4</v>
      </c>
    </row>
    <row r="19" spans="1:32" x14ac:dyDescent="0.2">
      <c r="A19" s="265" t="s">
        <v>71</v>
      </c>
      <c r="B19" s="10">
        <f>output_NHTS!B38/SUM(output_NHTS!B$36:B$39)</f>
        <v>9.0996606398833536E-3</v>
      </c>
      <c r="C19" s="10">
        <f>output_NHTS!C38/SUM(output_NHTS!C$36:C$39)</f>
        <v>8.7685019548853303E-3</v>
      </c>
      <c r="D19" s="10">
        <f>output_NHTS!D38/SUM(output_NHTS!D$36:D$39)</f>
        <v>1.8088839477677847E-3</v>
      </c>
      <c r="E19" s="10">
        <f>output_NHTS!E38/SUM(output_NHTS!E$36:E$39)</f>
        <v>9.3838706268510215E-3</v>
      </c>
      <c r="F19" s="10">
        <f>output_NHTS!F38/SUM(output_NHTS!F$36:F$39)</f>
        <v>0.23164025210708414</v>
      </c>
      <c r="G19" s="10">
        <f>output_NHTS!G38/SUM(output_NHTS!G$36:G$39)</f>
        <v>0.65356945547096768</v>
      </c>
      <c r="H19" s="10">
        <f>output_NHTS!H38/SUM(output_NHTS!H$36:H$39)</f>
        <v>0.71332505712856997</v>
      </c>
      <c r="I19" s="10">
        <f>IF(SUM(output_NHTS!I$36:I$39)&gt;0,output_NHTS!I38/SUM(output_NHTS!I$36:I$39),0)</f>
        <v>0</v>
      </c>
      <c r="J19" s="10">
        <f>output_NHTS!J38/SUM(output_NHTS!J$36:J$39)</f>
        <v>0.14312445871813514</v>
      </c>
      <c r="L19" s="265" t="s">
        <v>71</v>
      </c>
      <c r="M19" s="10">
        <f>output!B38/SUM(output!B$36:B$39)</f>
        <v>9.1230788190348761E-3</v>
      </c>
      <c r="N19" s="10">
        <f>output!C38/SUM(output!C$36:C$39)</f>
        <v>0</v>
      </c>
      <c r="O19" s="10">
        <f>output!D38/SUM(output!D$36:D$39)</f>
        <v>0</v>
      </c>
      <c r="P19" s="10">
        <f>output!E38/SUM(output!E$36:E$39)</f>
        <v>0</v>
      </c>
      <c r="Q19" s="10">
        <f>output!F38/SUM(output!F$36:F$39)</f>
        <v>0.16909318769049866</v>
      </c>
      <c r="R19" s="10">
        <f>output!G38/SUM(output!G$36:G$39)</f>
        <v>0.47427119743432666</v>
      </c>
      <c r="S19" s="10">
        <f>output!H38/SUM(output!H$36:H$39)</f>
        <v>0.54874008408174568</v>
      </c>
      <c r="T19" s="10">
        <f>IF(SUM(output!I$36:I$39)&gt;0,output!I38/SUM(output!I$36:I$39),0)</f>
        <v>0</v>
      </c>
      <c r="U19" s="10">
        <f>output!J38/SUM(output!J$36:J$39)</f>
        <v>0.10848302675599486</v>
      </c>
      <c r="W19" s="265" t="s">
        <v>71</v>
      </c>
      <c r="X19" s="10">
        <f si="6" t="shared"/>
        <v>2.3418179151522486E-5</v>
      </c>
      <c r="Y19" s="10">
        <f si="6" t="shared"/>
        <v>-8.7685019548853303E-3</v>
      </c>
      <c r="Z19" s="10">
        <f>O19-D19</f>
        <v>-1.8088839477677847E-3</v>
      </c>
      <c r="AA19" s="10">
        <f si="7" t="shared"/>
        <v>-9.3838706268510215E-3</v>
      </c>
      <c r="AB19" s="10">
        <f si="7" t="shared"/>
        <v>-6.2547064416585474E-2</v>
      </c>
      <c r="AC19" s="10">
        <f si="7" t="shared"/>
        <v>-0.17929825803664101</v>
      </c>
      <c r="AD19" s="10">
        <f si="7" t="shared"/>
        <v>-0.16458497304682429</v>
      </c>
      <c r="AE19" s="10">
        <f si="7" t="shared"/>
        <v>0</v>
      </c>
      <c r="AF19" s="10">
        <f si="7" t="shared"/>
        <v>-3.4641431962140284E-2</v>
      </c>
    </row>
    <row r="20" spans="1:32" x14ac:dyDescent="0.2">
      <c r="A20" s="6" t="s">
        <v>72</v>
      </c>
      <c r="B20" s="11">
        <f>output_NHTS!B39/SUM(output_NHTS!B$36:B$39)</f>
        <v>8.1364930878701029E-5</v>
      </c>
      <c r="C20" s="11">
        <f>output_NHTS!C39/SUM(output_NHTS!C$36:C$39)</f>
        <v>2.7951681040177035E-3</v>
      </c>
      <c r="D20" s="11">
        <f>output_NHTS!D39/SUM(output_NHTS!D$36:D$39)</f>
        <v>0</v>
      </c>
      <c r="E20" s="11">
        <f>output_NHTS!E39/SUM(output_NHTS!E$36:E$39)</f>
        <v>2.2265362675991107E-3</v>
      </c>
      <c r="F20" s="11">
        <f>output_NHTS!F39/SUM(output_NHTS!F$36:F$39)</f>
        <v>9.8218571513680785E-4</v>
      </c>
      <c r="G20" s="11">
        <f>output_NHTS!G39/SUM(output_NHTS!G$36:G$39)</f>
        <v>4.1202181330362374E-2</v>
      </c>
      <c r="H20" s="11">
        <f>output_NHTS!H39/SUM(output_NHTS!H$36:H$39)</f>
        <v>2.7948504501104771E-2</v>
      </c>
      <c r="I20" s="11">
        <f>IF(SUM(output_NHTS!I$36:I$39)&gt;0,output_NHTS!I39/SUM(output_NHTS!I$36:I$39),0)</f>
        <v>0</v>
      </c>
      <c r="J20" s="11">
        <f>output_NHTS!J39/SUM(output_NHTS!J$36:J$39)</f>
        <v>6.0245373778169513E-3</v>
      </c>
      <c r="L20" s="6" t="s">
        <v>72</v>
      </c>
      <c r="M20" s="11">
        <f>output!B39/SUM(output!B$36:B$39)</f>
        <v>9.4481904661302915E-4</v>
      </c>
      <c r="N20" s="11">
        <f>output!C39/SUM(output!C$36:C$39)</f>
        <v>0</v>
      </c>
      <c r="O20" s="11">
        <f>output!D39/SUM(output!D$36:D$39)</f>
        <v>0</v>
      </c>
      <c r="P20" s="11">
        <f>output!E39/SUM(output!E$36:E$39)</f>
        <v>0</v>
      </c>
      <c r="Q20" s="11">
        <f>output!F39/SUM(output!F$36:F$39)</f>
        <v>2.0392059783701823E-2</v>
      </c>
      <c r="R20" s="11">
        <f>output!G39/SUM(output!G$36:G$39)</f>
        <v>9.3438074303628701E-2</v>
      </c>
      <c r="S20" s="11">
        <f>output!H39/SUM(output!H$36:H$39)</f>
        <v>8.3430355531762757E-2</v>
      </c>
      <c r="T20" s="11">
        <f>IF(SUM(output!I$36:I$39)&gt;0,output!I39/SUM(output!I$36:I$39),0)</f>
        <v>0</v>
      </c>
      <c r="U20" s="11">
        <f>output!J39/SUM(output!J$36:J$39)</f>
        <v>1.6756113759263423E-2</v>
      </c>
      <c r="W20" s="6" t="s">
        <v>72</v>
      </c>
      <c r="X20" s="10">
        <f si="6" t="shared"/>
        <v>8.6345411573432809E-4</v>
      </c>
      <c r="Y20" s="10">
        <f si="6" t="shared"/>
        <v>-2.7951681040177035E-3</v>
      </c>
      <c r="Z20" s="10"/>
      <c r="AA20" s="10">
        <f si="7" t="shared"/>
        <v>-2.2265362675991107E-3</v>
      </c>
      <c r="AB20" s="10">
        <f si="7" t="shared"/>
        <v>1.9409874068565015E-2</v>
      </c>
      <c r="AC20" s="10">
        <f si="7" t="shared"/>
        <v>5.2235892973266328E-2</v>
      </c>
      <c r="AD20" s="10">
        <f si="7" t="shared"/>
        <v>5.5481851030657989E-2</v>
      </c>
      <c r="AE20" s="10">
        <f si="7" t="shared"/>
        <v>0</v>
      </c>
      <c r="AF20" s="10">
        <f si="7" t="shared"/>
        <v>1.0731576381446471E-2</v>
      </c>
    </row>
    <row customHeight="1" ht="13.15" r="21" spans="1:32" thickBot="1" x14ac:dyDescent="0.25">
      <c r="A21" s="13" t="s">
        <v>4</v>
      </c>
      <c r="B21" s="15">
        <f ref="B21:J21" si="8" t="shared">SUM(B17:B20)</f>
        <v>1</v>
      </c>
      <c r="C21" s="15">
        <f si="8" t="shared"/>
        <v>1</v>
      </c>
      <c r="D21" s="15">
        <f si="8" t="shared"/>
        <v>1</v>
      </c>
      <c r="E21" s="15">
        <f si="8" t="shared"/>
        <v>1</v>
      </c>
      <c r="F21" s="15">
        <f si="8" t="shared"/>
        <v>1</v>
      </c>
      <c r="G21" s="15">
        <f si="8" t="shared"/>
        <v>0.99999999999999989</v>
      </c>
      <c r="H21" s="15">
        <f si="8" t="shared"/>
        <v>1</v>
      </c>
      <c r="I21" s="15">
        <f si="8" t="shared"/>
        <v>0</v>
      </c>
      <c r="J21" s="15">
        <f si="8" t="shared"/>
        <v>1</v>
      </c>
      <c r="L21" s="13" t="s">
        <v>4</v>
      </c>
      <c r="M21" s="15">
        <f ref="M21:U21" si="9" t="shared">SUM(M17:M20)</f>
        <v>1</v>
      </c>
      <c r="N21" s="15">
        <f si="9" t="shared"/>
        <v>1</v>
      </c>
      <c r="O21" s="15">
        <f si="9" t="shared"/>
        <v>1</v>
      </c>
      <c r="P21" s="15">
        <f si="9" t="shared"/>
        <v>1</v>
      </c>
      <c r="Q21" s="15">
        <f si="9" t="shared"/>
        <v>1</v>
      </c>
      <c r="R21" s="15">
        <f si="9" t="shared"/>
        <v>1</v>
      </c>
      <c r="S21" s="15">
        <f si="9" t="shared"/>
        <v>1</v>
      </c>
      <c r="T21" s="15">
        <f si="9" t="shared"/>
        <v>0</v>
      </c>
      <c r="U21" s="15">
        <f si="9" t="shared"/>
        <v>1</v>
      </c>
      <c r="W21" s="13" t="s">
        <v>4</v>
      </c>
      <c r="X21" s="12">
        <f si="6" t="shared"/>
        <v>0</v>
      </c>
      <c r="Y21" s="12">
        <f si="6" t="shared"/>
        <v>0</v>
      </c>
      <c r="Z21" s="12">
        <f>O21-D21</f>
        <v>0</v>
      </c>
      <c r="AA21" s="12">
        <f si="7" t="shared"/>
        <v>0</v>
      </c>
      <c r="AB21" s="12">
        <f si="7" t="shared"/>
        <v>0</v>
      </c>
      <c r="AC21" s="12">
        <f si="7" t="shared"/>
        <v>0</v>
      </c>
      <c r="AD21" s="12">
        <f si="7" t="shared"/>
        <v>0</v>
      </c>
      <c r="AE21" s="12">
        <f si="7" t="shared"/>
        <v>0</v>
      </c>
      <c r="AF21" s="12">
        <f si="7" t="shared"/>
        <v>0</v>
      </c>
    </row>
    <row customHeight="1" ht="13.15" r="25" spans="1:32" x14ac:dyDescent="0.2">
      <c r="A25" s="264" t="s">
        <v>41</v>
      </c>
      <c r="L25" s="264" t="s">
        <v>41</v>
      </c>
      <c r="W25" s="264" t="s">
        <v>41</v>
      </c>
    </row>
    <row customHeight="1" ht="13.15" r="26" spans="1:32" x14ac:dyDescent="0.2">
      <c r="A26" s="264" t="s">
        <v>76</v>
      </c>
      <c r="L26" s="264" t="s">
        <v>77</v>
      </c>
      <c r="W26" s="264" t="s">
        <v>78</v>
      </c>
    </row>
    <row customHeight="1" ht="13.15" r="27" spans="1:32" thickBot="1" x14ac:dyDescent="0.25"/>
    <row customHeight="1" ht="13.15" r="28" spans="1:32" x14ac:dyDescent="0.2">
      <c r="A28" s="3" t="s">
        <v>53</v>
      </c>
      <c r="B28" s="4" t="s">
        <v>12</v>
      </c>
      <c r="C28" s="4" t="s">
        <v>13</v>
      </c>
      <c r="D28" s="4" t="s">
        <v>14</v>
      </c>
      <c r="E28" s="4" t="s">
        <v>15</v>
      </c>
      <c r="F28" s="4" t="s">
        <v>16</v>
      </c>
      <c r="G28" s="4" t="s">
        <v>17</v>
      </c>
      <c r="H28" s="4" t="s">
        <v>18</v>
      </c>
      <c r="I28" s="4" t="s">
        <v>19</v>
      </c>
      <c r="J28" s="4" t="s">
        <v>4</v>
      </c>
      <c r="L28" s="3" t="s">
        <v>53</v>
      </c>
      <c r="M28" s="4" t="s">
        <v>12</v>
      </c>
      <c r="N28" s="4" t="s">
        <v>13</v>
      </c>
      <c r="O28" s="4" t="s">
        <v>14</v>
      </c>
      <c r="P28" s="4" t="s">
        <v>15</v>
      </c>
      <c r="Q28" s="4" t="s">
        <v>16</v>
      </c>
      <c r="R28" s="4" t="s">
        <v>17</v>
      </c>
      <c r="S28" s="4" t="s">
        <v>18</v>
      </c>
      <c r="T28" s="4" t="s">
        <v>19</v>
      </c>
      <c r="U28" s="4" t="s">
        <v>4</v>
      </c>
      <c r="W28" s="3" t="s">
        <v>53</v>
      </c>
      <c r="X28" s="4" t="s">
        <v>12</v>
      </c>
      <c r="Y28" s="4" t="s">
        <v>13</v>
      </c>
      <c r="Z28" s="4" t="s">
        <v>14</v>
      </c>
      <c r="AA28" s="4" t="s">
        <v>15</v>
      </c>
      <c r="AB28" s="4" t="s">
        <v>16</v>
      </c>
      <c r="AC28" s="4" t="s">
        <v>17</v>
      </c>
      <c r="AD28" s="4" t="s">
        <v>18</v>
      </c>
      <c r="AE28" s="4" t="s">
        <v>19</v>
      </c>
      <c r="AF28" s="4" t="s">
        <v>4</v>
      </c>
    </row>
    <row r="29" spans="1:32" x14ac:dyDescent="0.2">
      <c r="A29" s="265" t="s">
        <v>54</v>
      </c>
      <c r="B29" s="10">
        <f>output_NHTS!B43/SUM(output_NHTS!B$43:B$46)</f>
        <v>0.80662280318634838</v>
      </c>
      <c r="C29" s="10">
        <f>output_NHTS!C43/SUM(output_NHTS!C$43:C$46)</f>
        <v>0.77378516253734952</v>
      </c>
      <c r="D29" s="10">
        <f>output_NHTS!D43/SUM(output_NHTS!D$43:D$46)</f>
        <v>0.92568882403754882</v>
      </c>
      <c r="E29" s="10">
        <f>output_NHTS!E43/SUM(output_NHTS!E$43:E$46)</f>
        <v>0.79541505187087713</v>
      </c>
      <c r="F29" s="10">
        <f>output_NHTS!F43/SUM(output_NHTS!F$43:F$46)</f>
        <v>0.90733476638302779</v>
      </c>
      <c r="G29" s="10">
        <f>output_NHTS!G43/SUM(output_NHTS!G$43:G$46)</f>
        <v>0.88517185962637346</v>
      </c>
      <c r="H29" s="10">
        <f>output_NHTS!H43/SUM(output_NHTS!H$43:H$46)</f>
        <v>0.89570876180513448</v>
      </c>
      <c r="I29" s="10">
        <f>IF(SUM(output_NHTS!I$43:I$46)&gt;0,output_NHTS!I43/SUM(output_NHTS!I$43:I$46),0)</f>
        <v>0</v>
      </c>
      <c r="J29" s="10">
        <f>output_NHTS!J43/SUM(output_NHTS!J$43:J$46)</f>
        <v>0.83746406165735221</v>
      </c>
      <c r="L29" s="265" t="s">
        <v>54</v>
      </c>
      <c r="M29" s="10">
        <f>output!B43/SUM(output!B$43:B$46)</f>
        <v>0.81961819921010781</v>
      </c>
      <c r="N29" s="10">
        <f>output!C43/SUM(output!C$43:C$46)</f>
        <v>0.75514844649021862</v>
      </c>
      <c r="O29" s="10">
        <f>output!D43/SUM(output!D$43:D$46)</f>
        <v>0.94128406294972378</v>
      </c>
      <c r="P29" s="10">
        <f>output!E43/SUM(output!E$43:E$46)</f>
        <v>0.78719168124584182</v>
      </c>
      <c r="Q29" s="10">
        <f>output!F43/SUM(output!F$43:F$46)</f>
        <v>0.90150542292636893</v>
      </c>
      <c r="R29" s="10">
        <f>output!G43/SUM(output!G$43:G$46)</f>
        <v>0.90904832258296997</v>
      </c>
      <c r="S29" s="10">
        <f>output!H43/SUM(output!H$43:H$46)</f>
        <v>0.92565167096559242</v>
      </c>
      <c r="T29" s="10">
        <f>IF(SUM(output!I$43:I$46)&gt;0,output!I43/SUM(output!I$43:I$46),0)</f>
        <v>0</v>
      </c>
      <c r="U29" s="10">
        <f>output!J43/SUM(output!J$43:J$46)</f>
        <v>0.84860954546458234</v>
      </c>
      <c r="W29" s="265" t="s">
        <v>54</v>
      </c>
      <c r="X29" s="10">
        <f ref="X29:AF33" si="10" t="shared">M29-B29</f>
        <v>1.2995396023759431E-2</v>
      </c>
      <c r="Y29" s="10">
        <f si="10" t="shared"/>
        <v>-1.8636716047130908E-2</v>
      </c>
      <c r="Z29" s="10">
        <f si="10" t="shared"/>
        <v>1.5595238912174958E-2</v>
      </c>
      <c r="AA29" s="10">
        <f si="10" t="shared"/>
        <v>-8.2233706250353089E-3</v>
      </c>
      <c r="AB29" s="10">
        <f si="10" t="shared"/>
        <v>-5.8293434566588642E-3</v>
      </c>
      <c r="AC29" s="10">
        <f si="10" t="shared"/>
        <v>2.3876462956596511E-2</v>
      </c>
      <c r="AD29" s="10">
        <f si="10" t="shared"/>
        <v>2.9942909160457942E-2</v>
      </c>
      <c r="AE29" s="10">
        <f si="10" t="shared"/>
        <v>0</v>
      </c>
      <c r="AF29" s="10">
        <f si="10" t="shared"/>
        <v>1.1145483807230128E-2</v>
      </c>
    </row>
    <row r="30" spans="1:32" x14ac:dyDescent="0.2">
      <c r="A30" s="265" t="s">
        <v>70</v>
      </c>
      <c r="B30" s="10">
        <f>output_NHTS!B44/SUM(output_NHTS!B$43:B$46)</f>
        <v>0.12382534225129767</v>
      </c>
      <c r="C30" s="10">
        <f>output_NHTS!C44/SUM(output_NHTS!C$43:C$46)</f>
        <v>5.1570879871415801E-2</v>
      </c>
      <c r="D30" s="10">
        <f>output_NHTS!D44/SUM(output_NHTS!D$43:D$46)</f>
        <v>1.9291083537383872E-3</v>
      </c>
      <c r="E30" s="10">
        <f>output_NHTS!E44/SUM(output_NHTS!E$43:E$46)</f>
        <v>4.9728725926385664E-3</v>
      </c>
      <c r="F30" s="10">
        <f>output_NHTS!F44/SUM(output_NHTS!F$43:F$46)</f>
        <v>2.8619088704288222E-2</v>
      </c>
      <c r="G30" s="10">
        <f>output_NHTS!G44/SUM(output_NHTS!G$43:G$46)</f>
        <v>5.3743333576113307E-2</v>
      </c>
      <c r="H30" s="10">
        <f>output_NHTS!H44/SUM(output_NHTS!H$43:H$46)</f>
        <v>6.3649519923402648E-2</v>
      </c>
      <c r="I30" s="10">
        <f>IF(SUM(output_NHTS!I$43:I$46)&gt;0,output_NHTS!I44/SUM(output_NHTS!I$43:I$46),0)</f>
        <v>0</v>
      </c>
      <c r="J30" s="10">
        <f>output_NHTS!J44/SUM(output_NHTS!J$43:J$46)</f>
        <v>7.6073310728788091E-2</v>
      </c>
      <c r="L30" s="265" t="s">
        <v>70</v>
      </c>
      <c r="M30" s="10">
        <f>output!B44/SUM(output!B$43:B$46)</f>
        <v>0.11079147667588012</v>
      </c>
      <c r="N30" s="10">
        <f>output!C44/SUM(output!C$43:C$46)</f>
        <v>9.2915995397008053E-2</v>
      </c>
      <c r="O30" s="10">
        <f>output!D44/SUM(output!D$43:D$46)</f>
        <v>6.2856877582284946E-3</v>
      </c>
      <c r="P30" s="10">
        <f>output!E44/SUM(output!E$43:E$46)</f>
        <v>2.1930364931128796E-2</v>
      </c>
      <c r="Q30" s="10">
        <f>output!F44/SUM(output!F$43:F$46)</f>
        <v>3.003109866476877E-2</v>
      </c>
      <c r="R30" s="10">
        <f>output!G44/SUM(output!G$43:G$46)</f>
        <v>4.3746171309142011E-2</v>
      </c>
      <c r="S30" s="10">
        <f>output!H44/SUM(output!H$43:H$46)</f>
        <v>4.1823742798207553E-2</v>
      </c>
      <c r="T30" s="10">
        <f>IF(SUM(output!I$43:I$46)&gt;0,output!I44/SUM(output!I$43:I$46),0)</f>
        <v>0</v>
      </c>
      <c r="U30" s="10">
        <f>output!J44/SUM(output!J$43:J$46)</f>
        <v>7.1244764952970205E-2</v>
      </c>
      <c r="W30" s="265" t="s">
        <v>70</v>
      </c>
      <c r="X30" s="10">
        <f si="10" t="shared"/>
        <v>-1.3033865575417553E-2</v>
      </c>
      <c r="Y30" s="10">
        <f si="10" t="shared"/>
        <v>4.1345115525592252E-2</v>
      </c>
      <c r="Z30" s="10">
        <f si="10" t="shared"/>
        <v>4.3565794044901074E-3</v>
      </c>
      <c r="AA30" s="10">
        <f si="10" t="shared"/>
        <v>1.695749233849023E-2</v>
      </c>
      <c r="AB30" s="10">
        <f si="10" t="shared"/>
        <v>1.4120099604805481E-3</v>
      </c>
      <c r="AC30" s="10">
        <f si="10" t="shared"/>
        <v>-9.9971622669712962E-3</v>
      </c>
      <c r="AD30" s="10">
        <f si="10" t="shared"/>
        <v>-2.1825777125195095E-2</v>
      </c>
      <c r="AE30" s="10">
        <f si="10" t="shared"/>
        <v>0</v>
      </c>
      <c r="AF30" s="10">
        <f si="10" t="shared"/>
        <v>-4.8285457758178857E-3</v>
      </c>
    </row>
    <row r="31" spans="1:32" x14ac:dyDescent="0.2">
      <c r="A31" s="265" t="s">
        <v>71</v>
      </c>
      <c r="B31" s="10">
        <f>output_NHTS!B45/SUM(output_NHTS!B$43:B$46)</f>
        <v>4.0622564990688899E-2</v>
      </c>
      <c r="C31" s="10">
        <f>output_NHTS!C45/SUM(output_NHTS!C$43:C$46)</f>
        <v>0.12114420576892988</v>
      </c>
      <c r="D31" s="10">
        <f>output_NHTS!D45/SUM(output_NHTS!D$43:D$46)</f>
        <v>5.268732444465174E-2</v>
      </c>
      <c r="E31" s="10">
        <f>output_NHTS!E45/SUM(output_NHTS!E$43:E$46)</f>
        <v>0.14931226685864457</v>
      </c>
      <c r="F31" s="10">
        <f>output_NHTS!F45/SUM(output_NHTS!F$43:F$46)</f>
        <v>5.1539003534942729E-2</v>
      </c>
      <c r="G31" s="10">
        <f>output_NHTS!G45/SUM(output_NHTS!G$43:G$46)</f>
        <v>5.43232709935337E-2</v>
      </c>
      <c r="H31" s="10">
        <f>output_NHTS!H45/SUM(output_NHTS!H$43:H$46)</f>
        <v>2.8241174062550181E-2</v>
      </c>
      <c r="I31" s="10">
        <f>IF(SUM(output_NHTS!I$43:I$46)&gt;0,output_NHTS!I45/SUM(output_NHTS!I$43:I$46),0)</f>
        <v>0</v>
      </c>
      <c r="J31" s="10">
        <f>output_NHTS!J45/SUM(output_NHTS!J$43:J$46)</f>
        <v>5.8490630849341987E-2</v>
      </c>
      <c r="L31" s="265" t="s">
        <v>71</v>
      </c>
      <c r="M31" s="10">
        <f>output!B45/SUM(output!B$43:B$46)</f>
        <v>2.4884538417750863E-2</v>
      </c>
      <c r="N31" s="10">
        <f>output!C45/SUM(output!C$43:C$46)</f>
        <v>6.539930955120829E-2</v>
      </c>
      <c r="O31" s="10">
        <f>output!D45/SUM(output!D$43:D$46)</f>
        <v>2.5119539482846665E-2</v>
      </c>
      <c r="P31" s="10">
        <f>output!E45/SUM(output!E$43:E$46)</f>
        <v>9.0353103516250644E-2</v>
      </c>
      <c r="Q31" s="10">
        <f>output!F45/SUM(output!F$43:F$46)</f>
        <v>3.0448841922856747E-2</v>
      </c>
      <c r="R31" s="10">
        <f>output!G45/SUM(output!G$43:G$46)</f>
        <v>1.4900363950848618E-2</v>
      </c>
      <c r="S31" s="10">
        <f>output!H45/SUM(output!H$43:H$46)</f>
        <v>9.3029001838118314E-3</v>
      </c>
      <c r="T31" s="10">
        <f>IF(SUM(output!I$43:I$46)&gt;0,output!I45/SUM(output!I$43:I$46),0)</f>
        <v>0</v>
      </c>
      <c r="U31" s="10">
        <f>output!J45/SUM(output!J$43:J$46)</f>
        <v>3.2459697852080797E-2</v>
      </c>
      <c r="W31" s="265" t="s">
        <v>71</v>
      </c>
      <c r="X31" s="10">
        <f si="10" t="shared"/>
        <v>-1.5738026572938036E-2</v>
      </c>
      <c r="Y31" s="10">
        <f si="10" t="shared"/>
        <v>-5.5744896217721593E-2</v>
      </c>
      <c r="Z31" s="10">
        <f si="10" t="shared"/>
        <v>-2.7567784961805075E-2</v>
      </c>
      <c r="AA31" s="10">
        <f si="10" t="shared"/>
        <v>-5.8959163342393928E-2</v>
      </c>
      <c r="AB31" s="10">
        <f si="10" t="shared"/>
        <v>-2.1090161612085982E-2</v>
      </c>
      <c r="AC31" s="10">
        <f si="10" t="shared"/>
        <v>-3.9422907042685085E-2</v>
      </c>
      <c r="AD31" s="10">
        <f si="10" t="shared"/>
        <v>-1.8938273878738351E-2</v>
      </c>
      <c r="AE31" s="10">
        <f si="10" t="shared"/>
        <v>0</v>
      </c>
      <c r="AF31" s="10">
        <f si="10" t="shared"/>
        <v>-2.603093299726119E-2</v>
      </c>
    </row>
    <row r="32" spans="1:32" x14ac:dyDescent="0.2">
      <c r="A32" s="6" t="s">
        <v>72</v>
      </c>
      <c r="B32" s="11">
        <f>output_NHTS!B46/SUM(output_NHTS!B$43:B$46)</f>
        <v>2.8929289571665184E-2</v>
      </c>
      <c r="C32" s="11">
        <f>output_NHTS!C46/SUM(output_NHTS!C$43:C$46)</f>
        <v>5.349975182230484E-2</v>
      </c>
      <c r="D32" s="11">
        <f>output_NHTS!D46/SUM(output_NHTS!D$43:D$46)</f>
        <v>1.9694743164061015E-2</v>
      </c>
      <c r="E32" s="11">
        <f>output_NHTS!E46/SUM(output_NHTS!E$43:E$46)</f>
        <v>5.0299808677839633E-2</v>
      </c>
      <c r="F32" s="11">
        <f>output_NHTS!F46/SUM(output_NHTS!F$43:F$46)</f>
        <v>1.2507141377741332E-2</v>
      </c>
      <c r="G32" s="11">
        <f>output_NHTS!G46/SUM(output_NHTS!G$43:G$46)</f>
        <v>6.7615358039795678E-3</v>
      </c>
      <c r="H32" s="11">
        <f>output_NHTS!H46/SUM(output_NHTS!H$43:H$46)</f>
        <v>1.2400544208912678E-2</v>
      </c>
      <c r="I32" s="11">
        <f>IF(SUM(output_NHTS!I$43:I$46)&gt;0,output_NHTS!I46/SUM(output_NHTS!I$43:I$46),0)</f>
        <v>0</v>
      </c>
      <c r="J32" s="11">
        <f>output_NHTS!J46/SUM(output_NHTS!J$43:J$46)</f>
        <v>2.7971996764517792E-2</v>
      </c>
      <c r="L32" s="6" t="s">
        <v>72</v>
      </c>
      <c r="M32" s="11">
        <f>output!B46/SUM(output!B$43:B$46)</f>
        <v>4.4705785696261213E-2</v>
      </c>
      <c r="N32" s="11">
        <f>output!C46/SUM(output!C$43:C$46)</f>
        <v>8.6536248561565013E-2</v>
      </c>
      <c r="O32" s="11">
        <f>output!D46/SUM(output!D$43:D$46)</f>
        <v>2.7310709809201059E-2</v>
      </c>
      <c r="P32" s="11">
        <f>output!E46/SUM(output!E$43:E$46)</f>
        <v>0.1005248503067787</v>
      </c>
      <c r="Q32" s="11">
        <f>output!F46/SUM(output!F$43:F$46)</f>
        <v>3.8014636486005601E-2</v>
      </c>
      <c r="R32" s="11">
        <f>output!G46/SUM(output!G$43:G$46)</f>
        <v>3.2305142157039383E-2</v>
      </c>
      <c r="S32" s="11">
        <f>output!H46/SUM(output!H$43:H$46)</f>
        <v>2.3221686052388245E-2</v>
      </c>
      <c r="T32" s="11">
        <f>IF(SUM(output!I$43:I$46)&gt;0,output!I46/SUM(output!I$43:I$46),0)</f>
        <v>0</v>
      </c>
      <c r="U32" s="11">
        <f>output!J46/SUM(output!J$43:J$46)</f>
        <v>4.7685991730366695E-2</v>
      </c>
      <c r="W32" s="6" t="s">
        <v>72</v>
      </c>
      <c r="X32" s="10">
        <f si="10" t="shared"/>
        <v>1.5776496124596029E-2</v>
      </c>
      <c r="Y32" s="10">
        <f si="10" t="shared"/>
        <v>3.3036496739260172E-2</v>
      </c>
      <c r="Z32" s="10">
        <f si="10" t="shared"/>
        <v>7.6159666451400439E-3</v>
      </c>
      <c r="AA32" s="10">
        <f si="10" t="shared"/>
        <v>5.0225041628939066E-2</v>
      </c>
      <c r="AB32" s="10">
        <f si="10" t="shared"/>
        <v>2.5507495108264271E-2</v>
      </c>
      <c r="AC32" s="10">
        <f si="10" t="shared"/>
        <v>2.5543606353059814E-2</v>
      </c>
      <c r="AD32" s="10">
        <f si="10" t="shared"/>
        <v>1.0821141843475567E-2</v>
      </c>
      <c r="AE32" s="10">
        <f si="10" t="shared"/>
        <v>0</v>
      </c>
      <c r="AF32" s="10">
        <f si="10" t="shared"/>
        <v>1.9713994965848903E-2</v>
      </c>
    </row>
    <row customHeight="1" ht="13.15" r="33" spans="1:32" thickBot="1" x14ac:dyDescent="0.25">
      <c r="A33" s="13" t="s">
        <v>4</v>
      </c>
      <c r="B33" s="15">
        <f ref="B33:J33" si="11" t="shared">SUM(B29:B32)</f>
        <v>1.0000000000000002</v>
      </c>
      <c r="C33" s="15">
        <f si="11" t="shared"/>
        <v>1.0000000000000002</v>
      </c>
      <c r="D33" s="15">
        <f si="11" t="shared"/>
        <v>1</v>
      </c>
      <c r="E33" s="15">
        <f si="11" t="shared"/>
        <v>1</v>
      </c>
      <c r="F33" s="15">
        <f si="11" t="shared"/>
        <v>1</v>
      </c>
      <c r="G33" s="15">
        <f si="11" t="shared"/>
        <v>1</v>
      </c>
      <c r="H33" s="15">
        <f si="11" t="shared"/>
        <v>1</v>
      </c>
      <c r="I33" s="15">
        <f si="11" t="shared"/>
        <v>0</v>
      </c>
      <c r="J33" s="15">
        <f si="11" t="shared"/>
        <v>1.0000000000000002</v>
      </c>
      <c r="L33" s="13" t="s">
        <v>4</v>
      </c>
      <c r="M33" s="15">
        <f ref="M33:U33" si="12" t="shared">SUM(M29:M32)</f>
        <v>1</v>
      </c>
      <c r="N33" s="15">
        <f si="12" t="shared"/>
        <v>1</v>
      </c>
      <c r="O33" s="15">
        <f si="12" t="shared"/>
        <v>0.99999999999999989</v>
      </c>
      <c r="P33" s="15">
        <f si="12" t="shared"/>
        <v>0.99999999999999989</v>
      </c>
      <c r="Q33" s="15">
        <f si="12" t="shared"/>
        <v>1</v>
      </c>
      <c r="R33" s="15">
        <f si="12" t="shared"/>
        <v>1</v>
      </c>
      <c r="S33" s="15">
        <f si="12" t="shared"/>
        <v>1</v>
      </c>
      <c r="T33" s="15">
        <f si="12" t="shared"/>
        <v>0</v>
      </c>
      <c r="U33" s="15">
        <f si="12" t="shared"/>
        <v>1</v>
      </c>
      <c r="W33" s="13" t="s">
        <v>4</v>
      </c>
      <c r="X33" s="12">
        <f si="10" t="shared"/>
        <v>0</v>
      </c>
      <c r="Y33" s="12">
        <f si="10" t="shared"/>
        <v>0</v>
      </c>
      <c r="Z33" s="12">
        <f si="10" t="shared"/>
        <v>0</v>
      </c>
      <c r="AA33" s="12">
        <f si="10" t="shared"/>
        <v>0</v>
      </c>
      <c r="AB33" s="12">
        <f si="10" t="shared"/>
        <v>0</v>
      </c>
      <c r="AC33" s="12">
        <f si="10" t="shared"/>
        <v>0</v>
      </c>
      <c r="AD33" s="12">
        <f si="10" t="shared"/>
        <v>0</v>
      </c>
      <c r="AE33" s="12">
        <f si="10" t="shared"/>
        <v>0</v>
      </c>
      <c r="AF33" s="12">
        <f si="10" t="shared"/>
        <v>0</v>
      </c>
    </row>
    <row r="34" spans="1:32" x14ac:dyDescent="0.2">
      <c r="B34" s="21"/>
      <c r="C34" s="21"/>
      <c r="D34" s="21"/>
      <c r="E34" s="21"/>
      <c r="F34" s="21"/>
      <c r="G34" s="21"/>
      <c r="H34" s="21"/>
      <c r="I34" s="21"/>
      <c r="J34" s="21"/>
      <c r="M34" s="21"/>
      <c r="N34" s="21"/>
      <c r="O34" s="21"/>
      <c r="P34" s="21"/>
      <c r="Q34" s="21"/>
      <c r="R34" s="21"/>
      <c r="S34" s="21"/>
      <c r="T34" s="21"/>
      <c r="U34" s="21"/>
      <c r="X34" s="21"/>
      <c r="Y34" s="21"/>
      <c r="Z34" s="21"/>
      <c r="AA34" s="21"/>
      <c r="AB34" s="21"/>
      <c r="AC34" s="21"/>
      <c r="AD34" s="21"/>
      <c r="AE34" s="21"/>
      <c r="AF34" s="21"/>
    </row>
    <row customHeight="1" ht="13.15" r="37" spans="1:32" x14ac:dyDescent="0.2">
      <c r="A37" s="264" t="s">
        <v>41</v>
      </c>
      <c r="L37" s="264" t="s">
        <v>41</v>
      </c>
      <c r="W37" s="264" t="s">
        <v>41</v>
      </c>
    </row>
    <row customHeight="1" ht="13.15" r="38" spans="1:32" x14ac:dyDescent="0.2">
      <c r="A38" s="264" t="s">
        <v>79</v>
      </c>
      <c r="L38" s="264" t="s">
        <v>80</v>
      </c>
      <c r="W38" s="264" t="s">
        <v>81</v>
      </c>
    </row>
    <row customHeight="1" ht="13.15" r="39" spans="1:32" thickBot="1" x14ac:dyDescent="0.25"/>
    <row customHeight="1" ht="13.15" r="40" spans="1:32" x14ac:dyDescent="0.2">
      <c r="A40" s="3" t="s">
        <v>53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53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53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2">
      <c r="A41" s="265" t="s">
        <v>54</v>
      </c>
      <c r="B41" s="10">
        <f>output_NHTS!B50/SUM(output_NHTS!B$50:B$53)</f>
        <v>0.71568807308656024</v>
      </c>
      <c r="C41" s="10">
        <f>output_NHTS!C50/SUM(output_NHTS!C$50:C$53)</f>
        <v>0.64895890034155967</v>
      </c>
      <c r="D41" s="10">
        <f>output_NHTS!D50/SUM(output_NHTS!D$50:D$53)</f>
        <v>0.56727686203307404</v>
      </c>
      <c r="E41" s="10">
        <f>output_NHTS!E50/SUM(output_NHTS!E$50:E$53)</f>
        <v>0.62406371090526247</v>
      </c>
      <c r="F41" s="10">
        <f>output_NHTS!F50/SUM(output_NHTS!F$50:F$53)</f>
        <v>0.84298871087523131</v>
      </c>
      <c r="G41" s="10">
        <f>output_NHTS!G50/SUM(output_NHTS!G$50:G$53)</f>
        <v>0.74602608830829908</v>
      </c>
      <c r="H41" s="10">
        <f>output_NHTS!H50/SUM(output_NHTS!H$50:H$53)</f>
        <v>0.84642581460526578</v>
      </c>
      <c r="I41" s="10">
        <f>IF(SUM(output_NHTS!I$50:I$53)&gt;0,output_NHTS!I50/SUM(output_NHTS!I$50:I$53),0)</f>
        <v>0</v>
      </c>
      <c r="J41" s="10">
        <f>output_NHTS!J50/SUM(output_NHTS!J$50:J$53)</f>
        <v>0.70834174784230985</v>
      </c>
      <c r="L41" s="265" t="s">
        <v>54</v>
      </c>
      <c r="M41" s="10">
        <f>output!B50/SUM(output!B$50:B$53)</f>
        <v>0.66769481757950266</v>
      </c>
      <c r="N41" s="10">
        <f>output!C50/SUM(output!C$50:C$53)</f>
        <v>0.62336478711162258</v>
      </c>
      <c r="O41" s="10">
        <f>output!D50/SUM(output!D$50:D$53)</f>
        <v>0.58252170279931292</v>
      </c>
      <c r="P41" s="10">
        <f>output!E50/SUM(output!E$50:E$53)</f>
        <v>0.60471133233127172</v>
      </c>
      <c r="Q41" s="10">
        <f>output!F50/SUM(output!F$50:F$53)</f>
        <v>0.86310398712731884</v>
      </c>
      <c r="R41" s="10">
        <f>output!G50/SUM(output!G$50:G$53)</f>
        <v>0.79517855212424782</v>
      </c>
      <c r="S41" s="10">
        <f>output!H50/SUM(output!H$50:H$53)</f>
        <v>0.8581953496729946</v>
      </c>
      <c r="T41" s="10">
        <f>IF(SUM(output!I$50:I$53)&gt;0,output!I50/SUM(output!I$50:I$53),0)</f>
        <v>0</v>
      </c>
      <c r="U41" s="10">
        <f>output!J50/SUM(output!J$50:J$53)</f>
        <v>0.68731262961996265</v>
      </c>
      <c r="W41" s="265" t="s">
        <v>54</v>
      </c>
      <c r="X41" s="10">
        <f ref="X41:AF45" si="13" t="shared">M41-B41</f>
        <v>-4.7993255507057575E-2</v>
      </c>
      <c r="Y41" s="10">
        <f si="13" t="shared"/>
        <v>-2.5594113229937099E-2</v>
      </c>
      <c r="Z41" s="10">
        <f si="13" t="shared"/>
        <v>1.5244840766238887E-2</v>
      </c>
      <c r="AA41" s="10">
        <f si="13" t="shared"/>
        <v>-1.9352378573990747E-2</v>
      </c>
      <c r="AB41" s="10">
        <f si="13" t="shared"/>
        <v>2.0115276252087533E-2</v>
      </c>
      <c r="AC41" s="10">
        <f si="13" t="shared"/>
        <v>4.9152463815948733E-2</v>
      </c>
      <c r="AD41" s="10">
        <f si="13" t="shared"/>
        <v>1.176953506772882E-2</v>
      </c>
      <c r="AE41" s="10">
        <f si="13" t="shared"/>
        <v>0</v>
      </c>
      <c r="AF41" s="10">
        <f si="13" t="shared"/>
        <v>-2.102911822234721E-2</v>
      </c>
    </row>
    <row r="42" spans="1:32" x14ac:dyDescent="0.2">
      <c r="A42" s="265" t="s">
        <v>70</v>
      </c>
      <c r="B42" s="10">
        <f>output_NHTS!B51/SUM(output_NHTS!B$50:B$53)</f>
        <v>0.19448367091968491</v>
      </c>
      <c r="C42" s="10">
        <f>output_NHTS!C51/SUM(output_NHTS!C$50:C$53)</f>
        <v>0.1853663285286056</v>
      </c>
      <c r="D42" s="10">
        <f>output_NHTS!D51/SUM(output_NHTS!D$50:D$53)</f>
        <v>0.12719487134136989</v>
      </c>
      <c r="E42" s="10">
        <f>output_NHTS!E51/SUM(output_NHTS!E$50:E$53)</f>
        <v>0.14912086002644481</v>
      </c>
      <c r="F42" s="10">
        <f>output_NHTS!F51/SUM(output_NHTS!F$50:F$53)</f>
        <v>8.2510847506105128E-2</v>
      </c>
      <c r="G42" s="10">
        <f>output_NHTS!G51/SUM(output_NHTS!G$50:G$53)</f>
        <v>0.14681110717750748</v>
      </c>
      <c r="H42" s="10">
        <f>output_NHTS!H51/SUM(output_NHTS!H$50:H$53)</f>
        <v>8.60190905690498E-2</v>
      </c>
      <c r="I42" s="10">
        <f>IF(SUM(output_NHTS!I$50:I$53)&gt;0,output_NHTS!I51/SUM(output_NHTS!I$50:I$53),0)</f>
        <v>0</v>
      </c>
      <c r="J42" s="10">
        <f>output_NHTS!J51/SUM(output_NHTS!J$50:J$53)</f>
        <v>0.15850511800747974</v>
      </c>
      <c r="L42" s="265" t="s">
        <v>70</v>
      </c>
      <c r="M42" s="10">
        <f>output!B51/SUM(output!B$50:B$53)</f>
        <v>0.25282418736759327</v>
      </c>
      <c r="N42" s="10">
        <f>output!C51/SUM(output!C$50:C$53)</f>
        <v>0.22806904487917146</v>
      </c>
      <c r="O42" s="10">
        <f>output!D51/SUM(output!D$50:D$53)</f>
        <v>0.14590780372313264</v>
      </c>
      <c r="P42" s="10">
        <f>output!E51/SUM(output!E$50:E$53)</f>
        <v>0.16412783677894685</v>
      </c>
      <c r="Q42" s="10">
        <f>output!F51/SUM(output!F$50:F$53)</f>
        <v>6.2924512246066253E-2</v>
      </c>
      <c r="R42" s="10">
        <f>output!G51/SUM(output!G$50:G$53)</f>
        <v>0.11268062412165328</v>
      </c>
      <c r="S42" s="10">
        <f>output!H51/SUM(output!H$50:H$53)</f>
        <v>8.3366713961088801E-2</v>
      </c>
      <c r="T42" s="10">
        <f>IF(SUM(output!I$50:I$53)&gt;0,output!I51/SUM(output!I$50:I$53),0)</f>
        <v>0</v>
      </c>
      <c r="U42" s="10">
        <f>output!J51/SUM(output!J$50:J$53)</f>
        <v>0.19109046942596652</v>
      </c>
      <c r="W42" s="265" t="s">
        <v>70</v>
      </c>
      <c r="X42" s="10">
        <f si="13" t="shared"/>
        <v>5.8340516447908358E-2</v>
      </c>
      <c r="Y42" s="10">
        <f si="13" t="shared"/>
        <v>4.2702716350565856E-2</v>
      </c>
      <c r="Z42" s="10">
        <f si="13" t="shared"/>
        <v>1.8712932381762748E-2</v>
      </c>
      <c r="AA42" s="10">
        <f si="13" t="shared"/>
        <v>1.5006976752502038E-2</v>
      </c>
      <c r="AB42" s="10">
        <f si="13" t="shared"/>
        <v>-1.9586335260038876E-2</v>
      </c>
      <c r="AC42" s="10">
        <f si="13" t="shared"/>
        <v>-3.4130483055854199E-2</v>
      </c>
      <c r="AD42" s="10">
        <f si="13" t="shared"/>
        <v>-2.6523766079609989E-3</v>
      </c>
      <c r="AE42" s="10">
        <f si="13" t="shared"/>
        <v>0</v>
      </c>
      <c r="AF42" s="10">
        <f si="13" t="shared"/>
        <v>3.2585351418486785E-2</v>
      </c>
    </row>
    <row r="43" spans="1:32" x14ac:dyDescent="0.2">
      <c r="A43" s="265" t="s">
        <v>71</v>
      </c>
      <c r="B43" s="10">
        <f>output_NHTS!B52/SUM(output_NHTS!B$50:B$53)</f>
        <v>5.4937754490771415E-2</v>
      </c>
      <c r="C43" s="10">
        <f>output_NHTS!C52/SUM(output_NHTS!C$50:C$53)</f>
        <v>9.170998400015612E-2</v>
      </c>
      <c r="D43" s="10">
        <f>output_NHTS!D52/SUM(output_NHTS!D$50:D$53)</f>
        <v>0.1968843336415006</v>
      </c>
      <c r="E43" s="10">
        <f>output_NHTS!E52/SUM(output_NHTS!E$50:E$53)</f>
        <v>0.14100379439022651</v>
      </c>
      <c r="F43" s="10">
        <f>output_NHTS!F52/SUM(output_NHTS!F$50:F$53)</f>
        <v>4.3752339343007145E-2</v>
      </c>
      <c r="G43" s="10">
        <f>output_NHTS!G52/SUM(output_NHTS!G$50:G$53)</f>
        <v>9.1433582119223089E-2</v>
      </c>
      <c r="H43" s="10">
        <f>output_NHTS!H52/SUM(output_NHTS!H$50:H$53)</f>
        <v>5.1914720116851623E-2</v>
      </c>
      <c r="I43" s="10">
        <f>IF(SUM(output_NHTS!I$50:I$53)&gt;0,output_NHTS!I52/SUM(output_NHTS!I$50:I$53),0)</f>
        <v>0</v>
      </c>
      <c r="J43" s="10">
        <f>output_NHTS!J52/SUM(output_NHTS!J$50:J$53)</f>
        <v>8.4679397837955334E-2</v>
      </c>
      <c r="L43" s="265" t="s">
        <v>71</v>
      </c>
      <c r="M43" s="10">
        <f>output!B52/SUM(output!B$50:B$53)</f>
        <v>3.4106207050345359E-2</v>
      </c>
      <c r="N43" s="10">
        <f>output!C52/SUM(output!C$50:C$53)</f>
        <v>5.3901035673187575E-2</v>
      </c>
      <c r="O43" s="10">
        <f>output!D52/SUM(output!D$50:D$53)</f>
        <v>0.10170372777494081</v>
      </c>
      <c r="P43" s="10">
        <f>output!E52/SUM(output!E$50:E$53)</f>
        <v>8.2724293423354606E-2</v>
      </c>
      <c r="Q43" s="10">
        <f>output!F52/SUM(output!F$50:F$53)</f>
        <v>3.0851113208422942E-2</v>
      </c>
      <c r="R43" s="10">
        <f>output!G52/SUM(output!G$50:G$53)</f>
        <v>3.6629310655471876E-2</v>
      </c>
      <c r="S43" s="10">
        <f>output!H52/SUM(output!H$50:H$53)</f>
        <v>2.4573133523758894E-2</v>
      </c>
      <c r="T43" s="10">
        <f>IF(SUM(output!I$50:I$53)&gt;0,output!I52/SUM(output!I$50:I$53),0)</f>
        <v>0</v>
      </c>
      <c r="U43" s="10">
        <f>output!J52/SUM(output!J$50:J$53)</f>
        <v>4.7671837216293998E-2</v>
      </c>
      <c r="W43" s="265" t="s">
        <v>71</v>
      </c>
      <c r="X43" s="10">
        <f si="13" t="shared"/>
        <v>-2.0831547440426056E-2</v>
      </c>
      <c r="Y43" s="10">
        <f si="13" t="shared"/>
        <v>-3.7808948326968544E-2</v>
      </c>
      <c r="Z43" s="10">
        <f si="13" t="shared"/>
        <v>-9.5180605866559784E-2</v>
      </c>
      <c r="AA43" s="10">
        <f si="13" t="shared"/>
        <v>-5.82795009668719E-2</v>
      </c>
      <c r="AB43" s="10">
        <f si="13" t="shared"/>
        <v>-1.2901226134584203E-2</v>
      </c>
      <c r="AC43" s="10">
        <f si="13" t="shared"/>
        <v>-5.4804271463751213E-2</v>
      </c>
      <c r="AD43" s="10">
        <f si="13" t="shared"/>
        <v>-2.7341586593092729E-2</v>
      </c>
      <c r="AE43" s="10">
        <f si="13" t="shared"/>
        <v>0</v>
      </c>
      <c r="AF43" s="10">
        <f si="13" t="shared"/>
        <v>-3.7007560621661335E-2</v>
      </c>
    </row>
    <row r="44" spans="1:32" x14ac:dyDescent="0.2">
      <c r="A44" s="6" t="s">
        <v>72</v>
      </c>
      <c r="B44" s="11">
        <f>output_NHTS!B53/SUM(output_NHTS!B$50:B$53)</f>
        <v>3.4890501502983513E-2</v>
      </c>
      <c r="C44" s="11">
        <f>output_NHTS!C53/SUM(output_NHTS!C$50:C$53)</f>
        <v>7.3964787129678647E-2</v>
      </c>
      <c r="D44" s="11">
        <f>output_NHTS!D53/SUM(output_NHTS!D$50:D$53)</f>
        <v>0.10864393298405542</v>
      </c>
      <c r="E44" s="11">
        <f>output_NHTS!E53/SUM(output_NHTS!E$50:E$53)</f>
        <v>8.581163467806624E-2</v>
      </c>
      <c r="F44" s="11">
        <f>output_NHTS!F53/SUM(output_NHTS!F$50:F$53)</f>
        <v>3.0748102275656511E-2</v>
      </c>
      <c r="G44" s="11">
        <f>output_NHTS!G53/SUM(output_NHTS!G$50:G$53)</f>
        <v>1.5729222394970255E-2</v>
      </c>
      <c r="H44" s="11">
        <f>output_NHTS!H53/SUM(output_NHTS!H$50:H$53)</f>
        <v>1.5640374708832786E-2</v>
      </c>
      <c r="I44" s="11">
        <f>IF(SUM(output_NHTS!I$50:I$53)&gt;0,output_NHTS!I53/SUM(output_NHTS!I$50:I$53),0)</f>
        <v>0</v>
      </c>
      <c r="J44" s="11">
        <f>output_NHTS!J53/SUM(output_NHTS!J$50:J$53)</f>
        <v>4.8473736312254982E-2</v>
      </c>
      <c r="L44" s="6" t="s">
        <v>72</v>
      </c>
      <c r="M44" s="11">
        <f>output!B53/SUM(output!B$50:B$53)</f>
        <v>4.537478800255864E-2</v>
      </c>
      <c r="N44" s="11">
        <f>output!C53/SUM(output!C$50:C$53)</f>
        <v>9.4665132336018407E-2</v>
      </c>
      <c r="O44" s="11">
        <f>output!D53/SUM(output!D$50:D$53)</f>
        <v>0.16986676570261361</v>
      </c>
      <c r="P44" s="11">
        <f>output!E53/SUM(output!E$50:E$53)</f>
        <v>0.14843653746642682</v>
      </c>
      <c r="Q44" s="11">
        <f>output!F53/SUM(output!F$50:F$53)</f>
        <v>4.3120387418191942E-2</v>
      </c>
      <c r="R44" s="11">
        <f>output!G53/SUM(output!G$50:G$53)</f>
        <v>5.5511513098627077E-2</v>
      </c>
      <c r="S44" s="11">
        <f>output!H53/SUM(output!H$50:H$53)</f>
        <v>3.3864802842157676E-2</v>
      </c>
      <c r="T44" s="11">
        <f>IF(SUM(output!I$50:I$53)&gt;0,output!I53/SUM(output!I$50:I$53),0)</f>
        <v>0</v>
      </c>
      <c r="U44" s="11">
        <f>output!J53/SUM(output!J$50:J$53)</f>
        <v>7.3925063737776867E-2</v>
      </c>
      <c r="W44" s="6" t="s">
        <v>72</v>
      </c>
      <c r="X44" s="10">
        <f si="13" t="shared"/>
        <v>1.0484286499575127E-2</v>
      </c>
      <c r="Y44" s="10">
        <f si="13" t="shared"/>
        <v>2.070034520633976E-2</v>
      </c>
      <c r="Z44" s="10">
        <f si="13" t="shared"/>
        <v>6.122283271855819E-2</v>
      </c>
      <c r="AA44" s="10">
        <f si="13" t="shared"/>
        <v>6.2624902788360581E-2</v>
      </c>
      <c r="AB44" s="10">
        <f si="13" t="shared"/>
        <v>1.2372285142535432E-2</v>
      </c>
      <c r="AC44" s="10">
        <f si="13" t="shared"/>
        <v>3.9782290703656825E-2</v>
      </c>
      <c r="AD44" s="10">
        <f si="13" t="shared"/>
        <v>1.822442813332489E-2</v>
      </c>
      <c r="AE44" s="10">
        <f si="13" t="shared"/>
        <v>0</v>
      </c>
      <c r="AF44" s="10">
        <f si="13" t="shared"/>
        <v>2.5451327425521884E-2</v>
      </c>
    </row>
    <row customHeight="1" ht="13.15" r="45" spans="1:32" thickBot="1" x14ac:dyDescent="0.25">
      <c r="A45" s="13" t="s">
        <v>4</v>
      </c>
      <c r="B45" s="15">
        <f ref="B45:J45" si="14" t="shared">SUM(B41:B44)</f>
        <v>1</v>
      </c>
      <c r="C45" s="15">
        <f si="14" t="shared"/>
        <v>1</v>
      </c>
      <c r="D45" s="15">
        <f si="14" t="shared"/>
        <v>0.99999999999999989</v>
      </c>
      <c r="E45" s="15">
        <f si="14" t="shared"/>
        <v>1</v>
      </c>
      <c r="F45" s="15">
        <f si="14" t="shared"/>
        <v>1.0000000000000002</v>
      </c>
      <c r="G45" s="15">
        <f si="14" t="shared"/>
        <v>0.99999999999999989</v>
      </c>
      <c r="H45" s="15">
        <f si="14" t="shared"/>
        <v>1</v>
      </c>
      <c r="I45" s="15">
        <f si="14" t="shared"/>
        <v>0</v>
      </c>
      <c r="J45" s="15">
        <f si="14" t="shared"/>
        <v>0.99999999999999989</v>
      </c>
      <c r="L45" s="13" t="s">
        <v>4</v>
      </c>
      <c r="M45" s="15">
        <f ref="M45:U45" si="15" t="shared">SUM(M41:M44)</f>
        <v>1</v>
      </c>
      <c r="N45" s="15">
        <f si="15" t="shared"/>
        <v>1</v>
      </c>
      <c r="O45" s="15">
        <f si="15" t="shared"/>
        <v>1</v>
      </c>
      <c r="P45" s="15">
        <f si="15" t="shared"/>
        <v>1</v>
      </c>
      <c r="Q45" s="15">
        <f si="15" t="shared"/>
        <v>0.99999999999999989</v>
      </c>
      <c r="R45" s="15">
        <f si="15" t="shared"/>
        <v>1</v>
      </c>
      <c r="S45" s="15">
        <f si="15" t="shared"/>
        <v>0.99999999999999989</v>
      </c>
      <c r="T45" s="15">
        <f si="15" t="shared"/>
        <v>0</v>
      </c>
      <c r="U45" s="15">
        <f si="15" t="shared"/>
        <v>1</v>
      </c>
      <c r="W45" s="13" t="s">
        <v>4</v>
      </c>
      <c r="X45" s="12">
        <f si="13" t="shared"/>
        <v>0</v>
      </c>
      <c r="Y45" s="12">
        <f si="13" t="shared"/>
        <v>0</v>
      </c>
      <c r="Z45" s="12">
        <f si="13" t="shared"/>
        <v>0</v>
      </c>
      <c r="AA45" s="12">
        <f si="13" t="shared"/>
        <v>0</v>
      </c>
      <c r="AB45" s="12">
        <f si="13" t="shared"/>
        <v>0</v>
      </c>
      <c r="AC45" s="12">
        <f si="13" t="shared"/>
        <v>0</v>
      </c>
      <c r="AD45" s="12">
        <f si="13" t="shared"/>
        <v>0</v>
      </c>
      <c r="AE45" s="12">
        <f si="13" t="shared"/>
        <v>0</v>
      </c>
      <c r="AF45" s="12">
        <f si="13" t="shared"/>
        <v>0</v>
      </c>
    </row>
    <row customHeight="1" ht="13.15" r="49" spans="1:32" x14ac:dyDescent="0.2">
      <c r="A49" s="264" t="s">
        <v>41</v>
      </c>
      <c r="L49" s="264" t="s">
        <v>41</v>
      </c>
      <c r="W49" s="264" t="s">
        <v>41</v>
      </c>
    </row>
    <row customHeight="1" ht="13.15" r="50" spans="1:32" x14ac:dyDescent="0.2">
      <c r="A50" s="264" t="s">
        <v>82</v>
      </c>
      <c r="L50" s="264" t="s">
        <v>83</v>
      </c>
      <c r="W50" s="264" t="s">
        <v>84</v>
      </c>
    </row>
    <row customHeight="1" ht="13.15" r="51" spans="1:32" thickBot="1" x14ac:dyDescent="0.25"/>
    <row customHeight="1" ht="13.15" r="52" spans="1:32" x14ac:dyDescent="0.2">
      <c r="A52" s="3" t="s">
        <v>53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53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53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2">
      <c r="A53" s="265" t="s">
        <v>54</v>
      </c>
      <c r="B53" s="10">
        <f>output_NHTS!B57/SUM(output_NHTS!B$57:B$60)</f>
        <v>0.7983129701644891</v>
      </c>
      <c r="C53" s="10">
        <f>output_NHTS!C57/SUM(output_NHTS!C$57:C$60)</f>
        <v>0.69404177558326174</v>
      </c>
      <c r="D53" s="10">
        <f>output_NHTS!D57/SUM(output_NHTS!D$57:D$60)</f>
        <v>0.66983361702620392</v>
      </c>
      <c r="E53" s="10">
        <f>output_NHTS!E57/SUM(output_NHTS!E$57:E$60)</f>
        <v>0.656247021895486</v>
      </c>
      <c r="F53" s="10">
        <f>output_NHTS!F57/SUM(output_NHTS!F$57:F$60)</f>
        <v>0.83060883992726287</v>
      </c>
      <c r="G53" s="10">
        <f>output_NHTS!G57/SUM(output_NHTS!G$57:G$60)</f>
        <v>0.90612970644013324</v>
      </c>
      <c r="H53" s="10">
        <f>output_NHTS!H57/SUM(output_NHTS!H$57:H$60)</f>
        <v>0.91660460134612531</v>
      </c>
      <c r="I53" s="10">
        <f>IF(SUM(output_NHTS!I$57:I$60)&gt;0,output_NHTS!I57/SUM(output_NHTS!I$57:I$60),0)</f>
        <v>0</v>
      </c>
      <c r="J53" s="10">
        <f>output_NHTS!J57/SUM(output_NHTS!J$57:J$60)</f>
        <v>0.7823693789582411</v>
      </c>
      <c r="L53" s="265" t="s">
        <v>54</v>
      </c>
      <c r="M53" s="10">
        <f>output!B57/SUM(output!B$57:B$60)</f>
        <v>0.76836675410644184</v>
      </c>
      <c r="N53" s="10">
        <f>output!C57/SUM(output!C$57:C$60)</f>
        <v>0.66680782508630609</v>
      </c>
      <c r="O53" s="10">
        <f>output!D57/SUM(output!D$57:D$60)</f>
        <v>0.67758692725500214</v>
      </c>
      <c r="P53" s="10">
        <f>output!E57/SUM(output!E$57:E$60)</f>
        <v>0.65896064854742131</v>
      </c>
      <c r="Q53" s="10">
        <f>output!F57/SUM(output!F$57:F$60)</f>
        <v>0.84085529064100384</v>
      </c>
      <c r="R53" s="10">
        <f>output!G57/SUM(output!G$57:G$60)</f>
        <v>0.92623689236423912</v>
      </c>
      <c r="S53" s="10">
        <f>output!H57/SUM(output!H$57:H$60)</f>
        <v>0.92863533754366001</v>
      </c>
      <c r="T53" s="10">
        <f>IF(SUM(output!I$57:I$60)&gt;0,output!I57/SUM(output!I$57:I$60),0)</f>
        <v>0</v>
      </c>
      <c r="U53" s="10">
        <f>output!J57/SUM(output!J$57:J$60)</f>
        <v>0.7703322517397313</v>
      </c>
      <c r="W53" s="265" t="s">
        <v>54</v>
      </c>
      <c r="X53" s="10">
        <f ref="X53:AF57" si="16" t="shared">M53-B53</f>
        <v>-2.9946216058047259E-2</v>
      </c>
      <c r="Y53" s="10">
        <f si="16" t="shared"/>
        <v>-2.723395049695565E-2</v>
      </c>
      <c r="Z53" s="10">
        <f si="16" t="shared"/>
        <v>7.7533102287982159E-3</v>
      </c>
      <c r="AA53" s="10">
        <f si="16" t="shared"/>
        <v>2.7136266519353081E-3</v>
      </c>
      <c r="AB53" s="10">
        <f si="16" t="shared"/>
        <v>1.0246450713740973E-2</v>
      </c>
      <c r="AC53" s="10">
        <f si="16" t="shared"/>
        <v>2.0107185924105875E-2</v>
      </c>
      <c r="AD53" s="10">
        <f si="16" t="shared"/>
        <v>1.2030736197534697E-2</v>
      </c>
      <c r="AE53" s="10">
        <f si="16" t="shared"/>
        <v>0</v>
      </c>
      <c r="AF53" s="10">
        <f si="16" t="shared"/>
        <v>-1.2037127218509802E-2</v>
      </c>
    </row>
    <row r="54" spans="1:32" x14ac:dyDescent="0.2">
      <c r="A54" s="265" t="s">
        <v>70</v>
      </c>
      <c r="B54" s="10">
        <f>output_NHTS!B58/SUM(output_NHTS!B$57:B$60)</f>
        <v>0.14059814188382072</v>
      </c>
      <c r="C54" s="10">
        <f>output_NHTS!C58/SUM(output_NHTS!C$57:C$60)</f>
        <v>0.1738592241229259</v>
      </c>
      <c r="D54" s="10">
        <f>output_NHTS!D58/SUM(output_NHTS!D$57:D$60)</f>
        <v>0.13940519699012871</v>
      </c>
      <c r="E54" s="10">
        <f>output_NHTS!E58/SUM(output_NHTS!E$57:E$60)</f>
        <v>0.13824744736050901</v>
      </c>
      <c r="F54" s="10">
        <f>output_NHTS!F58/SUM(output_NHTS!F$57:F$60)</f>
        <v>9.7543920244895707E-2</v>
      </c>
      <c r="G54" s="10">
        <f>output_NHTS!G58/SUM(output_NHTS!G$57:G$60)</f>
        <v>5.9365275731696601E-2</v>
      </c>
      <c r="H54" s="10">
        <f>output_NHTS!H58/SUM(output_NHTS!H$57:H$60)</f>
        <v>5.0280644005447968E-2</v>
      </c>
      <c r="I54" s="10">
        <f>IF(SUM(output_NHTS!I$57:I$60)&gt;0,output_NHTS!I58/SUM(output_NHTS!I$57:I$60),0)</f>
        <v>0</v>
      </c>
      <c r="J54" s="10">
        <f>output_NHTS!J58/SUM(output_NHTS!J$57:J$60)</f>
        <v>0.12444048733455546</v>
      </c>
      <c r="L54" s="265" t="s">
        <v>70</v>
      </c>
      <c r="M54" s="10">
        <f>output!B58/SUM(output!B$57:B$60)</f>
        <v>0.17650628216639377</v>
      </c>
      <c r="N54" s="10">
        <f>output!C58/SUM(output!C$57:C$60)</f>
        <v>0.20426237054085156</v>
      </c>
      <c r="O54" s="10">
        <f>output!D58/SUM(output!D$57:D$60)</f>
        <v>0.12838308342231095</v>
      </c>
      <c r="P54" s="10">
        <f>output!E58/SUM(output!E$57:E$60)</f>
        <v>0.15087598255427148</v>
      </c>
      <c r="Q54" s="10">
        <f>output!F58/SUM(output!F$57:F$60)</f>
        <v>7.0289171166432005E-2</v>
      </c>
      <c r="R54" s="10">
        <f>output!G58/SUM(output!G$57:G$60)</f>
        <v>3.7818456992540807E-2</v>
      </c>
      <c r="S54" s="10">
        <f>output!H58/SUM(output!H$57:H$60)</f>
        <v>4.0786759558402372E-2</v>
      </c>
      <c r="T54" s="10">
        <f>IF(SUM(output!I$57:I$60)&gt;0,output!I58/SUM(output!I$57:I$60),0)</f>
        <v>0</v>
      </c>
      <c r="U54" s="10">
        <f>output!J58/SUM(output!J$57:J$60)</f>
        <v>0.14062849439566169</v>
      </c>
      <c r="W54" s="265" t="s">
        <v>70</v>
      </c>
      <c r="X54" s="10">
        <f si="16" t="shared"/>
        <v>3.5908140282573053E-2</v>
      </c>
      <c r="Y54" s="10">
        <f si="16" t="shared"/>
        <v>3.0403146417925658E-2</v>
      </c>
      <c r="Z54" s="10">
        <f si="16" t="shared"/>
        <v>-1.1022113567817765E-2</v>
      </c>
      <c r="AA54" s="10">
        <f si="16" t="shared"/>
        <v>1.2628535193762475E-2</v>
      </c>
      <c r="AB54" s="10">
        <f si="16" t="shared"/>
        <v>-2.7254749078463703E-2</v>
      </c>
      <c r="AC54" s="10">
        <f si="16" t="shared"/>
        <v>-2.1546818739155794E-2</v>
      </c>
      <c r="AD54" s="10">
        <f si="16" t="shared"/>
        <v>-9.493884447045596E-3</v>
      </c>
      <c r="AE54" s="10">
        <f si="16" t="shared"/>
        <v>0</v>
      </c>
      <c r="AF54" s="10">
        <f si="16" t="shared"/>
        <v>1.6188007061106235E-2</v>
      </c>
    </row>
    <row r="55" spans="1:32" x14ac:dyDescent="0.2">
      <c r="A55" s="265" t="s">
        <v>71</v>
      </c>
      <c r="B55" s="10">
        <f>output_NHTS!B59/SUM(output_NHTS!B$57:B$60)</f>
        <v>4.4401682599928181E-2</v>
      </c>
      <c r="C55" s="10">
        <f>output_NHTS!C59/SUM(output_NHTS!C$57:C$60)</f>
        <v>9.1987992897342344E-2</v>
      </c>
      <c r="D55" s="10">
        <f>output_NHTS!D59/SUM(output_NHTS!D$57:D$60)</f>
        <v>0.13515004712506123</v>
      </c>
      <c r="E55" s="10">
        <f>output_NHTS!E59/SUM(output_NHTS!E$57:E$60)</f>
        <v>0.13463392610083966</v>
      </c>
      <c r="F55" s="10">
        <f>output_NHTS!F59/SUM(output_NHTS!F$57:F$60)</f>
        <v>4.3514270599644085E-2</v>
      </c>
      <c r="G55" s="10">
        <f>output_NHTS!G59/SUM(output_NHTS!G$57:G$60)</f>
        <v>3.4505017828170219E-2</v>
      </c>
      <c r="H55" s="10">
        <f>output_NHTS!H59/SUM(output_NHTS!H$57:H$60)</f>
        <v>3.0826767057930783E-2</v>
      </c>
      <c r="I55" s="10">
        <f>IF(SUM(output_NHTS!I$57:I$60)&gt;0,output_NHTS!I59/SUM(output_NHTS!I$57:I$60),0)</f>
        <v>0</v>
      </c>
      <c r="J55" s="10">
        <f>output_NHTS!J59/SUM(output_NHTS!J$57:J$60)</f>
        <v>6.6366010985748902E-2</v>
      </c>
      <c r="L55" s="265" t="s">
        <v>71</v>
      </c>
      <c r="M55" s="10">
        <f>output!B59/SUM(output!B$57:B$60)</f>
        <v>2.6298832767028751E-2</v>
      </c>
      <c r="N55" s="10">
        <f>output!C59/SUM(output!C$57:C$60)</f>
        <v>5.5134637514384348E-2</v>
      </c>
      <c r="O55" s="10">
        <f>output!D59/SUM(output!D$57:D$60)</f>
        <v>8.3793695743001717E-2</v>
      </c>
      <c r="P55" s="10">
        <f>output!E59/SUM(output!E$57:E$60)</f>
        <v>8.1467609590222506E-2</v>
      </c>
      <c r="Q55" s="10">
        <f>output!F59/SUM(output!F$57:F$60)</f>
        <v>4.5472127241502021E-2</v>
      </c>
      <c r="R55" s="10">
        <f>output!G59/SUM(output!G$57:G$60)</f>
        <v>1.5188641850744117E-2</v>
      </c>
      <c r="S55" s="10">
        <f>output!H59/SUM(output!H$57:H$60)</f>
        <v>1.4090992471576552E-2</v>
      </c>
      <c r="T55" s="10">
        <f>IF(SUM(output!I$57:I$60)&gt;0,output!I59/SUM(output!I$57:I$60),0)</f>
        <v>0</v>
      </c>
      <c r="U55" s="10">
        <f>output!J59/SUM(output!J$57:J$60)</f>
        <v>3.9928751837963655E-2</v>
      </c>
      <c r="W55" s="265" t="s">
        <v>71</v>
      </c>
      <c r="X55" s="10">
        <f si="16" t="shared"/>
        <v>-1.8102849832899431E-2</v>
      </c>
      <c r="Y55" s="10">
        <f si="16" t="shared"/>
        <v>-3.6853355382957996E-2</v>
      </c>
      <c r="Z55" s="10">
        <f si="16" t="shared"/>
        <v>-5.1356351382059517E-2</v>
      </c>
      <c r="AA55" s="10">
        <f si="16" t="shared"/>
        <v>-5.3166316510617151E-2</v>
      </c>
      <c r="AB55" s="10">
        <f si="16" t="shared"/>
        <v>1.9578566418579357E-3</v>
      </c>
      <c r="AC55" s="10">
        <f si="16" t="shared"/>
        <v>-1.9316375977426102E-2</v>
      </c>
      <c r="AD55" s="10">
        <f si="16" t="shared"/>
        <v>-1.6735774586354231E-2</v>
      </c>
      <c r="AE55" s="10">
        <f si="16" t="shared"/>
        <v>0</v>
      </c>
      <c r="AF55" s="10">
        <f si="16" t="shared"/>
        <v>-2.6437259147785247E-2</v>
      </c>
    </row>
    <row r="56" spans="1:32" x14ac:dyDescent="0.2">
      <c r="A56" s="6" t="s">
        <v>72</v>
      </c>
      <c r="B56" s="11">
        <f>output_NHTS!B60/SUM(output_NHTS!B$57:B$60)</f>
        <v>1.6687205351761991E-2</v>
      </c>
      <c r="C56" s="11">
        <f>output_NHTS!C60/SUM(output_NHTS!C$57:C$60)</f>
        <v>4.0111007396470062E-2</v>
      </c>
      <c r="D56" s="11">
        <f>output_NHTS!D60/SUM(output_NHTS!D$57:D$60)</f>
        <v>5.5611138858606218E-2</v>
      </c>
      <c r="E56" s="11">
        <f>output_NHTS!E60/SUM(output_NHTS!E$57:E$60)</f>
        <v>7.0871604643165345E-2</v>
      </c>
      <c r="F56" s="11">
        <f>output_NHTS!F60/SUM(output_NHTS!F$57:F$60)</f>
        <v>2.8332969228197349E-2</v>
      </c>
      <c r="G56" s="11">
        <f>output_NHTS!G60/SUM(output_NHTS!G$57:G$60)</f>
        <v>0</v>
      </c>
      <c r="H56" s="11">
        <f>output_NHTS!H60/SUM(output_NHTS!H$57:H$60)</f>
        <v>2.2879875904959547E-3</v>
      </c>
      <c r="I56" s="11">
        <f>IF(SUM(output_NHTS!I$57:I$60)&gt;0,output_NHTS!I60/SUM(output_NHTS!I$57:I$60),0)</f>
        <v>0</v>
      </c>
      <c r="J56" s="11">
        <f>output_NHTS!J60/SUM(output_NHTS!J$57:J$60)</f>
        <v>2.6824122721454614E-2</v>
      </c>
      <c r="L56" s="6" t="s">
        <v>72</v>
      </c>
      <c r="M56" s="11">
        <f>output!B60/SUM(output!B$57:B$60)</f>
        <v>2.882813096013568E-2</v>
      </c>
      <c r="N56" s="11">
        <f>output!C60/SUM(output!C$57:C$60)</f>
        <v>7.3795166858457995E-2</v>
      </c>
      <c r="O56" s="11">
        <f>output!D60/SUM(output!D$57:D$60)</f>
        <v>0.11023629357968526</v>
      </c>
      <c r="P56" s="11">
        <f>output!E60/SUM(output!E$57:E$60)</f>
        <v>0.10869575930808467</v>
      </c>
      <c r="Q56" s="11">
        <f>output!F60/SUM(output!F$57:F$60)</f>
        <v>4.338341095106215E-2</v>
      </c>
      <c r="R56" s="11">
        <f>output!G60/SUM(output!G$57:G$60)</f>
        <v>2.0756008792475945E-2</v>
      </c>
      <c r="S56" s="11">
        <f>output!H60/SUM(output!H$57:H$60)</f>
        <v>1.6486910426361086E-2</v>
      </c>
      <c r="T56" s="11">
        <f>IF(SUM(output!I$57:I$60)&gt;0,output!I60/SUM(output!I$57:I$60),0)</f>
        <v>0</v>
      </c>
      <c r="U56" s="11">
        <f>output!J60/SUM(output!J$57:J$60)</f>
        <v>4.9110502026643327E-2</v>
      </c>
      <c r="W56" s="6" t="s">
        <v>72</v>
      </c>
      <c r="X56" s="10">
        <f si="16" t="shared"/>
        <v>1.2140925608373689E-2</v>
      </c>
      <c r="Y56" s="10">
        <f si="16" t="shared"/>
        <v>3.3684159461987932E-2</v>
      </c>
      <c r="Z56" s="10">
        <f si="16" t="shared"/>
        <v>5.4625154721079039E-2</v>
      </c>
      <c r="AA56" s="10">
        <f si="16" t="shared"/>
        <v>3.7824154664919327E-2</v>
      </c>
      <c r="AB56" s="10">
        <f si="16" t="shared"/>
        <v>1.50504417228648E-2</v>
      </c>
      <c r="AC56" s="10">
        <f si="16" t="shared"/>
        <v>2.0756008792475945E-2</v>
      </c>
      <c r="AD56" s="10">
        <f si="16" t="shared"/>
        <v>1.4198922835865132E-2</v>
      </c>
      <c r="AE56" s="10">
        <f si="16" t="shared"/>
        <v>0</v>
      </c>
      <c r="AF56" s="10">
        <f si="16" t="shared"/>
        <v>2.2286379305188713E-2</v>
      </c>
    </row>
    <row customHeight="1" ht="13.15" r="57" spans="1:32" thickBot="1" x14ac:dyDescent="0.25">
      <c r="A57" s="13" t="s">
        <v>4</v>
      </c>
      <c r="B57" s="15">
        <f ref="B57:J57" si="17" t="shared">SUM(B53:B56)</f>
        <v>1</v>
      </c>
      <c r="C57" s="15">
        <f si="17" t="shared"/>
        <v>1</v>
      </c>
      <c r="D57" s="15">
        <f si="17" t="shared"/>
        <v>1.0000000000000002</v>
      </c>
      <c r="E57" s="15">
        <f si="17" t="shared"/>
        <v>1</v>
      </c>
      <c r="F57" s="15">
        <f si="17" t="shared"/>
        <v>1</v>
      </c>
      <c r="G57" s="15">
        <f si="17" t="shared"/>
        <v>1</v>
      </c>
      <c r="H57" s="15">
        <f si="17" t="shared"/>
        <v>1</v>
      </c>
      <c r="I57" s="15">
        <f si="17" t="shared"/>
        <v>0</v>
      </c>
      <c r="J57" s="15">
        <f si="17" t="shared"/>
        <v>1</v>
      </c>
      <c r="L57" s="13" t="s">
        <v>4</v>
      </c>
      <c r="M57" s="15">
        <f ref="M57:U57" si="18" t="shared">SUM(M53:M56)</f>
        <v>1</v>
      </c>
      <c r="N57" s="15">
        <f si="18" t="shared"/>
        <v>0.99999999999999989</v>
      </c>
      <c r="O57" s="15">
        <f si="18" t="shared"/>
        <v>1</v>
      </c>
      <c r="P57" s="15">
        <f si="18" t="shared"/>
        <v>1</v>
      </c>
      <c r="Q57" s="15">
        <f si="18" t="shared"/>
        <v>1</v>
      </c>
      <c r="R57" s="15">
        <f si="18" t="shared"/>
        <v>1</v>
      </c>
      <c r="S57" s="15">
        <f si="18" t="shared"/>
        <v>1</v>
      </c>
      <c r="T57" s="15">
        <f si="18" t="shared"/>
        <v>0</v>
      </c>
      <c r="U57" s="15">
        <f si="18" t="shared"/>
        <v>1</v>
      </c>
      <c r="W57" s="13" t="s">
        <v>4</v>
      </c>
      <c r="X57" s="12">
        <f si="16" t="shared"/>
        <v>0</v>
      </c>
      <c r="Y57" s="12">
        <f si="16" t="shared"/>
        <v>0</v>
      </c>
      <c r="Z57" s="12">
        <f si="16" t="shared"/>
        <v>0</v>
      </c>
      <c r="AA57" s="12">
        <f si="16" t="shared"/>
        <v>0</v>
      </c>
      <c r="AB57" s="12">
        <f si="16" t="shared"/>
        <v>0</v>
      </c>
      <c r="AC57" s="12">
        <f si="16" t="shared"/>
        <v>0</v>
      </c>
      <c r="AD57" s="12">
        <f si="16" t="shared"/>
        <v>0</v>
      </c>
      <c r="AE57" s="12">
        <f si="16" t="shared"/>
        <v>0</v>
      </c>
      <c r="AF57" s="12">
        <f si="16" t="shared"/>
        <v>0</v>
      </c>
    </row>
    <row customHeight="1" ht="13.15" r="61" spans="1:32" x14ac:dyDescent="0.2">
      <c r="A61" s="264" t="s">
        <v>41</v>
      </c>
      <c r="L61" s="264" t="s">
        <v>41</v>
      </c>
      <c r="W61" s="264" t="s">
        <v>41</v>
      </c>
    </row>
    <row customHeight="1" ht="13.15" r="62" spans="1:32" x14ac:dyDescent="0.2">
      <c r="A62" s="264" t="s">
        <v>85</v>
      </c>
      <c r="L62" s="264" t="s">
        <v>86</v>
      </c>
      <c r="W62" s="264" t="s">
        <v>87</v>
      </c>
    </row>
    <row customHeight="1" ht="13.15" r="63" spans="1:32" thickBot="1" x14ac:dyDescent="0.25"/>
    <row customHeight="1" ht="13.15" r="64" spans="1:32" x14ac:dyDescent="0.2">
      <c r="A64" s="3" t="s">
        <v>53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53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53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2">
      <c r="A65" s="265" t="s">
        <v>54</v>
      </c>
      <c r="B65" s="10">
        <f>output_NHTS!B64/SUM(output_NHTS!B$64:B$67)</f>
        <v>0.80685511748993699</v>
      </c>
      <c r="C65" s="10">
        <f>output_NHTS!C64/SUM(output_NHTS!C$64:C$67)</f>
        <v>0.83722050971073858</v>
      </c>
      <c r="D65" s="10">
        <f>output_NHTS!D64/SUM(output_NHTS!D$64:D$67)</f>
        <v>0.81615219947219997</v>
      </c>
      <c r="E65" s="10">
        <f>output_NHTS!E64/SUM(output_NHTS!E$64:E$67)</f>
        <v>0.8571471848213994</v>
      </c>
      <c r="F65" s="10">
        <f>output_NHTS!F64/SUM(output_NHTS!F$64:F$67)</f>
        <v>0.89706731386318062</v>
      </c>
      <c r="G65" s="10">
        <f>output_NHTS!G64/SUM(output_NHTS!G$64:G$67)</f>
        <v>0.91689451162696445</v>
      </c>
      <c r="H65" s="10">
        <f>output_NHTS!H64/SUM(output_NHTS!H$64:H$67)</f>
        <v>0.93229367472638847</v>
      </c>
      <c r="I65" s="10">
        <f>IF(SUM(output_NHTS!I$64:I$67)&gt;0,output_NHTS!I64/SUM(output_NHTS!I$64:I$67),0)</f>
        <v>0</v>
      </c>
      <c r="J65" s="10">
        <f>output_NHTS!J64/SUM(output_NHTS!J$64:J$67)</f>
        <v>0.84136467444316687</v>
      </c>
      <c r="L65" s="265" t="s">
        <v>54</v>
      </c>
      <c r="M65" s="10">
        <f>output!B64/SUM(output!B$64:B$67)</f>
        <v>0.74652441564995919</v>
      </c>
      <c r="N65" s="10">
        <f>output!C64/SUM(output!C$64:C$67)</f>
        <v>0.8009942462600691</v>
      </c>
      <c r="O65" s="10">
        <f>output!D64/SUM(output!D$64:D$67)</f>
        <v>0.80729306903114995</v>
      </c>
      <c r="P65" s="10">
        <f>output!E64/SUM(output!E$64:E$67)</f>
        <v>0.85648177808441961</v>
      </c>
      <c r="Q65" s="10">
        <f>output!F64/SUM(output!F$64:F$67)</f>
        <v>0.8655795027308032</v>
      </c>
      <c r="R65" s="10">
        <f>output!G64/SUM(output!G$64:G$67)</f>
        <v>0.92362437389643615</v>
      </c>
      <c r="S65" s="10">
        <f>output!H64/SUM(output!H$64:H$67)</f>
        <v>0.92704804189861523</v>
      </c>
      <c r="T65" s="10">
        <f>IF(SUM(output!I$64:I$67)&gt;0,output!I64/SUM(output!I$64:I$67),0)</f>
        <v>0</v>
      </c>
      <c r="U65" s="10">
        <f>output!J64/SUM(output!J$64:J$67)</f>
        <v>0.80714248103719755</v>
      </c>
      <c r="W65" s="265" t="s">
        <v>54</v>
      </c>
      <c r="X65" s="10">
        <f ref="X65:AF69" si="19" t="shared">M65-B65</f>
        <v>-6.0330701839977796E-2</v>
      </c>
      <c r="Y65" s="10">
        <f si="19" t="shared"/>
        <v>-3.6226263450669483E-2</v>
      </c>
      <c r="Z65" s="10">
        <f si="19" t="shared"/>
        <v>-8.8591304410500227E-3</v>
      </c>
      <c r="AA65" s="10">
        <f si="19" t="shared"/>
        <v>-6.6540673697979003E-4</v>
      </c>
      <c r="AB65" s="10">
        <f si="19" t="shared"/>
        <v>-3.1487811132377419E-2</v>
      </c>
      <c r="AC65" s="10">
        <f si="19" t="shared"/>
        <v>6.7298622694716981E-3</v>
      </c>
      <c r="AD65" s="10">
        <f si="19" t="shared"/>
        <v>-5.2456328277732389E-3</v>
      </c>
      <c r="AE65" s="10">
        <f si="19" t="shared"/>
        <v>0</v>
      </c>
      <c r="AF65" s="10">
        <f si="19" t="shared"/>
        <v>-3.4222193405969326E-2</v>
      </c>
    </row>
    <row r="66" spans="1:32" x14ac:dyDescent="0.2">
      <c r="A66" s="265" t="s">
        <v>70</v>
      </c>
      <c r="B66" s="10">
        <f>output_NHTS!B65/SUM(output_NHTS!B$64:B$67)</f>
        <v>0.13562820035038628</v>
      </c>
      <c r="C66" s="10">
        <f>output_NHTS!C65/SUM(output_NHTS!C$64:C$67)</f>
        <v>9.5320407725790465E-2</v>
      </c>
      <c r="D66" s="10">
        <f>output_NHTS!D65/SUM(output_NHTS!D$64:D$67)</f>
        <v>7.9039238725710143E-2</v>
      </c>
      <c r="E66" s="10">
        <f>output_NHTS!E65/SUM(output_NHTS!E$64:E$67)</f>
        <v>8.7796250366623793E-2</v>
      </c>
      <c r="F66" s="10">
        <f>output_NHTS!F65/SUM(output_NHTS!F$64:F$67)</f>
        <v>3.9135577897497942E-2</v>
      </c>
      <c r="G66" s="10">
        <f>output_NHTS!G65/SUM(output_NHTS!G$64:G$67)</f>
        <v>6.7372831991607415E-2</v>
      </c>
      <c r="H66" s="10">
        <f>output_NHTS!H65/SUM(output_NHTS!H$64:H$67)</f>
        <v>4.1951441266109078E-2</v>
      </c>
      <c r="I66" s="10">
        <f>IF(SUM(output_NHTS!I$64:I$67)&gt;0,output_NHTS!I65/SUM(output_NHTS!I$64:I$67),0)</f>
        <v>0</v>
      </c>
      <c r="J66" s="10">
        <f>output_NHTS!J65/SUM(output_NHTS!J$64:J$67)</f>
        <v>0.10090885944493271</v>
      </c>
      <c r="L66" s="265" t="s">
        <v>70</v>
      </c>
      <c r="M66" s="10">
        <f>output!B65/SUM(output!B$64:B$67)</f>
        <v>0.20117368825666215</v>
      </c>
      <c r="N66" s="10">
        <f>output!C65/SUM(output!C$64:C$67)</f>
        <v>0.13896432681242807</v>
      </c>
      <c r="O66" s="10">
        <f>output!D65/SUM(output!D$64:D$67)</f>
        <v>9.5557309317116201E-2</v>
      </c>
      <c r="P66" s="10">
        <f>output!E65/SUM(output!E$64:E$67)</f>
        <v>8.2108271936525146E-2</v>
      </c>
      <c r="Q66" s="10">
        <f>output!F65/SUM(output!F$64:F$67)</f>
        <v>7.4110748379310878E-2</v>
      </c>
      <c r="R66" s="10">
        <f>output!G65/SUM(output!G$64:G$67)</f>
        <v>5.3998054124175708E-2</v>
      </c>
      <c r="S66" s="10">
        <f>output!H65/SUM(output!H$64:H$67)</f>
        <v>4.9569296311409439E-2</v>
      </c>
      <c r="T66" s="10">
        <f>IF(SUM(output!I$64:I$67)&gt;0,output!I65/SUM(output!I$64:I$67),0)</f>
        <v>0</v>
      </c>
      <c r="U66" s="10">
        <f>output!J65/SUM(output!J$64:J$67)</f>
        <v>0.13858458256356368</v>
      </c>
      <c r="W66" s="265" t="s">
        <v>70</v>
      </c>
      <c r="X66" s="10">
        <f si="19" t="shared"/>
        <v>6.5545487906275873E-2</v>
      </c>
      <c r="Y66" s="10">
        <f si="19" t="shared"/>
        <v>4.3643919086637603E-2</v>
      </c>
      <c r="Z66" s="10">
        <f si="19" t="shared"/>
        <v>1.6518070591406059E-2</v>
      </c>
      <c r="AA66" s="10">
        <f si="19" t="shared"/>
        <v>-5.6879784300986475E-3</v>
      </c>
      <c r="AB66" s="10">
        <f si="19" t="shared"/>
        <v>3.4975170481812937E-2</v>
      </c>
      <c r="AC66" s="10">
        <f si="19" t="shared"/>
        <v>-1.3374777867431707E-2</v>
      </c>
      <c r="AD66" s="10">
        <f si="19" t="shared"/>
        <v>7.6178550453003605E-3</v>
      </c>
      <c r="AE66" s="10">
        <f si="19" t="shared"/>
        <v>0</v>
      </c>
      <c r="AF66" s="10">
        <f si="19" t="shared"/>
        <v>3.7675723118630974E-2</v>
      </c>
    </row>
    <row r="67" spans="1:32" x14ac:dyDescent="0.2">
      <c r="A67" s="265" t="s">
        <v>71</v>
      </c>
      <c r="B67" s="10">
        <f>output_NHTS!B66/SUM(output_NHTS!B$64:B$67)</f>
        <v>4.6900078143446738E-2</v>
      </c>
      <c r="C67" s="10">
        <f>output_NHTS!C66/SUM(output_NHTS!C$64:C$67)</f>
        <v>6.3441850994112162E-2</v>
      </c>
      <c r="D67" s="10">
        <f>output_NHTS!D66/SUM(output_NHTS!D$64:D$67)</f>
        <v>9.3647054443001143E-2</v>
      </c>
      <c r="E67" s="10">
        <f>output_NHTS!E66/SUM(output_NHTS!E$64:E$67)</f>
        <v>5.2987835489277942E-2</v>
      </c>
      <c r="F67" s="10">
        <f>output_NHTS!F66/SUM(output_NHTS!F$64:F$67)</f>
        <v>6.266994237478539E-2</v>
      </c>
      <c r="G67" s="10">
        <f>output_NHTS!G66/SUM(output_NHTS!G$64:G$67)</f>
        <v>1.5732656381428112E-2</v>
      </c>
      <c r="H67" s="10">
        <f>output_NHTS!H66/SUM(output_NHTS!H$64:H$67)</f>
        <v>2.4516708026680857E-2</v>
      </c>
      <c r="I67" s="10">
        <f>IF(SUM(output_NHTS!I$64:I$67)&gt;0,output_NHTS!I66/SUM(output_NHTS!I$64:I$67),0)</f>
        <v>0</v>
      </c>
      <c r="J67" s="10">
        <f>output_NHTS!J66/SUM(output_NHTS!J$64:J$67)</f>
        <v>5.0530566460417162E-2</v>
      </c>
      <c r="L67" s="265" t="s">
        <v>71</v>
      </c>
      <c r="M67" s="10">
        <f>output!B66/SUM(output!B$64:B$67)</f>
        <v>3.4822156886909268E-2</v>
      </c>
      <c r="N67" s="10">
        <f>output!C66/SUM(output!C$64:C$67)</f>
        <v>3.9116225546605293E-2</v>
      </c>
      <c r="O67" s="10">
        <f>output!D66/SUM(output!D$64:D$67)</f>
        <v>6.7216006684926416E-2</v>
      </c>
      <c r="P67" s="10">
        <f>output!E66/SUM(output!E$64:E$67)</f>
        <v>4.1805682182194513E-2</v>
      </c>
      <c r="Q67" s="10">
        <f>output!F66/SUM(output!F$64:F$67)</f>
        <v>4.3801154209150123E-2</v>
      </c>
      <c r="R67" s="10">
        <f>output!G66/SUM(output!G$64:G$67)</f>
        <v>1.3567078663831934E-2</v>
      </c>
      <c r="S67" s="10">
        <f>output!H66/SUM(output!H$64:H$67)</f>
        <v>1.6629168054926421E-2</v>
      </c>
      <c r="T67" s="10">
        <f>IF(SUM(output!I$64:I$67)&gt;0,output!I66/SUM(output!I$64:I$67),0)</f>
        <v>0</v>
      </c>
      <c r="U67" s="10">
        <f>output!J66/SUM(output!J$64:J$67)</f>
        <v>3.6748515616109194E-2</v>
      </c>
      <c r="W67" s="265" t="s">
        <v>71</v>
      </c>
      <c r="X67" s="10">
        <f si="19" t="shared"/>
        <v>-1.207792125653747E-2</v>
      </c>
      <c r="Y67" s="10">
        <f si="19" t="shared"/>
        <v>-2.4325625447506868E-2</v>
      </c>
      <c r="Z67" s="10">
        <f si="19" t="shared"/>
        <v>-2.6431047758074727E-2</v>
      </c>
      <c r="AA67" s="10">
        <f si="19" t="shared"/>
        <v>-1.1182153307083428E-2</v>
      </c>
      <c r="AB67" s="10">
        <f si="19" t="shared"/>
        <v>-1.8868788165635267E-2</v>
      </c>
      <c r="AC67" s="10">
        <f si="19" t="shared"/>
        <v>-2.1655777175961788E-3</v>
      </c>
      <c r="AD67" s="10">
        <f si="19" t="shared"/>
        <v>-7.8875399717544363E-3</v>
      </c>
      <c r="AE67" s="10">
        <f si="19" t="shared"/>
        <v>0</v>
      </c>
      <c r="AF67" s="10">
        <f si="19" t="shared"/>
        <v>-1.3782050844307968E-2</v>
      </c>
    </row>
    <row r="68" spans="1:32" x14ac:dyDescent="0.2">
      <c r="A68" s="6" t="s">
        <v>72</v>
      </c>
      <c r="B68" s="11">
        <f>output_NHTS!B67/SUM(output_NHTS!B$64:B$67)</f>
        <v>1.0616604016230012E-2</v>
      </c>
      <c r="C68" s="11">
        <f>output_NHTS!C67/SUM(output_NHTS!C$64:C$67)</f>
        <v>4.0172315693589146E-3</v>
      </c>
      <c r="D68" s="11">
        <f>output_NHTS!D67/SUM(output_NHTS!D$64:D$67)</f>
        <v>1.1161507359088741E-2</v>
      </c>
      <c r="E68" s="11">
        <f>output_NHTS!E67/SUM(output_NHTS!E$64:E$67)</f>
        <v>2.0687293226988577E-3</v>
      </c>
      <c r="F68" s="11">
        <f>output_NHTS!F67/SUM(output_NHTS!F$64:F$67)</f>
        <v>1.1271658645360203E-3</v>
      </c>
      <c r="G68" s="11">
        <f>output_NHTS!G67/SUM(output_NHTS!G$64:G$67)</f>
        <v>0</v>
      </c>
      <c r="H68" s="11">
        <f>output_NHTS!H67/SUM(output_NHTS!H$64:H$67)</f>
        <v>1.2381759808215787E-3</v>
      </c>
      <c r="I68" s="11">
        <f>IF(SUM(output_NHTS!I$64:I$67)&gt;0,output_NHTS!I67/SUM(output_NHTS!I$64:I$67),0)</f>
        <v>0</v>
      </c>
      <c r="J68" s="11">
        <f>output_NHTS!J67/SUM(output_NHTS!J$64:J$67)</f>
        <v>7.195899651483117E-3</v>
      </c>
      <c r="L68" s="6" t="s">
        <v>72</v>
      </c>
      <c r="M68" s="11">
        <f>output!B67/SUM(output!B$64:B$67)</f>
        <v>1.747973920646937E-2</v>
      </c>
      <c r="N68" s="11">
        <f>output!C67/SUM(output!C$64:C$67)</f>
        <v>2.0925201380897582E-2</v>
      </c>
      <c r="O68" s="11">
        <f>output!D67/SUM(output!D$64:D$67)</f>
        <v>2.9933614966807482E-2</v>
      </c>
      <c r="P68" s="11">
        <f>output!E67/SUM(output!E$64:E$67)</f>
        <v>1.9604267796860756E-2</v>
      </c>
      <c r="Q68" s="11">
        <f>output!F67/SUM(output!F$64:F$67)</f>
        <v>1.6508594680735848E-2</v>
      </c>
      <c r="R68" s="11">
        <f>output!G67/SUM(output!G$64:G$67)</f>
        <v>8.8104933155561966E-3</v>
      </c>
      <c r="S68" s="11">
        <f>output!H67/SUM(output!H$64:H$67)</f>
        <v>6.7534937350489108E-3</v>
      </c>
      <c r="T68" s="11">
        <f>IF(SUM(output!I$64:I$67)&gt;0,output!I67/SUM(output!I$64:I$67),0)</f>
        <v>0</v>
      </c>
      <c r="U68" s="11">
        <f>output!J67/SUM(output!J$64:J$67)</f>
        <v>1.7524420783129629E-2</v>
      </c>
      <c r="W68" s="6" t="s">
        <v>72</v>
      </c>
      <c r="X68" s="10">
        <f si="19" t="shared"/>
        <v>6.8631351902393584E-3</v>
      </c>
      <c r="Y68" s="10">
        <f si="19" t="shared"/>
        <v>1.6907969811538668E-2</v>
      </c>
      <c r="Z68" s="10">
        <f si="19" t="shared"/>
        <v>1.877210760771874E-2</v>
      </c>
      <c r="AA68" s="10">
        <f si="19" t="shared"/>
        <v>1.7535538474161897E-2</v>
      </c>
      <c r="AB68" s="10">
        <f si="19" t="shared"/>
        <v>1.5381428816199827E-2</v>
      </c>
      <c r="AC68" s="10">
        <f si="19" t="shared"/>
        <v>8.8104933155561966E-3</v>
      </c>
      <c r="AD68" s="10">
        <f si="19" t="shared"/>
        <v>5.5153177542273321E-3</v>
      </c>
      <c r="AE68" s="10">
        <f si="19" t="shared"/>
        <v>0</v>
      </c>
      <c r="AF68" s="10">
        <f si="19" t="shared"/>
        <v>1.0328521131646513E-2</v>
      </c>
    </row>
    <row customHeight="1" ht="13.15" r="69" spans="1:32" thickBot="1" x14ac:dyDescent="0.25">
      <c r="A69" s="13" t="s">
        <v>4</v>
      </c>
      <c r="B69" s="15">
        <f ref="B69:J69" si="20" t="shared">SUM(B65:B68)</f>
        <v>1</v>
      </c>
      <c r="C69" s="15">
        <f si="20" t="shared"/>
        <v>1</v>
      </c>
      <c r="D69" s="15">
        <f si="20" t="shared"/>
        <v>1</v>
      </c>
      <c r="E69" s="15">
        <f si="20" t="shared"/>
        <v>1</v>
      </c>
      <c r="F69" s="15">
        <f si="20" t="shared"/>
        <v>1</v>
      </c>
      <c r="G69" s="15">
        <f si="20" t="shared"/>
        <v>0.99999999999999989</v>
      </c>
      <c r="H69" s="15">
        <f si="20" t="shared"/>
        <v>0.99999999999999989</v>
      </c>
      <c r="I69" s="15">
        <f si="20" t="shared"/>
        <v>0</v>
      </c>
      <c r="J69" s="15">
        <f si="20" t="shared"/>
        <v>0.99999999999999989</v>
      </c>
      <c r="L69" s="13" t="s">
        <v>4</v>
      </c>
      <c r="M69" s="15">
        <f ref="M69:U69" si="21" t="shared">SUM(M65:M68)</f>
        <v>1</v>
      </c>
      <c r="N69" s="15">
        <f si="21" t="shared"/>
        <v>1</v>
      </c>
      <c r="O69" s="15">
        <f si="21" t="shared"/>
        <v>1.0000000000000002</v>
      </c>
      <c r="P69" s="15">
        <f si="21" t="shared"/>
        <v>1</v>
      </c>
      <c r="Q69" s="15">
        <f si="21" t="shared"/>
        <v>1</v>
      </c>
      <c r="R69" s="15">
        <f si="21" t="shared"/>
        <v>0.99999999999999989</v>
      </c>
      <c r="S69" s="15">
        <f si="21" t="shared"/>
        <v>1</v>
      </c>
      <c r="T69" s="15">
        <f si="21" t="shared"/>
        <v>0</v>
      </c>
      <c r="U69" s="15">
        <f si="21" t="shared"/>
        <v>1</v>
      </c>
      <c r="W69" s="13" t="s">
        <v>4</v>
      </c>
      <c r="X69" s="12">
        <f si="19" t="shared"/>
        <v>0</v>
      </c>
      <c r="Y69" s="12">
        <f si="19" t="shared"/>
        <v>0</v>
      </c>
      <c r="Z69" s="12">
        <f si="19" t="shared"/>
        <v>0</v>
      </c>
      <c r="AA69" s="12">
        <f si="19" t="shared"/>
        <v>0</v>
      </c>
      <c r="AB69" s="12">
        <f si="19" t="shared"/>
        <v>0</v>
      </c>
      <c r="AC69" s="12">
        <f si="19" t="shared"/>
        <v>0</v>
      </c>
      <c r="AD69" s="12">
        <f si="19" t="shared"/>
        <v>0</v>
      </c>
      <c r="AE69" s="12">
        <f si="19" t="shared"/>
        <v>0</v>
      </c>
      <c r="AF69" s="12">
        <f si="19" t="shared"/>
        <v>0</v>
      </c>
    </row>
    <row customHeight="1" ht="13.15" r="73" spans="1:32" x14ac:dyDescent="0.2">
      <c r="A73" s="264" t="s">
        <v>41</v>
      </c>
      <c r="L73" s="264" t="s">
        <v>41</v>
      </c>
      <c r="W73" s="264" t="s">
        <v>41</v>
      </c>
    </row>
    <row customHeight="1" ht="13.15" r="74" spans="1:32" x14ac:dyDescent="0.2">
      <c r="A74" s="264" t="s">
        <v>88</v>
      </c>
      <c r="L74" s="264" t="s">
        <v>89</v>
      </c>
      <c r="W74" s="264" t="s">
        <v>90</v>
      </c>
    </row>
    <row customHeight="1" ht="13.15" r="75" spans="1:32" thickBot="1" x14ac:dyDescent="0.25"/>
    <row customHeight="1" ht="13.15" r="76" spans="1:32" x14ac:dyDescent="0.2">
      <c r="A76" s="3" t="s">
        <v>53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53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53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2">
      <c r="A77" s="265" t="s">
        <v>54</v>
      </c>
      <c r="B77" s="10">
        <f>output_NHTS!B71/SUM(output_NHTS!B$71:B$74)</f>
        <v>0.82777526837333026</v>
      </c>
      <c r="C77" s="10">
        <f>output_NHTS!C71/SUM(output_NHTS!C$71:C$74)</f>
        <v>0.78561983089274112</v>
      </c>
      <c r="D77" s="10">
        <f>output_NHTS!D71/SUM(output_NHTS!D$71:D$74)</f>
        <v>0.79546883233687182</v>
      </c>
      <c r="E77" s="10">
        <f>output_NHTS!E71/SUM(output_NHTS!E$71:E$74)</f>
        <v>0.7744421962940784</v>
      </c>
      <c r="F77" s="10">
        <f>output_NHTS!F71/SUM(output_NHTS!F$71:F$74)</f>
        <v>0.86689928178119646</v>
      </c>
      <c r="G77" s="10">
        <f>output_NHTS!G71/SUM(output_NHTS!G$71:G$74)</f>
        <v>0.68138422858968395</v>
      </c>
      <c r="H77" s="10">
        <f>output_NHTS!H71/SUM(output_NHTS!H$71:H$74)</f>
        <v>0.72702914406815866</v>
      </c>
      <c r="I77" s="10">
        <f>IF(SUM(output_NHTS!I$71:I$74)&gt;0,output_NHTS!I71/SUM(output_NHTS!I$71:I$74),0)</f>
        <v>0</v>
      </c>
      <c r="J77" s="10">
        <f>output_NHTS!J71/SUM(output_NHTS!J$71:J$74)</f>
        <v>0.79671004906843756</v>
      </c>
      <c r="L77" s="265" t="s">
        <v>54</v>
      </c>
      <c r="M77" s="10">
        <f>output!B71/SUM(output!B$71:B$74)</f>
        <v>0.82513688139293317</v>
      </c>
      <c r="N77" s="10">
        <f>output!C71/SUM(output!C$71:C$74)</f>
        <v>0.78228768699654772</v>
      </c>
      <c r="O77" s="10">
        <f>output!D71/SUM(output!D$71:D$74)</f>
        <v>0.8114943595933336</v>
      </c>
      <c r="P77" s="10">
        <f>output!E71/SUM(output!E$71:E$74)</f>
        <v>0.78923687258211561</v>
      </c>
      <c r="Q77" s="10">
        <f>output!F71/SUM(output!F$71:F$74)</f>
        <v>0.88625005801989698</v>
      </c>
      <c r="R77" s="10">
        <f>output!G71/SUM(output!G$71:G$74)</f>
        <v>0.67838996792908368</v>
      </c>
      <c r="S77" s="10">
        <f>output!H71/SUM(output!H$71:H$74)</f>
        <v>0.70210878216239081</v>
      </c>
      <c r="T77" s="10">
        <f>IF(SUM(output!I$71:I$74)&gt;0,output!I71/SUM(output!I$71:I$74),0)</f>
        <v>0</v>
      </c>
      <c r="U77" s="10">
        <f>output!J71/SUM(output!J$71:J$74)</f>
        <v>0.79573167797234889</v>
      </c>
      <c r="W77" s="265" t="s">
        <v>54</v>
      </c>
      <c r="X77" s="10">
        <f ref="X77:AF81" si="22" t="shared">M77-B77</f>
        <v>-2.6383869803970894E-3</v>
      </c>
      <c r="Y77" s="10">
        <f si="22" t="shared"/>
        <v>-3.3321438961934069E-3</v>
      </c>
      <c r="Z77" s="10">
        <f si="22" t="shared"/>
        <v>1.602552725646178E-2</v>
      </c>
      <c r="AA77" s="10">
        <f si="22" t="shared"/>
        <v>1.4794676288037212E-2</v>
      </c>
      <c r="AB77" s="10">
        <f si="22" t="shared"/>
        <v>1.9350776238700518E-2</v>
      </c>
      <c r="AC77" s="10">
        <f si="22" t="shared"/>
        <v>-2.9942606606002675E-3</v>
      </c>
      <c r="AD77" s="10">
        <f si="22" t="shared"/>
        <v>-2.4920361905767852E-2</v>
      </c>
      <c r="AE77" s="10">
        <f si="22" t="shared"/>
        <v>0</v>
      </c>
      <c r="AF77" s="10">
        <f si="22" t="shared"/>
        <v>-9.7837109608867046E-4</v>
      </c>
    </row>
    <row r="78" spans="1:32" x14ac:dyDescent="0.2">
      <c r="A78" s="265" t="s">
        <v>70</v>
      </c>
      <c r="B78" s="10">
        <f>output_NHTS!B72/SUM(output_NHTS!B$71:B$74)</f>
        <v>7.7554085964635325E-2</v>
      </c>
      <c r="C78" s="10">
        <f>output_NHTS!C72/SUM(output_NHTS!C$71:C$74)</f>
        <v>7.5970087489302465E-2</v>
      </c>
      <c r="D78" s="10">
        <f>output_NHTS!D72/SUM(output_NHTS!D$71:D$74)</f>
        <v>5.0559248878640634E-2</v>
      </c>
      <c r="E78" s="10">
        <f>output_NHTS!E72/SUM(output_NHTS!E$71:E$74)</f>
        <v>4.6796392763169249E-2</v>
      </c>
      <c r="F78" s="10">
        <f>output_NHTS!F72/SUM(output_NHTS!F$71:F$74)</f>
        <v>5.1085102137531327E-2</v>
      </c>
      <c r="G78" s="10">
        <f>output_NHTS!G72/SUM(output_NHTS!G$71:G$74)</f>
        <v>0.12450830424851665</v>
      </c>
      <c r="H78" s="10">
        <f>output_NHTS!H72/SUM(output_NHTS!H$71:H$74)</f>
        <v>8.0303266245723454E-2</v>
      </c>
      <c r="I78" s="10">
        <f>IF(SUM(output_NHTS!I$71:I$74)&gt;0,output_NHTS!I72/SUM(output_NHTS!I$71:I$74),0)</f>
        <v>0</v>
      </c>
      <c r="J78" s="10">
        <f>output_NHTS!J72/SUM(output_NHTS!J$71:J$74)</f>
        <v>7.1553381619203285E-2</v>
      </c>
      <c r="L78" s="265" t="s">
        <v>70</v>
      </c>
      <c r="M78" s="10">
        <f>output!B72/SUM(output!B$71:B$74)</f>
        <v>9.0667417827150931E-2</v>
      </c>
      <c r="N78" s="10">
        <f>output!C72/SUM(output!C$71:C$74)</f>
        <v>8.3277330264672031E-2</v>
      </c>
      <c r="O78" s="10">
        <f>output!D72/SUM(output!D$71:D$74)</f>
        <v>4.250499048326447E-2</v>
      </c>
      <c r="P78" s="10">
        <f>output!E72/SUM(output!E$71:E$74)</f>
        <v>5.5387723923810465E-2</v>
      </c>
      <c r="Q78" s="10">
        <f>output!F72/SUM(output!F$71:F$74)</f>
        <v>2.9969210774681666E-2</v>
      </c>
      <c r="R78" s="10">
        <f>output!G72/SUM(output!G$71:G$74)</f>
        <v>0.11641021945155129</v>
      </c>
      <c r="S78" s="10">
        <f>output!H72/SUM(output!H$71:H$74)</f>
        <v>0.13677322262195785</v>
      </c>
      <c r="T78" s="10">
        <f>IF(SUM(output!I$71:I$74)&gt;0,output!I72/SUM(output!I$71:I$74),0)</f>
        <v>0</v>
      </c>
      <c r="U78" s="10">
        <f>output!J72/SUM(output!J$71:J$74)</f>
        <v>8.584656167036854E-2</v>
      </c>
      <c r="W78" s="265" t="s">
        <v>70</v>
      </c>
      <c r="X78" s="10">
        <f si="22" t="shared"/>
        <v>1.3113331862515606E-2</v>
      </c>
      <c r="Y78" s="10">
        <f si="22" t="shared"/>
        <v>7.3072427753695657E-3</v>
      </c>
      <c r="Z78" s="10">
        <f si="22" t="shared"/>
        <v>-8.054258395376164E-3</v>
      </c>
      <c r="AA78" s="10">
        <f si="22" t="shared"/>
        <v>8.5913311606412163E-3</v>
      </c>
      <c r="AB78" s="10">
        <f si="22" t="shared"/>
        <v>-2.1115891362849661E-2</v>
      </c>
      <c r="AC78" s="10">
        <f si="22" t="shared"/>
        <v>-8.0980847969653602E-3</v>
      </c>
      <c r="AD78" s="10">
        <f si="22" t="shared"/>
        <v>5.6469956376234393E-2</v>
      </c>
      <c r="AE78" s="10">
        <f si="22" t="shared"/>
        <v>0</v>
      </c>
      <c r="AF78" s="10">
        <f si="22" t="shared"/>
        <v>1.4293180051165255E-2</v>
      </c>
    </row>
    <row r="79" spans="1:32" x14ac:dyDescent="0.2">
      <c r="A79" s="265" t="s">
        <v>71</v>
      </c>
      <c r="B79" s="10">
        <f>output_NHTS!B73/SUM(output_NHTS!B$71:B$74)</f>
        <v>8.5400893222121868E-2</v>
      </c>
      <c r="C79" s="10">
        <f>output_NHTS!C73/SUM(output_NHTS!C$71:C$74)</f>
        <v>0.11557576153979224</v>
      </c>
      <c r="D79" s="10">
        <f>output_NHTS!D73/SUM(output_NHTS!D$71:D$74)</f>
        <v>0.13608801063626982</v>
      </c>
      <c r="E79" s="10">
        <f>output_NHTS!E73/SUM(output_NHTS!E$71:E$74)</f>
        <v>0.14881091818467251</v>
      </c>
      <c r="F79" s="10">
        <f>output_NHTS!F73/SUM(output_NHTS!F$71:F$74)</f>
        <v>6.3238109575831369E-2</v>
      </c>
      <c r="G79" s="10">
        <f>output_NHTS!G73/SUM(output_NHTS!G$71:G$74)</f>
        <v>0.14291215786276598</v>
      </c>
      <c r="H79" s="10">
        <f>output_NHTS!H73/SUM(output_NHTS!H$71:H$74)</f>
        <v>0.17283168748435024</v>
      </c>
      <c r="I79" s="10">
        <f>IF(SUM(output_NHTS!I$71:I$74)&gt;0,output_NHTS!I73/SUM(output_NHTS!I$71:I$74),0)</f>
        <v>0</v>
      </c>
      <c r="J79" s="10">
        <f>output_NHTS!J73/SUM(output_NHTS!J$71:J$74)</f>
        <v>0.11494263599228459</v>
      </c>
      <c r="L79" s="265" t="s">
        <v>71</v>
      </c>
      <c r="M79" s="10">
        <f>output!B73/SUM(output!B$71:B$74)</f>
        <v>6.2858048273797998E-2</v>
      </c>
      <c r="N79" s="10">
        <f>output!C73/SUM(output!C$71:C$74)</f>
        <v>9.9203682393555814E-2</v>
      </c>
      <c r="O79" s="10">
        <f>output!D73/SUM(output!D$71:D$74)</f>
        <v>0.10582609906689569</v>
      </c>
      <c r="P79" s="10">
        <f>output!E73/SUM(output!E$71:E$74)</f>
        <v>0.11348101421777591</v>
      </c>
      <c r="Q79" s="10">
        <f>output!F73/SUM(output!F$71:F$74)</f>
        <v>6.3001872108675139E-2</v>
      </c>
      <c r="R79" s="10">
        <f>output!G73/SUM(output!G$71:G$74)</f>
        <v>0.138463478793557</v>
      </c>
      <c r="S79" s="10">
        <f>output!H73/SUM(output!H$71:H$74)</f>
        <v>0.10649106584656391</v>
      </c>
      <c r="T79" s="10">
        <f>IF(SUM(output!I$71:I$74)&gt;0,output!I73/SUM(output!I$71:I$74),0)</f>
        <v>0</v>
      </c>
      <c r="U79" s="10">
        <f>output!J73/SUM(output!J$71:J$74)</f>
        <v>8.5129777077726967E-2</v>
      </c>
      <c r="W79" s="265" t="s">
        <v>71</v>
      </c>
      <c r="X79" s="10">
        <f si="22" t="shared"/>
        <v>-2.254284494832387E-2</v>
      </c>
      <c r="Y79" s="10">
        <f si="22" t="shared"/>
        <v>-1.6372079146236423E-2</v>
      </c>
      <c r="Z79" s="10">
        <f si="22" t="shared"/>
        <v>-3.0261911569374134E-2</v>
      </c>
      <c r="AA79" s="10">
        <f si="22" t="shared"/>
        <v>-3.53299039668966E-2</v>
      </c>
      <c r="AB79" s="10">
        <f si="22" t="shared"/>
        <v>-2.3623746715623062E-4</v>
      </c>
      <c r="AC79" s="10">
        <f si="22" t="shared"/>
        <v>-4.4486790692089828E-3</v>
      </c>
      <c r="AD79" s="10">
        <f si="22" t="shared"/>
        <v>-6.6340621637786326E-2</v>
      </c>
      <c r="AE79" s="10">
        <f si="22" t="shared"/>
        <v>0</v>
      </c>
      <c r="AF79" s="10">
        <f si="22" t="shared"/>
        <v>-2.9812858914557622E-2</v>
      </c>
    </row>
    <row r="80" spans="1:32" x14ac:dyDescent="0.2">
      <c r="A80" s="6" t="s">
        <v>72</v>
      </c>
      <c r="B80" s="11">
        <f>output_NHTS!B74/SUM(output_NHTS!B$71:B$74)</f>
        <v>9.2697524399124424E-3</v>
      </c>
      <c r="C80" s="11">
        <f>output_NHTS!C74/SUM(output_NHTS!C$71:C$74)</f>
        <v>2.2834320078164102E-2</v>
      </c>
      <c r="D80" s="11">
        <f>output_NHTS!D74/SUM(output_NHTS!D$71:D$74)</f>
        <v>1.7883908148217664E-2</v>
      </c>
      <c r="E80" s="11">
        <f>output_NHTS!E74/SUM(output_NHTS!E$71:E$74)</f>
        <v>2.9950492758079917E-2</v>
      </c>
      <c r="F80" s="11">
        <f>output_NHTS!F74/SUM(output_NHTS!F$71:F$74)</f>
        <v>1.8777506505440855E-2</v>
      </c>
      <c r="G80" s="11">
        <f>output_NHTS!G74/SUM(output_NHTS!G$71:G$74)</f>
        <v>5.1195309299033494E-2</v>
      </c>
      <c r="H80" s="11">
        <f>output_NHTS!H74/SUM(output_NHTS!H$71:H$74)</f>
        <v>1.9835902201767869E-2</v>
      </c>
      <c r="I80" s="11">
        <f>IF(SUM(output_NHTS!I$71:I$74)&gt;0,output_NHTS!I74/SUM(output_NHTS!I$71:I$74),0)</f>
        <v>0</v>
      </c>
      <c r="J80" s="11">
        <f>output_NHTS!J74/SUM(output_NHTS!J$71:J$74)</f>
        <v>1.6793933320074606E-2</v>
      </c>
      <c r="L80" s="6" t="s">
        <v>72</v>
      </c>
      <c r="M80" s="11">
        <f>output!B74/SUM(output!B$71:B$74)</f>
        <v>2.1337652506117851E-2</v>
      </c>
      <c r="N80" s="11">
        <f>output!C74/SUM(output!C$71:C$74)</f>
        <v>3.5231300345224398E-2</v>
      </c>
      <c r="O80" s="11">
        <f>output!D74/SUM(output!D$71:D$74)</f>
        <v>4.0174550856506196E-2</v>
      </c>
      <c r="P80" s="11">
        <f>output!E74/SUM(output!E$71:E$74)</f>
        <v>4.1894389276297954E-2</v>
      </c>
      <c r="Q80" s="11">
        <f>output!F74/SUM(output!F$71:F$74)</f>
        <v>2.0778859096746243E-2</v>
      </c>
      <c r="R80" s="11">
        <f>output!G74/SUM(output!G$71:G$74)</f>
        <v>6.6736333825808083E-2</v>
      </c>
      <c r="S80" s="11">
        <f>output!H74/SUM(output!H$71:H$74)</f>
        <v>5.4626929369087418E-2</v>
      </c>
      <c r="T80" s="11">
        <f>IF(SUM(output!I$71:I$74)&gt;0,output!I74/SUM(output!I$71:I$74),0)</f>
        <v>0</v>
      </c>
      <c r="U80" s="11">
        <f>output!J74/SUM(output!J$71:J$74)</f>
        <v>3.3291983279555619E-2</v>
      </c>
      <c r="W80" s="6" t="s">
        <v>72</v>
      </c>
      <c r="X80" s="10">
        <f si="22" t="shared"/>
        <v>1.2067900066205409E-2</v>
      </c>
      <c r="Y80" s="10">
        <f si="22" t="shared"/>
        <v>1.2396980267060296E-2</v>
      </c>
      <c r="Z80" s="10">
        <f si="22" t="shared"/>
        <v>2.2290642708288531E-2</v>
      </c>
      <c r="AA80" s="10">
        <f si="22" t="shared"/>
        <v>1.1943896518218037E-2</v>
      </c>
      <c r="AB80" s="10">
        <f si="22" t="shared"/>
        <v>2.001352591305388E-3</v>
      </c>
      <c r="AC80" s="10">
        <f si="22" t="shared"/>
        <v>1.554102452677459E-2</v>
      </c>
      <c r="AD80" s="10">
        <f si="22" t="shared"/>
        <v>3.4791027167319549E-2</v>
      </c>
      <c r="AE80" s="10">
        <f si="22" t="shared"/>
        <v>0</v>
      </c>
      <c r="AF80" s="10">
        <f si="22" t="shared"/>
        <v>1.6498049959481013E-2</v>
      </c>
    </row>
    <row customHeight="1" ht="13.15" r="81" spans="1:32" thickBot="1" x14ac:dyDescent="0.25">
      <c r="A81" s="13" t="s">
        <v>4</v>
      </c>
      <c r="B81" s="15">
        <f ref="B81:J81" si="23" t="shared">SUM(B77:B80)</f>
        <v>0.99999999999999989</v>
      </c>
      <c r="C81" s="15">
        <f si="23" t="shared"/>
        <v>0.99999999999999989</v>
      </c>
      <c r="D81" s="15">
        <f si="23" t="shared"/>
        <v>1</v>
      </c>
      <c r="E81" s="15">
        <f si="23" t="shared"/>
        <v>1</v>
      </c>
      <c r="F81" s="15">
        <f si="23" t="shared"/>
        <v>1</v>
      </c>
      <c r="G81" s="15">
        <f si="23" t="shared"/>
        <v>1.0000000000000002</v>
      </c>
      <c r="H81" s="15">
        <f si="23" t="shared"/>
        <v>1.0000000000000002</v>
      </c>
      <c r="I81" s="15">
        <f si="23" t="shared"/>
        <v>0</v>
      </c>
      <c r="J81" s="15">
        <f si="23" t="shared"/>
        <v>1</v>
      </c>
      <c r="L81" s="13" t="s">
        <v>4</v>
      </c>
      <c r="M81" s="12">
        <f ref="M81:U81" si="24" t="shared">SUM(M77:M80)</f>
        <v>1</v>
      </c>
      <c r="N81" s="12">
        <f si="24" t="shared"/>
        <v>0.99999999999999989</v>
      </c>
      <c r="O81" s="12">
        <f si="24" t="shared"/>
        <v>1</v>
      </c>
      <c r="P81" s="12">
        <f si="24" t="shared"/>
        <v>0.99999999999999989</v>
      </c>
      <c r="Q81" s="12">
        <f si="24" t="shared"/>
        <v>1</v>
      </c>
      <c r="R81" s="12">
        <f si="24" t="shared"/>
        <v>1</v>
      </c>
      <c r="S81" s="12">
        <f si="24" t="shared"/>
        <v>0.99999999999999989</v>
      </c>
      <c r="T81" s="12">
        <f si="24" t="shared"/>
        <v>0</v>
      </c>
      <c r="U81" s="12">
        <f si="24" t="shared"/>
        <v>1</v>
      </c>
      <c r="W81" s="13" t="s">
        <v>4</v>
      </c>
      <c r="X81" s="12">
        <f si="22" t="shared"/>
        <v>0</v>
      </c>
      <c r="Y81" s="12">
        <f si="22" t="shared"/>
        <v>0</v>
      </c>
      <c r="Z81" s="12">
        <f si="22" t="shared"/>
        <v>0</v>
      </c>
      <c r="AA81" s="12">
        <f si="22" t="shared"/>
        <v>0</v>
      </c>
      <c r="AB81" s="12">
        <f si="22" t="shared"/>
        <v>0</v>
      </c>
      <c r="AC81" s="12">
        <f si="22" t="shared"/>
        <v>0</v>
      </c>
      <c r="AD81" s="12">
        <f si="22" t="shared"/>
        <v>0</v>
      </c>
      <c r="AE81" s="12">
        <f si="22" t="shared"/>
        <v>0</v>
      </c>
      <c r="AF81" s="12">
        <f si="22" t="shared"/>
        <v>0</v>
      </c>
    </row>
  </sheetData>
  <conditionalFormatting sqref="X29:AF33 X41:AF45 X53:AF57 X65:AF69 X77:AF81 X5:AF9 X17:AF21">
    <cfRule dxfId="42" operator="notBetween" priority="1" stopIfTrue="1" type="cellIs">
      <formula>-0.15</formula>
      <formula>0.15</formula>
    </cfRule>
    <cfRule dxfId="41" operator="notBetween" priority="2" stopIfTrue="1" type="cellIs">
      <formula>-0.1</formula>
      <formula>0.1</formula>
    </cfRule>
    <cfRule dxfId="4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AD37" workbookViewId="0">
      <selection activeCell="I37" sqref="I1:T1048576"/>
    </sheetView>
  </sheetViews>
  <sheetFormatPr defaultColWidth="10.75" defaultRowHeight="12.75" x14ac:dyDescent="0.2"/>
  <cols>
    <col min="1" max="7" customWidth="true" style="265" width="10.75" collapsed="true"/>
    <col min="8" max="9" style="265" width="10.75" collapsed="true"/>
    <col min="10" max="19" customWidth="true" style="265" width="10.75" collapsed="true"/>
    <col min="20" max="16384" style="265" width="10.75" collapsed="true"/>
  </cols>
  <sheetData>
    <row customHeight="1" ht="13.15" r="1" spans="1:32" x14ac:dyDescent="0.2">
      <c r="A1" s="264" t="s">
        <v>41</v>
      </c>
      <c r="L1" s="264" t="s">
        <v>41</v>
      </c>
      <c r="W1" s="264" t="s">
        <v>41</v>
      </c>
    </row>
    <row customHeight="1" ht="13.15" r="2" spans="1:32" x14ac:dyDescent="0.2">
      <c r="A2" s="264" t="s">
        <v>91</v>
      </c>
      <c r="L2" s="264" t="s">
        <v>92</v>
      </c>
      <c r="W2" s="264" t="s">
        <v>93</v>
      </c>
    </row>
    <row customHeight="1" ht="13.5" r="3" spans="1:32" thickBot="1" x14ac:dyDescent="0.25">
      <c r="A3" s="264"/>
      <c r="B3" s="2"/>
      <c r="C3" s="2"/>
      <c r="D3" s="2"/>
      <c r="E3" s="2"/>
      <c r="F3" s="2"/>
      <c r="G3" s="2"/>
      <c r="H3" s="2"/>
      <c r="I3" s="2"/>
      <c r="J3" s="2"/>
      <c r="L3" s="264"/>
      <c r="M3" s="2"/>
      <c r="N3" s="2"/>
      <c r="O3" s="2"/>
      <c r="P3" s="2"/>
      <c r="Q3" s="2"/>
      <c r="R3" s="2"/>
      <c r="S3" s="2"/>
      <c r="T3" s="2"/>
      <c r="U3" s="2"/>
      <c r="W3" s="264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2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2">
      <c r="A5" s="16">
        <v>1</v>
      </c>
      <c r="B5" s="10">
        <f>output_NHTS!B81/SUM(output_NHTS!B$81:B$83)</f>
        <v>0.95785054739777109</v>
      </c>
      <c r="C5" s="10">
        <f>output_NHTS!C81/SUM(output_NHTS!C$81:C$83)</f>
        <v>0.91904981963015475</v>
      </c>
      <c r="D5" s="10">
        <f>output_NHTS!D81/SUM(output_NHTS!D$81:D$83)</f>
        <v>0.91792627861538767</v>
      </c>
      <c r="E5" s="10">
        <f>output_NHTS!E81/SUM(output_NHTS!E$81:E$83)</f>
        <v>0.95014761283189775</v>
      </c>
      <c r="F5" s="10">
        <f>output_NHTS!F81/SUM(output_NHTS!F$81:F$83)</f>
        <v>0.98557559676606465</v>
      </c>
      <c r="G5" s="10">
        <f>output_NHTS!G81/SUM(output_NHTS!G$81:G$83)</f>
        <v>1</v>
      </c>
      <c r="H5" s="10">
        <f>output_NHTS!H81/SUM(output_NHTS!H$81:H$83)</f>
        <v>1</v>
      </c>
      <c r="I5" s="10">
        <f>IF(SUM(output_NHTS!I$81:I$83)&gt;0,output_NHTS!I81/SUM(output_NHTS!I$81:I$83),0)</f>
        <v>0</v>
      </c>
      <c r="J5" s="10">
        <f>output_NHTS!J81/SUM(output_NHTS!J$81:J$83)</f>
        <v>0.95531426511950912</v>
      </c>
      <c r="L5" s="16">
        <v>1</v>
      </c>
      <c r="M5" s="10">
        <f>output!B81/SUM(output!B$81:B$83)</f>
        <v>0.94829988778998464</v>
      </c>
      <c r="N5" s="10">
        <f>output!C81/SUM(output!C$81:C$83)</f>
        <v>0.93465892076420909</v>
      </c>
      <c r="O5" s="10" t="e">
        <f>output!D81/SUM(output!D$81:D$83)</f>
        <v>#DIV/0!</v>
      </c>
      <c r="P5" s="10" t="e">
        <f>output!E81/SUM(output!E$81:E$83)</f>
        <v>#DIV/0!</v>
      </c>
      <c r="Q5" s="10">
        <f>output!F81/SUM(output!F$81:F$83)</f>
        <v>0.95526338256637922</v>
      </c>
      <c r="R5" s="10">
        <f>output!G81/SUM(output!G$81:G$83)</f>
        <v>0.92452830188679247</v>
      </c>
      <c r="S5" s="10" t="e">
        <f>output!H81/SUM(output!H$81:H$83)</f>
        <v>#DIV/0!</v>
      </c>
      <c r="T5" s="10">
        <f>IF(SUM(output!I$81:I$83)&gt;0,output!I81/SUM(output!I$81:I$83),0)</f>
        <v>0</v>
      </c>
      <c r="U5" s="10">
        <f>output!J81/SUM(output!J$81:J$83)</f>
        <v>0.94727704792796408</v>
      </c>
      <c r="W5" s="16">
        <v>1</v>
      </c>
      <c r="X5" s="10">
        <f ref="X5:AF8" si="0" t="shared">M5-B5</f>
        <v>-9.5506596077864492E-3</v>
      </c>
      <c r="Y5" s="10">
        <f si="0" t="shared"/>
        <v>1.5609101134054337E-2</v>
      </c>
      <c r="Z5" s="10" t="e">
        <f si="0" t="shared"/>
        <v>#DIV/0!</v>
      </c>
      <c r="AA5" s="10" t="e">
        <f si="0" t="shared"/>
        <v>#DIV/0!</v>
      </c>
      <c r="AB5" s="10">
        <f si="0" t="shared"/>
        <v>-3.0312214199685439E-2</v>
      </c>
      <c r="AC5" s="10">
        <f si="0" t="shared"/>
        <v>-7.547169811320753E-2</v>
      </c>
      <c r="AD5" s="10" t="e">
        <f si="0" t="shared"/>
        <v>#DIV/0!</v>
      </c>
      <c r="AE5" s="10">
        <f si="0" t="shared"/>
        <v>0</v>
      </c>
      <c r="AF5" s="10">
        <f si="0" t="shared"/>
        <v>-8.037217191545043E-3</v>
      </c>
    </row>
    <row r="6" spans="1:32" x14ac:dyDescent="0.2">
      <c r="A6" s="16">
        <v>2</v>
      </c>
      <c r="B6" s="10">
        <f>output_NHTS!B82/SUM(output_NHTS!B$81:B$83)</f>
        <v>3.9789455251385275E-2</v>
      </c>
      <c r="C6" s="10">
        <f>output_NHTS!C82/SUM(output_NHTS!C$81:C$83)</f>
        <v>7.5897568520940137E-2</v>
      </c>
      <c r="D6" s="10">
        <f>output_NHTS!D82/SUM(output_NHTS!D$81:D$83)</f>
        <v>8.2073721384612344E-2</v>
      </c>
      <c r="E6" s="10">
        <f>output_NHTS!E82/SUM(output_NHTS!E$81:E$83)</f>
        <v>4.9852387168102287E-2</v>
      </c>
      <c r="F6" s="10">
        <f>output_NHTS!F82/SUM(output_NHTS!F$81:F$83)</f>
        <v>1.4424403233935366E-2</v>
      </c>
      <c r="G6" s="10">
        <f>output_NHTS!G82/SUM(output_NHTS!G$81:G$83)</f>
        <v>0</v>
      </c>
      <c r="H6" s="10">
        <f>output_NHTS!H82/SUM(output_NHTS!H$81:H$83)</f>
        <v>0</v>
      </c>
      <c r="I6" s="10">
        <f>IF(SUM(output_NHTS!I$81:I$83)&gt;0,output_NHTS!I82/SUM(output_NHTS!I$81:I$83),0)</f>
        <v>0</v>
      </c>
      <c r="J6" s="10">
        <f>output_NHTS!J82/SUM(output_NHTS!J$81:J$83)</f>
        <v>4.2223585796186666E-2</v>
      </c>
      <c r="L6" s="16">
        <v>2</v>
      </c>
      <c r="M6" s="10">
        <f>output!B82/SUM(output!B$81:B$83)</f>
        <v>4.8749597696650229E-2</v>
      </c>
      <c r="N6" s="10">
        <f>output!C82/SUM(output!C$81:C$83)</f>
        <v>6.1887364995707815E-2</v>
      </c>
      <c r="O6" s="10" t="e">
        <f>output!D82/SUM(output!D$81:D$83)</f>
        <v>#DIV/0!</v>
      </c>
      <c r="P6" s="10" t="e">
        <f>output!E82/SUM(output!E$81:E$83)</f>
        <v>#DIV/0!</v>
      </c>
      <c r="Q6" s="10">
        <f>output!F82/SUM(output!F$81:F$83)</f>
        <v>4.2431486382651755E-2</v>
      </c>
      <c r="R6" s="10">
        <f>output!G82/SUM(output!G$81:G$83)</f>
        <v>7.2250345144960884E-2</v>
      </c>
      <c r="S6" s="10" t="e">
        <f>output!H82/SUM(output!H$81:H$83)</f>
        <v>#DIV/0!</v>
      </c>
      <c r="T6" s="10">
        <f>IF(SUM(output!I$81:I$83)&gt;0,output!I82/SUM(output!I$81:I$83),0)</f>
        <v>0</v>
      </c>
      <c r="U6" s="10">
        <f>output!J82/SUM(output!J$81:J$83)</f>
        <v>4.9743891595386294E-2</v>
      </c>
      <c r="W6" s="16">
        <v>2</v>
      </c>
      <c r="X6" s="10">
        <f si="0" t="shared"/>
        <v>8.9601424452649542E-3</v>
      </c>
      <c r="Y6" s="10">
        <f si="0" t="shared"/>
        <v>-1.4010203525232322E-2</v>
      </c>
      <c r="Z6" s="10" t="e">
        <f si="0" t="shared"/>
        <v>#DIV/0!</v>
      </c>
      <c r="AA6" s="10" t="e">
        <f si="0" t="shared"/>
        <v>#DIV/0!</v>
      </c>
      <c r="AB6" s="10">
        <f si="0" t="shared"/>
        <v>2.8007083148716388E-2</v>
      </c>
      <c r="AC6" s="10">
        <f si="0" t="shared"/>
        <v>7.2250345144960884E-2</v>
      </c>
      <c r="AD6" s="10" t="e">
        <f si="0" t="shared"/>
        <v>#DIV/0!</v>
      </c>
      <c r="AE6" s="10">
        <f si="0" t="shared"/>
        <v>0</v>
      </c>
      <c r="AF6" s="10">
        <f si="0" t="shared"/>
        <v>7.520305799199628E-3</v>
      </c>
    </row>
    <row r="7" spans="1:32" x14ac:dyDescent="0.2">
      <c r="A7" s="19" t="s">
        <v>94</v>
      </c>
      <c r="B7" s="10">
        <f>output_NHTS!B83/SUM(output_NHTS!B$81:B$83)</f>
        <v>2.359997350843674E-3</v>
      </c>
      <c r="C7" s="10">
        <f>output_NHTS!C83/SUM(output_NHTS!C$81:C$83)</f>
        <v>5.0526118489051218E-3</v>
      </c>
      <c r="D7" s="10">
        <f>output_NHTS!D83/SUM(output_NHTS!D$81:D$83)</f>
        <v>0</v>
      </c>
      <c r="E7" s="10">
        <f>output_NHTS!E83/SUM(output_NHTS!E$81:E$83)</f>
        <v>0</v>
      </c>
      <c r="F7" s="10">
        <f>output_NHTS!F83/SUM(output_NHTS!F$81:F$83)</f>
        <v>0</v>
      </c>
      <c r="G7" s="10">
        <f>output_NHTS!G83/SUM(output_NHTS!G$81:G$83)</f>
        <v>0</v>
      </c>
      <c r="H7" s="10">
        <f>output_NHTS!H83/SUM(output_NHTS!H$81:H$83)</f>
        <v>0</v>
      </c>
      <c r="I7" s="10">
        <f>IF(SUM(output_NHTS!I$81:I$83)&gt;0,output_NHTS!I83/SUM(output_NHTS!I$81:I$83),0)</f>
        <v>0</v>
      </c>
      <c r="J7" s="10">
        <f>output_NHTS!J83/SUM(output_NHTS!J$81:J$83)</f>
        <v>2.4621490843042717E-3</v>
      </c>
      <c r="L7" s="19" t="s">
        <v>94</v>
      </c>
      <c r="M7" s="11">
        <f>output!B83/SUM(output!B$81:B$83)</f>
        <v>2.9505145133651698E-3</v>
      </c>
      <c r="N7" s="11">
        <f>output!C83/SUM(output!C$81:C$83)</f>
        <v>3.453714240083049E-3</v>
      </c>
      <c r="O7" s="11" t="e">
        <f>output!D83/SUM(output!D$81:D$83)</f>
        <v>#DIV/0!</v>
      </c>
      <c r="P7" s="11" t="e">
        <f>output!E83/SUM(output!E$81:E$83)</f>
        <v>#DIV/0!</v>
      </c>
      <c r="Q7" s="11">
        <f>output!F83/SUM(output!F$81:F$83)</f>
        <v>2.3051310509690087E-3</v>
      </c>
      <c r="R7" s="11">
        <f>output!G83/SUM(output!G$81:G$83)</f>
        <v>3.2213529682466636E-3</v>
      </c>
      <c r="S7" s="11" t="e">
        <f>output!H83/SUM(output!H$81:H$83)</f>
        <v>#DIV/0!</v>
      </c>
      <c r="T7" s="11">
        <f>IF(SUM(output!I$81:I$83)&gt;0,output!I83/SUM(output!I$81:I$83),0)</f>
        <v>0</v>
      </c>
      <c r="U7" s="11">
        <f>output!J83/SUM(output!J$81:J$83)</f>
        <v>2.9790604766496763E-3</v>
      </c>
      <c r="W7" s="19" t="s">
        <v>94</v>
      </c>
      <c r="X7" s="10">
        <f si="0" t="shared"/>
        <v>5.9051716252149587E-4</v>
      </c>
      <c r="Y7" s="10">
        <f si="0" t="shared"/>
        <v>-1.5988976088220728E-3</v>
      </c>
      <c r="Z7" s="10" t="e">
        <f si="0" t="shared"/>
        <v>#DIV/0!</v>
      </c>
      <c r="AA7" s="10" t="e">
        <f si="0" t="shared"/>
        <v>#DIV/0!</v>
      </c>
      <c r="AB7" s="10">
        <f si="0" t="shared"/>
        <v>2.3051310509690087E-3</v>
      </c>
      <c r="AC7" s="10">
        <f si="0" t="shared"/>
        <v>3.2213529682466636E-3</v>
      </c>
      <c r="AD7" s="10" t="e">
        <f si="0" t="shared"/>
        <v>#DIV/0!</v>
      </c>
      <c r="AE7" s="10">
        <f si="0" t="shared"/>
        <v>0</v>
      </c>
      <c r="AF7" s="10">
        <f si="0" t="shared"/>
        <v>5.1691139234540454E-4</v>
      </c>
    </row>
    <row customHeight="1" ht="13.15" r="8" spans="1:32" thickBot="1" x14ac:dyDescent="0.25">
      <c r="A8" s="17" t="s">
        <v>4</v>
      </c>
      <c r="B8" s="12">
        <f ref="B8:J8" si="1" t="shared">SUM(B5:B7)</f>
        <v>1</v>
      </c>
      <c r="C8" s="12">
        <f si="1" t="shared"/>
        <v>1</v>
      </c>
      <c r="D8" s="12">
        <f si="1" t="shared"/>
        <v>1</v>
      </c>
      <c r="E8" s="12">
        <f si="1" t="shared"/>
        <v>1</v>
      </c>
      <c r="F8" s="12">
        <f si="1" t="shared"/>
        <v>1</v>
      </c>
      <c r="G8" s="12">
        <f si="1" t="shared"/>
        <v>1</v>
      </c>
      <c r="H8" s="12">
        <f si="1" t="shared"/>
        <v>1</v>
      </c>
      <c r="I8" s="12">
        <f si="1" t="shared"/>
        <v>0</v>
      </c>
      <c r="J8" s="12">
        <f si="1" t="shared"/>
        <v>1</v>
      </c>
      <c r="L8" s="17" t="s">
        <v>4</v>
      </c>
      <c r="M8" s="12">
        <f ref="M8:U8" si="2" t="shared">SUM(M5:M7)</f>
        <v>1</v>
      </c>
      <c r="N8" s="12">
        <f si="2" t="shared"/>
        <v>0.99999999999999989</v>
      </c>
      <c r="O8" s="12" t="e">
        <f si="2" t="shared"/>
        <v>#DIV/0!</v>
      </c>
      <c r="P8" s="12" t="e">
        <f si="2" t="shared"/>
        <v>#DIV/0!</v>
      </c>
      <c r="Q8" s="12">
        <f si="2" t="shared"/>
        <v>0.99999999999999989</v>
      </c>
      <c r="R8" s="12">
        <f si="2" t="shared"/>
        <v>1</v>
      </c>
      <c r="S8" s="12" t="e">
        <f si="2" t="shared"/>
        <v>#DIV/0!</v>
      </c>
      <c r="T8" s="12">
        <f si="2" t="shared"/>
        <v>0</v>
      </c>
      <c r="U8" s="12">
        <f si="2" t="shared"/>
        <v>1</v>
      </c>
      <c r="W8" s="17" t="s">
        <v>4</v>
      </c>
      <c r="X8" s="12">
        <f si="0" t="shared"/>
        <v>0</v>
      </c>
      <c r="Y8" s="12">
        <f si="0" t="shared"/>
        <v>0</v>
      </c>
      <c r="Z8" s="12" t="e">
        <f si="0" t="shared"/>
        <v>#DIV/0!</v>
      </c>
      <c r="AA8" s="12" t="e">
        <f si="0" t="shared"/>
        <v>#DIV/0!</v>
      </c>
      <c r="AB8" s="12">
        <f si="0" t="shared"/>
        <v>0</v>
      </c>
      <c r="AC8" s="12">
        <f si="0" t="shared"/>
        <v>0</v>
      </c>
      <c r="AD8" s="12" t="e">
        <f si="0" t="shared"/>
        <v>#DIV/0!</v>
      </c>
      <c r="AE8" s="12">
        <f si="0" t="shared"/>
        <v>0</v>
      </c>
      <c r="AF8" s="12">
        <f si="0" t="shared"/>
        <v>0</v>
      </c>
    </row>
    <row r="9" spans="1:32" x14ac:dyDescent="0.2">
      <c r="B9" s="10"/>
      <c r="C9" s="10"/>
      <c r="D9" s="10"/>
      <c r="E9" s="10"/>
      <c r="F9" s="10"/>
      <c r="G9" s="10"/>
      <c r="H9" s="10"/>
      <c r="I9" s="10"/>
      <c r="J9" s="10"/>
      <c r="M9" s="10"/>
      <c r="N9" s="10"/>
      <c r="O9" s="10"/>
      <c r="P9" s="10"/>
      <c r="Q9" s="10"/>
      <c r="R9" s="10"/>
      <c r="S9" s="10"/>
      <c r="T9" s="10"/>
      <c r="U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2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2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customHeight="1" ht="13.15" r="12" spans="1:32" x14ac:dyDescent="0.2">
      <c r="A12" s="264" t="s">
        <v>41</v>
      </c>
      <c r="B12" s="10"/>
      <c r="C12" s="10"/>
      <c r="D12" s="10"/>
      <c r="E12" s="10"/>
      <c r="F12" s="10"/>
      <c r="G12" s="10"/>
      <c r="H12" s="10"/>
      <c r="I12" s="10"/>
      <c r="J12" s="10"/>
      <c r="L12" s="264" t="s">
        <v>41</v>
      </c>
      <c r="M12" s="10"/>
      <c r="N12" s="10"/>
      <c r="O12" s="10"/>
      <c r="P12" s="10"/>
      <c r="Q12" s="10"/>
      <c r="R12" s="10"/>
      <c r="S12" s="10"/>
      <c r="T12" s="10"/>
      <c r="U12" s="10"/>
      <c r="W12" s="264" t="s">
        <v>41</v>
      </c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2">
      <c r="A13" s="264" t="s">
        <v>95</v>
      </c>
      <c r="B13" s="10"/>
      <c r="C13" s="10"/>
      <c r="D13" s="10"/>
      <c r="E13" s="10"/>
      <c r="F13" s="10"/>
      <c r="G13" s="10"/>
      <c r="H13" s="10"/>
      <c r="I13" s="10"/>
      <c r="J13" s="10"/>
      <c r="L13" s="264" t="s">
        <v>96</v>
      </c>
      <c r="M13" s="10"/>
      <c r="N13" s="10"/>
      <c r="O13" s="10"/>
      <c r="P13" s="10"/>
      <c r="Q13" s="10"/>
      <c r="R13" s="10"/>
      <c r="S13" s="10"/>
      <c r="T13" s="10"/>
      <c r="U13" s="10"/>
      <c r="W13" s="264" t="s">
        <v>97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5" r="14" spans="1:32" thickBot="1" x14ac:dyDescent="0.25">
      <c r="A14" s="264"/>
      <c r="B14" s="2"/>
      <c r="C14" s="2"/>
      <c r="D14" s="2"/>
      <c r="E14" s="2"/>
      <c r="F14" s="2"/>
      <c r="G14" s="2"/>
      <c r="H14" s="2"/>
      <c r="I14" s="2"/>
      <c r="J14" s="2"/>
      <c r="L14" s="264"/>
      <c r="M14" s="2"/>
      <c r="N14" s="2"/>
      <c r="O14" s="2"/>
      <c r="P14" s="2"/>
      <c r="Q14" s="2"/>
      <c r="R14" s="2"/>
      <c r="S14" s="2"/>
      <c r="T14" s="2"/>
      <c r="U14" s="2"/>
      <c r="W14" s="264"/>
      <c r="X14" s="2"/>
      <c r="Y14" s="2"/>
      <c r="Z14" s="2"/>
      <c r="AA14" s="2"/>
      <c r="AB14" s="2"/>
      <c r="AC14" s="2"/>
      <c r="AD14" s="2"/>
      <c r="AE14" s="2"/>
      <c r="AF14" s="2"/>
    </row>
    <row customHeight="1" ht="13.15" r="15" spans="1:32" x14ac:dyDescent="0.2">
      <c r="A15" s="3" t="s">
        <v>45</v>
      </c>
      <c r="B15" s="4" t="s">
        <v>12</v>
      </c>
      <c r="C15" s="4" t="s">
        <v>13</v>
      </c>
      <c r="D15" s="4" t="s">
        <v>14</v>
      </c>
      <c r="E15" s="4" t="s">
        <v>15</v>
      </c>
      <c r="F15" s="4" t="s">
        <v>16</v>
      </c>
      <c r="G15" s="4" t="s">
        <v>17</v>
      </c>
      <c r="H15" s="4" t="s">
        <v>18</v>
      </c>
      <c r="I15" s="4" t="s">
        <v>19</v>
      </c>
      <c r="J15" s="4" t="s">
        <v>4</v>
      </c>
      <c r="L15" s="3" t="s">
        <v>45</v>
      </c>
      <c r="M15" s="4" t="s">
        <v>12</v>
      </c>
      <c r="N15" s="4" t="s">
        <v>13</v>
      </c>
      <c r="O15" s="4" t="s">
        <v>14</v>
      </c>
      <c r="P15" s="4" t="s">
        <v>15</v>
      </c>
      <c r="Q15" s="4" t="s">
        <v>16</v>
      </c>
      <c r="R15" s="4" t="s">
        <v>17</v>
      </c>
      <c r="S15" s="4" t="s">
        <v>18</v>
      </c>
      <c r="T15" s="4" t="s">
        <v>19</v>
      </c>
      <c r="U15" s="4" t="s">
        <v>4</v>
      </c>
      <c r="W15" s="3" t="s">
        <v>45</v>
      </c>
      <c r="X15" s="4" t="s">
        <v>12</v>
      </c>
      <c r="Y15" s="4" t="s">
        <v>13</v>
      </c>
      <c r="Z15" s="4" t="s">
        <v>14</v>
      </c>
      <c r="AA15" s="4" t="s">
        <v>15</v>
      </c>
      <c r="AB15" s="4" t="s">
        <v>16</v>
      </c>
      <c r="AC15" s="4" t="s">
        <v>17</v>
      </c>
      <c r="AD15" s="4" t="s">
        <v>18</v>
      </c>
      <c r="AE15" s="4" t="s">
        <v>19</v>
      </c>
      <c r="AF15" s="4" t="s">
        <v>4</v>
      </c>
    </row>
    <row r="16" spans="1:32" x14ac:dyDescent="0.2">
      <c r="A16" s="16">
        <v>1</v>
      </c>
      <c r="B16" s="10">
        <f>output_NHTS!B88/SUM(output_NHTS!B$88:B$90)</f>
        <v>1</v>
      </c>
      <c r="C16" s="10">
        <f>output_NHTS!C88/SUM(output_NHTS!C$88:C$90)</f>
        <v>0.96331854981280707</v>
      </c>
      <c r="D16" s="10">
        <f>output_NHTS!D88/SUM(output_NHTS!D$88:D$90)</f>
        <v>1</v>
      </c>
      <c r="E16" s="10">
        <f>output_NHTS!E88/SUM(output_NHTS!E$88:E$90)</f>
        <v>1</v>
      </c>
      <c r="F16" s="10">
        <f>output_NHTS!F88/SUM(output_NHTS!F$88:F$90)</f>
        <v>0.92500761806579657</v>
      </c>
      <c r="G16" s="10">
        <f>output_NHTS!G88/SUM(output_NHTS!G$88:G$90)</f>
        <v>0.96489582593897438</v>
      </c>
      <c r="H16" s="10">
        <f>output_NHTS!H88/SUM(output_NHTS!H$88:H$90)</f>
        <v>0.9767757622439005</v>
      </c>
      <c r="I16" s="10">
        <f>IF(SUM(output_NHTS!I$88:I$90)&gt;0,output_NHTS!I88/SUM(output_NHTS!I$88:I$90),0)</f>
        <v>0</v>
      </c>
      <c r="J16" s="10">
        <f>output_NHTS!J88/SUM(output_NHTS!J$88:J$90)</f>
        <v>0.97294964510181881</v>
      </c>
      <c r="L16" s="16">
        <v>1</v>
      </c>
      <c r="M16" s="10">
        <f>output!B88/SUM(output!B$88:B$90)</f>
        <v>0.96304499883422712</v>
      </c>
      <c r="N16" s="10" t="e">
        <f>output!C88/SUM(output!C$88:C$90)</f>
        <v>#DIV/0!</v>
      </c>
      <c r="O16" s="10" t="e">
        <f>output!D88/SUM(output!D$88:D$90)</f>
        <v>#DIV/0!</v>
      </c>
      <c r="P16" s="10" t="e">
        <f>output!E88/SUM(output!E$88:E$90)</f>
        <v>#DIV/0!</v>
      </c>
      <c r="Q16" s="10">
        <f>output!F88/SUM(output!F$88:F$90)</f>
        <v>0.87841920470319257</v>
      </c>
      <c r="R16" s="10">
        <f>output!G88/SUM(output!G$88:G$90)</f>
        <v>0.94046145545717097</v>
      </c>
      <c r="S16" s="10">
        <f>output!H88/SUM(output!H$88:H$90)</f>
        <v>0.96580128622694916</v>
      </c>
      <c r="T16" s="10">
        <f>IF(SUM(output!I$88:I$90)&gt;0,output!I88/SUM(output!I$88:I$90),0)</f>
        <v>0</v>
      </c>
      <c r="U16" s="10">
        <f>output!J88/SUM(output!J$88:J$90)</f>
        <v>0.95724683544303801</v>
      </c>
      <c r="W16" s="16">
        <v>1</v>
      </c>
      <c r="X16" s="10">
        <f ref="X16:AF19" si="3" t="shared">M16-B16</f>
        <v>-3.6955001165772883E-2</v>
      </c>
      <c r="Y16" s="10" t="e">
        <f si="3" t="shared"/>
        <v>#DIV/0!</v>
      </c>
      <c r="Z16" s="10" t="e">
        <f si="3" t="shared"/>
        <v>#DIV/0!</v>
      </c>
      <c r="AA16" s="10" t="e">
        <f si="3" t="shared"/>
        <v>#DIV/0!</v>
      </c>
      <c r="AB16" s="10">
        <f si="3" t="shared"/>
        <v>-4.6588413362603998E-2</v>
      </c>
      <c r="AC16" s="10">
        <f si="3" t="shared"/>
        <v>-2.4434370481803414E-2</v>
      </c>
      <c r="AD16" s="10">
        <f si="3" t="shared"/>
        <v>-1.097447601695134E-2</v>
      </c>
      <c r="AE16" s="10">
        <f si="3" t="shared"/>
        <v>0</v>
      </c>
      <c r="AF16" s="10">
        <f si="3" t="shared"/>
        <v>-1.5702809658780792E-2</v>
      </c>
    </row>
    <row r="17" spans="1:32" x14ac:dyDescent="0.2">
      <c r="A17" s="16">
        <v>2</v>
      </c>
      <c r="B17" s="10">
        <f>output_NHTS!B89/SUM(output_NHTS!B$88:B$90)</f>
        <v>0</v>
      </c>
      <c r="C17" s="10">
        <f>output_NHTS!C89/SUM(output_NHTS!C$88:C$90)</f>
        <v>3.6681450187192828E-2</v>
      </c>
      <c r="D17" s="10">
        <f>output_NHTS!D89/SUM(output_NHTS!D$88:D$90)</f>
        <v>0</v>
      </c>
      <c r="E17" s="10">
        <f>output_NHTS!E89/SUM(output_NHTS!E$88:E$90)</f>
        <v>0</v>
      </c>
      <c r="F17" s="10">
        <f>output_NHTS!F89/SUM(output_NHTS!F$88:F$90)</f>
        <v>7.499238193420342E-2</v>
      </c>
      <c r="G17" s="10">
        <f>output_NHTS!G89/SUM(output_NHTS!G$88:G$90)</f>
        <v>3.5104174061025541E-2</v>
      </c>
      <c r="H17" s="10">
        <f>output_NHTS!H89/SUM(output_NHTS!H$88:H$90)</f>
        <v>2.3224237756099528E-2</v>
      </c>
      <c r="I17" s="10">
        <f>IF(SUM(output_NHTS!I$88:I$90)&gt;0,output_NHTS!I89/SUM(output_NHTS!I$88:I$90),0)</f>
        <v>0</v>
      </c>
      <c r="J17" s="10">
        <f>output_NHTS!J89/SUM(output_NHTS!J$88:J$90)</f>
        <v>2.7050354898181136E-2</v>
      </c>
      <c r="L17" s="16">
        <v>2</v>
      </c>
      <c r="M17" s="10">
        <f>output!B89/SUM(output!B$88:B$90)</f>
        <v>3.4623455350897642E-2</v>
      </c>
      <c r="N17" s="10" t="e">
        <f>output!C89/SUM(output!C$88:C$90)</f>
        <v>#DIV/0!</v>
      </c>
      <c r="O17" s="10" t="e">
        <f>output!D89/SUM(output!D$88:D$90)</f>
        <v>#DIV/0!</v>
      </c>
      <c r="P17" s="10" t="e">
        <f>output!E89/SUM(output!E$88:E$90)</f>
        <v>#DIV/0!</v>
      </c>
      <c r="Q17" s="10">
        <f>output!F89/SUM(output!F$88:F$90)</f>
        <v>0.1110476034947334</v>
      </c>
      <c r="R17" s="10">
        <f>output!G89/SUM(output!G$88:G$90)</f>
        <v>5.522231743311435E-2</v>
      </c>
      <c r="S17" s="10">
        <f>output!H89/SUM(output!H$88:H$90)</f>
        <v>3.17411438655502E-2</v>
      </c>
      <c r="T17" s="10">
        <f>IF(SUM(output!I$88:I$90)&gt;0,output!I89/SUM(output!I$88:I$90),0)</f>
        <v>0</v>
      </c>
      <c r="U17" s="10">
        <f>output!J89/SUM(output!J$88:J$90)</f>
        <v>3.9588607594936709E-2</v>
      </c>
      <c r="W17" s="16">
        <v>2</v>
      </c>
      <c r="X17" s="10">
        <f si="3" t="shared"/>
        <v>3.4623455350897642E-2</v>
      </c>
      <c r="Y17" s="10" t="e">
        <f si="3" t="shared"/>
        <v>#DIV/0!</v>
      </c>
      <c r="Z17" s="10" t="e">
        <f si="3" t="shared"/>
        <v>#DIV/0!</v>
      </c>
      <c r="AA17" s="10" t="e">
        <f si="3" t="shared"/>
        <v>#DIV/0!</v>
      </c>
      <c r="AB17" s="10">
        <f si="3" t="shared"/>
        <v>3.6055221560529982E-2</v>
      </c>
      <c r="AC17" s="10">
        <f si="3" t="shared"/>
        <v>2.0118143372088809E-2</v>
      </c>
      <c r="AD17" s="10">
        <f si="3" t="shared"/>
        <v>8.5169061094506719E-3</v>
      </c>
      <c r="AE17" s="10">
        <f si="3" t="shared"/>
        <v>0</v>
      </c>
      <c r="AF17" s="10">
        <f si="3" t="shared"/>
        <v>1.2538252696755573E-2</v>
      </c>
    </row>
    <row r="18" spans="1:32" x14ac:dyDescent="0.2">
      <c r="A18" s="19" t="s">
        <v>94</v>
      </c>
      <c r="B18" s="10">
        <f>output_NHTS!B90/SUM(output_NHTS!B$88:B$90)</f>
        <v>0</v>
      </c>
      <c r="C18" s="10">
        <f>output_NHTS!C90/SUM(output_NHTS!C$88:C$90)</f>
        <v>0</v>
      </c>
      <c r="D18" s="10">
        <f>output_NHTS!D90/SUM(output_NHTS!D$88:D$90)</f>
        <v>0</v>
      </c>
      <c r="E18" s="10">
        <f>output_NHTS!E90/SUM(output_NHTS!E$88:E$90)</f>
        <v>0</v>
      </c>
      <c r="F18" s="10">
        <f>output_NHTS!F90/SUM(output_NHTS!F$88:F$90)</f>
        <v>0</v>
      </c>
      <c r="G18" s="10">
        <f>output_NHTS!G90/SUM(output_NHTS!G$88:G$90)</f>
        <v>0</v>
      </c>
      <c r="H18" s="10">
        <f>output_NHTS!H90/SUM(output_NHTS!H$88:H$90)</f>
        <v>0</v>
      </c>
      <c r="I18" s="10">
        <f>IF(SUM(output_NHTS!I$88:I$90)&gt;0,output_NHTS!I90/SUM(output_NHTS!I$88:I$90),0)</f>
        <v>0</v>
      </c>
      <c r="J18" s="10">
        <f>output_NHTS!J90/SUM(output_NHTS!J$88:J$90)</f>
        <v>0</v>
      </c>
      <c r="L18" s="19" t="s">
        <v>94</v>
      </c>
      <c r="M18" s="11">
        <f>output!B90/SUM(output!B$88:B$90)</f>
        <v>2.3315458148752623E-3</v>
      </c>
      <c r="N18" s="11" t="e">
        <f>output!C90/SUM(output!C$88:C$90)</f>
        <v>#DIV/0!</v>
      </c>
      <c r="O18" s="11" t="e">
        <f>output!D90/SUM(output!D$88:D$90)</f>
        <v>#DIV/0!</v>
      </c>
      <c r="P18" s="11" t="e">
        <f>output!E90/SUM(output!E$88:E$90)</f>
        <v>#DIV/0!</v>
      </c>
      <c r="Q18" s="11">
        <f>output!F90/SUM(output!F$88:F$90)</f>
        <v>1.0533191802073977E-2</v>
      </c>
      <c r="R18" s="11">
        <f>output!G90/SUM(output!G$88:G$90)</f>
        <v>4.316227109714685E-3</v>
      </c>
      <c r="S18" s="11">
        <f>output!H90/SUM(output!H$88:H$90)</f>
        <v>2.4575699075006217E-3</v>
      </c>
      <c r="T18" s="11">
        <f>IF(SUM(output!I$88:I$90)&gt;0,output!I90/SUM(output!I$88:I$90),0)</f>
        <v>0</v>
      </c>
      <c r="U18" s="11">
        <f>output!J90/SUM(output!J$88:J$90)</f>
        <v>3.1645569620253164E-3</v>
      </c>
      <c r="W18" s="19" t="s">
        <v>94</v>
      </c>
      <c r="X18" s="10">
        <f si="3" t="shared"/>
        <v>2.3315458148752623E-3</v>
      </c>
      <c r="Y18" s="10" t="e">
        <f si="3" t="shared"/>
        <v>#DIV/0!</v>
      </c>
      <c r="Z18" s="10" t="e">
        <f si="3" t="shared"/>
        <v>#DIV/0!</v>
      </c>
      <c r="AA18" s="10" t="e">
        <f si="3" t="shared"/>
        <v>#DIV/0!</v>
      </c>
      <c r="AB18" s="10">
        <f si="3" t="shared"/>
        <v>1.0533191802073977E-2</v>
      </c>
      <c r="AC18" s="10">
        <f si="3" t="shared"/>
        <v>4.316227109714685E-3</v>
      </c>
      <c r="AD18" s="10">
        <f si="3" t="shared"/>
        <v>2.4575699075006217E-3</v>
      </c>
      <c r="AE18" s="10">
        <f si="3" t="shared"/>
        <v>0</v>
      </c>
      <c r="AF18" s="10">
        <f si="3" t="shared"/>
        <v>3.1645569620253164E-3</v>
      </c>
    </row>
    <row customHeight="1" ht="13.15" r="19" spans="1:32" thickBot="1" x14ac:dyDescent="0.25">
      <c r="A19" s="17" t="s">
        <v>4</v>
      </c>
      <c r="B19" s="12">
        <f ref="B19:J19" si="4" t="shared">SUM(B16:B18)</f>
        <v>1</v>
      </c>
      <c r="C19" s="12">
        <f si="4" t="shared"/>
        <v>0.99999999999999989</v>
      </c>
      <c r="D19" s="12">
        <f si="4" t="shared"/>
        <v>1</v>
      </c>
      <c r="E19" s="12">
        <f si="4" t="shared"/>
        <v>1</v>
      </c>
      <c r="F19" s="12">
        <f si="4" t="shared"/>
        <v>1</v>
      </c>
      <c r="G19" s="12">
        <f si="4" t="shared"/>
        <v>0.99999999999999989</v>
      </c>
      <c r="H19" s="12">
        <f si="4" t="shared"/>
        <v>1</v>
      </c>
      <c r="I19" s="12">
        <f si="4" t="shared"/>
        <v>0</v>
      </c>
      <c r="J19" s="12">
        <f si="4" t="shared"/>
        <v>0.99999999999999989</v>
      </c>
      <c r="L19" s="17" t="s">
        <v>4</v>
      </c>
      <c r="M19" s="12">
        <f ref="M19:U19" si="5" t="shared">SUM(M16:M18)</f>
        <v>1</v>
      </c>
      <c r="N19" s="12" t="e">
        <f si="5" t="shared"/>
        <v>#DIV/0!</v>
      </c>
      <c r="O19" s="12" t="e">
        <f si="5" t="shared"/>
        <v>#DIV/0!</v>
      </c>
      <c r="P19" s="12" t="e">
        <f si="5" t="shared"/>
        <v>#DIV/0!</v>
      </c>
      <c r="Q19" s="12">
        <f si="5" t="shared"/>
        <v>1</v>
      </c>
      <c r="R19" s="12">
        <f si="5" t="shared"/>
        <v>1</v>
      </c>
      <c r="S19" s="12">
        <f si="5" t="shared"/>
        <v>0.99999999999999989</v>
      </c>
      <c r="T19" s="12">
        <f si="5" t="shared"/>
        <v>0</v>
      </c>
      <c r="U19" s="12">
        <f si="5" t="shared"/>
        <v>1</v>
      </c>
      <c r="W19" s="17" t="s">
        <v>4</v>
      </c>
      <c r="X19" s="12">
        <f si="3" t="shared"/>
        <v>0</v>
      </c>
      <c r="Y19" s="12" t="e">
        <f si="3" t="shared"/>
        <v>#DIV/0!</v>
      </c>
      <c r="Z19" s="12" t="e">
        <f si="3" t="shared"/>
        <v>#DIV/0!</v>
      </c>
      <c r="AA19" s="12" t="e">
        <f si="3" t="shared"/>
        <v>#DIV/0!</v>
      </c>
      <c r="AB19" s="12">
        <f si="3" t="shared"/>
        <v>0</v>
      </c>
      <c r="AC19" s="12">
        <f si="3" t="shared"/>
        <v>0</v>
      </c>
      <c r="AD19" s="12">
        <f si="3" t="shared"/>
        <v>0</v>
      </c>
      <c r="AE19" s="12">
        <f si="3" t="shared"/>
        <v>0</v>
      </c>
      <c r="AF19" s="12">
        <f si="3" t="shared"/>
        <v>0</v>
      </c>
    </row>
    <row r="20" spans="1:32" x14ac:dyDescent="0.2">
      <c r="B20" s="10"/>
      <c r="C20" s="10"/>
      <c r="D20" s="10"/>
      <c r="E20" s="10"/>
      <c r="F20" s="10"/>
      <c r="G20" s="10"/>
      <c r="H20" s="10"/>
      <c r="I20" s="10"/>
      <c r="J20" s="10"/>
      <c r="M20" s="10"/>
      <c r="N20" s="10"/>
      <c r="O20" s="10"/>
      <c r="P20" s="10"/>
      <c r="Q20" s="10"/>
      <c r="R20" s="10"/>
      <c r="S20" s="10"/>
      <c r="T20" s="10"/>
      <c r="U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x14ac:dyDescent="0.2">
      <c r="B21" s="10"/>
      <c r="C21" s="10"/>
      <c r="D21" s="10"/>
      <c r="E21" s="10"/>
      <c r="F21" s="10"/>
      <c r="G21" s="10"/>
      <c r="H21" s="10"/>
      <c r="I21" s="10"/>
      <c r="J21" s="10"/>
      <c r="M21" s="10"/>
      <c r="N21" s="10"/>
      <c r="O21" s="10"/>
      <c r="P21" s="10"/>
      <c r="Q21" s="10"/>
      <c r="R21" s="10"/>
      <c r="S21" s="10"/>
      <c r="T21" s="10"/>
      <c r="U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x14ac:dyDescent="0.2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customHeight="1" ht="13.15" r="23" spans="1:32" x14ac:dyDescent="0.2">
      <c r="A23" s="264" t="s">
        <v>41</v>
      </c>
      <c r="B23" s="10"/>
      <c r="C23" s="10"/>
      <c r="D23" s="10"/>
      <c r="E23" s="10"/>
      <c r="F23" s="10"/>
      <c r="G23" s="10"/>
      <c r="H23" s="10"/>
      <c r="I23" s="10"/>
      <c r="J23" s="10"/>
      <c r="L23" s="264" t="s">
        <v>41</v>
      </c>
      <c r="M23" s="10"/>
      <c r="N23" s="10"/>
      <c r="O23" s="10"/>
      <c r="P23" s="10"/>
      <c r="Q23" s="10"/>
      <c r="R23" s="10"/>
      <c r="S23" s="10"/>
      <c r="T23" s="10"/>
      <c r="U23" s="10"/>
      <c r="W23" s="264" t="s">
        <v>41</v>
      </c>
      <c r="X23" s="10"/>
      <c r="Y23" s="10"/>
      <c r="Z23" s="10"/>
      <c r="AA23" s="10"/>
      <c r="AB23" s="10"/>
      <c r="AC23" s="10"/>
      <c r="AD23" s="10"/>
      <c r="AE23" s="10"/>
      <c r="AF23" s="10"/>
    </row>
    <row customHeight="1" ht="13.15" r="24" spans="1:32" x14ac:dyDescent="0.2">
      <c r="A24" s="264" t="s">
        <v>98</v>
      </c>
      <c r="B24" s="10"/>
      <c r="C24" s="10"/>
      <c r="D24" s="10"/>
      <c r="E24" s="10"/>
      <c r="F24" s="10"/>
      <c r="G24" s="10"/>
      <c r="H24" s="10"/>
      <c r="I24" s="10"/>
      <c r="J24" s="10"/>
      <c r="L24" s="264" t="s">
        <v>99</v>
      </c>
      <c r="M24" s="10"/>
      <c r="N24" s="10"/>
      <c r="O24" s="10"/>
      <c r="P24" s="10"/>
      <c r="Q24" s="10"/>
      <c r="R24" s="10"/>
      <c r="S24" s="10"/>
      <c r="T24" s="10"/>
      <c r="U24" s="10"/>
      <c r="W24" s="264" t="s">
        <v>100</v>
      </c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5" r="25" spans="1:32" thickBot="1" x14ac:dyDescent="0.25">
      <c r="A25" s="264"/>
      <c r="B25" s="15"/>
      <c r="C25" s="15"/>
      <c r="D25" s="15"/>
      <c r="E25" s="15"/>
      <c r="F25" s="15"/>
      <c r="G25" s="15"/>
      <c r="H25" s="15"/>
      <c r="I25" s="15"/>
      <c r="J25" s="15"/>
      <c r="L25" s="264"/>
      <c r="M25" s="15"/>
      <c r="N25" s="15"/>
      <c r="O25" s="15"/>
      <c r="P25" s="15"/>
      <c r="Q25" s="15"/>
      <c r="R25" s="15"/>
      <c r="S25" s="15"/>
      <c r="T25" s="15"/>
      <c r="U25" s="15"/>
      <c r="W25" s="264"/>
      <c r="X25" s="15"/>
      <c r="Y25" s="15"/>
      <c r="Z25" s="15"/>
      <c r="AA25" s="15"/>
      <c r="AB25" s="15"/>
      <c r="AC25" s="15"/>
      <c r="AD25" s="15"/>
      <c r="AE25" s="15"/>
      <c r="AF25" s="15"/>
    </row>
    <row customHeight="1" ht="13.15" r="26" spans="1:32" x14ac:dyDescent="0.2">
      <c r="A26" s="3" t="s">
        <v>45</v>
      </c>
      <c r="B26" s="20" t="s">
        <v>12</v>
      </c>
      <c r="C26" s="20" t="s">
        <v>13</v>
      </c>
      <c r="D26" s="20" t="s">
        <v>14</v>
      </c>
      <c r="E26" s="20" t="s">
        <v>15</v>
      </c>
      <c r="F26" s="20" t="s">
        <v>16</v>
      </c>
      <c r="G26" s="20" t="s">
        <v>17</v>
      </c>
      <c r="H26" s="20" t="s">
        <v>18</v>
      </c>
      <c r="I26" s="20" t="s">
        <v>19</v>
      </c>
      <c r="J26" s="20" t="s">
        <v>4</v>
      </c>
      <c r="L26" s="3" t="s">
        <v>45</v>
      </c>
      <c r="M26" s="20" t="s">
        <v>12</v>
      </c>
      <c r="N26" s="20" t="s">
        <v>13</v>
      </c>
      <c r="O26" s="20" t="s">
        <v>14</v>
      </c>
      <c r="P26" s="20" t="s">
        <v>15</v>
      </c>
      <c r="Q26" s="20" t="s">
        <v>16</v>
      </c>
      <c r="R26" s="20" t="s">
        <v>17</v>
      </c>
      <c r="S26" s="20" t="s">
        <v>18</v>
      </c>
      <c r="T26" s="20" t="s">
        <v>19</v>
      </c>
      <c r="U26" s="20" t="s">
        <v>4</v>
      </c>
      <c r="W26" s="3" t="s">
        <v>45</v>
      </c>
      <c r="X26" s="20" t="s">
        <v>12</v>
      </c>
      <c r="Y26" s="20" t="s">
        <v>13</v>
      </c>
      <c r="Z26" s="20" t="s">
        <v>14</v>
      </c>
      <c r="AA26" s="20" t="s">
        <v>15</v>
      </c>
      <c r="AB26" s="20" t="s">
        <v>16</v>
      </c>
      <c r="AC26" s="20" t="s">
        <v>17</v>
      </c>
      <c r="AD26" s="20" t="s">
        <v>18</v>
      </c>
      <c r="AE26" s="20" t="s">
        <v>19</v>
      </c>
      <c r="AF26" s="20" t="s">
        <v>4</v>
      </c>
    </row>
    <row r="27" spans="1:32" x14ac:dyDescent="0.2">
      <c r="A27" s="16">
        <v>1</v>
      </c>
      <c r="B27" s="10">
        <f>output_NHTS!B95/SUM(output_NHTS!B$95:B$97)</f>
        <v>0.74604876968894074</v>
      </c>
      <c r="C27" s="10">
        <f>output_NHTS!C95/SUM(output_NHTS!C$95:C$97)</f>
        <v>0.65688605350443141</v>
      </c>
      <c r="D27" s="10">
        <f>output_NHTS!D95/SUM(output_NHTS!D$95:D$97)</f>
        <v>0.82815770844374015</v>
      </c>
      <c r="E27" s="10">
        <f>output_NHTS!E95/SUM(output_NHTS!E$95:E$97)</f>
        <v>0.46030175350135005</v>
      </c>
      <c r="F27" s="10">
        <f>output_NHTS!F95/SUM(output_NHTS!F$95:F$97)</f>
        <v>0.5691837034313727</v>
      </c>
      <c r="G27" s="10">
        <f>output_NHTS!G95/SUM(output_NHTS!G$95:G$97)</f>
        <v>0.98392310093523805</v>
      </c>
      <c r="H27" s="10">
        <f>output_NHTS!H95/SUM(output_NHTS!H$95:H$97)</f>
        <v>0.96958760311324765</v>
      </c>
      <c r="I27" s="10">
        <f>IF(SUM(output_NHTS!I$95:I$97)&gt;0,output_NHTS!I95/SUM(output_NHTS!I$95:I$97),0)</f>
        <v>0</v>
      </c>
      <c r="J27" s="10">
        <f>output_NHTS!J95/SUM(output_NHTS!J$95:J$97)</f>
        <v>0.6839443658644333</v>
      </c>
      <c r="L27" s="16">
        <v>1</v>
      </c>
      <c r="M27" s="10">
        <f>output!B95/SUM(output!B$95:B$97)</f>
        <v>0.77430344734534173</v>
      </c>
      <c r="N27" s="10">
        <f>output!C95/SUM(output!C$95:C$97)</f>
        <v>0.67838099854580702</v>
      </c>
      <c r="O27" s="10">
        <f>output!D95/SUM(output!D$95:D$97)</f>
        <v>0.72392420754382858</v>
      </c>
      <c r="P27" s="10">
        <f>output!E95/SUM(output!E$95:E$97)</f>
        <v>0.51732417639161421</v>
      </c>
      <c r="Q27" s="10">
        <f>output!F95/SUM(output!F$95:F$97)</f>
        <v>0.72519774011299432</v>
      </c>
      <c r="R27" s="10">
        <f>output!G95/SUM(output!G$95:G$97)</f>
        <v>0.85229007633587783</v>
      </c>
      <c r="S27" s="10">
        <f>output!H95/SUM(output!H$95:H$97)</f>
        <v>0.82562154696132595</v>
      </c>
      <c r="T27" s="10">
        <f>IF(SUM(output!I$95:I$97)&gt;0,output!I95/SUM(output!I$95:I$97),0)</f>
        <v>0</v>
      </c>
      <c r="U27" s="10">
        <f>output!J95/SUM(output!J$95:J$97)</f>
        <v>0.69184415951396983</v>
      </c>
      <c r="W27" s="16">
        <v>1</v>
      </c>
      <c r="X27" s="10">
        <f ref="X27:AF30" si="6" t="shared">M27-B27</f>
        <v>2.8254677656400995E-2</v>
      </c>
      <c r="Y27" s="10">
        <f si="6" t="shared"/>
        <v>2.1494945041375613E-2</v>
      </c>
      <c r="Z27" s="10">
        <f si="6" t="shared"/>
        <v>-0.10423350089991157</v>
      </c>
      <c r="AA27" s="10">
        <f si="6" t="shared"/>
        <v>5.7022422890264157E-2</v>
      </c>
      <c r="AB27" s="10">
        <f si="6" t="shared"/>
        <v>0.15601403668162162</v>
      </c>
      <c r="AC27" s="10">
        <f si="6" t="shared"/>
        <v>-0.13163302459936022</v>
      </c>
      <c r="AD27" s="10">
        <f si="6" t="shared"/>
        <v>-0.14396605615192171</v>
      </c>
      <c r="AE27" s="10">
        <f si="6" t="shared"/>
        <v>0</v>
      </c>
      <c r="AF27" s="10">
        <f si="6" t="shared"/>
        <v>7.899793649536524E-3</v>
      </c>
    </row>
    <row r="28" spans="1:32" x14ac:dyDescent="0.2">
      <c r="A28" s="16">
        <v>2</v>
      </c>
      <c r="B28" s="10">
        <f>output_NHTS!B96/SUM(output_NHTS!B$95:B$97)</f>
        <v>0.2243438164391425</v>
      </c>
      <c r="C28" s="10">
        <f>output_NHTS!C96/SUM(output_NHTS!C$95:C$97)</f>
        <v>0.26357815598296158</v>
      </c>
      <c r="D28" s="10">
        <f>output_NHTS!D96/SUM(output_NHTS!D$95:D$97)</f>
        <v>0.15611925202335059</v>
      </c>
      <c r="E28" s="10">
        <f>output_NHTS!E96/SUM(output_NHTS!E$95:E$97)</f>
        <v>0.38882388584537603</v>
      </c>
      <c r="F28" s="10">
        <f>output_NHTS!F96/SUM(output_NHTS!F$95:F$97)</f>
        <v>0.26577034017081619</v>
      </c>
      <c r="G28" s="10">
        <f>output_NHTS!G96/SUM(output_NHTS!G$95:G$97)</f>
        <v>1.6076899064762007E-2</v>
      </c>
      <c r="H28" s="10">
        <f>output_NHTS!H96/SUM(output_NHTS!H$95:H$97)</f>
        <v>3.041239688675236E-2</v>
      </c>
      <c r="I28" s="10">
        <f>IF(SUM(output_NHTS!I$95:I$97)&gt;0,output_NHTS!I96/SUM(output_NHTS!I$95:I$97),0)</f>
        <v>0</v>
      </c>
      <c r="J28" s="10">
        <f>output_NHTS!J96/SUM(output_NHTS!J$95:J$97)</f>
        <v>0.24859027265184475</v>
      </c>
      <c r="L28" s="16">
        <v>2</v>
      </c>
      <c r="M28" s="10">
        <f>output!B96/SUM(output!B$95:B$97)</f>
        <v>0.1808169736220738</v>
      </c>
      <c r="N28" s="10">
        <f>output!C96/SUM(output!C$95:C$97)</f>
        <v>0.25939166262724189</v>
      </c>
      <c r="O28" s="10">
        <f>output!D96/SUM(output!D$95:D$97)</f>
        <v>0.22330440942093147</v>
      </c>
      <c r="P28" s="10">
        <f>output!E96/SUM(output!E$95:E$97)</f>
        <v>0.38776722090261284</v>
      </c>
      <c r="Q28" s="10">
        <f>output!F96/SUM(output!F$95:F$97)</f>
        <v>0.22463276836158191</v>
      </c>
      <c r="R28" s="10">
        <f>output!G96/SUM(output!G$95:G$97)</f>
        <v>0.12251908396946565</v>
      </c>
      <c r="S28" s="10">
        <f>output!H96/SUM(output!H$95:H$97)</f>
        <v>0.1451427255985267</v>
      </c>
      <c r="T28" s="10">
        <f>IF(SUM(output!I$95:I$97)&gt;0,output!I96/SUM(output!I$95:I$97),0)</f>
        <v>0</v>
      </c>
      <c r="U28" s="10">
        <f>output!J96/SUM(output!J$95:J$97)</f>
        <v>0.24809438027621772</v>
      </c>
      <c r="W28" s="16">
        <v>2</v>
      </c>
      <c r="X28" s="10">
        <f si="6" t="shared"/>
        <v>-4.3526842817068701E-2</v>
      </c>
      <c r="Y28" s="10">
        <f si="6" t="shared"/>
        <v>-4.1864933557196893E-3</v>
      </c>
      <c r="Z28" s="10">
        <f si="6" t="shared"/>
        <v>6.718515739758088E-2</v>
      </c>
      <c r="AA28" s="10">
        <f si="6" t="shared"/>
        <v>-1.0566649427631858E-3</v>
      </c>
      <c r="AB28" s="10">
        <f si="6" t="shared"/>
        <v>-4.1137571809234275E-2</v>
      </c>
      <c r="AC28" s="10">
        <f si="6" t="shared"/>
        <v>0.10644218490470364</v>
      </c>
      <c r="AD28" s="10">
        <f si="6" t="shared"/>
        <v>0.11473032871177434</v>
      </c>
      <c r="AE28" s="10">
        <f si="6" t="shared"/>
        <v>0</v>
      </c>
      <c r="AF28" s="10">
        <f si="6" t="shared"/>
        <v>-4.9589237562702726E-4</v>
      </c>
    </row>
    <row r="29" spans="1:32" x14ac:dyDescent="0.2">
      <c r="A29" s="16" t="s">
        <v>94</v>
      </c>
      <c r="B29" s="10">
        <f>output_NHTS!B97/SUM(output_NHTS!B$95:B$97)</f>
        <v>2.9607413871916712E-2</v>
      </c>
      <c r="C29" s="10">
        <f>output_NHTS!C97/SUM(output_NHTS!C$95:C$97)</f>
        <v>7.9535790512607049E-2</v>
      </c>
      <c r="D29" s="10">
        <f>output_NHTS!D97/SUM(output_NHTS!D$95:D$97)</f>
        <v>1.5723039532909273E-2</v>
      </c>
      <c r="E29" s="10">
        <f>output_NHTS!E97/SUM(output_NHTS!E$95:E$97)</f>
        <v>0.15087436065327403</v>
      </c>
      <c r="F29" s="10">
        <f>output_NHTS!F97/SUM(output_NHTS!F$95:F$97)</f>
        <v>0.16504595639781117</v>
      </c>
      <c r="G29" s="10">
        <f>output_NHTS!G97/SUM(output_NHTS!G$95:G$97)</f>
        <v>0</v>
      </c>
      <c r="H29" s="10">
        <f>output_NHTS!H97/SUM(output_NHTS!H$95:H$97)</f>
        <v>0</v>
      </c>
      <c r="I29" s="10">
        <f>IF(SUM(output_NHTS!I$95:I$97)&gt;0,output_NHTS!I97/SUM(output_NHTS!I$95:I$97),0)</f>
        <v>0</v>
      </c>
      <c r="J29" s="10">
        <f>output_NHTS!J97/SUM(output_NHTS!J$95:J$97)</f>
        <v>6.7465361483721856E-2</v>
      </c>
      <c r="L29" s="16">
        <v>3</v>
      </c>
      <c r="M29" s="11">
        <f>output!B97/SUM(output!B$95:B$97)</f>
        <v>4.48795790325845E-2</v>
      </c>
      <c r="N29" s="11">
        <f>output!C97/SUM(output!C$95:C$97)</f>
        <v>6.2227338826951042E-2</v>
      </c>
      <c r="O29" s="11">
        <f>output!D97/SUM(output!D$95:D$97)</f>
        <v>5.2771383035239948E-2</v>
      </c>
      <c r="P29" s="11">
        <f>output!E97/SUM(output!E$95:E$97)</f>
        <v>9.4908602705773004E-2</v>
      </c>
      <c r="Q29" s="11">
        <f>output!F97/SUM(output!F$95:F$97)</f>
        <v>5.0169491525423729E-2</v>
      </c>
      <c r="R29" s="11">
        <f>output!G97/SUM(output!G$95:G$97)</f>
        <v>2.5190839694656488E-2</v>
      </c>
      <c r="S29" s="11">
        <f>output!H97/SUM(output!H$95:H$97)</f>
        <v>2.9235727440147331E-2</v>
      </c>
      <c r="T29" s="11">
        <f>IF(SUM(output!I$95:I$97)&gt;0,output!I97/SUM(output!I$95:I$97),0)</f>
        <v>0</v>
      </c>
      <c r="U29" s="11">
        <f>output!J97/SUM(output!J$95:J$97)</f>
        <v>6.0061460209812442E-2</v>
      </c>
      <c r="W29" s="16">
        <v>3</v>
      </c>
      <c r="X29" s="10">
        <f si="6" t="shared"/>
        <v>1.5272165160667789E-2</v>
      </c>
      <c r="Y29" s="10">
        <f si="6" t="shared"/>
        <v>-1.7308451685656007E-2</v>
      </c>
      <c r="Z29" s="10">
        <f si="6" t="shared"/>
        <v>3.7048343502330675E-2</v>
      </c>
      <c r="AA29" s="10">
        <f si="6" t="shared"/>
        <v>-5.5965757947501027E-2</v>
      </c>
      <c r="AB29" s="10">
        <f si="6" t="shared"/>
        <v>-0.11487646487238744</v>
      </c>
      <c r="AC29" s="10">
        <f si="6" t="shared"/>
        <v>2.5190839694656488E-2</v>
      </c>
      <c r="AD29" s="10">
        <f si="6" t="shared"/>
        <v>2.9235727440147331E-2</v>
      </c>
      <c r="AE29" s="10">
        <f si="6" t="shared"/>
        <v>0</v>
      </c>
      <c r="AF29" s="10">
        <f si="6" t="shared"/>
        <v>-7.4039012739094134E-3</v>
      </c>
    </row>
    <row customHeight="1" ht="13.15" r="30" spans="1:32" thickBot="1" x14ac:dyDescent="0.25">
      <c r="A30" s="17" t="s">
        <v>4</v>
      </c>
      <c r="B30" s="12">
        <f ref="B30:J30" si="7" t="shared">SUM(B27:B29)</f>
        <v>0.99999999999999989</v>
      </c>
      <c r="C30" s="12">
        <f si="7" t="shared"/>
        <v>1</v>
      </c>
      <c r="D30" s="12">
        <f si="7" t="shared"/>
        <v>1</v>
      </c>
      <c r="E30" s="12">
        <f si="7" t="shared"/>
        <v>1.0000000000000002</v>
      </c>
      <c r="F30" s="12">
        <f si="7" t="shared"/>
        <v>1</v>
      </c>
      <c r="G30" s="12">
        <f si="7" t="shared"/>
        <v>1</v>
      </c>
      <c r="H30" s="12">
        <f si="7" t="shared"/>
        <v>1</v>
      </c>
      <c r="I30" s="12">
        <f si="7" t="shared"/>
        <v>0</v>
      </c>
      <c r="J30" s="12">
        <f si="7" t="shared"/>
        <v>0.99999999999999989</v>
      </c>
      <c r="L30" s="17" t="s">
        <v>4</v>
      </c>
      <c r="M30" s="15">
        <f ref="M30:U30" si="8" t="shared">SUM(M27:M29)</f>
        <v>1</v>
      </c>
      <c r="N30" s="15">
        <f si="8" t="shared"/>
        <v>1</v>
      </c>
      <c r="O30" s="15">
        <f si="8" t="shared"/>
        <v>1</v>
      </c>
      <c r="P30" s="15">
        <f si="8" t="shared"/>
        <v>1</v>
      </c>
      <c r="Q30" s="15">
        <f si="8" t="shared"/>
        <v>0.99999999999999989</v>
      </c>
      <c r="R30" s="15">
        <f si="8" t="shared"/>
        <v>1</v>
      </c>
      <c r="S30" s="15">
        <f si="8" t="shared"/>
        <v>1</v>
      </c>
      <c r="T30" s="15">
        <f si="8" t="shared"/>
        <v>0</v>
      </c>
      <c r="U30" s="15">
        <f si="8" t="shared"/>
        <v>1</v>
      </c>
      <c r="W30" s="17" t="s">
        <v>4</v>
      </c>
      <c r="X30" s="12">
        <f si="6" t="shared"/>
        <v>0</v>
      </c>
      <c r="Y30" s="12">
        <f si="6" t="shared"/>
        <v>0</v>
      </c>
      <c r="Z30" s="12">
        <f si="6" t="shared"/>
        <v>0</v>
      </c>
      <c r="AA30" s="12">
        <f si="6" t="shared"/>
        <v>0</v>
      </c>
      <c r="AB30" s="12">
        <f si="6" t="shared"/>
        <v>0</v>
      </c>
      <c r="AC30" s="12">
        <f si="6" t="shared"/>
        <v>0</v>
      </c>
      <c r="AD30" s="12">
        <f si="6" t="shared"/>
        <v>0</v>
      </c>
      <c r="AE30" s="12">
        <f si="6" t="shared"/>
        <v>0</v>
      </c>
      <c r="AF30" s="12">
        <f si="6" t="shared"/>
        <v>0</v>
      </c>
    </row>
    <row r="31" spans="1:32" x14ac:dyDescent="0.2">
      <c r="B31" s="10"/>
      <c r="C31" s="10"/>
      <c r="D31" s="10"/>
      <c r="E31" s="10"/>
      <c r="F31" s="10"/>
      <c r="G31" s="10"/>
      <c r="H31" s="10"/>
      <c r="I31" s="10"/>
      <c r="J31" s="10"/>
      <c r="M31" s="10"/>
      <c r="N31" s="10"/>
      <c r="O31" s="10"/>
      <c r="P31" s="10"/>
      <c r="Q31" s="10"/>
      <c r="R31" s="10"/>
      <c r="S31" s="10"/>
      <c r="T31" s="10"/>
      <c r="U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x14ac:dyDescent="0.2">
      <c r="B32" s="10"/>
      <c r="C32" s="10"/>
      <c r="D32" s="10"/>
      <c r="E32" s="10"/>
      <c r="F32" s="10"/>
      <c r="G32" s="10"/>
      <c r="H32" s="10"/>
      <c r="I32" s="10"/>
      <c r="J32" s="10"/>
      <c r="M32" s="10"/>
      <c r="N32" s="10"/>
      <c r="O32" s="10"/>
      <c r="P32" s="10"/>
      <c r="Q32" s="10"/>
      <c r="R32" s="10"/>
      <c r="S32" s="10"/>
      <c r="T32" s="10"/>
      <c r="U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x14ac:dyDescent="0.2">
      <c r="B33" s="10"/>
      <c r="C33" s="10"/>
      <c r="D33" s="10"/>
      <c r="E33" s="10"/>
      <c r="F33" s="10"/>
      <c r="G33" s="10"/>
      <c r="H33" s="10"/>
      <c r="I33" s="10"/>
      <c r="J33" s="10"/>
      <c r="M33" s="10"/>
      <c r="N33" s="10"/>
      <c r="O33" s="10"/>
      <c r="P33" s="10"/>
      <c r="Q33" s="10"/>
      <c r="R33" s="10"/>
      <c r="S33" s="10"/>
      <c r="T33" s="10"/>
      <c r="U33" s="10"/>
      <c r="X33" s="10"/>
      <c r="Y33" s="10"/>
      <c r="Z33" s="10"/>
      <c r="AA33" s="10"/>
      <c r="AB33" s="10"/>
      <c r="AC33" s="10"/>
      <c r="AD33" s="10"/>
      <c r="AE33" s="10"/>
      <c r="AF33" s="10"/>
    </row>
    <row customHeight="1" ht="13.15" r="34" spans="1:32" x14ac:dyDescent="0.2">
      <c r="A34" s="264" t="s">
        <v>41</v>
      </c>
      <c r="B34" s="10"/>
      <c r="C34" s="10"/>
      <c r="D34" s="10"/>
      <c r="E34" s="10"/>
      <c r="F34" s="10"/>
      <c r="G34" s="10"/>
      <c r="H34" s="10"/>
      <c r="I34" s="10"/>
      <c r="J34" s="10"/>
      <c r="L34" s="264" t="s">
        <v>41</v>
      </c>
      <c r="M34" s="10"/>
      <c r="N34" s="10"/>
      <c r="O34" s="10"/>
      <c r="P34" s="10"/>
      <c r="Q34" s="10"/>
      <c r="R34" s="10"/>
      <c r="S34" s="10"/>
      <c r="T34" s="10"/>
      <c r="U34" s="10"/>
      <c r="W34" s="264" t="s">
        <v>41</v>
      </c>
      <c r="X34" s="10"/>
      <c r="Y34" s="10"/>
      <c r="Z34" s="10"/>
      <c r="AA34" s="10"/>
      <c r="AB34" s="10"/>
      <c r="AC34" s="10"/>
      <c r="AD34" s="10"/>
      <c r="AE34" s="10"/>
      <c r="AF34" s="10"/>
    </row>
    <row customHeight="1" ht="13.15" r="35" spans="1:32" x14ac:dyDescent="0.2">
      <c r="A35" s="264" t="s">
        <v>101</v>
      </c>
      <c r="B35" s="10"/>
      <c r="C35" s="10"/>
      <c r="D35" s="10"/>
      <c r="E35" s="10"/>
      <c r="F35" s="10"/>
      <c r="G35" s="10"/>
      <c r="H35" s="10"/>
      <c r="I35" s="10"/>
      <c r="J35" s="10"/>
      <c r="L35" s="264" t="s">
        <v>102</v>
      </c>
      <c r="M35" s="10"/>
      <c r="N35" s="10"/>
      <c r="O35" s="10"/>
      <c r="P35" s="10"/>
      <c r="Q35" s="10"/>
      <c r="R35" s="10"/>
      <c r="S35" s="10"/>
      <c r="T35" s="10"/>
      <c r="U35" s="10"/>
      <c r="W35" s="264" t="s">
        <v>103</v>
      </c>
      <c r="X35" s="10"/>
      <c r="Y35" s="10"/>
      <c r="Z35" s="10"/>
      <c r="AA35" s="10"/>
      <c r="AB35" s="10"/>
      <c r="AC35" s="10"/>
      <c r="AD35" s="10"/>
      <c r="AE35" s="10"/>
      <c r="AF35" s="10"/>
    </row>
    <row customHeight="1" ht="13.5" r="36" spans="1:32" thickBot="1" x14ac:dyDescent="0.25">
      <c r="A36" s="264"/>
      <c r="B36" s="2"/>
      <c r="C36" s="2"/>
      <c r="D36" s="2"/>
      <c r="E36" s="2"/>
      <c r="F36" s="2"/>
      <c r="G36" s="2"/>
      <c r="H36" s="2"/>
      <c r="I36" s="2"/>
      <c r="J36" s="2"/>
      <c r="L36" s="264"/>
      <c r="M36" s="2"/>
      <c r="N36" s="2"/>
      <c r="O36" s="2"/>
      <c r="P36" s="2"/>
      <c r="Q36" s="2"/>
      <c r="R36" s="2"/>
      <c r="S36" s="2"/>
      <c r="T36" s="2"/>
      <c r="U36" s="2"/>
      <c r="W36" s="264"/>
      <c r="X36" s="2"/>
      <c r="Y36" s="2"/>
      <c r="Z36" s="2"/>
      <c r="AA36" s="2"/>
      <c r="AB36" s="2"/>
      <c r="AC36" s="2"/>
      <c r="AD36" s="2"/>
      <c r="AE36" s="2"/>
      <c r="AF36" s="2"/>
    </row>
    <row customHeight="1" ht="13.15" r="37" spans="1:32" x14ac:dyDescent="0.2">
      <c r="A37" s="3" t="s">
        <v>45</v>
      </c>
      <c r="B37" s="4" t="s">
        <v>12</v>
      </c>
      <c r="C37" s="4" t="s">
        <v>13</v>
      </c>
      <c r="D37" s="4" t="s">
        <v>14</v>
      </c>
      <c r="E37" s="4" t="s">
        <v>15</v>
      </c>
      <c r="F37" s="4" t="s">
        <v>16</v>
      </c>
      <c r="G37" s="4" t="s">
        <v>17</v>
      </c>
      <c r="H37" s="4" t="s">
        <v>18</v>
      </c>
      <c r="I37" s="4" t="s">
        <v>19</v>
      </c>
      <c r="J37" s="4" t="s">
        <v>4</v>
      </c>
      <c r="L37" s="3" t="s">
        <v>45</v>
      </c>
      <c r="M37" s="4" t="s">
        <v>12</v>
      </c>
      <c r="N37" s="4" t="s">
        <v>13</v>
      </c>
      <c r="O37" s="4" t="s">
        <v>14</v>
      </c>
      <c r="P37" s="4" t="s">
        <v>15</v>
      </c>
      <c r="Q37" s="4" t="s">
        <v>16</v>
      </c>
      <c r="R37" s="4" t="s">
        <v>17</v>
      </c>
      <c r="S37" s="4" t="s">
        <v>18</v>
      </c>
      <c r="T37" s="4" t="s">
        <v>19</v>
      </c>
      <c r="U37" s="4" t="s">
        <v>4</v>
      </c>
      <c r="W37" s="3" t="s">
        <v>45</v>
      </c>
      <c r="X37" s="4" t="s">
        <v>12</v>
      </c>
      <c r="Y37" s="4" t="s">
        <v>13</v>
      </c>
      <c r="Z37" s="4" t="s">
        <v>14</v>
      </c>
      <c r="AA37" s="4" t="s">
        <v>15</v>
      </c>
      <c r="AB37" s="4" t="s">
        <v>16</v>
      </c>
      <c r="AC37" s="4" t="s">
        <v>17</v>
      </c>
      <c r="AD37" s="4" t="s">
        <v>18</v>
      </c>
      <c r="AE37" s="4" t="s">
        <v>19</v>
      </c>
      <c r="AF37" s="4" t="s">
        <v>4</v>
      </c>
    </row>
    <row r="38" spans="1:32" x14ac:dyDescent="0.2">
      <c r="A38" s="16">
        <v>1</v>
      </c>
      <c r="B38" s="10">
        <f>output_NHTS!B102/SUM(output_NHTS!B$102:B$104)</f>
        <v>0.91867750507459611</v>
      </c>
      <c r="C38" s="10">
        <f>output_NHTS!C102/SUM(output_NHTS!C$102:C$104)</f>
        <v>0.86083785012650849</v>
      </c>
      <c r="D38" s="10">
        <f>output_NHTS!D102/SUM(output_NHTS!D$102:D$104)</f>
        <v>0.85016483576617985</v>
      </c>
      <c r="E38" s="10">
        <f>output_NHTS!E102/SUM(output_NHTS!E$102:E$104)</f>
        <v>0.8857966539954385</v>
      </c>
      <c r="F38" s="10">
        <f>output_NHTS!F102/SUM(output_NHTS!F$102:F$104)</f>
        <v>0.90119557568536202</v>
      </c>
      <c r="G38" s="10">
        <f>output_NHTS!G102/SUM(output_NHTS!G$102:G$104)</f>
        <v>0.9720479685847121</v>
      </c>
      <c r="H38" s="10">
        <f>output_NHTS!H102/SUM(output_NHTS!H$102:H$104)</f>
        <v>0.94213933298765684</v>
      </c>
      <c r="I38" s="10">
        <f>IF(SUM(output_NHTS!I$102:I$104)&gt;0,output_NHTS!I102/SUM(output_NHTS!I$102:I$104),0)</f>
        <v>0</v>
      </c>
      <c r="J38" s="10">
        <f>output_NHTS!J102/SUM(output_NHTS!J$102:J$104)</f>
        <v>0.8914356873318553</v>
      </c>
      <c r="L38" s="16">
        <v>1</v>
      </c>
      <c r="M38" s="10">
        <f>output!B102/SUM(output!B$102:B$104)</f>
        <v>0.87910335356399238</v>
      </c>
      <c r="N38" s="10">
        <f>output!C102/SUM(output!C$102:C$104)</f>
        <v>0.85456686082538114</v>
      </c>
      <c r="O38" s="10">
        <f>output!D102/SUM(output!D$102:D$104)</f>
        <v>0.8106292415254962</v>
      </c>
      <c r="P38" s="10">
        <f>output!E102/SUM(output!E$102:E$104)</f>
        <v>0.83343282309299449</v>
      </c>
      <c r="Q38" s="10">
        <f>output!F102/SUM(output!F$102:F$104)</f>
        <v>0.8565153733528551</v>
      </c>
      <c r="R38" s="10">
        <f>output!G102/SUM(output!G$102:G$104)</f>
        <v>0.8333985138834572</v>
      </c>
      <c r="S38" s="10">
        <f>output!H102/SUM(output!H$102:H$104)</f>
        <v>0.93709160794362589</v>
      </c>
      <c r="T38" s="10">
        <f>IF(SUM(output!I$102:I$104)&gt;0,output!I102/SUM(output!I$102:I$104),0)</f>
        <v>0</v>
      </c>
      <c r="U38" s="10">
        <f>output!J102/SUM(output!J$102:J$104)</f>
        <v>0.85125740919228743</v>
      </c>
      <c r="W38" s="16">
        <v>1</v>
      </c>
      <c r="X38" s="10">
        <f ref="X38:AF41" si="9" t="shared">M38-B38</f>
        <v>-3.9574151510603728E-2</v>
      </c>
      <c r="Y38" s="10">
        <f si="9" t="shared"/>
        <v>-6.2709893011273499E-3</v>
      </c>
      <c r="Z38" s="10">
        <f si="9" t="shared"/>
        <v>-3.9535594240683647E-2</v>
      </c>
      <c r="AA38" s="10">
        <f si="9" t="shared"/>
        <v>-5.2363830902444009E-2</v>
      </c>
      <c r="AB38" s="10">
        <f si="9" t="shared"/>
        <v>-4.4680202332506913E-2</v>
      </c>
      <c r="AC38" s="10">
        <f si="9" t="shared"/>
        <v>-0.13864945470125489</v>
      </c>
      <c r="AD38" s="10">
        <f si="9" t="shared"/>
        <v>-5.0477250440309485E-3</v>
      </c>
      <c r="AE38" s="10">
        <f si="9" t="shared"/>
        <v>0</v>
      </c>
      <c r="AF38" s="10">
        <f si="9" t="shared"/>
        <v>-4.0178278139567869E-2</v>
      </c>
    </row>
    <row r="39" spans="1:32" x14ac:dyDescent="0.2">
      <c r="A39" s="16">
        <v>2</v>
      </c>
      <c r="B39" s="10">
        <f>output_NHTS!B103/SUM(output_NHTS!B$102:B$104)</f>
        <v>7.3070691840048788E-2</v>
      </c>
      <c r="C39" s="10">
        <f>output_NHTS!C103/SUM(output_NHTS!C$102:C$104)</f>
        <v>0.13573878175526641</v>
      </c>
      <c r="D39" s="10">
        <f>output_NHTS!D103/SUM(output_NHTS!D$102:D$104)</f>
        <v>0.13433191192980592</v>
      </c>
      <c r="E39" s="10">
        <f>output_NHTS!E103/SUM(output_NHTS!E$102:E$104)</f>
        <v>0.10553745268802897</v>
      </c>
      <c r="F39" s="10">
        <f>output_NHTS!F103/SUM(output_NHTS!F$102:F$104)</f>
        <v>9.3135002374150788E-2</v>
      </c>
      <c r="G39" s="10">
        <f>output_NHTS!G103/SUM(output_NHTS!G$102:G$104)</f>
        <v>2.7952031415287806E-2</v>
      </c>
      <c r="H39" s="10">
        <f>output_NHTS!H103/SUM(output_NHTS!H$102:H$104)</f>
        <v>3.0268540302558183E-2</v>
      </c>
      <c r="I39" s="10">
        <f>IF(SUM(output_NHTS!I$102:I$104)&gt;0,output_NHTS!I103/SUM(output_NHTS!I$102:I$104),0)</f>
        <v>0</v>
      </c>
      <c r="J39" s="10">
        <f>output_NHTS!J103/SUM(output_NHTS!J$102:J$104)</f>
        <v>9.7349226185242388E-2</v>
      </c>
      <c r="L39" s="16">
        <v>2</v>
      </c>
      <c r="M39" s="10">
        <f>output!B103/SUM(output!B$102:B$104)</f>
        <v>0.10850721363280616</v>
      </c>
      <c r="N39" s="10">
        <f>output!C103/SUM(output!C$102:C$104)</f>
        <v>0.1301896145742967</v>
      </c>
      <c r="O39" s="10">
        <f>output!D103/SUM(output!D$102:D$104)</f>
        <v>0.1691310962580557</v>
      </c>
      <c r="P39" s="10">
        <f>output!E103/SUM(output!E$102:E$104)</f>
        <v>0.14940519336545433</v>
      </c>
      <c r="Q39" s="10">
        <f>output!F103/SUM(output!F$102:F$104)</f>
        <v>0.12863417695042878</v>
      </c>
      <c r="R39" s="10">
        <f>output!G103/SUM(output!G$102:G$104)</f>
        <v>0.15271802894016426</v>
      </c>
      <c r="S39" s="10">
        <f>output!H103/SUM(output!H$102:H$104)</f>
        <v>5.6822549647661758E-2</v>
      </c>
      <c r="T39" s="10">
        <f>IF(SUM(output!I$102:I$104)&gt;0,output!I103/SUM(output!I$102:I$104),0)</f>
        <v>0</v>
      </c>
      <c r="U39" s="10">
        <f>output!J103/SUM(output!J$102:J$104)</f>
        <v>0.13332588339921869</v>
      </c>
      <c r="W39" s="16">
        <v>2</v>
      </c>
      <c r="X39" s="10">
        <f si="9" t="shared"/>
        <v>3.5436521792757372E-2</v>
      </c>
      <c r="Y39" s="10">
        <f si="9" t="shared"/>
        <v>-5.5491671809697052E-3</v>
      </c>
      <c r="Z39" s="10">
        <f si="9" t="shared"/>
        <v>3.4799184328249771E-2</v>
      </c>
      <c r="AA39" s="10">
        <f si="9" t="shared"/>
        <v>4.3867740677425354E-2</v>
      </c>
      <c r="AB39" s="10">
        <f si="9" t="shared"/>
        <v>3.5499174576277992E-2</v>
      </c>
      <c r="AC39" s="10">
        <f si="9" t="shared"/>
        <v>0.12476599752487645</v>
      </c>
      <c r="AD39" s="10">
        <f si="9" t="shared"/>
        <v>2.6554009345103574E-2</v>
      </c>
      <c r="AE39" s="10">
        <f si="9" t="shared"/>
        <v>0</v>
      </c>
      <c r="AF39" s="10">
        <f si="9" t="shared"/>
        <v>3.5976657213976304E-2</v>
      </c>
    </row>
    <row r="40" spans="1:32" x14ac:dyDescent="0.2">
      <c r="A40" s="19" t="s">
        <v>94</v>
      </c>
      <c r="B40" s="10">
        <f>output_NHTS!B104/SUM(output_NHTS!B$102:B$104)</f>
        <v>8.2518030853550393E-3</v>
      </c>
      <c r="C40" s="10">
        <f>output_NHTS!C104/SUM(output_NHTS!C$102:C$104)</f>
        <v>3.4233681182249684E-3</v>
      </c>
      <c r="D40" s="10">
        <f>output_NHTS!D104/SUM(output_NHTS!D$102:D$104)</f>
        <v>1.5503252304014128E-2</v>
      </c>
      <c r="E40" s="10">
        <f>output_NHTS!E104/SUM(output_NHTS!E$102:E$104)</f>
        <v>8.6658933165326257E-3</v>
      </c>
      <c r="F40" s="10">
        <f>output_NHTS!F104/SUM(output_NHTS!F$102:F$104)</f>
        <v>5.66942194048732E-3</v>
      </c>
      <c r="G40" s="10">
        <f>output_NHTS!G104/SUM(output_NHTS!G$102:G$104)</f>
        <v>0</v>
      </c>
      <c r="H40" s="10">
        <f>output_NHTS!H104/SUM(output_NHTS!H$102:H$104)</f>
        <v>2.7592126709784868E-2</v>
      </c>
      <c r="I40" s="10">
        <f>IF(SUM(output_NHTS!I$102:I$104)&gt;0,output_NHTS!I104/SUM(output_NHTS!I$102:I$104),0)</f>
        <v>0</v>
      </c>
      <c r="J40" s="10">
        <f>output_NHTS!J104/SUM(output_NHTS!J$102:J$104)</f>
        <v>1.1215086482902238E-2</v>
      </c>
      <c r="L40" s="19" t="s">
        <v>94</v>
      </c>
      <c r="M40" s="11">
        <f>output!B104/SUM(output!B$102:B$104)</f>
        <v>1.2389432803201464E-2</v>
      </c>
      <c r="N40" s="11">
        <f>output!C104/SUM(output!C$102:C$104)</f>
        <v>1.524352460032222E-2</v>
      </c>
      <c r="O40" s="11">
        <f>output!D104/SUM(output!D$102:D$104)</f>
        <v>2.0239662216448146E-2</v>
      </c>
      <c r="P40" s="11">
        <f>output!E104/SUM(output!E$102:E$104)</f>
        <v>1.7161983541551188E-2</v>
      </c>
      <c r="Q40" s="11">
        <f>output!F104/SUM(output!F$102:F$104)</f>
        <v>1.4850449696716167E-2</v>
      </c>
      <c r="R40" s="11">
        <f>output!G104/SUM(output!G$102:G$104)</f>
        <v>1.3883457176378568E-2</v>
      </c>
      <c r="S40" s="11">
        <f>output!H104/SUM(output!H$102:H$104)</f>
        <v>6.0858424087123636E-3</v>
      </c>
      <c r="T40" s="11">
        <f>IF(SUM(output!I$102:I$104)&gt;0,output!I104/SUM(output!I$102:I$104),0)</f>
        <v>0</v>
      </c>
      <c r="U40" s="11">
        <f>output!J104/SUM(output!J$102:J$104)</f>
        <v>1.5416707408493857E-2</v>
      </c>
      <c r="W40" s="19" t="s">
        <v>94</v>
      </c>
      <c r="X40" s="10">
        <f si="9" t="shared"/>
        <v>4.137629717846425E-3</v>
      </c>
      <c r="Y40" s="10">
        <f si="9" t="shared"/>
        <v>1.1820156482097253E-2</v>
      </c>
      <c r="Z40" s="10">
        <f si="9" t="shared"/>
        <v>4.7364099124340177E-3</v>
      </c>
      <c r="AA40" s="10">
        <f si="9" t="shared"/>
        <v>8.4960902250185624E-3</v>
      </c>
      <c r="AB40" s="10">
        <f si="9" t="shared"/>
        <v>9.1810277562288482E-3</v>
      </c>
      <c r="AC40" s="10">
        <f si="9" t="shared"/>
        <v>1.3883457176378568E-2</v>
      </c>
      <c r="AD40" s="10">
        <f si="9" t="shared"/>
        <v>-2.1506284301072504E-2</v>
      </c>
      <c r="AE40" s="10">
        <f si="9" t="shared"/>
        <v>0</v>
      </c>
      <c r="AF40" s="10">
        <f si="9" t="shared"/>
        <v>4.2016209255916186E-3</v>
      </c>
    </row>
    <row customHeight="1" ht="13.15" r="41" spans="1:32" thickBot="1" x14ac:dyDescent="0.25">
      <c r="A41" s="17" t="s">
        <v>4</v>
      </c>
      <c r="B41" s="12">
        <f ref="B41:J41" si="10" t="shared">SUM(B38:B40)</f>
        <v>0.99999999999999989</v>
      </c>
      <c r="C41" s="12">
        <f si="10" t="shared"/>
        <v>0.99999999999999989</v>
      </c>
      <c r="D41" s="12">
        <f si="10" t="shared"/>
        <v>1</v>
      </c>
      <c r="E41" s="12">
        <f si="10" t="shared"/>
        <v>1</v>
      </c>
      <c r="F41" s="12">
        <f si="10" t="shared"/>
        <v>1.0000000000000002</v>
      </c>
      <c r="G41" s="12">
        <f si="10" t="shared"/>
        <v>0.99999999999999989</v>
      </c>
      <c r="H41" s="12">
        <f si="10" t="shared"/>
        <v>0.99999999999999989</v>
      </c>
      <c r="I41" s="12">
        <f si="10" t="shared"/>
        <v>0</v>
      </c>
      <c r="J41" s="12">
        <f si="10" t="shared"/>
        <v>0.99999999999999989</v>
      </c>
      <c r="L41" s="17" t="s">
        <v>4</v>
      </c>
      <c r="M41" s="12">
        <f ref="M41:U41" si="11" t="shared">SUM(M38:M40)</f>
        <v>1</v>
      </c>
      <c r="N41" s="12">
        <f si="11" t="shared"/>
        <v>1</v>
      </c>
      <c r="O41" s="12">
        <f si="11" t="shared"/>
        <v>1</v>
      </c>
      <c r="P41" s="12">
        <f si="11" t="shared"/>
        <v>1</v>
      </c>
      <c r="Q41" s="12">
        <f si="11" t="shared"/>
        <v>1</v>
      </c>
      <c r="R41" s="12">
        <f si="11" t="shared"/>
        <v>1</v>
      </c>
      <c r="S41" s="12">
        <f si="11" t="shared"/>
        <v>1</v>
      </c>
      <c r="T41" s="12">
        <f si="11" t="shared"/>
        <v>0</v>
      </c>
      <c r="U41" s="12">
        <f si="11" t="shared"/>
        <v>1</v>
      </c>
      <c r="W41" s="17" t="s">
        <v>4</v>
      </c>
      <c r="X41" s="12">
        <f si="9" t="shared"/>
        <v>0</v>
      </c>
      <c r="Y41" s="12">
        <f si="9" t="shared"/>
        <v>0</v>
      </c>
      <c r="Z41" s="12">
        <f si="9" t="shared"/>
        <v>0</v>
      </c>
      <c r="AA41" s="12">
        <f si="9" t="shared"/>
        <v>0</v>
      </c>
      <c r="AB41" s="12">
        <f si="9" t="shared"/>
        <v>0</v>
      </c>
      <c r="AC41" s="12">
        <f si="9" t="shared"/>
        <v>0</v>
      </c>
      <c r="AD41" s="12">
        <f si="9" t="shared"/>
        <v>0</v>
      </c>
      <c r="AE41" s="12">
        <f si="9" t="shared"/>
        <v>0</v>
      </c>
      <c r="AF41" s="12">
        <f si="9" t="shared"/>
        <v>0</v>
      </c>
    </row>
    <row r="42" spans="1:32" x14ac:dyDescent="0.2">
      <c r="B42" s="10"/>
      <c r="C42" s="10"/>
      <c r="D42" s="10"/>
      <c r="E42" s="10"/>
      <c r="F42" s="10"/>
      <c r="G42" s="10"/>
      <c r="H42" s="10"/>
      <c r="I42" s="10"/>
      <c r="J42" s="10"/>
      <c r="M42" s="10"/>
      <c r="N42" s="10"/>
      <c r="O42" s="10"/>
      <c r="P42" s="10"/>
      <c r="Q42" s="10"/>
      <c r="R42" s="10"/>
      <c r="S42" s="10"/>
      <c r="T42" s="10"/>
      <c r="U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x14ac:dyDescent="0.2">
      <c r="B43" s="10"/>
      <c r="C43" s="10"/>
      <c r="D43" s="10"/>
      <c r="E43" s="10"/>
      <c r="F43" s="10"/>
      <c r="G43" s="10"/>
      <c r="H43" s="10"/>
      <c r="I43" s="10"/>
      <c r="J43" s="10"/>
      <c r="M43" s="10"/>
      <c r="N43" s="10"/>
      <c r="O43" s="10"/>
      <c r="P43" s="10"/>
      <c r="Q43" s="10"/>
      <c r="R43" s="10"/>
      <c r="S43" s="10"/>
      <c r="T43" s="10"/>
      <c r="U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x14ac:dyDescent="0.2">
      <c r="B44" s="10"/>
      <c r="C44" s="10"/>
      <c r="D44" s="10"/>
      <c r="E44" s="10"/>
      <c r="F44" s="10"/>
      <c r="G44" s="10"/>
      <c r="H44" s="10"/>
      <c r="I44" s="10"/>
      <c r="J44" s="10"/>
      <c r="M44" s="10"/>
      <c r="N44" s="10"/>
      <c r="O44" s="10"/>
      <c r="P44" s="10"/>
      <c r="Q44" s="10"/>
      <c r="R44" s="10"/>
      <c r="S44" s="10"/>
      <c r="T44" s="10"/>
      <c r="U44" s="10"/>
      <c r="X44" s="10"/>
      <c r="Y44" s="10"/>
      <c r="Z44" s="10"/>
      <c r="AA44" s="10"/>
      <c r="AB44" s="10"/>
      <c r="AC44" s="10"/>
      <c r="AD44" s="10"/>
      <c r="AE44" s="10"/>
      <c r="AF44" s="10"/>
    </row>
    <row customHeight="1" ht="13.15" r="45" spans="1:32" x14ac:dyDescent="0.2">
      <c r="A45" s="264" t="s">
        <v>41</v>
      </c>
      <c r="B45" s="10"/>
      <c r="C45" s="10"/>
      <c r="D45" s="10"/>
      <c r="E45" s="10"/>
      <c r="F45" s="10"/>
      <c r="G45" s="10"/>
      <c r="H45" s="10"/>
      <c r="I45" s="10"/>
      <c r="J45" s="10"/>
      <c r="L45" s="264" t="s">
        <v>41</v>
      </c>
      <c r="M45" s="10"/>
      <c r="N45" s="10"/>
      <c r="O45" s="10"/>
      <c r="P45" s="10"/>
      <c r="Q45" s="10"/>
      <c r="R45" s="10"/>
      <c r="S45" s="10"/>
      <c r="T45" s="10"/>
      <c r="U45" s="10"/>
      <c r="W45" s="264" t="s">
        <v>41</v>
      </c>
      <c r="X45" s="10"/>
      <c r="Y45" s="10"/>
      <c r="Z45" s="10"/>
      <c r="AA45" s="10"/>
      <c r="AB45" s="10"/>
      <c r="AC45" s="10"/>
      <c r="AD45" s="10"/>
      <c r="AE45" s="10"/>
      <c r="AF45" s="10"/>
    </row>
    <row customHeight="1" ht="13.15" r="46" spans="1:32" x14ac:dyDescent="0.2">
      <c r="A46" s="264" t="s">
        <v>104</v>
      </c>
      <c r="B46" s="10"/>
      <c r="C46" s="10"/>
      <c r="D46" s="10"/>
      <c r="E46" s="10"/>
      <c r="F46" s="10"/>
      <c r="G46" s="10"/>
      <c r="H46" s="10"/>
      <c r="I46" s="10"/>
      <c r="J46" s="10"/>
      <c r="L46" s="264" t="s">
        <v>105</v>
      </c>
      <c r="M46" s="10"/>
      <c r="N46" s="10"/>
      <c r="O46" s="10"/>
      <c r="P46" s="10"/>
      <c r="Q46" s="10"/>
      <c r="R46" s="10"/>
      <c r="S46" s="10"/>
      <c r="T46" s="10"/>
      <c r="U46" s="10"/>
      <c r="W46" s="264" t="s">
        <v>106</v>
      </c>
      <c r="X46" s="10"/>
      <c r="Y46" s="10"/>
      <c r="Z46" s="10"/>
      <c r="AA46" s="10"/>
      <c r="AB46" s="10"/>
      <c r="AC46" s="10"/>
      <c r="AD46" s="10"/>
      <c r="AE46" s="10"/>
      <c r="AF46" s="10"/>
    </row>
    <row customHeight="1" ht="13.5" r="47" spans="1:32" thickBot="1" x14ac:dyDescent="0.25">
      <c r="A47" s="264"/>
      <c r="B47" s="2"/>
      <c r="C47" s="2"/>
      <c r="D47" s="2"/>
      <c r="E47" s="2"/>
      <c r="F47" s="2"/>
      <c r="G47" s="2"/>
      <c r="H47" s="2"/>
      <c r="I47" s="2"/>
      <c r="J47" s="2"/>
      <c r="L47" s="264"/>
      <c r="M47" s="2"/>
      <c r="N47" s="2"/>
      <c r="O47" s="2"/>
      <c r="P47" s="2"/>
      <c r="Q47" s="2"/>
      <c r="R47" s="2"/>
      <c r="S47" s="2"/>
      <c r="T47" s="2"/>
      <c r="U47" s="2"/>
      <c r="W47" s="264"/>
      <c r="X47" s="2"/>
      <c r="Y47" s="2"/>
      <c r="Z47" s="2"/>
      <c r="AA47" s="2"/>
      <c r="AB47" s="2"/>
      <c r="AC47" s="2"/>
      <c r="AD47" s="2"/>
      <c r="AE47" s="2"/>
      <c r="AF47" s="2"/>
    </row>
    <row customHeight="1" ht="13.15" r="48" spans="1:32" x14ac:dyDescent="0.2">
      <c r="A48" s="3" t="s">
        <v>45</v>
      </c>
      <c r="B48" s="4" t="s">
        <v>12</v>
      </c>
      <c r="C48" s="4" t="s">
        <v>13</v>
      </c>
      <c r="D48" s="4" t="s">
        <v>14</v>
      </c>
      <c r="E48" s="4" t="s">
        <v>15</v>
      </c>
      <c r="F48" s="4" t="s">
        <v>16</v>
      </c>
      <c r="G48" s="4" t="s">
        <v>17</v>
      </c>
      <c r="H48" s="4" t="s">
        <v>18</v>
      </c>
      <c r="I48" s="4" t="s">
        <v>19</v>
      </c>
      <c r="J48" s="4" t="s">
        <v>4</v>
      </c>
      <c r="L48" s="3" t="s">
        <v>45</v>
      </c>
      <c r="M48" s="4" t="s">
        <v>12</v>
      </c>
      <c r="N48" s="4" t="s">
        <v>13</v>
      </c>
      <c r="O48" s="4" t="s">
        <v>14</v>
      </c>
      <c r="P48" s="4" t="s">
        <v>15</v>
      </c>
      <c r="Q48" s="4" t="s">
        <v>16</v>
      </c>
      <c r="R48" s="4" t="s">
        <v>17</v>
      </c>
      <c r="S48" s="4" t="s">
        <v>18</v>
      </c>
      <c r="T48" s="4" t="s">
        <v>19</v>
      </c>
      <c r="U48" s="4" t="s">
        <v>4</v>
      </c>
      <c r="W48" s="3" t="s">
        <v>45</v>
      </c>
      <c r="X48" s="4" t="s">
        <v>12</v>
      </c>
      <c r="Y48" s="4" t="s">
        <v>13</v>
      </c>
      <c r="Z48" s="4" t="s">
        <v>14</v>
      </c>
      <c r="AA48" s="4" t="s">
        <v>15</v>
      </c>
      <c r="AB48" s="4" t="s">
        <v>16</v>
      </c>
      <c r="AC48" s="4" t="s">
        <v>17</v>
      </c>
      <c r="AD48" s="4" t="s">
        <v>18</v>
      </c>
      <c r="AE48" s="4" t="s">
        <v>19</v>
      </c>
      <c r="AF48" s="4" t="s">
        <v>4</v>
      </c>
    </row>
    <row r="49" spans="1:32" x14ac:dyDescent="0.2">
      <c r="A49" s="16">
        <v>1</v>
      </c>
      <c r="B49" s="10">
        <f>output_NHTS!B109/SUM(output_NHTS!B$109:B$111)</f>
        <v>0.9551098561958048</v>
      </c>
      <c r="C49" s="10">
        <f>output_NHTS!C109/SUM(output_NHTS!C$109:C$111)</f>
        <v>0.89883245523326982</v>
      </c>
      <c r="D49" s="10">
        <f>output_NHTS!D109/SUM(output_NHTS!D$109:D$111)</f>
        <v>0.91231193639329444</v>
      </c>
      <c r="E49" s="10">
        <f>output_NHTS!E109/SUM(output_NHTS!E$109:E$111)</f>
        <v>0.9412216448963886</v>
      </c>
      <c r="F49" s="10">
        <f>output_NHTS!F109/SUM(output_NHTS!F$109:F$111)</f>
        <v>0.7747958029828792</v>
      </c>
      <c r="G49" s="10">
        <f>output_NHTS!G109/SUM(output_NHTS!G$109:G$111)</f>
        <v>1</v>
      </c>
      <c r="H49" s="10">
        <f>output_NHTS!H109/SUM(output_NHTS!H$109:H$111)</f>
        <v>1</v>
      </c>
      <c r="I49" s="10">
        <f>IF(SUM(output_NHTS!I$109:I$111)&gt;0,output_NHTS!I109/SUM(output_NHTS!I$109:I$111),0)</f>
        <v>0</v>
      </c>
      <c r="J49" s="10">
        <f>output_NHTS!J109/SUM(output_NHTS!J$109:J$111)</f>
        <v>0.93384789449883276</v>
      </c>
      <c r="L49" s="16">
        <v>1</v>
      </c>
      <c r="M49" s="10">
        <f>output!B109/SUM(output!B$109:B$111)</f>
        <v>0.96472141199514572</v>
      </c>
      <c r="N49" s="10">
        <f>output!C109/SUM(output!C$109:C$111)</f>
        <v>0.95508746876115669</v>
      </c>
      <c r="O49" s="10">
        <f>output!D109/SUM(output!D$109:D$111)</f>
        <v>0.94860752225093314</v>
      </c>
      <c r="P49" s="10">
        <f>output!E109/SUM(output!E$109:E$111)</f>
        <v>0.95394822090341302</v>
      </c>
      <c r="Q49" s="10">
        <f>output!F109/SUM(output!F$109:F$111)</f>
        <v>0.94915549364443674</v>
      </c>
      <c r="R49" s="10">
        <f>output!G109/SUM(output!G$109:G$111)</f>
        <v>0.95137844611528821</v>
      </c>
      <c r="S49" s="10">
        <f>output!H109/SUM(output!H$109:H$111)</f>
        <v>0.99289911851126345</v>
      </c>
      <c r="T49" s="10">
        <f>IF(SUM(output!I$109:I$111)&gt;0,output!I109/SUM(output!I$109:I$111),0)</f>
        <v>0</v>
      </c>
      <c r="U49" s="10">
        <f>output!J109/SUM(output!J$109:J$111)</f>
        <v>0.95766327743970292</v>
      </c>
      <c r="W49" s="16">
        <v>1</v>
      </c>
      <c r="X49" s="10">
        <f ref="X49:AF52" si="12" t="shared">M49-B49</f>
        <v>9.6115557993409206E-3</v>
      </c>
      <c r="Y49" s="10">
        <f si="12" t="shared"/>
        <v>5.6255013527886866E-2</v>
      </c>
      <c r="Z49" s="10">
        <f si="12" t="shared"/>
        <v>3.6295585857638701E-2</v>
      </c>
      <c r="AA49" s="10">
        <f si="12" t="shared"/>
        <v>1.2726576007024426E-2</v>
      </c>
      <c r="AB49" s="10">
        <f si="12" t="shared"/>
        <v>0.17435969066155754</v>
      </c>
      <c r="AC49" s="10">
        <f si="12" t="shared"/>
        <v>-4.8621553884711788E-2</v>
      </c>
      <c r="AD49" s="10">
        <f si="12" t="shared"/>
        <v>-7.1008814887365546E-3</v>
      </c>
      <c r="AE49" s="10">
        <f si="12" t="shared"/>
        <v>0</v>
      </c>
      <c r="AF49" s="10">
        <f si="12" t="shared"/>
        <v>2.3815382940870156E-2</v>
      </c>
    </row>
    <row r="50" spans="1:32" x14ac:dyDescent="0.2">
      <c r="A50" s="16">
        <v>2</v>
      </c>
      <c r="B50" s="10">
        <f>output_NHTS!B110/SUM(output_NHTS!B$109:B$111)</f>
        <v>4.4890143804195155E-2</v>
      </c>
      <c r="C50" s="10">
        <f>output_NHTS!C110/SUM(output_NHTS!C$109:C$111)</f>
        <v>7.6525289268065649E-2</v>
      </c>
      <c r="D50" s="10">
        <f>output_NHTS!D110/SUM(output_NHTS!D$109:D$111)</f>
        <v>8.6441309276736919E-2</v>
      </c>
      <c r="E50" s="10">
        <f>output_NHTS!E110/SUM(output_NHTS!E$109:E$111)</f>
        <v>5.8778355103611298E-2</v>
      </c>
      <c r="F50" s="10">
        <f>output_NHTS!F110/SUM(output_NHTS!F$109:F$111)</f>
        <v>0.22520419701712066</v>
      </c>
      <c r="G50" s="10">
        <f>output_NHTS!G110/SUM(output_NHTS!G$109:G$111)</f>
        <v>0</v>
      </c>
      <c r="H50" s="10">
        <f>output_NHTS!H110/SUM(output_NHTS!H$109:H$111)</f>
        <v>0</v>
      </c>
      <c r="I50" s="10">
        <f>IF(SUM(output_NHTS!I$109:I$111)&gt;0,output_NHTS!I110/SUM(output_NHTS!I$109:I$111),0)</f>
        <v>0</v>
      </c>
      <c r="J50" s="10">
        <f>output_NHTS!J110/SUM(output_NHTS!J$109:J$111)</f>
        <v>6.3692547246720022E-2</v>
      </c>
      <c r="L50" s="16">
        <v>2</v>
      </c>
      <c r="M50" s="10">
        <f>output!B110/SUM(output!B$109:B$111)</f>
        <v>3.3319849262279377E-2</v>
      </c>
      <c r="N50" s="10">
        <f>output!C110/SUM(output!C$109:C$111)</f>
        <v>4.3056051410210641E-2</v>
      </c>
      <c r="O50" s="10">
        <f>output!D110/SUM(output!D$109:D$111)</f>
        <v>4.8258206526940378E-2</v>
      </c>
      <c r="P50" s="10">
        <f>output!E110/SUM(output!E$109:E$111)</f>
        <v>4.325290901080675E-2</v>
      </c>
      <c r="Q50" s="10">
        <f>output!F110/SUM(output!F$109:F$111)</f>
        <v>4.7536130942016371E-2</v>
      </c>
      <c r="R50" s="10">
        <f>output!G110/SUM(output!G$109:G$111)</f>
        <v>4.5614035087719301E-2</v>
      </c>
      <c r="S50" s="10">
        <f>output!H110/SUM(output!H$109:H$111)</f>
        <v>7.1008814887365329E-3</v>
      </c>
      <c r="T50" s="10">
        <f>IF(SUM(output!I$109:I$111)&gt;0,output!I110/SUM(output!I$109:I$111),0)</f>
        <v>0</v>
      </c>
      <c r="U50" s="10">
        <f>output!J110/SUM(output!J$109:J$111)</f>
        <v>3.9907670590030711E-2</v>
      </c>
      <c r="W50" s="16">
        <v>2</v>
      </c>
      <c r="X50" s="10">
        <f si="12" t="shared"/>
        <v>-1.1570294541915778E-2</v>
      </c>
      <c r="Y50" s="10">
        <f si="12" t="shared"/>
        <v>-3.3469237857855008E-2</v>
      </c>
      <c r="Z50" s="10">
        <f si="12" t="shared"/>
        <v>-3.8183102749796541E-2</v>
      </c>
      <c r="AA50" s="10">
        <f si="12" t="shared"/>
        <v>-1.5525446092804547E-2</v>
      </c>
      <c r="AB50" s="10">
        <f si="12" t="shared"/>
        <v>-0.1776680660751043</v>
      </c>
      <c r="AC50" s="10">
        <f si="12" t="shared"/>
        <v>4.5614035087719301E-2</v>
      </c>
      <c r="AD50" s="10">
        <f si="12" t="shared"/>
        <v>7.1008814887365329E-3</v>
      </c>
      <c r="AE50" s="10">
        <f si="12" t="shared"/>
        <v>0</v>
      </c>
      <c r="AF50" s="10">
        <f si="12" t="shared"/>
        <v>-2.3784876656689311E-2</v>
      </c>
    </row>
    <row r="51" spans="1:32" x14ac:dyDescent="0.2">
      <c r="A51" s="19" t="s">
        <v>94</v>
      </c>
      <c r="B51" s="10">
        <f>output_NHTS!B111/SUM(output_NHTS!B$109:B$111)</f>
        <v>0</v>
      </c>
      <c r="C51" s="10">
        <f>output_NHTS!C111/SUM(output_NHTS!C$109:C$111)</f>
        <v>2.4642255498664539E-2</v>
      </c>
      <c r="D51" s="10">
        <f>output_NHTS!D111/SUM(output_NHTS!D$109:D$111)</f>
        <v>1.2467543299686647E-3</v>
      </c>
      <c r="E51" s="10">
        <f>output_NHTS!E111/SUM(output_NHTS!E$109:E$111)</f>
        <v>0</v>
      </c>
      <c r="F51" s="10">
        <f>output_NHTS!F111/SUM(output_NHTS!F$109:F$111)</f>
        <v>0</v>
      </c>
      <c r="G51" s="10">
        <f>output_NHTS!G111/SUM(output_NHTS!G$109:G$111)</f>
        <v>0</v>
      </c>
      <c r="H51" s="10">
        <f>output_NHTS!H111/SUM(output_NHTS!H$109:H$111)</f>
        <v>0</v>
      </c>
      <c r="I51" s="10">
        <f>IF(SUM(output_NHTS!I$109:I$111)&gt;0,output_NHTS!I111/SUM(output_NHTS!I$109:I$111),0)</f>
        <v>0</v>
      </c>
      <c r="J51" s="10">
        <f>output_NHTS!J111/SUM(output_NHTS!J$109:J$111)</f>
        <v>2.4595582544472533E-3</v>
      </c>
      <c r="L51" s="19" t="s">
        <v>94</v>
      </c>
      <c r="M51" s="11">
        <f>output!B111/SUM(output!B$109:B$111)</f>
        <v>1.9587387425748898E-3</v>
      </c>
      <c r="N51" s="11">
        <f>output!C111/SUM(output!C$109:C$111)</f>
        <v>1.8564798286326311E-3</v>
      </c>
      <c r="O51" s="11">
        <f>output!D111/SUM(output!D$109:D$111)</f>
        <v>3.1342712221265191E-3</v>
      </c>
      <c r="P51" s="11">
        <f>output!E111/SUM(output!E$109:E$111)</f>
        <v>2.7988700857801852E-3</v>
      </c>
      <c r="Q51" s="11">
        <f>output!F111/SUM(output!F$109:F$111)</f>
        <v>3.3083754135469269E-3</v>
      </c>
      <c r="R51" s="11">
        <f>output!G111/SUM(output!G$109:G$111)</f>
        <v>3.0075187969924814E-3</v>
      </c>
      <c r="S51" s="11">
        <f>output!H111/SUM(output!H$109:H$111)</f>
        <v>0</v>
      </c>
      <c r="T51" s="11">
        <f>IF(SUM(output!I$109:I$111)&gt;0,output!I111/SUM(output!I$109:I$111),0)</f>
        <v>0</v>
      </c>
      <c r="U51" s="11">
        <f>output!J111/SUM(output!J$109:J$111)</f>
        <v>2.4290519702663692E-3</v>
      </c>
      <c r="W51" s="19" t="s">
        <v>94</v>
      </c>
      <c r="X51" s="10">
        <f si="12" t="shared"/>
        <v>1.9587387425748898E-3</v>
      </c>
      <c r="Y51" s="10">
        <f si="12" t="shared"/>
        <v>-2.2785775670031906E-2</v>
      </c>
      <c r="Z51" s="10">
        <f si="12" t="shared"/>
        <v>1.8875168921578544E-3</v>
      </c>
      <c r="AA51" s="10">
        <f si="12" t="shared"/>
        <v>2.7988700857801852E-3</v>
      </c>
      <c r="AB51" s="10">
        <f si="12" t="shared"/>
        <v>3.3083754135469269E-3</v>
      </c>
      <c r="AC51" s="10">
        <f si="12" t="shared"/>
        <v>3.0075187969924814E-3</v>
      </c>
      <c r="AD51" s="10">
        <f si="12" t="shared"/>
        <v>0</v>
      </c>
      <c r="AE51" s="10">
        <f si="12" t="shared"/>
        <v>0</v>
      </c>
      <c r="AF51" s="10">
        <f si="12" t="shared"/>
        <v>-3.0506284180884143E-5</v>
      </c>
    </row>
    <row customHeight="1" ht="13.15" r="52" spans="1:32" thickBot="1" x14ac:dyDescent="0.25">
      <c r="A52" s="17" t="s">
        <v>4</v>
      </c>
      <c r="B52" s="12">
        <f ref="B52:J52" si="13" t="shared">SUM(B49:B51)</f>
        <v>1</v>
      </c>
      <c r="C52" s="12">
        <f si="13" t="shared"/>
        <v>1</v>
      </c>
      <c r="D52" s="12">
        <f si="13" t="shared"/>
        <v>1</v>
      </c>
      <c r="E52" s="12">
        <f si="13" t="shared"/>
        <v>0.99999999999999989</v>
      </c>
      <c r="F52" s="12">
        <f si="13" t="shared"/>
        <v>0.99999999999999989</v>
      </c>
      <c r="G52" s="12">
        <f si="13" t="shared"/>
        <v>1</v>
      </c>
      <c r="H52" s="12">
        <f si="13" t="shared"/>
        <v>1</v>
      </c>
      <c r="I52" s="12">
        <f si="13" t="shared"/>
        <v>0</v>
      </c>
      <c r="J52" s="12">
        <f si="13" t="shared"/>
        <v>1</v>
      </c>
      <c r="L52" s="17" t="s">
        <v>4</v>
      </c>
      <c r="M52" s="12">
        <f ref="M52:U52" si="14" t="shared">SUM(M49:M51)</f>
        <v>1</v>
      </c>
      <c r="N52" s="12">
        <f si="14" t="shared"/>
        <v>1</v>
      </c>
      <c r="O52" s="12">
        <f si="14" t="shared"/>
        <v>1</v>
      </c>
      <c r="P52" s="12">
        <f si="14" t="shared"/>
        <v>1</v>
      </c>
      <c r="Q52" s="12">
        <f si="14" t="shared"/>
        <v>1</v>
      </c>
      <c r="R52" s="12">
        <f si="14" t="shared"/>
        <v>1</v>
      </c>
      <c r="S52" s="12">
        <f si="14" t="shared"/>
        <v>1</v>
      </c>
      <c r="T52" s="12">
        <f si="14" t="shared"/>
        <v>0</v>
      </c>
      <c r="U52" s="12">
        <f si="14" t="shared"/>
        <v>1</v>
      </c>
      <c r="W52" s="17" t="s">
        <v>4</v>
      </c>
      <c r="X52" s="12">
        <f si="12" t="shared"/>
        <v>0</v>
      </c>
      <c r="Y52" s="12">
        <f si="12" t="shared"/>
        <v>0</v>
      </c>
      <c r="Z52" s="12">
        <f si="12" t="shared"/>
        <v>0</v>
      </c>
      <c r="AA52" s="12">
        <f si="12" t="shared"/>
        <v>0</v>
      </c>
      <c r="AB52" s="12">
        <f si="12" t="shared"/>
        <v>0</v>
      </c>
      <c r="AC52" s="12">
        <f si="12" t="shared"/>
        <v>0</v>
      </c>
      <c r="AD52" s="12">
        <f si="12" t="shared"/>
        <v>0</v>
      </c>
      <c r="AE52" s="12">
        <f si="12" t="shared"/>
        <v>0</v>
      </c>
      <c r="AF52" s="12">
        <f si="12" t="shared"/>
        <v>0</v>
      </c>
    </row>
    <row r="53" spans="1:32" x14ac:dyDescent="0.2">
      <c r="B53" s="10"/>
      <c r="C53" s="10"/>
      <c r="D53" s="10"/>
      <c r="E53" s="10"/>
      <c r="F53" s="10"/>
      <c r="G53" s="10"/>
      <c r="H53" s="10"/>
      <c r="I53" s="10"/>
      <c r="J53" s="10"/>
      <c r="M53" s="10"/>
      <c r="N53" s="10"/>
      <c r="O53" s="10"/>
      <c r="P53" s="10"/>
      <c r="Q53" s="10"/>
      <c r="R53" s="10"/>
      <c r="S53" s="10"/>
      <c r="T53" s="10"/>
      <c r="U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x14ac:dyDescent="0.2">
      <c r="B54" s="10"/>
      <c r="C54" s="10"/>
      <c r="D54" s="10"/>
      <c r="E54" s="10"/>
      <c r="F54" s="10"/>
      <c r="G54" s="10"/>
      <c r="H54" s="10"/>
      <c r="I54" s="10"/>
      <c r="J54" s="10"/>
      <c r="M54" s="10"/>
      <c r="N54" s="10"/>
      <c r="O54" s="10"/>
      <c r="P54" s="10"/>
      <c r="Q54" s="10"/>
      <c r="R54" s="10"/>
      <c r="S54" s="10"/>
      <c r="T54" s="10"/>
      <c r="U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x14ac:dyDescent="0.2">
      <c r="B55" s="10"/>
      <c r="C55" s="10"/>
      <c r="D55" s="10"/>
      <c r="E55" s="10"/>
      <c r="F55" s="10"/>
      <c r="G55" s="10"/>
      <c r="H55" s="10"/>
      <c r="I55" s="10"/>
      <c r="J55" s="10"/>
      <c r="M55" s="10"/>
      <c r="N55" s="10"/>
      <c r="O55" s="10"/>
      <c r="P55" s="10"/>
      <c r="Q55" s="10"/>
      <c r="R55" s="10"/>
      <c r="S55" s="10"/>
      <c r="T55" s="10"/>
      <c r="U55" s="10"/>
      <c r="X55" s="10"/>
      <c r="Y55" s="10"/>
      <c r="Z55" s="10"/>
      <c r="AA55" s="10"/>
      <c r="AB55" s="10"/>
      <c r="AC55" s="10"/>
      <c r="AD55" s="10"/>
      <c r="AE55" s="10"/>
      <c r="AF55" s="10"/>
    </row>
    <row customHeight="1" ht="13.15" r="56" spans="1:32" x14ac:dyDescent="0.2">
      <c r="A56" s="264" t="s">
        <v>41</v>
      </c>
      <c r="B56" s="10"/>
      <c r="C56" s="10"/>
      <c r="D56" s="10"/>
      <c r="E56" s="10"/>
      <c r="F56" s="10"/>
      <c r="G56" s="10"/>
      <c r="H56" s="10"/>
      <c r="I56" s="10"/>
      <c r="J56" s="10"/>
      <c r="L56" s="264" t="s">
        <v>41</v>
      </c>
      <c r="M56" s="10"/>
      <c r="N56" s="10"/>
      <c r="O56" s="10"/>
      <c r="P56" s="10"/>
      <c r="Q56" s="10"/>
      <c r="R56" s="10"/>
      <c r="S56" s="10"/>
      <c r="T56" s="10"/>
      <c r="U56" s="10"/>
      <c r="W56" s="264" t="s">
        <v>41</v>
      </c>
      <c r="X56" s="10"/>
      <c r="Y56" s="10"/>
      <c r="Z56" s="10"/>
      <c r="AA56" s="10"/>
      <c r="AB56" s="10"/>
      <c r="AC56" s="10"/>
      <c r="AD56" s="10"/>
      <c r="AE56" s="10"/>
      <c r="AF56" s="10"/>
    </row>
    <row customHeight="1" ht="13.15" r="57" spans="1:32" x14ac:dyDescent="0.2">
      <c r="A57" s="264" t="s">
        <v>107</v>
      </c>
      <c r="B57" s="10"/>
      <c r="C57" s="10"/>
      <c r="D57" s="10"/>
      <c r="E57" s="10"/>
      <c r="F57" s="10"/>
      <c r="G57" s="10"/>
      <c r="H57" s="10"/>
      <c r="I57" s="10"/>
      <c r="J57" s="10"/>
      <c r="L57" s="264" t="s">
        <v>108</v>
      </c>
      <c r="M57" s="10"/>
      <c r="N57" s="10"/>
      <c r="O57" s="10"/>
      <c r="P57" s="10"/>
      <c r="Q57" s="10"/>
      <c r="R57" s="10"/>
      <c r="S57" s="10"/>
      <c r="T57" s="10"/>
      <c r="U57" s="10"/>
      <c r="W57" s="264" t="s">
        <v>109</v>
      </c>
      <c r="X57" s="10"/>
      <c r="Y57" s="10"/>
      <c r="Z57" s="10"/>
      <c r="AA57" s="10"/>
      <c r="AB57" s="10"/>
      <c r="AC57" s="10"/>
      <c r="AD57" s="10"/>
      <c r="AE57" s="10"/>
      <c r="AF57" s="10"/>
    </row>
    <row customHeight="1" ht="13.5" r="58" spans="1:32" thickBot="1" x14ac:dyDescent="0.25">
      <c r="A58" s="264"/>
      <c r="B58" s="2"/>
      <c r="C58" s="2"/>
      <c r="D58" s="2"/>
      <c r="E58" s="2"/>
      <c r="F58" s="2"/>
      <c r="G58" s="2"/>
      <c r="H58" s="2"/>
      <c r="I58" s="2"/>
      <c r="J58" s="2"/>
      <c r="L58" s="264"/>
      <c r="M58" s="2"/>
      <c r="N58" s="2"/>
      <c r="O58" s="2"/>
      <c r="P58" s="2"/>
      <c r="Q58" s="2"/>
      <c r="R58" s="2"/>
      <c r="S58" s="2"/>
      <c r="T58" s="2"/>
      <c r="U58" s="2"/>
      <c r="W58" s="264"/>
      <c r="X58" s="2"/>
      <c r="Y58" s="2"/>
      <c r="Z58" s="2"/>
      <c r="AA58" s="2"/>
      <c r="AB58" s="2"/>
      <c r="AC58" s="2"/>
      <c r="AD58" s="2"/>
      <c r="AE58" s="2"/>
      <c r="AF58" s="2"/>
    </row>
    <row customHeight="1" ht="13.15" r="59" spans="1:32" x14ac:dyDescent="0.2">
      <c r="A59" s="3" t="s">
        <v>45</v>
      </c>
      <c r="B59" s="4" t="s">
        <v>12</v>
      </c>
      <c r="C59" s="4" t="s">
        <v>13</v>
      </c>
      <c r="D59" s="4" t="s">
        <v>14</v>
      </c>
      <c r="E59" s="4" t="s">
        <v>15</v>
      </c>
      <c r="F59" s="4" t="s">
        <v>16</v>
      </c>
      <c r="G59" s="4" t="s">
        <v>17</v>
      </c>
      <c r="H59" s="4" t="s">
        <v>18</v>
      </c>
      <c r="I59" s="4" t="s">
        <v>19</v>
      </c>
      <c r="J59" s="4" t="s">
        <v>4</v>
      </c>
      <c r="L59" s="3" t="s">
        <v>45</v>
      </c>
      <c r="M59" s="4" t="s">
        <v>12</v>
      </c>
      <c r="N59" s="4" t="s">
        <v>13</v>
      </c>
      <c r="O59" s="4" t="s">
        <v>14</v>
      </c>
      <c r="P59" s="4" t="s">
        <v>15</v>
      </c>
      <c r="Q59" s="4" t="s">
        <v>16</v>
      </c>
      <c r="R59" s="4" t="s">
        <v>17</v>
      </c>
      <c r="S59" s="4" t="s">
        <v>18</v>
      </c>
      <c r="T59" s="4" t="s">
        <v>19</v>
      </c>
      <c r="U59" s="4" t="s">
        <v>4</v>
      </c>
      <c r="W59" s="3" t="s">
        <v>45</v>
      </c>
      <c r="X59" s="4" t="s">
        <v>12</v>
      </c>
      <c r="Y59" s="4" t="s">
        <v>13</v>
      </c>
      <c r="Z59" s="4" t="s">
        <v>14</v>
      </c>
      <c r="AA59" s="4" t="s">
        <v>15</v>
      </c>
      <c r="AB59" s="4" t="s">
        <v>16</v>
      </c>
      <c r="AC59" s="4" t="s">
        <v>17</v>
      </c>
      <c r="AD59" s="4" t="s">
        <v>18</v>
      </c>
      <c r="AE59" s="4" t="s">
        <v>19</v>
      </c>
      <c r="AF59" s="4" t="s">
        <v>4</v>
      </c>
    </row>
    <row r="60" spans="1:32" x14ac:dyDescent="0.2">
      <c r="A60" s="16">
        <v>1</v>
      </c>
      <c r="B60" s="10">
        <f>output_NHTS!B116/SUM(output_NHTS!B$116:B$118)</f>
        <v>0.98036759748986546</v>
      </c>
      <c r="C60" s="10">
        <f>output_NHTS!C116/SUM(output_NHTS!C$116:C$118)</f>
        <v>0.96659883759408005</v>
      </c>
      <c r="D60" s="10">
        <f>output_NHTS!D116/SUM(output_NHTS!D$116:D$118)</f>
        <v>0.91268430740846718</v>
      </c>
      <c r="E60" s="10">
        <f>output_NHTS!E116/SUM(output_NHTS!E$116:E$118)</f>
        <v>0.90447724191732493</v>
      </c>
      <c r="F60" s="10">
        <f>output_NHTS!F116/SUM(output_NHTS!F$116:F$118)</f>
        <v>0.90785509891873306</v>
      </c>
      <c r="G60" s="10">
        <f>output_NHTS!G116/SUM(output_NHTS!G$116:G$118)</f>
        <v>1</v>
      </c>
      <c r="H60" s="10">
        <f>output_NHTS!H116/SUM(output_NHTS!H$116:H$118)</f>
        <v>0.98611130329645547</v>
      </c>
      <c r="I60" s="10">
        <f>IF(SUM(output_NHTS!I$116:I$118)&gt;0,output_NHTS!I116/SUM(output_NHTS!I$116:I$118),0)</f>
        <v>0</v>
      </c>
      <c r="J60" s="10">
        <f>output_NHTS!J116/SUM(output_NHTS!J$116:J$118)</f>
        <v>0.95369830937211786</v>
      </c>
      <c r="L60" s="16">
        <v>1</v>
      </c>
      <c r="M60" s="10">
        <f>output!B116/SUM(output!B$116:B$118)</f>
        <v>1</v>
      </c>
      <c r="N60" s="10">
        <f>output!C116/SUM(output!C$116:C$118)</f>
        <v>1</v>
      </c>
      <c r="O60" s="10">
        <f>output!D116/SUM(output!D$116:D$118)</f>
        <v>0.92870454436851912</v>
      </c>
      <c r="P60" s="10">
        <f>output!E116/SUM(output!E$116:E$118)</f>
        <v>0.92255838215231523</v>
      </c>
      <c r="Q60" s="10">
        <f>output!F116/SUM(output!F$116:F$118)</f>
        <v>1</v>
      </c>
      <c r="R60" s="10">
        <f>output!G116/SUM(output!G$116:G$118)</f>
        <v>1</v>
      </c>
      <c r="S60" s="10">
        <f>output!H116/SUM(output!H$116:H$118)</f>
        <v>1</v>
      </c>
      <c r="T60" s="10">
        <f>IF(SUM(output!I$116:I$118)&gt;0,output!I116/SUM(output!I$116:I$118),0)</f>
        <v>0</v>
      </c>
      <c r="U60" s="10">
        <f>output!J116/SUM(output!J$116:J$118)</f>
        <v>0.97436833649773624</v>
      </c>
      <c r="W60" s="16">
        <v>1</v>
      </c>
      <c r="X60" s="10">
        <f ref="X60:AF63" si="15" t="shared">M60-B60</f>
        <v>1.9632402510134539E-2</v>
      </c>
      <c r="Y60" s="10">
        <f si="15" t="shared"/>
        <v>3.3401162405919949E-2</v>
      </c>
      <c r="Z60" s="10">
        <f si="15" t="shared"/>
        <v>1.6020236960051948E-2</v>
      </c>
      <c r="AA60" s="10">
        <f si="15" t="shared"/>
        <v>1.8081140234990301E-2</v>
      </c>
      <c r="AB60" s="10">
        <f si="15" t="shared"/>
        <v>9.2144901081266939E-2</v>
      </c>
      <c r="AC60" s="10">
        <f si="15" t="shared"/>
        <v>0</v>
      </c>
      <c r="AD60" s="10">
        <f si="15" t="shared"/>
        <v>1.3888696703544534E-2</v>
      </c>
      <c r="AE60" s="10">
        <f si="15" t="shared"/>
        <v>0</v>
      </c>
      <c r="AF60" s="10">
        <f si="15" t="shared"/>
        <v>2.0670027125618384E-2</v>
      </c>
    </row>
    <row r="61" spans="1:32" x14ac:dyDescent="0.2">
      <c r="A61" s="16">
        <v>2</v>
      </c>
      <c r="B61" s="10">
        <f>output_NHTS!B117/SUM(output_NHTS!B$116:B$118)</f>
        <v>1.9632402510134584E-2</v>
      </c>
      <c r="C61" s="10">
        <f>output_NHTS!C117/SUM(output_NHTS!C$116:C$118)</f>
        <v>3.3401162405919935E-2</v>
      </c>
      <c r="D61" s="10">
        <f>output_NHTS!D117/SUM(output_NHTS!D$116:D$118)</f>
        <v>8.7315692591532823E-2</v>
      </c>
      <c r="E61" s="10">
        <f>output_NHTS!E117/SUM(output_NHTS!E$116:E$118)</f>
        <v>9.5522758082675088E-2</v>
      </c>
      <c r="F61" s="10">
        <f>output_NHTS!F117/SUM(output_NHTS!F$116:F$118)</f>
        <v>7.560064241085436E-2</v>
      </c>
      <c r="G61" s="10">
        <f>output_NHTS!G117/SUM(output_NHTS!G$116:G$118)</f>
        <v>0</v>
      </c>
      <c r="H61" s="10">
        <f>output_NHTS!H117/SUM(output_NHTS!H$116:H$118)</f>
        <v>1.3888696703544534E-2</v>
      </c>
      <c r="I61" s="10">
        <f>IF(SUM(output_NHTS!I$116:I$118)&gt;0,output_NHTS!I117/SUM(output_NHTS!I$116:I$118),0)</f>
        <v>0</v>
      </c>
      <c r="J61" s="10">
        <f>output_NHTS!J117/SUM(output_NHTS!J$116:J$118)</f>
        <v>4.5632603609059533E-2</v>
      </c>
      <c r="L61" s="16">
        <v>2</v>
      </c>
      <c r="M61" s="10">
        <f>output!B117/SUM(output!B$116:B$118)</f>
        <v>0</v>
      </c>
      <c r="N61" s="10">
        <f>output!C117/SUM(output!C$116:C$118)</f>
        <v>0</v>
      </c>
      <c r="O61" s="10">
        <f>output!D117/SUM(output!D$116:D$118)</f>
        <v>7.1295455631480861E-2</v>
      </c>
      <c r="P61" s="10">
        <f>output!E117/SUM(output!E$116:E$118)</f>
        <v>7.7441617847684774E-2</v>
      </c>
      <c r="Q61" s="10">
        <f>output!F117/SUM(output!F$116:F$118)</f>
        <v>0</v>
      </c>
      <c r="R61" s="10">
        <f>output!G117/SUM(output!G$116:G$118)</f>
        <v>0</v>
      </c>
      <c r="S61" s="10">
        <f>output!H117/SUM(output!H$116:H$118)</f>
        <v>0</v>
      </c>
      <c r="T61" s="10">
        <f>IF(SUM(output!I$116:I$118)&gt;0,output!I117/SUM(output!I$116:I$118),0)</f>
        <v>0</v>
      </c>
      <c r="U61" s="10">
        <f>output!J117/SUM(output!J$116:J$118)</f>
        <v>2.5631663502263764E-2</v>
      </c>
      <c r="W61" s="16">
        <v>2</v>
      </c>
      <c r="X61" s="10">
        <f si="15" t="shared"/>
        <v>-1.9632402510134584E-2</v>
      </c>
      <c r="Y61" s="10">
        <f si="15" t="shared"/>
        <v>-3.3401162405919935E-2</v>
      </c>
      <c r="Z61" s="10">
        <f si="15" t="shared"/>
        <v>-1.6020236960051962E-2</v>
      </c>
      <c r="AA61" s="10">
        <f si="15" t="shared"/>
        <v>-1.8081140234990314E-2</v>
      </c>
      <c r="AB61" s="10">
        <f si="15" t="shared"/>
        <v>-7.560064241085436E-2</v>
      </c>
      <c r="AC61" s="10">
        <f si="15" t="shared"/>
        <v>0</v>
      </c>
      <c r="AD61" s="10">
        <f si="15" t="shared"/>
        <v>-1.3888696703544534E-2</v>
      </c>
      <c r="AE61" s="10">
        <f si="15" t="shared"/>
        <v>0</v>
      </c>
      <c r="AF61" s="10">
        <f si="15" t="shared"/>
        <v>-2.0000940106795768E-2</v>
      </c>
    </row>
    <row r="62" spans="1:32" x14ac:dyDescent="0.2">
      <c r="A62" s="19" t="s">
        <v>94</v>
      </c>
      <c r="B62" s="10">
        <f>output_NHTS!B118/SUM(output_NHTS!B$116:B$118)</f>
        <v>0</v>
      </c>
      <c r="C62" s="10">
        <f>output_NHTS!C118/SUM(output_NHTS!C$116:C$118)</f>
        <v>0</v>
      </c>
      <c r="D62" s="10">
        <f>output_NHTS!D118/SUM(output_NHTS!D$116:D$118)</f>
        <v>0</v>
      </c>
      <c r="E62" s="10">
        <f>output_NHTS!E118/SUM(output_NHTS!E$116:E$118)</f>
        <v>0</v>
      </c>
      <c r="F62" s="10">
        <f>output_NHTS!F118/SUM(output_NHTS!F$116:F$118)</f>
        <v>1.6544258670412603E-2</v>
      </c>
      <c r="G62" s="10">
        <f>output_NHTS!G118/SUM(output_NHTS!G$116:G$118)</f>
        <v>0</v>
      </c>
      <c r="H62" s="10">
        <f>output_NHTS!H118/SUM(output_NHTS!H$116:H$118)</f>
        <v>0</v>
      </c>
      <c r="I62" s="10">
        <f>IF(SUM(output_NHTS!I$116:I$118)&gt;0,output_NHTS!I118/SUM(output_NHTS!I$116:I$118),0)</f>
        <v>0</v>
      </c>
      <c r="J62" s="10">
        <f>output_NHTS!J118/SUM(output_NHTS!J$116:J$118)</f>
        <v>6.6908701882260793E-4</v>
      </c>
      <c r="L62" s="19" t="s">
        <v>94</v>
      </c>
      <c r="M62" s="11">
        <f>output!B118/SUM(output!B$116:B$118)</f>
        <v>0</v>
      </c>
      <c r="N62" s="11">
        <f>output!C118/SUM(output!C$116:C$118)</f>
        <v>0</v>
      </c>
      <c r="O62" s="11">
        <f>output!D118/SUM(output!D$116:D$118)</f>
        <v>0</v>
      </c>
      <c r="P62" s="11">
        <f>output!E118/SUM(output!E$116:E$118)</f>
        <v>0</v>
      </c>
      <c r="Q62" s="11">
        <f>output!F118/SUM(output!F$116:F$118)</f>
        <v>0</v>
      </c>
      <c r="R62" s="11">
        <f>output!G118/SUM(output!G$116:G$118)</f>
        <v>0</v>
      </c>
      <c r="S62" s="11">
        <f>output!H118/SUM(output!H$116:H$118)</f>
        <v>0</v>
      </c>
      <c r="T62" s="11">
        <f>IF(SUM(output!I$116:I$118)&gt;0,output!I118/SUM(output!I$116:I$118),0)</f>
        <v>0</v>
      </c>
      <c r="U62" s="11">
        <f>output!J118/SUM(output!J$116:J$118)</f>
        <v>0</v>
      </c>
      <c r="W62" s="19" t="s">
        <v>94</v>
      </c>
      <c r="X62" s="10">
        <f si="15" t="shared"/>
        <v>0</v>
      </c>
      <c r="Y62" s="10">
        <f si="15" t="shared"/>
        <v>0</v>
      </c>
      <c r="Z62" s="10">
        <f si="15" t="shared"/>
        <v>0</v>
      </c>
      <c r="AA62" s="10">
        <f si="15" t="shared"/>
        <v>0</v>
      </c>
      <c r="AB62" s="10">
        <f si="15" t="shared"/>
        <v>-1.6544258670412603E-2</v>
      </c>
      <c r="AC62" s="10">
        <f si="15" t="shared"/>
        <v>0</v>
      </c>
      <c r="AD62" s="10">
        <f si="15" t="shared"/>
        <v>0</v>
      </c>
      <c r="AE62" s="10">
        <f si="15" t="shared"/>
        <v>0</v>
      </c>
      <c r="AF62" s="10">
        <f si="15" t="shared"/>
        <v>-6.6908701882260793E-4</v>
      </c>
    </row>
    <row customHeight="1" ht="13.15" r="63" spans="1:32" thickBot="1" x14ac:dyDescent="0.25">
      <c r="A63" s="17" t="s">
        <v>4</v>
      </c>
      <c r="B63" s="12">
        <f ref="B63:J63" si="16" t="shared">SUM(B60:B62)</f>
        <v>1</v>
      </c>
      <c r="C63" s="12">
        <f si="16" t="shared"/>
        <v>1</v>
      </c>
      <c r="D63" s="12">
        <f si="16" t="shared"/>
        <v>1</v>
      </c>
      <c r="E63" s="12">
        <f si="16" t="shared"/>
        <v>1</v>
      </c>
      <c r="F63" s="12">
        <f si="16" t="shared"/>
        <v>1</v>
      </c>
      <c r="G63" s="12">
        <f si="16" t="shared"/>
        <v>1</v>
      </c>
      <c r="H63" s="12">
        <f si="16" t="shared"/>
        <v>1</v>
      </c>
      <c r="I63" s="12">
        <f si="16" t="shared"/>
        <v>0</v>
      </c>
      <c r="J63" s="12">
        <f si="16" t="shared"/>
        <v>1</v>
      </c>
      <c r="L63" s="17" t="s">
        <v>4</v>
      </c>
      <c r="M63" s="12">
        <f ref="M63:U63" si="17" t="shared">SUM(M60:M62)</f>
        <v>1</v>
      </c>
      <c r="N63" s="12">
        <f si="17" t="shared"/>
        <v>1</v>
      </c>
      <c r="O63" s="12">
        <f si="17" t="shared"/>
        <v>1</v>
      </c>
      <c r="P63" s="12">
        <f si="17" t="shared"/>
        <v>1</v>
      </c>
      <c r="Q63" s="12">
        <f si="17" t="shared"/>
        <v>1</v>
      </c>
      <c r="R63" s="12">
        <f si="17" t="shared"/>
        <v>1</v>
      </c>
      <c r="S63" s="12">
        <f si="17" t="shared"/>
        <v>1</v>
      </c>
      <c r="T63" s="12">
        <f si="17" t="shared"/>
        <v>0</v>
      </c>
      <c r="U63" s="12">
        <f si="17" t="shared"/>
        <v>1</v>
      </c>
      <c r="W63" s="17" t="s">
        <v>4</v>
      </c>
      <c r="X63" s="12">
        <f si="15" t="shared"/>
        <v>0</v>
      </c>
      <c r="Y63" s="12">
        <f si="15" t="shared"/>
        <v>0</v>
      </c>
      <c r="Z63" s="12">
        <f si="15" t="shared"/>
        <v>0</v>
      </c>
      <c r="AA63" s="12">
        <f si="15" t="shared"/>
        <v>0</v>
      </c>
      <c r="AB63" s="12">
        <f si="15" t="shared"/>
        <v>0</v>
      </c>
      <c r="AC63" s="12">
        <f si="15" t="shared"/>
        <v>0</v>
      </c>
      <c r="AD63" s="12">
        <f si="15" t="shared"/>
        <v>0</v>
      </c>
      <c r="AE63" s="12">
        <f si="15" t="shared"/>
        <v>0</v>
      </c>
      <c r="AF63" s="12">
        <f si="15" t="shared"/>
        <v>0</v>
      </c>
    </row>
    <row r="64" spans="1:32" x14ac:dyDescent="0.2">
      <c r="B64" s="10"/>
      <c r="C64" s="10"/>
      <c r="D64" s="10"/>
      <c r="E64" s="10"/>
      <c r="F64" s="10"/>
      <c r="G64" s="10"/>
      <c r="H64" s="10"/>
      <c r="I64" s="10"/>
      <c r="J64" s="10"/>
      <c r="M64" s="10"/>
      <c r="N64" s="10"/>
      <c r="O64" s="10"/>
      <c r="P64" s="10"/>
      <c r="Q64" s="10"/>
      <c r="R64" s="10"/>
      <c r="S64" s="10"/>
      <c r="T64" s="10"/>
      <c r="U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x14ac:dyDescent="0.2">
      <c r="B65" s="10"/>
      <c r="C65" s="10"/>
      <c r="D65" s="10"/>
      <c r="E65" s="10"/>
      <c r="F65" s="10"/>
      <c r="G65" s="10"/>
      <c r="H65" s="10"/>
      <c r="I65" s="10"/>
      <c r="J65" s="10"/>
      <c r="M65" s="10"/>
      <c r="N65" s="10"/>
      <c r="O65" s="10"/>
      <c r="P65" s="10"/>
      <c r="Q65" s="10"/>
      <c r="R65" s="10"/>
      <c r="S65" s="10"/>
      <c r="T65" s="10"/>
      <c r="U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x14ac:dyDescent="0.2">
      <c r="B66" s="10"/>
      <c r="C66" s="10"/>
      <c r="D66" s="10"/>
      <c r="E66" s="10"/>
      <c r="F66" s="10"/>
      <c r="G66" s="10"/>
      <c r="H66" s="10"/>
      <c r="I66" s="10"/>
      <c r="J66" s="10"/>
      <c r="M66" s="10"/>
      <c r="N66" s="10"/>
      <c r="O66" s="10"/>
      <c r="P66" s="10"/>
      <c r="Q66" s="10"/>
      <c r="R66" s="10"/>
      <c r="S66" s="10"/>
      <c r="T66" s="10"/>
      <c r="U66" s="10"/>
      <c r="X66" s="10"/>
      <c r="Y66" s="10"/>
      <c r="Z66" s="10"/>
      <c r="AA66" s="10"/>
      <c r="AB66" s="10"/>
      <c r="AC66" s="10"/>
      <c r="AD66" s="10"/>
      <c r="AE66" s="10"/>
      <c r="AF66" s="10"/>
    </row>
    <row customHeight="1" ht="13.15" r="67" spans="1:32" x14ac:dyDescent="0.2">
      <c r="A67" s="264" t="s">
        <v>41</v>
      </c>
      <c r="B67" s="10"/>
      <c r="C67" s="10"/>
      <c r="D67" s="10"/>
      <c r="E67" s="10"/>
      <c r="F67" s="10"/>
      <c r="G67" s="10"/>
      <c r="H67" s="10"/>
      <c r="I67" s="10"/>
      <c r="J67" s="10"/>
      <c r="L67" s="264" t="s">
        <v>41</v>
      </c>
      <c r="M67" s="10"/>
      <c r="N67" s="10"/>
      <c r="O67" s="10"/>
      <c r="P67" s="10"/>
      <c r="Q67" s="10"/>
      <c r="R67" s="10"/>
      <c r="S67" s="10"/>
      <c r="T67" s="10"/>
      <c r="U67" s="10"/>
      <c r="W67" s="264" t="s">
        <v>41</v>
      </c>
      <c r="X67" s="10"/>
      <c r="Y67" s="10"/>
      <c r="Z67" s="10"/>
      <c r="AA67" s="10"/>
      <c r="AB67" s="10"/>
      <c r="AC67" s="10"/>
      <c r="AD67" s="10"/>
      <c r="AE67" s="10"/>
      <c r="AF67" s="10"/>
    </row>
    <row customHeight="1" ht="13.15" r="68" spans="1:32" x14ac:dyDescent="0.2">
      <c r="A68" s="264" t="s">
        <v>110</v>
      </c>
      <c r="B68" s="10"/>
      <c r="C68" s="10"/>
      <c r="D68" s="10"/>
      <c r="E68" s="10"/>
      <c r="F68" s="10"/>
      <c r="G68" s="10"/>
      <c r="H68" s="10"/>
      <c r="I68" s="10"/>
      <c r="J68" s="10"/>
      <c r="L68" s="264" t="s">
        <v>111</v>
      </c>
      <c r="M68" s="10"/>
      <c r="N68" s="10"/>
      <c r="O68" s="10"/>
      <c r="P68" s="10"/>
      <c r="Q68" s="10"/>
      <c r="R68" s="10"/>
      <c r="S68" s="10"/>
      <c r="T68" s="10"/>
      <c r="U68" s="10"/>
      <c r="W68" s="264" t="s">
        <v>112</v>
      </c>
      <c r="X68" s="10"/>
      <c r="Y68" s="10"/>
      <c r="Z68" s="10"/>
      <c r="AA68" s="10"/>
      <c r="AB68" s="10"/>
      <c r="AC68" s="10"/>
      <c r="AD68" s="10"/>
      <c r="AE68" s="10"/>
      <c r="AF68" s="10"/>
    </row>
    <row customHeight="1" ht="13.5" r="69" spans="1:32" thickBot="1" x14ac:dyDescent="0.25">
      <c r="A69" s="264"/>
      <c r="B69" s="2"/>
      <c r="C69" s="2"/>
      <c r="D69" s="2"/>
      <c r="E69" s="2"/>
      <c r="F69" s="2"/>
      <c r="G69" s="2"/>
      <c r="H69" s="2"/>
      <c r="I69" s="2"/>
      <c r="J69" s="2"/>
      <c r="L69" s="264"/>
      <c r="M69" s="2"/>
      <c r="N69" s="2"/>
      <c r="O69" s="2"/>
      <c r="P69" s="2"/>
      <c r="Q69" s="2"/>
      <c r="R69" s="2"/>
      <c r="S69" s="2"/>
      <c r="T69" s="2"/>
      <c r="U69" s="2"/>
      <c r="W69" s="264"/>
      <c r="X69" s="2"/>
      <c r="Y69" s="2"/>
      <c r="Z69" s="2"/>
      <c r="AA69" s="2"/>
      <c r="AB69" s="2"/>
      <c r="AC69" s="2"/>
      <c r="AD69" s="2"/>
      <c r="AE69" s="2"/>
      <c r="AF69" s="2"/>
    </row>
    <row customHeight="1" ht="13.15" r="70" spans="1:32" x14ac:dyDescent="0.2">
      <c r="A70" s="3" t="s">
        <v>45</v>
      </c>
      <c r="B70" s="4" t="s">
        <v>12</v>
      </c>
      <c r="C70" s="4" t="s">
        <v>13</v>
      </c>
      <c r="D70" s="4" t="s">
        <v>14</v>
      </c>
      <c r="E70" s="4" t="s">
        <v>15</v>
      </c>
      <c r="F70" s="4" t="s">
        <v>16</v>
      </c>
      <c r="G70" s="4" t="s">
        <v>17</v>
      </c>
      <c r="H70" s="4" t="s">
        <v>18</v>
      </c>
      <c r="I70" s="4" t="s">
        <v>19</v>
      </c>
      <c r="J70" s="4" t="s">
        <v>4</v>
      </c>
      <c r="L70" s="3" t="s">
        <v>45</v>
      </c>
      <c r="M70" s="4" t="s">
        <v>12</v>
      </c>
      <c r="N70" s="4" t="s">
        <v>13</v>
      </c>
      <c r="O70" s="4" t="s">
        <v>14</v>
      </c>
      <c r="P70" s="4" t="s">
        <v>15</v>
      </c>
      <c r="Q70" s="4" t="s">
        <v>16</v>
      </c>
      <c r="R70" s="4" t="s">
        <v>17</v>
      </c>
      <c r="S70" s="4" t="s">
        <v>18</v>
      </c>
      <c r="T70" s="4" t="s">
        <v>19</v>
      </c>
      <c r="U70" s="4" t="s">
        <v>4</v>
      </c>
      <c r="W70" s="3" t="s">
        <v>45</v>
      </c>
      <c r="X70" s="4" t="s">
        <v>12</v>
      </c>
      <c r="Y70" s="4" t="s">
        <v>13</v>
      </c>
      <c r="Z70" s="4" t="s">
        <v>14</v>
      </c>
      <c r="AA70" s="4" t="s">
        <v>15</v>
      </c>
      <c r="AB70" s="4" t="s">
        <v>16</v>
      </c>
      <c r="AC70" s="4" t="s">
        <v>17</v>
      </c>
      <c r="AD70" s="4" t="s">
        <v>18</v>
      </c>
      <c r="AE70" s="4" t="s">
        <v>19</v>
      </c>
      <c r="AF70" s="4" t="s">
        <v>4</v>
      </c>
    </row>
    <row r="71" spans="1:32" x14ac:dyDescent="0.2">
      <c r="A71" s="16">
        <v>1</v>
      </c>
      <c r="B71" s="10">
        <f>output_NHTS!B123/SUM(output_NHTS!B$123:B$125)</f>
        <v>0.97055961906494115</v>
      </c>
      <c r="C71" s="10">
        <f>output_NHTS!C123/SUM(output_NHTS!C$123:C$125)</f>
        <v>0.8726752360961918</v>
      </c>
      <c r="D71" s="10">
        <f>output_NHTS!D123/SUM(output_NHTS!D$123:D$125)</f>
        <v>0.90251857434518967</v>
      </c>
      <c r="E71" s="10">
        <f>output_NHTS!E123/SUM(output_NHTS!E$123:E$125)</f>
        <v>0.92515174498403985</v>
      </c>
      <c r="F71" s="10">
        <f>output_NHTS!F123/SUM(output_NHTS!F$123:F$125)</f>
        <v>0.8791108706826265</v>
      </c>
      <c r="G71" s="10">
        <f>output_NHTS!G123/SUM(output_NHTS!G$123:G$125)</f>
        <v>0.95786236022635884</v>
      </c>
      <c r="H71" s="10">
        <f>output_NHTS!H123/SUM(output_NHTS!H$123:H$125)</f>
        <v>0.91358363482336735</v>
      </c>
      <c r="I71" s="10">
        <f>IF(SUM(output_NHTS!I$123:I$125)&gt;0,output_NHTS!I123/SUM(output_NHTS!I$123:I$125),0)</f>
        <v>0</v>
      </c>
      <c r="J71" s="10">
        <f>output_NHTS!J123/SUM(output_NHTS!J$123:J$125)</f>
        <v>0.93218285956715352</v>
      </c>
      <c r="L71" s="16">
        <v>1</v>
      </c>
      <c r="M71" s="10">
        <f>output!B123/SUM(output!B$123:B$125)</f>
        <v>0.95567079290732682</v>
      </c>
      <c r="N71" s="10">
        <f>output!C123/SUM(output!C$123:C$125)</f>
        <v>0.93905361911935903</v>
      </c>
      <c r="O71" s="10">
        <f>output!D123/SUM(output!D$123:D$125)</f>
        <v>0.90880763116057228</v>
      </c>
      <c r="P71" s="10">
        <f>output!E123/SUM(output!E$123:E$125)</f>
        <v>0.90399010403450897</v>
      </c>
      <c r="Q71" s="10">
        <f>output!F123/SUM(output!F$123:F$125)</f>
        <v>0.90083102493074796</v>
      </c>
      <c r="R71" s="10">
        <f>output!G123/SUM(output!G$123:G$125)</f>
        <v>0.92545438581087014</v>
      </c>
      <c r="S71" s="10">
        <f>output!H123/SUM(output!H$123:H$125)</f>
        <v>0.92350945675914309</v>
      </c>
      <c r="T71" s="10">
        <f>IF(SUM(output!I$123:I$125)&gt;0,output!I123/SUM(output!I$123:I$125),0)</f>
        <v>0</v>
      </c>
      <c r="U71" s="10">
        <f>output!J123/SUM(output!J$123:J$125)</f>
        <v>0.92999105943325411</v>
      </c>
      <c r="W71" s="16">
        <v>1</v>
      </c>
      <c r="X71" s="10">
        <f ref="X71:AF74" si="18" t="shared">M71-B71</f>
        <v>-1.4888826157614332E-2</v>
      </c>
      <c r="Y71" s="10">
        <f si="18" t="shared"/>
        <v>6.6378383023167231E-2</v>
      </c>
      <c r="Z71" s="10">
        <f si="18" t="shared"/>
        <v>6.2890568153826099E-3</v>
      </c>
      <c r="AA71" s="10">
        <f si="18" t="shared"/>
        <v>-2.116164094953088E-2</v>
      </c>
      <c r="AB71" s="10">
        <f si="18" t="shared"/>
        <v>2.1720154248121459E-2</v>
      </c>
      <c r="AC71" s="10">
        <f si="18" t="shared"/>
        <v>-3.2407974415488705E-2</v>
      </c>
      <c r="AD71" s="10">
        <f si="18" t="shared"/>
        <v>9.925821935775736E-3</v>
      </c>
      <c r="AE71" s="10">
        <f si="18" t="shared"/>
        <v>0</v>
      </c>
      <c r="AF71" s="10">
        <f si="18" t="shared"/>
        <v>-2.1918001338994131E-3</v>
      </c>
    </row>
    <row r="72" spans="1:32" x14ac:dyDescent="0.2">
      <c r="A72" s="16">
        <v>2</v>
      </c>
      <c r="B72" s="10">
        <f>output_NHTS!B124/SUM(output_NHTS!B$123:B$125)</f>
        <v>2.4136546890785621E-2</v>
      </c>
      <c r="C72" s="10">
        <f>output_NHTS!C124/SUM(output_NHTS!C$123:C$125)</f>
        <v>0.12732476390380826</v>
      </c>
      <c r="D72" s="10">
        <f>output_NHTS!D124/SUM(output_NHTS!D$123:D$125)</f>
        <v>9.6622214081561575E-2</v>
      </c>
      <c r="E72" s="10">
        <f>output_NHTS!E124/SUM(output_NHTS!E$123:E$125)</f>
        <v>7.4848255015960111E-2</v>
      </c>
      <c r="F72" s="10">
        <f>output_NHTS!F124/SUM(output_NHTS!F$123:F$125)</f>
        <v>0.12088912931737346</v>
      </c>
      <c r="G72" s="10">
        <f>output_NHTS!G124/SUM(output_NHTS!G$123:G$125)</f>
        <v>4.2137639773641059E-2</v>
      </c>
      <c r="H72" s="10">
        <f>output_NHTS!H124/SUM(output_NHTS!H$123:H$125)</f>
        <v>8.0039544285600117E-2</v>
      </c>
      <c r="I72" s="10">
        <f>IF(SUM(output_NHTS!I$123:I$125)&gt;0,output_NHTS!I124/SUM(output_NHTS!I$123:I$125),0)</f>
        <v>0</v>
      </c>
      <c r="J72" s="10">
        <f>output_NHTS!J124/SUM(output_NHTS!J$123:J$125)</f>
        <v>6.4445515916070187E-2</v>
      </c>
      <c r="L72" s="16">
        <v>2</v>
      </c>
      <c r="M72" s="10">
        <f>output!B124/SUM(output!B$123:B$125)</f>
        <v>4.151332664213226E-2</v>
      </c>
      <c r="N72" s="10">
        <f>output!C124/SUM(output!C$123:C$125)</f>
        <v>5.7043073341094298E-2</v>
      </c>
      <c r="O72" s="10">
        <f>output!D124/SUM(output!D$123:D$125)</f>
        <v>8.6104928457869628E-2</v>
      </c>
      <c r="P72" s="10">
        <f>output!E124/SUM(output!E$123:E$125)</f>
        <v>9.1125348896219233E-2</v>
      </c>
      <c r="Q72" s="10">
        <f>output!F124/SUM(output!F$123:F$125)</f>
        <v>9.25207756232687E-2</v>
      </c>
      <c r="R72" s="10">
        <f>output!G124/SUM(output!G$123:G$125)</f>
        <v>7.0067609096496619E-2</v>
      </c>
      <c r="S72" s="10">
        <f>output!H124/SUM(output!H$123:H$125)</f>
        <v>7.1820251870440083E-2</v>
      </c>
      <c r="T72" s="10">
        <f>IF(SUM(output!I$123:I$125)&gt;0,output!I124/SUM(output!I$123:I$125),0)</f>
        <v>0</v>
      </c>
      <c r="U72" s="10">
        <f>output!J124/SUM(output!J$123:J$125)</f>
        <v>6.5892455022255797E-2</v>
      </c>
      <c r="W72" s="16">
        <v>2</v>
      </c>
      <c r="X72" s="10">
        <f si="18" t="shared"/>
        <v>1.737677975134664E-2</v>
      </c>
      <c r="Y72" s="10">
        <f si="18" t="shared"/>
        <v>-7.0281690562713967E-2</v>
      </c>
      <c r="Z72" s="10">
        <f si="18" t="shared"/>
        <v>-1.0517285623691947E-2</v>
      </c>
      <c r="AA72" s="10">
        <f si="18" t="shared"/>
        <v>1.6277093880259122E-2</v>
      </c>
      <c r="AB72" s="10">
        <f si="18" t="shared"/>
        <v>-2.8368353694104759E-2</v>
      </c>
      <c r="AC72" s="10">
        <f si="18" t="shared"/>
        <v>2.7929969322855561E-2</v>
      </c>
      <c r="AD72" s="10">
        <f si="18" t="shared"/>
        <v>-8.2192924151600344E-3</v>
      </c>
      <c r="AE72" s="10">
        <f si="18" t="shared"/>
        <v>0</v>
      </c>
      <c r="AF72" s="10">
        <f si="18" t="shared"/>
        <v>1.4469391061856102E-3</v>
      </c>
    </row>
    <row r="73" spans="1:32" x14ac:dyDescent="0.2">
      <c r="A73" s="19" t="s">
        <v>94</v>
      </c>
      <c r="B73" s="10">
        <f>output_NHTS!B125/SUM(output_NHTS!B$123:B$125)</f>
        <v>5.3038340442734394E-3</v>
      </c>
      <c r="C73" s="10">
        <f>output_NHTS!C125/SUM(output_NHTS!C$123:C$125)</f>
        <v>0</v>
      </c>
      <c r="D73" s="10">
        <f>output_NHTS!D125/SUM(output_NHTS!D$123:D$125)</f>
        <v>8.5921157324890258E-4</v>
      </c>
      <c r="E73" s="10">
        <f>output_NHTS!E125/SUM(output_NHTS!E$123:E$125)</f>
        <v>0</v>
      </c>
      <c r="F73" s="10">
        <f>output_NHTS!F125/SUM(output_NHTS!F$123:F$125)</f>
        <v>0</v>
      </c>
      <c r="G73" s="10">
        <f>output_NHTS!G125/SUM(output_NHTS!G$123:G$125)</f>
        <v>0</v>
      </c>
      <c r="H73" s="10">
        <f>output_NHTS!H125/SUM(output_NHTS!H$123:H$125)</f>
        <v>6.3768208910325299E-3</v>
      </c>
      <c r="I73" s="10">
        <f>IF(SUM(output_NHTS!I$123:I$125)&gt;0,output_NHTS!I125/SUM(output_NHTS!I$123:I$125),0)</f>
        <v>0</v>
      </c>
      <c r="J73" s="10">
        <f>output_NHTS!J125/SUM(output_NHTS!J$123:J$125)</f>
        <v>3.3716245167762986E-3</v>
      </c>
      <c r="L73" s="19" t="s">
        <v>94</v>
      </c>
      <c r="M73" s="11">
        <f>output!B125/SUM(output!B$123:B$125)</f>
        <v>2.8158804505408722E-3</v>
      </c>
      <c r="N73" s="11">
        <f>output!C125/SUM(output!C$123:C$125)</f>
        <v>3.9033075395466686E-3</v>
      </c>
      <c r="O73" s="11">
        <f>output!D125/SUM(output!D$123:D$125)</f>
        <v>5.0874403815580286E-3</v>
      </c>
      <c r="P73" s="11">
        <f>output!E125/SUM(output!E$123:E$125)</f>
        <v>4.8845470692717588E-3</v>
      </c>
      <c r="Q73" s="11">
        <f>output!F125/SUM(output!F$123:F$125)</f>
        <v>6.6481994459833792E-3</v>
      </c>
      <c r="R73" s="11">
        <f>output!G125/SUM(output!G$123:G$125)</f>
        <v>4.4780050926332424E-3</v>
      </c>
      <c r="S73" s="11">
        <f>output!H125/SUM(output!H$123:H$125)</f>
        <v>4.6702913704168413E-3</v>
      </c>
      <c r="T73" s="11">
        <f>IF(SUM(output!I$123:I$125)&gt;0,output!I125/SUM(output!I$123:I$125),0)</f>
        <v>0</v>
      </c>
      <c r="U73" s="11">
        <f>output!J125/SUM(output!J$123:J$125)</f>
        <v>4.1164855444900767E-3</v>
      </c>
      <c r="W73" s="19" t="s">
        <v>94</v>
      </c>
      <c r="X73" s="10">
        <f si="18" t="shared"/>
        <v>-2.4879535937325672E-3</v>
      </c>
      <c r="Y73" s="10">
        <f si="18" t="shared"/>
        <v>3.9033075395466686E-3</v>
      </c>
      <c r="Z73" s="10">
        <f si="18" t="shared"/>
        <v>4.2282288083091259E-3</v>
      </c>
      <c r="AA73" s="10">
        <f si="18" t="shared"/>
        <v>4.8845470692717588E-3</v>
      </c>
      <c r="AB73" s="10">
        <f si="18" t="shared"/>
        <v>6.6481994459833792E-3</v>
      </c>
      <c r="AC73" s="10">
        <f si="18" t="shared"/>
        <v>4.4780050926332424E-3</v>
      </c>
      <c r="AD73" s="10">
        <f si="18" t="shared"/>
        <v>-1.7065295206156886E-3</v>
      </c>
      <c r="AE73" s="10">
        <f si="18" t="shared"/>
        <v>0</v>
      </c>
      <c r="AF73" s="10">
        <f si="18" t="shared"/>
        <v>7.4486102771377819E-4</v>
      </c>
    </row>
    <row customHeight="1" ht="13.15" r="74" spans="1:32" thickBot="1" x14ac:dyDescent="0.25">
      <c r="A74" s="17" t="s">
        <v>4</v>
      </c>
      <c r="B74" s="12">
        <f ref="B74:J74" si="19" t="shared">SUM(B71:B73)</f>
        <v>1.0000000000000002</v>
      </c>
      <c r="C74" s="12">
        <f si="19" t="shared"/>
        <v>1</v>
      </c>
      <c r="D74" s="12">
        <f si="19" t="shared"/>
        <v>1.0000000000000002</v>
      </c>
      <c r="E74" s="12">
        <f si="19" t="shared"/>
        <v>1</v>
      </c>
      <c r="F74" s="12">
        <f si="19" t="shared"/>
        <v>1</v>
      </c>
      <c r="G74" s="12">
        <f si="19" t="shared"/>
        <v>0.99999999999999989</v>
      </c>
      <c r="H74" s="12">
        <f si="19" t="shared"/>
        <v>1</v>
      </c>
      <c r="I74" s="12">
        <f si="19" t="shared"/>
        <v>0</v>
      </c>
      <c r="J74" s="12">
        <f si="19" t="shared"/>
        <v>1</v>
      </c>
      <c r="L74" s="17" t="s">
        <v>4</v>
      </c>
      <c r="M74" s="12">
        <f ref="M74:U74" si="20" t="shared">SUM(M71:M73)</f>
        <v>0.99999999999999989</v>
      </c>
      <c r="N74" s="12">
        <f si="20" t="shared"/>
        <v>1</v>
      </c>
      <c r="O74" s="12">
        <f si="20" t="shared"/>
        <v>1</v>
      </c>
      <c r="P74" s="12">
        <f si="20" t="shared"/>
        <v>1</v>
      </c>
      <c r="Q74" s="12">
        <f si="20" t="shared"/>
        <v>1</v>
      </c>
      <c r="R74" s="12">
        <f si="20" t="shared"/>
        <v>1</v>
      </c>
      <c r="S74" s="12">
        <f si="20" t="shared"/>
        <v>1</v>
      </c>
      <c r="T74" s="12">
        <f si="20" t="shared"/>
        <v>0</v>
      </c>
      <c r="U74" s="12">
        <f si="20" t="shared"/>
        <v>1</v>
      </c>
      <c r="W74" s="17" t="s">
        <v>4</v>
      </c>
      <c r="X74" s="12">
        <f si="18" t="shared"/>
        <v>0</v>
      </c>
      <c r="Y74" s="12">
        <f si="18" t="shared"/>
        <v>0</v>
      </c>
      <c r="Z74" s="12">
        <f si="18" t="shared"/>
        <v>0</v>
      </c>
      <c r="AA74" s="12">
        <f si="18" t="shared"/>
        <v>0</v>
      </c>
      <c r="AB74" s="12">
        <f si="18" t="shared"/>
        <v>0</v>
      </c>
      <c r="AC74" s="12">
        <f si="18" t="shared"/>
        <v>0</v>
      </c>
      <c r="AD74" s="12">
        <f si="18" t="shared"/>
        <v>0</v>
      </c>
      <c r="AE74" s="12">
        <f si="18" t="shared"/>
        <v>0</v>
      </c>
      <c r="AF74" s="12">
        <f si="18" t="shared"/>
        <v>0</v>
      </c>
    </row>
  </sheetData>
  <conditionalFormatting sqref="X5:AF8 X16:AF19 X27:AF30 X38:AF41 X49:AF52 X60:AF63 X71:AF74">
    <cfRule dxfId="39" operator="notBetween" priority="1" stopIfTrue="1" type="cellIs">
      <formula>-0.15</formula>
      <formula>0.15</formula>
    </cfRule>
    <cfRule dxfId="38" operator="notBetween" priority="2" stopIfTrue="1" type="cellIs">
      <formula>-0.1</formula>
      <formula>0.1</formula>
    </cfRule>
    <cfRule dxfId="3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workbookViewId="0">
      <selection activeCell="K64" sqref="K64"/>
    </sheetView>
  </sheetViews>
  <sheetFormatPr defaultColWidth="10.75" defaultRowHeight="12.75" x14ac:dyDescent="0.2"/>
  <cols>
    <col min="1" max="7" customWidth="true" style="265" width="10.75" collapsed="true"/>
    <col min="8" max="16384" style="265" width="10.75" collapsed="true"/>
  </cols>
  <sheetData>
    <row customHeight="1" ht="13.15" r="1" spans="1:32" x14ac:dyDescent="0.2">
      <c r="A1" s="264" t="s">
        <v>41</v>
      </c>
      <c r="L1" s="264" t="s">
        <v>41</v>
      </c>
      <c r="W1" s="264" t="s">
        <v>41</v>
      </c>
    </row>
    <row customHeight="1" ht="13.15" r="2" spans="1:32" x14ac:dyDescent="0.2">
      <c r="A2" s="264" t="s">
        <v>113</v>
      </c>
      <c r="L2" s="264" t="s">
        <v>114</v>
      </c>
      <c r="W2" s="264" t="s">
        <v>115</v>
      </c>
    </row>
    <row customHeight="1" ht="13.5" r="3" spans="1:32" thickBot="1" x14ac:dyDescent="0.25">
      <c r="A3" s="264"/>
      <c r="B3" s="2"/>
      <c r="C3" s="2"/>
      <c r="D3" s="2"/>
      <c r="E3" s="2"/>
      <c r="F3" s="2"/>
      <c r="G3" s="2"/>
      <c r="H3" s="2"/>
      <c r="I3" s="2"/>
      <c r="J3" s="2"/>
      <c r="L3" s="264"/>
      <c r="M3" s="2"/>
      <c r="N3" s="2"/>
      <c r="O3" s="2"/>
      <c r="P3" s="2"/>
      <c r="Q3" s="2"/>
      <c r="R3" s="2"/>
      <c r="S3" s="2"/>
      <c r="T3" s="2"/>
      <c r="U3" s="2"/>
      <c r="W3" s="264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2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2">
      <c r="A5" s="16">
        <v>0</v>
      </c>
      <c r="B5" s="10">
        <f>output_NHTS!B80/SUM(output_NHTS!B$80:B$83)</f>
        <v>0.19956617179348032</v>
      </c>
      <c r="C5" s="10">
        <f>output_NHTS!C80/SUM(output_NHTS!C$80:C$83)</f>
        <v>0.48297139495777419</v>
      </c>
      <c r="D5" s="10">
        <f>output_NHTS!D80/SUM(output_NHTS!D$80:D$83)</f>
        <v>0.98272611859760006</v>
      </c>
      <c r="E5" s="10">
        <f>output_NHTS!E80/SUM(output_NHTS!E$80:E$83)</f>
        <v>0.94244940501505037</v>
      </c>
      <c r="F5" s="10">
        <f>output_NHTS!F80/SUM(output_NHTS!F$80:F$83)</f>
        <v>0.80530218011627253</v>
      </c>
      <c r="G5" s="10">
        <f>output_NHTS!G80/SUM(output_NHTS!G$80:G$83)</f>
        <v>0.95895808492765877</v>
      </c>
      <c r="H5" s="10">
        <f>output_NHTS!H80/SUM(output_NHTS!H$80:H$83)</f>
        <v>0.99800162662724179</v>
      </c>
      <c r="I5" s="10" t="e">
        <f>output_NHTS!I80/SUM(output_NHTS!I$80:I$83)</f>
        <v>#DIV/0!</v>
      </c>
      <c r="J5" s="10">
        <f>output_NHTS!J80/SUM(output_NHTS!J$80:J$83)</f>
        <v>0.56464206563451247</v>
      </c>
      <c r="L5" s="16">
        <v>0</v>
      </c>
      <c r="M5" s="10">
        <f>output!B80/SUM(output!B$80:B$83)</f>
        <v>0.32534638474674743</v>
      </c>
      <c r="N5" s="10">
        <f>output!C80/SUM(output!C$80:C$83)</f>
        <v>0.53886306098964332</v>
      </c>
      <c r="O5" s="10">
        <f>output!D80/SUM(output!D$80:D$83)</f>
        <v>1</v>
      </c>
      <c r="P5" s="10">
        <f>output!E80/SUM(output!E$80:E$83)</f>
        <v>1</v>
      </c>
      <c r="Q5" s="10">
        <f>output!F80/SUM(output!F$80:F$83)</f>
        <v>0.8187767858524283</v>
      </c>
      <c r="R5" s="10">
        <f>output!G80/SUM(output!G$80:G$83)</f>
        <v>0.96084825772044247</v>
      </c>
      <c r="S5" s="23">
        <f>output!H80/SUM(output!H$80:H$83)</f>
        <v>1</v>
      </c>
      <c r="T5" s="23" t="e">
        <f>output!I80/SUM(output!I$80:I$83)</f>
        <v>#DIV/0!</v>
      </c>
      <c r="U5" s="10">
        <f>output!J80/SUM(output!J$80:J$83)</f>
        <v>0.63832838585884777</v>
      </c>
      <c r="W5" s="16">
        <v>0</v>
      </c>
      <c r="X5" s="10">
        <f ref="X5:AF9" si="0" t="shared">M5-B5</f>
        <v>0.12578021295326711</v>
      </c>
      <c r="Y5" s="10">
        <f si="0" t="shared"/>
        <v>5.5891666031869125E-2</v>
      </c>
      <c r="Z5" s="10">
        <f si="0" t="shared"/>
        <v>1.7273881402399938E-2</v>
      </c>
      <c r="AA5" s="10">
        <f si="0" t="shared"/>
        <v>5.7550594984949632E-2</v>
      </c>
      <c r="AB5" s="10">
        <f si="0" t="shared"/>
        <v>1.3474605736155776E-2</v>
      </c>
      <c r="AC5" s="10">
        <f si="0" t="shared"/>
        <v>1.8901727927836953E-3</v>
      </c>
      <c r="AD5" s="10">
        <f si="0" t="shared"/>
        <v>1.9983733727582109E-3</v>
      </c>
      <c r="AE5" s="10" t="e">
        <f si="0" t="shared"/>
        <v>#DIV/0!</v>
      </c>
      <c r="AF5" s="10">
        <f si="0" t="shared"/>
        <v>7.36863202243353E-2</v>
      </c>
    </row>
    <row r="6" spans="1:32" x14ac:dyDescent="0.2">
      <c r="A6" s="16">
        <v>1</v>
      </c>
      <c r="B6" s="10">
        <f>output_NHTS!B81/SUM(output_NHTS!B$80:B$83)</f>
        <v>0.76669598050330823</v>
      </c>
      <c r="C6" s="10">
        <f>output_NHTS!C81/SUM(output_NHTS!C$80:C$83)</f>
        <v>0.47517504620768813</v>
      </c>
      <c r="D6" s="10">
        <f>output_NHTS!D81/SUM(output_NHTS!D$80:D$83)</f>
        <v>1.5856149672948582E-2</v>
      </c>
      <c r="E6" s="10">
        <f>output_NHTS!E81/SUM(output_NHTS!E$80:E$83)</f>
        <v>5.4681560442005207E-2</v>
      </c>
      <c r="F6" s="10">
        <f>output_NHTS!F81/SUM(output_NHTS!F$80:F$83)</f>
        <v>0.19188942002095649</v>
      </c>
      <c r="G6" s="10">
        <f>output_NHTS!G81/SUM(output_NHTS!G$80:G$83)</f>
        <v>4.1041915072341215E-2</v>
      </c>
      <c r="H6" s="10">
        <f>output_NHTS!H81/SUM(output_NHTS!H$80:H$83)</f>
        <v>1.9983733727582712E-3</v>
      </c>
      <c r="I6" s="10" t="e">
        <f>output_NHTS!I81/SUM(output_NHTS!I$80:I$83)</f>
        <v>#DIV/0!</v>
      </c>
      <c r="J6" s="10">
        <f>output_NHTS!J81/SUM(output_NHTS!J$80:J$83)</f>
        <v>0.4159036451323132</v>
      </c>
      <c r="L6" s="16">
        <v>1</v>
      </c>
      <c r="M6" s="10">
        <f>output!B81/SUM(output!B$80:B$83)</f>
        <v>0.63977394764176687</v>
      </c>
      <c r="N6" s="10">
        <f>output!C81/SUM(output!C$80:C$83)</f>
        <v>0.43100575373993094</v>
      </c>
      <c r="O6" s="10">
        <f>output!D81/SUM(output!D$80:D$83)</f>
        <v>0</v>
      </c>
      <c r="P6" s="10">
        <f>output!E81/SUM(output!E$80:E$83)</f>
        <v>0</v>
      </c>
      <c r="Q6" s="10">
        <f>output!F81/SUM(output!F$80:F$83)</f>
        <v>0.17311590054616063</v>
      </c>
      <c r="R6" s="10">
        <f>output!G81/SUM(output!G$80:G$83)</f>
        <v>3.6196893805628627E-2</v>
      </c>
      <c r="S6" s="23">
        <f>output!H81/SUM(output!H$80:H$83)</f>
        <v>0</v>
      </c>
      <c r="T6" s="23" t="e">
        <f>output!I81/SUM(output!I$80:I$83)</f>
        <v>#DIV/0!</v>
      </c>
      <c r="U6" s="10">
        <f>output!J81/SUM(output!J$80:J$83)</f>
        <v>0.34260321896297236</v>
      </c>
      <c r="W6" s="16">
        <v>1</v>
      </c>
      <c r="X6" s="10">
        <f si="0" t="shared"/>
        <v>-0.12692203286154136</v>
      </c>
      <c r="Y6" s="10">
        <f si="0" t="shared"/>
        <v>-4.4169292467757193E-2</v>
      </c>
      <c r="Z6" s="10">
        <f si="0" t="shared"/>
        <v>-1.5856149672948582E-2</v>
      </c>
      <c r="AA6" s="10">
        <f si="0" t="shared"/>
        <v>-5.4681560442005207E-2</v>
      </c>
      <c r="AB6" s="10">
        <f si="0" t="shared"/>
        <v>-1.8773519474795858E-2</v>
      </c>
      <c r="AC6" s="10">
        <f si="0" t="shared"/>
        <v>-4.8450212667125875E-3</v>
      </c>
      <c r="AD6" s="10">
        <f si="0" t="shared"/>
        <v>-1.9983733727582712E-3</v>
      </c>
      <c r="AE6" s="10" t="e">
        <f si="0" t="shared"/>
        <v>#DIV/0!</v>
      </c>
      <c r="AF6" s="10">
        <f si="0" t="shared"/>
        <v>-7.3300426169340849E-2</v>
      </c>
    </row>
    <row r="7" spans="1:32" x14ac:dyDescent="0.2">
      <c r="A7" s="16">
        <v>2</v>
      </c>
      <c r="B7" s="10">
        <f>output_NHTS!B82/SUM(output_NHTS!B$80:B$83)</f>
        <v>3.1848825989118319E-2</v>
      </c>
      <c r="C7" s="10">
        <f>output_NHTS!C82/SUM(output_NHTS!C$80:C$83)</f>
        <v>3.9241213978478427E-2</v>
      </c>
      <c r="D7" s="10">
        <f>output_NHTS!D82/SUM(output_NHTS!D$80:D$83)</f>
        <v>1.4177317294514142E-3</v>
      </c>
      <c r="E7" s="10">
        <f>output_NHTS!E82/SUM(output_NHTS!E$80:E$83)</f>
        <v>2.8690345429443513E-3</v>
      </c>
      <c r="F7" s="10">
        <f>output_NHTS!F82/SUM(output_NHTS!F$80:F$83)</f>
        <v>2.808399862771004E-3</v>
      </c>
      <c r="G7" s="10">
        <f>output_NHTS!G82/SUM(output_NHTS!G$80:G$83)</f>
        <v>0</v>
      </c>
      <c r="H7" s="10">
        <f>output_NHTS!H82/SUM(output_NHTS!H$80:H$83)</f>
        <v>0</v>
      </c>
      <c r="I7" s="10" t="e">
        <f>output_NHTS!I82/SUM(output_NHTS!I$80:I$83)</f>
        <v>#DIV/0!</v>
      </c>
      <c r="J7" s="10">
        <f>output_NHTS!J82/SUM(output_NHTS!J$80:J$83)</f>
        <v>1.8382373093731766E-2</v>
      </c>
      <c r="L7" s="16">
        <v>2</v>
      </c>
      <c r="M7" s="10">
        <f>output!B82/SUM(output!B$80:B$83)</f>
        <v>3.2889092328186709E-2</v>
      </c>
      <c r="N7" s="10">
        <f>output!C82/SUM(output!C$80:C$83)</f>
        <v>2.8538550057537398E-2</v>
      </c>
      <c r="O7" s="10">
        <f>output!D82/SUM(output!D$80:D$83)</f>
        <v>0</v>
      </c>
      <c r="P7" s="10">
        <f>output!E82/SUM(output!E$80:E$83)</f>
        <v>0</v>
      </c>
      <c r="Q7" s="10">
        <f>output!F82/SUM(output!F$80:F$83)</f>
        <v>7.6895703433230702E-3</v>
      </c>
      <c r="R7" s="10">
        <f>output!G82/SUM(output!G$80:G$83)</f>
        <v>2.8287268927245867E-3</v>
      </c>
      <c r="S7" s="23">
        <f>output!H82/SUM(output!H$80:H$83)</f>
        <v>0</v>
      </c>
      <c r="T7" s="23" t="e">
        <f>output!I82/SUM(output!I$80:I$83)</f>
        <v>#DIV/0!</v>
      </c>
      <c r="U7" s="10">
        <f>output!J82/SUM(output!J$80:J$83)</f>
        <v>1.7990953566965857E-2</v>
      </c>
      <c r="W7" s="16">
        <v>2</v>
      </c>
      <c r="X7" s="10">
        <f si="0" t="shared"/>
        <v>1.0402663390683894E-3</v>
      </c>
      <c r="Y7" s="10">
        <f si="0" t="shared"/>
        <v>-1.0702663920941029E-2</v>
      </c>
      <c r="Z7" s="10">
        <f si="0" t="shared"/>
        <v>-1.4177317294514142E-3</v>
      </c>
      <c r="AA7" s="10">
        <f si="0" t="shared"/>
        <v>-2.8690345429443513E-3</v>
      </c>
      <c r="AB7" s="10">
        <f si="0" t="shared"/>
        <v>4.8811704805520658E-3</v>
      </c>
      <c r="AC7" s="10">
        <f si="0" t="shared"/>
        <v>2.8287268927245867E-3</v>
      </c>
      <c r="AD7" s="10">
        <f si="0" t="shared"/>
        <v>0</v>
      </c>
      <c r="AE7" s="10" t="e">
        <f si="0" t="shared"/>
        <v>#DIV/0!</v>
      </c>
      <c r="AF7" s="10">
        <f si="0" t="shared"/>
        <v>-3.9141952676590916E-4</v>
      </c>
    </row>
    <row r="8" spans="1:32" x14ac:dyDescent="0.2">
      <c r="A8" s="19" t="s">
        <v>94</v>
      </c>
      <c r="B8" s="10">
        <f>output_NHTS!B83/SUM(output_NHTS!B$80:B$83)</f>
        <v>1.8890217140930467E-3</v>
      </c>
      <c r="C8" s="10">
        <f>output_NHTS!C83/SUM(output_NHTS!C$80:C$83)</f>
        <v>2.6123448560592365E-3</v>
      </c>
      <c r="D8" s="10">
        <f>output_NHTS!D83/SUM(output_NHTS!D$80:D$83)</f>
        <v>0</v>
      </c>
      <c r="E8" s="10">
        <f>output_NHTS!E83/SUM(output_NHTS!E$80:E$83)</f>
        <v>0</v>
      </c>
      <c r="F8" s="10">
        <f>output_NHTS!F83/SUM(output_NHTS!F$80:F$83)</f>
        <v>0</v>
      </c>
      <c r="G8" s="10">
        <f>output_NHTS!G83/SUM(output_NHTS!G$80:G$83)</f>
        <v>0</v>
      </c>
      <c r="H8" s="10">
        <f>output_NHTS!H83/SUM(output_NHTS!H$80:H$83)</f>
        <v>0</v>
      </c>
      <c r="I8" s="10" t="e">
        <f>output_NHTS!I83/SUM(output_NHTS!I$80:I$83)</f>
        <v>#DIV/0!</v>
      </c>
      <c r="J8" s="10">
        <f>output_NHTS!J83/SUM(output_NHTS!J$80:J$83)</f>
        <v>1.0719161394425844E-3</v>
      </c>
      <c r="L8" s="19" t="s">
        <v>94</v>
      </c>
      <c r="M8" s="11">
        <f>output!B83/SUM(output!B$80:B$83)</f>
        <v>1.9905752832990028E-3</v>
      </c>
      <c r="N8" s="11">
        <f>output!C83/SUM(output!C$80:C$83)</f>
        <v>1.5926352128883775E-3</v>
      </c>
      <c r="O8" s="11">
        <f>output!D83/SUM(output!D$80:D$83)</f>
        <v>0</v>
      </c>
      <c r="P8" s="11">
        <f>output!E83/SUM(output!E$80:E$83)</f>
        <v>0</v>
      </c>
      <c r="Q8" s="11">
        <f>output!F83/SUM(output!F$80:F$83)</f>
        <v>4.1774325808797362E-4</v>
      </c>
      <c r="R8" s="11">
        <f>output!G83/SUM(output!G$80:G$83)</f>
        <v>1.2612158120428092E-4</v>
      </c>
      <c r="S8" s="25">
        <f>output!H83/SUM(output!H$80:H$83)</f>
        <v>0</v>
      </c>
      <c r="T8" s="25" t="e">
        <f>output!I83/SUM(output!I$80:I$83)</f>
        <v>#DIV/0!</v>
      </c>
      <c r="U8" s="11">
        <f>output!J83/SUM(output!J$80:J$83)</f>
        <v>1.0774416112139986E-3</v>
      </c>
      <c r="W8" s="19" t="s">
        <v>94</v>
      </c>
      <c r="X8" s="10">
        <f si="0" t="shared"/>
        <v>1.0155356920595613E-4</v>
      </c>
      <c r="Y8" s="10">
        <f si="0" t="shared"/>
        <v>-1.019709643170859E-3</v>
      </c>
      <c r="Z8" s="10">
        <f si="0" t="shared"/>
        <v>0</v>
      </c>
      <c r="AA8" s="10">
        <f si="0" t="shared"/>
        <v>0</v>
      </c>
      <c r="AB8" s="10">
        <f si="0" t="shared"/>
        <v>4.1774325808797362E-4</v>
      </c>
      <c r="AC8" s="10">
        <f si="0" t="shared"/>
        <v>1.2612158120428092E-4</v>
      </c>
      <c r="AD8" s="10">
        <f si="0" t="shared"/>
        <v>0</v>
      </c>
      <c r="AE8" s="10" t="e">
        <f si="0" t="shared"/>
        <v>#DIV/0!</v>
      </c>
      <c r="AF8" s="10">
        <f si="0" t="shared"/>
        <v>5.5254717714141831E-6</v>
      </c>
    </row>
    <row customHeight="1" ht="13.15" r="9" spans="1:32" thickBot="1" x14ac:dyDescent="0.25">
      <c r="A9" s="17" t="s">
        <v>4</v>
      </c>
      <c r="B9" s="12">
        <f ref="B9:J9" si="1" t="shared">SUM(B5:B8)</f>
        <v>0.99999999999999989</v>
      </c>
      <c r="C9" s="12">
        <f si="1" t="shared"/>
        <v>1</v>
      </c>
      <c r="D9" s="12">
        <f si="1" t="shared"/>
        <v>1</v>
      </c>
      <c r="E9" s="12">
        <f si="1" t="shared"/>
        <v>1</v>
      </c>
      <c r="F9" s="12">
        <f si="1" t="shared"/>
        <v>1</v>
      </c>
      <c r="G9" s="12">
        <f si="1" t="shared"/>
        <v>1</v>
      </c>
      <c r="H9" s="12">
        <f si="1" t="shared"/>
        <v>1</v>
      </c>
      <c r="I9" s="12" t="e">
        <f si="1" t="shared"/>
        <v>#DIV/0!</v>
      </c>
      <c r="J9" s="12">
        <f si="1" t="shared"/>
        <v>1</v>
      </c>
      <c r="L9" s="17" t="s">
        <v>4</v>
      </c>
      <c r="M9" s="12">
        <f ref="M9:U9" si="2" t="shared">SUM(M5:M8)</f>
        <v>1</v>
      </c>
      <c r="N9" s="12">
        <f si="2" t="shared"/>
        <v>0.99999999999999989</v>
      </c>
      <c r="O9" s="12">
        <f si="2" t="shared"/>
        <v>1</v>
      </c>
      <c r="P9" s="12">
        <f si="2" t="shared"/>
        <v>1</v>
      </c>
      <c r="Q9" s="12">
        <f si="2" t="shared"/>
        <v>1</v>
      </c>
      <c r="R9" s="12">
        <f si="2" t="shared"/>
        <v>1</v>
      </c>
      <c r="S9" s="12">
        <f si="2" t="shared"/>
        <v>1</v>
      </c>
      <c r="T9" s="12" t="e">
        <f si="2" t="shared"/>
        <v>#DIV/0!</v>
      </c>
      <c r="U9" s="12">
        <f si="2" t="shared"/>
        <v>1</v>
      </c>
      <c r="W9" s="17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 t="e">
        <f si="0" t="shared"/>
        <v>#DIV/0!</v>
      </c>
      <c r="AF9" s="12">
        <f si="0" t="shared"/>
        <v>0</v>
      </c>
    </row>
    <row r="10" spans="1:32" x14ac:dyDescent="0.2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2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2">
      <c r="B12" s="10"/>
      <c r="C12" s="10"/>
      <c r="D12" s="10"/>
      <c r="E12" s="10"/>
      <c r="F12" s="10"/>
      <c r="G12" s="10"/>
      <c r="H12" s="10"/>
      <c r="I12" s="10"/>
      <c r="J12" s="10"/>
      <c r="M12" s="10"/>
      <c r="N12" s="10"/>
      <c r="O12" s="10"/>
      <c r="P12" s="10"/>
      <c r="Q12" s="10"/>
      <c r="R12" s="10"/>
      <c r="S12" s="10"/>
      <c r="T12" s="10"/>
      <c r="U12" s="10"/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2">
      <c r="A13" s="264" t="s">
        <v>41</v>
      </c>
      <c r="B13" s="10"/>
      <c r="C13" s="10"/>
      <c r="D13" s="10"/>
      <c r="E13" s="10"/>
      <c r="F13" s="10"/>
      <c r="G13" s="10"/>
      <c r="H13" s="10"/>
      <c r="I13" s="10"/>
      <c r="J13" s="10"/>
      <c r="L13" s="264" t="s">
        <v>41</v>
      </c>
      <c r="M13" s="10"/>
      <c r="N13" s="10"/>
      <c r="O13" s="10"/>
      <c r="P13" s="10"/>
      <c r="Q13" s="10"/>
      <c r="R13" s="10"/>
      <c r="S13" s="10"/>
      <c r="T13" s="10"/>
      <c r="U13" s="10"/>
      <c r="W13" s="264" t="s">
        <v>41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15" r="14" spans="1:32" x14ac:dyDescent="0.2">
      <c r="A14" s="264" t="s">
        <v>116</v>
      </c>
      <c r="B14" s="10"/>
      <c r="C14" s="10"/>
      <c r="D14" s="10"/>
      <c r="E14" s="10"/>
      <c r="F14" s="10"/>
      <c r="G14" s="10"/>
      <c r="H14" s="10"/>
      <c r="I14" s="10"/>
      <c r="J14" s="10"/>
      <c r="L14" s="264" t="s">
        <v>117</v>
      </c>
      <c r="M14" s="10"/>
      <c r="N14" s="10"/>
      <c r="O14" s="10"/>
      <c r="P14" s="10"/>
      <c r="Q14" s="10"/>
      <c r="R14" s="10"/>
      <c r="S14" s="10"/>
      <c r="T14" s="10"/>
      <c r="U14" s="10"/>
      <c r="W14" s="264" t="s">
        <v>118</v>
      </c>
      <c r="X14" s="10"/>
      <c r="Y14" s="10"/>
      <c r="Z14" s="10"/>
      <c r="AA14" s="10"/>
      <c r="AB14" s="10"/>
      <c r="AC14" s="10"/>
      <c r="AD14" s="10"/>
      <c r="AE14" s="10"/>
      <c r="AF14" s="10"/>
    </row>
    <row customHeight="1" ht="13.5" r="15" spans="1:32" thickBot="1" x14ac:dyDescent="0.25">
      <c r="A15" s="264"/>
      <c r="B15" s="2"/>
      <c r="C15" s="2"/>
      <c r="D15" s="2"/>
      <c r="E15" s="2"/>
      <c r="F15" s="2"/>
      <c r="G15" s="2"/>
      <c r="H15" s="2"/>
      <c r="I15" s="2"/>
      <c r="J15" s="2"/>
      <c r="L15" s="264"/>
      <c r="M15" s="2"/>
      <c r="N15" s="2"/>
      <c r="O15" s="2"/>
      <c r="P15" s="2"/>
      <c r="Q15" s="2"/>
      <c r="R15" s="2"/>
      <c r="S15" s="2"/>
      <c r="T15" s="2"/>
      <c r="U15" s="2"/>
      <c r="W15" s="264"/>
      <c r="X15" s="2"/>
      <c r="Y15" s="2"/>
      <c r="Z15" s="2"/>
      <c r="AA15" s="2"/>
      <c r="AB15" s="2"/>
      <c r="AC15" s="2"/>
      <c r="AD15" s="2"/>
      <c r="AE15" s="2"/>
      <c r="AF15" s="2"/>
    </row>
    <row customHeight="1" ht="13.15" r="16" spans="1:32" x14ac:dyDescent="0.2">
      <c r="A16" s="3" t="s">
        <v>45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45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45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2">
      <c r="A17" s="16">
        <v>0</v>
      </c>
      <c r="B17" s="10">
        <f>output_NHTS!B87/SUM(output_NHTS!B$87:B$90)</f>
        <v>0.99081897442923805</v>
      </c>
      <c r="C17" s="10">
        <f>output_NHTS!C87/SUM(output_NHTS!C$87:C$90)</f>
        <v>0.98843632994109687</v>
      </c>
      <c r="D17" s="10">
        <f>output_NHTS!D87/SUM(output_NHTS!D$87:D$90)</f>
        <v>0.99819111605223221</v>
      </c>
      <c r="E17" s="10">
        <f>output_NHTS!E87/SUM(output_NHTS!E$87:E$90)</f>
        <v>0.98838959310554986</v>
      </c>
      <c r="F17" s="10">
        <f>output_NHTS!F87/SUM(output_NHTS!F$87:F$90)</f>
        <v>0.76737756217777897</v>
      </c>
      <c r="G17" s="10">
        <f>output_NHTS!G87/SUM(output_NHTS!G$87:G$90)</f>
        <v>0.30522836319866992</v>
      </c>
      <c r="H17" s="10">
        <f>output_NHTS!H87/SUM(output_NHTS!H$87:H$90)</f>
        <v>0.25872643837032522</v>
      </c>
      <c r="I17" s="10" t="e">
        <f>output_NHTS!I87/SUM(output_NHTS!I$87:I$90)</f>
        <v>#DIV/0!</v>
      </c>
      <c r="J17" s="10">
        <f>output_NHTS!J87/SUM(output_NHTS!J$87:J$90)</f>
        <v>0.850851003904048</v>
      </c>
      <c r="L17" s="16">
        <v>0</v>
      </c>
      <c r="M17" s="10">
        <f>output!B87/SUM(output!B$87:B$90)</f>
        <v>0.98993210213435212</v>
      </c>
      <c r="N17" s="10">
        <f>output!C87/SUM(output!C$87:C$90)</f>
        <v>1</v>
      </c>
      <c r="O17" s="10">
        <f>output!D87/SUM(output!D$87:D$90)</f>
        <v>1</v>
      </c>
      <c r="P17" s="10">
        <f>output!E87/SUM(output!E$87:E$90)</f>
        <v>1</v>
      </c>
      <c r="Q17" s="10">
        <f>output!F87/SUM(output!F$87:F$90)</f>
        <v>0.81051475252579952</v>
      </c>
      <c r="R17" s="10">
        <f>output!G87/SUM(output!G$87:G$90)</f>
        <v>0.43229072826204462</v>
      </c>
      <c r="S17" s="23">
        <f>output!H87/SUM(output!H$87:H$90)</f>
        <v>0.36782956038649151</v>
      </c>
      <c r="T17" s="23" t="e">
        <f>output!I87/SUM(output!I$87:I$90)</f>
        <v>#DIV/0!</v>
      </c>
      <c r="U17" s="10">
        <f>output!J87/SUM(output!J$87:J$90)</f>
        <v>0.87476085948474169</v>
      </c>
      <c r="W17" s="16">
        <v>0</v>
      </c>
      <c r="X17" s="10">
        <f ref="X17:AF21" si="3" t="shared">M17-B17</f>
        <v>-8.86872294885932E-4</v>
      </c>
      <c r="Y17" s="10">
        <f si="3" t="shared"/>
        <v>1.156367005890313E-2</v>
      </c>
      <c r="Z17" s="10">
        <f si="3" t="shared"/>
        <v>1.808883947767792E-3</v>
      </c>
      <c r="AA17" s="10">
        <f si="3" t="shared"/>
        <v>1.1610406894450143E-2</v>
      </c>
      <c r="AB17" s="10">
        <f si="3" t="shared"/>
        <v>4.3137190348020549E-2</v>
      </c>
      <c r="AC17" s="10">
        <f si="3" t="shared"/>
        <v>0.1270623650633747</v>
      </c>
      <c r="AD17" s="10">
        <f si="3" t="shared"/>
        <v>0.10910312201616629</v>
      </c>
      <c r="AE17" s="10" t="e">
        <f si="3" t="shared"/>
        <v>#DIV/0!</v>
      </c>
      <c r="AF17" s="10">
        <f si="3" t="shared"/>
        <v>2.3909855580693695E-2</v>
      </c>
    </row>
    <row r="18" spans="1:32" x14ac:dyDescent="0.2">
      <c r="A18" s="16">
        <v>1</v>
      </c>
      <c r="B18" s="10">
        <f>output_NHTS!B88/SUM(output_NHTS!B$87:B$90)</f>
        <v>9.1810255707620528E-3</v>
      </c>
      <c r="C18" s="10">
        <f>output_NHTS!C88/SUM(output_NHTS!C$87:C$90)</f>
        <v>1.1139497871656247E-2</v>
      </c>
      <c r="D18" s="10">
        <f>output_NHTS!D88/SUM(output_NHTS!D$87:D$90)</f>
        <v>1.8088839477677847E-3</v>
      </c>
      <c r="E18" s="10">
        <f>output_NHTS!E88/SUM(output_NHTS!E$87:E$90)</f>
        <v>1.161040689445013E-2</v>
      </c>
      <c r="F18" s="10">
        <f>output_NHTS!F88/SUM(output_NHTS!F$87:F$90)</f>
        <v>0.21517752711859148</v>
      </c>
      <c r="G18" s="10">
        <f>output_NHTS!G88/SUM(output_NHTS!G$87:G$90)</f>
        <v>0.6703822523303925</v>
      </c>
      <c r="H18" s="10">
        <f>output_NHTS!H88/SUM(output_NHTS!H$87:H$90)</f>
        <v>0.72405804819207642</v>
      </c>
      <c r="I18" s="10" t="e">
        <f>output_NHTS!I88/SUM(output_NHTS!I$87:I$90)</f>
        <v>#DIV/0!</v>
      </c>
      <c r="J18" s="10">
        <f>output_NHTS!J88/SUM(output_NHTS!J$87:J$90)</f>
        <v>0.14511446281884915</v>
      </c>
      <c r="L18" s="16">
        <v>1</v>
      </c>
      <c r="M18" s="10">
        <f>output!B88/SUM(output!B$87:B$90)</f>
        <v>9.6958386882860046E-3</v>
      </c>
      <c r="N18" s="10">
        <f>output!C88/SUM(output!C$87:C$90)</f>
        <v>0</v>
      </c>
      <c r="O18" s="10">
        <f>output!D88/SUM(output!D$87:D$90)</f>
        <v>0</v>
      </c>
      <c r="P18" s="10">
        <f>output!E88/SUM(output!E$87:E$90)</f>
        <v>0</v>
      </c>
      <c r="Q18" s="10">
        <f>output!F88/SUM(output!F$87:F$90)</f>
        <v>0.16644748038927482</v>
      </c>
      <c r="R18" s="10">
        <f>output!G88/SUM(output!G$87:G$90)</f>
        <v>0.53390868797520807</v>
      </c>
      <c r="S18" s="23">
        <f>output!H88/SUM(output!H$87:H$90)</f>
        <v>0.61055102369338243</v>
      </c>
      <c r="T18" s="23" t="e">
        <f>output!I88/SUM(output!I$87:I$90)</f>
        <v>#DIV/0!</v>
      </c>
      <c r="U18" s="10">
        <f>output!J88/SUM(output!J$87:J$90)</f>
        <v>0.11988477093183696</v>
      </c>
      <c r="W18" s="16">
        <v>1</v>
      </c>
      <c r="X18" s="10">
        <f si="3" t="shared"/>
        <v>5.1481311752395176E-4</v>
      </c>
      <c r="Y18" s="10">
        <f si="3" t="shared"/>
        <v>-1.1139497871656247E-2</v>
      </c>
      <c r="Z18" s="10">
        <f si="3" t="shared"/>
        <v>-1.8088839477677847E-3</v>
      </c>
      <c r="AA18" s="10">
        <f si="3" t="shared"/>
        <v>-1.161040689445013E-2</v>
      </c>
      <c r="AB18" s="10">
        <f si="3" t="shared"/>
        <v>-4.8730046729316662E-2</v>
      </c>
      <c r="AC18" s="10">
        <f si="3" t="shared"/>
        <v>-0.13647356435518443</v>
      </c>
      <c r="AD18" s="10">
        <f si="3" t="shared"/>
        <v>-0.11350702449869399</v>
      </c>
      <c r="AE18" s="10" t="e">
        <f si="3" t="shared"/>
        <v>#DIV/0!</v>
      </c>
      <c r="AF18" s="10">
        <f si="3" t="shared"/>
        <v>-2.5229691887012198E-2</v>
      </c>
    </row>
    <row r="19" spans="1:32" x14ac:dyDescent="0.2">
      <c r="A19" s="16">
        <v>2</v>
      </c>
      <c r="B19" s="10">
        <f>output_NHTS!B89/SUM(output_NHTS!B$87:B$90)</f>
        <v>0</v>
      </c>
      <c r="C19" s="10">
        <f>output_NHTS!C89/SUM(output_NHTS!C$87:C$90)</f>
        <v>4.2417218724678481E-4</v>
      </c>
      <c r="D19" s="10">
        <f>output_NHTS!D89/SUM(output_NHTS!D$87:D$90)</f>
        <v>0</v>
      </c>
      <c r="E19" s="10">
        <f>output_NHTS!E89/SUM(output_NHTS!E$87:E$90)</f>
        <v>0</v>
      </c>
      <c r="F19" s="10">
        <f>output_NHTS!F89/SUM(output_NHTS!F$87:F$90)</f>
        <v>1.7444910703629482E-2</v>
      </c>
      <c r="G19" s="10">
        <f>output_NHTS!G89/SUM(output_NHTS!G$87:G$90)</f>
        <v>2.4389384470937508E-2</v>
      </c>
      <c r="H19" s="10">
        <f>output_NHTS!H89/SUM(output_NHTS!H$87:H$90)</f>
        <v>1.7215513437598258E-2</v>
      </c>
      <c r="I19" s="10" t="e">
        <f>output_NHTS!I89/SUM(output_NHTS!I$87:I$90)</f>
        <v>#DIV/0!</v>
      </c>
      <c r="J19" s="10">
        <f>output_NHTS!J89/SUM(output_NHTS!J$87:J$90)</f>
        <v>4.0345332771029368E-3</v>
      </c>
      <c r="L19" s="16">
        <v>2</v>
      </c>
      <c r="M19" s="10">
        <f>output!B89/SUM(output!B$87:B$90)</f>
        <v>3.4858541222865794E-4</v>
      </c>
      <c r="N19" s="10">
        <f>output!C89/SUM(output!C$87:C$90)</f>
        <v>0</v>
      </c>
      <c r="O19" s="10">
        <f>output!D89/SUM(output!D$87:D$90)</f>
        <v>0</v>
      </c>
      <c r="P19" s="10">
        <f>output!E89/SUM(output!E$87:E$90)</f>
        <v>0</v>
      </c>
      <c r="Q19" s="10">
        <f>output!F89/SUM(output!F$87:F$90)</f>
        <v>2.1041882629616451E-2</v>
      </c>
      <c r="R19" s="10">
        <f>output!G89/SUM(output!G$87:G$90)</f>
        <v>3.1350221613635543E-2</v>
      </c>
      <c r="S19" s="23">
        <f>output!H89/SUM(output!H$87:H$90)</f>
        <v>2.0065812871320487E-2</v>
      </c>
      <c r="T19" s="23" t="e">
        <f>output!I89/SUM(output!I$87:I$90)</f>
        <v>#DIV/0!</v>
      </c>
      <c r="U19" s="10">
        <f>output!J89/SUM(output!J$87:J$90)</f>
        <v>4.9580431893856995E-3</v>
      </c>
      <c r="W19" s="16">
        <v>2</v>
      </c>
      <c r="X19" s="10">
        <f si="3" t="shared"/>
        <v>3.4858541222865794E-4</v>
      </c>
      <c r="Y19" s="10">
        <f si="3" t="shared"/>
        <v>-4.2417218724678481E-4</v>
      </c>
      <c r="Z19" s="10">
        <f si="3" t="shared"/>
        <v>0</v>
      </c>
      <c r="AA19" s="10">
        <f si="3" t="shared"/>
        <v>0</v>
      </c>
      <c r="AB19" s="10">
        <f si="3" t="shared"/>
        <v>3.5969719259869685E-3</v>
      </c>
      <c r="AC19" s="10">
        <f si="3" t="shared"/>
        <v>6.9608371426980349E-3</v>
      </c>
      <c r="AD19" s="10">
        <f si="3" t="shared"/>
        <v>2.8502994337222289E-3</v>
      </c>
      <c r="AE19" s="10" t="e">
        <f si="3" t="shared"/>
        <v>#DIV/0!</v>
      </c>
      <c r="AF19" s="10">
        <f si="3" t="shared"/>
        <v>9.2350991228276266E-4</v>
      </c>
    </row>
    <row r="20" spans="1:32" x14ac:dyDescent="0.2">
      <c r="A20" s="19" t="s">
        <v>94</v>
      </c>
      <c r="B20" s="10">
        <f>output_NHTS!B90/SUM(output_NHTS!B$87:B$90)</f>
        <v>0</v>
      </c>
      <c r="C20" s="10">
        <f>output_NHTS!C90/SUM(output_NHTS!C$87:C$90)</f>
        <v>0</v>
      </c>
      <c r="D20" s="10">
        <f>output_NHTS!D90/SUM(output_NHTS!D$87:D$90)</f>
        <v>0</v>
      </c>
      <c r="E20" s="10">
        <f>output_NHTS!E90/SUM(output_NHTS!E$87:E$90)</f>
        <v>0</v>
      </c>
      <c r="F20" s="10">
        <f>output_NHTS!F90/SUM(output_NHTS!F$87:F$90)</f>
        <v>0</v>
      </c>
      <c r="G20" s="10">
        <f>output_NHTS!G90/SUM(output_NHTS!G$87:G$90)</f>
        <v>0</v>
      </c>
      <c r="H20" s="10">
        <f>output_NHTS!H90/SUM(output_NHTS!H$87:H$90)</f>
        <v>0</v>
      </c>
      <c r="I20" s="10" t="e">
        <f>output_NHTS!I90/SUM(output_NHTS!I$87:I$90)</f>
        <v>#DIV/0!</v>
      </c>
      <c r="J20" s="10">
        <f>output_NHTS!J90/SUM(output_NHTS!J$87:J$90)</f>
        <v>0</v>
      </c>
      <c r="L20" s="19" t="s">
        <v>94</v>
      </c>
      <c r="M20" s="11">
        <f>output!B90/SUM(output!B$87:B$90)</f>
        <v>2.3473765133242958E-5</v>
      </c>
      <c r="N20" s="11">
        <f>output!C90/SUM(output!C$87:C$90)</f>
        <v>0</v>
      </c>
      <c r="O20" s="11">
        <f>output!D90/SUM(output!D$87:D$90)</f>
        <v>0</v>
      </c>
      <c r="P20" s="11">
        <f>output!E90/SUM(output!E$87:E$90)</f>
        <v>0</v>
      </c>
      <c r="Q20" s="11">
        <f>output!F90/SUM(output!F$87:F$90)</f>
        <v>1.9958844553092073E-3</v>
      </c>
      <c r="R20" s="11">
        <f>output!G90/SUM(output!G$87:G$90)</f>
        <v>2.4503621491117436E-3</v>
      </c>
      <c r="S20" s="25">
        <f>output!H90/SUM(output!H$87:H$90)</f>
        <v>1.5536030488055976E-3</v>
      </c>
      <c r="T20" s="25" t="e">
        <f>output!I90/SUM(output!I$87:I$90)</f>
        <v>#DIV/0!</v>
      </c>
      <c r="U20" s="11">
        <f>output!J90/SUM(output!J$87:J$90)</f>
        <v>3.9632639403562749E-4</v>
      </c>
      <c r="W20" s="19" t="s">
        <v>94</v>
      </c>
      <c r="X20" s="10">
        <f si="3" t="shared"/>
        <v>2.3473765133242958E-5</v>
      </c>
      <c r="Y20" s="10">
        <f si="3" t="shared"/>
        <v>0</v>
      </c>
      <c r="Z20" s="10">
        <f si="3" t="shared"/>
        <v>0</v>
      </c>
      <c r="AA20" s="10">
        <f si="3" t="shared"/>
        <v>0</v>
      </c>
      <c r="AB20" s="10">
        <f si="3" t="shared"/>
        <v>1.9958844553092073E-3</v>
      </c>
      <c r="AC20" s="10">
        <f si="3" t="shared"/>
        <v>2.4503621491117436E-3</v>
      </c>
      <c r="AD20" s="10">
        <f si="3" t="shared"/>
        <v>1.5536030488055976E-3</v>
      </c>
      <c r="AE20" s="10" t="e">
        <f si="3" t="shared"/>
        <v>#DIV/0!</v>
      </c>
      <c r="AF20" s="10">
        <f si="3" t="shared"/>
        <v>3.9632639403562749E-4</v>
      </c>
    </row>
    <row customHeight="1" ht="13.15" r="21" spans="1:32" thickBot="1" x14ac:dyDescent="0.25">
      <c r="A21" s="17" t="s">
        <v>4</v>
      </c>
      <c r="B21" s="12">
        <f ref="B21:J21" si="4" t="shared">SUM(B17:B20)</f>
        <v>1</v>
      </c>
      <c r="C21" s="12">
        <f si="4" t="shared"/>
        <v>0.99999999999999989</v>
      </c>
      <c r="D21" s="12">
        <f si="4" t="shared"/>
        <v>1</v>
      </c>
      <c r="E21" s="12">
        <f si="4" t="shared"/>
        <v>1</v>
      </c>
      <c r="F21" s="12">
        <f si="4" t="shared"/>
        <v>1</v>
      </c>
      <c r="G21" s="12">
        <f si="4" t="shared"/>
        <v>1</v>
      </c>
      <c r="H21" s="12">
        <f si="4" t="shared"/>
        <v>0.99999999999999989</v>
      </c>
      <c r="I21" s="12" t="e">
        <f si="4" t="shared"/>
        <v>#DIV/0!</v>
      </c>
      <c r="J21" s="12">
        <f si="4" t="shared"/>
        <v>1.0000000000000002</v>
      </c>
      <c r="L21" s="17" t="s">
        <v>4</v>
      </c>
      <c r="M21" s="12">
        <f ref="M21:U21" si="5" t="shared">SUM(M17:M20)</f>
        <v>1.0000000000000002</v>
      </c>
      <c r="N21" s="12">
        <f si="5" t="shared"/>
        <v>1</v>
      </c>
      <c r="O21" s="12">
        <f si="5" t="shared"/>
        <v>1</v>
      </c>
      <c r="P21" s="12">
        <f si="5" t="shared"/>
        <v>1</v>
      </c>
      <c r="Q21" s="12">
        <f si="5" t="shared"/>
        <v>1</v>
      </c>
      <c r="R21" s="12">
        <f si="5" t="shared"/>
        <v>1</v>
      </c>
      <c r="S21" s="12">
        <f si="5" t="shared"/>
        <v>1</v>
      </c>
      <c r="T21" s="12" t="e">
        <f si="5" t="shared"/>
        <v>#DIV/0!</v>
      </c>
      <c r="U21" s="12">
        <f si="5" t="shared"/>
        <v>1</v>
      </c>
      <c r="W21" s="17" t="s">
        <v>4</v>
      </c>
      <c r="X21" s="12">
        <f si="3" t="shared"/>
        <v>0</v>
      </c>
      <c r="Y21" s="12">
        <f si="3" t="shared"/>
        <v>0</v>
      </c>
      <c r="Z21" s="12">
        <f si="3" t="shared"/>
        <v>0</v>
      </c>
      <c r="AA21" s="12">
        <f si="3" t="shared"/>
        <v>0</v>
      </c>
      <c r="AB21" s="12">
        <f si="3" t="shared"/>
        <v>0</v>
      </c>
      <c r="AC21" s="12">
        <f si="3" t="shared"/>
        <v>0</v>
      </c>
      <c r="AD21" s="12">
        <f si="3" t="shared"/>
        <v>0</v>
      </c>
      <c r="AE21" s="12" t="e">
        <f si="3" t="shared"/>
        <v>#DIV/0!</v>
      </c>
      <c r="AF21" s="12">
        <f si="3" t="shared"/>
        <v>0</v>
      </c>
    </row>
    <row r="22" spans="1:32" x14ac:dyDescent="0.2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x14ac:dyDescent="0.2">
      <c r="B23" s="10"/>
      <c r="C23" s="10"/>
      <c r="D23" s="10"/>
      <c r="E23" s="10"/>
      <c r="F23" s="10"/>
      <c r="G23" s="10"/>
      <c r="H23" s="10"/>
      <c r="I23" s="10"/>
      <c r="J23" s="10"/>
      <c r="M23" s="10"/>
      <c r="N23" s="10"/>
      <c r="O23" s="10"/>
      <c r="P23" s="10"/>
      <c r="Q23" s="10"/>
      <c r="R23" s="10"/>
      <c r="S23" s="10"/>
      <c r="T23" s="10"/>
      <c r="U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x14ac:dyDescent="0.2">
      <c r="B24" s="10"/>
      <c r="C24" s="10"/>
      <c r="D24" s="10"/>
      <c r="E24" s="10"/>
      <c r="F24" s="10"/>
      <c r="G24" s="10"/>
      <c r="H24" s="10"/>
      <c r="I24" s="10"/>
      <c r="J24" s="10"/>
      <c r="M24" s="10"/>
      <c r="N24" s="10"/>
      <c r="O24" s="10"/>
      <c r="P24" s="10"/>
      <c r="Q24" s="10"/>
      <c r="R24" s="10"/>
      <c r="S24" s="10"/>
      <c r="T24" s="10"/>
      <c r="U24" s="10"/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15" r="25" spans="1:32" x14ac:dyDescent="0.2">
      <c r="A25" s="264" t="s">
        <v>41</v>
      </c>
      <c r="B25" s="10"/>
      <c r="C25" s="10"/>
      <c r="D25" s="10"/>
      <c r="E25" s="10"/>
      <c r="F25" s="10"/>
      <c r="G25" s="10"/>
      <c r="H25" s="10"/>
      <c r="I25" s="10"/>
      <c r="J25" s="10"/>
      <c r="L25" s="264" t="s">
        <v>41</v>
      </c>
      <c r="M25" s="10"/>
      <c r="N25" s="10"/>
      <c r="O25" s="10"/>
      <c r="P25" s="10"/>
      <c r="Q25" s="10"/>
      <c r="R25" s="10"/>
      <c r="S25" s="10"/>
      <c r="T25" s="10"/>
      <c r="U25" s="10"/>
      <c r="W25" s="264" t="s">
        <v>41</v>
      </c>
      <c r="X25" s="10"/>
      <c r="Y25" s="10"/>
      <c r="Z25" s="10"/>
      <c r="AA25" s="10"/>
      <c r="AB25" s="10"/>
      <c r="AC25" s="10"/>
      <c r="AD25" s="10"/>
      <c r="AE25" s="10"/>
      <c r="AF25" s="10"/>
    </row>
    <row customHeight="1" ht="13.15" r="26" spans="1:32" x14ac:dyDescent="0.2">
      <c r="A26" s="264" t="s">
        <v>119</v>
      </c>
      <c r="B26" s="10"/>
      <c r="C26" s="10"/>
      <c r="D26" s="10"/>
      <c r="E26" s="10"/>
      <c r="F26" s="10"/>
      <c r="G26" s="10"/>
      <c r="H26" s="10"/>
      <c r="I26" s="10"/>
      <c r="J26" s="10"/>
      <c r="L26" s="264" t="s">
        <v>120</v>
      </c>
      <c r="M26" s="10"/>
      <c r="N26" s="10"/>
      <c r="O26" s="10"/>
      <c r="P26" s="10"/>
      <c r="Q26" s="10"/>
      <c r="R26" s="10"/>
      <c r="S26" s="10"/>
      <c r="T26" s="10"/>
      <c r="U26" s="10"/>
      <c r="W26" s="264" t="s">
        <v>121</v>
      </c>
      <c r="X26" s="10"/>
      <c r="Y26" s="10"/>
      <c r="Z26" s="10"/>
      <c r="AA26" s="10"/>
      <c r="AB26" s="10"/>
      <c r="AC26" s="10"/>
      <c r="AD26" s="10"/>
      <c r="AE26" s="10"/>
      <c r="AF26" s="10"/>
    </row>
    <row customHeight="1" ht="13.5" r="27" spans="1:32" thickBot="1" x14ac:dyDescent="0.25">
      <c r="A27" s="264"/>
      <c r="B27" s="15"/>
      <c r="C27" s="15"/>
      <c r="D27" s="15"/>
      <c r="E27" s="15"/>
      <c r="F27" s="15"/>
      <c r="G27" s="15"/>
      <c r="H27" s="15"/>
      <c r="I27" s="15"/>
      <c r="J27" s="15"/>
      <c r="L27" s="264"/>
      <c r="M27" s="15"/>
      <c r="N27" s="15"/>
      <c r="O27" s="15"/>
      <c r="P27" s="15"/>
      <c r="Q27" s="15"/>
      <c r="R27" s="15"/>
      <c r="S27" s="15"/>
      <c r="T27" s="15"/>
      <c r="U27" s="15"/>
      <c r="W27" s="264"/>
      <c r="X27" s="15"/>
      <c r="Y27" s="15"/>
      <c r="Z27" s="15"/>
      <c r="AA27" s="15"/>
      <c r="AB27" s="15"/>
      <c r="AC27" s="15"/>
      <c r="AD27" s="15"/>
      <c r="AE27" s="15"/>
      <c r="AF27" s="15"/>
    </row>
    <row customHeight="1" ht="13.15" r="28" spans="1:32" x14ac:dyDescent="0.2">
      <c r="A28" s="3" t="s">
        <v>45</v>
      </c>
      <c r="B28" s="20" t="s">
        <v>12</v>
      </c>
      <c r="C28" s="20" t="s">
        <v>13</v>
      </c>
      <c r="D28" s="20" t="s">
        <v>14</v>
      </c>
      <c r="E28" s="20" t="s">
        <v>15</v>
      </c>
      <c r="F28" s="20" t="s">
        <v>16</v>
      </c>
      <c r="G28" s="20" t="s">
        <v>17</v>
      </c>
      <c r="H28" s="20" t="s">
        <v>18</v>
      </c>
      <c r="I28" s="20" t="s">
        <v>19</v>
      </c>
      <c r="J28" s="20" t="s">
        <v>4</v>
      </c>
      <c r="L28" s="3" t="s">
        <v>45</v>
      </c>
      <c r="M28" s="20" t="s">
        <v>12</v>
      </c>
      <c r="N28" s="20" t="s">
        <v>13</v>
      </c>
      <c r="O28" s="20" t="s">
        <v>14</v>
      </c>
      <c r="P28" s="20" t="s">
        <v>15</v>
      </c>
      <c r="Q28" s="20" t="s">
        <v>16</v>
      </c>
      <c r="R28" s="20" t="s">
        <v>17</v>
      </c>
      <c r="S28" s="20" t="s">
        <v>18</v>
      </c>
      <c r="T28" s="20" t="s">
        <v>19</v>
      </c>
      <c r="U28" s="20" t="s">
        <v>4</v>
      </c>
      <c r="W28" s="3" t="s">
        <v>45</v>
      </c>
      <c r="X28" s="20" t="s">
        <v>12</v>
      </c>
      <c r="Y28" s="20" t="s">
        <v>13</v>
      </c>
      <c r="Z28" s="20" t="s">
        <v>14</v>
      </c>
      <c r="AA28" s="20" t="s">
        <v>15</v>
      </c>
      <c r="AB28" s="20" t="s">
        <v>16</v>
      </c>
      <c r="AC28" s="20" t="s">
        <v>17</v>
      </c>
      <c r="AD28" s="20" t="s">
        <v>18</v>
      </c>
      <c r="AE28" s="20" t="s">
        <v>19</v>
      </c>
      <c r="AF28" s="20" t="s">
        <v>4</v>
      </c>
    </row>
    <row r="29" spans="1:32" x14ac:dyDescent="0.2">
      <c r="A29" s="16">
        <v>0</v>
      </c>
      <c r="B29" s="10">
        <f>output_NHTS!B94/SUM(output_NHTS!B$94:B$97)</f>
        <v>0.93044814543764587</v>
      </c>
      <c r="C29" s="10">
        <f>output_NHTS!C94/SUM(output_NHTS!C$94:C$97)</f>
        <v>0.82535604240876526</v>
      </c>
      <c r="D29" s="10">
        <f>output_NHTS!D94/SUM(output_NHTS!D$94:D$97)</f>
        <v>0.9276179323912872</v>
      </c>
      <c r="E29" s="10">
        <f>output_NHTS!E94/SUM(output_NHTS!E$94:E$97)</f>
        <v>0.80038792446351581</v>
      </c>
      <c r="F29" s="10">
        <f>output_NHTS!F94/SUM(output_NHTS!F$94:F$97)</f>
        <v>0.93595385508731588</v>
      </c>
      <c r="G29" s="10">
        <f>output_NHTS!G94/SUM(output_NHTS!G$94:G$97)</f>
        <v>0.93891519320248673</v>
      </c>
      <c r="H29" s="10">
        <f>output_NHTS!H94/SUM(output_NHTS!H$94:H$97)</f>
        <v>0.95935828172853732</v>
      </c>
      <c r="I29" s="10" t="e">
        <f>output_NHTS!I94/SUM(output_NHTS!I$94:I$97)</f>
        <v>#DIV/0!</v>
      </c>
      <c r="J29" s="10">
        <f>output_NHTS!J94/SUM(output_NHTS!J$94:J$97)</f>
        <v>0.91353737238614019</v>
      </c>
      <c r="L29" s="16">
        <v>0</v>
      </c>
      <c r="M29" s="10">
        <f>output!B94/SUM(output!B$94:B$97)</f>
        <v>0.93040967588598789</v>
      </c>
      <c r="N29" s="10">
        <f>output!C94/SUM(output!C$94:C$97)</f>
        <v>0.84806444188722674</v>
      </c>
      <c r="O29" s="10">
        <f>output!D94/SUM(output!D$94:D$97)</f>
        <v>0.94756975070795224</v>
      </c>
      <c r="P29" s="10">
        <f>output!E94/SUM(output!E$94:E$97)</f>
        <v>0.8091220461769707</v>
      </c>
      <c r="Q29" s="10">
        <f>output!F94/SUM(output!F$94:F$97)</f>
        <v>0.93153652159113765</v>
      </c>
      <c r="R29" s="10">
        <f>output!G94/SUM(output!G$94:G$97)</f>
        <v>0.95279449389211202</v>
      </c>
      <c r="S29" s="23">
        <f>output!H94/SUM(output!H$94:H$97)</f>
        <v>0.96747541376379997</v>
      </c>
      <c r="T29" s="23" t="e">
        <f>output!I94/SUM(output!I$94:I$97)</f>
        <v>#DIV/0!</v>
      </c>
      <c r="U29" s="10">
        <f>output!J94/SUM(output!J$94:J$97)</f>
        <v>0.9198543104175525</v>
      </c>
      <c r="W29" s="16">
        <v>0</v>
      </c>
      <c r="X29" s="10">
        <f ref="X29:AF33" si="6" t="shared">M29-B29</f>
        <v>-3.8469551657982493E-5</v>
      </c>
      <c r="Y29" s="10">
        <f si="6" t="shared"/>
        <v>2.2708399478461483E-2</v>
      </c>
      <c r="Z29" s="10">
        <f si="6" t="shared"/>
        <v>1.9951818316665038E-2</v>
      </c>
      <c r="AA29" s="10">
        <f si="6" t="shared"/>
        <v>8.7341217134548899E-3</v>
      </c>
      <c r="AB29" s="10">
        <f si="6" t="shared"/>
        <v>-4.4173334961782329E-3</v>
      </c>
      <c r="AC29" s="10">
        <f si="6" t="shared"/>
        <v>1.3879300689625285E-2</v>
      </c>
      <c r="AD29" s="10">
        <f si="6" t="shared"/>
        <v>8.117132035262653E-3</v>
      </c>
      <c r="AE29" s="10" t="e">
        <f si="6" t="shared"/>
        <v>#DIV/0!</v>
      </c>
      <c r="AF29" s="10">
        <f si="6" t="shared"/>
        <v>6.3169380314123114E-3</v>
      </c>
    </row>
    <row r="30" spans="1:32" x14ac:dyDescent="0.2">
      <c r="A30" s="16">
        <v>1</v>
      </c>
      <c r="B30" s="10">
        <f>output_NHTS!B95/SUM(output_NHTS!B$94:B$97)</f>
        <v>5.1889075525828401E-2</v>
      </c>
      <c r="C30" s="10">
        <f>output_NHTS!C95/SUM(output_NHTS!C$94:C$97)</f>
        <v>0.11472118007050144</v>
      </c>
      <c r="D30" s="10">
        <f>output_NHTS!D95/SUM(output_NHTS!D$94:D$97)</f>
        <v>5.9943767243251428E-2</v>
      </c>
      <c r="E30" s="10">
        <f>output_NHTS!E95/SUM(output_NHTS!E$94:E$97)</f>
        <v>9.1881788389487629E-2</v>
      </c>
      <c r="F30" s="10">
        <f>output_NHTS!F95/SUM(output_NHTS!F$94:F$97)</f>
        <v>3.6454021951903878E-2</v>
      </c>
      <c r="G30" s="10">
        <f>output_NHTS!G95/SUM(output_NHTS!G$94:G$97)</f>
        <v>6.0102752524239154E-2</v>
      </c>
      <c r="H30" s="10">
        <f>output_NHTS!H95/SUM(output_NHTS!H$94:H$97)</f>
        <v>3.940570620523156E-2</v>
      </c>
      <c r="I30" s="10" t="e">
        <f>output_NHTS!I95/SUM(output_NHTS!I$94:I$97)</f>
        <v>#DIV/0!</v>
      </c>
      <c r="J30" s="10">
        <f>output_NHTS!J95/SUM(output_NHTS!J$94:J$97)</f>
        <v>5.9135627014333968E-2</v>
      </c>
      <c r="L30" s="16">
        <v>1</v>
      </c>
      <c r="M30" s="10">
        <f>output!B95/SUM(output!B$94:B$97)</f>
        <v>5.3884027863359212E-2</v>
      </c>
      <c r="N30" s="10">
        <f>output!C95/SUM(output!C$94:C$97)</f>
        <v>0.10307019562715765</v>
      </c>
      <c r="O30" s="10">
        <f>output!D95/SUM(output!D$94:D$97)</f>
        <v>3.795552667007103E-2</v>
      </c>
      <c r="P30" s="10">
        <f>output!E95/SUM(output!E$94:E$97)</f>
        <v>9.8745780252815218E-2</v>
      </c>
      <c r="Q30" s="10">
        <f>output!F95/SUM(output!F$94:F$97)</f>
        <v>4.9649559822381756E-2</v>
      </c>
      <c r="R30" s="10">
        <f>output!G95/SUM(output!G$94:G$97)</f>
        <v>4.0232784404165618E-2</v>
      </c>
      <c r="S30" s="23">
        <f>output!H95/SUM(output!H$94:H$97)</f>
        <v>2.6852999202608557E-2</v>
      </c>
      <c r="T30" s="23" t="e">
        <f>output!I95/SUM(output!I$94:I$97)</f>
        <v>#DIV/0!</v>
      </c>
      <c r="U30" s="10">
        <f>output!J95/SUM(output!J$94:J$97)</f>
        <v>5.5448327247835917E-2</v>
      </c>
      <c r="W30" s="16">
        <v>1</v>
      </c>
      <c r="X30" s="10">
        <f si="6" t="shared"/>
        <v>1.9949523375308101E-3</v>
      </c>
      <c r="Y30" s="10">
        <f si="6" t="shared"/>
        <v>-1.1650984443343795E-2</v>
      </c>
      <c r="Z30" s="10">
        <f si="6" t="shared"/>
        <v>-2.1988240573180398E-2</v>
      </c>
      <c r="AA30" s="10">
        <f si="6" t="shared"/>
        <v>6.8639918633275898E-3</v>
      </c>
      <c r="AB30" s="10">
        <f si="6" t="shared"/>
        <v>1.3195537870477878E-2</v>
      </c>
      <c r="AC30" s="10">
        <f si="6" t="shared"/>
        <v>-1.9869968120073536E-2</v>
      </c>
      <c r="AD30" s="10">
        <f si="6" t="shared"/>
        <v>-1.2552707002623002E-2</v>
      </c>
      <c r="AE30" s="10" t="e">
        <f si="6" t="shared"/>
        <v>#DIV/0!</v>
      </c>
      <c r="AF30" s="10">
        <f si="6" t="shared"/>
        <v>-3.6872997664980506E-3</v>
      </c>
    </row>
    <row r="31" spans="1:32" x14ac:dyDescent="0.2">
      <c r="A31" s="16">
        <v>2</v>
      </c>
      <c r="B31" s="10">
        <f>output_NHTS!B96/SUM(output_NHTS!B$94:B$97)</f>
        <v>1.5603528492938699E-2</v>
      </c>
      <c r="C31" s="10">
        <f>output_NHTS!C96/SUM(output_NHTS!C$94:C$97)</f>
        <v>4.6032332295464183E-2</v>
      </c>
      <c r="D31" s="10">
        <f>output_NHTS!D96/SUM(output_NHTS!D$94:D$97)</f>
        <v>1.1300234254975828E-2</v>
      </c>
      <c r="E31" s="10">
        <f>output_NHTS!E96/SUM(output_NHTS!E$94:E$97)</f>
        <v>7.7613942871756519E-2</v>
      </c>
      <c r="F31" s="10">
        <f>output_NHTS!F96/SUM(output_NHTS!F$94:F$97)</f>
        <v>1.702156572007343E-2</v>
      </c>
      <c r="G31" s="10">
        <f>output_NHTS!G96/SUM(output_NHTS!G$94:G$97)</f>
        <v>9.8205427327410885E-4</v>
      </c>
      <c r="H31" s="10">
        <f>output_NHTS!H96/SUM(output_NHTS!H$94:H$97)</f>
        <v>1.2360120662313037E-3</v>
      </c>
      <c r="I31" s="10" t="e">
        <f>output_NHTS!I96/SUM(output_NHTS!I$94:I$97)</f>
        <v>#DIV/0!</v>
      </c>
      <c r="J31" s="10">
        <f>output_NHTS!J96/SUM(output_NHTS!J$94:J$97)</f>
        <v>2.1493768172724324E-2</v>
      </c>
      <c r="L31" s="16">
        <v>2</v>
      </c>
      <c r="M31" s="10">
        <f>output!B96/SUM(output!B$94:B$97)</f>
        <v>1.2583111799674888E-2</v>
      </c>
      <c r="N31" s="10">
        <f>output!C96/SUM(output!C$94:C$97)</f>
        <v>3.9410817031070196E-2</v>
      </c>
      <c r="O31" s="10">
        <f>output!D96/SUM(output!D$94:D$97)</f>
        <v>1.1707905853952927E-2</v>
      </c>
      <c r="P31" s="10">
        <f>output!E96/SUM(output!E$94:E$97)</f>
        <v>7.401621368553335E-2</v>
      </c>
      <c r="Q31" s="10">
        <f>output!F96/SUM(output!F$94:F$97)</f>
        <v>1.537914068664614E-2</v>
      </c>
      <c r="R31" s="10">
        <f>output!G96/SUM(output!G$94:G$97)</f>
        <v>5.7835753666534541E-3</v>
      </c>
      <c r="S31" s="23">
        <f>output!H96/SUM(output!H$94:H$97)</f>
        <v>4.7207070952864057E-3</v>
      </c>
      <c r="T31" s="23" t="e">
        <f>output!I96/SUM(output!I$94:I$97)</f>
        <v>#DIV/0!</v>
      </c>
      <c r="U31" s="10">
        <f>output!J96/SUM(output!J$94:J$97)</f>
        <v>1.9883695188767432E-2</v>
      </c>
      <c r="W31" s="16">
        <v>2</v>
      </c>
      <c r="X31" s="10">
        <f si="6" t="shared"/>
        <v>-3.0204166932638107E-3</v>
      </c>
      <c r="Y31" s="10">
        <f si="6" t="shared"/>
        <v>-6.6215152643939873E-3</v>
      </c>
      <c r="Z31" s="10">
        <f si="6" t="shared"/>
        <v>4.076715989770989E-4</v>
      </c>
      <c r="AA31" s="10">
        <f si="6" t="shared"/>
        <v>-3.5977291862231697E-3</v>
      </c>
      <c r="AB31" s="10">
        <f si="6" t="shared"/>
        <v>-1.6424250334272899E-3</v>
      </c>
      <c r="AC31" s="10">
        <f si="6" t="shared"/>
        <v>4.8015210933793455E-3</v>
      </c>
      <c r="AD31" s="10">
        <f si="6" t="shared"/>
        <v>3.484695029055102E-3</v>
      </c>
      <c r="AE31" s="10" t="e">
        <f si="6" t="shared"/>
        <v>#DIV/0!</v>
      </c>
      <c r="AF31" s="10">
        <f si="6" t="shared"/>
        <v>-1.6100729839568922E-3</v>
      </c>
    </row>
    <row r="32" spans="1:32" x14ac:dyDescent="0.2">
      <c r="A32" s="16" t="s">
        <v>94</v>
      </c>
      <c r="B32" s="10">
        <f>output_NHTS!B97/SUM(output_NHTS!B$94:B$97)</f>
        <v>2.0592505435869757E-3</v>
      </c>
      <c r="C32" s="10">
        <f>output_NHTS!C97/SUM(output_NHTS!C$94:C$97)</f>
        <v>1.3890445225269072E-2</v>
      </c>
      <c r="D32" s="10">
        <f>output_NHTS!D97/SUM(output_NHTS!D$94:D$97)</f>
        <v>1.1380661104855023E-3</v>
      </c>
      <c r="E32" s="10">
        <f>output_NHTS!E97/SUM(output_NHTS!E$94:E$97)</f>
        <v>3.0116344275240101E-2</v>
      </c>
      <c r="F32" s="10">
        <f>output_NHTS!F97/SUM(output_NHTS!F$94:F$97)</f>
        <v>1.0570557240706747E-2</v>
      </c>
      <c r="G32" s="10">
        <f>output_NHTS!G97/SUM(output_NHTS!G$94:G$97)</f>
        <v>0</v>
      </c>
      <c r="H32" s="10">
        <f>output_NHTS!H97/SUM(output_NHTS!H$94:H$97)</f>
        <v>0</v>
      </c>
      <c r="I32" s="10" t="e">
        <f>output_NHTS!I97/SUM(output_NHTS!I$94:I$97)</f>
        <v>#DIV/0!</v>
      </c>
      <c r="J32" s="10">
        <f>output_NHTS!J97/SUM(output_NHTS!J$94:J$97)</f>
        <v>5.833232426801482E-3</v>
      </c>
      <c r="L32" s="16" t="s">
        <v>94</v>
      </c>
      <c r="M32" s="11">
        <f>output!B97/SUM(output!B$94:B$97)</f>
        <v>3.1231844509779757E-3</v>
      </c>
      <c r="N32" s="11">
        <f>output!C97/SUM(output!C$94:C$97)</f>
        <v>9.4545454545454551E-3</v>
      </c>
      <c r="O32" s="11">
        <f>output!D97/SUM(output!D$94:D$97)</f>
        <v>2.7668167680237688E-3</v>
      </c>
      <c r="P32" s="11">
        <f>output!E97/SUM(output!E$94:E$97)</f>
        <v>1.8115959884680777E-2</v>
      </c>
      <c r="Q32" s="11">
        <f>output!F97/SUM(output!F$94:F$97)</f>
        <v>3.43477789983445E-3</v>
      </c>
      <c r="R32" s="11">
        <f>output!G97/SUM(output!G$94:G$97)</f>
        <v>1.1891463370689345E-3</v>
      </c>
      <c r="S32" s="25">
        <f>output!H97/SUM(output!H$94:H$97)</f>
        <v>9.5087993830511271E-4</v>
      </c>
      <c r="T32" s="25" t="e">
        <f>output!I97/SUM(output!I$94:I$97)</f>
        <v>#DIV/0!</v>
      </c>
      <c r="U32" s="11">
        <f>output!J97/SUM(output!J$94:J$97)</f>
        <v>4.8136671458441499E-3</v>
      </c>
      <c r="W32" s="16" t="s">
        <v>94</v>
      </c>
      <c r="X32" s="10">
        <f si="6" t="shared"/>
        <v>1.063933907391E-3</v>
      </c>
      <c r="Y32" s="10">
        <f si="6" t="shared"/>
        <v>-4.435899770723617E-3</v>
      </c>
      <c r="Z32" s="10">
        <f si="6" t="shared"/>
        <v>1.6287506575382664E-3</v>
      </c>
      <c r="AA32" s="10">
        <f si="6" t="shared"/>
        <v>-1.2000384390559324E-2</v>
      </c>
      <c r="AB32" s="10">
        <f si="6" t="shared"/>
        <v>-7.1357793408722975E-3</v>
      </c>
      <c r="AC32" s="10">
        <f si="6" t="shared"/>
        <v>1.1891463370689345E-3</v>
      </c>
      <c r="AD32" s="10">
        <f si="6" t="shared"/>
        <v>9.5087993830511271E-4</v>
      </c>
      <c r="AE32" s="10" t="e">
        <f si="6" t="shared"/>
        <v>#DIV/0!</v>
      </c>
      <c r="AF32" s="10">
        <f si="6" t="shared"/>
        <v>-1.0195652809573321E-3</v>
      </c>
    </row>
    <row customHeight="1" ht="13.15" r="33" spans="1:32" thickBot="1" x14ac:dyDescent="0.25">
      <c r="A33" s="17" t="s">
        <v>4</v>
      </c>
      <c r="B33" s="12">
        <f ref="B33:J33" si="7" t="shared">SUM(B29:B32)</f>
        <v>1</v>
      </c>
      <c r="C33" s="12">
        <f si="7" t="shared"/>
        <v>1</v>
      </c>
      <c r="D33" s="12">
        <f si="7" t="shared"/>
        <v>1</v>
      </c>
      <c r="E33" s="12">
        <f si="7" t="shared"/>
        <v>1</v>
      </c>
      <c r="F33" s="12">
        <f si="7" t="shared"/>
        <v>0.99999999999999989</v>
      </c>
      <c r="G33" s="12">
        <f si="7" t="shared"/>
        <v>1</v>
      </c>
      <c r="H33" s="12">
        <f si="7" t="shared"/>
        <v>1.0000000000000002</v>
      </c>
      <c r="I33" s="12" t="e">
        <f si="7" t="shared"/>
        <v>#DIV/0!</v>
      </c>
      <c r="J33" s="12">
        <f si="7" t="shared"/>
        <v>0.99999999999999989</v>
      </c>
      <c r="L33" s="17" t="s">
        <v>4</v>
      </c>
      <c r="M33" s="12">
        <f ref="M33:U33" si="8" t="shared">SUM(M29:M32)</f>
        <v>0.99999999999999989</v>
      </c>
      <c r="N33" s="12">
        <f si="8" t="shared"/>
        <v>1</v>
      </c>
      <c r="O33" s="12">
        <f si="8" t="shared"/>
        <v>1</v>
      </c>
      <c r="P33" s="12">
        <f si="8" t="shared"/>
        <v>1</v>
      </c>
      <c r="Q33" s="12">
        <f si="8" t="shared"/>
        <v>1</v>
      </c>
      <c r="R33" s="12">
        <f si="8" t="shared"/>
        <v>1</v>
      </c>
      <c r="S33" s="12">
        <f si="8" t="shared"/>
        <v>1</v>
      </c>
      <c r="T33" s="12" t="e">
        <f si="8" t="shared"/>
        <v>#DIV/0!</v>
      </c>
      <c r="U33" s="12">
        <f si="8" t="shared"/>
        <v>1</v>
      </c>
      <c r="W33" s="17" t="s">
        <v>4</v>
      </c>
      <c r="X33" s="12">
        <f si="6" t="shared"/>
        <v>0</v>
      </c>
      <c r="Y33" s="12">
        <f si="6" t="shared"/>
        <v>0</v>
      </c>
      <c r="Z33" s="12">
        <f si="6" t="shared"/>
        <v>0</v>
      </c>
      <c r="AA33" s="12">
        <f si="6" t="shared"/>
        <v>0</v>
      </c>
      <c r="AB33" s="12">
        <f si="6" t="shared"/>
        <v>0</v>
      </c>
      <c r="AC33" s="12">
        <f si="6" t="shared"/>
        <v>0</v>
      </c>
      <c r="AD33" s="12">
        <f si="6" t="shared"/>
        <v>0</v>
      </c>
      <c r="AE33" s="12" t="e">
        <f si="6" t="shared"/>
        <v>#DIV/0!</v>
      </c>
      <c r="AF33" s="12">
        <f si="6" t="shared"/>
        <v>0</v>
      </c>
    </row>
    <row r="34" spans="1:32" x14ac:dyDescent="0.2">
      <c r="B34" s="10"/>
      <c r="C34" s="10"/>
      <c r="D34" s="10"/>
      <c r="E34" s="10"/>
      <c r="F34" s="10"/>
      <c r="G34" s="10"/>
      <c r="H34" s="10"/>
      <c r="I34" s="10"/>
      <c r="J34" s="10"/>
      <c r="M34" s="10"/>
      <c r="N34" s="10"/>
      <c r="O34" s="10"/>
      <c r="P34" s="10"/>
      <c r="Q34" s="10"/>
      <c r="R34" s="10"/>
      <c r="S34" s="10"/>
      <c r="T34" s="10"/>
      <c r="U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x14ac:dyDescent="0.2">
      <c r="B35" s="10"/>
      <c r="C35" s="10"/>
      <c r="D35" s="10"/>
      <c r="E35" s="10"/>
      <c r="F35" s="10"/>
      <c r="G35" s="10"/>
      <c r="H35" s="10"/>
      <c r="I35" s="10"/>
      <c r="J35" s="10"/>
      <c r="M35" s="10"/>
      <c r="N35" s="10"/>
      <c r="O35" s="10"/>
      <c r="P35" s="10"/>
      <c r="Q35" s="10"/>
      <c r="R35" s="10"/>
      <c r="S35" s="10"/>
      <c r="T35" s="10"/>
      <c r="U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x14ac:dyDescent="0.2">
      <c r="B36" s="10"/>
      <c r="C36" s="10"/>
      <c r="D36" s="10"/>
      <c r="E36" s="10"/>
      <c r="F36" s="10"/>
      <c r="G36" s="10"/>
      <c r="H36" s="10"/>
      <c r="I36" s="10"/>
      <c r="J36" s="10"/>
      <c r="M36" s="10"/>
      <c r="N36" s="10"/>
      <c r="O36" s="10"/>
      <c r="P36" s="10"/>
      <c r="Q36" s="10"/>
      <c r="R36" s="10"/>
      <c r="S36" s="10"/>
      <c r="T36" s="10"/>
      <c r="U36" s="10"/>
      <c r="X36" s="10"/>
      <c r="Y36" s="10"/>
      <c r="Z36" s="10"/>
      <c r="AA36" s="10"/>
      <c r="AB36" s="10"/>
      <c r="AC36" s="10"/>
      <c r="AD36" s="10"/>
      <c r="AE36" s="10"/>
      <c r="AF36" s="10"/>
    </row>
    <row customHeight="1" ht="13.15" r="37" spans="1:32" x14ac:dyDescent="0.2">
      <c r="A37" s="264" t="s">
        <v>41</v>
      </c>
      <c r="B37" s="10"/>
      <c r="C37" s="10"/>
      <c r="D37" s="10"/>
      <c r="E37" s="10"/>
      <c r="F37" s="10"/>
      <c r="G37" s="10"/>
      <c r="H37" s="10"/>
      <c r="I37" s="10"/>
      <c r="J37" s="10"/>
      <c r="L37" s="264" t="s">
        <v>41</v>
      </c>
      <c r="M37" s="10"/>
      <c r="N37" s="10"/>
      <c r="O37" s="10"/>
      <c r="P37" s="10"/>
      <c r="Q37" s="10"/>
      <c r="R37" s="10"/>
      <c r="S37" s="10"/>
      <c r="T37" s="10"/>
      <c r="U37" s="10"/>
      <c r="W37" s="264" t="s">
        <v>41</v>
      </c>
      <c r="X37" s="10"/>
      <c r="Y37" s="10"/>
      <c r="Z37" s="10"/>
      <c r="AA37" s="10"/>
      <c r="AB37" s="10"/>
      <c r="AC37" s="10"/>
      <c r="AD37" s="10"/>
      <c r="AE37" s="10"/>
      <c r="AF37" s="10"/>
    </row>
    <row customHeight="1" ht="13.15" r="38" spans="1:32" x14ac:dyDescent="0.2">
      <c r="A38" s="264" t="s">
        <v>122</v>
      </c>
      <c r="B38" s="10"/>
      <c r="C38" s="10"/>
      <c r="D38" s="10"/>
      <c r="E38" s="10"/>
      <c r="F38" s="10"/>
      <c r="G38" s="10"/>
      <c r="H38" s="10"/>
      <c r="I38" s="10"/>
      <c r="J38" s="10"/>
      <c r="L38" s="264" t="s">
        <v>123</v>
      </c>
      <c r="M38" s="10"/>
      <c r="N38" s="10"/>
      <c r="O38" s="10"/>
      <c r="P38" s="10"/>
      <c r="Q38" s="10"/>
      <c r="R38" s="10"/>
      <c r="S38" s="10"/>
      <c r="T38" s="10"/>
      <c r="U38" s="10"/>
      <c r="W38" s="264" t="s">
        <v>124</v>
      </c>
      <c r="X38" s="10"/>
      <c r="Y38" s="10"/>
      <c r="Z38" s="10"/>
      <c r="AA38" s="10"/>
      <c r="AB38" s="10"/>
      <c r="AC38" s="10"/>
      <c r="AD38" s="10"/>
      <c r="AE38" s="10"/>
      <c r="AF38" s="10"/>
    </row>
    <row customHeight="1" ht="13.5" r="39" spans="1:32" thickBot="1" x14ac:dyDescent="0.25">
      <c r="A39" s="264"/>
      <c r="B39" s="2"/>
      <c r="C39" s="2"/>
      <c r="D39" s="2"/>
      <c r="E39" s="2"/>
      <c r="F39" s="2"/>
      <c r="G39" s="2"/>
      <c r="H39" s="2"/>
      <c r="I39" s="2"/>
      <c r="J39" s="2"/>
      <c r="L39" s="264"/>
      <c r="M39" s="2"/>
      <c r="N39" s="2"/>
      <c r="O39" s="2"/>
      <c r="P39" s="2"/>
      <c r="Q39" s="2"/>
      <c r="R39" s="2"/>
      <c r="S39" s="2"/>
      <c r="T39" s="2"/>
      <c r="U39" s="2"/>
      <c r="W39" s="264"/>
      <c r="X39" s="2"/>
      <c r="Y39" s="2"/>
      <c r="Z39" s="2"/>
      <c r="AA39" s="2"/>
      <c r="AB39" s="2"/>
      <c r="AC39" s="2"/>
      <c r="AD39" s="2"/>
      <c r="AE39" s="2"/>
      <c r="AF39" s="2"/>
    </row>
    <row customHeight="1" ht="13.15" r="40" spans="1:32" x14ac:dyDescent="0.2">
      <c r="A40" s="3" t="s">
        <v>45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45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45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2">
      <c r="A41" s="16">
        <v>0</v>
      </c>
      <c r="B41" s="10">
        <f>output_NHTS!B101/SUM(output_NHTS!B$101:B$104)</f>
        <v>0.91017174400624501</v>
      </c>
      <c r="C41" s="10">
        <f>output_NHTS!C101/SUM(output_NHTS!C$101:C$104)</f>
        <v>0.83432522887016525</v>
      </c>
      <c r="D41" s="10">
        <f>output_NHTS!D101/SUM(output_NHTS!D$101:D$104)</f>
        <v>0.69447173337444401</v>
      </c>
      <c r="E41" s="10">
        <f>output_NHTS!E101/SUM(output_NHTS!E$101:E$104)</f>
        <v>0.77318457093170734</v>
      </c>
      <c r="F41" s="10">
        <f>output_NHTS!F101/SUM(output_NHTS!F$101:F$104)</f>
        <v>0.92549955838133635</v>
      </c>
      <c r="G41" s="10">
        <f>output_NHTS!G101/SUM(output_NHTS!G$101:G$104)</f>
        <v>0.89283719548580665</v>
      </c>
      <c r="H41" s="10">
        <f>output_NHTS!H101/SUM(output_NHTS!H$101:H$104)</f>
        <v>0.93244490517431555</v>
      </c>
      <c r="I41" s="10" t="e">
        <f>output_NHTS!I101/SUM(output_NHTS!I$101:I$104)</f>
        <v>#DIV/0!</v>
      </c>
      <c r="J41" s="10">
        <f>output_NHTS!J101/SUM(output_NHTS!J$101:J$104)</f>
        <v>0.86684686584978965</v>
      </c>
      <c r="L41" s="16">
        <v>0</v>
      </c>
      <c r="M41" s="10">
        <f>output!B101/SUM(output!B$101:B$104)</f>
        <v>0.92051900494709604</v>
      </c>
      <c r="N41" s="10">
        <f>output!C101/SUM(output!C$101:C$104)</f>
        <v>0.85143383199079403</v>
      </c>
      <c r="O41" s="10">
        <f>output!D101/SUM(output!D$101:D$104)</f>
        <v>0.72842950652244554</v>
      </c>
      <c r="P41" s="10">
        <f>output!E101/SUM(output!E$101:E$104)</f>
        <v>0.76883916911021855</v>
      </c>
      <c r="Q41" s="10">
        <f>output!F101/SUM(output!F$101:F$104)</f>
        <v>0.92602849937338516</v>
      </c>
      <c r="R41" s="10">
        <f>output!G101/SUM(output!G$101:G$104)</f>
        <v>0.90785917624590107</v>
      </c>
      <c r="S41" s="23">
        <f>output!H101/SUM(output!H$101:H$104)</f>
        <v>0.94156206363408346</v>
      </c>
      <c r="T41" s="23" t="e">
        <f>output!I101/SUM(output!I$101:I$104)</f>
        <v>#DIV/0!</v>
      </c>
      <c r="U41" s="10">
        <f>output!J101/SUM(output!J$101:J$104)</f>
        <v>0.87840309904592917</v>
      </c>
      <c r="W41" s="16">
        <v>0</v>
      </c>
      <c r="X41" s="10">
        <f ref="X41:AF45" si="9" t="shared">M41-B41</f>
        <v>1.0347260940851033E-2</v>
      </c>
      <c r="Y41" s="10">
        <f si="9" t="shared"/>
        <v>1.7108603120628785E-2</v>
      </c>
      <c r="Z41" s="10">
        <f si="9" t="shared"/>
        <v>3.3957773148001524E-2</v>
      </c>
      <c r="AA41" s="10">
        <f si="9" t="shared"/>
        <v>-4.3454018214887924E-3</v>
      </c>
      <c r="AB41" s="10">
        <f si="9" t="shared"/>
        <v>5.2894099204880973E-4</v>
      </c>
      <c r="AC41" s="10">
        <f si="9" t="shared"/>
        <v>1.5021980760094422E-2</v>
      </c>
      <c r="AD41" s="10">
        <f si="9" t="shared"/>
        <v>9.1171584597679045E-3</v>
      </c>
      <c r="AE41" s="10" t="e">
        <f si="9" t="shared"/>
        <v>#DIV/0!</v>
      </c>
      <c r="AF41" s="10">
        <f si="9" t="shared"/>
        <v>1.155623319613952E-2</v>
      </c>
    </row>
    <row r="42" spans="1:32" x14ac:dyDescent="0.2">
      <c r="A42" s="16">
        <v>1</v>
      </c>
      <c r="B42" s="10">
        <f>output_NHTS!B102/SUM(output_NHTS!B$101:B$104)</f>
        <v>8.2523198101544917E-2</v>
      </c>
      <c r="C42" s="10">
        <f>output_NHTS!C102/SUM(output_NHTS!C$101:C$104)</f>
        <v>0.14261911379960832</v>
      </c>
      <c r="D42" s="10">
        <f>output_NHTS!D102/SUM(output_NHTS!D$101:D$104)</f>
        <v>0.25974938861764146</v>
      </c>
      <c r="E42" s="10">
        <f>output_NHTS!E102/SUM(output_NHTS!E$101:E$104)</f>
        <v>0.20091234814323342</v>
      </c>
      <c r="F42" s="10">
        <f>output_NHTS!F102/SUM(output_NHTS!F$101:F$104)</f>
        <v>6.7139468373345279E-2</v>
      </c>
      <c r="G42" s="10">
        <f>output_NHTS!G102/SUM(output_NHTS!G$101:G$104)</f>
        <v>0.10416738643586228</v>
      </c>
      <c r="H42" s="10">
        <f>output_NHTS!H102/SUM(output_NHTS!H$101:H$104)</f>
        <v>6.3646311978988221E-2</v>
      </c>
      <c r="I42" s="10" t="e">
        <f>output_NHTS!I102/SUM(output_NHTS!I$101:I$104)</f>
        <v>#DIV/0!</v>
      </c>
      <c r="J42" s="10">
        <f>output_NHTS!J102/SUM(output_NHTS!J$101:J$104)</f>
        <v>0.11869745566158346</v>
      </c>
      <c r="L42" s="16">
        <v>1</v>
      </c>
      <c r="M42" s="10">
        <f>output!B102/SUM(output!B$101:B$104)</f>
        <v>6.9872009295610993E-2</v>
      </c>
      <c r="N42" s="10">
        <f>output!C102/SUM(output!C$101:C$104)</f>
        <v>0.12695972382048332</v>
      </c>
      <c r="O42" s="10">
        <f>output!D102/SUM(output!D$101:D$104)</f>
        <v>0.22014298314841466</v>
      </c>
      <c r="P42" s="10">
        <f>output!E102/SUM(output!E$101:E$104)</f>
        <v>0.19265702387699282</v>
      </c>
      <c r="Q42" s="10">
        <f>output!F102/SUM(output!F$101:F$104)</f>
        <v>6.3357727476676007E-2</v>
      </c>
      <c r="R42" s="10">
        <f>output!G102/SUM(output!G$101:G$104)</f>
        <v>7.6790025584663621E-2</v>
      </c>
      <c r="S42" s="23">
        <f>output!H102/SUM(output!H$101:H$104)</f>
        <v>5.4761699754044046E-2</v>
      </c>
      <c r="T42" s="23" t="e">
        <f>output!I102/SUM(output!I$101:I$104)</f>
        <v>#DIV/0!</v>
      </c>
      <c r="U42" s="10">
        <f>output!J102/SUM(output!J$101:J$104)</f>
        <v>0.10351026287197355</v>
      </c>
      <c r="W42" s="16">
        <v>1</v>
      </c>
      <c r="X42" s="10">
        <f si="9" t="shared"/>
        <v>-1.2651188805933924E-2</v>
      </c>
      <c r="Y42" s="10">
        <f si="9" t="shared"/>
        <v>-1.5659389979124999E-2</v>
      </c>
      <c r="Z42" s="10">
        <f si="9" t="shared"/>
        <v>-3.9606405469226807E-2</v>
      </c>
      <c r="AA42" s="10">
        <f si="9" t="shared"/>
        <v>-8.2553242662405935E-3</v>
      </c>
      <c r="AB42" s="10">
        <f si="9" t="shared"/>
        <v>-3.7817408966692723E-3</v>
      </c>
      <c r="AC42" s="10">
        <f si="9" t="shared"/>
        <v>-2.7377360851198657E-2</v>
      </c>
      <c r="AD42" s="10">
        <f si="9" t="shared"/>
        <v>-8.8846122249441745E-3</v>
      </c>
      <c r="AE42" s="10" t="e">
        <f si="9" t="shared"/>
        <v>#DIV/0!</v>
      </c>
      <c r="AF42" s="10">
        <f si="9" t="shared"/>
        <v>-1.5187192789609907E-2</v>
      </c>
    </row>
    <row r="43" spans="1:32" x14ac:dyDescent="0.2">
      <c r="A43" s="16">
        <v>2</v>
      </c>
      <c r="B43" s="10">
        <f>output_NHTS!B103/SUM(output_NHTS!B$101:B$104)</f>
        <v>6.5638128122486811E-3</v>
      </c>
      <c r="C43" s="10">
        <f>output_NHTS!C103/SUM(output_NHTS!C$101:C$104)</f>
        <v>2.2488491600746358E-2</v>
      </c>
      <c r="D43" s="10">
        <f>output_NHTS!D103/SUM(output_NHTS!D$101:D$104)</f>
        <v>4.1042196204410457E-2</v>
      </c>
      <c r="E43" s="10">
        <f>output_NHTS!E103/SUM(output_NHTS!E$101:E$104)</f>
        <v>2.3937522614209936E-2</v>
      </c>
      <c r="F43" s="10">
        <f>output_NHTS!F103/SUM(output_NHTS!F$101:F$104)</f>
        <v>6.9385988070295194E-3</v>
      </c>
      <c r="G43" s="10">
        <f>output_NHTS!G103/SUM(output_NHTS!G$101:G$104)</f>
        <v>2.9954180783310787E-3</v>
      </c>
      <c r="H43" s="10">
        <f>output_NHTS!H103/SUM(output_NHTS!H$101:H$104)</f>
        <v>2.0447941103743685E-3</v>
      </c>
      <c r="I43" s="10" t="e">
        <f>output_NHTS!I103/SUM(output_NHTS!I$101:I$104)</f>
        <v>#DIV/0!</v>
      </c>
      <c r="J43" s="10">
        <f>output_NHTS!J103/SUM(output_NHTS!J$101:J$104)</f>
        <v>1.2962354573662746E-2</v>
      </c>
      <c r="L43" s="16">
        <v>2</v>
      </c>
      <c r="M43" s="10">
        <f>output!B103/SUM(output!B$101:B$104)</f>
        <v>8.6242613099534633E-3</v>
      </c>
      <c r="N43" s="10">
        <f>output!C103/SUM(output!C$101:C$104)</f>
        <v>1.9341772151898733E-2</v>
      </c>
      <c r="O43" s="10">
        <f>output!D103/SUM(output!D$101:D$104)</f>
        <v>4.5931015273199947E-2</v>
      </c>
      <c r="P43" s="10">
        <f>output!E103/SUM(output!E$101:E$104)</f>
        <v>3.4536628637606877E-2</v>
      </c>
      <c r="Q43" s="10">
        <f>output!F103/SUM(output!F$101:F$104)</f>
        <v>9.5152631008927329E-3</v>
      </c>
      <c r="R43" s="10">
        <f>output!G103/SUM(output!G$101:G$104)</f>
        <v>1.4071564988649058E-2</v>
      </c>
      <c r="S43" s="23">
        <f>output!H103/SUM(output!H$101:H$104)</f>
        <v>3.3205925404591928E-3</v>
      </c>
      <c r="T43" s="23" t="e">
        <f>output!I103/SUM(output!I$101:I$104)</f>
        <v>#DIV/0!</v>
      </c>
      <c r="U43" s="10">
        <f>output!J103/SUM(output!J$101:J$104)</f>
        <v>1.6212014238308797E-2</v>
      </c>
      <c r="W43" s="16">
        <v>2</v>
      </c>
      <c r="X43" s="10">
        <f si="9" t="shared"/>
        <v>2.0604484977047822E-3</v>
      </c>
      <c r="Y43" s="10">
        <f si="9" t="shared"/>
        <v>-3.1467194488476249E-3</v>
      </c>
      <c r="Z43" s="10">
        <f si="9" t="shared"/>
        <v>4.8888190687894906E-3</v>
      </c>
      <c r="AA43" s="10">
        <f si="9" t="shared"/>
        <v>1.0599106023396941E-2</v>
      </c>
      <c r="AB43" s="10">
        <f si="9" t="shared"/>
        <v>2.5766642938632135E-3</v>
      </c>
      <c r="AC43" s="10">
        <f si="9" t="shared"/>
        <v>1.1076146910317979E-2</v>
      </c>
      <c r="AD43" s="10">
        <f si="9" t="shared"/>
        <v>1.2757984300848244E-3</v>
      </c>
      <c r="AE43" s="10" t="e">
        <f si="9" t="shared"/>
        <v>#DIV/0!</v>
      </c>
      <c r="AF43" s="10">
        <f si="9" t="shared"/>
        <v>3.2496596646460502E-3</v>
      </c>
    </row>
    <row r="44" spans="1:32" x14ac:dyDescent="0.2">
      <c r="A44" s="19" t="s">
        <v>94</v>
      </c>
      <c r="B44" s="10">
        <f>output_NHTS!B104/SUM(output_NHTS!B$101:B$104)</f>
        <v>7.4124507996132919E-4</v>
      </c>
      <c r="C44" s="10">
        <f>output_NHTS!C104/SUM(output_NHTS!C$101:C$104)</f>
        <v>5.6716572948009483E-4</v>
      </c>
      <c r="D44" s="10">
        <f>output_NHTS!D104/SUM(output_NHTS!D$101:D$104)</f>
        <v>4.7366818035040944E-3</v>
      </c>
      <c r="E44" s="10">
        <f>output_NHTS!E104/SUM(output_NHTS!E$101:E$104)</f>
        <v>1.9655583108493979E-3</v>
      </c>
      <c r="F44" s="10">
        <f>output_NHTS!F104/SUM(output_NHTS!F$101:F$104)</f>
        <v>4.2237443828884629E-4</v>
      </c>
      <c r="G44" s="10">
        <f>output_NHTS!G104/SUM(output_NHTS!G$101:G$104)</f>
        <v>0</v>
      </c>
      <c r="H44" s="10">
        <f>output_NHTS!H104/SUM(output_NHTS!H$101:H$104)</f>
        <v>1.8639887363218163E-3</v>
      </c>
      <c r="I44" s="10" t="e">
        <f>output_NHTS!I104/SUM(output_NHTS!I$101:I$104)</f>
        <v>#DIV/0!</v>
      </c>
      <c r="J44" s="10">
        <f>output_NHTS!J104/SUM(output_NHTS!J$101:J$104)</f>
        <v>1.4933239149640923E-3</v>
      </c>
      <c r="L44" s="19" t="s">
        <v>94</v>
      </c>
      <c r="M44" s="11">
        <f>output!B104/SUM(output!B$101:B$104)</f>
        <v>9.8472444733954212E-4</v>
      </c>
      <c r="N44" s="11">
        <f>output!C104/SUM(output!C$101:C$104)</f>
        <v>2.2646720368239355E-3</v>
      </c>
      <c r="O44" s="11">
        <f>output!D104/SUM(output!D$101:D$104)</f>
        <v>5.4964950559398358E-3</v>
      </c>
      <c r="P44" s="11">
        <f>output!E104/SUM(output!E$101:E$104)</f>
        <v>3.967178375181726E-3</v>
      </c>
      <c r="Q44" s="11">
        <f>output!F104/SUM(output!F$101:F$104)</f>
        <v>1.0985100490461528E-3</v>
      </c>
      <c r="R44" s="11">
        <f>output!G104/SUM(output!G$101:G$104)</f>
        <v>1.2792331807862779E-3</v>
      </c>
      <c r="S44" s="25">
        <f>output!H104/SUM(output!H$101:H$104)</f>
        <v>3.5564407141332953E-4</v>
      </c>
      <c r="T44" s="25" t="e">
        <f>output!I104/SUM(output!I$101:I$104)</f>
        <v>#DIV/0!</v>
      </c>
      <c r="U44" s="11">
        <f>output!J104/SUM(output!J$101:J$104)</f>
        <v>1.874623843788518E-3</v>
      </c>
      <c r="W44" s="19" t="s">
        <v>94</v>
      </c>
      <c r="X44" s="10">
        <f si="9" t="shared"/>
        <v>2.4347936737821292E-4</v>
      </c>
      <c r="Y44" s="10">
        <f si="9" t="shared"/>
        <v>1.6975063073438406E-3</v>
      </c>
      <c r="Z44" s="10">
        <f si="9" t="shared"/>
        <v>7.5981325243574139E-4</v>
      </c>
      <c r="AA44" s="10">
        <f si="9" t="shared"/>
        <v>2.0016200643323281E-3</v>
      </c>
      <c r="AB44" s="10">
        <f si="9" t="shared"/>
        <v>6.7613561075730651E-4</v>
      </c>
      <c r="AC44" s="10">
        <f si="9" t="shared"/>
        <v>1.2792331807862779E-3</v>
      </c>
      <c r="AD44" s="10">
        <f si="9" t="shared"/>
        <v>-1.5083446649084868E-3</v>
      </c>
      <c r="AE44" s="10" t="e">
        <f si="9" t="shared"/>
        <v>#DIV/0!</v>
      </c>
      <c r="AF44" s="10">
        <f si="9" t="shared"/>
        <v>3.8129992882442567E-4</v>
      </c>
    </row>
    <row customHeight="1" ht="13.15" r="45" spans="1:32" thickBot="1" x14ac:dyDescent="0.25">
      <c r="A45" s="17" t="s">
        <v>4</v>
      </c>
      <c r="B45" s="12">
        <f ref="B45:J45" si="10" t="shared">SUM(B41:B44)</f>
        <v>1</v>
      </c>
      <c r="C45" s="12">
        <f si="10" t="shared"/>
        <v>1</v>
      </c>
      <c r="D45" s="12">
        <f si="10" t="shared"/>
        <v>1</v>
      </c>
      <c r="E45" s="12">
        <f si="10" t="shared"/>
        <v>1</v>
      </c>
      <c r="F45" s="12">
        <f si="10" t="shared"/>
        <v>1</v>
      </c>
      <c r="G45" s="12">
        <f si="10" t="shared"/>
        <v>1</v>
      </c>
      <c r="H45" s="12">
        <f si="10" t="shared"/>
        <v>0.99999999999999989</v>
      </c>
      <c r="I45" s="12" t="e">
        <f si="10" t="shared"/>
        <v>#DIV/0!</v>
      </c>
      <c r="J45" s="12">
        <f si="10" t="shared"/>
        <v>0.99999999999999989</v>
      </c>
      <c r="L45" s="17" t="s">
        <v>4</v>
      </c>
      <c r="M45" s="12">
        <f ref="M45:U45" si="11" t="shared">SUM(M41:M44)</f>
        <v>1</v>
      </c>
      <c r="N45" s="12">
        <f si="11" t="shared"/>
        <v>0.99999999999999989</v>
      </c>
      <c r="O45" s="12">
        <f si="11" t="shared"/>
        <v>1</v>
      </c>
      <c r="P45" s="12">
        <f si="11" t="shared"/>
        <v>0.99999999999999989</v>
      </c>
      <c r="Q45" s="12">
        <f si="11" t="shared"/>
        <v>1</v>
      </c>
      <c r="R45" s="12">
        <f si="11" t="shared"/>
        <v>1</v>
      </c>
      <c r="S45" s="12">
        <f si="11" t="shared"/>
        <v>1</v>
      </c>
      <c r="T45" s="12" t="e">
        <f si="11" t="shared"/>
        <v>#DIV/0!</v>
      </c>
      <c r="U45" s="12">
        <f si="11" t="shared"/>
        <v>1</v>
      </c>
      <c r="W45" s="17" t="s">
        <v>4</v>
      </c>
      <c r="X45" s="12">
        <f si="9" t="shared"/>
        <v>0</v>
      </c>
      <c r="Y45" s="12">
        <f si="9" t="shared"/>
        <v>0</v>
      </c>
      <c r="Z45" s="12">
        <f si="9" t="shared"/>
        <v>0</v>
      </c>
      <c r="AA45" s="12">
        <f si="9" t="shared"/>
        <v>0</v>
      </c>
      <c r="AB45" s="12">
        <f si="9" t="shared"/>
        <v>0</v>
      </c>
      <c r="AC45" s="12">
        <f si="9" t="shared"/>
        <v>0</v>
      </c>
      <c r="AD45" s="12">
        <f si="9" t="shared"/>
        <v>0</v>
      </c>
      <c r="AE45" s="12" t="e">
        <f si="9" t="shared"/>
        <v>#DIV/0!</v>
      </c>
      <c r="AF45" s="12">
        <f si="9" t="shared"/>
        <v>0</v>
      </c>
    </row>
    <row r="46" spans="1:32" x14ac:dyDescent="0.2">
      <c r="B46" s="10"/>
      <c r="C46" s="10"/>
      <c r="D46" s="10"/>
      <c r="E46" s="10"/>
      <c r="F46" s="10"/>
      <c r="G46" s="10"/>
      <c r="H46" s="10"/>
      <c r="I46" s="10"/>
      <c r="J46" s="10"/>
      <c r="M46" s="10"/>
      <c r="N46" s="10"/>
      <c r="O46" s="10"/>
      <c r="P46" s="10"/>
      <c r="Q46" s="10"/>
      <c r="R46" s="10"/>
      <c r="S46" s="10"/>
      <c r="T46" s="10"/>
      <c r="U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x14ac:dyDescent="0.2">
      <c r="B47" s="10"/>
      <c r="C47" s="10"/>
      <c r="D47" s="10"/>
      <c r="E47" s="10"/>
      <c r="F47" s="10"/>
      <c r="G47" s="10"/>
      <c r="H47" s="10"/>
      <c r="I47" s="10"/>
      <c r="J47" s="10"/>
      <c r="M47" s="10"/>
      <c r="N47" s="10"/>
      <c r="O47" s="10"/>
      <c r="P47" s="10"/>
      <c r="Q47" s="10"/>
      <c r="R47" s="10"/>
      <c r="S47" s="10"/>
      <c r="T47" s="10"/>
      <c r="U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x14ac:dyDescent="0.2">
      <c r="B48" s="10"/>
      <c r="C48" s="10"/>
      <c r="D48" s="10"/>
      <c r="E48" s="10"/>
      <c r="F48" s="10"/>
      <c r="G48" s="10"/>
      <c r="H48" s="10"/>
      <c r="I48" s="10"/>
      <c r="J48" s="10"/>
      <c r="M48" s="10"/>
      <c r="N48" s="10"/>
      <c r="O48" s="10"/>
      <c r="P48" s="10"/>
      <c r="Q48" s="10"/>
      <c r="R48" s="10"/>
      <c r="S48" s="10"/>
      <c r="T48" s="10"/>
      <c r="U48" s="10"/>
      <c r="X48" s="10"/>
      <c r="Y48" s="10"/>
      <c r="Z48" s="10"/>
      <c r="AA48" s="10"/>
      <c r="AB48" s="10"/>
      <c r="AC48" s="10"/>
      <c r="AD48" s="10"/>
      <c r="AE48" s="10"/>
      <c r="AF48" s="10"/>
    </row>
    <row customHeight="1" ht="13.15" r="49" spans="1:32" x14ac:dyDescent="0.2">
      <c r="A49" s="264" t="s">
        <v>41</v>
      </c>
      <c r="B49" s="10"/>
      <c r="C49" s="10"/>
      <c r="D49" s="10"/>
      <c r="E49" s="10"/>
      <c r="F49" s="10"/>
      <c r="G49" s="10"/>
      <c r="H49" s="10"/>
      <c r="I49" s="10"/>
      <c r="J49" s="10"/>
      <c r="L49" s="264" t="s">
        <v>41</v>
      </c>
      <c r="M49" s="10"/>
      <c r="N49" s="10"/>
      <c r="O49" s="10"/>
      <c r="P49" s="10"/>
      <c r="Q49" s="10"/>
      <c r="R49" s="10"/>
      <c r="S49" s="10"/>
      <c r="T49" s="10"/>
      <c r="U49" s="10"/>
      <c r="W49" s="264" t="s">
        <v>41</v>
      </c>
      <c r="X49" s="10"/>
      <c r="Y49" s="10"/>
      <c r="Z49" s="10"/>
      <c r="AA49" s="10"/>
      <c r="AB49" s="10"/>
      <c r="AC49" s="10"/>
      <c r="AD49" s="10"/>
      <c r="AE49" s="10"/>
      <c r="AF49" s="10"/>
    </row>
    <row customHeight="1" ht="13.15" r="50" spans="1:32" x14ac:dyDescent="0.2">
      <c r="A50" s="264" t="s">
        <v>125</v>
      </c>
      <c r="B50" s="10"/>
      <c r="C50" s="10"/>
      <c r="D50" s="10"/>
      <c r="E50" s="10"/>
      <c r="F50" s="10"/>
      <c r="G50" s="10"/>
      <c r="H50" s="10"/>
      <c r="I50" s="10"/>
      <c r="J50" s="10"/>
      <c r="L50" s="264" t="s">
        <v>126</v>
      </c>
      <c r="M50" s="10"/>
      <c r="N50" s="10"/>
      <c r="O50" s="10"/>
      <c r="P50" s="10"/>
      <c r="Q50" s="10"/>
      <c r="R50" s="10"/>
      <c r="S50" s="10"/>
      <c r="T50" s="10"/>
      <c r="U50" s="10"/>
      <c r="W50" s="264" t="s">
        <v>127</v>
      </c>
      <c r="X50" s="10"/>
      <c r="Y50" s="10"/>
      <c r="Z50" s="10"/>
      <c r="AA50" s="10"/>
      <c r="AB50" s="10"/>
      <c r="AC50" s="10"/>
      <c r="AD50" s="10"/>
      <c r="AE50" s="10"/>
      <c r="AF50" s="10"/>
    </row>
    <row customHeight="1" ht="13.5" r="51" spans="1:32" thickBot="1" x14ac:dyDescent="0.25">
      <c r="A51" s="264"/>
      <c r="B51" s="2"/>
      <c r="C51" s="2"/>
      <c r="D51" s="2"/>
      <c r="E51" s="2"/>
      <c r="F51" s="2"/>
      <c r="G51" s="2"/>
      <c r="H51" s="2"/>
      <c r="I51" s="2"/>
      <c r="J51" s="2"/>
      <c r="L51" s="264"/>
      <c r="M51" s="2"/>
      <c r="N51" s="2"/>
      <c r="O51" s="2"/>
      <c r="P51" s="2"/>
      <c r="Q51" s="2"/>
      <c r="R51" s="2"/>
      <c r="S51" s="2"/>
      <c r="T51" s="2"/>
      <c r="U51" s="2"/>
      <c r="W51" s="264"/>
      <c r="X51" s="2"/>
      <c r="Y51" s="2"/>
      <c r="Z51" s="2"/>
      <c r="AA51" s="2"/>
      <c r="AB51" s="2"/>
      <c r="AC51" s="2"/>
      <c r="AD51" s="2"/>
      <c r="AE51" s="2"/>
      <c r="AF51" s="2"/>
    </row>
    <row customHeight="1" ht="13.15" r="52" spans="1:32" x14ac:dyDescent="0.2">
      <c r="A52" s="3" t="s">
        <v>45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45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45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2">
      <c r="A53" s="16">
        <v>0</v>
      </c>
      <c r="B53" s="10">
        <f>output_NHTS!B108/SUM(output_NHTS!B$108:B$111)</f>
        <v>0.93891111204830979</v>
      </c>
      <c r="C53" s="10">
        <f>output_NHTS!C108/SUM(output_NHTS!C$108:C$111)</f>
        <v>0.86790099970618761</v>
      </c>
      <c r="D53" s="10">
        <f>output_NHTS!D108/SUM(output_NHTS!D$108:D$111)</f>
        <v>0.80923881401633269</v>
      </c>
      <c r="E53" s="10">
        <f>output_NHTS!E108/SUM(output_NHTS!E$108:E$111)</f>
        <v>0.79449446925599509</v>
      </c>
      <c r="F53" s="10">
        <f>output_NHTS!F108/SUM(output_NHTS!F$108:F$111)</f>
        <v>0.92815276017215853</v>
      </c>
      <c r="G53" s="10">
        <f>output_NHTS!G108/SUM(output_NHTS!G$108:G$111)</f>
        <v>0.96549498217182972</v>
      </c>
      <c r="H53" s="10">
        <f>output_NHTS!H108/SUM(output_NHTS!H$108:H$111)</f>
        <v>0.96688524535157316</v>
      </c>
      <c r="I53" s="10" t="e">
        <f>output_NHTS!I108/SUM(output_NHTS!I$108:I$111)</f>
        <v>#DIV/0!</v>
      </c>
      <c r="J53" s="10">
        <f>output_NHTS!J108/SUM(output_NHTS!J$108:J$111)</f>
        <v>0.90680986629279647</v>
      </c>
      <c r="L53" s="16">
        <v>0</v>
      </c>
      <c r="M53" s="10">
        <f>output!B108/SUM(output!B$108:B$111)</f>
        <v>0.94487303627283559</v>
      </c>
      <c r="N53" s="10">
        <f>output!C108/SUM(output!C$108:C$111)</f>
        <v>0.87107019562715771</v>
      </c>
      <c r="O53" s="10">
        <f>output!D108/SUM(output!D$108:D$111)</f>
        <v>0.805970010677313</v>
      </c>
      <c r="P53" s="10">
        <f>output!E108/SUM(output!E$108:E$111)</f>
        <v>0.80983663110169279</v>
      </c>
      <c r="Q53" s="10">
        <f>output!F108/SUM(output!F$108:F$111)</f>
        <v>0.9111444618074358</v>
      </c>
      <c r="R53" s="10">
        <f>output!G108/SUM(output!G$108:G$111)</f>
        <v>0.96405534935677994</v>
      </c>
      <c r="S53" s="23">
        <f>output!H108/SUM(output!H$108:H$111)</f>
        <v>0.9694220971020624</v>
      </c>
      <c r="T53" s="23" t="e">
        <f>output!I108/SUM(output!I$108:I$111)</f>
        <v>#DIV/0!</v>
      </c>
      <c r="U53" s="10">
        <f>output!J108/SUM(output!J$108:J$111)</f>
        <v>0.91096074613539302</v>
      </c>
      <c r="W53" s="16">
        <v>0</v>
      </c>
      <c r="X53" s="10">
        <f ref="X53:AF57" si="12" t="shared">M53-B53</f>
        <v>5.9619242245257942E-3</v>
      </c>
      <c r="Y53" s="10">
        <f si="12" t="shared"/>
        <v>3.1691959209700915E-3</v>
      </c>
      <c r="Z53" s="10">
        <f si="12" t="shared"/>
        <v>-3.268803339019688E-3</v>
      </c>
      <c r="AA53" s="10">
        <f si="12" t="shared"/>
        <v>1.5342161845697699E-2</v>
      </c>
      <c r="AB53" s="10">
        <f si="12" t="shared"/>
        <v>-1.7008298364722729E-2</v>
      </c>
      <c r="AC53" s="10">
        <f si="12" t="shared"/>
        <v>-1.4396328150497739E-3</v>
      </c>
      <c r="AD53" s="10">
        <f si="12" t="shared"/>
        <v>2.5368517504892329E-3</v>
      </c>
      <c r="AE53" s="10" t="e">
        <f si="12" t="shared"/>
        <v>#DIV/0!</v>
      </c>
      <c r="AF53" s="10">
        <f si="12" t="shared"/>
        <v>4.1508798425965443E-3</v>
      </c>
    </row>
    <row r="54" spans="1:32" x14ac:dyDescent="0.2">
      <c r="A54" s="16">
        <v>1</v>
      </c>
      <c r="B54" s="10">
        <f>output_NHTS!B109/SUM(output_NHTS!B$108:B$111)</f>
        <v>5.8346598986700436E-2</v>
      </c>
      <c r="C54" s="10">
        <f>output_NHTS!C109/SUM(output_NHTS!C$108:C$111)</f>
        <v>0.11873486876794784</v>
      </c>
      <c r="D54" s="10">
        <f>output_NHTS!D109/SUM(output_NHTS!D$108:D$111)</f>
        <v>0.174033706973441</v>
      </c>
      <c r="E54" s="10">
        <f>output_NHTS!E109/SUM(output_NHTS!E$108:E$111)</f>
        <v>0.19342625368217778</v>
      </c>
      <c r="F54" s="10">
        <f>output_NHTS!F109/SUM(output_NHTS!F$108:F$111)</f>
        <v>5.566693987451591E-2</v>
      </c>
      <c r="G54" s="10">
        <f>output_NHTS!G109/SUM(output_NHTS!G$108:G$111)</f>
        <v>3.4505017828170219E-2</v>
      </c>
      <c r="H54" s="10">
        <f>output_NHTS!H109/SUM(output_NHTS!H$108:H$111)</f>
        <v>3.3114754648426739E-2</v>
      </c>
      <c r="I54" s="10" t="e">
        <f>output_NHTS!I109/SUM(output_NHTS!I$108:I$111)</f>
        <v>#DIV/0!</v>
      </c>
      <c r="J54" s="10">
        <f>output_NHTS!J109/SUM(output_NHTS!J$108:J$111)</f>
        <v>8.7025410150536678E-2</v>
      </c>
      <c r="L54" s="16">
        <v>1</v>
      </c>
      <c r="M54" s="10">
        <f>output!B109/SUM(output!B$108:B$111)</f>
        <v>5.3182162285875252E-2</v>
      </c>
      <c r="N54" s="10">
        <f>output!C109/SUM(output!C$108:C$111)</f>
        <v>0.12313924050632911</v>
      </c>
      <c r="O54" s="10">
        <f>output!D109/SUM(output!D$108:D$111)</f>
        <v>0.18405830741376908</v>
      </c>
      <c r="P54" s="10">
        <f>output!E109/SUM(output!E$108:E$111)</f>
        <v>0.18140600744153956</v>
      </c>
      <c r="Q54" s="10">
        <f>output!F109/SUM(output!F$108:F$111)</f>
        <v>8.4337722216205349E-2</v>
      </c>
      <c r="R54" s="10">
        <f>output!G109/SUM(output!G$108:G$111)</f>
        <v>3.4196965875103597E-2</v>
      </c>
      <c r="S54" s="23">
        <f>output!H109/SUM(output!H$108:H$111)</f>
        <v>3.0360772833285289E-2</v>
      </c>
      <c r="T54" s="23" t="e">
        <f>output!I109/SUM(output!I$108:I$111)</f>
        <v>#DIV/0!</v>
      </c>
      <c r="U54" s="10">
        <f>output!J109/SUM(output!J$108:J$111)</f>
        <v>8.5269623676765258E-2</v>
      </c>
      <c r="W54" s="16">
        <v>1</v>
      </c>
      <c r="X54" s="10">
        <f si="12" t="shared"/>
        <v>-5.164436700825184E-3</v>
      </c>
      <c r="Y54" s="10">
        <f si="12" t="shared"/>
        <v>4.4043717383812769E-3</v>
      </c>
      <c r="Z54" s="10">
        <f si="12" t="shared"/>
        <v>1.0024600440328074E-2</v>
      </c>
      <c r="AA54" s="10">
        <f si="12" t="shared"/>
        <v>-1.2020246240638216E-2</v>
      </c>
      <c r="AB54" s="10">
        <f si="12" t="shared"/>
        <v>2.8670782341689439E-2</v>
      </c>
      <c r="AC54" s="10">
        <f si="12" t="shared"/>
        <v>-3.0805195306662231E-4</v>
      </c>
      <c r="AD54" s="10">
        <f si="12" t="shared"/>
        <v>-2.75398181514145E-3</v>
      </c>
      <c r="AE54" s="10" t="e">
        <f si="12" t="shared"/>
        <v>#DIV/0!</v>
      </c>
      <c r="AF54" s="10">
        <f si="12" t="shared"/>
        <v>-1.7557864737714202E-3</v>
      </c>
    </row>
    <row r="55" spans="1:32" x14ac:dyDescent="0.2">
      <c r="A55" s="16">
        <v>2</v>
      </c>
      <c r="B55" s="10">
        <f>output_NHTS!B110/SUM(output_NHTS!B$108:B$111)</f>
        <v>2.7422889649897368E-3</v>
      </c>
      <c r="C55" s="10">
        <f>output_NHTS!C110/SUM(output_NHTS!C$108:C$111)</f>
        <v>1.0108914209506284E-2</v>
      </c>
      <c r="D55" s="10">
        <f>output_NHTS!D110/SUM(output_NHTS!D$108:D$111)</f>
        <v>1.6489646675611327E-2</v>
      </c>
      <c r="E55" s="10">
        <f>output_NHTS!E110/SUM(output_NHTS!E$108:E$111)</f>
        <v>1.2079277061827235E-2</v>
      </c>
      <c r="F55" s="10">
        <f>output_NHTS!F110/SUM(output_NHTS!F$108:F$111)</f>
        <v>1.6180299953325521E-2</v>
      </c>
      <c r="G55" s="10">
        <f>output_NHTS!G110/SUM(output_NHTS!G$108:G$111)</f>
        <v>0</v>
      </c>
      <c r="H55" s="10">
        <f>output_NHTS!H110/SUM(output_NHTS!H$108:H$111)</f>
        <v>0</v>
      </c>
      <c r="I55" s="10" t="e">
        <f>output_NHTS!I110/SUM(output_NHTS!I$108:I$111)</f>
        <v>#DIV/0!</v>
      </c>
      <c r="J55" s="10">
        <f>output_NHTS!J110/SUM(output_NHTS!J$108:J$111)</f>
        <v>5.9355169940742145E-3</v>
      </c>
      <c r="L55" s="16">
        <v>2</v>
      </c>
      <c r="M55" s="10">
        <f>output!B110/SUM(output!B$108:B$111)</f>
        <v>1.8368221216762616E-3</v>
      </c>
      <c r="N55" s="10">
        <f>output!C110/SUM(output!C$108:C$111)</f>
        <v>5.551208285385501E-3</v>
      </c>
      <c r="O55" s="10">
        <f>output!D110/SUM(output!D$108:D$111)</f>
        <v>9.3635392971542636E-3</v>
      </c>
      <c r="P55" s="10">
        <f>output!E110/SUM(output!E$108:E$111)</f>
        <v>8.2251188921469588E-3</v>
      </c>
      <c r="Q55" s="10">
        <f>output!F110/SUM(output!F$108:F$111)</f>
        <v>4.223848498445067E-3</v>
      </c>
      <c r="R55" s="10">
        <f>output!G110/SUM(output!G$108:G$111)</f>
        <v>1.639580555655652E-3</v>
      </c>
      <c r="S55" s="23">
        <f>output!H110/SUM(output!H$108:H$111)</f>
        <v>2.1713006465234855E-4</v>
      </c>
      <c r="T55" s="23" t="e">
        <f>output!I110/SUM(output!I$108:I$111)</f>
        <v>#DIV/0!</v>
      </c>
      <c r="U55" s="10">
        <f>output!J110/SUM(output!J$108:J$111)</f>
        <v>3.5533492128108544E-3</v>
      </c>
      <c r="W55" s="16">
        <v>2</v>
      </c>
      <c r="X55" s="10">
        <f si="12" t="shared"/>
        <v>-9.0546684331347521E-4</v>
      </c>
      <c r="Y55" s="10">
        <f si="12" t="shared"/>
        <v>-4.5577059241207829E-3</v>
      </c>
      <c r="Z55" s="10">
        <f si="12" t="shared"/>
        <v>-7.1261073784570639E-3</v>
      </c>
      <c r="AA55" s="10">
        <f si="12" t="shared"/>
        <v>-3.8541581696802767E-3</v>
      </c>
      <c r="AB55" s="10">
        <f si="12" t="shared"/>
        <v>-1.1956451454880454E-2</v>
      </c>
      <c r="AC55" s="10">
        <f si="12" t="shared"/>
        <v>1.639580555655652E-3</v>
      </c>
      <c r="AD55" s="10">
        <f si="12" t="shared"/>
        <v>2.1713006465234855E-4</v>
      </c>
      <c r="AE55" s="10" t="e">
        <f si="12" t="shared"/>
        <v>#DIV/0!</v>
      </c>
      <c r="AF55" s="10">
        <f si="12" t="shared"/>
        <v>-2.3821677812633601E-3</v>
      </c>
    </row>
    <row r="56" spans="1:32" x14ac:dyDescent="0.2">
      <c r="A56" s="19" t="s">
        <v>94</v>
      </c>
      <c r="B56" s="10">
        <f>output_NHTS!B111/SUM(output_NHTS!B$108:B$111)</f>
        <v>0</v>
      </c>
      <c r="C56" s="10">
        <f>output_NHTS!C111/SUM(output_NHTS!C$108:C$111)</f>
        <v>3.2552173163582876E-3</v>
      </c>
      <c r="D56" s="10">
        <f>output_NHTS!D111/SUM(output_NHTS!D$108:D$111)</f>
        <v>2.378323346150951E-4</v>
      </c>
      <c r="E56" s="10">
        <f>output_NHTS!E111/SUM(output_NHTS!E$108:E$111)</f>
        <v>0</v>
      </c>
      <c r="F56" s="10">
        <f>output_NHTS!F111/SUM(output_NHTS!F$108:F$111)</f>
        <v>0</v>
      </c>
      <c r="G56" s="10">
        <f>output_NHTS!G111/SUM(output_NHTS!G$108:G$111)</f>
        <v>0</v>
      </c>
      <c r="H56" s="10">
        <f>output_NHTS!H111/SUM(output_NHTS!H$108:H$111)</f>
        <v>0</v>
      </c>
      <c r="I56" s="10" t="e">
        <f>output_NHTS!I111/SUM(output_NHTS!I$108:I$111)</f>
        <v>#DIV/0!</v>
      </c>
      <c r="J56" s="10">
        <f>output_NHTS!J111/SUM(output_NHTS!J$108:J$111)</f>
        <v>2.2920656259259556E-4</v>
      </c>
      <c r="L56" s="19" t="s">
        <v>94</v>
      </c>
      <c r="M56" s="11">
        <f>output!B111/SUM(output!B$108:B$111)</f>
        <v>1.0797931961291761E-4</v>
      </c>
      <c r="N56" s="11">
        <f>output!C111/SUM(output!C$108:C$111)</f>
        <v>2.3935558112773303E-4</v>
      </c>
      <c r="O56" s="11">
        <f>output!D111/SUM(output!D$108:D$111)</f>
        <v>6.0814261176361361E-4</v>
      </c>
      <c r="P56" s="11">
        <f>output!E111/SUM(output!E$108:E$111)</f>
        <v>5.3224256462065399E-4</v>
      </c>
      <c r="Q56" s="11">
        <f>output!F111/SUM(output!F$108:F$111)</f>
        <v>2.939674779137592E-4</v>
      </c>
      <c r="R56" s="11">
        <f>output!G111/SUM(output!G$108:G$111)</f>
        <v>1.0810421246081223E-4</v>
      </c>
      <c r="S56" s="25">
        <f>output!H111/SUM(output!H$108:H$111)</f>
        <v>0</v>
      </c>
      <c r="T56" s="25" t="e">
        <f>output!I111/SUM(output!I$108:I$111)</f>
        <v>#DIV/0!</v>
      </c>
      <c r="U56" s="11">
        <f>output!J111/SUM(output!J$108:J$111)</f>
        <v>2.1628097503087099E-4</v>
      </c>
      <c r="W56" s="19" t="s">
        <v>94</v>
      </c>
      <c r="X56" s="10">
        <f si="12" t="shared"/>
        <v>1.0797931961291761E-4</v>
      </c>
      <c r="Y56" s="10">
        <f si="12" t="shared"/>
        <v>-3.0158617352305547E-3</v>
      </c>
      <c r="Z56" s="10">
        <f si="12" t="shared"/>
        <v>3.7031027714851854E-4</v>
      </c>
      <c r="AA56" s="10">
        <f si="12" t="shared"/>
        <v>5.3224256462065399E-4</v>
      </c>
      <c r="AB56" s="10">
        <f si="12" t="shared"/>
        <v>2.939674779137592E-4</v>
      </c>
      <c r="AC56" s="10">
        <f si="12" t="shared"/>
        <v>1.0810421246081223E-4</v>
      </c>
      <c r="AD56" s="10">
        <f si="12" t="shared"/>
        <v>0</v>
      </c>
      <c r="AE56" s="10" t="e">
        <f si="12" t="shared"/>
        <v>#DIV/0!</v>
      </c>
      <c r="AF56" s="10">
        <f si="12" t="shared"/>
        <v>-1.2925587561724564E-5</v>
      </c>
    </row>
    <row customHeight="1" ht="13.15" r="57" spans="1:32" thickBot="1" x14ac:dyDescent="0.25">
      <c r="A57" s="17" t="s">
        <v>4</v>
      </c>
      <c r="B57" s="12">
        <f ref="B57:J57" si="13" t="shared">SUM(B53:B56)</f>
        <v>1</v>
      </c>
      <c r="C57" s="12">
        <f si="13" t="shared"/>
        <v>1</v>
      </c>
      <c r="D57" s="12">
        <f si="13" t="shared"/>
        <v>1.0000000000000002</v>
      </c>
      <c r="E57" s="12">
        <f si="13" t="shared"/>
        <v>1.0000000000000002</v>
      </c>
      <c r="F57" s="12">
        <f si="13" t="shared"/>
        <v>0.99999999999999989</v>
      </c>
      <c r="G57" s="12">
        <f si="13" t="shared"/>
        <v>0.99999999999999989</v>
      </c>
      <c r="H57" s="12">
        <f si="13" t="shared"/>
        <v>0.99999999999999989</v>
      </c>
      <c r="I57" s="12" t="e">
        <f si="13" t="shared"/>
        <v>#DIV/0!</v>
      </c>
      <c r="J57" s="12">
        <f si="13" t="shared"/>
        <v>1</v>
      </c>
      <c r="L57" s="17" t="s">
        <v>4</v>
      </c>
      <c r="M57" s="12">
        <f ref="M57:U57" si="14" t="shared">SUM(M53:M56)</f>
        <v>1</v>
      </c>
      <c r="N57" s="12">
        <f si="14" t="shared"/>
        <v>1</v>
      </c>
      <c r="O57" s="12">
        <f si="14" t="shared"/>
        <v>0.99999999999999989</v>
      </c>
      <c r="P57" s="12">
        <f si="14" t="shared"/>
        <v>1</v>
      </c>
      <c r="Q57" s="12">
        <f si="14" t="shared"/>
        <v>1</v>
      </c>
      <c r="R57" s="12">
        <f si="14" t="shared"/>
        <v>0.99999999999999989</v>
      </c>
      <c r="S57" s="12">
        <f si="14" t="shared"/>
        <v>1</v>
      </c>
      <c r="T57" s="12" t="e">
        <f si="14" t="shared"/>
        <v>#DIV/0!</v>
      </c>
      <c r="U57" s="12">
        <f si="14" t="shared"/>
        <v>1</v>
      </c>
      <c r="W57" s="17" t="s">
        <v>4</v>
      </c>
      <c r="X57" s="12">
        <f si="12" t="shared"/>
        <v>0</v>
      </c>
      <c r="Y57" s="12">
        <f si="12" t="shared"/>
        <v>0</v>
      </c>
      <c r="Z57" s="12">
        <f si="12" t="shared"/>
        <v>0</v>
      </c>
      <c r="AA57" s="12">
        <f si="12" t="shared"/>
        <v>0</v>
      </c>
      <c r="AB57" s="12">
        <f si="12" t="shared"/>
        <v>0</v>
      </c>
      <c r="AC57" s="12">
        <f si="12" t="shared"/>
        <v>0</v>
      </c>
      <c r="AD57" s="12">
        <f si="12" t="shared"/>
        <v>0</v>
      </c>
      <c r="AE57" s="12" t="e">
        <f si="12" t="shared"/>
        <v>#DIV/0!</v>
      </c>
      <c r="AF57" s="12">
        <f si="12" t="shared"/>
        <v>0</v>
      </c>
    </row>
    <row r="58" spans="1:32" x14ac:dyDescent="0.2">
      <c r="B58" s="10"/>
      <c r="C58" s="10"/>
      <c r="D58" s="10"/>
      <c r="E58" s="10"/>
      <c r="F58" s="10"/>
      <c r="G58" s="10"/>
      <c r="H58" s="10"/>
      <c r="I58" s="10"/>
      <c r="J58" s="10"/>
      <c r="M58" s="10"/>
      <c r="N58" s="10"/>
      <c r="O58" s="10"/>
      <c r="P58" s="10"/>
      <c r="Q58" s="10"/>
      <c r="R58" s="10"/>
      <c r="S58" s="10"/>
      <c r="T58" s="10"/>
      <c r="U58" s="10"/>
      <c r="X58" s="10"/>
      <c r="Y58" s="10"/>
      <c r="Z58" s="10"/>
      <c r="AA58" s="10"/>
      <c r="AB58" s="10"/>
      <c r="AC58" s="10"/>
      <c r="AD58" s="10"/>
      <c r="AE58" s="10"/>
      <c r="AF58" s="10"/>
    </row>
    <row r="59" spans="1:32" x14ac:dyDescent="0.2">
      <c r="B59" s="10"/>
      <c r="C59" s="10"/>
      <c r="D59" s="10"/>
      <c r="E59" s="10"/>
      <c r="F59" s="10"/>
      <c r="G59" s="10"/>
      <c r="H59" s="10"/>
      <c r="I59" s="10"/>
      <c r="J59" s="10"/>
      <c r="M59" s="10"/>
      <c r="N59" s="10"/>
      <c r="O59" s="10"/>
      <c r="P59" s="10"/>
      <c r="Q59" s="10"/>
      <c r="R59" s="10"/>
      <c r="S59" s="10"/>
      <c r="T59" s="10"/>
      <c r="U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x14ac:dyDescent="0.2">
      <c r="B60" s="10"/>
      <c r="C60" s="10"/>
      <c r="D60" s="10"/>
      <c r="E60" s="10"/>
      <c r="F60" s="10"/>
      <c r="G60" s="10"/>
      <c r="H60" s="10"/>
      <c r="I60" s="10"/>
      <c r="J60" s="10"/>
      <c r="M60" s="10"/>
      <c r="N60" s="10"/>
      <c r="O60" s="10"/>
      <c r="P60" s="10"/>
      <c r="Q60" s="10"/>
      <c r="R60" s="10"/>
      <c r="S60" s="10"/>
      <c r="T60" s="10"/>
      <c r="U60" s="10"/>
      <c r="X60" s="10"/>
      <c r="Y60" s="10"/>
      <c r="Z60" s="10"/>
      <c r="AA60" s="10"/>
      <c r="AB60" s="10"/>
      <c r="AC60" s="10"/>
      <c r="AD60" s="10"/>
      <c r="AE60" s="10"/>
      <c r="AF60" s="10"/>
    </row>
    <row customHeight="1" ht="13.15" r="61" spans="1:32" x14ac:dyDescent="0.2">
      <c r="A61" s="264" t="s">
        <v>41</v>
      </c>
      <c r="B61" s="10"/>
      <c r="C61" s="10"/>
      <c r="D61" s="10"/>
      <c r="E61" s="10"/>
      <c r="F61" s="10"/>
      <c r="G61" s="10"/>
      <c r="H61" s="10"/>
      <c r="I61" s="10"/>
      <c r="J61" s="10"/>
      <c r="L61" s="264" t="s">
        <v>41</v>
      </c>
      <c r="M61" s="10"/>
      <c r="N61" s="10"/>
      <c r="O61" s="10"/>
      <c r="P61" s="10"/>
      <c r="Q61" s="10"/>
      <c r="R61" s="10"/>
      <c r="S61" s="10"/>
      <c r="T61" s="10"/>
      <c r="U61" s="10"/>
      <c r="W61" s="264" t="s">
        <v>41</v>
      </c>
      <c r="X61" s="10"/>
      <c r="Y61" s="10"/>
      <c r="Z61" s="10"/>
      <c r="AA61" s="10"/>
      <c r="AB61" s="10"/>
      <c r="AC61" s="10"/>
      <c r="AD61" s="10"/>
      <c r="AE61" s="10"/>
      <c r="AF61" s="10"/>
    </row>
    <row customHeight="1" ht="13.15" r="62" spans="1:32" x14ac:dyDescent="0.2">
      <c r="A62" s="264" t="s">
        <v>128</v>
      </c>
      <c r="B62" s="10"/>
      <c r="C62" s="10"/>
      <c r="D62" s="10"/>
      <c r="E62" s="10"/>
      <c r="F62" s="10"/>
      <c r="G62" s="10"/>
      <c r="H62" s="10"/>
      <c r="I62" s="10"/>
      <c r="J62" s="10"/>
      <c r="L62" s="264" t="s">
        <v>129</v>
      </c>
      <c r="M62" s="10"/>
      <c r="N62" s="10"/>
      <c r="O62" s="10"/>
      <c r="P62" s="10"/>
      <c r="Q62" s="10"/>
      <c r="R62" s="10"/>
      <c r="S62" s="10"/>
      <c r="T62" s="10"/>
      <c r="U62" s="10"/>
      <c r="W62" s="264" t="s">
        <v>130</v>
      </c>
      <c r="X62" s="10"/>
      <c r="Y62" s="10"/>
      <c r="Z62" s="10"/>
      <c r="AA62" s="10"/>
      <c r="AB62" s="10"/>
      <c r="AC62" s="10"/>
      <c r="AD62" s="10"/>
      <c r="AE62" s="10"/>
      <c r="AF62" s="10"/>
    </row>
    <row customHeight="1" ht="13.5" r="63" spans="1:32" thickBot="1" x14ac:dyDescent="0.25">
      <c r="A63" s="264"/>
      <c r="B63" s="2"/>
      <c r="C63" s="2"/>
      <c r="D63" s="2"/>
      <c r="E63" s="2"/>
      <c r="F63" s="2"/>
      <c r="G63" s="2"/>
      <c r="H63" s="2"/>
      <c r="I63" s="2"/>
      <c r="J63" s="2"/>
      <c r="L63" s="264"/>
      <c r="M63" s="2"/>
      <c r="N63" s="2"/>
      <c r="O63" s="2"/>
      <c r="P63" s="2"/>
      <c r="Q63" s="2"/>
      <c r="R63" s="2"/>
      <c r="S63" s="2"/>
      <c r="T63" s="2"/>
      <c r="U63" s="2"/>
      <c r="W63" s="264"/>
      <c r="X63" s="2"/>
      <c r="Y63" s="2"/>
      <c r="Z63" s="2"/>
      <c r="AA63" s="2"/>
      <c r="AB63" s="2"/>
      <c r="AC63" s="2"/>
      <c r="AD63" s="2"/>
      <c r="AE63" s="2"/>
      <c r="AF63" s="2"/>
    </row>
    <row customHeight="1" ht="13.15" r="64" spans="1:32" x14ac:dyDescent="0.2">
      <c r="A64" s="3" t="s">
        <v>45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45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45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2">
      <c r="A65" s="16">
        <v>0</v>
      </c>
      <c r="B65" s="10">
        <f>output_NHTS!B115/SUM(output_NHTS!B$115:B$118)</f>
        <v>0.94248331784032324</v>
      </c>
      <c r="C65" s="10">
        <f>output_NHTS!C115/SUM(output_NHTS!C$115:C$118)</f>
        <v>0.93254091743652889</v>
      </c>
      <c r="D65" s="10">
        <f>output_NHTS!D115/SUM(output_NHTS!D$115:D$118)</f>
        <v>0.89519143819791014</v>
      </c>
      <c r="E65" s="10">
        <f>output_NHTS!E115/SUM(output_NHTS!E$115:E$118)</f>
        <v>0.94494343518802315</v>
      </c>
      <c r="F65" s="10">
        <f>output_NHTS!F115/SUM(output_NHTS!F$115:F$118)</f>
        <v>0.93620289176067861</v>
      </c>
      <c r="G65" s="10">
        <f>output_NHTS!G115/SUM(output_NHTS!G$115:G$118)</f>
        <v>0.98426734361857193</v>
      </c>
      <c r="H65" s="10">
        <f>output_NHTS!H115/SUM(output_NHTS!H$115:H$118)</f>
        <v>0.97424511599249763</v>
      </c>
      <c r="I65" s="10" t="e">
        <f>output_NHTS!I115/SUM(output_NHTS!I$115:I$118)</f>
        <v>#DIV/0!</v>
      </c>
      <c r="J65" s="10">
        <f>output_NHTS!J115/SUM(output_NHTS!J$115:J$118)</f>
        <v>0.94227353388809976</v>
      </c>
      <c r="L65" s="16">
        <v>0</v>
      </c>
      <c r="M65" s="10">
        <f>output!B115/SUM(output!B$115:B$118)</f>
        <v>0.94769810390662135</v>
      </c>
      <c r="N65" s="10">
        <f>output!C115/SUM(output!C$115:C$118)</f>
        <v>0.93995857307249708</v>
      </c>
      <c r="O65" s="10">
        <f>output!D115/SUM(output!D$115:D$118)</f>
        <v>0.90285037834826609</v>
      </c>
      <c r="P65" s="10">
        <f>output!E115/SUM(output!E$115:E$118)</f>
        <v>0.93859005002094476</v>
      </c>
      <c r="Q65" s="10">
        <f>output!F115/SUM(output!F$115:F$118)</f>
        <v>0.93969025111011406</v>
      </c>
      <c r="R65" s="10">
        <f>output!G115/SUM(output!G$115:G$118)</f>
        <v>0.97762242802061183</v>
      </c>
      <c r="S65" s="23">
        <f>output!H115/SUM(output!H$115:H$118)</f>
        <v>0.97661733821002472</v>
      </c>
      <c r="T65" s="23" t="e">
        <f>output!I115/SUM(output!I$115:I$118)</f>
        <v>#DIV/0!</v>
      </c>
      <c r="U65" s="10">
        <f>output!J115/SUM(output!J$115:J$118)</f>
        <v>0.9457270636007612</v>
      </c>
      <c r="W65" s="16">
        <v>0</v>
      </c>
      <c r="X65" s="10">
        <f ref="X65:AF69" si="15" t="shared">M65-B65</f>
        <v>5.2147860662981049E-3</v>
      </c>
      <c r="Y65" s="10">
        <f si="15" t="shared"/>
        <v>7.41765563596819E-3</v>
      </c>
      <c r="Z65" s="10">
        <f si="15" t="shared"/>
        <v>7.6589401503559529E-3</v>
      </c>
      <c r="AA65" s="10">
        <f si="15" t="shared"/>
        <v>-6.3533851670783958E-3</v>
      </c>
      <c r="AB65" s="10">
        <f si="15" t="shared"/>
        <v>3.4873593494354482E-3</v>
      </c>
      <c r="AC65" s="10">
        <f si="15" t="shared"/>
        <v>-6.6449155979600993E-3</v>
      </c>
      <c r="AD65" s="10">
        <f si="15" t="shared"/>
        <v>2.3722222175270868E-3</v>
      </c>
      <c r="AE65" s="10" t="e">
        <f si="15" t="shared"/>
        <v>#DIV/0!</v>
      </c>
      <c r="AF65" s="10">
        <f si="15" t="shared"/>
        <v>3.4535297126614406E-3</v>
      </c>
    </row>
    <row r="66" spans="1:32" x14ac:dyDescent="0.2">
      <c r="A66" s="16">
        <v>1</v>
      </c>
      <c r="B66" s="10">
        <f>output_NHTS!B116/SUM(output_NHTS!B$115:B$118)</f>
        <v>5.6387491504470498E-2</v>
      </c>
      <c r="C66" s="10">
        <f>output_NHTS!C116/SUM(output_NHTS!C$115:C$118)</f>
        <v>6.5205870791014212E-2</v>
      </c>
      <c r="D66" s="10">
        <f>output_NHTS!D116/SUM(output_NHTS!D$115:D$118)</f>
        <v>9.565712963881795E-2</v>
      </c>
      <c r="E66" s="10">
        <f>output_NHTS!E116/SUM(output_NHTS!E$115:E$118)</f>
        <v>4.9797409890579208E-2</v>
      </c>
      <c r="F66" s="10">
        <f>output_NHTS!F116/SUM(output_NHTS!F$115:F$118)</f>
        <v>5.7918530011338253E-2</v>
      </c>
      <c r="G66" s="10">
        <f>output_NHTS!G116/SUM(output_NHTS!G$115:G$118)</f>
        <v>1.5732656381428112E-2</v>
      </c>
      <c r="H66" s="10">
        <f>output_NHTS!H116/SUM(output_NHTS!H$115:H$118)</f>
        <v>2.5397182234887274E-2</v>
      </c>
      <c r="I66" s="10" t="e">
        <f>output_NHTS!I116/SUM(output_NHTS!I$115:I$118)</f>
        <v>#DIV/0!</v>
      </c>
      <c r="J66" s="10">
        <f>output_NHTS!J116/SUM(output_NHTS!J$115:J$118)</f>
        <v>5.505363313694616E-2</v>
      </c>
      <c r="L66" s="16">
        <v>1</v>
      </c>
      <c r="M66" s="10">
        <f>output!B116/SUM(output!B$115:B$118)</f>
        <v>5.2301896093378639E-2</v>
      </c>
      <c r="N66" s="10">
        <f>output!C116/SUM(output!C$115:C$118)</f>
        <v>6.0041426927502875E-2</v>
      </c>
      <c r="O66" s="10">
        <f>output!D116/SUM(output!D$115:D$118)</f>
        <v>9.0223295111647561E-2</v>
      </c>
      <c r="P66" s="10">
        <f>output!E116/SUM(output!E$115:E$118)</f>
        <v>5.6654264100731835E-2</v>
      </c>
      <c r="Q66" s="10">
        <f>output!F116/SUM(output!F$115:F$118)</f>
        <v>6.0309748889885974E-2</v>
      </c>
      <c r="R66" s="10">
        <f>output!G116/SUM(output!G$115:G$118)</f>
        <v>2.2377571979388129E-2</v>
      </c>
      <c r="S66" s="23">
        <f>output!H116/SUM(output!H$115:H$118)</f>
        <v>2.3382661789975331E-2</v>
      </c>
      <c r="T66" s="23" t="e">
        <f>output!I116/SUM(output!I$115:I$118)</f>
        <v>#DIV/0!</v>
      </c>
      <c r="U66" s="10">
        <f>output!J116/SUM(output!J$115:J$118)</f>
        <v>5.2881830756173774E-2</v>
      </c>
      <c r="W66" s="16">
        <v>1</v>
      </c>
      <c r="X66" s="10">
        <f si="15" t="shared"/>
        <v>-4.0855954110918594E-3</v>
      </c>
      <c r="Y66" s="10">
        <f si="15" t="shared"/>
        <v>-5.1644438635113366E-3</v>
      </c>
      <c r="Z66" s="10">
        <f si="15" t="shared"/>
        <v>-5.4338345271703892E-3</v>
      </c>
      <c r="AA66" s="10">
        <f si="15" t="shared"/>
        <v>6.856854210152627E-3</v>
      </c>
      <c r="AB66" s="10">
        <f si="15" t="shared"/>
        <v>2.3912188785477212E-3</v>
      </c>
      <c r="AC66" s="10">
        <f si="15" t="shared"/>
        <v>6.6449155979600161E-3</v>
      </c>
      <c r="AD66" s="10">
        <f si="15" t="shared"/>
        <v>-2.0145204449119429E-3</v>
      </c>
      <c r="AE66" s="10" t="e">
        <f si="15" t="shared"/>
        <v>#DIV/0!</v>
      </c>
      <c r="AF66" s="10">
        <f si="15" t="shared"/>
        <v>-2.1718023807723863E-3</v>
      </c>
    </row>
    <row r="67" spans="1:32" x14ac:dyDescent="0.2">
      <c r="A67" s="16">
        <v>2</v>
      </c>
      <c r="B67" s="10">
        <f>output_NHTS!B117/SUM(output_NHTS!B$115:B$118)</f>
        <v>1.129190655206251E-3</v>
      </c>
      <c r="C67" s="10">
        <f>output_NHTS!C117/SUM(output_NHTS!C$115:C$118)</f>
        <v>2.2532117724568591E-3</v>
      </c>
      <c r="D67" s="10">
        <f>output_NHTS!D117/SUM(output_NHTS!D$115:D$118)</f>
        <v>9.1514321632719508E-3</v>
      </c>
      <c r="E67" s="10">
        <f>output_NHTS!E117/SUM(output_NHTS!E$115:E$118)</f>
        <v>5.2591549213975809E-3</v>
      </c>
      <c r="F67" s="10">
        <f>output_NHTS!F117/SUM(output_NHTS!F$115:F$118)</f>
        <v>4.8231023668475082E-3</v>
      </c>
      <c r="G67" s="10">
        <f>output_NHTS!G117/SUM(output_NHTS!G$115:G$118)</f>
        <v>0</v>
      </c>
      <c r="H67" s="10">
        <f>output_NHTS!H117/SUM(output_NHTS!H$115:H$118)</f>
        <v>3.5770177261517104E-4</v>
      </c>
      <c r="I67" s="10" t="e">
        <f>output_NHTS!I117/SUM(output_NHTS!I$115:I$118)</f>
        <v>#DIV/0!</v>
      </c>
      <c r="J67" s="10">
        <f>output_NHTS!J117/SUM(output_NHTS!J$115:J$118)</f>
        <v>2.6342089458361536E-3</v>
      </c>
      <c r="L67" s="16">
        <v>2</v>
      </c>
      <c r="M67" s="10">
        <f>output!B117/SUM(output!B$115:B$118)</f>
        <v>0</v>
      </c>
      <c r="N67" s="10">
        <f>output!C117/SUM(output!C$115:C$118)</f>
        <v>0</v>
      </c>
      <c r="O67" s="10">
        <f>output!D117/SUM(output!D$115:D$118)</f>
        <v>6.9263265400863472E-3</v>
      </c>
      <c r="P67" s="10">
        <f>output!E117/SUM(output!E$115:E$118)</f>
        <v>4.7556858783234356E-3</v>
      </c>
      <c r="Q67" s="10">
        <f>output!F117/SUM(output!F$115:F$118)</f>
        <v>0</v>
      </c>
      <c r="R67" s="10">
        <f>output!G117/SUM(output!G$115:G$118)</f>
        <v>0</v>
      </c>
      <c r="S67" s="23">
        <f>output!H117/SUM(output!H$115:H$118)</f>
        <v>0</v>
      </c>
      <c r="T67" s="23" t="e">
        <f>output!I117/SUM(output!I$115:I$118)</f>
        <v>#DIV/0!</v>
      </c>
      <c r="U67" s="10">
        <f>output!J117/SUM(output!J$115:J$118)</f>
        <v>1.3911056430650525E-3</v>
      </c>
      <c r="W67" s="16">
        <v>2</v>
      </c>
      <c r="X67" s="10">
        <f si="15" t="shared"/>
        <v>-1.129190655206251E-3</v>
      </c>
      <c r="Y67" s="10">
        <f si="15" t="shared"/>
        <v>-2.2532117724568591E-3</v>
      </c>
      <c r="Z67" s="10">
        <f si="15" t="shared"/>
        <v>-2.2251056231856036E-3</v>
      </c>
      <c r="AA67" s="10">
        <f si="15" t="shared"/>
        <v>-5.0346904307414526E-4</v>
      </c>
      <c r="AB67" s="10">
        <f si="15" t="shared"/>
        <v>-4.8231023668475082E-3</v>
      </c>
      <c r="AC67" s="10">
        <f si="15" t="shared"/>
        <v>0</v>
      </c>
      <c r="AD67" s="10">
        <f si="15" t="shared"/>
        <v>-3.5770177261517104E-4</v>
      </c>
      <c r="AE67" s="10" t="e">
        <f si="15" t="shared"/>
        <v>#DIV/0!</v>
      </c>
      <c r="AF67" s="10">
        <f si="15" t="shared"/>
        <v>-1.2431033027711011E-3</v>
      </c>
    </row>
    <row r="68" spans="1:32" x14ac:dyDescent="0.2">
      <c r="A68" s="19" t="s">
        <v>94</v>
      </c>
      <c r="B68" s="10">
        <f>output_NHTS!B118/SUM(output_NHTS!B$115:B$118)</f>
        <v>0</v>
      </c>
      <c r="C68" s="10">
        <f>output_NHTS!C118/SUM(output_NHTS!C$115:C$118)</f>
        <v>0</v>
      </c>
      <c r="D68" s="10">
        <f>output_NHTS!D118/SUM(output_NHTS!D$115:D$118)</f>
        <v>0</v>
      </c>
      <c r="E68" s="10">
        <f>output_NHTS!E118/SUM(output_NHTS!E$115:E$118)</f>
        <v>0</v>
      </c>
      <c r="F68" s="10">
        <f>output_NHTS!F118/SUM(output_NHTS!F$115:F$118)</f>
        <v>1.0554758611356445E-3</v>
      </c>
      <c r="G68" s="10">
        <f>output_NHTS!G118/SUM(output_NHTS!G$115:G$118)</f>
        <v>0</v>
      </c>
      <c r="H68" s="10">
        <f>output_NHTS!H118/SUM(output_NHTS!H$115:H$118)</f>
        <v>0</v>
      </c>
      <c r="I68" s="10" t="e">
        <f>output_NHTS!I118/SUM(output_NHTS!I$115:I$118)</f>
        <v>#DIV/0!</v>
      </c>
      <c r="J68" s="10">
        <f>output_NHTS!J118/SUM(output_NHTS!J$115:J$118)</f>
        <v>3.8624029117975665E-5</v>
      </c>
      <c r="L68" s="19" t="s">
        <v>94</v>
      </c>
      <c r="M68" s="11">
        <f>output!B118/SUM(output!B$115:B$118)</f>
        <v>0</v>
      </c>
      <c r="N68" s="11">
        <f>output!C118/SUM(output!C$115:C$118)</f>
        <v>0</v>
      </c>
      <c r="O68" s="11">
        <f>output!D118/SUM(output!D$115:D$118)</f>
        <v>0</v>
      </c>
      <c r="P68" s="11">
        <f>output!E118/SUM(output!E$115:E$118)</f>
        <v>0</v>
      </c>
      <c r="Q68" s="11">
        <f>output!F118/SUM(output!F$115:F$118)</f>
        <v>0</v>
      </c>
      <c r="R68" s="11">
        <f>output!G118/SUM(output!G$115:G$118)</f>
        <v>0</v>
      </c>
      <c r="S68" s="25">
        <f>output!H118/SUM(output!H$115:H$118)</f>
        <v>0</v>
      </c>
      <c r="T68" s="25" t="e">
        <f>output!I118/SUM(output!I$115:I$118)</f>
        <v>#DIV/0!</v>
      </c>
      <c r="U68" s="11">
        <f>output!J118/SUM(output!J$115:J$118)</f>
        <v>0</v>
      </c>
      <c r="W68" s="19" t="s">
        <v>94</v>
      </c>
      <c r="X68" s="10">
        <f si="15" t="shared"/>
        <v>0</v>
      </c>
      <c r="Y68" s="10">
        <f si="15" t="shared"/>
        <v>0</v>
      </c>
      <c r="Z68" s="10">
        <f si="15" t="shared"/>
        <v>0</v>
      </c>
      <c r="AA68" s="10">
        <f si="15" t="shared"/>
        <v>0</v>
      </c>
      <c r="AB68" s="10">
        <f si="15" t="shared"/>
        <v>-1.0554758611356445E-3</v>
      </c>
      <c r="AC68" s="10">
        <f si="15" t="shared"/>
        <v>0</v>
      </c>
      <c r="AD68" s="10">
        <f si="15" t="shared"/>
        <v>0</v>
      </c>
      <c r="AE68" s="10" t="e">
        <f si="15" t="shared"/>
        <v>#DIV/0!</v>
      </c>
      <c r="AF68" s="10">
        <f si="15" t="shared"/>
        <v>-3.8624029117975665E-5</v>
      </c>
    </row>
    <row customHeight="1" ht="13.15" r="69" spans="1:32" thickBot="1" x14ac:dyDescent="0.25">
      <c r="A69" s="17" t="s">
        <v>4</v>
      </c>
      <c r="B69" s="12">
        <f ref="B69:J69" si="16" t="shared">SUM(B65:B68)</f>
        <v>1</v>
      </c>
      <c r="C69" s="12">
        <f si="16" t="shared"/>
        <v>1</v>
      </c>
      <c r="D69" s="12">
        <f si="16" t="shared"/>
        <v>1</v>
      </c>
      <c r="E69" s="12">
        <f si="16" t="shared"/>
        <v>1</v>
      </c>
      <c r="F69" s="12">
        <f si="16" t="shared"/>
        <v>1</v>
      </c>
      <c r="G69" s="12">
        <f si="16" t="shared"/>
        <v>1</v>
      </c>
      <c r="H69" s="12">
        <f si="16" t="shared"/>
        <v>1</v>
      </c>
      <c r="I69" s="12" t="e">
        <f si="16" t="shared"/>
        <v>#DIV/0!</v>
      </c>
      <c r="J69" s="12">
        <f si="16" t="shared"/>
        <v>1</v>
      </c>
      <c r="L69" s="17" t="s">
        <v>4</v>
      </c>
      <c r="M69" s="12">
        <f ref="M69:U69" si="17" t="shared">SUM(M65:M68)</f>
        <v>1</v>
      </c>
      <c r="N69" s="12">
        <f si="17" t="shared"/>
        <v>1</v>
      </c>
      <c r="O69" s="12">
        <f si="17" t="shared"/>
        <v>1</v>
      </c>
      <c r="P69" s="12">
        <f si="17" t="shared"/>
        <v>1</v>
      </c>
      <c r="Q69" s="12">
        <f si="17" t="shared"/>
        <v>1</v>
      </c>
      <c r="R69" s="12">
        <f si="17" t="shared"/>
        <v>1</v>
      </c>
      <c r="S69" s="12">
        <f si="17" t="shared"/>
        <v>1</v>
      </c>
      <c r="T69" s="12" t="e">
        <f si="17" t="shared"/>
        <v>#DIV/0!</v>
      </c>
      <c r="U69" s="12">
        <f si="17" t="shared"/>
        <v>1</v>
      </c>
      <c r="W69" s="17" t="s">
        <v>4</v>
      </c>
      <c r="X69" s="12">
        <f si="15" t="shared"/>
        <v>0</v>
      </c>
      <c r="Y69" s="12">
        <f si="15" t="shared"/>
        <v>0</v>
      </c>
      <c r="Z69" s="12">
        <f si="15" t="shared"/>
        <v>0</v>
      </c>
      <c r="AA69" s="12">
        <f si="15" t="shared"/>
        <v>0</v>
      </c>
      <c r="AB69" s="12">
        <f si="15" t="shared"/>
        <v>0</v>
      </c>
      <c r="AC69" s="12">
        <f si="15" t="shared"/>
        <v>0</v>
      </c>
      <c r="AD69" s="12">
        <f si="15" t="shared"/>
        <v>0</v>
      </c>
      <c r="AE69" s="12" t="e">
        <f si="15" t="shared"/>
        <v>#DIV/0!</v>
      </c>
      <c r="AF69" s="12">
        <f si="15" t="shared"/>
        <v>0</v>
      </c>
    </row>
    <row r="70" spans="1:32" x14ac:dyDescent="0.2">
      <c r="B70" s="10"/>
      <c r="C70" s="10"/>
      <c r="D70" s="10"/>
      <c r="E70" s="10"/>
      <c r="F70" s="10"/>
      <c r="G70" s="10"/>
      <c r="H70" s="10"/>
      <c r="I70" s="10"/>
      <c r="J70" s="10"/>
      <c r="M70" s="10"/>
      <c r="N70" s="10"/>
      <c r="O70" s="10"/>
      <c r="P70" s="10"/>
      <c r="Q70" s="10"/>
      <c r="R70" s="10"/>
      <c r="S70" s="10"/>
      <c r="T70" s="10"/>
      <c r="U70" s="10"/>
      <c r="X70" s="10"/>
      <c r="Y70" s="10"/>
      <c r="Z70" s="10"/>
      <c r="AA70" s="10"/>
      <c r="AB70" s="10"/>
      <c r="AC70" s="10"/>
      <c r="AD70" s="10"/>
      <c r="AE70" s="10"/>
      <c r="AF70" s="10"/>
    </row>
    <row r="71" spans="1:32" x14ac:dyDescent="0.2">
      <c r="B71" s="10"/>
      <c r="C71" s="10"/>
      <c r="D71" s="10"/>
      <c r="E71" s="10"/>
      <c r="F71" s="10"/>
      <c r="G71" s="10"/>
      <c r="H71" s="10"/>
      <c r="I71" s="10"/>
      <c r="J71" s="10"/>
      <c r="M71" s="10"/>
      <c r="N71" s="10"/>
      <c r="O71" s="10"/>
      <c r="P71" s="10"/>
      <c r="Q71" s="10"/>
      <c r="R71" s="10"/>
      <c r="S71" s="10"/>
      <c r="T71" s="10"/>
      <c r="U71" s="10"/>
      <c r="X71" s="10"/>
      <c r="Y71" s="10"/>
      <c r="Z71" s="10"/>
      <c r="AA71" s="10"/>
      <c r="AB71" s="10"/>
      <c r="AC71" s="10"/>
      <c r="AD71" s="10"/>
      <c r="AE71" s="10"/>
      <c r="AF71" s="10"/>
    </row>
    <row r="72" spans="1:32" x14ac:dyDescent="0.2">
      <c r="B72" s="10"/>
      <c r="C72" s="10"/>
      <c r="D72" s="10"/>
      <c r="E72" s="10"/>
      <c r="F72" s="10"/>
      <c r="G72" s="10"/>
      <c r="H72" s="10"/>
      <c r="I72" s="10"/>
      <c r="J72" s="10"/>
      <c r="M72" s="10"/>
      <c r="N72" s="10"/>
      <c r="O72" s="10"/>
      <c r="P72" s="10"/>
      <c r="Q72" s="10"/>
      <c r="R72" s="10"/>
      <c r="S72" s="10"/>
      <c r="T72" s="10"/>
      <c r="U72" s="10"/>
      <c r="X72" s="10"/>
      <c r="Y72" s="10"/>
      <c r="Z72" s="10"/>
      <c r="AA72" s="10"/>
      <c r="AB72" s="10"/>
      <c r="AC72" s="10"/>
      <c r="AD72" s="10"/>
      <c r="AE72" s="10"/>
      <c r="AF72" s="10"/>
    </row>
    <row customHeight="1" ht="13.15" r="73" spans="1:32" x14ac:dyDescent="0.2">
      <c r="A73" s="264" t="s">
        <v>41</v>
      </c>
      <c r="B73" s="10"/>
      <c r="C73" s="10"/>
      <c r="D73" s="10"/>
      <c r="E73" s="10"/>
      <c r="F73" s="10"/>
      <c r="G73" s="10"/>
      <c r="H73" s="10"/>
      <c r="I73" s="10"/>
      <c r="J73" s="10"/>
      <c r="L73" s="264" t="s">
        <v>41</v>
      </c>
      <c r="M73" s="10"/>
      <c r="N73" s="10"/>
      <c r="O73" s="10"/>
      <c r="P73" s="10"/>
      <c r="Q73" s="10"/>
      <c r="R73" s="10"/>
      <c r="S73" s="10"/>
      <c r="T73" s="10"/>
      <c r="U73" s="10"/>
      <c r="W73" s="264" t="s">
        <v>41</v>
      </c>
      <c r="X73" s="10"/>
      <c r="Y73" s="10"/>
      <c r="Z73" s="10"/>
      <c r="AA73" s="10"/>
      <c r="AB73" s="10"/>
      <c r="AC73" s="10"/>
      <c r="AD73" s="10"/>
      <c r="AE73" s="10"/>
      <c r="AF73" s="10"/>
    </row>
    <row customHeight="1" ht="13.15" r="74" spans="1:32" x14ac:dyDescent="0.2">
      <c r="A74" s="264" t="s">
        <v>131</v>
      </c>
      <c r="B74" s="10"/>
      <c r="C74" s="10"/>
      <c r="D74" s="10"/>
      <c r="E74" s="10"/>
      <c r="F74" s="10"/>
      <c r="G74" s="10"/>
      <c r="H74" s="10"/>
      <c r="I74" s="10"/>
      <c r="J74" s="10"/>
      <c r="L74" s="264" t="s">
        <v>132</v>
      </c>
      <c r="M74" s="10"/>
      <c r="N74" s="10"/>
      <c r="O74" s="10"/>
      <c r="P74" s="10"/>
      <c r="Q74" s="10"/>
      <c r="R74" s="10"/>
      <c r="S74" s="10"/>
      <c r="T74" s="10"/>
      <c r="U74" s="10"/>
      <c r="W74" s="264" t="s">
        <v>133</v>
      </c>
      <c r="X74" s="10"/>
      <c r="Y74" s="10"/>
      <c r="Z74" s="10"/>
      <c r="AA74" s="10"/>
      <c r="AB74" s="10"/>
      <c r="AC74" s="10"/>
      <c r="AD74" s="10"/>
      <c r="AE74" s="10"/>
      <c r="AF74" s="10"/>
    </row>
    <row customHeight="1" ht="13.5" r="75" spans="1:32" thickBot="1" x14ac:dyDescent="0.25">
      <c r="A75" s="264"/>
      <c r="B75" s="2"/>
      <c r="C75" s="2"/>
      <c r="D75" s="2"/>
      <c r="E75" s="2"/>
      <c r="F75" s="2"/>
      <c r="G75" s="2"/>
      <c r="H75" s="2"/>
      <c r="I75" s="2"/>
      <c r="J75" s="2"/>
      <c r="L75" s="264"/>
      <c r="M75" s="2"/>
      <c r="N75" s="2"/>
      <c r="O75" s="2"/>
      <c r="P75" s="2"/>
      <c r="Q75" s="2"/>
      <c r="R75" s="2"/>
      <c r="S75" s="2"/>
      <c r="T75" s="2"/>
      <c r="U75" s="2"/>
      <c r="W75" s="264"/>
      <c r="X75" s="2"/>
      <c r="Y75" s="2"/>
      <c r="Z75" s="2"/>
      <c r="AA75" s="2"/>
      <c r="AB75" s="2"/>
      <c r="AC75" s="2"/>
      <c r="AD75" s="2"/>
      <c r="AE75" s="2"/>
      <c r="AF75" s="2"/>
    </row>
    <row customHeight="1" ht="13.15" r="76" spans="1:32" x14ac:dyDescent="0.2">
      <c r="A76" s="3" t="s">
        <v>45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45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45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2">
      <c r="A77" s="16">
        <v>0</v>
      </c>
      <c r="B77" s="10">
        <f>output_NHTS!B122/SUM(output_NHTS!B$122:B$125)</f>
        <v>0.90532935433796569</v>
      </c>
      <c r="C77" s="10">
        <f>output_NHTS!C122/SUM(output_NHTS!C$122:C$125)</f>
        <v>0.86158991838204368</v>
      </c>
      <c r="D77" s="10">
        <f>output_NHTS!D122/SUM(output_NHTS!D$122:D$125)</f>
        <v>0.84602808121551243</v>
      </c>
      <c r="E77" s="10">
        <f>output_NHTS!E122/SUM(output_NHTS!E$122:E$125)</f>
        <v>0.82123858905724767</v>
      </c>
      <c r="F77" s="10">
        <f>output_NHTS!F122/SUM(output_NHTS!F$122:F$125)</f>
        <v>0.91798438391872772</v>
      </c>
      <c r="G77" s="10">
        <f>output_NHTS!G122/SUM(output_NHTS!G$122:G$125)</f>
        <v>0.8058925328382005</v>
      </c>
      <c r="H77" s="10">
        <f>output_NHTS!H122/SUM(output_NHTS!H$122:H$125)</f>
        <v>0.80733241031388203</v>
      </c>
      <c r="I77" s="10" t="e">
        <f>output_NHTS!I122/SUM(output_NHTS!I$122:I$125)</f>
        <v>#DIV/0!</v>
      </c>
      <c r="J77" s="10">
        <f>output_NHTS!J122/SUM(output_NHTS!J$122:J$125)</f>
        <v>0.86826343068764089</v>
      </c>
      <c r="L77" s="16">
        <v>0</v>
      </c>
      <c r="M77" s="10">
        <f>output!B122/SUM(output!B$122:B$125)</f>
        <v>0.91580429922008411</v>
      </c>
      <c r="N77" s="10">
        <f>output!C122/SUM(output!C$122:C$125)</f>
        <v>0.86556501726121982</v>
      </c>
      <c r="O77" s="10">
        <f>output!D122/SUM(output!D$122:D$125)</f>
        <v>0.85399935007659811</v>
      </c>
      <c r="P77" s="10">
        <f>output!E122/SUM(output!E$122:E$125)</f>
        <v>0.84462459650592614</v>
      </c>
      <c r="Q77" s="10">
        <f>output!F122/SUM(output!F$122:F$125)</f>
        <v>0.9162192687945786</v>
      </c>
      <c r="R77" s="10">
        <f>output!G122/SUM(output!G$122:G$125)</f>
        <v>0.79480018738063496</v>
      </c>
      <c r="S77" s="23">
        <f>output!H122/SUM(output!H$122:H$125)</f>
        <v>0.83888200478434871</v>
      </c>
      <c r="T77" s="23" t="e">
        <f>output!I122/SUM(output!I$122:I$125)</f>
        <v>#DIV/0!</v>
      </c>
      <c r="U77" s="10">
        <f>output!J122/SUM(output!J$122:J$125)</f>
        <v>0.88157823964271742</v>
      </c>
      <c r="W77" s="16">
        <v>0</v>
      </c>
      <c r="X77" s="10">
        <f ref="X77:AF81" si="18" t="shared">M77-B77</f>
        <v>1.047494488211842E-2</v>
      </c>
      <c r="Y77" s="10">
        <f si="18" t="shared"/>
        <v>3.975098879176131E-3</v>
      </c>
      <c r="Z77" s="10">
        <f si="18" t="shared"/>
        <v>7.9712688610856786E-3</v>
      </c>
      <c r="AA77" s="10">
        <f si="18" t="shared"/>
        <v>2.338600744867847E-2</v>
      </c>
      <c r="AB77" s="10">
        <f si="18" t="shared"/>
        <v>-1.7651151241491192E-3</v>
      </c>
      <c r="AC77" s="10">
        <f si="18" t="shared"/>
        <v>-1.1092345457565544E-2</v>
      </c>
      <c r="AD77" s="10">
        <f si="18" t="shared"/>
        <v>3.154959447046668E-2</v>
      </c>
      <c r="AE77" s="10" t="e">
        <f si="18" t="shared"/>
        <v>#DIV/0!</v>
      </c>
      <c r="AF77" s="10">
        <f si="18" t="shared"/>
        <v>1.3314808955076529E-2</v>
      </c>
    </row>
    <row r="78" spans="1:32" x14ac:dyDescent="0.2">
      <c r="A78" s="16">
        <v>1</v>
      </c>
      <c r="B78" s="10">
        <f>output_NHTS!B123/SUM(output_NHTS!B$122:B$125)</f>
        <v>9.1883505790376033E-2</v>
      </c>
      <c r="C78" s="10">
        <f>output_NHTS!C123/SUM(output_NHTS!C$122:C$125)</f>
        <v>0.12078705065404326</v>
      </c>
      <c r="D78" s="10">
        <f>output_NHTS!D123/SUM(output_NHTS!D$122:D$125)</f>
        <v>0.13896251663056897</v>
      </c>
      <c r="E78" s="10">
        <f>output_NHTS!E123/SUM(output_NHTS!E$122:E$125)</f>
        <v>0.16538143126949645</v>
      </c>
      <c r="F78" s="10">
        <f>output_NHTS!F123/SUM(output_NHTS!F$122:F$125)</f>
        <v>7.2100819662779245E-2</v>
      </c>
      <c r="G78" s="10">
        <f>output_NHTS!G123/SUM(output_NHTS!G$122:G$125)</f>
        <v>0.18592823663316171</v>
      </c>
      <c r="H78" s="10">
        <f>output_NHTS!H123/SUM(output_NHTS!H$122:H$125)</f>
        <v>0.1760179568981009</v>
      </c>
      <c r="I78" s="10" t="e">
        <f>output_NHTS!I123/SUM(output_NHTS!I$122:I$125)</f>
        <v>#DIV/0!</v>
      </c>
      <c r="J78" s="10">
        <f>output_NHTS!J123/SUM(output_NHTS!J$122:J$125)</f>
        <v>0.12280257189116152</v>
      </c>
      <c r="L78" s="16">
        <v>1</v>
      </c>
      <c r="M78" s="10">
        <f>output!B123/SUM(output!B$122:B$125)</f>
        <v>8.0463372123730212E-2</v>
      </c>
      <c r="N78" s="10">
        <f>output!C123/SUM(output!C$122:C$125)</f>
        <v>0.12624165707710011</v>
      </c>
      <c r="O78" s="10">
        <f>output!D123/SUM(output!D$122:D$125)</f>
        <v>0.13268650480479086</v>
      </c>
      <c r="P78" s="10">
        <f>output!E123/SUM(output!E$122:E$125)</f>
        <v>0.14045782716901165</v>
      </c>
      <c r="Q78" s="10">
        <f>output!F123/SUM(output!F$122:F$125)</f>
        <v>7.5472281961227239E-2</v>
      </c>
      <c r="R78" s="10">
        <f>output!G123/SUM(output!G$122:G$125)</f>
        <v>0.18990306655616013</v>
      </c>
      <c r="S78" s="23">
        <f>output!H123/SUM(output!H$122:H$125)</f>
        <v>0.14879399223572837</v>
      </c>
      <c r="T78" s="23" t="e">
        <f>output!I123/SUM(output!I$122:I$125)</f>
        <v>#DIV/0!</v>
      </c>
      <c r="U78" s="10">
        <f>output!J123/SUM(output!J$122:J$125)</f>
        <v>0.11013117837462016</v>
      </c>
      <c r="W78" s="16">
        <v>1</v>
      </c>
      <c r="X78" s="10">
        <f si="18" t="shared"/>
        <v>-1.1420133666645821E-2</v>
      </c>
      <c r="Y78" s="10">
        <f si="18" t="shared"/>
        <v>5.4546064230568542E-3</v>
      </c>
      <c r="Z78" s="10">
        <f si="18" t="shared"/>
        <v>-6.2760118257781106E-3</v>
      </c>
      <c r="AA78" s="10">
        <f si="18" t="shared"/>
        <v>-2.4923604100484803E-2</v>
      </c>
      <c r="AB78" s="10">
        <f si="18" t="shared"/>
        <v>3.3714622984479942E-3</v>
      </c>
      <c r="AC78" s="10">
        <f si="18" t="shared"/>
        <v>3.974829922998413E-3</v>
      </c>
      <c r="AD78" s="10">
        <f si="18" t="shared"/>
        <v>-2.7223964662372535E-2</v>
      </c>
      <c r="AE78" s="10" t="e">
        <f si="18" t="shared"/>
        <v>#DIV/0!</v>
      </c>
      <c r="AF78" s="10">
        <f si="18" t="shared"/>
        <v>-1.2671393516541354E-2</v>
      </c>
    </row>
    <row r="79" spans="1:32" x14ac:dyDescent="0.2">
      <c r="A79" s="16">
        <v>2</v>
      </c>
      <c r="B79" s="10">
        <f>output_NHTS!B124/SUM(output_NHTS!B$122:B$125)</f>
        <v>2.2850224782026409E-3</v>
      </c>
      <c r="C79" s="10">
        <f>output_NHTS!C124/SUM(output_NHTS!C$122:C$125)</f>
        <v>1.7623030963913128E-2</v>
      </c>
      <c r="D79" s="10">
        <f>output_NHTS!D124/SUM(output_NHTS!D$122:D$125)</f>
        <v>1.4877107699343561E-2</v>
      </c>
      <c r="E79" s="10">
        <f>output_NHTS!E124/SUM(output_NHTS!E$122:E$125)</f>
        <v>1.3379979673255977E-2</v>
      </c>
      <c r="F79" s="10">
        <f>output_NHTS!F124/SUM(output_NHTS!F$122:F$125)</f>
        <v>9.9147964184929729E-3</v>
      </c>
      <c r="G79" s="10">
        <f>output_NHTS!G124/SUM(output_NHTS!G$122:G$125)</f>
        <v>8.1792305286377664E-3</v>
      </c>
      <c r="H79" s="10">
        <f>output_NHTS!H124/SUM(output_NHTS!H$122:H$125)</f>
        <v>1.5421026077081882E-2</v>
      </c>
      <c r="I79" s="10" t="e">
        <f>output_NHTS!I124/SUM(output_NHTS!I$122:I$125)</f>
        <v>#DIV/0!</v>
      </c>
      <c r="J79" s="10">
        <f>output_NHTS!J124/SUM(output_NHTS!J$122:J$125)</f>
        <v>8.4898311743481277E-3</v>
      </c>
      <c r="L79" s="16">
        <v>2</v>
      </c>
      <c r="M79" s="10">
        <f>output!B124/SUM(output!B$122:B$125)</f>
        <v>3.4952436283398765E-3</v>
      </c>
      <c r="N79" s="10">
        <f>output!C124/SUM(output!C$122:C$125)</f>
        <v>7.6685845799769848E-3</v>
      </c>
      <c r="O79" s="10">
        <f>output!D124/SUM(output!D$122:D$125)</f>
        <v>1.2571375516456989E-2</v>
      </c>
      <c r="P79" s="10">
        <f>output!E124/SUM(output!E$122:E$125)</f>
        <v>1.4158637853288322E-2</v>
      </c>
      <c r="Q79" s="10">
        <f>output!F124/SUM(output!F$122:F$125)</f>
        <v>7.7514582334101776E-3</v>
      </c>
      <c r="R79" s="10">
        <f>output!G124/SUM(output!G$122:G$125)</f>
        <v>1.4377860257288025E-2</v>
      </c>
      <c r="S79" s="23">
        <f>output!H124/SUM(output!H$122:H$125)</f>
        <v>1.1571534997248438E-2</v>
      </c>
      <c r="T79" s="23" t="e">
        <f>output!I124/SUM(output!I$122:I$125)</f>
        <v>#DIV/0!</v>
      </c>
      <c r="U79" s="10">
        <f>output!J124/SUM(output!J$122:J$125)</f>
        <v>7.8031005179985966E-3</v>
      </c>
      <c r="W79" s="16">
        <v>2</v>
      </c>
      <c r="X79" s="10">
        <f si="18" t="shared"/>
        <v>1.2102211501372356E-3</v>
      </c>
      <c r="Y79" s="10">
        <f si="18" t="shared"/>
        <v>-9.954446383936142E-3</v>
      </c>
      <c r="Z79" s="10">
        <f si="18" t="shared"/>
        <v>-2.3057321828865718E-3</v>
      </c>
      <c r="AA79" s="10">
        <f si="18" t="shared"/>
        <v>7.7865818003234472E-4</v>
      </c>
      <c r="AB79" s="10">
        <f si="18" t="shared"/>
        <v>-2.1633381850827953E-3</v>
      </c>
      <c r="AC79" s="10">
        <f si="18" t="shared"/>
        <v>6.1986297286502588E-3</v>
      </c>
      <c r="AD79" s="10">
        <f si="18" t="shared"/>
        <v>-3.8494910798334437E-3</v>
      </c>
      <c r="AE79" s="10" t="e">
        <f si="18" t="shared"/>
        <v>#DIV/0!</v>
      </c>
      <c r="AF79" s="10">
        <f si="18" t="shared"/>
        <v>-6.8673065634953113E-4</v>
      </c>
    </row>
    <row r="80" spans="1:32" x14ac:dyDescent="0.2">
      <c r="A80" s="19" t="s">
        <v>94</v>
      </c>
      <c r="B80" s="10">
        <f>output_NHTS!B125/SUM(output_NHTS!B$122:B$125)</f>
        <v>5.0211739345564508E-4</v>
      </c>
      <c r="C80" s="10">
        <f>output_NHTS!C125/SUM(output_NHTS!C$122:C$125)</f>
        <v>0</v>
      </c>
      <c r="D80" s="10">
        <f>output_NHTS!D125/SUM(output_NHTS!D$122:D$125)</f>
        <v>1.3229445457497174E-4</v>
      </c>
      <c r="E80" s="10">
        <f>output_NHTS!E125/SUM(output_NHTS!E$122:E$125)</f>
        <v>0</v>
      </c>
      <c r="F80" s="10">
        <f>output_NHTS!F125/SUM(output_NHTS!F$122:F$125)</f>
        <v>0</v>
      </c>
      <c r="G80" s="10">
        <f>output_NHTS!G125/SUM(output_NHTS!G$122:G$125)</f>
        <v>0</v>
      </c>
      <c r="H80" s="10">
        <f>output_NHTS!H125/SUM(output_NHTS!H$122:H$125)</f>
        <v>1.2286067109353214E-3</v>
      </c>
      <c r="I80" s="10" t="e">
        <f>output_NHTS!I125/SUM(output_NHTS!I$122:I$125)</f>
        <v>#DIV/0!</v>
      </c>
      <c r="J80" s="10">
        <f>output_NHTS!J125/SUM(output_NHTS!J$122:J$125)</f>
        <v>4.4416624684955047E-4</v>
      </c>
      <c r="L80" s="19" t="s">
        <v>94</v>
      </c>
      <c r="M80" s="11">
        <f>output!B125/SUM(output!B$122:B$125)</f>
        <v>2.3708502784575388E-4</v>
      </c>
      <c r="N80" s="11">
        <f>output!C125/SUM(output!C$122:C$125)</f>
        <v>5.2474108170310707E-4</v>
      </c>
      <c r="O80" s="11">
        <f>output!D125/SUM(output!D$122:D$125)</f>
        <v>7.4276960215403183E-4</v>
      </c>
      <c r="P80" s="11">
        <f>output!E125/SUM(output!E$122:E$125)</f>
        <v>7.5893847177389547E-4</v>
      </c>
      <c r="Q80" s="11">
        <f>output!F125/SUM(output!F$122:F$125)</f>
        <v>5.5699101078396482E-4</v>
      </c>
      <c r="R80" s="11">
        <f>output!G125/SUM(output!G$122:G$125)</f>
        <v>9.1888580591690389E-4</v>
      </c>
      <c r="S80" s="25">
        <f>output!H125/SUM(output!H$122:H$125)</f>
        <v>7.524679826745183E-4</v>
      </c>
      <c r="T80" s="25" t="e">
        <f>output!I125/SUM(output!I$122:I$125)</f>
        <v>#DIV/0!</v>
      </c>
      <c r="U80" s="11">
        <f>output!J125/SUM(output!J$122:J$125)</f>
        <v>4.874814646638218E-4</v>
      </c>
      <c r="W80" s="19" t="s">
        <v>94</v>
      </c>
      <c r="X80" s="10">
        <f si="18" t="shared"/>
        <v>-2.6503236560989122E-4</v>
      </c>
      <c r="Y80" s="10">
        <f si="18" t="shared"/>
        <v>5.2474108170310707E-4</v>
      </c>
      <c r="Z80" s="10">
        <f si="18" t="shared"/>
        <v>6.1047514757906006E-4</v>
      </c>
      <c r="AA80" s="10">
        <f si="18" t="shared"/>
        <v>7.5893847177389547E-4</v>
      </c>
      <c r="AB80" s="10">
        <f si="18" t="shared"/>
        <v>5.5699101078396482E-4</v>
      </c>
      <c r="AC80" s="10">
        <f si="18" t="shared"/>
        <v>9.1888580591690389E-4</v>
      </c>
      <c r="AD80" s="10">
        <f si="18" t="shared"/>
        <v>-4.7613872826080309E-4</v>
      </c>
      <c r="AE80" s="10" t="e">
        <f si="18" t="shared"/>
        <v>#DIV/0!</v>
      </c>
      <c r="AF80" s="10">
        <f si="18" t="shared"/>
        <v>4.3315217814271327E-5</v>
      </c>
    </row>
    <row customHeight="1" ht="13.15" r="81" spans="1:32" thickBot="1" x14ac:dyDescent="0.25">
      <c r="A81" s="17" t="s">
        <v>4</v>
      </c>
      <c r="B81" s="12">
        <f ref="B81:J81" si="19" t="shared">SUM(B77:B80)</f>
        <v>1</v>
      </c>
      <c r="C81" s="12">
        <f si="19" t="shared"/>
        <v>1</v>
      </c>
      <c r="D81" s="12">
        <f si="19" t="shared"/>
        <v>0.99999999999999989</v>
      </c>
      <c r="E81" s="12">
        <f si="19" t="shared"/>
        <v>1</v>
      </c>
      <c r="F81" s="12">
        <f si="19" t="shared"/>
        <v>1</v>
      </c>
      <c r="G81" s="12">
        <f si="19" t="shared"/>
        <v>1</v>
      </c>
      <c r="H81" s="12">
        <f si="19" t="shared"/>
        <v>1.0000000000000002</v>
      </c>
      <c r="I81" s="12" t="e">
        <f si="19" t="shared"/>
        <v>#DIV/0!</v>
      </c>
      <c r="J81" s="12">
        <f si="19" t="shared"/>
        <v>1</v>
      </c>
      <c r="L81" s="17" t="s">
        <v>4</v>
      </c>
      <c r="M81" s="12">
        <f ref="M81:U81" si="20" t="shared">SUM(M77:M80)</f>
        <v>1</v>
      </c>
      <c r="N81" s="12">
        <f si="20" t="shared"/>
        <v>1</v>
      </c>
      <c r="O81" s="12">
        <f si="20" t="shared"/>
        <v>1</v>
      </c>
      <c r="P81" s="12">
        <f si="20" t="shared"/>
        <v>1</v>
      </c>
      <c r="Q81" s="12">
        <f si="20" t="shared"/>
        <v>1</v>
      </c>
      <c r="R81" s="12">
        <f si="20" t="shared"/>
        <v>1</v>
      </c>
      <c r="S81" s="12">
        <f si="20" t="shared"/>
        <v>0.99999999999999989</v>
      </c>
      <c r="T81" s="12" t="e">
        <f si="20" t="shared"/>
        <v>#DIV/0!</v>
      </c>
      <c r="U81" s="12">
        <f si="20" t="shared"/>
        <v>1</v>
      </c>
      <c r="W81" s="17" t="s">
        <v>4</v>
      </c>
      <c r="X81" s="12">
        <f si="18" t="shared"/>
        <v>0</v>
      </c>
      <c r="Y81" s="12">
        <f si="18" t="shared"/>
        <v>0</v>
      </c>
      <c r="Z81" s="12">
        <f si="18" t="shared"/>
        <v>0</v>
      </c>
      <c r="AA81" s="12">
        <f si="18" t="shared"/>
        <v>0</v>
      </c>
      <c r="AB81" s="12">
        <f si="18" t="shared"/>
        <v>0</v>
      </c>
      <c r="AC81" s="12">
        <f si="18" t="shared"/>
        <v>0</v>
      </c>
      <c r="AD81" s="12">
        <f si="18" t="shared"/>
        <v>0</v>
      </c>
      <c r="AE81" s="12" t="e">
        <f si="18" t="shared"/>
        <v>#DIV/0!</v>
      </c>
      <c r="AF81" s="12">
        <f si="18" t="shared"/>
        <v>0</v>
      </c>
    </row>
  </sheetData>
  <conditionalFormatting sqref="X5:AF9 X17:AF21 X29:AF33 X41:AF45 X53:AF57 X65:AF69 X77:AF81">
    <cfRule dxfId="36" operator="notBetween" priority="1" stopIfTrue="1" type="cellIs">
      <formula>-0.15</formula>
      <formula>0.15</formula>
    </cfRule>
    <cfRule dxfId="35" operator="notBetween" priority="2" stopIfTrue="1" type="cellIs">
      <formula>-0.1</formula>
      <formula>0.1</formula>
    </cfRule>
    <cfRule dxfId="3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P50"/>
  <sheetViews>
    <sheetView workbookViewId="0"/>
  </sheetViews>
  <sheetFormatPr defaultColWidth="10.75" defaultRowHeight="12.75" x14ac:dyDescent="0.2"/>
  <cols>
    <col min="1" max="1" customWidth="true" style="265" width="21.375" collapsed="true"/>
    <col min="2" max="5" customWidth="true" style="265" width="10.75" collapsed="true"/>
    <col min="6" max="6" customWidth="true" style="265" width="21.375" collapsed="true"/>
    <col min="7" max="9" bestFit="true" customWidth="true" style="265" width="12.125" collapsed="true"/>
    <col min="10" max="10" customWidth="true" style="265" width="10.75" collapsed="true"/>
    <col min="11" max="11" customWidth="true" style="265" width="21.375" collapsed="true"/>
    <col min="12" max="18" customWidth="true" style="265" width="10.75" collapsed="true"/>
    <col min="19" max="16384" style="265" width="10.75" collapsed="true"/>
  </cols>
  <sheetData>
    <row customHeight="1" ht="13.15" r="1" spans="1:14" x14ac:dyDescent="0.2">
      <c r="A1" s="264" t="s">
        <v>41</v>
      </c>
      <c r="F1" s="264" t="s">
        <v>41</v>
      </c>
      <c r="K1" s="264" t="s">
        <v>41</v>
      </c>
    </row>
    <row customHeight="1" ht="13.15" r="2" spans="1:14" x14ac:dyDescent="0.2">
      <c r="A2" s="264" t="s">
        <v>134</v>
      </c>
      <c r="B2" s="28"/>
      <c r="F2" s="264" t="s">
        <v>135</v>
      </c>
      <c r="G2" s="28"/>
      <c r="K2" s="264" t="s">
        <v>136</v>
      </c>
      <c r="L2" s="28"/>
    </row>
    <row customHeight="1" ht="13.15" r="3" spans="1:14" thickBot="1" x14ac:dyDescent="0.25"/>
    <row customHeight="1" ht="13.15" r="4" spans="1:14" x14ac:dyDescent="0.2">
      <c r="A4" s="3" t="s">
        <v>137</v>
      </c>
      <c r="B4" s="4" t="s">
        <v>138</v>
      </c>
      <c r="C4" s="4" t="s">
        <v>139</v>
      </c>
      <c r="D4" s="4" t="s">
        <v>4</v>
      </c>
      <c r="F4" s="3" t="s">
        <v>137</v>
      </c>
      <c r="G4" s="4" t="s">
        <v>138</v>
      </c>
      <c r="H4" s="57" t="s">
        <v>139</v>
      </c>
      <c r="I4" s="4" t="s">
        <v>4</v>
      </c>
      <c r="K4" s="3" t="s">
        <v>137</v>
      </c>
      <c r="L4" s="4" t="s">
        <v>138</v>
      </c>
      <c r="M4" s="4" t="s">
        <v>139</v>
      </c>
      <c r="N4" s="4" t="s">
        <v>4</v>
      </c>
    </row>
    <row r="5" spans="1:14" x14ac:dyDescent="0.2">
      <c r="A5" s="16">
        <v>0</v>
      </c>
      <c r="B5" s="10">
        <f>output_NHTS!B129/SUM(output_NHTS!B$129:B$132)</f>
        <v>0.82170114648822978</v>
      </c>
      <c r="C5" s="10">
        <f>output_NHTS!C129/SUM(output_NHTS!C$129:C$132)</f>
        <v>0.92837184630297964</v>
      </c>
      <c r="D5" s="10">
        <f>output_NHTS!D129/SUM(output_NHTS!D$129:D$132)</f>
        <v>0.83383682828520378</v>
      </c>
      <c r="F5" s="16">
        <v>0</v>
      </c>
      <c r="G5" s="10">
        <f>output!B129/SUM(output!B$129:B$132)</f>
        <v>0.85543365583966824</v>
      </c>
      <c r="H5" s="55">
        <f>output!C129/SUM(output!C$129:C$132)</f>
        <v>0.8912327624635118</v>
      </c>
      <c r="I5" s="10">
        <f>output!D129/SUM(output!D$129:D$132)</f>
        <v>0.85901760174592279</v>
      </c>
      <c r="K5" s="16">
        <v>0</v>
      </c>
      <c r="L5" s="10">
        <f ref="L5:N9" si="0" t="shared">G5-B5</f>
        <v>3.3732509351438456E-2</v>
      </c>
      <c r="M5" s="10">
        <f si="0" t="shared"/>
        <v>-3.7139083839467846E-2</v>
      </c>
      <c r="N5" s="10">
        <f si="0" t="shared"/>
        <v>2.5180773460719008E-2</v>
      </c>
    </row>
    <row r="6" spans="1:14" x14ac:dyDescent="0.2">
      <c r="A6" s="16">
        <v>1</v>
      </c>
      <c r="B6" s="10">
        <f>output_NHTS!B130/SUM(output_NHTS!B$129:B$132)</f>
        <v>0.16079202299532072</v>
      </c>
      <c r="C6" s="10">
        <f>output_NHTS!C130/SUM(output_NHTS!C$129:C$132)</f>
        <v>5.6176039651063263E-2</v>
      </c>
      <c r="D6" s="10">
        <f>output_NHTS!D130/SUM(output_NHTS!D$129:D$132)</f>
        <v>0.14889010159658361</v>
      </c>
      <c r="F6" s="16">
        <v>1</v>
      </c>
      <c r="G6" s="10">
        <f>output!B130/SUM(output!B$129:B$132)</f>
        <v>0.13644929483733906</v>
      </c>
      <c r="H6" s="55">
        <f>output!C130/SUM(output!C$129:C$132)</f>
        <v>0.10373438016766605</v>
      </c>
      <c r="I6" s="10">
        <f>output!D130/SUM(output!D$129:D$132)</f>
        <v>0.13317411577391106</v>
      </c>
      <c r="K6" s="16">
        <v>1</v>
      </c>
      <c r="L6" s="10">
        <f si="0" t="shared"/>
        <v>-2.4342728157981663E-2</v>
      </c>
      <c r="M6" s="10">
        <f si="0" t="shared"/>
        <v>4.7558340516602786E-2</v>
      </c>
      <c r="N6" s="10">
        <f si="0" t="shared"/>
        <v>-1.5715985822672557E-2</v>
      </c>
    </row>
    <row r="7" spans="1:14" x14ac:dyDescent="0.2">
      <c r="A7" s="16">
        <v>2</v>
      </c>
      <c r="B7" s="10">
        <f>output_NHTS!B131/SUM(output_NHTS!B$129:B$132)</f>
        <v>1.4989149346179773E-2</v>
      </c>
      <c r="C7" s="10">
        <f>output_NHTS!C131/SUM(output_NHTS!C$129:C$132)</f>
        <v>1.0651133991752017E-2</v>
      </c>
      <c r="D7" s="10">
        <f>output_NHTS!D131/SUM(output_NHTS!D$129:D$132)</f>
        <v>1.4495623250793241E-2</v>
      </c>
      <c r="F7" s="16">
        <v>2</v>
      </c>
      <c r="G7" s="10">
        <f>output!B131/SUM(output!B$129:B$132)</f>
        <v>7.4995520745347972E-3</v>
      </c>
      <c r="H7" s="55">
        <f>output!C131/SUM(output!C$129:C$132)</f>
        <v>4.6302287793163945E-3</v>
      </c>
      <c r="I7" s="10">
        <f>output!D131/SUM(output!D$129:D$132)</f>
        <v>7.2122963174101381E-3</v>
      </c>
      <c r="K7" s="16">
        <v>2</v>
      </c>
      <c r="L7" s="10">
        <f si="0" t="shared"/>
        <v>-7.4895972716449754E-3</v>
      </c>
      <c r="M7" s="10">
        <f si="0" t="shared"/>
        <v>-6.0209052124356229E-3</v>
      </c>
      <c r="N7" s="10">
        <f si="0" t="shared"/>
        <v>-7.2833269333831031E-3</v>
      </c>
    </row>
    <row r="8" spans="1:14" x14ac:dyDescent="0.2">
      <c r="A8" s="19" t="s">
        <v>94</v>
      </c>
      <c r="B8" s="11">
        <f>output_NHTS!B132/SUM(output_NHTS!B$129:B$132)</f>
        <v>2.5176811702696347E-3</v>
      </c>
      <c r="C8" s="11">
        <f>output_NHTS!C132/SUM(output_NHTS!C$129:C$132)</f>
        <v>4.8009800542051515E-3</v>
      </c>
      <c r="D8" s="11">
        <f>output_NHTS!D132/SUM(output_NHTS!D$129:D$132)</f>
        <v>2.7774468674193562E-3</v>
      </c>
      <c r="F8" s="19" t="s">
        <v>94</v>
      </c>
      <c r="G8" s="11">
        <f>output!B132/SUM(output!B$129:B$132)</f>
        <v>6.1749724845785667E-4</v>
      </c>
      <c r="H8" s="53">
        <f>output!C132/SUM(output!C$129:C$132)</f>
        <v>4.0262858950577339E-4</v>
      </c>
      <c r="I8" s="11">
        <f>output!D132/SUM(output!D$129:D$132)</f>
        <v>5.9598616275604731E-4</v>
      </c>
      <c r="K8" s="19" t="s">
        <v>94</v>
      </c>
      <c r="L8" s="10">
        <f si="0" t="shared"/>
        <v>-1.9001839218117781E-3</v>
      </c>
      <c r="M8" s="10">
        <f si="0" t="shared"/>
        <v>-4.3983514646993779E-3</v>
      </c>
      <c r="N8" s="10">
        <f si="0" t="shared"/>
        <v>-2.1814607046633091E-3</v>
      </c>
    </row>
    <row customHeight="1" ht="13.15" r="9" spans="1:14" thickBot="1" x14ac:dyDescent="0.25">
      <c r="A9" s="17" t="s">
        <v>4</v>
      </c>
      <c r="B9" s="15">
        <f>SUM(B5:B8)</f>
        <v>0.99999999999999989</v>
      </c>
      <c r="C9" s="54">
        <f>SUM(C5:C8)</f>
        <v>1</v>
      </c>
      <c r="D9" s="15">
        <f>SUM(D5:D8)</f>
        <v>0.99999999999999989</v>
      </c>
      <c r="F9" s="17" t="s">
        <v>4</v>
      </c>
      <c r="G9" s="15">
        <f>SUM(G5:G8)</f>
        <v>0.99999999999999989</v>
      </c>
      <c r="H9" s="54">
        <f>SUM(H5:H8)</f>
        <v>1</v>
      </c>
      <c r="I9" s="15">
        <f>SUM(I5:I8)</f>
        <v>1</v>
      </c>
      <c r="K9" s="17" t="s">
        <v>4</v>
      </c>
      <c r="L9" s="12">
        <f si="0" t="shared"/>
        <v>0</v>
      </c>
      <c r="M9" s="12">
        <f si="0" t="shared"/>
        <v>0</v>
      </c>
      <c r="N9" s="12">
        <f si="0" t="shared"/>
        <v>0</v>
      </c>
    </row>
    <row r="10" spans="1:14" x14ac:dyDescent="0.2">
      <c r="A10" s="16"/>
      <c r="B10" s="10"/>
      <c r="C10" s="10"/>
      <c r="D10" s="10"/>
      <c r="F10" s="16"/>
      <c r="G10" s="10"/>
      <c r="H10" s="10"/>
      <c r="I10" s="10"/>
      <c r="K10" s="16"/>
      <c r="L10" s="10"/>
      <c r="M10" s="10"/>
      <c r="N10" s="10"/>
    </row>
    <row customHeight="1" ht="13.15" r="12" spans="1:14" x14ac:dyDescent="0.2">
      <c r="A12" s="264" t="s">
        <v>41</v>
      </c>
      <c r="F12" s="264" t="s">
        <v>41</v>
      </c>
      <c r="K12" s="264" t="s">
        <v>41</v>
      </c>
    </row>
    <row customHeight="1" ht="13.15" r="13" spans="1:14" x14ac:dyDescent="0.2">
      <c r="A13" s="264" t="s">
        <v>140</v>
      </c>
      <c r="F13" s="264" t="s">
        <v>141</v>
      </c>
      <c r="K13" s="264" t="s">
        <v>142</v>
      </c>
    </row>
    <row customHeight="1" ht="13.15" r="14" spans="1:14" thickBot="1" x14ac:dyDescent="0.25"/>
    <row customHeight="1" ht="13.15" r="15" spans="1:14" x14ac:dyDescent="0.2">
      <c r="A15" s="3" t="s">
        <v>22</v>
      </c>
      <c r="B15" s="4" t="s">
        <v>138</v>
      </c>
      <c r="C15" s="4" t="s">
        <v>139</v>
      </c>
      <c r="D15" s="4" t="s">
        <v>4</v>
      </c>
      <c r="F15" s="3" t="s">
        <v>22</v>
      </c>
      <c r="G15" s="4" t="s">
        <v>138</v>
      </c>
      <c r="H15" s="4" t="s">
        <v>139</v>
      </c>
      <c r="I15" s="4" t="s">
        <v>4</v>
      </c>
      <c r="K15" s="3" t="s">
        <v>22</v>
      </c>
      <c r="L15" s="4" t="s">
        <v>138</v>
      </c>
      <c r="M15" s="4" t="s">
        <v>139</v>
      </c>
      <c r="N15" s="4" t="s">
        <v>4</v>
      </c>
    </row>
    <row r="16" spans="1:14" x14ac:dyDescent="0.2">
      <c r="A16" s="16" t="s">
        <v>143</v>
      </c>
      <c r="B16" s="10">
        <f>output_NHTS!B136/SUM(output_NHTS!B$136:B$142)</f>
        <v>0.18962403843011513</v>
      </c>
      <c r="C16" s="10">
        <f>output_NHTS!C136/SUM(output_NHTS!C$136:C$142)</f>
        <v>0.23814855897579504</v>
      </c>
      <c r="D16" s="10">
        <f>output_NHTS!D136/SUM(output_NHTS!D$136:D$142)</f>
        <v>0.19213804175306179</v>
      </c>
      <c r="F16" s="16" t="s">
        <v>143</v>
      </c>
      <c r="G16" s="10">
        <f>output!B136/SUM(output!B$136:B$142)</f>
        <v>0.1954246598144064</v>
      </c>
      <c r="H16" s="10">
        <f>output!C136/SUM(output!C$136:C$142)</f>
        <v>0.17271264083199209</v>
      </c>
      <c r="I16" s="10">
        <f>output!D136/SUM(output!D$136:D$142)</f>
        <v>0.19366416829013158</v>
      </c>
      <c r="K16" s="16" t="s">
        <v>143</v>
      </c>
      <c r="L16" s="10">
        <f>G16-B16</f>
        <v>5.8006213842912713E-3</v>
      </c>
      <c r="M16" s="10">
        <f>H16-C16</f>
        <v>-6.5435918143802951E-2</v>
      </c>
      <c r="N16" s="10">
        <f>I16-D16</f>
        <v>1.5261265370697941E-3</v>
      </c>
    </row>
    <row r="17" spans="1:15" x14ac:dyDescent="0.2">
      <c r="A17" s="16" t="s">
        <v>144</v>
      </c>
      <c r="B17" s="10">
        <f>output_NHTS!B137/SUM(output_NHTS!B$136:B$142)</f>
        <v>6.9919054849536515E-3</v>
      </c>
      <c r="C17" s="10">
        <f>output_NHTS!C137/SUM(output_NHTS!C$136:C$142)</f>
        <v>0</v>
      </c>
      <c r="D17" s="10">
        <f>output_NHTS!D137/SUM(output_NHTS!D$136:D$142)</f>
        <v>6.6296623669334417E-3</v>
      </c>
      <c r="F17" s="16" t="s">
        <v>144</v>
      </c>
      <c r="G17" s="10">
        <f>output!B137/SUM(output!B$136:B$142)</f>
        <v>3.8804044775498313E-3</v>
      </c>
      <c r="H17" s="10">
        <f>output!C137/SUM(output!C$136:C$142)</f>
        <v>2.0923610251330941E-2</v>
      </c>
      <c r="I17" s="10">
        <f>output!D137/SUM(output!D$136:D$142)</f>
        <v>5.2014855903494209E-3</v>
      </c>
      <c r="K17" s="16" t="s">
        <v>144</v>
      </c>
      <c r="L17" s="10"/>
      <c r="M17" s="10"/>
      <c r="N17" s="10"/>
    </row>
    <row r="18" spans="1:15" x14ac:dyDescent="0.2">
      <c r="A18" s="16" t="s">
        <v>145</v>
      </c>
      <c r="B18" s="10">
        <f>output_NHTS!B138/SUM(output_NHTS!B$136:B$142)</f>
        <v>4.5160677419692867E-2</v>
      </c>
      <c r="C18" s="10">
        <f>output_NHTS!C138/SUM(output_NHTS!C$136:C$142)</f>
        <v>0.13938607984366871</v>
      </c>
      <c r="D18" s="10">
        <f>output_NHTS!D138/SUM(output_NHTS!D$136:D$142)</f>
        <v>5.0042394377140573E-2</v>
      </c>
      <c r="F18" s="16" t="s">
        <v>145</v>
      </c>
      <c r="G18" s="10">
        <f>output!B138/SUM(output!B$136:B$142)</f>
        <v>5.3961549665016019E-2</v>
      </c>
      <c r="H18" s="10">
        <f>output!C138/SUM(output!C$136:C$142)</f>
        <v>6.537080599232388E-2</v>
      </c>
      <c r="I18" s="10">
        <f>output!D138/SUM(output!D$136:D$142)</f>
        <v>5.4845922783850441E-2</v>
      </c>
      <c r="K18" s="16" t="s">
        <v>145</v>
      </c>
      <c r="L18" s="10">
        <f ref="L18:N23" si="1" t="shared">G18-B18</f>
        <v>8.8008722453231519E-3</v>
      </c>
      <c r="M18" s="10">
        <f si="1" t="shared"/>
        <v>-7.4015273851344834E-2</v>
      </c>
      <c r="N18" s="10">
        <f si="1" t="shared"/>
        <v>4.8035284067098685E-3</v>
      </c>
    </row>
    <row r="19" spans="1:15" x14ac:dyDescent="0.2">
      <c r="A19" s="16" t="s">
        <v>146</v>
      </c>
      <c r="B19" s="10">
        <f>output_NHTS!B139/SUM(output_NHTS!B$136:B$142)</f>
        <v>0.18223490223654021</v>
      </c>
      <c r="C19" s="10">
        <f>output_NHTS!C139/SUM(output_NHTS!C$136:C$142)</f>
        <v>0.15268024667701435</v>
      </c>
      <c r="D19" s="10">
        <f>output_NHTS!D139/SUM(output_NHTS!D$136:D$142)</f>
        <v>0.18070370725615395</v>
      </c>
      <c r="F19" s="16" t="s">
        <v>146</v>
      </c>
      <c r="G19" s="10">
        <f>output!B139/SUM(output!B$136:B$142)</f>
        <v>0.18334651075693895</v>
      </c>
      <c r="H19" s="10">
        <f>output!C139/SUM(output!C$136:C$142)</f>
        <v>0.18199826668317445</v>
      </c>
      <c r="I19" s="10">
        <f>output!D139/SUM(output!D$136:D$142)</f>
        <v>0.1832420034356676</v>
      </c>
      <c r="K19" s="16" t="s">
        <v>146</v>
      </c>
      <c r="L19" s="10">
        <f si="1" t="shared"/>
        <v>1.111608520398738E-3</v>
      </c>
      <c r="M19" s="10">
        <f si="1" t="shared"/>
        <v>2.93180200061601E-2</v>
      </c>
      <c r="N19" s="10">
        <f si="1" t="shared"/>
        <v>2.5382961795136494E-3</v>
      </c>
    </row>
    <row r="20" spans="1:15" x14ac:dyDescent="0.2">
      <c r="A20" s="16" t="s">
        <v>147</v>
      </c>
      <c r="B20" s="10">
        <f>output_NHTS!B140/SUM(output_NHTS!B$136:B$142)</f>
        <v>0.10943439086114884</v>
      </c>
      <c r="C20" s="10">
        <f>output_NHTS!C140/SUM(output_NHTS!C$136:C$142)</f>
        <v>6.4479309704838048E-2</v>
      </c>
      <c r="D20" s="10">
        <f>output_NHTS!D140/SUM(output_NHTS!D$136:D$142)</f>
        <v>0.10710531636150668</v>
      </c>
      <c r="F20" s="16" t="s">
        <v>147</v>
      </c>
      <c r="G20" s="10">
        <f>output!B140/SUM(output!B$136:B$142)</f>
        <v>9.9132370687861515E-2</v>
      </c>
      <c r="H20" s="10">
        <f>output!C140/SUM(output!C$136:C$142)</f>
        <v>0.1273987866782221</v>
      </c>
      <c r="I20" s="10">
        <f>output!D140/SUM(output!D$136:D$142)</f>
        <v>0.10132340380610551</v>
      </c>
      <c r="K20" s="16" t="s">
        <v>147</v>
      </c>
      <c r="L20" s="10">
        <f si="1" t="shared"/>
        <v>-1.0302020173287324E-2</v>
      </c>
      <c r="M20" s="10">
        <f si="1" t="shared"/>
        <v>6.2919476973384056E-2</v>
      </c>
      <c r="N20" s="10">
        <f si="1" t="shared"/>
        <v>-5.7819125554011697E-3</v>
      </c>
    </row>
    <row r="21" spans="1:15" x14ac:dyDescent="0.2">
      <c r="A21" s="16" t="s">
        <v>148</v>
      </c>
      <c r="B21" s="10">
        <f>output_NHTS!B141/SUM(output_NHTS!B$136:B$142)</f>
        <v>0.40712930291836086</v>
      </c>
      <c r="C21" s="10">
        <f>output_NHTS!C141/SUM(output_NHTS!C$136:C$142)</f>
        <v>0.3598524446550691</v>
      </c>
      <c r="D21" s="10">
        <f>output_NHTS!D141/SUM(output_NHTS!D$136:D$142)</f>
        <v>0.40467993963901611</v>
      </c>
      <c r="F21" s="16" t="s">
        <v>148</v>
      </c>
      <c r="G21" s="10">
        <f>output!B141/SUM(output!B$136:B$142)</f>
        <v>0.40193916191585866</v>
      </c>
      <c r="H21" s="10">
        <f>output!C141/SUM(output!C$136:C$142)</f>
        <v>0.35260616565556518</v>
      </c>
      <c r="I21" s="10">
        <f>output!D141/SUM(output!D$136:D$142)</f>
        <v>0.39811518123626455</v>
      </c>
      <c r="K21" s="16" t="s">
        <v>148</v>
      </c>
      <c r="L21" s="10">
        <f si="1" t="shared"/>
        <v>-5.1901410025022021E-3</v>
      </c>
      <c r="M21" s="10">
        <f si="1" t="shared"/>
        <v>-7.246278999503919E-3</v>
      </c>
      <c r="N21" s="10">
        <f si="1" t="shared"/>
        <v>-6.5647584027515582E-3</v>
      </c>
    </row>
    <row r="22" spans="1:15" x14ac:dyDescent="0.2">
      <c r="A22" s="19" t="s">
        <v>149</v>
      </c>
      <c r="B22" s="11">
        <f>output_NHTS!B142/SUM(output_NHTS!B$136:B$142)</f>
        <v>5.9424782649188539E-2</v>
      </c>
      <c r="C22" s="11">
        <f>output_NHTS!C142/SUM(output_NHTS!C$136:C$142)</f>
        <v>4.5453360143614681E-2</v>
      </c>
      <c r="D22" s="11">
        <f>output_NHTS!D142/SUM(output_NHTS!D$136:D$142)</f>
        <v>5.8700938246187377E-2</v>
      </c>
      <c r="F22" s="19" t="s">
        <v>149</v>
      </c>
      <c r="G22" s="11">
        <f>output!B142/SUM(output!B$136:B$142)</f>
        <v>6.2315342682368609E-2</v>
      </c>
      <c r="H22" s="11">
        <f>output!C142/SUM(output!C$136:C$142)</f>
        <v>7.8989723907391354E-2</v>
      </c>
      <c r="I22" s="11">
        <f>output!D142/SUM(output!D$136:D$142)</f>
        <v>6.3607834857630927E-2</v>
      </c>
      <c r="K22" s="19" t="s">
        <v>149</v>
      </c>
      <c r="L22" s="10">
        <f si="1" t="shared"/>
        <v>2.8905600331800702E-3</v>
      </c>
      <c r="M22" s="10">
        <f si="1" t="shared"/>
        <v>3.3536363763776673E-2</v>
      </c>
      <c r="N22" s="10">
        <f si="1" t="shared"/>
        <v>4.9068966114435494E-3</v>
      </c>
      <c r="O22" s="21"/>
    </row>
    <row customHeight="1" ht="13.15" r="23" spans="1:15" thickBot="1" x14ac:dyDescent="0.25">
      <c r="A23" s="17" t="s">
        <v>4</v>
      </c>
      <c r="B23" s="15">
        <f>SUM(B19:B22)</f>
        <v>0.75822337866523837</v>
      </c>
      <c r="C23" s="54">
        <f>SUM(C19:C22)</f>
        <v>0.62246536118053619</v>
      </c>
      <c r="D23" s="15">
        <f>SUM(D19:D22)</f>
        <v>0.75118990150286413</v>
      </c>
      <c r="F23" s="17" t="s">
        <v>4</v>
      </c>
      <c r="G23" s="12">
        <f>SUM(G16:G22)</f>
        <v>1</v>
      </c>
      <c r="H23" s="12">
        <f>SUM(H16:H22)</f>
        <v>1</v>
      </c>
      <c r="I23" s="12">
        <f>SUM(I16:I22)</f>
        <v>1</v>
      </c>
      <c r="K23" s="17" t="s">
        <v>4</v>
      </c>
      <c r="L23" s="12">
        <f si="1" t="shared"/>
        <v>0.24177662133476163</v>
      </c>
      <c r="M23" s="12">
        <f si="1" t="shared"/>
        <v>0.37753463881946381</v>
      </c>
      <c r="N23" s="12">
        <f si="1" t="shared"/>
        <v>0.24881009849713587</v>
      </c>
      <c r="O23" s="21"/>
    </row>
    <row r="24" spans="1:15" x14ac:dyDescent="0.2">
      <c r="B24" s="10"/>
      <c r="C24" s="10"/>
      <c r="D24" s="10"/>
      <c r="M24" s="21"/>
      <c r="N24" s="21"/>
      <c r="O24" s="21"/>
    </row>
    <row r="25" spans="1:15" x14ac:dyDescent="0.2">
      <c r="M25" s="21"/>
      <c r="N25" s="21"/>
      <c r="O25" s="21"/>
    </row>
    <row r="26" spans="1:15" x14ac:dyDescent="0.2">
      <c r="G26" s="217"/>
      <c r="H26" s="217"/>
      <c r="I26" s="217"/>
      <c r="M26" s="21"/>
      <c r="N26" s="21"/>
      <c r="O26" s="21"/>
    </row>
    <row r="27" spans="1:15" x14ac:dyDescent="0.2">
      <c r="G27" s="217"/>
      <c r="H27" s="217"/>
      <c r="I27" s="217"/>
      <c r="M27" s="21"/>
      <c r="N27" s="21"/>
      <c r="O27" s="21"/>
    </row>
    <row r="28" spans="1:15" x14ac:dyDescent="0.2">
      <c r="G28" s="217"/>
      <c r="H28" s="217"/>
      <c r="I28" s="217"/>
      <c r="M28" s="21"/>
      <c r="N28" s="21"/>
      <c r="O28" s="21"/>
    </row>
    <row customHeight="1" ht="13.15" r="29" spans="1:15" x14ac:dyDescent="0.2">
      <c r="F29" s="264"/>
    </row>
    <row customHeight="1" ht="13.15" r="30" spans="1:15" x14ac:dyDescent="0.2">
      <c r="F30" s="264"/>
      <c r="G30" s="28"/>
    </row>
    <row customHeight="1" ht="13.15" r="32" spans="1:15" x14ac:dyDescent="0.2">
      <c r="F32" s="59"/>
      <c r="G32" s="52"/>
      <c r="H32" s="52"/>
      <c r="I32" s="52"/>
    </row>
    <row r="33" spans="6:9" x14ac:dyDescent="0.2">
      <c r="F33" s="16"/>
      <c r="G33" s="10"/>
      <c r="H33" s="10"/>
      <c r="I33" s="10"/>
    </row>
    <row r="34" spans="6:9" x14ac:dyDescent="0.2">
      <c r="F34" s="16"/>
      <c r="G34" s="10"/>
      <c r="H34" s="10"/>
      <c r="I34" s="10"/>
    </row>
    <row r="35" spans="6:9" x14ac:dyDescent="0.2">
      <c r="F35" s="16"/>
      <c r="G35" s="10"/>
      <c r="H35" s="10"/>
      <c r="I35" s="10"/>
    </row>
    <row r="36" spans="6:9" x14ac:dyDescent="0.2">
      <c r="F36" s="16"/>
      <c r="G36" s="10"/>
      <c r="H36" s="10"/>
      <c r="I36" s="10"/>
    </row>
    <row r="37" spans="6:9" x14ac:dyDescent="0.2">
      <c r="F37" s="16"/>
      <c r="G37" s="10"/>
      <c r="H37" s="10"/>
      <c r="I37" s="10"/>
    </row>
    <row r="38" spans="6:9" x14ac:dyDescent="0.2">
      <c r="F38" s="16"/>
      <c r="G38" s="10"/>
      <c r="H38" s="10"/>
      <c r="I38" s="10"/>
    </row>
    <row customHeight="1" ht="13.15" r="40" spans="6:9" x14ac:dyDescent="0.2">
      <c r="F40" s="264"/>
    </row>
    <row customHeight="1" ht="13.15" r="41" spans="6:9" x14ac:dyDescent="0.2">
      <c r="F41" s="264"/>
    </row>
    <row customHeight="1" ht="13.15" r="43" spans="6:9" x14ac:dyDescent="0.2">
      <c r="F43" s="59"/>
      <c r="G43" s="52"/>
      <c r="H43" s="52"/>
      <c r="I43" s="52"/>
    </row>
    <row r="44" spans="6:9" x14ac:dyDescent="0.2">
      <c r="F44" s="16"/>
      <c r="G44" s="10"/>
      <c r="H44" s="10"/>
      <c r="I44" s="10"/>
    </row>
    <row r="45" spans="6:9" x14ac:dyDescent="0.2">
      <c r="F45" s="16"/>
      <c r="G45" s="10"/>
      <c r="H45" s="10"/>
      <c r="I45" s="10"/>
    </row>
    <row r="46" spans="6:9" x14ac:dyDescent="0.2">
      <c r="F46" s="16"/>
      <c r="G46" s="10"/>
      <c r="H46" s="10"/>
      <c r="I46" s="10"/>
    </row>
    <row r="47" spans="6:9" x14ac:dyDescent="0.2">
      <c r="F47" s="16"/>
      <c r="G47" s="10"/>
      <c r="H47" s="10"/>
      <c r="I47" s="10"/>
    </row>
    <row r="48" spans="6:9" x14ac:dyDescent="0.2">
      <c r="F48" s="16"/>
      <c r="G48" s="10"/>
      <c r="H48" s="10"/>
      <c r="I48" s="10"/>
    </row>
    <row r="49" spans="6:9" x14ac:dyDescent="0.2">
      <c r="F49" s="16"/>
      <c r="G49" s="10"/>
      <c r="H49" s="10"/>
      <c r="I49" s="10"/>
    </row>
    <row r="50" spans="6:9" x14ac:dyDescent="0.2">
      <c r="F50" s="16"/>
      <c r="G50" s="10"/>
      <c r="H50" s="10"/>
      <c r="I50" s="10"/>
    </row>
  </sheetData>
  <conditionalFormatting sqref="L5:N9 L16:N23">
    <cfRule dxfId="33" operator="notBetween" priority="1" stopIfTrue="1" type="cellIs">
      <formula>-0.15</formula>
      <formula>0.15</formula>
    </cfRule>
    <cfRule dxfId="32" operator="notBetween" priority="2" stopIfTrue="1" type="cellIs">
      <formula>-0.1</formula>
      <formula>0.1</formula>
    </cfRule>
    <cfRule dxfId="3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44" workbookViewId="0">
      <selection activeCell="I12" sqref="I12"/>
    </sheetView>
  </sheetViews>
  <sheetFormatPr defaultColWidth="10.75" defaultRowHeight="12.75" x14ac:dyDescent="0.2"/>
  <cols>
    <col min="1" max="7" customWidth="true" style="265" width="10.75" collapsed="true"/>
    <col min="8" max="16384" style="265" width="10.75" collapsed="true"/>
  </cols>
  <sheetData>
    <row customHeight="1" ht="13.15" r="1" spans="1:29" x14ac:dyDescent="0.2">
      <c r="A1" s="264" t="s">
        <v>41</v>
      </c>
      <c r="K1" s="264" t="s">
        <v>41</v>
      </c>
      <c r="U1" s="264" t="s">
        <v>41</v>
      </c>
    </row>
    <row customHeight="1" ht="13.15" r="2" spans="1:29" x14ac:dyDescent="0.2">
      <c r="A2" s="264" t="s">
        <v>150</v>
      </c>
      <c r="K2" s="264" t="s">
        <v>151</v>
      </c>
      <c r="U2" s="264" t="s">
        <v>152</v>
      </c>
    </row>
    <row customHeight="1" ht="13.15" r="3" spans="1:29" thickBot="1" x14ac:dyDescent="0.25"/>
    <row customHeight="1" ht="13.15" r="4" spans="1:29" x14ac:dyDescent="0.2">
      <c r="A4" s="3" t="s">
        <v>153</v>
      </c>
      <c r="B4" s="4" t="s">
        <v>143</v>
      </c>
      <c r="C4" s="4" t="s">
        <v>144</v>
      </c>
      <c r="D4" s="4" t="s">
        <v>145</v>
      </c>
      <c r="E4" s="4" t="s">
        <v>146</v>
      </c>
      <c r="F4" s="4" t="s">
        <v>147</v>
      </c>
      <c r="G4" s="4" t="s">
        <v>148</v>
      </c>
      <c r="H4" s="4" t="s">
        <v>149</v>
      </c>
      <c r="I4" s="4" t="s">
        <v>4</v>
      </c>
      <c r="K4" s="3" t="s">
        <v>153</v>
      </c>
      <c r="L4" s="4" t="s">
        <v>143</v>
      </c>
      <c r="M4" s="4" t="s">
        <v>144</v>
      </c>
      <c r="N4" s="4" t="s">
        <v>145</v>
      </c>
      <c r="O4" s="4" t="s">
        <v>146</v>
      </c>
      <c r="P4" s="4" t="s">
        <v>147</v>
      </c>
      <c r="Q4" s="4" t="s">
        <v>148</v>
      </c>
      <c r="R4" s="4" t="s">
        <v>149</v>
      </c>
      <c r="S4" s="4" t="s">
        <v>4</v>
      </c>
      <c r="U4" s="3" t="s">
        <v>153</v>
      </c>
      <c r="V4" s="4" t="s">
        <v>143</v>
      </c>
      <c r="W4" s="4" t="s">
        <v>144</v>
      </c>
      <c r="X4" s="4" t="s">
        <v>145</v>
      </c>
      <c r="Y4" s="4" t="s">
        <v>146</v>
      </c>
      <c r="Z4" s="4" t="s">
        <v>147</v>
      </c>
      <c r="AA4" s="4" t="s">
        <v>148</v>
      </c>
      <c r="AB4" s="4" t="s">
        <v>149</v>
      </c>
      <c r="AC4" s="4" t="s">
        <v>4</v>
      </c>
    </row>
    <row r="5" spans="1:29" x14ac:dyDescent="0.2">
      <c r="A5" s="16">
        <v>0</v>
      </c>
      <c r="B5" s="5">
        <f>output_NHTS!B148</f>
        <v>442097.26931890578</v>
      </c>
      <c r="C5" s="5">
        <f>output_NHTS!C148</f>
        <v>188556.29763828524</v>
      </c>
      <c r="D5" s="5">
        <f>output_NHTS!D148</f>
        <v>115798.85113271535</v>
      </c>
      <c r="E5" s="5">
        <f>output_NHTS!E148</f>
        <v>193226.52215862894</v>
      </c>
      <c r="F5" s="5">
        <f>output_NHTS!F148</f>
        <v>117246.91017444126</v>
      </c>
      <c r="G5" s="5">
        <f>output_NHTS!G148</f>
        <v>110278.06912955469</v>
      </c>
      <c r="H5" s="5">
        <f>output_NHTS!H148</f>
        <v>180929.84978468961</v>
      </c>
      <c r="I5" s="5">
        <f>output_NHTS!I148</f>
        <v>1348133.769337221</v>
      </c>
      <c r="K5" s="16">
        <v>0</v>
      </c>
      <c r="L5" s="5">
        <f>output!B148</f>
        <v>319245</v>
      </c>
      <c r="M5" s="5">
        <f>output!C148</f>
        <v>163410</v>
      </c>
      <c r="N5" s="5">
        <f>output!D148</f>
        <v>94089</v>
      </c>
      <c r="O5" s="5">
        <f>output!E148</f>
        <v>162875</v>
      </c>
      <c r="P5" s="5">
        <f>output!F148</f>
        <v>102566</v>
      </c>
      <c r="Q5" s="5">
        <f>output!G148</f>
        <v>107343</v>
      </c>
      <c r="R5" s="5">
        <f>output!H148</f>
        <v>167352</v>
      </c>
      <c r="S5" s="5">
        <f>output!I148</f>
        <v>1116880</v>
      </c>
      <c r="U5" s="16">
        <v>0</v>
      </c>
      <c r="V5" s="5">
        <f ref="V5:AC12" si="0" t="shared">L5-B5</f>
        <v>-122852.26931890578</v>
      </c>
      <c r="W5" s="5">
        <f si="0" t="shared"/>
        <v>-25146.297638285236</v>
      </c>
      <c r="X5" s="5">
        <f si="0" t="shared"/>
        <v>-21709.851132715354</v>
      </c>
      <c r="Y5" s="5">
        <f si="0" t="shared"/>
        <v>-30351.522158628941</v>
      </c>
      <c r="Z5" s="5">
        <f si="0" t="shared"/>
        <v>-14680.910174441262</v>
      </c>
      <c r="AA5" s="5">
        <f si="0" t="shared"/>
        <v>-2935.0691295546858</v>
      </c>
      <c r="AB5" s="5">
        <f si="0" t="shared"/>
        <v>-13577.849784689606</v>
      </c>
      <c r="AC5" s="5">
        <f si="0" t="shared"/>
        <v>-231253.76933722105</v>
      </c>
    </row>
    <row r="6" spans="1:29" x14ac:dyDescent="0.2">
      <c r="A6" s="16">
        <v>1</v>
      </c>
      <c r="B6" s="5">
        <f>output_NHTS!B149</f>
        <v>185668.24585787192</v>
      </c>
      <c r="C6" s="5">
        <f>output_NHTS!C149</f>
        <v>47702.574238860383</v>
      </c>
      <c r="D6" s="5">
        <f>output_NHTS!D149</f>
        <v>47411.121570956784</v>
      </c>
      <c r="E6" s="5">
        <f>output_NHTS!E149</f>
        <v>54928.987621462162</v>
      </c>
      <c r="F6" s="5">
        <f>output_NHTS!F149</f>
        <v>37662.286341851068</v>
      </c>
      <c r="G6" s="5">
        <f>output_NHTS!G149</f>
        <v>26520.533092541529</v>
      </c>
      <c r="H6" s="5">
        <f>output_NHTS!H149</f>
        <v>45835.410262829319</v>
      </c>
      <c r="I6" s="5">
        <f>output_NHTS!I149</f>
        <v>445729.15898637311</v>
      </c>
      <c r="K6" s="16">
        <v>1</v>
      </c>
      <c r="L6" s="5">
        <f>output!B149</f>
        <v>195364</v>
      </c>
      <c r="M6" s="5">
        <f>output!C149</f>
        <v>45567</v>
      </c>
      <c r="N6" s="5">
        <f>output!D149</f>
        <v>60344</v>
      </c>
      <c r="O6" s="5">
        <f>output!E149</f>
        <v>69402</v>
      </c>
      <c r="P6" s="5">
        <f>output!F149</f>
        <v>46630</v>
      </c>
      <c r="Q6" s="5">
        <f>output!G149</f>
        <v>24293</v>
      </c>
      <c r="R6" s="5">
        <f>output!H149</f>
        <v>46363</v>
      </c>
      <c r="S6" s="5">
        <f>output!I149</f>
        <v>487963</v>
      </c>
      <c r="U6" s="16">
        <v>1</v>
      </c>
      <c r="V6" s="5">
        <f si="0" t="shared"/>
        <v>9695.7541421280766</v>
      </c>
      <c r="W6" s="5">
        <f si="0" t="shared"/>
        <v>-2135.574238860383</v>
      </c>
      <c r="X6" s="5">
        <f si="0" t="shared"/>
        <v>12932.878429043216</v>
      </c>
      <c r="Y6" s="5">
        <f si="0" t="shared"/>
        <v>14473.012378537838</v>
      </c>
      <c r="Z6" s="5">
        <f si="0" t="shared"/>
        <v>8967.7136581489322</v>
      </c>
      <c r="AA6" s="5">
        <f si="0" t="shared"/>
        <v>-2227.5330925415292</v>
      </c>
      <c r="AB6" s="5">
        <f si="0" t="shared"/>
        <v>527.58973717068147</v>
      </c>
      <c r="AC6" s="5">
        <f si="0" t="shared"/>
        <v>42233.841013626894</v>
      </c>
    </row>
    <row r="7" spans="1:29" x14ac:dyDescent="0.2">
      <c r="A7" s="16">
        <v>2</v>
      </c>
      <c r="B7" s="5">
        <f>output_NHTS!B150</f>
        <v>97478.144483707671</v>
      </c>
      <c r="C7" s="5">
        <f>output_NHTS!C150</f>
        <v>20354.846883846596</v>
      </c>
      <c r="D7" s="5">
        <f>output_NHTS!D150</f>
        <v>31362.006466334751</v>
      </c>
      <c r="E7" s="5">
        <f>output_NHTS!E150</f>
        <v>21960.029484589788</v>
      </c>
      <c r="F7" s="5">
        <f>output_NHTS!F150</f>
        <v>18490.799509938759</v>
      </c>
      <c r="G7" s="5">
        <f>output_NHTS!G150</f>
        <v>11131.276500434902</v>
      </c>
      <c r="H7" s="5">
        <f>output_NHTS!H150</f>
        <v>20028.614831575233</v>
      </c>
      <c r="I7" s="5">
        <f>output_NHTS!I150</f>
        <v>220805.71816042767</v>
      </c>
      <c r="K7" s="16">
        <v>2</v>
      </c>
      <c r="L7" s="5">
        <f>output!B150</f>
        <v>107283</v>
      </c>
      <c r="M7" s="5">
        <f>output!C150</f>
        <v>16736</v>
      </c>
      <c r="N7" s="5">
        <f>output!D150</f>
        <v>28491</v>
      </c>
      <c r="O7" s="5">
        <f>output!E150</f>
        <v>26660</v>
      </c>
      <c r="P7" s="5">
        <f>output!F150</f>
        <v>18171</v>
      </c>
      <c r="Q7" s="5">
        <f>output!G150</f>
        <v>6213</v>
      </c>
      <c r="R7" s="5">
        <f>output!H150</f>
        <v>13003</v>
      </c>
      <c r="S7" s="5">
        <f>output!I150</f>
        <v>216557</v>
      </c>
      <c r="U7" s="16">
        <v>2</v>
      </c>
      <c r="V7" s="5">
        <f si="0" t="shared"/>
        <v>9804.8555162923294</v>
      </c>
      <c r="W7" s="5">
        <f si="0" t="shared"/>
        <v>-3618.846883846596</v>
      </c>
      <c r="X7" s="5">
        <f si="0" t="shared"/>
        <v>-2871.0064663347512</v>
      </c>
      <c r="Y7" s="5">
        <f si="0" t="shared"/>
        <v>4699.9705154102121</v>
      </c>
      <c r="Z7" s="5">
        <f si="0" t="shared"/>
        <v>-319.799509938759</v>
      </c>
      <c r="AA7" s="5">
        <f si="0" t="shared"/>
        <v>-4918.2765004349021</v>
      </c>
      <c r="AB7" s="5">
        <f si="0" t="shared"/>
        <v>-7025.6148315752325</v>
      </c>
      <c r="AC7" s="5">
        <f si="0" t="shared"/>
        <v>-4248.7181604276702</v>
      </c>
    </row>
    <row r="8" spans="1:29" x14ac:dyDescent="0.2">
      <c r="A8" s="16">
        <v>3</v>
      </c>
      <c r="B8" s="5">
        <f>output_NHTS!B151</f>
        <v>55244.4793817057</v>
      </c>
      <c r="C8" s="5">
        <f>output_NHTS!C151</f>
        <v>9286.4001304213361</v>
      </c>
      <c r="D8" s="5">
        <f>output_NHTS!D151</f>
        <v>11790.481286713359</v>
      </c>
      <c r="E8" s="5">
        <f>output_NHTS!E151</f>
        <v>8338.5667230460658</v>
      </c>
      <c r="F8" s="5">
        <f>output_NHTS!F151</f>
        <v>7765.7468933073478</v>
      </c>
      <c r="G8" s="5">
        <f>output_NHTS!G151</f>
        <v>4312.4666604478844</v>
      </c>
      <c r="H8" s="5">
        <f>output_NHTS!H151</f>
        <v>3884.5202475582605</v>
      </c>
      <c r="I8" s="5">
        <f>output_NHTS!I151</f>
        <v>100622.66132319997</v>
      </c>
      <c r="K8" s="16">
        <v>3</v>
      </c>
      <c r="L8" s="5">
        <f>output!B151</f>
        <v>45779</v>
      </c>
      <c r="M8" s="5">
        <f>output!C151</f>
        <v>4910</v>
      </c>
      <c r="N8" s="5">
        <f>output!D151</f>
        <v>10922</v>
      </c>
      <c r="O8" s="5">
        <f>output!E151</f>
        <v>7922</v>
      </c>
      <c r="P8" s="5">
        <f>output!F151</f>
        <v>5643</v>
      </c>
      <c r="Q8" s="5">
        <f>output!G151</f>
        <v>1538</v>
      </c>
      <c r="R8" s="5">
        <f>output!H151</f>
        <v>3467</v>
      </c>
      <c r="S8" s="5">
        <f>output!I151</f>
        <v>80181</v>
      </c>
      <c r="U8" s="16">
        <v>3</v>
      </c>
      <c r="V8" s="5">
        <f si="0" t="shared"/>
        <v>-9465.4793817056998</v>
      </c>
      <c r="W8" s="5">
        <f si="0" t="shared"/>
        <v>-4376.4001304213361</v>
      </c>
      <c r="X8" s="5">
        <f si="0" t="shared"/>
        <v>-868.48128671335871</v>
      </c>
      <c r="Y8" s="5">
        <f si="0" t="shared"/>
        <v>-416.56672304606582</v>
      </c>
      <c r="Z8" s="5">
        <f si="0" t="shared"/>
        <v>-2122.7468933073478</v>
      </c>
      <c r="AA8" s="5">
        <f si="0" t="shared"/>
        <v>-2774.4666604478844</v>
      </c>
      <c r="AB8" s="5">
        <f si="0" t="shared"/>
        <v>-417.52024755826051</v>
      </c>
      <c r="AC8" s="5">
        <f si="0" t="shared"/>
        <v>-20441.661323199965</v>
      </c>
    </row>
    <row r="9" spans="1:29" x14ac:dyDescent="0.2">
      <c r="A9" s="16">
        <v>4</v>
      </c>
      <c r="B9" s="5">
        <f>output_NHTS!B152</f>
        <v>24108.496680083666</v>
      </c>
      <c r="C9" s="5">
        <f>output_NHTS!C152</f>
        <v>3323.6542072300945</v>
      </c>
      <c r="D9" s="5">
        <f>output_NHTS!D152</f>
        <v>4754.7764918355197</v>
      </c>
      <c r="E9" s="5">
        <f>output_NHTS!E152</f>
        <v>2901.3945211562036</v>
      </c>
      <c r="F9" s="5">
        <f>output_NHTS!F152</f>
        <v>4473.5233249173361</v>
      </c>
      <c r="G9" s="5">
        <f>output_NHTS!G152</f>
        <v>1724.3079930623246</v>
      </c>
      <c r="H9" s="5">
        <f>output_NHTS!H152</f>
        <v>3247.2792961096402</v>
      </c>
      <c r="I9" s="5">
        <f>output_NHTS!I152</f>
        <v>44533.432514394786</v>
      </c>
      <c r="K9" s="16">
        <v>4</v>
      </c>
      <c r="L9" s="5">
        <f>output!B152</f>
        <v>17613</v>
      </c>
      <c r="M9" s="5">
        <f>output!C152</f>
        <v>1255</v>
      </c>
      <c r="N9" s="5">
        <f>output!D152</f>
        <v>3835</v>
      </c>
      <c r="O9" s="5">
        <f>output!E152</f>
        <v>1879</v>
      </c>
      <c r="P9" s="5">
        <f>output!F152</f>
        <v>1496</v>
      </c>
      <c r="Q9" s="5">
        <f>output!G152</f>
        <v>349</v>
      </c>
      <c r="R9" s="5">
        <f>output!H152</f>
        <v>922</v>
      </c>
      <c r="S9" s="5">
        <f>output!I152</f>
        <v>27349</v>
      </c>
      <c r="U9" s="16">
        <v>4</v>
      </c>
      <c r="V9" s="5">
        <f si="0" t="shared"/>
        <v>-6495.4966800836664</v>
      </c>
      <c r="W9" s="5">
        <f si="0" t="shared"/>
        <v>-2068.6542072300945</v>
      </c>
      <c r="X9" s="5">
        <f si="0" t="shared"/>
        <v>-919.77649183551966</v>
      </c>
      <c r="Y9" s="5">
        <f si="0" t="shared"/>
        <v>-1022.3945211562036</v>
      </c>
      <c r="Z9" s="5">
        <f si="0" t="shared"/>
        <v>-2977.5233249173361</v>
      </c>
      <c r="AA9" s="5">
        <f si="0" t="shared"/>
        <v>-1375.3079930623246</v>
      </c>
      <c r="AB9" s="5">
        <f si="0" t="shared"/>
        <v>-2325.2792961096402</v>
      </c>
      <c r="AC9" s="5">
        <f si="0" t="shared"/>
        <v>-17184.432514394786</v>
      </c>
    </row>
    <row r="10" spans="1:29" x14ac:dyDescent="0.2">
      <c r="A10" s="16">
        <v>5</v>
      </c>
      <c r="B10" s="5">
        <f>output_NHTS!B153</f>
        <v>8864.8087135289716</v>
      </c>
      <c r="C10" s="5">
        <f>output_NHTS!C153</f>
        <v>1227.5453961169164</v>
      </c>
      <c r="D10" s="5">
        <f>output_NHTS!D153</f>
        <v>5799.1323411970952</v>
      </c>
      <c r="E10" s="5">
        <f>output_NHTS!E153</f>
        <v>1748.8145391496403</v>
      </c>
      <c r="F10" s="5">
        <f>output_NHTS!F153</f>
        <v>1175.9323591444543</v>
      </c>
      <c r="G10" s="5">
        <f>output_NHTS!G153</f>
        <v>1091.7998758649483</v>
      </c>
      <c r="H10" s="5">
        <f>output_NHTS!H153</f>
        <v>1042.8916638356316</v>
      </c>
      <c r="I10" s="5">
        <f>output_NHTS!I153</f>
        <v>20950.924888837661</v>
      </c>
      <c r="K10" s="16">
        <v>5</v>
      </c>
      <c r="L10" s="5">
        <f>output!B153</f>
        <v>6034</v>
      </c>
      <c r="M10" s="5">
        <f>output!C153</f>
        <v>342</v>
      </c>
      <c r="N10" s="5">
        <f>output!D153</f>
        <v>1226</v>
      </c>
      <c r="O10" s="5">
        <f>output!E153</f>
        <v>337</v>
      </c>
      <c r="P10" s="5">
        <f>output!F153</f>
        <v>309</v>
      </c>
      <c r="Q10" s="5">
        <f>output!G153</f>
        <v>57</v>
      </c>
      <c r="R10" s="5">
        <f>output!H153</f>
        <v>192</v>
      </c>
      <c r="S10" s="5">
        <f>output!I153</f>
        <v>8497</v>
      </c>
      <c r="U10" s="16">
        <v>5</v>
      </c>
      <c r="V10" s="5">
        <f si="0" t="shared"/>
        <v>-2830.8087135289716</v>
      </c>
      <c r="W10" s="5">
        <f si="0" t="shared"/>
        <v>-885.54539611691644</v>
      </c>
      <c r="X10" s="5">
        <f si="0" t="shared"/>
        <v>-4573.1323411970952</v>
      </c>
      <c r="Y10" s="5">
        <f si="0" t="shared"/>
        <v>-1411.8145391496403</v>
      </c>
      <c r="Z10" s="5">
        <f si="0" t="shared"/>
        <v>-866.93235914445427</v>
      </c>
      <c r="AA10" s="5">
        <f si="0" t="shared"/>
        <v>-1034.7998758649483</v>
      </c>
      <c r="AB10" s="5">
        <f si="0" t="shared"/>
        <v>-850.89166383563156</v>
      </c>
      <c r="AC10" s="5">
        <f si="0" t="shared"/>
        <v>-12453.924888837661</v>
      </c>
    </row>
    <row r="11" spans="1:29" x14ac:dyDescent="0.2">
      <c r="A11" s="265" t="s">
        <v>154</v>
      </c>
      <c r="B11" s="7">
        <f>output_NHTS!B154</f>
        <v>16285.845498100958</v>
      </c>
      <c r="C11" s="7">
        <f>output_NHTS!C154</f>
        <v>933.51146935965494</v>
      </c>
      <c r="D11" s="7">
        <f>output_NHTS!D154</f>
        <v>2760.6953086269928</v>
      </c>
      <c r="E11" s="7">
        <f>output_NHTS!E154</f>
        <v>2866.9783827183419</v>
      </c>
      <c r="F11" s="7">
        <f>output_NHTS!F154</f>
        <v>2462.946716682708</v>
      </c>
      <c r="G11" s="7">
        <f>output_NHTS!G154</f>
        <v>2282.7744241131982</v>
      </c>
      <c r="H11" s="7">
        <f>output_NHTS!H154</f>
        <v>1610.234920021268</v>
      </c>
      <c r="I11" s="7">
        <f>output_NHTS!I154</f>
        <v>29202.986719623121</v>
      </c>
      <c r="K11" s="265" t="s">
        <v>154</v>
      </c>
      <c r="L11" s="7">
        <f>output!B154</f>
        <v>3329</v>
      </c>
      <c r="M11" s="7">
        <f>output!C154</f>
        <v>103</v>
      </c>
      <c r="N11" s="7">
        <f>output!D154</f>
        <v>524</v>
      </c>
      <c r="O11" s="7">
        <f>output!E154</f>
        <v>63</v>
      </c>
      <c r="P11" s="7">
        <f>output!F154</f>
        <v>60</v>
      </c>
      <c r="Q11" s="7">
        <f>output!G154</f>
        <v>20</v>
      </c>
      <c r="R11" s="7">
        <f>output!H154</f>
        <v>49</v>
      </c>
      <c r="S11" s="7">
        <f>output!I154</f>
        <v>4148</v>
      </c>
      <c r="U11" s="265" t="s">
        <v>154</v>
      </c>
      <c r="V11" s="7">
        <f si="0" t="shared"/>
        <v>-12956.845498100958</v>
      </c>
      <c r="W11" s="7">
        <f si="0" t="shared"/>
        <v>-830.51146935965494</v>
      </c>
      <c r="X11" s="7">
        <f si="0" t="shared"/>
        <v>-2236.6953086269928</v>
      </c>
      <c r="Y11" s="7">
        <f si="0" t="shared"/>
        <v>-2803.9783827183419</v>
      </c>
      <c r="Z11" s="7">
        <f si="0" t="shared"/>
        <v>-2402.946716682708</v>
      </c>
      <c r="AA11" s="7">
        <f si="0" t="shared"/>
        <v>-2262.7744241131982</v>
      </c>
      <c r="AB11" s="7">
        <f si="0" t="shared"/>
        <v>-1561.234920021268</v>
      </c>
      <c r="AC11" s="7">
        <f si="0" t="shared"/>
        <v>-25054.986719623121</v>
      </c>
    </row>
    <row customHeight="1" ht="13.15" r="12" spans="1:29" thickBot="1" x14ac:dyDescent="0.25">
      <c r="A12" s="17" t="s">
        <v>4</v>
      </c>
      <c r="B12" s="18">
        <f ref="B12:I12" si="1" t="shared">SUM(B5:B11)</f>
        <v>829747.28993390477</v>
      </c>
      <c r="C12" s="18">
        <f si="1" t="shared"/>
        <v>271384.82996412017</v>
      </c>
      <c r="D12" s="18">
        <f si="1" t="shared"/>
        <v>219677.06459837983</v>
      </c>
      <c r="E12" s="18">
        <f si="1" t="shared"/>
        <v>285971.29343075119</v>
      </c>
      <c r="F12" s="18">
        <f si="1" t="shared"/>
        <v>189278.1453202829</v>
      </c>
      <c r="G12" s="18">
        <f si="1" t="shared"/>
        <v>157341.22767601945</v>
      </c>
      <c r="H12" s="18">
        <f si="1" t="shared"/>
        <v>256578.80100661895</v>
      </c>
      <c r="I12" s="18">
        <f si="1" t="shared"/>
        <v>2209978.651930077</v>
      </c>
      <c r="K12" s="17" t="s">
        <v>4</v>
      </c>
      <c r="L12" s="18">
        <f ref="L12:S12" si="2" t="shared">SUM(L5:L11)</f>
        <v>694647</v>
      </c>
      <c r="M12" s="18">
        <f si="2" t="shared"/>
        <v>232323</v>
      </c>
      <c r="N12" s="18">
        <f si="2" t="shared"/>
        <v>199431</v>
      </c>
      <c r="O12" s="18">
        <f si="2" t="shared"/>
        <v>269138</v>
      </c>
      <c r="P12" s="18">
        <f si="2" t="shared"/>
        <v>174875</v>
      </c>
      <c r="Q12" s="18">
        <f si="2" t="shared"/>
        <v>139813</v>
      </c>
      <c r="R12" s="18">
        <f si="2" t="shared"/>
        <v>231348</v>
      </c>
      <c r="S12" s="18">
        <f si="2" t="shared"/>
        <v>1941575</v>
      </c>
      <c r="U12" s="17" t="s">
        <v>4</v>
      </c>
      <c r="V12" s="18">
        <f si="0" t="shared"/>
        <v>-135100.28993390477</v>
      </c>
      <c r="W12" s="18">
        <f si="0" t="shared"/>
        <v>-39061.829964120174</v>
      </c>
      <c r="X12" s="18">
        <f si="0" t="shared"/>
        <v>-20246.064598379831</v>
      </c>
      <c r="Y12" s="18">
        <f si="0" t="shared"/>
        <v>-16833.29343075119</v>
      </c>
      <c r="Z12" s="18">
        <f si="0" t="shared"/>
        <v>-14403.1453202829</v>
      </c>
      <c r="AA12" s="18">
        <f si="0" t="shared"/>
        <v>-17528.227676019451</v>
      </c>
      <c r="AB12" s="18">
        <f si="0" t="shared"/>
        <v>-25230.801006618945</v>
      </c>
      <c r="AC12" s="18">
        <f si="0" t="shared"/>
        <v>-268403.651930077</v>
      </c>
    </row>
    <row customHeight="1" ht="13.15" r="15" spans="1:29" x14ac:dyDescent="0.2">
      <c r="A15" s="264" t="s">
        <v>41</v>
      </c>
      <c r="K15" s="264" t="s">
        <v>41</v>
      </c>
      <c r="U15" s="264" t="s">
        <v>41</v>
      </c>
    </row>
    <row customHeight="1" ht="13.15" r="16" spans="1:29" x14ac:dyDescent="0.2">
      <c r="A16" s="264" t="s">
        <v>155</v>
      </c>
      <c r="K16" s="264" t="s">
        <v>156</v>
      </c>
      <c r="U16" s="264" t="s">
        <v>157</v>
      </c>
    </row>
    <row customHeight="1" ht="13.15" r="17" spans="1:29" thickBot="1" x14ac:dyDescent="0.25"/>
    <row customHeight="1" ht="13.15" r="18" spans="1:29" x14ac:dyDescent="0.2">
      <c r="A18" s="3" t="s">
        <v>153</v>
      </c>
      <c r="B18" s="4" t="s">
        <v>143</v>
      </c>
      <c r="C18" s="4" t="s">
        <v>144</v>
      </c>
      <c r="D18" s="4" t="s">
        <v>145</v>
      </c>
      <c r="E18" s="4" t="s">
        <v>146</v>
      </c>
      <c r="F18" s="4" t="s">
        <v>147</v>
      </c>
      <c r="G18" s="4" t="s">
        <v>148</v>
      </c>
      <c r="H18" s="4" t="s">
        <v>149</v>
      </c>
      <c r="I18" s="4" t="s">
        <v>4</v>
      </c>
      <c r="K18" s="3" t="s">
        <v>153</v>
      </c>
      <c r="L18" s="4" t="s">
        <v>143</v>
      </c>
      <c r="M18" s="4" t="s">
        <v>144</v>
      </c>
      <c r="N18" s="4" t="s">
        <v>145</v>
      </c>
      <c r="O18" s="4" t="s">
        <v>146</v>
      </c>
      <c r="P18" s="4" t="s">
        <v>147</v>
      </c>
      <c r="Q18" s="4" t="s">
        <v>148</v>
      </c>
      <c r="R18" s="4" t="s">
        <v>149</v>
      </c>
      <c r="S18" s="4" t="s">
        <v>4</v>
      </c>
      <c r="U18" s="3" t="s">
        <v>153</v>
      </c>
      <c r="V18" s="4" t="s">
        <v>143</v>
      </c>
      <c r="W18" s="4" t="s">
        <v>144</v>
      </c>
      <c r="X18" s="4" t="s">
        <v>145</v>
      </c>
      <c r="Y18" s="4" t="s">
        <v>146</v>
      </c>
      <c r="Z18" s="4" t="s">
        <v>147</v>
      </c>
      <c r="AA18" s="4" t="s">
        <v>148</v>
      </c>
      <c r="AB18" s="4" t="s">
        <v>149</v>
      </c>
      <c r="AC18" s="4" t="s">
        <v>4</v>
      </c>
    </row>
    <row r="19" spans="1:29" x14ac:dyDescent="0.2">
      <c r="A19" s="16">
        <v>0</v>
      </c>
      <c r="B19" s="10">
        <f ref="B19:I26" si="3" t="shared">B5/B$12</f>
        <v>0.53280953693036093</v>
      </c>
      <c r="C19" s="10">
        <f si="3" t="shared"/>
        <v>0.69479306438467581</v>
      </c>
      <c r="D19" s="10">
        <f si="3" t="shared"/>
        <v>0.52713218534862649</v>
      </c>
      <c r="E19" s="10">
        <f si="3" t="shared"/>
        <v>0.67568503062150653</v>
      </c>
      <c r="F19" s="10">
        <f si="3" t="shared"/>
        <v>0.61944240829306763</v>
      </c>
      <c r="G19" s="10">
        <f si="3" t="shared"/>
        <v>0.7008847633795493</v>
      </c>
      <c r="H19" s="10">
        <f si="3" t="shared"/>
        <v>0.70516289371865204</v>
      </c>
      <c r="I19" s="10">
        <f si="3" t="shared"/>
        <v>0.61002117290130076</v>
      </c>
      <c r="K19" s="16">
        <v>0</v>
      </c>
      <c r="L19" s="10">
        <f ref="L19:S26" si="4" t="shared">L5/L$12</f>
        <v>0.45957875007017951</v>
      </c>
      <c r="M19" s="10">
        <f si="4" t="shared"/>
        <v>0.70337418163505117</v>
      </c>
      <c r="N19" s="10">
        <f si="4" t="shared"/>
        <v>0.4717872346826722</v>
      </c>
      <c r="O19" s="10">
        <f si="4" t="shared"/>
        <v>0.60517281097429576</v>
      </c>
      <c r="P19" s="10">
        <f si="4" t="shared"/>
        <v>0.58651036454610439</v>
      </c>
      <c r="Q19" s="10">
        <f si="4" t="shared"/>
        <v>0.76776122392052237</v>
      </c>
      <c r="R19" s="10">
        <f si="4" t="shared"/>
        <v>0.72337776855646041</v>
      </c>
      <c r="S19" s="10">
        <f si="4" t="shared"/>
        <v>0.57524432483937005</v>
      </c>
      <c r="U19" s="16">
        <v>0</v>
      </c>
      <c r="V19" s="10">
        <f ref="V19:AC26" si="5" t="shared">L19-B19</f>
        <v>-7.3230786860181418E-2</v>
      </c>
      <c r="W19" s="10">
        <f si="5" t="shared"/>
        <v>8.5811172503753586E-3</v>
      </c>
      <c r="X19" s="10">
        <f si="5" t="shared"/>
        <v>-5.5344950665954296E-2</v>
      </c>
      <c r="Y19" s="10">
        <f si="5" t="shared"/>
        <v>-7.0512219647210772E-2</v>
      </c>
      <c r="Z19" s="10">
        <f si="5" t="shared"/>
        <v>-3.2932043746963235E-2</v>
      </c>
      <c r="AA19" s="10">
        <f si="5" t="shared"/>
        <v>6.6876460540973071E-2</v>
      </c>
      <c r="AB19" s="10">
        <f si="5" t="shared"/>
        <v>1.821487483780837E-2</v>
      </c>
      <c r="AC19" s="10">
        <f si="5" t="shared"/>
        <v>-3.477684806193071E-2</v>
      </c>
    </row>
    <row r="20" spans="1:29" x14ac:dyDescent="0.2">
      <c r="A20" s="16">
        <v>1</v>
      </c>
      <c r="B20" s="10">
        <f si="3" t="shared"/>
        <v>0.22376481141946447</v>
      </c>
      <c r="C20" s="10">
        <f si="3" t="shared"/>
        <v>0.17577465271425505</v>
      </c>
      <c r="D20" s="10">
        <f si="3" t="shared"/>
        <v>0.21582190046846816</v>
      </c>
      <c r="E20" s="10">
        <f si="3" t="shared"/>
        <v>0.19207867671782022</v>
      </c>
      <c r="F20" s="10">
        <f si="3" t="shared"/>
        <v>0.19897852590494083</v>
      </c>
      <c r="G20" s="10">
        <f si="3" t="shared"/>
        <v>0.16855425297144516</v>
      </c>
      <c r="H20" s="10">
        <f si="3" t="shared"/>
        <v>0.17864067523507879</v>
      </c>
      <c r="I20" s="10">
        <f si="3" t="shared"/>
        <v>0.20168935052702755</v>
      </c>
      <c r="K20" s="16">
        <v>1</v>
      </c>
      <c r="L20" s="10">
        <f si="4" t="shared"/>
        <v>0.28124212729631021</v>
      </c>
      <c r="M20" s="10">
        <f si="4" t="shared"/>
        <v>0.19613641352771788</v>
      </c>
      <c r="N20" s="10">
        <f si="4" t="shared"/>
        <v>0.3025808424969037</v>
      </c>
      <c r="O20" s="10">
        <f si="4" t="shared"/>
        <v>0.25786771098841488</v>
      </c>
      <c r="P20" s="10">
        <f si="4" t="shared"/>
        <v>0.26664760543245175</v>
      </c>
      <c r="Q20" s="10">
        <f si="4" t="shared"/>
        <v>0.17375351362176622</v>
      </c>
      <c r="R20" s="10">
        <f si="4" t="shared"/>
        <v>0.20040372080156302</v>
      </c>
      <c r="S20" s="10">
        <f si="4" t="shared"/>
        <v>0.25132328135663057</v>
      </c>
      <c r="U20" s="16">
        <v>1</v>
      </c>
      <c r="V20" s="10">
        <f si="5" t="shared"/>
        <v>5.7477315876845736E-2</v>
      </c>
      <c r="W20" s="10">
        <f si="5" t="shared"/>
        <v>2.0361760813462831E-2</v>
      </c>
      <c r="X20" s="10">
        <f si="5" t="shared"/>
        <v>8.6758942028435537E-2</v>
      </c>
      <c r="Y20" s="10">
        <f si="5" t="shared"/>
        <v>6.5789034270594654E-2</v>
      </c>
      <c r="Z20" s="10">
        <f si="5" t="shared"/>
        <v>6.7669079527510917E-2</v>
      </c>
      <c r="AA20" s="10">
        <f si="5" t="shared"/>
        <v>5.1992606503210581E-3</v>
      </c>
      <c r="AB20" s="10">
        <f si="5" t="shared"/>
        <v>2.1763045566484229E-2</v>
      </c>
      <c r="AC20" s="10">
        <f si="5" t="shared"/>
        <v>4.9633930829603018E-2</v>
      </c>
    </row>
    <row r="21" spans="1:29" x14ac:dyDescent="0.2">
      <c r="A21" s="16">
        <v>2</v>
      </c>
      <c r="B21" s="10">
        <f si="3" t="shared"/>
        <v>0.11747931649342595</v>
      </c>
      <c r="C21" s="10">
        <f si="3" t="shared"/>
        <v>7.5003628192989683E-2</v>
      </c>
      <c r="D21" s="10">
        <f si="3" t="shared"/>
        <v>0.14276413663698442</v>
      </c>
      <c r="E21" s="10">
        <f si="3" t="shared"/>
        <v>7.6791027592800931E-2</v>
      </c>
      <c r="F21" s="10">
        <f si="3" t="shared"/>
        <v>9.7691149068741948E-2</v>
      </c>
      <c r="G21" s="10">
        <f si="3" t="shared"/>
        <v>7.0746089024773973E-2</v>
      </c>
      <c r="H21" s="10">
        <f si="3" t="shared"/>
        <v>7.8060286948876012E-2</v>
      </c>
      <c r="I21" s="10">
        <f si="3" t="shared"/>
        <v>9.9913054801496745E-2</v>
      </c>
      <c r="K21" s="16">
        <v>2</v>
      </c>
      <c r="L21" s="10">
        <f si="4" t="shared"/>
        <v>0.15444247221970295</v>
      </c>
      <c r="M21" s="10">
        <f si="4" t="shared"/>
        <v>7.2037637255028555E-2</v>
      </c>
      <c r="N21" s="10">
        <f si="4" t="shared"/>
        <v>0.14286144079907337</v>
      </c>
      <c r="O21" s="10">
        <f si="4" t="shared"/>
        <v>9.9056989351187869E-2</v>
      </c>
      <c r="P21" s="10">
        <f si="4" t="shared"/>
        <v>0.1039085060757684</v>
      </c>
      <c r="Q21" s="10">
        <f si="4" t="shared"/>
        <v>4.4437927803566195E-2</v>
      </c>
      <c r="R21" s="10">
        <f si="4" t="shared"/>
        <v>5.6205370264709439E-2</v>
      </c>
      <c r="S21" s="10">
        <f si="4" t="shared"/>
        <v>0.11153676783024091</v>
      </c>
      <c r="U21" s="16">
        <v>2</v>
      </c>
      <c r="V21" s="10">
        <f si="5" t="shared"/>
        <v>3.6963155726276994E-2</v>
      </c>
      <c r="W21" s="10">
        <f si="5" t="shared"/>
        <v>-2.9659909379611271E-3</v>
      </c>
      <c r="X21" s="10">
        <f si="5" t="shared"/>
        <v>9.7304162088945878E-5</v>
      </c>
      <c r="Y21" s="10">
        <f si="5" t="shared"/>
        <v>2.2265961758386937E-2</v>
      </c>
      <c r="Z21" s="10">
        <f si="5" t="shared"/>
        <v>6.2173570070264556E-3</v>
      </c>
      <c r="AA21" s="10">
        <f si="5" t="shared"/>
        <v>-2.6308161221207778E-2</v>
      </c>
      <c r="AB21" s="10">
        <f si="5" t="shared"/>
        <v>-2.1854916684166573E-2</v>
      </c>
      <c r="AC21" s="10">
        <f si="5" t="shared"/>
        <v>1.1623713028744168E-2</v>
      </c>
    </row>
    <row r="22" spans="1:29" x14ac:dyDescent="0.2">
      <c r="A22" s="16">
        <v>3</v>
      </c>
      <c r="B22" s="10">
        <f si="3" t="shared"/>
        <v>6.6579885287852289E-2</v>
      </c>
      <c r="C22" s="10">
        <f si="3" t="shared"/>
        <v>3.4218567528808051E-2</v>
      </c>
      <c r="D22" s="10">
        <f si="3" t="shared"/>
        <v>5.367188107811377E-2</v>
      </c>
      <c r="E22" s="10">
        <f si="3" t="shared"/>
        <v>2.9158754443530447E-2</v>
      </c>
      <c r="F22" s="10">
        <f si="3" t="shared"/>
        <v>4.1028227956094496E-2</v>
      </c>
      <c r="G22" s="10">
        <f si="3" t="shared"/>
        <v>2.7408370483339963E-2</v>
      </c>
      <c r="H22" s="10">
        <f si="3" t="shared"/>
        <v>1.5139677293363187E-2</v>
      </c>
      <c r="I22" s="10">
        <f si="3" t="shared"/>
        <v>4.5531055802426654E-2</v>
      </c>
      <c r="K22" s="16">
        <v>3</v>
      </c>
      <c r="L22" s="10">
        <f si="4" t="shared"/>
        <v>6.5902537547848042E-2</v>
      </c>
      <c r="M22" s="10">
        <f si="4" t="shared"/>
        <v>2.1134368960455917E-2</v>
      </c>
      <c r="N22" s="10">
        <f si="4" t="shared"/>
        <v>5.4765808725824969E-2</v>
      </c>
      <c r="O22" s="10">
        <f si="4" t="shared"/>
        <v>2.9434713789951623E-2</v>
      </c>
      <c r="P22" s="10">
        <f si="4" t="shared"/>
        <v>3.226876340243031E-2</v>
      </c>
      <c r="Q22" s="10">
        <f si="4" t="shared"/>
        <v>1.1000407687411042E-2</v>
      </c>
      <c r="R22" s="10">
        <f si="4" t="shared"/>
        <v>1.4986081574078877E-2</v>
      </c>
      <c r="S22" s="10">
        <f si="4" t="shared"/>
        <v>4.1296885260677541E-2</v>
      </c>
      <c r="U22" s="16">
        <v>3</v>
      </c>
      <c r="V22" s="10">
        <f si="5" t="shared"/>
        <v>-6.7734774000424713E-4</v>
      </c>
      <c r="W22" s="10">
        <f si="5" t="shared"/>
        <v>-1.3084198568352134E-2</v>
      </c>
      <c r="X22" s="10">
        <f si="5" t="shared"/>
        <v>1.0939276477111987E-3</v>
      </c>
      <c r="Y22" s="10">
        <f si="5" t="shared"/>
        <v>2.759593464211757E-4</v>
      </c>
      <c r="Z22" s="10">
        <f si="5" t="shared"/>
        <v>-8.7594645536641855E-3</v>
      </c>
      <c r="AA22" s="10">
        <f si="5" t="shared"/>
        <v>-1.6407962795928922E-2</v>
      </c>
      <c r="AB22" s="10">
        <f si="5" t="shared"/>
        <v>-1.5359571928431036E-4</v>
      </c>
      <c r="AC22" s="10">
        <f si="5" t="shared"/>
        <v>-4.2341705417491132E-3</v>
      </c>
    </row>
    <row r="23" spans="1:29" x14ac:dyDescent="0.2">
      <c r="A23" s="16">
        <v>4</v>
      </c>
      <c r="B23" s="10">
        <f si="3" t="shared"/>
        <v>2.90552279863476E-2</v>
      </c>
      <c r="C23" s="10">
        <f si="3" t="shared"/>
        <v>1.2247015456499597E-2</v>
      </c>
      <c r="D23" s="10">
        <f si="3" t="shared"/>
        <v>2.1644391964761291E-2</v>
      </c>
      <c r="E23" s="10">
        <f si="3" t="shared"/>
        <v>1.014575444391164E-2</v>
      </c>
      <c r="F23" s="10">
        <f si="3" t="shared"/>
        <v>2.3634653210213789E-2</v>
      </c>
      <c r="G23" s="10">
        <f si="3" t="shared"/>
        <v>1.095903482215633E-2</v>
      </c>
      <c r="H23" s="10">
        <f si="3" t="shared"/>
        <v>1.2656070117132828E-2</v>
      </c>
      <c r="I23" s="10">
        <f si="3" t="shared"/>
        <v>2.0151069095396767E-2</v>
      </c>
      <c r="K23" s="16">
        <v>4</v>
      </c>
      <c r="L23" s="10">
        <f si="4" t="shared"/>
        <v>2.5355324358990971E-2</v>
      </c>
      <c r="M23" s="10">
        <f si="4" t="shared"/>
        <v>5.4019619237010543E-3</v>
      </c>
      <c r="N23" s="10">
        <f si="4" t="shared"/>
        <v>1.9229708520741511E-2</v>
      </c>
      <c r="O23" s="10">
        <f si="4" t="shared"/>
        <v>6.981548499282896E-3</v>
      </c>
      <c r="P23" s="10">
        <f si="4" t="shared"/>
        <v>8.5546819156540384E-3</v>
      </c>
      <c r="Q23" s="10">
        <f si="4" t="shared"/>
        <v>2.4961913412915823E-3</v>
      </c>
      <c r="R23" s="10">
        <f si="4" t="shared"/>
        <v>3.9853381053650775E-3</v>
      </c>
      <c r="S23" s="10">
        <f si="4" t="shared"/>
        <v>1.4085986892085034E-2</v>
      </c>
      <c r="U23" s="16">
        <v>4</v>
      </c>
      <c r="V23" s="10">
        <f si="5" t="shared"/>
        <v>-3.6999036273566294E-3</v>
      </c>
      <c r="W23" s="10">
        <f si="5" t="shared"/>
        <v>-6.8450535327985425E-3</v>
      </c>
      <c r="X23" s="10">
        <f si="5" t="shared"/>
        <v>-2.4146834440197801E-3</v>
      </c>
      <c r="Y23" s="10">
        <f si="5" t="shared"/>
        <v>-3.1642059446287439E-3</v>
      </c>
      <c r="Z23" s="10">
        <f si="5" t="shared"/>
        <v>-1.5079971294559751E-2</v>
      </c>
      <c r="AA23" s="10">
        <f si="5" t="shared"/>
        <v>-8.4628434808647485E-3</v>
      </c>
      <c r="AB23" s="10">
        <f si="5" t="shared"/>
        <v>-8.6707320117677504E-3</v>
      </c>
      <c r="AC23" s="10">
        <f si="5" t="shared"/>
        <v>-6.0650822033117332E-3</v>
      </c>
    </row>
    <row r="24" spans="1:29" x14ac:dyDescent="0.2">
      <c r="A24" s="16">
        <v>5</v>
      </c>
      <c r="B24" s="10">
        <f si="3" t="shared"/>
        <v>1.0683745305435245E-2</v>
      </c>
      <c r="C24" s="10">
        <f si="3" t="shared"/>
        <v>4.5232646064970192E-3</v>
      </c>
      <c r="D24" s="10">
        <f si="3" t="shared"/>
        <v>2.6398442421830617E-2</v>
      </c>
      <c r="E24" s="10">
        <f si="3" t="shared"/>
        <v>6.1153499645695067E-3</v>
      </c>
      <c r="F24" s="10">
        <f si="3" t="shared"/>
        <v>6.2127212687689108E-3</v>
      </c>
      <c r="G24" s="10">
        <f si="3" t="shared"/>
        <v>6.9390578171480144E-3</v>
      </c>
      <c r="H24" s="10">
        <f si="3" t="shared"/>
        <v>4.0646057263660227E-3</v>
      </c>
      <c r="I24" s="10">
        <f si="3" t="shared"/>
        <v>9.48014808674294E-3</v>
      </c>
      <c r="K24" s="16">
        <v>5</v>
      </c>
      <c r="L24" s="10">
        <f si="4" t="shared"/>
        <v>8.686426343164225E-3</v>
      </c>
      <c r="M24" s="10">
        <f si="4" t="shared"/>
        <v>1.4720884286101678E-3</v>
      </c>
      <c r="N24" s="10">
        <f si="4" t="shared"/>
        <v>6.1474896079345741E-3</v>
      </c>
      <c r="O24" s="10">
        <f si="4" t="shared"/>
        <v>1.2521457393604768E-3</v>
      </c>
      <c r="P24" s="10">
        <f si="4" t="shared"/>
        <v>1.766976411722659E-3</v>
      </c>
      <c r="Q24" s="10">
        <f si="4" t="shared"/>
        <v>4.0768741104189166E-4</v>
      </c>
      <c r="R24" s="10">
        <f si="4" t="shared"/>
        <v>8.2991856424088385E-4</v>
      </c>
      <c r="S24" s="10">
        <f si="4" t="shared"/>
        <v>4.3763439475683402E-3</v>
      </c>
      <c r="U24" s="16">
        <v>5</v>
      </c>
      <c r="V24" s="10">
        <f si="5" t="shared"/>
        <v>-1.9973189622710195E-3</v>
      </c>
      <c r="W24" s="10">
        <f si="5" t="shared"/>
        <v>-3.0511761778868511E-3</v>
      </c>
      <c r="X24" s="10">
        <f si="5" t="shared"/>
        <v>-2.0250952813896043E-2</v>
      </c>
      <c r="Y24" s="10">
        <f si="5" t="shared"/>
        <v>-4.8632042252090297E-3</v>
      </c>
      <c r="Z24" s="10">
        <f si="5" t="shared"/>
        <v>-4.4457448570462514E-3</v>
      </c>
      <c r="AA24" s="10">
        <f si="5" t="shared"/>
        <v>-6.5313704061061226E-3</v>
      </c>
      <c r="AB24" s="10">
        <f si="5" t="shared"/>
        <v>-3.2346871621251388E-3</v>
      </c>
      <c r="AC24" s="10">
        <f si="5" t="shared"/>
        <v>-5.1038041391745998E-3</v>
      </c>
    </row>
    <row r="25" spans="1:29" x14ac:dyDescent="0.2">
      <c r="A25" s="265" t="s">
        <v>154</v>
      </c>
      <c r="B25" s="11">
        <f si="3" t="shared"/>
        <v>1.9627476577113306E-2</v>
      </c>
      <c r="C25" s="11">
        <f si="3" t="shared"/>
        <v>3.4398071162749762E-3</v>
      </c>
      <c r="D25" s="11">
        <f si="3" t="shared"/>
        <v>1.2567062081215344E-2</v>
      </c>
      <c r="E25" s="11">
        <f si="3" t="shared"/>
        <v>1.0025406215860577E-2</v>
      </c>
      <c r="F25" s="11">
        <f si="3" t="shared"/>
        <v>1.3012314298172598E-2</v>
      </c>
      <c r="G25" s="11">
        <f si="3" t="shared"/>
        <v>1.4508431501587414E-2</v>
      </c>
      <c r="H25" s="11">
        <f si="3" t="shared"/>
        <v>6.2757909605311813E-3</v>
      </c>
      <c r="I25" s="11">
        <f si="3" t="shared"/>
        <v>1.3214148785608764E-2</v>
      </c>
      <c r="K25" s="265" t="s">
        <v>154</v>
      </c>
      <c r="L25" s="11">
        <f si="4" t="shared"/>
        <v>4.792362163804062E-3</v>
      </c>
      <c r="M25" s="11">
        <f si="4" t="shared"/>
        <v>4.4334826943522596E-4</v>
      </c>
      <c r="N25" s="11">
        <f si="4" t="shared"/>
        <v>2.6274751668496875E-3</v>
      </c>
      <c r="O25" s="11">
        <f si="4" t="shared"/>
        <v>2.3408065750655797E-4</v>
      </c>
      <c r="P25" s="11">
        <f si="4" t="shared"/>
        <v>3.4310221586847747E-4</v>
      </c>
      <c r="Q25" s="11">
        <f si="4" t="shared"/>
        <v>1.4304821440066376E-4</v>
      </c>
      <c r="R25" s="11">
        <f si="4" t="shared"/>
        <v>2.118021335823089E-4</v>
      </c>
      <c r="S25" s="11">
        <f si="4" t="shared"/>
        <v>2.136409873427501E-3</v>
      </c>
      <c r="U25" s="265" t="s">
        <v>154</v>
      </c>
      <c r="V25" s="10">
        <f si="5" t="shared"/>
        <v>-1.4835114413309244E-2</v>
      </c>
      <c r="W25" s="10">
        <f si="5" t="shared"/>
        <v>-2.9964588468397503E-3</v>
      </c>
      <c r="X25" s="10">
        <f si="5" t="shared"/>
        <v>-9.9395869143656564E-3</v>
      </c>
      <c r="Y25" s="10">
        <f si="5" t="shared"/>
        <v>-9.7913255583540193E-3</v>
      </c>
      <c r="Z25" s="10">
        <f si="5" t="shared"/>
        <v>-1.2669212082304121E-2</v>
      </c>
      <c r="AA25" s="10">
        <f si="5" t="shared"/>
        <v>-1.4365383287186751E-2</v>
      </c>
      <c r="AB25" s="10">
        <f si="5" t="shared"/>
        <v>-6.0639888269488724E-3</v>
      </c>
      <c r="AC25" s="10">
        <f si="5" t="shared"/>
        <v>-1.1077738912181263E-2</v>
      </c>
    </row>
    <row customHeight="1" ht="13.15" r="26" spans="1:29" thickBot="1" x14ac:dyDescent="0.25">
      <c r="A26" s="17" t="s">
        <v>4</v>
      </c>
      <c r="B26" s="15">
        <f si="3" t="shared"/>
        <v>1</v>
      </c>
      <c r="C26" s="15">
        <f si="3" t="shared"/>
        <v>1</v>
      </c>
      <c r="D26" s="15">
        <f si="3" t="shared"/>
        <v>1</v>
      </c>
      <c r="E26" s="15">
        <f si="3" t="shared"/>
        <v>1</v>
      </c>
      <c r="F26" s="15">
        <f si="3" t="shared"/>
        <v>1</v>
      </c>
      <c r="G26" s="15">
        <f si="3" t="shared"/>
        <v>1</v>
      </c>
      <c r="H26" s="15">
        <f si="3" t="shared"/>
        <v>1</v>
      </c>
      <c r="I26" s="15">
        <f si="3" t="shared"/>
        <v>1</v>
      </c>
      <c r="K26" s="17" t="s">
        <v>4</v>
      </c>
      <c r="L26" s="15">
        <f si="4" t="shared"/>
        <v>1</v>
      </c>
      <c r="M26" s="15">
        <f si="4" t="shared"/>
        <v>1</v>
      </c>
      <c r="N26" s="15">
        <f si="4" t="shared"/>
        <v>1</v>
      </c>
      <c r="O26" s="15">
        <f si="4" t="shared"/>
        <v>1</v>
      </c>
      <c r="P26" s="15">
        <f si="4" t="shared"/>
        <v>1</v>
      </c>
      <c r="Q26" s="15">
        <f si="4" t="shared"/>
        <v>1</v>
      </c>
      <c r="R26" s="15">
        <f si="4" t="shared"/>
        <v>1</v>
      </c>
      <c r="S26" s="15">
        <f si="4" t="shared"/>
        <v>1</v>
      </c>
      <c r="U26" s="17" t="s">
        <v>4</v>
      </c>
      <c r="V26" s="12">
        <f si="5" t="shared"/>
        <v>0</v>
      </c>
      <c r="W26" s="12">
        <f si="5" t="shared"/>
        <v>0</v>
      </c>
      <c r="X26" s="12">
        <f si="5" t="shared"/>
        <v>0</v>
      </c>
      <c r="Y26" s="12">
        <f si="5" t="shared"/>
        <v>0</v>
      </c>
      <c r="Z26" s="12">
        <f si="5" t="shared"/>
        <v>0</v>
      </c>
      <c r="AA26" s="12">
        <f si="5" t="shared"/>
        <v>0</v>
      </c>
      <c r="AB26" s="12">
        <f si="5" t="shared"/>
        <v>0</v>
      </c>
      <c r="AC26" s="12">
        <f si="5" t="shared"/>
        <v>0</v>
      </c>
    </row>
    <row customHeight="1" ht="13.15" r="31" spans="1:29" x14ac:dyDescent="0.2">
      <c r="A31" s="264" t="s">
        <v>41</v>
      </c>
      <c r="K31" s="264" t="s">
        <v>41</v>
      </c>
      <c r="U31" s="264" t="s">
        <v>41</v>
      </c>
    </row>
    <row customHeight="1" ht="13.15" r="32" spans="1:29" x14ac:dyDescent="0.2">
      <c r="A32" s="264" t="s">
        <v>158</v>
      </c>
      <c r="K32" s="264" t="s">
        <v>159</v>
      </c>
      <c r="U32" s="264" t="s">
        <v>160</v>
      </c>
    </row>
    <row customHeight="1" ht="13.15" r="33" spans="1:29" thickBot="1" x14ac:dyDescent="0.25"/>
    <row customHeight="1" ht="13.15" r="34" spans="1:29" x14ac:dyDescent="0.2">
      <c r="A34" s="3" t="s">
        <v>153</v>
      </c>
      <c r="B34" s="4" t="s">
        <v>143</v>
      </c>
      <c r="C34" s="4" t="s">
        <v>144</v>
      </c>
      <c r="D34" s="4" t="s">
        <v>145</v>
      </c>
      <c r="E34" s="4" t="s">
        <v>146</v>
      </c>
      <c r="F34" s="4" t="s">
        <v>147</v>
      </c>
      <c r="G34" s="4" t="s">
        <v>148</v>
      </c>
      <c r="H34" s="4" t="s">
        <v>149</v>
      </c>
      <c r="I34" s="4" t="s">
        <v>4</v>
      </c>
      <c r="K34" s="3" t="s">
        <v>153</v>
      </c>
      <c r="L34" s="4" t="s">
        <v>143</v>
      </c>
      <c r="M34" s="4" t="s">
        <v>144</v>
      </c>
      <c r="N34" s="4" t="s">
        <v>145</v>
      </c>
      <c r="O34" s="4" t="s">
        <v>146</v>
      </c>
      <c r="P34" s="4" t="s">
        <v>147</v>
      </c>
      <c r="Q34" s="4" t="s">
        <v>148</v>
      </c>
      <c r="R34" s="4" t="s">
        <v>149</v>
      </c>
      <c r="S34" s="4" t="s">
        <v>4</v>
      </c>
      <c r="U34" s="3" t="s">
        <v>153</v>
      </c>
      <c r="V34" s="4" t="s">
        <v>143</v>
      </c>
      <c r="W34" s="4" t="s">
        <v>144</v>
      </c>
      <c r="X34" s="4" t="s">
        <v>145</v>
      </c>
      <c r="Y34" s="4" t="s">
        <v>146</v>
      </c>
      <c r="Z34" s="4" t="s">
        <v>147</v>
      </c>
      <c r="AA34" s="4" t="s">
        <v>148</v>
      </c>
      <c r="AB34" s="4" t="s">
        <v>149</v>
      </c>
      <c r="AC34" s="4" t="s">
        <v>4</v>
      </c>
    </row>
    <row r="35" spans="1:29" x14ac:dyDescent="0.2">
      <c r="A35" s="16">
        <v>0</v>
      </c>
      <c r="B35" s="5">
        <f>output_NHTS!B158</f>
        <v>629251.55053998111</v>
      </c>
      <c r="C35" s="5">
        <f>output_NHTS!C158</f>
        <v>244485.5770779165</v>
      </c>
      <c r="D35" s="5">
        <f>output_NHTS!D158</f>
        <v>171879.89192151418</v>
      </c>
      <c r="E35" s="5">
        <f>output_NHTS!E158</f>
        <v>251301.80008843623</v>
      </c>
      <c r="F35" s="5">
        <f>output_NHTS!F158</f>
        <v>137075.3930421487</v>
      </c>
      <c r="G35" s="5">
        <f>output_NHTS!G158</f>
        <v>128275.89332015115</v>
      </c>
      <c r="H35" s="5">
        <f>output_NHTS!H158</f>
        <v>222351.81785020453</v>
      </c>
      <c r="I35" s="5">
        <f>output_NHTS!I158</f>
        <v>1784621.9238403523</v>
      </c>
      <c r="K35" s="16">
        <v>0</v>
      </c>
      <c r="L35" s="5">
        <f>output!B158</f>
        <v>498730</v>
      </c>
      <c r="M35" s="5">
        <f>output!C158</f>
        <v>207093</v>
      </c>
      <c r="N35" s="5">
        <f>output!D158</f>
        <v>137388</v>
      </c>
      <c r="O35" s="5">
        <f>output!E158</f>
        <v>209043</v>
      </c>
      <c r="P35" s="5">
        <f>output!F158</f>
        <v>133843</v>
      </c>
      <c r="Q35" s="5">
        <f>output!G158</f>
        <v>121937</v>
      </c>
      <c r="R35" s="5">
        <f>output!H158</f>
        <v>196824</v>
      </c>
      <c r="S35" s="5">
        <f>output!I158</f>
        <v>1504858</v>
      </c>
      <c r="U35" s="16">
        <v>0</v>
      </c>
      <c r="V35" s="5">
        <f ref="V35:AC42" si="6" t="shared">L35-B35</f>
        <v>-130521.55053998111</v>
      </c>
      <c r="W35" s="5">
        <f si="6" t="shared"/>
        <v>-37392.577077916503</v>
      </c>
      <c r="X35" s="5">
        <f si="6" t="shared"/>
        <v>-34491.89192151418</v>
      </c>
      <c r="Y35" s="5">
        <f si="6" t="shared"/>
        <v>-42258.800088436226</v>
      </c>
      <c r="Z35" s="5">
        <f si="6" t="shared"/>
        <v>-3232.3930421487021</v>
      </c>
      <c r="AA35" s="5">
        <f si="6" t="shared"/>
        <v>-6338.8933201511536</v>
      </c>
      <c r="AB35" s="5">
        <f si="6" t="shared"/>
        <v>-25527.817850204534</v>
      </c>
      <c r="AC35" s="5">
        <f si="6" t="shared"/>
        <v>-279763.92384035233</v>
      </c>
    </row>
    <row r="36" spans="1:29" x14ac:dyDescent="0.2">
      <c r="A36" s="16">
        <v>1</v>
      </c>
      <c r="B36" s="5">
        <f>output_NHTS!B159</f>
        <v>138943.2411888786</v>
      </c>
      <c r="C36" s="5">
        <f>output_NHTS!C159</f>
        <v>19391.602572388241</v>
      </c>
      <c r="D36" s="5">
        <f>output_NHTS!D159</f>
        <v>24840.519570889868</v>
      </c>
      <c r="E36" s="5">
        <f>output_NHTS!E159</f>
        <v>27937.856543378955</v>
      </c>
      <c r="F36" s="5">
        <f>output_NHTS!F159</f>
        <v>35905.572260676796</v>
      </c>
      <c r="G36" s="5">
        <f>output_NHTS!G159</f>
        <v>19818.353095738577</v>
      </c>
      <c r="H36" s="5">
        <f>output_NHTS!H159</f>
        <v>21835.324063571476</v>
      </c>
      <c r="I36" s="5">
        <f>output_NHTS!I159</f>
        <v>288672.46929552255</v>
      </c>
      <c r="K36" s="16">
        <v>1</v>
      </c>
      <c r="L36" s="5">
        <f>output!B159</f>
        <v>141933</v>
      </c>
      <c r="M36" s="5">
        <f>output!C159</f>
        <v>20835</v>
      </c>
      <c r="N36" s="5">
        <f>output!D159</f>
        <v>46111</v>
      </c>
      <c r="O36" s="5">
        <f>output!E159</f>
        <v>46847</v>
      </c>
      <c r="P36" s="5">
        <f>output!F159</f>
        <v>31644</v>
      </c>
      <c r="Q36" s="5">
        <f>output!G159</f>
        <v>14765</v>
      </c>
      <c r="R36" s="5">
        <f>output!H159</f>
        <v>28285</v>
      </c>
      <c r="S36" s="5">
        <f>output!I159</f>
        <v>330420</v>
      </c>
      <c r="U36" s="16">
        <v>1</v>
      </c>
      <c r="V36" s="5">
        <f si="6" t="shared"/>
        <v>2989.758811121399</v>
      </c>
      <c r="W36" s="5">
        <f si="6" t="shared"/>
        <v>1443.3974276117588</v>
      </c>
      <c r="X36" s="5">
        <f si="6" t="shared"/>
        <v>21270.480429110132</v>
      </c>
      <c r="Y36" s="5">
        <f si="6" t="shared"/>
        <v>18909.143456621045</v>
      </c>
      <c r="Z36" s="5">
        <f si="6" t="shared"/>
        <v>-4261.5722606767958</v>
      </c>
      <c r="AA36" s="5">
        <f si="6" t="shared"/>
        <v>-5053.3530957385774</v>
      </c>
      <c r="AB36" s="5">
        <f si="6" t="shared"/>
        <v>6449.6759364285244</v>
      </c>
      <c r="AC36" s="5">
        <f si="6" t="shared"/>
        <v>41747.530704477453</v>
      </c>
    </row>
    <row r="37" spans="1:29" x14ac:dyDescent="0.2">
      <c r="A37" s="16">
        <v>2</v>
      </c>
      <c r="B37" s="5">
        <f>output_NHTS!B160</f>
        <v>38709.038257284585</v>
      </c>
      <c r="C37" s="5">
        <f>output_NHTS!C160</f>
        <v>5065.892722933153</v>
      </c>
      <c r="D37" s="5">
        <f>output_NHTS!D160</f>
        <v>12835.23142701442</v>
      </c>
      <c r="E37" s="5">
        <f>output_NHTS!E160</f>
        <v>3174.0085372166209</v>
      </c>
      <c r="F37" s="5">
        <f>output_NHTS!F160</f>
        <v>9246.9018080586939</v>
      </c>
      <c r="G37" s="5">
        <f>output_NHTS!G160</f>
        <v>7167.8381144610139</v>
      </c>
      <c r="H37" s="5">
        <f>output_NHTS!H160</f>
        <v>7861.4467864438056</v>
      </c>
      <c r="I37" s="5">
        <f>output_NHTS!I160</f>
        <v>84060.357653412299</v>
      </c>
      <c r="K37" s="16">
        <v>2</v>
      </c>
      <c r="L37" s="5">
        <f>output!B160</f>
        <v>38676</v>
      </c>
      <c r="M37" s="5">
        <f>output!C160</f>
        <v>3593</v>
      </c>
      <c r="N37" s="5">
        <f>output!D160</f>
        <v>11765</v>
      </c>
      <c r="O37" s="5">
        <f>output!E160</f>
        <v>10685</v>
      </c>
      <c r="P37" s="5">
        <f>output!F160</f>
        <v>7337</v>
      </c>
      <c r="Q37" s="5">
        <f>output!G160</f>
        <v>2514</v>
      </c>
      <c r="R37" s="5">
        <f>output!H160</f>
        <v>4980</v>
      </c>
      <c r="S37" s="5">
        <f>output!I160</f>
        <v>79550</v>
      </c>
      <c r="U37" s="16">
        <v>2</v>
      </c>
      <c r="V37" s="5">
        <f si="6" t="shared"/>
        <v>-33.038257284584688</v>
      </c>
      <c r="W37" s="5">
        <f si="6" t="shared"/>
        <v>-1472.892722933153</v>
      </c>
      <c r="X37" s="5">
        <f si="6" t="shared"/>
        <v>-1070.2314270144198</v>
      </c>
      <c r="Y37" s="5">
        <f si="6" t="shared"/>
        <v>7510.9914627833787</v>
      </c>
      <c r="Z37" s="5">
        <f si="6" t="shared"/>
        <v>-1909.9018080586939</v>
      </c>
      <c r="AA37" s="5">
        <f si="6" t="shared"/>
        <v>-4653.8381144610139</v>
      </c>
      <c r="AB37" s="5">
        <f si="6" t="shared"/>
        <v>-2881.4467864438056</v>
      </c>
      <c r="AC37" s="5">
        <f si="6" t="shared"/>
        <v>-4510.3576534122985</v>
      </c>
    </row>
    <row r="38" spans="1:29" x14ac:dyDescent="0.2">
      <c r="A38" s="16">
        <v>3</v>
      </c>
      <c r="B38" s="5">
        <f>output_NHTS!B161</f>
        <v>15329.39960035385</v>
      </c>
      <c r="C38" s="5">
        <f>output_NHTS!C161</f>
        <v>2148.6974060890389</v>
      </c>
      <c r="D38" s="5">
        <f>output_NHTS!D161</f>
        <v>3309.4599857599396</v>
      </c>
      <c r="E38" s="5">
        <f>output_NHTS!E161</f>
        <v>1397.5891464090439</v>
      </c>
      <c r="F38" s="5">
        <f>output_NHTS!F161</f>
        <v>3036.5852681973588</v>
      </c>
      <c r="G38" s="5">
        <f>output_NHTS!G161</f>
        <v>283.05668701726722</v>
      </c>
      <c r="H38" s="5">
        <f>output_NHTS!H161</f>
        <v>2897.9633538249</v>
      </c>
      <c r="I38" s="5">
        <f>output_NHTS!I161</f>
        <v>28402.751447651401</v>
      </c>
      <c r="K38" s="16">
        <v>3</v>
      </c>
      <c r="L38" s="5">
        <f>output!B161</f>
        <v>11601</v>
      </c>
      <c r="M38" s="5">
        <f>output!C161</f>
        <v>680</v>
      </c>
      <c r="N38" s="5">
        <f>output!D161</f>
        <v>3193</v>
      </c>
      <c r="O38" s="5">
        <f>output!E161</f>
        <v>2219</v>
      </c>
      <c r="P38" s="5">
        <f>output!F161</f>
        <v>1725</v>
      </c>
      <c r="Q38" s="5">
        <f>output!G161</f>
        <v>517</v>
      </c>
      <c r="R38" s="5">
        <f>output!H161</f>
        <v>1046</v>
      </c>
      <c r="S38" s="5">
        <f>output!I161</f>
        <v>20981</v>
      </c>
      <c r="U38" s="16">
        <v>3</v>
      </c>
      <c r="V38" s="5">
        <f si="6" t="shared"/>
        <v>-3728.3996003538505</v>
      </c>
      <c r="W38" s="5">
        <f si="6" t="shared"/>
        <v>-1468.6974060890389</v>
      </c>
      <c r="X38" s="5">
        <f si="6" t="shared"/>
        <v>-116.45998575993963</v>
      </c>
      <c r="Y38" s="5">
        <f si="6" t="shared"/>
        <v>821.41085359095609</v>
      </c>
      <c r="Z38" s="5">
        <f si="6" t="shared"/>
        <v>-1311.5852681973588</v>
      </c>
      <c r="AA38" s="5">
        <f si="6" t="shared"/>
        <v>233.94331298273278</v>
      </c>
      <c r="AB38" s="5">
        <f si="6" t="shared"/>
        <v>-1851.9633538249</v>
      </c>
      <c r="AC38" s="5">
        <f si="6" t="shared"/>
        <v>-7421.7514476514007</v>
      </c>
    </row>
    <row r="39" spans="1:29" x14ac:dyDescent="0.2">
      <c r="A39" s="16">
        <v>4</v>
      </c>
      <c r="B39" s="5">
        <f>output_NHTS!B162</f>
        <v>3888.3334245359711</v>
      </c>
      <c r="C39" s="5">
        <f>output_NHTS!C162</f>
        <v>87.7202126158315</v>
      </c>
      <c r="D39" s="5">
        <f>output_NHTS!D162</f>
        <v>2301.394579342762</v>
      </c>
      <c r="E39" s="5">
        <f>output_NHTS!E162</f>
        <v>1235.0018702843174</v>
      </c>
      <c r="F39" s="5">
        <f>output_NHTS!F162</f>
        <v>2737.1139935556921</v>
      </c>
      <c r="G39" s="5">
        <f>output_NHTS!G162</f>
        <v>659.82609259093715</v>
      </c>
      <c r="H39" s="5">
        <f>output_NHTS!H162</f>
        <v>283.03531511800156</v>
      </c>
      <c r="I39" s="5">
        <f>output_NHTS!I162</f>
        <v>11192.425488043515</v>
      </c>
      <c r="K39" s="16">
        <v>4</v>
      </c>
      <c r="L39" s="5">
        <f>output!B162</f>
        <v>2867</v>
      </c>
      <c r="M39" s="5">
        <f>output!C162</f>
        <v>94</v>
      </c>
      <c r="N39" s="5">
        <f>output!D162</f>
        <v>758</v>
      </c>
      <c r="O39" s="5">
        <f>output!E162</f>
        <v>314</v>
      </c>
      <c r="P39" s="5">
        <f>output!F162</f>
        <v>292</v>
      </c>
      <c r="Q39" s="5">
        <f>output!G162</f>
        <v>66</v>
      </c>
      <c r="R39" s="5">
        <f>output!H162</f>
        <v>180</v>
      </c>
      <c r="S39" s="5">
        <f>output!I162</f>
        <v>4571</v>
      </c>
      <c r="U39" s="16">
        <v>4</v>
      </c>
      <c r="V39" s="5">
        <f si="6" t="shared"/>
        <v>-1021.3334245359711</v>
      </c>
      <c r="W39" s="5">
        <f si="6" t="shared"/>
        <v>6.2797873841685004</v>
      </c>
      <c r="X39" s="5">
        <f si="6" t="shared"/>
        <v>-1543.394579342762</v>
      </c>
      <c r="Y39" s="5">
        <f si="6" t="shared"/>
        <v>-921.00187028431742</v>
      </c>
      <c r="Z39" s="5">
        <f si="6" t="shared"/>
        <v>-2445.1139935556921</v>
      </c>
      <c r="AA39" s="5">
        <f si="6" t="shared"/>
        <v>-593.82609259093715</v>
      </c>
      <c r="AB39" s="5">
        <f si="6" t="shared"/>
        <v>-103.03531511800156</v>
      </c>
      <c r="AC39" s="5">
        <f si="6" t="shared"/>
        <v>-6621.4254880435146</v>
      </c>
    </row>
    <row r="40" spans="1:29" x14ac:dyDescent="0.2">
      <c r="A40" s="16">
        <v>5</v>
      </c>
      <c r="B40" s="5">
        <f>output_NHTS!B163</f>
        <v>741.07630734663371</v>
      </c>
      <c r="C40" s="5">
        <f>output_NHTS!C163</f>
        <v>205.33997217747199</v>
      </c>
      <c r="D40" s="5">
        <f>output_NHTS!D163</f>
        <v>2977.4502623348712</v>
      </c>
      <c r="E40" s="5">
        <f>output_NHTS!E163</f>
        <v>596.03131832047927</v>
      </c>
      <c r="F40" s="5">
        <f>output_NHTS!F163</f>
        <v>889.82720748127645</v>
      </c>
      <c r="G40" s="5">
        <f>output_NHTS!G163</f>
        <v>589.41255041008196</v>
      </c>
      <c r="H40" s="5">
        <f>output_NHTS!H163</f>
        <v>582.86293697330427</v>
      </c>
      <c r="I40" s="5">
        <f>output_NHTS!I163</f>
        <v>6582.0005550441192</v>
      </c>
      <c r="K40" s="16">
        <v>5</v>
      </c>
      <c r="L40" s="5">
        <f>output!B163</f>
        <v>540</v>
      </c>
      <c r="M40" s="5">
        <f>output!C163</f>
        <v>23</v>
      </c>
      <c r="N40" s="5">
        <f>output!D163</f>
        <v>140</v>
      </c>
      <c r="O40" s="5">
        <f>output!E163</f>
        <v>28</v>
      </c>
      <c r="P40" s="5">
        <f>output!F163</f>
        <v>22</v>
      </c>
      <c r="Q40" s="5">
        <f>output!G163</f>
        <v>10</v>
      </c>
      <c r="R40" s="5">
        <f>output!H163</f>
        <v>22</v>
      </c>
      <c r="S40" s="5">
        <f>output!I163</f>
        <v>785</v>
      </c>
      <c r="U40" s="16">
        <v>5</v>
      </c>
      <c r="V40" s="5">
        <f si="6" t="shared"/>
        <v>-201.07630734663371</v>
      </c>
      <c r="W40" s="5">
        <f si="6" t="shared"/>
        <v>-182.33997217747199</v>
      </c>
      <c r="X40" s="5">
        <f si="6" t="shared"/>
        <v>-2837.4502623348712</v>
      </c>
      <c r="Y40" s="5">
        <f si="6" t="shared"/>
        <v>-568.03131832047927</v>
      </c>
      <c r="Z40" s="5">
        <f si="6" t="shared"/>
        <v>-867.82720748127645</v>
      </c>
      <c r="AA40" s="5">
        <f si="6" t="shared"/>
        <v>-579.41255041008196</v>
      </c>
      <c r="AB40" s="5">
        <f si="6" t="shared"/>
        <v>-560.86293697330427</v>
      </c>
      <c r="AC40" s="5">
        <f si="6" t="shared"/>
        <v>-5797.0005550441192</v>
      </c>
    </row>
    <row r="41" spans="1:29" x14ac:dyDescent="0.2">
      <c r="A41" s="265" t="s">
        <v>154</v>
      </c>
      <c r="B41" s="7">
        <f>output_NHTS!B164</f>
        <v>2884.6506155239572</v>
      </c>
      <c r="C41" s="7">
        <f>output_NHTS!C164</f>
        <v>0</v>
      </c>
      <c r="D41" s="7">
        <f>output_NHTS!D164</f>
        <v>1533.116851523806</v>
      </c>
      <c r="E41" s="7">
        <f>output_NHTS!E164</f>
        <v>329.0059267054724</v>
      </c>
      <c r="F41" s="7">
        <f>output_NHTS!F164</f>
        <v>386.7517401643982</v>
      </c>
      <c r="G41" s="7">
        <f>output_NHTS!G164</f>
        <v>546.84781565044489</v>
      </c>
      <c r="H41" s="7">
        <f>output_NHTS!H164</f>
        <v>766.35070048294301</v>
      </c>
      <c r="I41" s="7">
        <f>output_NHTS!I164</f>
        <v>6446.7236500510207</v>
      </c>
      <c r="K41" s="265" t="s">
        <v>154</v>
      </c>
      <c r="L41" s="7">
        <f>output!B164</f>
        <v>300</v>
      </c>
      <c r="M41" s="7">
        <f>output!C164</f>
        <v>5</v>
      </c>
      <c r="N41" s="7">
        <f>output!D164</f>
        <v>76</v>
      </c>
      <c r="O41" s="7">
        <f>output!E164</f>
        <v>2</v>
      </c>
      <c r="P41" s="7">
        <f>output!F164</f>
        <v>12</v>
      </c>
      <c r="Q41" s="7">
        <f>output!G164</f>
        <v>4</v>
      </c>
      <c r="R41" s="7">
        <f>output!H164</f>
        <v>11</v>
      </c>
      <c r="S41" s="7">
        <f>output!I164</f>
        <v>410</v>
      </c>
      <c r="U41" s="265" t="s">
        <v>154</v>
      </c>
      <c r="V41" s="7">
        <f si="6" t="shared"/>
        <v>-2584.6506155239572</v>
      </c>
      <c r="W41" s="7">
        <f si="6" t="shared"/>
        <v>5</v>
      </c>
      <c r="X41" s="7">
        <f si="6" t="shared"/>
        <v>-1457.116851523806</v>
      </c>
      <c r="Y41" s="7">
        <f si="6" t="shared"/>
        <v>-327.0059267054724</v>
      </c>
      <c r="Z41" s="7">
        <f si="6" t="shared"/>
        <v>-374.7517401643982</v>
      </c>
      <c r="AA41" s="7">
        <f si="6" t="shared"/>
        <v>-542.84781565044489</v>
      </c>
      <c r="AB41" s="7">
        <f si="6" t="shared"/>
        <v>-755.35070048294301</v>
      </c>
      <c r="AC41" s="7">
        <f si="6" t="shared"/>
        <v>-6036.7236500510207</v>
      </c>
    </row>
    <row customHeight="1" ht="13.15" r="42" spans="1:29" thickBot="1" x14ac:dyDescent="0.25">
      <c r="A42" s="17" t="s">
        <v>4</v>
      </c>
      <c r="B42" s="18">
        <f ref="B42:I42" si="7" t="shared">SUM(B35:B41)</f>
        <v>829747.28993390466</v>
      </c>
      <c r="C42" s="18">
        <f si="7" t="shared"/>
        <v>271384.82996412023</v>
      </c>
      <c r="D42" s="18">
        <f si="7" t="shared"/>
        <v>219677.06459837989</v>
      </c>
      <c r="E42" s="18">
        <f si="7" t="shared"/>
        <v>285971.29343075119</v>
      </c>
      <c r="F42" s="18">
        <f si="7" t="shared"/>
        <v>189278.1453202829</v>
      </c>
      <c r="G42" s="18">
        <f si="7" t="shared"/>
        <v>157341.22767601948</v>
      </c>
      <c r="H42" s="18">
        <f si="7" t="shared"/>
        <v>256578.80100661895</v>
      </c>
      <c r="I42" s="18">
        <f si="7" t="shared"/>
        <v>2209978.6519300775</v>
      </c>
      <c r="K42" s="17" t="s">
        <v>4</v>
      </c>
      <c r="L42" s="18">
        <f ref="L42:S42" si="8" t="shared">SUM(L35:L41)</f>
        <v>694647</v>
      </c>
      <c r="M42" s="18">
        <f si="8" t="shared"/>
        <v>232323</v>
      </c>
      <c r="N42" s="18">
        <f si="8" t="shared"/>
        <v>199431</v>
      </c>
      <c r="O42" s="18">
        <f si="8" t="shared"/>
        <v>269138</v>
      </c>
      <c r="P42" s="18">
        <f si="8" t="shared"/>
        <v>174875</v>
      </c>
      <c r="Q42" s="18">
        <f si="8" t="shared"/>
        <v>139813</v>
      </c>
      <c r="R42" s="18">
        <f si="8" t="shared"/>
        <v>231348</v>
      </c>
      <c r="S42" s="18">
        <f si="8" t="shared"/>
        <v>1941575</v>
      </c>
      <c r="U42" s="17" t="s">
        <v>4</v>
      </c>
      <c r="V42" s="18">
        <f si="6" t="shared"/>
        <v>-135100.28993390466</v>
      </c>
      <c r="W42" s="18">
        <f si="6" t="shared"/>
        <v>-39061.829964120232</v>
      </c>
      <c r="X42" s="18">
        <f si="6" t="shared"/>
        <v>-20246.06459837989</v>
      </c>
      <c r="Y42" s="18">
        <f si="6" t="shared"/>
        <v>-16833.29343075119</v>
      </c>
      <c r="Z42" s="18">
        <f si="6" t="shared"/>
        <v>-14403.1453202829</v>
      </c>
      <c r="AA42" s="18">
        <f si="6" t="shared"/>
        <v>-17528.22767601948</v>
      </c>
      <c r="AB42" s="18">
        <f si="6" t="shared"/>
        <v>-25230.801006618945</v>
      </c>
      <c r="AC42" s="18">
        <f si="6" t="shared"/>
        <v>-268403.65193007747</v>
      </c>
    </row>
    <row customHeight="1" ht="13.15" r="45" spans="1:29" x14ac:dyDescent="0.2">
      <c r="A45" s="264" t="s">
        <v>41</v>
      </c>
      <c r="K45" s="264" t="s">
        <v>41</v>
      </c>
      <c r="U45" s="264" t="s">
        <v>41</v>
      </c>
    </row>
    <row customHeight="1" ht="13.15" r="46" spans="1:29" x14ac:dyDescent="0.2">
      <c r="A46" s="264" t="s">
        <v>161</v>
      </c>
      <c r="K46" s="264" t="s">
        <v>162</v>
      </c>
      <c r="U46" s="264" t="s">
        <v>163</v>
      </c>
    </row>
    <row customHeight="1" ht="13.15" r="47" spans="1:29" thickBot="1" x14ac:dyDescent="0.25"/>
    <row customHeight="1" ht="13.15" r="48" spans="1:29" x14ac:dyDescent="0.2">
      <c r="A48" s="3" t="s">
        <v>153</v>
      </c>
      <c r="B48" s="4" t="s">
        <v>143</v>
      </c>
      <c r="C48" s="4" t="s">
        <v>144</v>
      </c>
      <c r="D48" s="4" t="s">
        <v>145</v>
      </c>
      <c r="E48" s="4" t="s">
        <v>146</v>
      </c>
      <c r="F48" s="4" t="s">
        <v>147</v>
      </c>
      <c r="G48" s="4" t="s">
        <v>148</v>
      </c>
      <c r="H48" s="4" t="s">
        <v>149</v>
      </c>
      <c r="I48" s="4" t="s">
        <v>4</v>
      </c>
      <c r="K48" s="3" t="s">
        <v>153</v>
      </c>
      <c r="L48" s="4" t="s">
        <v>143</v>
      </c>
      <c r="M48" s="4" t="s">
        <v>144</v>
      </c>
      <c r="N48" s="4" t="s">
        <v>145</v>
      </c>
      <c r="O48" s="4" t="s">
        <v>146</v>
      </c>
      <c r="P48" s="4" t="s">
        <v>147</v>
      </c>
      <c r="Q48" s="4" t="s">
        <v>148</v>
      </c>
      <c r="R48" s="4" t="s">
        <v>149</v>
      </c>
      <c r="S48" s="4" t="s">
        <v>4</v>
      </c>
      <c r="U48" s="3" t="s">
        <v>153</v>
      </c>
      <c r="V48" s="4" t="s">
        <v>143</v>
      </c>
      <c r="W48" s="4" t="s">
        <v>144</v>
      </c>
      <c r="X48" s="4" t="s">
        <v>145</v>
      </c>
      <c r="Y48" s="4" t="s">
        <v>146</v>
      </c>
      <c r="Z48" s="4" t="s">
        <v>147</v>
      </c>
      <c r="AA48" s="4" t="s">
        <v>148</v>
      </c>
      <c r="AB48" s="4" t="s">
        <v>149</v>
      </c>
      <c r="AC48" s="4" t="s">
        <v>4</v>
      </c>
    </row>
    <row r="49" spans="1:29" x14ac:dyDescent="0.2">
      <c r="A49" s="16">
        <v>0</v>
      </c>
      <c r="B49" s="10">
        <f ref="B49:I56" si="9" t="shared">B35/B$12</f>
        <v>0.75836529769215089</v>
      </c>
      <c r="C49" s="10">
        <f si="9" t="shared"/>
        <v>0.90088151614900502</v>
      </c>
      <c r="D49" s="10">
        <f si="9" t="shared"/>
        <v>0.78242074217329027</v>
      </c>
      <c r="E49" s="10">
        <f si="9" t="shared"/>
        <v>0.87876582671501502</v>
      </c>
      <c r="F49" s="10">
        <f si="9" t="shared"/>
        <v>0.72420084637980553</v>
      </c>
      <c r="G49" s="10">
        <f si="9" t="shared"/>
        <v>0.8152719742614658</v>
      </c>
      <c r="H49" s="10">
        <f si="9" t="shared"/>
        <v>0.86660245109052692</v>
      </c>
      <c r="I49" s="10">
        <f si="9" t="shared"/>
        <v>0.80752903304371704</v>
      </c>
      <c r="K49" s="16">
        <v>0</v>
      </c>
      <c r="L49" s="10">
        <f ref="L49:S56" si="10" t="shared">L35/L$42</f>
        <v>0.71796178490657847</v>
      </c>
      <c r="M49" s="10">
        <f si="10" t="shared"/>
        <v>0.89140119574902188</v>
      </c>
      <c r="N49" s="10">
        <f si="10" t="shared"/>
        <v>0.68889992027317715</v>
      </c>
      <c r="O49" s="10">
        <f si="10" t="shared"/>
        <v>0.77671306170068888</v>
      </c>
      <c r="P49" s="10">
        <f si="10" t="shared"/>
        <v>0.76536383130807717</v>
      </c>
      <c r="Q49" s="10">
        <f si="10" t="shared"/>
        <v>0.87214350596868673</v>
      </c>
      <c r="R49" s="10">
        <f si="10" t="shared"/>
        <v>0.85077026816743606</v>
      </c>
      <c r="S49" s="10">
        <f si="10" t="shared"/>
        <v>0.77507075441329853</v>
      </c>
      <c r="U49" s="16">
        <v>0</v>
      </c>
      <c r="V49" s="10">
        <f ref="V49:AC56" si="11" t="shared">L49-B49</f>
        <v>-4.0403512785572415E-2</v>
      </c>
      <c r="W49" s="10">
        <f si="11" t="shared"/>
        <v>-9.4803203999831442E-3</v>
      </c>
      <c r="X49" s="10">
        <f si="11" t="shared"/>
        <v>-9.3520821900113127E-2</v>
      </c>
      <c r="Y49" s="10">
        <f si="11" t="shared"/>
        <v>-0.10205276501432614</v>
      </c>
      <c r="Z49" s="10">
        <f si="11" t="shared"/>
        <v>4.116298492827164E-2</v>
      </c>
      <c r="AA49" s="10">
        <f si="11" t="shared"/>
        <v>5.6871531707220924E-2</v>
      </c>
      <c r="AB49" s="10">
        <f si="11" t="shared"/>
        <v>-1.5832182923090854E-2</v>
      </c>
      <c r="AC49" s="10">
        <f si="11" t="shared"/>
        <v>-3.2458278630418502E-2</v>
      </c>
    </row>
    <row r="50" spans="1:29" x14ac:dyDescent="0.2">
      <c r="A50" s="16">
        <v>1</v>
      </c>
      <c r="B50" s="10">
        <f si="9" t="shared"/>
        <v>0.16745247965792864</v>
      </c>
      <c r="C50" s="10">
        <f si="9" t="shared"/>
        <v>7.1454261371028033E-2</v>
      </c>
      <c r="D50" s="10">
        <f si="9" t="shared"/>
        <v>0.11307743763011423</v>
      </c>
      <c r="E50" s="10">
        <f si="9" t="shared"/>
        <v>9.7694618953577561E-2</v>
      </c>
      <c r="F50" s="10">
        <f si="9" t="shared"/>
        <v>0.18969740114433159</v>
      </c>
      <c r="G50" s="10">
        <f si="9" t="shared"/>
        <v>0.12595778861308016</v>
      </c>
      <c r="H50" s="10">
        <f si="9" t="shared"/>
        <v>8.5101824382631641E-2</v>
      </c>
      <c r="I50" s="10">
        <f si="9" t="shared"/>
        <v>0.13062228861053091</v>
      </c>
      <c r="K50" s="16">
        <v>1</v>
      </c>
      <c r="L50" s="10">
        <f si="10" t="shared"/>
        <v>0.20432392279819822</v>
      </c>
      <c r="M50" s="10">
        <f si="10" t="shared"/>
        <v>8.9681176637698382E-2</v>
      </c>
      <c r="N50" s="10">
        <f si="10" t="shared"/>
        <v>0.23121280041718689</v>
      </c>
      <c r="O50" s="10">
        <f si="10" t="shared"/>
        <v>0.17406312003507493</v>
      </c>
      <c r="P50" s="10">
        <f si="10" t="shared"/>
        <v>0.18095210864903502</v>
      </c>
      <c r="Q50" s="10">
        <f si="10" t="shared"/>
        <v>0.10560534428129001</v>
      </c>
      <c r="R50" s="10">
        <f si="10" t="shared"/>
        <v>0.12226170098725729</v>
      </c>
      <c r="S50" s="10">
        <f si="10" t="shared"/>
        <v>0.17018142487413568</v>
      </c>
      <c r="U50" s="16">
        <v>1</v>
      </c>
      <c r="V50" s="10">
        <f si="11" t="shared"/>
        <v>3.6871443140269577E-2</v>
      </c>
      <c r="W50" s="10">
        <f si="11" t="shared"/>
        <v>1.8226915266670349E-2</v>
      </c>
      <c r="X50" s="10">
        <f si="11" t="shared"/>
        <v>0.11813536278707266</v>
      </c>
      <c r="Y50" s="10">
        <f si="11" t="shared"/>
        <v>7.636850108149737E-2</v>
      </c>
      <c r="Z50" s="10">
        <f si="11" t="shared"/>
        <v>-8.7452924952965694E-3</v>
      </c>
      <c r="AA50" s="10">
        <f si="11" t="shared"/>
        <v>-2.0352444331790148E-2</v>
      </c>
      <c r="AB50" s="10">
        <f si="11" t="shared"/>
        <v>3.715987660462565E-2</v>
      </c>
      <c r="AC50" s="10">
        <f si="11" t="shared"/>
        <v>3.9559136263604772E-2</v>
      </c>
    </row>
    <row r="51" spans="1:29" x14ac:dyDescent="0.2">
      <c r="A51" s="16">
        <v>2</v>
      </c>
      <c r="B51" s="10">
        <f si="9" t="shared"/>
        <v>4.6651599501298803E-2</v>
      </c>
      <c r="C51" s="10">
        <f si="9" t="shared"/>
        <v>1.8666823505215511E-2</v>
      </c>
      <c r="D51" s="10">
        <f si="9" t="shared"/>
        <v>5.8427726401389116E-2</v>
      </c>
      <c r="E51" s="10">
        <f si="9" t="shared"/>
        <v>1.109904598863248E-2</v>
      </c>
      <c r="F51" s="10">
        <f si="9" t="shared"/>
        <v>4.8853510226506872E-2</v>
      </c>
      <c r="G51" s="10">
        <f si="9" t="shared"/>
        <v>4.555600728640731E-2</v>
      </c>
      <c r="H51" s="10">
        <f si="9" t="shared"/>
        <v>3.0639502389135431E-2</v>
      </c>
      <c r="I51" s="10">
        <f si="9" t="shared"/>
        <v>3.8036728354818486E-2</v>
      </c>
      <c r="K51" s="16">
        <v>2</v>
      </c>
      <c r="L51" s="10">
        <f si="10" t="shared"/>
        <v>5.5677200074282333E-2</v>
      </c>
      <c r="M51" s="10">
        <f si="10" t="shared"/>
        <v>1.546553720466764E-2</v>
      </c>
      <c r="N51" s="10">
        <f si="10" t="shared"/>
        <v>5.8992834614478191E-2</v>
      </c>
      <c r="O51" s="10">
        <f si="10" t="shared"/>
        <v>3.9700822626310667E-2</v>
      </c>
      <c r="P51" s="10">
        <f si="10" t="shared"/>
        <v>4.1955682630450325E-2</v>
      </c>
      <c r="Q51" s="10">
        <f si="10" t="shared"/>
        <v>1.7981160550163432E-2</v>
      </c>
      <c r="R51" s="10">
        <f si="10" t="shared"/>
        <v>2.1526012759997926E-2</v>
      </c>
      <c r="S51" s="10">
        <f si="10" t="shared"/>
        <v>4.097189137684612E-2</v>
      </c>
      <c r="U51" s="16">
        <v>2</v>
      </c>
      <c r="V51" s="10">
        <f si="11" t="shared"/>
        <v>9.0256005729835304E-3</v>
      </c>
      <c r="W51" s="10">
        <f si="11" t="shared"/>
        <v>-3.2012863005478707E-3</v>
      </c>
      <c r="X51" s="10">
        <f si="11" t="shared"/>
        <v>5.6510821308907583E-4</v>
      </c>
      <c r="Y51" s="10">
        <f si="11" t="shared"/>
        <v>2.8601776637678187E-2</v>
      </c>
      <c r="Z51" s="10">
        <f si="11" t="shared"/>
        <v>-6.8978275960565466E-3</v>
      </c>
      <c r="AA51" s="10">
        <f si="11" t="shared"/>
        <v>-2.7574846736243878E-2</v>
      </c>
      <c r="AB51" s="10">
        <f si="11" t="shared"/>
        <v>-9.1134896291375049E-3</v>
      </c>
      <c r="AC51" s="10">
        <f si="11" t="shared"/>
        <v>2.9351630220276342E-3</v>
      </c>
    </row>
    <row r="52" spans="1:29" x14ac:dyDescent="0.2">
      <c r="A52" s="16">
        <v>3</v>
      </c>
      <c r="B52" s="10">
        <f si="9" t="shared"/>
        <v>1.8474781160870011E-2</v>
      </c>
      <c r="C52" s="10">
        <f si="9" t="shared"/>
        <v>7.9175295331471492E-3</v>
      </c>
      <c r="D52" s="10">
        <f si="9" t="shared"/>
        <v>1.5065113837943862E-2</v>
      </c>
      <c r="E52" s="10">
        <f si="9" t="shared"/>
        <v>4.8871658747365642E-3</v>
      </c>
      <c r="F52" s="10">
        <f si="9" t="shared"/>
        <v>1.6042978776335044E-2</v>
      </c>
      <c r="G52" s="10">
        <f si="9" t="shared"/>
        <v>1.7989988459992689E-3</v>
      </c>
      <c r="H52" s="10">
        <f si="9" t="shared"/>
        <v>1.1294632847513156E-2</v>
      </c>
      <c r="I52" s="10">
        <f si="9" t="shared"/>
        <v>1.2852047879668864E-2</v>
      </c>
      <c r="K52" s="16">
        <v>3</v>
      </c>
      <c r="L52" s="10">
        <f si="10" t="shared"/>
        <v>1.6700568778098803E-2</v>
      </c>
      <c r="M52" s="10">
        <f si="10" t="shared"/>
        <v>2.926959448698579E-3</v>
      </c>
      <c r="N52" s="10">
        <f si="10" t="shared"/>
        <v>1.6010550014792083E-2</v>
      </c>
      <c r="O52" s="10">
        <f si="10" t="shared"/>
        <v>8.2448409366198752E-3</v>
      </c>
      <c r="P52" s="10">
        <f si="10" t="shared"/>
        <v>9.864188706218727E-3</v>
      </c>
      <c r="Q52" s="10">
        <f si="10" t="shared"/>
        <v>3.6977963422571577E-3</v>
      </c>
      <c r="R52" s="10">
        <f si="10" t="shared"/>
        <v>4.5213271781039815E-3</v>
      </c>
      <c r="S52" s="10">
        <f si="10" t="shared"/>
        <v>1.0806175398838571E-2</v>
      </c>
      <c r="U52" s="16">
        <v>3</v>
      </c>
      <c r="V52" s="10">
        <f si="11" t="shared"/>
        <v>-1.7742123827712078E-3</v>
      </c>
      <c r="W52" s="10">
        <f si="11" t="shared"/>
        <v>-4.9905700844485703E-3</v>
      </c>
      <c r="X52" s="10">
        <f si="11" t="shared"/>
        <v>9.4543617684822098E-4</v>
      </c>
      <c r="Y52" s="10">
        <f si="11" t="shared"/>
        <v>3.357675061883311E-3</v>
      </c>
      <c r="Z52" s="10">
        <f si="11" t="shared"/>
        <v>-6.1787900701163172E-3</v>
      </c>
      <c r="AA52" s="10">
        <f si="11" t="shared"/>
        <v>1.8987974962578888E-3</v>
      </c>
      <c r="AB52" s="10">
        <f si="11" t="shared"/>
        <v>-6.7733056694091742E-3</v>
      </c>
      <c r="AC52" s="10">
        <f si="11" t="shared"/>
        <v>-2.0458724808302929E-3</v>
      </c>
    </row>
    <row r="53" spans="1:29" x14ac:dyDescent="0.2">
      <c r="A53" s="16">
        <v>4</v>
      </c>
      <c r="B53" s="10">
        <f si="9" t="shared"/>
        <v>4.6861658624346991E-3</v>
      </c>
      <c r="C53" s="10">
        <f si="9" t="shared"/>
        <v>3.2323182039109923E-4</v>
      </c>
      <c r="D53" s="10">
        <f si="9" t="shared"/>
        <v>1.0476262433450848E-2</v>
      </c>
      <c r="E53" s="10">
        <f si="9" t="shared"/>
        <v>4.3186218290241669E-3</v>
      </c>
      <c r="F53" s="10">
        <f si="9" t="shared"/>
        <v>1.4460803115563839E-2</v>
      </c>
      <c r="G53" s="10">
        <f si="9" t="shared"/>
        <v>4.1935994928778732E-3</v>
      </c>
      <c r="H53" s="10">
        <f si="9" t="shared"/>
        <v>1.1031126266378497E-3</v>
      </c>
      <c r="I53" s="10">
        <f si="9" t="shared"/>
        <v>5.0644948439970902E-3</v>
      </c>
      <c r="K53" s="16">
        <v>4</v>
      </c>
      <c r="L53" s="10">
        <f si="10" t="shared"/>
        <v>4.1272761560907914E-3</v>
      </c>
      <c r="M53" s="10">
        <f si="10" t="shared"/>
        <v>4.0460910026127417E-4</v>
      </c>
      <c r="N53" s="10">
        <f si="10" t="shared"/>
        <v>3.8008133138779827E-3</v>
      </c>
      <c r="O53" s="10">
        <f si="10" t="shared"/>
        <v>1.1666877215406222E-3</v>
      </c>
      <c r="P53" s="10">
        <f si="10" t="shared"/>
        <v>1.6697641172265904E-3</v>
      </c>
      <c r="Q53" s="10">
        <f si="10" t="shared"/>
        <v>4.7205910752219036E-4</v>
      </c>
      <c r="R53" s="10">
        <f si="10" t="shared"/>
        <v>7.7804865397582861E-4</v>
      </c>
      <c r="S53" s="10">
        <f si="10" t="shared"/>
        <v>2.3542742361227355E-3</v>
      </c>
      <c r="U53" s="16">
        <v>4</v>
      </c>
      <c r="V53" s="10">
        <f si="11" t="shared"/>
        <v>-5.5888970634390776E-4</v>
      </c>
      <c r="W53" s="10">
        <f si="11" t="shared"/>
        <v>8.1377279870174931E-5</v>
      </c>
      <c r="X53" s="10">
        <f si="11" t="shared"/>
        <v>-6.6754491195728655E-3</v>
      </c>
      <c r="Y53" s="10">
        <f si="11" t="shared"/>
        <v>-3.151934107483545E-3</v>
      </c>
      <c r="Z53" s="10">
        <f si="11" t="shared"/>
        <v>-1.2791038998337249E-2</v>
      </c>
      <c r="AA53" s="10">
        <f si="11" t="shared"/>
        <v>-3.7215403853556829E-3</v>
      </c>
      <c r="AB53" s="10">
        <f si="11" t="shared"/>
        <v>-3.2506397266202113E-4</v>
      </c>
      <c r="AC53" s="10">
        <f si="11" t="shared"/>
        <v>-2.7102206078743547E-3</v>
      </c>
    </row>
    <row r="54" spans="1:29" x14ac:dyDescent="0.2">
      <c r="A54" s="16">
        <v>5</v>
      </c>
      <c r="B54" s="10">
        <f si="9" t="shared"/>
        <v>8.9313495366241647E-4</v>
      </c>
      <c r="C54" s="10">
        <f si="9" t="shared"/>
        <v>7.5663762121346283E-4</v>
      </c>
      <c r="D54" s="10">
        <f si="9" t="shared"/>
        <v>1.3553760233360431E-2</v>
      </c>
      <c r="E54" s="10">
        <f si="9" t="shared"/>
        <v>2.0842347886390563E-3</v>
      </c>
      <c r="F54" s="10">
        <f si="9" t="shared"/>
        <v>4.70116191161729E-3</v>
      </c>
      <c r="G54" s="10">
        <f si="9" t="shared"/>
        <v>3.74607824736018E-3</v>
      </c>
      <c r="H54" s="10">
        <f si="9" t="shared"/>
        <v>2.2716722296877061E-3</v>
      </c>
      <c r="I54" s="10">
        <f si="9" t="shared"/>
        <v>2.9783095638936385E-3</v>
      </c>
      <c r="K54" s="16">
        <v>5</v>
      </c>
      <c r="L54" s="10">
        <f si="10" t="shared"/>
        <v>7.7737325576875734E-4</v>
      </c>
      <c r="M54" s="10">
        <f si="10" t="shared"/>
        <v>9.9000099000099006E-5</v>
      </c>
      <c r="N54" s="10">
        <f si="10" t="shared"/>
        <v>7.0199718198274094E-4</v>
      </c>
      <c r="O54" s="10">
        <f si="10" t="shared"/>
        <v>1.0403584778069244E-4</v>
      </c>
      <c r="P54" s="10">
        <f si="10" t="shared"/>
        <v>1.2580414581844174E-4</v>
      </c>
      <c r="Q54" s="10">
        <f si="10" t="shared"/>
        <v>7.1524107200331879E-5</v>
      </c>
      <c r="R54" s="10">
        <f si="10" t="shared"/>
        <v>9.5094835485934608E-5</v>
      </c>
      <c r="S54" s="10">
        <f si="10" t="shared"/>
        <v>4.0431093313418229E-4</v>
      </c>
      <c r="U54" s="16">
        <v>5</v>
      </c>
      <c r="V54" s="10">
        <f si="11" t="shared"/>
        <v>-1.1576169789365913E-4</v>
      </c>
      <c r="W54" s="10">
        <f si="11" t="shared"/>
        <v>-6.5763752221336378E-4</v>
      </c>
      <c r="X54" s="10">
        <f si="11" t="shared"/>
        <v>-1.2851763051377691E-2</v>
      </c>
      <c r="Y54" s="10">
        <f si="11" t="shared"/>
        <v>-1.9801989408583637E-3</v>
      </c>
      <c r="Z54" s="10">
        <f si="11" t="shared"/>
        <v>-4.5753577657988483E-3</v>
      </c>
      <c r="AA54" s="10">
        <f si="11" t="shared"/>
        <v>-3.6745541401598482E-3</v>
      </c>
      <c r="AB54" s="10">
        <f si="11" t="shared"/>
        <v>-2.1765773942017713E-3</v>
      </c>
      <c r="AC54" s="10">
        <f si="11" t="shared"/>
        <v>-2.573998630759456E-3</v>
      </c>
    </row>
    <row r="55" spans="1:29" x14ac:dyDescent="0.2">
      <c r="A55" s="265" t="s">
        <v>154</v>
      </c>
      <c r="B55" s="11">
        <f si="9" t="shared"/>
        <v>3.4765411716544924E-3</v>
      </c>
      <c r="C55" s="11">
        <f si="9" t="shared"/>
        <v>0</v>
      </c>
      <c r="D55" s="11">
        <f si="9" t="shared"/>
        <v>6.9789572904513089E-3</v>
      </c>
      <c r="E55" s="11">
        <f si="9" t="shared"/>
        <v>1.150485850374846E-3</v>
      </c>
      <c r="F55" s="11">
        <f si="9" t="shared"/>
        <v>2.0432984458399286E-3</v>
      </c>
      <c r="G55" s="11">
        <f si="9" t="shared"/>
        <v>3.4755532528095976E-3</v>
      </c>
      <c r="H55" s="11">
        <f si="9" t="shared"/>
        <v>2.9868044338673696E-3</v>
      </c>
      <c r="I55" s="11">
        <f si="9" t="shared"/>
        <v>2.9170977033741016E-3</v>
      </c>
      <c r="K55" s="265" t="s">
        <v>154</v>
      </c>
      <c r="L55" s="11">
        <f si="10" t="shared"/>
        <v>4.31874030982643E-4</v>
      </c>
      <c r="M55" s="11">
        <f si="10" t="shared"/>
        <v>2.1521760652195435E-5</v>
      </c>
      <c r="N55" s="11">
        <f si="10" t="shared"/>
        <v>3.8108418450491651E-4</v>
      </c>
      <c r="O55" s="11">
        <f si="10" t="shared"/>
        <v>7.4311319843351742E-6</v>
      </c>
      <c r="P55" s="11">
        <f si="10" t="shared"/>
        <v>6.8620443173695499E-5</v>
      </c>
      <c r="Q55" s="11">
        <f si="10" t="shared"/>
        <v>2.8609642880132748E-5</v>
      </c>
      <c r="R55" s="11">
        <f si="10" t="shared"/>
        <v>4.7547417742967304E-5</v>
      </c>
      <c r="S55" s="11">
        <f si="10" t="shared"/>
        <v>2.1116876762422259E-4</v>
      </c>
      <c r="U55" s="265" t="s">
        <v>154</v>
      </c>
      <c r="V55" s="10">
        <f si="11" t="shared"/>
        <v>-3.0446671406718492E-3</v>
      </c>
      <c r="W55" s="10">
        <f si="11" t="shared"/>
        <v>2.1521760652195435E-5</v>
      </c>
      <c r="X55" s="10">
        <f si="11" t="shared"/>
        <v>-6.597873105946392E-3</v>
      </c>
      <c r="Y55" s="10">
        <f si="11" t="shared"/>
        <v>-1.1430547183905108E-3</v>
      </c>
      <c r="Z55" s="10">
        <f si="11" t="shared"/>
        <v>-1.9746780026662332E-3</v>
      </c>
      <c r="AA55" s="10">
        <f si="11" t="shared"/>
        <v>-3.4469436099294651E-3</v>
      </c>
      <c r="AB55" s="10">
        <f si="11" t="shared"/>
        <v>-2.9392570161244024E-3</v>
      </c>
      <c r="AC55" s="10">
        <f si="11" t="shared"/>
        <v>-2.7059289357498789E-3</v>
      </c>
    </row>
    <row customHeight="1" ht="13.15" r="56" spans="1:29" thickBot="1" x14ac:dyDescent="0.25">
      <c r="A56" s="17" t="s">
        <v>4</v>
      </c>
      <c r="B56" s="15">
        <f si="9" t="shared"/>
        <v>0.99999999999999989</v>
      </c>
      <c r="C56" s="15">
        <f si="9" t="shared"/>
        <v>1.0000000000000002</v>
      </c>
      <c r="D56" s="15">
        <f si="9" t="shared"/>
        <v>1.0000000000000002</v>
      </c>
      <c r="E56" s="15">
        <f si="9" t="shared"/>
        <v>1</v>
      </c>
      <c r="F56" s="15">
        <f si="9" t="shared"/>
        <v>1</v>
      </c>
      <c r="G56" s="15">
        <f si="9" t="shared"/>
        <v>1.0000000000000002</v>
      </c>
      <c r="H56" s="15">
        <f si="9" t="shared"/>
        <v>1</v>
      </c>
      <c r="I56" s="15">
        <f si="9" t="shared"/>
        <v>1.0000000000000002</v>
      </c>
      <c r="K56" s="17" t="s">
        <v>4</v>
      </c>
      <c r="L56" s="15">
        <f si="10" t="shared"/>
        <v>1</v>
      </c>
      <c r="M56" s="15">
        <f si="10" t="shared"/>
        <v>1</v>
      </c>
      <c r="N56" s="15">
        <f si="10" t="shared"/>
        <v>1</v>
      </c>
      <c r="O56" s="15">
        <f si="10" t="shared"/>
        <v>1</v>
      </c>
      <c r="P56" s="15">
        <f si="10" t="shared"/>
        <v>1</v>
      </c>
      <c r="Q56" s="15">
        <f si="10" t="shared"/>
        <v>1</v>
      </c>
      <c r="R56" s="15">
        <f si="10" t="shared"/>
        <v>1</v>
      </c>
      <c r="S56" s="15">
        <f si="10" t="shared"/>
        <v>1</v>
      </c>
      <c r="U56" s="17" t="s">
        <v>4</v>
      </c>
      <c r="V56" s="12">
        <f si="11" t="shared"/>
        <v>0</v>
      </c>
      <c r="W56" s="12">
        <f si="11" t="shared"/>
        <v>0</v>
      </c>
      <c r="X56" s="12">
        <f si="11" t="shared"/>
        <v>0</v>
      </c>
      <c r="Y56" s="12">
        <f si="11" t="shared"/>
        <v>0</v>
      </c>
      <c r="Z56" s="12">
        <f si="11" t="shared"/>
        <v>0</v>
      </c>
      <c r="AA56" s="12">
        <f si="11" t="shared"/>
        <v>0</v>
      </c>
      <c r="AB56" s="12">
        <f si="11" t="shared"/>
        <v>0</v>
      </c>
      <c r="AC56" s="12">
        <f si="11" t="shared"/>
        <v>0</v>
      </c>
    </row>
    <row customHeight="1" ht="13.15" r="61" spans="1:29" x14ac:dyDescent="0.2">
      <c r="A61" s="264" t="s">
        <v>41</v>
      </c>
      <c r="K61" s="264" t="s">
        <v>41</v>
      </c>
      <c r="U61" s="264" t="s">
        <v>41</v>
      </c>
    </row>
    <row customHeight="1" ht="13.15" r="62" spans="1:29" x14ac:dyDescent="0.2">
      <c r="A62" s="264" t="s">
        <v>164</v>
      </c>
      <c r="K62" s="264" t="s">
        <v>165</v>
      </c>
      <c r="U62" s="264" t="s">
        <v>166</v>
      </c>
    </row>
    <row customHeight="1" ht="13.15" r="63" spans="1:29" thickBot="1" x14ac:dyDescent="0.25"/>
    <row customHeight="1" ht="13.15" r="64" spans="1:29" x14ac:dyDescent="0.2">
      <c r="A64" s="3" t="s">
        <v>153</v>
      </c>
      <c r="B64" s="4" t="s">
        <v>143</v>
      </c>
      <c r="C64" s="4" t="s">
        <v>144</v>
      </c>
      <c r="D64" s="4" t="s">
        <v>145</v>
      </c>
      <c r="E64" s="4" t="s">
        <v>146</v>
      </c>
      <c r="F64" s="4" t="s">
        <v>147</v>
      </c>
      <c r="G64" s="4" t="s">
        <v>148</v>
      </c>
      <c r="H64" s="4" t="s">
        <v>149</v>
      </c>
      <c r="I64" s="4" t="s">
        <v>4</v>
      </c>
      <c r="K64" s="3" t="s">
        <v>153</v>
      </c>
      <c r="L64" s="4" t="s">
        <v>143</v>
      </c>
      <c r="M64" s="4" t="s">
        <v>144</v>
      </c>
      <c r="N64" s="4" t="s">
        <v>145</v>
      </c>
      <c r="O64" s="4" t="s">
        <v>146</v>
      </c>
      <c r="P64" s="4" t="s">
        <v>147</v>
      </c>
      <c r="Q64" s="4" t="s">
        <v>148</v>
      </c>
      <c r="R64" s="4" t="s">
        <v>149</v>
      </c>
      <c r="S64" s="4" t="s">
        <v>4</v>
      </c>
      <c r="U64" s="3" t="s">
        <v>153</v>
      </c>
      <c r="V64" s="4" t="s">
        <v>143</v>
      </c>
      <c r="W64" s="4" t="s">
        <v>144</v>
      </c>
      <c r="X64" s="4" t="s">
        <v>145</v>
      </c>
      <c r="Y64" s="4" t="s">
        <v>146</v>
      </c>
      <c r="Z64" s="4" t="s">
        <v>147</v>
      </c>
      <c r="AA64" s="4" t="s">
        <v>148</v>
      </c>
      <c r="AB64" s="4" t="s">
        <v>149</v>
      </c>
      <c r="AC64" s="4" t="s">
        <v>4</v>
      </c>
    </row>
    <row r="65" spans="1:29" x14ac:dyDescent="0.2">
      <c r="A65" s="16">
        <v>0</v>
      </c>
      <c r="B65" s="5">
        <f>output_NHTS!B168</f>
        <v>531323.30972776178</v>
      </c>
      <c r="C65" s="5">
        <f>output_NHTS!C168</f>
        <v>202376.85450172733</v>
      </c>
      <c r="D65" s="5">
        <f>output_NHTS!D168</f>
        <v>151320.71635663026</v>
      </c>
      <c r="E65" s="5">
        <f>output_NHTS!E168</f>
        <v>211393.66342735421</v>
      </c>
      <c r="F65" s="5">
        <f>output_NHTS!F168</f>
        <v>153259.85527837113</v>
      </c>
      <c r="G65" s="5">
        <f>output_NHTS!G168</f>
        <v>128960.43921877455</v>
      </c>
      <c r="H65" s="5">
        <f>output_NHTS!H168</f>
        <v>205776.44988657051</v>
      </c>
      <c r="I65" s="5">
        <f>output_NHTS!I168</f>
        <v>1584411.2883971899</v>
      </c>
      <c r="K65" s="16">
        <v>0</v>
      </c>
      <c r="L65" s="5">
        <f>output!B168</f>
        <v>415123</v>
      </c>
      <c r="M65" s="5">
        <f>output!C168</f>
        <v>178149</v>
      </c>
      <c r="N65" s="5">
        <f>output!D168</f>
        <v>129142</v>
      </c>
      <c r="O65" s="5">
        <f>output!E168</f>
        <v>203657</v>
      </c>
      <c r="P65" s="5">
        <f>output!F168</f>
        <v>129778</v>
      </c>
      <c r="Q65" s="5">
        <f>output!G168</f>
        <v>121108</v>
      </c>
      <c r="R65" s="5">
        <f>output!H168</f>
        <v>192636</v>
      </c>
      <c r="S65" s="5">
        <f>output!I168</f>
        <v>1369593</v>
      </c>
      <c r="U65" s="16">
        <v>0</v>
      </c>
      <c r="V65" s="5">
        <f ref="V65:AC72" si="12" t="shared">L65-B65</f>
        <v>-116200.30972776178</v>
      </c>
      <c r="W65" s="5">
        <f si="12" t="shared"/>
        <v>-24227.854501727328</v>
      </c>
      <c r="X65" s="5">
        <f si="12" t="shared"/>
        <v>-22178.716356630262</v>
      </c>
      <c r="Y65" s="5">
        <f si="12" t="shared"/>
        <v>-7736.6634273542149</v>
      </c>
      <c r="Z65" s="5">
        <f si="12" t="shared"/>
        <v>-23481.855278371135</v>
      </c>
      <c r="AA65" s="5">
        <f si="12" t="shared"/>
        <v>-7852.4392187745543</v>
      </c>
      <c r="AB65" s="5">
        <f si="12" t="shared"/>
        <v>-13140.44988657051</v>
      </c>
      <c r="AC65" s="5">
        <f si="12" t="shared"/>
        <v>-214818.28839718993</v>
      </c>
    </row>
    <row r="66" spans="1:29" x14ac:dyDescent="0.2">
      <c r="A66" s="16">
        <v>1</v>
      </c>
      <c r="B66" s="5">
        <f>output_NHTS!B169</f>
        <v>184123.60133644112</v>
      </c>
      <c r="C66" s="5">
        <f>output_NHTS!C169</f>
        <v>47384.222393426135</v>
      </c>
      <c r="D66" s="5">
        <f>output_NHTS!D169</f>
        <v>39002.793496273473</v>
      </c>
      <c r="E66" s="5">
        <f>output_NHTS!E169</f>
        <v>51206.256405351371</v>
      </c>
      <c r="F66" s="5">
        <f>output_NHTS!F169</f>
        <v>21536.707818833529</v>
      </c>
      <c r="G66" s="5">
        <f>output_NHTS!G169</f>
        <v>19451.785683845275</v>
      </c>
      <c r="H66" s="5">
        <f>output_NHTS!H169</f>
        <v>34533.826461565804</v>
      </c>
      <c r="I66" s="5">
        <f>output_NHTS!I169</f>
        <v>397239.19359573675</v>
      </c>
      <c r="K66" s="16">
        <v>1</v>
      </c>
      <c r="L66" s="5">
        <f>output!B169</f>
        <v>192994</v>
      </c>
      <c r="M66" s="5">
        <f>output!C169</f>
        <v>40827</v>
      </c>
      <c r="N66" s="5">
        <f>output!D169</f>
        <v>53727</v>
      </c>
      <c r="O66" s="5">
        <f>output!E169</f>
        <v>53323</v>
      </c>
      <c r="P66" s="5">
        <f>output!F169</f>
        <v>36718</v>
      </c>
      <c r="Q66" s="5">
        <f>output!G169</f>
        <v>16321</v>
      </c>
      <c r="R66" s="5">
        <f>output!H169</f>
        <v>33017</v>
      </c>
      <c r="S66" s="5">
        <f>output!I169</f>
        <v>426927</v>
      </c>
      <c r="U66" s="16">
        <v>1</v>
      </c>
      <c r="V66" s="5">
        <f si="12" t="shared"/>
        <v>8870.3986635588808</v>
      </c>
      <c r="W66" s="5">
        <f si="12" t="shared"/>
        <v>-6557.2223934261347</v>
      </c>
      <c r="X66" s="5">
        <f si="12" t="shared"/>
        <v>14724.206503726527</v>
      </c>
      <c r="Y66" s="5">
        <f si="12" t="shared"/>
        <v>2116.7435946486294</v>
      </c>
      <c r="Z66" s="5">
        <f si="12" t="shared"/>
        <v>15181.292181166471</v>
      </c>
      <c r="AA66" s="5">
        <f si="12" t="shared"/>
        <v>-3130.7856838452753</v>
      </c>
      <c r="AB66" s="5">
        <f si="12" t="shared"/>
        <v>-1516.8264615658045</v>
      </c>
      <c r="AC66" s="5">
        <f si="12" t="shared"/>
        <v>29687.806404263247</v>
      </c>
    </row>
    <row r="67" spans="1:29" x14ac:dyDescent="0.2">
      <c r="A67" s="16">
        <v>2</v>
      </c>
      <c r="B67" s="5">
        <f>output_NHTS!B170</f>
        <v>68282.272806973764</v>
      </c>
      <c r="C67" s="5">
        <f>output_NHTS!C170</f>
        <v>13854.204748168513</v>
      </c>
      <c r="D67" s="5">
        <f>output_NHTS!D170</f>
        <v>17242.505236774155</v>
      </c>
      <c r="E67" s="5">
        <f>output_NHTS!E170</f>
        <v>14829.949121376232</v>
      </c>
      <c r="F67" s="5">
        <f>output_NHTS!F170</f>
        <v>10516.402437414084</v>
      </c>
      <c r="G67" s="5">
        <f>output_NHTS!G170</f>
        <v>5004.9547991948666</v>
      </c>
      <c r="H67" s="5">
        <f>output_NHTS!H170</f>
        <v>13704.093275804236</v>
      </c>
      <c r="I67" s="5">
        <f>output_NHTS!I170</f>
        <v>143434.38242570587</v>
      </c>
      <c r="K67" s="16">
        <v>2</v>
      </c>
      <c r="L67" s="5">
        <f>output!B170</f>
        <v>62735</v>
      </c>
      <c r="M67" s="5">
        <f>output!C170</f>
        <v>10854</v>
      </c>
      <c r="N67" s="5">
        <f>output!D170</f>
        <v>12989</v>
      </c>
      <c r="O67" s="5">
        <f>output!E170</f>
        <v>10314</v>
      </c>
      <c r="P67" s="5">
        <f>output!F170</f>
        <v>7094</v>
      </c>
      <c r="Q67" s="5">
        <f>output!G170</f>
        <v>2079</v>
      </c>
      <c r="R67" s="5">
        <f>output!H170</f>
        <v>4832</v>
      </c>
      <c r="S67" s="5">
        <f>output!I170</f>
        <v>110897</v>
      </c>
      <c r="U67" s="16">
        <v>2</v>
      </c>
      <c r="V67" s="5">
        <f si="12" t="shared"/>
        <v>-5547.2728069737641</v>
      </c>
      <c r="W67" s="5">
        <f si="12" t="shared"/>
        <v>-3000.2047481685131</v>
      </c>
      <c r="X67" s="5">
        <f si="12" t="shared"/>
        <v>-4253.5052367741555</v>
      </c>
      <c r="Y67" s="5">
        <f si="12" t="shared"/>
        <v>-4515.9491213762321</v>
      </c>
      <c r="Z67" s="5">
        <f si="12" t="shared"/>
        <v>-3422.4024374140845</v>
      </c>
      <c r="AA67" s="5">
        <f si="12" t="shared"/>
        <v>-2925.9547991948666</v>
      </c>
      <c r="AB67" s="5">
        <f si="12" t="shared"/>
        <v>-8872.0932758042363</v>
      </c>
      <c r="AC67" s="5">
        <f si="12" t="shared"/>
        <v>-32537.382425705873</v>
      </c>
    </row>
    <row r="68" spans="1:29" x14ac:dyDescent="0.2">
      <c r="A68" s="16">
        <v>3</v>
      </c>
      <c r="B68" s="5">
        <f>output_NHTS!B171</f>
        <v>26418.936962182248</v>
      </c>
      <c r="C68" s="5">
        <f>output_NHTS!C171</f>
        <v>4471.565090895022</v>
      </c>
      <c r="D68" s="5">
        <f>output_NHTS!D171</f>
        <v>6468.8204437748373</v>
      </c>
      <c r="E68" s="5">
        <f>output_NHTS!E171</f>
        <v>4280.6064218978936</v>
      </c>
      <c r="F68" s="5">
        <f>output_NHTS!F171</f>
        <v>2902.8744665135891</v>
      </c>
      <c r="G68" s="5">
        <f>output_NHTS!G171</f>
        <v>1292.6938720217267</v>
      </c>
      <c r="H68" s="5">
        <f>output_NHTS!H171</f>
        <v>1300.9319655470492</v>
      </c>
      <c r="I68" s="5">
        <f>output_NHTS!I171</f>
        <v>47136.429222832368</v>
      </c>
      <c r="K68" s="16">
        <v>3</v>
      </c>
      <c r="L68" s="5">
        <f>output!B171</f>
        <v>17022</v>
      </c>
      <c r="M68" s="5">
        <f>output!C171</f>
        <v>2039</v>
      </c>
      <c r="N68" s="5">
        <f>output!D171</f>
        <v>2787</v>
      </c>
      <c r="O68" s="5">
        <f>output!E171</f>
        <v>1575</v>
      </c>
      <c r="P68" s="5">
        <f>output!F171</f>
        <v>1099</v>
      </c>
      <c r="Q68" s="5">
        <f>output!G171</f>
        <v>252</v>
      </c>
      <c r="R68" s="5">
        <f>output!H171</f>
        <v>714</v>
      </c>
      <c r="S68" s="5">
        <f>output!I171</f>
        <v>25488</v>
      </c>
      <c r="U68" s="16">
        <v>3</v>
      </c>
      <c r="V68" s="5">
        <f si="12" t="shared"/>
        <v>-9396.936962182248</v>
      </c>
      <c r="W68" s="5">
        <f si="12" t="shared"/>
        <v>-2432.565090895022</v>
      </c>
      <c r="X68" s="5">
        <f si="12" t="shared"/>
        <v>-3681.8204437748373</v>
      </c>
      <c r="Y68" s="5">
        <f si="12" t="shared"/>
        <v>-2705.6064218978936</v>
      </c>
      <c r="Z68" s="5">
        <f si="12" t="shared"/>
        <v>-1803.8744665135891</v>
      </c>
      <c r="AA68" s="5">
        <f si="12" t="shared"/>
        <v>-1040.6938720217267</v>
      </c>
      <c r="AB68" s="5">
        <f si="12" t="shared"/>
        <v>-586.93196554704923</v>
      </c>
      <c r="AC68" s="5">
        <f si="12" t="shared"/>
        <v>-21648.429222832368</v>
      </c>
    </row>
    <row r="69" spans="1:29" x14ac:dyDescent="0.2">
      <c r="A69" s="16">
        <v>4</v>
      </c>
      <c r="B69" s="5">
        <f>output_NHTS!B172</f>
        <v>7169.3475991055138</v>
      </c>
      <c r="C69" s="5">
        <f>output_NHTS!C172</f>
        <v>1767.594733538444</v>
      </c>
      <c r="D69" s="5">
        <f>output_NHTS!D172</f>
        <v>3110.700404203842</v>
      </c>
      <c r="E69" s="5">
        <f>output_NHTS!E172</f>
        <v>1960.0611860374797</v>
      </c>
      <c r="F69" s="5">
        <f>output_NHTS!F172</f>
        <v>504.23058129452068</v>
      </c>
      <c r="G69" s="5">
        <f>output_NHTS!G172</f>
        <v>741.19163251216526</v>
      </c>
      <c r="H69" s="5">
        <f>output_NHTS!H172</f>
        <v>328.37292817668532</v>
      </c>
      <c r="I69" s="5">
        <f>output_NHTS!I172</f>
        <v>15581.499064868651</v>
      </c>
      <c r="K69" s="16">
        <v>4</v>
      </c>
      <c r="L69" s="5">
        <f>output!B172</f>
        <v>5096</v>
      </c>
      <c r="M69" s="5">
        <f>output!C172</f>
        <v>373</v>
      </c>
      <c r="N69" s="5">
        <f>output!D172</f>
        <v>614</v>
      </c>
      <c r="O69" s="5">
        <f>output!E172</f>
        <v>240</v>
      </c>
      <c r="P69" s="5">
        <f>output!F172</f>
        <v>174</v>
      </c>
      <c r="Q69" s="5">
        <f>output!G172</f>
        <v>47</v>
      </c>
      <c r="R69" s="5">
        <f>output!H172</f>
        <v>128</v>
      </c>
      <c r="S69" s="5">
        <f>output!I172</f>
        <v>6672</v>
      </c>
      <c r="U69" s="16">
        <v>4</v>
      </c>
      <c r="V69" s="5">
        <f si="12" t="shared"/>
        <v>-2073.3475991055138</v>
      </c>
      <c r="W69" s="5">
        <f si="12" t="shared"/>
        <v>-1394.594733538444</v>
      </c>
      <c r="X69" s="5">
        <f si="12" t="shared"/>
        <v>-2496.700404203842</v>
      </c>
      <c r="Y69" s="5">
        <f si="12" t="shared"/>
        <v>-1720.0611860374797</v>
      </c>
      <c r="Z69" s="5">
        <f si="12" t="shared"/>
        <v>-330.23058129452068</v>
      </c>
      <c r="AA69" s="5">
        <f si="12" t="shared"/>
        <v>-694.19163251216526</v>
      </c>
      <c r="AB69" s="5">
        <f si="12" t="shared"/>
        <v>-200.37292817668532</v>
      </c>
      <c r="AC69" s="5">
        <f si="12" t="shared"/>
        <v>-8909.4990648686507</v>
      </c>
    </row>
    <row r="70" spans="1:29" x14ac:dyDescent="0.2">
      <c r="A70" s="16">
        <v>5</v>
      </c>
      <c r="B70" s="5">
        <f>output_NHTS!B173</f>
        <v>6895.1546713660573</v>
      </c>
      <c r="C70" s="5">
        <f>output_NHTS!C173</f>
        <v>802.21699918260572</v>
      </c>
      <c r="D70" s="5">
        <f>output_NHTS!D173</f>
        <v>1840.8229503560131</v>
      </c>
      <c r="E70" s="5">
        <f>output_NHTS!E173</f>
        <v>738.99077573682155</v>
      </c>
      <c r="F70" s="5">
        <f>output_NHTS!F173</f>
        <v>507.80797892552096</v>
      </c>
      <c r="G70" s="5">
        <f>output_NHTS!G173</f>
        <v>1890.1624696708845</v>
      </c>
      <c r="H70" s="5">
        <f>output_NHTS!H173</f>
        <v>498.63417039421148</v>
      </c>
      <c r="I70" s="5">
        <f>output_NHTS!I173</f>
        <v>13173.790015632114</v>
      </c>
      <c r="K70" s="16">
        <v>5</v>
      </c>
      <c r="L70" s="5">
        <f>output!B173</f>
        <v>885</v>
      </c>
      <c r="M70" s="5">
        <f>output!C173</f>
        <v>53</v>
      </c>
      <c r="N70" s="5">
        <f>output!D173</f>
        <v>110</v>
      </c>
      <c r="O70" s="5">
        <f>output!E173</f>
        <v>20</v>
      </c>
      <c r="P70" s="5">
        <f>output!F173</f>
        <v>9</v>
      </c>
      <c r="Q70" s="5">
        <f>output!G173</f>
        <v>3</v>
      </c>
      <c r="R70" s="5">
        <f>output!H173</f>
        <v>17</v>
      </c>
      <c r="S70" s="5">
        <f>output!I173</f>
        <v>1097</v>
      </c>
      <c r="U70" s="16">
        <v>5</v>
      </c>
      <c r="V70" s="5">
        <f si="12" t="shared"/>
        <v>-6010.1546713660573</v>
      </c>
      <c r="W70" s="5">
        <f si="12" t="shared"/>
        <v>-749.21699918260572</v>
      </c>
      <c r="X70" s="5">
        <f si="12" t="shared"/>
        <v>-1730.8229503560131</v>
      </c>
      <c r="Y70" s="5">
        <f si="12" t="shared"/>
        <v>-718.99077573682155</v>
      </c>
      <c r="Z70" s="5">
        <f si="12" t="shared"/>
        <v>-498.80797892552096</v>
      </c>
      <c r="AA70" s="5">
        <f si="12" t="shared"/>
        <v>-1887.1624696708845</v>
      </c>
      <c r="AB70" s="5">
        <f si="12" t="shared"/>
        <v>-481.63417039421148</v>
      </c>
      <c r="AC70" s="5">
        <f si="12" t="shared"/>
        <v>-12076.790015632114</v>
      </c>
    </row>
    <row r="71" spans="1:29" x14ac:dyDescent="0.2">
      <c r="A71" s="265" t="s">
        <v>154</v>
      </c>
      <c r="B71" s="7">
        <f>output_NHTS!B174</f>
        <v>5534.6668300742413</v>
      </c>
      <c r="C71" s="7">
        <f>output_NHTS!C174</f>
        <v>728.17149718218297</v>
      </c>
      <c r="D71" s="7">
        <f>output_NHTS!D174</f>
        <v>690.70571036725187</v>
      </c>
      <c r="E71" s="7">
        <f>output_NHTS!E174</f>
        <v>1561.7660929971239</v>
      </c>
      <c r="F71" s="7">
        <f>output_NHTS!F174</f>
        <v>50.266758930562702</v>
      </c>
      <c r="G71" s="7">
        <f>output_NHTS!G174</f>
        <v>0</v>
      </c>
      <c r="H71" s="7">
        <f>output_NHTS!H174</f>
        <v>436.49231856047271</v>
      </c>
      <c r="I71" s="7">
        <f>output_NHTS!I174</f>
        <v>9002.0692081118359</v>
      </c>
      <c r="K71" s="265" t="s">
        <v>154</v>
      </c>
      <c r="L71" s="7">
        <f>output!B174</f>
        <v>792</v>
      </c>
      <c r="M71" s="7">
        <f>output!C174</f>
        <v>28</v>
      </c>
      <c r="N71" s="7">
        <f>output!D174</f>
        <v>62</v>
      </c>
      <c r="O71" s="7">
        <f>output!E174</f>
        <v>9</v>
      </c>
      <c r="P71" s="7">
        <f>output!F174</f>
        <v>3</v>
      </c>
      <c r="Q71" s="7">
        <f>output!G174</f>
        <v>3</v>
      </c>
      <c r="R71" s="7">
        <f>output!H174</f>
        <v>4</v>
      </c>
      <c r="S71" s="7">
        <f>output!I174</f>
        <v>901</v>
      </c>
      <c r="U71" s="265" t="s">
        <v>154</v>
      </c>
      <c r="V71" s="7">
        <f si="12" t="shared"/>
        <v>-4742.6668300742413</v>
      </c>
      <c r="W71" s="7">
        <f si="12" t="shared"/>
        <v>-700.17149718218297</v>
      </c>
      <c r="X71" s="7">
        <f si="12" t="shared"/>
        <v>-628.70571036725187</v>
      </c>
      <c r="Y71" s="7">
        <f si="12" t="shared"/>
        <v>-1552.7660929971239</v>
      </c>
      <c r="Z71" s="7">
        <f si="12" t="shared"/>
        <v>-47.266758930562702</v>
      </c>
      <c r="AA71" s="7">
        <f si="12" t="shared"/>
        <v>3</v>
      </c>
      <c r="AB71" s="7">
        <f si="12" t="shared"/>
        <v>-432.49231856047271</v>
      </c>
      <c r="AC71" s="7">
        <f si="12" t="shared"/>
        <v>-8101.0692081118359</v>
      </c>
    </row>
    <row customHeight="1" ht="13.15" r="72" spans="1:29" thickBot="1" x14ac:dyDescent="0.25">
      <c r="A72" s="17" t="s">
        <v>4</v>
      </c>
      <c r="B72" s="18">
        <f ref="B72:I72" si="13" t="shared">SUM(B65:B71)</f>
        <v>829747.28993390489</v>
      </c>
      <c r="C72" s="18">
        <f si="13" t="shared"/>
        <v>271384.82996412023</v>
      </c>
      <c r="D72" s="18">
        <f si="13" t="shared"/>
        <v>219677.0645983798</v>
      </c>
      <c r="E72" s="18">
        <f si="13" t="shared"/>
        <v>285971.29343075107</v>
      </c>
      <c r="F72" s="18">
        <f si="13" t="shared"/>
        <v>189278.14532028293</v>
      </c>
      <c r="G72" s="18">
        <f si="13" t="shared"/>
        <v>157341.22767601948</v>
      </c>
      <c r="H72" s="18">
        <f si="13" t="shared"/>
        <v>256578.801006619</v>
      </c>
      <c r="I72" s="18">
        <f si="13" t="shared"/>
        <v>2209978.6519300775</v>
      </c>
      <c r="K72" s="17" t="s">
        <v>4</v>
      </c>
      <c r="L72" s="18">
        <f ref="L72:S72" si="14" t="shared">SUM(L65:L71)</f>
        <v>694647</v>
      </c>
      <c r="M72" s="18">
        <f si="14" t="shared"/>
        <v>232323</v>
      </c>
      <c r="N72" s="18">
        <f si="14" t="shared"/>
        <v>199431</v>
      </c>
      <c r="O72" s="18">
        <f si="14" t="shared"/>
        <v>269138</v>
      </c>
      <c r="P72" s="18">
        <f si="14" t="shared"/>
        <v>174875</v>
      </c>
      <c r="Q72" s="18">
        <f si="14" t="shared"/>
        <v>139813</v>
      </c>
      <c r="R72" s="18">
        <f si="14" t="shared"/>
        <v>231348</v>
      </c>
      <c r="S72" s="18">
        <f si="14" t="shared"/>
        <v>1941575</v>
      </c>
      <c r="U72" s="17" t="s">
        <v>4</v>
      </c>
      <c r="V72" s="18">
        <f si="12" t="shared"/>
        <v>-135100.28993390489</v>
      </c>
      <c r="W72" s="18">
        <f si="12" t="shared"/>
        <v>-39061.829964120232</v>
      </c>
      <c r="X72" s="18">
        <f si="12" t="shared"/>
        <v>-20246.064598379802</v>
      </c>
      <c r="Y72" s="18">
        <f si="12" t="shared"/>
        <v>-16833.293430751073</v>
      </c>
      <c r="Z72" s="18">
        <f si="12" t="shared"/>
        <v>-14403.145320282929</v>
      </c>
      <c r="AA72" s="18">
        <f si="12" t="shared"/>
        <v>-17528.22767601948</v>
      </c>
      <c r="AB72" s="18">
        <f si="12" t="shared"/>
        <v>-25230.801006619004</v>
      </c>
      <c r="AC72" s="18">
        <f si="12" t="shared"/>
        <v>-268403.65193007747</v>
      </c>
    </row>
    <row r="74" spans="1:29" x14ac:dyDescent="0.2">
      <c r="B74" s="5">
        <f ref="B74:H74" si="15" t="shared">SUM(B66:B71)</f>
        <v>298423.98020614288</v>
      </c>
      <c r="C74" s="5">
        <f si="15" t="shared"/>
        <v>69007.975462392904</v>
      </c>
      <c r="D74" s="5">
        <f si="15" t="shared"/>
        <v>68356.348241749583</v>
      </c>
      <c r="E74" s="5">
        <f si="15" t="shared"/>
        <v>74577.630003396902</v>
      </c>
      <c r="F74" s="5">
        <f si="15" t="shared"/>
        <v>36018.290041911809</v>
      </c>
      <c r="G74" s="5">
        <f si="15" t="shared"/>
        <v>28380.788457244918</v>
      </c>
      <c r="H74" s="5">
        <f si="15" t="shared"/>
        <v>50802.351120048457</v>
      </c>
    </row>
    <row customHeight="1" ht="13.15" r="75" spans="1:29" x14ac:dyDescent="0.2">
      <c r="A75" s="264" t="s">
        <v>41</v>
      </c>
      <c r="K75" s="264" t="s">
        <v>41</v>
      </c>
      <c r="U75" s="264" t="s">
        <v>41</v>
      </c>
    </row>
    <row customHeight="1" ht="13.15" r="76" spans="1:29" x14ac:dyDescent="0.2">
      <c r="A76" s="264" t="s">
        <v>167</v>
      </c>
      <c r="K76" s="264" t="s">
        <v>168</v>
      </c>
      <c r="U76" s="264" t="s">
        <v>169</v>
      </c>
    </row>
    <row customHeight="1" ht="13.15" r="77" spans="1:29" thickBot="1" x14ac:dyDescent="0.25"/>
    <row customHeight="1" ht="13.15" r="78" spans="1:29" x14ac:dyDescent="0.2">
      <c r="A78" s="3" t="s">
        <v>153</v>
      </c>
      <c r="B78" s="4" t="s">
        <v>143</v>
      </c>
      <c r="C78" s="4" t="s">
        <v>144</v>
      </c>
      <c r="D78" s="4" t="s">
        <v>145</v>
      </c>
      <c r="E78" s="4" t="s">
        <v>146</v>
      </c>
      <c r="F78" s="4" t="s">
        <v>147</v>
      </c>
      <c r="G78" s="4" t="s">
        <v>148</v>
      </c>
      <c r="H78" s="4" t="s">
        <v>149</v>
      </c>
      <c r="I78" s="4" t="s">
        <v>4</v>
      </c>
      <c r="K78" s="3" t="s">
        <v>153</v>
      </c>
      <c r="L78" s="4" t="s">
        <v>143</v>
      </c>
      <c r="M78" s="4" t="s">
        <v>144</v>
      </c>
      <c r="N78" s="4" t="s">
        <v>145</v>
      </c>
      <c r="O78" s="4" t="s">
        <v>146</v>
      </c>
      <c r="P78" s="4" t="s">
        <v>147</v>
      </c>
      <c r="Q78" s="4" t="s">
        <v>148</v>
      </c>
      <c r="R78" s="4" t="s">
        <v>149</v>
      </c>
      <c r="S78" s="4" t="s">
        <v>4</v>
      </c>
      <c r="U78" s="3" t="s">
        <v>153</v>
      </c>
      <c r="V78" s="4" t="s">
        <v>143</v>
      </c>
      <c r="W78" s="4" t="s">
        <v>144</v>
      </c>
      <c r="X78" s="4" t="s">
        <v>145</v>
      </c>
      <c r="Y78" s="4" t="s">
        <v>146</v>
      </c>
      <c r="Z78" s="4" t="s">
        <v>147</v>
      </c>
      <c r="AA78" s="4" t="s">
        <v>148</v>
      </c>
      <c r="AB78" s="4" t="s">
        <v>149</v>
      </c>
      <c r="AC78" s="4" t="s">
        <v>4</v>
      </c>
    </row>
    <row r="79" spans="1:29" x14ac:dyDescent="0.2">
      <c r="A79" s="16">
        <v>0</v>
      </c>
      <c r="B79" s="10">
        <f ref="B79:I86" si="16" t="shared">B65/B$12</f>
        <v>0.64034353130588162</v>
      </c>
      <c r="C79" s="10">
        <f si="16" t="shared"/>
        <v>0.74571911233388988</v>
      </c>
      <c r="D79" s="10">
        <f si="16" t="shared"/>
        <v>0.68883256717436259</v>
      </c>
      <c r="E79" s="10">
        <f si="16" t="shared"/>
        <v>0.73921288004575125</v>
      </c>
      <c r="F79" s="10">
        <f si="16" t="shared"/>
        <v>0.80970708487784371</v>
      </c>
      <c r="G79" s="10">
        <f si="16" t="shared"/>
        <v>0.81962268328245391</v>
      </c>
      <c r="H79" s="10">
        <f si="16" t="shared"/>
        <v>0.80200098012486276</v>
      </c>
      <c r="I79" s="10">
        <f si="16" t="shared"/>
        <v>0.71693511021631362</v>
      </c>
      <c r="K79" s="16">
        <v>0</v>
      </c>
      <c r="L79" s="10">
        <f ref="L79:S86" si="17" t="shared">L65/L$72</f>
        <v>0.59760281121202563</v>
      </c>
      <c r="M79" s="10">
        <f si="17" t="shared"/>
        <v>0.76681602768559287</v>
      </c>
      <c r="N79" s="10">
        <f si="17" t="shared"/>
        <v>0.64755228625439376</v>
      </c>
      <c r="O79" s="10">
        <f si="17" t="shared"/>
        <v>0.75670102326687427</v>
      </c>
      <c r="P79" s="10">
        <f si="17" t="shared"/>
        <v>0.74211865618298789</v>
      </c>
      <c r="Q79" s="10">
        <f si="17" t="shared"/>
        <v>0.86621415748177921</v>
      </c>
      <c r="R79" s="10">
        <f si="17" t="shared"/>
        <v>0.83266766948493176</v>
      </c>
      <c r="S79" s="10">
        <f si="17" t="shared"/>
        <v>0.70540308769941928</v>
      </c>
      <c r="U79" s="16">
        <v>0</v>
      </c>
      <c r="V79" s="10">
        <f ref="V79:AC86" si="18" t="shared">L79-B79</f>
        <v>-4.2740720093855988E-2</v>
      </c>
      <c r="W79" s="10">
        <f si="18" t="shared"/>
        <v>2.1096915351702994E-2</v>
      </c>
      <c r="X79" s="10">
        <f si="18" t="shared"/>
        <v>-4.1280280919968826E-2</v>
      </c>
      <c r="Y79" s="10">
        <f si="18" t="shared"/>
        <v>1.748814322112302E-2</v>
      </c>
      <c r="Z79" s="10">
        <f si="18" t="shared"/>
        <v>-6.7588428694855818E-2</v>
      </c>
      <c r="AA79" s="10">
        <f si="18" t="shared"/>
        <v>4.65914741993253E-2</v>
      </c>
      <c r="AB79" s="10">
        <f si="18" t="shared"/>
        <v>3.0666689360068999E-2</v>
      </c>
      <c r="AC79" s="10">
        <f si="18" t="shared"/>
        <v>-1.1532022516894336E-2</v>
      </c>
    </row>
    <row r="80" spans="1:29" x14ac:dyDescent="0.2">
      <c r="A80" s="16">
        <v>1</v>
      </c>
      <c r="B80" s="10">
        <f si="16" t="shared"/>
        <v>0.22190322712727131</v>
      </c>
      <c r="C80" s="10">
        <f si="16" t="shared"/>
        <v>0.17460158845168616</v>
      </c>
      <c r="D80" s="10">
        <f si="16" t="shared"/>
        <v>0.17754604272220928</v>
      </c>
      <c r="E80" s="10">
        <f si="16" t="shared"/>
        <v>0.1790608273685034</v>
      </c>
      <c r="F80" s="10">
        <f si="16" t="shared"/>
        <v>0.11378338361457767</v>
      </c>
      <c r="G80" s="10">
        <f si="16" t="shared"/>
        <v>0.12362802789297127</v>
      </c>
      <c r="H80" s="10">
        <f si="16" t="shared"/>
        <v>0.13459345170404369</v>
      </c>
      <c r="I80" s="10">
        <f si="16" t="shared"/>
        <v>0.17974797776838672</v>
      </c>
      <c r="K80" s="16">
        <v>1</v>
      </c>
      <c r="L80" s="10">
        <f si="17" t="shared"/>
        <v>0.27783032245154732</v>
      </c>
      <c r="M80" s="10">
        <f si="17" t="shared"/>
        <v>0.1757337844294366</v>
      </c>
      <c r="N80" s="10">
        <f si="17" t="shared"/>
        <v>0.269401447117048</v>
      </c>
      <c r="O80" s="10">
        <f si="17" t="shared"/>
        <v>0.19812512540035224</v>
      </c>
      <c r="P80" s="10">
        <f si="17" t="shared"/>
        <v>0.20996711937097928</v>
      </c>
      <c r="Q80" s="10">
        <f si="17" t="shared"/>
        <v>0.11673449536166165</v>
      </c>
      <c r="R80" s="10">
        <f si="17" t="shared"/>
        <v>0.14271573560177742</v>
      </c>
      <c r="S80" s="10">
        <f si="17" t="shared"/>
        <v>0.21988694745245485</v>
      </c>
      <c r="U80" s="16">
        <v>1</v>
      </c>
      <c r="V80" s="10">
        <f si="18" t="shared"/>
        <v>5.5927095324276005E-2</v>
      </c>
      <c r="W80" s="10">
        <f si="18" t="shared"/>
        <v>1.1321959777504387E-3</v>
      </c>
      <c r="X80" s="10">
        <f si="18" t="shared"/>
        <v>9.1855404394838719E-2</v>
      </c>
      <c r="Y80" s="10">
        <f si="18" t="shared"/>
        <v>1.9064298031848836E-2</v>
      </c>
      <c r="Z80" s="10">
        <f si="18" t="shared"/>
        <v>9.6183735756401614E-2</v>
      </c>
      <c r="AA80" s="10">
        <f si="18" t="shared"/>
        <v>-6.8935325313096152E-3</v>
      </c>
      <c r="AB80" s="10">
        <f si="18" t="shared"/>
        <v>8.1222838977337286E-3</v>
      </c>
      <c r="AC80" s="10">
        <f si="18" t="shared"/>
        <v>4.0138969684068132E-2</v>
      </c>
    </row>
    <row r="81" spans="1:29" x14ac:dyDescent="0.2">
      <c r="A81" s="16">
        <v>2</v>
      </c>
      <c r="B81" s="10">
        <f si="16" t="shared"/>
        <v>8.2292854264595344E-2</v>
      </c>
      <c r="C81" s="10">
        <f si="16" t="shared"/>
        <v>5.1050033820977316E-2</v>
      </c>
      <c r="D81" s="10">
        <f si="16" t="shared"/>
        <v>7.8490238697869613E-2</v>
      </c>
      <c r="E81" s="10">
        <f si="16" t="shared"/>
        <v>5.1858174096650542E-2</v>
      </c>
      <c r="F81" s="10">
        <f si="16" t="shared"/>
        <v>5.5560574199514594E-2</v>
      </c>
      <c r="G81" s="10">
        <f si="16" t="shared"/>
        <v>3.1809557311326848E-2</v>
      </c>
      <c r="H81" s="10">
        <f si="16" t="shared"/>
        <v>5.341085554239032E-2</v>
      </c>
      <c r="I81" s="10">
        <f si="16" t="shared"/>
        <v>6.4903062434760614E-2</v>
      </c>
      <c r="K81" s="16">
        <v>2</v>
      </c>
      <c r="L81" s="10">
        <f si="17" t="shared"/>
        <v>9.0312057778987029E-2</v>
      </c>
      <c r="M81" s="10">
        <f si="17" t="shared"/>
        <v>4.671943802378585E-2</v>
      </c>
      <c r="N81" s="10">
        <f si="17" t="shared"/>
        <v>6.5130295691241583E-2</v>
      </c>
      <c r="O81" s="10">
        <f si="17" t="shared"/>
        <v>3.8322347643216494E-2</v>
      </c>
      <c r="P81" s="10">
        <f si="17" t="shared"/>
        <v>4.0566118656182988E-2</v>
      </c>
      <c r="Q81" s="10">
        <f si="17" t="shared"/>
        <v>1.4869861886948997E-2</v>
      </c>
      <c r="R81" s="10">
        <f si="17" t="shared"/>
        <v>2.0886283866728909E-2</v>
      </c>
      <c r="S81" s="10">
        <f si="17" t="shared"/>
        <v>5.7117031276154667E-2</v>
      </c>
      <c r="U81" s="16">
        <v>2</v>
      </c>
      <c r="V81" s="10">
        <f si="18" t="shared"/>
        <v>8.0192035143916846E-3</v>
      </c>
      <c r="W81" s="10">
        <f si="18" t="shared"/>
        <v>-4.3305957971914652E-3</v>
      </c>
      <c r="X81" s="10">
        <f si="18" t="shared"/>
        <v>-1.3359943006628031E-2</v>
      </c>
      <c r="Y81" s="10">
        <f si="18" t="shared"/>
        <v>-1.3535826453434048E-2</v>
      </c>
      <c r="Z81" s="10">
        <f si="18" t="shared"/>
        <v>-1.4994455543331606E-2</v>
      </c>
      <c r="AA81" s="10">
        <f si="18" t="shared"/>
        <v>-1.693969542437785E-2</v>
      </c>
      <c r="AB81" s="10">
        <f si="18" t="shared"/>
        <v>-3.2524571675661411E-2</v>
      </c>
      <c r="AC81" s="10">
        <f si="18" t="shared"/>
        <v>-7.7860311586059466E-3</v>
      </c>
    </row>
    <row r="82" spans="1:29" x14ac:dyDescent="0.2">
      <c r="A82" s="16">
        <v>3</v>
      </c>
      <c r="B82" s="10">
        <f si="16" t="shared"/>
        <v>3.1839738776714414E-2</v>
      </c>
      <c r="C82" s="10">
        <f si="16" t="shared"/>
        <v>1.6476842465683171E-2</v>
      </c>
      <c r="D82" s="10">
        <f si="16" t="shared"/>
        <v>2.9446954126054661E-2</v>
      </c>
      <c r="E82" s="10">
        <f si="16" t="shared"/>
        <v>1.4968657764715308E-2</v>
      </c>
      <c r="F82" s="10">
        <f si="16" t="shared"/>
        <v>1.5336553840389514E-2</v>
      </c>
      <c r="G82" s="10">
        <f si="16" t="shared"/>
        <v>8.2158623719620801E-3</v>
      </c>
      <c r="H82" s="10">
        <f si="16" t="shared"/>
        <v>5.0703018349262967E-3</v>
      </c>
      <c r="I82" s="10">
        <f si="16" t="shared"/>
        <v>2.1328907037932669E-2</v>
      </c>
      <c r="K82" s="16">
        <v>3</v>
      </c>
      <c r="L82" s="10">
        <f si="17" t="shared"/>
        <v>2.4504532517955164E-2</v>
      </c>
      <c r="M82" s="10">
        <f si="17" t="shared"/>
        <v>8.7765739939652983E-3</v>
      </c>
      <c r="N82" s="10">
        <f si="17" t="shared"/>
        <v>1.3974758187042136E-2</v>
      </c>
      <c r="O82" s="10">
        <f si="17" t="shared"/>
        <v>5.8520164376639492E-3</v>
      </c>
      <c r="P82" s="10">
        <f si="17" t="shared"/>
        <v>6.2844889206576122E-3</v>
      </c>
      <c r="Q82" s="10">
        <f si="17" t="shared"/>
        <v>1.8024075014483631E-3</v>
      </c>
      <c r="R82" s="10">
        <f si="17" t="shared"/>
        <v>3.0862596607707867E-3</v>
      </c>
      <c r="S82" s="10">
        <f si="17" t="shared"/>
        <v>1.312748670538094E-2</v>
      </c>
      <c r="U82" s="16">
        <v>3</v>
      </c>
      <c r="V82" s="10">
        <f si="18" t="shared"/>
        <v>-7.3352062587592505E-3</v>
      </c>
      <c r="W82" s="10">
        <f si="18" t="shared"/>
        <v>-7.7002684717178728E-3</v>
      </c>
      <c r="X82" s="10">
        <f si="18" t="shared"/>
        <v>-1.5472195939012525E-2</v>
      </c>
      <c r="Y82" s="10">
        <f si="18" t="shared"/>
        <v>-9.1166413270513599E-3</v>
      </c>
      <c r="Z82" s="10">
        <f si="18" t="shared"/>
        <v>-9.052064919731902E-3</v>
      </c>
      <c r="AA82" s="10">
        <f si="18" t="shared"/>
        <v>-6.4134548705137174E-3</v>
      </c>
      <c r="AB82" s="10">
        <f si="18" t="shared"/>
        <v>-1.98404217415551E-3</v>
      </c>
      <c r="AC82" s="10">
        <f si="18" t="shared"/>
        <v>-8.2014203325517284E-3</v>
      </c>
    </row>
    <row r="83" spans="1:29" x14ac:dyDescent="0.2">
      <c r="A83" s="16">
        <v>4</v>
      </c>
      <c r="B83" s="10">
        <f si="16" t="shared"/>
        <v>8.6403989336037521E-3</v>
      </c>
      <c r="C83" s="10">
        <f si="16" t="shared"/>
        <v>6.513240750310686E-3</v>
      </c>
      <c r="D83" s="10">
        <f si="16" t="shared"/>
        <v>1.4160333077515021E-2</v>
      </c>
      <c r="E83" s="10">
        <f si="16" t="shared"/>
        <v>6.8540487491696939E-3</v>
      </c>
      <c r="F83" s="10">
        <f si="16" t="shared"/>
        <v>2.6639661987457549E-3</v>
      </c>
      <c r="G83" s="10">
        <f si="16" t="shared"/>
        <v>4.710727400947635E-3</v>
      </c>
      <c r="H83" s="10">
        <f si="16" t="shared"/>
        <v>1.2798131680731267E-3</v>
      </c>
      <c r="I83" s="10">
        <f si="16" t="shared"/>
        <v>7.0505201718851921E-3</v>
      </c>
      <c r="K83" s="16">
        <v>4</v>
      </c>
      <c r="L83" s="10">
        <f si="17" t="shared"/>
        <v>7.336100206291829E-3</v>
      </c>
      <c r="M83" s="10">
        <f si="17" t="shared"/>
        <v>1.6055233446537795E-3</v>
      </c>
      <c r="N83" s="10">
        <f si="17" t="shared"/>
        <v>3.0787590695528781E-3</v>
      </c>
      <c r="O83" s="10">
        <f si="17" t="shared"/>
        <v>8.9173583812022085E-4</v>
      </c>
      <c r="P83" s="10">
        <f si="17" t="shared"/>
        <v>9.9499642601858472E-4</v>
      </c>
      <c r="Q83" s="10">
        <f si="17" t="shared"/>
        <v>3.3616330384155982E-4</v>
      </c>
      <c r="R83" s="10">
        <f si="17" t="shared"/>
        <v>5.532790428272559E-4</v>
      </c>
      <c r="S83" s="10">
        <f si="17" t="shared"/>
        <v>3.4363854087532029E-3</v>
      </c>
      <c r="U83" s="16">
        <v>4</v>
      </c>
      <c r="V83" s="10">
        <f si="18" t="shared"/>
        <v>-1.3042987273119231E-3</v>
      </c>
      <c r="W83" s="10">
        <f si="18" t="shared"/>
        <v>-4.9077174056569063E-3</v>
      </c>
      <c r="X83" s="10">
        <f si="18" t="shared"/>
        <v>-1.1081574007962143E-2</v>
      </c>
      <c r="Y83" s="10">
        <f si="18" t="shared"/>
        <v>-5.9623129110494728E-3</v>
      </c>
      <c r="Z83" s="10">
        <f si="18" t="shared"/>
        <v>-1.6689697727271702E-3</v>
      </c>
      <c r="AA83" s="10">
        <f si="18" t="shared"/>
        <v>-4.374564097106075E-3</v>
      </c>
      <c r="AB83" s="10">
        <f si="18" t="shared"/>
        <v>-7.2653412524587078E-4</v>
      </c>
      <c r="AC83" s="10">
        <f si="18" t="shared"/>
        <v>-3.6141347631319892E-3</v>
      </c>
    </row>
    <row r="84" spans="1:29" x14ac:dyDescent="0.2">
      <c r="A84" s="16">
        <v>5</v>
      </c>
      <c r="B84" s="10">
        <f si="16" t="shared"/>
        <v>8.3099453954411893E-3</v>
      </c>
      <c r="C84" s="10">
        <f si="16" t="shared"/>
        <v>2.9560126823915209E-3</v>
      </c>
      <c r="D84" s="10">
        <f si="16" t="shared"/>
        <v>8.3796774766699503E-3</v>
      </c>
      <c r="E84" s="10">
        <f si="16" t="shared"/>
        <v>2.5841432084712742E-3</v>
      </c>
      <c r="F84" s="10">
        <f si="16" t="shared"/>
        <v>2.6828664136910509E-3</v>
      </c>
      <c r="G84" s="10">
        <f si="16" t="shared"/>
        <v>1.201314174033845E-2</v>
      </c>
      <c r="H84" s="10">
        <f si="16" t="shared"/>
        <v>1.9433958239650057E-3</v>
      </c>
      <c r="I84" s="10">
        <f si="16" t="shared"/>
        <v>5.9610485395987112E-3</v>
      </c>
      <c r="K84" s="16">
        <v>5</v>
      </c>
      <c r="L84" s="10">
        <f si="17" t="shared"/>
        <v>1.2740283913987968E-3</v>
      </c>
      <c r="M84" s="10">
        <f si="17" t="shared"/>
        <v>2.2813066291327161E-4</v>
      </c>
      <c r="N84" s="10">
        <f si="17" t="shared"/>
        <v>5.5156921441501072E-4</v>
      </c>
      <c r="O84" s="10">
        <f si="17" t="shared"/>
        <v>7.4311319843351742E-5</v>
      </c>
      <c r="P84" s="10">
        <f si="17" t="shared"/>
        <v>5.1465332380271624E-5</v>
      </c>
      <c r="Q84" s="10">
        <f si="17" t="shared"/>
        <v>2.145723216009956E-5</v>
      </c>
      <c r="R84" s="10">
        <f si="17" t="shared"/>
        <v>7.3482372875494924E-5</v>
      </c>
      <c r="S84" s="10">
        <f si="17" t="shared"/>
        <v>5.6500521483846878E-4</v>
      </c>
      <c r="U84" s="16">
        <v>5</v>
      </c>
      <c r="V84" s="10">
        <f si="18" t="shared"/>
        <v>-7.0359170040423923E-3</v>
      </c>
      <c r="W84" s="10">
        <f si="18" t="shared"/>
        <v>-2.7278820194782494E-3</v>
      </c>
      <c r="X84" s="10">
        <f si="18" t="shared"/>
        <v>-7.8281082622549403E-3</v>
      </c>
      <c r="Y84" s="10">
        <f si="18" t="shared"/>
        <v>-2.5098318886279227E-3</v>
      </c>
      <c r="Z84" s="10">
        <f si="18" t="shared"/>
        <v>-2.6314010813107795E-3</v>
      </c>
      <c r="AA84" s="10">
        <f si="18" t="shared"/>
        <v>-1.1991684508178351E-2</v>
      </c>
      <c r="AB84" s="10">
        <f si="18" t="shared"/>
        <v>-1.8699134510895108E-3</v>
      </c>
      <c r="AC84" s="10">
        <f si="18" t="shared"/>
        <v>-5.3960433247602427E-3</v>
      </c>
    </row>
    <row r="85" spans="1:29" x14ac:dyDescent="0.2">
      <c r="A85" s="265" t="s">
        <v>154</v>
      </c>
      <c r="B85" s="11">
        <f si="16" t="shared"/>
        <v>6.6703041964923035E-3</v>
      </c>
      <c r="C85" s="11">
        <f si="16" t="shared"/>
        <v>2.6831694950615135E-3</v>
      </c>
      <c r="D85" s="11">
        <f si="16" t="shared"/>
        <v>3.1441867253189162E-3</v>
      </c>
      <c r="E85" s="11">
        <f si="16" t="shared"/>
        <v>5.4612687667383308E-3</v>
      </c>
      <c r="F85" s="11">
        <f si="16" t="shared"/>
        <v>2.6557085523796158E-4</v>
      </c>
      <c r="G85" s="11">
        <f si="16" t="shared"/>
        <v>0</v>
      </c>
      <c r="H85" s="11">
        <f si="16" t="shared"/>
        <v>1.7012018017389229E-3</v>
      </c>
      <c r="I85" s="11">
        <f si="16" t="shared"/>
        <v>4.0733738311227174E-3</v>
      </c>
      <c r="K85" s="265" t="s">
        <v>154</v>
      </c>
      <c r="L85" s="11">
        <f si="17" t="shared"/>
        <v>1.1401474417941774E-3</v>
      </c>
      <c r="M85" s="11">
        <f si="17" t="shared"/>
        <v>1.2052185965229444E-4</v>
      </c>
      <c r="N85" s="11">
        <f si="17" t="shared"/>
        <v>3.1088446630664237E-4</v>
      </c>
      <c r="O85" s="11">
        <f si="17" t="shared"/>
        <v>3.344009392950828E-5</v>
      </c>
      <c r="P85" s="11">
        <f si="17" t="shared"/>
        <v>1.7155110793423875E-5</v>
      </c>
      <c r="Q85" s="11">
        <f si="17" t="shared"/>
        <v>2.145723216009956E-5</v>
      </c>
      <c r="R85" s="11">
        <f si="17" t="shared"/>
        <v>1.7289970088351747E-5</v>
      </c>
      <c r="S85" s="11">
        <f si="17" t="shared"/>
        <v>4.6405624299859652E-4</v>
      </c>
      <c r="U85" s="265" t="s">
        <v>154</v>
      </c>
      <c r="V85" s="10">
        <f si="18" t="shared"/>
        <v>-5.5301567546981265E-3</v>
      </c>
      <c r="W85" s="10">
        <f si="18" t="shared"/>
        <v>-2.5626476354092191E-3</v>
      </c>
      <c r="X85" s="10">
        <f si="18" t="shared"/>
        <v>-2.8333022590122737E-3</v>
      </c>
      <c r="Y85" s="10">
        <f si="18" t="shared"/>
        <v>-5.4278286728088225E-3</v>
      </c>
      <c r="Z85" s="10">
        <f si="18" t="shared"/>
        <v>-2.4841574444453768E-4</v>
      </c>
      <c r="AA85" s="10">
        <f si="18" t="shared"/>
        <v>2.145723216009956E-5</v>
      </c>
      <c r="AB85" s="10">
        <f si="18" t="shared"/>
        <v>-1.6839118316505711E-3</v>
      </c>
      <c r="AC85" s="10">
        <f si="18" t="shared"/>
        <v>-3.6093175881241209E-3</v>
      </c>
    </row>
    <row customHeight="1" ht="13.15" r="86" spans="1:29" thickBot="1" x14ac:dyDescent="0.25">
      <c r="A86" s="17" t="s">
        <v>4</v>
      </c>
      <c r="B86" s="15">
        <f si="16" t="shared"/>
        <v>1.0000000000000002</v>
      </c>
      <c r="C86" s="15">
        <f si="16" t="shared"/>
        <v>1.0000000000000002</v>
      </c>
      <c r="D86" s="15">
        <f si="16" t="shared"/>
        <v>0.99999999999999989</v>
      </c>
      <c r="E86" s="15">
        <f si="16" t="shared"/>
        <v>0.99999999999999956</v>
      </c>
      <c r="F86" s="15">
        <f si="16" t="shared"/>
        <v>1.0000000000000002</v>
      </c>
      <c r="G86" s="15">
        <f si="16" t="shared"/>
        <v>1.0000000000000002</v>
      </c>
      <c r="H86" s="15">
        <f si="16" t="shared"/>
        <v>1.0000000000000002</v>
      </c>
      <c r="I86" s="15">
        <f si="16" t="shared"/>
        <v>1.0000000000000002</v>
      </c>
      <c r="K86" s="17" t="s">
        <v>4</v>
      </c>
      <c r="L86" s="15">
        <f si="17" t="shared"/>
        <v>1</v>
      </c>
      <c r="M86" s="15">
        <f si="17" t="shared"/>
        <v>1</v>
      </c>
      <c r="N86" s="15">
        <f si="17" t="shared"/>
        <v>1</v>
      </c>
      <c r="O86" s="15">
        <f si="17" t="shared"/>
        <v>1</v>
      </c>
      <c r="P86" s="15">
        <f si="17" t="shared"/>
        <v>1</v>
      </c>
      <c r="Q86" s="15">
        <f si="17" t="shared"/>
        <v>1</v>
      </c>
      <c r="R86" s="15">
        <f si="17" t="shared"/>
        <v>1</v>
      </c>
      <c r="S86" s="15">
        <f si="17" t="shared"/>
        <v>1</v>
      </c>
      <c r="U86" s="17" t="s">
        <v>4</v>
      </c>
      <c r="V86" s="12">
        <f si="18" t="shared"/>
        <v>0</v>
      </c>
      <c r="W86" s="12">
        <f si="18" t="shared"/>
        <v>0</v>
      </c>
      <c r="X86" s="12">
        <f si="18" t="shared"/>
        <v>0</v>
      </c>
      <c r="Y86" s="12">
        <f si="18" t="shared"/>
        <v>0</v>
      </c>
      <c r="Z86" s="12">
        <f si="18" t="shared"/>
        <v>0</v>
      </c>
      <c r="AA86" s="12">
        <f si="18" t="shared"/>
        <v>0</v>
      </c>
      <c r="AB86" s="12">
        <f si="18" t="shared"/>
        <v>0</v>
      </c>
      <c r="AC86" s="12">
        <f si="18" t="shared"/>
        <v>0</v>
      </c>
    </row>
  </sheetData>
  <conditionalFormatting sqref="V19:AC26 V49:AC56 V79:AC86">
    <cfRule dxfId="30" operator="notBetween" priority="1" stopIfTrue="1" type="cellIs">
      <formula>-0.15</formula>
      <formula>0.15</formula>
    </cfRule>
    <cfRule dxfId="29" operator="notBetween" priority="2" stopIfTrue="1" type="cellIs">
      <formula>-0.1</formula>
      <formula>0.1</formula>
    </cfRule>
    <cfRule dxfId="2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N133"/>
  <sheetViews>
    <sheetView topLeftCell="G16" workbookViewId="0">
      <selection activeCell="R58" sqref="R58:R64"/>
    </sheetView>
  </sheetViews>
  <sheetFormatPr defaultColWidth="10.75" defaultRowHeight="12.75" x14ac:dyDescent="0.2"/>
  <cols>
    <col min="1" max="35" customWidth="true" style="265" width="10.75" collapsed="true"/>
    <col min="36" max="36" bestFit="true" customWidth="true" style="265" width="6.625" collapsed="true"/>
    <col min="37" max="37" customWidth="true" style="265" width="10.75" collapsed="true"/>
    <col min="38" max="38" customWidth="true" style="265" width="2.25" collapsed="true"/>
    <col min="39" max="45" customWidth="true" style="265" width="10.75" collapsed="true"/>
    <col min="46" max="16384" style="265" width="10.75" collapsed="true"/>
  </cols>
  <sheetData>
    <row customHeight="1" ht="13.15" r="1" spans="1:39" x14ac:dyDescent="0.2">
      <c r="A1" s="264" t="s">
        <v>41</v>
      </c>
      <c r="M1" s="264" t="s">
        <v>41</v>
      </c>
      <c r="Y1" s="264" t="s">
        <v>41</v>
      </c>
    </row>
    <row customHeight="1" ht="13.15" r="2" spans="1:39" x14ac:dyDescent="0.2">
      <c r="A2" s="264" t="s">
        <v>170</v>
      </c>
      <c r="M2" s="264" t="s">
        <v>171</v>
      </c>
      <c r="Y2" s="264" t="s">
        <v>172</v>
      </c>
    </row>
    <row customHeight="1" ht="13.5" r="3" spans="1:39" thickBo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9" x14ac:dyDescent="0.2">
      <c r="A4" s="3" t="s">
        <v>22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22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22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5" t="s">
        <v>4</v>
      </c>
      <c r="AM4" s="265" t="s">
        <v>173</v>
      </c>
    </row>
    <row r="5" spans="1:39" x14ac:dyDescent="0.2">
      <c r="A5" s="265" t="s">
        <v>23</v>
      </c>
      <c r="B5" s="5">
        <f>output_NHTS!B178</f>
        <v>712869.63537018478</v>
      </c>
      <c r="C5" s="5">
        <f>output_NHTS!C178</f>
        <v>60992.341011102864</v>
      </c>
      <c r="D5" s="5">
        <f>output_NHTS!D178</f>
        <v>4026.3603847321169</v>
      </c>
      <c r="E5" s="5">
        <f>output_NHTS!E178</f>
        <v>12260.049125652607</v>
      </c>
      <c r="F5" s="5">
        <f>output_NHTS!F178</f>
        <v>12765.419500875436</v>
      </c>
      <c r="G5" s="5">
        <f>output_NHTS!G178</f>
        <v>2277.9083703450824</v>
      </c>
      <c r="H5" s="5"/>
      <c r="I5" s="5">
        <f>output_NHTS!H178</f>
        <v>533.80749370456215</v>
      </c>
      <c r="J5" s="5">
        <f>output_NHTS!I178</f>
        <v>0</v>
      </c>
      <c r="K5" s="5">
        <f>output_NHTS!J178</f>
        <v>805725.5212565976</v>
      </c>
      <c r="M5" s="265" t="s">
        <v>23</v>
      </c>
      <c r="N5" s="5">
        <f>output!B178</f>
        <v>606319</v>
      </c>
      <c r="O5" s="5">
        <f>output!C178</f>
        <v>53540</v>
      </c>
      <c r="P5" s="5">
        <f>output!D178</f>
        <v>0</v>
      </c>
      <c r="Q5" s="5">
        <f>output!E178</f>
        <v>0</v>
      </c>
      <c r="R5" s="5">
        <f>output!F178</f>
        <v>12264</v>
      </c>
      <c r="S5" s="5">
        <f>output!G178</f>
        <v>2344</v>
      </c>
      <c r="T5" s="5"/>
      <c r="U5" s="5">
        <f>output!H178</f>
        <v>0</v>
      </c>
      <c r="V5" s="5">
        <f>output!I178</f>
        <v>0</v>
      </c>
      <c r="W5" s="5">
        <f>output!J178</f>
        <v>674467</v>
      </c>
      <c r="Y5" s="265" t="s">
        <v>23</v>
      </c>
      <c r="Z5" s="5">
        <f ref="Z5:Z13" si="0" t="shared">N5-B5</f>
        <v>-106550.63537018478</v>
      </c>
      <c r="AA5" s="5">
        <f ref="AA5:AA13" si="1" t="shared">O5-C5</f>
        <v>-7452.3410111028643</v>
      </c>
      <c r="AB5" s="5">
        <f ref="AB5:AB13" si="2" t="shared">P5-D5</f>
        <v>-4026.3603847321169</v>
      </c>
      <c r="AC5" s="5">
        <f ref="AC5:AC13" si="3" t="shared">Q5-E5</f>
        <v>-12260.049125652607</v>
      </c>
      <c r="AD5" s="5">
        <f ref="AD5:AD13" si="4" t="shared">R5-F5</f>
        <v>-501.41950087543592</v>
      </c>
      <c r="AE5" s="5">
        <f ref="AE5:AE13" si="5" t="shared">S5-G5</f>
        <v>66.091629654917597</v>
      </c>
      <c r="AF5" s="5"/>
      <c r="AG5" s="5">
        <f ref="AG5:AG13" si="6" t="shared">U5-I5</f>
        <v>-533.80749370456215</v>
      </c>
      <c r="AH5" s="5">
        <f ref="AH5:AH13" si="7" t="shared">V5-J5</f>
        <v>0</v>
      </c>
      <c r="AI5" s="5">
        <f ref="AI5:AI13" si="8" t="shared">W5-K5</f>
        <v>-131258.5212565976</v>
      </c>
      <c r="AK5" s="265">
        <v>1424330</v>
      </c>
      <c r="AM5" s="5">
        <f ref="AM5:AM13" si="9" t="shared">W5-AK5</f>
        <v>-749863</v>
      </c>
    </row>
    <row r="6" spans="1:39" x14ac:dyDescent="0.2">
      <c r="A6" s="265" t="s">
        <v>24</v>
      </c>
      <c r="B6" s="5">
        <f>output_NHTS!B179</f>
        <v>7822.3715016728247</v>
      </c>
      <c r="C6" s="5">
        <f>output_NHTS!C179</f>
        <v>1302.1793639880239</v>
      </c>
      <c r="D6" s="5">
        <f>output_NHTS!D179</f>
        <v>389.65169118865902</v>
      </c>
      <c r="E6" s="5">
        <f>output_NHTS!E179</f>
        <v>2355.9257149873511</v>
      </c>
      <c r="F6" s="5">
        <f>output_NHTS!F179</f>
        <v>16162.602937271289</v>
      </c>
      <c r="G6" s="5">
        <f>output_NHTS!G179</f>
        <v>39914.875002653403</v>
      </c>
      <c r="H6" s="5"/>
      <c r="I6" s="5">
        <f>output_NHTS!H179</f>
        <v>202608.36022104506</v>
      </c>
      <c r="J6" s="5">
        <f>output_NHTS!I179</f>
        <v>0</v>
      </c>
      <c r="K6" s="5">
        <f>output_NHTS!J179</f>
        <v>270555.96643280663</v>
      </c>
      <c r="M6" s="265" t="s">
        <v>24</v>
      </c>
      <c r="N6" s="5">
        <f>output!B179</f>
        <v>8916</v>
      </c>
      <c r="O6" s="5">
        <f>output!C179</f>
        <v>0</v>
      </c>
      <c r="P6" s="5">
        <f>output!D179</f>
        <v>0</v>
      </c>
      <c r="Q6" s="5">
        <f>output!E179</f>
        <v>0</v>
      </c>
      <c r="R6" s="5">
        <f>output!F179</f>
        <v>13865</v>
      </c>
      <c r="S6" s="5">
        <f>output!G179</f>
        <v>33536</v>
      </c>
      <c r="T6" s="5"/>
      <c r="U6" s="5">
        <f>output!H179</f>
        <v>175464</v>
      </c>
      <c r="V6" s="5">
        <f>output!I179</f>
        <v>0</v>
      </c>
      <c r="W6" s="5">
        <f>output!J179</f>
        <v>231781</v>
      </c>
      <c r="Y6" s="265" t="s">
        <v>24</v>
      </c>
      <c r="Z6" s="5">
        <f si="0" t="shared"/>
        <v>1093.6284983271753</v>
      </c>
      <c r="AA6" s="5">
        <f si="1" t="shared"/>
        <v>-1302.1793639880239</v>
      </c>
      <c r="AB6" s="5">
        <f si="2" t="shared"/>
        <v>-389.65169118865902</v>
      </c>
      <c r="AC6" s="5">
        <f si="3" t="shared"/>
        <v>-2355.9257149873511</v>
      </c>
      <c r="AD6" s="5">
        <f si="4" t="shared"/>
        <v>-2297.6029372712892</v>
      </c>
      <c r="AE6" s="5">
        <f si="5" t="shared"/>
        <v>-6378.8750026534035</v>
      </c>
      <c r="AF6" s="5"/>
      <c r="AG6" s="5">
        <f si="6" t="shared"/>
        <v>-27144.360221045063</v>
      </c>
      <c r="AH6" s="5">
        <f si="7" t="shared"/>
        <v>0</v>
      </c>
      <c r="AI6" s="5">
        <f si="8" t="shared"/>
        <v>-38774.966432806628</v>
      </c>
      <c r="AK6" s="265">
        <v>741310</v>
      </c>
      <c r="AM6" s="5">
        <f si="9" t="shared"/>
        <v>-509529</v>
      </c>
    </row>
    <row r="7" spans="1:39" x14ac:dyDescent="0.2">
      <c r="A7" s="265" t="s">
        <v>25</v>
      </c>
      <c r="B7" s="5">
        <f>output_NHTS!B180</f>
        <v>76516.285465825553</v>
      </c>
      <c r="C7" s="5">
        <f>output_NHTS!C180</f>
        <v>27149.561947780974</v>
      </c>
      <c r="D7" s="5">
        <f>output_NHTS!D180</f>
        <v>18544.803834636543</v>
      </c>
      <c r="E7" s="5">
        <f>output_NHTS!E180</f>
        <v>69972.619399549847</v>
      </c>
      <c r="F7" s="5">
        <f>output_NHTS!F180</f>
        <v>6606.0629936042124</v>
      </c>
      <c r="G7" s="5">
        <f>output_NHTS!G180</f>
        <v>3444.8349231508414</v>
      </c>
      <c r="H7" s="5"/>
      <c r="I7" s="5">
        <f>output_NHTS!H180</f>
        <v>11186.421205535204</v>
      </c>
      <c r="J7" s="5">
        <f>output_NHTS!I180</f>
        <v>0</v>
      </c>
      <c r="K7" s="5">
        <f>output_NHTS!J180</f>
        <v>213420.5897700832</v>
      </c>
      <c r="M7" s="265" t="s">
        <v>25</v>
      </c>
      <c r="N7" s="5">
        <f>output!B180</f>
        <v>75349</v>
      </c>
      <c r="O7" s="5">
        <f>output!C180</f>
        <v>22841</v>
      </c>
      <c r="P7" s="5">
        <f>output!D180</f>
        <v>15008</v>
      </c>
      <c r="Q7" s="5">
        <f>output!E180</f>
        <v>61109</v>
      </c>
      <c r="R7" s="5">
        <f>output!F180</f>
        <v>5863</v>
      </c>
      <c r="S7" s="5">
        <f>output!G180</f>
        <v>3074</v>
      </c>
      <c r="T7" s="5"/>
      <c r="U7" s="5">
        <f>output!H180</f>
        <v>10472</v>
      </c>
      <c r="V7" s="5">
        <f>output!I180</f>
        <v>0</v>
      </c>
      <c r="W7" s="5">
        <f>output!J180</f>
        <v>193716</v>
      </c>
      <c r="Y7" s="265" t="s">
        <v>25</v>
      </c>
      <c r="Z7" s="5">
        <f si="0" t="shared"/>
        <v>-1167.2854658255528</v>
      </c>
      <c r="AA7" s="5">
        <f si="1" t="shared"/>
        <v>-4308.5619477809742</v>
      </c>
      <c r="AB7" s="5">
        <f si="2" t="shared"/>
        <v>-3536.8038346365429</v>
      </c>
      <c r="AC7" s="5">
        <f si="3" t="shared"/>
        <v>-8863.619399549847</v>
      </c>
      <c r="AD7" s="5">
        <f si="4" t="shared"/>
        <v>-743.06299360421235</v>
      </c>
      <c r="AE7" s="5">
        <f si="5" t="shared"/>
        <v>-370.83492315084141</v>
      </c>
      <c r="AF7" s="5"/>
      <c r="AG7" s="5">
        <f si="6" t="shared"/>
        <v>-714.42120553520363</v>
      </c>
      <c r="AH7" s="5">
        <f si="7" t="shared"/>
        <v>0</v>
      </c>
      <c r="AI7" s="5">
        <f si="8" t="shared"/>
        <v>-19704.589770083199</v>
      </c>
      <c r="AK7" s="265">
        <v>924620</v>
      </c>
      <c r="AM7" s="5">
        <f si="9" t="shared"/>
        <v>-730904</v>
      </c>
    </row>
    <row r="8" spans="1:39" x14ac:dyDescent="0.2">
      <c r="A8" s="265" t="s">
        <v>26</v>
      </c>
      <c r="B8" s="5">
        <f>output_NHTS!B181</f>
        <v>83390.592357353598</v>
      </c>
      <c r="C8" s="5">
        <f>output_NHTS!C181</f>
        <v>20594.211608790396</v>
      </c>
      <c r="D8" s="5">
        <f>output_NHTS!D181</f>
        <v>76695.400652788812</v>
      </c>
      <c r="E8" s="5">
        <f>output_NHTS!E181</f>
        <v>51679.217719947097</v>
      </c>
      <c r="F8" s="5">
        <f>output_NHTS!F181</f>
        <v>5318.24815397367</v>
      </c>
      <c r="G8" s="5">
        <f>output_NHTS!G181</f>
        <v>6114.0016703302927</v>
      </c>
      <c r="H8" s="5"/>
      <c r="I8" s="5">
        <f>output_NHTS!H181</f>
        <v>19587.413002959001</v>
      </c>
      <c r="J8" s="5">
        <f>output_NHTS!I181</f>
        <v>0</v>
      </c>
      <c r="K8" s="5">
        <f>output_NHTS!J181</f>
        <v>263379.08516614285</v>
      </c>
      <c r="M8" s="265" t="s">
        <v>26</v>
      </c>
      <c r="N8" s="5">
        <f>output!B181</f>
        <v>76748</v>
      </c>
      <c r="O8" s="5">
        <f>output!C181</f>
        <v>18731</v>
      </c>
      <c r="P8" s="5">
        <f>output!D181</f>
        <v>70761</v>
      </c>
      <c r="Q8" s="5">
        <f>output!E181</f>
        <v>55525</v>
      </c>
      <c r="R8" s="5">
        <f>output!F181</f>
        <v>5538</v>
      </c>
      <c r="S8" s="5">
        <f>output!G181</f>
        <v>6037</v>
      </c>
      <c r="T8" s="5"/>
      <c r="U8" s="5">
        <f>output!H181</f>
        <v>16704</v>
      </c>
      <c r="V8" s="5">
        <f>output!I181</f>
        <v>0</v>
      </c>
      <c r="W8" s="5">
        <f>output!J181</f>
        <v>250044</v>
      </c>
      <c r="Y8" s="265" t="s">
        <v>26</v>
      </c>
      <c r="Z8" s="5">
        <f si="0" t="shared"/>
        <v>-6642.5923573535983</v>
      </c>
      <c r="AA8" s="5">
        <f si="1" t="shared"/>
        <v>-1863.211608790396</v>
      </c>
      <c r="AB8" s="5">
        <f si="2" t="shared"/>
        <v>-5934.4006527888123</v>
      </c>
      <c r="AC8" s="5">
        <f si="3" t="shared"/>
        <v>3845.7822800529029</v>
      </c>
      <c r="AD8" s="5">
        <f si="4" t="shared"/>
        <v>219.75184602632999</v>
      </c>
      <c r="AE8" s="5">
        <f si="5" t="shared"/>
        <v>-77.001670330292654</v>
      </c>
      <c r="AF8" s="5"/>
      <c r="AG8" s="5">
        <f si="6" t="shared"/>
        <v>-2883.4130029590015</v>
      </c>
      <c r="AH8" s="5">
        <f si="7" t="shared"/>
        <v>0</v>
      </c>
      <c r="AI8" s="5">
        <f si="8" t="shared"/>
        <v>-13335.085166142846</v>
      </c>
      <c r="AK8" s="265">
        <v>541880</v>
      </c>
      <c r="AM8" s="5">
        <f si="9" t="shared"/>
        <v>-291836</v>
      </c>
    </row>
    <row r="9" spans="1:39" x14ac:dyDescent="0.2">
      <c r="A9" s="265" t="s">
        <v>27</v>
      </c>
      <c r="B9" s="5">
        <f>output_NHTS!B182</f>
        <v>54385.120200664984</v>
      </c>
      <c r="C9" s="5">
        <f>output_NHTS!C182</f>
        <v>16154.530674901831</v>
      </c>
      <c r="D9" s="5">
        <f>output_NHTS!D182</f>
        <v>44746.364789534171</v>
      </c>
      <c r="E9" s="5">
        <f>output_NHTS!E182</f>
        <v>44151.221275920492</v>
      </c>
      <c r="F9" s="5">
        <f>output_NHTS!F182</f>
        <v>5689.4839786761631</v>
      </c>
      <c r="G9" s="5">
        <f>output_NHTS!G182</f>
        <v>1915.0974994991036</v>
      </c>
      <c r="H9" s="5"/>
      <c r="I9" s="5">
        <f>output_NHTS!H182</f>
        <v>8845.6463764424007</v>
      </c>
      <c r="J9" s="5">
        <f>output_NHTS!I182</f>
        <v>0</v>
      </c>
      <c r="K9" s="5">
        <f>output_NHTS!J182</f>
        <v>175887.46479563916</v>
      </c>
      <c r="M9" s="265" t="s">
        <v>27</v>
      </c>
      <c r="N9" s="5">
        <f>output!B182</f>
        <v>48727</v>
      </c>
      <c r="O9" s="5">
        <f>output!C182</f>
        <v>14660</v>
      </c>
      <c r="P9" s="5">
        <f>output!D182</f>
        <v>44075</v>
      </c>
      <c r="Q9" s="5">
        <f>output!E182</f>
        <v>40472</v>
      </c>
      <c r="R9" s="5">
        <f>output!F182</f>
        <v>6054</v>
      </c>
      <c r="S9" s="5">
        <f>output!G182</f>
        <v>2098</v>
      </c>
      <c r="T9" s="5"/>
      <c r="U9" s="5">
        <f>output!H182</f>
        <v>8231</v>
      </c>
      <c r="V9" s="5">
        <f>output!I182</f>
        <v>0</v>
      </c>
      <c r="W9" s="5">
        <f>output!J182</f>
        <v>164317</v>
      </c>
      <c r="Y9" s="265" t="s">
        <v>27</v>
      </c>
      <c r="Z9" s="5">
        <f si="0" t="shared"/>
        <v>-5658.1202006649837</v>
      </c>
      <c r="AA9" s="5">
        <f si="1" t="shared"/>
        <v>-1494.5306749018309</v>
      </c>
      <c r="AB9" s="5">
        <f si="2" t="shared"/>
        <v>-671.364789534171</v>
      </c>
      <c r="AC9" s="5">
        <f si="3" t="shared"/>
        <v>-3679.2212759204922</v>
      </c>
      <c r="AD9" s="5">
        <f si="4" t="shared"/>
        <v>364.51602132383687</v>
      </c>
      <c r="AE9" s="5">
        <f si="5" t="shared"/>
        <v>182.90250050089639</v>
      </c>
      <c r="AF9" s="5"/>
      <c r="AG9" s="5">
        <f si="6" t="shared"/>
        <v>-614.64637644240065</v>
      </c>
      <c r="AH9" s="5">
        <f si="7" t="shared"/>
        <v>0</v>
      </c>
      <c r="AI9" s="5">
        <f si="8" t="shared"/>
        <v>-11570.464795639156</v>
      </c>
      <c r="AK9" s="265">
        <v>394190</v>
      </c>
      <c r="AM9" s="5">
        <f si="9" t="shared"/>
        <v>-229873</v>
      </c>
    </row>
    <row r="10" spans="1:39" x14ac:dyDescent="0.2">
      <c r="A10" s="265" t="s">
        <v>28</v>
      </c>
      <c r="B10" s="5">
        <f>output_NHTS!B183</f>
        <v>49967.163326372502</v>
      </c>
      <c r="C10" s="5">
        <f>output_NHTS!C183</f>
        <v>7572.4979722401704</v>
      </c>
      <c r="D10" s="5">
        <f>output_NHTS!D183</f>
        <v>24548.122300078627</v>
      </c>
      <c r="E10" s="5">
        <f>output_NHTS!E183</f>
        <v>12238.964269697675</v>
      </c>
      <c r="F10" s="5">
        <f>output_NHTS!F183</f>
        <v>4571.5672147740752</v>
      </c>
      <c r="G10" s="5">
        <f>output_NHTS!G183</f>
        <v>873.19389448202321</v>
      </c>
      <c r="H10" s="5"/>
      <c r="I10" s="5">
        <f>output_NHTS!H183</f>
        <v>6975.2200261707976</v>
      </c>
      <c r="J10" s="5">
        <f>output_NHTS!I183</f>
        <v>0</v>
      </c>
      <c r="K10" s="5">
        <f>output_NHTS!J183</f>
        <v>106746.72900381587</v>
      </c>
      <c r="M10" s="265" t="s">
        <v>28</v>
      </c>
      <c r="N10" s="5">
        <f>output!B183</f>
        <v>44566</v>
      </c>
      <c r="O10" s="5">
        <f>output!C183</f>
        <v>6523</v>
      </c>
      <c r="P10" s="5">
        <f>output!D183</f>
        <v>22419</v>
      </c>
      <c r="Q10" s="5">
        <f>output!E183</f>
        <v>13426</v>
      </c>
      <c r="R10" s="5">
        <f>output!F183</f>
        <v>3898</v>
      </c>
      <c r="S10" s="5">
        <f>output!G183</f>
        <v>1242</v>
      </c>
      <c r="T10" s="5"/>
      <c r="U10" s="5">
        <f>output!H183</f>
        <v>6255</v>
      </c>
      <c r="V10" s="5">
        <f>output!I183</f>
        <v>0</v>
      </c>
      <c r="W10" s="5">
        <f>output!J183</f>
        <v>98329</v>
      </c>
      <c r="Y10" s="265" t="s">
        <v>28</v>
      </c>
      <c r="Z10" s="5">
        <f si="0" t="shared"/>
        <v>-5401.1633263725016</v>
      </c>
      <c r="AA10" s="5">
        <f si="1" t="shared"/>
        <v>-1049.4979722401704</v>
      </c>
      <c r="AB10" s="5">
        <f si="2" t="shared"/>
        <v>-2129.1223000786267</v>
      </c>
      <c r="AC10" s="5">
        <f si="3" t="shared"/>
        <v>1187.0357303023247</v>
      </c>
      <c r="AD10" s="5">
        <f si="4" t="shared"/>
        <v>-673.56721477407518</v>
      </c>
      <c r="AE10" s="5">
        <f si="5" t="shared"/>
        <v>368.80610551797679</v>
      </c>
      <c r="AF10" s="5"/>
      <c r="AG10" s="5">
        <f si="6" t="shared"/>
        <v>-720.22002617079761</v>
      </c>
      <c r="AH10" s="5">
        <f si="7" t="shared"/>
        <v>0</v>
      </c>
      <c r="AI10" s="5">
        <f si="8" t="shared"/>
        <v>-8417.7290038158681</v>
      </c>
      <c r="AK10" s="265">
        <v>166390</v>
      </c>
      <c r="AM10" s="5">
        <f si="9" t="shared"/>
        <v>-68061</v>
      </c>
    </row>
    <row r="11" spans="1:39" x14ac:dyDescent="0.2">
      <c r="A11" s="265" t="s">
        <v>29</v>
      </c>
      <c r="B11" s="5">
        <f>output_NHTS!B184</f>
        <v>83463.306692474158</v>
      </c>
      <c r="C11" s="5">
        <f>output_NHTS!C184</f>
        <v>16949.096854205571</v>
      </c>
      <c r="D11" s="5">
        <f>output_NHTS!D184</f>
        <v>36428.763891802089</v>
      </c>
      <c r="E11" s="5">
        <f>output_NHTS!E184</f>
        <v>38988.370276847389</v>
      </c>
      <c r="F11" s="5">
        <f>output_NHTS!F184</f>
        <v>5941.7383510973232</v>
      </c>
      <c r="G11" s="5">
        <f>output_NHTS!G184</f>
        <v>11227.316295214649</v>
      </c>
      <c r="H11" s="5"/>
      <c r="I11" s="5">
        <f>output_NHTS!H184</f>
        <v>56241.212437745249</v>
      </c>
      <c r="J11" s="5">
        <f>output_NHTS!I184</f>
        <v>0</v>
      </c>
      <c r="K11" s="5">
        <f>output_NHTS!J184</f>
        <v>249239.80479938642</v>
      </c>
      <c r="M11" s="265" t="s">
        <v>29</v>
      </c>
      <c r="N11" s="5">
        <f>output!B184</f>
        <v>75123</v>
      </c>
      <c r="O11" s="5">
        <f>output!C184</f>
        <v>15551</v>
      </c>
      <c r="P11" s="5">
        <f>output!D184</f>
        <v>34478</v>
      </c>
      <c r="Q11" s="5">
        <f>output!E184</f>
        <v>34710</v>
      </c>
      <c r="R11" s="5">
        <f>output!F184</f>
        <v>5988</v>
      </c>
      <c r="S11" s="5">
        <f>output!G184</f>
        <v>12291</v>
      </c>
      <c r="T11" s="5"/>
      <c r="U11" s="5">
        <f>output!H184</f>
        <v>46579</v>
      </c>
      <c r="V11" s="5">
        <f>output!I184</f>
        <v>0</v>
      </c>
      <c r="W11" s="5">
        <f>output!J184</f>
        <v>224720</v>
      </c>
      <c r="Y11" s="265" t="s">
        <v>29</v>
      </c>
      <c r="Z11" s="5">
        <f si="0" t="shared"/>
        <v>-8340.3066924741579</v>
      </c>
      <c r="AA11" s="5">
        <f si="1" t="shared"/>
        <v>-1398.0968542055707</v>
      </c>
      <c r="AB11" s="5">
        <f si="2" t="shared"/>
        <v>-1950.7638918020893</v>
      </c>
      <c r="AC11" s="5">
        <f si="3" t="shared"/>
        <v>-4278.3702768473886</v>
      </c>
      <c r="AD11" s="5">
        <f si="4" t="shared"/>
        <v>46.261648902676825</v>
      </c>
      <c r="AE11" s="5">
        <f si="5" t="shared"/>
        <v>1063.6837047853514</v>
      </c>
      <c r="AF11" s="5"/>
      <c r="AG11" s="5">
        <f si="6" t="shared"/>
        <v>-9662.2124377452492</v>
      </c>
      <c r="AH11" s="5">
        <f si="7" t="shared"/>
        <v>0</v>
      </c>
      <c r="AI11" s="5">
        <f si="8" t="shared"/>
        <v>-24519.804799386417</v>
      </c>
      <c r="AK11" s="265">
        <v>630330</v>
      </c>
      <c r="AM11" s="5">
        <f si="9" t="shared"/>
        <v>-405610</v>
      </c>
    </row>
    <row r="12" spans="1:39" x14ac:dyDescent="0.2">
      <c r="A12" s="265" t="s">
        <v>30</v>
      </c>
      <c r="B12" s="5">
        <f>output_NHTS!B185</f>
        <v>118546.15785314803</v>
      </c>
      <c r="C12" s="5">
        <f>output_NHTS!C185</f>
        <v>6217.0090197566597</v>
      </c>
      <c r="D12" s="5">
        <f>output_NHTS!D185</f>
        <v>0</v>
      </c>
      <c r="E12" s="5">
        <f>output_NHTS!E185</f>
        <v>144.71307474982191</v>
      </c>
      <c r="F12" s="5">
        <f>output_NHTS!F185</f>
        <v>115.6107579511787</v>
      </c>
      <c r="G12" s="5">
        <f>output_NHTS!G185</f>
        <v>0</v>
      </c>
      <c r="H12" s="5"/>
      <c r="I12" s="5">
        <f>output_NHTS!H185</f>
        <v>0</v>
      </c>
      <c r="J12" s="5">
        <f>output_NHTS!I185</f>
        <v>0</v>
      </c>
      <c r="K12" s="5">
        <f>output_NHTS!J185</f>
        <v>125023.49070560568</v>
      </c>
      <c r="M12" s="265" t="s">
        <v>30</v>
      </c>
      <c r="N12" s="5">
        <f>output!B185</f>
        <v>96124</v>
      </c>
      <c r="O12" s="5">
        <f>output!C185</f>
        <v>6542</v>
      </c>
      <c r="P12" s="5">
        <f>output!D185</f>
        <v>0</v>
      </c>
      <c r="Q12" s="5">
        <f>output!E185</f>
        <v>0</v>
      </c>
      <c r="R12" s="5">
        <f>output!F185</f>
        <v>1231</v>
      </c>
      <c r="S12" s="5">
        <f>output!G185</f>
        <v>304</v>
      </c>
      <c r="T12" s="5"/>
      <c r="U12" s="5">
        <f>output!H185</f>
        <v>0</v>
      </c>
      <c r="V12" s="5">
        <f>output!I185</f>
        <v>0</v>
      </c>
      <c r="W12" s="5">
        <f>output!J185</f>
        <v>104201</v>
      </c>
      <c r="Y12" s="265" t="s">
        <v>30</v>
      </c>
      <c r="Z12" s="5">
        <f si="0" t="shared"/>
        <v>-22422.157853148034</v>
      </c>
      <c r="AA12" s="5">
        <f si="1" t="shared"/>
        <v>324.99098024334035</v>
      </c>
      <c r="AB12" s="5">
        <f si="2" t="shared"/>
        <v>0</v>
      </c>
      <c r="AC12" s="5">
        <f si="3" t="shared"/>
        <v>-144.71307474982191</v>
      </c>
      <c r="AD12" s="5">
        <f si="4" t="shared"/>
        <v>1115.3892420488214</v>
      </c>
      <c r="AE12" s="5">
        <f si="5" t="shared"/>
        <v>304</v>
      </c>
      <c r="AF12" s="5"/>
      <c r="AG12" s="5">
        <f si="6" t="shared"/>
        <v>0</v>
      </c>
      <c r="AH12" s="5">
        <f si="7" t="shared"/>
        <v>0</v>
      </c>
      <c r="AI12" s="5">
        <f si="8" t="shared"/>
        <v>-20822.490705605684</v>
      </c>
      <c r="AK12" s="265">
        <v>147120</v>
      </c>
      <c r="AM12" s="5">
        <f si="9" t="shared"/>
        <v>-42919</v>
      </c>
    </row>
    <row customHeight="1" ht="13.15" r="13" spans="1:39" thickBot="1" x14ac:dyDescent="0.25">
      <c r="A13" s="8" t="s">
        <v>4</v>
      </c>
      <c r="B13" s="9">
        <f ref="B13:G13" si="10" t="shared">SUM(B5:B12)</f>
        <v>1186960.6327676964</v>
      </c>
      <c r="C13" s="9">
        <f si="10" t="shared"/>
        <v>156931.4284527665</v>
      </c>
      <c r="D13" s="9">
        <f si="10" t="shared"/>
        <v>205379.46754476099</v>
      </c>
      <c r="E13" s="9">
        <f si="10" t="shared"/>
        <v>231791.08085735227</v>
      </c>
      <c r="F13" s="9">
        <f si="10" t="shared"/>
        <v>57170.733888223353</v>
      </c>
      <c r="G13" s="9">
        <f si="10" t="shared"/>
        <v>65767.227655675393</v>
      </c>
      <c r="H13" s="9"/>
      <c r="I13" s="9">
        <f>SUM(I5:I12)</f>
        <v>305978.08076360234</v>
      </c>
      <c r="J13" s="9">
        <f>SUM(J5:J12)</f>
        <v>0</v>
      </c>
      <c r="K13" s="9">
        <f>SUM(K5:K12)</f>
        <v>2209978.6519300775</v>
      </c>
      <c r="M13" s="8" t="s">
        <v>4</v>
      </c>
      <c r="N13" s="9">
        <f ref="N13:S13" si="11" t="shared">SUM(N5:N12)</f>
        <v>1031872</v>
      </c>
      <c r="O13" s="9">
        <f si="11" t="shared"/>
        <v>138388</v>
      </c>
      <c r="P13" s="9">
        <f si="11" t="shared"/>
        <v>186741</v>
      </c>
      <c r="Q13" s="9">
        <f si="11" t="shared"/>
        <v>205242</v>
      </c>
      <c r="R13" s="9">
        <f si="11" t="shared"/>
        <v>54701</v>
      </c>
      <c r="S13" s="9">
        <f si="11" t="shared"/>
        <v>60926</v>
      </c>
      <c r="T13" s="9"/>
      <c r="U13" s="9">
        <f>SUM(U5:U12)</f>
        <v>263705</v>
      </c>
      <c r="V13" s="9">
        <f>SUM(V5:V12)</f>
        <v>0</v>
      </c>
      <c r="W13" s="9">
        <f>SUM(W5:W12)</f>
        <v>1941575</v>
      </c>
      <c r="Y13" s="8" t="s">
        <v>4</v>
      </c>
      <c r="Z13" s="9">
        <f si="0" t="shared"/>
        <v>-155088.6327676964</v>
      </c>
      <c r="AA13" s="9">
        <f si="1" t="shared"/>
        <v>-18543.4284527665</v>
      </c>
      <c r="AB13" s="9">
        <f si="2" t="shared"/>
        <v>-18638.467544760992</v>
      </c>
      <c r="AC13" s="9">
        <f si="3" t="shared"/>
        <v>-26549.080857352266</v>
      </c>
      <c r="AD13" s="9">
        <f si="4" t="shared"/>
        <v>-2469.7338882233526</v>
      </c>
      <c r="AE13" s="9">
        <f si="5" t="shared"/>
        <v>-4841.2276556753932</v>
      </c>
      <c r="AF13" s="9"/>
      <c r="AG13" s="9">
        <f si="6" t="shared"/>
        <v>-42273.080763602338</v>
      </c>
      <c r="AH13" s="9">
        <f si="7" t="shared"/>
        <v>0</v>
      </c>
      <c r="AI13" s="9">
        <f si="8" t="shared"/>
        <v>-268403.65193007747</v>
      </c>
      <c r="AK13" s="265">
        <v>4970170</v>
      </c>
      <c r="AM13" s="5">
        <f si="9" t="shared"/>
        <v>-3028595</v>
      </c>
    </row>
    <row r="14" spans="1:39" x14ac:dyDescent="0.2">
      <c r="B14" s="5"/>
      <c r="C14" s="5"/>
      <c r="D14" s="5"/>
      <c r="E14" s="5"/>
      <c r="F14" s="5"/>
      <c r="G14" s="5"/>
      <c r="H14" s="5"/>
      <c r="I14" s="5"/>
      <c r="J14" s="5"/>
      <c r="K14" s="5"/>
      <c r="N14" s="5"/>
      <c r="O14" s="5"/>
      <c r="P14" s="5"/>
      <c r="Q14" s="5"/>
      <c r="R14" s="5"/>
      <c r="S14" s="5"/>
      <c r="T14" s="5"/>
      <c r="U14" s="5"/>
      <c r="V14" s="5"/>
      <c r="W14" s="5"/>
      <c r="Z14" s="5"/>
      <c r="AA14" s="5"/>
      <c r="AB14" s="5"/>
      <c r="AC14" s="5"/>
      <c r="AD14" s="5"/>
      <c r="AE14" s="5"/>
      <c r="AF14" s="5"/>
      <c r="AG14" s="5"/>
      <c r="AH14" s="5"/>
      <c r="AI14" s="5"/>
    </row>
    <row r="15" spans="1:39" x14ac:dyDescent="0.2">
      <c r="A15" s="265" t="s">
        <v>174</v>
      </c>
      <c r="B15" s="5">
        <f>output_NHTS!B306</f>
        <v>852014.9999999993</v>
      </c>
      <c r="C15" s="5">
        <f>output_NHTS!B307</f>
        <v>108625</v>
      </c>
      <c r="D15" s="5">
        <f>output_NHTS!B308</f>
        <v>215410.00000000029</v>
      </c>
      <c r="E15" s="5">
        <f>output_NHTS!B309</f>
        <v>202915.0000000002</v>
      </c>
      <c r="F15" s="5">
        <f>output_NHTS!B310</f>
        <v>64632.999999999993</v>
      </c>
      <c r="G15" s="5">
        <f>output_NHTS!B311</f>
        <v>55502.000000000007</v>
      </c>
      <c r="H15" s="5"/>
      <c r="I15" s="5">
        <f>output_NHTS!B312</f>
        <v>267121.00000000006</v>
      </c>
      <c r="J15" s="5">
        <f>output_NHTS!B313</f>
        <v>0</v>
      </c>
      <c r="K15" s="5">
        <f>SUM(B15:J15)</f>
        <v>1766220.9999999998</v>
      </c>
      <c r="M15" s="265" t="s">
        <v>174</v>
      </c>
      <c r="N15" s="5">
        <f>output!B306</f>
        <v>852015</v>
      </c>
      <c r="O15" s="5">
        <f>output!B307</f>
        <v>108625</v>
      </c>
      <c r="P15" s="5">
        <f>output!B308</f>
        <v>215410</v>
      </c>
      <c r="Q15" s="5">
        <f>output!B309</f>
        <v>202915</v>
      </c>
      <c r="R15" s="5">
        <f>output!B310</f>
        <v>64633</v>
      </c>
      <c r="S15" s="5">
        <f>output!B311</f>
        <v>55502</v>
      </c>
      <c r="T15" s="5"/>
      <c r="U15" s="5">
        <f>output!B312</f>
        <v>267121</v>
      </c>
      <c r="V15" s="5">
        <f>output!B313</f>
        <v>0</v>
      </c>
      <c r="W15" s="5">
        <f>SUM(N15:V15)</f>
        <v>1766221</v>
      </c>
      <c r="Y15" s="265" t="s">
        <v>174</v>
      </c>
      <c r="Z15" s="5">
        <f ref="Z15:AE16" si="12" t="shared">N15-B15</f>
        <v>0</v>
      </c>
      <c r="AA15" s="5">
        <f si="12" t="shared"/>
        <v>0</v>
      </c>
      <c r="AB15" s="5">
        <f si="12" t="shared"/>
        <v>-2.9103830456733704E-10</v>
      </c>
      <c r="AC15" s="5">
        <f si="12" t="shared"/>
        <v>0</v>
      </c>
      <c r="AD15" s="5">
        <f si="12" t="shared"/>
        <v>0</v>
      </c>
      <c r="AE15" s="5">
        <f si="12" t="shared"/>
        <v>0</v>
      </c>
      <c r="AF15" s="5"/>
      <c r="AG15" s="5">
        <f ref="AG15:AI16" si="13" t="shared">U15-I15</f>
        <v>0</v>
      </c>
      <c r="AH15" s="5">
        <f si="13" t="shared"/>
        <v>0</v>
      </c>
      <c r="AI15" s="5">
        <f si="13" t="shared"/>
        <v>0</v>
      </c>
    </row>
    <row r="16" spans="1:39" x14ac:dyDescent="0.2">
      <c r="A16" s="265" t="s">
        <v>175</v>
      </c>
      <c r="B16" s="218">
        <f ref="B16:G16" si="14" t="shared">B13/B15</f>
        <v>1.3931217557997186</v>
      </c>
      <c r="C16" s="218">
        <f si="14" t="shared"/>
        <v>1.4447082020968147</v>
      </c>
      <c r="D16" s="218">
        <f si="14" t="shared"/>
        <v>0.95343515874268003</v>
      </c>
      <c r="E16" s="218">
        <f si="14" t="shared"/>
        <v>1.1423062901084298</v>
      </c>
      <c r="F16" s="218">
        <f si="14" t="shared"/>
        <v>0.88454402376840557</v>
      </c>
      <c r="G16" s="218">
        <f si="14" t="shared"/>
        <v>1.1849523919079561</v>
      </c>
      <c r="H16" s="218"/>
      <c r="I16" s="218">
        <f>I13/I15</f>
        <v>1.145466214800043</v>
      </c>
      <c r="J16" s="218" t="e">
        <f>J13/J15</f>
        <v>#DIV/0!</v>
      </c>
      <c r="K16" s="218">
        <f>K13/K15</f>
        <v>1.2512469571645213</v>
      </c>
      <c r="M16" s="265" t="s">
        <v>175</v>
      </c>
      <c r="N16" s="218">
        <f ref="N16:S16" si="15" t="shared">N13/N15</f>
        <v>1.2110960487784839</v>
      </c>
      <c r="O16" s="218">
        <f si="15" t="shared"/>
        <v>1.2739976985040276</v>
      </c>
      <c r="P16" s="218">
        <f si="15" t="shared"/>
        <v>0.86690961422403789</v>
      </c>
      <c r="Q16" s="218">
        <f si="15" t="shared"/>
        <v>1.0114678559988173</v>
      </c>
      <c r="R16" s="218">
        <f si="15" t="shared"/>
        <v>0.84633236891371277</v>
      </c>
      <c r="S16" s="218">
        <f si="15" t="shared"/>
        <v>1.0977262080645742</v>
      </c>
      <c r="T16" s="218"/>
      <c r="U16" s="218">
        <f>U13/U15</f>
        <v>0.98721178791633757</v>
      </c>
      <c r="V16" s="218" t="e">
        <f>V13/V15</f>
        <v>#DIV/0!</v>
      </c>
      <c r="W16" s="218">
        <f>W13/W15</f>
        <v>1.0992820264281764</v>
      </c>
      <c r="Y16" s="265" t="s">
        <v>175</v>
      </c>
      <c r="Z16" s="218">
        <f si="12" t="shared"/>
        <v>-0.18202570702123477</v>
      </c>
      <c r="AA16" s="218">
        <f si="12" t="shared"/>
        <v>-0.17071050359278717</v>
      </c>
      <c r="AB16" s="218">
        <f si="12" t="shared"/>
        <v>-8.6525544518642139E-2</v>
      </c>
      <c r="AC16" s="218">
        <f si="12" t="shared"/>
        <v>-0.13083843410961249</v>
      </c>
      <c r="AD16" s="218">
        <f si="12" t="shared"/>
        <v>-3.82116548546928E-2</v>
      </c>
      <c r="AE16" s="218">
        <f si="12" t="shared"/>
        <v>-8.7226183843381877E-2</v>
      </c>
      <c r="AF16" s="218"/>
      <c r="AG16" s="218">
        <f si="13" t="shared"/>
        <v>-0.15825442688370539</v>
      </c>
      <c r="AH16" s="218" t="e">
        <f si="13" t="shared"/>
        <v>#DIV/0!</v>
      </c>
      <c r="AI16" s="218">
        <f si="13" t="shared"/>
        <v>-0.15196493073634487</v>
      </c>
    </row>
    <row customHeight="1" ht="13.15" r="19" spans="1:35" x14ac:dyDescent="0.2">
      <c r="A19" s="264" t="s">
        <v>41</v>
      </c>
      <c r="M19" s="264" t="s">
        <v>41</v>
      </c>
      <c r="Y19" s="264" t="s">
        <v>41</v>
      </c>
    </row>
    <row customHeight="1" ht="13.15" r="20" spans="1:35" x14ac:dyDescent="0.2">
      <c r="A20" s="264" t="s">
        <v>176</v>
      </c>
      <c r="M20" s="264" t="s">
        <v>177</v>
      </c>
      <c r="Y20" s="264" t="s">
        <v>178</v>
      </c>
    </row>
    <row customHeight="1" ht="13.5" r="21" spans="1:35" thickBo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N21" s="2"/>
      <c r="O21" s="2"/>
      <c r="P21" s="2"/>
      <c r="Q21" s="2"/>
      <c r="R21" s="2"/>
      <c r="S21" s="2"/>
      <c r="T21" s="2"/>
      <c r="U21" s="2"/>
      <c r="V21" s="2"/>
      <c r="W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customHeight="1" ht="13.15" r="22" spans="1:35" x14ac:dyDescent="0.2">
      <c r="A22" s="3" t="s">
        <v>22</v>
      </c>
      <c r="B22" s="4" t="s">
        <v>12</v>
      </c>
      <c r="C22" s="4" t="s">
        <v>13</v>
      </c>
      <c r="D22" s="4" t="s">
        <v>14</v>
      </c>
      <c r="E22" s="4" t="s">
        <v>15</v>
      </c>
      <c r="F22" s="4" t="s">
        <v>16</v>
      </c>
      <c r="G22" s="4" t="s">
        <v>17</v>
      </c>
      <c r="H22" s="4"/>
      <c r="I22" s="4" t="s">
        <v>18</v>
      </c>
      <c r="J22" s="4" t="s">
        <v>19</v>
      </c>
      <c r="K22" s="4" t="s">
        <v>4</v>
      </c>
      <c r="M22" s="3" t="s">
        <v>22</v>
      </c>
      <c r="N22" s="4" t="s">
        <v>12</v>
      </c>
      <c r="O22" s="4" t="s">
        <v>13</v>
      </c>
      <c r="P22" s="4" t="s">
        <v>14</v>
      </c>
      <c r="Q22" s="4" t="s">
        <v>15</v>
      </c>
      <c r="R22" s="4" t="s">
        <v>16</v>
      </c>
      <c r="S22" s="4" t="s">
        <v>17</v>
      </c>
      <c r="T22" s="4"/>
      <c r="U22" s="4" t="s">
        <v>18</v>
      </c>
      <c r="V22" s="4" t="s">
        <v>19</v>
      </c>
      <c r="W22" s="4" t="s">
        <v>4</v>
      </c>
      <c r="Y22" s="3" t="s">
        <v>22</v>
      </c>
      <c r="Z22" s="4" t="s">
        <v>12</v>
      </c>
      <c r="AA22" s="4" t="s">
        <v>13</v>
      </c>
      <c r="AB22" s="4" t="s">
        <v>14</v>
      </c>
      <c r="AC22" s="4" t="s">
        <v>15</v>
      </c>
      <c r="AD22" s="4" t="s">
        <v>16</v>
      </c>
      <c r="AE22" s="4" t="s">
        <v>17</v>
      </c>
      <c r="AF22" s="4"/>
      <c r="AG22" s="4" t="s">
        <v>18</v>
      </c>
      <c r="AH22" s="4" t="s">
        <v>19</v>
      </c>
      <c r="AI22" s="4" t="s">
        <v>4</v>
      </c>
    </row>
    <row r="23" spans="1:35" x14ac:dyDescent="0.2">
      <c r="A23" s="265" t="s">
        <v>23</v>
      </c>
      <c r="B23" s="10">
        <f ref="B23:G31" si="16" t="shared">B5/B$13</f>
        <v>0.60058405956392202</v>
      </c>
      <c r="C23" s="10">
        <f si="16" t="shared"/>
        <v>0.38865599843475868</v>
      </c>
      <c r="D23" s="10">
        <f si="16" t="shared"/>
        <v>1.9604493247868608E-2</v>
      </c>
      <c r="E23" s="10">
        <f si="16" t="shared"/>
        <v>5.2892669900433432E-2</v>
      </c>
      <c r="F23" s="10">
        <f si="16" t="shared"/>
        <v>0.22328591278596469</v>
      </c>
      <c r="G23" s="10">
        <f si="16" t="shared"/>
        <v>3.4635919006212053E-2</v>
      </c>
      <c r="H23" s="10"/>
      <c r="I23" s="10">
        <f ref="I23:K31" si="17" t="shared">I5/I$13</f>
        <v>1.7445939015382612E-3</v>
      </c>
      <c r="J23" s="10">
        <f>IF(J$13&gt;0,J5/J$13,0)</f>
        <v>0</v>
      </c>
      <c r="K23" s="10">
        <f si="17" t="shared"/>
        <v>0.36458520563215391</v>
      </c>
      <c r="M23" s="265" t="s">
        <v>23</v>
      </c>
      <c r="N23" s="10">
        <f ref="N23:S31" si="18" t="shared">N5/N$13</f>
        <v>0.58759129039260682</v>
      </c>
      <c r="O23" s="10">
        <f si="18" t="shared"/>
        <v>0.38688325577362198</v>
      </c>
      <c r="P23" s="10">
        <f si="18" t="shared"/>
        <v>0</v>
      </c>
      <c r="Q23" s="10">
        <f si="18" t="shared"/>
        <v>0</v>
      </c>
      <c r="R23" s="10">
        <f si="18" t="shared"/>
        <v>0.22420065446701157</v>
      </c>
      <c r="S23" s="10">
        <f si="18" t="shared"/>
        <v>3.8472901552703283E-2</v>
      </c>
      <c r="T23" s="10"/>
      <c r="U23" s="10">
        <f ref="U23:W31" si="19" t="shared">U5/U$13</f>
        <v>0</v>
      </c>
      <c r="V23" s="10">
        <f>IF(V$13&gt;0,V5/V$13,0)</f>
        <v>0</v>
      </c>
      <c r="W23" s="10">
        <f si="19" t="shared"/>
        <v>0.34738137852001599</v>
      </c>
      <c r="Y23" s="265" t="s">
        <v>23</v>
      </c>
      <c r="Z23" s="10">
        <f ref="Z23:Z31" si="20" t="shared">N23-B23</f>
        <v>-1.2992769171315199E-2</v>
      </c>
      <c r="AA23" s="10">
        <f ref="AA23:AA31" si="21" t="shared">O23-C23</f>
        <v>-1.7727426611366948E-3</v>
      </c>
      <c r="AB23" s="10">
        <f ref="AB23:AB31" si="22" t="shared">P23-D23</f>
        <v>-1.9604493247868608E-2</v>
      </c>
      <c r="AC23" s="10">
        <f ref="AC23:AC31" si="23" t="shared">Q23-E23</f>
        <v>-5.2892669900433432E-2</v>
      </c>
      <c r="AD23" s="10">
        <f ref="AD23:AD31" si="24" t="shared">R23-F23</f>
        <v>9.1474168104688225E-4</v>
      </c>
      <c r="AE23" s="10">
        <f ref="AE23:AE31" si="25" t="shared">S23-G23</f>
        <v>3.8369825464912299E-3</v>
      </c>
      <c r="AF23" s="10"/>
      <c r="AG23" s="10">
        <f ref="AG23:AG31" si="26" t="shared">U23-I23</f>
        <v>-1.7445939015382612E-3</v>
      </c>
      <c r="AH23" s="10">
        <f ref="AH23:AH31" si="27" t="shared">V23-J23</f>
        <v>0</v>
      </c>
      <c r="AI23" s="10">
        <f ref="AI23:AI31" si="28" t="shared">W23-K23</f>
        <v>-1.7203827112137915E-2</v>
      </c>
    </row>
    <row r="24" spans="1:35" x14ac:dyDescent="0.2">
      <c r="A24" s="265" t="s">
        <v>24</v>
      </c>
      <c r="B24" s="10">
        <f si="16" t="shared"/>
        <v>6.590253531351755E-3</v>
      </c>
      <c r="C24" s="10">
        <f si="16" t="shared"/>
        <v>8.2977602181194456E-3</v>
      </c>
      <c r="D24" s="10">
        <f si="16" t="shared"/>
        <v>1.8972280717581332E-3</v>
      </c>
      <c r="E24" s="10">
        <f si="16" t="shared"/>
        <v>1.0164005043995733E-2</v>
      </c>
      <c r="F24" s="10">
        <f si="16" t="shared"/>
        <v>0.28270763444932157</v>
      </c>
      <c r="G24" s="10">
        <f si="16" t="shared"/>
        <v>0.60691132081206012</v>
      </c>
      <c r="H24" s="10"/>
      <c r="I24" s="10">
        <f si="17" t="shared"/>
        <v>0.66216625620833158</v>
      </c>
      <c r="J24" s="10">
        <f ref="J24:J30" si="29" t="shared">IF(J$13&gt;0,J6/J$13,0)</f>
        <v>0</v>
      </c>
      <c r="K24" s="10">
        <f si="17" t="shared"/>
        <v>0.12242469681619661</v>
      </c>
      <c r="M24" s="265" t="s">
        <v>24</v>
      </c>
      <c r="N24" s="10">
        <f si="18" t="shared"/>
        <v>8.640606586863487E-3</v>
      </c>
      <c r="O24" s="10">
        <f si="18" t="shared"/>
        <v>0</v>
      </c>
      <c r="P24" s="10">
        <f si="18" t="shared"/>
        <v>0</v>
      </c>
      <c r="Q24" s="10">
        <f si="18" t="shared"/>
        <v>0</v>
      </c>
      <c r="R24" s="10">
        <f si="18" t="shared"/>
        <v>0.25346885797334601</v>
      </c>
      <c r="S24" s="10">
        <f si="18" t="shared"/>
        <v>0.5504382365492565</v>
      </c>
      <c r="T24" s="10"/>
      <c r="U24" s="10">
        <f si="19" t="shared"/>
        <v>0.66537987523937736</v>
      </c>
      <c r="V24" s="10">
        <f ref="V24:V30" si="30" t="shared">IF(V$13&gt;0,V6/V$13,0)</f>
        <v>0</v>
      </c>
      <c r="W24" s="10">
        <f si="19" t="shared"/>
        <v>0.11937782470417058</v>
      </c>
      <c r="Y24" s="265" t="s">
        <v>24</v>
      </c>
      <c r="Z24" s="10">
        <f si="20" t="shared"/>
        <v>2.0503530555117319E-3</v>
      </c>
      <c r="AA24" s="10">
        <f si="21" t="shared"/>
        <v>-8.2977602181194456E-3</v>
      </c>
      <c r="AB24" s="10">
        <f si="22" t="shared"/>
        <v>-1.8972280717581332E-3</v>
      </c>
      <c r="AC24" s="10">
        <f si="23" t="shared"/>
        <v>-1.0164005043995733E-2</v>
      </c>
      <c r="AD24" s="10">
        <f si="24" t="shared"/>
        <v>-2.9238776475975559E-2</v>
      </c>
      <c r="AE24" s="10">
        <f si="25" t="shared"/>
        <v>-5.6473084262803619E-2</v>
      </c>
      <c r="AF24" s="10"/>
      <c r="AG24" s="10">
        <f si="26" t="shared"/>
        <v>3.213619031045778E-3</v>
      </c>
      <c r="AH24" s="10">
        <f si="27" t="shared"/>
        <v>0</v>
      </c>
      <c r="AI24" s="10">
        <f si="28" t="shared"/>
        <v>-3.0468721120260334E-3</v>
      </c>
    </row>
    <row r="25" spans="1:35" x14ac:dyDescent="0.2">
      <c r="A25" s="265" t="s">
        <v>25</v>
      </c>
      <c r="B25" s="10">
        <f si="16" t="shared"/>
        <v>6.4464046534895306E-2</v>
      </c>
      <c r="C25" s="10">
        <f si="16" t="shared"/>
        <v>0.17300270707694793</v>
      </c>
      <c r="D25" s="10">
        <f si="16" t="shared"/>
        <v>9.0295315575276938E-2</v>
      </c>
      <c r="E25" s="10">
        <f si="16" t="shared"/>
        <v>0.30187796329666394</v>
      </c>
      <c r="F25" s="10">
        <f si="16" t="shared"/>
        <v>0.11554973225496762</v>
      </c>
      <c r="G25" s="10">
        <f si="16" t="shared"/>
        <v>5.2379202316179263E-2</v>
      </c>
      <c r="H25" s="10"/>
      <c r="I25" s="10">
        <f si="17" t="shared"/>
        <v>3.655955085938916E-2</v>
      </c>
      <c r="J25" s="10">
        <f si="29" t="shared"/>
        <v>0</v>
      </c>
      <c r="K25" s="10">
        <f si="17" t="shared"/>
        <v>9.6571335466834954E-2</v>
      </c>
      <c r="M25" s="265" t="s">
        <v>25</v>
      </c>
      <c r="N25" s="10">
        <f si="18" t="shared"/>
        <v>7.3021653848539356E-2</v>
      </c>
      <c r="O25" s="10">
        <f si="18" t="shared"/>
        <v>0.16505043789923982</v>
      </c>
      <c r="P25" s="10">
        <f si="18" t="shared"/>
        <v>8.0367996315752838E-2</v>
      </c>
      <c r="Q25" s="10">
        <f si="18" t="shared"/>
        <v>0.29774120306759827</v>
      </c>
      <c r="R25" s="10">
        <f si="18" t="shared"/>
        <v>0.1071826840459955</v>
      </c>
      <c r="S25" s="10">
        <f si="18" t="shared"/>
        <v>5.045464990316121E-2</v>
      </c>
      <c r="T25" s="10"/>
      <c r="U25" s="10">
        <f si="19" t="shared"/>
        <v>3.9711040746288465E-2</v>
      </c>
      <c r="V25" s="10">
        <f si="30" t="shared"/>
        <v>0</v>
      </c>
      <c r="W25" s="10">
        <f si="19" t="shared"/>
        <v>9.9772607290472937E-2</v>
      </c>
      <c r="Y25" s="265" t="s">
        <v>25</v>
      </c>
      <c r="Z25" s="10">
        <f si="20" t="shared"/>
        <v>8.55760731364405E-3</v>
      </c>
      <c r="AA25" s="10">
        <f si="21" t="shared"/>
        <v>-7.95226917770811E-3</v>
      </c>
      <c r="AB25" s="10">
        <f si="22" t="shared"/>
        <v>-9.9273192595241005E-3</v>
      </c>
      <c r="AC25" s="10">
        <f si="23" t="shared"/>
        <v>-4.1367602290656724E-3</v>
      </c>
      <c r="AD25" s="10">
        <f si="24" t="shared"/>
        <v>-8.3670482089721193E-3</v>
      </c>
      <c r="AE25" s="10">
        <f si="25" t="shared"/>
        <v>-1.9245524130180533E-3</v>
      </c>
      <c r="AF25" s="10"/>
      <c r="AG25" s="10">
        <f si="26" t="shared"/>
        <v>3.1514898868993044E-3</v>
      </c>
      <c r="AH25" s="10">
        <f si="27" t="shared"/>
        <v>0</v>
      </c>
      <c r="AI25" s="10">
        <f si="28" t="shared"/>
        <v>3.2012718236379828E-3</v>
      </c>
    </row>
    <row r="26" spans="1:35" x14ac:dyDescent="0.2">
      <c r="A26" s="265" t="s">
        <v>26</v>
      </c>
      <c r="B26" s="10">
        <f si="16" t="shared"/>
        <v>7.0255567080525258E-2</v>
      </c>
      <c r="C26" s="10">
        <f si="16" t="shared"/>
        <v>0.13123063883273628</v>
      </c>
      <c r="D26" s="10">
        <f si="16" t="shared"/>
        <v>0.37343265891987765</v>
      </c>
      <c r="E26" s="10">
        <f si="16" t="shared"/>
        <v>0.22295602371236739</v>
      </c>
      <c r="F26" s="10">
        <f si="16" t="shared"/>
        <v>9.3023961601954891E-2</v>
      </c>
      <c r="G26" s="10">
        <f si="16" t="shared"/>
        <v>9.2964260289945241E-2</v>
      </c>
      <c r="H26" s="10"/>
      <c r="I26" s="10">
        <f si="17" t="shared"/>
        <v>6.4015739147315495E-2</v>
      </c>
      <c r="J26" s="10">
        <f si="29" t="shared"/>
        <v>0</v>
      </c>
      <c r="K26" s="10">
        <f si="17" t="shared"/>
        <v>0.11917720785950651</v>
      </c>
      <c r="M26" s="265" t="s">
        <v>26</v>
      </c>
      <c r="N26" s="10">
        <f si="18" t="shared"/>
        <v>7.4377442163369098E-2</v>
      </c>
      <c r="O26" s="10">
        <f si="18" t="shared"/>
        <v>0.13535133104026362</v>
      </c>
      <c r="P26" s="10">
        <f si="18" t="shared"/>
        <v>0.37892589201085997</v>
      </c>
      <c r="Q26" s="10">
        <f si="18" t="shared"/>
        <v>0.27053429609923896</v>
      </c>
      <c r="R26" s="10">
        <f si="18" t="shared"/>
        <v>0.10124129357781393</v>
      </c>
      <c r="S26" s="10">
        <f si="18" t="shared"/>
        <v>9.9087417522896626E-2</v>
      </c>
      <c r="T26" s="10"/>
      <c r="U26" s="10">
        <f si="19" t="shared"/>
        <v>6.3343508845111016E-2</v>
      </c>
      <c r="V26" s="10">
        <f si="30" t="shared"/>
        <v>0</v>
      </c>
      <c r="W26" s="10">
        <f si="19" t="shared"/>
        <v>0.12878410568739296</v>
      </c>
      <c r="Y26" s="265" t="s">
        <v>26</v>
      </c>
      <c r="Z26" s="10">
        <f si="20" t="shared"/>
        <v>4.12187508284384E-3</v>
      </c>
      <c r="AA26" s="10">
        <f si="21" t="shared"/>
        <v>4.1206922075273378E-3</v>
      </c>
      <c r="AB26" s="10">
        <f si="22" t="shared"/>
        <v>5.493233090982319E-3</v>
      </c>
      <c r="AC26" s="10">
        <f si="23" t="shared"/>
        <v>4.7578272386871567E-2</v>
      </c>
      <c r="AD26" s="10">
        <f si="24" t="shared"/>
        <v>8.2173319758590407E-3</v>
      </c>
      <c r="AE26" s="10">
        <f si="25" t="shared"/>
        <v>6.1231572329513845E-3</v>
      </c>
      <c r="AF26" s="10"/>
      <c r="AG26" s="10">
        <f si="26" t="shared"/>
        <v>-6.7223030220447955E-4</v>
      </c>
      <c r="AH26" s="10">
        <f si="27" t="shared"/>
        <v>0</v>
      </c>
      <c r="AI26" s="10">
        <f si="28" t="shared"/>
        <v>9.6068978278864431E-3</v>
      </c>
    </row>
    <row r="27" spans="1:35" x14ac:dyDescent="0.2">
      <c r="A27" s="265" t="s">
        <v>27</v>
      </c>
      <c r="B27" s="10">
        <f si="16" t="shared"/>
        <v>4.5818807043206171E-2</v>
      </c>
      <c r="C27" s="10">
        <f si="16" t="shared"/>
        <v>0.10294006008977385</v>
      </c>
      <c r="D27" s="10">
        <f si="16" t="shared"/>
        <v>0.21787165642437953</v>
      </c>
      <c r="E27" s="10">
        <f si="16" t="shared"/>
        <v>0.19047851674280694</v>
      </c>
      <c r="F27" s="10">
        <f si="16" t="shared"/>
        <v>9.9517420745374494E-2</v>
      </c>
      <c r="G27" s="10">
        <f si="16" t="shared"/>
        <v>2.9119328391423231E-2</v>
      </c>
      <c r="H27" s="10"/>
      <c r="I27" s="10">
        <f si="17" t="shared"/>
        <v>2.890941192377933E-2</v>
      </c>
      <c r="J27" s="10">
        <f si="29" t="shared"/>
        <v>0</v>
      </c>
      <c r="K27" s="10">
        <f si="17" t="shared"/>
        <v>7.9587856942431742E-2</v>
      </c>
      <c r="M27" s="265" t="s">
        <v>27</v>
      </c>
      <c r="N27" s="10">
        <f si="18" t="shared"/>
        <v>4.7221942256403894E-2</v>
      </c>
      <c r="O27" s="10">
        <f si="18" t="shared"/>
        <v>0.10593404052374483</v>
      </c>
      <c r="P27" s="10">
        <f si="18" t="shared"/>
        <v>0.2360220840629535</v>
      </c>
      <c r="Q27" s="10">
        <f si="18" t="shared"/>
        <v>0.19719160795548668</v>
      </c>
      <c r="R27" s="10">
        <f si="18" t="shared"/>
        <v>0.11067439352114221</v>
      </c>
      <c r="S27" s="10">
        <f si="18" t="shared"/>
        <v>3.4435216492138002E-2</v>
      </c>
      <c r="T27" s="10"/>
      <c r="U27" s="10">
        <f si="19" t="shared"/>
        <v>3.121290836351226E-2</v>
      </c>
      <c r="V27" s="10">
        <f si="30" t="shared"/>
        <v>0</v>
      </c>
      <c r="W27" s="10">
        <f si="19" t="shared"/>
        <v>8.4630776560266796E-2</v>
      </c>
      <c r="Y27" s="265" t="s">
        <v>27</v>
      </c>
      <c r="Z27" s="10">
        <f si="20" t="shared"/>
        <v>1.4031352131977232E-3</v>
      </c>
      <c r="AA27" s="10">
        <f si="21" t="shared"/>
        <v>2.9939804339709775E-3</v>
      </c>
      <c r="AB27" s="10">
        <f si="22" t="shared"/>
        <v>1.8150427638573968E-2</v>
      </c>
      <c r="AC27" s="10">
        <f si="23" t="shared"/>
        <v>6.7130912126797393E-3</v>
      </c>
      <c r="AD27" s="10">
        <f si="24" t="shared"/>
        <v>1.1156972775767715E-2</v>
      </c>
      <c r="AE27" s="10">
        <f si="25" t="shared"/>
        <v>5.3158881007147711E-3</v>
      </c>
      <c r="AF27" s="10"/>
      <c r="AG27" s="10">
        <f si="26" t="shared"/>
        <v>2.3034964397329293E-3</v>
      </c>
      <c r="AH27" s="10">
        <f si="27" t="shared"/>
        <v>0</v>
      </c>
      <c r="AI27" s="10">
        <f si="28" t="shared"/>
        <v>5.0429196178350538E-3</v>
      </c>
    </row>
    <row r="28" spans="1:35" x14ac:dyDescent="0.2">
      <c r="A28" s="265" t="s">
        <v>28</v>
      </c>
      <c r="B28" s="10">
        <f si="16" t="shared"/>
        <v>4.2096731725517741E-2</v>
      </c>
      <c r="C28" s="10">
        <f si="16" t="shared"/>
        <v>4.8253546449552355E-2</v>
      </c>
      <c r="D28" s="10">
        <f si="16" t="shared"/>
        <v>0.11952568868515806</v>
      </c>
      <c r="E28" s="10">
        <f si="16" t="shared"/>
        <v>5.2801704985489577E-2</v>
      </c>
      <c r="F28" s="10">
        <f si="16" t="shared"/>
        <v>7.9963416661960607E-2</v>
      </c>
      <c r="G28" s="10">
        <f si="16" t="shared"/>
        <v>1.3277036688449659E-2</v>
      </c>
      <c r="H28" s="10"/>
      <c r="I28" s="10">
        <f si="17" t="shared"/>
        <v>2.2796469631953243E-2</v>
      </c>
      <c r="J28" s="10">
        <f si="29" t="shared"/>
        <v>0</v>
      </c>
      <c r="K28" s="10">
        <f si="17" t="shared"/>
        <v>4.8302153919264769E-2</v>
      </c>
      <c r="M28" s="265" t="s">
        <v>28</v>
      </c>
      <c r="N28" s="10">
        <f si="18" t="shared"/>
        <v>4.3189465360044657E-2</v>
      </c>
      <c r="O28" s="10">
        <f si="18" t="shared"/>
        <v>4.7135589791022343E-2</v>
      </c>
      <c r="P28" s="10">
        <f si="18" t="shared"/>
        <v>0.1200539785049882</v>
      </c>
      <c r="Q28" s="10">
        <f si="18" t="shared"/>
        <v>6.5415460773136105E-2</v>
      </c>
      <c r="R28" s="10">
        <f si="18" t="shared"/>
        <v>7.1260123215297705E-2</v>
      </c>
      <c r="S28" s="10">
        <f si="18" t="shared"/>
        <v>2.0385385549683221E-2</v>
      </c>
      <c r="T28" s="10"/>
      <c r="U28" s="10">
        <f si="19" t="shared"/>
        <v>2.3719686771202668E-2</v>
      </c>
      <c r="V28" s="10">
        <f si="30" t="shared"/>
        <v>0</v>
      </c>
      <c r="W28" s="10">
        <f si="19" t="shared"/>
        <v>5.0643935979810206E-2</v>
      </c>
      <c r="Y28" s="265" t="s">
        <v>28</v>
      </c>
      <c r="Z28" s="10">
        <f si="20" t="shared"/>
        <v>1.0927336345269156E-3</v>
      </c>
      <c r="AA28" s="10">
        <f si="21" t="shared"/>
        <v>-1.1179566585300116E-3</v>
      </c>
      <c r="AB28" s="10">
        <f si="22" t="shared"/>
        <v>5.2828981983013557E-4</v>
      </c>
      <c r="AC28" s="10">
        <f si="23" t="shared"/>
        <v>1.2613755787646529E-2</v>
      </c>
      <c r="AD28" s="10">
        <f si="24" t="shared"/>
        <v>-8.7032934466629019E-3</v>
      </c>
      <c r="AE28" s="10">
        <f si="25" t="shared"/>
        <v>7.1083488612335623E-3</v>
      </c>
      <c r="AF28" s="10"/>
      <c r="AG28" s="10">
        <f si="26" t="shared"/>
        <v>9.2321713924942497E-4</v>
      </c>
      <c r="AH28" s="10">
        <f si="27" t="shared"/>
        <v>0</v>
      </c>
      <c r="AI28" s="10">
        <f si="28" t="shared"/>
        <v>2.3417820605454373E-3</v>
      </c>
    </row>
    <row r="29" spans="1:35" x14ac:dyDescent="0.2">
      <c r="A29" s="265" t="s">
        <v>29</v>
      </c>
      <c r="B29" s="10">
        <f si="16" t="shared"/>
        <v>7.0316828029804601E-2</v>
      </c>
      <c r="C29" s="10">
        <f si="16" t="shared"/>
        <v>0.10800320255357225</v>
      </c>
      <c r="D29" s="10">
        <f si="16" t="shared"/>
        <v>0.17737295907568121</v>
      </c>
      <c r="E29" s="10">
        <f si="16" t="shared"/>
        <v>0.16820479085147119</v>
      </c>
      <c r="F29" s="10">
        <f si="16" t="shared"/>
        <v>0.1039297197533661</v>
      </c>
      <c r="G29" s="10">
        <f si="16" t="shared"/>
        <v>0.17071293249573041</v>
      </c>
      <c r="H29" s="10"/>
      <c r="I29" s="10">
        <f si="17" t="shared"/>
        <v>0.18380797832769277</v>
      </c>
      <c r="J29" s="10">
        <f si="29" t="shared"/>
        <v>0</v>
      </c>
      <c r="K29" s="10">
        <f si="17" t="shared"/>
        <v>0.11277928163772698</v>
      </c>
      <c r="M29" s="265" t="s">
        <v>29</v>
      </c>
      <c r="N29" s="10">
        <f si="18" t="shared"/>
        <v>7.280263443527879E-2</v>
      </c>
      <c r="O29" s="10">
        <f si="18" t="shared"/>
        <v>0.11237246003988785</v>
      </c>
      <c r="P29" s="10">
        <f si="18" t="shared"/>
        <v>0.1846300491054455</v>
      </c>
      <c r="Q29" s="10">
        <f si="18" t="shared"/>
        <v>0.16911743210454</v>
      </c>
      <c r="R29" s="10">
        <f si="18" t="shared"/>
        <v>0.10946783422606533</v>
      </c>
      <c r="S29" s="10">
        <f si="18" t="shared"/>
        <v>0.20173653284312115</v>
      </c>
      <c r="T29" s="10"/>
      <c r="U29" s="10">
        <f si="19" t="shared"/>
        <v>0.17663298003450825</v>
      </c>
      <c r="V29" s="10">
        <f si="30" t="shared"/>
        <v>0</v>
      </c>
      <c r="W29" s="10">
        <f si="19" t="shared"/>
        <v>0.11574108648906171</v>
      </c>
      <c r="Y29" s="265" t="s">
        <v>29</v>
      </c>
      <c r="Z29" s="10">
        <f si="20" t="shared"/>
        <v>2.4858064054741891E-3</v>
      </c>
      <c r="AA29" s="10">
        <f si="21" t="shared"/>
        <v>4.3692574863156003E-3</v>
      </c>
      <c r="AB29" s="10">
        <f si="22" t="shared"/>
        <v>7.257090029764296E-3</v>
      </c>
      <c r="AC29" s="10">
        <f si="23" t="shared"/>
        <v>9.1264125306880772E-4</v>
      </c>
      <c r="AD29" s="10">
        <f si="24" t="shared"/>
        <v>5.5381144726992376E-3</v>
      </c>
      <c r="AE29" s="10">
        <f si="25" t="shared"/>
        <v>3.102360034739074E-2</v>
      </c>
      <c r="AF29" s="10"/>
      <c r="AG29" s="10">
        <f si="26" t="shared"/>
        <v>-7.1749982931845202E-3</v>
      </c>
      <c r="AH29" s="10">
        <f si="27" t="shared"/>
        <v>0</v>
      </c>
      <c r="AI29" s="10">
        <f si="28" t="shared"/>
        <v>2.9618048513347373E-3</v>
      </c>
    </row>
    <row r="30" spans="1:35" x14ac:dyDescent="0.2">
      <c r="A30" s="265" t="s">
        <v>30</v>
      </c>
      <c r="B30" s="11">
        <f si="16" t="shared"/>
        <v>9.9873706490777148E-2</v>
      </c>
      <c r="C30" s="11">
        <f si="16" t="shared"/>
        <v>3.9616086344539114E-2</v>
      </c>
      <c r="D30" s="11">
        <f si="16" t="shared"/>
        <v>0</v>
      </c>
      <c r="E30" s="11">
        <f si="16" t="shared"/>
        <v>6.243254667718665E-4</v>
      </c>
      <c r="F30" s="11">
        <f si="16" t="shared"/>
        <v>2.0222017470899294E-3</v>
      </c>
      <c r="G30" s="11">
        <f si="16" t="shared"/>
        <v>0</v>
      </c>
      <c r="H30" s="11"/>
      <c r="I30" s="11">
        <f si="17" t="shared"/>
        <v>0</v>
      </c>
      <c r="J30" s="11">
        <f si="29" t="shared"/>
        <v>0</v>
      </c>
      <c r="K30" s="11">
        <f si="17" t="shared"/>
        <v>5.6572261725884469E-2</v>
      </c>
      <c r="M30" s="265" t="s">
        <v>30</v>
      </c>
      <c r="N30" s="11">
        <f si="18" t="shared"/>
        <v>9.3154964956893876E-2</v>
      </c>
      <c r="O30" s="11">
        <f si="18" t="shared"/>
        <v>4.727288493221956E-2</v>
      </c>
      <c r="P30" s="11">
        <f si="18" t="shared"/>
        <v>0</v>
      </c>
      <c r="Q30" s="11">
        <f si="18" t="shared"/>
        <v>0</v>
      </c>
      <c r="R30" s="11">
        <f si="18" t="shared"/>
        <v>2.2504158973327727E-2</v>
      </c>
      <c r="S30" s="11">
        <f si="18" t="shared"/>
        <v>4.989659587040016E-3</v>
      </c>
      <c r="T30" s="11"/>
      <c r="U30" s="11">
        <f si="19" t="shared"/>
        <v>0</v>
      </c>
      <c r="V30" s="11">
        <f si="30" t="shared"/>
        <v>0</v>
      </c>
      <c r="W30" s="11">
        <f si="19" t="shared"/>
        <v>5.3668284768808826E-2</v>
      </c>
      <c r="Y30" s="265" t="s">
        <v>30</v>
      </c>
      <c r="Z30" s="10">
        <f si="20" t="shared"/>
        <v>-6.7187415338832712E-3</v>
      </c>
      <c r="AA30" s="10">
        <f si="21" t="shared"/>
        <v>7.6567985876804454E-3</v>
      </c>
      <c r="AB30" s="10">
        <f si="22" t="shared"/>
        <v>0</v>
      </c>
      <c r="AC30" s="10">
        <f si="23" t="shared"/>
        <v>-6.243254667718665E-4</v>
      </c>
      <c r="AD30" s="10">
        <f si="24" t="shared"/>
        <v>2.0481957226237798E-2</v>
      </c>
      <c r="AE30" s="10">
        <f si="25" t="shared"/>
        <v>4.989659587040016E-3</v>
      </c>
      <c r="AF30" s="10"/>
      <c r="AG30" s="10">
        <f si="26" t="shared"/>
        <v>0</v>
      </c>
      <c r="AH30" s="10">
        <f si="27" t="shared"/>
        <v>0</v>
      </c>
      <c r="AI30" s="10">
        <f si="28" t="shared"/>
        <v>-2.9039769570756435E-3</v>
      </c>
    </row>
    <row customHeight="1" ht="13.15" r="31" spans="1:35" thickBot="1" x14ac:dyDescent="0.25">
      <c r="A31" s="8" t="s">
        <v>4</v>
      </c>
      <c r="B31" s="15">
        <f si="16" t="shared"/>
        <v>1</v>
      </c>
      <c r="C31" s="15">
        <f si="16" t="shared"/>
        <v>1</v>
      </c>
      <c r="D31" s="15">
        <f si="16" t="shared"/>
        <v>1</v>
      </c>
      <c r="E31" s="15">
        <f si="16" t="shared"/>
        <v>1</v>
      </c>
      <c r="F31" s="15">
        <f si="16" t="shared"/>
        <v>1</v>
      </c>
      <c r="G31" s="15">
        <f si="16" t="shared"/>
        <v>1</v>
      </c>
      <c r="H31" s="15"/>
      <c r="I31" s="15">
        <f si="17" t="shared"/>
        <v>1</v>
      </c>
      <c r="J31" s="15" t="e">
        <f si="17" t="shared"/>
        <v>#DIV/0!</v>
      </c>
      <c r="K31" s="15">
        <f si="17" t="shared"/>
        <v>1</v>
      </c>
      <c r="M31" s="8" t="s">
        <v>4</v>
      </c>
      <c r="N31" s="15">
        <f si="18" t="shared"/>
        <v>1</v>
      </c>
      <c r="O31" s="15">
        <f si="18" t="shared"/>
        <v>1</v>
      </c>
      <c r="P31" s="15">
        <f si="18" t="shared"/>
        <v>1</v>
      </c>
      <c r="Q31" s="15">
        <f si="18" t="shared"/>
        <v>1</v>
      </c>
      <c r="R31" s="15">
        <f si="18" t="shared"/>
        <v>1</v>
      </c>
      <c r="S31" s="15">
        <f si="18" t="shared"/>
        <v>1</v>
      </c>
      <c r="T31" s="15"/>
      <c r="U31" s="15">
        <f si="19" t="shared"/>
        <v>1</v>
      </c>
      <c r="V31" s="15" t="e">
        <f si="19" t="shared"/>
        <v>#DIV/0!</v>
      </c>
      <c r="W31" s="15">
        <f si="19" t="shared"/>
        <v>1</v>
      </c>
      <c r="Y31" s="8" t="s">
        <v>4</v>
      </c>
      <c r="Z31" s="12">
        <f si="20" t="shared"/>
        <v>0</v>
      </c>
      <c r="AA31" s="12">
        <f si="21" t="shared"/>
        <v>0</v>
      </c>
      <c r="AB31" s="12">
        <f si="22" t="shared"/>
        <v>0</v>
      </c>
      <c r="AC31" s="12">
        <f si="23" t="shared"/>
        <v>0</v>
      </c>
      <c r="AD31" s="12">
        <f si="24" t="shared"/>
        <v>0</v>
      </c>
      <c r="AE31" s="12">
        <f si="25" t="shared"/>
        <v>0</v>
      </c>
      <c r="AF31" s="12"/>
      <c r="AG31" s="12">
        <f si="26" t="shared"/>
        <v>0</v>
      </c>
      <c r="AH31" s="12" t="e">
        <f si="27" t="shared"/>
        <v>#DIV/0!</v>
      </c>
      <c r="AI31" s="12">
        <f si="28" t="shared"/>
        <v>0</v>
      </c>
    </row>
    <row customHeight="1" ht="13.15" r="36" spans="1:32" x14ac:dyDescent="0.2">
      <c r="A36" s="264" t="s">
        <v>41</v>
      </c>
      <c r="M36" s="264" t="s">
        <v>41</v>
      </c>
      <c r="Y36" s="264" t="s">
        <v>41</v>
      </c>
    </row>
    <row customHeight="1" ht="13.15" r="37" spans="1:32" x14ac:dyDescent="0.2">
      <c r="A37" s="264" t="s">
        <v>179</v>
      </c>
      <c r="M37" s="264" t="s">
        <v>180</v>
      </c>
      <c r="Y37" s="264" t="s">
        <v>181</v>
      </c>
    </row>
    <row customHeight="1" ht="13.15" r="38" spans="1:32" thickBot="1" x14ac:dyDescent="0.25">
      <c r="B38" s="1"/>
      <c r="C38" s="1"/>
      <c r="D38" s="1"/>
      <c r="E38" s="1"/>
      <c r="F38" s="1"/>
      <c r="G38" s="1"/>
      <c r="N38" s="1"/>
      <c r="O38" s="1"/>
      <c r="P38" s="1"/>
      <c r="Q38" s="1"/>
      <c r="R38" s="1"/>
      <c r="S38" s="1"/>
      <c r="Z38" s="1"/>
      <c r="AA38" s="1"/>
      <c r="AB38" s="1"/>
      <c r="AC38" s="1"/>
      <c r="AD38" s="1"/>
      <c r="AE38" s="1"/>
    </row>
    <row customHeight="1" ht="13.15" r="39" spans="1:32" x14ac:dyDescent="0.2">
      <c r="A39" s="3" t="s">
        <v>22</v>
      </c>
      <c r="B39" s="4" t="s">
        <v>182</v>
      </c>
      <c r="C39" s="4" t="s">
        <v>183</v>
      </c>
      <c r="D39" s="4" t="s">
        <v>184</v>
      </c>
      <c r="E39" s="4" t="s">
        <v>185</v>
      </c>
      <c r="F39" s="4" t="s">
        <v>186</v>
      </c>
      <c r="G39" s="4" t="s">
        <v>4</v>
      </c>
      <c r="H39" s="52"/>
      <c r="M39" s="3" t="s">
        <v>22</v>
      </c>
      <c r="N39" s="4" t="s">
        <v>182</v>
      </c>
      <c r="O39" s="4" t="s">
        <v>183</v>
      </c>
      <c r="P39" s="4" t="s">
        <v>184</v>
      </c>
      <c r="Q39" s="4" t="s">
        <v>185</v>
      </c>
      <c r="R39" s="4" t="s">
        <v>186</v>
      </c>
      <c r="S39" s="4" t="s">
        <v>4</v>
      </c>
      <c r="T39" s="52"/>
      <c r="Y39" s="3" t="s">
        <v>22</v>
      </c>
      <c r="Z39" s="4" t="s">
        <v>182</v>
      </c>
      <c r="AA39" s="4" t="s">
        <v>183</v>
      </c>
      <c r="AB39" s="4" t="s">
        <v>184</v>
      </c>
      <c r="AC39" s="4" t="s">
        <v>185</v>
      </c>
      <c r="AD39" s="4" t="s">
        <v>186</v>
      </c>
      <c r="AE39" s="4" t="s">
        <v>4</v>
      </c>
      <c r="AF39" s="52"/>
    </row>
    <row r="40" spans="1:32" x14ac:dyDescent="0.2">
      <c r="A40" s="265" t="s">
        <v>23</v>
      </c>
      <c r="B40" s="5">
        <f>output_NHTS!B189</f>
        <v>9021.7538398626057</v>
      </c>
      <c r="C40" s="5">
        <f>output_NHTS!C189</f>
        <v>195939.48164150523</v>
      </c>
      <c r="D40" s="5">
        <f>output_NHTS!D189</f>
        <v>176393.44925100493</v>
      </c>
      <c r="E40" s="5">
        <f>output_NHTS!E189</f>
        <v>336925.66954719485</v>
      </c>
      <c r="F40" s="5"/>
      <c r="G40" s="5">
        <f ref="G40:G47" si="31" t="shared">SUM(B40:E40)</f>
        <v>718280.3542795676</v>
      </c>
      <c r="H40" s="5"/>
      <c r="M40" s="265" t="s">
        <v>23</v>
      </c>
      <c r="N40" s="5">
        <f>output!B189</f>
        <v>10485</v>
      </c>
      <c r="O40" s="5">
        <f>output!C189</f>
        <v>87439</v>
      </c>
      <c r="P40" s="5">
        <f>output!D189</f>
        <v>96425</v>
      </c>
      <c r="Q40" s="5">
        <f>output!E189</f>
        <v>480051</v>
      </c>
      <c r="R40" s="5"/>
      <c r="S40" s="5">
        <f ref="S40:S47" si="32" t="shared">SUM(N40:Q40)</f>
        <v>674400</v>
      </c>
      <c r="T40" s="5"/>
      <c r="Y40" s="265" t="s">
        <v>23</v>
      </c>
      <c r="Z40" s="5">
        <f ref="Z40:Z48" si="33" t="shared">N40-B40</f>
        <v>1463.2461601373943</v>
      </c>
      <c r="AA40" s="5">
        <f ref="AA40:AA48" si="34" t="shared">O40-C40</f>
        <v>-108500.48164150523</v>
      </c>
      <c r="AB40" s="5">
        <f ref="AB40:AB48" si="35" t="shared">P40-D40</f>
        <v>-79968.449251004931</v>
      </c>
      <c r="AC40" s="5">
        <f ref="AC40:AC48" si="36" t="shared">Q40-E40</f>
        <v>143125.33045280515</v>
      </c>
      <c r="AD40" s="5">
        <f ref="AD40:AD48" si="37" t="shared">R40-F40</f>
        <v>0</v>
      </c>
      <c r="AE40" s="5">
        <f ref="AE40:AE48" si="38" t="shared">S40-G40</f>
        <v>-43880.354279567604</v>
      </c>
      <c r="AF40" s="5"/>
    </row>
    <row r="41" spans="1:32" x14ac:dyDescent="0.2">
      <c r="A41" s="265" t="s">
        <v>24</v>
      </c>
      <c r="B41" s="5">
        <f>output_NHTS!B190</f>
        <v>13259.890754189182</v>
      </c>
      <c r="C41" s="5">
        <f>output_NHTS!C190</f>
        <v>57701.062912679219</v>
      </c>
      <c r="D41" s="5">
        <f>output_NHTS!D190</f>
        <v>54393.043181548157</v>
      </c>
      <c r="E41" s="5">
        <f>output_NHTS!E190</f>
        <v>114442.54332453101</v>
      </c>
      <c r="F41" s="5"/>
      <c r="G41" s="5">
        <f si="31" t="shared"/>
        <v>239796.54017294757</v>
      </c>
      <c r="H41" s="5"/>
      <c r="M41" s="265" t="s">
        <v>24</v>
      </c>
      <c r="N41" s="5">
        <f>output!B190</f>
        <v>14155</v>
      </c>
      <c r="O41" s="5">
        <f>output!C190</f>
        <v>45457</v>
      </c>
      <c r="P41" s="5">
        <f>output!D190</f>
        <v>27485</v>
      </c>
      <c r="Q41" s="5">
        <f>output!E190</f>
        <v>144676</v>
      </c>
      <c r="R41" s="5"/>
      <c r="S41" s="5">
        <f si="32" t="shared"/>
        <v>231773</v>
      </c>
      <c r="T41" s="5"/>
      <c r="Y41" s="265" t="s">
        <v>24</v>
      </c>
      <c r="Z41" s="5">
        <f si="33" t="shared"/>
        <v>895.10924581081781</v>
      </c>
      <c r="AA41" s="5">
        <f si="34" t="shared"/>
        <v>-12244.062912679219</v>
      </c>
      <c r="AB41" s="5">
        <f si="35" t="shared"/>
        <v>-26908.043181548157</v>
      </c>
      <c r="AC41" s="5">
        <f si="36" t="shared"/>
        <v>30233.456675468988</v>
      </c>
      <c r="AD41" s="5">
        <f si="37" t="shared"/>
        <v>0</v>
      </c>
      <c r="AE41" s="5">
        <f si="38" t="shared"/>
        <v>-8023.5401729475707</v>
      </c>
      <c r="AF41" s="5"/>
    </row>
    <row r="42" spans="1:32" x14ac:dyDescent="0.2">
      <c r="A42" s="265" t="s">
        <v>25</v>
      </c>
      <c r="B42" s="5">
        <f>output_NHTS!B191</f>
        <v>3999.4094454082915</v>
      </c>
      <c r="C42" s="5">
        <f>output_NHTS!C191</f>
        <v>46258.565579008464</v>
      </c>
      <c r="D42" s="5">
        <f>output_NHTS!D191</f>
        <v>46900.531725546585</v>
      </c>
      <c r="E42" s="5">
        <f>output_NHTS!E191</f>
        <v>88666.352104879683</v>
      </c>
      <c r="F42" s="5"/>
      <c r="G42" s="5">
        <f si="31" t="shared"/>
        <v>185824.85885484301</v>
      </c>
      <c r="H42" s="5"/>
      <c r="M42" s="265" t="s">
        <v>25</v>
      </c>
      <c r="N42" s="5">
        <f>output!B191</f>
        <v>12049</v>
      </c>
      <c r="O42" s="5">
        <f>output!C191</f>
        <v>35291</v>
      </c>
      <c r="P42" s="5">
        <f>output!D191</f>
        <v>26068</v>
      </c>
      <c r="Q42" s="5">
        <f>output!E191</f>
        <v>120293</v>
      </c>
      <c r="R42" s="5"/>
      <c r="S42" s="5">
        <f si="32" t="shared"/>
        <v>193701</v>
      </c>
      <c r="T42" s="5"/>
      <c r="Y42" s="265" t="s">
        <v>25</v>
      </c>
      <c r="Z42" s="5">
        <f si="33" t="shared"/>
        <v>8049.5905545917085</v>
      </c>
      <c r="AA42" s="5">
        <f si="34" t="shared"/>
        <v>-10967.565579008464</v>
      </c>
      <c r="AB42" s="5">
        <f si="35" t="shared"/>
        <v>-20832.531725546585</v>
      </c>
      <c r="AC42" s="5">
        <f si="36" t="shared"/>
        <v>31626.647895120317</v>
      </c>
      <c r="AD42" s="5">
        <f si="37" t="shared"/>
        <v>0</v>
      </c>
      <c r="AE42" s="5">
        <f si="38" t="shared"/>
        <v>7876.1411451569875</v>
      </c>
      <c r="AF42" s="5"/>
    </row>
    <row r="43" spans="1:32" x14ac:dyDescent="0.2">
      <c r="A43" s="265" t="s">
        <v>26</v>
      </c>
      <c r="B43" s="5">
        <f>output_NHTS!B192</f>
        <v>10553.760002696683</v>
      </c>
      <c r="C43" s="5">
        <f>output_NHTS!C192</f>
        <v>79802.67287994342</v>
      </c>
      <c r="D43" s="5">
        <f>output_NHTS!D192</f>
        <v>46041.2939629717</v>
      </c>
      <c r="E43" s="5">
        <f>output_NHTS!E192</f>
        <v>82853.263460782415</v>
      </c>
      <c r="F43" s="5"/>
      <c r="G43" s="5">
        <f si="31" t="shared"/>
        <v>219250.99030639423</v>
      </c>
      <c r="H43" s="5"/>
      <c r="M43" s="265" t="s">
        <v>26</v>
      </c>
      <c r="N43" s="5">
        <f>output!B192</f>
        <v>16092</v>
      </c>
      <c r="O43" s="5">
        <f>output!C192</f>
        <v>53739</v>
      </c>
      <c r="P43" s="5">
        <f>output!D192</f>
        <v>40770</v>
      </c>
      <c r="Q43" s="5">
        <f>output!E192</f>
        <v>139393</v>
      </c>
      <c r="R43" s="5"/>
      <c r="S43" s="5">
        <f si="32" t="shared"/>
        <v>249994</v>
      </c>
      <c r="T43" s="5"/>
      <c r="Y43" s="265" t="s">
        <v>26</v>
      </c>
      <c r="Z43" s="5">
        <f si="33" t="shared"/>
        <v>5538.2399973033171</v>
      </c>
      <c r="AA43" s="5">
        <f si="34" t="shared"/>
        <v>-26063.67287994342</v>
      </c>
      <c r="AB43" s="5">
        <f si="35" t="shared"/>
        <v>-5271.2939629717002</v>
      </c>
      <c r="AC43" s="5">
        <f si="36" t="shared"/>
        <v>56539.736539217585</v>
      </c>
      <c r="AD43" s="5">
        <f si="37" t="shared"/>
        <v>0</v>
      </c>
      <c r="AE43" s="5">
        <f si="38" t="shared"/>
        <v>30743.009693605767</v>
      </c>
      <c r="AF43" s="5"/>
    </row>
    <row r="44" spans="1:32" x14ac:dyDescent="0.2">
      <c r="A44" s="265" t="s">
        <v>27</v>
      </c>
      <c r="B44" s="5">
        <f>output_NHTS!B193</f>
        <v>9920.5017835254948</v>
      </c>
      <c r="C44" s="5">
        <f>output_NHTS!C193</f>
        <v>58856.424543559988</v>
      </c>
      <c r="D44" s="5">
        <f>output_NHTS!D193</f>
        <v>32066.323253742914</v>
      </c>
      <c r="E44" s="5">
        <f>output_NHTS!E193</f>
        <v>49953.602967507715</v>
      </c>
      <c r="F44" s="5"/>
      <c r="G44" s="5">
        <f si="31" t="shared"/>
        <v>150796.85254833612</v>
      </c>
      <c r="H44" s="5"/>
      <c r="M44" s="265" t="s">
        <v>27</v>
      </c>
      <c r="N44" s="5">
        <f>output!B193</f>
        <v>12634</v>
      </c>
      <c r="O44" s="5">
        <f>output!C193</f>
        <v>36722</v>
      </c>
      <c r="P44" s="5">
        <f>output!D193</f>
        <v>27042</v>
      </c>
      <c r="Q44" s="5">
        <f>output!E193</f>
        <v>87888</v>
      </c>
      <c r="R44" s="5"/>
      <c r="S44" s="5">
        <f si="32" t="shared"/>
        <v>164286</v>
      </c>
      <c r="T44" s="5"/>
      <c r="Y44" s="265" t="s">
        <v>27</v>
      </c>
      <c r="Z44" s="5">
        <f si="33" t="shared"/>
        <v>2713.4982164745052</v>
      </c>
      <c r="AA44" s="5">
        <f si="34" t="shared"/>
        <v>-22134.424543559988</v>
      </c>
      <c r="AB44" s="5">
        <f si="35" t="shared"/>
        <v>-5024.3232537429139</v>
      </c>
      <c r="AC44" s="5">
        <f si="36" t="shared"/>
        <v>37934.397032492285</v>
      </c>
      <c r="AD44" s="5">
        <f si="37" t="shared"/>
        <v>0</v>
      </c>
      <c r="AE44" s="5">
        <f si="38" t="shared"/>
        <v>13489.147451663885</v>
      </c>
      <c r="AF44" s="5"/>
    </row>
    <row r="45" spans="1:32" x14ac:dyDescent="0.2">
      <c r="A45" s="265" t="s">
        <v>28</v>
      </c>
      <c r="B45" s="5">
        <f>output_NHTS!B194</f>
        <v>1352.5288092822507</v>
      </c>
      <c r="C45" s="5">
        <f>output_NHTS!C194</f>
        <v>23655.171522885223</v>
      </c>
      <c r="D45" s="5">
        <f>output_NHTS!D194</f>
        <v>25237.595768509225</v>
      </c>
      <c r="E45" s="5">
        <f>output_NHTS!E194</f>
        <v>39099.63746887046</v>
      </c>
      <c r="F45" s="5"/>
      <c r="G45" s="5">
        <f si="31" t="shared"/>
        <v>89344.933569547167</v>
      </c>
      <c r="H45" s="5"/>
      <c r="M45" s="265" t="s">
        <v>28</v>
      </c>
      <c r="N45" s="5">
        <f>output!B194</f>
        <v>5746</v>
      </c>
      <c r="O45" s="5">
        <f>output!C194</f>
        <v>18629</v>
      </c>
      <c r="P45" s="5">
        <f>output!D194</f>
        <v>16346</v>
      </c>
      <c r="Q45" s="5">
        <f>output!E194</f>
        <v>57593</v>
      </c>
      <c r="R45" s="5"/>
      <c r="S45" s="5">
        <f si="32" t="shared"/>
        <v>98314</v>
      </c>
      <c r="T45" s="5"/>
      <c r="Y45" s="265" t="s">
        <v>28</v>
      </c>
      <c r="Z45" s="5">
        <f si="33" t="shared"/>
        <v>4393.4711907177498</v>
      </c>
      <c r="AA45" s="5">
        <f si="34" t="shared"/>
        <v>-5026.1715228852227</v>
      </c>
      <c r="AB45" s="5">
        <f si="35" t="shared"/>
        <v>-8891.5957685092253</v>
      </c>
      <c r="AC45" s="5">
        <f si="36" t="shared"/>
        <v>18493.36253112954</v>
      </c>
      <c r="AD45" s="5">
        <f si="37" t="shared"/>
        <v>0</v>
      </c>
      <c r="AE45" s="5">
        <f si="38" t="shared"/>
        <v>8969.0664304528327</v>
      </c>
      <c r="AF45" s="5"/>
    </row>
    <row r="46" spans="1:32" x14ac:dyDescent="0.2">
      <c r="A46" s="265" t="s">
        <v>29</v>
      </c>
      <c r="B46" s="5">
        <f>output_NHTS!B195</f>
        <v>6342.7174170753578</v>
      </c>
      <c r="C46" s="5">
        <f>output_NHTS!C195</f>
        <v>60697.725518076033</v>
      </c>
      <c r="D46" s="5">
        <f>output_NHTS!D195</f>
        <v>50677.761083510341</v>
      </c>
      <c r="E46" s="5">
        <f>output_NHTS!E195</f>
        <v>101165.06355332442</v>
      </c>
      <c r="F46" s="5"/>
      <c r="G46" s="5">
        <f si="31" t="shared"/>
        <v>218883.26757198616</v>
      </c>
      <c r="H46" s="5"/>
      <c r="M46" s="265" t="s">
        <v>29</v>
      </c>
      <c r="N46" s="5">
        <f>output!B195</f>
        <v>11211</v>
      </c>
      <c r="O46" s="5">
        <f>output!C195</f>
        <v>37691</v>
      </c>
      <c r="P46" s="5">
        <f>output!D195</f>
        <v>31370</v>
      </c>
      <c r="Q46" s="5">
        <f>output!E195</f>
        <v>144425</v>
      </c>
      <c r="R46" s="5"/>
      <c r="S46" s="5">
        <f si="32" t="shared"/>
        <v>224697</v>
      </c>
      <c r="T46" s="5"/>
      <c r="Y46" s="265" t="s">
        <v>29</v>
      </c>
      <c r="Z46" s="5">
        <f si="33" t="shared"/>
        <v>4868.2825829246422</v>
      </c>
      <c r="AA46" s="5">
        <f si="34" t="shared"/>
        <v>-23006.725518076033</v>
      </c>
      <c r="AB46" s="5">
        <f si="35" t="shared"/>
        <v>-19307.761083510341</v>
      </c>
      <c r="AC46" s="5">
        <f si="36" t="shared"/>
        <v>43259.93644667558</v>
      </c>
      <c r="AD46" s="5">
        <f si="37" t="shared"/>
        <v>0</v>
      </c>
      <c r="AE46" s="5">
        <f si="38" t="shared"/>
        <v>5813.7324280138419</v>
      </c>
      <c r="AF46" s="5"/>
    </row>
    <row r="47" spans="1:32" x14ac:dyDescent="0.2">
      <c r="A47" s="265" t="s">
        <v>30</v>
      </c>
      <c r="B47" s="7">
        <f>output_NHTS!B196</f>
        <v>385.84865013703819</v>
      </c>
      <c r="C47" s="7">
        <f>output_NHTS!C196</f>
        <v>23229.950202746011</v>
      </c>
      <c r="D47" s="7">
        <f>output_NHTS!D196</f>
        <v>23574.994609756945</v>
      </c>
      <c r="E47" s="7">
        <f>output_NHTS!E196</f>
        <v>63531.981278272091</v>
      </c>
      <c r="F47" s="7"/>
      <c r="G47" s="7">
        <f si="31" t="shared"/>
        <v>110722.77474091208</v>
      </c>
      <c r="H47" s="5"/>
      <c r="M47" s="265" t="s">
        <v>30</v>
      </c>
      <c r="N47" s="7">
        <f>output!B196</f>
        <v>1125</v>
      </c>
      <c r="O47" s="7">
        <f>output!C196</f>
        <v>11892</v>
      </c>
      <c r="P47" s="7">
        <f>output!D196</f>
        <v>14289</v>
      </c>
      <c r="Q47" s="7">
        <f>output!E196</f>
        <v>76885</v>
      </c>
      <c r="R47" s="7"/>
      <c r="S47" s="7">
        <f si="32" t="shared"/>
        <v>104191</v>
      </c>
      <c r="T47" s="5"/>
      <c r="Y47" s="265" t="s">
        <v>30</v>
      </c>
      <c r="Z47" s="7">
        <f si="33" t="shared"/>
        <v>739.15134986296175</v>
      </c>
      <c r="AA47" s="7">
        <f si="34" t="shared"/>
        <v>-11337.950202746011</v>
      </c>
      <c r="AB47" s="7">
        <f si="35" t="shared"/>
        <v>-9285.9946097569446</v>
      </c>
      <c r="AC47" s="7">
        <f si="36" t="shared"/>
        <v>13353.018721727909</v>
      </c>
      <c r="AD47" s="7">
        <f si="37" t="shared"/>
        <v>0</v>
      </c>
      <c r="AE47" s="7">
        <f si="38" t="shared"/>
        <v>-6531.7747409120784</v>
      </c>
      <c r="AF47" s="5"/>
    </row>
    <row customHeight="1" ht="13.15" r="48" spans="1:32" thickBot="1" x14ac:dyDescent="0.25">
      <c r="A48" s="8" t="s">
        <v>4</v>
      </c>
      <c r="B48" s="18">
        <f ref="B48:G48" si="39" t="shared">SUM(B40:B47)</f>
        <v>54836.410702176909</v>
      </c>
      <c r="C48" s="18">
        <f si="39" t="shared"/>
        <v>546141.05480040365</v>
      </c>
      <c r="D48" s="18">
        <f si="39" t="shared"/>
        <v>455284.9928365908</v>
      </c>
      <c r="E48" s="18">
        <f si="39" t="shared"/>
        <v>876638.11370536266</v>
      </c>
      <c r="F48" s="18">
        <f si="39" t="shared"/>
        <v>0</v>
      </c>
      <c r="G48" s="18">
        <f si="39" t="shared"/>
        <v>1932900.5720445339</v>
      </c>
      <c r="H48" s="5"/>
      <c r="M48" s="8" t="s">
        <v>4</v>
      </c>
      <c r="N48" s="18">
        <f>SUM(N40:N47)</f>
        <v>83497</v>
      </c>
      <c r="O48" s="18">
        <f>SUM(O40:O47)</f>
        <v>326860</v>
      </c>
      <c r="P48" s="18">
        <f>SUM(P40:P47)</f>
        <v>279795</v>
      </c>
      <c r="Q48" s="18">
        <f>SUM(Q40:Q47)</f>
        <v>1251204</v>
      </c>
      <c r="R48" s="18"/>
      <c r="S48" s="18">
        <f>SUM(S40:S47)</f>
        <v>1941356</v>
      </c>
      <c r="T48" s="5"/>
      <c r="Y48" s="8" t="s">
        <v>4</v>
      </c>
      <c r="Z48" s="18">
        <f si="33" t="shared"/>
        <v>28660.589297823091</v>
      </c>
      <c r="AA48" s="18">
        <f si="34" t="shared"/>
        <v>-219281.05480040365</v>
      </c>
      <c r="AB48" s="18">
        <f si="35" t="shared"/>
        <v>-175489.9928365908</v>
      </c>
      <c r="AC48" s="18">
        <f si="36" t="shared"/>
        <v>374565.88629463734</v>
      </c>
      <c r="AD48" s="18">
        <f si="37" t="shared"/>
        <v>0</v>
      </c>
      <c r="AE48" s="18">
        <f si="38" t="shared"/>
        <v>8455.4279554660898</v>
      </c>
      <c r="AF48" s="5"/>
    </row>
    <row r="50" spans="1:32" x14ac:dyDescent="0.2">
      <c r="A50" s="265" t="s">
        <v>174</v>
      </c>
      <c r="B50" s="5">
        <f>output_NHTS!B317</f>
        <v>52642.63273887401</v>
      </c>
      <c r="C50" s="5">
        <f>output_NHTS!B318</f>
        <v>465116.39388516947</v>
      </c>
      <c r="D50" s="5">
        <f>output_NHTS!B319</f>
        <v>354363.57349479233</v>
      </c>
      <c r="E50" s="5">
        <f>output_NHTS!B320</f>
        <v>654986.77908716607</v>
      </c>
      <c r="F50" s="5"/>
      <c r="G50" s="5">
        <f>SUM(B50:E50)</f>
        <v>1527109.3792060018</v>
      </c>
      <c r="H50" s="5"/>
      <c r="M50" s="265" t="s">
        <v>174</v>
      </c>
      <c r="N50" s="5">
        <f>output!B317</f>
        <v>93580</v>
      </c>
      <c r="O50" s="5">
        <f>output!B318</f>
        <v>322979</v>
      </c>
      <c r="P50" s="5">
        <f>output!B319</f>
        <v>258316</v>
      </c>
      <c r="Q50" s="5">
        <f>output!B320</f>
        <v>1091148</v>
      </c>
      <c r="R50" s="5"/>
      <c r="S50" s="5">
        <f>SUM(N50:Q50)</f>
        <v>1766023</v>
      </c>
      <c r="T50" s="5"/>
      <c r="Y50" s="265" t="s">
        <v>174</v>
      </c>
      <c r="Z50" s="5">
        <f ref="Z50:AE51" si="40" t="shared">N50-B50</f>
        <v>40937.36726112599</v>
      </c>
      <c r="AA50" s="5">
        <f si="40" t="shared"/>
        <v>-142137.39388516947</v>
      </c>
      <c r="AB50" s="5">
        <f si="40" t="shared"/>
        <v>-96047.573494792334</v>
      </c>
      <c r="AC50" s="5">
        <f si="40" t="shared"/>
        <v>436161.22091283393</v>
      </c>
      <c r="AD50" s="5">
        <f si="40" t="shared"/>
        <v>0</v>
      </c>
      <c r="AE50" s="5">
        <f si="40" t="shared"/>
        <v>238913.62079399824</v>
      </c>
      <c r="AF50" s="5"/>
    </row>
    <row r="51" spans="1:32" x14ac:dyDescent="0.2">
      <c r="A51" s="265" t="s">
        <v>175</v>
      </c>
      <c r="B51" s="218">
        <f ref="B51:G51" si="41" t="shared">B48/B50</f>
        <v>1.0416730290482394</v>
      </c>
      <c r="C51" s="218">
        <f si="41" t="shared"/>
        <v>1.1742029779652059</v>
      </c>
      <c r="D51" s="218">
        <f si="41" t="shared"/>
        <v>1.2847962569811979</v>
      </c>
      <c r="E51" s="218">
        <f si="41" t="shared"/>
        <v>1.3384058147358409</v>
      </c>
      <c r="F51" s="218" t="e">
        <f si="41" t="shared"/>
        <v>#DIV/0!</v>
      </c>
      <c r="G51" s="218">
        <f si="41" t="shared"/>
        <v>1.265725034738191</v>
      </c>
      <c r="H51" s="218"/>
      <c r="M51" s="265" t="s">
        <v>175</v>
      </c>
      <c r="N51" s="218">
        <f>N48/N50</f>
        <v>0.89225261808078649</v>
      </c>
      <c r="O51" s="218">
        <f>O48/O50</f>
        <v>1.0120162611191439</v>
      </c>
      <c r="P51" s="218">
        <f>P48/P50</f>
        <v>1.0831500952321962</v>
      </c>
      <c r="Q51" s="218">
        <f>Q48/Q50</f>
        <v>1.1466858757932012</v>
      </c>
      <c r="R51" s="218"/>
      <c r="S51" s="218">
        <f>S48/S50</f>
        <v>1.0992812664387723</v>
      </c>
      <c r="T51" s="218"/>
      <c r="Y51" s="265" t="s">
        <v>175</v>
      </c>
      <c r="Z51" s="219">
        <f si="40" t="shared"/>
        <v>-0.14942041096745295</v>
      </c>
      <c r="AA51" s="219">
        <f si="40" t="shared"/>
        <v>-0.16218671684606201</v>
      </c>
      <c r="AB51" s="219">
        <f si="40" t="shared"/>
        <v>-0.20164616174900174</v>
      </c>
      <c r="AC51" s="219">
        <f si="40" t="shared"/>
        <v>-0.19171993894263961</v>
      </c>
      <c r="AD51" s="219" t="e">
        <f si="40" t="shared"/>
        <v>#DIV/0!</v>
      </c>
      <c r="AE51" s="219">
        <f si="40" t="shared"/>
        <v>-0.16644376829941865</v>
      </c>
      <c r="AF51" s="219"/>
    </row>
    <row customHeight="1" ht="13.15" r="53" spans="1:32" x14ac:dyDescent="0.2">
      <c r="A53" s="264" t="s">
        <v>41</v>
      </c>
      <c r="M53" s="264" t="s">
        <v>41</v>
      </c>
      <c r="Y53" s="264" t="s">
        <v>41</v>
      </c>
    </row>
    <row customHeight="1" ht="13.15" r="54" spans="1:32" x14ac:dyDescent="0.2">
      <c r="A54" s="264" t="s">
        <v>187</v>
      </c>
      <c r="M54" s="264" t="s">
        <v>188</v>
      </c>
      <c r="Y54" s="264" t="s">
        <v>189</v>
      </c>
    </row>
    <row customHeight="1" ht="13.15" r="55" spans="1:32" thickBot="1" x14ac:dyDescent="0.25">
      <c r="B55" s="1"/>
      <c r="C55" s="1"/>
      <c r="D55" s="1"/>
      <c r="E55" s="1"/>
      <c r="F55" s="1"/>
      <c r="G55" s="1"/>
      <c r="N55" s="1"/>
      <c r="O55" s="1"/>
      <c r="P55" s="1"/>
      <c r="Q55" s="1"/>
      <c r="R55" s="1"/>
      <c r="S55" s="1"/>
      <c r="Z55" s="1"/>
      <c r="AA55" s="1"/>
      <c r="AB55" s="1"/>
      <c r="AC55" s="1"/>
      <c r="AD55" s="1"/>
      <c r="AE55" s="1"/>
    </row>
    <row customHeight="1" ht="13.15" r="56" spans="1:32" x14ac:dyDescent="0.2">
      <c r="A56" s="3" t="s">
        <v>22</v>
      </c>
      <c r="B56" s="4" t="s">
        <v>182</v>
      </c>
      <c r="C56" s="4" t="s">
        <v>183</v>
      </c>
      <c r="D56" s="4" t="s">
        <v>184</v>
      </c>
      <c r="E56" s="4" t="s">
        <v>185</v>
      </c>
      <c r="F56" s="4" t="s">
        <v>186</v>
      </c>
      <c r="G56" s="4" t="s">
        <v>4</v>
      </c>
      <c r="H56" s="52"/>
      <c r="M56" s="3" t="s">
        <v>22</v>
      </c>
      <c r="N56" s="4" t="s">
        <v>182</v>
      </c>
      <c r="O56" s="4" t="s">
        <v>183</v>
      </c>
      <c r="P56" s="4" t="s">
        <v>184</v>
      </c>
      <c r="Q56" s="4" t="s">
        <v>185</v>
      </c>
      <c r="R56" s="4" t="s">
        <v>186</v>
      </c>
      <c r="S56" s="4" t="s">
        <v>4</v>
      </c>
      <c r="T56" s="52"/>
      <c r="Y56" s="3" t="s">
        <v>22</v>
      </c>
      <c r="Z56" s="4" t="s">
        <v>182</v>
      </c>
      <c r="AA56" s="4" t="s">
        <v>183</v>
      </c>
      <c r="AB56" s="4" t="s">
        <v>184</v>
      </c>
      <c r="AC56" s="4" t="s">
        <v>185</v>
      </c>
      <c r="AD56" s="4" t="s">
        <v>186</v>
      </c>
      <c r="AE56" s="4" t="s">
        <v>4</v>
      </c>
      <c r="AF56" s="52"/>
    </row>
    <row r="57" spans="1:32" x14ac:dyDescent="0.2">
      <c r="A57" s="265" t="s">
        <v>23</v>
      </c>
      <c r="B57" s="10">
        <f ref="B57:E64" si="42" t="shared">B40/B$48</f>
        <v>0.1645212318665572</v>
      </c>
      <c r="C57" s="10">
        <f si="42" t="shared"/>
        <v>0.35877083387022529</v>
      </c>
      <c r="D57" s="10">
        <f si="42" t="shared"/>
        <v>0.38743523732686574</v>
      </c>
      <c r="E57" s="10">
        <f si="42" t="shared"/>
        <v>0.3843383766684314</v>
      </c>
      <c r="F57" s="10">
        <f>IF(F$48&gt;0,F40/F$48,0)</f>
        <v>0</v>
      </c>
      <c r="G57" s="10">
        <v>0.30952398691869509</v>
      </c>
      <c r="H57" s="10"/>
      <c r="M57" s="265" t="s">
        <v>23</v>
      </c>
      <c r="N57" s="10">
        <f ref="N57:S65" si="43" t="shared">N40/N$48</f>
        <v>0.12557337389367282</v>
      </c>
      <c r="O57" s="10">
        <f si="43" t="shared"/>
        <v>0.26751208468457444</v>
      </c>
      <c r="P57" s="10">
        <f si="43" t="shared"/>
        <v>0.34462731642809913</v>
      </c>
      <c r="Q57" s="10">
        <f si="43" t="shared"/>
        <v>0.38367124785406698</v>
      </c>
      <c r="R57" s="10">
        <f>IF(R$48&gt;0,R40/R$48,0)</f>
        <v>0</v>
      </c>
      <c r="S57" s="10">
        <f si="43" t="shared"/>
        <v>0.34738605387162375</v>
      </c>
      <c r="T57" s="10"/>
      <c r="Y57" s="265" t="s">
        <v>23</v>
      </c>
      <c r="Z57" s="10">
        <f ref="Z57:Z65" si="44" t="shared">N57-B57</f>
        <v>-3.8947857972884387E-2</v>
      </c>
      <c r="AA57" s="10">
        <f ref="AA57:AA65" si="45" t="shared">O57-C57</f>
        <v>-9.1258749185650856E-2</v>
      </c>
      <c r="AB57" s="10">
        <f ref="AB57:AB65" si="46" t="shared">P57-D57</f>
        <v>-4.2807920898766616E-2</v>
      </c>
      <c r="AC57" s="10">
        <f ref="AC57:AC65" si="47" t="shared">Q57-E57</f>
        <v>-6.6712881436442606E-4</v>
      </c>
      <c r="AD57" s="10">
        <f ref="AD57:AD65" si="48" t="shared">R57-F57</f>
        <v>0</v>
      </c>
      <c r="AE57" s="10">
        <f ref="AE57:AE65" si="49" t="shared">S57-G57</f>
        <v>3.7862066952928652E-2</v>
      </c>
      <c r="AF57" s="10"/>
    </row>
    <row r="58" spans="1:32" x14ac:dyDescent="0.2">
      <c r="A58" s="265" t="s">
        <v>24</v>
      </c>
      <c r="B58" s="10">
        <f si="42" t="shared"/>
        <v>0.24180814506998335</v>
      </c>
      <c r="C58" s="10">
        <f si="42" t="shared"/>
        <v>0.1056523079623945</v>
      </c>
      <c r="D58" s="10">
        <f si="42" t="shared"/>
        <v>0.11947031867371632</v>
      </c>
      <c r="E58" s="10">
        <f si="42" t="shared"/>
        <v>0.13054707699258791</v>
      </c>
      <c r="F58" s="10">
        <f ref="F58:F64" si="50" t="shared">IF(F$48&gt;0,F41/F$48,0)</f>
        <v>0</v>
      </c>
      <c r="G58" s="10">
        <v>0.15602078184518309</v>
      </c>
      <c r="H58" s="10"/>
      <c r="M58" s="265" t="s">
        <v>24</v>
      </c>
      <c r="N58" s="10">
        <f si="43" t="shared"/>
        <v>0.16952704887600753</v>
      </c>
      <c r="O58" s="10">
        <f si="43" t="shared"/>
        <v>0.13907177384813069</v>
      </c>
      <c r="P58" s="10">
        <f si="43" t="shared"/>
        <v>9.8232634607480482E-2</v>
      </c>
      <c r="Q58" s="10">
        <f si="43" t="shared"/>
        <v>0.11562942573712999</v>
      </c>
      <c r="R58" s="10">
        <f ref="R58:R64" si="51" t="shared">IF(R$48&gt;0,R41/R$48,0)</f>
        <v>0</v>
      </c>
      <c r="S58" s="10">
        <f si="43" t="shared"/>
        <v>0.11938717061682659</v>
      </c>
      <c r="T58" s="10"/>
      <c r="Y58" s="265" t="s">
        <v>24</v>
      </c>
      <c r="Z58" s="10">
        <f si="44" t="shared"/>
        <v>-7.2281096193975825E-2</v>
      </c>
      <c r="AA58" s="10">
        <f si="45" t="shared"/>
        <v>3.3419465885736188E-2</v>
      </c>
      <c r="AB58" s="10">
        <f si="46" t="shared"/>
        <v>-2.1237684066235843E-2</v>
      </c>
      <c r="AC58" s="10">
        <f si="47" t="shared"/>
        <v>-1.4917651255457923E-2</v>
      </c>
      <c r="AD58" s="10">
        <f si="48" t="shared"/>
        <v>0</v>
      </c>
      <c r="AE58" s="10">
        <f si="49" t="shared"/>
        <v>-3.6633611228356497E-2</v>
      </c>
      <c r="AF58" s="10"/>
    </row>
    <row r="59" spans="1:32" x14ac:dyDescent="0.2">
      <c r="A59" s="265" t="s">
        <v>25</v>
      </c>
      <c r="B59" s="10">
        <f si="42" t="shared"/>
        <v>7.2933465086355884E-2</v>
      </c>
      <c r="C59" s="10">
        <f si="42" t="shared"/>
        <v>8.4700765804750625E-2</v>
      </c>
      <c r="D59" s="10">
        <f si="42" t="shared"/>
        <v>0.10301356834394924</v>
      </c>
      <c r="E59" s="10">
        <f si="42" t="shared"/>
        <v>0.10114361983430756</v>
      </c>
      <c r="F59" s="10">
        <f si="50" t="shared"/>
        <v>0</v>
      </c>
      <c r="G59" s="10">
        <v>0.17417353182012749</v>
      </c>
      <c r="H59" s="10"/>
      <c r="M59" s="265" t="s">
        <v>25</v>
      </c>
      <c r="N59" s="10">
        <f si="43" t="shared"/>
        <v>0.14430458579350156</v>
      </c>
      <c r="O59" s="10">
        <f si="43" t="shared"/>
        <v>0.10796977299149484</v>
      </c>
      <c r="P59" s="10">
        <f si="43" t="shared"/>
        <v>9.3168212441251633E-2</v>
      </c>
      <c r="Q59" s="10">
        <f si="43" t="shared"/>
        <v>9.6141796221879086E-2</v>
      </c>
      <c r="R59" s="10">
        <f si="51" t="shared"/>
        <v>0</v>
      </c>
      <c r="S59" s="10">
        <f si="43" t="shared"/>
        <v>9.9776135855556627E-2</v>
      </c>
      <c r="T59" s="10"/>
      <c r="Y59" s="265" t="s">
        <v>25</v>
      </c>
      <c r="Z59" s="10">
        <f si="44" t="shared"/>
        <v>7.1371120707145672E-2</v>
      </c>
      <c r="AA59" s="10">
        <f si="45" t="shared"/>
        <v>2.3269007186744212E-2</v>
      </c>
      <c r="AB59" s="10">
        <f si="46" t="shared"/>
        <v>-9.8453559026976112E-3</v>
      </c>
      <c r="AC59" s="10">
        <f si="47" t="shared"/>
        <v>-5.0018236124284715E-3</v>
      </c>
      <c r="AD59" s="10">
        <f si="48" t="shared"/>
        <v>0</v>
      </c>
      <c r="AE59" s="10">
        <f si="49" t="shared"/>
        <v>-7.4397395964570859E-2</v>
      </c>
      <c r="AF59" s="10"/>
    </row>
    <row r="60" spans="1:32" x14ac:dyDescent="0.2">
      <c r="A60" s="265" t="s">
        <v>26</v>
      </c>
      <c r="B60" s="10">
        <f si="42" t="shared"/>
        <v>0.19245898605609715</v>
      </c>
      <c r="C60" s="10">
        <f si="42" t="shared"/>
        <v>0.14612099233065098</v>
      </c>
      <c r="D60" s="10">
        <f si="42" t="shared"/>
        <v>0.10112631579643713</v>
      </c>
      <c r="E60" s="10">
        <f si="42" t="shared"/>
        <v>9.4512504265391012E-2</v>
      </c>
      <c r="F60" s="10">
        <f si="50" t="shared"/>
        <v>0</v>
      </c>
      <c r="G60" s="10">
        <v>0.1062342891793228</v>
      </c>
      <c r="H60" s="10"/>
      <c r="M60" s="265" t="s">
        <v>26</v>
      </c>
      <c r="N60" s="10">
        <f si="43" t="shared"/>
        <v>0.19272548714325066</v>
      </c>
      <c r="O60" s="10">
        <f si="43" t="shared"/>
        <v>0.16440983907483325</v>
      </c>
      <c r="P60" s="10">
        <f si="43" t="shared"/>
        <v>0.14571382619417789</v>
      </c>
      <c r="Q60" s="10">
        <f si="43" t="shared"/>
        <v>0.11140709268832261</v>
      </c>
      <c r="R60" s="10">
        <f si="51" t="shared"/>
        <v>0</v>
      </c>
      <c r="S60" s="10">
        <f si="43" t="shared"/>
        <v>0.12877287833864576</v>
      </c>
      <c r="T60" s="10"/>
      <c r="Y60" s="265" t="s">
        <v>26</v>
      </c>
      <c r="Z60" s="10">
        <f si="44" t="shared"/>
        <v>2.6650108715350895E-4</v>
      </c>
      <c r="AA60" s="10">
        <f si="45" t="shared"/>
        <v>1.8288846744182269E-2</v>
      </c>
      <c r="AB60" s="10">
        <f si="46" t="shared"/>
        <v>4.4587510397740754E-2</v>
      </c>
      <c r="AC60" s="10">
        <f si="47" t="shared"/>
        <v>1.6894588422931595E-2</v>
      </c>
      <c r="AD60" s="10">
        <f si="48" t="shared"/>
        <v>0</v>
      </c>
      <c r="AE60" s="10">
        <f si="49" t="shared"/>
        <v>2.2538589159322955E-2</v>
      </c>
      <c r="AF60" s="10"/>
    </row>
    <row r="61" spans="1:32" x14ac:dyDescent="0.2">
      <c r="A61" s="265" t="s">
        <v>27</v>
      </c>
      <c r="B61" s="10">
        <f si="42" t="shared"/>
        <v>0.18091085205056406</v>
      </c>
      <c r="C61" s="10">
        <f si="42" t="shared"/>
        <v>0.107767808382525</v>
      </c>
      <c r="D61" s="10">
        <f si="42" t="shared"/>
        <v>7.0431320509727502E-2</v>
      </c>
      <c r="E61" s="10">
        <f si="42" t="shared"/>
        <v>5.6983152097237103E-2</v>
      </c>
      <c r="F61" s="10">
        <f si="50" t="shared"/>
        <v>0</v>
      </c>
      <c r="G61" s="10">
        <v>7.6967909848880495E-2</v>
      </c>
      <c r="H61" s="10"/>
      <c r="M61" s="265" t="s">
        <v>27</v>
      </c>
      <c r="N61" s="10">
        <f si="43" t="shared"/>
        <v>0.15131082553864211</v>
      </c>
      <c r="O61" s="10">
        <f si="43" t="shared"/>
        <v>0.11234779416263845</v>
      </c>
      <c r="P61" s="10">
        <f si="43" t="shared"/>
        <v>9.6649332547043373E-2</v>
      </c>
      <c r="Q61" s="10">
        <f si="43" t="shared"/>
        <v>7.0242742190721894E-2</v>
      </c>
      <c r="R61" s="10">
        <f si="51" t="shared"/>
        <v>0</v>
      </c>
      <c r="S61" s="10">
        <f si="43" t="shared"/>
        <v>8.4624355347499375E-2</v>
      </c>
      <c r="T61" s="10"/>
      <c r="Y61" s="265" t="s">
        <v>27</v>
      </c>
      <c r="Z61" s="10">
        <f si="44" t="shared"/>
        <v>-2.9600026511921951E-2</v>
      </c>
      <c r="AA61" s="10">
        <f si="45" t="shared"/>
        <v>4.5799857801134408E-3</v>
      </c>
      <c r="AB61" s="10">
        <f si="46" t="shared"/>
        <v>2.6218012037315871E-2</v>
      </c>
      <c r="AC61" s="10">
        <f si="47" t="shared"/>
        <v>1.3259590093484791E-2</v>
      </c>
      <c r="AD61" s="10">
        <f si="48" t="shared"/>
        <v>0</v>
      </c>
      <c r="AE61" s="10">
        <f si="49" t="shared"/>
        <v>7.6564454986188801E-3</v>
      </c>
      <c r="AF61" s="10"/>
    </row>
    <row r="62" spans="1:32" x14ac:dyDescent="0.2">
      <c r="A62" s="265" t="s">
        <v>28</v>
      </c>
      <c r="B62" s="10">
        <f si="42" t="shared"/>
        <v>2.4664794649452825E-2</v>
      </c>
      <c r="C62" s="10">
        <f si="42" t="shared"/>
        <v>4.3313300318596995E-2</v>
      </c>
      <c r="D62" s="10">
        <f si="42" t="shared"/>
        <v>5.54325228496328E-2</v>
      </c>
      <c r="E62" s="10">
        <f si="42" t="shared"/>
        <v>4.4601799599614279E-2</v>
      </c>
      <c r="F62" s="10">
        <f si="50" t="shared"/>
        <v>0</v>
      </c>
      <c r="G62" s="10">
        <v>3.6801564719027617E-2</v>
      </c>
      <c r="H62" s="10"/>
      <c r="M62" s="265" t="s">
        <v>28</v>
      </c>
      <c r="N62" s="10">
        <f si="43" t="shared"/>
        <v>6.881684371893601E-2</v>
      </c>
      <c r="O62" s="10">
        <f si="43" t="shared"/>
        <v>5.6993819984091046E-2</v>
      </c>
      <c r="P62" s="10">
        <f si="43" t="shared"/>
        <v>5.8421344198430994E-2</v>
      </c>
      <c r="Q62" s="10">
        <f si="43" t="shared"/>
        <v>4.6030063842506901E-2</v>
      </c>
      <c r="R62" s="10">
        <f si="51" t="shared"/>
        <v>0</v>
      </c>
      <c r="S62" s="10">
        <f si="43" t="shared"/>
        <v>5.0641922450081284E-2</v>
      </c>
      <c r="T62" s="10"/>
      <c r="Y62" s="265" t="s">
        <v>28</v>
      </c>
      <c r="Z62" s="10">
        <f si="44" t="shared"/>
        <v>4.4152049069483182E-2</v>
      </c>
      <c r="AA62" s="10">
        <f si="45" t="shared"/>
        <v>1.3680519665494051E-2</v>
      </c>
      <c r="AB62" s="10">
        <f si="46" t="shared"/>
        <v>2.9888213487981943E-3</v>
      </c>
      <c r="AC62" s="10">
        <f si="47" t="shared"/>
        <v>1.4282642428926212E-3</v>
      </c>
      <c r="AD62" s="10">
        <f si="48" t="shared"/>
        <v>0</v>
      </c>
      <c r="AE62" s="10">
        <f si="49" t="shared"/>
        <v>1.3840357731053667E-2</v>
      </c>
      <c r="AF62" s="10"/>
    </row>
    <row r="63" spans="1:32" x14ac:dyDescent="0.2">
      <c r="A63" s="265" t="s">
        <v>29</v>
      </c>
      <c r="B63" s="10">
        <f si="42" t="shared"/>
        <v>0.11566616661917231</v>
      </c>
      <c r="C63" s="10">
        <f si="42" t="shared"/>
        <v>0.11113928349565119</v>
      </c>
      <c r="D63" s="10">
        <f si="42" t="shared"/>
        <v>0.11130997480889825</v>
      </c>
      <c r="E63" s="10">
        <f si="42" t="shared"/>
        <v>0.11540116950393731</v>
      </c>
      <c r="F63" s="10">
        <f si="50" t="shared"/>
        <v>0</v>
      </c>
      <c r="G63" s="10">
        <v>0.11596090798118699</v>
      </c>
      <c r="H63" s="10"/>
      <c r="M63" s="265" t="s">
        <v>29</v>
      </c>
      <c r="N63" s="10">
        <f si="43" t="shared"/>
        <v>0.1342682970645652</v>
      </c>
      <c r="O63" s="10">
        <f si="43" t="shared"/>
        <v>0.11531236615064554</v>
      </c>
      <c r="P63" s="10">
        <f si="43" t="shared"/>
        <v>0.11211780053253274</v>
      </c>
      <c r="Q63" s="10">
        <f si="43" t="shared"/>
        <v>0.11542881896157621</v>
      </c>
      <c r="R63" s="10">
        <f si="51" t="shared"/>
        <v>0</v>
      </c>
      <c r="S63" s="10">
        <f si="43" t="shared"/>
        <v>0.11574229559132895</v>
      </c>
      <c r="T63" s="10"/>
      <c r="Y63" s="265" t="s">
        <v>29</v>
      </c>
      <c r="Z63" s="10">
        <f si="44" t="shared"/>
        <v>1.8602130445392884E-2</v>
      </c>
      <c r="AA63" s="10">
        <f si="45" t="shared"/>
        <v>4.1730826549943451E-3</v>
      </c>
      <c r="AB63" s="10">
        <f si="46" t="shared"/>
        <v>8.0782572363449767E-4</v>
      </c>
      <c r="AC63" s="10">
        <f si="47" t="shared"/>
        <v>2.7649457638903585E-5</v>
      </c>
      <c r="AD63" s="10">
        <f si="48" t="shared"/>
        <v>0</v>
      </c>
      <c r="AE63" s="10">
        <f si="49" t="shared"/>
        <v>-2.1861238985804166E-4</v>
      </c>
      <c r="AF63" s="10"/>
    </row>
    <row r="64" spans="1:32" x14ac:dyDescent="0.2">
      <c r="A64" s="265" t="s">
        <v>30</v>
      </c>
      <c r="B64" s="10">
        <f si="42" t="shared"/>
        <v>7.0363586018171078E-3</v>
      </c>
      <c r="C64" s="10">
        <f si="42" t="shared"/>
        <v>4.2534707835205292E-2</v>
      </c>
      <c r="D64" s="10">
        <f si="42" t="shared"/>
        <v>5.1780741690772999E-2</v>
      </c>
      <c r="E64" s="10">
        <f si="42" t="shared"/>
        <v>7.2472301038493447E-2</v>
      </c>
      <c r="F64" s="10">
        <f si="50" t="shared"/>
        <v>0</v>
      </c>
      <c r="G64" s="10">
        <v>2.4317027687576289E-2</v>
      </c>
      <c r="H64" s="10"/>
      <c r="M64" s="265" t="s">
        <v>30</v>
      </c>
      <c r="N64" s="10">
        <f si="43" t="shared"/>
        <v>1.3473537971424122E-2</v>
      </c>
      <c r="O64" s="10">
        <f si="43" t="shared"/>
        <v>3.6382549103591753E-2</v>
      </c>
      <c r="P64" s="10">
        <f si="43" t="shared"/>
        <v>5.1069533050983759E-2</v>
      </c>
      <c r="Q64" s="10">
        <f si="43" t="shared"/>
        <v>6.1448812503796343E-2</v>
      </c>
      <c r="R64" s="10">
        <f si="51" t="shared"/>
        <v>0</v>
      </c>
      <c r="S64" s="10">
        <f si="43" t="shared"/>
        <v>5.3669187928437646E-2</v>
      </c>
      <c r="T64" s="10"/>
      <c r="Y64" s="265" t="s">
        <v>30</v>
      </c>
      <c r="Z64" s="10">
        <f si="44" t="shared"/>
        <v>6.4371793696070146E-3</v>
      </c>
      <c r="AA64" s="10">
        <f si="45" t="shared"/>
        <v>-6.1521587316135384E-3</v>
      </c>
      <c r="AB64" s="10">
        <f si="46" t="shared"/>
        <v>-7.1120863978924032E-4</v>
      </c>
      <c r="AC64" s="10">
        <f si="47" t="shared"/>
        <v>-1.1023488534697104E-2</v>
      </c>
      <c r="AD64" s="10">
        <f si="48" t="shared"/>
        <v>0</v>
      </c>
      <c r="AE64" s="10">
        <f si="49" t="shared"/>
        <v>2.9352160240861357E-2</v>
      </c>
      <c r="AF64" s="10"/>
    </row>
    <row customHeight="1" ht="13.15" r="65" spans="1:32" thickBot="1" x14ac:dyDescent="0.25">
      <c r="A65" s="8" t="s">
        <v>4</v>
      </c>
      <c r="B65" s="12">
        <v>1</v>
      </c>
      <c r="C65" s="12">
        <v>1</v>
      </c>
      <c r="D65" s="12">
        <v>1</v>
      </c>
      <c r="E65" s="12">
        <v>1</v>
      </c>
      <c r="F65" s="12">
        <v>1</v>
      </c>
      <c r="G65" s="12">
        <v>1</v>
      </c>
      <c r="H65" s="10"/>
      <c r="M65" s="8" t="s">
        <v>4</v>
      </c>
      <c r="N65" s="12">
        <f si="43" t="shared"/>
        <v>1</v>
      </c>
      <c r="O65" s="12">
        <f si="43" t="shared"/>
        <v>1</v>
      </c>
      <c r="P65" s="12">
        <f si="43" t="shared"/>
        <v>1</v>
      </c>
      <c r="Q65" s="12">
        <f si="43" t="shared"/>
        <v>1</v>
      </c>
      <c r="R65" s="12" t="e">
        <f si="43" t="shared"/>
        <v>#DIV/0!</v>
      </c>
      <c r="S65" s="12">
        <f si="43" t="shared"/>
        <v>1</v>
      </c>
      <c r="T65" s="10"/>
      <c r="Y65" s="8" t="s">
        <v>4</v>
      </c>
      <c r="Z65" s="12">
        <f si="44" t="shared"/>
        <v>0</v>
      </c>
      <c r="AA65" s="12">
        <f si="45" t="shared"/>
        <v>0</v>
      </c>
      <c r="AB65" s="12">
        <f si="46" t="shared"/>
        <v>0</v>
      </c>
      <c r="AC65" s="12">
        <f si="47" t="shared"/>
        <v>0</v>
      </c>
      <c r="AD65" s="12" t="e">
        <f si="48" t="shared"/>
        <v>#DIV/0!</v>
      </c>
      <c r="AE65" s="12">
        <f si="49" t="shared"/>
        <v>0</v>
      </c>
      <c r="AF65" s="10"/>
    </row>
    <row customHeight="1" ht="13.15" r="70" spans="1:32" x14ac:dyDescent="0.2">
      <c r="A70" s="264" t="s">
        <v>41</v>
      </c>
      <c r="M70" s="264" t="s">
        <v>41</v>
      </c>
      <c r="Y70" s="264" t="s">
        <v>41</v>
      </c>
    </row>
    <row customHeight="1" ht="13.15" r="71" spans="1:32" x14ac:dyDescent="0.2">
      <c r="A71" s="264" t="s">
        <v>190</v>
      </c>
      <c r="M71" s="264" t="s">
        <v>191</v>
      </c>
      <c r="Y71" s="264" t="s">
        <v>192</v>
      </c>
    </row>
    <row customHeight="1" ht="13.15" r="72" spans="1:32" thickBot="1" x14ac:dyDescent="0.25">
      <c r="B72" s="13"/>
      <c r="C72" s="13"/>
      <c r="D72" s="13"/>
      <c r="E72" s="13"/>
      <c r="F72" s="13"/>
      <c r="N72" s="13"/>
      <c r="O72" s="13"/>
      <c r="P72" s="13"/>
      <c r="Q72" s="13"/>
      <c r="R72" s="13"/>
      <c r="Z72" s="13"/>
      <c r="AA72" s="13"/>
      <c r="AB72" s="13"/>
      <c r="AC72" s="13"/>
      <c r="AD72" s="13"/>
    </row>
    <row customHeight="1" ht="13.15" r="73" spans="1:32" x14ac:dyDescent="0.2">
      <c r="A73" s="3" t="s">
        <v>22</v>
      </c>
      <c r="B73" s="4" t="s">
        <v>193</v>
      </c>
      <c r="C73" s="4" t="s">
        <v>194</v>
      </c>
      <c r="D73" s="4" t="s">
        <v>195</v>
      </c>
      <c r="E73" s="4" t="s">
        <v>196</v>
      </c>
      <c r="F73" s="4" t="s">
        <v>4</v>
      </c>
      <c r="M73" s="3" t="s">
        <v>22</v>
      </c>
      <c r="N73" s="4" t="s">
        <v>193</v>
      </c>
      <c r="O73" s="4" t="s">
        <v>194</v>
      </c>
      <c r="P73" s="4" t="s">
        <v>195</v>
      </c>
      <c r="Q73" s="4" t="s">
        <v>196</v>
      </c>
      <c r="R73" s="4" t="s">
        <v>4</v>
      </c>
      <c r="Y73" s="3" t="s">
        <v>22</v>
      </c>
      <c r="Z73" s="4" t="s">
        <v>193</v>
      </c>
      <c r="AA73" s="4" t="s">
        <v>194</v>
      </c>
      <c r="AB73" s="4" t="s">
        <v>195</v>
      </c>
      <c r="AC73" s="4" t="s">
        <v>196</v>
      </c>
      <c r="AD73" s="4" t="s">
        <v>4</v>
      </c>
    </row>
    <row r="74" spans="1:32" x14ac:dyDescent="0.2">
      <c r="A74" s="265" t="s">
        <v>23</v>
      </c>
      <c r="B74" s="5">
        <f>output_NHTS!B200</f>
        <v>9005.4360812845134</v>
      </c>
      <c r="C74" s="5">
        <f>output_NHTS!C200</f>
        <v>113352.94319523052</v>
      </c>
      <c r="D74" s="5">
        <f>output_NHTS!D200</f>
        <v>500771.06295762013</v>
      </c>
      <c r="E74" s="5">
        <f>output_NHTS!E200</f>
        <v>182596.07902246228</v>
      </c>
      <c r="F74" s="5">
        <f>output_NHTS!F200</f>
        <v>805725.52125659736</v>
      </c>
      <c r="M74" s="265" t="s">
        <v>23</v>
      </c>
      <c r="N74" s="5">
        <f>output!B200</f>
        <v>6407</v>
      </c>
      <c r="O74" s="5">
        <f>output!C200</f>
        <v>89237</v>
      </c>
      <c r="P74" s="5">
        <f>output!D200</f>
        <v>437204</v>
      </c>
      <c r="Q74" s="5">
        <f>output!E200</f>
        <v>141619</v>
      </c>
      <c r="R74" s="5">
        <f>output!F200</f>
        <v>674467</v>
      </c>
      <c r="Y74" s="265" t="s">
        <v>23</v>
      </c>
      <c r="Z74" s="5">
        <f ref="Z74:Z82" si="52" t="shared">N74-B74</f>
        <v>-2598.4360812845134</v>
      </c>
      <c r="AA74" s="5">
        <f ref="AA74:AA82" si="53" t="shared">O74-C74</f>
        <v>-24115.943195230517</v>
      </c>
      <c r="AB74" s="5">
        <f ref="AB74:AB82" si="54" t="shared">P74-D74</f>
        <v>-63567.062957620132</v>
      </c>
      <c r="AC74" s="5">
        <f ref="AC74:AC82" si="55" t="shared">Q74-E74</f>
        <v>-40977.079022462276</v>
      </c>
      <c r="AD74" s="5">
        <f ref="AD74:AD82" si="56" t="shared">R74-F74</f>
        <v>-131258.52125659736</v>
      </c>
    </row>
    <row r="75" spans="1:32" x14ac:dyDescent="0.2">
      <c r="A75" s="265" t="s">
        <v>24</v>
      </c>
      <c r="B75" s="5">
        <f>output_NHTS!B201</f>
        <v>6398.8810385177721</v>
      </c>
      <c r="C75" s="5">
        <f>output_NHTS!C201</f>
        <v>55239.806435058184</v>
      </c>
      <c r="D75" s="5">
        <f>output_NHTS!D201</f>
        <v>156438.11453294824</v>
      </c>
      <c r="E75" s="5">
        <f>output_NHTS!E201</f>
        <v>52479.164426282427</v>
      </c>
      <c r="F75" s="5">
        <f>output_NHTS!F201</f>
        <v>270555.96643280663</v>
      </c>
      <c r="M75" s="265" t="s">
        <v>24</v>
      </c>
      <c r="N75" s="5">
        <f>output!B201</f>
        <v>6032</v>
      </c>
      <c r="O75" s="5">
        <f>output!C201</f>
        <v>45043</v>
      </c>
      <c r="P75" s="5">
        <f>output!D201</f>
        <v>140848</v>
      </c>
      <c r="Q75" s="5">
        <f>output!E201</f>
        <v>39858</v>
      </c>
      <c r="R75" s="5">
        <f>output!F201</f>
        <v>231781</v>
      </c>
      <c r="Y75" s="265" t="s">
        <v>24</v>
      </c>
      <c r="Z75" s="5">
        <f si="52" t="shared"/>
        <v>-366.88103851777214</v>
      </c>
      <c r="AA75" s="5">
        <f si="53" t="shared"/>
        <v>-10196.806435058184</v>
      </c>
      <c r="AB75" s="5">
        <f si="54" t="shared"/>
        <v>-15590.114532948239</v>
      </c>
      <c r="AC75" s="5">
        <f si="55" t="shared"/>
        <v>-12621.164426282427</v>
      </c>
      <c r="AD75" s="5">
        <f si="56" t="shared"/>
        <v>-38774.966432806628</v>
      </c>
    </row>
    <row r="76" spans="1:32" x14ac:dyDescent="0.2">
      <c r="A76" s="265" t="s">
        <v>25</v>
      </c>
      <c r="B76" s="5">
        <f>output_NHTS!B202</f>
        <v>1725.5284571528803</v>
      </c>
      <c r="C76" s="5">
        <f>output_NHTS!C202</f>
        <v>36919.546819135954</v>
      </c>
      <c r="D76" s="5">
        <f>output_NHTS!D202</f>
        <v>125167.26051112128</v>
      </c>
      <c r="E76" s="5">
        <f>output_NHTS!E202</f>
        <v>49608.25398267305</v>
      </c>
      <c r="F76" s="5">
        <f>output_NHTS!F202</f>
        <v>213420.58977008317</v>
      </c>
      <c r="M76" s="265" t="s">
        <v>25</v>
      </c>
      <c r="N76" s="5">
        <f>output!B202</f>
        <v>8153</v>
      </c>
      <c r="O76" s="5">
        <f>output!C202</f>
        <v>40061</v>
      </c>
      <c r="P76" s="5">
        <f>output!D202</f>
        <v>113721</v>
      </c>
      <c r="Q76" s="5">
        <f>output!E202</f>
        <v>31781</v>
      </c>
      <c r="R76" s="5">
        <f>output!F202</f>
        <v>193716</v>
      </c>
      <c r="Y76" s="265" t="s">
        <v>25</v>
      </c>
      <c r="Z76" s="5">
        <f si="52" t="shared"/>
        <v>6427.47154284712</v>
      </c>
      <c r="AA76" s="5">
        <f si="53" t="shared"/>
        <v>3141.4531808640459</v>
      </c>
      <c r="AB76" s="5">
        <f si="54" t="shared"/>
        <v>-11446.260511121276</v>
      </c>
      <c r="AC76" s="5">
        <f si="55" t="shared"/>
        <v>-17827.25398267305</v>
      </c>
      <c r="AD76" s="5">
        <f si="56" t="shared"/>
        <v>-19704.58977008317</v>
      </c>
    </row>
    <row r="77" spans="1:32" x14ac:dyDescent="0.2">
      <c r="A77" s="265" t="s">
        <v>26</v>
      </c>
      <c r="B77" s="5">
        <f>output_NHTS!B203</f>
        <v>11373.721125731357</v>
      </c>
      <c r="C77" s="5">
        <f>output_NHTS!C203</f>
        <v>45894.192523739839</v>
      </c>
      <c r="D77" s="5">
        <f>output_NHTS!D203</f>
        <v>151571.59196235373</v>
      </c>
      <c r="E77" s="5">
        <f>output_NHTS!E203</f>
        <v>54539.579554317956</v>
      </c>
      <c r="F77" s="5">
        <f>output_NHTS!F203</f>
        <v>263379.0851661429</v>
      </c>
      <c r="M77" s="265" t="s">
        <v>26</v>
      </c>
      <c r="N77" s="5">
        <f>output!B203</f>
        <v>9458</v>
      </c>
      <c r="O77" s="5">
        <f>output!C203</f>
        <v>45838</v>
      </c>
      <c r="P77" s="5">
        <f>output!D203</f>
        <v>152546</v>
      </c>
      <c r="Q77" s="5">
        <f>output!E203</f>
        <v>42202</v>
      </c>
      <c r="R77" s="5">
        <f>output!F203</f>
        <v>250044</v>
      </c>
      <c r="Y77" s="265" t="s">
        <v>26</v>
      </c>
      <c r="Z77" s="5">
        <f si="52" t="shared"/>
        <v>-1915.7211257313575</v>
      </c>
      <c r="AA77" s="5">
        <f si="53" t="shared"/>
        <v>-56.192523739839089</v>
      </c>
      <c r="AB77" s="5">
        <f si="54" t="shared"/>
        <v>974.40803764626617</v>
      </c>
      <c r="AC77" s="5">
        <f si="55" t="shared"/>
        <v>-12337.579554317956</v>
      </c>
      <c r="AD77" s="5">
        <f si="56" t="shared"/>
        <v>-13335.085166142904</v>
      </c>
    </row>
    <row r="78" spans="1:32" x14ac:dyDescent="0.2">
      <c r="A78" s="265" t="s">
        <v>27</v>
      </c>
      <c r="B78" s="5">
        <f>output_NHTS!B204</f>
        <v>8119.5988611485191</v>
      </c>
      <c r="C78" s="5">
        <f>output_NHTS!C204</f>
        <v>39945.782281654443</v>
      </c>
      <c r="D78" s="5">
        <f>output_NHTS!D204</f>
        <v>100626.17871255784</v>
      </c>
      <c r="E78" s="5">
        <f>output_NHTS!E204</f>
        <v>27195.904940278349</v>
      </c>
      <c r="F78" s="5">
        <f>output_NHTS!F204</f>
        <v>175887.46479563916</v>
      </c>
      <c r="M78" s="265" t="s">
        <v>27</v>
      </c>
      <c r="N78" s="5">
        <f>output!B204</f>
        <v>6995</v>
      </c>
      <c r="O78" s="5">
        <f>output!C204</f>
        <v>29763</v>
      </c>
      <c r="P78" s="5">
        <f>output!D204</f>
        <v>100068</v>
      </c>
      <c r="Q78" s="5">
        <f>output!E204</f>
        <v>27491</v>
      </c>
      <c r="R78" s="5">
        <f>output!F204</f>
        <v>164317</v>
      </c>
      <c r="Y78" s="265" t="s">
        <v>27</v>
      </c>
      <c r="Z78" s="5">
        <f si="52" t="shared"/>
        <v>-1124.5988611485191</v>
      </c>
      <c r="AA78" s="5">
        <f si="53" t="shared"/>
        <v>-10182.782281654443</v>
      </c>
      <c r="AB78" s="5">
        <f si="54" t="shared"/>
        <v>-558.17871255784121</v>
      </c>
      <c r="AC78" s="5">
        <f si="55" t="shared"/>
        <v>295.09505972165061</v>
      </c>
      <c r="AD78" s="5">
        <f si="56" t="shared"/>
        <v>-11570.464795639156</v>
      </c>
    </row>
    <row r="79" spans="1:32" x14ac:dyDescent="0.2">
      <c r="A79" s="265" t="s">
        <v>28</v>
      </c>
      <c r="B79" s="5">
        <f>output_NHTS!B205</f>
        <v>1140.0301878051232</v>
      </c>
      <c r="C79" s="5">
        <f>output_NHTS!C205</f>
        <v>21764.575737402691</v>
      </c>
      <c r="D79" s="5">
        <f>output_NHTS!D205</f>
        <v>60095.708512386685</v>
      </c>
      <c r="E79" s="5">
        <f>output_NHTS!E205</f>
        <v>23746.414566221367</v>
      </c>
      <c r="F79" s="5">
        <f>output_NHTS!F205</f>
        <v>106746.72900381587</v>
      </c>
      <c r="M79" s="265" t="s">
        <v>28</v>
      </c>
      <c r="N79" s="5">
        <f>output!B205</f>
        <v>3257</v>
      </c>
      <c r="O79" s="5">
        <f>output!C205</f>
        <v>15993</v>
      </c>
      <c r="P79" s="5">
        <f>output!D205</f>
        <v>61510</v>
      </c>
      <c r="Q79" s="5">
        <f>output!E205</f>
        <v>17569</v>
      </c>
      <c r="R79" s="5">
        <f>output!F205</f>
        <v>98329</v>
      </c>
      <c r="Y79" s="265" t="s">
        <v>28</v>
      </c>
      <c r="Z79" s="5">
        <f si="52" t="shared"/>
        <v>2116.9698121948768</v>
      </c>
      <c r="AA79" s="5">
        <f si="53" t="shared"/>
        <v>-5771.5757374026907</v>
      </c>
      <c r="AB79" s="5">
        <f si="54" t="shared"/>
        <v>1414.2914876133145</v>
      </c>
      <c r="AC79" s="5">
        <f si="55" t="shared"/>
        <v>-6177.4145662213668</v>
      </c>
      <c r="AD79" s="5">
        <f si="56" t="shared"/>
        <v>-8417.7290038158681</v>
      </c>
    </row>
    <row r="80" spans="1:32" x14ac:dyDescent="0.2">
      <c r="A80" s="265" t="s">
        <v>29</v>
      </c>
      <c r="B80" s="5">
        <f>output_NHTS!B206</f>
        <v>5353.9415866827048</v>
      </c>
      <c r="C80" s="5">
        <f>output_NHTS!C206</f>
        <v>32668.729047431058</v>
      </c>
      <c r="D80" s="5">
        <f>output_NHTS!D206</f>
        <v>154496.36572075513</v>
      </c>
      <c r="E80" s="5">
        <f>output_NHTS!E206</f>
        <v>56720.768444517518</v>
      </c>
      <c r="F80" s="5">
        <f>output_NHTS!F206</f>
        <v>249239.80479938642</v>
      </c>
      <c r="M80" s="265" t="s">
        <v>29</v>
      </c>
      <c r="N80" s="5">
        <f>output!B206</f>
        <v>6328</v>
      </c>
      <c r="O80" s="5">
        <f>output!C206</f>
        <v>38932</v>
      </c>
      <c r="P80" s="5">
        <f>output!D206</f>
        <v>139181</v>
      </c>
      <c r="Q80" s="5">
        <f>output!E206</f>
        <v>40279</v>
      </c>
      <c r="R80" s="5">
        <f>output!F206</f>
        <v>224720</v>
      </c>
      <c r="Y80" s="265" t="s">
        <v>29</v>
      </c>
      <c r="Z80" s="5">
        <f si="52" t="shared"/>
        <v>974.05841331729516</v>
      </c>
      <c r="AA80" s="5">
        <f si="53" t="shared"/>
        <v>6263.2709525689424</v>
      </c>
      <c r="AB80" s="5">
        <f si="54" t="shared"/>
        <v>-15315.36572075513</v>
      </c>
      <c r="AC80" s="5">
        <f si="55" t="shared"/>
        <v>-16441.768444517518</v>
      </c>
      <c r="AD80" s="5">
        <f si="56" t="shared"/>
        <v>-24519.804799386417</v>
      </c>
    </row>
    <row r="81" spans="1:30" x14ac:dyDescent="0.2">
      <c r="A81" s="265" t="s">
        <v>30</v>
      </c>
      <c r="B81" s="7">
        <f>output_NHTS!B207</f>
        <v>908.77096041422021</v>
      </c>
      <c r="C81" s="7">
        <f>output_NHTS!C207</f>
        <v>11749.212623952235</v>
      </c>
      <c r="D81" s="7">
        <f>output_NHTS!D207</f>
        <v>75104.112593726284</v>
      </c>
      <c r="E81" s="7">
        <f>output_NHTS!E207</f>
        <v>37261.394527512959</v>
      </c>
      <c r="F81" s="7">
        <f>output_NHTS!F207</f>
        <v>125023.49070560568</v>
      </c>
      <c r="M81" s="265" t="s">
        <v>30</v>
      </c>
      <c r="N81" s="7">
        <f>output!B207</f>
        <v>488</v>
      </c>
      <c r="O81" s="7">
        <f>output!C207</f>
        <v>11099</v>
      </c>
      <c r="P81" s="7">
        <f>output!D207</f>
        <v>69712</v>
      </c>
      <c r="Q81" s="7">
        <f>output!E207</f>
        <v>22902</v>
      </c>
      <c r="R81" s="7">
        <f>output!F207</f>
        <v>104201</v>
      </c>
      <c r="Y81" s="265" t="s">
        <v>30</v>
      </c>
      <c r="Z81" s="7">
        <f si="52" t="shared"/>
        <v>-420.77096041422021</v>
      </c>
      <c r="AA81" s="7">
        <f si="53" t="shared"/>
        <v>-650.21262395223494</v>
      </c>
      <c r="AB81" s="7">
        <f si="54" t="shared"/>
        <v>-5392.1125937262841</v>
      </c>
      <c r="AC81" s="7">
        <f si="55" t="shared"/>
        <v>-14359.394527512959</v>
      </c>
      <c r="AD81" s="7">
        <f si="56" t="shared"/>
        <v>-20822.490705605684</v>
      </c>
    </row>
    <row customHeight="1" ht="13.15" r="82" spans="1:30" thickBot="1" x14ac:dyDescent="0.25">
      <c r="A82" s="8" t="s">
        <v>4</v>
      </c>
      <c r="B82" s="18">
        <f>SUM(B74:B81)</f>
        <v>44025.908298737093</v>
      </c>
      <c r="C82" s="18">
        <f>SUM(C74:C81)</f>
        <v>357534.78866360494</v>
      </c>
      <c r="D82" s="18">
        <f>SUM(D74:D81)</f>
        <v>1324270.3955034693</v>
      </c>
      <c r="E82" s="18">
        <f>SUM(E74:E81)</f>
        <v>484147.55946426583</v>
      </c>
      <c r="F82" s="18">
        <f>SUM(F74:F81)</f>
        <v>2209978.651930077</v>
      </c>
      <c r="M82" s="8" t="s">
        <v>4</v>
      </c>
      <c r="N82" s="18">
        <f>SUM(N74:N81)</f>
        <v>47118</v>
      </c>
      <c r="O82" s="18">
        <f>SUM(O74:O81)</f>
        <v>315966</v>
      </c>
      <c r="P82" s="18">
        <f>SUM(P74:P81)</f>
        <v>1214790</v>
      </c>
      <c r="Q82" s="18">
        <f>SUM(Q74:Q81)</f>
        <v>363701</v>
      </c>
      <c r="R82" s="18">
        <f>SUM(R74:R81)</f>
        <v>1941575</v>
      </c>
      <c r="Y82" s="8" t="s">
        <v>4</v>
      </c>
      <c r="Z82" s="18">
        <f si="52" t="shared"/>
        <v>3092.091701262907</v>
      </c>
      <c r="AA82" s="18">
        <f si="53" t="shared"/>
        <v>-41568.788663604937</v>
      </c>
      <c r="AB82" s="18">
        <f si="54" t="shared"/>
        <v>-109480.39550346928</v>
      </c>
      <c r="AC82" s="18">
        <f si="55" t="shared"/>
        <v>-120446.55946426583</v>
      </c>
      <c r="AD82" s="18">
        <f si="56" t="shared"/>
        <v>-268403.651930077</v>
      </c>
    </row>
    <row r="84" spans="1:30" x14ac:dyDescent="0.2">
      <c r="A84" s="265" t="s">
        <v>174</v>
      </c>
      <c r="B84" s="5">
        <f>output_NHTS!B324</f>
        <v>53499.322307846342</v>
      </c>
      <c r="C84" s="5">
        <f>output_NHTS!B325</f>
        <v>321887.45525557804</v>
      </c>
      <c r="D84" s="5">
        <f>output_NHTS!B326</f>
        <v>1027057.240466507</v>
      </c>
      <c r="E84" s="5">
        <f>output_NHTS!B327</f>
        <v>363776.98197006836</v>
      </c>
      <c r="F84" s="5">
        <f>SUM(B84:E84)</f>
        <v>1766220.9999999998</v>
      </c>
      <c r="M84" s="265" t="s">
        <v>174</v>
      </c>
      <c r="N84" s="5">
        <f>output!B324</f>
        <v>54596</v>
      </c>
      <c r="O84" s="5">
        <f>output!B325</f>
        <v>318052</v>
      </c>
      <c r="P84" s="5">
        <f>output!B326</f>
        <v>1076719</v>
      </c>
      <c r="Q84" s="5">
        <f>output!B327</f>
        <v>316854</v>
      </c>
      <c r="R84" s="5">
        <f>SUM(N84:Q84)</f>
        <v>1766221</v>
      </c>
      <c r="Y84" s="265" t="s">
        <v>174</v>
      </c>
      <c r="Z84" s="5">
        <f ref="Z84:AD85" si="57" t="shared">N84-B84</f>
        <v>1096.6776921536584</v>
      </c>
      <c r="AA84" s="5">
        <f si="57" t="shared"/>
        <v>-3835.4552555780392</v>
      </c>
      <c r="AB84" s="5">
        <f si="57" t="shared"/>
        <v>49661.759533492965</v>
      </c>
      <c r="AC84" s="5">
        <f si="57" t="shared"/>
        <v>-46922.981970068358</v>
      </c>
      <c r="AD84" s="5">
        <f si="57" t="shared"/>
        <v>0</v>
      </c>
    </row>
    <row r="85" spans="1:30" x14ac:dyDescent="0.2">
      <c r="A85" s="265" t="s">
        <v>175</v>
      </c>
      <c r="B85" s="218">
        <f>B82/B84</f>
        <v>0.82292459791177852</v>
      </c>
      <c r="C85" s="218">
        <f>C82/C84</f>
        <v>1.110744711625133</v>
      </c>
      <c r="D85" s="218">
        <f>D82/D84</f>
        <v>1.289383243042971</v>
      </c>
      <c r="E85" s="218">
        <f>E82/E84</f>
        <v>1.3308911323699464</v>
      </c>
      <c r="F85" s="218">
        <f>F82/F84</f>
        <v>1.2512469571645208</v>
      </c>
      <c r="M85" s="265" t="s">
        <v>175</v>
      </c>
      <c r="N85" s="218">
        <f>N82/N84</f>
        <v>0.86303025862700566</v>
      </c>
      <c r="O85" s="218">
        <f>O82/O84</f>
        <v>0.99344132406021657</v>
      </c>
      <c r="P85" s="218">
        <f>P82/P84</f>
        <v>1.1282330858840608</v>
      </c>
      <c r="Q85" s="218">
        <f>Q82/Q84</f>
        <v>1.1478504295353695</v>
      </c>
      <c r="R85" s="218">
        <f>R82/R84</f>
        <v>1.0992820264281764</v>
      </c>
      <c r="Y85" s="265" t="s">
        <v>175</v>
      </c>
      <c r="Z85" s="219">
        <f si="57" t="shared"/>
        <v>4.0105660715227143E-2</v>
      </c>
      <c r="AA85" s="219">
        <f si="57" t="shared"/>
        <v>-0.11730338756491643</v>
      </c>
      <c r="AB85" s="219">
        <f si="57" t="shared"/>
        <v>-0.16115015715891023</v>
      </c>
      <c r="AC85" s="219">
        <f si="57" t="shared"/>
        <v>-0.18304070283457685</v>
      </c>
      <c r="AD85" s="219">
        <f si="57" t="shared"/>
        <v>-0.15196493073634443</v>
      </c>
    </row>
    <row customHeight="1" ht="13.15" r="87" spans="1:30" x14ac:dyDescent="0.2">
      <c r="A87" s="264" t="s">
        <v>41</v>
      </c>
      <c r="M87" s="264" t="s">
        <v>41</v>
      </c>
      <c r="Y87" s="264" t="s">
        <v>41</v>
      </c>
    </row>
    <row customHeight="1" ht="13.15" r="88" spans="1:30" x14ac:dyDescent="0.2">
      <c r="A88" s="264" t="s">
        <v>197</v>
      </c>
      <c r="M88" s="264" t="s">
        <v>188</v>
      </c>
      <c r="Y88" s="264" t="s">
        <v>189</v>
      </c>
    </row>
    <row customHeight="1" ht="13.15" r="89" spans="1:30" thickBot="1" x14ac:dyDescent="0.25">
      <c r="B89" s="13"/>
      <c r="C89" s="13"/>
      <c r="D89" s="13"/>
      <c r="E89" s="13"/>
      <c r="F89" s="13"/>
      <c r="N89" s="13"/>
      <c r="O89" s="13"/>
      <c r="P89" s="13"/>
      <c r="Q89" s="13"/>
      <c r="R89" s="13"/>
      <c r="Z89" s="13"/>
      <c r="AA89" s="13"/>
      <c r="AB89" s="13"/>
      <c r="AC89" s="13"/>
      <c r="AD89" s="13"/>
    </row>
    <row customHeight="1" ht="13.15" r="90" spans="1:30" x14ac:dyDescent="0.2">
      <c r="A90" s="3" t="s">
        <v>22</v>
      </c>
      <c r="B90" s="4" t="s">
        <v>193</v>
      </c>
      <c r="C90" s="4" t="s">
        <v>194</v>
      </c>
      <c r="D90" s="4" t="s">
        <v>195</v>
      </c>
      <c r="E90" s="4" t="s">
        <v>196</v>
      </c>
      <c r="F90" s="4" t="s">
        <v>4</v>
      </c>
      <c r="M90" s="3" t="s">
        <v>22</v>
      </c>
      <c r="N90" s="4" t="s">
        <v>193</v>
      </c>
      <c r="O90" s="4" t="s">
        <v>194</v>
      </c>
      <c r="P90" s="4" t="s">
        <v>195</v>
      </c>
      <c r="Q90" s="4" t="s">
        <v>196</v>
      </c>
      <c r="R90" s="4" t="s">
        <v>4</v>
      </c>
      <c r="Y90" s="3" t="s">
        <v>22</v>
      </c>
      <c r="Z90" s="4" t="s">
        <v>193</v>
      </c>
      <c r="AA90" s="4" t="s">
        <v>194</v>
      </c>
      <c r="AB90" s="4" t="s">
        <v>195</v>
      </c>
      <c r="AC90" s="4" t="s">
        <v>196</v>
      </c>
      <c r="AD90" s="4" t="s">
        <v>4</v>
      </c>
    </row>
    <row r="91" spans="1:30" x14ac:dyDescent="0.2">
      <c r="A91" s="265" t="s">
        <v>23</v>
      </c>
      <c r="B91" s="10">
        <f ref="B91:F99" si="58" t="shared">B74/B$82</f>
        <v>0.20454855854825918</v>
      </c>
      <c r="C91" s="10">
        <f si="58" t="shared"/>
        <v>0.31704031828321277</v>
      </c>
      <c r="D91" s="10">
        <f si="58" t="shared"/>
        <v>0.37814865050066598</v>
      </c>
      <c r="E91" s="10">
        <f si="58" t="shared"/>
        <v>0.3771496426100221</v>
      </c>
      <c r="F91" s="10">
        <f si="58" t="shared"/>
        <v>0.36458520563215391</v>
      </c>
      <c r="M91" s="265" t="s">
        <v>23</v>
      </c>
      <c r="N91" s="10">
        <f ref="N91:R99" si="59" t="shared">N74/N$82</f>
        <v>0.13597775796935355</v>
      </c>
      <c r="O91" s="10">
        <f si="59" t="shared"/>
        <v>0.28242595722324554</v>
      </c>
      <c r="P91" s="10">
        <f si="59" t="shared"/>
        <v>0.359900888219363</v>
      </c>
      <c r="Q91" s="10">
        <f si="59" t="shared"/>
        <v>0.38938303716514389</v>
      </c>
      <c r="R91" s="10">
        <f si="59" t="shared"/>
        <v>0.34738137852001599</v>
      </c>
      <c r="Y91" s="265" t="s">
        <v>23</v>
      </c>
      <c r="Z91" s="10">
        <f ref="Z91:Z99" si="60" t="shared">N91-B91</f>
        <v>-6.8570800578905633E-2</v>
      </c>
      <c r="AA91" s="10">
        <f ref="AA91:AA99" si="61" t="shared">O91-C91</f>
        <v>-3.4614361059967236E-2</v>
      </c>
      <c r="AB91" s="10">
        <f ref="AB91:AB99" si="62" t="shared">P91-D91</f>
        <v>-1.8247762281302982E-2</v>
      </c>
      <c r="AC91" s="10">
        <f ref="AC91:AC99" si="63" t="shared">Q91-E91</f>
        <v>1.223339455512179E-2</v>
      </c>
      <c r="AD91" s="10">
        <f ref="AD91:AD99" si="64" t="shared">R91-F91</f>
        <v>-1.7203827112137915E-2</v>
      </c>
    </row>
    <row r="92" spans="1:30" x14ac:dyDescent="0.2">
      <c r="A92" s="265" t="s">
        <v>24</v>
      </c>
      <c r="B92" s="10">
        <f si="58" t="shared"/>
        <v>0.14534353261034996</v>
      </c>
      <c r="C92" s="10">
        <f si="58" t="shared"/>
        <v>0.15450190635024291</v>
      </c>
      <c r="D92" s="10">
        <f si="58" t="shared"/>
        <v>0.11813155007023519</v>
      </c>
      <c r="E92" s="10">
        <f si="58" t="shared"/>
        <v>0.10839497876298979</v>
      </c>
      <c r="F92" s="10">
        <f si="58" t="shared"/>
        <v>0.12242469681619664</v>
      </c>
      <c r="M92" s="265" t="s">
        <v>24</v>
      </c>
      <c r="N92" s="10">
        <f si="59" t="shared"/>
        <v>0.12801901608727026</v>
      </c>
      <c r="O92" s="10">
        <f si="59" t="shared"/>
        <v>0.14255647759569068</v>
      </c>
      <c r="P92" s="10">
        <f si="59" t="shared"/>
        <v>0.11594431959433317</v>
      </c>
      <c r="Q92" s="10">
        <f si="59" t="shared"/>
        <v>0.10959002037387855</v>
      </c>
      <c r="R92" s="10">
        <f si="59" t="shared"/>
        <v>0.11937782470417058</v>
      </c>
      <c r="Y92" s="265" t="s">
        <v>24</v>
      </c>
      <c r="Z92" s="10">
        <f si="60" t="shared"/>
        <v>-1.7324516523079703E-2</v>
      </c>
      <c r="AA92" s="10">
        <f si="61" t="shared"/>
        <v>-1.1945428754552234E-2</v>
      </c>
      <c r="AB92" s="10">
        <f si="62" t="shared"/>
        <v>-2.1872304759020245E-3</v>
      </c>
      <c r="AC92" s="10">
        <f si="63" t="shared"/>
        <v>1.195041610888764E-3</v>
      </c>
      <c r="AD92" s="10">
        <f si="64" t="shared"/>
        <v>-3.0468721120260611E-3</v>
      </c>
    </row>
    <row r="93" spans="1:30" x14ac:dyDescent="0.2">
      <c r="A93" s="265" t="s">
        <v>25</v>
      </c>
      <c r="B93" s="10">
        <f si="58" t="shared"/>
        <v>3.9193477745974814E-2</v>
      </c>
      <c r="C93" s="10">
        <f si="58" t="shared"/>
        <v>0.10326141116822224</v>
      </c>
      <c r="D93" s="10">
        <f si="58" t="shared"/>
        <v>9.4517902790943548E-2</v>
      </c>
      <c r="E93" s="10">
        <f si="58" t="shared"/>
        <v>0.10246515347008489</v>
      </c>
      <c r="F93" s="10">
        <f si="58" t="shared"/>
        <v>9.6571335466834968E-2</v>
      </c>
      <c r="M93" s="265" t="s">
        <v>25</v>
      </c>
      <c r="N93" s="10">
        <f si="59" t="shared"/>
        <v>0.17303366017233329</v>
      </c>
      <c r="O93" s="10">
        <f si="59" t="shared"/>
        <v>0.12678895830564049</v>
      </c>
      <c r="P93" s="10">
        <f si="59" t="shared"/>
        <v>9.3613711011779815E-2</v>
      </c>
      <c r="Q93" s="10">
        <f si="59" t="shared"/>
        <v>8.7382217810784132E-2</v>
      </c>
      <c r="R93" s="10">
        <f si="59" t="shared"/>
        <v>9.9772607290472937E-2</v>
      </c>
      <c r="Y93" s="265" t="s">
        <v>25</v>
      </c>
      <c r="Z93" s="10">
        <f si="60" t="shared"/>
        <v>0.13384018242635848</v>
      </c>
      <c r="AA93" s="10">
        <f si="61" t="shared"/>
        <v>2.3527547137418253E-2</v>
      </c>
      <c r="AB93" s="10">
        <f si="62" t="shared"/>
        <v>-9.0419177916373217E-4</v>
      </c>
      <c r="AC93" s="10">
        <f si="63" t="shared"/>
        <v>-1.5082935659300759E-2</v>
      </c>
      <c r="AD93" s="10">
        <f si="64" t="shared"/>
        <v>3.2012718236379689E-3</v>
      </c>
    </row>
    <row r="94" spans="1:30" x14ac:dyDescent="0.2">
      <c r="A94" s="265" t="s">
        <v>26</v>
      </c>
      <c r="B94" s="10">
        <f si="58" t="shared"/>
        <v>0.2583415439962114</v>
      </c>
      <c r="C94" s="10">
        <f si="58" t="shared"/>
        <v>0.12836287259005857</v>
      </c>
      <c r="D94" s="10">
        <f si="58" t="shared"/>
        <v>0.11445667929828508</v>
      </c>
      <c r="E94" s="10">
        <f si="58" t="shared"/>
        <v>0.11265073733856844</v>
      </c>
      <c r="F94" s="10">
        <f si="58" t="shared"/>
        <v>0.11917720785950657</v>
      </c>
      <c r="M94" s="265" t="s">
        <v>26</v>
      </c>
      <c r="N94" s="10">
        <f si="59" t="shared"/>
        <v>0.20073008192198311</v>
      </c>
      <c r="O94" s="10">
        <f si="59" t="shared"/>
        <v>0.14507257109942209</v>
      </c>
      <c r="P94" s="10">
        <f si="59" t="shared"/>
        <v>0.12557396751701941</v>
      </c>
      <c r="Q94" s="10">
        <f si="59" t="shared"/>
        <v>0.11603487480100412</v>
      </c>
      <c r="R94" s="10">
        <f si="59" t="shared"/>
        <v>0.12878410568739296</v>
      </c>
      <c r="Y94" s="265" t="s">
        <v>26</v>
      </c>
      <c r="Z94" s="10">
        <f si="60" t="shared"/>
        <v>-5.7611462074228292E-2</v>
      </c>
      <c r="AA94" s="10">
        <f si="61" t="shared"/>
        <v>1.6709698509363519E-2</v>
      </c>
      <c r="AB94" s="10">
        <f si="62" t="shared"/>
        <v>1.1117288218734325E-2</v>
      </c>
      <c r="AC94" s="10">
        <f si="63" t="shared"/>
        <v>3.3841374624356824E-3</v>
      </c>
      <c r="AD94" s="10">
        <f si="64" t="shared"/>
        <v>9.6068978278863876E-3</v>
      </c>
    </row>
    <row r="95" spans="1:30" x14ac:dyDescent="0.2">
      <c r="A95" s="265" t="s">
        <v>27</v>
      </c>
      <c r="B95" s="10">
        <f si="58" t="shared"/>
        <v>0.1844277420934308</v>
      </c>
      <c r="C95" s="10">
        <f si="58" t="shared"/>
        <v>0.11172558181251105</v>
      </c>
      <c r="D95" s="10">
        <f si="58" t="shared"/>
        <v>7.5986127194439895E-2</v>
      </c>
      <c r="E95" s="10">
        <f si="58" t="shared"/>
        <v>5.6172760574011812E-2</v>
      </c>
      <c r="F95" s="10">
        <f si="58" t="shared"/>
        <v>7.9587856942431756E-2</v>
      </c>
      <c r="M95" s="265" t="s">
        <v>27</v>
      </c>
      <c r="N95" s="10">
        <f si="59" t="shared"/>
        <v>0.14845706524046012</v>
      </c>
      <c r="O95" s="10">
        <f si="59" t="shared"/>
        <v>9.4196843964223995E-2</v>
      </c>
      <c r="P95" s="10">
        <f si="59" t="shared"/>
        <v>8.2374731435062853E-2</v>
      </c>
      <c r="Q95" s="10">
        <f si="59" t="shared"/>
        <v>7.5586814443732622E-2</v>
      </c>
      <c r="R95" s="10">
        <f si="59" t="shared"/>
        <v>8.4630776560266796E-2</v>
      </c>
      <c r="Y95" s="265" t="s">
        <v>27</v>
      </c>
      <c r="Z95" s="10">
        <f si="60" t="shared"/>
        <v>-3.5970676852970673E-2</v>
      </c>
      <c r="AA95" s="10">
        <f si="61" t="shared"/>
        <v>-1.7528737848287054E-2</v>
      </c>
      <c r="AB95" s="10">
        <f si="62" t="shared"/>
        <v>6.3886042406229582E-3</v>
      </c>
      <c r="AC95" s="10">
        <f si="63" t="shared"/>
        <v>1.941405386972081E-2</v>
      </c>
      <c r="AD95" s="10">
        <f si="64" t="shared"/>
        <v>5.0429196178350399E-3</v>
      </c>
    </row>
    <row r="96" spans="1:30" x14ac:dyDescent="0.2">
      <c r="A96" s="265" t="s">
        <v>28</v>
      </c>
      <c r="B96" s="10">
        <f si="58" t="shared"/>
        <v>2.5894529649893118E-2</v>
      </c>
      <c r="C96" s="10">
        <f si="58" t="shared"/>
        <v>6.0874008425178469E-2</v>
      </c>
      <c r="D96" s="10">
        <f si="58" t="shared"/>
        <v>4.5380240105374496E-2</v>
      </c>
      <c r="E96" s="10">
        <f si="58" t="shared"/>
        <v>4.9047886542065801E-2</v>
      </c>
      <c r="F96" s="10">
        <f si="58" t="shared"/>
        <v>4.8302153919264783E-2</v>
      </c>
      <c r="M96" s="265" t="s">
        <v>28</v>
      </c>
      <c r="N96" s="10">
        <f si="59" t="shared"/>
        <v>6.9124326159853977E-2</v>
      </c>
      <c r="O96" s="10">
        <f si="59" t="shared"/>
        <v>5.0616205541102521E-2</v>
      </c>
      <c r="P96" s="10">
        <f si="59" t="shared"/>
        <v>5.0634266004823882E-2</v>
      </c>
      <c r="Q96" s="10">
        <f si="59" t="shared"/>
        <v>4.8306163579423758E-2</v>
      </c>
      <c r="R96" s="10">
        <f si="59" t="shared"/>
        <v>5.0643935979810206E-2</v>
      </c>
      <c r="Y96" s="265" t="s">
        <v>28</v>
      </c>
      <c r="Z96" s="10">
        <f si="60" t="shared"/>
        <v>4.3229796509960859E-2</v>
      </c>
      <c r="AA96" s="10">
        <f si="61" t="shared"/>
        <v>-1.0257802884075948E-2</v>
      </c>
      <c r="AB96" s="10">
        <f si="62" t="shared"/>
        <v>5.2540258994493855E-3</v>
      </c>
      <c r="AC96" s="10">
        <f si="63" t="shared"/>
        <v>-7.4172296264204268E-4</v>
      </c>
      <c r="AD96" s="10">
        <f si="64" t="shared"/>
        <v>2.3417820605454234E-3</v>
      </c>
    </row>
    <row r="97" spans="1:36" x14ac:dyDescent="0.2">
      <c r="A97" s="265" t="s">
        <v>29</v>
      </c>
      <c r="B97" s="10">
        <f si="58" t="shared"/>
        <v>0.12160888425864198</v>
      </c>
      <c r="C97" s="10">
        <f si="58" t="shared"/>
        <v>9.137216876024952E-2</v>
      </c>
      <c r="D97" s="10">
        <f si="58" t="shared"/>
        <v>0.11666527186996259</v>
      </c>
      <c r="E97" s="10">
        <f si="58" t="shared"/>
        <v>0.1171559524275656</v>
      </c>
      <c r="F97" s="10">
        <f si="58" t="shared"/>
        <v>0.11277928163772701</v>
      </c>
      <c r="M97" s="265" t="s">
        <v>29</v>
      </c>
      <c r="N97" s="10">
        <f si="59" t="shared"/>
        <v>0.13430111634619465</v>
      </c>
      <c r="O97" s="10">
        <f si="59" t="shared"/>
        <v>0.12321578904059298</v>
      </c>
      <c r="P97" s="10">
        <f si="59" t="shared"/>
        <v>0.11457206595378625</v>
      </c>
      <c r="Q97" s="10">
        <f si="59" t="shared"/>
        <v>0.11074756462038872</v>
      </c>
      <c r="R97" s="10">
        <f si="59" t="shared"/>
        <v>0.11574108648906171</v>
      </c>
      <c r="Y97" s="265" t="s">
        <v>29</v>
      </c>
      <c r="Z97" s="10">
        <f si="60" t="shared"/>
        <v>1.2692232087552671E-2</v>
      </c>
      <c r="AA97" s="10">
        <f si="61" t="shared"/>
        <v>3.184362028034346E-2</v>
      </c>
      <c r="AB97" s="10">
        <f si="62" t="shared"/>
        <v>-2.0932059161763439E-3</v>
      </c>
      <c r="AC97" s="10">
        <f si="63" t="shared"/>
        <v>-6.4083878071768824E-3</v>
      </c>
      <c r="AD97" s="10">
        <f si="64" t="shared"/>
        <v>2.9618048513347095E-3</v>
      </c>
    </row>
    <row r="98" spans="1:36" x14ac:dyDescent="0.2">
      <c r="A98" s="265" t="s">
        <v>30</v>
      </c>
      <c r="B98" s="10">
        <f si="58" t="shared"/>
        <v>2.0641731097238686E-2</v>
      </c>
      <c r="C98" s="10">
        <f si="58" t="shared"/>
        <v>3.2861732610324414E-2</v>
      </c>
      <c r="D98" s="10">
        <f si="58" t="shared"/>
        <v>5.6713578170093232E-2</v>
      </c>
      <c r="E98" s="10">
        <f si="58" t="shared"/>
        <v>7.6962888274691721E-2</v>
      </c>
      <c r="F98" s="10">
        <f si="58" t="shared"/>
        <v>5.6572261725884483E-2</v>
      </c>
      <c r="M98" s="265" t="s">
        <v>30</v>
      </c>
      <c r="N98" s="10">
        <f si="59" t="shared"/>
        <v>1.0356976102551043E-2</v>
      </c>
      <c r="O98" s="10">
        <f si="59" t="shared"/>
        <v>3.5127197230081716E-2</v>
      </c>
      <c r="P98" s="10">
        <f si="59" t="shared"/>
        <v>5.738605026383161E-2</v>
      </c>
      <c r="Q98" s="10">
        <f si="59" t="shared"/>
        <v>6.2969307205644198E-2</v>
      </c>
      <c r="R98" s="10">
        <f si="59" t="shared"/>
        <v>5.3668284768808826E-2</v>
      </c>
      <c r="Y98" s="265" t="s">
        <v>30</v>
      </c>
      <c r="Z98" s="10">
        <f si="60" t="shared"/>
        <v>-1.0284754994687643E-2</v>
      </c>
      <c r="AA98" s="10">
        <f si="61" t="shared"/>
        <v>2.2654646197573028E-3</v>
      </c>
      <c r="AB98" s="10">
        <f si="62" t="shared"/>
        <v>6.7247209373837852E-4</v>
      </c>
      <c r="AC98" s="10">
        <f si="63" t="shared"/>
        <v>-1.3993581069047523E-2</v>
      </c>
      <c r="AD98" s="10">
        <f si="64" t="shared"/>
        <v>-2.9039769570756574E-3</v>
      </c>
    </row>
    <row customHeight="1" ht="13.15" r="99" spans="1:36" thickBot="1" x14ac:dyDescent="0.25">
      <c r="A99" s="8" t="s">
        <v>4</v>
      </c>
      <c r="B99" s="12">
        <f si="58" t="shared"/>
        <v>1</v>
      </c>
      <c r="C99" s="12">
        <f si="58" t="shared"/>
        <v>1</v>
      </c>
      <c r="D99" s="12">
        <f si="58" t="shared"/>
        <v>1</v>
      </c>
      <c r="E99" s="12">
        <f si="58" t="shared"/>
        <v>1</v>
      </c>
      <c r="F99" s="12">
        <f si="58" t="shared"/>
        <v>1</v>
      </c>
      <c r="M99" s="8" t="s">
        <v>4</v>
      </c>
      <c r="N99" s="12">
        <f si="59" t="shared"/>
        <v>1</v>
      </c>
      <c r="O99" s="12">
        <f si="59" t="shared"/>
        <v>1</v>
      </c>
      <c r="P99" s="12">
        <f si="59" t="shared"/>
        <v>1</v>
      </c>
      <c r="Q99" s="12">
        <f si="59" t="shared"/>
        <v>1</v>
      </c>
      <c r="R99" s="12">
        <f si="59" t="shared"/>
        <v>1</v>
      </c>
      <c r="Y99" s="8" t="s">
        <v>4</v>
      </c>
      <c r="Z99" s="12">
        <f si="60" t="shared"/>
        <v>0</v>
      </c>
      <c r="AA99" s="12">
        <f si="61" t="shared"/>
        <v>0</v>
      </c>
      <c r="AB99" s="12">
        <f si="62" t="shared"/>
        <v>0</v>
      </c>
      <c r="AC99" s="12">
        <f si="63" t="shared"/>
        <v>0</v>
      </c>
      <c r="AD99" s="12">
        <f si="64" t="shared"/>
        <v>0</v>
      </c>
    </row>
    <row customHeight="1" ht="13.15" r="104" spans="1:36" x14ac:dyDescent="0.2">
      <c r="A104" s="264" t="s">
        <v>41</v>
      </c>
      <c r="M104" s="264" t="s">
        <v>41</v>
      </c>
      <c r="Y104" s="264" t="s">
        <v>41</v>
      </c>
    </row>
    <row customHeight="1" ht="13.15" r="105" spans="1:36" x14ac:dyDescent="0.2">
      <c r="A105" s="264" t="s">
        <v>198</v>
      </c>
      <c r="M105" s="264" t="s">
        <v>199</v>
      </c>
      <c r="Y105" s="264" t="s">
        <v>200</v>
      </c>
    </row>
    <row customHeight="1" ht="13.15" r="106" spans="1:36" thickBot="1" x14ac:dyDescent="0.25">
      <c r="B106" s="13"/>
      <c r="C106" s="13"/>
      <c r="D106" s="13"/>
      <c r="E106" s="1"/>
      <c r="F106" s="1"/>
      <c r="G106" s="1"/>
      <c r="I106" s="1"/>
      <c r="J106" s="1"/>
      <c r="K106" s="1"/>
      <c r="N106" s="13"/>
      <c r="O106" s="13"/>
      <c r="P106" s="13"/>
      <c r="Q106" s="1"/>
      <c r="R106" s="1"/>
      <c r="Z106" s="13"/>
      <c r="AA106" s="13"/>
      <c r="AB106" s="13"/>
      <c r="AC106" s="1"/>
      <c r="AD106" s="1"/>
    </row>
    <row customHeight="1" ht="13.15" r="107" spans="1:36" x14ac:dyDescent="0.2">
      <c r="A107" s="3" t="s">
        <v>22</v>
      </c>
      <c r="B107" s="89">
        <v>1</v>
      </c>
      <c r="C107" s="89">
        <v>2</v>
      </c>
      <c r="D107" s="89">
        <v>3</v>
      </c>
      <c r="E107" s="89">
        <v>4</v>
      </c>
      <c r="F107" s="89">
        <v>5</v>
      </c>
      <c r="G107" s="89">
        <v>6</v>
      </c>
      <c r="H107" s="4">
        <v>7</v>
      </c>
      <c r="I107" s="6">
        <v>8</v>
      </c>
      <c r="J107" s="27">
        <v>9</v>
      </c>
      <c r="K107" s="6">
        <v>10</v>
      </c>
      <c r="L107" s="4" t="s">
        <v>4</v>
      </c>
      <c r="M107" s="3" t="s">
        <v>22</v>
      </c>
      <c r="N107" s="4">
        <f ref="N107:W107" si="65" t="shared">B107</f>
        <v>1</v>
      </c>
      <c r="O107" s="4">
        <f si="65" t="shared"/>
        <v>2</v>
      </c>
      <c r="P107" s="4">
        <f si="65" t="shared"/>
        <v>3</v>
      </c>
      <c r="Q107" s="4">
        <f si="65" t="shared"/>
        <v>4</v>
      </c>
      <c r="R107" s="4">
        <f si="65" t="shared"/>
        <v>5</v>
      </c>
      <c r="S107" s="4">
        <f si="65" t="shared"/>
        <v>6</v>
      </c>
      <c r="T107" s="4">
        <f si="65" t="shared"/>
        <v>7</v>
      </c>
      <c r="U107" s="4">
        <f si="65" t="shared"/>
        <v>8</v>
      </c>
      <c r="V107" s="4">
        <f si="65" t="shared"/>
        <v>9</v>
      </c>
      <c r="W107" s="4">
        <f si="65" t="shared"/>
        <v>10</v>
      </c>
      <c r="X107" s="4" t="s">
        <v>4</v>
      </c>
      <c r="Y107" s="3" t="s">
        <v>22</v>
      </c>
      <c r="Z107" s="4">
        <f ref="Z107:AI107" si="66" t="shared">B107</f>
        <v>1</v>
      </c>
      <c r="AA107" s="4">
        <f si="66" t="shared"/>
        <v>2</v>
      </c>
      <c r="AB107" s="4">
        <f si="66" t="shared"/>
        <v>3</v>
      </c>
      <c r="AC107" s="4">
        <f si="66" t="shared"/>
        <v>4</v>
      </c>
      <c r="AD107" s="4">
        <f si="66" t="shared"/>
        <v>5</v>
      </c>
      <c r="AE107" s="4">
        <f si="66" t="shared"/>
        <v>6</v>
      </c>
      <c r="AF107" s="4">
        <f si="66" t="shared"/>
        <v>7</v>
      </c>
      <c r="AG107" s="4">
        <f si="66" t="shared"/>
        <v>8</v>
      </c>
      <c r="AH107" s="4">
        <f si="66" t="shared"/>
        <v>9</v>
      </c>
      <c r="AI107" s="4">
        <f si="66" t="shared"/>
        <v>10</v>
      </c>
      <c r="AJ107" s="4" t="s">
        <v>4</v>
      </c>
    </row>
    <row r="108" spans="1:36" x14ac:dyDescent="0.2">
      <c r="A108" s="265" t="s">
        <v>23</v>
      </c>
      <c r="B108" s="5">
        <f>output_NHTS!B211</f>
        <v>335269.01435171091</v>
      </c>
      <c r="C108" s="5">
        <f>output_NHTS!C211</f>
        <v>42244.473549368617</v>
      </c>
      <c r="D108" s="5">
        <f>output_NHTS!D211</f>
        <v>31237.841685632986</v>
      </c>
      <c r="E108" s="5">
        <f>output_NHTS!E211</f>
        <v>153416.79965213634</v>
      </c>
      <c r="F108" s="5">
        <f>output_NHTS!F211</f>
        <v>87000.283758866135</v>
      </c>
      <c r="G108" s="5">
        <f>output_NHTS!G211</f>
        <v>92208.440002753137</v>
      </c>
      <c r="H108" s="5">
        <f>output_NHTS!H211</f>
        <v>64348.66825612932</v>
      </c>
      <c r="I108" s="5">
        <f>output_NHTS!I211</f>
        <v>0</v>
      </c>
      <c r="J108" s="5">
        <f>output_NHTS!J211</f>
        <v>0</v>
      </c>
      <c r="K108" s="5">
        <f>output_NHTS!K211</f>
        <v>0</v>
      </c>
      <c r="L108" s="5">
        <f ref="L108:L115" si="67" t="shared">SUM(B108:K108)</f>
        <v>805725.52125659748</v>
      </c>
      <c r="M108" s="265" t="s">
        <v>23</v>
      </c>
      <c r="N108" s="5">
        <f>output!B211</f>
        <v>278285</v>
      </c>
      <c r="O108" s="5">
        <f>output!C211</f>
        <v>34837</v>
      </c>
      <c r="P108" s="5">
        <f>output!D211</f>
        <v>24539</v>
      </c>
      <c r="Q108" s="5">
        <f>output!E211</f>
        <v>126325</v>
      </c>
      <c r="R108" s="5">
        <f>output!F211</f>
        <v>69806</v>
      </c>
      <c r="S108" s="5">
        <f>output!G211</f>
        <v>85444</v>
      </c>
      <c r="T108" s="5">
        <f>output!H211</f>
        <v>55231</v>
      </c>
      <c r="U108" s="5">
        <f>output!I211</f>
        <v>0</v>
      </c>
      <c r="V108" s="5">
        <f>output!J211</f>
        <v>0</v>
      </c>
      <c r="W108" s="5">
        <f>output!K211</f>
        <v>0</v>
      </c>
      <c r="X108" s="117">
        <f ref="X108:X115" si="68" t="shared">SUM(N108:W108)</f>
        <v>674467</v>
      </c>
      <c r="Y108" s="265" t="s">
        <v>23</v>
      </c>
      <c r="Z108" s="5">
        <f ref="Z108:Z116" si="69" t="shared">N108-B108</f>
        <v>-56984.01435171091</v>
      </c>
      <c r="AA108" s="5">
        <f ref="AA108:AA116" si="70" t="shared">O108-C108</f>
        <v>-7407.4735493686167</v>
      </c>
      <c r="AB108" s="5">
        <f ref="AB108:AB116" si="71" t="shared">P108-D108</f>
        <v>-6698.8416856329859</v>
      </c>
      <c r="AC108" s="5">
        <f ref="AC108:AC116" si="72" t="shared">Q108-E108</f>
        <v>-27091.799652136338</v>
      </c>
      <c r="AD108" s="5">
        <f ref="AD108:AD116" si="73" t="shared">R108-F108</f>
        <v>-17194.283758866135</v>
      </c>
      <c r="AE108" s="5">
        <f ref="AE108:AE116" si="74" t="shared">S108-G108</f>
        <v>-6764.4400027531374</v>
      </c>
      <c r="AF108" s="5">
        <f ref="AF108:AF116" si="75" t="shared">T108-H108</f>
        <v>-9117.6682561293201</v>
      </c>
      <c r="AG108" s="5">
        <f ref="AG108:AG116" si="76" t="shared">U108-I108</f>
        <v>0</v>
      </c>
      <c r="AH108" s="5">
        <f ref="AH108:AH116" si="77" t="shared">V108-J108</f>
        <v>0</v>
      </c>
      <c r="AI108" s="5">
        <f ref="AI108:AI116" si="78" t="shared">W108-K108</f>
        <v>0</v>
      </c>
      <c r="AJ108" s="5">
        <f ref="AJ108:AJ116" si="79" t="shared">X108-L108</f>
        <v>-131258.52125659748</v>
      </c>
    </row>
    <row r="109" spans="1:36" x14ac:dyDescent="0.2">
      <c r="A109" s="265" t="s">
        <v>24</v>
      </c>
      <c r="B109" s="5">
        <f>output_NHTS!B212</f>
        <v>89319.73148461146</v>
      </c>
      <c r="C109" s="5">
        <f>output_NHTS!C212</f>
        <v>16908.856452009451</v>
      </c>
      <c r="D109" s="5">
        <f>output_NHTS!D212</f>
        <v>10968.326417718794</v>
      </c>
      <c r="E109" s="5">
        <f>output_NHTS!E212</f>
        <v>59439.972385235851</v>
      </c>
      <c r="F109" s="5">
        <f>output_NHTS!F212</f>
        <v>25300.197541783506</v>
      </c>
      <c r="G109" s="5">
        <f>output_NHTS!G212</f>
        <v>47245.310438491724</v>
      </c>
      <c r="H109" s="5">
        <f>output_NHTS!H212</f>
        <v>21373.571712955829</v>
      </c>
      <c r="I109" s="5">
        <f>output_NHTS!I212</f>
        <v>0</v>
      </c>
      <c r="J109" s="5">
        <f>output_NHTS!J212</f>
        <v>0</v>
      </c>
      <c r="K109" s="5">
        <f>output_NHTS!K212</f>
        <v>0</v>
      </c>
      <c r="L109" s="5">
        <f si="67" t="shared"/>
        <v>270555.96643280663</v>
      </c>
      <c r="M109" s="265" t="s">
        <v>24</v>
      </c>
      <c r="N109" s="5">
        <f>output!B212</f>
        <v>74335</v>
      </c>
      <c r="O109" s="5">
        <f>output!C212</f>
        <v>13757</v>
      </c>
      <c r="P109" s="5">
        <f>output!D212</f>
        <v>9263</v>
      </c>
      <c r="Q109" s="5">
        <f>output!E212</f>
        <v>47710</v>
      </c>
      <c r="R109" s="5">
        <f>output!F212</f>
        <v>25608</v>
      </c>
      <c r="S109" s="5">
        <f>output!G212</f>
        <v>40273</v>
      </c>
      <c r="T109" s="5">
        <f>output!H212</f>
        <v>20835</v>
      </c>
      <c r="U109" s="5">
        <f>output!I212</f>
        <v>0</v>
      </c>
      <c r="V109" s="5">
        <f>output!J212</f>
        <v>0</v>
      </c>
      <c r="W109" s="5">
        <f>output!K212</f>
        <v>0</v>
      </c>
      <c r="X109" s="5">
        <f si="68" t="shared"/>
        <v>231781</v>
      </c>
      <c r="Y109" s="265" t="s">
        <v>24</v>
      </c>
      <c r="Z109" s="5">
        <f si="69" t="shared"/>
        <v>-14984.73148461146</v>
      </c>
      <c r="AA109" s="5">
        <f si="70" t="shared"/>
        <v>-3151.8564520094515</v>
      </c>
      <c r="AB109" s="5">
        <f si="71" t="shared"/>
        <v>-1705.3264177187939</v>
      </c>
      <c r="AC109" s="5">
        <f si="72" t="shared"/>
        <v>-11729.972385235851</v>
      </c>
      <c r="AD109" s="5">
        <f si="73" t="shared"/>
        <v>307.80245821649441</v>
      </c>
      <c r="AE109" s="5">
        <f si="74" t="shared"/>
        <v>-6972.3104384917242</v>
      </c>
      <c r="AF109" s="5">
        <f si="75" t="shared"/>
        <v>-538.57171295582884</v>
      </c>
      <c r="AG109" s="5">
        <f si="76" t="shared"/>
        <v>0</v>
      </c>
      <c r="AH109" s="5">
        <f si="77" t="shared"/>
        <v>0</v>
      </c>
      <c r="AI109" s="5">
        <f si="78" t="shared"/>
        <v>0</v>
      </c>
      <c r="AJ109" s="5">
        <f si="79" t="shared"/>
        <v>-38774.966432806628</v>
      </c>
    </row>
    <row r="110" spans="1:36" x14ac:dyDescent="0.2">
      <c r="A110" s="265" t="s">
        <v>25</v>
      </c>
      <c r="B110" s="5">
        <f>output_NHTS!B213</f>
        <v>72785.011126599711</v>
      </c>
      <c r="C110" s="5">
        <f>output_NHTS!C213</f>
        <v>14217.448023815934</v>
      </c>
      <c r="D110" s="5">
        <f>output_NHTS!D213</f>
        <v>9241.508968908629</v>
      </c>
      <c r="E110" s="5">
        <f>output_NHTS!E213</f>
        <v>39083.403798856169</v>
      </c>
      <c r="F110" s="5">
        <f>output_NHTS!F213</f>
        <v>22466.16446577603</v>
      </c>
      <c r="G110" s="5">
        <f>output_NHTS!G213</f>
        <v>37609.708009438691</v>
      </c>
      <c r="H110" s="5">
        <f>output_NHTS!H213</f>
        <v>18017.345376688001</v>
      </c>
      <c r="I110" s="5">
        <f>output_NHTS!I213</f>
        <v>0</v>
      </c>
      <c r="J110" s="5">
        <f>output_NHTS!J213</f>
        <v>0</v>
      </c>
      <c r="K110" s="5">
        <f>output_NHTS!K213</f>
        <v>0</v>
      </c>
      <c r="L110" s="5">
        <f si="67" t="shared"/>
        <v>213420.58977008314</v>
      </c>
      <c r="M110" s="265" t="s">
        <v>25</v>
      </c>
      <c r="N110" s="5">
        <f>output!B213</f>
        <v>67360</v>
      </c>
      <c r="O110" s="5">
        <f>output!C213</f>
        <v>10052</v>
      </c>
      <c r="P110" s="5">
        <f>output!D213</f>
        <v>7457</v>
      </c>
      <c r="Q110" s="5">
        <f>output!E213</f>
        <v>41036</v>
      </c>
      <c r="R110" s="5">
        <f>output!F213</f>
        <v>21379</v>
      </c>
      <c r="S110" s="5">
        <f>output!G213</f>
        <v>29901</v>
      </c>
      <c r="T110" s="5">
        <f>output!H213</f>
        <v>16531</v>
      </c>
      <c r="U110" s="5">
        <f>output!I213</f>
        <v>0</v>
      </c>
      <c r="V110" s="5">
        <f>output!J213</f>
        <v>0</v>
      </c>
      <c r="W110" s="5">
        <f>output!K213</f>
        <v>0</v>
      </c>
      <c r="X110" s="5">
        <f si="68" t="shared"/>
        <v>193716</v>
      </c>
      <c r="Y110" s="265" t="s">
        <v>25</v>
      </c>
      <c r="Z110" s="5">
        <f si="69" t="shared"/>
        <v>-5425.0111265997111</v>
      </c>
      <c r="AA110" s="5">
        <f si="70" t="shared"/>
        <v>-4165.448023815934</v>
      </c>
      <c r="AB110" s="5">
        <f si="71" t="shared"/>
        <v>-1784.508968908629</v>
      </c>
      <c r="AC110" s="5">
        <f si="72" t="shared"/>
        <v>1952.5962011438314</v>
      </c>
      <c r="AD110" s="5">
        <f si="73" t="shared"/>
        <v>-1087.1644657760298</v>
      </c>
      <c r="AE110" s="5">
        <f si="74" t="shared"/>
        <v>-7708.7080094386911</v>
      </c>
      <c r="AF110" s="5">
        <f si="75" t="shared"/>
        <v>-1486.3453766880011</v>
      </c>
      <c r="AG110" s="5">
        <f si="76" t="shared"/>
        <v>0</v>
      </c>
      <c r="AH110" s="5">
        <f si="77" t="shared"/>
        <v>0</v>
      </c>
      <c r="AI110" s="5">
        <f si="78" t="shared"/>
        <v>0</v>
      </c>
      <c r="AJ110" s="5">
        <f si="79" t="shared"/>
        <v>-19704.589770083141</v>
      </c>
    </row>
    <row r="111" spans="1:36" x14ac:dyDescent="0.2">
      <c r="A111" s="265" t="s">
        <v>26</v>
      </c>
      <c r="B111" s="5">
        <f>output_NHTS!B214</f>
        <v>90169.374303226403</v>
      </c>
      <c r="C111" s="5">
        <f>output_NHTS!C214</f>
        <v>16023.371477652043</v>
      </c>
      <c r="D111" s="5">
        <f>output_NHTS!D214</f>
        <v>14134.57772443557</v>
      </c>
      <c r="E111" s="5">
        <f>output_NHTS!E214</f>
        <v>52545.557582670626</v>
      </c>
      <c r="F111" s="5">
        <f>output_NHTS!F214</f>
        <v>29845.687916341314</v>
      </c>
      <c r="G111" s="5">
        <f>output_NHTS!G214</f>
        <v>31461.513488329747</v>
      </c>
      <c r="H111" s="5">
        <f>output_NHTS!H214</f>
        <v>29199.002673487172</v>
      </c>
      <c r="I111" s="5">
        <f>output_NHTS!I214</f>
        <v>0</v>
      </c>
      <c r="J111" s="5">
        <f>output_NHTS!J214</f>
        <v>0</v>
      </c>
      <c r="K111" s="5">
        <f>output_NHTS!K214</f>
        <v>0</v>
      </c>
      <c r="L111" s="5">
        <f si="67" t="shared"/>
        <v>263379.08516614285</v>
      </c>
      <c r="M111" s="265" t="s">
        <v>26</v>
      </c>
      <c r="N111" s="5">
        <f>output!B214</f>
        <v>91459</v>
      </c>
      <c r="O111" s="5">
        <f>output!C214</f>
        <v>15386</v>
      </c>
      <c r="P111" s="5">
        <f>output!D214</f>
        <v>10087</v>
      </c>
      <c r="Q111" s="5">
        <f>output!E214</f>
        <v>45501</v>
      </c>
      <c r="R111" s="5">
        <f>output!F214</f>
        <v>28858</v>
      </c>
      <c r="S111" s="5">
        <f>output!G214</f>
        <v>36313</v>
      </c>
      <c r="T111" s="5">
        <f>output!H214</f>
        <v>22440</v>
      </c>
      <c r="U111" s="5">
        <f>output!I214</f>
        <v>0</v>
      </c>
      <c r="V111" s="5">
        <f>output!J214</f>
        <v>0</v>
      </c>
      <c r="W111" s="5">
        <f>output!K214</f>
        <v>0</v>
      </c>
      <c r="X111" s="5">
        <f si="68" t="shared"/>
        <v>250044</v>
      </c>
      <c r="Y111" s="265" t="s">
        <v>26</v>
      </c>
      <c r="Z111" s="5">
        <f si="69" t="shared"/>
        <v>1289.6256967735972</v>
      </c>
      <c r="AA111" s="5">
        <f si="70" t="shared"/>
        <v>-637.37147765204281</v>
      </c>
      <c r="AB111" s="5">
        <f si="71" t="shared"/>
        <v>-4047.5777244355704</v>
      </c>
      <c r="AC111" s="5">
        <f si="72" t="shared"/>
        <v>-7044.5575826706263</v>
      </c>
      <c r="AD111" s="5">
        <f si="73" t="shared"/>
        <v>-987.68791634131412</v>
      </c>
      <c r="AE111" s="5">
        <f si="74" t="shared"/>
        <v>4851.4865116702531</v>
      </c>
      <c r="AF111" s="5">
        <f si="75" t="shared"/>
        <v>-6759.0026734871717</v>
      </c>
      <c r="AG111" s="5">
        <f si="76" t="shared"/>
        <v>0</v>
      </c>
      <c r="AH111" s="5">
        <f si="77" t="shared"/>
        <v>0</v>
      </c>
      <c r="AI111" s="5">
        <f si="78" t="shared"/>
        <v>0</v>
      </c>
      <c r="AJ111" s="5">
        <f si="79" t="shared"/>
        <v>-13335.085166142846</v>
      </c>
    </row>
    <row r="112" spans="1:36" x14ac:dyDescent="0.2">
      <c r="A112" s="265" t="s">
        <v>27</v>
      </c>
      <c r="B112" s="5">
        <f>output_NHTS!B215</f>
        <v>61140.715220477388</v>
      </c>
      <c r="C112" s="5">
        <f>output_NHTS!C215</f>
        <v>11401.815632979529</v>
      </c>
      <c r="D112" s="5">
        <f>output_NHTS!D215</f>
        <v>6305.2350611652346</v>
      </c>
      <c r="E112" s="5">
        <f>output_NHTS!E215</f>
        <v>34399.603413509853</v>
      </c>
      <c r="F112" s="5">
        <f>output_NHTS!F215</f>
        <v>22323.943460451283</v>
      </c>
      <c r="G112" s="5">
        <f>output_NHTS!G215</f>
        <v>21582.67105089745</v>
      </c>
      <c r="H112" s="5">
        <f>output_NHTS!H215</f>
        <v>18733.480956158412</v>
      </c>
      <c r="I112" s="5">
        <f>output_NHTS!I215</f>
        <v>0</v>
      </c>
      <c r="J112" s="5">
        <f>output_NHTS!J215</f>
        <v>0</v>
      </c>
      <c r="K112" s="5">
        <f>output_NHTS!K215</f>
        <v>0</v>
      </c>
      <c r="L112" s="5">
        <f si="67" t="shared"/>
        <v>175887.46479563916</v>
      </c>
      <c r="M112" s="265" t="s">
        <v>27</v>
      </c>
      <c r="N112" s="5">
        <f>output!B215</f>
        <v>60751</v>
      </c>
      <c r="O112" s="5">
        <f>output!C215</f>
        <v>9980</v>
      </c>
      <c r="P112" s="5">
        <f>output!D215</f>
        <v>6576</v>
      </c>
      <c r="Q112" s="5">
        <f>output!E215</f>
        <v>30476</v>
      </c>
      <c r="R112" s="5">
        <f>output!F215</f>
        <v>18637</v>
      </c>
      <c r="S112" s="5">
        <f>output!G215</f>
        <v>23484</v>
      </c>
      <c r="T112" s="5">
        <f>output!H215</f>
        <v>14413</v>
      </c>
      <c r="U112" s="5">
        <f>output!I215</f>
        <v>0</v>
      </c>
      <c r="V112" s="5">
        <f>output!J215</f>
        <v>0</v>
      </c>
      <c r="W112" s="5">
        <f>output!K215</f>
        <v>0</v>
      </c>
      <c r="X112" s="5">
        <f si="68" t="shared"/>
        <v>164317</v>
      </c>
      <c r="Y112" s="265" t="s">
        <v>27</v>
      </c>
      <c r="Z112" s="5">
        <f si="69" t="shared"/>
        <v>-389.71522047738836</v>
      </c>
      <c r="AA112" s="5">
        <f si="70" t="shared"/>
        <v>-1421.8156329795293</v>
      </c>
      <c r="AB112" s="5">
        <f si="71" t="shared"/>
        <v>270.76493883476542</v>
      </c>
      <c r="AC112" s="5">
        <f si="72" t="shared"/>
        <v>-3923.6034135098525</v>
      </c>
      <c r="AD112" s="5">
        <f si="73" t="shared"/>
        <v>-3686.9434604512826</v>
      </c>
      <c r="AE112" s="5">
        <f si="74" t="shared"/>
        <v>1901.3289491025498</v>
      </c>
      <c r="AF112" s="5">
        <f si="75" t="shared"/>
        <v>-4320.4809561584116</v>
      </c>
      <c r="AG112" s="5">
        <f si="76" t="shared"/>
        <v>0</v>
      </c>
      <c r="AH112" s="5">
        <f si="77" t="shared"/>
        <v>0</v>
      </c>
      <c r="AI112" s="5">
        <f si="78" t="shared"/>
        <v>0</v>
      </c>
      <c r="AJ112" s="5">
        <f si="79" t="shared"/>
        <v>-11570.464795639156</v>
      </c>
    </row>
    <row r="113" spans="1:36" x14ac:dyDescent="0.2">
      <c r="A113" s="265" t="s">
        <v>28</v>
      </c>
      <c r="B113" s="5">
        <f>output_NHTS!B216</f>
        <v>38556.853824817001</v>
      </c>
      <c r="C113" s="5">
        <f>output_NHTS!C216</f>
        <v>4725.1556264275696</v>
      </c>
      <c r="D113" s="5">
        <f>output_NHTS!D216</f>
        <v>2989.2596963164206</v>
      </c>
      <c r="E113" s="5">
        <f>output_NHTS!E216</f>
        <v>18376.572199830702</v>
      </c>
      <c r="F113" s="5">
        <f>output_NHTS!F216</f>
        <v>13864.859744863175</v>
      </c>
      <c r="G113" s="5">
        <f>output_NHTS!G216</f>
        <v>16457.826664163302</v>
      </c>
      <c r="H113" s="5">
        <f>output_NHTS!H216</f>
        <v>11776.201247397699</v>
      </c>
      <c r="I113" s="5">
        <f>output_NHTS!I216</f>
        <v>0</v>
      </c>
      <c r="J113" s="5">
        <f>output_NHTS!J216</f>
        <v>0</v>
      </c>
      <c r="K113" s="5">
        <f>output_NHTS!K216</f>
        <v>0</v>
      </c>
      <c r="L113" s="5">
        <f si="67" t="shared"/>
        <v>106746.72900381585</v>
      </c>
      <c r="M113" s="265" t="s">
        <v>28</v>
      </c>
      <c r="N113" s="5">
        <f>output!B216</f>
        <v>38049</v>
      </c>
      <c r="O113" s="5">
        <f>output!C216</f>
        <v>5644</v>
      </c>
      <c r="P113" s="5">
        <f>output!D216</f>
        <v>3887</v>
      </c>
      <c r="Q113" s="5">
        <f>output!E216</f>
        <v>17807</v>
      </c>
      <c r="R113" s="5">
        <f>output!F216</f>
        <v>10988</v>
      </c>
      <c r="S113" s="5">
        <f>output!G216</f>
        <v>13420</v>
      </c>
      <c r="T113" s="5">
        <f>output!H216</f>
        <v>8534</v>
      </c>
      <c r="U113" s="5">
        <f>output!I216</f>
        <v>0</v>
      </c>
      <c r="V113" s="5">
        <f>output!J216</f>
        <v>0</v>
      </c>
      <c r="W113" s="5">
        <f>output!K216</f>
        <v>0</v>
      </c>
      <c r="X113" s="5">
        <f si="68" t="shared"/>
        <v>98329</v>
      </c>
      <c r="Y113" s="265" t="s">
        <v>28</v>
      </c>
      <c r="Z113" s="5">
        <f si="69" t="shared"/>
        <v>-507.85382481700071</v>
      </c>
      <c r="AA113" s="5">
        <f si="70" t="shared"/>
        <v>918.84437357243041</v>
      </c>
      <c r="AB113" s="5">
        <f si="71" t="shared"/>
        <v>897.74030368357944</v>
      </c>
      <c r="AC113" s="5">
        <f si="72" t="shared"/>
        <v>-569.57219983070172</v>
      </c>
      <c r="AD113" s="5">
        <f si="73" t="shared"/>
        <v>-2876.8597448631754</v>
      </c>
      <c r="AE113" s="5">
        <f si="74" t="shared"/>
        <v>-3037.8266641633018</v>
      </c>
      <c r="AF113" s="5">
        <f si="75" t="shared"/>
        <v>-3242.2012473976993</v>
      </c>
      <c r="AG113" s="5">
        <f si="76" t="shared"/>
        <v>0</v>
      </c>
      <c r="AH113" s="5">
        <f si="77" t="shared"/>
        <v>0</v>
      </c>
      <c r="AI113" s="5">
        <f si="78" t="shared"/>
        <v>0</v>
      </c>
      <c r="AJ113" s="5">
        <f si="79" t="shared"/>
        <v>-8417.7290038158535</v>
      </c>
    </row>
    <row r="114" spans="1:36" x14ac:dyDescent="0.2">
      <c r="A114" s="265" t="s">
        <v>29</v>
      </c>
      <c r="B114" s="5">
        <f>output_NHTS!B217</f>
        <v>84800.511899354926</v>
      </c>
      <c r="C114" s="5">
        <f>output_NHTS!C217</f>
        <v>12067.697333040671</v>
      </c>
      <c r="D114" s="5">
        <f>output_NHTS!D217</f>
        <v>7859.3158669493614</v>
      </c>
      <c r="E114" s="5">
        <f>output_NHTS!E217</f>
        <v>49711.764726897563</v>
      </c>
      <c r="F114" s="5">
        <f>output_NHTS!F217</f>
        <v>37036.041179418738</v>
      </c>
      <c r="G114" s="5">
        <f>output_NHTS!G217</f>
        <v>38371.560229633382</v>
      </c>
      <c r="H114" s="5">
        <f>output_NHTS!H217</f>
        <v>19392.913564091774</v>
      </c>
      <c r="I114" s="5">
        <f>output_NHTS!I217</f>
        <v>0</v>
      </c>
      <c r="J114" s="5">
        <f>output_NHTS!J217</f>
        <v>0</v>
      </c>
      <c r="K114" s="5">
        <f>output_NHTS!K217</f>
        <v>0</v>
      </c>
      <c r="L114" s="5">
        <f si="67" t="shared"/>
        <v>249239.80479938642</v>
      </c>
      <c r="M114" s="265" t="s">
        <v>29</v>
      </c>
      <c r="N114" s="5">
        <f>output!B217</f>
        <v>80023</v>
      </c>
      <c r="O114" s="5">
        <f>output!C217</f>
        <v>13312</v>
      </c>
      <c r="P114" s="5">
        <f>output!D217</f>
        <v>9086</v>
      </c>
      <c r="Q114" s="5">
        <f>output!E217</f>
        <v>42508</v>
      </c>
      <c r="R114" s="5">
        <f>output!F217</f>
        <v>25081</v>
      </c>
      <c r="S114" s="5">
        <f>output!G217</f>
        <v>34611</v>
      </c>
      <c r="T114" s="5">
        <f>output!H217</f>
        <v>20099</v>
      </c>
      <c r="U114" s="5">
        <f>output!I217</f>
        <v>0</v>
      </c>
      <c r="V114" s="5">
        <f>output!J217</f>
        <v>0</v>
      </c>
      <c r="W114" s="5">
        <f>output!K217</f>
        <v>0</v>
      </c>
      <c r="X114" s="5">
        <f si="68" t="shared"/>
        <v>224720</v>
      </c>
      <c r="Y114" s="265" t="s">
        <v>29</v>
      </c>
      <c r="Z114" s="5">
        <f si="69" t="shared"/>
        <v>-4777.5118993549258</v>
      </c>
      <c r="AA114" s="5">
        <f si="70" t="shared"/>
        <v>1244.3026669593291</v>
      </c>
      <c r="AB114" s="5">
        <f si="71" t="shared"/>
        <v>1226.6841330506386</v>
      </c>
      <c r="AC114" s="5">
        <f si="72" t="shared"/>
        <v>-7203.7647268975634</v>
      </c>
      <c r="AD114" s="5">
        <f si="73" t="shared"/>
        <v>-11955.041179418738</v>
      </c>
      <c r="AE114" s="5">
        <f si="74" t="shared"/>
        <v>-3760.5602296333818</v>
      </c>
      <c r="AF114" s="5">
        <f si="75" t="shared"/>
        <v>706.08643590822612</v>
      </c>
      <c r="AG114" s="5">
        <f si="76" t="shared"/>
        <v>0</v>
      </c>
      <c r="AH114" s="5">
        <f si="77" t="shared"/>
        <v>0</v>
      </c>
      <c r="AI114" s="5">
        <f si="78" t="shared"/>
        <v>0</v>
      </c>
      <c r="AJ114" s="5">
        <f si="79" t="shared"/>
        <v>-24519.804799386417</v>
      </c>
    </row>
    <row r="115" spans="1:36" x14ac:dyDescent="0.2">
      <c r="A115" s="265" t="s">
        <v>30</v>
      </c>
      <c r="B115" s="7">
        <f>output_NHTS!B218</f>
        <v>54552.141321189214</v>
      </c>
      <c r="C115" s="7">
        <f>output_NHTS!C218</f>
        <v>7902.7993425666682</v>
      </c>
      <c r="D115" s="7">
        <f>output_NHTS!D218</f>
        <v>4630.3304700721465</v>
      </c>
      <c r="E115" s="7">
        <f>output_NHTS!E218</f>
        <v>19864.81707296467</v>
      </c>
      <c r="F115" s="7">
        <f>output_NHTS!F218</f>
        <v>9178.7340953510666</v>
      </c>
      <c r="G115" s="7">
        <f>output_NHTS!G218</f>
        <v>18449.941381089207</v>
      </c>
      <c r="H115" s="7">
        <f>output_NHTS!H218</f>
        <v>10444.727022372717</v>
      </c>
      <c r="I115" s="7">
        <f>output_NHTS!I218</f>
        <v>0</v>
      </c>
      <c r="J115" s="7">
        <f>output_NHTS!J218</f>
        <v>0</v>
      </c>
      <c r="K115" s="7">
        <f>output_NHTS!K218</f>
        <v>0</v>
      </c>
      <c r="L115" s="7">
        <f si="67" t="shared"/>
        <v>125023.49070560568</v>
      </c>
      <c r="M115" s="265" t="s">
        <v>30</v>
      </c>
      <c r="N115" s="7">
        <f>output!B218</f>
        <v>43066</v>
      </c>
      <c r="O115" s="7">
        <f>output!C218</f>
        <v>5337</v>
      </c>
      <c r="P115" s="7">
        <f>output!D218</f>
        <v>3911</v>
      </c>
      <c r="Q115" s="7">
        <f>output!E218</f>
        <v>19218</v>
      </c>
      <c r="R115" s="7">
        <f>output!F218</f>
        <v>10658</v>
      </c>
      <c r="S115" s="7">
        <f>output!G218</f>
        <v>13334</v>
      </c>
      <c r="T115" s="7">
        <f>output!H218</f>
        <v>8677</v>
      </c>
      <c r="U115" s="7">
        <f>output!I218</f>
        <v>0</v>
      </c>
      <c r="V115" s="7">
        <f>output!J218</f>
        <v>0</v>
      </c>
      <c r="W115" s="7">
        <f>output!K218</f>
        <v>0</v>
      </c>
      <c r="X115" s="7">
        <f si="68" t="shared"/>
        <v>104201</v>
      </c>
      <c r="Y115" s="265" t="s">
        <v>30</v>
      </c>
      <c r="Z115" s="7">
        <f si="69" t="shared"/>
        <v>-11486.141321189214</v>
      </c>
      <c r="AA115" s="7">
        <f si="70" t="shared"/>
        <v>-2565.7993425666682</v>
      </c>
      <c r="AB115" s="7">
        <f si="71" t="shared"/>
        <v>-719.33047007214645</v>
      </c>
      <c r="AC115" s="7">
        <f si="72" t="shared"/>
        <v>-646.81707296466993</v>
      </c>
      <c r="AD115" s="7">
        <f si="73" t="shared"/>
        <v>1479.2659046489334</v>
      </c>
      <c r="AE115" s="7">
        <f si="74" t="shared"/>
        <v>-5115.9413810892074</v>
      </c>
      <c r="AF115" s="7">
        <f si="75" t="shared"/>
        <v>-1767.7270223727173</v>
      </c>
      <c r="AG115" s="7">
        <f si="76" t="shared"/>
        <v>0</v>
      </c>
      <c r="AH115" s="7">
        <f si="77" t="shared"/>
        <v>0</v>
      </c>
      <c r="AI115" s="7">
        <f si="78" t="shared"/>
        <v>0</v>
      </c>
      <c r="AJ115" s="7">
        <f si="79" t="shared"/>
        <v>-20822.490705605684</v>
      </c>
    </row>
    <row customHeight="1" ht="13.15" r="116" spans="1:36" thickBot="1" x14ac:dyDescent="0.25">
      <c r="A116" s="8" t="s">
        <v>4</v>
      </c>
      <c r="B116" s="18">
        <f ref="B116:L116" si="80" t="shared">SUM(B108:B115)</f>
        <v>826593.35353198694</v>
      </c>
      <c r="C116" s="18">
        <f si="80" t="shared"/>
        <v>125491.61743786048</v>
      </c>
      <c r="D116" s="18">
        <f si="80" t="shared"/>
        <v>87366.39589119915</v>
      </c>
      <c r="E116" s="18">
        <f si="80" t="shared"/>
        <v>426838.49083210184</v>
      </c>
      <c r="F116" s="18">
        <f si="80" t="shared"/>
        <v>247015.91216285128</v>
      </c>
      <c r="G116" s="18">
        <f si="80" t="shared"/>
        <v>303386.97126479662</v>
      </c>
      <c r="H116" s="18">
        <f si="80" t="shared"/>
        <v>193285.91080928093</v>
      </c>
      <c r="I116" s="18">
        <f si="80" t="shared"/>
        <v>0</v>
      </c>
      <c r="J116" s="18">
        <f si="80" t="shared"/>
        <v>0</v>
      </c>
      <c r="K116" s="18">
        <f si="80" t="shared"/>
        <v>0</v>
      </c>
      <c r="L116" s="18">
        <f si="80" t="shared"/>
        <v>2209978.651930077</v>
      </c>
      <c r="M116" s="8" t="s">
        <v>4</v>
      </c>
      <c r="N116" s="18">
        <f ref="N116:X116" si="81" t="shared">SUM(N108:N115)</f>
        <v>733328</v>
      </c>
      <c r="O116" s="18">
        <f si="81" t="shared"/>
        <v>108305</v>
      </c>
      <c r="P116" s="18">
        <f si="81" t="shared"/>
        <v>74806</v>
      </c>
      <c r="Q116" s="18">
        <f si="81" t="shared"/>
        <v>370581</v>
      </c>
      <c r="R116" s="18">
        <f si="81" t="shared"/>
        <v>211015</v>
      </c>
      <c r="S116" s="18">
        <f si="81" t="shared"/>
        <v>276780</v>
      </c>
      <c r="T116" s="18">
        <f si="81" t="shared"/>
        <v>166760</v>
      </c>
      <c r="U116" s="18">
        <f si="81" t="shared"/>
        <v>0</v>
      </c>
      <c r="V116" s="18">
        <f si="81" t="shared"/>
        <v>0</v>
      </c>
      <c r="W116" s="18">
        <f si="81" t="shared"/>
        <v>0</v>
      </c>
      <c r="X116" s="18">
        <f si="81" t="shared"/>
        <v>1941575</v>
      </c>
      <c r="Y116" s="8" t="s">
        <v>4</v>
      </c>
      <c r="Z116" s="18">
        <f si="69" t="shared"/>
        <v>-93265.353531986941</v>
      </c>
      <c r="AA116" s="18">
        <f si="70" t="shared"/>
        <v>-17186.617437860477</v>
      </c>
      <c r="AB116" s="18">
        <f si="71" t="shared"/>
        <v>-12560.39589119915</v>
      </c>
      <c r="AC116" s="18">
        <f si="72" t="shared"/>
        <v>-56257.490832101845</v>
      </c>
      <c r="AD116" s="18">
        <f si="73" t="shared"/>
        <v>-36000.91216285128</v>
      </c>
      <c r="AE116" s="18">
        <f si="74" t="shared"/>
        <v>-26606.971264796623</v>
      </c>
      <c r="AF116" s="18">
        <f si="75" t="shared"/>
        <v>-26525.910809280933</v>
      </c>
      <c r="AG116" s="18">
        <f si="76" t="shared"/>
        <v>0</v>
      </c>
      <c r="AH116" s="18">
        <f si="77" t="shared"/>
        <v>0</v>
      </c>
      <c r="AI116" s="18">
        <f si="78" t="shared"/>
        <v>0</v>
      </c>
      <c r="AJ116" s="18">
        <f si="79" t="shared"/>
        <v>-268403.651930077</v>
      </c>
    </row>
    <row r="118" spans="1:36" x14ac:dyDescent="0.2">
      <c r="A118" s="265" t="s">
        <v>174</v>
      </c>
      <c r="B118" s="5">
        <f>output_NHTS!B331</f>
        <v>653169.10305177723</v>
      </c>
      <c r="C118" s="5">
        <f>output_NHTS!B332</f>
        <v>103500.99999999993</v>
      </c>
      <c r="D118" s="5">
        <f>output_NHTS!B333</f>
        <v>72126.842960679831</v>
      </c>
      <c r="E118" s="5">
        <f>output_NHTS!B334</f>
        <v>339467.00000000047</v>
      </c>
      <c r="F118" s="5">
        <f>output_NHTS!B335</f>
        <v>193840.00865513986</v>
      </c>
      <c r="G118" s="5">
        <f>output_NHTS!B336</f>
        <v>251106.05398754237</v>
      </c>
      <c r="H118" s="5">
        <f>output_NHTS!B337</f>
        <v>153010.99134486017</v>
      </c>
      <c r="I118" s="5">
        <f>output_NHTS!B338</f>
        <v>0</v>
      </c>
      <c r="J118" s="5">
        <f>output_NHTS!B339</f>
        <v>0</v>
      </c>
      <c r="K118" s="5">
        <f>output_NHTS!B340</f>
        <v>0</v>
      </c>
      <c r="L118" s="5">
        <f>SUM(B118:K118)</f>
        <v>1766221</v>
      </c>
      <c r="M118" s="265" t="s">
        <v>174</v>
      </c>
      <c r="N118" s="5">
        <f>output!B331</f>
        <v>653968</v>
      </c>
      <c r="O118" s="5">
        <f>output!B332</f>
        <v>103501</v>
      </c>
      <c r="P118" s="5">
        <f>output!B333</f>
        <v>71370</v>
      </c>
      <c r="Q118" s="5">
        <f>output!B334</f>
        <v>339384</v>
      </c>
      <c r="R118" s="5">
        <f>output!B335</f>
        <v>193955</v>
      </c>
      <c r="S118" s="5">
        <f>output!B336</f>
        <v>251147</v>
      </c>
      <c r="T118" s="5">
        <f>output!B337</f>
        <v>152896</v>
      </c>
      <c r="U118" s="5">
        <f>output!B338</f>
        <v>0</v>
      </c>
      <c r="V118" s="5">
        <f>output!B339</f>
        <v>0</v>
      </c>
      <c r="W118" s="5">
        <f>output!B340</f>
        <v>0</v>
      </c>
      <c r="X118" s="5">
        <f>SUM(N118:W118)</f>
        <v>1766221</v>
      </c>
      <c r="Y118" s="265" t="s">
        <v>174</v>
      </c>
      <c r="Z118" s="5">
        <f ref="Z118:AJ119" si="82" t="shared">N118-B118</f>
        <v>798.89694822276942</v>
      </c>
      <c r="AA118" s="5">
        <f si="82" t="shared"/>
        <v>0</v>
      </c>
      <c r="AB118" s="5">
        <f si="82" t="shared"/>
        <v>-756.84296067983087</v>
      </c>
      <c r="AC118" s="5">
        <f si="82" t="shared"/>
        <v>-83.000000000465661</v>
      </c>
      <c r="AD118" s="5">
        <f si="82" t="shared"/>
        <v>114.99134486014373</v>
      </c>
      <c r="AE118" s="5">
        <f si="82" t="shared"/>
        <v>40.946012457628967</v>
      </c>
      <c r="AF118" s="5">
        <f si="82" t="shared"/>
        <v>-114.99134486017283</v>
      </c>
      <c r="AG118" s="5">
        <f si="82" t="shared"/>
        <v>0</v>
      </c>
      <c r="AH118" s="5">
        <f si="82" t="shared"/>
        <v>0</v>
      </c>
      <c r="AI118" s="5">
        <f si="82" t="shared"/>
        <v>0</v>
      </c>
      <c r="AJ118" s="5">
        <f si="82" t="shared"/>
        <v>0</v>
      </c>
    </row>
    <row r="119" spans="1:36" x14ac:dyDescent="0.2">
      <c r="A119" s="265" t="s">
        <v>175</v>
      </c>
      <c r="B119" s="218">
        <f ref="B119:L119" si="83" t="shared">B116/B118</f>
        <v>1.2655120238693567</v>
      </c>
      <c r="C119" s="218">
        <f si="83" t="shared"/>
        <v>1.2124676808713013</v>
      </c>
      <c r="D119" s="218">
        <f si="83" t="shared"/>
        <v>1.2112882292495071</v>
      </c>
      <c r="E119" s="218">
        <f si="83" t="shared"/>
        <v>1.2573784516082602</v>
      </c>
      <c r="F119" s="218">
        <f si="83" t="shared"/>
        <v>1.2743288337461669</v>
      </c>
      <c r="G119" s="218">
        <f si="83" t="shared"/>
        <v>1.2082025361278146</v>
      </c>
      <c r="H119" s="218">
        <f si="83" t="shared"/>
        <v>1.2632158586153337</v>
      </c>
      <c r="I119" s="218" t="e">
        <f si="83" t="shared"/>
        <v>#DIV/0!</v>
      </c>
      <c r="J119" s="218" t="e">
        <f si="83" t="shared"/>
        <v>#DIV/0!</v>
      </c>
      <c r="K119" s="218" t="e">
        <f si="83" t="shared"/>
        <v>#DIV/0!</v>
      </c>
      <c r="L119" s="218">
        <f si="83" t="shared"/>
        <v>1.2512469571645208</v>
      </c>
      <c r="M119" s="265" t="s">
        <v>175</v>
      </c>
      <c r="N119" s="218">
        <f ref="N119:X119" si="84" t="shared">N116/N118</f>
        <v>1.121351503437477</v>
      </c>
      <c r="O119" s="218">
        <f si="84" t="shared"/>
        <v>1.0464150104829906</v>
      </c>
      <c r="P119" s="218">
        <f si="84" t="shared"/>
        <v>1.0481434776516745</v>
      </c>
      <c r="Q119" s="218">
        <f si="84" t="shared"/>
        <v>1.0919224241567074</v>
      </c>
      <c r="R119" s="218">
        <f si="84" t="shared"/>
        <v>1.0879585470856643</v>
      </c>
      <c r="S119" s="218">
        <f si="84" t="shared"/>
        <v>1.1020637315994219</v>
      </c>
      <c r="T119" s="218">
        <f si="84" t="shared"/>
        <v>1.0906760150690666</v>
      </c>
      <c r="U119" s="218" t="e">
        <f si="84" t="shared"/>
        <v>#DIV/0!</v>
      </c>
      <c r="V119" s="218" t="e">
        <f si="84" t="shared"/>
        <v>#DIV/0!</v>
      </c>
      <c r="W119" s="218" t="e">
        <f si="84" t="shared"/>
        <v>#DIV/0!</v>
      </c>
      <c r="X119" s="218">
        <f si="84" t="shared"/>
        <v>1.0992820264281764</v>
      </c>
      <c r="Y119" s="265" t="s">
        <v>175</v>
      </c>
      <c r="Z119" s="219">
        <f si="82" t="shared"/>
        <v>-0.14416052043187966</v>
      </c>
      <c r="AA119" s="219">
        <f si="82" t="shared"/>
        <v>-0.16605267038831073</v>
      </c>
      <c r="AB119" s="219">
        <f si="82" t="shared"/>
        <v>-0.16314475159783259</v>
      </c>
      <c r="AC119" s="219">
        <f si="82" t="shared"/>
        <v>-0.16545602745155286</v>
      </c>
      <c r="AD119" s="219">
        <f si="82" t="shared"/>
        <v>-0.18637028666050259</v>
      </c>
      <c r="AE119" s="219">
        <f si="82" t="shared"/>
        <v>-0.10613880452839264</v>
      </c>
      <c r="AF119" s="219">
        <f si="82" t="shared"/>
        <v>-0.17253984354626706</v>
      </c>
      <c r="AG119" s="219" t="e">
        <f si="82" t="shared"/>
        <v>#DIV/0!</v>
      </c>
      <c r="AH119" s="219" t="e">
        <f si="82" t="shared"/>
        <v>#DIV/0!</v>
      </c>
      <c r="AI119" s="219" t="e">
        <f si="82" t="shared"/>
        <v>#DIV/0!</v>
      </c>
      <c r="AJ119" s="219">
        <f si="82" t="shared"/>
        <v>-0.15196493073634443</v>
      </c>
    </row>
    <row customHeight="1" ht="13.15" r="121" spans="1:36" x14ac:dyDescent="0.2">
      <c r="A121" s="264" t="s">
        <v>41</v>
      </c>
      <c r="M121" s="264" t="s">
        <v>41</v>
      </c>
      <c r="Y121" s="264" t="s">
        <v>41</v>
      </c>
    </row>
    <row customHeight="1" ht="13.15" r="122" spans="1:36" x14ac:dyDescent="0.2">
      <c r="A122" s="264" t="s">
        <v>201</v>
      </c>
      <c r="M122" s="264" t="s">
        <v>202</v>
      </c>
      <c r="Y122" s="264" t="s">
        <v>203</v>
      </c>
    </row>
    <row customHeight="1" ht="13.15" r="123" spans="1:36" thickBot="1" x14ac:dyDescent="0.25">
      <c r="B123" s="13"/>
      <c r="C123" s="13"/>
      <c r="D123" s="13"/>
      <c r="E123" s="1"/>
      <c r="F123" s="1"/>
      <c r="N123" s="13"/>
      <c r="O123" s="13"/>
      <c r="P123" s="13"/>
      <c r="Q123" s="1"/>
      <c r="R123" s="1"/>
      <c r="Z123" s="13"/>
      <c r="AA123" s="13"/>
      <c r="AB123" s="13"/>
      <c r="AC123" s="1"/>
      <c r="AD123" s="1"/>
    </row>
    <row customHeight="1" ht="13.15" r="124" spans="1:36" x14ac:dyDescent="0.2">
      <c r="A124" s="3" t="s">
        <v>22</v>
      </c>
      <c r="B124" s="4">
        <f ref="B124:K124" si="85" t="shared">B107</f>
        <v>1</v>
      </c>
      <c r="C124" s="4">
        <f si="85" t="shared"/>
        <v>2</v>
      </c>
      <c r="D124" s="4">
        <f si="85" t="shared"/>
        <v>3</v>
      </c>
      <c r="E124" s="4">
        <f si="85" t="shared"/>
        <v>4</v>
      </c>
      <c r="F124" s="4">
        <f si="85" t="shared"/>
        <v>5</v>
      </c>
      <c r="G124" s="4">
        <f si="85" t="shared"/>
        <v>6</v>
      </c>
      <c r="H124" s="4">
        <f si="85" t="shared"/>
        <v>7</v>
      </c>
      <c r="I124" s="4">
        <f si="85" t="shared"/>
        <v>8</v>
      </c>
      <c r="J124" s="4">
        <f si="85" t="shared"/>
        <v>9</v>
      </c>
      <c r="K124" s="4">
        <f si="85" t="shared"/>
        <v>10</v>
      </c>
      <c r="L124" s="4" t="s">
        <v>4</v>
      </c>
      <c r="M124" s="3" t="s">
        <v>22</v>
      </c>
      <c r="N124" s="4">
        <f ref="N124:W124" si="86" t="shared">B107</f>
        <v>1</v>
      </c>
      <c r="O124" s="4">
        <f si="86" t="shared"/>
        <v>2</v>
      </c>
      <c r="P124" s="4">
        <f si="86" t="shared"/>
        <v>3</v>
      </c>
      <c r="Q124" s="4">
        <f si="86" t="shared"/>
        <v>4</v>
      </c>
      <c r="R124" s="4">
        <f si="86" t="shared"/>
        <v>5</v>
      </c>
      <c r="S124" s="4">
        <f si="86" t="shared"/>
        <v>6</v>
      </c>
      <c r="T124" s="4">
        <f si="86" t="shared"/>
        <v>7</v>
      </c>
      <c r="U124" s="4">
        <f si="86" t="shared"/>
        <v>8</v>
      </c>
      <c r="V124" s="4">
        <f si="86" t="shared"/>
        <v>9</v>
      </c>
      <c r="W124" s="4">
        <f si="86" t="shared"/>
        <v>10</v>
      </c>
      <c r="X124" s="4" t="s">
        <v>4</v>
      </c>
      <c r="Y124" s="3" t="s">
        <v>22</v>
      </c>
      <c r="Z124" s="4">
        <f ref="Z124:AI124" si="87" t="shared">B107</f>
        <v>1</v>
      </c>
      <c r="AA124" s="4">
        <f si="87" t="shared"/>
        <v>2</v>
      </c>
      <c r="AB124" s="4">
        <f si="87" t="shared"/>
        <v>3</v>
      </c>
      <c r="AC124" s="4">
        <f si="87" t="shared"/>
        <v>4</v>
      </c>
      <c r="AD124" s="4">
        <f si="87" t="shared"/>
        <v>5</v>
      </c>
      <c r="AE124" s="4">
        <f si="87" t="shared"/>
        <v>6</v>
      </c>
      <c r="AF124" s="4">
        <f si="87" t="shared"/>
        <v>7</v>
      </c>
      <c r="AG124" s="4">
        <f si="87" t="shared"/>
        <v>8</v>
      </c>
      <c r="AH124" s="4">
        <f si="87" t="shared"/>
        <v>9</v>
      </c>
      <c r="AI124" s="4">
        <f si="87" t="shared"/>
        <v>10</v>
      </c>
      <c r="AJ124" s="4" t="s">
        <v>4</v>
      </c>
    </row>
    <row r="125" spans="1:36" x14ac:dyDescent="0.2">
      <c r="A125" s="265" t="s">
        <v>23</v>
      </c>
      <c r="B125" s="10">
        <f ref="B125:L125" si="88" t="shared">B108/B$116</f>
        <v>0.40560332710047237</v>
      </c>
      <c r="C125" s="10">
        <f si="88" t="shared"/>
        <v>0.33663183575019867</v>
      </c>
      <c r="D125" s="10">
        <f si="88" t="shared"/>
        <v>0.35754984930973588</v>
      </c>
      <c r="E125" s="10">
        <f si="88" t="shared"/>
        <v>0.35942587875113463</v>
      </c>
      <c r="F125" s="10">
        <f si="88" t="shared"/>
        <v>0.35220517980845328</v>
      </c>
      <c r="G125" s="10">
        <f si="88" t="shared"/>
        <v>0.3039301246798547</v>
      </c>
      <c r="H125" s="10">
        <f si="88" t="shared"/>
        <v>0.33291960074432653</v>
      </c>
      <c r="I125" s="10" t="e">
        <f si="88" t="shared"/>
        <v>#DIV/0!</v>
      </c>
      <c r="J125" s="10" t="e">
        <f si="88" t="shared"/>
        <v>#DIV/0!</v>
      </c>
      <c r="K125" s="10" t="e">
        <f si="88" t="shared"/>
        <v>#DIV/0!</v>
      </c>
      <c r="L125" s="10">
        <f si="88" t="shared"/>
        <v>0.36458520563215396</v>
      </c>
      <c r="M125" s="265" t="s">
        <v>23</v>
      </c>
      <c r="N125" s="10">
        <f ref="N125:X125" si="89" t="shared">N108/N$116</f>
        <v>0.37948230532585692</v>
      </c>
      <c r="O125" s="10">
        <f si="89" t="shared"/>
        <v>0.32165643322099624</v>
      </c>
      <c r="P125" s="10">
        <f si="89" t="shared"/>
        <v>0.32803518434350187</v>
      </c>
      <c r="Q125" s="10">
        <f si="89" t="shared"/>
        <v>0.340883639474231</v>
      </c>
      <c r="R125" s="10">
        <f si="89" t="shared"/>
        <v>0.33081060588109851</v>
      </c>
      <c r="S125" s="10">
        <f si="89" t="shared"/>
        <v>0.30870727653732205</v>
      </c>
      <c r="T125" s="10">
        <f si="89" t="shared"/>
        <v>0.33120052770448549</v>
      </c>
      <c r="U125" s="10" t="e">
        <f si="89" t="shared"/>
        <v>#DIV/0!</v>
      </c>
      <c r="V125" s="10" t="e">
        <f si="89" t="shared"/>
        <v>#DIV/0!</v>
      </c>
      <c r="W125" s="10" t="e">
        <f si="89" t="shared"/>
        <v>#DIV/0!</v>
      </c>
      <c r="X125" s="10">
        <f si="89" t="shared"/>
        <v>0.34738137852001599</v>
      </c>
      <c r="Y125" s="265" t="s">
        <v>23</v>
      </c>
      <c r="Z125" s="10">
        <f ref="Z125:Z133" si="90" t="shared">N125-B125</f>
        <v>-2.6121021774615449E-2</v>
      </c>
      <c r="AA125" s="10">
        <f ref="AA125:AA133" si="91" t="shared">O125-C125</f>
        <v>-1.4975402529202431E-2</v>
      </c>
      <c r="AB125" s="10">
        <f ref="AB125:AB133" si="92" t="shared">P125-D125</f>
        <v>-2.9514664966234005E-2</v>
      </c>
      <c r="AC125" s="10">
        <f ref="AC125:AC133" si="93" t="shared">Q125-E125</f>
        <v>-1.8542239276903627E-2</v>
      </c>
      <c r="AD125" s="10">
        <f ref="AD125:AD133" si="94" t="shared">R125-F125</f>
        <v>-2.1394573927354776E-2</v>
      </c>
      <c r="AE125" s="10">
        <f ref="AE125:AE133" si="95" t="shared">S125-G125</f>
        <v>4.7771518574673544E-3</v>
      </c>
      <c r="AF125" s="10">
        <f ref="AF125:AF133" si="96" t="shared">T125-H125</f>
        <v>-1.7190730398410348E-3</v>
      </c>
      <c r="AG125" s="10">
        <f ref="AG125:AG133" si="97" t="shared">X125-L125</f>
        <v>-1.720382711213797E-2</v>
      </c>
      <c r="AH125" s="10" t="e">
        <f ref="AH125:AH133" si="98" t="shared">V125-J125</f>
        <v>#DIV/0!</v>
      </c>
      <c r="AI125" s="10" t="e">
        <f ref="AI125:AI133" si="99" t="shared">W125-K125</f>
        <v>#DIV/0!</v>
      </c>
      <c r="AJ125" s="10">
        <f ref="AJ125:AJ133" si="100" t="shared">X125-L125</f>
        <v>-1.720382711213797E-2</v>
      </c>
    </row>
    <row r="126" spans="1:36" x14ac:dyDescent="0.2">
      <c r="A126" s="265" t="s">
        <v>24</v>
      </c>
      <c r="B126" s="10">
        <f ref="B126:L126" si="101" t="shared">B109/B$116</f>
        <v>0.10805764539837305</v>
      </c>
      <c r="C126" s="10">
        <f si="101" t="shared"/>
        <v>0.13474092371454363</v>
      </c>
      <c r="D126" s="10">
        <f si="101" t="shared"/>
        <v>0.1255439955584077</v>
      </c>
      <c r="E126" s="10">
        <f si="101" t="shared"/>
        <v>0.13925635494905902</v>
      </c>
      <c r="F126" s="10">
        <f si="101" t="shared"/>
        <v>0.10242335127424396</v>
      </c>
      <c r="G126" s="10">
        <f si="101" t="shared"/>
        <v>0.15572623386406381</v>
      </c>
      <c r="H126" s="10">
        <f si="101" t="shared"/>
        <v>0.11058008120439548</v>
      </c>
      <c r="I126" s="10" t="e">
        <f si="101" t="shared"/>
        <v>#DIV/0!</v>
      </c>
      <c r="J126" s="10" t="e">
        <f si="101" t="shared"/>
        <v>#DIV/0!</v>
      </c>
      <c r="K126" s="10" t="e">
        <f si="101" t="shared"/>
        <v>#DIV/0!</v>
      </c>
      <c r="L126" s="10">
        <f si="101" t="shared"/>
        <v>0.12242469681619664</v>
      </c>
      <c r="M126" s="265" t="s">
        <v>24</v>
      </c>
      <c r="N126" s="10">
        <f ref="N126:X126" si="102" t="shared">N109/N$116</f>
        <v>0.1013666463028822</v>
      </c>
      <c r="O126" s="10">
        <f si="102" t="shared"/>
        <v>0.12702091316190389</v>
      </c>
      <c r="P126" s="10">
        <f si="102" t="shared"/>
        <v>0.12382696575141032</v>
      </c>
      <c r="Q126" s="10">
        <f si="102" t="shared"/>
        <v>0.12874378341037451</v>
      </c>
      <c r="R126" s="10">
        <f si="102" t="shared"/>
        <v>0.12135630168471435</v>
      </c>
      <c r="S126" s="10">
        <f si="102" t="shared"/>
        <v>0.14550545559650263</v>
      </c>
      <c r="T126" s="10">
        <f si="102" t="shared"/>
        <v>0.12494003358119453</v>
      </c>
      <c r="U126" s="10" t="e">
        <f si="102" t="shared"/>
        <v>#DIV/0!</v>
      </c>
      <c r="V126" s="10" t="e">
        <f si="102" t="shared"/>
        <v>#DIV/0!</v>
      </c>
      <c r="W126" s="10" t="e">
        <f si="102" t="shared"/>
        <v>#DIV/0!</v>
      </c>
      <c r="X126" s="10">
        <f si="102" t="shared"/>
        <v>0.11937782470417058</v>
      </c>
      <c r="Y126" s="265" t="s">
        <v>24</v>
      </c>
      <c r="Z126" s="10">
        <f si="90" t="shared"/>
        <v>-6.6909990954908544E-3</v>
      </c>
      <c r="AA126" s="10">
        <f si="91" t="shared"/>
        <v>-7.7200105526397389E-3</v>
      </c>
      <c r="AB126" s="10">
        <f si="92" t="shared"/>
        <v>-1.7170298069973805E-3</v>
      </c>
      <c r="AC126" s="10">
        <f si="93" t="shared"/>
        <v>-1.0512571538684512E-2</v>
      </c>
      <c r="AD126" s="10">
        <f si="94" t="shared"/>
        <v>1.8932950410470398E-2</v>
      </c>
      <c r="AE126" s="10">
        <f si="95" t="shared"/>
        <v>-1.0220778267561181E-2</v>
      </c>
      <c r="AF126" s="10">
        <f si="96" t="shared"/>
        <v>1.4359952376799046E-2</v>
      </c>
      <c r="AG126" s="10">
        <f si="97" t="shared"/>
        <v>-3.0468721120260611E-3</v>
      </c>
      <c r="AH126" s="10" t="e">
        <f si="98" t="shared"/>
        <v>#DIV/0!</v>
      </c>
      <c r="AI126" s="10" t="e">
        <f si="99" t="shared"/>
        <v>#DIV/0!</v>
      </c>
      <c r="AJ126" s="10">
        <f si="100" t="shared"/>
        <v>-3.0468721120260611E-3</v>
      </c>
    </row>
    <row r="127" spans="1:36" x14ac:dyDescent="0.2">
      <c r="A127" s="265" t="s">
        <v>25</v>
      </c>
      <c r="B127" s="10">
        <f ref="B127:L127" si="103" t="shared">B110/B$116</f>
        <v>8.805419353493886E-2</v>
      </c>
      <c r="C127" s="10">
        <f si="103" t="shared"/>
        <v>0.11329400571999138</v>
      </c>
      <c r="D127" s="10">
        <f si="103" t="shared"/>
        <v>0.10577875938040809</v>
      </c>
      <c r="E127" s="10">
        <f si="103" t="shared"/>
        <v>9.1564853307078475E-2</v>
      </c>
      <c r="F127" s="10">
        <f si="103" t="shared"/>
        <v>9.0950272268147087E-2</v>
      </c>
      <c r="G127" s="10">
        <f si="103" t="shared"/>
        <v>0.12396612765751526</v>
      </c>
      <c r="H127" s="10">
        <f si="103" t="shared"/>
        <v>9.3216030600730512E-2</v>
      </c>
      <c r="I127" s="10" t="e">
        <f si="103" t="shared"/>
        <v>#DIV/0!</v>
      </c>
      <c r="J127" s="10" t="e">
        <f si="103" t="shared"/>
        <v>#DIV/0!</v>
      </c>
      <c r="K127" s="10" t="e">
        <f si="103" t="shared"/>
        <v>#DIV/0!</v>
      </c>
      <c r="L127" s="10">
        <f si="103" t="shared"/>
        <v>9.6571335466834954E-2</v>
      </c>
      <c r="M127" s="265" t="s">
        <v>25</v>
      </c>
      <c r="N127" s="10">
        <f ref="N127:X127" si="104" t="shared">N110/N$116</f>
        <v>9.1855213492461757E-2</v>
      </c>
      <c r="O127" s="10">
        <f si="104" t="shared"/>
        <v>9.2811966206546331E-2</v>
      </c>
      <c r="P127" s="10">
        <f si="104" t="shared"/>
        <v>9.9684517284709784E-2</v>
      </c>
      <c r="Q127" s="10">
        <f si="104" t="shared"/>
        <v>0.11073422544598886</v>
      </c>
      <c r="R127" s="10">
        <f si="104" t="shared"/>
        <v>0.10131507238821885</v>
      </c>
      <c r="S127" s="10">
        <f si="104" t="shared"/>
        <v>0.10803164968567093</v>
      </c>
      <c r="T127" s="10">
        <f si="104" t="shared"/>
        <v>9.9130486927320696E-2</v>
      </c>
      <c r="U127" s="10" t="e">
        <f si="104" t="shared"/>
        <v>#DIV/0!</v>
      </c>
      <c r="V127" s="10" t="e">
        <f si="104" t="shared"/>
        <v>#DIV/0!</v>
      </c>
      <c r="W127" s="10" t="e">
        <f si="104" t="shared"/>
        <v>#DIV/0!</v>
      </c>
      <c r="X127" s="10">
        <f si="104" t="shared"/>
        <v>9.9772607290472937E-2</v>
      </c>
      <c r="Y127" s="265" t="s">
        <v>25</v>
      </c>
      <c r="Z127" s="10">
        <f si="90" t="shared"/>
        <v>3.801019957522897E-3</v>
      </c>
      <c r="AA127" s="10">
        <f si="91" t="shared"/>
        <v>-2.0482039513445044E-2</v>
      </c>
      <c r="AB127" s="10">
        <f si="92" t="shared"/>
        <v>-6.0942420956983101E-3</v>
      </c>
      <c r="AC127" s="10">
        <f si="93" t="shared"/>
        <v>1.9169372138910387E-2</v>
      </c>
      <c r="AD127" s="10">
        <f si="94" t="shared"/>
        <v>1.0364800120071765E-2</v>
      </c>
      <c r="AE127" s="10">
        <f si="95" t="shared"/>
        <v>-1.593447797184433E-2</v>
      </c>
      <c r="AF127" s="10">
        <f si="96" t="shared"/>
        <v>5.9144563265901839E-3</v>
      </c>
      <c r="AG127" s="10">
        <f si="97" t="shared"/>
        <v>3.2012718236379828E-3</v>
      </c>
      <c r="AH127" s="10" t="e">
        <f si="98" t="shared"/>
        <v>#DIV/0!</v>
      </c>
      <c r="AI127" s="10" t="e">
        <f si="99" t="shared"/>
        <v>#DIV/0!</v>
      </c>
      <c r="AJ127" s="10">
        <f si="100" t="shared"/>
        <v>3.2012718236379828E-3</v>
      </c>
    </row>
    <row r="128" spans="1:36" x14ac:dyDescent="0.2">
      <c r="A128" s="265" t="s">
        <v>26</v>
      </c>
      <c r="B128" s="10">
        <f ref="B128:L128" si="105" t="shared">B111/B$116</f>
        <v>0.10908553028879041</v>
      </c>
      <c r="C128" s="10">
        <f si="105" t="shared"/>
        <v>0.12768479524607543</v>
      </c>
      <c r="D128" s="10">
        <f si="105" t="shared"/>
        <v>0.16178506141008636</v>
      </c>
      <c r="E128" s="10">
        <f si="105" t="shared"/>
        <v>0.12310407498685393</v>
      </c>
      <c r="F128" s="10">
        <f si="105" t="shared"/>
        <v>0.12082496084974807</v>
      </c>
      <c r="G128" s="10">
        <f si="105" t="shared"/>
        <v>0.10370093797096544</v>
      </c>
      <c r="H128" s="10">
        <f si="105" t="shared"/>
        <v>0.15106637908180701</v>
      </c>
      <c r="I128" s="10" t="e">
        <f si="105" t="shared"/>
        <v>#DIV/0!</v>
      </c>
      <c r="J128" s="10" t="e">
        <f si="105" t="shared"/>
        <v>#DIV/0!</v>
      </c>
      <c r="K128" s="10" t="e">
        <f si="105" t="shared"/>
        <v>#DIV/0!</v>
      </c>
      <c r="L128" s="10">
        <f si="105" t="shared"/>
        <v>0.11917720785950654</v>
      </c>
      <c r="M128" s="265" t="s">
        <v>26</v>
      </c>
      <c r="N128" s="10">
        <f ref="N128:X128" si="106" t="shared">N111/N$116</f>
        <v>0.12471772521981977</v>
      </c>
      <c r="O128" s="10">
        <f si="106" t="shared"/>
        <v>0.14206177000138498</v>
      </c>
      <c r="P128" s="10">
        <f si="106" t="shared"/>
        <v>0.13484212496323825</v>
      </c>
      <c r="Q128" s="10">
        <f si="106" t="shared"/>
        <v>0.12278287337990884</v>
      </c>
      <c r="R128" s="10">
        <f si="106" t="shared"/>
        <v>0.13675805037556571</v>
      </c>
      <c r="S128" s="10">
        <f si="106" t="shared"/>
        <v>0.13119806344389046</v>
      </c>
      <c r="T128" s="10">
        <f si="106" t="shared"/>
        <v>0.13456464379947231</v>
      </c>
      <c r="U128" s="10" t="e">
        <f si="106" t="shared"/>
        <v>#DIV/0!</v>
      </c>
      <c r="V128" s="10" t="e">
        <f si="106" t="shared"/>
        <v>#DIV/0!</v>
      </c>
      <c r="W128" s="10" t="e">
        <f si="106" t="shared"/>
        <v>#DIV/0!</v>
      </c>
      <c r="X128" s="10">
        <f si="106" t="shared"/>
        <v>0.12878410568739296</v>
      </c>
      <c r="Y128" s="265" t="s">
        <v>26</v>
      </c>
      <c r="Z128" s="10">
        <f si="90" t="shared"/>
        <v>1.5632194931029367E-2</v>
      </c>
      <c r="AA128" s="10">
        <f si="91" t="shared"/>
        <v>1.4376974755309552E-2</v>
      </c>
      <c r="AB128" s="10">
        <f si="92" t="shared"/>
        <v>-2.6942936446848115E-2</v>
      </c>
      <c r="AC128" s="10">
        <f si="93" t="shared"/>
        <v>-3.2120160694508459E-4</v>
      </c>
      <c r="AD128" s="10">
        <f si="94" t="shared"/>
        <v>1.5933089525817637E-2</v>
      </c>
      <c r="AE128" s="10">
        <f si="95" t="shared"/>
        <v>2.7497125472925016E-2</v>
      </c>
      <c r="AF128" s="10">
        <f si="96" t="shared"/>
        <v>-1.6501735282334701E-2</v>
      </c>
      <c r="AG128" s="10">
        <f si="97" t="shared"/>
        <v>9.6068978278864153E-3</v>
      </c>
      <c r="AH128" s="10" t="e">
        <f si="98" t="shared"/>
        <v>#DIV/0!</v>
      </c>
      <c r="AI128" s="10" t="e">
        <f si="99" t="shared"/>
        <v>#DIV/0!</v>
      </c>
      <c r="AJ128" s="10">
        <f si="100" t="shared"/>
        <v>9.6068978278864153E-3</v>
      </c>
    </row>
    <row r="129" spans="1:36" x14ac:dyDescent="0.2">
      <c r="A129" s="265" t="s">
        <v>27</v>
      </c>
      <c r="B129" s="10">
        <f ref="B129:L129" si="107" t="shared">B112/B$116</f>
        <v>7.396710239590791E-2</v>
      </c>
      <c r="C129" s="10">
        <f si="107" t="shared"/>
        <v>9.0857189235172234E-2</v>
      </c>
      <c r="D129" s="10">
        <f si="107" t="shared"/>
        <v>7.2170025979066313E-2</v>
      </c>
      <c r="E129" s="10">
        <f si="107" t="shared"/>
        <v>8.0591615218321616E-2</v>
      </c>
      <c r="F129" s="10">
        <f si="107" t="shared"/>
        <v>9.0374515815538542E-2</v>
      </c>
      <c r="G129" s="10">
        <f si="107" t="shared"/>
        <v>7.1139083398739825E-2</v>
      </c>
      <c r="H129" s="10">
        <f si="107" t="shared"/>
        <v>9.6921088959469534E-2</v>
      </c>
      <c r="I129" s="10" t="e">
        <f si="107" t="shared"/>
        <v>#DIV/0!</v>
      </c>
      <c r="J129" s="10" t="e">
        <f si="107" t="shared"/>
        <v>#DIV/0!</v>
      </c>
      <c r="K129" s="10" t="e">
        <f si="107" t="shared"/>
        <v>#DIV/0!</v>
      </c>
      <c r="L129" s="10">
        <f si="107" t="shared"/>
        <v>7.9587856942431756E-2</v>
      </c>
      <c r="M129" s="265" t="s">
        <v>27</v>
      </c>
      <c r="N129" s="10">
        <f ref="N129:X129" si="108" t="shared">N112/N$116</f>
        <v>8.2842875220910703E-2</v>
      </c>
      <c r="O129" s="10">
        <f si="108" t="shared"/>
        <v>9.2147176953972579E-2</v>
      </c>
      <c r="P129" s="10">
        <f si="108" t="shared"/>
        <v>8.7907387107985985E-2</v>
      </c>
      <c r="Q129" s="10">
        <f si="108" t="shared"/>
        <v>8.2238431004287862E-2</v>
      </c>
      <c r="R129" s="10">
        <f si="108" t="shared"/>
        <v>8.8320735492737487E-2</v>
      </c>
      <c r="S129" s="10">
        <f si="108" t="shared"/>
        <v>8.484717103836982E-2</v>
      </c>
      <c r="T129" s="10">
        <f si="108" t="shared"/>
        <v>8.6429599424322379E-2</v>
      </c>
      <c r="U129" s="10" t="e">
        <f si="108" t="shared"/>
        <v>#DIV/0!</v>
      </c>
      <c r="V129" s="10" t="e">
        <f si="108" t="shared"/>
        <v>#DIV/0!</v>
      </c>
      <c r="W129" s="10" t="e">
        <f si="108" t="shared"/>
        <v>#DIV/0!</v>
      </c>
      <c r="X129" s="10">
        <f si="108" t="shared"/>
        <v>8.4630776560266796E-2</v>
      </c>
      <c r="Y129" s="265" t="s">
        <v>27</v>
      </c>
      <c r="Z129" s="10">
        <f si="90" t="shared"/>
        <v>8.8757728250027923E-3</v>
      </c>
      <c r="AA129" s="10">
        <f si="91" t="shared"/>
        <v>1.289987718800345E-3</v>
      </c>
      <c r="AB129" s="10">
        <f si="92" t="shared"/>
        <v>1.5737361128919672E-2</v>
      </c>
      <c r="AC129" s="10">
        <f si="93" t="shared"/>
        <v>1.6468157859662463E-3</v>
      </c>
      <c r="AD129" s="10">
        <f si="94" t="shared"/>
        <v>-2.0537803228010548E-3</v>
      </c>
      <c r="AE129" s="10">
        <f si="95" t="shared"/>
        <v>1.3708087639629996E-2</v>
      </c>
      <c r="AF129" s="10">
        <f si="96" t="shared"/>
        <v>-1.0491489535147155E-2</v>
      </c>
      <c r="AG129" s="10">
        <f si="97" t="shared"/>
        <v>5.0429196178350399E-3</v>
      </c>
      <c r="AH129" s="10" t="e">
        <f si="98" t="shared"/>
        <v>#DIV/0!</v>
      </c>
      <c r="AI129" s="10" t="e">
        <f si="99" t="shared"/>
        <v>#DIV/0!</v>
      </c>
      <c r="AJ129" s="10">
        <f si="100" t="shared"/>
        <v>5.0429196178350399E-3</v>
      </c>
    </row>
    <row r="130" spans="1:36" x14ac:dyDescent="0.2">
      <c r="A130" s="265" t="s">
        <v>28</v>
      </c>
      <c r="B130" s="10">
        <f ref="B130:L130" si="109" t="shared">B113/B$116</f>
        <v>4.6645492200083308E-2</v>
      </c>
      <c r="C130" s="10">
        <f si="109" t="shared"/>
        <v>3.7653157421190457E-2</v>
      </c>
      <c r="D130" s="10">
        <f si="109" t="shared"/>
        <v>3.4215211304344802E-2</v>
      </c>
      <c r="E130" s="10">
        <f si="109" t="shared"/>
        <v>4.3052753194789031E-2</v>
      </c>
      <c r="F130" s="10">
        <f si="109" t="shared"/>
        <v>5.6129419451012644E-2</v>
      </c>
      <c r="G130" s="10">
        <f si="109" t="shared"/>
        <v>5.4246979016771571E-2</v>
      </c>
      <c r="H130" s="10">
        <f si="109" t="shared"/>
        <v>6.0926330316013112E-2</v>
      </c>
      <c r="I130" s="10" t="e">
        <f si="109" t="shared"/>
        <v>#DIV/0!</v>
      </c>
      <c r="J130" s="10" t="e">
        <f si="109" t="shared"/>
        <v>#DIV/0!</v>
      </c>
      <c r="K130" s="10" t="e">
        <f si="109" t="shared"/>
        <v>#DIV/0!</v>
      </c>
      <c r="L130" s="10">
        <f si="109" t="shared"/>
        <v>4.8302153919264776E-2</v>
      </c>
      <c r="M130" s="265" t="s">
        <v>28</v>
      </c>
      <c r="N130" s="10">
        <f ref="N130:X130" si="110" t="shared">N113/N$116</f>
        <v>5.1885377348198897E-2</v>
      </c>
      <c r="O130" s="10">
        <f si="110" t="shared"/>
        <v>5.2112090854531182E-2</v>
      </c>
      <c r="P130" s="10">
        <f si="110" t="shared"/>
        <v>5.1961072641231988E-2</v>
      </c>
      <c r="Q130" s="10">
        <f si="110" t="shared"/>
        <v>4.8051573070394864E-2</v>
      </c>
      <c r="R130" s="10">
        <f si="110" t="shared"/>
        <v>5.2072127573869156E-2</v>
      </c>
      <c r="S130" s="10">
        <f si="110" t="shared"/>
        <v>4.8486162294963511E-2</v>
      </c>
      <c r="T130" s="10">
        <f si="110" t="shared"/>
        <v>5.1175341808587189E-2</v>
      </c>
      <c r="U130" s="10" t="e">
        <f si="110" t="shared"/>
        <v>#DIV/0!</v>
      </c>
      <c r="V130" s="10" t="e">
        <f si="110" t="shared"/>
        <v>#DIV/0!</v>
      </c>
      <c r="W130" s="10" t="e">
        <f si="110" t="shared"/>
        <v>#DIV/0!</v>
      </c>
      <c r="X130" s="10">
        <f si="110" t="shared"/>
        <v>5.0643935979810206E-2</v>
      </c>
      <c r="Y130" s="265" t="s">
        <v>28</v>
      </c>
      <c r="Z130" s="10">
        <f si="90" t="shared"/>
        <v>5.2398851481155889E-3</v>
      </c>
      <c r="AA130" s="10">
        <f si="91" t="shared"/>
        <v>1.4458933433340725E-2</v>
      </c>
      <c r="AB130" s="10">
        <f si="92" t="shared"/>
        <v>1.7745861336887186E-2</v>
      </c>
      <c r="AC130" s="10">
        <f si="93" t="shared"/>
        <v>4.9988198756058325E-3</v>
      </c>
      <c r="AD130" s="10">
        <f si="94" t="shared"/>
        <v>-4.0572918771434874E-3</v>
      </c>
      <c r="AE130" s="10">
        <f si="95" t="shared"/>
        <v>-5.7608167218080597E-3</v>
      </c>
      <c r="AF130" s="10">
        <f si="96" t="shared"/>
        <v>-9.7509885074259228E-3</v>
      </c>
      <c r="AG130" s="10">
        <f si="97" t="shared"/>
        <v>2.3417820605454304E-3</v>
      </c>
      <c r="AH130" s="10" t="e">
        <f si="98" t="shared"/>
        <v>#DIV/0!</v>
      </c>
      <c r="AI130" s="10" t="e">
        <f si="99" t="shared"/>
        <v>#DIV/0!</v>
      </c>
      <c r="AJ130" s="10">
        <f si="100" t="shared"/>
        <v>2.3417820605454304E-3</v>
      </c>
    </row>
    <row r="131" spans="1:36" x14ac:dyDescent="0.2">
      <c r="A131" s="265" t="s">
        <v>29</v>
      </c>
      <c r="B131" s="10">
        <f ref="B131:L131" si="111" t="shared">B114/B$116</f>
        <v>0.10259036264567953</v>
      </c>
      <c r="C131" s="10">
        <f si="111" t="shared"/>
        <v>9.6163373932256602E-2</v>
      </c>
      <c r="D131" s="10">
        <f si="111" t="shared"/>
        <v>8.9958110172438391E-2</v>
      </c>
      <c r="E131" s="10">
        <f si="111" t="shared"/>
        <v>0.11646504660342788</v>
      </c>
      <c r="F131" s="10">
        <f si="111" t="shared"/>
        <v>0.14993382756250059</v>
      </c>
      <c r="G131" s="10">
        <f si="111" t="shared"/>
        <v>0.12647728433975045</v>
      </c>
      <c r="H131" s="10">
        <f si="111" t="shared"/>
        <v>0.10033278412738085</v>
      </c>
      <c r="I131" s="10" t="e">
        <f si="111" t="shared"/>
        <v>#DIV/0!</v>
      </c>
      <c r="J131" s="10" t="e">
        <f si="111" t="shared"/>
        <v>#DIV/0!</v>
      </c>
      <c r="K131" s="10" t="e">
        <f si="111" t="shared"/>
        <v>#DIV/0!</v>
      </c>
      <c r="L131" s="10">
        <f si="111" t="shared"/>
        <v>0.11277928163772701</v>
      </c>
      <c r="M131" s="265" t="s">
        <v>29</v>
      </c>
      <c r="N131" s="10">
        <f ref="N131:X131" si="112" t="shared">N114/N$116</f>
        <v>0.10912306634957346</v>
      </c>
      <c r="O131" s="10">
        <f si="112" t="shared"/>
        <v>0.12291214625363557</v>
      </c>
      <c r="P131" s="10">
        <f si="112" t="shared"/>
        <v>0.12146084538673368</v>
      </c>
      <c r="Q131" s="10">
        <f si="112" t="shared"/>
        <v>0.11470636648937749</v>
      </c>
      <c r="R131" s="10">
        <f si="112" t="shared"/>
        <v>0.11885884889699784</v>
      </c>
      <c r="S131" s="10">
        <f si="112" t="shared"/>
        <v>0.12504877520052027</v>
      </c>
      <c r="T131" s="10">
        <f si="112" t="shared"/>
        <v>0.12052650515711202</v>
      </c>
      <c r="U131" s="10" t="e">
        <f si="112" t="shared"/>
        <v>#DIV/0!</v>
      </c>
      <c r="V131" s="10" t="e">
        <f si="112" t="shared"/>
        <v>#DIV/0!</v>
      </c>
      <c r="W131" s="10" t="e">
        <f si="112" t="shared"/>
        <v>#DIV/0!</v>
      </c>
      <c r="X131" s="10">
        <f si="112" t="shared"/>
        <v>0.11574108648906171</v>
      </c>
      <c r="Y131" s="265" t="s">
        <v>29</v>
      </c>
      <c r="Z131" s="10">
        <f si="90" t="shared"/>
        <v>6.5327037038939301E-3</v>
      </c>
      <c r="AA131" s="10">
        <f si="91" t="shared"/>
        <v>2.6748772321378969E-2</v>
      </c>
      <c r="AB131" s="10">
        <f si="92" t="shared"/>
        <v>3.1502735214295294E-2</v>
      </c>
      <c r="AC131" s="10">
        <f si="93" t="shared"/>
        <v>-1.7586801140503927E-3</v>
      </c>
      <c r="AD131" s="10">
        <f si="94" t="shared"/>
        <v>-3.1074978665502753E-2</v>
      </c>
      <c r="AE131" s="10">
        <f si="95" t="shared"/>
        <v>-1.4285091392301774E-3</v>
      </c>
      <c r="AF131" s="10">
        <f si="96" t="shared"/>
        <v>2.0193721029731174E-2</v>
      </c>
      <c r="AG131" s="10">
        <f si="97" t="shared"/>
        <v>2.9618048513347095E-3</v>
      </c>
      <c r="AH131" s="10" t="e">
        <f si="98" t="shared"/>
        <v>#DIV/0!</v>
      </c>
      <c r="AI131" s="10" t="e">
        <f si="99" t="shared"/>
        <v>#DIV/0!</v>
      </c>
      <c r="AJ131" s="10">
        <f si="100" t="shared"/>
        <v>2.9618048513347095E-3</v>
      </c>
    </row>
    <row r="132" spans="1:36" x14ac:dyDescent="0.2">
      <c r="A132" s="265" t="s">
        <v>30</v>
      </c>
      <c r="B132" s="11">
        <f ref="B132:L132" si="113" t="shared">B115/B$116</f>
        <v>6.5996346435754624E-2</v>
      </c>
      <c r="C132" s="11">
        <f si="113" t="shared"/>
        <v>6.2974718980571651E-2</v>
      </c>
      <c r="D132" s="11">
        <f si="113" t="shared"/>
        <v>5.2998986885512377E-2</v>
      </c>
      <c r="E132" s="11">
        <f si="113" t="shared"/>
        <v>4.6539422989335215E-2</v>
      </c>
      <c r="F132" s="11">
        <f si="113" t="shared"/>
        <v>3.7158472970355697E-2</v>
      </c>
      <c r="G132" s="11">
        <f si="113" t="shared"/>
        <v>6.0813229072338999E-2</v>
      </c>
      <c r="H132" s="11">
        <f si="113" t="shared"/>
        <v>5.4037704965876884E-2</v>
      </c>
      <c r="I132" s="11" t="e">
        <f si="113" t="shared"/>
        <v>#DIV/0!</v>
      </c>
      <c r="J132" s="11" t="e">
        <f si="113" t="shared"/>
        <v>#DIV/0!</v>
      </c>
      <c r="K132" s="11" t="e">
        <f si="113" t="shared"/>
        <v>#DIV/0!</v>
      </c>
      <c r="L132" s="11">
        <f si="113" t="shared"/>
        <v>5.6572261725884483E-2</v>
      </c>
      <c r="M132" s="265" t="s">
        <v>30</v>
      </c>
      <c r="N132" s="11">
        <f ref="N132:X132" si="114" t="shared">N115/N$116</f>
        <v>5.872679074029629E-2</v>
      </c>
      <c r="O132" s="11">
        <f si="114" t="shared"/>
        <v>4.9277503347029225E-2</v>
      </c>
      <c r="P132" s="11">
        <f si="114" t="shared"/>
        <v>5.2281902521188139E-2</v>
      </c>
      <c r="Q132" s="11">
        <f si="114" t="shared"/>
        <v>5.1859107725436546E-2</v>
      </c>
      <c r="R132" s="11">
        <f si="114" t="shared"/>
        <v>5.0508257706798093E-2</v>
      </c>
      <c r="S132" s="11">
        <f si="114" t="shared"/>
        <v>4.8175446202760312E-2</v>
      </c>
      <c r="T132" s="11">
        <f si="114" t="shared"/>
        <v>5.2032861597505399E-2</v>
      </c>
      <c r="U132" s="11" t="e">
        <f si="114" t="shared"/>
        <v>#DIV/0!</v>
      </c>
      <c r="V132" s="11" t="e">
        <f si="114" t="shared"/>
        <v>#DIV/0!</v>
      </c>
      <c r="W132" s="11" t="e">
        <f si="114" t="shared"/>
        <v>#DIV/0!</v>
      </c>
      <c r="X132" s="11">
        <f si="114" t="shared"/>
        <v>5.3668284768808826E-2</v>
      </c>
      <c r="Y132" s="265" t="s">
        <v>30</v>
      </c>
      <c r="Z132" s="10">
        <f si="90" t="shared"/>
        <v>-7.2695556954583337E-3</v>
      </c>
      <c r="AA132" s="10">
        <f si="91" t="shared"/>
        <v>-1.3697215633542426E-2</v>
      </c>
      <c r="AB132" s="10">
        <f si="92" t="shared"/>
        <v>-7.1708436432423722E-4</v>
      </c>
      <c r="AC132" s="10">
        <f si="93" t="shared"/>
        <v>5.3196847361013308E-3</v>
      </c>
      <c r="AD132" s="10">
        <f si="94" t="shared"/>
        <v>1.3349784736442397E-2</v>
      </c>
      <c r="AE132" s="10">
        <f si="95" t="shared"/>
        <v>-1.2637782869578687E-2</v>
      </c>
      <c r="AF132" s="10">
        <f si="96" t="shared"/>
        <v>-2.0048433683714853E-3</v>
      </c>
      <c r="AG132" s="10">
        <f si="97" t="shared"/>
        <v>-2.9039769570756574E-3</v>
      </c>
      <c r="AH132" s="10" t="e">
        <f si="98" t="shared"/>
        <v>#DIV/0!</v>
      </c>
      <c r="AI132" s="10" t="e">
        <f si="99" t="shared"/>
        <v>#DIV/0!</v>
      </c>
      <c r="AJ132" s="10">
        <f si="100" t="shared"/>
        <v>-2.9039769570756574E-3</v>
      </c>
    </row>
    <row customHeight="1" ht="13.15" r="133" spans="1:36" thickBot="1" x14ac:dyDescent="0.25">
      <c r="A133" s="8" t="s">
        <v>4</v>
      </c>
      <c r="B133" s="15">
        <f ref="B133:L133" si="115" t="shared">B116/B$116</f>
        <v>1</v>
      </c>
      <c r="C133" s="15">
        <f si="115" t="shared"/>
        <v>1</v>
      </c>
      <c r="D133" s="15">
        <f si="115" t="shared"/>
        <v>1</v>
      </c>
      <c r="E133" s="15">
        <f si="115" t="shared"/>
        <v>1</v>
      </c>
      <c r="F133" s="15">
        <f si="115" t="shared"/>
        <v>1</v>
      </c>
      <c r="G133" s="15">
        <f si="115" t="shared"/>
        <v>1</v>
      </c>
      <c r="H133" s="15">
        <f si="115" t="shared"/>
        <v>1</v>
      </c>
      <c r="I133" s="15" t="e">
        <f si="115" t="shared"/>
        <v>#DIV/0!</v>
      </c>
      <c r="J133" s="15" t="e">
        <f si="115" t="shared"/>
        <v>#DIV/0!</v>
      </c>
      <c r="K133" s="15" t="e">
        <f si="115" t="shared"/>
        <v>#DIV/0!</v>
      </c>
      <c r="L133" s="15">
        <f si="115" t="shared"/>
        <v>1</v>
      </c>
      <c r="M133" s="8" t="s">
        <v>4</v>
      </c>
      <c r="N133" s="15">
        <f ref="N133:X133" si="116" t="shared">N116/N$116</f>
        <v>1</v>
      </c>
      <c r="O133" s="15">
        <f si="116" t="shared"/>
        <v>1</v>
      </c>
      <c r="P133" s="15">
        <f si="116" t="shared"/>
        <v>1</v>
      </c>
      <c r="Q133" s="15">
        <f si="116" t="shared"/>
        <v>1</v>
      </c>
      <c r="R133" s="15">
        <f si="116" t="shared"/>
        <v>1</v>
      </c>
      <c r="S133" s="15">
        <f si="116" t="shared"/>
        <v>1</v>
      </c>
      <c r="T133" s="15">
        <f si="116" t="shared"/>
        <v>1</v>
      </c>
      <c r="U133" s="15" t="e">
        <f si="116" t="shared"/>
        <v>#DIV/0!</v>
      </c>
      <c r="V133" s="15" t="e">
        <f si="116" t="shared"/>
        <v>#DIV/0!</v>
      </c>
      <c r="W133" s="15" t="e">
        <f si="116" t="shared"/>
        <v>#DIV/0!</v>
      </c>
      <c r="X133" s="15">
        <f si="116" t="shared"/>
        <v>1</v>
      </c>
      <c r="Y133" s="8" t="s">
        <v>4</v>
      </c>
      <c r="Z133" s="12">
        <f si="90" t="shared"/>
        <v>0</v>
      </c>
      <c r="AA133" s="12">
        <f si="91" t="shared"/>
        <v>0</v>
      </c>
      <c r="AB133" s="12">
        <f si="92" t="shared"/>
        <v>0</v>
      </c>
      <c r="AC133" s="12">
        <f si="93" t="shared"/>
        <v>0</v>
      </c>
      <c r="AD133" s="12">
        <f si="94" t="shared"/>
        <v>0</v>
      </c>
      <c r="AE133" s="12">
        <f si="95" t="shared"/>
        <v>0</v>
      </c>
      <c r="AF133" s="12">
        <f si="96" t="shared"/>
        <v>0</v>
      </c>
      <c r="AG133" s="12">
        <f si="97" t="shared"/>
        <v>0</v>
      </c>
      <c r="AH133" s="12" t="e">
        <f si="98" t="shared"/>
        <v>#DIV/0!</v>
      </c>
      <c r="AI133" s="12" t="e">
        <f si="99" t="shared"/>
        <v>#DIV/0!</v>
      </c>
      <c r="AJ133" s="12">
        <f si="100" t="shared"/>
        <v>0</v>
      </c>
    </row>
  </sheetData>
  <conditionalFormatting sqref="Z23:AI31 Z91:AD99 Z57:AF65 Z125:AC133 AJ125:AJ133">
    <cfRule dxfId="27" operator="notBetween" priority="4" stopIfTrue="1" type="cellIs">
      <formula>-0.15</formula>
      <formula>0.15</formula>
    </cfRule>
    <cfRule dxfId="26" operator="notBetween" priority="5" stopIfTrue="1" type="cellIs">
      <formula>-0.1</formula>
      <formula>0.1</formula>
    </cfRule>
    <cfRule dxfId="25" operator="notBetween" priority="6" stopIfTrue="1" type="cellIs">
      <formula>-0.05</formula>
      <formula>0.05</formula>
    </cfRule>
  </conditionalFormatting>
  <conditionalFormatting sqref="AD125:AI133">
    <cfRule dxfId="24" operator="notBetween" priority="1" stopIfTrue="1" type="cellIs">
      <formula>-0.15</formula>
      <formula>0.15</formula>
    </cfRule>
    <cfRule dxfId="23" operator="notBetween" priority="2" stopIfTrue="1" type="cellIs">
      <formula>-0.1</formula>
      <formula>0.1</formula>
    </cfRule>
    <cfRule dxfId="2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K135"/>
  <sheetViews>
    <sheetView topLeftCell="L1" workbookViewId="0">
      <selection activeCell="W36" sqref="W36"/>
    </sheetView>
  </sheetViews>
  <sheetFormatPr defaultColWidth="10.75" defaultRowHeight="12.75" x14ac:dyDescent="0.2"/>
  <cols>
    <col min="1" max="7" customWidth="true" style="265" width="10.75" collapsed="true"/>
    <col min="8" max="16384" style="265" width="10.75" collapsed="true"/>
  </cols>
  <sheetData>
    <row customHeight="1" ht="12.75" r="1" spans="1:35" x14ac:dyDescent="0.2">
      <c r="A1" s="264" t="s">
        <v>41</v>
      </c>
      <c r="M1" s="264" t="s">
        <v>41</v>
      </c>
      <c r="Y1" s="264" t="s">
        <v>41</v>
      </c>
    </row>
    <row customHeight="1" ht="12.75" r="2" spans="1:35" x14ac:dyDescent="0.2">
      <c r="A2" s="264" t="s">
        <v>204</v>
      </c>
      <c r="M2" s="264" t="s">
        <v>205</v>
      </c>
      <c r="Y2" s="266" t="s">
        <v>206</v>
      </c>
      <c r="Z2" s="267"/>
      <c r="AA2" s="267"/>
    </row>
    <row customHeight="1" ht="12.75" r="3" spans="1:35" thickBo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2.75" r="4" spans="1:35" x14ac:dyDescent="0.2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</row>
    <row customHeight="1" ht="12.75" r="5" spans="1:35" x14ac:dyDescent="0.2">
      <c r="A5" s="265" t="s">
        <v>23</v>
      </c>
      <c r="B5" s="5">
        <f>output_NHTS!B262</f>
        <v>975639.73494775128</v>
      </c>
      <c r="C5" s="5">
        <f>output_NHTS!C262</f>
        <v>84611.155888975118</v>
      </c>
      <c r="D5" s="5">
        <f>output_NHTS!D262</f>
        <v>5003.5235183978211</v>
      </c>
      <c r="E5" s="5">
        <f>output_NHTS!E262</f>
        <v>15318.417809649949</v>
      </c>
      <c r="F5" s="5">
        <f>output_NHTS!F262</f>
        <v>16794.502578904099</v>
      </c>
      <c r="G5" s="5">
        <f>output_NHTS!G262</f>
        <v>2993.3548611207079</v>
      </c>
      <c r="H5" s="5"/>
      <c r="I5" s="5">
        <f>output_NHTS!H262</f>
        <v>1081.1350347234222</v>
      </c>
      <c r="J5" s="5">
        <f>output_NHTS!I262</f>
        <v>0</v>
      </c>
      <c r="K5" s="5">
        <f>output_NHTS!J262</f>
        <v>1101441.8246395222</v>
      </c>
      <c r="L5" s="5"/>
      <c r="M5" s="265" t="s">
        <v>23</v>
      </c>
      <c r="N5" s="5">
        <f>output!B262</f>
        <v>839065</v>
      </c>
      <c r="O5" s="5">
        <f>output!C262</f>
        <v>71521</v>
      </c>
      <c r="P5" s="5">
        <f>output!D262</f>
        <v>0</v>
      </c>
      <c r="Q5" s="5">
        <f>output!E262</f>
        <v>0</v>
      </c>
      <c r="R5" s="5">
        <f>output!F262</f>
        <v>16174</v>
      </c>
      <c r="S5" s="5">
        <f>output!G262</f>
        <v>3182</v>
      </c>
      <c r="T5" s="5"/>
      <c r="U5" s="5">
        <f>output!H262</f>
        <v>0</v>
      </c>
      <c r="V5" s="5">
        <f>output!I262</f>
        <v>0</v>
      </c>
      <c r="W5" s="5">
        <f>output!J262</f>
        <v>929942</v>
      </c>
      <c r="Y5" s="265" t="s">
        <v>23</v>
      </c>
      <c r="Z5" s="5">
        <f ref="Z5:Z13" si="0" t="shared">N5-B5</f>
        <v>-136574.73494775128</v>
      </c>
      <c r="AA5" s="5">
        <f ref="AA5:AA13" si="1" t="shared">O5-C5</f>
        <v>-13090.155888975118</v>
      </c>
      <c r="AB5" s="5">
        <f ref="AB5:AB13" si="2" t="shared">P5-D5</f>
        <v>-5003.5235183978211</v>
      </c>
      <c r="AC5" s="5">
        <f ref="AC5:AC13" si="3" t="shared">Q5-E5</f>
        <v>-15318.417809649949</v>
      </c>
      <c r="AD5" s="5">
        <f ref="AD5:AD13" si="4" t="shared">R5-F5</f>
        <v>-620.50257890409921</v>
      </c>
      <c r="AE5" s="5">
        <f ref="AE5:AE13" si="5" t="shared">S5-G5</f>
        <v>188.64513887929206</v>
      </c>
      <c r="AF5" s="5"/>
      <c r="AG5" s="5">
        <f ref="AG5:AG13" si="6" t="shared">U5-I5</f>
        <v>-1081.1350347234222</v>
      </c>
      <c r="AH5" s="5">
        <f ref="AH5:AH13" si="7" t="shared">V5-J5</f>
        <v>0</v>
      </c>
      <c r="AI5" s="5">
        <f ref="AI5:AI13" si="8" t="shared">W5-K5</f>
        <v>-171499.82463952224</v>
      </c>
    </row>
    <row customHeight="1" ht="12.75" r="6" spans="1:35" x14ac:dyDescent="0.2">
      <c r="A6" s="265" t="s">
        <v>24</v>
      </c>
      <c r="B6" s="5">
        <f>output_NHTS!B263</f>
        <v>13793.058815050374</v>
      </c>
      <c r="C6" s="5">
        <f>output_NHTS!C263</f>
        <v>2480.4058050277795</v>
      </c>
      <c r="D6" s="5">
        <f>output_NHTS!D263</f>
        <v>389.65169118865902</v>
      </c>
      <c r="E6" s="5">
        <f>output_NHTS!E263</f>
        <v>2881.5948888227481</v>
      </c>
      <c r="F6" s="5">
        <f>output_NHTS!F263</f>
        <v>16226.084546597727</v>
      </c>
      <c r="G6" s="5">
        <f>output_NHTS!G263</f>
        <v>42201.678470851177</v>
      </c>
      <c r="H6" s="5"/>
      <c r="I6" s="5">
        <f>output_NHTS!H263</f>
        <v>212439.13184791486</v>
      </c>
      <c r="J6" s="5">
        <f>output_NHTS!I263</f>
        <v>0</v>
      </c>
      <c r="K6" s="5">
        <f>output_NHTS!J263</f>
        <v>290411.60606545332</v>
      </c>
      <c r="L6" s="5"/>
      <c r="M6" s="265" t="s">
        <v>24</v>
      </c>
      <c r="N6" s="5">
        <f>output!B263</f>
        <v>11632</v>
      </c>
      <c r="O6" s="5">
        <f>output!C263</f>
        <v>0</v>
      </c>
      <c r="P6" s="5">
        <f>output!D263</f>
        <v>0</v>
      </c>
      <c r="Q6" s="5">
        <f>output!E263</f>
        <v>0</v>
      </c>
      <c r="R6" s="5">
        <f>output!F263</f>
        <v>15195</v>
      </c>
      <c r="S6" s="5">
        <f>output!G263</f>
        <v>36129</v>
      </c>
      <c r="T6" s="5"/>
      <c r="U6" s="5">
        <f>output!H263</f>
        <v>184135</v>
      </c>
      <c r="V6" s="5">
        <f>output!I263</f>
        <v>0</v>
      </c>
      <c r="W6" s="5">
        <f>output!J263</f>
        <v>247091</v>
      </c>
      <c r="Y6" s="265" t="s">
        <v>24</v>
      </c>
      <c r="Z6" s="5">
        <f si="0" t="shared"/>
        <v>-2161.0588150503736</v>
      </c>
      <c r="AA6" s="5">
        <f si="1" t="shared"/>
        <v>-2480.4058050277795</v>
      </c>
      <c r="AB6" s="5">
        <f si="2" t="shared"/>
        <v>-389.65169118865902</v>
      </c>
      <c r="AC6" s="5">
        <f si="3" t="shared"/>
        <v>-2881.5948888227481</v>
      </c>
      <c r="AD6" s="5">
        <f si="4" t="shared"/>
        <v>-1031.0845465977272</v>
      </c>
      <c r="AE6" s="5">
        <f si="5" t="shared"/>
        <v>-6072.6784708511768</v>
      </c>
      <c r="AF6" s="5"/>
      <c r="AG6" s="5">
        <f si="6" t="shared"/>
        <v>-28304.131847914861</v>
      </c>
      <c r="AH6" s="5">
        <f si="7" t="shared"/>
        <v>0</v>
      </c>
      <c r="AI6" s="5">
        <f si="8" t="shared"/>
        <v>-43320.606065453321</v>
      </c>
    </row>
    <row customHeight="1" ht="12.75" r="7" spans="1:35" x14ac:dyDescent="0.2">
      <c r="A7" s="265" t="s">
        <v>25</v>
      </c>
      <c r="B7" s="5">
        <f>output_NHTS!B264</f>
        <v>288070.01418012049</v>
      </c>
      <c r="C7" s="5">
        <f>output_NHTS!C264</f>
        <v>44726.379647113659</v>
      </c>
      <c r="D7" s="5">
        <f>output_NHTS!D264</f>
        <v>24454.87067819502</v>
      </c>
      <c r="E7" s="5">
        <f>output_NHTS!E264</f>
        <v>87687.374919175054</v>
      </c>
      <c r="F7" s="5">
        <f>output_NHTS!F264</f>
        <v>11033.24802341346</v>
      </c>
      <c r="G7" s="5">
        <f>output_NHTS!G264</f>
        <v>7738.9641700730836</v>
      </c>
      <c r="H7" s="5"/>
      <c r="I7" s="5">
        <f>output_NHTS!H264</f>
        <v>40083.720845597687</v>
      </c>
      <c r="J7" s="5">
        <f>output_NHTS!I264</f>
        <v>0</v>
      </c>
      <c r="K7" s="5">
        <f>output_NHTS!J264</f>
        <v>503794.5724636885</v>
      </c>
      <c r="L7" s="5"/>
      <c r="M7" s="265" t="s">
        <v>25</v>
      </c>
      <c r="N7" s="5">
        <f>output!B264</f>
        <v>227396</v>
      </c>
      <c r="O7" s="5">
        <f>output!C264</f>
        <v>43758</v>
      </c>
      <c r="P7" s="5">
        <f>output!D264</f>
        <v>20386</v>
      </c>
      <c r="Q7" s="5">
        <f>output!E264</f>
        <v>84112</v>
      </c>
      <c r="R7" s="5">
        <f>output!F264</f>
        <v>10507</v>
      </c>
      <c r="S7" s="5">
        <f>output!G264</f>
        <v>7345</v>
      </c>
      <c r="T7" s="5"/>
      <c r="U7" s="5">
        <f>output!H264</f>
        <v>29515</v>
      </c>
      <c r="V7" s="5">
        <f>output!I264</f>
        <v>0</v>
      </c>
      <c r="W7" s="5">
        <f>output!J264</f>
        <v>423019</v>
      </c>
      <c r="Y7" s="265" t="s">
        <v>25</v>
      </c>
      <c r="Z7" s="5">
        <f si="0" t="shared"/>
        <v>-60674.014180120488</v>
      </c>
      <c r="AA7" s="5">
        <f si="1" t="shared"/>
        <v>-968.3796471136593</v>
      </c>
      <c r="AB7" s="5">
        <f si="2" t="shared"/>
        <v>-4068.8706781950204</v>
      </c>
      <c r="AC7" s="5">
        <f si="3" t="shared"/>
        <v>-3575.3749191750539</v>
      </c>
      <c r="AD7" s="5">
        <f si="4" t="shared"/>
        <v>-526.24802341346003</v>
      </c>
      <c r="AE7" s="5">
        <f si="5" t="shared"/>
        <v>-393.96417007308355</v>
      </c>
      <c r="AF7" s="5"/>
      <c r="AG7" s="5">
        <f si="6" t="shared"/>
        <v>-10568.720845597687</v>
      </c>
      <c r="AH7" s="5">
        <f si="7" t="shared"/>
        <v>0</v>
      </c>
      <c r="AI7" s="5">
        <f si="8" t="shared"/>
        <v>-80775.572463688499</v>
      </c>
    </row>
    <row customHeight="1" ht="12.75" r="8" spans="1:35" x14ac:dyDescent="0.2">
      <c r="A8" s="265" t="s">
        <v>26</v>
      </c>
      <c r="B8" s="5">
        <f>output_NHTS!B265</f>
        <v>365744.99905672303</v>
      </c>
      <c r="C8" s="5">
        <f>output_NHTS!C265</f>
        <v>65068.368645488095</v>
      </c>
      <c r="D8" s="5">
        <f>output_NHTS!D265</f>
        <v>156148.76001109034</v>
      </c>
      <c r="E8" s="5">
        <f>output_NHTS!E265</f>
        <v>126852.8469448691</v>
      </c>
      <c r="F8" s="5">
        <f>output_NHTS!F265</f>
        <v>15296.716115939347</v>
      </c>
      <c r="G8" s="5">
        <f>output_NHTS!G265</f>
        <v>19104.484919871287</v>
      </c>
      <c r="H8" s="5"/>
      <c r="I8" s="5">
        <f>output_NHTS!H265</f>
        <v>55233.76430046944</v>
      </c>
      <c r="J8" s="5">
        <f>output_NHTS!I265</f>
        <v>0</v>
      </c>
      <c r="K8" s="5">
        <f>output_NHTS!J265</f>
        <v>803449.93999445066</v>
      </c>
      <c r="L8" s="5"/>
      <c r="M8" s="265" t="s">
        <v>26</v>
      </c>
      <c r="N8" s="5">
        <f>output!B265</f>
        <v>311052</v>
      </c>
      <c r="O8" s="5">
        <f>output!C265</f>
        <v>52880</v>
      </c>
      <c r="P8" s="5">
        <f>output!D265</f>
        <v>136403</v>
      </c>
      <c r="Q8" s="5">
        <f>output!E265</f>
        <v>118809</v>
      </c>
      <c r="R8" s="5">
        <f>output!F265</f>
        <v>12114</v>
      </c>
      <c r="S8" s="5">
        <f>output!G265</f>
        <v>14236</v>
      </c>
      <c r="T8" s="5"/>
      <c r="U8" s="5">
        <f>output!H265</f>
        <v>44335</v>
      </c>
      <c r="V8" s="5">
        <f>output!I265</f>
        <v>0</v>
      </c>
      <c r="W8" s="5">
        <f>output!J265</f>
        <v>689829</v>
      </c>
      <c r="Y8" s="265" t="s">
        <v>26</v>
      </c>
      <c r="Z8" s="5">
        <f si="0" t="shared"/>
        <v>-54692.999056723027</v>
      </c>
      <c r="AA8" s="5">
        <f si="1" t="shared"/>
        <v>-12188.368645488095</v>
      </c>
      <c r="AB8" s="5">
        <f si="2" t="shared"/>
        <v>-19745.760011090344</v>
      </c>
      <c r="AC8" s="5">
        <f si="3" t="shared"/>
        <v>-8043.846944869103</v>
      </c>
      <c r="AD8" s="5">
        <f si="4" t="shared"/>
        <v>-3182.7161159393472</v>
      </c>
      <c r="AE8" s="5">
        <f si="5" t="shared"/>
        <v>-4868.4849198712873</v>
      </c>
      <c r="AF8" s="5"/>
      <c r="AG8" s="5">
        <f si="6" t="shared"/>
        <v>-10898.76430046944</v>
      </c>
      <c r="AH8" s="5">
        <f si="7" t="shared"/>
        <v>0</v>
      </c>
      <c r="AI8" s="5">
        <f si="8" t="shared"/>
        <v>-113620.93999445066</v>
      </c>
    </row>
    <row customHeight="1" ht="12.75" r="9" spans="1:35" x14ac:dyDescent="0.2">
      <c r="A9" s="265" t="s">
        <v>27</v>
      </c>
      <c r="B9" s="5">
        <f>output_NHTS!B266</f>
        <v>234480.01690122604</v>
      </c>
      <c r="C9" s="5">
        <f>output_NHTS!C266</f>
        <v>48765.565305954828</v>
      </c>
      <c r="D9" s="5">
        <f>output_NHTS!D266</f>
        <v>112544.09017610914</v>
      </c>
      <c r="E9" s="5">
        <f>output_NHTS!E266</f>
        <v>108591.27940950016</v>
      </c>
      <c r="F9" s="5">
        <f>output_NHTS!F266</f>
        <v>16618.238956290908</v>
      </c>
      <c r="G9" s="5">
        <f>output_NHTS!G266</f>
        <v>5436.9485837728862</v>
      </c>
      <c r="H9" s="5"/>
      <c r="I9" s="5">
        <f>output_NHTS!H266</f>
        <v>27115.891287338647</v>
      </c>
      <c r="J9" s="5">
        <f>output_NHTS!I266</f>
        <v>0</v>
      </c>
      <c r="K9" s="5">
        <f>output_NHTS!J266</f>
        <v>553552.03062019264</v>
      </c>
      <c r="L9" s="5"/>
      <c r="M9" s="265" t="s">
        <v>27</v>
      </c>
      <c r="N9" s="5">
        <f>output!B266</f>
        <v>186153</v>
      </c>
      <c r="O9" s="5">
        <f>output!C266</f>
        <v>39871</v>
      </c>
      <c r="P9" s="5">
        <f>output!D266</f>
        <v>87365</v>
      </c>
      <c r="Q9" s="5">
        <f>output!E266</f>
        <v>86487</v>
      </c>
      <c r="R9" s="5">
        <f>output!F266</f>
        <v>12195</v>
      </c>
      <c r="S9" s="5">
        <f>output!G266</f>
        <v>4753</v>
      </c>
      <c r="T9" s="5"/>
      <c r="U9" s="5">
        <f>output!H266</f>
        <v>20457</v>
      </c>
      <c r="V9" s="5">
        <f>output!I266</f>
        <v>0</v>
      </c>
      <c r="W9" s="5">
        <f>output!J266</f>
        <v>437281</v>
      </c>
      <c r="Y9" s="265" t="s">
        <v>27</v>
      </c>
      <c r="Z9" s="5">
        <f si="0" t="shared"/>
        <v>-48327.016901226045</v>
      </c>
      <c r="AA9" s="5">
        <f si="1" t="shared"/>
        <v>-8894.5653059548276</v>
      </c>
      <c r="AB9" s="5">
        <f si="2" t="shared"/>
        <v>-25179.090176109137</v>
      </c>
      <c r="AC9" s="5">
        <f si="3" t="shared"/>
        <v>-22104.279409500159</v>
      </c>
      <c r="AD9" s="5">
        <f si="4" t="shared"/>
        <v>-4423.2389562909084</v>
      </c>
      <c r="AE9" s="5">
        <f si="5" t="shared"/>
        <v>-683.9485837728862</v>
      </c>
      <c r="AF9" s="5"/>
      <c r="AG9" s="5">
        <f si="6" t="shared"/>
        <v>-6658.8912873386471</v>
      </c>
      <c r="AH9" s="5">
        <f si="7" t="shared"/>
        <v>0</v>
      </c>
      <c r="AI9" s="5">
        <f si="8" t="shared"/>
        <v>-116271.03062019264</v>
      </c>
    </row>
    <row customHeight="1" ht="12.75" r="10" spans="1:35" x14ac:dyDescent="0.2">
      <c r="A10" s="265" t="s">
        <v>28</v>
      </c>
      <c r="B10" s="5">
        <f>output_NHTS!B267</f>
        <v>187057.01961058742</v>
      </c>
      <c r="C10" s="5">
        <f>output_NHTS!C267</f>
        <v>19752.055790292434</v>
      </c>
      <c r="D10" s="5">
        <f>output_NHTS!D267</f>
        <v>45048.242532017262</v>
      </c>
      <c r="E10" s="5">
        <f>output_NHTS!E267</f>
        <v>32447.503746623643</v>
      </c>
      <c r="F10" s="5">
        <f>output_NHTS!F267</f>
        <v>7521.169951284216</v>
      </c>
      <c r="G10" s="5">
        <f>output_NHTS!G267</f>
        <v>5253.7301082230306</v>
      </c>
      <c r="H10" s="5"/>
      <c r="I10" s="5">
        <f>output_NHTS!H267</f>
        <v>18548.508936776587</v>
      </c>
      <c r="J10" s="5">
        <f>output_NHTS!I267</f>
        <v>0</v>
      </c>
      <c r="K10" s="5">
        <f>output_NHTS!J267</f>
        <v>315628.2306758046</v>
      </c>
      <c r="L10" s="5"/>
      <c r="M10" s="265" t="s">
        <v>28</v>
      </c>
      <c r="N10" s="5">
        <f>output!B267</f>
        <v>165220</v>
      </c>
      <c r="O10" s="5">
        <f>output!C267</f>
        <v>17849</v>
      </c>
      <c r="P10" s="5">
        <f>output!D267</f>
        <v>37019</v>
      </c>
      <c r="Q10" s="5">
        <f>output!E267</f>
        <v>24809</v>
      </c>
      <c r="R10" s="5">
        <f>output!F267</f>
        <v>7468</v>
      </c>
      <c r="S10" s="5">
        <f>output!G267</f>
        <v>3283</v>
      </c>
      <c r="T10" s="5"/>
      <c r="U10" s="5">
        <f>output!H267</f>
        <v>14756</v>
      </c>
      <c r="V10" s="5">
        <f>output!I267</f>
        <v>0</v>
      </c>
      <c r="W10" s="5">
        <f>output!J267</f>
        <v>270404</v>
      </c>
      <c r="Y10" s="265" t="s">
        <v>28</v>
      </c>
      <c r="Z10" s="5">
        <f si="0" t="shared"/>
        <v>-21837.01961058742</v>
      </c>
      <c r="AA10" s="5">
        <f si="1" t="shared"/>
        <v>-1903.0557902924338</v>
      </c>
      <c r="AB10" s="5">
        <f si="2" t="shared"/>
        <v>-8029.2425320172624</v>
      </c>
      <c r="AC10" s="5">
        <f si="3" t="shared"/>
        <v>-7638.5037466236427</v>
      </c>
      <c r="AD10" s="5">
        <f si="4" t="shared"/>
        <v>-53.16995128421604</v>
      </c>
      <c r="AE10" s="5">
        <f si="5" t="shared"/>
        <v>-1970.7301082230306</v>
      </c>
      <c r="AF10" s="5"/>
      <c r="AG10" s="5">
        <f si="6" t="shared"/>
        <v>-3792.5089367765868</v>
      </c>
      <c r="AH10" s="5">
        <f si="7" t="shared"/>
        <v>0</v>
      </c>
      <c r="AI10" s="5">
        <f si="8" t="shared"/>
        <v>-45224.230675804603</v>
      </c>
    </row>
    <row customHeight="1" ht="12.75" r="11" spans="1:35" x14ac:dyDescent="0.2">
      <c r="A11" s="265" t="s">
        <v>29</v>
      </c>
      <c r="B11" s="5">
        <f>output_NHTS!B268</f>
        <v>176190.64520362957</v>
      </c>
      <c r="C11" s="5">
        <f>output_NHTS!C268</f>
        <v>29872.111350960175</v>
      </c>
      <c r="D11" s="5">
        <f>output_NHTS!D268</f>
        <v>57148.902591210339</v>
      </c>
      <c r="E11" s="5">
        <f>output_NHTS!E268</f>
        <v>62230.275469326298</v>
      </c>
      <c r="F11" s="5">
        <f>output_NHTS!F268</f>
        <v>10761.660725264534</v>
      </c>
      <c r="G11" s="5">
        <f>output_NHTS!G268</f>
        <v>25327.079930490614</v>
      </c>
      <c r="H11" s="5"/>
      <c r="I11" s="5">
        <f>output_NHTS!H268</f>
        <v>91364.839800791393</v>
      </c>
      <c r="J11" s="5">
        <f>output_NHTS!I268</f>
        <v>0</v>
      </c>
      <c r="K11" s="5">
        <f>output_NHTS!J268</f>
        <v>452895.51507167297</v>
      </c>
      <c r="L11" s="5"/>
      <c r="M11" s="265" t="s">
        <v>29</v>
      </c>
      <c r="N11" s="5">
        <f>output!B268</f>
        <v>145936</v>
      </c>
      <c r="O11" s="5">
        <f>output!C268</f>
        <v>25425</v>
      </c>
      <c r="P11" s="5">
        <f>output!D268</f>
        <v>46721</v>
      </c>
      <c r="Q11" s="5">
        <f>output!E268</f>
        <v>49650</v>
      </c>
      <c r="R11" s="5">
        <f>output!F268</f>
        <v>8460</v>
      </c>
      <c r="S11" s="5">
        <f>output!G268</f>
        <v>19546</v>
      </c>
      <c r="T11" s="5"/>
      <c r="U11" s="5">
        <f>output!H268</f>
        <v>84173</v>
      </c>
      <c r="V11" s="5">
        <f>output!I268</f>
        <v>0</v>
      </c>
      <c r="W11" s="5">
        <f>output!J268</f>
        <v>379911</v>
      </c>
      <c r="Y11" s="265" t="s">
        <v>29</v>
      </c>
      <c r="Z11" s="5">
        <f si="0" t="shared"/>
        <v>-30254.645203629567</v>
      </c>
      <c r="AA11" s="5">
        <f si="1" t="shared"/>
        <v>-4447.1113509601746</v>
      </c>
      <c r="AB11" s="5">
        <f si="2" t="shared"/>
        <v>-10427.902591210339</v>
      </c>
      <c r="AC11" s="5">
        <f si="3" t="shared"/>
        <v>-12580.275469326298</v>
      </c>
      <c r="AD11" s="5">
        <f si="4" t="shared"/>
        <v>-2301.6607252645335</v>
      </c>
      <c r="AE11" s="5">
        <f si="5" t="shared"/>
        <v>-5781.0799304906141</v>
      </c>
      <c r="AF11" s="5"/>
      <c r="AG11" s="5">
        <f si="6" t="shared"/>
        <v>-7191.8398007913929</v>
      </c>
      <c r="AH11" s="5">
        <f si="7" t="shared"/>
        <v>0</v>
      </c>
      <c r="AI11" s="5">
        <f si="8" t="shared"/>
        <v>-72984.515071672969</v>
      </c>
    </row>
    <row customHeight="1" ht="12.75" r="12" spans="1:35" x14ac:dyDescent="0.2">
      <c r="A12" s="6" t="s">
        <v>38</v>
      </c>
      <c r="B12" s="5">
        <f>output_NHTS!B269</f>
        <v>1061641.611245143</v>
      </c>
      <c r="C12" s="5">
        <f>output_NHTS!C269</f>
        <v>150231.05848044067</v>
      </c>
      <c r="D12" s="5">
        <f>output_NHTS!D269</f>
        <v>203257.97066251273</v>
      </c>
      <c r="E12" s="5">
        <f>output_NHTS!E269</f>
        <v>231370.43839404112</v>
      </c>
      <c r="F12" s="5">
        <f>output_NHTS!F269</f>
        <v>57055.123130272172</v>
      </c>
      <c r="G12" s="5">
        <f>output_NHTS!G269</f>
        <v>64851.337144704987</v>
      </c>
      <c r="H12" s="5"/>
      <c r="I12" s="5">
        <f>output_NHTS!H269</f>
        <v>305780.27346326009</v>
      </c>
      <c r="J12" s="5">
        <f>output_NHTS!I269</f>
        <v>0</v>
      </c>
      <c r="K12" s="5">
        <f>output_NHTS!J269</f>
        <v>2074187.8125203748</v>
      </c>
      <c r="L12" s="5"/>
      <c r="M12" s="6" t="s">
        <v>38</v>
      </c>
      <c r="N12" s="7">
        <f>output!B269</f>
        <v>935639</v>
      </c>
      <c r="O12" s="7">
        <f>output!C269</f>
        <v>131841</v>
      </c>
      <c r="P12" s="7">
        <f>output!D269</f>
        <v>186741</v>
      </c>
      <c r="Q12" s="7">
        <f>output!E269</f>
        <v>205238</v>
      </c>
      <c r="R12" s="7">
        <f>output!F269</f>
        <v>53470</v>
      </c>
      <c r="S12" s="7">
        <f>output!G269</f>
        <v>60605</v>
      </c>
      <c r="T12" s="7"/>
      <c r="U12" s="7">
        <f>output!H269</f>
        <v>263211</v>
      </c>
      <c r="V12" s="7">
        <f>output!I269</f>
        <v>0</v>
      </c>
      <c r="W12" s="7">
        <f>output!J269</f>
        <v>1836745</v>
      </c>
      <c r="Y12" s="6" t="s">
        <v>38</v>
      </c>
      <c r="Z12" s="7">
        <f si="0" t="shared"/>
        <v>-126002.61124514299</v>
      </c>
      <c r="AA12" s="7">
        <f si="1" t="shared"/>
        <v>-18390.058480440668</v>
      </c>
      <c r="AB12" s="7">
        <f si="2" t="shared"/>
        <v>-16516.970662512729</v>
      </c>
      <c r="AC12" s="7">
        <f si="3" t="shared"/>
        <v>-26132.438394041121</v>
      </c>
      <c r="AD12" s="7">
        <f si="4" t="shared"/>
        <v>-3585.1231302721717</v>
      </c>
      <c r="AE12" s="7">
        <f si="5" t="shared"/>
        <v>-4246.3371447049867</v>
      </c>
      <c r="AF12" s="7"/>
      <c r="AG12" s="7">
        <f si="6" t="shared"/>
        <v>-42569.273463260091</v>
      </c>
      <c r="AH12" s="7">
        <f si="7" t="shared"/>
        <v>0</v>
      </c>
      <c r="AI12" s="7">
        <f si="8" t="shared"/>
        <v>-237442.81252037478</v>
      </c>
    </row>
    <row customHeight="1" ht="12.75" r="13" spans="1:35" thickBot="1" x14ac:dyDescent="0.25">
      <c r="A13" s="8" t="s">
        <v>4</v>
      </c>
      <c r="B13" s="9">
        <f ref="B13:G13" si="9" t="shared">SUM(B5:B12)</f>
        <v>3302617.0999602312</v>
      </c>
      <c r="C13" s="9">
        <f si="9" t="shared"/>
        <v>445507.10091425281</v>
      </c>
      <c r="D13" s="9">
        <f si="9" t="shared"/>
        <v>603996.01186072128</v>
      </c>
      <c r="E13" s="9">
        <f si="9" t="shared"/>
        <v>667379.73158200807</v>
      </c>
      <c r="F13" s="9">
        <f si="9" t="shared"/>
        <v>151306.74402796646</v>
      </c>
      <c r="G13" s="9">
        <f si="9" t="shared"/>
        <v>172907.57818910776</v>
      </c>
      <c r="H13" s="9"/>
      <c r="I13" s="9">
        <f>SUM(I5:I12)</f>
        <v>751647.26551687205</v>
      </c>
      <c r="J13" s="9">
        <f>SUM(J5:J12)</f>
        <v>0</v>
      </c>
      <c r="K13" s="9">
        <f>SUM(K5:K12)</f>
        <v>6095361.5320511591</v>
      </c>
      <c r="L13" s="5"/>
      <c r="M13" s="8" t="s">
        <v>4</v>
      </c>
      <c r="N13" s="9">
        <f ref="N13:S13" si="10" t="shared">SUM(N5:N12)</f>
        <v>2822093</v>
      </c>
      <c r="O13" s="9">
        <f si="10" t="shared"/>
        <v>383145</v>
      </c>
      <c r="P13" s="9">
        <f si="10" t="shared"/>
        <v>514635</v>
      </c>
      <c r="Q13" s="9">
        <f si="10" t="shared"/>
        <v>569105</v>
      </c>
      <c r="R13" s="9">
        <f si="10" t="shared"/>
        <v>135583</v>
      </c>
      <c r="S13" s="9">
        <f si="10" t="shared"/>
        <v>149079</v>
      </c>
      <c r="T13" s="9"/>
      <c r="U13" s="9">
        <f>SUM(U5:U12)</f>
        <v>640582</v>
      </c>
      <c r="V13" s="9">
        <f>SUM(V5:V12)</f>
        <v>0</v>
      </c>
      <c r="W13" s="9">
        <f>SUM(W5:W12)</f>
        <v>5214222</v>
      </c>
      <c r="Y13" s="8" t="s">
        <v>4</v>
      </c>
      <c r="Z13" s="9">
        <f si="0" t="shared"/>
        <v>-480524.09996023122</v>
      </c>
      <c r="AA13" s="9">
        <f si="1" t="shared"/>
        <v>-62362.100914252806</v>
      </c>
      <c r="AB13" s="9">
        <f si="2" t="shared"/>
        <v>-89361.011860721279</v>
      </c>
      <c r="AC13" s="9">
        <f si="3" t="shared"/>
        <v>-98274.731582008069</v>
      </c>
      <c r="AD13" s="9">
        <f si="4" t="shared"/>
        <v>-15723.744027966459</v>
      </c>
      <c r="AE13" s="9">
        <f si="5" t="shared"/>
        <v>-23828.578189107764</v>
      </c>
      <c r="AF13" s="9"/>
      <c r="AG13" s="9">
        <f si="6" t="shared"/>
        <v>-111065.26551687205</v>
      </c>
      <c r="AH13" s="9">
        <f si="7" t="shared"/>
        <v>0</v>
      </c>
      <c r="AI13" s="9">
        <f si="8" t="shared"/>
        <v>-881139.53205115907</v>
      </c>
    </row>
    <row customHeight="1" ht="12.75" r="14" spans="1:35" x14ac:dyDescent="0.2"/>
    <row customHeight="1" ht="12.75" r="15" spans="1:35" x14ac:dyDescent="0.2">
      <c r="A15" s="265" t="s">
        <v>174</v>
      </c>
      <c r="B15" s="5">
        <f>ToursByTourPurpose!B15</f>
        <v>852014.9999999993</v>
      </c>
      <c r="C15" s="5">
        <f>ToursByTourPurpose!C15</f>
        <v>108625</v>
      </c>
      <c r="D15" s="5">
        <f>ToursByTourPurpose!D15</f>
        <v>215410.00000000029</v>
      </c>
      <c r="E15" s="5">
        <f>ToursByTourPurpose!E15</f>
        <v>202915.0000000002</v>
      </c>
      <c r="F15" s="5">
        <f>ToursByTourPurpose!F15</f>
        <v>64632.999999999993</v>
      </c>
      <c r="G15" s="5">
        <f>ToursByTourPurpose!G15</f>
        <v>55502.000000000007</v>
      </c>
      <c r="H15" s="5"/>
      <c r="I15" s="5">
        <f>ToursByTourPurpose!I15</f>
        <v>267121.00000000006</v>
      </c>
      <c r="J15" s="5">
        <f>ToursByTourPurpose!J15</f>
        <v>0</v>
      </c>
      <c r="K15" s="5">
        <f>ToursByTourPurpose!K15</f>
        <v>1766220.9999999998</v>
      </c>
      <c r="M15" s="265" t="s">
        <v>174</v>
      </c>
      <c r="N15" s="5">
        <f>ToursByTourPurpose!N15</f>
        <v>852015</v>
      </c>
      <c r="O15" s="5">
        <f>ToursByTourPurpose!O15</f>
        <v>108625</v>
      </c>
      <c r="P15" s="5">
        <f>ToursByTourPurpose!P15</f>
        <v>215410</v>
      </c>
      <c r="Q15" s="5">
        <f>ToursByTourPurpose!Q15</f>
        <v>202915</v>
      </c>
      <c r="R15" s="5">
        <f>ToursByTourPurpose!R15</f>
        <v>64633</v>
      </c>
      <c r="S15" s="5">
        <f>ToursByTourPurpose!S15</f>
        <v>55502</v>
      </c>
      <c r="T15" s="5"/>
      <c r="U15" s="5">
        <f>ToursByTourPurpose!U15</f>
        <v>267121</v>
      </c>
      <c r="V15" s="5">
        <f>ToursByTourPurpose!V15</f>
        <v>0</v>
      </c>
      <c r="W15" s="5">
        <f>ToursByTourPurpose!W15</f>
        <v>1766221</v>
      </c>
      <c r="Y15" s="265" t="s">
        <v>174</v>
      </c>
      <c r="Z15" s="5">
        <f ref="Z15:AE16" si="11" t="shared">N15-B15</f>
        <v>0</v>
      </c>
      <c r="AA15" s="5">
        <f si="11" t="shared"/>
        <v>0</v>
      </c>
      <c r="AB15" s="5">
        <f si="11" t="shared"/>
        <v>-2.9103830456733704E-10</v>
      </c>
      <c r="AC15" s="5">
        <f si="11" t="shared"/>
        <v>0</v>
      </c>
      <c r="AD15" s="5">
        <f si="11" t="shared"/>
        <v>0</v>
      </c>
      <c r="AE15" s="5">
        <f si="11" t="shared"/>
        <v>0</v>
      </c>
      <c r="AF15" s="5"/>
      <c r="AG15" s="5">
        <f ref="AG15:AI16" si="12" t="shared">U15-I15</f>
        <v>0</v>
      </c>
      <c r="AH15" s="5">
        <f si="12" t="shared"/>
        <v>0</v>
      </c>
      <c r="AI15" s="5">
        <f si="12" t="shared"/>
        <v>0</v>
      </c>
    </row>
    <row customHeight="1" ht="12.75" r="16" spans="1:35" x14ac:dyDescent="0.2">
      <c r="A16" s="265" t="s">
        <v>207</v>
      </c>
      <c r="B16" s="219">
        <f ref="B16:G16" si="13" t="shared">B13/B15</f>
        <v>3.8762429064749258</v>
      </c>
      <c r="C16" s="219">
        <f si="13" t="shared"/>
        <v>4.101331193687022</v>
      </c>
      <c r="D16" s="219">
        <f si="13" t="shared"/>
        <v>2.8039367339525576</v>
      </c>
      <c r="E16" s="219">
        <f si="13" t="shared"/>
        <v>3.2889620362319563</v>
      </c>
      <c r="F16" s="219">
        <f si="13" t="shared"/>
        <v>2.3410137859602136</v>
      </c>
      <c r="G16" s="219">
        <f si="13" t="shared"/>
        <v>3.1153395947733009</v>
      </c>
      <c r="H16" s="219"/>
      <c r="I16" s="219">
        <f>I13/I15</f>
        <v>2.813883092369645</v>
      </c>
      <c r="J16" s="219" t="e">
        <f>J13/J15</f>
        <v>#DIV/0!</v>
      </c>
      <c r="K16" s="219">
        <f>K13/K15</f>
        <v>3.4510752233447342</v>
      </c>
      <c r="M16" s="265" t="s">
        <v>207</v>
      </c>
      <c r="N16" s="219">
        <f ref="N16:S16" si="14" t="shared">N13/N15</f>
        <v>3.3122574133084512</v>
      </c>
      <c r="O16" s="219">
        <f si="14" t="shared"/>
        <v>3.5272266973532798</v>
      </c>
      <c r="P16" s="219">
        <f si="14" t="shared"/>
        <v>2.3890952137783761</v>
      </c>
      <c r="Q16" s="219">
        <f si="14" t="shared"/>
        <v>2.8046472660966413</v>
      </c>
      <c r="R16" s="219">
        <f si="14" t="shared"/>
        <v>2.0977364504200642</v>
      </c>
      <c r="S16" s="219">
        <f si="14" t="shared"/>
        <v>2.6860113149075708</v>
      </c>
      <c r="T16" s="219"/>
      <c r="U16" s="219">
        <f>U13/U15</f>
        <v>2.3980967426746682</v>
      </c>
      <c r="V16" s="219" t="e">
        <f>V13/V15</f>
        <v>#DIV/0!</v>
      </c>
      <c r="W16" s="219">
        <f>W13/W15</f>
        <v>2.9521911470874822</v>
      </c>
      <c r="Y16" s="265" t="s">
        <v>207</v>
      </c>
      <c r="Z16" s="219">
        <f si="11" t="shared"/>
        <v>-0.56398549316647451</v>
      </c>
      <c r="AA16" s="219">
        <f si="11" t="shared"/>
        <v>-0.57410449633374228</v>
      </c>
      <c r="AB16" s="219">
        <f si="11" t="shared"/>
        <v>-0.41484152017418152</v>
      </c>
      <c r="AC16" s="219">
        <f si="11" t="shared"/>
        <v>-0.48431477013531499</v>
      </c>
      <c r="AD16" s="219">
        <f si="11" t="shared"/>
        <v>-0.24327733554014941</v>
      </c>
      <c r="AE16" s="219">
        <f si="11" t="shared"/>
        <v>-0.42932827986573008</v>
      </c>
      <c r="AF16" s="219"/>
      <c r="AG16" s="219">
        <f si="12" t="shared"/>
        <v>-0.41578634969497674</v>
      </c>
      <c r="AH16" s="219" t="e">
        <f si="12" t="shared"/>
        <v>#DIV/0!</v>
      </c>
      <c r="AI16" s="219">
        <f si="12" t="shared"/>
        <v>-0.49888407625725195</v>
      </c>
    </row>
    <row customHeight="1" ht="12.75" r="17" spans="1:35" x14ac:dyDescent="0.2"/>
    <row customHeight="1" ht="12.75" r="18" spans="1:35" x14ac:dyDescent="0.2">
      <c r="A18" s="264" t="s">
        <v>41</v>
      </c>
      <c r="M18" s="264" t="s">
        <v>41</v>
      </c>
      <c r="Y18" s="264" t="s">
        <v>41</v>
      </c>
    </row>
    <row customHeight="1" ht="12.75" r="19" spans="1:35" x14ac:dyDescent="0.2">
      <c r="A19" s="264" t="s">
        <v>208</v>
      </c>
      <c r="M19" s="264" t="s">
        <v>209</v>
      </c>
      <c r="Y19" s="266" t="s">
        <v>210</v>
      </c>
      <c r="Z19" s="267"/>
      <c r="AA19" s="267"/>
    </row>
    <row customHeight="1" ht="12.75" r="20" spans="1:35" thickBo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N20" s="2"/>
      <c r="O20" s="2"/>
      <c r="P20" s="2"/>
      <c r="Q20" s="2"/>
      <c r="R20" s="2"/>
      <c r="S20" s="2"/>
      <c r="T20" s="2"/>
      <c r="U20" s="2"/>
      <c r="V20" s="2"/>
      <c r="W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customHeight="1" ht="12.75" r="21" spans="1:35" x14ac:dyDescent="0.2">
      <c r="A21" s="3" t="s">
        <v>37</v>
      </c>
      <c r="B21" s="4" t="s">
        <v>12</v>
      </c>
      <c r="C21" s="4" t="s">
        <v>13</v>
      </c>
      <c r="D21" s="4" t="s">
        <v>14</v>
      </c>
      <c r="E21" s="4" t="s">
        <v>15</v>
      </c>
      <c r="F21" s="4" t="s">
        <v>16</v>
      </c>
      <c r="G21" s="4" t="s">
        <v>17</v>
      </c>
      <c r="H21" s="4"/>
      <c r="I21" s="4" t="s">
        <v>18</v>
      </c>
      <c r="J21" s="4" t="s">
        <v>19</v>
      </c>
      <c r="K21" s="4" t="s">
        <v>4</v>
      </c>
      <c r="M21" s="3" t="s">
        <v>37</v>
      </c>
      <c r="N21" s="4" t="s">
        <v>12</v>
      </c>
      <c r="O21" s="4" t="s">
        <v>13</v>
      </c>
      <c r="P21" s="4" t="s">
        <v>14</v>
      </c>
      <c r="Q21" s="4" t="s">
        <v>15</v>
      </c>
      <c r="R21" s="4" t="s">
        <v>16</v>
      </c>
      <c r="S21" s="4" t="s">
        <v>17</v>
      </c>
      <c r="T21" s="4"/>
      <c r="U21" s="4" t="s">
        <v>18</v>
      </c>
      <c r="V21" s="4" t="s">
        <v>19</v>
      </c>
      <c r="W21" s="4" t="s">
        <v>4</v>
      </c>
      <c r="Y21" s="3" t="s">
        <v>37</v>
      </c>
      <c r="Z21" s="4" t="s">
        <v>12</v>
      </c>
      <c r="AA21" s="4" t="s">
        <v>13</v>
      </c>
      <c r="AB21" s="4" t="s">
        <v>14</v>
      </c>
      <c r="AC21" s="4" t="s">
        <v>15</v>
      </c>
      <c r="AD21" s="4" t="s">
        <v>16</v>
      </c>
      <c r="AE21" s="4" t="s">
        <v>17</v>
      </c>
      <c r="AF21" s="4"/>
      <c r="AG21" s="4" t="s">
        <v>18</v>
      </c>
      <c r="AH21" s="4" t="s">
        <v>19</v>
      </c>
      <c r="AI21" s="4" t="s">
        <v>4</v>
      </c>
    </row>
    <row customHeight="1" ht="12.75" r="22" spans="1:35" x14ac:dyDescent="0.2">
      <c r="A22" s="265" t="s">
        <v>23</v>
      </c>
      <c r="B22" s="10">
        <f ref="B22:G30" si="15" t="shared">B5/B$13</f>
        <v>0.29541412322957439</v>
      </c>
      <c r="C22" s="10">
        <f si="15" t="shared"/>
        <v>0.18992100398700562</v>
      </c>
      <c r="D22" s="10">
        <f si="15" t="shared"/>
        <v>8.2840340335750603E-3</v>
      </c>
      <c r="E22" s="10">
        <f si="15" t="shared"/>
        <v>2.2953076164506821E-2</v>
      </c>
      <c r="F22" s="10">
        <f si="15" t="shared"/>
        <v>0.11099639138226333</v>
      </c>
      <c r="G22" s="10">
        <f si="15" t="shared"/>
        <v>1.731187778159091E-2</v>
      </c>
      <c r="H22" s="10"/>
      <c r="I22" s="10">
        <f ref="I22:K30" si="16" t="shared">I5/I$13</f>
        <v>1.4383542445005465E-3</v>
      </c>
      <c r="J22" s="10">
        <f>IF(J$13&gt;0,J5/J$13,0)</f>
        <v>0</v>
      </c>
      <c r="K22" s="10">
        <f si="16" t="shared"/>
        <v>0.18070163990237909</v>
      </c>
      <c r="M22" s="265" t="s">
        <v>23</v>
      </c>
      <c r="N22" s="10">
        <f ref="N22:S30" si="17" t="shared">N5/N$13</f>
        <v>0.29732010957824567</v>
      </c>
      <c r="O22" s="10">
        <f si="17" t="shared"/>
        <v>0.18666823265343407</v>
      </c>
      <c r="P22" s="10">
        <f si="17" t="shared"/>
        <v>0</v>
      </c>
      <c r="Q22" s="10">
        <f si="17" t="shared"/>
        <v>0</v>
      </c>
      <c r="R22" s="10">
        <f si="17" t="shared"/>
        <v>0.11929224165271457</v>
      </c>
      <c r="S22" s="10">
        <f si="17" t="shared"/>
        <v>2.1344387874885129E-2</v>
      </c>
      <c r="T22" s="10"/>
      <c r="U22" s="10">
        <f ref="U22:W30" si="18" t="shared">U5/U$13</f>
        <v>0</v>
      </c>
      <c r="V22" s="10">
        <f>IF(V$13&gt;0,V5/V$13,0)</f>
        <v>0</v>
      </c>
      <c r="W22" s="10">
        <f si="18" t="shared"/>
        <v>0.17834722035233636</v>
      </c>
      <c r="Y22" s="265" t="s">
        <v>23</v>
      </c>
      <c r="Z22" s="10">
        <f ref="Z22:Z30" si="19" t="shared">N22-B22</f>
        <v>1.9059863486712847E-3</v>
      </c>
      <c r="AA22" s="10">
        <f ref="AA22:AA30" si="20" t="shared">O22-C22</f>
        <v>-3.2527713335715469E-3</v>
      </c>
      <c r="AB22" s="10">
        <f ref="AB22:AB30" si="21" t="shared">P22-D22</f>
        <v>-8.2840340335750603E-3</v>
      </c>
      <c r="AC22" s="10">
        <f ref="AC22:AC30" si="22" t="shared">Q22-E22</f>
        <v>-2.2953076164506821E-2</v>
      </c>
      <c r="AD22" s="10">
        <f ref="AD22:AD30" si="23" t="shared">R22-F22</f>
        <v>8.2958502704512382E-3</v>
      </c>
      <c r="AE22" s="10">
        <f ref="AE22:AE30" si="24" t="shared">S22-G22</f>
        <v>4.0325100932942191E-3</v>
      </c>
      <c r="AF22" s="10"/>
      <c r="AG22" s="10">
        <f ref="AG22:AG30" si="25" t="shared">U22-I22</f>
        <v>-1.4383542445005465E-3</v>
      </c>
      <c r="AH22" s="10">
        <f ref="AH22:AH30" si="26" t="shared">V22-J22</f>
        <v>0</v>
      </c>
      <c r="AI22" s="10">
        <f ref="AI22:AI30" si="27" t="shared">W22-K22</f>
        <v>-2.3544195500427301E-3</v>
      </c>
    </row>
    <row customHeight="1" ht="12.75" r="23" spans="1:35" x14ac:dyDescent="0.2">
      <c r="A23" s="265" t="s">
        <v>24</v>
      </c>
      <c r="B23" s="10">
        <f si="15" t="shared"/>
        <v>4.1764026520714325E-3</v>
      </c>
      <c r="C23" s="10">
        <f si="15" t="shared"/>
        <v>5.5676010549272608E-3</v>
      </c>
      <c r="D23" s="10">
        <f si="15" t="shared"/>
        <v>6.4512295369014935E-4</v>
      </c>
      <c r="E23" s="10">
        <f si="15" t="shared"/>
        <v>4.3177740534492927E-3</v>
      </c>
      <c r="F23" s="10">
        <f si="15" t="shared"/>
        <v>0.10723966503170945</v>
      </c>
      <c r="G23" s="10">
        <f si="15" t="shared"/>
        <v>0.24407072791624845</v>
      </c>
      <c r="H23" s="10"/>
      <c r="I23" s="10">
        <f si="16" t="shared"/>
        <v>0.28263141714728462</v>
      </c>
      <c r="J23" s="10">
        <f ref="J23:J29" si="28" t="shared">IF(J$13&gt;0,J6/J$13,0)</f>
        <v>0</v>
      </c>
      <c r="K23" s="10">
        <f si="16" t="shared"/>
        <v>4.764468925073366E-2</v>
      </c>
      <c r="M23" s="265" t="s">
        <v>24</v>
      </c>
      <c r="N23" s="10">
        <f si="17" t="shared"/>
        <v>4.1217635279914592E-3</v>
      </c>
      <c r="O23" s="10">
        <f si="17" t="shared"/>
        <v>0</v>
      </c>
      <c r="P23" s="10">
        <f si="17" t="shared"/>
        <v>0</v>
      </c>
      <c r="Q23" s="10">
        <f si="17" t="shared"/>
        <v>0</v>
      </c>
      <c r="R23" s="10">
        <f si="17" t="shared"/>
        <v>0.11207157239476925</v>
      </c>
      <c r="S23" s="10">
        <f si="17" t="shared"/>
        <v>0.24234801682329504</v>
      </c>
      <c r="T23" s="10"/>
      <c r="U23" s="10">
        <f si="18" t="shared"/>
        <v>0.28744953807631185</v>
      </c>
      <c r="V23" s="10">
        <f ref="V23:V29" si="29" t="shared">IF(V$13&gt;0,V6/V$13,0)</f>
        <v>0</v>
      </c>
      <c r="W23" s="10">
        <f si="18" t="shared"/>
        <v>4.7387894109610217E-2</v>
      </c>
      <c r="Y23" s="265" t="s">
        <v>24</v>
      </c>
      <c r="Z23" s="10">
        <f si="19" t="shared"/>
        <v>-5.4639124079973282E-5</v>
      </c>
      <c r="AA23" s="10">
        <f si="20" t="shared"/>
        <v>-5.5676010549272608E-3</v>
      </c>
      <c r="AB23" s="10">
        <f si="21" t="shared"/>
        <v>-6.4512295369014935E-4</v>
      </c>
      <c r="AC23" s="10">
        <f si="22" t="shared"/>
        <v>-4.3177740534492927E-3</v>
      </c>
      <c r="AD23" s="10">
        <f si="23" t="shared"/>
        <v>4.8319073630598008E-3</v>
      </c>
      <c r="AE23" s="10">
        <f si="24" t="shared"/>
        <v>-1.7227110929534106E-3</v>
      </c>
      <c r="AF23" s="10"/>
      <c r="AG23" s="10">
        <f si="25" t="shared"/>
        <v>4.8181209290272253E-3</v>
      </c>
      <c r="AH23" s="10">
        <f si="26" t="shared"/>
        <v>0</v>
      </c>
      <c r="AI23" s="10">
        <f si="27" t="shared"/>
        <v>-2.5679514112344343E-4</v>
      </c>
    </row>
    <row customHeight="1" ht="12.75" r="24" spans="1:35" x14ac:dyDescent="0.2">
      <c r="A24" s="265" t="s">
        <v>25</v>
      </c>
      <c r="B24" s="10">
        <f si="15" t="shared"/>
        <v>8.7224769163700297E-2</v>
      </c>
      <c r="C24" s="10">
        <f si="15" t="shared"/>
        <v>0.10039431370527625</v>
      </c>
      <c r="D24" s="10">
        <f si="15" t="shared"/>
        <v>4.0488463827529714E-2</v>
      </c>
      <c r="E24" s="10">
        <f si="15" t="shared"/>
        <v>0.13139052741579996</v>
      </c>
      <c r="F24" s="10">
        <f si="15" t="shared"/>
        <v>7.2919737281334621E-2</v>
      </c>
      <c r="G24" s="10">
        <f si="15" t="shared"/>
        <v>4.4757807905961386E-2</v>
      </c>
      <c r="H24" s="10"/>
      <c r="I24" s="10">
        <f si="16" t="shared"/>
        <v>5.3327834324034984E-2</v>
      </c>
      <c r="J24" s="10">
        <f si="28" t="shared"/>
        <v>0</v>
      </c>
      <c r="K24" s="10">
        <f si="16" t="shared"/>
        <v>8.2652123227571025E-2</v>
      </c>
      <c r="M24" s="265" t="s">
        <v>25</v>
      </c>
      <c r="N24" s="10">
        <f si="17" t="shared"/>
        <v>8.0577075241673471E-2</v>
      </c>
      <c r="O24" s="10">
        <f si="17" t="shared"/>
        <v>0.1142074149473437</v>
      </c>
      <c r="P24" s="10">
        <f si="17" t="shared"/>
        <v>3.9612540927064815E-2</v>
      </c>
      <c r="Q24" s="10">
        <f si="17" t="shared"/>
        <v>0.14779697946776077</v>
      </c>
      <c r="R24" s="10">
        <f si="17" t="shared"/>
        <v>7.7494966183076053E-2</v>
      </c>
      <c r="S24" s="10">
        <f si="17" t="shared"/>
        <v>4.9269179428356777E-2</v>
      </c>
      <c r="T24" s="10"/>
      <c r="U24" s="10">
        <f si="18" t="shared"/>
        <v>4.6075287785170359E-2</v>
      </c>
      <c r="V24" s="10">
        <f si="29" t="shared"/>
        <v>0</v>
      </c>
      <c r="W24" s="10">
        <f si="18" t="shared"/>
        <v>8.1127922823385726E-2</v>
      </c>
      <c r="Y24" s="265" t="s">
        <v>25</v>
      </c>
      <c r="Z24" s="10">
        <f si="19" t="shared"/>
        <v>-6.6476939220268261E-3</v>
      </c>
      <c r="AA24" s="10">
        <f si="20" t="shared"/>
        <v>1.3813101242067444E-2</v>
      </c>
      <c r="AB24" s="10">
        <f si="21" t="shared"/>
        <v>-8.7592290046489829E-4</v>
      </c>
      <c r="AC24" s="10">
        <f si="22" t="shared"/>
        <v>1.6406452051960813E-2</v>
      </c>
      <c r="AD24" s="10">
        <f si="23" t="shared"/>
        <v>4.5752289017414322E-3</v>
      </c>
      <c r="AE24" s="10">
        <f si="24" t="shared"/>
        <v>4.511371522395391E-3</v>
      </c>
      <c r="AF24" s="10"/>
      <c r="AG24" s="10">
        <f si="25" t="shared"/>
        <v>-7.2525465388646251E-3</v>
      </c>
      <c r="AH24" s="10">
        <f si="26" t="shared"/>
        <v>0</v>
      </c>
      <c r="AI24" s="10">
        <f si="27" t="shared"/>
        <v>-1.5242004041852997E-3</v>
      </c>
    </row>
    <row customHeight="1" ht="12.75" r="25" spans="1:35" x14ac:dyDescent="0.2">
      <c r="A25" s="265" t="s">
        <v>26</v>
      </c>
      <c r="B25" s="10">
        <f si="15" t="shared"/>
        <v>0.1107439912005322</v>
      </c>
      <c r="C25" s="10">
        <f si="15" t="shared"/>
        <v>0.14605461621589702</v>
      </c>
      <c r="D25" s="10">
        <f si="15" t="shared"/>
        <v>0.25852614412145741</v>
      </c>
      <c r="E25" s="10">
        <f si="15" t="shared"/>
        <v>0.19007596566375695</v>
      </c>
      <c r="F25" s="10">
        <f si="15" t="shared"/>
        <v>0.10109738474784714</v>
      </c>
      <c r="G25" s="10">
        <f si="15" t="shared"/>
        <v>0.11048957552905432</v>
      </c>
      <c r="H25" s="10"/>
      <c r="I25" s="10">
        <f si="16" t="shared"/>
        <v>7.3483623016293173E-2</v>
      </c>
      <c r="J25" s="10">
        <f si="28" t="shared"/>
        <v>0</v>
      </c>
      <c r="K25" s="10">
        <f si="16" t="shared"/>
        <v>0.13181333638204731</v>
      </c>
      <c r="M25" s="265" t="s">
        <v>26</v>
      </c>
      <c r="N25" s="10">
        <f si="17" t="shared"/>
        <v>0.1102203222927097</v>
      </c>
      <c r="O25" s="10">
        <f si="17" t="shared"/>
        <v>0.13801563376789466</v>
      </c>
      <c r="P25" s="10">
        <f si="17" t="shared"/>
        <v>0.26504804375916913</v>
      </c>
      <c r="Q25" s="10">
        <f si="17" t="shared"/>
        <v>0.20876463921420477</v>
      </c>
      <c r="R25" s="10">
        <f si="17" t="shared"/>
        <v>8.9347484566649205E-2</v>
      </c>
      <c r="S25" s="10">
        <f si="17" t="shared"/>
        <v>9.5492993647663324E-2</v>
      </c>
      <c r="T25" s="10"/>
      <c r="U25" s="10">
        <f si="18" t="shared"/>
        <v>6.9210499202287917E-2</v>
      </c>
      <c r="V25" s="10">
        <f si="29" t="shared"/>
        <v>0</v>
      </c>
      <c r="W25" s="10">
        <f si="18" t="shared"/>
        <v>0.13229758917054166</v>
      </c>
      <c r="Y25" s="265" t="s">
        <v>26</v>
      </c>
      <c r="Z25" s="10">
        <f si="19" t="shared"/>
        <v>-5.2366890782250264E-4</v>
      </c>
      <c r="AA25" s="10">
        <f si="20" t="shared"/>
        <v>-8.0389824480023575E-3</v>
      </c>
      <c r="AB25" s="10">
        <f si="21" t="shared"/>
        <v>6.5218996377117144E-3</v>
      </c>
      <c r="AC25" s="10">
        <f si="22" t="shared"/>
        <v>1.8688673550447815E-2</v>
      </c>
      <c r="AD25" s="10">
        <f si="23" t="shared"/>
        <v>-1.1749900181197939E-2</v>
      </c>
      <c r="AE25" s="10">
        <f si="24" t="shared"/>
        <v>-1.4996581881390997E-2</v>
      </c>
      <c r="AF25" s="10"/>
      <c r="AG25" s="10">
        <f si="25" t="shared"/>
        <v>-4.2731238140052558E-3</v>
      </c>
      <c r="AH25" s="10">
        <f si="26" t="shared"/>
        <v>0</v>
      </c>
      <c r="AI25" s="10">
        <f si="27" t="shared"/>
        <v>4.8425278849434372E-4</v>
      </c>
    </row>
    <row customHeight="1" ht="12.75" r="26" spans="1:35" x14ac:dyDescent="0.2">
      <c r="A26" s="265" t="s">
        <v>27</v>
      </c>
      <c r="B26" s="10">
        <f si="15" t="shared"/>
        <v>7.0998244666040627E-2</v>
      </c>
      <c r="C26" s="10">
        <f si="15" t="shared"/>
        <v>0.10946080366817944</v>
      </c>
      <c r="D26" s="10">
        <f si="15" t="shared"/>
        <v>0.18633250545710769</v>
      </c>
      <c r="E26" s="10">
        <f si="15" t="shared"/>
        <v>0.16271288184327545</v>
      </c>
      <c r="F26" s="10">
        <f si="15" t="shared"/>
        <v>0.1098314491072474</v>
      </c>
      <c r="G26" s="10">
        <f si="15" t="shared"/>
        <v>3.144424692494701E-2</v>
      </c>
      <c r="H26" s="10"/>
      <c r="I26" s="10">
        <f si="16" t="shared"/>
        <v>3.6075287613389156E-2</v>
      </c>
      <c r="J26" s="10">
        <f si="28" t="shared"/>
        <v>0</v>
      </c>
      <c r="K26" s="10">
        <f si="16" t="shared"/>
        <v>9.0815290891189518E-2</v>
      </c>
      <c r="M26" s="265" t="s">
        <v>27</v>
      </c>
      <c r="N26" s="10">
        <f si="17" t="shared"/>
        <v>6.5962744672128093E-2</v>
      </c>
      <c r="O26" s="10">
        <f si="17" t="shared"/>
        <v>0.10406243067246082</v>
      </c>
      <c r="P26" s="10">
        <f si="17" t="shared"/>
        <v>0.16976109281335316</v>
      </c>
      <c r="Q26" s="10">
        <f si="17" t="shared"/>
        <v>0.15197019882095572</v>
      </c>
      <c r="R26" s="10">
        <f si="17" t="shared"/>
        <v>8.9944904597184017E-2</v>
      </c>
      <c r="S26" s="10">
        <f si="17" t="shared"/>
        <v>3.1882424754660278E-2</v>
      </c>
      <c r="T26" s="10"/>
      <c r="U26" s="10">
        <f si="18" t="shared"/>
        <v>3.1935021589741826E-2</v>
      </c>
      <c r="V26" s="10">
        <f si="29" t="shared"/>
        <v>0</v>
      </c>
      <c r="W26" s="10">
        <f si="18" t="shared"/>
        <v>8.386313432761397E-2</v>
      </c>
      <c r="Y26" s="265" t="s">
        <v>27</v>
      </c>
      <c r="Z26" s="10">
        <f si="19" t="shared"/>
        <v>-5.0354999939125344E-3</v>
      </c>
      <c r="AA26" s="10">
        <f si="20" t="shared"/>
        <v>-5.3983729957186172E-3</v>
      </c>
      <c r="AB26" s="10">
        <f si="21" t="shared"/>
        <v>-1.6571412643754529E-2</v>
      </c>
      <c r="AC26" s="10">
        <f si="22" t="shared"/>
        <v>-1.0742683022319732E-2</v>
      </c>
      <c r="AD26" s="10">
        <f si="23" t="shared"/>
        <v>-1.9886544510063386E-2</v>
      </c>
      <c r="AE26" s="10">
        <f si="24" t="shared"/>
        <v>4.3817782971326824E-4</v>
      </c>
      <c r="AF26" s="10"/>
      <c r="AG26" s="10">
        <f si="25" t="shared"/>
        <v>-4.1402660236473307E-3</v>
      </c>
      <c r="AH26" s="10">
        <f si="26" t="shared"/>
        <v>0</v>
      </c>
      <c r="AI26" s="10">
        <f si="27" t="shared"/>
        <v>-6.9521565635755483E-3</v>
      </c>
    </row>
    <row customHeight="1" ht="12.75" r="27" spans="1:35" x14ac:dyDescent="0.2">
      <c r="A27" s="265" t="s">
        <v>28</v>
      </c>
      <c r="B27" s="10">
        <f si="15" t="shared"/>
        <v>5.663902715602117E-2</v>
      </c>
      <c r="C27" s="10">
        <f si="15" t="shared"/>
        <v>4.433611888510422E-2</v>
      </c>
      <c r="D27" s="10">
        <f si="15" t="shared"/>
        <v>7.4583675467057853E-2</v>
      </c>
      <c r="E27" s="10">
        <f si="15" t="shared"/>
        <v>4.8619252595081951E-2</v>
      </c>
      <c r="F27" s="10">
        <f si="15" t="shared"/>
        <v>4.9708094636509111E-2</v>
      </c>
      <c r="G27" s="10">
        <f si="15" t="shared"/>
        <v>3.0384614504733065E-2</v>
      </c>
      <c r="H27" s="10"/>
      <c r="I27" s="10">
        <f si="16" t="shared"/>
        <v>2.4677145501250056E-2</v>
      </c>
      <c r="J27" s="10">
        <f si="28" t="shared"/>
        <v>0</v>
      </c>
      <c r="K27" s="10">
        <f si="16" t="shared"/>
        <v>5.1781707945647001E-2</v>
      </c>
      <c r="M27" s="265" t="s">
        <v>28</v>
      </c>
      <c r="N27" s="10">
        <f si="17" t="shared"/>
        <v>5.8545200317636589E-2</v>
      </c>
      <c r="O27" s="10">
        <f si="17" t="shared"/>
        <v>4.6585496352555822E-2</v>
      </c>
      <c r="P27" s="10">
        <f si="17" t="shared"/>
        <v>7.1932534709065646E-2</v>
      </c>
      <c r="Q27" s="10">
        <f si="17" t="shared"/>
        <v>4.3593010077226525E-2</v>
      </c>
      <c r="R27" s="10">
        <f si="17" t="shared"/>
        <v>5.5080651704122199E-2</v>
      </c>
      <c r="S27" s="10">
        <f si="17" t="shared"/>
        <v>2.2021881016105554E-2</v>
      </c>
      <c r="T27" s="10"/>
      <c r="U27" s="10">
        <f si="18" t="shared"/>
        <v>2.3035302271996402E-2</v>
      </c>
      <c r="V27" s="10">
        <f si="29" t="shared"/>
        <v>0</v>
      </c>
      <c r="W27" s="10">
        <f si="18" t="shared"/>
        <v>5.185893504342546E-2</v>
      </c>
      <c r="Y27" s="265" t="s">
        <v>28</v>
      </c>
      <c r="Z27" s="10">
        <f si="19" t="shared"/>
        <v>1.9061731616154196E-3</v>
      </c>
      <c r="AA27" s="10">
        <f si="20" t="shared"/>
        <v>2.2493774674516021E-3</v>
      </c>
      <c r="AB27" s="10">
        <f si="21" t="shared"/>
        <v>-2.6511407579922069E-3</v>
      </c>
      <c r="AC27" s="10">
        <f si="22" t="shared"/>
        <v>-5.0262425178554254E-3</v>
      </c>
      <c r="AD27" s="10">
        <f si="23" t="shared"/>
        <v>5.3725570676130888E-3</v>
      </c>
      <c r="AE27" s="10">
        <f si="24" t="shared"/>
        <v>-8.3627334886275106E-3</v>
      </c>
      <c r="AF27" s="10"/>
      <c r="AG27" s="10">
        <f si="25" t="shared"/>
        <v>-1.6418432292536547E-3</v>
      </c>
      <c r="AH27" s="10">
        <f si="26" t="shared"/>
        <v>0</v>
      </c>
      <c r="AI27" s="10">
        <f si="27" t="shared"/>
        <v>7.7227097778458098E-5</v>
      </c>
    </row>
    <row customHeight="1" ht="12.75" r="28" spans="1:35" x14ac:dyDescent="0.2">
      <c r="A28" s="265" t="s">
        <v>29</v>
      </c>
      <c r="B28" s="10">
        <f si="15" t="shared"/>
        <v>5.3348795779489901E-2</v>
      </c>
      <c r="C28" s="10">
        <f si="15" t="shared"/>
        <v>6.7051930911219498E-2</v>
      </c>
      <c r="D28" s="10">
        <f si="15" t="shared"/>
        <v>9.461801314739246E-2</v>
      </c>
      <c r="E28" s="10">
        <f si="15" t="shared"/>
        <v>9.3245677871892932E-2</v>
      </c>
      <c r="F28" s="10">
        <f si="15" t="shared"/>
        <v>7.1124792185571217E-2</v>
      </c>
      <c r="G28" s="10">
        <f si="15" t="shared"/>
        <v>0.14647755868045628</v>
      </c>
      <c r="H28" s="10"/>
      <c r="I28" s="10">
        <f si="16" t="shared"/>
        <v>0.12155281339041943</v>
      </c>
      <c r="J28" s="10">
        <f si="28" t="shared"/>
        <v>0</v>
      </c>
      <c r="K28" s="10">
        <f si="16" t="shared"/>
        <v>7.4301665732248764E-2</v>
      </c>
      <c r="M28" s="265" t="s">
        <v>29</v>
      </c>
      <c r="N28" s="10">
        <f si="17" t="shared"/>
        <v>5.1711974056134931E-2</v>
      </c>
      <c r="O28" s="10">
        <f si="17" t="shared"/>
        <v>6.6358689269075677E-2</v>
      </c>
      <c r="P28" s="10">
        <f si="17" t="shared"/>
        <v>9.0784730925801777E-2</v>
      </c>
      <c r="Q28" s="10">
        <f si="17" t="shared"/>
        <v>8.7242248794159247E-2</v>
      </c>
      <c r="R28" s="10">
        <f si="17" t="shared"/>
        <v>6.2397203189190384E-2</v>
      </c>
      <c r="S28" s="10">
        <f si="17" t="shared"/>
        <v>0.13111169245836099</v>
      </c>
      <c r="T28" s="10"/>
      <c r="U28" s="10">
        <f si="18" t="shared"/>
        <v>0.13140081987942215</v>
      </c>
      <c r="V28" s="10">
        <f si="29" t="shared"/>
        <v>0</v>
      </c>
      <c r="W28" s="10">
        <f si="18" t="shared"/>
        <v>7.2860534131458154E-2</v>
      </c>
      <c r="Y28" s="265" t="s">
        <v>29</v>
      </c>
      <c r="Z28" s="10">
        <f si="19" t="shared"/>
        <v>-1.6368217233549698E-3</v>
      </c>
      <c r="AA28" s="10">
        <f si="20" t="shared"/>
        <v>-6.9324164214382145E-4</v>
      </c>
      <c r="AB28" s="10">
        <f si="21" t="shared"/>
        <v>-3.8332822215906837E-3</v>
      </c>
      <c r="AC28" s="10">
        <f si="22" t="shared"/>
        <v>-6.0034290777336852E-3</v>
      </c>
      <c r="AD28" s="10">
        <f si="23" t="shared"/>
        <v>-8.7275889963808334E-3</v>
      </c>
      <c r="AE28" s="10">
        <f si="24" t="shared"/>
        <v>-1.5365866222095292E-2</v>
      </c>
      <c r="AF28" s="10"/>
      <c r="AG28" s="10">
        <f si="25" t="shared"/>
        <v>9.8480064890027197E-3</v>
      </c>
      <c r="AH28" s="10">
        <f si="26" t="shared"/>
        <v>0</v>
      </c>
      <c r="AI28" s="10">
        <f si="27" t="shared"/>
        <v>-1.44113160079061E-3</v>
      </c>
    </row>
    <row customHeight="1" ht="12.75" r="29" spans="1:35" x14ac:dyDescent="0.2">
      <c r="A29" s="6" t="s">
        <v>38</v>
      </c>
      <c r="B29" s="11">
        <f si="15" t="shared"/>
        <v>0.32145464615256997</v>
      </c>
      <c r="C29" s="11">
        <f si="15" t="shared"/>
        <v>0.3372136115723906</v>
      </c>
      <c r="D29" s="11">
        <f si="15" t="shared"/>
        <v>0.33652204099218969</v>
      </c>
      <c r="E29" s="11">
        <f si="15" t="shared"/>
        <v>0.34668484439223662</v>
      </c>
      <c r="F29" s="11">
        <f si="15" t="shared"/>
        <v>0.37708248562751778</v>
      </c>
      <c r="G29" s="11">
        <f si="15" t="shared"/>
        <v>0.37506359075700862</v>
      </c>
      <c r="H29" s="11"/>
      <c r="I29" s="11">
        <f si="16" t="shared"/>
        <v>0.40681352476282817</v>
      </c>
      <c r="J29" s="11">
        <f si="28" t="shared"/>
        <v>0</v>
      </c>
      <c r="K29" s="11">
        <f si="16" t="shared"/>
        <v>0.34028954666818373</v>
      </c>
      <c r="M29" s="6" t="s">
        <v>38</v>
      </c>
      <c r="N29" s="11">
        <f si="17" t="shared"/>
        <v>0.33154081031348009</v>
      </c>
      <c r="O29" s="11">
        <f si="17" t="shared"/>
        <v>0.34410210233723526</v>
      </c>
      <c r="P29" s="11">
        <f si="17" t="shared"/>
        <v>0.36286105686554548</v>
      </c>
      <c r="Q29" s="11">
        <f si="17" t="shared"/>
        <v>0.36063292362569299</v>
      </c>
      <c r="R29" s="11">
        <f si="17" t="shared"/>
        <v>0.39437097571229429</v>
      </c>
      <c r="S29" s="11">
        <f si="17" t="shared"/>
        <v>0.40652942399667291</v>
      </c>
      <c r="T29" s="11"/>
      <c r="U29" s="11">
        <f si="18" t="shared"/>
        <v>0.41089353119506949</v>
      </c>
      <c r="V29" s="11">
        <f si="29" t="shared"/>
        <v>0</v>
      </c>
      <c r="W29" s="11">
        <f si="18" t="shared"/>
        <v>0.35225677004162848</v>
      </c>
      <c r="Y29" s="6" t="s">
        <v>38</v>
      </c>
      <c r="Z29" s="10">
        <f si="19" t="shared"/>
        <v>1.0086164160910127E-2</v>
      </c>
      <c r="AA29" s="10">
        <f si="20" t="shared"/>
        <v>6.8884907648446569E-3</v>
      </c>
      <c r="AB29" s="10">
        <f si="21" t="shared"/>
        <v>2.6339015873355798E-2</v>
      </c>
      <c r="AC29" s="10">
        <f si="22" t="shared"/>
        <v>1.3948079233456367E-2</v>
      </c>
      <c r="AD29" s="10">
        <f si="23" t="shared"/>
        <v>1.7288490084776509E-2</v>
      </c>
      <c r="AE29" s="10">
        <f si="24" t="shared"/>
        <v>3.1465833239664287E-2</v>
      </c>
      <c r="AF29" s="10"/>
      <c r="AG29" s="10">
        <f si="25" t="shared"/>
        <v>4.0800064322413232E-3</v>
      </c>
      <c r="AH29" s="10">
        <f si="26" t="shared"/>
        <v>0</v>
      </c>
      <c r="AI29" s="10">
        <f si="27" t="shared"/>
        <v>1.1967223373444746E-2</v>
      </c>
    </row>
    <row customHeight="1" ht="12.75" r="30" spans="1:35" thickBot="1" x14ac:dyDescent="0.25">
      <c r="A30" s="8" t="s">
        <v>4</v>
      </c>
      <c r="B30" s="12">
        <f si="15" t="shared"/>
        <v>1</v>
      </c>
      <c r="C30" s="12">
        <f si="15" t="shared"/>
        <v>1</v>
      </c>
      <c r="D30" s="12">
        <f si="15" t="shared"/>
        <v>1</v>
      </c>
      <c r="E30" s="12">
        <f si="15" t="shared"/>
        <v>1</v>
      </c>
      <c r="F30" s="12">
        <f si="15" t="shared"/>
        <v>1</v>
      </c>
      <c r="G30" s="12">
        <f si="15" t="shared"/>
        <v>1</v>
      </c>
      <c r="H30" s="12"/>
      <c r="I30" s="12">
        <f si="16" t="shared"/>
        <v>1</v>
      </c>
      <c r="J30" s="12" t="e">
        <f si="16" t="shared"/>
        <v>#DIV/0!</v>
      </c>
      <c r="K30" s="12">
        <f si="16" t="shared"/>
        <v>1</v>
      </c>
      <c r="M30" s="8" t="s">
        <v>4</v>
      </c>
      <c r="N30" s="12">
        <f si="17" t="shared"/>
        <v>1</v>
      </c>
      <c r="O30" s="12">
        <f si="17" t="shared"/>
        <v>1</v>
      </c>
      <c r="P30" s="12">
        <f si="17" t="shared"/>
        <v>1</v>
      </c>
      <c r="Q30" s="12">
        <f si="17" t="shared"/>
        <v>1</v>
      </c>
      <c r="R30" s="12">
        <f si="17" t="shared"/>
        <v>1</v>
      </c>
      <c r="S30" s="12">
        <f si="17" t="shared"/>
        <v>1</v>
      </c>
      <c r="T30" s="12"/>
      <c r="U30" s="12">
        <f si="18" t="shared"/>
        <v>1</v>
      </c>
      <c r="V30" s="12" t="e">
        <f si="18" t="shared"/>
        <v>#DIV/0!</v>
      </c>
      <c r="W30" s="12">
        <f si="18" t="shared"/>
        <v>1</v>
      </c>
      <c r="Y30" s="8" t="s">
        <v>4</v>
      </c>
      <c r="Z30" s="12">
        <f si="19" t="shared"/>
        <v>0</v>
      </c>
      <c r="AA30" s="12">
        <f si="20" t="shared"/>
        <v>0</v>
      </c>
      <c r="AB30" s="12">
        <f si="21" t="shared"/>
        <v>0</v>
      </c>
      <c r="AC30" s="12">
        <f si="22" t="shared"/>
        <v>0</v>
      </c>
      <c r="AD30" s="12">
        <f si="23" t="shared"/>
        <v>0</v>
      </c>
      <c r="AE30" s="12">
        <f si="24" t="shared"/>
        <v>0</v>
      </c>
      <c r="AF30" s="12"/>
      <c r="AG30" s="12">
        <f si="25" t="shared"/>
        <v>0</v>
      </c>
      <c r="AH30" s="12" t="e">
        <f si="26" t="shared"/>
        <v>#DIV/0!</v>
      </c>
      <c r="AI30" s="12">
        <f si="27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64" t="s">
        <v>41</v>
      </c>
      <c r="M35" s="264" t="s">
        <v>41</v>
      </c>
      <c r="Y35" s="264" t="s">
        <v>41</v>
      </c>
    </row>
    <row customHeight="1" ht="12.75" r="36" spans="1:32" x14ac:dyDescent="0.2">
      <c r="A36" s="264" t="s">
        <v>211</v>
      </c>
      <c r="M36" s="264" t="s">
        <v>212</v>
      </c>
      <c r="Y36" s="266" t="s">
        <v>213</v>
      </c>
      <c r="Z36" s="267"/>
      <c r="AA36" s="267"/>
    </row>
    <row customHeight="1" ht="12.75" r="37" spans="1:32" thickBot="1" x14ac:dyDescent="0.25">
      <c r="B37" s="13"/>
      <c r="C37" s="13"/>
      <c r="D37" s="13"/>
      <c r="E37" s="13"/>
      <c r="F37" s="13"/>
      <c r="G37" s="13"/>
      <c r="N37" s="13"/>
      <c r="O37" s="13"/>
      <c r="P37" s="13"/>
      <c r="Q37" s="13"/>
      <c r="R37" s="13"/>
      <c r="S37" s="13"/>
      <c r="Z37" s="13"/>
      <c r="AA37" s="13"/>
      <c r="AB37" s="13"/>
      <c r="AC37" s="13"/>
      <c r="AD37" s="13"/>
      <c r="AE37" s="13"/>
    </row>
    <row customHeight="1" ht="12.75" r="38" spans="1:32" x14ac:dyDescent="0.2">
      <c r="A38" s="3" t="s">
        <v>37</v>
      </c>
      <c r="B38" s="27" t="s">
        <v>182</v>
      </c>
      <c r="C38" s="27" t="s">
        <v>183</v>
      </c>
      <c r="D38" s="27" t="s">
        <v>184</v>
      </c>
      <c r="E38" s="27" t="s">
        <v>185</v>
      </c>
      <c r="F38" s="27" t="s">
        <v>186</v>
      </c>
      <c r="G38" s="27" t="s">
        <v>4</v>
      </c>
      <c r="H38" s="52"/>
      <c r="M38" s="3" t="s">
        <v>37</v>
      </c>
      <c r="N38" s="27" t="s">
        <v>182</v>
      </c>
      <c r="O38" s="27" t="s">
        <v>183</v>
      </c>
      <c r="P38" s="27" t="s">
        <v>184</v>
      </c>
      <c r="Q38" s="27" t="s">
        <v>185</v>
      </c>
      <c r="R38" s="27" t="s">
        <v>186</v>
      </c>
      <c r="S38" s="27" t="s">
        <v>4</v>
      </c>
      <c r="T38" s="52"/>
      <c r="Y38" s="3" t="s">
        <v>37</v>
      </c>
      <c r="Z38" s="27" t="s">
        <v>182</v>
      </c>
      <c r="AA38" s="27" t="s">
        <v>183</v>
      </c>
      <c r="AB38" s="27" t="s">
        <v>184</v>
      </c>
      <c r="AC38" s="27" t="s">
        <v>185</v>
      </c>
      <c r="AD38" s="27" t="s">
        <v>186</v>
      </c>
      <c r="AE38" s="27" t="s">
        <v>4</v>
      </c>
      <c r="AF38" s="52"/>
    </row>
    <row customHeight="1" ht="12.75" r="39" spans="1:32" x14ac:dyDescent="0.2">
      <c r="A39" s="265" t="s">
        <v>23</v>
      </c>
      <c r="B39" s="5">
        <f>output_NHTS!B273</f>
        <v>10729.722492581013</v>
      </c>
      <c r="C39" s="5">
        <f>output_NHTS!C273</f>
        <v>271346.30536861991</v>
      </c>
      <c r="D39" s="5">
        <f>output_NHTS!D273</f>
        <v>231516.66425875091</v>
      </c>
      <c r="E39" s="5">
        <f>output_NHTS!E273</f>
        <v>471462.92864293256</v>
      </c>
      <c r="F39" s="5"/>
      <c r="G39" s="5">
        <f ref="G39:G47" si="30" t="shared">SUM(B39:E39)</f>
        <v>985055.62076288438</v>
      </c>
      <c r="H39" s="5"/>
      <c r="M39" s="265" t="s">
        <v>23</v>
      </c>
      <c r="N39" s="5">
        <f>output!B273</f>
        <v>13639</v>
      </c>
      <c r="O39" s="5">
        <f>output!C273</f>
        <v>118420</v>
      </c>
      <c r="P39" s="5">
        <f>output!D273</f>
        <v>132087</v>
      </c>
      <c r="Q39" s="5">
        <f>output!E273</f>
        <v>665698</v>
      </c>
      <c r="R39" s="5"/>
      <c r="S39" s="5">
        <f ref="S39:S47" si="31" t="shared">SUM(N39:Q39)</f>
        <v>929844</v>
      </c>
      <c r="T39" s="5"/>
      <c r="Y39" s="265" t="s">
        <v>23</v>
      </c>
      <c r="Z39" s="5">
        <f ref="Z39:Z47" si="32" t="shared">N39-B39</f>
        <v>2909.2775074189867</v>
      </c>
      <c r="AA39" s="5">
        <f ref="AA39:AA47" si="33" t="shared">O39-C39</f>
        <v>-152926.30536861991</v>
      </c>
      <c r="AB39" s="5">
        <f ref="AB39:AB47" si="34" t="shared">P39-D39</f>
        <v>-99429.664258750912</v>
      </c>
      <c r="AC39" s="5">
        <f ref="AC39:AC47" si="35" t="shared">Q39-E39</f>
        <v>194235.07135706744</v>
      </c>
      <c r="AD39" s="5">
        <f ref="AD39:AD47" si="36" t="shared">R39-F39</f>
        <v>0</v>
      </c>
      <c r="AE39" s="5">
        <f ref="AE39:AE47" si="37" t="shared">S39-G39</f>
        <v>-55211.620762884384</v>
      </c>
      <c r="AF39" s="5"/>
    </row>
    <row customHeight="1" ht="12.75" r="40" spans="1:32" x14ac:dyDescent="0.2">
      <c r="A40" s="265" t="s">
        <v>24</v>
      </c>
      <c r="B40" s="5">
        <f>output_NHTS!B274</f>
        <v>13677.268394092478</v>
      </c>
      <c r="C40" s="5">
        <f>output_NHTS!C274</f>
        <v>61750.652826530364</v>
      </c>
      <c r="D40" s="5">
        <f>output_NHTS!D274</f>
        <v>59071.846302488797</v>
      </c>
      <c r="E40" s="5">
        <f>output_NHTS!E274</f>
        <v>123096.31249022258</v>
      </c>
      <c r="F40" s="5"/>
      <c r="G40" s="5">
        <f si="30" t="shared"/>
        <v>257596.08001333423</v>
      </c>
      <c r="H40" s="5"/>
      <c r="M40" s="265" t="s">
        <v>24</v>
      </c>
      <c r="N40" s="5">
        <f>output!B274</f>
        <v>14767</v>
      </c>
      <c r="O40" s="5">
        <f>output!C274</f>
        <v>47965</v>
      </c>
      <c r="P40" s="5">
        <f>output!D274</f>
        <v>29385</v>
      </c>
      <c r="Q40" s="5">
        <f>output!E274</f>
        <v>154966</v>
      </c>
      <c r="R40" s="5"/>
      <c r="S40" s="5">
        <f si="31" t="shared"/>
        <v>247083</v>
      </c>
      <c r="T40" s="5"/>
      <c r="Y40" s="265" t="s">
        <v>24</v>
      </c>
      <c r="Z40" s="5">
        <f si="32" t="shared"/>
        <v>1089.731605907522</v>
      </c>
      <c r="AA40" s="5">
        <f si="33" t="shared"/>
        <v>-13785.652826530364</v>
      </c>
      <c r="AB40" s="5">
        <f si="34" t="shared"/>
        <v>-29686.846302488797</v>
      </c>
      <c r="AC40" s="5">
        <f si="35" t="shared"/>
        <v>31869.687509777417</v>
      </c>
      <c r="AD40" s="5">
        <f si="36" t="shared"/>
        <v>0</v>
      </c>
      <c r="AE40" s="5">
        <f si="37" t="shared"/>
        <v>-10513.080013334227</v>
      </c>
      <c r="AF40" s="5"/>
    </row>
    <row customHeight="1" ht="12.75" r="41" spans="1:32" x14ac:dyDescent="0.2">
      <c r="A41" s="265" t="s">
        <v>25</v>
      </c>
      <c r="B41" s="5">
        <f>output_NHTS!B275</f>
        <v>12897.148381755951</v>
      </c>
      <c r="C41" s="5">
        <f>output_NHTS!C275</f>
        <v>104108.40443845067</v>
      </c>
      <c r="D41" s="5">
        <f>output_NHTS!D275</f>
        <v>99590.834505874809</v>
      </c>
      <c r="E41" s="5">
        <f>output_NHTS!E275</f>
        <v>225664.43461819793</v>
      </c>
      <c r="F41" s="5"/>
      <c r="G41" s="5">
        <f si="30" t="shared"/>
        <v>442260.82194427936</v>
      </c>
      <c r="H41" s="5"/>
      <c r="M41" s="265" t="s">
        <v>25</v>
      </c>
      <c r="N41" s="5">
        <f>output!B275</f>
        <v>18460</v>
      </c>
      <c r="O41" s="5">
        <f>output!C275</f>
        <v>67391</v>
      </c>
      <c r="P41" s="5">
        <f>output!D275</f>
        <v>54872</v>
      </c>
      <c r="Q41" s="5">
        <f>output!E275</f>
        <v>282263</v>
      </c>
      <c r="R41" s="5"/>
      <c r="S41" s="5">
        <f si="31" t="shared"/>
        <v>422986</v>
      </c>
      <c r="T41" s="5"/>
      <c r="Y41" s="265" t="s">
        <v>25</v>
      </c>
      <c r="Z41" s="5">
        <f si="32" t="shared"/>
        <v>5562.851618244049</v>
      </c>
      <c r="AA41" s="5">
        <f si="33" t="shared"/>
        <v>-36717.404438450671</v>
      </c>
      <c r="AB41" s="5">
        <f si="34" t="shared"/>
        <v>-44718.834505874809</v>
      </c>
      <c r="AC41" s="5">
        <f si="35" t="shared"/>
        <v>56598.565381802066</v>
      </c>
      <c r="AD41" s="5">
        <f si="36" t="shared"/>
        <v>0</v>
      </c>
      <c r="AE41" s="5">
        <f si="37" t="shared"/>
        <v>-19274.821944279363</v>
      </c>
      <c r="AF41" s="5"/>
    </row>
    <row customHeight="1" ht="12.75" r="42" spans="1:32" x14ac:dyDescent="0.2">
      <c r="A42" s="265" t="s">
        <v>26</v>
      </c>
      <c r="B42" s="5">
        <f>output_NHTS!B276</f>
        <v>19085.909525624756</v>
      </c>
      <c r="C42" s="5">
        <f>output_NHTS!C276</f>
        <v>231068.61250443358</v>
      </c>
      <c r="D42" s="5">
        <f>output_NHTS!D276</f>
        <v>165543.48373553882</v>
      </c>
      <c r="E42" s="5">
        <f>output_NHTS!E276</f>
        <v>277970.98079785518</v>
      </c>
      <c r="F42" s="5"/>
      <c r="G42" s="5">
        <f si="30" t="shared"/>
        <v>693668.98656345229</v>
      </c>
      <c r="H42" s="5"/>
      <c r="M42" s="265" t="s">
        <v>26</v>
      </c>
      <c r="N42" s="5">
        <f>output!B276</f>
        <v>34080</v>
      </c>
      <c r="O42" s="5">
        <f>output!C276</f>
        <v>128072</v>
      </c>
      <c r="P42" s="5">
        <f>output!D276</f>
        <v>106841</v>
      </c>
      <c r="Q42" s="5">
        <f>output!E276</f>
        <v>420731</v>
      </c>
      <c r="R42" s="5"/>
      <c r="S42" s="5">
        <f si="31" t="shared"/>
        <v>689724</v>
      </c>
      <c r="T42" s="5"/>
      <c r="Y42" s="265" t="s">
        <v>26</v>
      </c>
      <c r="Z42" s="5">
        <f si="32" t="shared"/>
        <v>14994.090474375244</v>
      </c>
      <c r="AA42" s="5">
        <f si="33" t="shared"/>
        <v>-102996.61250443358</v>
      </c>
      <c r="AB42" s="5">
        <f si="34" t="shared"/>
        <v>-58702.483735538815</v>
      </c>
      <c r="AC42" s="5">
        <f si="35" t="shared"/>
        <v>142760.01920214482</v>
      </c>
      <c r="AD42" s="5">
        <f si="36" t="shared"/>
        <v>0</v>
      </c>
      <c r="AE42" s="5">
        <f si="37" t="shared"/>
        <v>-3944.9865634522866</v>
      </c>
      <c r="AF42" s="5"/>
    </row>
    <row customHeight="1" ht="12.75" r="43" spans="1:32" x14ac:dyDescent="0.2">
      <c r="A43" s="265" t="s">
        <v>27</v>
      </c>
      <c r="B43" s="5">
        <f>output_NHTS!B277</f>
        <v>16728.751165578618</v>
      </c>
      <c r="C43" s="5">
        <f>output_NHTS!C277</f>
        <v>169316.12258866974</v>
      </c>
      <c r="D43" s="5">
        <f>output_NHTS!D277</f>
        <v>116580.59211474653</v>
      </c>
      <c r="E43" s="5">
        <f>output_NHTS!E277</f>
        <v>176758.46567490671</v>
      </c>
      <c r="F43" s="5"/>
      <c r="G43" s="5">
        <f si="30" t="shared"/>
        <v>479383.93154390156</v>
      </c>
      <c r="H43" s="5"/>
      <c r="M43" s="265" t="s">
        <v>27</v>
      </c>
      <c r="N43" s="5">
        <f>output!B277</f>
        <v>25450</v>
      </c>
      <c r="O43" s="5">
        <f>output!C277</f>
        <v>86618</v>
      </c>
      <c r="P43" s="5">
        <f>output!D277</f>
        <v>69674</v>
      </c>
      <c r="Q43" s="5">
        <f>output!E277</f>
        <v>255470</v>
      </c>
      <c r="R43" s="5"/>
      <c r="S43" s="5">
        <f si="31" t="shared"/>
        <v>437212</v>
      </c>
      <c r="T43" s="5"/>
      <c r="Y43" s="265" t="s">
        <v>27</v>
      </c>
      <c r="Z43" s="5">
        <f si="32" t="shared"/>
        <v>8721.2488344213816</v>
      </c>
      <c r="AA43" s="5">
        <f si="33" t="shared"/>
        <v>-82698.122588669736</v>
      </c>
      <c r="AB43" s="5">
        <f si="34" t="shared"/>
        <v>-46906.592114746527</v>
      </c>
      <c r="AC43" s="5">
        <f si="35" t="shared"/>
        <v>78711.534325093293</v>
      </c>
      <c r="AD43" s="5">
        <f si="36" t="shared"/>
        <v>0</v>
      </c>
      <c r="AE43" s="5">
        <f si="37" t="shared"/>
        <v>-42171.931543901563</v>
      </c>
      <c r="AF43" s="5"/>
    </row>
    <row customHeight="1" ht="12.75" r="44" spans="1:32" x14ac:dyDescent="0.2">
      <c r="A44" s="265" t="s">
        <v>28</v>
      </c>
      <c r="B44" s="5">
        <f>output_NHTS!B278</f>
        <v>2719.1143761612725</v>
      </c>
      <c r="C44" s="5">
        <f>output_NHTS!C278</f>
        <v>73667.742899784353</v>
      </c>
      <c r="D44" s="5">
        <f>output_NHTS!D278</f>
        <v>64473.426966298743</v>
      </c>
      <c r="E44" s="5">
        <f>output_NHTS!E278</f>
        <v>127913.62148684771</v>
      </c>
      <c r="F44" s="5"/>
      <c r="G44" s="5">
        <f si="30" t="shared"/>
        <v>268773.90572909208</v>
      </c>
      <c r="H44" s="5"/>
      <c r="M44" s="265" t="s">
        <v>28</v>
      </c>
      <c r="N44" s="5">
        <f>output!B278</f>
        <v>10309</v>
      </c>
      <c r="O44" s="5">
        <f>output!C278</f>
        <v>42111</v>
      </c>
      <c r="P44" s="5">
        <f>output!D278</f>
        <v>42152</v>
      </c>
      <c r="Q44" s="5">
        <f>output!E278</f>
        <v>175800</v>
      </c>
      <c r="R44" s="5"/>
      <c r="S44" s="5">
        <f si="31" t="shared"/>
        <v>270372</v>
      </c>
      <c r="T44" s="5"/>
      <c r="Y44" s="265" t="s">
        <v>28</v>
      </c>
      <c r="Z44" s="5">
        <f si="32" t="shared"/>
        <v>7589.885623838727</v>
      </c>
      <c r="AA44" s="5">
        <f si="33" t="shared"/>
        <v>-31556.742899784353</v>
      </c>
      <c r="AB44" s="5">
        <f si="34" t="shared"/>
        <v>-22321.426966298743</v>
      </c>
      <c r="AC44" s="5">
        <f si="35" t="shared"/>
        <v>47886.378513152289</v>
      </c>
      <c r="AD44" s="5">
        <f si="36" t="shared"/>
        <v>0</v>
      </c>
      <c r="AE44" s="5">
        <f si="37" t="shared"/>
        <v>1598.0942709079245</v>
      </c>
      <c r="AF44" s="5"/>
    </row>
    <row customHeight="1" ht="12.75" r="45" spans="1:32" x14ac:dyDescent="0.2">
      <c r="A45" s="265" t="s">
        <v>29</v>
      </c>
      <c r="B45" s="5">
        <f>output_NHTS!B279</f>
        <v>9544.9658053398016</v>
      </c>
      <c r="C45" s="5">
        <f>output_NHTS!C279</f>
        <v>107739.14102822632</v>
      </c>
      <c r="D45" s="5">
        <f>output_NHTS!D279</f>
        <v>91002.282991438609</v>
      </c>
      <c r="E45" s="5">
        <f>output_NHTS!E279</f>
        <v>189861.04280615758</v>
      </c>
      <c r="F45" s="5"/>
      <c r="G45" s="5">
        <f si="30" t="shared"/>
        <v>398147.43263116234</v>
      </c>
      <c r="H45" s="5"/>
      <c r="M45" s="265" t="s">
        <v>29</v>
      </c>
      <c r="N45" s="5">
        <f>output!B279</f>
        <v>15575</v>
      </c>
      <c r="O45" s="5">
        <f>output!C279</f>
        <v>58765</v>
      </c>
      <c r="P45" s="5">
        <f>output!D279</f>
        <v>51836</v>
      </c>
      <c r="Q45" s="5">
        <f>output!E279</f>
        <v>253702</v>
      </c>
      <c r="R45" s="5"/>
      <c r="S45" s="5">
        <f si="31" t="shared"/>
        <v>379878</v>
      </c>
      <c r="T45" s="5"/>
      <c r="Y45" s="265" t="s">
        <v>29</v>
      </c>
      <c r="Z45" s="5">
        <f si="32" t="shared"/>
        <v>6030.0341946601984</v>
      </c>
      <c r="AA45" s="5">
        <f si="33" t="shared"/>
        <v>-48974.141028226324</v>
      </c>
      <c r="AB45" s="5">
        <f si="34" t="shared"/>
        <v>-39166.282991438609</v>
      </c>
      <c r="AC45" s="5">
        <f si="35" t="shared"/>
        <v>63840.95719384242</v>
      </c>
      <c r="AD45" s="5">
        <f si="36" t="shared"/>
        <v>0</v>
      </c>
      <c r="AE45" s="5">
        <f si="37" t="shared"/>
        <v>-18269.432631162344</v>
      </c>
      <c r="AF45" s="5"/>
    </row>
    <row customHeight="1" ht="12.75" r="46" spans="1:32" x14ac:dyDescent="0.2">
      <c r="A46" s="6" t="s">
        <v>38</v>
      </c>
      <c r="B46" s="5">
        <f>output_NHTS!B280</f>
        <v>54373.144097803633</v>
      </c>
      <c r="C46" s="5">
        <f>output_NHTS!C280</f>
        <v>519243.40658975579</v>
      </c>
      <c r="D46" s="5">
        <f>output_NHTS!D280</f>
        <v>428803.99004842737</v>
      </c>
      <c r="E46" s="5">
        <f>output_NHTS!E280</f>
        <v>809337.23525610275</v>
      </c>
      <c r="F46" s="7"/>
      <c r="G46" s="7">
        <f si="30" t="shared"/>
        <v>1811757.7759920894</v>
      </c>
      <c r="H46" s="5"/>
      <c r="M46" s="6" t="s">
        <v>38</v>
      </c>
      <c r="N46" s="7">
        <f>output!B280</f>
        <v>82351</v>
      </c>
      <c r="O46" s="7">
        <f>output!C280</f>
        <v>314892</v>
      </c>
      <c r="P46" s="7">
        <f>output!D280</f>
        <v>265414</v>
      </c>
      <c r="Q46" s="7">
        <f>output!E280</f>
        <v>1173879</v>
      </c>
      <c r="R46" s="7"/>
      <c r="S46" s="7">
        <f si="31" t="shared"/>
        <v>1836536</v>
      </c>
      <c r="T46" s="5"/>
      <c r="Y46" s="6" t="s">
        <v>38</v>
      </c>
      <c r="Z46" s="7">
        <f si="32" t="shared"/>
        <v>27977.855902196367</v>
      </c>
      <c r="AA46" s="7">
        <f si="33" t="shared"/>
        <v>-204351.40658975579</v>
      </c>
      <c r="AB46" s="7">
        <f si="34" t="shared"/>
        <v>-163389.99004842737</v>
      </c>
      <c r="AC46" s="7">
        <f si="35" t="shared"/>
        <v>364541.76474389725</v>
      </c>
      <c r="AD46" s="7">
        <f si="36" t="shared"/>
        <v>0</v>
      </c>
      <c r="AE46" s="7">
        <f si="37" t="shared"/>
        <v>24778.224007910583</v>
      </c>
      <c r="AF46" s="5"/>
    </row>
    <row customHeight="1" ht="13.15" r="47" spans="1:32" thickBot="1" x14ac:dyDescent="0.25">
      <c r="A47" s="8" t="s">
        <v>4</v>
      </c>
      <c r="B47" s="9">
        <f>SUM(B39:B46)</f>
        <v>139756.02423893753</v>
      </c>
      <c r="C47" s="9">
        <f>SUM(C39:C46)</f>
        <v>1538240.3882444708</v>
      </c>
      <c r="D47" s="9">
        <f>SUM(D39:D46)</f>
        <v>1256583.1209235648</v>
      </c>
      <c r="E47" s="9">
        <f>SUM(E39:E46)</f>
        <v>2402065.0217732233</v>
      </c>
      <c r="F47" s="9"/>
      <c r="G47" s="9">
        <f si="30" t="shared"/>
        <v>5336644.5551801957</v>
      </c>
      <c r="H47" s="5"/>
      <c r="M47" s="8" t="s">
        <v>4</v>
      </c>
      <c r="N47" s="9">
        <f>SUM(N39:N46)</f>
        <v>214631</v>
      </c>
      <c r="O47" s="9">
        <f>SUM(O39:O46)</f>
        <v>864234</v>
      </c>
      <c r="P47" s="9">
        <f>SUM(P39:P46)</f>
        <v>752261</v>
      </c>
      <c r="Q47" s="9">
        <f>SUM(Q39:Q46)</f>
        <v>3382509</v>
      </c>
      <c r="R47" s="9"/>
      <c r="S47" s="9">
        <f si="31" t="shared"/>
        <v>5213635</v>
      </c>
      <c r="T47" s="5"/>
      <c r="Y47" s="8" t="s">
        <v>4</v>
      </c>
      <c r="Z47" s="9">
        <f si="32" t="shared"/>
        <v>74874.975761062466</v>
      </c>
      <c r="AA47" s="9">
        <f si="33" t="shared"/>
        <v>-674006.38824447081</v>
      </c>
      <c r="AB47" s="9">
        <f si="34" t="shared"/>
        <v>-504322.12092356477</v>
      </c>
      <c r="AC47" s="9">
        <f si="35" t="shared"/>
        <v>980443.9782267767</v>
      </c>
      <c r="AD47" s="9">
        <f si="36" t="shared"/>
        <v>0</v>
      </c>
      <c r="AE47" s="9">
        <f si="37" t="shared"/>
        <v>-123009.55518019572</v>
      </c>
      <c r="AF47" s="5"/>
    </row>
    <row r="49" spans="1:32" x14ac:dyDescent="0.2">
      <c r="A49" s="265" t="s">
        <v>174</v>
      </c>
      <c r="B49" s="5">
        <f>ToursByTourPurpose!B50</f>
        <v>52642.63273887401</v>
      </c>
      <c r="C49" s="5">
        <f>ToursByTourPurpose!C50</f>
        <v>465116.39388516947</v>
      </c>
      <c r="D49" s="5">
        <f>ToursByTourPurpose!D50</f>
        <v>354363.57349479233</v>
      </c>
      <c r="E49" s="5">
        <f>ToursByTourPurpose!E50</f>
        <v>654986.77908716607</v>
      </c>
      <c r="F49" s="5"/>
      <c r="G49" s="5">
        <f>ToursByTourPurpose!G50</f>
        <v>1527109.3792060018</v>
      </c>
      <c r="H49" s="5"/>
      <c r="M49" s="265" t="s">
        <v>174</v>
      </c>
      <c r="N49" s="5">
        <f>ToursByTourPurpose!N50</f>
        <v>93580</v>
      </c>
      <c r="O49" s="5">
        <f>ToursByTourPurpose!O50</f>
        <v>322979</v>
      </c>
      <c r="P49" s="5">
        <f>ToursByTourPurpose!P50</f>
        <v>258316</v>
      </c>
      <c r="Q49" s="5">
        <f>ToursByTourPurpose!Q50</f>
        <v>1091148</v>
      </c>
      <c r="R49" s="5" t="e">
        <f>ToursByTourPurpose!#REF!</f>
        <v>#REF!</v>
      </c>
      <c r="S49" s="5">
        <f>ToursByTourPurpose!S50</f>
        <v>1766023</v>
      </c>
      <c r="T49" s="5"/>
      <c r="Y49" s="265" t="s">
        <v>174</v>
      </c>
      <c r="Z49" s="5">
        <f ref="Z49:AC50" si="38" t="shared">N49-B49</f>
        <v>40937.36726112599</v>
      </c>
      <c r="AA49" s="5">
        <f si="38" t="shared"/>
        <v>-142137.39388516947</v>
      </c>
      <c r="AB49" s="5">
        <f si="38" t="shared"/>
        <v>-96047.573494792334</v>
      </c>
      <c r="AC49" s="5">
        <f si="38" t="shared"/>
        <v>436161.22091283393</v>
      </c>
      <c r="AD49" s="5"/>
      <c r="AE49" s="5">
        <f>S49-G49</f>
        <v>238913.62079399824</v>
      </c>
      <c r="AF49" s="5"/>
    </row>
    <row r="50" spans="1:32" x14ac:dyDescent="0.2">
      <c r="A50" s="265" t="s">
        <v>207</v>
      </c>
      <c r="B50" s="219">
        <f ref="B50:G50" si="39" t="shared">B47/B49</f>
        <v>2.6548068925841268</v>
      </c>
      <c r="C50" s="219">
        <f si="39" t="shared"/>
        <v>3.3072160183290382</v>
      </c>
      <c r="D50" s="219">
        <f si="39" t="shared"/>
        <v>3.5460279072449055</v>
      </c>
      <c r="E50" s="219">
        <f si="39" t="shared"/>
        <v>3.6673488663708658</v>
      </c>
      <c r="F50" s="219" t="e">
        <f si="39" t="shared"/>
        <v>#DIV/0!</v>
      </c>
      <c r="G50" s="219">
        <f si="39" t="shared"/>
        <v>3.4946053163231219</v>
      </c>
      <c r="H50" s="219"/>
      <c r="M50" s="265" t="s">
        <v>207</v>
      </c>
      <c r="N50" s="219">
        <f ref="N50:S50" si="40" t="shared">N47/N49</f>
        <v>2.2935563154520198</v>
      </c>
      <c r="O50" s="219">
        <f si="40" t="shared"/>
        <v>2.6758210286117672</v>
      </c>
      <c r="P50" s="219">
        <f si="40" t="shared"/>
        <v>2.9121734619613187</v>
      </c>
      <c r="Q50" s="219">
        <f si="40" t="shared"/>
        <v>3.0999543599951611</v>
      </c>
      <c r="R50" s="219" t="e">
        <f si="40" t="shared"/>
        <v>#REF!</v>
      </c>
      <c r="S50" s="219">
        <f si="40" t="shared"/>
        <v>2.9521897506431118</v>
      </c>
      <c r="T50" s="219"/>
      <c r="Y50" s="265" t="s">
        <v>207</v>
      </c>
      <c r="Z50" s="219">
        <f si="38" t="shared"/>
        <v>-0.36125057713210706</v>
      </c>
      <c r="AA50" s="219">
        <f si="38" t="shared"/>
        <v>-0.63139498971727104</v>
      </c>
      <c r="AB50" s="219">
        <f si="38" t="shared"/>
        <v>-0.63385444528358681</v>
      </c>
      <c r="AC50" s="219">
        <f si="38" t="shared"/>
        <v>-0.56739450637570465</v>
      </c>
      <c r="AD50" s="219"/>
      <c r="AE50" s="219">
        <f>S50-G50</f>
        <v>-0.54241556568001004</v>
      </c>
      <c r="AF50" s="219"/>
    </row>
    <row customHeight="1" ht="13.15" r="52" spans="1:32" x14ac:dyDescent="0.2">
      <c r="A52" s="264" t="s">
        <v>41</v>
      </c>
      <c r="M52" s="264" t="s">
        <v>41</v>
      </c>
      <c r="Y52" s="264" t="s">
        <v>41</v>
      </c>
    </row>
    <row customHeight="1" ht="13.15" r="53" spans="1:32" x14ac:dyDescent="0.2">
      <c r="A53" s="264" t="s">
        <v>214</v>
      </c>
      <c r="M53" s="264" t="s">
        <v>215</v>
      </c>
      <c r="Y53" s="266" t="s">
        <v>216</v>
      </c>
      <c r="Z53" s="267"/>
      <c r="AA53" s="267"/>
    </row>
    <row customHeight="1" ht="13.15" r="54" spans="1:32" thickBot="1" x14ac:dyDescent="0.25">
      <c r="B54" s="13"/>
      <c r="C54" s="13"/>
      <c r="D54" s="13"/>
      <c r="E54" s="13"/>
      <c r="F54" s="13"/>
      <c r="G54" s="13"/>
      <c r="N54" s="13"/>
      <c r="O54" s="13"/>
      <c r="P54" s="13"/>
      <c r="Q54" s="13"/>
      <c r="R54" s="13"/>
      <c r="S54" s="13"/>
      <c r="Z54" s="13"/>
      <c r="AA54" s="13"/>
      <c r="AB54" s="13"/>
      <c r="AC54" s="13"/>
      <c r="AD54" s="13"/>
      <c r="AE54" s="13"/>
    </row>
    <row customHeight="1" ht="13.15" r="55" spans="1:32" x14ac:dyDescent="0.2">
      <c r="A55" s="3" t="s">
        <v>37</v>
      </c>
      <c r="B55" s="27" t="s">
        <v>182</v>
      </c>
      <c r="C55" s="27" t="s">
        <v>183</v>
      </c>
      <c r="D55" s="27" t="s">
        <v>184</v>
      </c>
      <c r="E55" s="27" t="s">
        <v>185</v>
      </c>
      <c r="F55" s="27" t="s">
        <v>186</v>
      </c>
      <c r="G55" s="27" t="s">
        <v>4</v>
      </c>
      <c r="H55" s="52"/>
      <c r="M55" s="3" t="s">
        <v>37</v>
      </c>
      <c r="N55" s="27" t="s">
        <v>182</v>
      </c>
      <c r="O55" s="27" t="s">
        <v>183</v>
      </c>
      <c r="P55" s="27" t="s">
        <v>184</v>
      </c>
      <c r="Q55" s="27" t="s">
        <v>185</v>
      </c>
      <c r="R55" s="27" t="s">
        <v>186</v>
      </c>
      <c r="S55" s="27" t="s">
        <v>4</v>
      </c>
      <c r="T55" s="52"/>
      <c r="Y55" s="3" t="s">
        <v>37</v>
      </c>
      <c r="Z55" s="27" t="s">
        <v>182</v>
      </c>
      <c r="AA55" s="27" t="s">
        <v>183</v>
      </c>
      <c r="AB55" s="27" t="s">
        <v>184</v>
      </c>
      <c r="AC55" s="27" t="s">
        <v>185</v>
      </c>
      <c r="AD55" s="27" t="s">
        <v>186</v>
      </c>
      <c r="AE55" s="27" t="s">
        <v>4</v>
      </c>
      <c r="AF55" s="52"/>
    </row>
    <row r="56" spans="1:32" x14ac:dyDescent="0.2">
      <c r="A56" s="265" t="s">
        <v>23</v>
      </c>
      <c r="B56" s="10">
        <f ref="B56:G64" si="41" t="shared">B39/B$47</f>
        <v>7.677466893474777E-2</v>
      </c>
      <c r="C56" s="10">
        <f si="41" t="shared"/>
        <v>0.17640045563898896</v>
      </c>
      <c r="D56" s="10">
        <f si="41" t="shared"/>
        <v>0.18424301616322092</v>
      </c>
      <c r="E56" s="10">
        <f si="41" t="shared"/>
        <v>0.19627400772644152</v>
      </c>
      <c r="F56" s="10" t="e">
        <f si="41" t="shared"/>
        <v>#DIV/0!</v>
      </c>
      <c r="G56" s="10">
        <f si="41" t="shared"/>
        <v>0.18458332957676685</v>
      </c>
      <c r="H56" s="10"/>
      <c r="M56" s="265" t="s">
        <v>23</v>
      </c>
      <c r="N56" s="10">
        <f ref="N56:S64" si="42" t="shared">N39/N$47</f>
        <v>6.3546272439675533E-2</v>
      </c>
      <c r="O56" s="10">
        <f si="42" t="shared"/>
        <v>0.13702307476910189</v>
      </c>
      <c r="P56" s="10">
        <f si="42" t="shared"/>
        <v>0.17558666473471307</v>
      </c>
      <c r="Q56" s="10">
        <f si="42" t="shared"/>
        <v>0.19680598041276462</v>
      </c>
      <c r="R56" s="10" t="e">
        <f si="42" t="shared"/>
        <v>#DIV/0!</v>
      </c>
      <c r="S56" s="10">
        <f si="42" t="shared"/>
        <v>0.17834850349132611</v>
      </c>
      <c r="T56" s="10"/>
      <c r="Y56" s="265" t="s">
        <v>23</v>
      </c>
      <c r="Z56" s="10">
        <f ref="Z56:Z64" si="43" t="shared">N56-B56</f>
        <v>-1.3228396495072237E-2</v>
      </c>
      <c r="AA56" s="10">
        <f ref="AA56:AA64" si="44" t="shared">O56-C56</f>
        <v>-3.9377380869887069E-2</v>
      </c>
      <c r="AB56" s="10">
        <f ref="AB56:AB64" si="45" t="shared">P56-D56</f>
        <v>-8.6563514285078469E-3</v>
      </c>
      <c r="AC56" s="10">
        <f ref="AC56:AC64" si="46" t="shared">Q56-E56</f>
        <v>5.3197268632310113E-4</v>
      </c>
      <c r="AD56" s="10"/>
      <c r="AE56" s="10">
        <f ref="AE56:AE64" si="47" t="shared">S56-G56</f>
        <v>-6.2348260854407367E-3</v>
      </c>
      <c r="AF56" s="10"/>
    </row>
    <row r="57" spans="1:32" x14ac:dyDescent="0.2">
      <c r="A57" s="265" t="s">
        <v>24</v>
      </c>
      <c r="B57" s="10">
        <f si="41" t="shared"/>
        <v>9.7865322576068559E-2</v>
      </c>
      <c r="C57" s="10">
        <f si="41" t="shared"/>
        <v>4.0143694898691219E-2</v>
      </c>
      <c r="D57" s="10">
        <f si="41" t="shared"/>
        <v>4.7009899559268396E-2</v>
      </c>
      <c r="E57" s="10">
        <f si="41" t="shared"/>
        <v>5.1246036795187133E-2</v>
      </c>
      <c r="F57" s="10" t="e">
        <f si="41" t="shared"/>
        <v>#DIV/0!</v>
      </c>
      <c r="G57" s="10">
        <f si="41" t="shared"/>
        <v>4.8269296811849653E-2</v>
      </c>
      <c r="H57" s="10"/>
      <c r="M57" s="265" t="s">
        <v>24</v>
      </c>
      <c r="N57" s="10">
        <f si="42" t="shared"/>
        <v>6.8801804026445382E-2</v>
      </c>
      <c r="O57" s="10">
        <f si="42" t="shared"/>
        <v>5.5500015042222364E-2</v>
      </c>
      <c r="P57" s="10">
        <f si="42" t="shared"/>
        <v>3.9062240366043166E-2</v>
      </c>
      <c r="Q57" s="10">
        <f si="42" t="shared"/>
        <v>4.5813920968133415E-2</v>
      </c>
      <c r="R57" s="10" t="e">
        <f si="42" t="shared"/>
        <v>#DIV/0!</v>
      </c>
      <c r="S57" s="10">
        <f si="42" t="shared"/>
        <v>4.7391695045779003E-2</v>
      </c>
      <c r="T57" s="10"/>
      <c r="Y57" s="265" t="s">
        <v>24</v>
      </c>
      <c r="Z57" s="10">
        <f si="43" t="shared"/>
        <v>-2.9063518549623177E-2</v>
      </c>
      <c r="AA57" s="10">
        <f si="44" t="shared"/>
        <v>1.5356320143531145E-2</v>
      </c>
      <c r="AB57" s="10">
        <f si="45" t="shared"/>
        <v>-7.9476591932252302E-3</v>
      </c>
      <c r="AC57" s="10">
        <f si="46" t="shared"/>
        <v>-5.4321158270537184E-3</v>
      </c>
      <c r="AD57" s="10"/>
      <c r="AE57" s="10">
        <f si="47" t="shared"/>
        <v>-8.7760176607065005E-4</v>
      </c>
      <c r="AF57" s="10"/>
    </row>
    <row r="58" spans="1:32" x14ac:dyDescent="0.2">
      <c r="A58" s="265" t="s">
        <v>25</v>
      </c>
      <c r="B58" s="10">
        <f si="41" t="shared"/>
        <v>9.2283309088029036E-2</v>
      </c>
      <c r="C58" s="10">
        <f si="41" t="shared"/>
        <v>6.768019175290621E-2</v>
      </c>
      <c r="D58" s="10">
        <f si="41" t="shared"/>
        <v>7.9255269983793383E-2</v>
      </c>
      <c r="E58" s="10">
        <f si="41" t="shared"/>
        <v>9.3946014188912616E-2</v>
      </c>
      <c r="F58" s="10" t="e">
        <f si="41" t="shared"/>
        <v>#DIV/0!</v>
      </c>
      <c r="G58" s="10">
        <f si="41" t="shared"/>
        <v>8.2872452413002437E-2</v>
      </c>
      <c r="H58" s="10"/>
      <c r="M58" s="265" t="s">
        <v>25</v>
      </c>
      <c r="N58" s="10">
        <f si="42" t="shared"/>
        <v>8.6008078982066902E-2</v>
      </c>
      <c r="O58" s="10">
        <f si="42" t="shared"/>
        <v>7.7977723625777276E-2</v>
      </c>
      <c r="P58" s="10">
        <f si="42" t="shared"/>
        <v>7.2942768533793459E-2</v>
      </c>
      <c r="Q58" s="10">
        <f si="42" t="shared"/>
        <v>8.344781935539565E-2</v>
      </c>
      <c r="R58" s="10" t="e">
        <f si="42" t="shared"/>
        <v>#DIV/0!</v>
      </c>
      <c r="S58" s="10">
        <f si="42" t="shared"/>
        <v>8.1130727409954861E-2</v>
      </c>
      <c r="T58" s="10"/>
      <c r="Y58" s="265" t="s">
        <v>25</v>
      </c>
      <c r="Z58" s="10">
        <f si="43" t="shared"/>
        <v>-6.2752301059621346E-3</v>
      </c>
      <c r="AA58" s="10">
        <f si="44" t="shared"/>
        <v>1.0297531872871066E-2</v>
      </c>
      <c r="AB58" s="10">
        <f si="45" t="shared"/>
        <v>-6.3125014499999244E-3</v>
      </c>
      <c r="AC58" s="10">
        <f si="46" t="shared"/>
        <v>-1.0498194833516966E-2</v>
      </c>
      <c r="AD58" s="10"/>
      <c r="AE58" s="10">
        <f si="47" t="shared"/>
        <v>-1.7417250030475756E-3</v>
      </c>
      <c r="AF58" s="10"/>
    </row>
    <row r="59" spans="1:32" x14ac:dyDescent="0.2">
      <c r="A59" s="265" t="s">
        <v>26</v>
      </c>
      <c r="B59" s="10">
        <f si="41" t="shared"/>
        <v>0.13656591642156357</v>
      </c>
      <c r="C59" s="10">
        <f si="41" t="shared"/>
        <v>0.15021619135104267</v>
      </c>
      <c r="D59" s="10">
        <f si="41" t="shared"/>
        <v>0.13174097358069517</v>
      </c>
      <c r="E59" s="10">
        <f si="41" t="shared"/>
        <v>0.11572167209389478</v>
      </c>
      <c r="F59" s="10" t="e">
        <f si="41" t="shared"/>
        <v>#DIV/0!</v>
      </c>
      <c r="G59" s="10">
        <f si="41" t="shared"/>
        <v>0.12998223497761696</v>
      </c>
      <c r="H59" s="10"/>
      <c r="M59" s="265" t="s">
        <v>26</v>
      </c>
      <c r="N59" s="10">
        <f si="42" t="shared"/>
        <v>0.15878414581304659</v>
      </c>
      <c r="O59" s="10">
        <f si="42" t="shared"/>
        <v>0.14819134632518507</v>
      </c>
      <c r="P59" s="10">
        <f si="42" t="shared"/>
        <v>0.1420265040989763</v>
      </c>
      <c r="Q59" s="10">
        <f si="42" t="shared"/>
        <v>0.12438429579936076</v>
      </c>
      <c r="R59" s="10" t="e">
        <f si="42" t="shared"/>
        <v>#DIV/0!</v>
      </c>
      <c r="S59" s="10">
        <f si="42" t="shared"/>
        <v>0.13229234497620182</v>
      </c>
      <c r="T59" s="10"/>
      <c r="Y59" s="265" t="s">
        <v>26</v>
      </c>
      <c r="Z59" s="10">
        <f si="43" t="shared"/>
        <v>2.2218229391483019E-2</v>
      </c>
      <c r="AA59" s="10">
        <f si="44" t="shared"/>
        <v>-2.0248450258575912E-3</v>
      </c>
      <c r="AB59" s="10">
        <f si="45" t="shared"/>
        <v>1.0285530518281127E-2</v>
      </c>
      <c r="AC59" s="10">
        <f si="46" t="shared"/>
        <v>8.6626237054659855E-3</v>
      </c>
      <c r="AD59" s="10"/>
      <c r="AE59" s="10">
        <f si="47" t="shared"/>
        <v>2.3101099985848583E-3</v>
      </c>
      <c r="AF59" s="10"/>
    </row>
    <row r="60" spans="1:32" x14ac:dyDescent="0.2">
      <c r="A60" s="265" t="s">
        <v>27</v>
      </c>
      <c r="B60" s="10">
        <f si="41" t="shared"/>
        <v>0.11969967846951536</v>
      </c>
      <c r="C60" s="10">
        <f si="41" t="shared"/>
        <v>0.11007130217267479</v>
      </c>
      <c r="D60" s="10">
        <f si="41" t="shared"/>
        <v>9.277586987565295E-2</v>
      </c>
      <c r="E60" s="10">
        <f si="41" t="shared"/>
        <v>7.3586045370421418E-2</v>
      </c>
      <c r="F60" s="10" t="e">
        <f si="41" t="shared"/>
        <v>#DIV/0!</v>
      </c>
      <c r="G60" s="10">
        <f si="41" t="shared"/>
        <v>8.9828716637792794E-2</v>
      </c>
      <c r="H60" s="10"/>
      <c r="M60" s="265" t="s">
        <v>27</v>
      </c>
      <c r="N60" s="10">
        <f si="42" t="shared"/>
        <v>0.11857560184689071</v>
      </c>
      <c r="O60" s="10">
        <f si="42" t="shared"/>
        <v>0.10022517049780499</v>
      </c>
      <c r="P60" s="10">
        <f si="42" t="shared"/>
        <v>9.2619449898373035E-2</v>
      </c>
      <c r="Q60" s="10">
        <f si="42" t="shared"/>
        <v>7.5526776129790044E-2</v>
      </c>
      <c r="R60" s="10" t="e">
        <f si="42" t="shared"/>
        <v>#DIV/0!</v>
      </c>
      <c r="S60" s="10">
        <f si="42" t="shared"/>
        <v>8.3859341898694484E-2</v>
      </c>
      <c r="T60" s="10"/>
      <c r="Y60" s="265" t="s">
        <v>27</v>
      </c>
      <c r="Z60" s="10">
        <f si="43" t="shared"/>
        <v>-1.1240766226246479E-3</v>
      </c>
      <c r="AA60" s="10">
        <f si="44" t="shared"/>
        <v>-9.846131674869793E-3</v>
      </c>
      <c r="AB60" s="10">
        <f si="45" t="shared"/>
        <v>-1.5641997727991463E-4</v>
      </c>
      <c r="AC60" s="10">
        <f si="46" t="shared"/>
        <v>1.9407307593686252E-3</v>
      </c>
      <c r="AD60" s="10"/>
      <c r="AE60" s="10">
        <f si="47" t="shared"/>
        <v>-5.9693747390983098E-3</v>
      </c>
      <c r="AF60" s="10"/>
    </row>
    <row r="61" spans="1:32" x14ac:dyDescent="0.2">
      <c r="A61" s="265" t="s">
        <v>28</v>
      </c>
      <c r="B61" s="10">
        <f si="41" t="shared"/>
        <v>1.945615146802164E-2</v>
      </c>
      <c r="C61" s="10">
        <f si="41" t="shared"/>
        <v>4.7890917091221522E-2</v>
      </c>
      <c r="D61" s="10">
        <f si="41" t="shared"/>
        <v>5.1308525391389942E-2</v>
      </c>
      <c r="E61" s="10">
        <f si="41" t="shared"/>
        <v>5.3251523304902411E-2</v>
      </c>
      <c r="F61" s="10" t="e">
        <f si="41" t="shared"/>
        <v>#DIV/0!</v>
      </c>
      <c r="G61" s="10">
        <f si="41" t="shared"/>
        <v>5.0363838728625376E-2</v>
      </c>
      <c r="H61" s="10"/>
      <c r="M61" s="265" t="s">
        <v>28</v>
      </c>
      <c r="N61" s="10">
        <f si="42" t="shared"/>
        <v>4.8031272276604961E-2</v>
      </c>
      <c r="O61" s="10">
        <f si="42" t="shared"/>
        <v>4.8726386603628186E-2</v>
      </c>
      <c r="P61" s="10">
        <f si="42" t="shared"/>
        <v>5.6033743607604276E-2</v>
      </c>
      <c r="Q61" s="10">
        <f si="42" t="shared"/>
        <v>5.1973254173159629E-2</v>
      </c>
      <c r="R61" s="10" t="e">
        <f si="42" t="shared"/>
        <v>#DIV/0!</v>
      </c>
      <c r="S61" s="10">
        <f si="42" t="shared"/>
        <v>5.1858636057184673E-2</v>
      </c>
      <c r="T61" s="10"/>
      <c r="Y61" s="265" t="s">
        <v>28</v>
      </c>
      <c r="Z61" s="10">
        <f si="43" t="shared"/>
        <v>2.8575120808583321E-2</v>
      </c>
      <c r="AA61" s="10">
        <f si="44" t="shared"/>
        <v>8.3546951240666412E-4</v>
      </c>
      <c r="AB61" s="10">
        <f si="45" t="shared"/>
        <v>4.7252182162143344E-3</v>
      </c>
      <c r="AC61" s="10">
        <f si="46" t="shared"/>
        <v>-1.2782691317427819E-3</v>
      </c>
      <c r="AD61" s="10"/>
      <c r="AE61" s="10">
        <f si="47" t="shared"/>
        <v>1.4947973285592969E-3</v>
      </c>
      <c r="AF61" s="10"/>
    </row>
    <row r="62" spans="1:32" x14ac:dyDescent="0.2">
      <c r="A62" s="265" t="s">
        <v>29</v>
      </c>
      <c r="B62" s="10">
        <f si="41" t="shared"/>
        <v>6.8297347876904405E-2</v>
      </c>
      <c r="C62" s="10">
        <f si="41" t="shared"/>
        <v>7.0040509826415673E-2</v>
      </c>
      <c r="D62" s="10">
        <f si="41" t="shared"/>
        <v>7.2420424463885566E-2</v>
      </c>
      <c r="E62" s="10">
        <f si="41" t="shared"/>
        <v>7.9040759132323848E-2</v>
      </c>
      <c r="F62" s="10" t="e">
        <f si="41" t="shared"/>
        <v>#DIV/0!</v>
      </c>
      <c r="G62" s="10">
        <f si="41" t="shared"/>
        <v>7.4606323976493236E-2</v>
      </c>
      <c r="H62" s="10"/>
      <c r="M62" s="265" t="s">
        <v>29</v>
      </c>
      <c r="N62" s="10">
        <f si="42" t="shared"/>
        <v>7.2566404666613862E-2</v>
      </c>
      <c r="O62" s="10">
        <f si="42" t="shared"/>
        <v>6.7996630542191114E-2</v>
      </c>
      <c r="P62" s="10">
        <f si="42" t="shared"/>
        <v>6.8906935225938867E-2</v>
      </c>
      <c r="Q62" s="10">
        <f si="42" t="shared"/>
        <v>7.5004087202724362E-2</v>
      </c>
      <c r="R62" s="10" t="e">
        <f si="42" t="shared"/>
        <v>#DIV/0!</v>
      </c>
      <c r="S62" s="10">
        <f si="42" t="shared"/>
        <v>7.2862407897752723E-2</v>
      </c>
      <c r="T62" s="10"/>
      <c r="Y62" s="265" t="s">
        <v>29</v>
      </c>
      <c r="Z62" s="10">
        <f si="43" t="shared"/>
        <v>4.2690567897094578E-3</v>
      </c>
      <c r="AA62" s="10">
        <f si="44" t="shared"/>
        <v>-2.043879284224559E-3</v>
      </c>
      <c r="AB62" s="10">
        <f si="45" t="shared"/>
        <v>-3.5134892379466987E-3</v>
      </c>
      <c r="AC62" s="10">
        <f si="46" t="shared"/>
        <v>-4.0366719295994863E-3</v>
      </c>
      <c r="AD62" s="10"/>
      <c r="AE62" s="10">
        <f si="47" t="shared"/>
        <v>-1.7439160787405122E-3</v>
      </c>
      <c r="AF62" s="10"/>
    </row>
    <row r="63" spans="1:32" x14ac:dyDescent="0.2">
      <c r="A63" s="6" t="s">
        <v>38</v>
      </c>
      <c r="B63" s="11">
        <f si="41" t="shared"/>
        <v>0.38905760516514959</v>
      </c>
      <c r="C63" s="11">
        <f si="41" t="shared"/>
        <v>0.3375567372680589</v>
      </c>
      <c r="D63" s="11">
        <f si="41" t="shared"/>
        <v>0.34124602098209356</v>
      </c>
      <c r="E63" s="11">
        <f si="41" t="shared"/>
        <v>0.33693394138791616</v>
      </c>
      <c r="F63" s="11" t="e">
        <f si="41" t="shared"/>
        <v>#DIV/0!</v>
      </c>
      <c r="G63" s="11">
        <f si="41" t="shared"/>
        <v>0.33949380687785269</v>
      </c>
      <c r="H63" s="10"/>
      <c r="M63" s="6" t="s">
        <v>38</v>
      </c>
      <c r="N63" s="11">
        <f si="42" t="shared"/>
        <v>0.38368641994865604</v>
      </c>
      <c r="O63" s="11">
        <f si="42" t="shared"/>
        <v>0.36435965259408909</v>
      </c>
      <c r="P63" s="11">
        <f si="42" t="shared"/>
        <v>0.35282169353455783</v>
      </c>
      <c r="Q63" s="11">
        <f si="42" t="shared"/>
        <v>0.34704386595867148</v>
      </c>
      <c r="R63" s="11" t="e">
        <f si="42" t="shared"/>
        <v>#DIV/0!</v>
      </c>
      <c r="S63" s="11">
        <f si="42" t="shared"/>
        <v>0.35225634322310634</v>
      </c>
      <c r="T63" s="10"/>
      <c r="Y63" s="6" t="s">
        <v>38</v>
      </c>
      <c r="Z63" s="10">
        <f si="43" t="shared"/>
        <v>-5.3711852164935459E-3</v>
      </c>
      <c r="AA63" s="10">
        <f si="44" t="shared"/>
        <v>2.6802915326030186E-2</v>
      </c>
      <c r="AB63" s="10">
        <f si="45" t="shared"/>
        <v>1.1575672552464278E-2</v>
      </c>
      <c r="AC63" s="10">
        <f si="46" t="shared"/>
        <v>1.0109924570755324E-2</v>
      </c>
      <c r="AD63" s="10"/>
      <c r="AE63" s="10">
        <f si="47" t="shared"/>
        <v>1.276253634525365E-2</v>
      </c>
      <c r="AF63" s="10"/>
    </row>
    <row customHeight="1" ht="13.15" r="64" spans="1:32" thickBot="1" x14ac:dyDescent="0.25">
      <c r="A64" s="8" t="s">
        <v>4</v>
      </c>
      <c r="B64" s="15">
        <f si="41" t="shared"/>
        <v>1</v>
      </c>
      <c r="C64" s="15">
        <f si="41" t="shared"/>
        <v>1</v>
      </c>
      <c r="D64" s="15">
        <f si="41" t="shared"/>
        <v>1</v>
      </c>
      <c r="E64" s="15">
        <f si="41" t="shared"/>
        <v>1</v>
      </c>
      <c r="F64" s="15" t="e">
        <f si="41" t="shared"/>
        <v>#DIV/0!</v>
      </c>
      <c r="G64" s="15">
        <f si="41" t="shared"/>
        <v>1</v>
      </c>
      <c r="H64" s="10"/>
      <c r="M64" s="8" t="s">
        <v>4</v>
      </c>
      <c r="N64" s="15">
        <f si="42" t="shared"/>
        <v>1</v>
      </c>
      <c r="O64" s="15">
        <f si="42" t="shared"/>
        <v>1</v>
      </c>
      <c r="P64" s="15">
        <f si="42" t="shared"/>
        <v>1</v>
      </c>
      <c r="Q64" s="15">
        <f si="42" t="shared"/>
        <v>1</v>
      </c>
      <c r="R64" s="15" t="e">
        <f si="42" t="shared"/>
        <v>#DIV/0!</v>
      </c>
      <c r="S64" s="15">
        <f si="42" t="shared"/>
        <v>1</v>
      </c>
      <c r="T64" s="10"/>
      <c r="Y64" s="8" t="s">
        <v>4</v>
      </c>
      <c r="Z64" s="12">
        <f si="43" t="shared"/>
        <v>0</v>
      </c>
      <c r="AA64" s="12">
        <f si="44" t="shared"/>
        <v>0</v>
      </c>
      <c r="AB64" s="12">
        <f si="45" t="shared"/>
        <v>0</v>
      </c>
      <c r="AC64" s="12">
        <f si="46" t="shared"/>
        <v>0</v>
      </c>
      <c r="AD64" s="12"/>
      <c r="AE64" s="12">
        <f si="47" t="shared"/>
        <v>0</v>
      </c>
      <c r="AF64" s="10"/>
    </row>
    <row customHeight="1" ht="13.15" r="69" spans="1:30" x14ac:dyDescent="0.2">
      <c r="A69" s="264" t="s">
        <v>41</v>
      </c>
      <c r="M69" s="264" t="s">
        <v>41</v>
      </c>
      <c r="Y69" s="264" t="s">
        <v>41</v>
      </c>
    </row>
    <row customHeight="1" ht="13.15" r="70" spans="1:30" x14ac:dyDescent="0.2">
      <c r="A70" s="264" t="s">
        <v>217</v>
      </c>
      <c r="M70" s="264" t="s">
        <v>218</v>
      </c>
      <c r="Y70" s="266" t="s">
        <v>219</v>
      </c>
      <c r="Z70" s="267"/>
      <c r="AA70" s="267"/>
      <c r="AB70" s="267"/>
    </row>
    <row customHeight="1" ht="13.15" r="71" spans="1:30" thickBot="1" x14ac:dyDescent="0.25">
      <c r="B71" s="13"/>
      <c r="C71" s="13"/>
      <c r="D71" s="13"/>
      <c r="E71" s="13"/>
      <c r="F71" s="13"/>
      <c r="N71" s="13"/>
      <c r="O71" s="13"/>
      <c r="P71" s="13"/>
      <c r="Q71" s="13"/>
      <c r="R71" s="13"/>
      <c r="Z71" s="13"/>
      <c r="AA71" s="13"/>
      <c r="AB71" s="13"/>
      <c r="AC71" s="13"/>
      <c r="AD71" s="13"/>
    </row>
    <row customHeight="1" ht="13.15" r="72" spans="1:30" x14ac:dyDescent="0.2">
      <c r="A72" s="3" t="s">
        <v>37</v>
      </c>
      <c r="B72" s="4" t="s">
        <v>193</v>
      </c>
      <c r="C72" s="4" t="s">
        <v>194</v>
      </c>
      <c r="D72" s="4" t="s">
        <v>195</v>
      </c>
      <c r="E72" s="4" t="s">
        <v>196</v>
      </c>
      <c r="F72" s="4" t="s">
        <v>4</v>
      </c>
      <c r="M72" s="3" t="s">
        <v>37</v>
      </c>
      <c r="N72" s="4" t="s">
        <v>193</v>
      </c>
      <c r="O72" s="4" t="s">
        <v>194</v>
      </c>
      <c r="P72" s="4" t="s">
        <v>195</v>
      </c>
      <c r="Q72" s="4" t="s">
        <v>196</v>
      </c>
      <c r="R72" s="4" t="s">
        <v>4</v>
      </c>
      <c r="Y72" s="3" t="s">
        <v>37</v>
      </c>
      <c r="Z72" s="4" t="s">
        <v>193</v>
      </c>
      <c r="AA72" s="4" t="s">
        <v>194</v>
      </c>
      <c r="AB72" s="4" t="s">
        <v>195</v>
      </c>
      <c r="AC72" s="4" t="s">
        <v>196</v>
      </c>
      <c r="AD72" s="4" t="s">
        <v>4</v>
      </c>
    </row>
    <row r="73" spans="1:30" x14ac:dyDescent="0.2">
      <c r="A73" s="265" t="s">
        <v>23</v>
      </c>
      <c r="B73" s="5">
        <f>output_NHTS!B284</f>
        <v>10513.434822825202</v>
      </c>
      <c r="C73" s="5">
        <f>output_NHTS!C284</f>
        <v>156671.90055692531</v>
      </c>
      <c r="D73" s="5">
        <f>output_NHTS!D284</f>
        <v>672967.47280253679</v>
      </c>
      <c r="E73" s="5">
        <f>output_NHTS!E284</f>
        <v>261289.01645723512</v>
      </c>
      <c r="F73" s="5">
        <f>output_NHTS!F284</f>
        <v>1101441.8246395225</v>
      </c>
      <c r="M73" s="265" t="s">
        <v>23</v>
      </c>
      <c r="N73" s="5">
        <f>output!B284</f>
        <v>7857</v>
      </c>
      <c r="O73" s="5">
        <f>output!C284</f>
        <v>119517</v>
      </c>
      <c r="P73" s="5">
        <f>output!D284</f>
        <v>606012</v>
      </c>
      <c r="Q73" s="5">
        <f>output!E284</f>
        <v>196556</v>
      </c>
      <c r="R73" s="5">
        <f>output!F284</f>
        <v>929942</v>
      </c>
      <c r="Y73" s="265" t="s">
        <v>23</v>
      </c>
      <c r="Z73" s="5">
        <f ref="Z73:Z81" si="48" t="shared">N73-B73</f>
        <v>-2656.434822825202</v>
      </c>
      <c r="AA73" s="5">
        <f ref="AA73:AA81" si="49" t="shared">O73-C73</f>
        <v>-37154.900556925306</v>
      </c>
      <c r="AB73" s="5">
        <f ref="AB73:AB81" si="50" t="shared">P73-D73</f>
        <v>-66955.472802536795</v>
      </c>
      <c r="AC73" s="5">
        <f ref="AC73:AC81" si="51" t="shared">Q73-E73</f>
        <v>-64733.01645723512</v>
      </c>
      <c r="AD73" s="5">
        <f ref="AD73:AD81" si="52" t="shared">R73-F73</f>
        <v>-171499.82463952247</v>
      </c>
    </row>
    <row r="74" spans="1:30" x14ac:dyDescent="0.2">
      <c r="A74" s="265" t="s">
        <v>24</v>
      </c>
      <c r="B74" s="5">
        <f>output_NHTS!B285</f>
        <v>6880.1322596654509</v>
      </c>
      <c r="C74" s="5">
        <f>output_NHTS!C285</f>
        <v>61427.865668394297</v>
      </c>
      <c r="D74" s="5">
        <f>output_NHTS!D285</f>
        <v>166486.06603288176</v>
      </c>
      <c r="E74" s="5">
        <f>output_NHTS!E285</f>
        <v>55617.542104511806</v>
      </c>
      <c r="F74" s="5">
        <f>output_NHTS!F285</f>
        <v>290411.60606545332</v>
      </c>
      <c r="M74" s="265" t="s">
        <v>24</v>
      </c>
      <c r="N74" s="5">
        <f>output!B285</f>
        <v>6185</v>
      </c>
      <c r="O74" s="5">
        <f>output!C285</f>
        <v>47893</v>
      </c>
      <c r="P74" s="5">
        <f>output!D285</f>
        <v>150484</v>
      </c>
      <c r="Q74" s="5">
        <f>output!E285</f>
        <v>42529</v>
      </c>
      <c r="R74" s="5">
        <f>output!F285</f>
        <v>247091</v>
      </c>
      <c r="Y74" s="265" t="s">
        <v>24</v>
      </c>
      <c r="Z74" s="5">
        <f si="48" t="shared"/>
        <v>-695.13225966545087</v>
      </c>
      <c r="AA74" s="5">
        <f si="49" t="shared"/>
        <v>-13534.865668394297</v>
      </c>
      <c r="AB74" s="5">
        <f si="50" t="shared"/>
        <v>-16002.066032881761</v>
      </c>
      <c r="AC74" s="5">
        <f si="51" t="shared"/>
        <v>-13088.542104511806</v>
      </c>
      <c r="AD74" s="5">
        <f si="52" t="shared"/>
        <v>-43320.606065453321</v>
      </c>
    </row>
    <row r="75" spans="1:30" x14ac:dyDescent="0.2">
      <c r="A75" s="265" t="s">
        <v>25</v>
      </c>
      <c r="B75" s="5">
        <f>output_NHTS!B286</f>
        <v>1970.565094727805</v>
      </c>
      <c r="C75" s="5">
        <f>output_NHTS!C286</f>
        <v>84810.642878216662</v>
      </c>
      <c r="D75" s="5">
        <f>output_NHTS!D286</f>
        <v>300667.79313324869</v>
      </c>
      <c r="E75" s="5">
        <f>output_NHTS!E286</f>
        <v>116345.57135749528</v>
      </c>
      <c r="F75" s="5">
        <f>output_NHTS!F286</f>
        <v>503794.57246368844</v>
      </c>
      <c r="M75" s="265" t="s">
        <v>25</v>
      </c>
      <c r="N75" s="5">
        <f>output!B286</f>
        <v>11860</v>
      </c>
      <c r="O75" s="5">
        <f>output!C286</f>
        <v>76429</v>
      </c>
      <c r="P75" s="5">
        <f>output!D286</f>
        <v>259378</v>
      </c>
      <c r="Q75" s="5">
        <f>output!E286</f>
        <v>75352</v>
      </c>
      <c r="R75" s="5">
        <f>output!F286</f>
        <v>423019</v>
      </c>
      <c r="Y75" s="265" t="s">
        <v>25</v>
      </c>
      <c r="Z75" s="5">
        <f si="48" t="shared"/>
        <v>9889.4349052721955</v>
      </c>
      <c r="AA75" s="5">
        <f si="49" t="shared"/>
        <v>-8381.6428782166622</v>
      </c>
      <c r="AB75" s="5">
        <f si="50" t="shared"/>
        <v>-41289.793133248691</v>
      </c>
      <c r="AC75" s="5">
        <f si="51" t="shared"/>
        <v>-40993.571357495282</v>
      </c>
      <c r="AD75" s="5">
        <f si="52" t="shared"/>
        <v>-80775.572463688441</v>
      </c>
    </row>
    <row r="76" spans="1:30" x14ac:dyDescent="0.2">
      <c r="A76" s="265" t="s">
        <v>26</v>
      </c>
      <c r="B76" s="5">
        <f>output_NHTS!B287</f>
        <v>19573.589747005411</v>
      </c>
      <c r="C76" s="5">
        <f>output_NHTS!C287</f>
        <v>114957.37878673754</v>
      </c>
      <c r="D76" s="5">
        <f>output_NHTS!D287</f>
        <v>482648.44277850533</v>
      </c>
      <c r="E76" s="5">
        <f>output_NHTS!E287</f>
        <v>186270.52868220239</v>
      </c>
      <c r="F76" s="5">
        <f>output_NHTS!F287</f>
        <v>803449.93999445066</v>
      </c>
      <c r="M76" s="265" t="s">
        <v>26</v>
      </c>
      <c r="N76" s="5">
        <f>output!B287</f>
        <v>18948</v>
      </c>
      <c r="O76" s="5">
        <f>output!C287</f>
        <v>113721</v>
      </c>
      <c r="P76" s="5">
        <f>output!D287</f>
        <v>431668</v>
      </c>
      <c r="Q76" s="5">
        <f>output!E287</f>
        <v>125492</v>
      </c>
      <c r="R76" s="5">
        <f>output!F287</f>
        <v>689829</v>
      </c>
      <c r="Y76" s="265" t="s">
        <v>26</v>
      </c>
      <c r="Z76" s="5">
        <f si="48" t="shared"/>
        <v>-625.58974700541148</v>
      </c>
      <c r="AA76" s="5">
        <f si="49" t="shared"/>
        <v>-1236.3787867375358</v>
      </c>
      <c r="AB76" s="5">
        <f si="50" t="shared"/>
        <v>-50980.442778505327</v>
      </c>
      <c r="AC76" s="5">
        <f si="51" t="shared"/>
        <v>-60778.528682202392</v>
      </c>
      <c r="AD76" s="5">
        <f si="52" t="shared"/>
        <v>-113620.93999445066</v>
      </c>
    </row>
    <row r="77" spans="1:30" x14ac:dyDescent="0.2">
      <c r="A77" s="265" t="s">
        <v>27</v>
      </c>
      <c r="B77" s="5">
        <f>output_NHTS!B288</f>
        <v>14432.473561836749</v>
      </c>
      <c r="C77" s="5">
        <f>output_NHTS!C288</f>
        <v>105009.72098622666</v>
      </c>
      <c r="D77" s="5">
        <f>output_NHTS!D288</f>
        <v>328940.82930461655</v>
      </c>
      <c r="E77" s="5">
        <f>output_NHTS!E288</f>
        <v>105169.00676751266</v>
      </c>
      <c r="F77" s="5">
        <f>output_NHTS!F288</f>
        <v>553552.03062019264</v>
      </c>
      <c r="M77" s="265" t="s">
        <v>27</v>
      </c>
      <c r="N77" s="5">
        <f>output!B288</f>
        <v>13310</v>
      </c>
      <c r="O77" s="5">
        <f>output!C288</f>
        <v>71644</v>
      </c>
      <c r="P77" s="5">
        <f>output!D288</f>
        <v>273382</v>
      </c>
      <c r="Q77" s="5">
        <f>output!E288</f>
        <v>78945</v>
      </c>
      <c r="R77" s="5">
        <f>output!F288</f>
        <v>437281</v>
      </c>
      <c r="Y77" s="265" t="s">
        <v>27</v>
      </c>
      <c r="Z77" s="5">
        <f si="48" t="shared"/>
        <v>-1122.4735618367486</v>
      </c>
      <c r="AA77" s="5">
        <f si="49" t="shared"/>
        <v>-33365.720986226661</v>
      </c>
      <c r="AB77" s="5">
        <f si="50" t="shared"/>
        <v>-55558.829304616549</v>
      </c>
      <c r="AC77" s="5">
        <f si="51" t="shared"/>
        <v>-26224.006767512663</v>
      </c>
      <c r="AD77" s="5">
        <f si="52" t="shared"/>
        <v>-116271.03062019264</v>
      </c>
    </row>
    <row r="78" spans="1:30" x14ac:dyDescent="0.2">
      <c r="A78" s="265" t="s">
        <v>28</v>
      </c>
      <c r="B78" s="5">
        <f>output_NHTS!B289</f>
        <v>3514.6651915736743</v>
      </c>
      <c r="C78" s="5">
        <f>output_NHTS!C289</f>
        <v>48750.633969985407</v>
      </c>
      <c r="D78" s="5">
        <f>output_NHTS!D289</f>
        <v>184677.92026434586</v>
      </c>
      <c r="E78" s="5">
        <f>output_NHTS!E289</f>
        <v>78685.011249899646</v>
      </c>
      <c r="F78" s="5">
        <f>output_NHTS!F289</f>
        <v>315628.2306758046</v>
      </c>
      <c r="M78" s="265" t="s">
        <v>28</v>
      </c>
      <c r="N78" s="5">
        <f>output!B289</f>
        <v>5610</v>
      </c>
      <c r="O78" s="5">
        <f>output!C289</f>
        <v>38513</v>
      </c>
      <c r="P78" s="5">
        <f>output!D289</f>
        <v>173724</v>
      </c>
      <c r="Q78" s="5">
        <f>output!E289</f>
        <v>52557</v>
      </c>
      <c r="R78" s="5">
        <f>output!F289</f>
        <v>270404</v>
      </c>
      <c r="Y78" s="265" t="s">
        <v>28</v>
      </c>
      <c r="Z78" s="5">
        <f si="48" t="shared"/>
        <v>2095.3348084263257</v>
      </c>
      <c r="AA78" s="5">
        <f si="49" t="shared"/>
        <v>-10237.633969985407</v>
      </c>
      <c r="AB78" s="5">
        <f si="50" t="shared"/>
        <v>-10953.920264345856</v>
      </c>
      <c r="AC78" s="5">
        <f si="51" t="shared"/>
        <v>-26128.011249899646</v>
      </c>
      <c r="AD78" s="5">
        <f si="52" t="shared"/>
        <v>-45224.230675804603</v>
      </c>
    </row>
    <row r="79" spans="1:30" x14ac:dyDescent="0.2">
      <c r="A79" s="265" t="s">
        <v>29</v>
      </c>
      <c r="B79" s="5">
        <f>output_NHTS!B290</f>
        <v>9159.3926286054684</v>
      </c>
      <c r="C79" s="5">
        <f>output_NHTS!C290</f>
        <v>59480.193557843428</v>
      </c>
      <c r="D79" s="5">
        <f>output_NHTS!D290</f>
        <v>274783.41599752661</v>
      </c>
      <c r="E79" s="5">
        <f>output_NHTS!E290</f>
        <v>109472.51288769745</v>
      </c>
      <c r="F79" s="5">
        <f>output_NHTS!F290</f>
        <v>452895.51507167297</v>
      </c>
      <c r="M79" s="265" t="s">
        <v>29</v>
      </c>
      <c r="N79" s="5">
        <f>output!B290</f>
        <v>8360</v>
      </c>
      <c r="O79" s="5">
        <f>output!C290</f>
        <v>61991</v>
      </c>
      <c r="P79" s="5">
        <f>output!D290</f>
        <v>239085</v>
      </c>
      <c r="Q79" s="5">
        <f>output!E290</f>
        <v>70475</v>
      </c>
      <c r="R79" s="5">
        <f>output!F290</f>
        <v>379911</v>
      </c>
      <c r="Y79" s="265" t="s">
        <v>29</v>
      </c>
      <c r="Z79" s="5">
        <f si="48" t="shared"/>
        <v>-799.39262860546842</v>
      </c>
      <c r="AA79" s="5">
        <f si="49" t="shared"/>
        <v>2510.8064421565723</v>
      </c>
      <c r="AB79" s="5">
        <f si="50" t="shared"/>
        <v>-35698.415997526608</v>
      </c>
      <c r="AC79" s="5">
        <f si="51" t="shared"/>
        <v>-38997.512887697449</v>
      </c>
      <c r="AD79" s="5">
        <f si="52" t="shared"/>
        <v>-72984.515071672969</v>
      </c>
    </row>
    <row r="80" spans="1:30" x14ac:dyDescent="0.2">
      <c r="A80" s="6" t="s">
        <v>38</v>
      </c>
      <c r="B80" s="5">
        <f>output_NHTS!B291</f>
        <v>42314.505244131724</v>
      </c>
      <c r="C80" s="5">
        <f>output_NHTS!C291</f>
        <v>344000.62895325973</v>
      </c>
      <c r="D80" s="5">
        <f>output_NHTS!D291</f>
        <v>1244085.5665978026</v>
      </c>
      <c r="E80" s="5">
        <f>output_NHTS!E291</f>
        <v>443787.1117251807</v>
      </c>
      <c r="F80" s="5">
        <f>output_NHTS!F291</f>
        <v>2074187.8125203748</v>
      </c>
      <c r="M80" s="6" t="s">
        <v>38</v>
      </c>
      <c r="N80" s="5">
        <f>output!B291</f>
        <v>46621</v>
      </c>
      <c r="O80" s="5">
        <f>output!C291</f>
        <v>304845</v>
      </c>
      <c r="P80" s="5">
        <f>output!D291</f>
        <v>1144633</v>
      </c>
      <c r="Q80" s="5">
        <f>output!E291</f>
        <v>340646</v>
      </c>
      <c r="R80" s="5">
        <f>output!F291</f>
        <v>1836745</v>
      </c>
      <c r="Y80" s="6" t="s">
        <v>38</v>
      </c>
      <c r="Z80" s="5">
        <f si="48" t="shared"/>
        <v>4306.4947558682761</v>
      </c>
      <c r="AA80" s="5">
        <f si="49" t="shared"/>
        <v>-39155.628953259729</v>
      </c>
      <c r="AB80" s="5">
        <f si="50" t="shared"/>
        <v>-99452.566597802565</v>
      </c>
      <c r="AC80" s="5">
        <f si="51" t="shared"/>
        <v>-103141.1117251807</v>
      </c>
      <c r="AD80" s="5">
        <f si="52" t="shared"/>
        <v>-237442.81252037478</v>
      </c>
    </row>
    <row customHeight="1" ht="13.15" r="81" spans="1:30" thickBot="1" x14ac:dyDescent="0.25">
      <c r="A81" s="8" t="s">
        <v>4</v>
      </c>
      <c r="B81" s="9">
        <f>SUM(B73:B80)</f>
        <v>108358.75855037148</v>
      </c>
      <c r="C81" s="9">
        <f>SUM(C73:C80)</f>
        <v>975108.96535758907</v>
      </c>
      <c r="D81" s="9">
        <f>SUM(D73:D80)</f>
        <v>3655257.5069114645</v>
      </c>
      <c r="E81" s="9">
        <f>SUM(E73:E80)</f>
        <v>1356636.3012317349</v>
      </c>
      <c r="F81" s="9">
        <f>SUM(F73:F80)</f>
        <v>6095361.5320511591</v>
      </c>
      <c r="M81" s="8" t="s">
        <v>4</v>
      </c>
      <c r="N81" s="9">
        <f>SUM(N73:N80)</f>
        <v>118751</v>
      </c>
      <c r="O81" s="9">
        <f>SUM(O73:O80)</f>
        <v>834553</v>
      </c>
      <c r="P81" s="9">
        <f>SUM(P73:P80)</f>
        <v>3278366</v>
      </c>
      <c r="Q81" s="9">
        <f>SUM(Q73:Q80)</f>
        <v>982552</v>
      </c>
      <c r="R81" s="9">
        <f>SUM(R73:R80)</f>
        <v>5214222</v>
      </c>
      <c r="Y81" s="8" t="s">
        <v>4</v>
      </c>
      <c r="Z81" s="9">
        <f si="48" t="shared"/>
        <v>10392.24144962852</v>
      </c>
      <c r="AA81" s="9">
        <f si="49" t="shared"/>
        <v>-140555.96535758907</v>
      </c>
      <c r="AB81" s="9">
        <f si="50" t="shared"/>
        <v>-376891.5069114645</v>
      </c>
      <c r="AC81" s="9">
        <f si="51" t="shared"/>
        <v>-374084.30123173492</v>
      </c>
      <c r="AD81" s="9">
        <f si="52" t="shared"/>
        <v>-881139.53205115907</v>
      </c>
    </row>
    <row r="83" spans="1:30" x14ac:dyDescent="0.2">
      <c r="A83" s="265" t="s">
        <v>174</v>
      </c>
      <c r="B83" s="5">
        <f>ToursByTourPurpose!B84</f>
        <v>53499.322307846342</v>
      </c>
      <c r="C83" s="5">
        <f>ToursByTourPurpose!C84</f>
        <v>321887.45525557804</v>
      </c>
      <c r="D83" s="5">
        <f>ToursByTourPurpose!D84</f>
        <v>1027057.240466507</v>
      </c>
      <c r="E83" s="5">
        <f>ToursByTourPurpose!E84</f>
        <v>363776.98197006836</v>
      </c>
      <c r="F83" s="5">
        <f>ToursByTourPurpose!F84</f>
        <v>1766220.9999999998</v>
      </c>
      <c r="M83" s="265" t="s">
        <v>174</v>
      </c>
      <c r="N83" s="5">
        <f>ToursByTourPurpose!N84</f>
        <v>54596</v>
      </c>
      <c r="O83" s="5">
        <f>ToursByTourPurpose!O84</f>
        <v>318052</v>
      </c>
      <c r="P83" s="5">
        <f>ToursByTourPurpose!P84</f>
        <v>1076719</v>
      </c>
      <c r="Q83" s="5">
        <f>ToursByTourPurpose!Q84</f>
        <v>316854</v>
      </c>
      <c r="R83" s="5">
        <f>ToursByTourPurpose!R84</f>
        <v>1766221</v>
      </c>
      <c r="Y83" s="265" t="s">
        <v>174</v>
      </c>
      <c r="Z83" s="5">
        <f ref="Z83:AD84" si="53" t="shared">N83-B83</f>
        <v>1096.6776921536584</v>
      </c>
      <c r="AA83" s="5">
        <f si="53" t="shared"/>
        <v>-3835.4552555780392</v>
      </c>
      <c r="AB83" s="5">
        <f si="53" t="shared"/>
        <v>49661.759533492965</v>
      </c>
      <c r="AC83" s="5">
        <f si="53" t="shared"/>
        <v>-46922.981970068358</v>
      </c>
      <c r="AD83" s="5">
        <f si="53" t="shared"/>
        <v>0</v>
      </c>
    </row>
    <row r="84" spans="1:30" x14ac:dyDescent="0.2">
      <c r="A84" s="265" t="s">
        <v>207</v>
      </c>
      <c r="B84" s="219">
        <f>B81/B83</f>
        <v>2.025423012404763</v>
      </c>
      <c r="C84" s="219">
        <f>C81/C83</f>
        <v>3.0293475232930538</v>
      </c>
      <c r="D84" s="219">
        <f>D81/D83</f>
        <v>3.5589618211066636</v>
      </c>
      <c r="E84" s="219">
        <f>E81/E83</f>
        <v>3.7293077035406248</v>
      </c>
      <c r="F84" s="219">
        <f>F81/F83</f>
        <v>3.4510752233447342</v>
      </c>
      <c r="M84" s="265" t="s">
        <v>207</v>
      </c>
      <c r="N84" s="219">
        <f>N81/N83</f>
        <v>2.1750860868928128</v>
      </c>
      <c r="O84" s="219">
        <f>O81/O83</f>
        <v>2.6239514293260222</v>
      </c>
      <c r="P84" s="219">
        <f>P81/P83</f>
        <v>3.044773984670095</v>
      </c>
      <c r="Q84" s="219">
        <f>Q81/Q83</f>
        <v>3.1009613260365971</v>
      </c>
      <c r="R84" s="219">
        <f>R81/R83</f>
        <v>2.9521911470874822</v>
      </c>
      <c r="Y84" s="265" t="s">
        <v>207</v>
      </c>
      <c r="Z84" s="219">
        <f si="53" t="shared"/>
        <v>0.14966307448804983</v>
      </c>
      <c r="AA84" s="219">
        <f si="53" t="shared"/>
        <v>-0.40539609396703158</v>
      </c>
      <c r="AB84" s="219">
        <f si="53" t="shared"/>
        <v>-0.51418783643656862</v>
      </c>
      <c r="AC84" s="219">
        <f si="53" t="shared"/>
        <v>-0.62834637750402766</v>
      </c>
      <c r="AD84" s="219">
        <f si="53" t="shared"/>
        <v>-0.49888407625725195</v>
      </c>
    </row>
    <row customHeight="1" ht="13.15" r="86" spans="1:30" x14ac:dyDescent="0.2">
      <c r="A86" s="264" t="s">
        <v>41</v>
      </c>
      <c r="M86" s="264" t="s">
        <v>41</v>
      </c>
      <c r="Y86" s="264" t="s">
        <v>41</v>
      </c>
    </row>
    <row customHeight="1" ht="13.15" r="87" spans="1:30" x14ac:dyDescent="0.2">
      <c r="A87" s="264" t="s">
        <v>220</v>
      </c>
      <c r="M87" s="264" t="s">
        <v>221</v>
      </c>
      <c r="Y87" s="266" t="s">
        <v>222</v>
      </c>
      <c r="Z87" s="267"/>
      <c r="AA87" s="267"/>
      <c r="AB87" s="267"/>
    </row>
    <row customHeight="1" ht="13.15" r="88" spans="1:30" thickBot="1" x14ac:dyDescent="0.25">
      <c r="B88" s="13"/>
      <c r="C88" s="13"/>
      <c r="D88" s="13"/>
      <c r="E88" s="13"/>
      <c r="F88" s="13"/>
      <c r="N88" s="13"/>
      <c r="O88" s="13"/>
      <c r="P88" s="13"/>
      <c r="Q88" s="13"/>
      <c r="R88" s="13"/>
      <c r="Z88" s="13"/>
      <c r="AA88" s="13"/>
      <c r="AB88" s="13"/>
      <c r="AC88" s="13"/>
      <c r="AD88" s="13"/>
    </row>
    <row customHeight="1" ht="13.15" r="89" spans="1:30" x14ac:dyDescent="0.2">
      <c r="A89" s="3" t="s">
        <v>37</v>
      </c>
      <c r="B89" s="4" t="s">
        <v>193</v>
      </c>
      <c r="C89" s="4" t="s">
        <v>194</v>
      </c>
      <c r="D89" s="4" t="s">
        <v>195</v>
      </c>
      <c r="E89" s="4" t="s">
        <v>196</v>
      </c>
      <c r="F89" s="4" t="s">
        <v>4</v>
      </c>
      <c r="M89" s="3" t="s">
        <v>37</v>
      </c>
      <c r="N89" s="4" t="s">
        <v>193</v>
      </c>
      <c r="O89" s="4" t="s">
        <v>194</v>
      </c>
      <c r="P89" s="4" t="s">
        <v>195</v>
      </c>
      <c r="Q89" s="4" t="s">
        <v>196</v>
      </c>
      <c r="R89" s="4" t="s">
        <v>4</v>
      </c>
      <c r="Y89" s="3" t="s">
        <v>37</v>
      </c>
      <c r="Z89" s="4" t="s">
        <v>193</v>
      </c>
      <c r="AA89" s="4" t="s">
        <v>194</v>
      </c>
      <c r="AB89" s="4" t="s">
        <v>195</v>
      </c>
      <c r="AC89" s="4" t="s">
        <v>196</v>
      </c>
      <c r="AD89" s="4" t="s">
        <v>4</v>
      </c>
    </row>
    <row r="90" spans="1:30" x14ac:dyDescent="0.2">
      <c r="A90" s="265" t="s">
        <v>23</v>
      </c>
      <c r="B90" s="10">
        <f ref="B90:F98" si="54" t="shared">B73/B$81</f>
        <v>9.7024319616378252E-2</v>
      </c>
      <c r="C90" s="10">
        <f si="54" t="shared"/>
        <v>0.16067117227198405</v>
      </c>
      <c r="D90" s="10">
        <f si="54" t="shared"/>
        <v>0.18410945645554952</v>
      </c>
      <c r="E90" s="10">
        <f si="54" t="shared"/>
        <v>0.19260063748847217</v>
      </c>
      <c r="F90" s="10">
        <f si="54" t="shared"/>
        <v>0.18070163990237911</v>
      </c>
      <c r="M90" s="265" t="s">
        <v>23</v>
      </c>
      <c r="N90" s="10">
        <f ref="N90:R98" si="55" t="shared">N73/N$81</f>
        <v>6.6163653358708552E-2</v>
      </c>
      <c r="O90" s="10">
        <f si="55" t="shared"/>
        <v>0.14321079667798212</v>
      </c>
      <c r="P90" s="10">
        <f si="55" t="shared"/>
        <v>0.18485184387588208</v>
      </c>
      <c r="Q90" s="10">
        <f si="55" t="shared"/>
        <v>0.20004640975744795</v>
      </c>
      <c r="R90" s="10">
        <f si="55" t="shared"/>
        <v>0.17834722035233636</v>
      </c>
      <c r="Y90" s="265" t="s">
        <v>23</v>
      </c>
      <c r="Z90" s="10">
        <f ref="Z90:Z98" si="56" t="shared">N90-B90</f>
        <v>-3.08606662576697E-2</v>
      </c>
      <c r="AA90" s="10">
        <f ref="AA90:AA98" si="57" t="shared">O90-C90</f>
        <v>-1.7460375594001931E-2</v>
      </c>
      <c r="AB90" s="10">
        <f ref="AB90:AB98" si="58" t="shared">P90-D90</f>
        <v>7.4238742033255756E-4</v>
      </c>
      <c r="AC90" s="10">
        <f ref="AC90:AC98" si="59" t="shared">Q90-E90</f>
        <v>7.4457722689757755E-3</v>
      </c>
      <c r="AD90" s="10">
        <f ref="AD90:AD98" si="60" t="shared">R90-F90</f>
        <v>-2.3544195500427578E-3</v>
      </c>
    </row>
    <row r="91" spans="1:30" x14ac:dyDescent="0.2">
      <c r="A91" s="265" t="s">
        <v>24</v>
      </c>
      <c r="B91" s="10">
        <f si="54" t="shared"/>
        <v>6.3494011482857327E-2</v>
      </c>
      <c r="C91" s="10">
        <f si="54" t="shared"/>
        <v>6.2995898766931804E-2</v>
      </c>
      <c r="D91" s="10">
        <f si="54" t="shared"/>
        <v>4.5547014326100199E-2</v>
      </c>
      <c r="E91" s="10">
        <f si="54" t="shared"/>
        <v>4.099664888372425E-2</v>
      </c>
      <c r="F91" s="10">
        <f si="54" t="shared"/>
        <v>4.764468925073366E-2</v>
      </c>
      <c r="M91" s="265" t="s">
        <v>24</v>
      </c>
      <c r="N91" s="10">
        <f si="55" t="shared"/>
        <v>5.2083771926131145E-2</v>
      </c>
      <c r="O91" s="10">
        <f si="55" t="shared"/>
        <v>5.7387607497666415E-2</v>
      </c>
      <c r="P91" s="10">
        <f si="55" t="shared"/>
        <v>4.5902135393058617E-2</v>
      </c>
      <c r="Q91" s="10">
        <f si="55" t="shared"/>
        <v>4.3284223125086507E-2</v>
      </c>
      <c r="R91" s="10">
        <f si="55" t="shared"/>
        <v>4.7387894109610217E-2</v>
      </c>
      <c r="Y91" s="265" t="s">
        <v>24</v>
      </c>
      <c r="Z91" s="10">
        <f si="56" t="shared"/>
        <v>-1.1410239556726182E-2</v>
      </c>
      <c r="AA91" s="10">
        <f si="57" t="shared"/>
        <v>-5.6082912692653891E-3</v>
      </c>
      <c r="AB91" s="10">
        <f si="58" t="shared"/>
        <v>3.5512106695841789E-4</v>
      </c>
      <c r="AC91" s="10">
        <f si="59" t="shared"/>
        <v>2.2875742413622571E-3</v>
      </c>
      <c r="AD91" s="10">
        <f si="60" t="shared"/>
        <v>-2.5679514112344343E-4</v>
      </c>
    </row>
    <row r="92" spans="1:30" x14ac:dyDescent="0.2">
      <c r="A92" s="265" t="s">
        <v>25</v>
      </c>
      <c r="B92" s="10">
        <f si="54" t="shared"/>
        <v>1.8185563595320919E-2</v>
      </c>
      <c r="C92" s="10">
        <f si="54" t="shared"/>
        <v>8.6975554416234044E-2</v>
      </c>
      <c r="D92" s="10">
        <f si="54" t="shared"/>
        <v>8.2256254878004489E-2</v>
      </c>
      <c r="E92" s="10">
        <f si="54" t="shared"/>
        <v>8.576032592660339E-2</v>
      </c>
      <c r="F92" s="10">
        <f si="54" t="shared"/>
        <v>8.2652123227571012E-2</v>
      </c>
      <c r="M92" s="265" t="s">
        <v>25</v>
      </c>
      <c r="N92" s="10">
        <f si="55" t="shared"/>
        <v>9.9872843176057463E-2</v>
      </c>
      <c r="O92" s="10">
        <f si="55" t="shared"/>
        <v>9.1580762396156978E-2</v>
      </c>
      <c r="P92" s="10">
        <f si="55" t="shared"/>
        <v>7.9118072844825749E-2</v>
      </c>
      <c r="Q92" s="10">
        <f si="55" t="shared"/>
        <v>7.6690088667062908E-2</v>
      </c>
      <c r="R92" s="10">
        <f si="55" t="shared"/>
        <v>8.1127922823385726E-2</v>
      </c>
      <c r="Y92" s="265" t="s">
        <v>25</v>
      </c>
      <c r="Z92" s="10">
        <f si="56" t="shared"/>
        <v>8.1687279580736544E-2</v>
      </c>
      <c r="AA92" s="10">
        <f si="57" t="shared"/>
        <v>4.6052079799229345E-3</v>
      </c>
      <c r="AB92" s="10">
        <f si="58" t="shared"/>
        <v>-3.1381820331787408E-3</v>
      </c>
      <c r="AC92" s="10">
        <f si="59" t="shared"/>
        <v>-9.0702372595404812E-3</v>
      </c>
      <c r="AD92" s="10">
        <f si="60" t="shared"/>
        <v>-1.5242004041852858E-3</v>
      </c>
    </row>
    <row r="93" spans="1:30" x14ac:dyDescent="0.2">
      <c r="A93" s="265" t="s">
        <v>26</v>
      </c>
      <c r="B93" s="10">
        <f si="54" t="shared"/>
        <v>0.18063689552060033</v>
      </c>
      <c r="C93" s="10">
        <f si="54" t="shared"/>
        <v>0.11789182837077157</v>
      </c>
      <c r="D93" s="10">
        <f si="54" t="shared"/>
        <v>0.13204225471554329</v>
      </c>
      <c r="E93" s="10">
        <f si="54" t="shared"/>
        <v>0.137303217165191</v>
      </c>
      <c r="F93" s="10">
        <f si="54" t="shared"/>
        <v>0.13181333638204731</v>
      </c>
      <c r="M93" s="265" t="s">
        <v>26</v>
      </c>
      <c r="N93" s="10">
        <f si="55" t="shared"/>
        <v>0.15956076159358659</v>
      </c>
      <c r="O93" s="10">
        <f si="55" t="shared"/>
        <v>0.13626576143156877</v>
      </c>
      <c r="P93" s="10">
        <f si="55" t="shared"/>
        <v>0.13167169254439559</v>
      </c>
      <c r="Q93" s="10">
        <f si="55" t="shared"/>
        <v>0.12772046670303455</v>
      </c>
      <c r="R93" s="10">
        <f si="55" t="shared"/>
        <v>0.13229758917054166</v>
      </c>
      <c r="Y93" s="265" t="s">
        <v>26</v>
      </c>
      <c r="Z93" s="10">
        <f si="56" t="shared"/>
        <v>-2.107613392701374E-2</v>
      </c>
      <c r="AA93" s="10">
        <f si="57" t="shared"/>
        <v>1.8373933060797196E-2</v>
      </c>
      <c r="AB93" s="10">
        <f si="58" t="shared"/>
        <v>-3.7056217114769807E-4</v>
      </c>
      <c r="AC93" s="10">
        <f si="59" t="shared"/>
        <v>-9.582750462156453E-3</v>
      </c>
      <c r="AD93" s="10">
        <f si="60" t="shared"/>
        <v>4.8425278849434372E-4</v>
      </c>
    </row>
    <row r="94" spans="1:30" x14ac:dyDescent="0.2">
      <c r="A94" s="265" t="s">
        <v>27</v>
      </c>
      <c r="B94" s="10">
        <f si="54" t="shared"/>
        <v>0.13319157357388597</v>
      </c>
      <c r="C94" s="10">
        <f si="54" t="shared"/>
        <v>0.10769024254404</v>
      </c>
      <c r="D94" s="10">
        <f si="54" t="shared"/>
        <v>8.9991150741813922E-2</v>
      </c>
      <c r="E94" s="10">
        <f si="54" t="shared"/>
        <v>7.7521887533177639E-2</v>
      </c>
      <c r="F94" s="10">
        <f si="54" t="shared"/>
        <v>9.0815290891189518E-2</v>
      </c>
      <c r="M94" s="265" t="s">
        <v>27</v>
      </c>
      <c r="N94" s="10">
        <f si="55" t="shared"/>
        <v>0.11208326666722807</v>
      </c>
      <c r="O94" s="10">
        <f si="55" t="shared"/>
        <v>8.5847154105251552E-2</v>
      </c>
      <c r="P94" s="10">
        <f si="55" t="shared"/>
        <v>8.3389713046072345E-2</v>
      </c>
      <c r="Q94" s="10">
        <f si="55" t="shared"/>
        <v>8.0346892581766666E-2</v>
      </c>
      <c r="R94" s="10">
        <f si="55" t="shared"/>
        <v>8.386313432761397E-2</v>
      </c>
      <c r="Y94" s="265" t="s">
        <v>27</v>
      </c>
      <c r="Z94" s="10">
        <f si="56" t="shared"/>
        <v>-2.1108306906657909E-2</v>
      </c>
      <c r="AA94" s="10">
        <f si="57" t="shared"/>
        <v>-2.1843088438788447E-2</v>
      </c>
      <c r="AB94" s="10">
        <f si="58" t="shared"/>
        <v>-6.6014376957415771E-3</v>
      </c>
      <c r="AC94" s="10">
        <f si="59" t="shared"/>
        <v>2.8250050485890271E-3</v>
      </c>
      <c r="AD94" s="10">
        <f si="60" t="shared"/>
        <v>-6.9521565635755483E-3</v>
      </c>
    </row>
    <row r="95" spans="1:30" x14ac:dyDescent="0.2">
      <c r="A95" s="265" t="s">
        <v>28</v>
      </c>
      <c r="B95" s="10">
        <f si="54" t="shared"/>
        <v>3.2435450891031135E-2</v>
      </c>
      <c r="C95" s="10">
        <f si="54" t="shared"/>
        <v>4.9995062810347268E-2</v>
      </c>
      <c r="D95" s="10">
        <f si="54" t="shared"/>
        <v>5.0523915186591259E-2</v>
      </c>
      <c r="E95" s="10">
        <f si="54" t="shared"/>
        <v>5.8000077971125295E-2</v>
      </c>
      <c r="F95" s="10">
        <f si="54" t="shared"/>
        <v>5.1781707945647001E-2</v>
      </c>
      <c r="M95" s="265" t="s">
        <v>28</v>
      </c>
      <c r="N95" s="10">
        <f si="55" t="shared"/>
        <v>4.724170743825315E-2</v>
      </c>
      <c r="O95" s="10">
        <f si="55" t="shared"/>
        <v>4.6148057702746263E-2</v>
      </c>
      <c r="P95" s="10">
        <f si="55" t="shared"/>
        <v>5.2991032727889444E-2</v>
      </c>
      <c r="Q95" s="10">
        <f si="55" t="shared"/>
        <v>5.3490298732280839E-2</v>
      </c>
      <c r="R95" s="10">
        <f si="55" t="shared"/>
        <v>5.185893504342546E-2</v>
      </c>
      <c r="Y95" s="265" t="s">
        <v>28</v>
      </c>
      <c r="Z95" s="10">
        <f si="56" t="shared"/>
        <v>1.4806256547222015E-2</v>
      </c>
      <c r="AA95" s="10">
        <f si="57" t="shared"/>
        <v>-3.8470051076010051E-3</v>
      </c>
      <c r="AB95" s="10">
        <f si="58" t="shared"/>
        <v>2.4671175412981847E-3</v>
      </c>
      <c r="AC95" s="10">
        <f si="59" t="shared"/>
        <v>-4.5097792388444566E-3</v>
      </c>
      <c r="AD95" s="10">
        <f si="60" t="shared"/>
        <v>7.7227097778458098E-5</v>
      </c>
    </row>
    <row r="96" spans="1:30" x14ac:dyDescent="0.2">
      <c r="A96" s="265" t="s">
        <v>29</v>
      </c>
      <c r="B96" s="10">
        <f si="54" t="shared"/>
        <v>8.4528401313749349E-2</v>
      </c>
      <c r="C96" s="10">
        <f si="54" t="shared"/>
        <v>6.0998509572754288E-2</v>
      </c>
      <c r="D96" s="10">
        <f si="54" t="shared"/>
        <v>7.5174844857840609E-2</v>
      </c>
      <c r="E96" s="10">
        <f si="54" t="shared"/>
        <v>8.0694076067626769E-2</v>
      </c>
      <c r="F96" s="10">
        <f si="54" t="shared"/>
        <v>7.4301665732248764E-2</v>
      </c>
      <c r="M96" s="265" t="s">
        <v>29</v>
      </c>
      <c r="N96" s="10">
        <f si="55" t="shared"/>
        <v>7.0399407162887048E-2</v>
      </c>
      <c r="O96" s="10">
        <f si="55" t="shared"/>
        <v>7.4280483084956855E-2</v>
      </c>
      <c r="P96" s="10">
        <f si="55" t="shared"/>
        <v>7.2928098937092442E-2</v>
      </c>
      <c r="Q96" s="10">
        <f si="55" t="shared"/>
        <v>7.1726483687377357E-2</v>
      </c>
      <c r="R96" s="10">
        <f si="55" t="shared"/>
        <v>7.2860534131458154E-2</v>
      </c>
      <c r="Y96" s="265" t="s">
        <v>29</v>
      </c>
      <c r="Z96" s="10">
        <f si="56" t="shared"/>
        <v>-1.4128994150862301E-2</v>
      </c>
      <c r="AA96" s="10">
        <f si="57" t="shared"/>
        <v>1.3281973512202568E-2</v>
      </c>
      <c r="AB96" s="10">
        <f si="58" t="shared"/>
        <v>-2.2467459207481666E-3</v>
      </c>
      <c r="AC96" s="10">
        <f si="59" t="shared"/>
        <v>-8.9675923802494117E-3</v>
      </c>
      <c r="AD96" s="10">
        <f si="60" t="shared"/>
        <v>-1.44113160079061E-3</v>
      </c>
    </row>
    <row r="97" spans="1:36" x14ac:dyDescent="0.2">
      <c r="A97" s="6" t="s">
        <v>38</v>
      </c>
      <c r="B97" s="11">
        <f si="54" t="shared"/>
        <v>0.39050378400617675</v>
      </c>
      <c r="C97" s="11">
        <f si="54" t="shared"/>
        <v>0.35278173124693696</v>
      </c>
      <c r="D97" s="11">
        <f si="54" t="shared"/>
        <v>0.34035510883855663</v>
      </c>
      <c r="E97" s="11">
        <f si="54" t="shared"/>
        <v>0.32712312896407958</v>
      </c>
      <c r="F97" s="11">
        <f si="54" t="shared"/>
        <v>0.34028954666818373</v>
      </c>
      <c r="M97" s="6" t="s">
        <v>38</v>
      </c>
      <c r="N97" s="11">
        <f si="55" t="shared"/>
        <v>0.39259458867714797</v>
      </c>
      <c r="O97" s="11">
        <f si="55" t="shared"/>
        <v>0.36527937710367109</v>
      </c>
      <c r="P97" s="11">
        <f si="55" t="shared"/>
        <v>0.34914741063078375</v>
      </c>
      <c r="Q97" s="11">
        <f si="55" t="shared"/>
        <v>0.34669513674594321</v>
      </c>
      <c r="R97" s="11">
        <f si="55" t="shared"/>
        <v>0.35225677004162848</v>
      </c>
      <c r="Y97" s="6" t="s">
        <v>38</v>
      </c>
      <c r="Z97" s="10">
        <f si="56" t="shared"/>
        <v>2.0908046709712247E-3</v>
      </c>
      <c r="AA97" s="10">
        <f si="57" t="shared"/>
        <v>1.249764585673413E-2</v>
      </c>
      <c r="AB97" s="10">
        <f si="58" t="shared"/>
        <v>8.7923017922271196E-3</v>
      </c>
      <c r="AC97" s="10">
        <f si="59" t="shared"/>
        <v>1.9572007781863632E-2</v>
      </c>
      <c r="AD97" s="10">
        <f si="60" t="shared"/>
        <v>1.1967223373444746E-2</v>
      </c>
    </row>
    <row customHeight="1" ht="13.15" r="98" spans="1:36" thickBot="1" x14ac:dyDescent="0.25">
      <c r="A98" s="8" t="s">
        <v>4</v>
      </c>
      <c r="B98" s="12">
        <f si="54" t="shared"/>
        <v>1</v>
      </c>
      <c r="C98" s="12">
        <f si="54" t="shared"/>
        <v>1</v>
      </c>
      <c r="D98" s="12">
        <f si="54" t="shared"/>
        <v>1</v>
      </c>
      <c r="E98" s="12">
        <f si="54" t="shared"/>
        <v>1</v>
      </c>
      <c r="F98" s="12">
        <f si="54" t="shared"/>
        <v>1</v>
      </c>
      <c r="M98" s="8" t="s">
        <v>4</v>
      </c>
      <c r="N98" s="12">
        <f si="55" t="shared"/>
        <v>1</v>
      </c>
      <c r="O98" s="12">
        <f si="55" t="shared"/>
        <v>1</v>
      </c>
      <c r="P98" s="12">
        <f si="55" t="shared"/>
        <v>1</v>
      </c>
      <c r="Q98" s="12">
        <f si="55" t="shared"/>
        <v>1</v>
      </c>
      <c r="R98" s="12">
        <f si="55" t="shared"/>
        <v>1</v>
      </c>
      <c r="Y98" s="8" t="s">
        <v>4</v>
      </c>
      <c r="Z98" s="12">
        <f si="56" t="shared"/>
        <v>0</v>
      </c>
      <c r="AA98" s="12">
        <f si="57" t="shared"/>
        <v>0</v>
      </c>
      <c r="AB98" s="12">
        <f si="58" t="shared"/>
        <v>0</v>
      </c>
      <c r="AC98" s="12">
        <f si="59" t="shared"/>
        <v>0</v>
      </c>
      <c r="AD98" s="12">
        <f si="60" t="shared"/>
        <v>0</v>
      </c>
    </row>
    <row customHeight="1" ht="13.15" r="103" spans="1:36" x14ac:dyDescent="0.2">
      <c r="A103" s="264" t="s">
        <v>41</v>
      </c>
      <c r="M103" s="264" t="s">
        <v>41</v>
      </c>
      <c r="Y103" s="264" t="s">
        <v>41</v>
      </c>
    </row>
    <row customHeight="1" ht="13.15" r="104" spans="1:36" x14ac:dyDescent="0.2">
      <c r="A104" s="264" t="s">
        <v>223</v>
      </c>
      <c r="M104" s="264" t="s">
        <v>224</v>
      </c>
      <c r="Y104" s="266" t="s">
        <v>225</v>
      </c>
      <c r="Z104" s="267"/>
      <c r="AA104" s="267"/>
    </row>
    <row customHeight="1" ht="13.15" r="105" spans="1:36" thickBot="1" x14ac:dyDescent="0.25">
      <c r="B105" s="13"/>
      <c r="C105" s="13"/>
      <c r="D105" s="13"/>
      <c r="E105" s="13"/>
      <c r="F105" s="13"/>
      <c r="N105" s="13"/>
      <c r="O105" s="13"/>
      <c r="P105" s="13"/>
      <c r="Q105" s="13"/>
      <c r="R105" s="13"/>
      <c r="Z105" s="13"/>
      <c r="AA105" s="13"/>
      <c r="AB105" s="13"/>
      <c r="AC105" s="13"/>
      <c r="AD105" s="13"/>
    </row>
    <row customHeight="1" ht="13.15" r="106" spans="1:36" x14ac:dyDescent="0.2">
      <c r="A106" s="3" t="s">
        <v>37</v>
      </c>
      <c r="B106" s="89">
        <v>1</v>
      </c>
      <c r="C106" s="89">
        <v>2</v>
      </c>
      <c r="D106" s="89">
        <v>3</v>
      </c>
      <c r="E106" s="89">
        <v>4</v>
      </c>
      <c r="F106" s="89">
        <v>5</v>
      </c>
      <c r="G106" s="89">
        <v>6</v>
      </c>
      <c r="H106" s="4">
        <v>7</v>
      </c>
      <c r="I106" s="4">
        <v>8</v>
      </c>
      <c r="J106" s="4">
        <v>9</v>
      </c>
      <c r="K106" s="4">
        <v>10</v>
      </c>
      <c r="L106" s="4" t="s">
        <v>4</v>
      </c>
      <c r="M106" s="3" t="s">
        <v>37</v>
      </c>
      <c r="N106" s="4">
        <f ref="N106:W106" si="61" t="shared">B106</f>
        <v>1</v>
      </c>
      <c r="O106" s="4">
        <f si="61" t="shared"/>
        <v>2</v>
      </c>
      <c r="P106" s="4">
        <f si="61" t="shared"/>
        <v>3</v>
      </c>
      <c r="Q106" s="4">
        <f si="61" t="shared"/>
        <v>4</v>
      </c>
      <c r="R106" s="4">
        <f si="61" t="shared"/>
        <v>5</v>
      </c>
      <c r="S106" s="4">
        <f si="61" t="shared"/>
        <v>6</v>
      </c>
      <c r="T106" s="4">
        <f si="61" t="shared"/>
        <v>7</v>
      </c>
      <c r="U106" s="4">
        <f si="61" t="shared"/>
        <v>8</v>
      </c>
      <c r="V106" s="4">
        <f si="61" t="shared"/>
        <v>9</v>
      </c>
      <c r="W106" s="4">
        <f si="61" t="shared"/>
        <v>10</v>
      </c>
      <c r="X106" s="4" t="s">
        <v>4</v>
      </c>
      <c r="Y106" s="3" t="s">
        <v>37</v>
      </c>
      <c r="Z106" s="4">
        <f ref="Z106:AI106" si="62" t="shared">B106</f>
        <v>1</v>
      </c>
      <c r="AA106" s="4">
        <f si="62" t="shared"/>
        <v>2</v>
      </c>
      <c r="AB106" s="4">
        <f si="62" t="shared"/>
        <v>3</v>
      </c>
      <c r="AC106" s="4">
        <f si="62" t="shared"/>
        <v>4</v>
      </c>
      <c r="AD106" s="4">
        <f si="62" t="shared"/>
        <v>5</v>
      </c>
      <c r="AE106" s="4">
        <f si="62" t="shared"/>
        <v>6</v>
      </c>
      <c r="AF106" s="4">
        <f si="62" t="shared"/>
        <v>7</v>
      </c>
      <c r="AG106" s="4">
        <f si="62" t="shared"/>
        <v>8</v>
      </c>
      <c r="AH106" s="4">
        <f si="62" t="shared"/>
        <v>9</v>
      </c>
      <c r="AI106" s="4">
        <f si="62" t="shared"/>
        <v>10</v>
      </c>
      <c r="AJ106" s="4" t="s">
        <v>4</v>
      </c>
    </row>
    <row r="107" spans="1:36" x14ac:dyDescent="0.2">
      <c r="A107" s="265" t="s">
        <v>23</v>
      </c>
      <c r="B107" s="5">
        <f>output_NHTS!B295</f>
        <v>511207.12004111335</v>
      </c>
      <c r="C107" s="5">
        <f>output_NHTS!C295</f>
        <v>49866.133622168862</v>
      </c>
      <c r="D107" s="5">
        <f>output_NHTS!D295</f>
        <v>38324.46293587421</v>
      </c>
      <c r="E107" s="5">
        <f>output_NHTS!E295</f>
        <v>189088.05129381493</v>
      </c>
      <c r="F107" s="5">
        <f>output_NHTS!F295</f>
        <v>94958.901783980909</v>
      </c>
      <c r="G107" s="5">
        <f>output_NHTS!G295</f>
        <v>127646.22240651889</v>
      </c>
      <c r="H107" s="5">
        <f>output_NHTS!H295</f>
        <v>70670.26383603226</v>
      </c>
      <c r="I107" s="5">
        <f>output_NHTS!I295</f>
        <v>0</v>
      </c>
      <c r="J107" s="5">
        <f>output_NHTS!J295</f>
        <v>0</v>
      </c>
      <c r="K107" s="5">
        <f>output_NHTS!K295</f>
        <v>0</v>
      </c>
      <c r="L107" s="5">
        <f ref="L107:L114" si="63" t="shared">SUM(B107:K107)</f>
        <v>1081761.1559195034</v>
      </c>
      <c r="M107" s="265" t="s">
        <v>23</v>
      </c>
      <c r="N107" s="5">
        <f>output!B295</f>
        <v>427684</v>
      </c>
      <c r="O107" s="5">
        <f>output!C295</f>
        <v>44628</v>
      </c>
      <c r="P107" s="5">
        <f>output!D295</f>
        <v>28423</v>
      </c>
      <c r="Q107" s="5">
        <f>output!E295</f>
        <v>164638</v>
      </c>
      <c r="R107" s="5">
        <f>output!F295</f>
        <v>86207</v>
      </c>
      <c r="S107" s="5">
        <f>output!G295</f>
        <v>113062</v>
      </c>
      <c r="T107" s="5">
        <f>output!H295</f>
        <v>65300</v>
      </c>
      <c r="U107" s="5">
        <f>output!I295</f>
        <v>0</v>
      </c>
      <c r="V107" s="5">
        <f>output!J295</f>
        <v>0</v>
      </c>
      <c r="W107" s="5">
        <f>output!K295</f>
        <v>0</v>
      </c>
      <c r="X107" s="5">
        <f ref="X107:X114" si="64" t="shared">SUM(N107:W107)</f>
        <v>929942</v>
      </c>
      <c r="Y107" s="265" t="s">
        <v>23</v>
      </c>
      <c r="Z107" s="5">
        <f ref="Z107:Z115" si="65" t="shared">N107-B107</f>
        <v>-83523.120041113347</v>
      </c>
      <c r="AA107" s="5">
        <f ref="AA107:AA115" si="66" t="shared">O107-C107</f>
        <v>-5238.1336221688616</v>
      </c>
      <c r="AB107" s="5">
        <f ref="AB107:AB115" si="67" t="shared">P107-D107</f>
        <v>-9901.4629358742095</v>
      </c>
      <c r="AC107" s="5">
        <f ref="AC107:AC115" si="68" t="shared">Q107-E107</f>
        <v>-24450.051293814933</v>
      </c>
      <c r="AD107" s="5">
        <f ref="AD107:AD115" si="69" t="shared">R107-F107</f>
        <v>-8751.9017839809094</v>
      </c>
      <c r="AE107" s="5">
        <f ref="AE107:AE115" si="70" t="shared">S107-G107</f>
        <v>-14584.222406518893</v>
      </c>
      <c r="AF107" s="5">
        <f ref="AF107:AF115" si="71" t="shared">T107-H107</f>
        <v>-5370.2638360322599</v>
      </c>
      <c r="AG107" s="5">
        <f ref="AG107:AG115" si="72" t="shared">U107-I107</f>
        <v>0</v>
      </c>
      <c r="AH107" s="5">
        <f ref="AH107:AH115" si="73" t="shared">V107-J107</f>
        <v>0</v>
      </c>
      <c r="AI107" s="5">
        <f ref="AI107:AI115" si="74" t="shared">W107-K107</f>
        <v>0</v>
      </c>
      <c r="AJ107" s="5">
        <f ref="AJ107:AJ115" si="75" t="shared">X107-L107</f>
        <v>-151819.15591950342</v>
      </c>
    </row>
    <row r="108" spans="1:36" x14ac:dyDescent="0.2">
      <c r="A108" s="265" t="s">
        <v>24</v>
      </c>
      <c r="B108" s="5">
        <f>output_NHTS!B296</f>
        <v>99751.093498743125</v>
      </c>
      <c r="C108" s="5">
        <f>output_NHTS!C296</f>
        <v>17254.657702442193</v>
      </c>
      <c r="D108" s="5">
        <f>output_NHTS!D296</f>
        <v>11011.913442845032</v>
      </c>
      <c r="E108" s="5">
        <f>output_NHTS!E296</f>
        <v>60945.500702517245</v>
      </c>
      <c r="F108" s="5">
        <f>output_NHTS!F296</f>
        <v>25948.431493180473</v>
      </c>
      <c r="G108" s="5">
        <f>output_NHTS!G296</f>
        <v>51486.043063312405</v>
      </c>
      <c r="H108" s="5">
        <f>output_NHTS!H296</f>
        <v>22099.895982811195</v>
      </c>
      <c r="I108" s="5">
        <f>output_NHTS!I296</f>
        <v>0</v>
      </c>
      <c r="J108" s="5">
        <f>output_NHTS!J296</f>
        <v>0</v>
      </c>
      <c r="K108" s="5">
        <f>output_NHTS!K296</f>
        <v>0</v>
      </c>
      <c r="L108" s="5">
        <f si="63" t="shared"/>
        <v>288497.53588585166</v>
      </c>
      <c r="M108" s="265" t="s">
        <v>24</v>
      </c>
      <c r="N108" s="5">
        <f>output!B296</f>
        <v>80743</v>
      </c>
      <c r="O108" s="5">
        <f>output!C296</f>
        <v>14706</v>
      </c>
      <c r="P108" s="5">
        <f>output!D296</f>
        <v>9812</v>
      </c>
      <c r="Q108" s="5">
        <f>output!E296</f>
        <v>51129</v>
      </c>
      <c r="R108" s="5">
        <f>output!F296</f>
        <v>27001</v>
      </c>
      <c r="S108" s="5">
        <f>output!G296</f>
        <v>41899</v>
      </c>
      <c r="T108" s="5">
        <f>output!H296</f>
        <v>21801</v>
      </c>
      <c r="U108" s="5">
        <f>output!I296</f>
        <v>0</v>
      </c>
      <c r="V108" s="5">
        <f>output!J296</f>
        <v>0</v>
      </c>
      <c r="W108" s="5">
        <f>output!K296</f>
        <v>0</v>
      </c>
      <c r="X108" s="5">
        <f si="64" t="shared"/>
        <v>247091</v>
      </c>
      <c r="Y108" s="265" t="s">
        <v>24</v>
      </c>
      <c r="Z108" s="5">
        <f si="65" t="shared"/>
        <v>-19008.093498743125</v>
      </c>
      <c r="AA108" s="5">
        <f si="66" t="shared"/>
        <v>-2548.6577024421931</v>
      </c>
      <c r="AB108" s="5">
        <f si="67" t="shared"/>
        <v>-1199.9134428450325</v>
      </c>
      <c r="AC108" s="5">
        <f si="68" t="shared"/>
        <v>-9816.5007025172454</v>
      </c>
      <c r="AD108" s="5">
        <f si="69" t="shared"/>
        <v>1052.5685068195271</v>
      </c>
      <c r="AE108" s="5">
        <f si="70" t="shared"/>
        <v>-9587.0430633124051</v>
      </c>
      <c r="AF108" s="5">
        <f si="71" t="shared"/>
        <v>-298.8959828111947</v>
      </c>
      <c r="AG108" s="5">
        <f si="72" t="shared"/>
        <v>0</v>
      </c>
      <c r="AH108" s="5">
        <f si="73" t="shared"/>
        <v>0</v>
      </c>
      <c r="AI108" s="5">
        <f si="74" t="shared"/>
        <v>0</v>
      </c>
      <c r="AJ108" s="5">
        <f si="75" t="shared"/>
        <v>-41406.535885851656</v>
      </c>
    </row>
    <row r="109" spans="1:36" x14ac:dyDescent="0.2">
      <c r="A109" s="265" t="s">
        <v>25</v>
      </c>
      <c r="B109" s="5">
        <f>output_NHTS!B297</f>
        <v>207959.21066484367</v>
      </c>
      <c r="C109" s="5">
        <f>output_NHTS!C297</f>
        <v>24301.01974086367</v>
      </c>
      <c r="D109" s="5">
        <f>output_NHTS!D297</f>
        <v>15870.2094247115</v>
      </c>
      <c r="E109" s="5">
        <f>output_NHTS!E297</f>
        <v>99390.352605531472</v>
      </c>
      <c r="F109" s="5">
        <f>output_NHTS!F297</f>
        <v>46475.058870733126</v>
      </c>
      <c r="G109" s="5">
        <f>output_NHTS!G297</f>
        <v>72152.490524269422</v>
      </c>
      <c r="H109" s="5">
        <f>output_NHTS!H297</f>
        <v>31838.721598634274</v>
      </c>
      <c r="I109" s="5">
        <f>output_NHTS!I297</f>
        <v>0</v>
      </c>
      <c r="J109" s="5">
        <f>output_NHTS!J297</f>
        <v>0</v>
      </c>
      <c r="K109" s="5">
        <f>output_NHTS!K297</f>
        <v>0</v>
      </c>
      <c r="L109" s="5">
        <f si="63" t="shared"/>
        <v>497987.06342958711</v>
      </c>
      <c r="M109" s="265" t="s">
        <v>25</v>
      </c>
      <c r="N109" s="5">
        <f>output!B297</f>
        <v>166579</v>
      </c>
      <c r="O109" s="5">
        <f>output!C297</f>
        <v>20774</v>
      </c>
      <c r="P109" s="5">
        <f>output!D297</f>
        <v>13774</v>
      </c>
      <c r="Q109" s="5">
        <f>output!E297</f>
        <v>87105</v>
      </c>
      <c r="R109" s="5">
        <f>output!F297</f>
        <v>41137</v>
      </c>
      <c r="S109" s="5">
        <f>output!G297</f>
        <v>61320</v>
      </c>
      <c r="T109" s="5">
        <f>output!H297</f>
        <v>32330</v>
      </c>
      <c r="U109" s="5">
        <f>output!I297</f>
        <v>0</v>
      </c>
      <c r="V109" s="5">
        <f>output!J297</f>
        <v>0</v>
      </c>
      <c r="W109" s="5">
        <f>output!K297</f>
        <v>0</v>
      </c>
      <c r="X109" s="5">
        <f si="64" t="shared"/>
        <v>423019</v>
      </c>
      <c r="Y109" s="265" t="s">
        <v>25</v>
      </c>
      <c r="Z109" s="5">
        <f si="65" t="shared"/>
        <v>-41380.210664843675</v>
      </c>
      <c r="AA109" s="5">
        <f si="66" t="shared"/>
        <v>-3527.0197408636704</v>
      </c>
      <c r="AB109" s="5">
        <f si="67" t="shared"/>
        <v>-2096.2094247115001</v>
      </c>
      <c r="AC109" s="5">
        <f si="68" t="shared"/>
        <v>-12285.352605531472</v>
      </c>
      <c r="AD109" s="5">
        <f si="69" t="shared"/>
        <v>-5338.0588707331262</v>
      </c>
      <c r="AE109" s="5">
        <f si="70" t="shared"/>
        <v>-10832.490524269422</v>
      </c>
      <c r="AF109" s="5">
        <f si="71" t="shared"/>
        <v>491.27840136572559</v>
      </c>
      <c r="AG109" s="5">
        <f si="72" t="shared"/>
        <v>0</v>
      </c>
      <c r="AH109" s="5">
        <f si="73" t="shared"/>
        <v>0</v>
      </c>
      <c r="AI109" s="5">
        <f si="74" t="shared"/>
        <v>0</v>
      </c>
      <c r="AJ109" s="5">
        <f si="75" t="shared"/>
        <v>-74968.063429587113</v>
      </c>
    </row>
    <row r="110" spans="1:36" x14ac:dyDescent="0.2">
      <c r="A110" s="265" t="s">
        <v>26</v>
      </c>
      <c r="B110" s="5">
        <f>output_NHTS!B298</f>
        <v>298051.88037438132</v>
      </c>
      <c r="C110" s="5">
        <f>output_NHTS!C298</f>
        <v>40878.401584771629</v>
      </c>
      <c r="D110" s="5">
        <f>output_NHTS!D298</f>
        <v>27765.548785766583</v>
      </c>
      <c r="E110" s="5">
        <f>output_NHTS!E298</f>
        <v>154954.96622590296</v>
      </c>
      <c r="F110" s="5">
        <f>output_NHTS!F298</f>
        <v>86872.05847934843</v>
      </c>
      <c r="G110" s="5">
        <f>output_NHTS!G298</f>
        <v>113910.43929292825</v>
      </c>
      <c r="H110" s="5">
        <f>output_NHTS!H298</f>
        <v>68611.764154820004</v>
      </c>
      <c r="I110" s="5">
        <f>output_NHTS!I298</f>
        <v>0</v>
      </c>
      <c r="J110" s="5">
        <f>output_NHTS!J298</f>
        <v>0</v>
      </c>
      <c r="K110" s="5">
        <f>output_NHTS!K298</f>
        <v>0</v>
      </c>
      <c r="L110" s="5">
        <f si="63" t="shared"/>
        <v>791045.05889791914</v>
      </c>
      <c r="M110" s="265" t="s">
        <v>26</v>
      </c>
      <c r="N110" s="5">
        <f>output!B298</f>
        <v>274917</v>
      </c>
      <c r="O110" s="5">
        <f>output!C298</f>
        <v>39603</v>
      </c>
      <c r="P110" s="5">
        <f>output!D298</f>
        <v>24808</v>
      </c>
      <c r="Q110" s="5">
        <f>output!E298</f>
        <v>127015</v>
      </c>
      <c r="R110" s="5">
        <f>output!F298</f>
        <v>71432</v>
      </c>
      <c r="S110" s="5">
        <f>output!G298</f>
        <v>96067</v>
      </c>
      <c r="T110" s="5">
        <f>output!H298</f>
        <v>55987</v>
      </c>
      <c r="U110" s="5">
        <f>output!I298</f>
        <v>0</v>
      </c>
      <c r="V110" s="5">
        <f>output!J298</f>
        <v>0</v>
      </c>
      <c r="W110" s="5">
        <f>output!K298</f>
        <v>0</v>
      </c>
      <c r="X110" s="5">
        <f si="64" t="shared"/>
        <v>689829</v>
      </c>
      <c r="Y110" s="265" t="s">
        <v>26</v>
      </c>
      <c r="Z110" s="5">
        <f si="65" t="shared"/>
        <v>-23134.880374381319</v>
      </c>
      <c r="AA110" s="5">
        <f si="66" t="shared"/>
        <v>-1275.4015847716291</v>
      </c>
      <c r="AB110" s="5">
        <f si="67" t="shared"/>
        <v>-2957.548785766583</v>
      </c>
      <c r="AC110" s="5">
        <f si="68" t="shared"/>
        <v>-27939.966225902957</v>
      </c>
      <c r="AD110" s="5">
        <f si="69" t="shared"/>
        <v>-15440.05847934843</v>
      </c>
      <c r="AE110" s="5">
        <f si="70" t="shared"/>
        <v>-17843.439292928248</v>
      </c>
      <c r="AF110" s="5">
        <f si="71" t="shared"/>
        <v>-12624.764154820004</v>
      </c>
      <c r="AG110" s="5">
        <f si="72" t="shared"/>
        <v>0</v>
      </c>
      <c r="AH110" s="5">
        <f si="73" t="shared"/>
        <v>0</v>
      </c>
      <c r="AI110" s="5">
        <f si="74" t="shared"/>
        <v>0</v>
      </c>
      <c r="AJ110" s="5">
        <f si="75" t="shared"/>
        <v>-101216.05889791914</v>
      </c>
    </row>
    <row r="111" spans="1:36" x14ac:dyDescent="0.2">
      <c r="A111" s="265" t="s">
        <v>27</v>
      </c>
      <c r="B111" s="5">
        <f>output_NHTS!B299</f>
        <v>211923.76630540256</v>
      </c>
      <c r="C111" s="5">
        <f>output_NHTS!C299</f>
        <v>26276.194384060611</v>
      </c>
      <c r="D111" s="5">
        <f>output_NHTS!D299</f>
        <v>17103.907990723375</v>
      </c>
      <c r="E111" s="5">
        <f>output_NHTS!E299</f>
        <v>104468.01397979571</v>
      </c>
      <c r="F111" s="5">
        <f>output_NHTS!F299</f>
        <v>55371.690208055516</v>
      </c>
      <c r="G111" s="5">
        <f>output_NHTS!G299</f>
        <v>87396.419562422336</v>
      </c>
      <c r="H111" s="5">
        <f>output_NHTS!H299</f>
        <v>42442.053757484937</v>
      </c>
      <c r="I111" s="5">
        <f>output_NHTS!I299</f>
        <v>0</v>
      </c>
      <c r="J111" s="5">
        <f>output_NHTS!J299</f>
        <v>0</v>
      </c>
      <c r="K111" s="5">
        <f>output_NHTS!K299</f>
        <v>0</v>
      </c>
      <c r="L111" s="5">
        <f si="63" t="shared"/>
        <v>544982.04618794506</v>
      </c>
      <c r="M111" s="265" t="s">
        <v>27</v>
      </c>
      <c r="N111" s="5">
        <f>output!B299</f>
        <v>175393</v>
      </c>
      <c r="O111" s="5">
        <f>output!C299</f>
        <v>25055</v>
      </c>
      <c r="P111" s="5">
        <f>output!D299</f>
        <v>15800</v>
      </c>
      <c r="Q111" s="5">
        <f>output!E299</f>
        <v>81213</v>
      </c>
      <c r="R111" s="5">
        <f>output!F299</f>
        <v>44546</v>
      </c>
      <c r="S111" s="5">
        <f>output!G299</f>
        <v>60455</v>
      </c>
      <c r="T111" s="5">
        <f>output!H299</f>
        <v>34819</v>
      </c>
      <c r="U111" s="5">
        <f>output!I299</f>
        <v>0</v>
      </c>
      <c r="V111" s="5">
        <f>output!J299</f>
        <v>0</v>
      </c>
      <c r="W111" s="5">
        <f>output!K299</f>
        <v>0</v>
      </c>
      <c r="X111" s="5">
        <f si="64" t="shared"/>
        <v>437281</v>
      </c>
      <c r="Y111" s="265" t="s">
        <v>27</v>
      </c>
      <c r="Z111" s="5">
        <f si="65" t="shared"/>
        <v>-36530.766305402562</v>
      </c>
      <c r="AA111" s="5">
        <f si="66" t="shared"/>
        <v>-1221.1943840606109</v>
      </c>
      <c r="AB111" s="5">
        <f si="67" t="shared"/>
        <v>-1303.9079907233754</v>
      </c>
      <c r="AC111" s="5">
        <f si="68" t="shared"/>
        <v>-23255.013979795709</v>
      </c>
      <c r="AD111" s="5">
        <f si="69" t="shared"/>
        <v>-10825.690208055516</v>
      </c>
      <c r="AE111" s="5">
        <f si="70" t="shared"/>
        <v>-26941.419562422336</v>
      </c>
      <c r="AF111" s="5">
        <f si="71" t="shared"/>
        <v>-7623.0537574849368</v>
      </c>
      <c r="AG111" s="5">
        <f si="72" t="shared"/>
        <v>0</v>
      </c>
      <c r="AH111" s="5">
        <f si="73" t="shared"/>
        <v>0</v>
      </c>
      <c r="AI111" s="5">
        <f si="74" t="shared"/>
        <v>0</v>
      </c>
      <c r="AJ111" s="5">
        <f si="75" t="shared"/>
        <v>-107701.04618794506</v>
      </c>
    </row>
    <row r="112" spans="1:36" x14ac:dyDescent="0.2">
      <c r="A112" s="265" t="s">
        <v>28</v>
      </c>
      <c r="B112" s="5">
        <f>output_NHTS!B300</f>
        <v>141177.28052750998</v>
      </c>
      <c r="C112" s="5">
        <f>output_NHTS!C300</f>
        <v>9074.0693046939286</v>
      </c>
      <c r="D112" s="5">
        <f>output_NHTS!D300</f>
        <v>8192.9133962023643</v>
      </c>
      <c r="E112" s="5">
        <f>output_NHTS!E300</f>
        <v>47931.069404802794</v>
      </c>
      <c r="F112" s="5">
        <f>output_NHTS!F300</f>
        <v>29197.775110348324</v>
      </c>
      <c r="G112" s="5">
        <f>output_NHTS!G300</f>
        <v>48305.897461168548</v>
      </c>
      <c r="H112" s="5">
        <f>output_NHTS!H300</f>
        <v>23501.855161491614</v>
      </c>
      <c r="I112" s="5">
        <f>output_NHTS!I300</f>
        <v>0</v>
      </c>
      <c r="J112" s="5">
        <f>output_NHTS!J300</f>
        <v>0</v>
      </c>
      <c r="K112" s="5">
        <f>output_NHTS!K300</f>
        <v>0</v>
      </c>
      <c r="L112" s="5">
        <f si="63" t="shared"/>
        <v>307380.86036621756</v>
      </c>
      <c r="M112" s="265" t="s">
        <v>28</v>
      </c>
      <c r="N112" s="5">
        <f>output!B300</f>
        <v>113041</v>
      </c>
      <c r="O112" s="5">
        <f>output!C300</f>
        <v>14731</v>
      </c>
      <c r="P112" s="5">
        <f>output!D300</f>
        <v>9533</v>
      </c>
      <c r="Q112" s="5">
        <f>output!E300</f>
        <v>49062</v>
      </c>
      <c r="R112" s="5">
        <f>output!F300</f>
        <v>26761</v>
      </c>
      <c r="S112" s="5">
        <f>output!G300</f>
        <v>36380</v>
      </c>
      <c r="T112" s="5">
        <f>output!H300</f>
        <v>20896</v>
      </c>
      <c r="U112" s="5">
        <f>output!I300</f>
        <v>0</v>
      </c>
      <c r="V112" s="5">
        <f>output!J300</f>
        <v>0</v>
      </c>
      <c r="W112" s="5">
        <f>output!K300</f>
        <v>0</v>
      </c>
      <c r="X112" s="5">
        <f si="64" t="shared"/>
        <v>270404</v>
      </c>
      <c r="Y112" s="265" t="s">
        <v>28</v>
      </c>
      <c r="Z112" s="5">
        <f si="65" t="shared"/>
        <v>-28136.280527509982</v>
      </c>
      <c r="AA112" s="5">
        <f si="66" t="shared"/>
        <v>5656.9306953060714</v>
      </c>
      <c r="AB112" s="5">
        <f si="67" t="shared"/>
        <v>1340.0866037976357</v>
      </c>
      <c r="AC112" s="5">
        <f si="68" t="shared"/>
        <v>1130.9305951972055</v>
      </c>
      <c r="AD112" s="5">
        <f si="69" t="shared"/>
        <v>-2436.7751103483242</v>
      </c>
      <c r="AE112" s="5">
        <f si="70" t="shared"/>
        <v>-11925.897461168548</v>
      </c>
      <c r="AF112" s="5">
        <f si="71" t="shared"/>
        <v>-2605.8551614916141</v>
      </c>
      <c r="AG112" s="5">
        <f si="72" t="shared"/>
        <v>0</v>
      </c>
      <c r="AH112" s="5">
        <f si="73" t="shared"/>
        <v>0</v>
      </c>
      <c r="AI112" s="5">
        <f si="74" t="shared"/>
        <v>0</v>
      </c>
      <c r="AJ112" s="5">
        <f si="75" t="shared"/>
        <v>-36976.860366217559</v>
      </c>
    </row>
    <row r="113" spans="1:36" x14ac:dyDescent="0.2">
      <c r="A113" s="265" t="s">
        <v>29</v>
      </c>
      <c r="B113" s="5">
        <f>output_NHTS!B301</f>
        <v>182154.68952716532</v>
      </c>
      <c r="C113" s="5">
        <f>output_NHTS!C301</f>
        <v>17613.986228651247</v>
      </c>
      <c r="D113" s="5">
        <f>output_NHTS!D301</f>
        <v>16073.83994124498</v>
      </c>
      <c r="E113" s="5">
        <f>output_NHTS!E301</f>
        <v>81259.347284962249</v>
      </c>
      <c r="F113" s="5">
        <f>output_NHTS!F301</f>
        <v>54373.922153385254</v>
      </c>
      <c r="G113" s="5">
        <f>output_NHTS!G301</f>
        <v>67914.463855315742</v>
      </c>
      <c r="H113" s="5">
        <f>output_NHTS!H301</f>
        <v>28701.48254022207</v>
      </c>
      <c r="I113" s="5">
        <f>output_NHTS!I301</f>
        <v>0</v>
      </c>
      <c r="J113" s="5">
        <f>output_NHTS!J301</f>
        <v>0</v>
      </c>
      <c r="K113" s="5">
        <f>output_NHTS!K301</f>
        <v>0</v>
      </c>
      <c r="L113" s="5">
        <f si="63" t="shared"/>
        <v>448091.73153094685</v>
      </c>
      <c r="M113" s="265" t="s">
        <v>29</v>
      </c>
      <c r="N113" s="5">
        <f>output!B301</f>
        <v>139978</v>
      </c>
      <c r="O113" s="5">
        <f>output!C301</f>
        <v>22440</v>
      </c>
      <c r="P113" s="5">
        <f>output!D301</f>
        <v>14673</v>
      </c>
      <c r="Q113" s="5">
        <f>output!E301</f>
        <v>72545</v>
      </c>
      <c r="R113" s="5">
        <f>output!F301</f>
        <v>40548</v>
      </c>
      <c r="S113" s="5">
        <f>output!G301</f>
        <v>57839</v>
      </c>
      <c r="T113" s="5">
        <f>output!H301</f>
        <v>31888</v>
      </c>
      <c r="U113" s="5">
        <f>output!I301</f>
        <v>0</v>
      </c>
      <c r="V113" s="5">
        <f>output!J301</f>
        <v>0</v>
      </c>
      <c r="W113" s="5">
        <f>output!K301</f>
        <v>0</v>
      </c>
      <c r="X113" s="5">
        <f si="64" t="shared"/>
        <v>379911</v>
      </c>
      <c r="Y113" s="265" t="s">
        <v>29</v>
      </c>
      <c r="Z113" s="5">
        <f si="65" t="shared"/>
        <v>-42176.689527165319</v>
      </c>
      <c r="AA113" s="5">
        <f si="66" t="shared"/>
        <v>4826.0137713487529</v>
      </c>
      <c r="AB113" s="5">
        <f si="67" t="shared"/>
        <v>-1400.8399412449799</v>
      </c>
      <c r="AC113" s="5">
        <f si="68" t="shared"/>
        <v>-8714.3472849622485</v>
      </c>
      <c r="AD113" s="5">
        <f si="69" t="shared"/>
        <v>-13825.922153385254</v>
      </c>
      <c r="AE113" s="5">
        <f si="70" t="shared"/>
        <v>-10075.463855315742</v>
      </c>
      <c r="AF113" s="5">
        <f si="71" t="shared"/>
        <v>3186.5174597779296</v>
      </c>
      <c r="AG113" s="5">
        <f si="72" t="shared"/>
        <v>0</v>
      </c>
      <c r="AH113" s="5">
        <f si="73" t="shared"/>
        <v>0</v>
      </c>
      <c r="AI113" s="5">
        <f si="74" t="shared"/>
        <v>0</v>
      </c>
      <c r="AJ113" s="5">
        <f si="75" t="shared"/>
        <v>-68180.731530946854</v>
      </c>
    </row>
    <row r="114" spans="1:36" x14ac:dyDescent="0.2">
      <c r="A114" s="6" t="s">
        <v>38</v>
      </c>
      <c r="B114" s="5">
        <f>output_NHTS!B302</f>
        <v>901124.12668545195</v>
      </c>
      <c r="C114" s="5">
        <f>output_NHTS!C302</f>
        <v>98427.14002898497</v>
      </c>
      <c r="D114" s="5">
        <f>output_NHTS!D302</f>
        <v>68895.189606254149</v>
      </c>
      <c r="E114" s="5">
        <f>output_NHTS!E302</f>
        <v>359149.64435639419</v>
      </c>
      <c r="F114" s="5">
        <f>output_NHTS!F302</f>
        <v>198443.43782782598</v>
      </c>
      <c r="G114" s="5">
        <f>output_NHTS!G302</f>
        <v>273513.84888414794</v>
      </c>
      <c r="H114" s="5">
        <f>output_NHTS!H302</f>
        <v>134439.72601684622</v>
      </c>
      <c r="I114" s="5">
        <f>output_NHTS!I302</f>
        <v>0</v>
      </c>
      <c r="J114" s="5">
        <f>output_NHTS!J302</f>
        <v>0</v>
      </c>
      <c r="K114" s="5">
        <f>output_NHTS!K302</f>
        <v>0</v>
      </c>
      <c r="L114" s="5">
        <f si="63" t="shared"/>
        <v>2033993.1134059054</v>
      </c>
      <c r="M114" s="6" t="s">
        <v>38</v>
      </c>
      <c r="N114" s="5">
        <f>output!B302</f>
        <v>801167</v>
      </c>
      <c r="O114" s="5">
        <f>output!C302</f>
        <v>93591</v>
      </c>
      <c r="P114" s="5">
        <f>output!D302</f>
        <v>54779</v>
      </c>
      <c r="Q114" s="5">
        <f>output!E302</f>
        <v>342711</v>
      </c>
      <c r="R114" s="5">
        <f>output!F302</f>
        <v>162526</v>
      </c>
      <c r="S114" s="5">
        <f>output!G302</f>
        <v>253315</v>
      </c>
      <c r="T114" s="5">
        <f>output!H302</f>
        <v>128656</v>
      </c>
      <c r="U114" s="5">
        <f>output!I302</f>
        <v>0</v>
      </c>
      <c r="V114" s="5">
        <f>output!J302</f>
        <v>0</v>
      </c>
      <c r="W114" s="5">
        <f>output!K302</f>
        <v>0</v>
      </c>
      <c r="X114" s="5">
        <f si="64" t="shared"/>
        <v>1836745</v>
      </c>
      <c r="Y114" s="6" t="s">
        <v>38</v>
      </c>
      <c r="Z114" s="5">
        <f si="65" t="shared"/>
        <v>-99957.126685451949</v>
      </c>
      <c r="AA114" s="5">
        <f si="66" t="shared"/>
        <v>-4836.1400289849698</v>
      </c>
      <c r="AB114" s="5">
        <f si="67" t="shared"/>
        <v>-14116.189606254149</v>
      </c>
      <c r="AC114" s="5">
        <f si="68" t="shared"/>
        <v>-16438.644356394187</v>
      </c>
      <c r="AD114" s="5">
        <f si="69" t="shared"/>
        <v>-35917.437827825983</v>
      </c>
      <c r="AE114" s="5">
        <f si="70" t="shared"/>
        <v>-20198.848884147941</v>
      </c>
      <c r="AF114" s="5">
        <f si="71" t="shared"/>
        <v>-5783.7260168462235</v>
      </c>
      <c r="AG114" s="5">
        <f si="72" t="shared"/>
        <v>0</v>
      </c>
      <c r="AH114" s="5">
        <f si="73" t="shared"/>
        <v>0</v>
      </c>
      <c r="AI114" s="5">
        <f si="74" t="shared"/>
        <v>0</v>
      </c>
      <c r="AJ114" s="5">
        <f si="75" t="shared"/>
        <v>-197248.11340590543</v>
      </c>
    </row>
    <row customHeight="1" ht="13.15" r="115" spans="1:36" thickBot="1" x14ac:dyDescent="0.25">
      <c r="A115" s="8" t="s">
        <v>4</v>
      </c>
      <c r="B115" s="9">
        <f ref="B115:L115" si="76" t="shared">SUM(B107:B114)</f>
        <v>2553349.1676246114</v>
      </c>
      <c r="C115" s="9">
        <f si="76" t="shared"/>
        <v>283691.60259663709</v>
      </c>
      <c r="D115" s="9">
        <f si="76" t="shared"/>
        <v>203237.98552362219</v>
      </c>
      <c r="E115" s="9">
        <f si="76" t="shared"/>
        <v>1097186.9458537216</v>
      </c>
      <c r="F115" s="9">
        <f si="76" t="shared"/>
        <v>591641.27592685795</v>
      </c>
      <c r="G115" s="9">
        <f si="76" t="shared"/>
        <v>842325.82505008345</v>
      </c>
      <c r="H115" s="9">
        <f si="76" t="shared"/>
        <v>422305.76304834255</v>
      </c>
      <c r="I115" s="9">
        <f si="76" t="shared"/>
        <v>0</v>
      </c>
      <c r="J115" s="9">
        <f si="76" t="shared"/>
        <v>0</v>
      </c>
      <c r="K115" s="9">
        <f si="76" t="shared"/>
        <v>0</v>
      </c>
      <c r="L115" s="9">
        <f si="76" t="shared"/>
        <v>5993738.5656238766</v>
      </c>
      <c r="M115" s="8" t="s">
        <v>4</v>
      </c>
      <c r="N115" s="9">
        <f ref="N115:X115" si="77" t="shared">SUM(N107:N114)</f>
        <v>2179502</v>
      </c>
      <c r="O115" s="9">
        <f si="77" t="shared"/>
        <v>275528</v>
      </c>
      <c r="P115" s="9">
        <f si="77" t="shared"/>
        <v>171602</v>
      </c>
      <c r="Q115" s="9">
        <f si="77" t="shared"/>
        <v>975418</v>
      </c>
      <c r="R115" s="9">
        <f si="77" t="shared"/>
        <v>500158</v>
      </c>
      <c r="S115" s="9">
        <f si="77" t="shared"/>
        <v>720337</v>
      </c>
      <c r="T115" s="9">
        <f si="77" t="shared"/>
        <v>391677</v>
      </c>
      <c r="U115" s="9">
        <f si="77" t="shared"/>
        <v>0</v>
      </c>
      <c r="V115" s="9">
        <f si="77" t="shared"/>
        <v>0</v>
      </c>
      <c r="W115" s="9">
        <f si="77" t="shared"/>
        <v>0</v>
      </c>
      <c r="X115" s="9">
        <f si="77" t="shared"/>
        <v>5214222</v>
      </c>
      <c r="Y115" s="8" t="s">
        <v>4</v>
      </c>
      <c r="Z115" s="9">
        <f si="65" t="shared"/>
        <v>-373847.16762461141</v>
      </c>
      <c r="AA115" s="9">
        <f si="66" t="shared"/>
        <v>-8163.6025966370944</v>
      </c>
      <c r="AB115" s="9">
        <f si="67" t="shared"/>
        <v>-31635.985523622192</v>
      </c>
      <c r="AC115" s="9">
        <f si="68" t="shared"/>
        <v>-121768.94585372158</v>
      </c>
      <c r="AD115" s="9">
        <f si="69" t="shared"/>
        <v>-91483.275926857954</v>
      </c>
      <c r="AE115" s="9">
        <f si="70" t="shared"/>
        <v>-121988.82505008345</v>
      </c>
      <c r="AF115" s="9">
        <f si="71" t="shared"/>
        <v>-30628.763048342546</v>
      </c>
      <c r="AG115" s="9">
        <f si="72" t="shared"/>
        <v>0</v>
      </c>
      <c r="AH115" s="9">
        <f si="73" t="shared"/>
        <v>0</v>
      </c>
      <c r="AI115" s="9">
        <f si="74" t="shared"/>
        <v>0</v>
      </c>
      <c r="AJ115" s="9">
        <f si="75" t="shared"/>
        <v>-779516.56562387664</v>
      </c>
    </row>
    <row r="117" spans="1:36" x14ac:dyDescent="0.2">
      <c r="A117" s="265" t="s">
        <v>174</v>
      </c>
      <c r="B117" s="5">
        <f>ToursByTourPurpose!B118</f>
        <v>653169.10305177723</v>
      </c>
      <c r="C117" s="5">
        <f>ToursByTourPurpose!C118</f>
        <v>103500.99999999993</v>
      </c>
      <c r="D117" s="5">
        <f>ToursByTourPurpose!D118</f>
        <v>72126.842960679831</v>
      </c>
      <c r="E117" s="5">
        <f>ToursByTourPurpose!E118</f>
        <v>339467.00000000047</v>
      </c>
      <c r="F117" s="5">
        <f>ToursByTourPurpose!F118</f>
        <v>193840.00865513986</v>
      </c>
      <c r="G117" s="5">
        <f>ToursByTourPurpose!G118</f>
        <v>251106.05398754237</v>
      </c>
      <c r="H117" s="5">
        <f>ToursByTourPurpose!H118</f>
        <v>153010.99134486017</v>
      </c>
      <c r="I117" s="5">
        <f>ToursByTourPurpose!I118</f>
        <v>0</v>
      </c>
      <c r="J117" s="5">
        <f>ToursByTourPurpose!J118</f>
        <v>0</v>
      </c>
      <c r="K117" s="5">
        <f>ToursByTourPurpose!K118</f>
        <v>0</v>
      </c>
      <c r="L117" s="5">
        <f>ToursByTourPurpose!L118</f>
        <v>1766221</v>
      </c>
      <c r="M117" s="265" t="s">
        <v>174</v>
      </c>
      <c r="N117" s="5">
        <f>ToursByTourPurpose!N118</f>
        <v>653968</v>
      </c>
      <c r="O117" s="5">
        <f>ToursByTourPurpose!O118</f>
        <v>103501</v>
      </c>
      <c r="P117" s="5">
        <f>ToursByTourPurpose!P118</f>
        <v>71370</v>
      </c>
      <c r="Q117" s="5">
        <f>ToursByTourPurpose!Q118</f>
        <v>339384</v>
      </c>
      <c r="R117" s="5">
        <f>ToursByTourPurpose!R118</f>
        <v>193955</v>
      </c>
      <c r="S117" s="5">
        <f>ToursByTourPurpose!S118</f>
        <v>251147</v>
      </c>
      <c r="T117" s="5">
        <f>ToursByTourPurpose!T118</f>
        <v>152896</v>
      </c>
      <c r="U117" s="5">
        <f>ToursByTourPurpose!U118</f>
        <v>0</v>
      </c>
      <c r="V117" s="5">
        <f>ToursByTourPurpose!V118</f>
        <v>0</v>
      </c>
      <c r="W117" s="5">
        <f>ToursByTourPurpose!W118</f>
        <v>0</v>
      </c>
      <c r="X117" s="5">
        <f>ToursByTourPurpose!X118</f>
        <v>1766221</v>
      </c>
      <c r="Y117" s="265" t="s">
        <v>174</v>
      </c>
      <c r="Z117" s="5">
        <f ref="Z117:AJ118" si="78" t="shared">N117-B117</f>
        <v>798.89694822276942</v>
      </c>
      <c r="AA117" s="5">
        <f si="78" t="shared"/>
        <v>0</v>
      </c>
      <c r="AB117" s="5">
        <f si="78" t="shared"/>
        <v>-756.84296067983087</v>
      </c>
      <c r="AC117" s="5">
        <f si="78" t="shared"/>
        <v>-83.000000000465661</v>
      </c>
      <c r="AD117" s="5">
        <f si="78" t="shared"/>
        <v>114.99134486014373</v>
      </c>
      <c r="AE117" s="5">
        <f si="78" t="shared"/>
        <v>40.946012457628967</v>
      </c>
      <c r="AF117" s="5">
        <f si="78" t="shared"/>
        <v>-114.99134486017283</v>
      </c>
      <c r="AG117" s="5">
        <f si="78" t="shared"/>
        <v>0</v>
      </c>
      <c r="AH117" s="5">
        <f si="78" t="shared"/>
        <v>0</v>
      </c>
      <c r="AI117" s="5">
        <f si="78" t="shared"/>
        <v>0</v>
      </c>
      <c r="AJ117" s="5">
        <f si="78" t="shared"/>
        <v>0</v>
      </c>
    </row>
    <row r="118" spans="1:36" x14ac:dyDescent="0.2">
      <c r="A118" s="265" t="s">
        <v>207</v>
      </c>
      <c r="B118" s="219">
        <f ref="B118:L118" si="79" t="shared">B115/B117</f>
        <v>3.9091701608277165</v>
      </c>
      <c r="C118" s="219">
        <f si="79" t="shared"/>
        <v>2.7409551849415688</v>
      </c>
      <c r="D118" s="219">
        <f si="79" t="shared"/>
        <v>2.8177856839570534</v>
      </c>
      <c r="E118" s="219">
        <f si="79" t="shared"/>
        <v>3.2320872009760007</v>
      </c>
      <c r="F118" s="219">
        <f si="79" t="shared"/>
        <v>3.0522144526904404</v>
      </c>
      <c r="G118" s="219">
        <f si="79" t="shared"/>
        <v>3.354462433995606</v>
      </c>
      <c r="H118" s="219">
        <f si="79" t="shared"/>
        <v>2.7599701128433236</v>
      </c>
      <c r="I118" s="219" t="e">
        <f si="79" t="shared"/>
        <v>#DIV/0!</v>
      </c>
      <c r="J118" s="219" t="e">
        <f si="79" t="shared"/>
        <v>#DIV/0!</v>
      </c>
      <c r="K118" s="219" t="e">
        <f si="79" t="shared"/>
        <v>#DIV/0!</v>
      </c>
      <c r="L118" s="219">
        <f si="79" t="shared"/>
        <v>3.3935382750085501</v>
      </c>
      <c r="M118" s="265" t="s">
        <v>207</v>
      </c>
      <c r="N118" s="219">
        <f ref="N118:X118" si="80" t="shared">N115/N117</f>
        <v>3.3327349350426934</v>
      </c>
      <c r="O118" s="219">
        <f si="80" t="shared"/>
        <v>2.6620805596081198</v>
      </c>
      <c r="P118" s="219">
        <f si="80" t="shared"/>
        <v>2.4043996076782963</v>
      </c>
      <c r="Q118" s="219">
        <f si="80" t="shared"/>
        <v>2.8740836338778495</v>
      </c>
      <c r="R118" s="219">
        <f si="80" t="shared"/>
        <v>2.578732180144879</v>
      </c>
      <c r="S118" s="219">
        <f si="80" t="shared"/>
        <v>2.8681887500149315</v>
      </c>
      <c r="T118" s="219">
        <f si="80" t="shared"/>
        <v>2.5617216931770614</v>
      </c>
      <c r="U118" s="219" t="e">
        <f si="80" t="shared"/>
        <v>#DIV/0!</v>
      </c>
      <c r="V118" s="219" t="e">
        <f si="80" t="shared"/>
        <v>#DIV/0!</v>
      </c>
      <c r="W118" s="219" t="e">
        <f si="80" t="shared"/>
        <v>#DIV/0!</v>
      </c>
      <c r="X118" s="219">
        <f si="80" t="shared"/>
        <v>2.9521911470874822</v>
      </c>
      <c r="Y118" s="265" t="s">
        <v>207</v>
      </c>
      <c r="Z118" s="219">
        <f si="78" t="shared"/>
        <v>-0.57643522578502315</v>
      </c>
      <c r="AA118" s="219">
        <f si="78" t="shared"/>
        <v>-7.8874625333448911E-2</v>
      </c>
      <c r="AB118" s="219">
        <f si="78" t="shared"/>
        <v>-0.41338607627875712</v>
      </c>
      <c r="AC118" s="219">
        <f si="78" t="shared"/>
        <v>-0.35800356709815118</v>
      </c>
      <c r="AD118" s="219">
        <f si="78" t="shared"/>
        <v>-0.47348227254556141</v>
      </c>
      <c r="AE118" s="219">
        <f si="78" t="shared"/>
        <v>-0.4862736839806745</v>
      </c>
      <c r="AF118" s="219">
        <f si="78" t="shared"/>
        <v>-0.19824841966626217</v>
      </c>
      <c r="AG118" s="219" t="e">
        <f si="78" t="shared"/>
        <v>#DIV/0!</v>
      </c>
      <c r="AH118" s="219" t="e">
        <f si="78" t="shared"/>
        <v>#DIV/0!</v>
      </c>
      <c r="AI118" s="219" t="e">
        <f si="78" t="shared"/>
        <v>#DIV/0!</v>
      </c>
      <c r="AJ118" s="219">
        <f si="78" t="shared"/>
        <v>-0.44134712792106789</v>
      </c>
    </row>
    <row customHeight="1" ht="13.15" r="120" spans="1:36" x14ac:dyDescent="0.2">
      <c r="A120" s="264" t="s">
        <v>41</v>
      </c>
      <c r="M120" s="264" t="s">
        <v>41</v>
      </c>
      <c r="Y120" s="264" t="s">
        <v>41</v>
      </c>
    </row>
    <row customHeight="1" ht="13.15" r="121" spans="1:36" x14ac:dyDescent="0.2">
      <c r="A121" s="264" t="s">
        <v>226</v>
      </c>
      <c r="M121" s="264" t="s">
        <v>227</v>
      </c>
      <c r="Y121" s="266" t="s">
        <v>228</v>
      </c>
      <c r="Z121" s="267"/>
      <c r="AA121" s="267"/>
    </row>
    <row customHeight="1" ht="13.15" r="122" spans="1:36" thickBot="1" x14ac:dyDescent="0.25">
      <c r="B122" s="13"/>
      <c r="C122" s="13"/>
      <c r="D122" s="13"/>
      <c r="E122" s="13"/>
      <c r="F122" s="13"/>
      <c r="N122" s="13"/>
      <c r="O122" s="13"/>
      <c r="P122" s="13"/>
      <c r="Q122" s="13"/>
      <c r="R122" s="13"/>
      <c r="Z122" s="13"/>
      <c r="AA122" s="13"/>
      <c r="AB122" s="13"/>
      <c r="AC122" s="13"/>
      <c r="AD122" s="13"/>
    </row>
    <row customHeight="1" ht="13.15" r="123" spans="1:36" x14ac:dyDescent="0.2">
      <c r="A123" s="3" t="s">
        <v>37</v>
      </c>
      <c r="B123" s="4">
        <f ref="B123:K123" si="81" t="shared">B106</f>
        <v>1</v>
      </c>
      <c r="C123" s="4">
        <f si="81" t="shared"/>
        <v>2</v>
      </c>
      <c r="D123" s="4">
        <f si="81" t="shared"/>
        <v>3</v>
      </c>
      <c r="E123" s="4">
        <f si="81" t="shared"/>
        <v>4</v>
      </c>
      <c r="F123" s="4">
        <f si="81" t="shared"/>
        <v>5</v>
      </c>
      <c r="G123" s="4">
        <f si="81" t="shared"/>
        <v>6</v>
      </c>
      <c r="H123" s="4">
        <f si="81" t="shared"/>
        <v>7</v>
      </c>
      <c r="I123" s="4">
        <f si="81" t="shared"/>
        <v>8</v>
      </c>
      <c r="J123" s="4">
        <f si="81" t="shared"/>
        <v>9</v>
      </c>
      <c r="K123" s="4">
        <f si="81" t="shared"/>
        <v>10</v>
      </c>
      <c r="L123" s="4" t="s">
        <v>4</v>
      </c>
      <c r="M123" s="3" t="s">
        <v>37</v>
      </c>
      <c r="N123" s="4">
        <f ref="N123:W123" si="82" t="shared">B106</f>
        <v>1</v>
      </c>
      <c r="O123" s="4">
        <f si="82" t="shared"/>
        <v>2</v>
      </c>
      <c r="P123" s="4">
        <f si="82" t="shared"/>
        <v>3</v>
      </c>
      <c r="Q123" s="4">
        <f si="82" t="shared"/>
        <v>4</v>
      </c>
      <c r="R123" s="4">
        <f si="82" t="shared"/>
        <v>5</v>
      </c>
      <c r="S123" s="4">
        <f si="82" t="shared"/>
        <v>6</v>
      </c>
      <c r="T123" s="4">
        <f si="82" t="shared"/>
        <v>7</v>
      </c>
      <c r="U123" s="4">
        <f si="82" t="shared"/>
        <v>8</v>
      </c>
      <c r="V123" s="4">
        <f si="82" t="shared"/>
        <v>9</v>
      </c>
      <c r="W123" s="4">
        <f si="82" t="shared"/>
        <v>10</v>
      </c>
      <c r="X123" s="4" t="s">
        <v>4</v>
      </c>
      <c r="Y123" s="3" t="s">
        <v>37</v>
      </c>
      <c r="Z123" s="4">
        <f ref="Z123:AI123" si="83" t="shared">B106</f>
        <v>1</v>
      </c>
      <c r="AA123" s="4">
        <f si="83" t="shared"/>
        <v>2</v>
      </c>
      <c r="AB123" s="4">
        <f si="83" t="shared"/>
        <v>3</v>
      </c>
      <c r="AC123" s="4">
        <f si="83" t="shared"/>
        <v>4</v>
      </c>
      <c r="AD123" s="4">
        <f si="83" t="shared"/>
        <v>5</v>
      </c>
      <c r="AE123" s="4">
        <f si="83" t="shared"/>
        <v>6</v>
      </c>
      <c r="AF123" s="4">
        <f si="83" t="shared"/>
        <v>7</v>
      </c>
      <c r="AG123" s="4">
        <f si="83" t="shared"/>
        <v>8</v>
      </c>
      <c r="AH123" s="4">
        <f si="83" t="shared"/>
        <v>9</v>
      </c>
      <c r="AI123" s="4">
        <f si="83" t="shared"/>
        <v>10</v>
      </c>
      <c r="AJ123" s="4" t="s">
        <v>4</v>
      </c>
    </row>
    <row r="124" spans="1:36" x14ac:dyDescent="0.2">
      <c r="A124" s="265" t="s">
        <v>23</v>
      </c>
      <c r="B124" s="10">
        <f ref="B124:L124" si="84" t="shared">B107/B$115</f>
        <v>0.20021042422360547</v>
      </c>
      <c r="C124" s="10">
        <f si="84" t="shared"/>
        <v>0.17577585365848958</v>
      </c>
      <c r="D124" s="10">
        <f si="84" t="shared"/>
        <v>0.18856938990580471</v>
      </c>
      <c r="E124" s="10">
        <f si="84" t="shared"/>
        <v>0.17233895464066559</v>
      </c>
      <c r="F124" s="10">
        <f si="84" t="shared"/>
        <v>0.16050080622792834</v>
      </c>
      <c r="G124" s="10">
        <f si="84" t="shared"/>
        <v>0.15154019811624467</v>
      </c>
      <c r="H124" s="10">
        <f si="84" t="shared"/>
        <v>0.16734383003895315</v>
      </c>
      <c r="I124" s="10" t="e">
        <f si="84" t="shared"/>
        <v>#DIV/0!</v>
      </c>
      <c r="J124" s="10" t="e">
        <f si="84" t="shared"/>
        <v>#DIV/0!</v>
      </c>
      <c r="K124" s="10" t="e">
        <f si="84" t="shared"/>
        <v>#DIV/0!</v>
      </c>
      <c r="L124" s="10">
        <f si="84" t="shared"/>
        <v>0.18048187188606632</v>
      </c>
      <c r="M124" s="265" t="s">
        <v>23</v>
      </c>
      <c r="N124" s="10">
        <f ref="N124:X124" si="85" t="shared">N107/N$115</f>
        <v>0.19623014798793487</v>
      </c>
      <c r="O124" s="10">
        <f si="85" t="shared"/>
        <v>0.161972648877791</v>
      </c>
      <c r="P124" s="10">
        <f si="85" t="shared"/>
        <v>0.16563326767753289</v>
      </c>
      <c r="Q124" s="10">
        <f si="85" t="shared"/>
        <v>0.16878712510944027</v>
      </c>
      <c r="R124" s="10">
        <f si="85" t="shared"/>
        <v>0.17235953438713367</v>
      </c>
      <c r="S124" s="10">
        <f si="85" t="shared"/>
        <v>0.15695709091716795</v>
      </c>
      <c r="T124" s="10">
        <f si="85" t="shared"/>
        <v>0.16671900571133869</v>
      </c>
      <c r="U124" s="10" t="e">
        <f si="85" t="shared"/>
        <v>#DIV/0!</v>
      </c>
      <c r="V124" s="10" t="e">
        <f si="85" t="shared"/>
        <v>#DIV/0!</v>
      </c>
      <c r="W124" s="10" t="e">
        <f si="85" t="shared"/>
        <v>#DIV/0!</v>
      </c>
      <c r="X124" s="10">
        <f si="85" t="shared"/>
        <v>0.17834722035233636</v>
      </c>
      <c r="Y124" s="265" t="s">
        <v>23</v>
      </c>
      <c r="Z124" s="10">
        <f ref="Z124:Z132" si="86" t="shared">N124-B124</f>
        <v>-3.980276235670599E-3</v>
      </c>
      <c r="AA124" s="10">
        <f ref="AA124:AA132" si="87" t="shared">O124-C124</f>
        <v>-1.3803204780698575E-2</v>
      </c>
      <c r="AB124" s="10">
        <f ref="AB124:AB132" si="88" t="shared">P124-D124</f>
        <v>-2.2936122228271821E-2</v>
      </c>
      <c r="AC124" s="10">
        <f ref="AC124:AC132" si="89" t="shared">Q124-E124</f>
        <v>-3.5518295312253201E-3</v>
      </c>
      <c r="AD124" s="10">
        <f ref="AD124:AD132" si="90" t="shared">R124-F124</f>
        <v>1.1858728159205328E-2</v>
      </c>
      <c r="AE124" s="10">
        <f ref="AE124:AE132" si="91" t="shared">S124-G124</f>
        <v>5.4168928009232786E-3</v>
      </c>
      <c r="AF124" s="10">
        <f ref="AF124:AF132" si="92" t="shared">T124-H124</f>
        <v>-6.2482432761445938E-4</v>
      </c>
      <c r="AG124" s="10" t="e">
        <f ref="AG124:AG132" si="93" t="shared">U124-I124</f>
        <v>#DIV/0!</v>
      </c>
      <c r="AH124" s="10" t="e">
        <f ref="AH124:AH132" si="94" t="shared">V124-J124</f>
        <v>#DIV/0!</v>
      </c>
      <c r="AI124" s="10" t="e">
        <f ref="AI124:AI132" si="95" t="shared">W124-K124</f>
        <v>#DIV/0!</v>
      </c>
      <c r="AJ124" s="10">
        <f ref="AJ124:AJ132" si="96" t="shared">X124-L124</f>
        <v>-2.1346515337299643E-3</v>
      </c>
    </row>
    <row r="125" spans="1:36" x14ac:dyDescent="0.2">
      <c r="A125" s="265" t="s">
        <v>24</v>
      </c>
      <c r="B125" s="10">
        <f ref="B125:L125" si="97" t="shared">B108/B$115</f>
        <v>3.9066765628275539E-2</v>
      </c>
      <c r="C125" s="10">
        <f si="97" t="shared"/>
        <v>6.0821883850314333E-2</v>
      </c>
      <c r="D125" s="10">
        <f si="97" t="shared"/>
        <v>5.4182358747917853E-2</v>
      </c>
      <c r="E125" s="10">
        <f si="97" t="shared"/>
        <v>5.554705233491046E-2</v>
      </c>
      <c r="F125" s="10">
        <f si="97" t="shared"/>
        <v>4.3858386067689374E-2</v>
      </c>
      <c r="G125" s="10">
        <f si="97" t="shared"/>
        <v>6.1123666795151535E-2</v>
      </c>
      <c r="H125" s="10">
        <f si="97" t="shared"/>
        <v>5.2331504602937083E-2</v>
      </c>
      <c r="I125" s="10" t="e">
        <f si="97" t="shared"/>
        <v>#DIV/0!</v>
      </c>
      <c r="J125" s="10" t="e">
        <f si="97" t="shared"/>
        <v>#DIV/0!</v>
      </c>
      <c r="K125" s="10" t="e">
        <f si="97" t="shared"/>
        <v>#DIV/0!</v>
      </c>
      <c r="L125" s="10">
        <f si="97" t="shared"/>
        <v>4.813315307752708E-2</v>
      </c>
      <c r="M125" s="265" t="s">
        <v>24</v>
      </c>
      <c r="N125" s="10">
        <f ref="N125:X125" si="98" t="shared">N108/N$115</f>
        <v>3.7046536318847148E-2</v>
      </c>
      <c r="O125" s="10">
        <f si="98" t="shared"/>
        <v>5.337388577567434E-2</v>
      </c>
      <c r="P125" s="10">
        <f si="98" t="shared"/>
        <v>5.7178820759664808E-2</v>
      </c>
      <c r="Q125" s="10">
        <f si="98" t="shared"/>
        <v>5.2417527665062566E-2</v>
      </c>
      <c r="R125" s="10">
        <f si="98" t="shared"/>
        <v>5.3984940758720242E-2</v>
      </c>
      <c r="S125" s="10">
        <f si="98" t="shared"/>
        <v>5.8165830715345736E-2</v>
      </c>
      <c r="T125" s="10">
        <f si="98" t="shared"/>
        <v>5.5660659165587975E-2</v>
      </c>
      <c r="U125" s="10" t="e">
        <f si="98" t="shared"/>
        <v>#DIV/0!</v>
      </c>
      <c r="V125" s="10" t="e">
        <f si="98" t="shared"/>
        <v>#DIV/0!</v>
      </c>
      <c r="W125" s="10" t="e">
        <f si="98" t="shared"/>
        <v>#DIV/0!</v>
      </c>
      <c r="X125" s="10">
        <f si="98" t="shared"/>
        <v>4.7387894109610217E-2</v>
      </c>
      <c r="Y125" s="265" t="s">
        <v>24</v>
      </c>
      <c r="Z125" s="10">
        <f si="86" t="shared"/>
        <v>-2.020229309428391E-3</v>
      </c>
      <c r="AA125" s="10">
        <f si="87" t="shared"/>
        <v>-7.4479980746399929E-3</v>
      </c>
      <c r="AB125" s="10">
        <f si="88" t="shared"/>
        <v>2.9964620117469559E-3</v>
      </c>
      <c r="AC125" s="10">
        <f si="89" t="shared"/>
        <v>-3.129524669847894E-3</v>
      </c>
      <c r="AD125" s="10">
        <f si="90" t="shared"/>
        <v>1.0126554691030867E-2</v>
      </c>
      <c r="AE125" s="10">
        <f si="91" t="shared"/>
        <v>-2.9578360798057993E-3</v>
      </c>
      <c r="AF125" s="10">
        <f si="92" t="shared"/>
        <v>3.329154562650892E-3</v>
      </c>
      <c r="AG125" s="10" t="e">
        <f si="93" t="shared"/>
        <v>#DIV/0!</v>
      </c>
      <c r="AH125" s="10" t="e">
        <f si="94" t="shared"/>
        <v>#DIV/0!</v>
      </c>
      <c r="AI125" s="10" t="e">
        <f si="95" t="shared"/>
        <v>#DIV/0!</v>
      </c>
      <c r="AJ125" s="10">
        <f si="96" t="shared"/>
        <v>-7.4525896791686336E-4</v>
      </c>
    </row>
    <row r="126" spans="1:36" x14ac:dyDescent="0.2">
      <c r="A126" s="265" t="s">
        <v>25</v>
      </c>
      <c r="B126" s="10">
        <f ref="B126:L126" si="99" t="shared">B109/B$115</f>
        <v>8.1445660978012174E-2</v>
      </c>
      <c r="C126" s="10">
        <f si="99" t="shared"/>
        <v>8.5659989645219536E-2</v>
      </c>
      <c r="D126" s="10">
        <f si="99" t="shared"/>
        <v>7.8086827045758714E-2</v>
      </c>
      <c r="E126" s="10">
        <f si="99" t="shared"/>
        <v>9.0586524913669836E-2</v>
      </c>
      <c r="F126" s="10">
        <f si="99" t="shared"/>
        <v>7.8552766282112191E-2</v>
      </c>
      <c r="G126" s="10">
        <f si="99" t="shared"/>
        <v>8.5658647020562792E-2</v>
      </c>
      <c r="H126" s="10">
        <f si="99" t="shared"/>
        <v>7.5392581358141697E-2</v>
      </c>
      <c r="I126" s="10" t="e">
        <f si="99" t="shared"/>
        <v>#DIV/0!</v>
      </c>
      <c r="J126" s="10" t="e">
        <f si="99" t="shared"/>
        <v>#DIV/0!</v>
      </c>
      <c r="K126" s="10" t="e">
        <f si="99" t="shared"/>
        <v>#DIV/0!</v>
      </c>
      <c r="L126" s="10">
        <f si="99" t="shared"/>
        <v>8.3084548646434428E-2</v>
      </c>
      <c r="M126" s="265" t="s">
        <v>25</v>
      </c>
      <c r="N126" s="10">
        <f ref="N126:X126" si="100" t="shared">N109/N$115</f>
        <v>7.6429844982936465E-2</v>
      </c>
      <c r="O126" s="10">
        <f si="100" t="shared"/>
        <v>7.5397055834615714E-2</v>
      </c>
      <c r="P126" s="10">
        <f si="100" t="shared"/>
        <v>8.0267129753732472E-2</v>
      </c>
      <c r="Q126" s="10">
        <f si="100" t="shared"/>
        <v>8.9300176949779472E-2</v>
      </c>
      <c r="R126" s="10">
        <f si="100" t="shared"/>
        <v>8.2248009628957244E-2</v>
      </c>
      <c r="S126" s="10">
        <f si="100" t="shared"/>
        <v>8.5126822584429232E-2</v>
      </c>
      <c r="T126" s="10">
        <f si="100" t="shared"/>
        <v>8.2542503133959874E-2</v>
      </c>
      <c r="U126" s="10" t="e">
        <f si="100" t="shared"/>
        <v>#DIV/0!</v>
      </c>
      <c r="V126" s="10" t="e">
        <f si="100" t="shared"/>
        <v>#DIV/0!</v>
      </c>
      <c r="W126" s="10" t="e">
        <f si="100" t="shared"/>
        <v>#DIV/0!</v>
      </c>
      <c r="X126" s="10">
        <f si="100" t="shared"/>
        <v>8.1127922823385726E-2</v>
      </c>
      <c r="Y126" s="265" t="s">
        <v>25</v>
      </c>
      <c r="Z126" s="10">
        <f si="86" t="shared"/>
        <v>-5.0158159950757092E-3</v>
      </c>
      <c r="AA126" s="10">
        <f si="87" t="shared"/>
        <v>-1.0262933810603822E-2</v>
      </c>
      <c r="AB126" s="10">
        <f si="88" t="shared"/>
        <v>2.180302707973758E-3</v>
      </c>
      <c r="AC126" s="10">
        <f si="89" t="shared"/>
        <v>-1.2863479638903635E-3</v>
      </c>
      <c r="AD126" s="10">
        <f si="90" t="shared"/>
        <v>3.6952433468450535E-3</v>
      </c>
      <c r="AE126" s="10">
        <f si="91" t="shared"/>
        <v>-5.3182443613356001E-4</v>
      </c>
      <c r="AF126" s="10">
        <f si="92" t="shared"/>
        <v>7.1499217758181771E-3</v>
      </c>
      <c r="AG126" s="10" t="e">
        <f si="93" t="shared"/>
        <v>#DIV/0!</v>
      </c>
      <c r="AH126" s="10" t="e">
        <f si="94" t="shared"/>
        <v>#DIV/0!</v>
      </c>
      <c r="AI126" s="10" t="e">
        <f si="95" t="shared"/>
        <v>#DIV/0!</v>
      </c>
      <c r="AJ126" s="10">
        <f si="96" t="shared"/>
        <v>-1.9566258230487021E-3</v>
      </c>
    </row>
    <row r="127" spans="1:36" x14ac:dyDescent="0.2">
      <c r="A127" s="265" t="s">
        <v>26</v>
      </c>
      <c r="B127" s="10">
        <f ref="B127:L127" si="101" t="shared">B110/B$115</f>
        <v>0.11672977756178168</v>
      </c>
      <c r="C127" s="10">
        <f si="101" t="shared"/>
        <v>0.14409450688920816</v>
      </c>
      <c r="D127" s="10">
        <f si="101" t="shared"/>
        <v>0.13661594172089161</v>
      </c>
      <c r="E127" s="10">
        <f si="101" t="shared"/>
        <v>0.14122931995452465</v>
      </c>
      <c r="F127" s="10">
        <f si="101" t="shared"/>
        <v>0.14683231548247835</v>
      </c>
      <c r="G127" s="10">
        <f si="101" t="shared"/>
        <v>0.13523322674590357</v>
      </c>
      <c r="H127" s="10">
        <f si="101" t="shared"/>
        <v>0.16246940051103642</v>
      </c>
      <c r="I127" s="10" t="e">
        <f si="101" t="shared"/>
        <v>#DIV/0!</v>
      </c>
      <c r="J127" s="10" t="e">
        <f si="101" t="shared"/>
        <v>#DIV/0!</v>
      </c>
      <c r="K127" s="10" t="e">
        <f si="101" t="shared"/>
        <v>#DIV/0!</v>
      </c>
      <c r="L127" s="10">
        <f si="101" t="shared"/>
        <v>0.13197857234461824</v>
      </c>
      <c r="M127" s="265" t="s">
        <v>26</v>
      </c>
      <c r="N127" s="10">
        <f ref="N127:X127" si="102" t="shared">N110/N$115</f>
        <v>0.12613753050008672</v>
      </c>
      <c r="O127" s="10">
        <f si="102" t="shared"/>
        <v>0.14373493800993004</v>
      </c>
      <c r="P127" s="10">
        <f si="102" t="shared"/>
        <v>0.14456707963776647</v>
      </c>
      <c r="Q127" s="10">
        <f si="102" t="shared"/>
        <v>0.13021596894869686</v>
      </c>
      <c r="R127" s="10">
        <f si="102" t="shared"/>
        <v>0.14281886923732101</v>
      </c>
      <c r="S127" s="10">
        <f si="102" t="shared"/>
        <v>0.1333639671431566</v>
      </c>
      <c r="T127" s="10">
        <f si="102" t="shared"/>
        <v>0.14294176068546277</v>
      </c>
      <c r="U127" s="10" t="e">
        <f si="102" t="shared"/>
        <v>#DIV/0!</v>
      </c>
      <c r="V127" s="10" t="e">
        <f si="102" t="shared"/>
        <v>#DIV/0!</v>
      </c>
      <c r="W127" s="10" t="e">
        <f si="102" t="shared"/>
        <v>#DIV/0!</v>
      </c>
      <c r="X127" s="10">
        <f si="102" t="shared"/>
        <v>0.13229758917054166</v>
      </c>
      <c r="Y127" s="265" t="s">
        <v>26</v>
      </c>
      <c r="Z127" s="10">
        <f si="86" t="shared"/>
        <v>9.4077529383050362E-3</v>
      </c>
      <c r="AA127" s="10">
        <f si="87" t="shared"/>
        <v>-3.5956887927812708E-4</v>
      </c>
      <c r="AB127" s="10">
        <f si="88" t="shared"/>
        <v>7.9511379168748508E-3</v>
      </c>
      <c r="AC127" s="10">
        <f si="89" t="shared"/>
        <v>-1.1013351005827787E-2</v>
      </c>
      <c r="AD127" s="10">
        <f si="90" t="shared"/>
        <v>-4.0134462451573427E-3</v>
      </c>
      <c r="AE127" s="10">
        <f si="91" t="shared"/>
        <v>-1.8692596027469754E-3</v>
      </c>
      <c r="AF127" s="10">
        <f si="92" t="shared"/>
        <v>-1.9527639825573651E-2</v>
      </c>
      <c r="AG127" s="10" t="e">
        <f si="93" t="shared"/>
        <v>#DIV/0!</v>
      </c>
      <c r="AH127" s="10" t="e">
        <f si="94" t="shared"/>
        <v>#DIV/0!</v>
      </c>
      <c r="AI127" s="10" t="e">
        <f si="95" t="shared"/>
        <v>#DIV/0!</v>
      </c>
      <c r="AJ127" s="10">
        <f si="96" t="shared"/>
        <v>3.1901682592341829E-4</v>
      </c>
    </row>
    <row r="128" spans="1:36" x14ac:dyDescent="0.2">
      <c r="A128" s="265" t="s">
        <v>27</v>
      </c>
      <c r="B128" s="10">
        <f ref="B128:L128" si="103" t="shared">B111/B$115</f>
        <v>8.2998349380690423E-2</v>
      </c>
      <c r="C128" s="10">
        <f si="103" t="shared"/>
        <v>9.2622390453414472E-2</v>
      </c>
      <c r="D128" s="10">
        <f si="103" t="shared"/>
        <v>8.415704351062564E-2</v>
      </c>
      <c r="E128" s="10">
        <f si="103" t="shared"/>
        <v>9.5214415715189821E-2</v>
      </c>
      <c r="F128" s="10">
        <f si="103" t="shared"/>
        <v>9.3589971594376861E-2</v>
      </c>
      <c r="G128" s="10">
        <f si="103" t="shared"/>
        <v>0.10375607272545143</v>
      </c>
      <c r="H128" s="10">
        <f si="103" t="shared"/>
        <v>0.10050076856902015</v>
      </c>
      <c r="I128" s="10" t="e">
        <f si="103" t="shared"/>
        <v>#DIV/0!</v>
      </c>
      <c r="J128" s="10" t="e">
        <f si="103" t="shared"/>
        <v>#DIV/0!</v>
      </c>
      <c r="K128" s="10" t="e">
        <f si="103" t="shared"/>
        <v>#DIV/0!</v>
      </c>
      <c r="L128" s="10">
        <f si="103" t="shared"/>
        <v>9.0925228089460214E-2</v>
      </c>
      <c r="M128" s="265" t="s">
        <v>27</v>
      </c>
      <c r="N128" s="10">
        <f ref="N128:X128" si="104" t="shared">N111/N$115</f>
        <v>8.0473888071678754E-2</v>
      </c>
      <c r="O128" s="10">
        <f si="104" t="shared"/>
        <v>9.0934496675474E-2</v>
      </c>
      <c r="P128" s="10">
        <f si="104" t="shared"/>
        <v>9.2073518956655512E-2</v>
      </c>
      <c r="Q128" s="10">
        <f si="104" t="shared"/>
        <v>8.3259689692008962E-2</v>
      </c>
      <c r="R128" s="10">
        <f si="104" t="shared"/>
        <v>8.9063855821560386E-2</v>
      </c>
      <c r="S128" s="10">
        <f si="104" t="shared"/>
        <v>8.3925995749211821E-2</v>
      </c>
      <c r="T128" s="10">
        <f si="104" t="shared"/>
        <v>8.8897229094381344E-2</v>
      </c>
      <c r="U128" s="10" t="e">
        <f si="104" t="shared"/>
        <v>#DIV/0!</v>
      </c>
      <c r="V128" s="10" t="e">
        <f si="104" t="shared"/>
        <v>#DIV/0!</v>
      </c>
      <c r="W128" s="10" t="e">
        <f si="104" t="shared"/>
        <v>#DIV/0!</v>
      </c>
      <c r="X128" s="10">
        <f si="104" t="shared"/>
        <v>8.386313432761397E-2</v>
      </c>
      <c r="Y128" s="265" t="s">
        <v>27</v>
      </c>
      <c r="Z128" s="10">
        <f si="86" t="shared"/>
        <v>-2.5244613090116691E-3</v>
      </c>
      <c r="AA128" s="10">
        <f si="87" t="shared"/>
        <v>-1.6878937779404718E-3</v>
      </c>
      <c r="AB128" s="10">
        <f si="88" t="shared"/>
        <v>7.916475446029872E-3</v>
      </c>
      <c r="AC128" s="10">
        <f si="89" t="shared"/>
        <v>-1.1954726023180859E-2</v>
      </c>
      <c r="AD128" s="10">
        <f si="90" t="shared"/>
        <v>-4.5261157728164747E-3</v>
      </c>
      <c r="AE128" s="10">
        <f si="91" t="shared"/>
        <v>-1.9830076976239605E-2</v>
      </c>
      <c r="AF128" s="10">
        <f si="92" t="shared"/>
        <v>-1.160353947463881E-2</v>
      </c>
      <c r="AG128" s="10" t="e">
        <f si="93" t="shared"/>
        <v>#DIV/0!</v>
      </c>
      <c r="AH128" s="10" t="e">
        <f si="94" t="shared"/>
        <v>#DIV/0!</v>
      </c>
      <c r="AI128" s="10" t="e">
        <f si="95" t="shared"/>
        <v>#DIV/0!</v>
      </c>
      <c r="AJ128" s="10">
        <f si="96" t="shared"/>
        <v>-7.0620937618462443E-3</v>
      </c>
    </row>
    <row r="129" spans="1:36" x14ac:dyDescent="0.2">
      <c r="A129" s="265" t="s">
        <v>28</v>
      </c>
      <c r="B129" s="10">
        <f ref="B129:L129" si="105" t="shared">B112/B$115</f>
        <v>5.5291020248064093E-2</v>
      </c>
      <c r="C129" s="10">
        <f si="105" t="shared"/>
        <v>3.1985681710839237E-2</v>
      </c>
      <c r="D129" s="10">
        <f si="105" t="shared"/>
        <v>4.0311919915433862E-2</v>
      </c>
      <c r="E129" s="10">
        <f si="105" t="shared"/>
        <v>4.3685417135096889E-2</v>
      </c>
      <c r="F129" s="10">
        <f si="105" t="shared"/>
        <v>4.9350470121624711E-2</v>
      </c>
      <c r="G129" s="10">
        <f si="105" t="shared"/>
        <v>5.7348232743898539E-2</v>
      </c>
      <c r="H129" s="10">
        <f si="105" t="shared"/>
        <v>5.5651277386904355E-2</v>
      </c>
      <c r="I129" s="10" t="e">
        <f si="105" t="shared"/>
        <v>#DIV/0!</v>
      </c>
      <c r="J129" s="10" t="e">
        <f si="105" t="shared"/>
        <v>#DIV/0!</v>
      </c>
      <c r="K129" s="10" t="e">
        <f si="105" t="shared"/>
        <v>#DIV/0!</v>
      </c>
      <c r="L129" s="10">
        <f si="105" t="shared"/>
        <v>5.1283661607990555E-2</v>
      </c>
      <c r="M129" s="265" t="s">
        <v>28</v>
      </c>
      <c r="N129" s="10">
        <f ref="N129:X129" si="106" t="shared">N112/N$115</f>
        <v>5.1865517902713557E-2</v>
      </c>
      <c r="O129" s="10">
        <f si="106" t="shared"/>
        <v>5.3464620655613949E-2</v>
      </c>
      <c r="P129" s="10">
        <f si="106" t="shared"/>
        <v>5.555296558315171E-2</v>
      </c>
      <c r="Q129" s="10">
        <f si="106" t="shared"/>
        <v>5.0298436157626782E-2</v>
      </c>
      <c r="R129" s="10">
        <f si="106" t="shared"/>
        <v>5.3505092390804504E-2</v>
      </c>
      <c r="S129" s="10">
        <f si="106" t="shared"/>
        <v>5.0504139034923928E-2</v>
      </c>
      <c r="T129" s="10">
        <f si="106" t="shared"/>
        <v>5.3350081827628376E-2</v>
      </c>
      <c r="U129" s="10" t="e">
        <f si="106" t="shared"/>
        <v>#DIV/0!</v>
      </c>
      <c r="V129" s="10" t="e">
        <f si="106" t="shared"/>
        <v>#DIV/0!</v>
      </c>
      <c r="W129" s="10" t="e">
        <f si="106" t="shared"/>
        <v>#DIV/0!</v>
      </c>
      <c r="X129" s="10">
        <f si="106" t="shared"/>
        <v>5.185893504342546E-2</v>
      </c>
      <c r="Y129" s="265" t="s">
        <v>28</v>
      </c>
      <c r="Z129" s="10">
        <f si="86" t="shared"/>
        <v>-3.4255023453505368E-3</v>
      </c>
      <c r="AA129" s="10">
        <f si="87" t="shared"/>
        <v>2.1478938944774713E-2</v>
      </c>
      <c r="AB129" s="10">
        <f si="88" t="shared"/>
        <v>1.5241045667717848E-2</v>
      </c>
      <c r="AC129" s="10">
        <f si="89" t="shared"/>
        <v>6.6130190225298924E-3</v>
      </c>
      <c r="AD129" s="10">
        <f si="90" t="shared"/>
        <v>4.1546222691797932E-3</v>
      </c>
      <c r="AE129" s="10">
        <f si="91" t="shared"/>
        <v>-6.8440937089746107E-3</v>
      </c>
      <c r="AF129" s="10">
        <f si="92" t="shared"/>
        <v>-2.3011955592759786E-3</v>
      </c>
      <c r="AG129" s="10" t="e">
        <f si="93" t="shared"/>
        <v>#DIV/0!</v>
      </c>
      <c r="AH129" s="10" t="e">
        <f si="94" t="shared"/>
        <v>#DIV/0!</v>
      </c>
      <c r="AI129" s="10" t="e">
        <f si="95" t="shared"/>
        <v>#DIV/0!</v>
      </c>
      <c r="AJ129" s="10">
        <f si="96" t="shared"/>
        <v>5.7527343543490456E-4</v>
      </c>
    </row>
    <row r="130" spans="1:36" x14ac:dyDescent="0.2">
      <c r="A130" s="265" t="s">
        <v>29</v>
      </c>
      <c r="B130" s="10">
        <f ref="B130:L130" si="107" t="shared">B113/B$115</f>
        <v>7.1339514327617162E-2</v>
      </c>
      <c r="C130" s="10">
        <f si="107" t="shared"/>
        <v>6.2088500566918239E-2</v>
      </c>
      <c r="D130" s="10">
        <f si="107" t="shared"/>
        <v>7.9088758431807668E-2</v>
      </c>
      <c r="E130" s="10">
        <f si="107" t="shared"/>
        <v>7.4061533079701675E-2</v>
      </c>
      <c r="F130" s="10">
        <f si="107" t="shared"/>
        <v>9.1903530679470824E-2</v>
      </c>
      <c r="G130" s="10">
        <f si="107" t="shared"/>
        <v>8.0627308145607007E-2</v>
      </c>
      <c r="H130" s="10">
        <f si="107" t="shared"/>
        <v>6.7963748192885851E-2</v>
      </c>
      <c r="I130" s="10" t="e">
        <f si="107" t="shared"/>
        <v>#DIV/0!</v>
      </c>
      <c r="J130" s="10" t="e">
        <f si="107" t="shared"/>
        <v>#DIV/0!</v>
      </c>
      <c r="K130" s="10" t="e">
        <f si="107" t="shared"/>
        <v>#DIV/0!</v>
      </c>
      <c r="L130" s="10">
        <f si="107" t="shared"/>
        <v>7.4759972698993732E-2</v>
      </c>
      <c r="M130" s="265" t="s">
        <v>29</v>
      </c>
      <c r="N130" s="10">
        <f ref="N130:X130" si="108" t="shared">N113/N$115</f>
        <v>6.4224763271609753E-2</v>
      </c>
      <c r="O130" s="10">
        <f si="108" t="shared"/>
        <v>8.1443628233791115E-2</v>
      </c>
      <c r="P130" s="10">
        <f si="108" t="shared"/>
        <v>8.5505996433607998E-2</v>
      </c>
      <c r="Q130" s="10">
        <f si="108" t="shared"/>
        <v>7.4373243060923619E-2</v>
      </c>
      <c r="R130" s="10">
        <f si="108" t="shared"/>
        <v>8.1070381759364041E-2</v>
      </c>
      <c r="S130" s="10">
        <f si="108" t="shared"/>
        <v>8.0294362222126589E-2</v>
      </c>
      <c r="T130" s="10">
        <f si="108" t="shared"/>
        <v>8.1414022268348665E-2</v>
      </c>
      <c r="U130" s="10" t="e">
        <f si="108" t="shared"/>
        <v>#DIV/0!</v>
      </c>
      <c r="V130" s="10" t="e">
        <f si="108" t="shared"/>
        <v>#DIV/0!</v>
      </c>
      <c r="W130" s="10" t="e">
        <f si="108" t="shared"/>
        <v>#DIV/0!</v>
      </c>
      <c r="X130" s="10">
        <f si="108" t="shared"/>
        <v>7.2860534131458154E-2</v>
      </c>
      <c r="Y130" s="265" t="s">
        <v>29</v>
      </c>
      <c r="Z130" s="10">
        <f si="86" t="shared"/>
        <v>-7.1147510560074095E-3</v>
      </c>
      <c r="AA130" s="10">
        <f si="87" t="shared"/>
        <v>1.9355127666872876E-2</v>
      </c>
      <c r="AB130" s="10">
        <f si="88" t="shared"/>
        <v>6.4172380018003294E-3</v>
      </c>
      <c r="AC130" s="10">
        <f si="89" t="shared"/>
        <v>3.1170998122194427E-4</v>
      </c>
      <c r="AD130" s="10">
        <f si="90" t="shared"/>
        <v>-1.0833148920106783E-2</v>
      </c>
      <c r="AE130" s="10">
        <f si="91" t="shared"/>
        <v>-3.3294592348041829E-4</v>
      </c>
      <c r="AF130" s="10">
        <f si="92" t="shared"/>
        <v>1.3450274075462815E-2</v>
      </c>
      <c r="AG130" s="10" t="e">
        <f si="93" t="shared"/>
        <v>#DIV/0!</v>
      </c>
      <c r="AH130" s="10" t="e">
        <f si="94" t="shared"/>
        <v>#DIV/0!</v>
      </c>
      <c r="AI130" s="10" t="e">
        <f si="95" t="shared"/>
        <v>#DIV/0!</v>
      </c>
      <c r="AJ130" s="10">
        <f si="96" t="shared"/>
        <v>-1.8994385675355774E-3</v>
      </c>
    </row>
    <row r="131" spans="1:36" x14ac:dyDescent="0.2">
      <c r="A131" s="6" t="s">
        <v>38</v>
      </c>
      <c r="B131" s="10">
        <f ref="B131:L131" si="109" t="shared">B114/B$115</f>
        <v>0.35291848765195344</v>
      </c>
      <c r="C131" s="10">
        <f si="109" t="shared"/>
        <v>0.34695119322559648</v>
      </c>
      <c r="D131" s="10">
        <f si="109" t="shared"/>
        <v>0.33898776072175996</v>
      </c>
      <c r="E131" s="10">
        <f si="109" t="shared"/>
        <v>0.32733678222624102</v>
      </c>
      <c r="F131" s="10">
        <f si="109" t="shared"/>
        <v>0.33541175354431946</v>
      </c>
      <c r="G131" s="10">
        <f si="109" t="shared"/>
        <v>0.32471264770718056</v>
      </c>
      <c r="H131" s="10">
        <f si="109" t="shared"/>
        <v>0.3183468893401214</v>
      </c>
      <c r="I131" s="10" t="e">
        <f si="109" t="shared"/>
        <v>#DIV/0!</v>
      </c>
      <c r="J131" s="10" t="e">
        <f si="109" t="shared"/>
        <v>#DIV/0!</v>
      </c>
      <c r="K131" s="10" t="e">
        <f si="109" t="shared"/>
        <v>#DIV/0!</v>
      </c>
      <c r="L131" s="10">
        <f si="109" t="shared"/>
        <v>0.33935299164890936</v>
      </c>
      <c r="M131" s="6" t="s">
        <v>38</v>
      </c>
      <c r="N131" s="10">
        <f ref="N131:X131" si="110" t="shared">N114/N$115</f>
        <v>0.36759177096419271</v>
      </c>
      <c r="O131" s="10">
        <f si="110" t="shared"/>
        <v>0.33967872593710985</v>
      </c>
      <c r="P131" s="10">
        <f si="110" t="shared"/>
        <v>0.31922122119788815</v>
      </c>
      <c r="Q131" s="10">
        <f si="110" t="shared"/>
        <v>0.35134783241646145</v>
      </c>
      <c r="R131" s="10">
        <f si="110" t="shared"/>
        <v>0.32494931601613891</v>
      </c>
      <c r="S131" s="10">
        <f si="110" t="shared"/>
        <v>0.35166179163363814</v>
      </c>
      <c r="T131" s="10">
        <f si="110" t="shared"/>
        <v>0.32847473811329231</v>
      </c>
      <c r="U131" s="10" t="e">
        <f si="110" t="shared"/>
        <v>#DIV/0!</v>
      </c>
      <c r="V131" s="10" t="e">
        <f si="110" t="shared"/>
        <v>#DIV/0!</v>
      </c>
      <c r="W131" s="10" t="e">
        <f si="110" t="shared"/>
        <v>#DIV/0!</v>
      </c>
      <c r="X131" s="10">
        <f si="110" t="shared"/>
        <v>0.35225677004162848</v>
      </c>
      <c r="Y131" s="6" t="s">
        <v>38</v>
      </c>
      <c r="Z131" s="10">
        <f si="86" t="shared"/>
        <v>1.4673283312239271E-2</v>
      </c>
      <c r="AA131" s="10">
        <f si="87" t="shared"/>
        <v>-7.2724672884866282E-3</v>
      </c>
      <c r="AB131" s="10">
        <f si="88" t="shared"/>
        <v>-1.9766539523871807E-2</v>
      </c>
      <c r="AC131" s="10">
        <f si="89" t="shared"/>
        <v>2.4011050190220429E-2</v>
      </c>
      <c r="AD131" s="10">
        <f si="90" t="shared"/>
        <v>-1.0462437528180546E-2</v>
      </c>
      <c r="AE131" s="10">
        <f si="91" t="shared"/>
        <v>2.6949143926457586E-2</v>
      </c>
      <c r="AF131" s="10">
        <f si="92" t="shared"/>
        <v>1.0127848773170911E-2</v>
      </c>
      <c r="AG131" s="10" t="e">
        <f si="93" t="shared"/>
        <v>#DIV/0!</v>
      </c>
      <c r="AH131" s="10" t="e">
        <f si="94" t="shared"/>
        <v>#DIV/0!</v>
      </c>
      <c r="AI131" s="10" t="e">
        <f si="95" t="shared"/>
        <v>#DIV/0!</v>
      </c>
      <c r="AJ131" s="10">
        <f si="96" t="shared"/>
        <v>1.2903778392719112E-2</v>
      </c>
    </row>
    <row customHeight="1" ht="13.15" r="132" spans="1:36" thickBot="1" x14ac:dyDescent="0.25">
      <c r="A132" s="8" t="s">
        <v>4</v>
      </c>
      <c r="B132" s="12">
        <f ref="B132:L132" si="111" t="shared">B115/B$115</f>
        <v>1</v>
      </c>
      <c r="C132" s="12">
        <f si="111" t="shared"/>
        <v>1</v>
      </c>
      <c r="D132" s="12">
        <f si="111" t="shared"/>
        <v>1</v>
      </c>
      <c r="E132" s="12">
        <f si="111" t="shared"/>
        <v>1</v>
      </c>
      <c r="F132" s="12">
        <f si="111" t="shared"/>
        <v>1</v>
      </c>
      <c r="G132" s="12">
        <f si="111" t="shared"/>
        <v>1</v>
      </c>
      <c r="H132" s="12">
        <f si="111" t="shared"/>
        <v>1</v>
      </c>
      <c r="I132" s="12" t="e">
        <f si="111" t="shared"/>
        <v>#DIV/0!</v>
      </c>
      <c r="J132" s="12" t="e">
        <f si="111" t="shared"/>
        <v>#DIV/0!</v>
      </c>
      <c r="K132" s="12" t="e">
        <f si="111" t="shared"/>
        <v>#DIV/0!</v>
      </c>
      <c r="L132" s="12">
        <f si="111" t="shared"/>
        <v>1</v>
      </c>
      <c r="M132" s="8" t="s">
        <v>4</v>
      </c>
      <c r="N132" s="12">
        <f ref="N132:X132" si="112" t="shared">N115/N$115</f>
        <v>1</v>
      </c>
      <c r="O132" s="12">
        <f si="112" t="shared"/>
        <v>1</v>
      </c>
      <c r="P132" s="12">
        <f si="112" t="shared"/>
        <v>1</v>
      </c>
      <c r="Q132" s="12">
        <f si="112" t="shared"/>
        <v>1</v>
      </c>
      <c r="R132" s="12">
        <f si="112" t="shared"/>
        <v>1</v>
      </c>
      <c r="S132" s="12">
        <f si="112" t="shared"/>
        <v>1</v>
      </c>
      <c r="T132" s="12">
        <f si="112" t="shared"/>
        <v>1</v>
      </c>
      <c r="U132" s="12" t="e">
        <f si="112" t="shared"/>
        <v>#DIV/0!</v>
      </c>
      <c r="V132" s="12" t="e">
        <f si="112" t="shared"/>
        <v>#DIV/0!</v>
      </c>
      <c r="W132" s="12" t="e">
        <f si="112" t="shared"/>
        <v>#DIV/0!</v>
      </c>
      <c r="X132" s="12">
        <f si="112" t="shared"/>
        <v>1</v>
      </c>
      <c r="Y132" s="8" t="s">
        <v>4</v>
      </c>
      <c r="Z132" s="12">
        <f si="86" t="shared"/>
        <v>0</v>
      </c>
      <c r="AA132" s="12">
        <f si="87" t="shared"/>
        <v>0</v>
      </c>
      <c r="AB132" s="12">
        <f si="88" t="shared"/>
        <v>0</v>
      </c>
      <c r="AC132" s="12">
        <f si="89" t="shared"/>
        <v>0</v>
      </c>
      <c r="AD132" s="12">
        <f si="90" t="shared"/>
        <v>0</v>
      </c>
      <c r="AE132" s="12">
        <f si="91" t="shared"/>
        <v>0</v>
      </c>
      <c r="AF132" s="12">
        <f si="92" t="shared"/>
        <v>0</v>
      </c>
      <c r="AG132" s="12" t="e">
        <f si="93" t="shared"/>
        <v>#DIV/0!</v>
      </c>
      <c r="AH132" s="12" t="e">
        <f si="94" t="shared"/>
        <v>#DIV/0!</v>
      </c>
      <c r="AI132" s="12" t="e">
        <f si="95" t="shared"/>
        <v>#DIV/0!</v>
      </c>
      <c r="AJ132" s="12">
        <f si="96" t="shared"/>
        <v>0</v>
      </c>
    </row>
    <row r="134" spans="1:36" x14ac:dyDescent="0.2">
      <c r="F134" s="5"/>
      <c r="R134" s="5"/>
    </row>
    <row r="135" spans="1:36" x14ac:dyDescent="0.2">
      <c r="F135" s="219"/>
      <c r="R135" s="219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conditionalFormatting sqref="Z22:AI30 Z90:AD98 Z56:AF64 Z124:AC132 AJ124:AJ132 AD124:AI131">
    <cfRule dxfId="21" operator="notBetween" priority="4" stopIfTrue="1" type="cellIs">
      <formula>-0.15</formula>
      <formula>0.15</formula>
    </cfRule>
    <cfRule dxfId="20" operator="notBetween" priority="5" stopIfTrue="1" type="cellIs">
      <formula>-0.1</formula>
      <formula>0.1</formula>
    </cfRule>
    <cfRule dxfId="19" operator="notBetween" priority="6" stopIfTrue="1" type="cellIs">
      <formula>-0.05</formula>
      <formula>0.05</formula>
    </cfRule>
  </conditionalFormatting>
  <conditionalFormatting sqref="AD132:AI132">
    <cfRule dxfId="18" operator="notBetween" priority="1" stopIfTrue="1" type="cellIs">
      <formula>-0.15</formula>
      <formula>0.15</formula>
    </cfRule>
    <cfRule dxfId="17" operator="notBetween" priority="2" stopIfTrue="1" type="cellIs">
      <formula>-0.1</formula>
      <formula>0.1</formula>
    </cfRule>
    <cfRule dxfId="1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75"/>
  <sheetViews>
    <sheetView workbookViewId="0">
      <selection activeCell="F22" sqref="F22"/>
    </sheetView>
  </sheetViews>
  <sheetFormatPr defaultColWidth="11" defaultRowHeight="12.75" x14ac:dyDescent="0.2"/>
  <sheetData>
    <row r="1" spans="1:23" x14ac:dyDescent="0.2">
      <c r="A1" t="s">
        <v>229</v>
      </c>
      <c r="B1">
        <v>1</v>
      </c>
    </row>
    <row r="2" spans="1:23" x14ac:dyDescent="0.2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2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2">
      <c r="A4">
        <v>0</v>
      </c>
      <c r="B4">
        <f ref="B4:J7" si="0" t="shared">O4*$B$1</f>
        <v>203141</v>
      </c>
      <c r="C4">
        <f si="0" t="shared"/>
        <v>28627</v>
      </c>
      <c r="D4">
        <f si="0" t="shared"/>
        <v>85665</v>
      </c>
      <c r="E4">
        <f si="0" t="shared"/>
        <v>74383</v>
      </c>
      <c r="F4">
        <f si="0" t="shared"/>
        <v>27190</v>
      </c>
      <c r="G4">
        <f si="0" t="shared"/>
        <v>14113</v>
      </c>
      <c r="H4">
        <f si="0" t="shared"/>
        <v>64537</v>
      </c>
      <c r="I4">
        <f si="0" t="shared"/>
        <v>0</v>
      </c>
      <c r="J4">
        <f si="0" t="shared"/>
        <v>497656</v>
      </c>
      <c r="N4">
        <v>0</v>
      </c>
      <c r="O4" s="60" t="n">
        <v>203956.0</v>
      </c>
      <c r="P4" s="60" t="n">
        <v>29130.0</v>
      </c>
      <c r="Q4" s="60" t="n">
        <v>89537.0</v>
      </c>
      <c r="R4" s="60" t="n">
        <v>77800.0</v>
      </c>
      <c r="S4" s="60" t="n">
        <v>27869.0</v>
      </c>
      <c r="T4" s="60" t="n">
        <v>13965.0</v>
      </c>
      <c r="U4" s="60" t="n">
        <v>65517.0</v>
      </c>
      <c r="V4" s="60" t="n">
        <v>0.0</v>
      </c>
      <c r="W4">
        <f>SUM(O4:V4)</f>
        <v>497656</v>
      </c>
    </row>
    <row r="5" spans="1:23" x14ac:dyDescent="0.2">
      <c r="A5">
        <v>1</v>
      </c>
      <c r="B5">
        <f si="0" t="shared"/>
        <v>416129</v>
      </c>
      <c r="C5">
        <f si="0" t="shared"/>
        <v>41413</v>
      </c>
      <c r="D5">
        <f si="0" t="shared"/>
        <v>85214</v>
      </c>
      <c r="E5">
        <f si="0" t="shared"/>
        <v>74442</v>
      </c>
      <c r="F5">
        <f si="0" t="shared"/>
        <v>24645</v>
      </c>
      <c r="G5">
        <f si="0" t="shared"/>
        <v>25720</v>
      </c>
      <c r="H5">
        <f si="0" t="shared"/>
        <v>150773</v>
      </c>
      <c r="I5">
        <f si="0" t="shared"/>
        <v>0</v>
      </c>
      <c r="J5">
        <f si="0" t="shared"/>
        <v>818336</v>
      </c>
      <c r="N5">
        <v>1</v>
      </c>
      <c r="O5" s="60" t="n">
        <v>422911.0</v>
      </c>
      <c r="P5" s="60" t="n">
        <v>42351.0</v>
      </c>
      <c r="Q5" s="60" t="n">
        <v>83737.0</v>
      </c>
      <c r="R5" s="60" t="n">
        <v>73295.0</v>
      </c>
      <c r="S5" s="60" t="n">
        <v>24592.0</v>
      </c>
      <c r="T5" s="60" t="n">
        <v>25933.0</v>
      </c>
      <c r="U5" s="60" t="n">
        <v>151443.0</v>
      </c>
      <c r="V5" s="60" t="n">
        <v>0.0</v>
      </c>
      <c r="W5">
        <f>SUM(O5:V5)</f>
        <v>818336</v>
      </c>
    </row>
    <row r="6" spans="1:23" x14ac:dyDescent="0.2">
      <c r="A6">
        <v>2</v>
      </c>
      <c r="B6">
        <f si="0" t="shared"/>
        <v>186888</v>
      </c>
      <c r="C6">
        <f si="0" t="shared"/>
        <v>27865</v>
      </c>
      <c r="D6">
        <f si="0" t="shared"/>
        <v>34074</v>
      </c>
      <c r="E6">
        <f si="0" t="shared"/>
        <v>36287</v>
      </c>
      <c r="F6">
        <f si="0" t="shared"/>
        <v>10071</v>
      </c>
      <c r="G6">
        <f si="0" t="shared"/>
        <v>12593</v>
      </c>
      <c r="H6">
        <f si="0" t="shared"/>
        <v>44025</v>
      </c>
      <c r="I6">
        <f si="0" t="shared"/>
        <v>0</v>
      </c>
      <c r="J6">
        <f si="0" t="shared"/>
        <v>351803</v>
      </c>
      <c r="N6">
        <v>2</v>
      </c>
      <c r="O6" s="60" t="n">
        <v>181576.0</v>
      </c>
      <c r="P6" s="60" t="n">
        <v>27021.0</v>
      </c>
      <c r="Q6" s="60" t="n">
        <v>32413.0</v>
      </c>
      <c r="R6" s="60" t="n">
        <v>34977.0</v>
      </c>
      <c r="S6" s="60" t="n">
        <v>9627.0</v>
      </c>
      <c r="T6" s="60" t="n">
        <v>12569.0</v>
      </c>
      <c r="U6" s="60" t="n">
        <v>42771.0</v>
      </c>
      <c r="V6" s="60" t="n">
        <v>0.0</v>
      </c>
      <c r="W6">
        <f>SUM(O6:V6)</f>
        <v>351803</v>
      </c>
    </row>
    <row r="7" spans="1:23" x14ac:dyDescent="0.2">
      <c r="A7">
        <v>3</v>
      </c>
      <c r="B7">
        <f si="0" t="shared"/>
        <v>45857</v>
      </c>
      <c r="C7">
        <f si="0" t="shared"/>
        <v>10720</v>
      </c>
      <c r="D7">
        <f si="0" t="shared"/>
        <v>10457</v>
      </c>
      <c r="E7">
        <f si="0" t="shared"/>
        <v>17803</v>
      </c>
      <c r="F7">
        <f si="0" t="shared"/>
        <v>2727</v>
      </c>
      <c r="G7">
        <f si="0" t="shared"/>
        <v>3076</v>
      </c>
      <c r="H7">
        <f si="0" t="shared"/>
        <v>7786</v>
      </c>
      <c r="I7">
        <f si="0" t="shared"/>
        <v>0</v>
      </c>
      <c r="J7">
        <f si="0" t="shared"/>
        <v>98426</v>
      </c>
      <c r="N7">
        <v>3</v>
      </c>
      <c r="O7" s="60" t="n">
        <v>43572.0</v>
      </c>
      <c r="P7" s="60" t="n">
        <v>10123.0</v>
      </c>
      <c r="Q7" s="60" t="n">
        <v>9723.0</v>
      </c>
      <c r="R7" s="60" t="n">
        <v>16843.0</v>
      </c>
      <c r="S7" s="60" t="n">
        <v>2545.0</v>
      </c>
      <c r="T7" s="60" t="n">
        <v>3035.0</v>
      </c>
      <c r="U7" s="60" t="n">
        <v>7390.0</v>
      </c>
      <c r="V7" s="60" t="n">
        <v>0.0</v>
      </c>
      <c r="W7">
        <f>SUM(O7:V7)</f>
        <v>98426</v>
      </c>
    </row>
    <row r="9" spans="1:23" x14ac:dyDescent="0.2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2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2">
      <c r="A11" t="s">
        <v>54</v>
      </c>
      <c r="B11">
        <f ref="B11:B23" si="1" t="shared">O11*$B$1</f>
        <v>203141</v>
      </c>
      <c r="C11">
        <f ref="C11:C23" si="2" t="shared">P11*$B$1</f>
        <v>28627</v>
      </c>
      <c r="D11">
        <f ref="D11:D23" si="3" t="shared">Q11*$B$1</f>
        <v>85665</v>
      </c>
      <c r="E11">
        <f ref="E11:E23" si="4" t="shared">R11*$B$1</f>
        <v>74383</v>
      </c>
      <c r="F11">
        <f ref="F11:F23" si="5" t="shared">S11*$B$1</f>
        <v>27190</v>
      </c>
      <c r="G11">
        <f ref="G11:G23" si="6" t="shared">T11*$B$1</f>
        <v>14113</v>
      </c>
      <c r="H11">
        <f ref="H11:H23" si="7" t="shared">U11*$B$1</f>
        <v>64537</v>
      </c>
      <c r="I11">
        <f ref="I11:I23" si="8" t="shared">V11*$B$1</f>
        <v>0</v>
      </c>
      <c r="J11">
        <f ref="J11:J23" si="9" t="shared">W11*$B$1</f>
        <v>497656</v>
      </c>
      <c r="N11" t="s">
        <v>54</v>
      </c>
      <c r="O11" s="60" t="n">
        <v>203956.0</v>
      </c>
      <c r="P11" s="60" t="n">
        <v>29130.0</v>
      </c>
      <c r="Q11" s="60" t="n">
        <v>89537.0</v>
      </c>
      <c r="R11" s="60" t="n">
        <v>77800.0</v>
      </c>
      <c r="S11" s="60" t="n">
        <v>27869.0</v>
      </c>
      <c r="T11" s="60" t="n">
        <v>13965.0</v>
      </c>
      <c r="U11" s="60" t="n">
        <v>65517.0</v>
      </c>
      <c r="V11" s="60" t="n">
        <v>0.0</v>
      </c>
      <c r="W11">
        <f ref="W11:W23" si="10" t="shared">SUM(O11:V11)</f>
        <v>497656</v>
      </c>
    </row>
    <row r="12" spans="1:23" x14ac:dyDescent="0.2">
      <c r="A12" s="58" t="s">
        <v>55</v>
      </c>
      <c r="B12">
        <f si="1" t="shared"/>
        <v>112733</v>
      </c>
      <c r="C12">
        <f si="2" t="shared"/>
        <v>9978</v>
      </c>
      <c r="D12">
        <f si="3" t="shared"/>
        <v>25648</v>
      </c>
      <c r="E12">
        <f si="4" t="shared"/>
        <v>22270</v>
      </c>
      <c r="F12">
        <f si="5" t="shared"/>
        <v>12693</v>
      </c>
      <c r="G12">
        <f si="6" t="shared"/>
        <v>14326</v>
      </c>
      <c r="H12">
        <f si="7" t="shared"/>
        <v>82766</v>
      </c>
      <c r="I12">
        <f si="8" t="shared"/>
        <v>0</v>
      </c>
      <c r="J12">
        <f si="9" t="shared"/>
        <v>280414</v>
      </c>
      <c r="N12" s="58" t="s">
        <v>55</v>
      </c>
      <c r="O12" s="60" t="n">
        <v>113938.0</v>
      </c>
      <c r="P12" s="60" t="n">
        <v>10411.0</v>
      </c>
      <c r="Q12" s="60" t="n">
        <v>25140.0</v>
      </c>
      <c r="R12" s="60" t="n">
        <v>21850.0</v>
      </c>
      <c r="S12" s="60" t="n">
        <v>12773.0</v>
      </c>
      <c r="T12" s="60" t="n">
        <v>14103.0</v>
      </c>
      <c r="U12" s="60" t="n">
        <v>82564.0</v>
      </c>
      <c r="V12" s="60" t="n">
        <v>0.0</v>
      </c>
      <c r="W12">
        <f si="10" t="shared"/>
        <v>280414</v>
      </c>
    </row>
    <row r="13" spans="1:23" x14ac:dyDescent="0.2">
      <c r="A13" s="56" t="s">
        <v>56</v>
      </c>
      <c r="B13">
        <f si="1" t="shared"/>
        <v>110855</v>
      </c>
      <c r="C13">
        <f si="2" t="shared"/>
        <v>12036</v>
      </c>
      <c r="D13">
        <f si="3" t="shared"/>
        <v>27765</v>
      </c>
      <c r="E13">
        <f si="4" t="shared"/>
        <v>22878</v>
      </c>
      <c r="F13">
        <f si="5" t="shared"/>
        <v>7057</v>
      </c>
      <c r="G13">
        <f si="6" t="shared"/>
        <v>5861</v>
      </c>
      <c r="H13">
        <f si="7" t="shared"/>
        <v>43971</v>
      </c>
      <c r="I13">
        <f si="8" t="shared"/>
        <v>0</v>
      </c>
      <c r="J13">
        <f si="9" t="shared"/>
        <v>230423</v>
      </c>
      <c r="N13" s="56" t="s">
        <v>56</v>
      </c>
      <c r="O13" s="60" t="n">
        <v>112079.0</v>
      </c>
      <c r="P13" s="60" t="n">
        <v>12195.0</v>
      </c>
      <c r="Q13" s="60" t="n">
        <v>27086.0</v>
      </c>
      <c r="R13" s="60" t="n">
        <v>22367.0</v>
      </c>
      <c r="S13" s="60" t="n">
        <v>7029.0</v>
      </c>
      <c r="T13" s="60" t="n">
        <v>6023.0</v>
      </c>
      <c r="U13" s="60" t="n">
        <v>44257.0</v>
      </c>
      <c r="V13" s="60" t="n">
        <v>0.0</v>
      </c>
      <c r="W13">
        <f si="10" t="shared"/>
        <v>230423</v>
      </c>
    </row>
    <row r="14" spans="1:23" x14ac:dyDescent="0.2">
      <c r="A14" s="56" t="s">
        <v>57</v>
      </c>
      <c r="B14">
        <f si="1" t="shared"/>
        <v>97231</v>
      </c>
      <c r="C14">
        <f si="2" t="shared"/>
        <v>10333</v>
      </c>
      <c r="D14">
        <f si="3" t="shared"/>
        <v>21240</v>
      </c>
      <c r="E14">
        <f si="4" t="shared"/>
        <v>18551</v>
      </c>
      <c r="F14">
        <f si="5" t="shared"/>
        <v>3415</v>
      </c>
      <c r="G14">
        <f si="6" t="shared"/>
        <v>3737</v>
      </c>
      <c r="H14">
        <f si="7" t="shared"/>
        <v>17697</v>
      </c>
      <c r="I14">
        <f si="8" t="shared"/>
        <v>0</v>
      </c>
      <c r="J14">
        <f si="9" t="shared"/>
        <v>172204</v>
      </c>
      <c r="N14" s="56" t="s">
        <v>57</v>
      </c>
      <c r="O14" s="60" t="n">
        <v>98563.0</v>
      </c>
      <c r="P14" s="60" t="n">
        <v>10640.0</v>
      </c>
      <c r="Q14" s="60" t="n">
        <v>20951.0</v>
      </c>
      <c r="R14" s="60" t="n">
        <v>18415.0</v>
      </c>
      <c r="S14" s="60" t="n">
        <v>3328.0</v>
      </c>
      <c r="T14" s="60" t="n">
        <v>3805.0</v>
      </c>
      <c r="U14" s="60" t="n">
        <v>18183.0</v>
      </c>
      <c r="V14" s="60" t="n">
        <v>0.0</v>
      </c>
      <c r="W14">
        <f si="10" t="shared"/>
        <v>172204</v>
      </c>
    </row>
    <row r="15" spans="1:23" x14ac:dyDescent="0.2">
      <c r="A15" t="s">
        <v>58</v>
      </c>
      <c r="B15">
        <f si="1" t="shared"/>
        <v>95310</v>
      </c>
      <c r="C15">
        <f si="2" t="shared"/>
        <v>9066</v>
      </c>
      <c r="D15">
        <f si="3" t="shared"/>
        <v>10561</v>
      </c>
      <c r="E15">
        <f si="4" t="shared"/>
        <v>10743</v>
      </c>
      <c r="F15">
        <f si="5" t="shared"/>
        <v>1480</v>
      </c>
      <c r="G15">
        <f si="6" t="shared"/>
        <v>1796</v>
      </c>
      <c r="H15">
        <f si="7" t="shared"/>
        <v>6339</v>
      </c>
      <c r="I15">
        <f si="8" t="shared"/>
        <v>0</v>
      </c>
      <c r="J15">
        <f si="9" t="shared"/>
        <v>135295</v>
      </c>
      <c r="N15" t="s">
        <v>58</v>
      </c>
      <c r="O15" s="60" t="n">
        <v>98331.0</v>
      </c>
      <c r="P15" s="60" t="n">
        <v>9105.0</v>
      </c>
      <c r="Q15" s="60" t="n">
        <v>10560.0</v>
      </c>
      <c r="R15" s="60" t="n">
        <v>10663.0</v>
      </c>
      <c r="S15" s="60" t="n">
        <v>1462.0</v>
      </c>
      <c r="T15" s="60" t="n">
        <v>2002.0</v>
      </c>
      <c r="U15" s="60" t="n">
        <v>6439.0</v>
      </c>
      <c r="V15" s="60" t="n">
        <v>0.0</v>
      </c>
      <c r="W15">
        <f si="10" t="shared"/>
        <v>135295</v>
      </c>
    </row>
    <row r="16" spans="1:23" x14ac:dyDescent="0.2">
      <c r="A16" s="58" t="s">
        <v>59</v>
      </c>
      <c r="B16">
        <f si="1" t="shared"/>
        <v>33475</v>
      </c>
      <c r="C16">
        <f si="2" t="shared"/>
        <v>4416</v>
      </c>
      <c r="D16">
        <f si="3" t="shared"/>
        <v>6641</v>
      </c>
      <c r="E16">
        <f si="4" t="shared"/>
        <v>6807</v>
      </c>
      <c r="F16">
        <f si="5" t="shared"/>
        <v>3496</v>
      </c>
      <c r="G16">
        <f si="6" t="shared"/>
        <v>4620</v>
      </c>
      <c r="H16">
        <f si="7" t="shared"/>
        <v>16356</v>
      </c>
      <c r="I16">
        <f si="8" t="shared"/>
        <v>0</v>
      </c>
      <c r="J16">
        <f si="9" t="shared"/>
        <v>75811</v>
      </c>
      <c r="N16" s="58" t="s">
        <v>59</v>
      </c>
      <c r="O16" s="60" t="n">
        <v>32560.0</v>
      </c>
      <c r="P16" s="60" t="n">
        <v>4259.0</v>
      </c>
      <c r="Q16" s="60" t="n">
        <v>6308.0</v>
      </c>
      <c r="R16" s="60" t="n">
        <v>6557.0</v>
      </c>
      <c r="S16" s="60" t="n">
        <v>3393.0</v>
      </c>
      <c r="T16" s="60" t="n">
        <v>4490.0</v>
      </c>
      <c r="U16" s="60" t="n">
        <v>15932.0</v>
      </c>
      <c r="V16" s="60" t="n">
        <v>0.0</v>
      </c>
      <c r="W16">
        <f si="10" t="shared"/>
        <v>75811</v>
      </c>
    </row>
    <row r="17" spans="1:23" x14ac:dyDescent="0.2">
      <c r="A17" s="56" t="s">
        <v>60</v>
      </c>
      <c r="B17">
        <f si="1" t="shared"/>
        <v>49314</v>
      </c>
      <c r="C17">
        <f si="2" t="shared"/>
        <v>7578</v>
      </c>
      <c r="D17">
        <f si="3" t="shared"/>
        <v>10316</v>
      </c>
      <c r="E17">
        <f si="4" t="shared"/>
        <v>10267</v>
      </c>
      <c r="F17">
        <f si="5" t="shared"/>
        <v>3307</v>
      </c>
      <c r="G17">
        <f si="6" t="shared"/>
        <v>3484</v>
      </c>
      <c r="H17">
        <f si="7" t="shared"/>
        <v>15166</v>
      </c>
      <c r="I17">
        <f si="8" t="shared"/>
        <v>0</v>
      </c>
      <c r="J17">
        <f si="9" t="shared"/>
        <v>99432</v>
      </c>
      <c r="N17" s="56" t="s">
        <v>60</v>
      </c>
      <c r="O17" s="60" t="n">
        <v>47492.0</v>
      </c>
      <c r="P17" s="60" t="n">
        <v>7217.0</v>
      </c>
      <c r="Q17" s="60" t="n">
        <v>9864.0</v>
      </c>
      <c r="R17" s="60" t="n">
        <v>10029.0</v>
      </c>
      <c r="S17" s="60" t="n">
        <v>3098.0</v>
      </c>
      <c r="T17" s="60" t="n">
        <v>3480.0</v>
      </c>
      <c r="U17" s="60" t="n">
        <v>14546.0</v>
      </c>
      <c r="V17" s="60" t="n">
        <v>0.0</v>
      </c>
      <c r="W17">
        <f si="10" t="shared"/>
        <v>99432</v>
      </c>
    </row>
    <row r="18" spans="1:23" x14ac:dyDescent="0.2">
      <c r="A18" s="56" t="s">
        <v>61</v>
      </c>
      <c r="B18">
        <f si="1" t="shared"/>
        <v>54268</v>
      </c>
      <c r="C18">
        <f si="2" t="shared"/>
        <v>8517</v>
      </c>
      <c r="D18">
        <f si="3" t="shared"/>
        <v>10877</v>
      </c>
      <c r="E18">
        <f si="4" t="shared"/>
        <v>11475</v>
      </c>
      <c r="F18">
        <f si="5" t="shared"/>
        <v>2099</v>
      </c>
      <c r="G18">
        <f si="6" t="shared"/>
        <v>2873</v>
      </c>
      <c r="H18">
        <f si="7" t="shared"/>
        <v>8700</v>
      </c>
      <c r="I18">
        <f si="8" t="shared"/>
        <v>0</v>
      </c>
      <c r="J18">
        <f si="9" t="shared"/>
        <v>98809</v>
      </c>
      <c r="N18" s="56" t="s">
        <v>61</v>
      </c>
      <c r="O18" s="60" t="n">
        <v>52451.0</v>
      </c>
      <c r="P18" s="60" t="n">
        <v>8329.0</v>
      </c>
      <c r="Q18" s="60" t="n">
        <v>10155.0</v>
      </c>
      <c r="R18" s="60" t="n">
        <v>10939.0</v>
      </c>
      <c r="S18" s="60" t="n">
        <v>2025.0</v>
      </c>
      <c r="T18" s="60" t="n">
        <v>2959.0</v>
      </c>
      <c r="U18" s="60" t="n">
        <v>8496.0</v>
      </c>
      <c r="V18" s="60" t="n">
        <v>0.0</v>
      </c>
      <c r="W18">
        <f si="10" t="shared"/>
        <v>98809</v>
      </c>
    </row>
    <row r="19" spans="1:23" x14ac:dyDescent="0.2">
      <c r="A19" t="s">
        <v>62</v>
      </c>
      <c r="B19">
        <f si="1" t="shared"/>
        <v>49831</v>
      </c>
      <c r="C19">
        <f si="2" t="shared"/>
        <v>7354</v>
      </c>
      <c r="D19">
        <f si="3" t="shared"/>
        <v>6240</v>
      </c>
      <c r="E19">
        <f si="4" t="shared"/>
        <v>7738</v>
      </c>
      <c r="F19">
        <f si="5" t="shared"/>
        <v>1169</v>
      </c>
      <c r="G19">
        <f si="6" t="shared"/>
        <v>1616</v>
      </c>
      <c r="H19">
        <f si="7" t="shared"/>
        <v>3803</v>
      </c>
      <c r="I19">
        <f si="8" t="shared"/>
        <v>0</v>
      </c>
      <c r="J19">
        <f si="9" t="shared"/>
        <v>77751</v>
      </c>
      <c r="N19" t="s">
        <v>62</v>
      </c>
      <c r="O19" s="60" t="n">
        <v>49073.0</v>
      </c>
      <c r="P19" s="60" t="n">
        <v>7216.0</v>
      </c>
      <c r="Q19" s="60" t="n">
        <v>6086.0</v>
      </c>
      <c r="R19" s="60" t="n">
        <v>7452.0</v>
      </c>
      <c r="S19" s="60" t="n">
        <v>1111.0</v>
      </c>
      <c r="T19" s="60" t="n">
        <v>1640.0</v>
      </c>
      <c r="U19" s="60" t="n">
        <v>3797.0</v>
      </c>
      <c r="V19" s="60" t="n">
        <v>0.0</v>
      </c>
      <c r="W19">
        <f si="10" t="shared"/>
        <v>77751</v>
      </c>
    </row>
    <row r="20" spans="1:23" x14ac:dyDescent="0.2">
      <c r="A20" s="58" t="s">
        <v>63</v>
      </c>
      <c r="B20">
        <f si="1" t="shared"/>
        <v>6477</v>
      </c>
      <c r="C20">
        <f si="2" t="shared"/>
        <v>1247</v>
      </c>
      <c r="D20">
        <f si="3" t="shared"/>
        <v>1500</v>
      </c>
      <c r="E20">
        <f si="4" t="shared"/>
        <v>2428</v>
      </c>
      <c r="F20">
        <f si="5" t="shared"/>
        <v>641</v>
      </c>
      <c r="G20">
        <f si="6" t="shared"/>
        <v>777</v>
      </c>
      <c r="H20">
        <f si="7" t="shared"/>
        <v>2063</v>
      </c>
      <c r="I20">
        <f si="8" t="shared"/>
        <v>0</v>
      </c>
      <c r="J20">
        <f si="9" t="shared"/>
        <v>15133</v>
      </c>
      <c r="N20" s="58" t="s">
        <v>63</v>
      </c>
      <c r="O20" s="60" t="n">
        <v>6050.0</v>
      </c>
      <c r="P20" s="60" t="n">
        <v>1212.0</v>
      </c>
      <c r="Q20" s="60" t="n">
        <v>1403.0</v>
      </c>
      <c r="R20" s="60" t="n">
        <v>2360.0</v>
      </c>
      <c r="S20" s="60" t="n">
        <v>612.0</v>
      </c>
      <c r="T20" s="60" t="n">
        <v>725.0</v>
      </c>
      <c r="U20" s="60" t="n">
        <v>1938.0</v>
      </c>
      <c r="V20" s="60" t="n">
        <v>0.0</v>
      </c>
      <c r="W20">
        <f si="10" t="shared"/>
        <v>15133</v>
      </c>
    </row>
    <row r="21" spans="1:23" x14ac:dyDescent="0.2">
      <c r="A21" s="56" t="s">
        <v>64</v>
      </c>
      <c r="B21">
        <f si="1" t="shared"/>
        <v>13920</v>
      </c>
      <c r="C21">
        <f si="2" t="shared"/>
        <v>3203</v>
      </c>
      <c r="D21">
        <f si="3" t="shared"/>
        <v>3126</v>
      </c>
      <c r="E21">
        <f si="4" t="shared"/>
        <v>4899</v>
      </c>
      <c r="F21">
        <f si="5" t="shared"/>
        <v>954</v>
      </c>
      <c r="G21">
        <f si="6" t="shared"/>
        <v>929</v>
      </c>
      <c r="H21">
        <f si="7" t="shared"/>
        <v>2909</v>
      </c>
      <c r="I21">
        <f si="8" t="shared"/>
        <v>0</v>
      </c>
      <c r="J21">
        <f si="9" t="shared"/>
        <v>29940</v>
      </c>
      <c r="N21" s="56" t="s">
        <v>64</v>
      </c>
      <c r="O21" s="60" t="n">
        <v>13101.0</v>
      </c>
      <c r="P21" s="60" t="n">
        <v>2910.0</v>
      </c>
      <c r="Q21" s="60" t="n">
        <v>2813.0</v>
      </c>
      <c r="R21" s="60" t="n">
        <v>4610.0</v>
      </c>
      <c r="S21" s="60" t="n">
        <v>849.0</v>
      </c>
      <c r="T21" s="60" t="n">
        <v>917.0</v>
      </c>
      <c r="U21" s="60" t="n">
        <v>2827.0</v>
      </c>
      <c r="V21" s="60" t="n">
        <v>0.0</v>
      </c>
      <c r="W21">
        <f si="10" t="shared"/>
        <v>29940</v>
      </c>
    </row>
    <row r="22" spans="1:23" x14ac:dyDescent="0.2">
      <c r="A22" s="56" t="s">
        <v>65</v>
      </c>
      <c r="B22">
        <f si="1" t="shared"/>
        <v>17518</v>
      </c>
      <c r="C22">
        <f si="2" t="shared"/>
        <v>4350</v>
      </c>
      <c r="D22">
        <f si="3" t="shared"/>
        <v>4032</v>
      </c>
      <c r="E22">
        <f si="4" t="shared"/>
        <v>6583</v>
      </c>
      <c r="F22">
        <f si="5" t="shared"/>
        <v>840</v>
      </c>
      <c r="G22">
        <f si="6" t="shared"/>
        <v>1010</v>
      </c>
      <c r="H22">
        <f si="7" t="shared"/>
        <v>2209</v>
      </c>
      <c r="I22">
        <f si="8" t="shared"/>
        <v>0</v>
      </c>
      <c r="J22">
        <f si="9" t="shared"/>
        <v>36542</v>
      </c>
      <c r="N22" s="56" t="s">
        <v>65</v>
      </c>
      <c r="O22" s="60" t="n">
        <v>16666.0</v>
      </c>
      <c r="P22" s="60" t="n">
        <v>4083.0</v>
      </c>
      <c r="Q22" s="60" t="n">
        <v>3728.0</v>
      </c>
      <c r="R22" s="60" t="n">
        <v>6189.0</v>
      </c>
      <c r="S22" s="60" t="n">
        <v>828.0</v>
      </c>
      <c r="T22" s="60" t="n">
        <v>1009.0</v>
      </c>
      <c r="U22" s="60" t="n">
        <v>2055.0</v>
      </c>
      <c r="V22" s="60" t="n">
        <v>0.0</v>
      </c>
      <c r="W22">
        <f si="10" t="shared"/>
        <v>36542</v>
      </c>
    </row>
    <row r="23" spans="1:23" x14ac:dyDescent="0.2">
      <c r="A23" t="s">
        <v>66</v>
      </c>
      <c r="B23">
        <f si="1" t="shared"/>
        <v>7942</v>
      </c>
      <c r="C23">
        <f si="2" t="shared"/>
        <v>1920</v>
      </c>
      <c r="D23">
        <f si="3" t="shared"/>
        <v>1799</v>
      </c>
      <c r="E23">
        <f si="4" t="shared"/>
        <v>3893</v>
      </c>
      <c r="F23">
        <f si="5" t="shared"/>
        <v>292</v>
      </c>
      <c r="G23">
        <f si="6" t="shared"/>
        <v>360</v>
      </c>
      <c r="H23">
        <f si="7" t="shared"/>
        <v>605</v>
      </c>
      <c r="I23">
        <f si="8" t="shared"/>
        <v>0</v>
      </c>
      <c r="J23">
        <f si="9" t="shared"/>
        <v>16811</v>
      </c>
      <c r="N23" t="s">
        <v>66</v>
      </c>
      <c r="O23" s="60" t="n">
        <v>7755.0</v>
      </c>
      <c r="P23" s="60" t="n">
        <v>1918.0</v>
      </c>
      <c r="Q23" s="60" t="n">
        <v>1779.0</v>
      </c>
      <c r="R23" s="60" t="n">
        <v>3684.0</v>
      </c>
      <c r="S23" s="60" t="n">
        <v>256.0</v>
      </c>
      <c r="T23" s="60" t="n">
        <v>384.0</v>
      </c>
      <c r="U23" s="60" t="n">
        <v>570.0</v>
      </c>
      <c r="V23" s="60" t="n">
        <v>0.0</v>
      </c>
      <c r="W23">
        <f si="10" t="shared"/>
        <v>16811</v>
      </c>
    </row>
    <row r="25" spans="1:23" x14ac:dyDescent="0.2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2">
      <c r="A27" t="s">
        <v>23</v>
      </c>
      <c r="N27" t="s">
        <v>23</v>
      </c>
    </row>
    <row r="28" spans="1:23" x14ac:dyDescent="0.2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2">
      <c r="A29" t="s">
        <v>54</v>
      </c>
      <c r="B29">
        <f ref="B29:J32" si="11" t="shared">O29*$B$1</f>
        <v>275273</v>
      </c>
      <c r="C29">
        <f si="11" t="shared"/>
        <v>58534</v>
      </c>
      <c r="D29">
        <f si="11" t="shared"/>
        <v>215410</v>
      </c>
      <c r="E29">
        <f si="11" t="shared"/>
        <v>202915</v>
      </c>
      <c r="F29">
        <f si="11" t="shared"/>
        <v>52411</v>
      </c>
      <c r="G29">
        <f si="11" t="shared"/>
        <v>53026</v>
      </c>
      <c r="H29">
        <f si="11" t="shared"/>
        <v>267121</v>
      </c>
      <c r="I29">
        <f si="11" t="shared"/>
        <v>0</v>
      </c>
      <c r="J29">
        <f si="11" t="shared"/>
        <v>1124690</v>
      </c>
      <c r="N29" t="s">
        <v>54</v>
      </c>
      <c r="O29" s="60" t="n">
        <v>270273.0</v>
      </c>
      <c r="P29" s="60" t="n">
        <v>57475.0</v>
      </c>
      <c r="Q29" s="60" t="n">
        <v>215410.0</v>
      </c>
      <c r="R29" s="60" t="n">
        <v>202915.0</v>
      </c>
      <c r="S29" s="60" t="n">
        <v>52203.0</v>
      </c>
      <c r="T29" s="60" t="n">
        <v>52860.0</v>
      </c>
      <c r="U29" s="60" t="n">
        <v>267121.0</v>
      </c>
      <c r="V29" s="60" t="n">
        <v>0.0</v>
      </c>
      <c r="W29">
        <f>SUM(O29:V29)</f>
        <v>1124690</v>
      </c>
    </row>
    <row r="30" spans="1:23" x14ac:dyDescent="0.2">
      <c r="A30" t="s">
        <v>70</v>
      </c>
      <c r="B30">
        <f si="11" t="shared"/>
        <v>1927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509</v>
      </c>
      <c r="G30">
        <f si="11" t="shared"/>
        <v>303</v>
      </c>
      <c r="H30">
        <f si="11" t="shared"/>
        <v>0</v>
      </c>
      <c r="I30">
        <f si="11" t="shared"/>
        <v>0</v>
      </c>
      <c r="J30">
        <f si="11" t="shared"/>
        <v>2739</v>
      </c>
      <c r="N30" t="s">
        <v>70</v>
      </c>
      <c r="O30" s="60" t="n">
        <v>1803.0</v>
      </c>
      <c r="P30" s="60" t="n">
        <v>0.0</v>
      </c>
      <c r="Q30" s="60" t="n">
        <v>0.0</v>
      </c>
      <c r="R30" s="60" t="n">
        <v>0.0</v>
      </c>
      <c r="S30" s="60" t="n">
        <v>492.0</v>
      </c>
      <c r="T30" s="60" t="n">
        <v>316.0</v>
      </c>
      <c r="U30" s="60" t="n">
        <v>0.0</v>
      </c>
      <c r="V30" s="60" t="n">
        <v>0.0</v>
      </c>
      <c r="W30">
        <f>SUM(O30:V30)</f>
        <v>2739</v>
      </c>
    </row>
    <row r="31" spans="1:23" x14ac:dyDescent="0.2">
      <c r="A31" t="s">
        <v>71</v>
      </c>
      <c r="B31">
        <f si="11" t="shared"/>
        <v>425501</v>
      </c>
      <c r="C31">
        <f si="11" t="shared"/>
        <v>38150</v>
      </c>
      <c r="D31">
        <f si="11" t="shared"/>
        <v>0</v>
      </c>
      <c r="E31">
        <f si="11" t="shared"/>
        <v>0</v>
      </c>
      <c r="F31">
        <f si="11" t="shared"/>
        <v>9429</v>
      </c>
      <c r="G31">
        <f si="11" t="shared"/>
        <v>1848</v>
      </c>
      <c r="H31">
        <f si="11" t="shared"/>
        <v>0</v>
      </c>
      <c r="I31">
        <f si="11" t="shared"/>
        <v>0</v>
      </c>
      <c r="J31">
        <f si="11" t="shared"/>
        <v>474928</v>
      </c>
      <c r="N31" t="s">
        <v>71</v>
      </c>
      <c r="O31" s="60" t="n">
        <v>428206.0</v>
      </c>
      <c r="P31" s="60" t="n">
        <v>38780.0</v>
      </c>
      <c r="Q31" s="60" t="n">
        <v>0.0</v>
      </c>
      <c r="R31" s="60" t="n">
        <v>0.0</v>
      </c>
      <c r="S31" s="60" t="n">
        <v>9659.0</v>
      </c>
      <c r="T31" s="60" t="n">
        <v>1933.0</v>
      </c>
      <c r="U31" s="60" t="n">
        <v>0.0</v>
      </c>
      <c r="V31" s="60" t="n">
        <v>0.0</v>
      </c>
      <c r="W31">
        <f>SUM(O31:V31)</f>
        <v>474928</v>
      </c>
    </row>
    <row r="32" spans="1:23" x14ac:dyDescent="0.2">
      <c r="A32" t="s">
        <v>72</v>
      </c>
      <c r="B32">
        <f si="11" t="shared"/>
        <v>149314</v>
      </c>
      <c r="C32">
        <f si="11" t="shared"/>
        <v>11941</v>
      </c>
      <c r="D32">
        <f si="11" t="shared"/>
        <v>0</v>
      </c>
      <c r="E32">
        <f si="11" t="shared"/>
        <v>0</v>
      </c>
      <c r="F32">
        <f si="11" t="shared"/>
        <v>2284</v>
      </c>
      <c r="G32">
        <f si="11" t="shared"/>
        <v>325</v>
      </c>
      <c r="H32">
        <f si="11" t="shared"/>
        <v>0</v>
      </c>
      <c r="I32">
        <f si="11" t="shared"/>
        <v>0</v>
      </c>
      <c r="J32">
        <f si="11" t="shared"/>
        <v>163864</v>
      </c>
      <c r="N32" t="s">
        <v>72</v>
      </c>
      <c r="O32" s="60" t="n">
        <v>151733.0</v>
      </c>
      <c r="P32" s="60" t="n">
        <v>12370.0</v>
      </c>
      <c r="Q32" s="60" t="n">
        <v>0.0</v>
      </c>
      <c r="R32" s="60" t="n">
        <v>0.0</v>
      </c>
      <c r="S32" s="60" t="n">
        <v>2279.0</v>
      </c>
      <c r="T32" s="60" t="n">
        <v>393.0</v>
      </c>
      <c r="U32" s="60" t="n">
        <v>0.0</v>
      </c>
      <c r="V32" s="60" t="n">
        <v>0.0</v>
      </c>
      <c r="W32">
        <f>SUM(O32:V32)</f>
        <v>163864</v>
      </c>
    </row>
    <row r="34" spans="1:23" x14ac:dyDescent="0.2">
      <c r="A34" t="s">
        <v>24</v>
      </c>
      <c r="N34" t="s">
        <v>24</v>
      </c>
    </row>
    <row r="35" spans="1:23" x14ac:dyDescent="0.2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2">
      <c r="A36" t="s">
        <v>54</v>
      </c>
      <c r="B36">
        <f ref="B36:J39" si="12" t="shared">O36*$B$1</f>
        <v>839060</v>
      </c>
      <c r="C36">
        <f si="12" t="shared"/>
        <v>108625</v>
      </c>
      <c r="D36">
        <f si="12" t="shared"/>
        <v>215410</v>
      </c>
      <c r="E36">
        <f si="12" t="shared"/>
        <v>202915</v>
      </c>
      <c r="F36">
        <f si="12" t="shared"/>
        <v>51120</v>
      </c>
      <c r="G36">
        <f si="12" t="shared"/>
        <v>23127</v>
      </c>
      <c r="H36">
        <f si="12" t="shared"/>
        <v>98255</v>
      </c>
      <c r="I36">
        <f si="12" t="shared"/>
        <v>0</v>
      </c>
      <c r="J36">
        <f si="12" t="shared"/>
        <v>1538512</v>
      </c>
      <c r="N36" t="s">
        <v>54</v>
      </c>
      <c r="O36" s="60" t="n">
        <v>839335.0</v>
      </c>
      <c r="P36" s="60" t="n">
        <v>108625.0</v>
      </c>
      <c r="Q36" s="60" t="n">
        <v>215410.0</v>
      </c>
      <c r="R36" s="60" t="n">
        <v>202915.0</v>
      </c>
      <c r="S36" s="60" t="n">
        <v>51205.0</v>
      </c>
      <c r="T36" s="60" t="n">
        <v>22797.0</v>
      </c>
      <c r="U36" s="60" t="n">
        <v>98405.0</v>
      </c>
      <c r="V36" s="60" t="n">
        <v>0.0</v>
      </c>
      <c r="W36">
        <f>SUM(O36:V36)</f>
        <v>1538512</v>
      </c>
    </row>
    <row r="37" spans="1:23" x14ac:dyDescent="0.2">
      <c r="A37" t="s">
        <v>70</v>
      </c>
      <c r="B37">
        <f si="12" t="shared"/>
        <v>4377</v>
      </c>
      <c r="C37">
        <f si="12" t="shared"/>
        <v>0</v>
      </c>
      <c r="D37">
        <f si="12" t="shared"/>
        <v>0</v>
      </c>
      <c r="E37">
        <f si="12" t="shared"/>
        <v>0</v>
      </c>
      <c r="F37">
        <f si="12" t="shared"/>
        <v>1266</v>
      </c>
      <c r="G37">
        <f si="12" t="shared"/>
        <v>866</v>
      </c>
      <c r="H37">
        <f si="12" t="shared"/>
        <v>0</v>
      </c>
      <c r="I37">
        <f si="12" t="shared"/>
        <v>0</v>
      </c>
      <c r="J37">
        <f si="12" t="shared"/>
        <v>6509</v>
      </c>
      <c r="N37" t="s">
        <v>70</v>
      </c>
      <c r="O37" s="60" t="n">
        <v>4329.0</v>
      </c>
      <c r="P37" s="60" t="n">
        <v>0.0</v>
      </c>
      <c r="Q37" s="60" t="n">
        <v>0.0</v>
      </c>
      <c r="R37" s="60" t="n">
        <v>0.0</v>
      </c>
      <c r="S37" s="60" t="n">
        <v>1269.0</v>
      </c>
      <c r="T37" s="60" t="n">
        <v>906.0</v>
      </c>
      <c r="U37" s="60" t="n">
        <v>0.0</v>
      </c>
      <c r="V37" s="60" t="n">
        <v>0.0</v>
      </c>
      <c r="W37">
        <f>SUM(O37:V37)</f>
        <v>6509</v>
      </c>
    </row>
    <row r="38" spans="1:23" x14ac:dyDescent="0.2">
      <c r="A38" t="s">
        <v>71</v>
      </c>
      <c r="B38">
        <f si="12" t="shared"/>
        <v>7773</v>
      </c>
      <c r="C38">
        <f si="12" t="shared"/>
        <v>0</v>
      </c>
      <c r="D38">
        <f si="12" t="shared"/>
        <v>0</v>
      </c>
      <c r="E38">
        <f si="12" t="shared"/>
        <v>0</v>
      </c>
      <c r="F38">
        <f si="12" t="shared"/>
        <v>10929</v>
      </c>
      <c r="G38">
        <f si="12" t="shared"/>
        <v>26323</v>
      </c>
      <c r="H38">
        <f si="12" t="shared"/>
        <v>146580</v>
      </c>
      <c r="I38">
        <f si="12" t="shared"/>
        <v>0</v>
      </c>
      <c r="J38">
        <f si="12" t="shared"/>
        <v>191605</v>
      </c>
      <c r="N38" t="s">
        <v>71</v>
      </c>
      <c r="O38" s="60" t="n">
        <v>7521.0</v>
      </c>
      <c r="P38" s="60" t="n">
        <v>0.0</v>
      </c>
      <c r="Q38" s="60" t="n">
        <v>0.0</v>
      </c>
      <c r="R38" s="60" t="n">
        <v>0.0</v>
      </c>
      <c r="S38" s="60" t="n">
        <v>10870.0</v>
      </c>
      <c r="T38" s="60" t="n">
        <v>26273.0</v>
      </c>
      <c r="U38" s="60" t="n">
        <v>146534.0</v>
      </c>
      <c r="V38" s="60" t="n">
        <v>0.0</v>
      </c>
      <c r="W38">
        <f>SUM(O38:V38)</f>
        <v>191605</v>
      </c>
    </row>
    <row r="39" spans="1:23" x14ac:dyDescent="0.2">
      <c r="A39" t="s">
        <v>72</v>
      </c>
      <c r="B39">
        <f si="12" t="shared"/>
        <v>805</v>
      </c>
      <c r="C39">
        <f si="12" t="shared"/>
        <v>0</v>
      </c>
      <c r="D39">
        <f si="12" t="shared"/>
        <v>0</v>
      </c>
      <c r="E39">
        <f si="12" t="shared"/>
        <v>0</v>
      </c>
      <c r="F39">
        <f si="12" t="shared"/>
        <v>1318</v>
      </c>
      <c r="G39">
        <f si="12" t="shared"/>
        <v>5186</v>
      </c>
      <c r="H39">
        <f si="12" t="shared"/>
        <v>22286</v>
      </c>
      <c r="I39">
        <f si="12" t="shared"/>
        <v>0</v>
      </c>
      <c r="J39">
        <f si="12" t="shared"/>
        <v>29595</v>
      </c>
      <c r="N39" t="s">
        <v>72</v>
      </c>
      <c r="O39" s="60" t="n">
        <v>830.0</v>
      </c>
      <c r="P39" s="60" t="n">
        <v>0.0</v>
      </c>
      <c r="Q39" s="60" t="n">
        <v>0.0</v>
      </c>
      <c r="R39" s="60" t="n">
        <v>0.0</v>
      </c>
      <c r="S39" s="60" t="n">
        <v>1289.0</v>
      </c>
      <c r="T39" s="60" t="n">
        <v>5526.0</v>
      </c>
      <c r="U39" s="60" t="n">
        <v>22182.0</v>
      </c>
      <c r="V39" s="60" t="n">
        <v>0.0</v>
      </c>
      <c r="W39">
        <f>SUM(O39:V39)</f>
        <v>29595</v>
      </c>
    </row>
    <row r="41" spans="1:23" x14ac:dyDescent="0.2">
      <c r="A41" t="s">
        <v>25</v>
      </c>
      <c r="N41" t="s">
        <v>25</v>
      </c>
    </row>
    <row r="42" spans="1:23" x14ac:dyDescent="0.2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2">
      <c r="A43" t="s">
        <v>54</v>
      </c>
      <c r="B43">
        <f ref="B43:J46" si="13" t="shared">O43*$B$1</f>
        <v>698327</v>
      </c>
      <c r="C43">
        <f si="13" t="shared"/>
        <v>82028</v>
      </c>
      <c r="D43">
        <f si="13" t="shared"/>
        <v>202762</v>
      </c>
      <c r="E43">
        <f si="13" t="shared"/>
        <v>159733</v>
      </c>
      <c r="F43">
        <f si="13" t="shared"/>
        <v>58267</v>
      </c>
      <c r="G43">
        <f si="13" t="shared"/>
        <v>50454</v>
      </c>
      <c r="H43">
        <f si="13" t="shared"/>
        <v>247261</v>
      </c>
      <c r="I43">
        <f si="13" t="shared"/>
        <v>0</v>
      </c>
      <c r="J43">
        <f si="13" t="shared"/>
        <v>1498832</v>
      </c>
      <c r="N43" t="s">
        <v>54</v>
      </c>
      <c r="O43" s="60" t="n">
        <v>698457.0</v>
      </c>
      <c r="P43" s="60" t="n">
        <v>82244.0</v>
      </c>
      <c r="Q43" s="60" t="n">
        <v>202981.0</v>
      </c>
      <c r="R43" s="60" t="n">
        <v>160633.0</v>
      </c>
      <c r="S43" s="60" t="n">
        <v>58290.0</v>
      </c>
      <c r="T43" s="60" t="n">
        <v>50782.0</v>
      </c>
      <c r="U43" s="60" t="n">
        <v>247528.0</v>
      </c>
      <c r="V43" s="60" t="n">
        <v>0.0</v>
      </c>
      <c r="W43">
        <f>SUM(O43:V43)</f>
        <v>1498832</v>
      </c>
    </row>
    <row r="44" spans="1:23" x14ac:dyDescent="0.2">
      <c r="A44" t="s">
        <v>70</v>
      </c>
      <c r="B44">
        <f si="13" t="shared"/>
        <v>94396</v>
      </c>
      <c r="C44">
        <f si="13" t="shared"/>
        <v>10093</v>
      </c>
      <c r="D44">
        <f si="13" t="shared"/>
        <v>1354</v>
      </c>
      <c r="E44">
        <f si="13" t="shared"/>
        <v>4450</v>
      </c>
      <c r="F44">
        <f si="13" t="shared"/>
        <v>1941</v>
      </c>
      <c r="G44">
        <f si="13" t="shared"/>
        <v>2428</v>
      </c>
      <c r="H44">
        <f si="13" t="shared"/>
        <v>11172</v>
      </c>
      <c r="I44">
        <f si="13" t="shared"/>
        <v>0</v>
      </c>
      <c r="J44">
        <f si="13" t="shared"/>
        <v>125834</v>
      </c>
      <c r="N44" t="s">
        <v>70</v>
      </c>
      <c r="O44" s="60" t="n">
        <v>96290.0</v>
      </c>
      <c r="P44" s="60" t="n">
        <v>10353.0</v>
      </c>
      <c r="Q44" s="60" t="n">
        <v>1418.0</v>
      </c>
      <c r="R44" s="60" t="n">
        <v>4325.0</v>
      </c>
      <c r="S44" s="60" t="n">
        <v>2059.0</v>
      </c>
      <c r="T44" s="60" t="n">
        <v>2316.0</v>
      </c>
      <c r="U44" s="60" t="n">
        <v>11216.0</v>
      </c>
      <c r="V44" s="60" t="n">
        <v>0.0</v>
      </c>
      <c r="W44">
        <f>SUM(O44:V44)</f>
        <v>125834</v>
      </c>
    </row>
    <row r="45" spans="1:23" x14ac:dyDescent="0.2">
      <c r="A45" t="s">
        <v>71</v>
      </c>
      <c r="B45">
        <f si="13" t="shared"/>
        <v>21202</v>
      </c>
      <c r="C45">
        <f si="13" t="shared"/>
        <v>7104</v>
      </c>
      <c r="D45">
        <f si="13" t="shared"/>
        <v>5411</v>
      </c>
      <c r="E45">
        <f si="13" t="shared"/>
        <v>18334</v>
      </c>
      <c r="F45">
        <f si="13" t="shared"/>
        <v>1968</v>
      </c>
      <c r="G45">
        <f si="13" t="shared"/>
        <v>827</v>
      </c>
      <c r="H45">
        <f si="13" t="shared"/>
        <v>2485</v>
      </c>
      <c r="I45">
        <f si="13" t="shared"/>
        <v>0</v>
      </c>
      <c r="J45">
        <f si="13" t="shared"/>
        <v>57331</v>
      </c>
      <c r="N45" t="s">
        <v>71</v>
      </c>
      <c r="O45" s="60" t="n">
        <v>20056.0</v>
      </c>
      <c r="P45" s="60" t="n">
        <v>6756.0</v>
      </c>
      <c r="Q45" s="60" t="n">
        <v>5157.0</v>
      </c>
      <c r="R45" s="60" t="n">
        <v>17769.0</v>
      </c>
      <c r="S45" s="60" t="n">
        <v>1913.0</v>
      </c>
      <c r="T45" s="60" t="n">
        <v>704.0</v>
      </c>
      <c r="U45" s="60" t="n">
        <v>2483.0</v>
      </c>
      <c r="V45" s="60" t="n">
        <v>0.0</v>
      </c>
      <c r="W45">
        <f>SUM(O45:V45)</f>
        <v>57331</v>
      </c>
    </row>
    <row r="46" spans="1:23" x14ac:dyDescent="0.2">
      <c r="A46" t="s">
        <v>72</v>
      </c>
      <c r="B46">
        <f si="13" t="shared"/>
        <v>38090</v>
      </c>
      <c r="C46">
        <f si="13" t="shared"/>
        <v>9400</v>
      </c>
      <c r="D46">
        <f si="13" t="shared"/>
        <v>5883</v>
      </c>
      <c r="E46">
        <f si="13" t="shared"/>
        <v>20398</v>
      </c>
      <c r="F46">
        <f si="13" t="shared"/>
        <v>2457</v>
      </c>
      <c r="G46">
        <f si="13" t="shared"/>
        <v>1793</v>
      </c>
      <c r="H46">
        <f si="13" t="shared"/>
        <v>6203</v>
      </c>
      <c r="I46">
        <f si="13" t="shared"/>
        <v>0</v>
      </c>
      <c r="J46">
        <f si="13" t="shared"/>
        <v>84224</v>
      </c>
      <c r="N46" t="s">
        <v>72</v>
      </c>
      <c r="O46" s="60" t="n">
        <v>37212.0</v>
      </c>
      <c r="P46" s="60" t="n">
        <v>9272.0</v>
      </c>
      <c r="Q46" s="60" t="n">
        <v>5854.0</v>
      </c>
      <c r="R46" s="60" t="n">
        <v>20188.0</v>
      </c>
      <c r="S46" s="60" t="n">
        <v>2371.0</v>
      </c>
      <c r="T46" s="60" t="n">
        <v>1700.0</v>
      </c>
      <c r="U46" s="60" t="n">
        <v>5894.0</v>
      </c>
      <c r="V46" s="60" t="n">
        <v>0.0</v>
      </c>
      <c r="W46">
        <f>SUM(O46:V46)</f>
        <v>84224</v>
      </c>
    </row>
    <row r="48" spans="1:23" x14ac:dyDescent="0.2">
      <c r="A48" t="s">
        <v>249</v>
      </c>
      <c r="N48" t="s">
        <v>249</v>
      </c>
    </row>
    <row r="49" spans="1:23" x14ac:dyDescent="0.2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2">
      <c r="A50" t="s">
        <v>54</v>
      </c>
      <c r="B50">
        <f ref="B50:J53" si="14" t="shared">O50*$B$1</f>
        <v>568886</v>
      </c>
      <c r="C50">
        <f si="14" t="shared"/>
        <v>67713</v>
      </c>
      <c r="D50">
        <f si="14" t="shared"/>
        <v>125481</v>
      </c>
      <c r="E50">
        <f si="14" t="shared"/>
        <v>122705</v>
      </c>
      <c r="F50">
        <f si="14" t="shared"/>
        <v>55785</v>
      </c>
      <c r="G50">
        <f si="14" t="shared"/>
        <v>44134</v>
      </c>
      <c r="H50">
        <f si="14" t="shared"/>
        <v>229242</v>
      </c>
      <c r="I50">
        <f si="14" t="shared"/>
        <v>0</v>
      </c>
      <c r="J50">
        <f si="14" t="shared"/>
        <v>1213946</v>
      </c>
      <c r="N50" t="s">
        <v>54</v>
      </c>
      <c r="O50" s="60" t="n">
        <v>569131.0</v>
      </c>
      <c r="P50" s="60" t="n">
        <v>68395.0</v>
      </c>
      <c r="Q50" s="60" t="n">
        <v>127790.0</v>
      </c>
      <c r="R50" s="60" t="n">
        <v>124643.0</v>
      </c>
      <c r="S50" s="60" t="n">
        <v>56094.0</v>
      </c>
      <c r="T50" s="60" t="n">
        <v>43656.0</v>
      </c>
      <c r="U50" s="60" t="n">
        <v>229226.0</v>
      </c>
      <c r="V50" s="60" t="n">
        <v>0.0</v>
      </c>
      <c r="W50">
        <f>SUM(O50:V50)</f>
        <v>1213946</v>
      </c>
    </row>
    <row r="51" spans="1:23" x14ac:dyDescent="0.2">
      <c r="A51" t="s">
        <v>70</v>
      </c>
      <c r="B51">
        <f si="14" t="shared"/>
        <v>215410</v>
      </c>
      <c r="C51">
        <f si="14" t="shared"/>
        <v>24774</v>
      </c>
      <c r="D51">
        <f si="14" t="shared"/>
        <v>31430</v>
      </c>
      <c r="E51">
        <f si="14" t="shared"/>
        <v>33304</v>
      </c>
      <c r="F51">
        <f si="14" t="shared"/>
        <v>4067</v>
      </c>
      <c r="G51">
        <f si="14" t="shared"/>
        <v>6254</v>
      </c>
      <c r="H51">
        <f si="14" t="shared"/>
        <v>22269</v>
      </c>
      <c r="I51">
        <f si="14" t="shared"/>
        <v>0</v>
      </c>
      <c r="J51">
        <f si="14" t="shared"/>
        <v>337508</v>
      </c>
      <c r="N51" t="s">
        <v>70</v>
      </c>
      <c r="O51" s="60" t="n">
        <v>217515.0</v>
      </c>
      <c r="P51" s="60" t="n">
        <v>24546.0</v>
      </c>
      <c r="Q51" s="60" t="n">
        <v>30176.0</v>
      </c>
      <c r="R51" s="60" t="n">
        <v>32368.0</v>
      </c>
      <c r="S51" s="60" t="n">
        <v>3917.0</v>
      </c>
      <c r="T51" s="60" t="n">
        <v>6616.0</v>
      </c>
      <c r="U51" s="60" t="n">
        <v>22399.0</v>
      </c>
      <c r="V51" s="60" t="n">
        <v>0.0</v>
      </c>
      <c r="W51">
        <f>SUM(O51:V51)</f>
        <v>337508</v>
      </c>
    </row>
    <row r="52" spans="1:23" x14ac:dyDescent="0.2">
      <c r="A52" t="s">
        <v>71</v>
      </c>
      <c r="B52">
        <f si="14" t="shared"/>
        <v>29059</v>
      </c>
      <c r="C52">
        <f si="14" t="shared"/>
        <v>5855</v>
      </c>
      <c r="D52">
        <f si="14" t="shared"/>
        <v>21908</v>
      </c>
      <c r="E52">
        <f si="14" t="shared"/>
        <v>16786</v>
      </c>
      <c r="F52">
        <f si="14" t="shared"/>
        <v>1994</v>
      </c>
      <c r="G52">
        <f si="14" t="shared"/>
        <v>2033</v>
      </c>
      <c r="H52">
        <f si="14" t="shared"/>
        <v>6564</v>
      </c>
      <c r="I52">
        <f si="14" t="shared"/>
        <v>0</v>
      </c>
      <c r="J52">
        <f si="14" t="shared"/>
        <v>84199</v>
      </c>
      <c r="N52" t="s">
        <v>71</v>
      </c>
      <c r="O52" s="60" t="n">
        <v>27886.0</v>
      </c>
      <c r="P52" s="60" t="n">
        <v>5597.0</v>
      </c>
      <c r="Q52" s="60" t="n">
        <v>21497.0</v>
      </c>
      <c r="R52" s="60" t="n">
        <v>16422.0</v>
      </c>
      <c r="S52" s="60" t="n">
        <v>1882.0</v>
      </c>
      <c r="T52" s="60" t="n">
        <v>2059.0</v>
      </c>
      <c r="U52" s="60" t="n">
        <v>6444.0</v>
      </c>
      <c r="V52" s="60" t="n">
        <v>0.0</v>
      </c>
      <c r="W52">
        <f>SUM(O52:V52)</f>
        <v>84199</v>
      </c>
    </row>
    <row r="53" spans="1:23" x14ac:dyDescent="0.2">
      <c r="A53" t="s">
        <v>72</v>
      </c>
      <c r="B53">
        <f si="14" t="shared"/>
        <v>38660</v>
      </c>
      <c r="C53">
        <f si="14" t="shared"/>
        <v>10283</v>
      </c>
      <c r="D53">
        <f si="14" t="shared"/>
        <v>36591</v>
      </c>
      <c r="E53">
        <f si="14" t="shared"/>
        <v>30120</v>
      </c>
      <c r="F53">
        <f si="14" t="shared"/>
        <v>2787</v>
      </c>
      <c r="G53">
        <f si="14" t="shared"/>
        <v>3081</v>
      </c>
      <c r="H53">
        <f si="14" t="shared"/>
        <v>9046</v>
      </c>
      <c r="I53">
        <f si="14" t="shared"/>
        <v>0</v>
      </c>
      <c r="J53">
        <f si="14" t="shared"/>
        <v>130568</v>
      </c>
      <c r="N53" t="s">
        <v>72</v>
      </c>
      <c r="O53" s="60" t="n">
        <v>37483.0</v>
      </c>
      <c r="P53" s="60" t="n">
        <v>10087.0</v>
      </c>
      <c r="Q53" s="60" t="n">
        <v>35947.0</v>
      </c>
      <c r="R53" s="60" t="n">
        <v>29482.0</v>
      </c>
      <c r="S53" s="60" t="n">
        <v>2740.0</v>
      </c>
      <c r="T53" s="60" t="n">
        <v>3171.0</v>
      </c>
      <c r="U53" s="60" t="n">
        <v>9052.0</v>
      </c>
      <c r="V53" s="60" t="n">
        <v>0.0</v>
      </c>
      <c r="W53">
        <f>SUM(O53:V53)</f>
        <v>130568</v>
      </c>
    </row>
    <row r="55" spans="1:23" x14ac:dyDescent="0.2">
      <c r="A55" t="s">
        <v>27</v>
      </c>
      <c r="N55" t="s">
        <v>27</v>
      </c>
    </row>
    <row r="56" spans="1:23" x14ac:dyDescent="0.2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2">
      <c r="A57" t="s">
        <v>54</v>
      </c>
      <c r="B57">
        <f ref="B57:J60" si="15" t="shared">O57*$B$1</f>
        <v>654660</v>
      </c>
      <c r="C57">
        <f si="15" t="shared"/>
        <v>72432</v>
      </c>
      <c r="D57">
        <f si="15" t="shared"/>
        <v>145959</v>
      </c>
      <c r="E57">
        <f si="15" t="shared"/>
        <v>133713</v>
      </c>
      <c r="F57">
        <f si="15" t="shared"/>
        <v>54347</v>
      </c>
      <c r="G57">
        <f si="15" t="shared"/>
        <v>51408</v>
      </c>
      <c r="H57">
        <f si="15" t="shared"/>
        <v>248058</v>
      </c>
      <c r="I57">
        <f si="15" t="shared"/>
        <v>0</v>
      </c>
      <c r="J57">
        <f si="15" t="shared"/>
        <v>1360577</v>
      </c>
      <c r="N57" t="s">
        <v>54</v>
      </c>
      <c r="O57" s="60" t="n">
        <v>658339.0</v>
      </c>
      <c r="P57" s="60" t="n">
        <v>73605.0</v>
      </c>
      <c r="Q57" s="60" t="n">
        <v>149351.0</v>
      </c>
      <c r="R57" s="60" t="n">
        <v>136574.0</v>
      </c>
      <c r="S57" s="60" t="n">
        <v>55119.0</v>
      </c>
      <c r="T57" s="60" t="n">
        <v>51574.0</v>
      </c>
      <c r="U57" s="60" t="n">
        <v>248618.0</v>
      </c>
      <c r="V57" s="60" t="n">
        <v>0.0</v>
      </c>
      <c r="W57">
        <f>SUM(O57:V57)</f>
        <v>1360577</v>
      </c>
    </row>
    <row r="58" spans="1:23" x14ac:dyDescent="0.2">
      <c r="A58" t="s">
        <v>70</v>
      </c>
      <c r="B58">
        <f si="15" t="shared"/>
        <v>150386</v>
      </c>
      <c r="C58">
        <f si="15" t="shared"/>
        <v>22188</v>
      </c>
      <c r="D58">
        <f si="15" t="shared"/>
        <v>27655</v>
      </c>
      <c r="E58">
        <f si="15" t="shared"/>
        <v>30615</v>
      </c>
      <c r="F58">
        <f si="15" t="shared"/>
        <v>4543</v>
      </c>
      <c r="G58">
        <f si="15" t="shared"/>
        <v>2099</v>
      </c>
      <c r="H58">
        <f si="15" t="shared"/>
        <v>10895</v>
      </c>
      <c r="I58">
        <f si="15" t="shared"/>
        <v>0</v>
      </c>
      <c r="J58">
        <f si="15" t="shared"/>
        <v>248381</v>
      </c>
      <c r="N58" t="s">
        <v>70</v>
      </c>
      <c r="O58" s="60" t="n">
        <v>151253.0</v>
      </c>
      <c r="P58" s="60" t="n">
        <v>22155.0</v>
      </c>
      <c r="Q58" s="60" t="n">
        <v>27578.0</v>
      </c>
      <c r="R58" s="60" t="n">
        <v>30629.0</v>
      </c>
      <c r="S58" s="60" t="n">
        <v>4390.0</v>
      </c>
      <c r="T58" s="60" t="n">
        <v>2098.0</v>
      </c>
      <c r="U58" s="60" t="n">
        <v>10972.0</v>
      </c>
      <c r="V58" s="60" t="n">
        <v>0.0</v>
      </c>
      <c r="W58">
        <f>SUM(O58:V58)</f>
        <v>248381</v>
      </c>
    </row>
    <row r="59" spans="1:23" x14ac:dyDescent="0.2">
      <c r="A59" t="s">
        <v>71</v>
      </c>
      <c r="B59">
        <f si="15" t="shared"/>
        <v>22407</v>
      </c>
      <c r="C59">
        <f si="15" t="shared"/>
        <v>5989</v>
      </c>
      <c r="D59">
        <f si="15" t="shared"/>
        <v>18050</v>
      </c>
      <c r="E59">
        <f si="15" t="shared"/>
        <v>16531</v>
      </c>
      <c r="F59">
        <f si="15" t="shared"/>
        <v>2939</v>
      </c>
      <c r="G59">
        <f si="15" t="shared"/>
        <v>843</v>
      </c>
      <c r="H59">
        <f si="15" t="shared"/>
        <v>3764</v>
      </c>
      <c r="I59">
        <f si="15" t="shared"/>
        <v>0</v>
      </c>
      <c r="J59">
        <f si="15" t="shared"/>
        <v>70523</v>
      </c>
      <c r="N59" t="s">
        <v>71</v>
      </c>
      <c r="O59" s="60" t="n">
        <v>20168.0</v>
      </c>
      <c r="P59" s="60" t="n">
        <v>5522.0</v>
      </c>
      <c r="Q59" s="60" t="n">
        <v>16525.0</v>
      </c>
      <c r="R59" s="60" t="n">
        <v>15235.0</v>
      </c>
      <c r="S59" s="60" t="n">
        <v>2676.0</v>
      </c>
      <c r="T59" s="60" t="n">
        <v>794.0</v>
      </c>
      <c r="U59" s="60" t="n">
        <v>3449.0</v>
      </c>
      <c r="V59" s="60" t="n">
        <v>0.0</v>
      </c>
      <c r="W59">
        <f>SUM(O59:V59)</f>
        <v>70523</v>
      </c>
    </row>
    <row r="60" spans="1:23" x14ac:dyDescent="0.2">
      <c r="A60" t="s">
        <v>72</v>
      </c>
      <c r="B60">
        <f si="15" t="shared"/>
        <v>24562</v>
      </c>
      <c r="C60">
        <f si="15" t="shared"/>
        <v>8016</v>
      </c>
      <c r="D60">
        <f si="15" t="shared"/>
        <v>23746</v>
      </c>
      <c r="E60">
        <f si="15" t="shared"/>
        <v>22056</v>
      </c>
      <c r="F60">
        <f si="15" t="shared"/>
        <v>2804</v>
      </c>
      <c r="G60">
        <f si="15" t="shared"/>
        <v>1152</v>
      </c>
      <c r="H60">
        <f si="15" t="shared"/>
        <v>4404</v>
      </c>
      <c r="I60">
        <f si="15" t="shared"/>
        <v>0</v>
      </c>
      <c r="J60">
        <f si="15" t="shared"/>
        <v>86740</v>
      </c>
      <c r="N60" t="s">
        <v>72</v>
      </c>
      <c r="O60" s="60" t="n">
        <v>22255.0</v>
      </c>
      <c r="P60" s="60" t="n">
        <v>7343.0</v>
      </c>
      <c r="Q60" s="60" t="n">
        <v>21956.0</v>
      </c>
      <c r="R60" s="60" t="n">
        <v>20477.0</v>
      </c>
      <c r="S60" s="60" t="n">
        <v>2448.0</v>
      </c>
      <c r="T60" s="60" t="n">
        <v>1036.0</v>
      </c>
      <c r="U60" s="60" t="n">
        <v>4082.0</v>
      </c>
      <c r="V60" s="60" t="n">
        <v>0.0</v>
      </c>
      <c r="W60">
        <f>SUM(O60:V60)</f>
        <v>86740</v>
      </c>
    </row>
    <row r="62" spans="1:23" x14ac:dyDescent="0.2">
      <c r="A62" t="s">
        <v>28</v>
      </c>
      <c r="N62" t="s">
        <v>28</v>
      </c>
    </row>
    <row r="63" spans="1:23" x14ac:dyDescent="0.2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2">
      <c r="A64" t="s">
        <v>54</v>
      </c>
      <c r="B64">
        <f ref="B64:J67" si="16" t="shared">O64*$B$1</f>
        <v>636050</v>
      </c>
      <c r="C64">
        <f si="16" t="shared"/>
        <v>87008</v>
      </c>
      <c r="D64">
        <f si="16" t="shared"/>
        <v>173899</v>
      </c>
      <c r="E64">
        <f si="16" t="shared"/>
        <v>173793</v>
      </c>
      <c r="F64">
        <f si="16" t="shared"/>
        <v>55945</v>
      </c>
      <c r="G64">
        <f si="16" t="shared"/>
        <v>51263</v>
      </c>
      <c r="H64">
        <f si="16" t="shared"/>
        <v>247634</v>
      </c>
      <c r="I64">
        <f si="16" t="shared"/>
        <v>0</v>
      </c>
      <c r="J64">
        <f si="16" t="shared"/>
        <v>1425592</v>
      </c>
      <c r="N64" t="s">
        <v>54</v>
      </c>
      <c r="O64" s="60" t="n">
        <v>638366.0</v>
      </c>
      <c r="P64" s="60" t="n">
        <v>87333.0</v>
      </c>
      <c r="Q64" s="60" t="n">
        <v>174910.0</v>
      </c>
      <c r="R64" s="60" t="n">
        <v>175024.0</v>
      </c>
      <c r="S64" s="60" t="n">
        <v>56229.0</v>
      </c>
      <c r="T64" s="60" t="n">
        <v>50622.0</v>
      </c>
      <c r="U64" s="60" t="n">
        <v>247362.0</v>
      </c>
      <c r="V64" s="60" t="n">
        <v>0.0</v>
      </c>
      <c r="W64">
        <f>SUM(O64:V64)</f>
        <v>1425592</v>
      </c>
    </row>
    <row r="65" spans="1:23" x14ac:dyDescent="0.2">
      <c r="A65" t="s">
        <v>70</v>
      </c>
      <c r="B65">
        <f si="16" t="shared"/>
        <v>171403</v>
      </c>
      <c r="C65">
        <f si="16" t="shared"/>
        <v>15095</v>
      </c>
      <c r="D65">
        <f si="16" t="shared"/>
        <v>20584</v>
      </c>
      <c r="E65">
        <f si="16" t="shared"/>
        <v>16661</v>
      </c>
      <c r="F65">
        <f si="16" t="shared"/>
        <v>4790</v>
      </c>
      <c r="G65">
        <f si="16" t="shared"/>
        <v>2997</v>
      </c>
      <c r="H65">
        <f si="16" t="shared"/>
        <v>13241</v>
      </c>
      <c r="I65">
        <f si="16" t="shared"/>
        <v>0</v>
      </c>
      <c r="J65">
        <f si="16" t="shared"/>
        <v>244771</v>
      </c>
      <c r="N65" t="s">
        <v>70</v>
      </c>
      <c r="O65" s="60" t="n">
        <v>172706.0</v>
      </c>
      <c r="P65" s="60" t="n">
        <v>15206.0</v>
      </c>
      <c r="Q65" s="60" t="n">
        <v>20529.0</v>
      </c>
      <c r="R65" s="60" t="n">
        <v>16309.0</v>
      </c>
      <c r="S65" s="60" t="n">
        <v>4747.0</v>
      </c>
      <c r="T65" s="60" t="n">
        <v>3526.0</v>
      </c>
      <c r="U65" s="60" t="n">
        <v>13796.0</v>
      </c>
      <c r="V65" s="60" t="n">
        <v>0.0</v>
      </c>
      <c r="W65">
        <f>SUM(O65:V65)</f>
        <v>244771</v>
      </c>
    </row>
    <row r="66" spans="1:23" x14ac:dyDescent="0.2">
      <c r="A66" t="s">
        <v>71</v>
      </c>
      <c r="B66">
        <f si="16" t="shared"/>
        <v>29669</v>
      </c>
      <c r="C66">
        <f si="16" t="shared"/>
        <v>4249</v>
      </c>
      <c r="D66">
        <f si="16" t="shared"/>
        <v>14479</v>
      </c>
      <c r="E66">
        <f si="16" t="shared"/>
        <v>8483</v>
      </c>
      <c r="F66">
        <f si="16" t="shared"/>
        <v>2831</v>
      </c>
      <c r="G66">
        <f si="16" t="shared"/>
        <v>753</v>
      </c>
      <c r="H66">
        <f si="16" t="shared"/>
        <v>4442</v>
      </c>
      <c r="I66">
        <f si="16" t="shared"/>
        <v>0</v>
      </c>
      <c r="J66">
        <f si="16" t="shared"/>
        <v>64906</v>
      </c>
      <c r="N66" t="s">
        <v>71</v>
      </c>
      <c r="O66" s="60" t="n">
        <v>27104.0</v>
      </c>
      <c r="P66" s="60" t="n">
        <v>3981.0</v>
      </c>
      <c r="Q66" s="60" t="n">
        <v>13848.0</v>
      </c>
      <c r="R66" s="60" t="n">
        <v>7953.0</v>
      </c>
      <c r="S66" s="60" t="n">
        <v>2700.0</v>
      </c>
      <c r="T66" s="60" t="n">
        <v>830.0</v>
      </c>
      <c r="U66" s="60" t="n">
        <v>4200.0</v>
      </c>
      <c r="V66" s="60" t="n">
        <v>0.0</v>
      </c>
      <c r="W66">
        <f>SUM(O66:V66)</f>
        <v>64906</v>
      </c>
    </row>
    <row r="67" spans="1:23" x14ac:dyDescent="0.2">
      <c r="A67" t="s">
        <v>72</v>
      </c>
      <c r="B67">
        <f si="16" t="shared"/>
        <v>14893</v>
      </c>
      <c r="C67">
        <f si="16" t="shared"/>
        <v>2273</v>
      </c>
      <c r="D67">
        <f si="16" t="shared"/>
        <v>6448</v>
      </c>
      <c r="E67">
        <f si="16" t="shared"/>
        <v>3978</v>
      </c>
      <c r="F67">
        <f si="16" t="shared"/>
        <v>1067</v>
      </c>
      <c r="G67">
        <f si="16" t="shared"/>
        <v>489</v>
      </c>
      <c r="H67">
        <f si="16" t="shared"/>
        <v>1804</v>
      </c>
      <c r="I67">
        <f si="16" t="shared"/>
        <v>0</v>
      </c>
      <c r="J67">
        <f si="16" t="shared"/>
        <v>30952</v>
      </c>
      <c r="N67" t="s">
        <v>72</v>
      </c>
      <c r="O67" s="60" t="n">
        <v>13839.0</v>
      </c>
      <c r="P67" s="60" t="n">
        <v>2105.0</v>
      </c>
      <c r="Q67" s="60" t="n">
        <v>6123.0</v>
      </c>
      <c r="R67" s="60" t="n">
        <v>3629.0</v>
      </c>
      <c r="S67" s="60" t="n">
        <v>957.0</v>
      </c>
      <c r="T67" s="60" t="n">
        <v>524.0</v>
      </c>
      <c r="U67" s="60" t="n">
        <v>1763.0</v>
      </c>
      <c r="V67" s="60" t="n">
        <v>0.0</v>
      </c>
      <c r="W67">
        <f>SUM(O67:V67)</f>
        <v>30952</v>
      </c>
    </row>
    <row r="69" spans="1:23" x14ac:dyDescent="0.2">
      <c r="A69" t="s">
        <v>29</v>
      </c>
      <c r="N69" t="s">
        <v>29</v>
      </c>
    </row>
    <row r="70" spans="1:23" x14ac:dyDescent="0.2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2">
      <c r="A71" t="s">
        <v>54</v>
      </c>
      <c r="B71">
        <f ref="B71:J74" si="17" t="shared">O71*$B$1</f>
        <v>703029</v>
      </c>
      <c r="C71">
        <f si="17" t="shared"/>
        <v>84976</v>
      </c>
      <c r="D71">
        <f si="17" t="shared"/>
        <v>174804</v>
      </c>
      <c r="E71">
        <f si="17" t="shared"/>
        <v>160148</v>
      </c>
      <c r="F71">
        <f si="17" t="shared"/>
        <v>57281</v>
      </c>
      <c r="G71">
        <f si="17" t="shared"/>
        <v>37652</v>
      </c>
      <c r="H71">
        <f si="17" t="shared"/>
        <v>187548</v>
      </c>
      <c r="I71">
        <f si="17" t="shared"/>
        <v>0</v>
      </c>
      <c r="J71">
        <f si="17" t="shared"/>
        <v>1405438</v>
      </c>
      <c r="N71" t="s">
        <v>54</v>
      </c>
      <c r="O71" s="60" t="n">
        <v>704606.0</v>
      </c>
      <c r="P71" s="60" t="n">
        <v>86036.0</v>
      </c>
      <c r="Q71" s="60" t="n">
        <v>176039.0</v>
      </c>
      <c r="R71" s="60" t="n">
        <v>161243.0</v>
      </c>
      <c r="S71" s="60" t="n">
        <v>57694.0</v>
      </c>
      <c r="T71" s="60" t="n">
        <v>37695.0</v>
      </c>
      <c r="U71" s="60" t="n">
        <v>188334.0</v>
      </c>
      <c r="V71" s="60" t="n">
        <v>0.0</v>
      </c>
      <c r="W71">
        <f>SUM(O71:V71)</f>
        <v>1405438</v>
      </c>
    </row>
    <row r="72" spans="1:23" x14ac:dyDescent="0.2">
      <c r="A72" t="s">
        <v>70</v>
      </c>
      <c r="B72">
        <f si="17" t="shared"/>
        <v>77250</v>
      </c>
      <c r="C72">
        <f si="17" t="shared"/>
        <v>9046</v>
      </c>
      <c r="D72">
        <f si="17" t="shared"/>
        <v>9156</v>
      </c>
      <c r="E72">
        <f si="17" t="shared"/>
        <v>11239</v>
      </c>
      <c r="F72">
        <f si="17" t="shared"/>
        <v>1937</v>
      </c>
      <c r="G72">
        <f si="17" t="shared"/>
        <v>6461</v>
      </c>
      <c r="H72">
        <f si="17" t="shared"/>
        <v>36535</v>
      </c>
      <c r="I72">
        <f si="17" t="shared"/>
        <v>0</v>
      </c>
      <c r="J72">
        <f si="17" t="shared"/>
        <v>151624</v>
      </c>
      <c r="N72" t="s">
        <v>70</v>
      </c>
      <c r="O72" s="60" t="n">
        <v>78177.0</v>
      </c>
      <c r="P72" s="60" t="n">
        <v>8918.0</v>
      </c>
      <c r="Q72" s="60" t="n">
        <v>8924.0</v>
      </c>
      <c r="R72" s="60" t="n">
        <v>10805.0</v>
      </c>
      <c r="S72" s="60" t="n">
        <v>1905.0</v>
      </c>
      <c r="T72" s="60" t="n">
        <v>6711.0</v>
      </c>
      <c r="U72" s="60" t="n">
        <v>37133.0</v>
      </c>
      <c r="V72" s="60" t="n">
        <v>0.0</v>
      </c>
      <c r="W72">
        <f>SUM(O72:V72)</f>
        <v>151624</v>
      </c>
    </row>
    <row r="73" spans="1:23" x14ac:dyDescent="0.2">
      <c r="A73" t="s">
        <v>71</v>
      </c>
      <c r="B73">
        <f si="17" t="shared"/>
        <v>53556</v>
      </c>
      <c r="C73">
        <f si="17" t="shared"/>
        <v>10776</v>
      </c>
      <c r="D73">
        <f si="17" t="shared"/>
        <v>22796</v>
      </c>
      <c r="E73">
        <f si="17" t="shared"/>
        <v>23027</v>
      </c>
      <c r="F73">
        <f si="17" t="shared"/>
        <v>4072</v>
      </c>
      <c r="G73">
        <f si="17" t="shared"/>
        <v>7685</v>
      </c>
      <c r="H73">
        <f si="17" t="shared"/>
        <v>28446</v>
      </c>
      <c r="I73">
        <f si="17" t="shared"/>
        <v>0</v>
      </c>
      <c r="J73">
        <f si="17" t="shared"/>
        <v>150358</v>
      </c>
      <c r="N73" t="s">
        <v>71</v>
      </c>
      <c r="O73" s="60" t="n">
        <v>51866.0</v>
      </c>
      <c r="P73" s="60" t="n">
        <v>10134.0</v>
      </c>
      <c r="Q73" s="60" t="n">
        <v>22001.0</v>
      </c>
      <c r="R73" s="60" t="n">
        <v>22499.0</v>
      </c>
      <c r="S73" s="60" t="n">
        <v>3794.0</v>
      </c>
      <c r="T73" s="60" t="n">
        <v>7486.0</v>
      </c>
      <c r="U73" s="60" t="n">
        <v>27644.0</v>
      </c>
      <c r="V73" s="60" t="n">
        <v>0.0</v>
      </c>
      <c r="W73">
        <f>SUM(O73:V73)</f>
        <v>150358</v>
      </c>
    </row>
    <row r="74" spans="1:23" x14ac:dyDescent="0.2">
      <c r="A74" t="s">
        <v>72</v>
      </c>
      <c r="B74">
        <f si="17" t="shared"/>
        <v>18180</v>
      </c>
      <c r="C74">
        <f si="17" t="shared"/>
        <v>3827</v>
      </c>
      <c r="D74">
        <f si="17" t="shared"/>
        <v>8654</v>
      </c>
      <c r="E74">
        <f si="17" t="shared"/>
        <v>8501</v>
      </c>
      <c r="F74">
        <f si="17" t="shared"/>
        <v>1343</v>
      </c>
      <c r="G74">
        <f si="17" t="shared"/>
        <v>3704</v>
      </c>
      <c r="H74">
        <f si="17" t="shared"/>
        <v>14592</v>
      </c>
      <c r="I74">
        <f si="17" t="shared"/>
        <v>0</v>
      </c>
      <c r="J74">
        <f si="17" t="shared"/>
        <v>58801</v>
      </c>
      <c r="N74" t="s">
        <v>72</v>
      </c>
      <c r="O74" s="60" t="n">
        <v>17366.0</v>
      </c>
      <c r="P74" s="60" t="n">
        <v>3537.0</v>
      </c>
      <c r="Q74" s="60" t="n">
        <v>8446.0</v>
      </c>
      <c r="R74" s="60" t="n">
        <v>8368.0</v>
      </c>
      <c r="S74" s="60" t="n">
        <v>1240.0</v>
      </c>
      <c r="T74" s="60" t="n">
        <v>3610.0</v>
      </c>
      <c r="U74" s="60" t="n">
        <v>14010.0</v>
      </c>
      <c r="V74" s="60" t="n">
        <v>0.0</v>
      </c>
      <c r="W74">
        <f>SUM(O74:V74)</f>
        <v>58801</v>
      </c>
    </row>
    <row r="76" spans="1:23" x14ac:dyDescent="0.2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2">
      <c r="A78" t="s">
        <v>23</v>
      </c>
      <c r="N78" t="s">
        <v>23</v>
      </c>
    </row>
    <row r="79" spans="1:23" x14ac:dyDescent="0.2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2">
      <c r="A80">
        <v>0</v>
      </c>
      <c r="B80">
        <f ref="B80:J83" si="18" t="shared">O80*$B$1</f>
        <v>277200</v>
      </c>
      <c r="C80">
        <f si="18" t="shared"/>
        <v>58534</v>
      </c>
      <c r="D80">
        <f si="18" t="shared"/>
        <v>215410</v>
      </c>
      <c r="E80">
        <f si="18" t="shared"/>
        <v>202915</v>
      </c>
      <c r="F80">
        <f si="18" t="shared"/>
        <v>52920</v>
      </c>
      <c r="G80">
        <f si="18" t="shared"/>
        <v>53329</v>
      </c>
      <c r="H80">
        <f si="18" t="shared"/>
        <v>267121</v>
      </c>
      <c r="I80">
        <f si="18" t="shared"/>
        <v>0</v>
      </c>
      <c r="J80">
        <f si="18" t="shared"/>
        <v>1127429</v>
      </c>
      <c r="N80">
        <v>0</v>
      </c>
      <c r="O80" s="60" t="n">
        <v>272076.0</v>
      </c>
      <c r="P80" s="60" t="n">
        <v>57475.0</v>
      </c>
      <c r="Q80" s="60" t="n">
        <v>215410.0</v>
      </c>
      <c r="R80" s="60" t="n">
        <v>202915.0</v>
      </c>
      <c r="S80" s="60" t="n">
        <v>52695.0</v>
      </c>
      <c r="T80" s="60" t="n">
        <v>53176.0</v>
      </c>
      <c r="U80" s="60" t="n">
        <v>267121.0</v>
      </c>
      <c r="V80" s="60" t="n">
        <v>0.0</v>
      </c>
      <c r="W80">
        <f>SUM(O80:V80)</f>
        <v>1127429</v>
      </c>
    </row>
    <row r="81" spans="1:23" x14ac:dyDescent="0.2">
      <c r="A81">
        <v>1</v>
      </c>
      <c r="B81">
        <f si="18" t="shared"/>
        <v>545097</v>
      </c>
      <c r="C81">
        <f si="18" t="shared"/>
        <v>46818</v>
      </c>
      <c r="D81">
        <f si="18" t="shared"/>
        <v>0</v>
      </c>
      <c r="E81">
        <f si="18" t="shared"/>
        <v>0</v>
      </c>
      <c r="F81">
        <f si="18" t="shared"/>
        <v>11189</v>
      </c>
      <c r="G81">
        <f si="18" t="shared"/>
        <v>2009</v>
      </c>
      <c r="H81">
        <f si="18" t="shared"/>
        <v>0</v>
      </c>
      <c r="I81">
        <f si="18" t="shared"/>
        <v>0</v>
      </c>
      <c r="J81">
        <f si="18" t="shared"/>
        <v>605113</v>
      </c>
      <c r="N81">
        <v>1</v>
      </c>
      <c r="O81" s="60" t="n">
        <v>549916.0</v>
      </c>
      <c r="P81" s="60" t="n">
        <v>47775.0</v>
      </c>
      <c r="Q81" s="60" t="n">
        <v>0.0</v>
      </c>
      <c r="R81" s="60" t="n">
        <v>0.0</v>
      </c>
      <c r="S81" s="60" t="n">
        <v>11413.0</v>
      </c>
      <c r="T81" s="60" t="n">
        <v>2154.0</v>
      </c>
      <c r="U81" s="60" t="n">
        <v>0.0</v>
      </c>
      <c r="V81" s="60" t="n">
        <v>0.0</v>
      </c>
      <c r="W81">
        <f>SUM(O81:V81)</f>
        <v>605113</v>
      </c>
    </row>
    <row r="82" spans="1:23" x14ac:dyDescent="0.2">
      <c r="A82">
        <v>2</v>
      </c>
      <c r="B82">
        <f si="18" t="shared"/>
        <v>28022</v>
      </c>
      <c r="C82">
        <f si="18" t="shared"/>
        <v>3100</v>
      </c>
      <c r="D82">
        <f si="18" t="shared"/>
        <v>0</v>
      </c>
      <c r="E82">
        <f si="18" t="shared"/>
        <v>0</v>
      </c>
      <c r="F82">
        <f si="18" t="shared"/>
        <v>497</v>
      </c>
      <c r="G82">
        <f si="18" t="shared"/>
        <v>157</v>
      </c>
      <c r="H82">
        <f si="18" t="shared"/>
        <v>0</v>
      </c>
      <c r="I82">
        <f si="18" t="shared"/>
        <v>0</v>
      </c>
      <c r="J82">
        <f si="18" t="shared"/>
        <v>31776</v>
      </c>
      <c r="N82">
        <v>2</v>
      </c>
      <c r="O82" s="60" t="n">
        <v>28246.0</v>
      </c>
      <c r="P82" s="60" t="n">
        <v>3184.0</v>
      </c>
      <c r="Q82" s="60" t="n">
        <v>0.0</v>
      </c>
      <c r="R82" s="60" t="n">
        <v>0.0</v>
      </c>
      <c r="S82" s="60" t="n">
        <v>500.0</v>
      </c>
      <c r="T82" s="60" t="n">
        <v>165.0</v>
      </c>
      <c r="U82" s="60" t="n">
        <v>0.0</v>
      </c>
      <c r="V82" s="60" t="n">
        <v>0.0</v>
      </c>
      <c r="W82">
        <f>SUM(O82:V82)</f>
        <v>31776</v>
      </c>
    </row>
    <row r="83" spans="1:23" x14ac:dyDescent="0.2">
      <c r="A83" t="s">
        <v>94</v>
      </c>
      <c r="B83">
        <f si="18" t="shared"/>
        <v>1696</v>
      </c>
      <c r="C83">
        <f si="18" t="shared"/>
        <v>173</v>
      </c>
      <c r="D83">
        <f si="18" t="shared"/>
        <v>0</v>
      </c>
      <c r="E83">
        <f si="18" t="shared"/>
        <v>0</v>
      </c>
      <c r="F83">
        <f si="18" t="shared"/>
        <v>27</v>
      </c>
      <c r="G83">
        <f si="18" t="shared"/>
        <v>7</v>
      </c>
      <c r="H83">
        <f si="18" t="shared"/>
        <v>0</v>
      </c>
      <c r="I83">
        <f si="18" t="shared"/>
        <v>0</v>
      </c>
      <c r="J83">
        <f si="18" t="shared"/>
        <v>1903</v>
      </c>
      <c r="N83" t="s">
        <v>94</v>
      </c>
      <c r="O83" s="60" t="n">
        <v>1777.0</v>
      </c>
      <c r="P83" s="60" t="n">
        <v>191.0</v>
      </c>
      <c r="Q83" s="60" t="n">
        <v>0.0</v>
      </c>
      <c r="R83" s="60" t="n">
        <v>0.0</v>
      </c>
      <c r="S83" s="60" t="n">
        <v>25.0</v>
      </c>
      <c r="T83" s="60" t="n">
        <v>7.0</v>
      </c>
      <c r="U83" s="60" t="n">
        <v>0.0</v>
      </c>
      <c r="V83" s="60" t="n">
        <v>0.0</v>
      </c>
      <c r="W83">
        <f>SUM(O83:V83)</f>
        <v>1903</v>
      </c>
    </row>
    <row r="85" spans="1:23" x14ac:dyDescent="0.2">
      <c r="A85" t="s">
        <v>24</v>
      </c>
      <c r="N85" t="s">
        <v>24</v>
      </c>
    </row>
    <row r="86" spans="1:23" x14ac:dyDescent="0.2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2">
      <c r="A87">
        <v>0</v>
      </c>
      <c r="B87">
        <f ref="B87:J90" si="19" t="shared">O87*$B$1</f>
        <v>843437</v>
      </c>
      <c r="C87">
        <f si="19" t="shared"/>
        <v>108625</v>
      </c>
      <c r="D87">
        <f si="19" t="shared"/>
        <v>215410</v>
      </c>
      <c r="E87">
        <f si="19" t="shared"/>
        <v>202915</v>
      </c>
      <c r="F87">
        <f si="19" t="shared"/>
        <v>52386</v>
      </c>
      <c r="G87">
        <f si="19" t="shared"/>
        <v>23993</v>
      </c>
      <c r="H87">
        <f si="19" t="shared"/>
        <v>98255</v>
      </c>
      <c r="I87">
        <f si="19" t="shared"/>
        <v>0</v>
      </c>
      <c r="J87">
        <f si="19" t="shared"/>
        <v>1545021</v>
      </c>
      <c r="N87">
        <v>0</v>
      </c>
      <c r="O87" s="60" t="n">
        <v>843664.0</v>
      </c>
      <c r="P87" s="60" t="n">
        <v>108625.0</v>
      </c>
      <c r="Q87" s="60" t="n">
        <v>215410.0</v>
      </c>
      <c r="R87" s="60" t="n">
        <v>202915.0</v>
      </c>
      <c r="S87" s="60" t="n">
        <v>52474.0</v>
      </c>
      <c r="T87" s="60" t="n">
        <v>23703.0</v>
      </c>
      <c r="U87" s="60" t="n">
        <v>98405.0</v>
      </c>
      <c r="V87" s="60" t="n">
        <v>0.0</v>
      </c>
      <c r="W87">
        <f>SUM(O87:V87)</f>
        <v>1545021</v>
      </c>
    </row>
    <row r="88" spans="1:23" x14ac:dyDescent="0.2">
      <c r="A88">
        <v>1</v>
      </c>
      <c r="B88">
        <f si="19" t="shared"/>
        <v>8261</v>
      </c>
      <c r="C88">
        <f si="19" t="shared"/>
        <v>0</v>
      </c>
      <c r="D88">
        <f si="19" t="shared"/>
        <v>0</v>
      </c>
      <c r="E88">
        <f si="19" t="shared"/>
        <v>0</v>
      </c>
      <c r="F88">
        <f si="19" t="shared"/>
        <v>10758</v>
      </c>
      <c r="G88">
        <f si="19" t="shared"/>
        <v>29633</v>
      </c>
      <c r="H88">
        <f si="19" t="shared"/>
        <v>163091</v>
      </c>
      <c r="I88">
        <f si="19" t="shared"/>
        <v>0</v>
      </c>
      <c r="J88">
        <f si="19" t="shared"/>
        <v>211743</v>
      </c>
      <c r="N88">
        <v>1</v>
      </c>
      <c r="O88" s="60" t="n">
        <v>8029.0</v>
      </c>
      <c r="P88" s="60" t="n">
        <v>0.0</v>
      </c>
      <c r="Q88" s="60" t="n">
        <v>0.0</v>
      </c>
      <c r="R88" s="60" t="n">
        <v>0.0</v>
      </c>
      <c r="S88" s="60" t="n">
        <v>10697.0</v>
      </c>
      <c r="T88" s="60" t="n">
        <v>29854.0</v>
      </c>
      <c r="U88" s="60" t="n">
        <v>162982.0</v>
      </c>
      <c r="V88" s="60" t="n">
        <v>0.0</v>
      </c>
      <c r="W88">
        <f>SUM(O88:V88)</f>
        <v>211743</v>
      </c>
    </row>
    <row r="89" spans="1:23" x14ac:dyDescent="0.2">
      <c r="A89">
        <v>2</v>
      </c>
      <c r="B89">
        <f si="19" t="shared"/>
        <v>297</v>
      </c>
      <c r="C89">
        <f si="19" t="shared"/>
        <v>0</v>
      </c>
      <c r="D89">
        <f si="19" t="shared"/>
        <v>0</v>
      </c>
      <c r="E89">
        <f si="19" t="shared"/>
        <v>0</v>
      </c>
      <c r="F89">
        <f si="19" t="shared"/>
        <v>1360</v>
      </c>
      <c r="G89">
        <f si="19" t="shared"/>
        <v>1740</v>
      </c>
      <c r="H89">
        <f si="19" t="shared"/>
        <v>5360</v>
      </c>
      <c r="I89">
        <f si="19" t="shared"/>
        <v>0</v>
      </c>
      <c r="J89">
        <f si="19" t="shared"/>
        <v>8757</v>
      </c>
      <c r="N89">
        <v>2</v>
      </c>
      <c r="O89" s="60" t="n">
        <v>302.0</v>
      </c>
      <c r="P89" s="60" t="n">
        <v>0.0</v>
      </c>
      <c r="Q89" s="60" t="n">
        <v>0.0</v>
      </c>
      <c r="R89" s="60" t="n">
        <v>0.0</v>
      </c>
      <c r="S89" s="60" t="n">
        <v>1334.0</v>
      </c>
      <c r="T89" s="60" t="n">
        <v>1801.0</v>
      </c>
      <c r="U89" s="60" t="n">
        <v>5326.0</v>
      </c>
      <c r="V89" s="60" t="n">
        <v>0.0</v>
      </c>
      <c r="W89">
        <f>SUM(O89:V89)</f>
        <v>8757</v>
      </c>
    </row>
    <row r="90" spans="1:23" x14ac:dyDescent="0.2">
      <c r="A90" t="s">
        <v>94</v>
      </c>
      <c r="B90">
        <f si="19" t="shared"/>
        <v>20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129</v>
      </c>
      <c r="G90">
        <f si="19" t="shared"/>
        <v>136</v>
      </c>
      <c r="H90">
        <f si="19" t="shared"/>
        <v>415</v>
      </c>
      <c r="I90">
        <f si="19" t="shared"/>
        <v>0</v>
      </c>
      <c r="J90">
        <f si="19" t="shared"/>
        <v>700</v>
      </c>
      <c r="N90" t="s">
        <v>94</v>
      </c>
      <c r="O90" s="60" t="n">
        <v>20.0</v>
      </c>
      <c r="P90" s="60" t="n">
        <v>0.0</v>
      </c>
      <c r="Q90" s="60" t="n">
        <v>0.0</v>
      </c>
      <c r="R90" s="60" t="n">
        <v>0.0</v>
      </c>
      <c r="S90" s="60" t="n">
        <v>128.0</v>
      </c>
      <c r="T90" s="60" t="n">
        <v>144.0</v>
      </c>
      <c r="U90" s="60" t="n">
        <v>408.0</v>
      </c>
      <c r="V90" s="60" t="n">
        <v>0.0</v>
      </c>
      <c r="W90">
        <f>SUM(O90:V90)</f>
        <v>700</v>
      </c>
    </row>
    <row r="92" spans="1:23" x14ac:dyDescent="0.2">
      <c r="A92" t="s">
        <v>25</v>
      </c>
      <c r="N92" t="s">
        <v>25</v>
      </c>
    </row>
    <row r="93" spans="1:23" x14ac:dyDescent="0.2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2">
      <c r="A94">
        <v>0</v>
      </c>
      <c r="B94">
        <f ref="B94:J97" si="20" t="shared">O94*$B$1</f>
        <v>792723</v>
      </c>
      <c r="C94">
        <f si="20" t="shared"/>
        <v>92121</v>
      </c>
      <c r="D94">
        <f si="20" t="shared"/>
        <v>204116</v>
      </c>
      <c r="E94">
        <f si="20" t="shared"/>
        <v>164183</v>
      </c>
      <c r="F94">
        <f si="20" t="shared"/>
        <v>60208</v>
      </c>
      <c r="G94">
        <f si="20" t="shared"/>
        <v>52882</v>
      </c>
      <c r="H94">
        <f si="20" t="shared"/>
        <v>258433</v>
      </c>
      <c r="I94">
        <f si="20" t="shared"/>
        <v>0</v>
      </c>
      <c r="J94">
        <f si="20" t="shared"/>
        <v>1624666</v>
      </c>
      <c r="N94">
        <v>0</v>
      </c>
      <c r="O94" s="60" t="n">
        <v>794747.0</v>
      </c>
      <c r="P94" s="60" t="n">
        <v>92597.0</v>
      </c>
      <c r="Q94" s="60" t="n">
        <v>204399.0</v>
      </c>
      <c r="R94" s="60" t="n">
        <v>164958.0</v>
      </c>
      <c r="S94" s="60" t="n">
        <v>60349.0</v>
      </c>
      <c r="T94" s="60" t="n">
        <v>53098.0</v>
      </c>
      <c r="U94" s="60" t="n">
        <v>258744.0</v>
      </c>
      <c r="V94" s="60" t="n">
        <v>0.0</v>
      </c>
      <c r="W94">
        <f>SUM(O94:V94)</f>
        <v>1624666</v>
      </c>
    </row>
    <row r="95" spans="1:23" x14ac:dyDescent="0.2">
      <c r="A95">
        <v>1</v>
      </c>
      <c r="B95">
        <f si="20" t="shared"/>
        <v>45910</v>
      </c>
      <c r="C95">
        <f si="20" t="shared"/>
        <v>11196</v>
      </c>
      <c r="D95">
        <f si="20" t="shared"/>
        <v>8176</v>
      </c>
      <c r="E95">
        <f si="20" t="shared"/>
        <v>20037</v>
      </c>
      <c r="F95">
        <f si="20" t="shared"/>
        <v>3209</v>
      </c>
      <c r="G95">
        <f si="20" t="shared"/>
        <v>2233</v>
      </c>
      <c r="H95">
        <f si="20" t="shared"/>
        <v>7173</v>
      </c>
      <c r="I95">
        <f si="20" t="shared"/>
        <v>0</v>
      </c>
      <c r="J95">
        <f si="20" t="shared"/>
        <v>97934</v>
      </c>
      <c r="N95">
        <v>1</v>
      </c>
      <c r="O95" s="60" t="n">
        <v>44525.0</v>
      </c>
      <c r="P95" s="60" t="n">
        <v>10935.0</v>
      </c>
      <c r="Q95" s="60" t="n">
        <v>7969.0</v>
      </c>
      <c r="R95" s="60" t="n">
        <v>19639.0</v>
      </c>
      <c r="S95" s="60" t="n">
        <v>3095.0</v>
      </c>
      <c r="T95" s="60" t="n">
        <v>2057.0</v>
      </c>
      <c r="U95" s="60" t="n">
        <v>6894.0</v>
      </c>
      <c r="V95" s="60" t="n">
        <v>0.0</v>
      </c>
      <c r="W95">
        <f>SUM(O95:V95)</f>
        <v>97934</v>
      </c>
    </row>
    <row r="96" spans="1:23" x14ac:dyDescent="0.2">
      <c r="A96">
        <v>2</v>
      </c>
      <c r="B96">
        <f si="20" t="shared"/>
        <v>10721</v>
      </c>
      <c r="C96">
        <f si="20" t="shared"/>
        <v>4281</v>
      </c>
      <c r="D96">
        <f si="20" t="shared"/>
        <v>2522</v>
      </c>
      <c r="E96">
        <f si="20" t="shared"/>
        <v>15019</v>
      </c>
      <c r="F96">
        <f si="20" t="shared"/>
        <v>994</v>
      </c>
      <c r="G96">
        <f si="20" t="shared"/>
        <v>321</v>
      </c>
      <c r="H96">
        <f si="20" t="shared"/>
        <v>1261</v>
      </c>
      <c r="I96">
        <f si="20" t="shared"/>
        <v>0</v>
      </c>
      <c r="J96">
        <f si="20" t="shared"/>
        <v>35119</v>
      </c>
      <c r="N96">
        <v>2</v>
      </c>
      <c r="O96" s="60" t="n">
        <v>10240.0</v>
      </c>
      <c r="P96" s="60" t="n">
        <v>4119.0</v>
      </c>
      <c r="Q96" s="60" t="n">
        <v>2467.0</v>
      </c>
      <c r="R96" s="60" t="n">
        <v>14707.0</v>
      </c>
      <c r="S96" s="60" t="n">
        <v>971.0</v>
      </c>
      <c r="T96" s="60" t="n">
        <v>290.0</v>
      </c>
      <c r="U96" s="60" t="n">
        <v>1245.0</v>
      </c>
      <c r="V96" s="60" t="n">
        <v>0.0</v>
      </c>
      <c r="W96">
        <f>SUM(O96:V96)</f>
        <v>35119</v>
      </c>
    </row>
    <row r="97" spans="1:23" x14ac:dyDescent="0.2">
      <c r="A97" t="s">
        <v>94</v>
      </c>
      <c r="B97">
        <f si="20" t="shared"/>
        <v>2661</v>
      </c>
      <c r="C97">
        <f si="20" t="shared"/>
        <v>1027</v>
      </c>
      <c r="D97">
        <f si="20" t="shared"/>
        <v>596</v>
      </c>
      <c r="E97">
        <f si="20" t="shared"/>
        <v>3676</v>
      </c>
      <c r="F97">
        <f si="20" t="shared"/>
        <v>222</v>
      </c>
      <c r="G97">
        <f si="20" t="shared"/>
        <v>66</v>
      </c>
      <c r="H97">
        <f si="20" t="shared"/>
        <v>254</v>
      </c>
      <c r="I97">
        <f si="20" t="shared"/>
        <v>0</v>
      </c>
      <c r="J97">
        <f si="20" t="shared"/>
        <v>8502</v>
      </c>
      <c r="N97" t="s">
        <v>94</v>
      </c>
      <c r="O97" s="60" t="n">
        <v>2503.0</v>
      </c>
      <c r="P97" s="60" t="n">
        <v>974.0</v>
      </c>
      <c r="Q97" s="60" t="n">
        <v>575.0</v>
      </c>
      <c r="R97" s="60" t="n">
        <v>3611.0</v>
      </c>
      <c r="S97" s="60" t="n">
        <v>218.0</v>
      </c>
      <c r="T97" s="60" t="n">
        <v>57.0</v>
      </c>
      <c r="U97" s="60" t="n">
        <v>238.0</v>
      </c>
      <c r="V97" s="60" t="n">
        <v>0.0</v>
      </c>
      <c r="W97">
        <f>SUM(O97:V97)</f>
        <v>8502</v>
      </c>
    </row>
    <row r="99" spans="1:23" x14ac:dyDescent="0.2">
      <c r="A99" t="s">
        <v>249</v>
      </c>
      <c r="N99" t="s">
        <v>249</v>
      </c>
    </row>
    <row r="100" spans="1:23" x14ac:dyDescent="0.2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2">
      <c r="A101">
        <v>0</v>
      </c>
      <c r="B101">
        <f ref="B101:J104" si="21" t="shared">O101*$B$1</f>
        <v>784296</v>
      </c>
      <c r="C101">
        <f si="21" t="shared"/>
        <v>92487</v>
      </c>
      <c r="D101">
        <f si="21" t="shared"/>
        <v>156911</v>
      </c>
      <c r="E101">
        <f si="21" t="shared"/>
        <v>156009</v>
      </c>
      <c r="F101">
        <f si="21" t="shared"/>
        <v>59852</v>
      </c>
      <c r="G101">
        <f si="21" t="shared"/>
        <v>50388</v>
      </c>
      <c r="H101">
        <f si="21" t="shared"/>
        <v>251511</v>
      </c>
      <c r="I101">
        <f si="21" t="shared"/>
        <v>0</v>
      </c>
      <c r="J101">
        <f si="21" t="shared"/>
        <v>1551454</v>
      </c>
      <c r="N101">
        <v>0</v>
      </c>
      <c r="O101" s="60" t="n">
        <v>786646.0</v>
      </c>
      <c r="P101" s="60" t="n">
        <v>92941.0</v>
      </c>
      <c r="Q101" s="60" t="n">
        <v>157966.0</v>
      </c>
      <c r="R101" s="60" t="n">
        <v>157011.0</v>
      </c>
      <c r="S101" s="60" t="n">
        <v>60011.0</v>
      </c>
      <c r="T101" s="60" t="n">
        <v>50272.0</v>
      </c>
      <c r="U101" s="60" t="n">
        <v>251625.0</v>
      </c>
      <c r="V101" s="60" t="n">
        <v>0.0</v>
      </c>
      <c r="W101">
        <f>SUM(O101:V101)</f>
        <v>1551454</v>
      </c>
    </row>
    <row r="102" spans="1:23" x14ac:dyDescent="0.2">
      <c r="A102">
        <v>1</v>
      </c>
      <c r="B102">
        <f si="21" t="shared"/>
        <v>59532</v>
      </c>
      <c r="C102">
        <f si="21" t="shared"/>
        <v>13791</v>
      </c>
      <c r="D102">
        <f si="21" t="shared"/>
        <v>47421</v>
      </c>
      <c r="E102">
        <f si="21" t="shared"/>
        <v>39093</v>
      </c>
      <c r="F102">
        <f si="21" t="shared"/>
        <v>4095</v>
      </c>
      <c r="G102">
        <f si="21" t="shared"/>
        <v>4262</v>
      </c>
      <c r="H102">
        <f si="21" t="shared"/>
        <v>14628</v>
      </c>
      <c r="I102">
        <f si="21" t="shared"/>
        <v>0</v>
      </c>
      <c r="J102">
        <f si="21" t="shared"/>
        <v>182822</v>
      </c>
      <c r="N102">
        <v>1</v>
      </c>
      <c r="O102" s="60" t="n">
        <v>57420.0</v>
      </c>
      <c r="P102" s="60" t="n">
        <v>13376.0</v>
      </c>
      <c r="Q102" s="60" t="n">
        <v>46559.0</v>
      </c>
      <c r="R102" s="60" t="n">
        <v>38232.0</v>
      </c>
      <c r="S102" s="60" t="n">
        <v>3935.0</v>
      </c>
      <c r="T102" s="60" t="n">
        <v>4370.0</v>
      </c>
      <c r="U102" s="60" t="n">
        <v>14497.0</v>
      </c>
      <c r="V102" s="60" t="n">
        <v>0.0</v>
      </c>
      <c r="W102">
        <f>SUM(O102:V102)</f>
        <v>182822</v>
      </c>
    </row>
    <row r="103" spans="1:23" x14ac:dyDescent="0.2">
      <c r="A103">
        <v>2</v>
      </c>
      <c r="B103">
        <f si="21" t="shared"/>
        <v>7348</v>
      </c>
      <c r="C103">
        <f si="21" t="shared"/>
        <v>2101</v>
      </c>
      <c r="D103">
        <f si="21" t="shared"/>
        <v>9894</v>
      </c>
      <c r="E103">
        <f si="21" t="shared"/>
        <v>7008</v>
      </c>
      <c r="F103">
        <f si="21" t="shared"/>
        <v>615</v>
      </c>
      <c r="G103">
        <f si="21" t="shared"/>
        <v>781</v>
      </c>
      <c r="H103">
        <f si="21" t="shared"/>
        <v>887</v>
      </c>
      <c r="I103">
        <f si="21" t="shared"/>
        <v>0</v>
      </c>
      <c r="J103">
        <f si="21" t="shared"/>
        <v>28634</v>
      </c>
      <c r="N103">
        <v>2</v>
      </c>
      <c r="O103" s="60" t="n">
        <v>7145.0</v>
      </c>
      <c r="P103" s="60" t="n">
        <v>2058.0</v>
      </c>
      <c r="Q103" s="60" t="n">
        <v>9720.0</v>
      </c>
      <c r="R103" s="60" t="n">
        <v>6889.0</v>
      </c>
      <c r="S103" s="60" t="n">
        <v>621.0</v>
      </c>
      <c r="T103" s="60" t="n">
        <v>785.0</v>
      </c>
      <c r="U103" s="60" t="n">
        <v>904.0</v>
      </c>
      <c r="V103" s="60" t="n">
        <v>0.0</v>
      </c>
      <c r="W103">
        <f>SUM(O103:V103)</f>
        <v>28634</v>
      </c>
    </row>
    <row r="104" spans="1:23" x14ac:dyDescent="0.2">
      <c r="A104" t="s">
        <v>94</v>
      </c>
      <c r="B104">
        <f si="21" t="shared"/>
        <v>839</v>
      </c>
      <c r="C104">
        <f si="21" t="shared"/>
        <v>246</v>
      </c>
      <c r="D104">
        <f si="21" t="shared"/>
        <v>1184</v>
      </c>
      <c r="E104">
        <f si="21" t="shared"/>
        <v>805</v>
      </c>
      <c r="F104">
        <f si="21" t="shared"/>
        <v>71</v>
      </c>
      <c r="G104">
        <f si="21" t="shared"/>
        <v>71</v>
      </c>
      <c r="H104">
        <f si="21" t="shared"/>
        <v>95</v>
      </c>
      <c r="I104">
        <f si="21" t="shared"/>
        <v>0</v>
      </c>
      <c r="J104">
        <f si="21" t="shared"/>
        <v>3311</v>
      </c>
      <c r="N104" t="s">
        <v>94</v>
      </c>
      <c r="O104" s="60" t="n">
        <v>804.0</v>
      </c>
      <c r="P104" s="60" t="n">
        <v>250.0</v>
      </c>
      <c r="Q104" s="60" t="n">
        <v>1165.0</v>
      </c>
      <c r="R104" s="60" t="n">
        <v>783.0</v>
      </c>
      <c r="S104" s="60" t="n">
        <v>66.0</v>
      </c>
      <c r="T104" s="60" t="n">
        <v>75.0</v>
      </c>
      <c r="U104" s="60" t="n">
        <v>95.0</v>
      </c>
      <c r="V104" s="60" t="n">
        <v>0.0</v>
      </c>
      <c r="W104">
        <f>SUM(O104:V104)</f>
        <v>3311</v>
      </c>
    </row>
    <row r="106" spans="1:23" x14ac:dyDescent="0.2">
      <c r="A106" t="s">
        <v>27</v>
      </c>
      <c r="N106" t="s">
        <v>27</v>
      </c>
    </row>
    <row r="107" spans="1:23" x14ac:dyDescent="0.2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2">
      <c r="A108">
        <v>0</v>
      </c>
      <c r="B108">
        <f ref="B108:J111" si="22" t="shared">O108*$B$1</f>
        <v>805046</v>
      </c>
      <c r="C108">
        <f si="22" t="shared"/>
        <v>94620</v>
      </c>
      <c r="D108">
        <f si="22" t="shared"/>
        <v>173614</v>
      </c>
      <c r="E108">
        <f si="22" t="shared"/>
        <v>164328</v>
      </c>
      <c r="F108">
        <f si="22" t="shared"/>
        <v>58890</v>
      </c>
      <c r="G108">
        <f si="22" t="shared"/>
        <v>53507</v>
      </c>
      <c r="H108">
        <f si="22" t="shared"/>
        <v>258953</v>
      </c>
      <c r="I108">
        <f si="22" t="shared"/>
        <v>0</v>
      </c>
      <c r="J108">
        <f si="22" t="shared"/>
        <v>1608958</v>
      </c>
      <c r="N108">
        <v>0</v>
      </c>
      <c r="O108" s="60" t="n">
        <v>809592.0</v>
      </c>
      <c r="P108" s="60" t="n">
        <v>95760.0</v>
      </c>
      <c r="Q108" s="60" t="n">
        <v>176929.0</v>
      </c>
      <c r="R108" s="60" t="n">
        <v>167203.0</v>
      </c>
      <c r="S108" s="60" t="n">
        <v>59509.0</v>
      </c>
      <c r="T108" s="60" t="n">
        <v>53672.0</v>
      </c>
      <c r="U108" s="60" t="n">
        <v>259590.0</v>
      </c>
      <c r="V108" s="60" t="n">
        <v>0.0</v>
      </c>
      <c r="W108">
        <f>SUM(O108:V108)</f>
        <v>1608958</v>
      </c>
    </row>
    <row r="109" spans="1:23" x14ac:dyDescent="0.2">
      <c r="A109">
        <v>1</v>
      </c>
      <c r="B109">
        <f si="22" t="shared"/>
        <v>45312</v>
      </c>
      <c r="C109">
        <f si="22" t="shared"/>
        <v>13376</v>
      </c>
      <c r="D109">
        <f si="22" t="shared"/>
        <v>39648</v>
      </c>
      <c r="E109">
        <f si="22" t="shared"/>
        <v>36810</v>
      </c>
      <c r="F109">
        <f si="22" t="shared"/>
        <v>5451</v>
      </c>
      <c r="G109">
        <f si="22" t="shared"/>
        <v>1898</v>
      </c>
      <c r="H109">
        <f si="22" t="shared"/>
        <v>8110</v>
      </c>
      <c r="I109">
        <f si="22" t="shared"/>
        <v>0</v>
      </c>
      <c r="J109">
        <f si="22" t="shared"/>
        <v>150605</v>
      </c>
      <c r="N109">
        <v>1</v>
      </c>
      <c r="O109" s="60" t="n">
        <v>40935.0</v>
      </c>
      <c r="P109" s="60" t="n">
        <v>12302.0</v>
      </c>
      <c r="Q109" s="60" t="n">
        <v>36503.0</v>
      </c>
      <c r="R109" s="60" t="n">
        <v>34083.0</v>
      </c>
      <c r="S109" s="60" t="n">
        <v>4860.0</v>
      </c>
      <c r="T109" s="60" t="n">
        <v>1745.0</v>
      </c>
      <c r="U109" s="60" t="n">
        <v>7491.0</v>
      </c>
      <c r="V109" s="60" t="n">
        <v>0.0</v>
      </c>
      <c r="W109">
        <f>SUM(O109:V109)</f>
        <v>150605</v>
      </c>
    </row>
    <row r="110" spans="1:23" x14ac:dyDescent="0.2">
      <c r="A110">
        <v>2</v>
      </c>
      <c r="B110">
        <f si="22" t="shared"/>
        <v>1565</v>
      </c>
      <c r="C110">
        <f si="22" t="shared"/>
        <v>603</v>
      </c>
      <c r="D110">
        <f si="22" t="shared"/>
        <v>2017</v>
      </c>
      <c r="E110">
        <f si="22" t="shared"/>
        <v>1669</v>
      </c>
      <c r="F110">
        <f si="22" t="shared"/>
        <v>273</v>
      </c>
      <c r="G110">
        <f si="22" t="shared"/>
        <v>91</v>
      </c>
      <c r="H110">
        <f si="22" t="shared"/>
        <v>58</v>
      </c>
      <c r="I110">
        <f si="22" t="shared"/>
        <v>0</v>
      </c>
      <c r="J110">
        <f si="22" t="shared"/>
        <v>6276</v>
      </c>
      <c r="N110">
        <v>2</v>
      </c>
      <c r="O110" s="60" t="n">
        <v>1403.0</v>
      </c>
      <c r="P110" s="60" t="n">
        <v>542.0</v>
      </c>
      <c r="Q110" s="60" t="n">
        <v>1862.0</v>
      </c>
      <c r="R110" s="60" t="n">
        <v>1534.0</v>
      </c>
      <c r="S110" s="60" t="n">
        <v>250.0</v>
      </c>
      <c r="T110" s="60" t="n">
        <v>82.0</v>
      </c>
      <c r="U110" s="60" t="n">
        <v>39.0</v>
      </c>
      <c r="V110" s="60" t="n">
        <v>0.0</v>
      </c>
      <c r="W110">
        <f>SUM(O110:V110)</f>
        <v>6276</v>
      </c>
    </row>
    <row r="111" spans="1:23" x14ac:dyDescent="0.2">
      <c r="A111" t="s">
        <v>94</v>
      </c>
      <c r="B111">
        <f si="22" t="shared"/>
        <v>92</v>
      </c>
      <c r="C111">
        <f si="22" t="shared"/>
        <v>26</v>
      </c>
      <c r="D111">
        <f si="22" t="shared"/>
        <v>131</v>
      </c>
      <c r="E111">
        <f si="22" t="shared"/>
        <v>108</v>
      </c>
      <c r="F111">
        <f si="22" t="shared"/>
        <v>19</v>
      </c>
      <c r="G111">
        <f si="22" t="shared"/>
        <v>6</v>
      </c>
      <c r="H111">
        <f si="22" t="shared"/>
        <v>0</v>
      </c>
      <c r="I111">
        <f si="22" t="shared"/>
        <v>0</v>
      </c>
      <c r="J111">
        <f si="22" t="shared"/>
        <v>382</v>
      </c>
      <c r="N111" t="s">
        <v>94</v>
      </c>
      <c r="O111" s="60" t="n">
        <v>85.0</v>
      </c>
      <c r="P111" s="60" t="n">
        <v>21.0</v>
      </c>
      <c r="Q111" s="60" t="n">
        <v>116.0</v>
      </c>
      <c r="R111" s="60" t="n">
        <v>95.0</v>
      </c>
      <c r="S111" s="60" t="n">
        <v>14.0</v>
      </c>
      <c r="T111" s="60" t="n">
        <v>3.0</v>
      </c>
      <c r="U111" s="60" t="n">
        <v>1.0</v>
      </c>
      <c r="V111" s="60" t="n">
        <v>0.0</v>
      </c>
      <c r="W111">
        <f>SUM(O111:V111)</f>
        <v>382</v>
      </c>
    </row>
    <row r="113" spans="1:23" x14ac:dyDescent="0.2">
      <c r="A113" t="s">
        <v>28</v>
      </c>
      <c r="N113" t="s">
        <v>28</v>
      </c>
    </row>
    <row r="114" spans="1:23" x14ac:dyDescent="0.2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2">
      <c r="A115">
        <v>0</v>
      </c>
      <c r="B115">
        <f ref="B115:J118" si="23" t="shared">O115*$B$1</f>
        <v>807453</v>
      </c>
      <c r="C115">
        <f si="23" t="shared"/>
        <v>102103</v>
      </c>
      <c r="D115">
        <f si="23" t="shared"/>
        <v>194483</v>
      </c>
      <c r="E115">
        <f si="23" t="shared"/>
        <v>190454</v>
      </c>
      <c r="F115">
        <f si="23" t="shared"/>
        <v>60735</v>
      </c>
      <c r="G115">
        <f si="23" t="shared"/>
        <v>54260</v>
      </c>
      <c r="H115">
        <f si="23" t="shared"/>
        <v>260875</v>
      </c>
      <c r="I115">
        <f si="23" t="shared"/>
        <v>0</v>
      </c>
      <c r="J115">
        <f si="23" t="shared"/>
        <v>1670363</v>
      </c>
      <c r="N115">
        <v>0</v>
      </c>
      <c r="O115" s="60" t="n">
        <v>811072.0</v>
      </c>
      <c r="P115" s="60" t="n">
        <v>102539.0</v>
      </c>
      <c r="Q115" s="60" t="n">
        <v>195439.0</v>
      </c>
      <c r="R115" s="60" t="n">
        <v>191333.0</v>
      </c>
      <c r="S115" s="60" t="n">
        <v>60976.0</v>
      </c>
      <c r="T115" s="60" t="n">
        <v>54148.0</v>
      </c>
      <c r="U115" s="60" t="n">
        <v>261158.0</v>
      </c>
      <c r="V115" s="60" t="n">
        <v>0.0</v>
      </c>
      <c r="W115">
        <f>SUM(O115:V115)</f>
        <v>1670363</v>
      </c>
    </row>
    <row r="116" spans="1:23" x14ac:dyDescent="0.2">
      <c r="A116">
        <v>1</v>
      </c>
      <c r="B116">
        <f si="23" t="shared"/>
        <v>44562</v>
      </c>
      <c r="C116">
        <f si="23" t="shared"/>
        <v>6522</v>
      </c>
      <c r="D116">
        <f si="23" t="shared"/>
        <v>19435</v>
      </c>
      <c r="E116">
        <f si="23" t="shared"/>
        <v>11496</v>
      </c>
      <c r="F116">
        <f si="23" t="shared"/>
        <v>3898</v>
      </c>
      <c r="G116">
        <f si="23" t="shared"/>
        <v>1242</v>
      </c>
      <c r="H116">
        <f si="23" t="shared"/>
        <v>6246</v>
      </c>
      <c r="I116">
        <f si="23" t="shared"/>
        <v>0</v>
      </c>
      <c r="J116">
        <f si="23" t="shared"/>
        <v>93401</v>
      </c>
      <c r="N116">
        <v>1</v>
      </c>
      <c r="O116" s="60" t="n">
        <v>40943.0</v>
      </c>
      <c r="P116" s="60" t="n">
        <v>6086.0</v>
      </c>
      <c r="Q116" s="60" t="n">
        <v>18487.0</v>
      </c>
      <c r="R116" s="60" t="n">
        <v>10661.0</v>
      </c>
      <c r="S116" s="60" t="n">
        <v>3657.0</v>
      </c>
      <c r="T116" s="60" t="n">
        <v>1354.0</v>
      </c>
      <c r="U116" s="60" t="n">
        <v>5963.0</v>
      </c>
      <c r="V116" s="60" t="n">
        <v>0.0</v>
      </c>
      <c r="W116">
        <f>SUM(O116:V116)</f>
        <v>93401</v>
      </c>
    </row>
    <row r="117" spans="1:23" x14ac:dyDescent="0.2">
      <c r="A117">
        <v>2</v>
      </c>
      <c r="B117">
        <f si="23" t="shared"/>
        <v>0</v>
      </c>
      <c r="C117">
        <f si="23" t="shared"/>
        <v>0</v>
      </c>
      <c r="D117">
        <f si="23" t="shared"/>
        <v>1492</v>
      </c>
      <c r="E117">
        <f si="23" t="shared"/>
        <v>965</v>
      </c>
      <c r="F117">
        <f si="23" t="shared"/>
        <v>0</v>
      </c>
      <c r="G117">
        <f si="23" t="shared"/>
        <v>0</v>
      </c>
      <c r="H117">
        <f si="23" t="shared"/>
        <v>0</v>
      </c>
      <c r="I117">
        <f si="23" t="shared"/>
        <v>0</v>
      </c>
      <c r="J117">
        <f si="23" t="shared"/>
        <v>2457</v>
      </c>
      <c r="N117">
        <v>2</v>
      </c>
      <c r="O117" s="60" t="n">
        <v>0.0</v>
      </c>
      <c r="P117" s="60" t="n">
        <v>0.0</v>
      </c>
      <c r="Q117" s="60" t="n">
        <v>1484.0</v>
      </c>
      <c r="R117" s="60" t="n">
        <v>921.0</v>
      </c>
      <c r="S117" s="60" t="n">
        <v>0.0</v>
      </c>
      <c r="T117" s="60" t="n">
        <v>0.0</v>
      </c>
      <c r="U117" s="60" t="n">
        <v>0.0</v>
      </c>
      <c r="V117" s="60" t="n">
        <v>0.0</v>
      </c>
      <c r="W117">
        <f>SUM(O117:V117)</f>
        <v>2457</v>
      </c>
    </row>
    <row r="118" spans="1:23" x14ac:dyDescent="0.2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0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0</v>
      </c>
      <c r="N118" t="s">
        <v>94</v>
      </c>
      <c r="O118" s="60" t="n">
        <v>0.0</v>
      </c>
      <c r="P118" s="60" t="n">
        <v>0.0</v>
      </c>
      <c r="Q118" s="60" t="n">
        <v>0.0</v>
      </c>
      <c r="R118" s="60" t="n">
        <v>0.0</v>
      </c>
      <c r="S118" s="60" t="n">
        <v>0.0</v>
      </c>
      <c r="T118" s="60" t="n">
        <v>0.0</v>
      </c>
      <c r="U118" s="60" t="n">
        <v>0.0</v>
      </c>
      <c r="V118" s="60" t="n">
        <v>0.0</v>
      </c>
      <c r="W118">
        <f>SUM(O118:V118)</f>
        <v>0</v>
      </c>
    </row>
    <row r="120" spans="1:23" x14ac:dyDescent="0.2">
      <c r="A120" t="s">
        <v>29</v>
      </c>
      <c r="N120" t="s">
        <v>29</v>
      </c>
    </row>
    <row r="121" spans="1:23" x14ac:dyDescent="0.2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2">
      <c r="A122">
        <v>0</v>
      </c>
      <c r="B122">
        <f ref="B122:J125" si="24" t="shared">O122*$B$1</f>
        <v>780279</v>
      </c>
      <c r="C122">
        <f si="24" t="shared"/>
        <v>94022</v>
      </c>
      <c r="D122">
        <f si="24" t="shared"/>
        <v>183960</v>
      </c>
      <c r="E122">
        <f si="24" t="shared"/>
        <v>171387</v>
      </c>
      <c r="F122">
        <f si="24" t="shared"/>
        <v>59218</v>
      </c>
      <c r="G122">
        <f si="24" t="shared"/>
        <v>44113</v>
      </c>
      <c r="H122">
        <f si="24" t="shared"/>
        <v>224083</v>
      </c>
      <c r="I122">
        <f si="24" t="shared"/>
        <v>0</v>
      </c>
      <c r="J122">
        <f si="24" t="shared"/>
        <v>1557062</v>
      </c>
      <c r="N122">
        <v>0</v>
      </c>
      <c r="O122" s="60" t="n">
        <v>782783.0</v>
      </c>
      <c r="P122" s="60" t="n">
        <v>94954.0</v>
      </c>
      <c r="Q122" s="60" t="n">
        <v>184963.0</v>
      </c>
      <c r="R122" s="60" t="n">
        <v>172048.0</v>
      </c>
      <c r="S122" s="60" t="n">
        <v>59599.0</v>
      </c>
      <c r="T122" s="60" t="n">
        <v>44406.0</v>
      </c>
      <c r="U122" s="60" t="n">
        <v>225467.0</v>
      </c>
      <c r="V122" s="60" t="n">
        <v>0.0</v>
      </c>
      <c r="W122">
        <f>SUM(O122:V122)</f>
        <v>1557062</v>
      </c>
    </row>
    <row r="123" spans="1:23" x14ac:dyDescent="0.2">
      <c r="A123">
        <v>1</v>
      </c>
      <c r="B123">
        <f si="24" t="shared"/>
        <v>68556</v>
      </c>
      <c r="C123">
        <f si="24" t="shared"/>
        <v>13713</v>
      </c>
      <c r="D123">
        <f si="24" t="shared"/>
        <v>28582</v>
      </c>
      <c r="E123">
        <f si="24" t="shared"/>
        <v>28501</v>
      </c>
      <c r="F123">
        <f si="24" t="shared"/>
        <v>4878</v>
      </c>
      <c r="G123">
        <f si="24" t="shared"/>
        <v>10540</v>
      </c>
      <c r="H123">
        <f si="24" t="shared"/>
        <v>39746</v>
      </c>
      <c r="I123">
        <f si="24" t="shared"/>
        <v>0</v>
      </c>
      <c r="J123">
        <f si="24" t="shared"/>
        <v>194516</v>
      </c>
      <c r="N123">
        <v>1</v>
      </c>
      <c r="O123" s="60" t="n">
        <v>66290.0</v>
      </c>
      <c r="P123" s="60" t="n">
        <v>12853.0</v>
      </c>
      <c r="Q123" s="60" t="n">
        <v>27630.0</v>
      </c>
      <c r="R123" s="60" t="n">
        <v>27883.0</v>
      </c>
      <c r="S123" s="60" t="n">
        <v>4529.0</v>
      </c>
      <c r="T123" s="60" t="n">
        <v>10262.0</v>
      </c>
      <c r="U123" s="60" t="n">
        <v>38482.0</v>
      </c>
      <c r="V123" s="60" t="n">
        <v>0.0</v>
      </c>
      <c r="W123">
        <f>SUM(O123:V123)</f>
        <v>194516</v>
      </c>
    </row>
    <row r="124" spans="1:23" x14ac:dyDescent="0.2">
      <c r="A124">
        <v>2</v>
      </c>
      <c r="B124">
        <f si="24" t="shared"/>
        <v>2978</v>
      </c>
      <c r="C124">
        <f si="24" t="shared"/>
        <v>833</v>
      </c>
      <c r="D124">
        <f si="24" t="shared"/>
        <v>2708</v>
      </c>
      <c r="E124">
        <f si="24" t="shared"/>
        <v>2873</v>
      </c>
      <c r="F124">
        <f si="24" t="shared"/>
        <v>501</v>
      </c>
      <c r="G124">
        <f si="24" t="shared"/>
        <v>798</v>
      </c>
      <c r="H124">
        <f si="24" t="shared"/>
        <v>3091</v>
      </c>
      <c r="I124">
        <f si="24" t="shared"/>
        <v>0</v>
      </c>
      <c r="J124">
        <f si="24" t="shared"/>
        <v>13782</v>
      </c>
      <c r="N124">
        <v>2</v>
      </c>
      <c r="O124" s="60" t="n">
        <v>2761.0</v>
      </c>
      <c r="P124" s="60" t="n">
        <v>768.0</v>
      </c>
      <c r="Q124" s="60" t="n">
        <v>2670.0</v>
      </c>
      <c r="R124" s="60" t="n">
        <v>2821.0</v>
      </c>
      <c r="S124" s="60" t="n">
        <v>470.0</v>
      </c>
      <c r="T124" s="60" t="n">
        <v>786.0</v>
      </c>
      <c r="U124" s="60" t="n">
        <v>2971.0</v>
      </c>
      <c r="V124" s="60" t="n">
        <v>0.0</v>
      </c>
      <c r="W124">
        <f>SUM(O124:V124)</f>
        <v>13782</v>
      </c>
    </row>
    <row r="125" spans="1:23" x14ac:dyDescent="0.2">
      <c r="A125" t="s">
        <v>94</v>
      </c>
      <c r="B125">
        <f si="24" t="shared"/>
        <v>202</v>
      </c>
      <c r="C125">
        <f si="24" t="shared"/>
        <v>57</v>
      </c>
      <c r="D125">
        <f si="24" t="shared"/>
        <v>160</v>
      </c>
      <c r="E125">
        <f si="24" t="shared"/>
        <v>154</v>
      </c>
      <c r="F125">
        <f si="24" t="shared"/>
        <v>36</v>
      </c>
      <c r="G125">
        <f si="24" t="shared"/>
        <v>51</v>
      </c>
      <c r="H125">
        <f si="24" t="shared"/>
        <v>201</v>
      </c>
      <c r="I125">
        <f si="24" t="shared"/>
        <v>0</v>
      </c>
      <c r="J125">
        <f si="24" t="shared"/>
        <v>861</v>
      </c>
      <c r="N125" t="s">
        <v>94</v>
      </c>
      <c r="O125" s="60" t="n">
        <v>181.0</v>
      </c>
      <c r="P125" s="60" t="n">
        <v>50.0</v>
      </c>
      <c r="Q125" s="60" t="n">
        <v>147.0</v>
      </c>
      <c r="R125" s="60" t="n">
        <v>163.0</v>
      </c>
      <c r="S125" s="60" t="n">
        <v>35.0</v>
      </c>
      <c r="T125" s="60" t="n">
        <v>48.0</v>
      </c>
      <c r="U125" s="60" t="n">
        <v>201.0</v>
      </c>
      <c r="V125" s="60" t="n">
        <v>0.0</v>
      </c>
      <c r="W125">
        <f>SUM(O125:V125)</f>
        <v>861</v>
      </c>
    </row>
    <row r="127" spans="1:23" x14ac:dyDescent="0.2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2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2">
      <c r="A129">
        <v>0</v>
      </c>
      <c r="B129">
        <f ref="B129:D132" si="25" t="shared">O129*$B$1</f>
        <v>534735</v>
      </c>
      <c r="C129">
        <f si="25" t="shared"/>
        <v>61979</v>
      </c>
      <c r="D129">
        <f si="25" t="shared"/>
        <v>596714</v>
      </c>
      <c r="N129">
        <v>0</v>
      </c>
      <c r="O129" s="60" t="n">
        <v>539643.0</v>
      </c>
      <c r="P129" s="60" t="n">
        <v>63357.0</v>
      </c>
      <c r="Q129">
        <f>SUM(O129:P129)</f>
        <v>596714</v>
      </c>
    </row>
    <row r="130" spans="1:17" x14ac:dyDescent="0.2">
      <c r="A130">
        <v>1</v>
      </c>
      <c r="B130">
        <f si="25" t="shared"/>
        <v>85295</v>
      </c>
      <c r="C130">
        <f si="25" t="shared"/>
        <v>7214</v>
      </c>
      <c r="D130">
        <f si="25" t="shared"/>
        <v>92509</v>
      </c>
      <c r="N130">
        <v>1</v>
      </c>
      <c r="O130" s="60" t="n">
        <v>86334.0</v>
      </c>
      <c r="P130" s="60" t="n">
        <v>7371.0</v>
      </c>
      <c r="Q130">
        <f>SUM(O130:P130)</f>
        <v>92509</v>
      </c>
    </row>
    <row r="131" spans="1:17" x14ac:dyDescent="0.2">
      <c r="A131">
        <v>2</v>
      </c>
      <c r="B131">
        <f si="25" t="shared"/>
        <v>4688</v>
      </c>
      <c r="C131">
        <f si="25" t="shared"/>
        <v>322</v>
      </c>
      <c r="D131">
        <f si="25" t="shared"/>
        <v>5010</v>
      </c>
      <c r="N131">
        <v>2</v>
      </c>
      <c r="O131" s="60" t="n">
        <v>4708.0</v>
      </c>
      <c r="P131" s="60" t="n">
        <v>350.0</v>
      </c>
      <c r="Q131">
        <f>SUM(O131:P131)</f>
        <v>5010</v>
      </c>
    </row>
    <row r="132" spans="1:17" x14ac:dyDescent="0.2">
      <c r="A132" t="s">
        <v>94</v>
      </c>
      <c r="B132">
        <f si="25" t="shared"/>
        <v>386</v>
      </c>
      <c r="C132">
        <f si="25" t="shared"/>
        <v>28</v>
      </c>
      <c r="D132">
        <f si="25" t="shared"/>
        <v>414</v>
      </c>
      <c r="N132" t="s">
        <v>94</v>
      </c>
      <c r="O132" s="60" t="n">
        <v>396.0</v>
      </c>
      <c r="P132" s="60" t="n">
        <v>27.0</v>
      </c>
      <c r="Q132">
        <f>SUM(O132:P132)</f>
        <v>414</v>
      </c>
    </row>
    <row r="134" spans="1:17" x14ac:dyDescent="0.2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2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2">
      <c r="A136" t="s">
        <v>23</v>
      </c>
      <c r="B136">
        <f ref="B136:D142" si="26" t="shared">O136*$B$1</f>
        <v>18785</v>
      </c>
      <c r="C136">
        <f si="26" t="shared"/>
        <v>1395</v>
      </c>
      <c r="D136">
        <f si="26" t="shared"/>
        <v>20180</v>
      </c>
      <c r="N136" t="s">
        <v>23</v>
      </c>
      <c r="O136" s="60" t="n">
        <v>19257.0</v>
      </c>
      <c r="P136" s="60" t="n">
        <v>1390.0</v>
      </c>
      <c r="Q136">
        <f ref="Q136:Q142" si="27" t="shared">SUM(O136:P136)</f>
        <v>20180</v>
      </c>
    </row>
    <row r="137" spans="1:17" x14ac:dyDescent="0.2">
      <c r="A137" t="s">
        <v>24</v>
      </c>
      <c r="B137">
        <f si="26" t="shared"/>
        <v>373</v>
      </c>
      <c r="C137">
        <f si="26" t="shared"/>
        <v>169</v>
      </c>
      <c r="D137">
        <f si="26" t="shared"/>
        <v>542</v>
      </c>
      <c r="N137" t="s">
        <v>24</v>
      </c>
      <c r="O137" s="60" t="n">
        <v>398.0</v>
      </c>
      <c r="P137" s="60" t="n">
        <v>183.0</v>
      </c>
      <c r="Q137">
        <f si="27" t="shared"/>
        <v>542</v>
      </c>
    </row>
    <row r="138" spans="1:17" x14ac:dyDescent="0.2">
      <c r="A138" t="s">
        <v>25</v>
      </c>
      <c r="B138">
        <f si="26" t="shared"/>
        <v>5187</v>
      </c>
      <c r="C138">
        <f si="26" t="shared"/>
        <v>528</v>
      </c>
      <c r="D138">
        <f si="26" t="shared"/>
        <v>5715</v>
      </c>
      <c r="N138" t="s">
        <v>25</v>
      </c>
      <c r="O138" s="60" t="n">
        <v>5191.0</v>
      </c>
      <c r="P138" s="60" t="n">
        <v>580.0</v>
      </c>
      <c r="Q138">
        <f si="27" t="shared"/>
        <v>5715</v>
      </c>
    </row>
    <row r="139" spans="1:17" x14ac:dyDescent="0.2">
      <c r="A139" t="s">
        <v>249</v>
      </c>
      <c r="B139">
        <f si="26" t="shared"/>
        <v>17624</v>
      </c>
      <c r="C139">
        <f si="26" t="shared"/>
        <v>1470</v>
      </c>
      <c r="D139">
        <f si="26" t="shared"/>
        <v>19094</v>
      </c>
      <c r="N139" t="s">
        <v>249</v>
      </c>
      <c r="O139" s="60" t="n">
        <v>17793.0</v>
      </c>
      <c r="P139" s="60" t="n">
        <v>1505.0</v>
      </c>
      <c r="Q139">
        <f si="27" t="shared"/>
        <v>19094</v>
      </c>
    </row>
    <row r="140" spans="1:17" x14ac:dyDescent="0.2">
      <c r="A140" t="s">
        <v>27</v>
      </c>
      <c r="B140">
        <f si="26" t="shared"/>
        <v>9529</v>
      </c>
      <c r="C140">
        <f si="26" t="shared"/>
        <v>1029</v>
      </c>
      <c r="D140">
        <f si="26" t="shared"/>
        <v>10558</v>
      </c>
      <c r="N140" t="s">
        <v>27</v>
      </c>
      <c r="O140" s="60" t="n">
        <v>9599.0</v>
      </c>
      <c r="P140" s="60" t="n">
        <v>1008.0</v>
      </c>
      <c r="Q140">
        <f si="27" t="shared"/>
        <v>10558</v>
      </c>
    </row>
    <row r="141" spans="1:17" x14ac:dyDescent="0.2">
      <c r="A141" t="s">
        <v>28</v>
      </c>
      <c r="B141">
        <f si="26" t="shared"/>
        <v>38636</v>
      </c>
      <c r="C141">
        <f si="26" t="shared"/>
        <v>2848</v>
      </c>
      <c r="D141">
        <f si="26" t="shared"/>
        <v>41484</v>
      </c>
      <c r="N141" t="s">
        <v>28</v>
      </c>
      <c r="O141" s="60" t="n">
        <v>38773.0</v>
      </c>
      <c r="P141" s="60" t="n">
        <v>2971.0</v>
      </c>
      <c r="Q141">
        <f si="27" t="shared"/>
        <v>41484</v>
      </c>
    </row>
    <row r="142" spans="1:17" x14ac:dyDescent="0.2">
      <c r="A142" t="s">
        <v>29</v>
      </c>
      <c r="B142">
        <f si="26" t="shared"/>
        <v>5990</v>
      </c>
      <c r="C142">
        <f si="26" t="shared"/>
        <v>638</v>
      </c>
      <c r="D142">
        <f si="26" t="shared"/>
        <v>6628</v>
      </c>
      <c r="N142" t="s">
        <v>29</v>
      </c>
      <c r="O142" s="60" t="n">
        <v>6196.0</v>
      </c>
      <c r="P142" s="60" t="n">
        <v>621.0</v>
      </c>
      <c r="Q142">
        <f si="27" t="shared"/>
        <v>6628</v>
      </c>
    </row>
    <row r="144" spans="1:17" x14ac:dyDescent="0.2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2">
      <c r="A146" t="s">
        <v>265</v>
      </c>
      <c r="N146" t="s">
        <v>265</v>
      </c>
    </row>
    <row r="147" spans="1:22" x14ac:dyDescent="0.2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2">
      <c r="A148">
        <v>0</v>
      </c>
      <c r="B148">
        <f ref="B148:I154" si="28" t="shared">O148*$B$1</f>
        <v>319245</v>
      </c>
      <c r="C148">
        <f si="28" t="shared"/>
        <v>163410</v>
      </c>
      <c r="D148">
        <f si="28" t="shared"/>
        <v>94089</v>
      </c>
      <c r="E148">
        <f si="28" t="shared"/>
        <v>162875</v>
      </c>
      <c r="F148">
        <f si="28" t="shared"/>
        <v>102566</v>
      </c>
      <c r="G148">
        <f si="28" t="shared"/>
        <v>107343</v>
      </c>
      <c r="H148">
        <f si="28" t="shared"/>
        <v>167352</v>
      </c>
      <c r="I148">
        <f si="28" t="shared"/>
        <v>1116880</v>
      </c>
      <c r="N148">
        <v>0</v>
      </c>
      <c r="O148" s="60" t="n">
        <v>321796.0</v>
      </c>
      <c r="P148" s="60" t="n">
        <v>162732.0</v>
      </c>
      <c r="Q148" s="60" t="n">
        <v>90911.0</v>
      </c>
      <c r="R148" s="60" t="n">
        <v>159614.0</v>
      </c>
      <c r="S148" s="60" t="n">
        <v>94209.0</v>
      </c>
      <c r="T148" s="60" t="n">
        <v>102622.0</v>
      </c>
      <c r="U148" s="60" t="n">
        <v>161443.0</v>
      </c>
      <c r="V148">
        <f ref="V148:V154" si="29" t="shared">SUM(O148:U148)</f>
        <v>1116880</v>
      </c>
    </row>
    <row r="149" spans="1:22" x14ac:dyDescent="0.2">
      <c r="A149">
        <v>1</v>
      </c>
      <c r="B149">
        <f si="28" t="shared"/>
        <v>195364</v>
      </c>
      <c r="C149">
        <f si="28" t="shared"/>
        <v>45567</v>
      </c>
      <c r="D149">
        <f si="28" t="shared"/>
        <v>60344</v>
      </c>
      <c r="E149">
        <f si="28" t="shared"/>
        <v>69402</v>
      </c>
      <c r="F149">
        <f si="28" t="shared"/>
        <v>46630</v>
      </c>
      <c r="G149">
        <f si="28" t="shared"/>
        <v>24293</v>
      </c>
      <c r="H149">
        <f si="28" t="shared"/>
        <v>46363</v>
      </c>
      <c r="I149">
        <f si="28" t="shared"/>
        <v>487963</v>
      </c>
      <c r="N149">
        <v>1</v>
      </c>
      <c r="O149" s="60" t="n">
        <v>198222.0</v>
      </c>
      <c r="P149" s="60" t="n">
        <v>46084.0</v>
      </c>
      <c r="Q149" s="60" t="n">
        <v>58657.0</v>
      </c>
      <c r="R149" s="60" t="n">
        <v>67578.0</v>
      </c>
      <c r="S149" s="60" t="n">
        <v>43123.0</v>
      </c>
      <c r="T149" s="60" t="n">
        <v>23285.0</v>
      </c>
      <c r="U149" s="60" t="n">
        <v>44933.0</v>
      </c>
      <c r="V149">
        <f si="29" t="shared"/>
        <v>487963</v>
      </c>
    </row>
    <row r="150" spans="1:22" x14ac:dyDescent="0.2">
      <c r="A150">
        <v>2</v>
      </c>
      <c r="B150">
        <f si="28" t="shared"/>
        <v>107283</v>
      </c>
      <c r="C150">
        <f si="28" t="shared"/>
        <v>16736</v>
      </c>
      <c r="D150">
        <f si="28" t="shared"/>
        <v>28491</v>
      </c>
      <c r="E150">
        <f si="28" t="shared"/>
        <v>26660</v>
      </c>
      <c r="F150">
        <f si="28" t="shared"/>
        <v>18171</v>
      </c>
      <c r="G150">
        <f si="28" t="shared"/>
        <v>6213</v>
      </c>
      <c r="H150">
        <f si="28" t="shared"/>
        <v>13003</v>
      </c>
      <c r="I150">
        <f si="28" t="shared"/>
        <v>216557</v>
      </c>
      <c r="N150">
        <v>2</v>
      </c>
      <c r="O150" s="60" t="n">
        <v>107684.0</v>
      </c>
      <c r="P150" s="60" t="n">
        <v>16857.0</v>
      </c>
      <c r="Q150" s="60" t="n">
        <v>27725.0</v>
      </c>
      <c r="R150" s="60" t="n">
        <v>26367.0</v>
      </c>
      <c r="S150" s="60" t="n">
        <v>16685.0</v>
      </c>
      <c r="T150" s="60" t="n">
        <v>5997.0</v>
      </c>
      <c r="U150" s="60" t="n">
        <v>12867.0</v>
      </c>
      <c r="V150">
        <f si="29" t="shared"/>
        <v>216557</v>
      </c>
    </row>
    <row r="151" spans="1:22" x14ac:dyDescent="0.2">
      <c r="A151">
        <v>3</v>
      </c>
      <c r="B151">
        <f si="28" t="shared"/>
        <v>45779</v>
      </c>
      <c r="C151">
        <f si="28" t="shared"/>
        <v>4910</v>
      </c>
      <c r="D151">
        <f si="28" t="shared"/>
        <v>10922</v>
      </c>
      <c r="E151">
        <f si="28" t="shared"/>
        <v>7922</v>
      </c>
      <c r="F151">
        <f si="28" t="shared"/>
        <v>5643</v>
      </c>
      <c r="G151">
        <f si="28" t="shared"/>
        <v>1538</v>
      </c>
      <c r="H151">
        <f si="28" t="shared"/>
        <v>3467</v>
      </c>
      <c r="I151">
        <f si="28" t="shared"/>
        <v>80181</v>
      </c>
      <c r="N151">
        <v>3</v>
      </c>
      <c r="O151" s="60" t="n">
        <v>46781.0</v>
      </c>
      <c r="P151" s="60" t="n">
        <v>4813.0</v>
      </c>
      <c r="Q151" s="60" t="n">
        <v>10685.0</v>
      </c>
      <c r="R151" s="60" t="n">
        <v>7810.0</v>
      </c>
      <c r="S151" s="60" t="n">
        <v>5219.0</v>
      </c>
      <c r="T151" s="60" t="n">
        <v>1443.0</v>
      </c>
      <c r="U151" s="60" t="n">
        <v>3394.0</v>
      </c>
      <c r="V151">
        <f si="29" t="shared"/>
        <v>80181</v>
      </c>
    </row>
    <row r="152" spans="1:22" x14ac:dyDescent="0.2">
      <c r="A152">
        <v>4</v>
      </c>
      <c r="B152">
        <f si="28" t="shared"/>
        <v>17613</v>
      </c>
      <c r="C152">
        <f si="28" t="shared"/>
        <v>1255</v>
      </c>
      <c r="D152">
        <f si="28" t="shared"/>
        <v>3835</v>
      </c>
      <c r="E152">
        <f si="28" t="shared"/>
        <v>1879</v>
      </c>
      <c r="F152">
        <f si="28" t="shared"/>
        <v>1496</v>
      </c>
      <c r="G152">
        <f si="28" t="shared"/>
        <v>349</v>
      </c>
      <c r="H152">
        <f si="28" t="shared"/>
        <v>922</v>
      </c>
      <c r="I152">
        <f si="28" t="shared"/>
        <v>27349</v>
      </c>
      <c r="N152">
        <v>4</v>
      </c>
      <c r="O152" s="60" t="n">
        <v>18093.0</v>
      </c>
      <c r="P152" s="60" t="n">
        <v>1271.0</v>
      </c>
      <c r="Q152" s="60" t="n">
        <v>3846.0</v>
      </c>
      <c r="R152" s="60" t="n">
        <v>1867.0</v>
      </c>
      <c r="S152" s="60" t="n">
        <v>1388.0</v>
      </c>
      <c r="T152" s="60" t="n">
        <v>316.0</v>
      </c>
      <c r="U152" s="60" t="n">
        <v>918.0</v>
      </c>
      <c r="V152">
        <f si="29" t="shared"/>
        <v>27349</v>
      </c>
    </row>
    <row r="153" spans="1:22" x14ac:dyDescent="0.2">
      <c r="A153">
        <v>5</v>
      </c>
      <c r="B153">
        <f si="28" t="shared"/>
        <v>6034</v>
      </c>
      <c r="C153">
        <f si="28" t="shared"/>
        <v>342</v>
      </c>
      <c r="D153">
        <f si="28" t="shared"/>
        <v>1226</v>
      </c>
      <c r="E153">
        <f si="28" t="shared"/>
        <v>337</v>
      </c>
      <c r="F153">
        <f si="28" t="shared"/>
        <v>309</v>
      </c>
      <c r="G153">
        <f si="28" t="shared"/>
        <v>57</v>
      </c>
      <c r="H153">
        <f si="28" t="shared"/>
        <v>192</v>
      </c>
      <c r="I153">
        <f si="28" t="shared"/>
        <v>8497</v>
      </c>
      <c r="N153">
        <v>5</v>
      </c>
      <c r="O153" s="60" t="n">
        <v>6196.0</v>
      </c>
      <c r="P153" s="60" t="n">
        <v>303.0</v>
      </c>
      <c r="Q153" s="60" t="n">
        <v>1155.0</v>
      </c>
      <c r="R153" s="60" t="n">
        <v>365.0</v>
      </c>
      <c r="S153" s="60" t="n">
        <v>291.0</v>
      </c>
      <c r="T153" s="60" t="n">
        <v>48.0</v>
      </c>
      <c r="U153" s="60" t="n">
        <v>179.0</v>
      </c>
      <c r="V153">
        <f si="29" t="shared"/>
        <v>8497</v>
      </c>
    </row>
    <row r="154" spans="1:22" x14ac:dyDescent="0.2">
      <c r="A154" t="s">
        <v>154</v>
      </c>
      <c r="B154">
        <f si="28" t="shared"/>
        <v>3329</v>
      </c>
      <c r="C154">
        <f si="28" t="shared"/>
        <v>103</v>
      </c>
      <c r="D154">
        <f si="28" t="shared"/>
        <v>524</v>
      </c>
      <c r="E154">
        <f si="28" t="shared"/>
        <v>63</v>
      </c>
      <c r="F154">
        <f si="28" t="shared"/>
        <v>60</v>
      </c>
      <c r="G154">
        <f si="28" t="shared"/>
        <v>20</v>
      </c>
      <c r="H154">
        <f si="28" t="shared"/>
        <v>49</v>
      </c>
      <c r="I154">
        <f si="28" t="shared"/>
        <v>4148</v>
      </c>
      <c r="N154" t="s">
        <v>154</v>
      </c>
      <c r="O154" s="60" t="n">
        <v>3414.0</v>
      </c>
      <c r="P154" s="60" t="n">
        <v>142.0</v>
      </c>
      <c r="Q154" s="60" t="n">
        <v>545.0</v>
      </c>
      <c r="R154" s="60" t="n">
        <v>64.0</v>
      </c>
      <c r="S154" s="60" t="n">
        <v>54.0</v>
      </c>
      <c r="T154" s="60" t="n">
        <v>8.0</v>
      </c>
      <c r="U154" s="60" t="n">
        <v>41.0</v>
      </c>
      <c r="V154">
        <f si="29" t="shared"/>
        <v>4148</v>
      </c>
    </row>
    <row r="156" spans="1:22" x14ac:dyDescent="0.2">
      <c r="A156" t="s">
        <v>269</v>
      </c>
      <c r="N156" t="s">
        <v>269</v>
      </c>
    </row>
    <row r="157" spans="1:22" x14ac:dyDescent="0.2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2">
      <c r="A158">
        <v>0</v>
      </c>
      <c r="B158">
        <f ref="B158:I164" si="30" t="shared">O158*$B$1</f>
        <v>498730</v>
      </c>
      <c r="C158">
        <f si="30" t="shared"/>
        <v>207093</v>
      </c>
      <c r="D158">
        <f si="30" t="shared"/>
        <v>137388</v>
      </c>
      <c r="E158">
        <f si="30" t="shared"/>
        <v>209043</v>
      </c>
      <c r="F158">
        <f si="30" t="shared"/>
        <v>133843</v>
      </c>
      <c r="G158">
        <f si="30" t="shared"/>
        <v>121937</v>
      </c>
      <c r="H158">
        <f si="30" t="shared"/>
        <v>196824</v>
      </c>
      <c r="I158">
        <f si="30" t="shared"/>
        <v>1504858</v>
      </c>
      <c r="N158">
        <v>0</v>
      </c>
      <c r="O158" s="60" t="n">
        <v>504236.0</v>
      </c>
      <c r="P158" s="60" t="n">
        <v>206845.0</v>
      </c>
      <c r="Q158" s="60" t="n">
        <v>133056.0</v>
      </c>
      <c r="R158" s="60" t="n">
        <v>204647.0</v>
      </c>
      <c r="S158" s="60" t="n">
        <v>123101.0</v>
      </c>
      <c r="T158" s="60" t="n">
        <v>116564.0</v>
      </c>
      <c r="U158" s="60" t="n">
        <v>190319.0</v>
      </c>
      <c r="V158">
        <f ref="V158:V164" si="31" t="shared">SUM(O158:U158)</f>
        <v>1504858</v>
      </c>
    </row>
    <row r="159" spans="1:22" x14ac:dyDescent="0.2">
      <c r="A159">
        <v>1</v>
      </c>
      <c r="B159">
        <f si="30" t="shared"/>
        <v>141933</v>
      </c>
      <c r="C159">
        <f si="30" t="shared"/>
        <v>20835</v>
      </c>
      <c r="D159">
        <f si="30" t="shared"/>
        <v>46111</v>
      </c>
      <c r="E159">
        <f si="30" t="shared"/>
        <v>46847</v>
      </c>
      <c r="F159">
        <f si="30" t="shared"/>
        <v>31644</v>
      </c>
      <c r="G159">
        <f si="30" t="shared"/>
        <v>14765</v>
      </c>
      <c r="H159">
        <f si="30" t="shared"/>
        <v>28285</v>
      </c>
      <c r="I159">
        <f si="30" t="shared"/>
        <v>330420</v>
      </c>
      <c r="N159">
        <v>1</v>
      </c>
      <c r="O159" s="60" t="n">
        <v>142526.0</v>
      </c>
      <c r="P159" s="60" t="n">
        <v>20991.0</v>
      </c>
      <c r="Q159" s="60" t="n">
        <v>44960.0</v>
      </c>
      <c r="R159" s="60" t="n">
        <v>45896.0</v>
      </c>
      <c r="S159" s="60" t="n">
        <v>29154.0</v>
      </c>
      <c r="T159" s="60" t="n">
        <v>14183.0</v>
      </c>
      <c r="U159" s="60" t="n">
        <v>27343.0</v>
      </c>
      <c r="V159">
        <f si="31" t="shared"/>
        <v>330420</v>
      </c>
    </row>
    <row r="160" spans="1:22" x14ac:dyDescent="0.2">
      <c r="A160">
        <v>2</v>
      </c>
      <c r="B160">
        <f si="30" t="shared"/>
        <v>38676</v>
      </c>
      <c r="C160">
        <f si="30" t="shared"/>
        <v>3593</v>
      </c>
      <c r="D160">
        <f si="30" t="shared"/>
        <v>11765</v>
      </c>
      <c r="E160">
        <f si="30" t="shared"/>
        <v>10685</v>
      </c>
      <c r="F160">
        <f si="30" t="shared"/>
        <v>7337</v>
      </c>
      <c r="G160">
        <f si="30" t="shared"/>
        <v>2514</v>
      </c>
      <c r="H160">
        <f si="30" t="shared"/>
        <v>4980</v>
      </c>
      <c r="I160">
        <f si="30" t="shared"/>
        <v>79550</v>
      </c>
      <c r="N160">
        <v>2</v>
      </c>
      <c r="O160" s="60" t="n">
        <v>39655.0</v>
      </c>
      <c r="P160" s="60" t="n">
        <v>3582.0</v>
      </c>
      <c r="Q160" s="60" t="n">
        <v>11435.0</v>
      </c>
      <c r="R160" s="60" t="n">
        <v>10593.0</v>
      </c>
      <c r="S160" s="60" t="n">
        <v>6818.0</v>
      </c>
      <c r="T160" s="60" t="n">
        <v>2482.0</v>
      </c>
      <c r="U160" s="60" t="n">
        <v>4901.0</v>
      </c>
      <c r="V160">
        <f si="31" t="shared"/>
        <v>79550</v>
      </c>
    </row>
    <row r="161" spans="1:22" x14ac:dyDescent="0.2">
      <c r="A161">
        <v>3</v>
      </c>
      <c r="B161">
        <f si="30" t="shared"/>
        <v>11601</v>
      </c>
      <c r="C161">
        <f si="30" t="shared"/>
        <v>680</v>
      </c>
      <c r="D161">
        <f si="30" t="shared"/>
        <v>3193</v>
      </c>
      <c r="E161">
        <f si="30" t="shared"/>
        <v>2219</v>
      </c>
      <c r="F161">
        <f si="30" t="shared"/>
        <v>1725</v>
      </c>
      <c r="G161">
        <f si="30" t="shared"/>
        <v>517</v>
      </c>
      <c r="H161">
        <f si="30" t="shared"/>
        <v>1046</v>
      </c>
      <c r="I161">
        <f si="30" t="shared"/>
        <v>20981</v>
      </c>
      <c r="N161">
        <v>3</v>
      </c>
      <c r="O161" s="60" t="n">
        <v>11913.0</v>
      </c>
      <c r="P161" s="60" t="n">
        <v>664.0</v>
      </c>
      <c r="Q161" s="60" t="n">
        <v>3086.0</v>
      </c>
      <c r="R161" s="60" t="n">
        <v>2186.0</v>
      </c>
      <c r="S161" s="60" t="n">
        <v>1594.0</v>
      </c>
      <c r="T161" s="60" t="n">
        <v>432.0</v>
      </c>
      <c r="U161" s="60" t="n">
        <v>1020.0</v>
      </c>
      <c r="V161">
        <f si="31" t="shared"/>
        <v>20981</v>
      </c>
    </row>
    <row r="162" spans="1:22" x14ac:dyDescent="0.2">
      <c r="A162">
        <v>4</v>
      </c>
      <c r="B162">
        <f si="30" t="shared"/>
        <v>2867</v>
      </c>
      <c r="C162">
        <f si="30" t="shared"/>
        <v>94</v>
      </c>
      <c r="D162">
        <f si="30" t="shared"/>
        <v>758</v>
      </c>
      <c r="E162">
        <f si="30" t="shared"/>
        <v>314</v>
      </c>
      <c r="F162">
        <f si="30" t="shared"/>
        <v>292</v>
      </c>
      <c r="G162">
        <f si="30" t="shared"/>
        <v>66</v>
      </c>
      <c r="H162">
        <f si="30" t="shared"/>
        <v>180</v>
      </c>
      <c r="I162">
        <f si="30" t="shared"/>
        <v>4571</v>
      </c>
      <c r="N162">
        <v>4</v>
      </c>
      <c r="O162" s="60" t="n">
        <v>2992.0</v>
      </c>
      <c r="P162" s="60" t="n">
        <v>87.0</v>
      </c>
      <c r="Q162" s="60" t="n">
        <v>758.0</v>
      </c>
      <c r="R162" s="60" t="n">
        <v>300.0</v>
      </c>
      <c r="S162" s="60" t="n">
        <v>268.0</v>
      </c>
      <c r="T162" s="60" t="n">
        <v>56.0</v>
      </c>
      <c r="U162" s="60" t="n">
        <v>165.0</v>
      </c>
      <c r="V162">
        <f si="31" t="shared"/>
        <v>4571</v>
      </c>
    </row>
    <row r="163" spans="1:22" x14ac:dyDescent="0.2">
      <c r="A163">
        <v>5</v>
      </c>
      <c r="B163">
        <f si="30" t="shared"/>
        <v>540</v>
      </c>
      <c r="C163">
        <f si="30" t="shared"/>
        <v>23</v>
      </c>
      <c r="D163">
        <f si="30" t="shared"/>
        <v>140</v>
      </c>
      <c r="E163">
        <f si="30" t="shared"/>
        <v>28</v>
      </c>
      <c r="F163">
        <f si="30" t="shared"/>
        <v>22</v>
      </c>
      <c r="G163">
        <f si="30" t="shared"/>
        <v>10</v>
      </c>
      <c r="H163">
        <f si="30" t="shared"/>
        <v>22</v>
      </c>
      <c r="I163">
        <f si="30" t="shared"/>
        <v>785</v>
      </c>
      <c r="N163">
        <v>5</v>
      </c>
      <c r="O163" s="60" t="n">
        <v>542.0</v>
      </c>
      <c r="P163" s="60" t="n">
        <v>22.0</v>
      </c>
      <c r="Q163" s="60" t="n">
        <v>144.0</v>
      </c>
      <c r="R163" s="60" t="n">
        <v>36.0</v>
      </c>
      <c r="S163" s="60" t="n">
        <v>25.0</v>
      </c>
      <c r="T163" s="60" t="n">
        <v>2.0</v>
      </c>
      <c r="U163" s="60" t="n">
        <v>22.0</v>
      </c>
      <c r="V163">
        <f si="31" t="shared"/>
        <v>785</v>
      </c>
    </row>
    <row r="164" spans="1:22" x14ac:dyDescent="0.2">
      <c r="A164" t="s">
        <v>154</v>
      </c>
      <c r="B164">
        <f si="30" t="shared"/>
        <v>300</v>
      </c>
      <c r="C164">
        <f si="30" t="shared"/>
        <v>5</v>
      </c>
      <c r="D164">
        <f si="30" t="shared"/>
        <v>76</v>
      </c>
      <c r="E164">
        <f si="30" t="shared"/>
        <v>2</v>
      </c>
      <c r="F164">
        <f si="30" t="shared"/>
        <v>12</v>
      </c>
      <c r="G164">
        <f si="30" t="shared"/>
        <v>4</v>
      </c>
      <c r="H164">
        <f si="30" t="shared"/>
        <v>11</v>
      </c>
      <c r="I164">
        <f si="30" t="shared"/>
        <v>410</v>
      </c>
      <c r="N164" t="s">
        <v>154</v>
      </c>
      <c r="O164" s="60" t="n">
        <v>322.0</v>
      </c>
      <c r="P164" s="60" t="n">
        <v>11.0</v>
      </c>
      <c r="Q164" s="60" t="n">
        <v>85.0</v>
      </c>
      <c r="R164" s="60" t="n">
        <v>7.0</v>
      </c>
      <c r="S164" s="60" t="n">
        <v>9.0</v>
      </c>
      <c r="T164" s="60" t="n">
        <v>0.0</v>
      </c>
      <c r="U164" s="60" t="n">
        <v>5.0</v>
      </c>
      <c r="V164">
        <f si="31" t="shared"/>
        <v>410</v>
      </c>
    </row>
    <row r="166" spans="1:22" x14ac:dyDescent="0.2">
      <c r="A166" t="s">
        <v>270</v>
      </c>
      <c r="N166" t="s">
        <v>270</v>
      </c>
    </row>
    <row r="167" spans="1:22" x14ac:dyDescent="0.2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2">
      <c r="A168">
        <v>0</v>
      </c>
      <c r="B168">
        <f ref="B168:I174" si="32" t="shared">O168*$B$1</f>
        <v>415123</v>
      </c>
      <c r="C168">
        <f si="32" t="shared"/>
        <v>178149</v>
      </c>
      <c r="D168">
        <f si="32" t="shared"/>
        <v>129142</v>
      </c>
      <c r="E168">
        <f si="32" t="shared"/>
        <v>203657</v>
      </c>
      <c r="F168">
        <f si="32" t="shared"/>
        <v>129778</v>
      </c>
      <c r="G168">
        <f si="32" t="shared"/>
        <v>121108</v>
      </c>
      <c r="H168">
        <f si="32" t="shared"/>
        <v>192636</v>
      </c>
      <c r="I168">
        <f si="32" t="shared"/>
        <v>1369593</v>
      </c>
      <c r="N168">
        <v>0</v>
      </c>
      <c r="O168" s="60" t="n">
        <v>420023.0</v>
      </c>
      <c r="P168" s="60" t="n">
        <v>177549.0</v>
      </c>
      <c r="Q168" s="60" t="n">
        <v>124951.0</v>
      </c>
      <c r="R168" s="60" t="n">
        <v>199457.0</v>
      </c>
      <c r="S168" s="60" t="n">
        <v>119434.0</v>
      </c>
      <c r="T168" s="60" t="n">
        <v>115829.0</v>
      </c>
      <c r="U168" s="60" t="n">
        <v>185852.0</v>
      </c>
      <c r="V168">
        <f ref="V168:V174" si="33" t="shared">SUM(O168:U168)</f>
        <v>1369593</v>
      </c>
    </row>
    <row r="169" spans="1:22" x14ac:dyDescent="0.2">
      <c r="A169">
        <v>1</v>
      </c>
      <c r="B169">
        <f si="32" t="shared"/>
        <v>192994</v>
      </c>
      <c r="C169">
        <f si="32" t="shared"/>
        <v>40827</v>
      </c>
      <c r="D169">
        <f si="32" t="shared"/>
        <v>53727</v>
      </c>
      <c r="E169">
        <f si="32" t="shared"/>
        <v>53323</v>
      </c>
      <c r="F169">
        <f si="32" t="shared"/>
        <v>36718</v>
      </c>
      <c r="G169">
        <f si="32" t="shared"/>
        <v>16321</v>
      </c>
      <c r="H169">
        <f si="32" t="shared"/>
        <v>33017</v>
      </c>
      <c r="I169">
        <f si="32" t="shared"/>
        <v>426927</v>
      </c>
      <c r="N169">
        <v>1</v>
      </c>
      <c r="O169" s="60" t="n">
        <v>193591.0</v>
      </c>
      <c r="P169" s="60" t="n">
        <v>41353.0</v>
      </c>
      <c r="Q169" s="60" t="n">
        <v>52324.0</v>
      </c>
      <c r="R169" s="60" t="n">
        <v>52219.0</v>
      </c>
      <c r="S169" s="60" t="n">
        <v>33833.0</v>
      </c>
      <c r="T169" s="60" t="n">
        <v>15636.0</v>
      </c>
      <c r="U169" s="60" t="n">
        <v>32210.0</v>
      </c>
      <c r="V169">
        <f si="33" t="shared"/>
        <v>426927</v>
      </c>
    </row>
    <row r="170" spans="1:22" x14ac:dyDescent="0.2">
      <c r="A170">
        <v>2</v>
      </c>
      <c r="B170">
        <f si="32" t="shared"/>
        <v>62735</v>
      </c>
      <c r="C170">
        <f si="32" t="shared"/>
        <v>10854</v>
      </c>
      <c r="D170">
        <f si="32" t="shared"/>
        <v>12989</v>
      </c>
      <c r="E170">
        <f si="32" t="shared"/>
        <v>10314</v>
      </c>
      <c r="F170">
        <f si="32" t="shared"/>
        <v>7094</v>
      </c>
      <c r="G170">
        <f si="32" t="shared"/>
        <v>2079</v>
      </c>
      <c r="H170">
        <f si="32" t="shared"/>
        <v>4832</v>
      </c>
      <c r="I170">
        <f si="32" t="shared"/>
        <v>110897</v>
      </c>
      <c r="N170">
        <v>2</v>
      </c>
      <c r="O170" s="60" t="n">
        <v>64070.0</v>
      </c>
      <c r="P170" s="60" t="n">
        <v>10787.0</v>
      </c>
      <c r="Q170" s="60" t="n">
        <v>12716.0</v>
      </c>
      <c r="R170" s="60" t="n">
        <v>10126.0</v>
      </c>
      <c r="S170" s="60" t="n">
        <v>6497.0</v>
      </c>
      <c r="T170" s="60" t="n">
        <v>1965.0</v>
      </c>
      <c r="U170" s="60" t="n">
        <v>4852.0</v>
      </c>
      <c r="V170">
        <f si="33" t="shared"/>
        <v>110897</v>
      </c>
    </row>
    <row r="171" spans="1:22" x14ac:dyDescent="0.2">
      <c r="A171">
        <v>3</v>
      </c>
      <c r="B171">
        <f si="32" t="shared"/>
        <v>17022</v>
      </c>
      <c r="C171">
        <f si="32" t="shared"/>
        <v>2039</v>
      </c>
      <c r="D171">
        <f si="32" t="shared"/>
        <v>2787</v>
      </c>
      <c r="E171">
        <f si="32" t="shared"/>
        <v>1575</v>
      </c>
      <c r="F171">
        <f si="32" t="shared"/>
        <v>1099</v>
      </c>
      <c r="G171">
        <f si="32" t="shared"/>
        <v>252</v>
      </c>
      <c r="H171">
        <f si="32" t="shared"/>
        <v>714</v>
      </c>
      <c r="I171">
        <f si="32" t="shared"/>
        <v>25488</v>
      </c>
      <c r="N171">
        <v>3</v>
      </c>
      <c r="O171" s="60" t="n">
        <v>17405.0</v>
      </c>
      <c r="P171" s="60" t="n">
        <v>2053.0</v>
      </c>
      <c r="Q171" s="60" t="n">
        <v>2736.0</v>
      </c>
      <c r="R171" s="60" t="n">
        <v>1595.0</v>
      </c>
      <c r="S171" s="60" t="n">
        <v>1008.0</v>
      </c>
      <c r="T171" s="60" t="n">
        <v>244.0</v>
      </c>
      <c r="U171" s="60" t="n">
        <v>710.0</v>
      </c>
      <c r="V171">
        <f si="33" t="shared"/>
        <v>25488</v>
      </c>
    </row>
    <row r="172" spans="1:22" x14ac:dyDescent="0.2">
      <c r="A172">
        <v>4</v>
      </c>
      <c r="B172">
        <f si="32" t="shared"/>
        <v>5096</v>
      </c>
      <c r="C172">
        <f si="32" t="shared"/>
        <v>373</v>
      </c>
      <c r="D172">
        <f si="32" t="shared"/>
        <v>614</v>
      </c>
      <c r="E172">
        <f si="32" t="shared"/>
        <v>240</v>
      </c>
      <c r="F172">
        <f si="32" t="shared"/>
        <v>174</v>
      </c>
      <c r="G172">
        <f si="32" t="shared"/>
        <v>47</v>
      </c>
      <c r="H172">
        <f si="32" t="shared"/>
        <v>128</v>
      </c>
      <c r="I172">
        <f si="32" t="shared"/>
        <v>6672</v>
      </c>
      <c r="N172">
        <v>4</v>
      </c>
      <c r="O172" s="60" t="n">
        <v>5324.0</v>
      </c>
      <c r="P172" s="60" t="n">
        <v>367.0</v>
      </c>
      <c r="Q172" s="60" t="n">
        <v>619.0</v>
      </c>
      <c r="R172" s="60" t="n">
        <v>236.0</v>
      </c>
      <c r="S172" s="60" t="n">
        <v>176.0</v>
      </c>
      <c r="T172" s="60" t="n">
        <v>41.0</v>
      </c>
      <c r="U172" s="60" t="n">
        <v>136.0</v>
      </c>
      <c r="V172">
        <f si="33" t="shared"/>
        <v>6672</v>
      </c>
    </row>
    <row r="173" spans="1:22" x14ac:dyDescent="0.2">
      <c r="A173">
        <v>5</v>
      </c>
      <c r="B173">
        <f si="32" t="shared"/>
        <v>885</v>
      </c>
      <c r="C173">
        <f si="32" t="shared"/>
        <v>53</v>
      </c>
      <c r="D173">
        <f si="32" t="shared"/>
        <v>110</v>
      </c>
      <c r="E173">
        <f si="32" t="shared"/>
        <v>20</v>
      </c>
      <c r="F173">
        <f si="32" t="shared"/>
        <v>9</v>
      </c>
      <c r="G173">
        <f si="32" t="shared"/>
        <v>3</v>
      </c>
      <c r="H173">
        <f si="32" t="shared"/>
        <v>17</v>
      </c>
      <c r="I173">
        <f si="32" t="shared"/>
        <v>1097</v>
      </c>
      <c r="N173">
        <v>5</v>
      </c>
      <c r="O173" s="60" t="n">
        <v>937.0</v>
      </c>
      <c r="P173" s="60" t="n">
        <v>54.0</v>
      </c>
      <c r="Q173" s="60" t="n">
        <v>107.0</v>
      </c>
      <c r="R173" s="60" t="n">
        <v>25.0</v>
      </c>
      <c r="S173" s="60" t="n">
        <v>17.0</v>
      </c>
      <c r="T173" s="60" t="n">
        <v>3.0</v>
      </c>
      <c r="U173" s="60" t="n">
        <v>12.0</v>
      </c>
      <c r="V173">
        <f si="33" t="shared"/>
        <v>1097</v>
      </c>
    </row>
    <row r="174" spans="1:22" x14ac:dyDescent="0.2">
      <c r="A174" t="s">
        <v>154</v>
      </c>
      <c r="B174">
        <f si="32" t="shared"/>
        <v>792</v>
      </c>
      <c r="C174">
        <f si="32" t="shared"/>
        <v>28</v>
      </c>
      <c r="D174">
        <f si="32" t="shared"/>
        <v>62</v>
      </c>
      <c r="E174">
        <f si="32" t="shared"/>
        <v>9</v>
      </c>
      <c r="F174">
        <f si="32" t="shared"/>
        <v>3</v>
      </c>
      <c r="G174">
        <f si="32" t="shared"/>
        <v>3</v>
      </c>
      <c r="H174">
        <f si="32" t="shared"/>
        <v>4</v>
      </c>
      <c r="I174">
        <f si="32" t="shared"/>
        <v>901</v>
      </c>
      <c r="N174" t="s">
        <v>154</v>
      </c>
      <c r="O174" s="60" t="n">
        <v>836.0</v>
      </c>
      <c r="P174" s="60" t="n">
        <v>39.0</v>
      </c>
      <c r="Q174" s="60" t="n">
        <v>71.0</v>
      </c>
      <c r="R174" s="60" t="n">
        <v>7.0</v>
      </c>
      <c r="S174" s="60" t="n">
        <v>4.0</v>
      </c>
      <c r="T174" s="60" t="n">
        <v>1.0</v>
      </c>
      <c r="U174" s="60" t="n">
        <v>3.0</v>
      </c>
      <c r="V174">
        <f si="33" t="shared"/>
        <v>901</v>
      </c>
    </row>
    <row r="176" spans="1:22" x14ac:dyDescent="0.2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2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2">
      <c r="A178" t="s">
        <v>23</v>
      </c>
      <c r="B178">
        <f ref="B178:J185" si="34" t="shared">O178*$B$1</f>
        <v>606319</v>
      </c>
      <c r="C178">
        <f si="34" t="shared"/>
        <v>53540</v>
      </c>
      <c r="D178">
        <f si="34" t="shared"/>
        <v>0</v>
      </c>
      <c r="E178">
        <f si="34" t="shared"/>
        <v>0</v>
      </c>
      <c r="F178">
        <f si="34" t="shared"/>
        <v>12264</v>
      </c>
      <c r="G178">
        <f si="34" t="shared"/>
        <v>2344</v>
      </c>
      <c r="H178">
        <f si="34" t="shared"/>
        <v>0</v>
      </c>
      <c r="I178">
        <f si="34" t="shared"/>
        <v>0</v>
      </c>
      <c r="J178">
        <f si="34" t="shared"/>
        <v>674467</v>
      </c>
      <c r="N178" t="s">
        <v>23</v>
      </c>
      <c r="O178" s="60" t="n">
        <v>611824.0</v>
      </c>
      <c r="P178" s="60" t="n">
        <v>54721.0</v>
      </c>
      <c r="Q178" s="60" t="n">
        <v>0.0</v>
      </c>
      <c r="R178" s="60" t="n">
        <v>0.0</v>
      </c>
      <c r="S178" s="60" t="n">
        <v>12488.0</v>
      </c>
      <c r="T178" s="60" t="n">
        <v>2506.0</v>
      </c>
      <c r="U178" s="60" t="n">
        <v>0.0</v>
      </c>
      <c r="V178" s="60" t="n">
        <v>0.0</v>
      </c>
      <c r="W178">
        <f ref="W178:W185" si="35" t="shared">SUM(O178:V178)</f>
        <v>674467</v>
      </c>
    </row>
    <row r="179" spans="1:23" x14ac:dyDescent="0.2">
      <c r="A179" t="s">
        <v>24</v>
      </c>
      <c r="B179">
        <f si="34" t="shared"/>
        <v>8916</v>
      </c>
      <c r="C179">
        <f si="34" t="shared"/>
        <v>0</v>
      </c>
      <c r="D179">
        <f si="34" t="shared"/>
        <v>0</v>
      </c>
      <c r="E179">
        <f si="34" t="shared"/>
        <v>0</v>
      </c>
      <c r="F179">
        <f si="34" t="shared"/>
        <v>13865</v>
      </c>
      <c r="G179">
        <f si="34" t="shared"/>
        <v>33536</v>
      </c>
      <c r="H179">
        <f si="34" t="shared"/>
        <v>175464</v>
      </c>
      <c r="I179">
        <f si="34" t="shared"/>
        <v>0</v>
      </c>
      <c r="J179">
        <f si="34" t="shared"/>
        <v>231781</v>
      </c>
      <c r="N179" t="s">
        <v>24</v>
      </c>
      <c r="O179" s="60" t="n">
        <v>8694.0</v>
      </c>
      <c r="P179" s="60" t="n">
        <v>0.0</v>
      </c>
      <c r="Q179" s="60" t="n">
        <v>0.0</v>
      </c>
      <c r="R179" s="60" t="n">
        <v>0.0</v>
      </c>
      <c r="S179" s="60" t="n">
        <v>13749.0</v>
      </c>
      <c r="T179" s="60" t="n">
        <v>33911.0</v>
      </c>
      <c r="U179" s="60" t="n">
        <v>175267.0</v>
      </c>
      <c r="V179" s="60" t="n">
        <v>0.0</v>
      </c>
      <c r="W179">
        <f si="35" t="shared"/>
        <v>231781</v>
      </c>
    </row>
    <row r="180" spans="1:23" x14ac:dyDescent="0.2">
      <c r="A180" t="s">
        <v>25</v>
      </c>
      <c r="B180">
        <f si="34" t="shared"/>
        <v>75349</v>
      </c>
      <c r="C180">
        <f si="34" t="shared"/>
        <v>22841</v>
      </c>
      <c r="D180">
        <f si="34" t="shared"/>
        <v>15008</v>
      </c>
      <c r="E180">
        <f si="34" t="shared"/>
        <v>61109</v>
      </c>
      <c r="F180">
        <f si="34" t="shared"/>
        <v>5863</v>
      </c>
      <c r="G180">
        <f si="34" t="shared"/>
        <v>3074</v>
      </c>
      <c r="H180">
        <f si="34" t="shared"/>
        <v>10472</v>
      </c>
      <c r="I180">
        <f si="34" t="shared"/>
        <v>0</v>
      </c>
      <c r="J180">
        <f si="34" t="shared"/>
        <v>193716</v>
      </c>
      <c r="N180" t="s">
        <v>25</v>
      </c>
      <c r="O180" s="60" t="n">
        <v>72528.0</v>
      </c>
      <c r="P180" s="60" t="n">
        <v>22099.0</v>
      </c>
      <c r="Q180" s="60" t="n">
        <v>14628.0</v>
      </c>
      <c r="R180" s="60" t="n">
        <v>59892.0</v>
      </c>
      <c r="S180" s="60" t="n">
        <v>5691.0</v>
      </c>
      <c r="T180" s="60" t="n">
        <v>2809.0</v>
      </c>
      <c r="U180" s="60" t="n">
        <v>10106.0</v>
      </c>
      <c r="V180" s="60" t="n">
        <v>0.0</v>
      </c>
      <c r="W180">
        <f si="35" t="shared"/>
        <v>193716</v>
      </c>
    </row>
    <row r="181" spans="1:23" x14ac:dyDescent="0.2">
      <c r="A181" t="s">
        <v>249</v>
      </c>
      <c r="B181">
        <f si="34" t="shared"/>
        <v>76748</v>
      </c>
      <c r="C181">
        <f si="34" t="shared"/>
        <v>18731</v>
      </c>
      <c r="D181">
        <f si="34" t="shared"/>
        <v>70761</v>
      </c>
      <c r="E181">
        <f si="34" t="shared"/>
        <v>55525</v>
      </c>
      <c r="F181">
        <f si="34" t="shared"/>
        <v>5538</v>
      </c>
      <c r="G181">
        <f si="34" t="shared"/>
        <v>6037</v>
      </c>
      <c r="H181">
        <f si="34" t="shared"/>
        <v>16704</v>
      </c>
      <c r="I181">
        <f si="34" t="shared"/>
        <v>0</v>
      </c>
      <c r="J181">
        <f si="34" t="shared"/>
        <v>250044</v>
      </c>
      <c r="N181" t="s">
        <v>249</v>
      </c>
      <c r="O181" s="60" t="n">
        <v>74124.0</v>
      </c>
      <c r="P181" s="60" t="n">
        <v>18242.0</v>
      </c>
      <c r="Q181" s="60" t="n">
        <v>69495.0</v>
      </c>
      <c r="R181" s="60" t="n">
        <v>54360.0</v>
      </c>
      <c r="S181" s="60" t="n">
        <v>5375.0</v>
      </c>
      <c r="T181" s="60" t="n">
        <v>6165.0</v>
      </c>
      <c r="U181" s="60" t="n">
        <v>16606.0</v>
      </c>
      <c r="V181" s="60" t="n">
        <v>0.0</v>
      </c>
      <c r="W181">
        <f si="35" t="shared"/>
        <v>250044</v>
      </c>
    </row>
    <row r="182" spans="1:23" x14ac:dyDescent="0.2">
      <c r="A182" t="s">
        <v>27</v>
      </c>
      <c r="B182">
        <f si="34" t="shared"/>
        <v>48727</v>
      </c>
      <c r="C182">
        <f si="34" t="shared"/>
        <v>14660</v>
      </c>
      <c r="D182">
        <f si="34" t="shared"/>
        <v>44075</v>
      </c>
      <c r="E182">
        <f si="34" t="shared"/>
        <v>40472</v>
      </c>
      <c r="F182">
        <f si="34" t="shared"/>
        <v>6054</v>
      </c>
      <c r="G182">
        <f si="34" t="shared"/>
        <v>2098</v>
      </c>
      <c r="H182">
        <f si="34" t="shared"/>
        <v>8231</v>
      </c>
      <c r="I182">
        <f si="34" t="shared"/>
        <v>0</v>
      </c>
      <c r="J182">
        <f si="34" t="shared"/>
        <v>164317</v>
      </c>
      <c r="N182" t="s">
        <v>27</v>
      </c>
      <c r="O182" s="60" t="n">
        <v>44001.0</v>
      </c>
      <c r="P182" s="60" t="n">
        <v>13449.0</v>
      </c>
      <c r="Q182" s="60" t="n">
        <v>40575.0</v>
      </c>
      <c r="R182" s="60" t="n">
        <v>37436.0</v>
      </c>
      <c r="S182" s="60" t="n">
        <v>5402.0</v>
      </c>
      <c r="T182" s="60" t="n">
        <v>1918.0</v>
      </c>
      <c r="U182" s="60" t="n">
        <v>7581.0</v>
      </c>
      <c r="V182" s="60" t="n">
        <v>0.0</v>
      </c>
      <c r="W182">
        <f si="35" t="shared"/>
        <v>164317</v>
      </c>
    </row>
    <row r="183" spans="1:23" x14ac:dyDescent="0.2">
      <c r="A183" t="s">
        <v>28</v>
      </c>
      <c r="B183">
        <f si="34" t="shared"/>
        <v>44566</v>
      </c>
      <c r="C183">
        <f si="34" t="shared"/>
        <v>6523</v>
      </c>
      <c r="D183">
        <f si="34" t="shared"/>
        <v>22419</v>
      </c>
      <c r="E183">
        <f si="34" t="shared"/>
        <v>13426</v>
      </c>
      <c r="F183">
        <f si="34" t="shared"/>
        <v>3898</v>
      </c>
      <c r="G183">
        <f si="34" t="shared"/>
        <v>1242</v>
      </c>
      <c r="H183">
        <f si="34" t="shared"/>
        <v>6255</v>
      </c>
      <c r="I183">
        <f si="34" t="shared"/>
        <v>0</v>
      </c>
      <c r="J183">
        <f si="34" t="shared"/>
        <v>98329</v>
      </c>
      <c r="N183" t="s">
        <v>28</v>
      </c>
      <c r="O183" s="60" t="n">
        <v>40946.0</v>
      </c>
      <c r="P183" s="60" t="n">
        <v>6087.0</v>
      </c>
      <c r="Q183" s="60" t="n">
        <v>21456.0</v>
      </c>
      <c r="R183" s="60" t="n">
        <v>12503.0</v>
      </c>
      <c r="S183" s="60" t="n">
        <v>3657.0</v>
      </c>
      <c r="T183" s="60" t="n">
        <v>1354.0</v>
      </c>
      <c r="U183" s="60" t="n">
        <v>5972.0</v>
      </c>
      <c r="V183" s="60" t="n">
        <v>0.0</v>
      </c>
      <c r="W183">
        <f si="35" t="shared"/>
        <v>98329</v>
      </c>
    </row>
    <row r="184" spans="1:23" x14ac:dyDescent="0.2">
      <c r="A184" t="s">
        <v>29</v>
      </c>
      <c r="B184">
        <f si="34" t="shared"/>
        <v>75123</v>
      </c>
      <c r="C184">
        <f si="34" t="shared"/>
        <v>15551</v>
      </c>
      <c r="D184">
        <f si="34" t="shared"/>
        <v>34478</v>
      </c>
      <c r="E184">
        <f si="34" t="shared"/>
        <v>34710</v>
      </c>
      <c r="F184">
        <f si="34" t="shared"/>
        <v>5988</v>
      </c>
      <c r="G184">
        <f si="34" t="shared"/>
        <v>12291</v>
      </c>
      <c r="H184">
        <f si="34" t="shared"/>
        <v>46579</v>
      </c>
      <c r="I184">
        <f si="34" t="shared"/>
        <v>0</v>
      </c>
      <c r="J184">
        <f si="34" t="shared"/>
        <v>224720</v>
      </c>
      <c r="N184" t="s">
        <v>29</v>
      </c>
      <c r="O184" s="60" t="n">
        <v>72361.0</v>
      </c>
      <c r="P184" s="60" t="n">
        <v>14540.0</v>
      </c>
      <c r="Q184" s="60" t="n">
        <v>33411.0</v>
      </c>
      <c r="R184" s="60" t="n">
        <v>34014.0</v>
      </c>
      <c r="S184" s="60" t="n">
        <v>5574.0</v>
      </c>
      <c r="T184" s="60" t="n">
        <v>11981.0</v>
      </c>
      <c r="U184" s="60" t="n">
        <v>45077.0</v>
      </c>
      <c r="V184" s="60" t="n">
        <v>0.0</v>
      </c>
      <c r="W184">
        <f si="35" t="shared"/>
        <v>224720</v>
      </c>
    </row>
    <row r="185" spans="1:23" x14ac:dyDescent="0.2">
      <c r="A185" t="s">
        <v>30</v>
      </c>
      <c r="B185">
        <f si="34" t="shared"/>
        <v>96124</v>
      </c>
      <c r="C185">
        <f si="34" t="shared"/>
        <v>6542</v>
      </c>
      <c r="D185">
        <f si="34" t="shared"/>
        <v>0</v>
      </c>
      <c r="E185">
        <f si="34" t="shared"/>
        <v>0</v>
      </c>
      <c r="F185">
        <f si="34" t="shared"/>
        <v>1231</v>
      </c>
      <c r="G185">
        <f si="34" t="shared"/>
        <v>304</v>
      </c>
      <c r="H185">
        <f si="34" t="shared"/>
        <v>0</v>
      </c>
      <c r="I185">
        <f si="34" t="shared"/>
        <v>0</v>
      </c>
      <c r="J185">
        <f si="34" t="shared"/>
        <v>104201</v>
      </c>
      <c r="N185" t="s">
        <v>30</v>
      </c>
      <c r="O185" s="60" t="n">
        <v>97207.0</v>
      </c>
      <c r="P185" s="60" t="n">
        <v>6658.0</v>
      </c>
      <c r="Q185" s="60" t="n">
        <v>0.0</v>
      </c>
      <c r="R185" s="60" t="n">
        <v>0.0</v>
      </c>
      <c r="S185" s="60" t="n">
        <v>1260.0</v>
      </c>
      <c r="T185" s="60" t="n">
        <v>340.0</v>
      </c>
      <c r="U185" s="60" t="n">
        <v>0.0</v>
      </c>
      <c r="V185" s="60" t="n">
        <v>0.0</v>
      </c>
      <c r="W185">
        <f si="35" t="shared"/>
        <v>104201</v>
      </c>
    </row>
    <row r="187" spans="1:23" x14ac:dyDescent="0.2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2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2">
      <c r="A189" t="s">
        <v>23</v>
      </c>
      <c r="B189">
        <f ref="B189:F196" si="36" t="shared">O189*$B$1</f>
        <v>10485</v>
      </c>
      <c r="C189">
        <f si="36" t="shared"/>
        <v>87439</v>
      </c>
      <c r="D189">
        <f si="36" t="shared"/>
        <v>96425</v>
      </c>
      <c r="E189">
        <f si="36" t="shared"/>
        <v>480051</v>
      </c>
      <c r="F189">
        <f si="36" t="shared"/>
        <v>674400</v>
      </c>
      <c r="N189" t="s">
        <v>23</v>
      </c>
      <c r="O189" s="60" t="n">
        <v>10610.0</v>
      </c>
      <c r="P189" s="60" t="n">
        <v>88390.0</v>
      </c>
      <c r="Q189" s="60" t="n">
        <v>97190.0</v>
      </c>
      <c r="R189" s="60" t="n">
        <v>485280.0</v>
      </c>
      <c r="S189">
        <f ref="S189:S196" si="37" t="shared">SUM(O189:R189)</f>
        <v>674400</v>
      </c>
    </row>
    <row r="190" spans="1:23" x14ac:dyDescent="0.2">
      <c r="A190" t="s">
        <v>24</v>
      </c>
      <c r="B190">
        <f si="36" t="shared"/>
        <v>14155</v>
      </c>
      <c r="C190">
        <f si="36" t="shared"/>
        <v>45457</v>
      </c>
      <c r="D190">
        <f si="36" t="shared"/>
        <v>27485</v>
      </c>
      <c r="E190">
        <f si="36" t="shared"/>
        <v>144676</v>
      </c>
      <c r="F190">
        <f si="36" t="shared"/>
        <v>231773</v>
      </c>
      <c r="N190" t="s">
        <v>24</v>
      </c>
      <c r="O190" s="60" t="n">
        <v>14114.0</v>
      </c>
      <c r="P190" s="60" t="n">
        <v>45457.0</v>
      </c>
      <c r="Q190" s="60" t="n">
        <v>27452.0</v>
      </c>
      <c r="R190" s="60" t="n">
        <v>144589.0</v>
      </c>
      <c r="S190">
        <f si="37" t="shared"/>
        <v>231773</v>
      </c>
    </row>
    <row r="191" spans="1:23" x14ac:dyDescent="0.2">
      <c r="A191" t="s">
        <v>25</v>
      </c>
      <c r="B191">
        <f si="36" t="shared"/>
        <v>12049</v>
      </c>
      <c r="C191">
        <f si="36" t="shared"/>
        <v>35291</v>
      </c>
      <c r="D191">
        <f si="36" t="shared"/>
        <v>26068</v>
      </c>
      <c r="E191">
        <f si="36" t="shared"/>
        <v>120293</v>
      </c>
      <c r="F191">
        <f si="36" t="shared"/>
        <v>193701</v>
      </c>
      <c r="N191" t="s">
        <v>25</v>
      </c>
      <c r="O191" s="60" t="n">
        <v>11658.0</v>
      </c>
      <c r="P191" s="60" t="n">
        <v>34301.0</v>
      </c>
      <c r="Q191" s="60" t="n">
        <v>25282.0</v>
      </c>
      <c r="R191" s="60" t="n">
        <v>116498.0</v>
      </c>
      <c r="S191">
        <f si="37" t="shared"/>
        <v>193701</v>
      </c>
    </row>
    <row r="192" spans="1:23" x14ac:dyDescent="0.2">
      <c r="A192" t="s">
        <v>249</v>
      </c>
      <c r="B192">
        <f si="36" t="shared"/>
        <v>16092</v>
      </c>
      <c r="C192">
        <f si="36" t="shared"/>
        <v>53739</v>
      </c>
      <c r="D192">
        <f si="36" t="shared"/>
        <v>40770</v>
      </c>
      <c r="E192">
        <f si="36" t="shared"/>
        <v>139393</v>
      </c>
      <c r="F192">
        <f si="36" t="shared"/>
        <v>249994</v>
      </c>
      <c r="N192" t="s">
        <v>249</v>
      </c>
      <c r="O192" s="60" t="n">
        <v>15818.0</v>
      </c>
      <c r="P192" s="60" t="n">
        <v>52495.0</v>
      </c>
      <c r="Q192" s="60" t="n">
        <v>40140.0</v>
      </c>
      <c r="R192" s="60" t="n">
        <v>135871.0</v>
      </c>
      <c r="S192">
        <f si="37" t="shared"/>
        <v>249994</v>
      </c>
    </row>
    <row r="193" spans="1:19" x14ac:dyDescent="0.2">
      <c r="A193" t="s">
        <v>27</v>
      </c>
      <c r="B193">
        <f si="36" t="shared"/>
        <v>12634</v>
      </c>
      <c r="C193">
        <f si="36" t="shared"/>
        <v>36722</v>
      </c>
      <c r="D193">
        <f si="36" t="shared"/>
        <v>27042</v>
      </c>
      <c r="E193">
        <f si="36" t="shared"/>
        <v>87888</v>
      </c>
      <c r="F193">
        <f si="36" t="shared"/>
        <v>164286</v>
      </c>
      <c r="N193" t="s">
        <v>27</v>
      </c>
      <c r="O193" s="60" t="n">
        <v>11658.0</v>
      </c>
      <c r="P193" s="60" t="n">
        <v>33681.0</v>
      </c>
      <c r="Q193" s="60" t="n">
        <v>24776.0</v>
      </c>
      <c r="R193" s="60" t="n">
        <v>80218.0</v>
      </c>
      <c r="S193">
        <f si="37" t="shared"/>
        <v>164286</v>
      </c>
    </row>
    <row r="194" spans="1:19" x14ac:dyDescent="0.2">
      <c r="A194" t="s">
        <v>28</v>
      </c>
      <c r="B194">
        <f si="36" t="shared"/>
        <v>5746</v>
      </c>
      <c r="C194">
        <f si="36" t="shared"/>
        <v>18629</v>
      </c>
      <c r="D194">
        <f si="36" t="shared"/>
        <v>16346</v>
      </c>
      <c r="E194">
        <f si="36" t="shared"/>
        <v>57593</v>
      </c>
      <c r="F194">
        <f si="36" t="shared"/>
        <v>98314</v>
      </c>
      <c r="N194" t="s">
        <v>28</v>
      </c>
      <c r="O194" s="60" t="n">
        <v>5340.0</v>
      </c>
      <c r="P194" s="60" t="n">
        <v>17487.0</v>
      </c>
      <c r="Q194" s="60" t="n">
        <v>15204.0</v>
      </c>
      <c r="R194" s="60" t="n">
        <v>53929.0</v>
      </c>
      <c r="S194">
        <f si="37" t="shared"/>
        <v>98314</v>
      </c>
    </row>
    <row r="195" spans="1:19" x14ac:dyDescent="0.2">
      <c r="A195" t="s">
        <v>29</v>
      </c>
      <c r="B195">
        <f si="36" t="shared"/>
        <v>11211</v>
      </c>
      <c r="C195">
        <f si="36" t="shared"/>
        <v>37691</v>
      </c>
      <c r="D195">
        <f si="36" t="shared"/>
        <v>31370</v>
      </c>
      <c r="E195">
        <f si="36" t="shared"/>
        <v>144425</v>
      </c>
      <c r="F195">
        <f si="36" t="shared"/>
        <v>224697</v>
      </c>
      <c r="N195" t="s">
        <v>29</v>
      </c>
      <c r="O195" s="60" t="n">
        <v>10731.0</v>
      </c>
      <c r="P195" s="60" t="n">
        <v>36487.0</v>
      </c>
      <c r="Q195" s="60" t="n">
        <v>30453.0</v>
      </c>
      <c r="R195" s="60" t="n">
        <v>139264.0</v>
      </c>
      <c r="S195">
        <f si="37" t="shared"/>
        <v>224697</v>
      </c>
    </row>
    <row r="196" spans="1:19" x14ac:dyDescent="0.2">
      <c r="A196" t="s">
        <v>30</v>
      </c>
      <c r="B196">
        <f si="36" t="shared"/>
        <v>1125</v>
      </c>
      <c r="C196">
        <f si="36" t="shared"/>
        <v>11892</v>
      </c>
      <c r="D196">
        <f si="36" t="shared"/>
        <v>14289</v>
      </c>
      <c r="E196">
        <f si="36" t="shared"/>
        <v>76885</v>
      </c>
      <c r="F196">
        <f si="36" t="shared"/>
        <v>104191</v>
      </c>
      <c r="N196" t="s">
        <v>30</v>
      </c>
      <c r="O196" s="60" t="n">
        <v>1118.0</v>
      </c>
      <c r="P196" s="60" t="n">
        <v>12011.0</v>
      </c>
      <c r="Q196" s="60" t="n">
        <v>14424.0</v>
      </c>
      <c r="R196" s="60" t="n">
        <v>77902.0</v>
      </c>
      <c r="S196">
        <f si="37" t="shared"/>
        <v>104191</v>
      </c>
    </row>
    <row r="198" spans="1:19" x14ac:dyDescent="0.2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2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2">
      <c r="A200" t="s">
        <v>23</v>
      </c>
      <c r="B200">
        <f ref="B200:F207" si="38" t="shared">O200*$B$1</f>
        <v>6407</v>
      </c>
      <c r="C200">
        <f si="38" t="shared"/>
        <v>89237</v>
      </c>
      <c r="D200">
        <f si="38" t="shared"/>
        <v>437204</v>
      </c>
      <c r="E200">
        <f si="38" t="shared"/>
        <v>141619</v>
      </c>
      <c r="F200">
        <f si="38" t="shared"/>
        <v>674467</v>
      </c>
      <c r="N200" t="s">
        <v>23</v>
      </c>
      <c r="O200" s="60" t="n">
        <v>6560.0</v>
      </c>
      <c r="P200" s="60" t="n">
        <v>84540.0</v>
      </c>
      <c r="Q200" s="60" t="n">
        <v>446242.0</v>
      </c>
      <c r="R200" s="60" t="n">
        <v>144197.0</v>
      </c>
      <c r="S200">
        <f ref="S200:S207" si="39" t="shared">SUM(O200:R200)</f>
        <v>674467</v>
      </c>
    </row>
    <row r="201" spans="1:19" x14ac:dyDescent="0.2">
      <c r="A201" t="s">
        <v>24</v>
      </c>
      <c r="B201">
        <f si="38" t="shared"/>
        <v>6032</v>
      </c>
      <c r="C201">
        <f si="38" t="shared"/>
        <v>45043</v>
      </c>
      <c r="D201">
        <f si="38" t="shared"/>
        <v>140848</v>
      </c>
      <c r="E201">
        <f si="38" t="shared"/>
        <v>39858</v>
      </c>
      <c r="F201">
        <f si="38" t="shared"/>
        <v>231781</v>
      </c>
      <c r="N201" t="s">
        <v>24</v>
      </c>
      <c r="O201" s="60" t="n">
        <v>5911.0</v>
      </c>
      <c r="P201" s="60" t="n">
        <v>43692.0</v>
      </c>
      <c r="Q201" s="60" t="n">
        <v>142001.0</v>
      </c>
      <c r="R201" s="60" t="n">
        <v>40017.0</v>
      </c>
      <c r="S201">
        <f si="39" t="shared"/>
        <v>231781</v>
      </c>
    </row>
    <row r="202" spans="1:19" x14ac:dyDescent="0.2">
      <c r="A202" t="s">
        <v>25</v>
      </c>
      <c r="B202">
        <f si="38" t="shared"/>
        <v>8153</v>
      </c>
      <c r="C202">
        <f si="38" t="shared"/>
        <v>40061</v>
      </c>
      <c r="D202">
        <f si="38" t="shared"/>
        <v>113721</v>
      </c>
      <c r="E202">
        <f si="38" t="shared"/>
        <v>31781</v>
      </c>
      <c r="F202">
        <f si="38" t="shared"/>
        <v>193716</v>
      </c>
      <c r="N202" t="s">
        <v>25</v>
      </c>
      <c r="O202" s="60" t="n">
        <v>7832.0</v>
      </c>
      <c r="P202" s="60" t="n">
        <v>37298.0</v>
      </c>
      <c r="Q202" s="60" t="n">
        <v>111628.0</v>
      </c>
      <c r="R202" s="60" t="n">
        <v>30995.0</v>
      </c>
      <c r="S202">
        <f si="39" t="shared"/>
        <v>193716</v>
      </c>
    </row>
    <row r="203" spans="1:19" x14ac:dyDescent="0.2">
      <c r="A203" t="s">
        <v>249</v>
      </c>
      <c r="B203">
        <f si="38" t="shared"/>
        <v>9458</v>
      </c>
      <c r="C203">
        <f si="38" t="shared"/>
        <v>45838</v>
      </c>
      <c r="D203">
        <f si="38" t="shared"/>
        <v>152546</v>
      </c>
      <c r="E203">
        <f si="38" t="shared"/>
        <v>42202</v>
      </c>
      <c r="F203">
        <f si="38" t="shared"/>
        <v>250044</v>
      </c>
      <c r="N203" t="s">
        <v>249</v>
      </c>
      <c r="O203" s="60" t="n">
        <v>9235.0</v>
      </c>
      <c r="P203" s="60" t="n">
        <v>43319.0</v>
      </c>
      <c r="Q203" s="60" t="n">
        <v>150382.0</v>
      </c>
      <c r="R203" s="60" t="n">
        <v>41431.0</v>
      </c>
      <c r="S203">
        <f si="39" t="shared"/>
        <v>250044</v>
      </c>
    </row>
    <row r="204" spans="1:19" x14ac:dyDescent="0.2">
      <c r="A204" t="s">
        <v>27</v>
      </c>
      <c r="B204">
        <f si="38" t="shared"/>
        <v>6995</v>
      </c>
      <c r="C204">
        <f si="38" t="shared"/>
        <v>29763</v>
      </c>
      <c r="D204">
        <f si="38" t="shared"/>
        <v>100068</v>
      </c>
      <c r="E204">
        <f si="38" t="shared"/>
        <v>27491</v>
      </c>
      <c r="F204">
        <f si="38" t="shared"/>
        <v>164317</v>
      </c>
      <c r="N204" t="s">
        <v>27</v>
      </c>
      <c r="O204" s="60" t="n">
        <v>6473.0</v>
      </c>
      <c r="P204" s="60" t="n">
        <v>26443.0</v>
      </c>
      <c r="Q204" s="60" t="n">
        <v>92128.0</v>
      </c>
      <c r="R204" s="60" t="n">
        <v>25318.0</v>
      </c>
      <c r="S204">
        <f si="39" t="shared"/>
        <v>164317</v>
      </c>
    </row>
    <row r="205" spans="1:19" x14ac:dyDescent="0.2">
      <c r="A205" t="s">
        <v>28</v>
      </c>
      <c r="B205">
        <f si="38" t="shared"/>
        <v>3257</v>
      </c>
      <c r="C205">
        <f si="38" t="shared"/>
        <v>15993</v>
      </c>
      <c r="D205">
        <f si="38" t="shared"/>
        <v>61510</v>
      </c>
      <c r="E205">
        <f si="38" t="shared"/>
        <v>17569</v>
      </c>
      <c r="F205">
        <f si="38" t="shared"/>
        <v>98329</v>
      </c>
      <c r="N205" t="s">
        <v>28</v>
      </c>
      <c r="O205" s="60" t="n">
        <v>2952.0</v>
      </c>
      <c r="P205" s="60" t="n">
        <v>14613.0</v>
      </c>
      <c r="Q205" s="60" t="n">
        <v>58008.0</v>
      </c>
      <c r="R205" s="60" t="n">
        <v>16402.0</v>
      </c>
      <c r="S205">
        <f si="39" t="shared"/>
        <v>98329</v>
      </c>
    </row>
    <row r="206" spans="1:19" x14ac:dyDescent="0.2">
      <c r="A206" t="s">
        <v>29</v>
      </c>
      <c r="B206">
        <f si="38" t="shared"/>
        <v>6328</v>
      </c>
      <c r="C206">
        <f si="38" t="shared"/>
        <v>38932</v>
      </c>
      <c r="D206">
        <f si="38" t="shared"/>
        <v>139181</v>
      </c>
      <c r="E206">
        <f si="38" t="shared"/>
        <v>40279</v>
      </c>
      <c r="F206">
        <f si="38" t="shared"/>
        <v>224720</v>
      </c>
      <c r="N206" t="s">
        <v>29</v>
      </c>
      <c r="O206" s="60" t="n">
        <v>6079.0</v>
      </c>
      <c r="P206" s="60" t="n">
        <v>35809.0</v>
      </c>
      <c r="Q206" s="60" t="n">
        <v>135828.0</v>
      </c>
      <c r="R206" s="60" t="n">
        <v>39242.0</v>
      </c>
      <c r="S206">
        <f si="39" t="shared"/>
        <v>224720</v>
      </c>
    </row>
    <row r="207" spans="1:19" x14ac:dyDescent="0.2">
      <c r="A207" t="s">
        <v>30</v>
      </c>
      <c r="B207">
        <f si="38" t="shared"/>
        <v>488</v>
      </c>
      <c r="C207">
        <f si="38" t="shared"/>
        <v>11099</v>
      </c>
      <c r="D207">
        <f si="38" t="shared"/>
        <v>69712</v>
      </c>
      <c r="E207">
        <f si="38" t="shared"/>
        <v>22902</v>
      </c>
      <c r="F207">
        <f si="38" t="shared"/>
        <v>104201</v>
      </c>
      <c r="N207" t="s">
        <v>30</v>
      </c>
      <c r="O207" s="60" t="n">
        <v>490.0</v>
      </c>
      <c r="P207" s="60" t="n">
        <v>10286.0</v>
      </c>
      <c r="Q207" s="60" t="n">
        <v>71428.0</v>
      </c>
      <c r="R207" s="60" t="n">
        <v>23261.0</v>
      </c>
      <c r="S207">
        <f si="39" t="shared"/>
        <v>104201</v>
      </c>
    </row>
    <row r="209" spans="1:25" x14ac:dyDescent="0.2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2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2">
      <c r="A211" t="s">
        <v>23</v>
      </c>
      <c r="B211">
        <f ref="B211:L218" si="40" t="shared">O211*$B$1</f>
        <v>278285</v>
      </c>
      <c r="C211">
        <f si="40" t="shared"/>
        <v>34837</v>
      </c>
      <c r="D211">
        <f si="40" t="shared"/>
        <v>24539</v>
      </c>
      <c r="E211">
        <f si="40" t="shared"/>
        <v>126325</v>
      </c>
      <c r="F211">
        <f si="40" t="shared"/>
        <v>69806</v>
      </c>
      <c r="G211">
        <f si="40" t="shared"/>
        <v>85444</v>
      </c>
      <c r="H211">
        <f si="40" t="shared"/>
        <v>55231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674467</v>
      </c>
      <c r="N211" t="s">
        <v>23</v>
      </c>
      <c r="O211" s="60" t="n">
        <v>280728.0</v>
      </c>
      <c r="P211" s="60" t="n">
        <v>35230.0</v>
      </c>
      <c r="Q211" s="60" t="n">
        <v>24885.0</v>
      </c>
      <c r="R211" s="60" t="n">
        <v>127827.0</v>
      </c>
      <c r="S211" s="60" t="n">
        <v>70674.0</v>
      </c>
      <c r="T211" s="60" t="n">
        <v>86377.0</v>
      </c>
      <c r="U211" t="n">
        <v>55818.0</v>
      </c>
      <c r="V211" t="n">
        <v>0.0</v>
      </c>
      <c r="W211" t="n">
        <v>0.0</v>
      </c>
      <c r="X211" t="n">
        <v>0.0</v>
      </c>
      <c r="Y211">
        <f ref="Y211:Y218" si="41" t="shared">SUM(O211:X211)</f>
        <v>674467</v>
      </c>
    </row>
    <row r="212" spans="1:25" x14ac:dyDescent="0.2">
      <c r="A212" t="s">
        <v>24</v>
      </c>
      <c r="B212">
        <f si="40" t="shared"/>
        <v>74335</v>
      </c>
      <c r="C212">
        <f si="40" t="shared"/>
        <v>13757</v>
      </c>
      <c r="D212">
        <f si="40" t="shared"/>
        <v>9263</v>
      </c>
      <c r="E212">
        <f si="40" t="shared"/>
        <v>47710</v>
      </c>
      <c r="F212">
        <f si="40" t="shared"/>
        <v>25608</v>
      </c>
      <c r="G212">
        <f si="40" t="shared"/>
        <v>40273</v>
      </c>
      <c r="H212">
        <f si="40" t="shared"/>
        <v>20835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231781</v>
      </c>
      <c r="N212" t="s">
        <v>24</v>
      </c>
      <c r="O212" s="60" t="n">
        <v>73884.0</v>
      </c>
      <c r="P212" s="60" t="n">
        <v>13842.0</v>
      </c>
      <c r="Q212" s="60" t="n">
        <v>9287.0</v>
      </c>
      <c r="R212" s="60" t="n">
        <v>47765.0</v>
      </c>
      <c r="S212" s="60" t="n">
        <v>25576.0</v>
      </c>
      <c r="T212" s="60" t="n">
        <v>40397.0</v>
      </c>
      <c r="U212" t="n">
        <v>20870.0</v>
      </c>
      <c r="V212" t="n">
        <v>0.0</v>
      </c>
      <c r="W212" t="n">
        <v>0.0</v>
      </c>
      <c r="X212" t="n">
        <v>0.0</v>
      </c>
      <c r="Y212">
        <f si="41" t="shared"/>
        <v>231781</v>
      </c>
    </row>
    <row r="213" spans="1:25" x14ac:dyDescent="0.2">
      <c r="A213" t="s">
        <v>25</v>
      </c>
      <c r="B213">
        <f si="40" t="shared"/>
        <v>67360</v>
      </c>
      <c r="C213">
        <f si="40" t="shared"/>
        <v>10052</v>
      </c>
      <c r="D213">
        <f si="40" t="shared"/>
        <v>7457</v>
      </c>
      <c r="E213">
        <f si="40" t="shared"/>
        <v>41036</v>
      </c>
      <c r="F213">
        <f si="40" t="shared"/>
        <v>21379</v>
      </c>
      <c r="G213">
        <f si="40" t="shared"/>
        <v>29901</v>
      </c>
      <c r="H213">
        <f si="40" t="shared"/>
        <v>16531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193716</v>
      </c>
      <c r="N213" t="s">
        <v>25</v>
      </c>
      <c r="O213" s="60" t="n">
        <v>65190.0</v>
      </c>
      <c r="P213" s="60" t="n">
        <v>9750.0</v>
      </c>
      <c r="Q213" s="60" t="n">
        <v>7232.0</v>
      </c>
      <c r="R213" s="60" t="n">
        <v>39915.0</v>
      </c>
      <c r="S213" s="60" t="n">
        <v>20810.0</v>
      </c>
      <c r="T213" s="60" t="n">
        <v>28957.0</v>
      </c>
      <c r="U213" t="n">
        <v>15899.0</v>
      </c>
      <c r="V213" t="n">
        <v>0.0</v>
      </c>
      <c r="W213" t="n">
        <v>0.0</v>
      </c>
      <c r="X213" t="n">
        <v>0.0</v>
      </c>
      <c r="Y213">
        <f si="41" t="shared"/>
        <v>193716</v>
      </c>
    </row>
    <row r="214" spans="1:25" x14ac:dyDescent="0.2">
      <c r="A214" t="s">
        <v>249</v>
      </c>
      <c r="B214">
        <f si="40" t="shared"/>
        <v>91459</v>
      </c>
      <c r="C214">
        <f si="40" t="shared"/>
        <v>15386</v>
      </c>
      <c r="D214">
        <f si="40" t="shared"/>
        <v>10087</v>
      </c>
      <c r="E214">
        <f si="40" t="shared"/>
        <v>45501</v>
      </c>
      <c r="F214">
        <f si="40" t="shared"/>
        <v>28858</v>
      </c>
      <c r="G214">
        <f si="40" t="shared"/>
        <v>36313</v>
      </c>
      <c r="H214">
        <f si="40" t="shared"/>
        <v>22440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250044</v>
      </c>
      <c r="N214" t="s">
        <v>249</v>
      </c>
      <c r="O214" s="60" t="n">
        <v>89176.0</v>
      </c>
      <c r="P214" s="60" t="n">
        <v>15017.0</v>
      </c>
      <c r="Q214" s="60" t="n">
        <v>9855.0</v>
      </c>
      <c r="R214" s="60" t="n">
        <v>44594.0</v>
      </c>
      <c r="S214" s="60" t="n">
        <v>28256.0</v>
      </c>
      <c r="T214" s="60" t="n">
        <v>35498.0</v>
      </c>
      <c r="U214" t="n">
        <v>21971.0</v>
      </c>
      <c r="V214" t="n">
        <v>0.0</v>
      </c>
      <c r="W214" t="n">
        <v>0.0</v>
      </c>
      <c r="X214" t="n">
        <v>0.0</v>
      </c>
      <c r="Y214">
        <f si="41" t="shared"/>
        <v>250044</v>
      </c>
    </row>
    <row r="215" spans="1:25" x14ac:dyDescent="0.2">
      <c r="A215" t="s">
        <v>27</v>
      </c>
      <c r="B215">
        <f si="40" t="shared"/>
        <v>60751</v>
      </c>
      <c r="C215">
        <f si="40" t="shared"/>
        <v>9980</v>
      </c>
      <c r="D215">
        <f si="40" t="shared"/>
        <v>6576</v>
      </c>
      <c r="E215">
        <f si="40" t="shared"/>
        <v>30476</v>
      </c>
      <c r="F215">
        <f si="40" t="shared"/>
        <v>18637</v>
      </c>
      <c r="G215">
        <f si="40" t="shared"/>
        <v>23484</v>
      </c>
      <c r="H215">
        <f si="40" t="shared"/>
        <v>14413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164317</v>
      </c>
      <c r="N215" t="s">
        <v>27</v>
      </c>
      <c r="O215" s="60" t="n">
        <v>55551.0</v>
      </c>
      <c r="P215" s="60" t="n">
        <v>9132.0</v>
      </c>
      <c r="Q215" s="60" t="n">
        <v>6025.0</v>
      </c>
      <c r="R215" s="60" t="n">
        <v>27806.0</v>
      </c>
      <c r="S215" s="60" t="n">
        <v>17059.0</v>
      </c>
      <c r="T215" s="60" t="n">
        <v>21580.0</v>
      </c>
      <c r="U215" t="n">
        <v>13209.0</v>
      </c>
      <c r="V215" t="n">
        <v>0.0</v>
      </c>
      <c r="W215" t="n">
        <v>0.0</v>
      </c>
      <c r="X215" t="n">
        <v>0.0</v>
      </c>
      <c r="Y215">
        <f si="41" t="shared"/>
        <v>164317</v>
      </c>
    </row>
    <row r="216" spans="1:25" x14ac:dyDescent="0.2">
      <c r="A216" t="s">
        <v>28</v>
      </c>
      <c r="B216">
        <f si="40" t="shared"/>
        <v>38049</v>
      </c>
      <c r="C216">
        <f si="40" t="shared"/>
        <v>5644</v>
      </c>
      <c r="D216">
        <f si="40" t="shared"/>
        <v>3887</v>
      </c>
      <c r="E216">
        <f si="40" t="shared"/>
        <v>17807</v>
      </c>
      <c r="F216">
        <f si="40" t="shared"/>
        <v>10988</v>
      </c>
      <c r="G216">
        <f si="40" t="shared"/>
        <v>13420</v>
      </c>
      <c r="H216">
        <f si="40" t="shared"/>
        <v>8534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98329</v>
      </c>
      <c r="N216" t="s">
        <v>28</v>
      </c>
      <c r="O216" s="60" t="n">
        <v>35549.0</v>
      </c>
      <c r="P216" s="60" t="n">
        <v>5373.0</v>
      </c>
      <c r="Q216" s="60" t="n">
        <v>3635.0</v>
      </c>
      <c r="R216" s="60" t="n">
        <v>16616.0</v>
      </c>
      <c r="S216" s="60" t="n">
        <v>10192.0</v>
      </c>
      <c r="T216" s="60" t="n">
        <v>12633.0</v>
      </c>
      <c r="U216" t="n">
        <v>7977.0</v>
      </c>
      <c r="V216" t="n">
        <v>0.0</v>
      </c>
      <c r="W216" t="n">
        <v>0.0</v>
      </c>
      <c r="X216" t="n">
        <v>0.0</v>
      </c>
      <c r="Y216">
        <f si="41" t="shared"/>
        <v>98329</v>
      </c>
    </row>
    <row r="217" spans="1:25" x14ac:dyDescent="0.2">
      <c r="A217" t="s">
        <v>29</v>
      </c>
      <c r="B217">
        <f si="40" t="shared"/>
        <v>80023</v>
      </c>
      <c r="C217">
        <f si="40" t="shared"/>
        <v>13312</v>
      </c>
      <c r="D217">
        <f si="40" t="shared"/>
        <v>9086</v>
      </c>
      <c r="E217">
        <f si="40" t="shared"/>
        <v>42508</v>
      </c>
      <c r="F217">
        <f si="40" t="shared"/>
        <v>25081</v>
      </c>
      <c r="G217">
        <f si="40" t="shared"/>
        <v>34611</v>
      </c>
      <c r="H217">
        <f si="40" t="shared"/>
        <v>20099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224720</v>
      </c>
      <c r="N217" t="s">
        <v>29</v>
      </c>
      <c r="O217" s="60" t="n">
        <v>77292.0</v>
      </c>
      <c r="P217" s="60" t="n">
        <v>12708.0</v>
      </c>
      <c r="Q217" s="60" t="n">
        <v>8755.0</v>
      </c>
      <c r="R217" s="60" t="n">
        <v>40999.0</v>
      </c>
      <c r="S217" s="60" t="n">
        <v>24555.0</v>
      </c>
      <c r="T217" s="60" t="n">
        <v>33207.0</v>
      </c>
      <c r="U217" t="n">
        <v>19442.0</v>
      </c>
      <c r="V217" t="n">
        <v>0.0</v>
      </c>
      <c r="W217" t="n">
        <v>0.0</v>
      </c>
      <c r="X217" t="n">
        <v>0.0</v>
      </c>
      <c r="Y217">
        <f si="41" t="shared"/>
        <v>224720</v>
      </c>
    </row>
    <row r="218" spans="1:25" x14ac:dyDescent="0.2">
      <c r="A218" t="s">
        <v>30</v>
      </c>
      <c r="B218">
        <f si="40" t="shared"/>
        <v>43066</v>
      </c>
      <c r="C218">
        <f si="40" t="shared"/>
        <v>5337</v>
      </c>
      <c r="D218">
        <f si="40" t="shared"/>
        <v>3911</v>
      </c>
      <c r="E218">
        <f si="40" t="shared"/>
        <v>19218</v>
      </c>
      <c r="F218">
        <f si="40" t="shared"/>
        <v>10658</v>
      </c>
      <c r="G218">
        <f si="40" t="shared"/>
        <v>13334</v>
      </c>
      <c r="H218">
        <f si="40" t="shared"/>
        <v>8677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104201</v>
      </c>
      <c r="N218" t="s">
        <v>30</v>
      </c>
      <c r="O218" s="60" t="n">
        <v>43381.0</v>
      </c>
      <c r="P218" s="60" t="n">
        <v>5365.0</v>
      </c>
      <c r="Q218" s="60" t="n">
        <v>3953.0</v>
      </c>
      <c r="R218" s="60" t="n">
        <v>19637.0</v>
      </c>
      <c r="S218" s="60" t="n">
        <v>10798.0</v>
      </c>
      <c r="T218" s="60" t="n">
        <v>13611.0</v>
      </c>
      <c r="U218" t="n">
        <v>8720.0</v>
      </c>
      <c r="V218" t="n">
        <v>0.0</v>
      </c>
      <c r="W218" t="n">
        <v>0.0</v>
      </c>
      <c r="X218" t="n">
        <v>0.0</v>
      </c>
      <c r="Y218">
        <f si="41" t="shared"/>
        <v>104201</v>
      </c>
    </row>
    <row r="220" spans="1:25" x14ac:dyDescent="0.2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2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2">
      <c r="A222" t="s">
        <v>23</v>
      </c>
      <c r="B222">
        <f ref="B222:J228" si="42" t="shared">O222*$B$1</f>
        <v>151241</v>
      </c>
      <c r="C222">
        <f si="42" t="shared"/>
        <v>11941</v>
      </c>
      <c r="D222">
        <f si="42" t="shared"/>
        <v>0</v>
      </c>
      <c r="E222">
        <f si="42" t="shared"/>
        <v>0</v>
      </c>
      <c r="F222">
        <f si="42" t="shared"/>
        <v>2793</v>
      </c>
      <c r="G222">
        <f si="42" t="shared"/>
        <v>628</v>
      </c>
      <c r="H222">
        <f si="42" t="shared"/>
        <v>0</v>
      </c>
      <c r="I222">
        <f si="42" t="shared"/>
        <v>0</v>
      </c>
      <c r="J222">
        <f si="42" t="shared"/>
        <v>166603</v>
      </c>
      <c r="N222" t="s">
        <v>23</v>
      </c>
      <c r="O222" s="60" t="n">
        <v>153536.0</v>
      </c>
      <c r="P222" s="60" t="n">
        <v>12370.0</v>
      </c>
      <c r="Q222" s="60" t="n">
        <v>0.0</v>
      </c>
      <c r="R222" s="60" t="n">
        <v>0.0</v>
      </c>
      <c r="S222" s="60" t="n">
        <v>2771.0</v>
      </c>
      <c r="T222" s="60" t="n">
        <v>709.0</v>
      </c>
      <c r="U222" s="60" t="n">
        <v>0.0</v>
      </c>
      <c r="V222" s="60" t="n">
        <v>0.0</v>
      </c>
      <c r="W222">
        <f ref="W222:W228" si="43" t="shared">SUM(O222:V222)</f>
        <v>166603</v>
      </c>
    </row>
    <row r="223" spans="1:25" x14ac:dyDescent="0.2">
      <c r="A223" t="s">
        <v>24</v>
      </c>
      <c r="B223">
        <f si="42" t="shared"/>
        <v>5182</v>
      </c>
      <c r="C223">
        <f si="42" t="shared"/>
        <v>0</v>
      </c>
      <c r="D223">
        <f si="42" t="shared"/>
        <v>0</v>
      </c>
      <c r="E223">
        <f si="42" t="shared"/>
        <v>0</v>
      </c>
      <c r="F223">
        <f si="42" t="shared"/>
        <v>2584</v>
      </c>
      <c r="G223">
        <f si="42" t="shared"/>
        <v>6052</v>
      </c>
      <c r="H223">
        <f si="42" t="shared"/>
        <v>22286</v>
      </c>
      <c r="I223">
        <f si="42" t="shared"/>
        <v>0</v>
      </c>
      <c r="J223">
        <f si="42" t="shared"/>
        <v>36104</v>
      </c>
      <c r="N223" t="s">
        <v>24</v>
      </c>
      <c r="O223" s="60" t="n">
        <v>5159.0</v>
      </c>
      <c r="P223" s="60" t="n">
        <v>0.0</v>
      </c>
      <c r="Q223" s="60" t="n">
        <v>0.0</v>
      </c>
      <c r="R223" s="60" t="n">
        <v>0.0</v>
      </c>
      <c r="S223" s="60" t="n">
        <v>2558.0</v>
      </c>
      <c r="T223" s="60" t="n">
        <v>6432.0</v>
      </c>
      <c r="U223" s="60" t="n">
        <v>22182.0</v>
      </c>
      <c r="V223" s="60" t="n">
        <v>0.0</v>
      </c>
      <c r="W223">
        <f si="43" t="shared"/>
        <v>36104</v>
      </c>
    </row>
    <row r="224" spans="1:25" x14ac:dyDescent="0.2">
      <c r="A224" t="s">
        <v>25</v>
      </c>
      <c r="B224">
        <f si="42" t="shared"/>
        <v>132486</v>
      </c>
      <c r="C224">
        <f si="42" t="shared"/>
        <v>19493</v>
      </c>
      <c r="D224">
        <f si="42" t="shared"/>
        <v>7237</v>
      </c>
      <c r="E224">
        <f si="42" t="shared"/>
        <v>24848</v>
      </c>
      <c r="F224">
        <f si="42" t="shared"/>
        <v>4398</v>
      </c>
      <c r="G224">
        <f si="42" t="shared"/>
        <v>4221</v>
      </c>
      <c r="H224">
        <f si="42" t="shared"/>
        <v>17375</v>
      </c>
      <c r="I224">
        <f si="42" t="shared"/>
        <v>0</v>
      </c>
      <c r="J224">
        <f si="42" t="shared"/>
        <v>210058</v>
      </c>
      <c r="N224" t="s">
        <v>25</v>
      </c>
      <c r="O224" s="60" t="n">
        <v>133502.0</v>
      </c>
      <c r="P224" s="60" t="n">
        <v>19625.0</v>
      </c>
      <c r="Q224" s="60" t="n">
        <v>7272.0</v>
      </c>
      <c r="R224" s="60" t="n">
        <v>24513.0</v>
      </c>
      <c r="S224" s="60" t="n">
        <v>4430.0</v>
      </c>
      <c r="T224" s="60" t="n">
        <v>4016.0</v>
      </c>
      <c r="U224" s="60" t="n">
        <v>17110.0</v>
      </c>
      <c r="V224" s="60" t="n">
        <v>0.0</v>
      </c>
      <c r="W224">
        <f si="43" t="shared"/>
        <v>210058</v>
      </c>
    </row>
    <row r="225" spans="1:23" x14ac:dyDescent="0.2">
      <c r="A225" t="s">
        <v>249</v>
      </c>
      <c r="B225">
        <f si="42" t="shared"/>
        <v>254070</v>
      </c>
      <c r="C225">
        <f si="42" t="shared"/>
        <v>35057</v>
      </c>
      <c r="D225">
        <f si="42" t="shared"/>
        <v>68021</v>
      </c>
      <c r="E225">
        <f si="42" t="shared"/>
        <v>63424</v>
      </c>
      <c r="F225">
        <f si="42" t="shared"/>
        <v>6854</v>
      </c>
      <c r="G225">
        <f si="42" t="shared"/>
        <v>9335</v>
      </c>
      <c r="H225">
        <f si="42" t="shared"/>
        <v>31315</v>
      </c>
      <c r="I225">
        <f si="42" t="shared"/>
        <v>0</v>
      </c>
      <c r="J225">
        <f si="42" t="shared"/>
        <v>468076</v>
      </c>
      <c r="N225" t="s">
        <v>249</v>
      </c>
      <c r="O225" s="60" t="n">
        <v>254998.0</v>
      </c>
      <c r="P225" s="60" t="n">
        <v>34633.0</v>
      </c>
      <c r="Q225" s="60" t="n">
        <v>66123.0</v>
      </c>
      <c r="R225" s="60" t="n">
        <v>61850.0</v>
      </c>
      <c r="S225" s="60" t="n">
        <v>6657.0</v>
      </c>
      <c r="T225" s="60" t="n">
        <v>9787.0</v>
      </c>
      <c r="U225" s="60" t="n">
        <v>31451.0</v>
      </c>
      <c r="V225" s="60" t="n">
        <v>0.0</v>
      </c>
      <c r="W225">
        <f si="43" t="shared"/>
        <v>468076</v>
      </c>
    </row>
    <row r="226" spans="1:23" x14ac:dyDescent="0.2">
      <c r="A226" t="s">
        <v>27</v>
      </c>
      <c r="B226">
        <f si="42" t="shared"/>
        <v>174948</v>
      </c>
      <c r="C226">
        <f si="42" t="shared"/>
        <v>30204</v>
      </c>
      <c r="D226">
        <f si="42" t="shared"/>
        <v>51401</v>
      </c>
      <c r="E226">
        <f si="42" t="shared"/>
        <v>52671</v>
      </c>
      <c r="F226">
        <f si="42" t="shared"/>
        <v>7347</v>
      </c>
      <c r="G226">
        <f si="42" t="shared"/>
        <v>3251</v>
      </c>
      <c r="H226">
        <f si="42" t="shared"/>
        <v>15299</v>
      </c>
      <c r="I226">
        <f si="42" t="shared"/>
        <v>0</v>
      </c>
      <c r="J226">
        <f si="42" t="shared"/>
        <v>335121</v>
      </c>
      <c r="N226" t="s">
        <v>27</v>
      </c>
      <c r="O226" s="60" t="n">
        <v>173508.0</v>
      </c>
      <c r="P226" s="60" t="n">
        <v>29498.0</v>
      </c>
      <c r="Q226" s="60" t="n">
        <v>49534.0</v>
      </c>
      <c r="R226" s="60" t="n">
        <v>51106.0</v>
      </c>
      <c r="S226" s="60" t="n">
        <v>6838.0</v>
      </c>
      <c r="T226" s="60" t="n">
        <v>3134.0</v>
      </c>
      <c r="U226" s="60" t="n">
        <v>15054.0</v>
      </c>
      <c r="V226" s="60" t="n">
        <v>0.0</v>
      </c>
      <c r="W226">
        <f si="43" t="shared"/>
        <v>335121</v>
      </c>
    </row>
    <row r="227" spans="1:23" x14ac:dyDescent="0.2">
      <c r="A227" t="s">
        <v>28</v>
      </c>
      <c r="B227">
        <f si="42" t="shared"/>
        <v>186296</v>
      </c>
      <c r="C227">
        <f si="42" t="shared"/>
        <v>17368</v>
      </c>
      <c r="D227">
        <f si="42" t="shared"/>
        <v>27032</v>
      </c>
      <c r="E227">
        <f si="42" t="shared"/>
        <v>20639</v>
      </c>
      <c r="F227">
        <f si="42" t="shared"/>
        <v>5857</v>
      </c>
      <c r="G227">
        <f si="42" t="shared"/>
        <v>3486</v>
      </c>
      <c r="H227">
        <f si="42" t="shared"/>
        <v>15045</v>
      </c>
      <c r="I227">
        <f si="42" t="shared"/>
        <v>0</v>
      </c>
      <c r="J227">
        <f si="42" t="shared"/>
        <v>275723</v>
      </c>
      <c r="N227" t="s">
        <v>28</v>
      </c>
      <c r="O227" s="60" t="n">
        <v>186545.0</v>
      </c>
      <c r="P227" s="60" t="n">
        <v>17311.0</v>
      </c>
      <c r="Q227" s="60" t="n">
        <v>26652.0</v>
      </c>
      <c r="R227" s="60" t="n">
        <v>19938.0</v>
      </c>
      <c r="S227" s="60" t="n">
        <v>5704.0</v>
      </c>
      <c r="T227" s="60" t="n">
        <v>4050.0</v>
      </c>
      <c r="U227" s="60" t="n">
        <v>15559.0</v>
      </c>
      <c r="V227" s="60" t="n">
        <v>0.0</v>
      </c>
      <c r="W227">
        <f si="43" t="shared"/>
        <v>275723</v>
      </c>
    </row>
    <row r="228" spans="1:23" x14ac:dyDescent="0.2">
      <c r="A228" t="s">
        <v>29</v>
      </c>
      <c r="B228">
        <f si="42" t="shared"/>
        <v>95430</v>
      </c>
      <c r="C228">
        <f si="42" t="shared"/>
        <v>12873</v>
      </c>
      <c r="D228">
        <f si="42" t="shared"/>
        <v>17810</v>
      </c>
      <c r="E228">
        <f si="42" t="shared"/>
        <v>19740</v>
      </c>
      <c r="F228">
        <f si="42" t="shared"/>
        <v>3280</v>
      </c>
      <c r="G228">
        <f si="42" t="shared"/>
        <v>10165</v>
      </c>
      <c r="H228">
        <f si="42" t="shared"/>
        <v>51127</v>
      </c>
      <c r="I228">
        <f si="42" t="shared"/>
        <v>0</v>
      </c>
      <c r="J228">
        <f si="42" t="shared"/>
        <v>210425</v>
      </c>
      <c r="N228" t="s">
        <v>29</v>
      </c>
      <c r="O228" s="60" t="n">
        <v>95543.0</v>
      </c>
      <c r="P228" s="60" t="n">
        <v>12455.0</v>
      </c>
      <c r="Q228" s="60" t="n">
        <v>17370.0</v>
      </c>
      <c r="R228" s="60" t="n">
        <v>19173.0</v>
      </c>
      <c r="S228" s="60" t="n">
        <v>3145.0</v>
      </c>
      <c r="T228" s="60" t="n">
        <v>10321.0</v>
      </c>
      <c r="U228" s="60" t="n">
        <v>51143.0</v>
      </c>
      <c r="V228" s="60" t="n">
        <v>0.0</v>
      </c>
      <c r="W228">
        <f si="43" t="shared"/>
        <v>210425</v>
      </c>
    </row>
    <row r="230" spans="1:23" x14ac:dyDescent="0.2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2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2">
      <c r="A232" t="s">
        <v>23</v>
      </c>
      <c r="B232">
        <f ref="B232:F238" si="44" t="shared">O232*$B$1</f>
        <v>2446</v>
      </c>
      <c r="C232">
        <f si="44" t="shared"/>
        <v>21345</v>
      </c>
      <c r="D232">
        <f si="44" t="shared"/>
        <v>23333</v>
      </c>
      <c r="E232">
        <f si="44" t="shared"/>
        <v>119461</v>
      </c>
      <c r="F232">
        <f si="44" t="shared"/>
        <v>166585</v>
      </c>
      <c r="N232" t="s">
        <v>23</v>
      </c>
      <c r="O232" s="60" t="n">
        <v>2505.0</v>
      </c>
      <c r="P232" s="60" t="n">
        <v>21718.0</v>
      </c>
      <c r="Q232" s="60" t="n">
        <v>23890.0</v>
      </c>
      <c r="R232" s="60" t="n">
        <v>121256.0</v>
      </c>
      <c r="S232">
        <f ref="S232:S238" si="45" t="shared">SUM(O232:R232)</f>
        <v>166585</v>
      </c>
    </row>
    <row r="233" spans="1:23" x14ac:dyDescent="0.2">
      <c r="A233" t="s">
        <v>24</v>
      </c>
      <c r="B233">
        <f si="44" t="shared"/>
        <v>1514</v>
      </c>
      <c r="C233">
        <f si="44" t="shared"/>
        <v>6040</v>
      </c>
      <c r="D233">
        <f si="44" t="shared"/>
        <v>4414</v>
      </c>
      <c r="E233">
        <f si="44" t="shared"/>
        <v>24135</v>
      </c>
      <c r="F233">
        <f si="44" t="shared"/>
        <v>36103</v>
      </c>
      <c r="N233" t="s">
        <v>24</v>
      </c>
      <c r="O233" s="60" t="n">
        <v>1388.0</v>
      </c>
      <c r="P233" s="60" t="n">
        <v>6060.0</v>
      </c>
      <c r="Q233" s="60" t="n">
        <v>4424.0</v>
      </c>
      <c r="R233" s="60" t="n">
        <v>24456.0</v>
      </c>
      <c r="S233">
        <f si="45" t="shared"/>
        <v>36103</v>
      </c>
    </row>
    <row r="234" spans="1:23" x14ac:dyDescent="0.2">
      <c r="A234" t="s">
        <v>25</v>
      </c>
      <c r="B234">
        <f si="44" t="shared"/>
        <v>6689</v>
      </c>
      <c r="C234">
        <f si="44" t="shared"/>
        <v>29918</v>
      </c>
      <c r="D234">
        <f si="44" t="shared"/>
        <v>27314</v>
      </c>
      <c r="E234">
        <f si="44" t="shared"/>
        <v>146117</v>
      </c>
      <c r="F234">
        <f si="44" t="shared"/>
        <v>210038</v>
      </c>
      <c r="N234" t="s">
        <v>25</v>
      </c>
      <c r="O234" s="60" t="n">
        <v>6644.0</v>
      </c>
      <c r="P234" s="60" t="n">
        <v>29914.0</v>
      </c>
      <c r="Q234" s="60" t="n">
        <v>27172.0</v>
      </c>
      <c r="R234" s="60" t="n">
        <v>146724.0</v>
      </c>
      <c r="S234">
        <f si="45" t="shared"/>
        <v>210038</v>
      </c>
    </row>
    <row r="235" spans="1:23" x14ac:dyDescent="0.2">
      <c r="A235" t="s">
        <v>249</v>
      </c>
      <c r="B235">
        <f si="44" t="shared"/>
        <v>19198</v>
      </c>
      <c r="C235">
        <f si="44" t="shared"/>
        <v>78159</v>
      </c>
      <c r="D235">
        <f si="44" t="shared"/>
        <v>69968</v>
      </c>
      <c r="E235">
        <f si="44" t="shared"/>
        <v>300688</v>
      </c>
      <c r="F235">
        <f si="44" t="shared"/>
        <v>468013</v>
      </c>
      <c r="N235" t="s">
        <v>249</v>
      </c>
      <c r="O235" s="60" t="n">
        <v>18654.0</v>
      </c>
      <c r="P235" s="60" t="n">
        <v>77241.0</v>
      </c>
      <c r="Q235" s="60" t="n">
        <v>69777.0</v>
      </c>
      <c r="R235" s="60" t="n">
        <v>299764.0</v>
      </c>
      <c r="S235">
        <f si="45" t="shared"/>
        <v>468013</v>
      </c>
    </row>
    <row r="236" spans="1:23" x14ac:dyDescent="0.2">
      <c r="A236" t="s">
        <v>27</v>
      </c>
      <c r="B236">
        <f si="44" t="shared"/>
        <v>15820</v>
      </c>
      <c r="C236">
        <f si="44" t="shared"/>
        <v>60614</v>
      </c>
      <c r="D236">
        <f si="44" t="shared"/>
        <v>52628</v>
      </c>
      <c r="E236">
        <f si="44" t="shared"/>
        <v>206011</v>
      </c>
      <c r="F236">
        <f si="44" t="shared"/>
        <v>335073</v>
      </c>
      <c r="N236" t="s">
        <v>27</v>
      </c>
      <c r="O236" s="60" t="n">
        <v>15209.0</v>
      </c>
      <c r="P236" s="60" t="n">
        <v>58991.0</v>
      </c>
      <c r="Q236" s="60" t="n">
        <v>51674.0</v>
      </c>
      <c r="R236" s="60" t="n">
        <v>202750.0</v>
      </c>
      <c r="S236">
        <f si="45" t="shared"/>
        <v>335073</v>
      </c>
    </row>
    <row r="237" spans="1:23" x14ac:dyDescent="0.2">
      <c r="A237" t="s">
        <v>28</v>
      </c>
      <c r="B237">
        <f si="44" t="shared"/>
        <v>8066</v>
      </c>
      <c r="C237">
        <f si="44" t="shared"/>
        <v>39015</v>
      </c>
      <c r="D237">
        <f si="44" t="shared"/>
        <v>42029</v>
      </c>
      <c r="E237">
        <f si="44" t="shared"/>
        <v>186578</v>
      </c>
      <c r="F237">
        <f si="44" t="shared"/>
        <v>275688</v>
      </c>
      <c r="N237" t="s">
        <v>28</v>
      </c>
      <c r="O237" s="60" t="n">
        <v>7765.0</v>
      </c>
      <c r="P237" s="60" t="n">
        <v>38730.0</v>
      </c>
      <c r="Q237" s="60" t="n">
        <v>41897.0</v>
      </c>
      <c r="R237" s="60" t="n">
        <v>187329.0</v>
      </c>
      <c r="S237">
        <f si="45" t="shared"/>
        <v>275688</v>
      </c>
    </row>
    <row r="238" spans="1:23" x14ac:dyDescent="0.2">
      <c r="A238" t="s">
        <v>29</v>
      </c>
      <c r="B238">
        <f si="44" t="shared"/>
        <v>6249</v>
      </c>
      <c r="C238">
        <f si="44" t="shared"/>
        <v>29263</v>
      </c>
      <c r="D238">
        <f si="44" t="shared"/>
        <v>27941</v>
      </c>
      <c r="E238">
        <f si="44" t="shared"/>
        <v>146954</v>
      </c>
      <c r="F238">
        <f si="44" t="shared"/>
        <v>210407</v>
      </c>
      <c r="N238" t="s">
        <v>29</v>
      </c>
      <c r="O238" s="60" t="n">
        <v>6172.0</v>
      </c>
      <c r="P238" s="60" t="n">
        <v>28590.0</v>
      </c>
      <c r="Q238" s="60" t="n">
        <v>27648.0</v>
      </c>
      <c r="R238" s="60" t="n">
        <v>146724.0</v>
      </c>
      <c r="S238">
        <f si="45" t="shared"/>
        <v>210407</v>
      </c>
    </row>
    <row r="240" spans="1:23" x14ac:dyDescent="0.2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2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2">
      <c r="A242" t="s">
        <v>23</v>
      </c>
      <c r="B242">
        <f ref="B242:F248" si="46" t="shared">O242*$B$1</f>
        <v>1586</v>
      </c>
      <c r="C242">
        <f si="46" t="shared"/>
        <v>21533</v>
      </c>
      <c r="D242">
        <f si="46" t="shared"/>
        <v>108232</v>
      </c>
      <c r="E242">
        <f si="46" t="shared"/>
        <v>35252</v>
      </c>
      <c r="F242">
        <f si="46" t="shared"/>
        <v>166603</v>
      </c>
      <c r="N242" t="s">
        <v>23</v>
      </c>
      <c r="O242" s="60" t="n">
        <v>1595.0</v>
      </c>
      <c r="P242" s="60" t="n">
        <v>20512.0</v>
      </c>
      <c r="Q242" s="60" t="n">
        <v>111349.0</v>
      </c>
      <c r="R242" s="60" t="n">
        <v>35930.0</v>
      </c>
      <c r="S242">
        <f ref="S242:S248" si="47" t="shared">SUM(O242:R242)</f>
        <v>166603</v>
      </c>
    </row>
    <row r="243" spans="1:25" x14ac:dyDescent="0.2">
      <c r="A243" t="s">
        <v>24</v>
      </c>
      <c r="B243">
        <f si="46" t="shared"/>
        <v>497</v>
      </c>
      <c r="C243">
        <f si="46" t="shared"/>
        <v>6890</v>
      </c>
      <c r="D243">
        <f si="46" t="shared"/>
        <v>22394</v>
      </c>
      <c r="E243">
        <f si="46" t="shared"/>
        <v>6323</v>
      </c>
      <c r="F243">
        <f si="46" t="shared"/>
        <v>36104</v>
      </c>
      <c r="N243" t="s">
        <v>24</v>
      </c>
      <c r="O243" s="60" t="n">
        <v>327.0</v>
      </c>
      <c r="P243" s="60" t="n">
        <v>6974.0</v>
      </c>
      <c r="Q243" s="60" t="n">
        <v>22618.0</v>
      </c>
      <c r="R243" s="60" t="n">
        <v>6412.0</v>
      </c>
      <c r="S243">
        <f si="47" t="shared"/>
        <v>36104</v>
      </c>
    </row>
    <row r="244" spans="1:25" x14ac:dyDescent="0.2">
      <c r="A244" t="s">
        <v>25</v>
      </c>
      <c r="B244">
        <f si="46" t="shared"/>
        <v>4341</v>
      </c>
      <c r="C244">
        <f si="46" t="shared"/>
        <v>34155</v>
      </c>
      <c r="D244">
        <f si="46" t="shared"/>
        <v>132027</v>
      </c>
      <c r="E244">
        <f si="46" t="shared"/>
        <v>39535</v>
      </c>
      <c r="F244">
        <f si="46" t="shared"/>
        <v>210058</v>
      </c>
      <c r="N244" t="s">
        <v>25</v>
      </c>
      <c r="O244" s="60" t="n">
        <v>4259.0</v>
      </c>
      <c r="P244" s="60" t="n">
        <v>32501.0</v>
      </c>
      <c r="Q244" s="60" t="n">
        <v>133766.0</v>
      </c>
      <c r="R244" s="60" t="n">
        <v>39942.0</v>
      </c>
      <c r="S244">
        <f si="47" t="shared"/>
        <v>210058</v>
      </c>
    </row>
    <row r="245" spans="1:25" x14ac:dyDescent="0.2">
      <c r="A245" t="s">
        <v>249</v>
      </c>
      <c r="B245">
        <f si="46" t="shared"/>
        <v>11482</v>
      </c>
      <c r="C245">
        <f si="46" t="shared"/>
        <v>72322</v>
      </c>
      <c r="D245">
        <f si="46" t="shared"/>
        <v>295402</v>
      </c>
      <c r="E245">
        <f si="46" t="shared"/>
        <v>88870</v>
      </c>
      <c r="F245">
        <f si="46" t="shared"/>
        <v>468076</v>
      </c>
      <c r="N245" t="s">
        <v>249</v>
      </c>
      <c r="O245" s="60" t="n">
        <v>11048.0</v>
      </c>
      <c r="P245" s="60" t="n">
        <v>68489.0</v>
      </c>
      <c r="Q245" s="60" t="n">
        <v>296921.0</v>
      </c>
      <c r="R245" s="60" t="n">
        <v>89041.0</v>
      </c>
      <c r="S245">
        <f si="47" t="shared"/>
        <v>468076</v>
      </c>
    </row>
    <row r="246" spans="1:25" x14ac:dyDescent="0.2">
      <c r="A246" t="s">
        <v>27</v>
      </c>
      <c r="B246">
        <f si="46" t="shared"/>
        <v>8767</v>
      </c>
      <c r="C246">
        <f si="46" t="shared"/>
        <v>50027</v>
      </c>
      <c r="D246">
        <f si="46" t="shared"/>
        <v>212772</v>
      </c>
      <c r="E246">
        <f si="46" t="shared"/>
        <v>63555</v>
      </c>
      <c r="F246">
        <f si="46" t="shared"/>
        <v>335121</v>
      </c>
      <c r="N246" t="s">
        <v>27</v>
      </c>
      <c r="O246" s="60" t="n">
        <v>8547.0</v>
      </c>
      <c r="P246" s="60" t="n">
        <v>46444.0</v>
      </c>
      <c r="Q246" s="60" t="n">
        <v>210620.0</v>
      </c>
      <c r="R246" s="60" t="n">
        <v>63061.0</v>
      </c>
      <c r="S246">
        <f si="47" t="shared"/>
        <v>335121</v>
      </c>
    </row>
    <row r="247" spans="1:25" x14ac:dyDescent="0.2">
      <c r="A247" t="s">
        <v>28</v>
      </c>
      <c r="B247">
        <f si="46" t="shared"/>
        <v>4656</v>
      </c>
      <c r="C247">
        <f si="46" t="shared"/>
        <v>36674</v>
      </c>
      <c r="D247">
        <f si="46" t="shared"/>
        <v>178992</v>
      </c>
      <c r="E247">
        <f si="46" t="shared"/>
        <v>55401</v>
      </c>
      <c r="F247">
        <f si="46" t="shared"/>
        <v>275723</v>
      </c>
      <c r="N247" t="s">
        <v>28</v>
      </c>
      <c r="O247" s="60" t="n">
        <v>4387.0</v>
      </c>
      <c r="P247" s="60" t="n">
        <v>34539.0</v>
      </c>
      <c r="Q247" s="60" t="n">
        <v>181067.0</v>
      </c>
      <c r="R247" s="60" t="n">
        <v>55766.0</v>
      </c>
      <c r="S247">
        <f si="47" t="shared"/>
        <v>275723</v>
      </c>
    </row>
    <row r="248" spans="1:25" x14ac:dyDescent="0.2">
      <c r="A248" t="s">
        <v>29</v>
      </c>
      <c r="B248">
        <f si="46" t="shared"/>
        <v>3244</v>
      </c>
      <c r="C248">
        <f si="46" t="shared"/>
        <v>31498</v>
      </c>
      <c r="D248">
        <f si="46" t="shared"/>
        <v>134731</v>
      </c>
      <c r="E248">
        <f si="46" t="shared"/>
        <v>40952</v>
      </c>
      <c r="F248">
        <f si="46" t="shared"/>
        <v>210425</v>
      </c>
      <c r="N248" t="s">
        <v>29</v>
      </c>
      <c r="O248" s="60" t="n">
        <v>3047.0</v>
      </c>
      <c r="P248" s="60" t="n">
        <v>29965.0</v>
      </c>
      <c r="Q248" s="60" t="n">
        <v>135529.0</v>
      </c>
      <c r="R248" s="60" t="n">
        <v>40609.0</v>
      </c>
      <c r="S248">
        <f si="47" t="shared"/>
        <v>210425</v>
      </c>
    </row>
    <row r="250" spans="1:25" x14ac:dyDescent="0.2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2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2">
      <c r="A252" t="s">
        <v>23</v>
      </c>
      <c r="B252">
        <f ref="B252:L258" si="48" t="shared">O252*$B$1</f>
        <v>67548</v>
      </c>
      <c r="C252">
        <f si="48" t="shared"/>
        <v>8607</v>
      </c>
      <c r="D252">
        <f si="48" t="shared"/>
        <v>6373</v>
      </c>
      <c r="E252">
        <f si="48" t="shared"/>
        <v>31274</v>
      </c>
      <c r="F252">
        <f si="48" t="shared"/>
        <v>17498</v>
      </c>
      <c r="G252">
        <f si="48" t="shared"/>
        <v>21218</v>
      </c>
      <c r="H252">
        <f si="48" t="shared"/>
        <v>14085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166603</v>
      </c>
      <c r="N252" t="s">
        <v>23</v>
      </c>
      <c r="O252" s="60" t="n">
        <v>68646.0</v>
      </c>
      <c r="P252" s="60" t="n">
        <v>8746.0</v>
      </c>
      <c r="Q252" s="60" t="n">
        <v>6479.0</v>
      </c>
      <c r="R252" s="60" t="n">
        <v>31770.0</v>
      </c>
      <c r="S252" t="n">
        <v>17810.0</v>
      </c>
      <c r="T252" t="n">
        <v>21641.0</v>
      </c>
      <c r="U252" t="n">
        <v>14294.0</v>
      </c>
      <c r="V252" t="n">
        <v>0.0</v>
      </c>
      <c r="W252" t="n">
        <v>0.0</v>
      </c>
      <c r="X252" t="n">
        <v>0.0</v>
      </c>
      <c r="Y252">
        <f ref="Y252:Y258" si="49" t="shared">SUM(O252:X252)</f>
        <v>166603</v>
      </c>
    </row>
    <row r="253" spans="1:25" x14ac:dyDescent="0.2">
      <c r="A253" t="s">
        <v>24</v>
      </c>
      <c r="B253">
        <f si="48" t="shared"/>
        <v>11786</v>
      </c>
      <c r="C253">
        <f si="48" t="shared"/>
        <v>2084</v>
      </c>
      <c r="D253">
        <f si="48" t="shared"/>
        <v>1409</v>
      </c>
      <c r="E253">
        <f si="48" t="shared"/>
        <v>7876</v>
      </c>
      <c r="F253">
        <f si="48" t="shared"/>
        <v>3914</v>
      </c>
      <c r="G253">
        <f si="48" t="shared"/>
        <v>5921</v>
      </c>
      <c r="H253">
        <f si="48" t="shared"/>
        <v>3114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36104</v>
      </c>
      <c r="N253" t="s">
        <v>24</v>
      </c>
      <c r="O253" s="60" t="n">
        <v>11377.0</v>
      </c>
      <c r="P253" s="60" t="n">
        <v>2080.0</v>
      </c>
      <c r="Q253" s="60" t="n">
        <v>1498.0</v>
      </c>
      <c r="R253" s="60" t="n">
        <v>8022.0</v>
      </c>
      <c r="S253" t="n">
        <v>4055.0</v>
      </c>
      <c r="T253" t="n">
        <v>6094.0</v>
      </c>
      <c r="U253" t="n">
        <v>3205.0</v>
      </c>
      <c r="V253" t="n">
        <v>0.0</v>
      </c>
      <c r="W253" t="n">
        <v>0.0</v>
      </c>
      <c r="X253" t="n">
        <v>0.0</v>
      </c>
      <c r="Y253">
        <f si="49" t="shared"/>
        <v>36104</v>
      </c>
    </row>
    <row r="254" spans="1:25" x14ac:dyDescent="0.2">
      <c r="A254" t="s">
        <v>25</v>
      </c>
      <c r="B254">
        <f si="48" t="shared"/>
        <v>76124</v>
      </c>
      <c r="C254">
        <f si="48" t="shared"/>
        <v>10978</v>
      </c>
      <c r="D254">
        <f si="48" t="shared"/>
        <v>8081</v>
      </c>
      <c r="E254">
        <f si="48" t="shared"/>
        <v>42417</v>
      </c>
      <c r="F254">
        <f si="48" t="shared"/>
        <v>23213</v>
      </c>
      <c r="G254">
        <f si="48" t="shared"/>
        <v>31127</v>
      </c>
      <c r="H254">
        <f si="48" t="shared"/>
        <v>18118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210058</v>
      </c>
      <c r="N254" t="s">
        <v>25</v>
      </c>
      <c r="O254" s="60" t="n">
        <v>76238.0</v>
      </c>
      <c r="P254" s="60" t="n">
        <v>11065.0</v>
      </c>
      <c r="Q254" s="60" t="n">
        <v>8094.0</v>
      </c>
      <c r="R254" s="60" t="n">
        <v>42283.0</v>
      </c>
      <c r="S254" t="n">
        <v>23327.0</v>
      </c>
      <c r="T254" t="n">
        <v>31237.0</v>
      </c>
      <c r="U254" t="n">
        <v>18224.0</v>
      </c>
      <c r="V254" t="n">
        <v>0.0</v>
      </c>
      <c r="W254" t="n">
        <v>0.0</v>
      </c>
      <c r="X254" t="n">
        <v>0.0</v>
      </c>
      <c r="Y254">
        <f si="49" t="shared"/>
        <v>210058</v>
      </c>
    </row>
    <row r="255" spans="1:25" x14ac:dyDescent="0.2">
      <c r="A255" t="s">
        <v>249</v>
      </c>
      <c r="B255">
        <f si="48" t="shared"/>
        <v>169446</v>
      </c>
      <c r="C255">
        <f si="48" t="shared"/>
        <v>28367</v>
      </c>
      <c r="D255">
        <f si="48" t="shared"/>
        <v>20435</v>
      </c>
      <c r="E255">
        <f si="48" t="shared"/>
        <v>87484</v>
      </c>
      <c r="F255">
        <f si="48" t="shared"/>
        <v>53587</v>
      </c>
      <c r="G255">
        <f si="48" t="shared"/>
        <v>66043</v>
      </c>
      <c r="H255">
        <f si="48" t="shared"/>
        <v>42714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468076</v>
      </c>
      <c r="N255" t="s">
        <v>249</v>
      </c>
      <c r="O255" s="60" t="n">
        <v>168493.0</v>
      </c>
      <c r="P255" s="60" t="n">
        <v>28251.0</v>
      </c>
      <c r="Q255" s="60" t="n">
        <v>20151.0</v>
      </c>
      <c r="R255" s="60" t="n">
        <v>87124.0</v>
      </c>
      <c r="S255" t="n">
        <v>53375.0</v>
      </c>
      <c r="T255" t="n">
        <v>65833.0</v>
      </c>
      <c r="U255" t="n">
        <v>42272.0</v>
      </c>
      <c r="V255" t="n">
        <v>0.0</v>
      </c>
      <c r="W255" t="n">
        <v>0.0</v>
      </c>
      <c r="X255" t="n">
        <v>0.0</v>
      </c>
      <c r="Y255">
        <f si="49" t="shared"/>
        <v>468076</v>
      </c>
    </row>
    <row r="256" spans="1:25" x14ac:dyDescent="0.2">
      <c r="A256" t="s">
        <v>27</v>
      </c>
      <c r="B256">
        <f si="48" t="shared"/>
        <v>125178</v>
      </c>
      <c r="C256">
        <f si="48" t="shared"/>
        <v>20028</v>
      </c>
      <c r="D256">
        <f si="48" t="shared"/>
        <v>13938</v>
      </c>
      <c r="E256">
        <f si="48" t="shared"/>
        <v>62152</v>
      </c>
      <c r="F256">
        <f si="48" t="shared"/>
        <v>37946</v>
      </c>
      <c r="G256">
        <f si="48" t="shared"/>
        <v>46332</v>
      </c>
      <c r="H256">
        <f si="48" t="shared"/>
        <v>29547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335121</v>
      </c>
      <c r="N256" t="s">
        <v>27</v>
      </c>
      <c r="O256" s="60" t="n">
        <v>122623.0</v>
      </c>
      <c r="P256" s="60" t="n">
        <v>19638.0</v>
      </c>
      <c r="Q256" s="60" t="n">
        <v>13834.0</v>
      </c>
      <c r="R256" s="60" t="n">
        <v>60680.0</v>
      </c>
      <c r="S256" t="n">
        <v>37223.0</v>
      </c>
      <c r="T256" t="n">
        <v>45517.0</v>
      </c>
      <c r="U256" t="n">
        <v>29157.0</v>
      </c>
      <c r="V256" t="n">
        <v>0.0</v>
      </c>
      <c r="W256" t="n">
        <v>0.0</v>
      </c>
      <c r="X256" t="n">
        <v>0.0</v>
      </c>
      <c r="Y256">
        <f si="49" t="shared"/>
        <v>335121</v>
      </c>
    </row>
    <row r="257" spans="1:25" x14ac:dyDescent="0.2">
      <c r="A257" t="s">
        <v>28</v>
      </c>
      <c r="B257">
        <f si="48" t="shared"/>
        <v>101355</v>
      </c>
      <c r="C257">
        <f si="48" t="shared"/>
        <v>16559</v>
      </c>
      <c r="D257">
        <f si="48" t="shared"/>
        <v>11969</v>
      </c>
      <c r="E257">
        <f si="48" t="shared"/>
        <v>52011</v>
      </c>
      <c r="F257">
        <f si="48" t="shared"/>
        <v>31200</v>
      </c>
      <c r="G257">
        <f si="48" t="shared"/>
        <v>37487</v>
      </c>
      <c r="H257">
        <f si="48" t="shared"/>
        <v>25142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275723</v>
      </c>
      <c r="N257" t="s">
        <v>28</v>
      </c>
      <c r="O257" s="60" t="n">
        <v>101370.0</v>
      </c>
      <c r="P257" s="60" t="n">
        <v>16334.0</v>
      </c>
      <c r="Q257" s="60" t="n">
        <v>11947.0</v>
      </c>
      <c r="R257" s="60" t="n">
        <v>52383.0</v>
      </c>
      <c r="S257" t="n">
        <v>31196.0</v>
      </c>
      <c r="T257" t="n">
        <v>37592.0</v>
      </c>
      <c r="U257" t="n">
        <v>24937.0</v>
      </c>
      <c r="V257" t="n">
        <v>0.0</v>
      </c>
      <c r="W257" t="n">
        <v>0.0</v>
      </c>
      <c r="X257" t="n">
        <v>0.0</v>
      </c>
      <c r="Y257">
        <f si="49" t="shared"/>
        <v>275723</v>
      </c>
    </row>
    <row r="258" spans="1:25" x14ac:dyDescent="0.2">
      <c r="A258" t="s">
        <v>29</v>
      </c>
      <c r="B258">
        <f si="48" t="shared"/>
        <v>69108</v>
      </c>
      <c r="C258">
        <f si="48" t="shared"/>
        <v>13571</v>
      </c>
      <c r="D258">
        <f si="48" t="shared"/>
        <v>9691</v>
      </c>
      <c r="E258">
        <f si="48" t="shared"/>
        <v>40869</v>
      </c>
      <c r="F258">
        <f si="48" t="shared"/>
        <v>25020</v>
      </c>
      <c r="G258">
        <f si="48" t="shared"/>
        <v>32315</v>
      </c>
      <c r="H258">
        <f si="48" t="shared"/>
        <v>19851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210425</v>
      </c>
      <c r="N258" t="s">
        <v>29</v>
      </c>
      <c r="O258" s="60" t="n">
        <v>68429.0</v>
      </c>
      <c r="P258" s="60" t="n">
        <v>13642.0</v>
      </c>
      <c r="Q258" s="60" t="n">
        <v>9611.0</v>
      </c>
      <c r="R258" s="60" t="n">
        <v>40599.0</v>
      </c>
      <c r="S258" t="n">
        <v>24919.0</v>
      </c>
      <c r="T258" t="n">
        <v>32080.0</v>
      </c>
      <c r="U258" t="n">
        <v>19870.0</v>
      </c>
      <c r="V258" t="n">
        <v>0.0</v>
      </c>
      <c r="W258" t="n">
        <v>0.0</v>
      </c>
      <c r="X258" t="n">
        <v>0.0</v>
      </c>
      <c r="Y258">
        <f si="49" t="shared"/>
        <v>210425</v>
      </c>
    </row>
    <row r="260" spans="1:25" x14ac:dyDescent="0.2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2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2">
      <c r="A262" t="s">
        <v>23</v>
      </c>
      <c r="B262">
        <f ref="B262:J269" si="50" t="shared">O262*$B$1</f>
        <v>839065</v>
      </c>
      <c r="C262">
        <f si="50" t="shared"/>
        <v>71521</v>
      </c>
      <c r="D262">
        <f si="50" t="shared"/>
        <v>0</v>
      </c>
      <c r="E262">
        <f si="50" t="shared"/>
        <v>0</v>
      </c>
      <c r="F262">
        <f si="50" t="shared"/>
        <v>16174</v>
      </c>
      <c r="G262">
        <f si="50" t="shared"/>
        <v>3182</v>
      </c>
      <c r="H262">
        <f si="50" t="shared"/>
        <v>0</v>
      </c>
      <c r="I262">
        <f si="50" t="shared"/>
        <v>0</v>
      </c>
      <c r="J262">
        <f si="50" t="shared"/>
        <v>929942</v>
      </c>
      <c r="N262" t="s">
        <v>23</v>
      </c>
      <c r="O262" s="60" t="n">
        <v>848008.0</v>
      </c>
      <c r="P262" s="60" t="n">
        <v>73180.0</v>
      </c>
      <c r="Q262" s="60" t="n">
        <v>0.0</v>
      </c>
      <c r="R262" s="60" t="n">
        <v>0.0</v>
      </c>
      <c r="S262" s="60" t="n">
        <v>16469.0</v>
      </c>
      <c r="T262" s="60" t="n">
        <v>3461.0</v>
      </c>
      <c r="U262" s="60" t="n">
        <v>0.0</v>
      </c>
      <c r="V262" s="60" t="n">
        <v>0.0</v>
      </c>
      <c r="W262">
        <f ref="W262:W269" si="51" t="shared">SUM(O262:V262)</f>
        <v>929942</v>
      </c>
    </row>
    <row r="263" spans="1:25" x14ac:dyDescent="0.2">
      <c r="A263" t="s">
        <v>24</v>
      </c>
      <c r="B263">
        <f si="50" t="shared"/>
        <v>11632</v>
      </c>
      <c r="C263">
        <f si="50" t="shared"/>
        <v>0</v>
      </c>
      <c r="D263">
        <f si="50" t="shared"/>
        <v>0</v>
      </c>
      <c r="E263">
        <f si="50" t="shared"/>
        <v>0</v>
      </c>
      <c r="F263">
        <f si="50" t="shared"/>
        <v>15195</v>
      </c>
      <c r="G263">
        <f si="50" t="shared"/>
        <v>36129</v>
      </c>
      <c r="H263">
        <f si="50" t="shared"/>
        <v>184135</v>
      </c>
      <c r="I263">
        <f si="50" t="shared"/>
        <v>0</v>
      </c>
      <c r="J263">
        <f si="50" t="shared"/>
        <v>247091</v>
      </c>
      <c r="N263" t="s">
        <v>24</v>
      </c>
      <c r="O263" s="60" t="n">
        <v>11431.0</v>
      </c>
      <c r="P263" s="60" t="n">
        <v>0.0</v>
      </c>
      <c r="Q263" s="60" t="n">
        <v>0.0</v>
      </c>
      <c r="R263" s="60" t="n">
        <v>0.0</v>
      </c>
      <c r="S263" s="60" t="n">
        <v>15103.0</v>
      </c>
      <c r="T263" s="60" t="n">
        <v>36692.0</v>
      </c>
      <c r="U263" s="60" t="n">
        <v>184047.0</v>
      </c>
      <c r="V263" s="60" t="n">
        <v>0.0</v>
      </c>
      <c r="W263">
        <f si="51" t="shared"/>
        <v>247091</v>
      </c>
    </row>
    <row r="264" spans="1:25" x14ac:dyDescent="0.2">
      <c r="A264" t="s">
        <v>25</v>
      </c>
      <c r="B264">
        <f si="50" t="shared"/>
        <v>227396</v>
      </c>
      <c r="C264">
        <f si="50" t="shared"/>
        <v>43758</v>
      </c>
      <c r="D264">
        <f si="50" t="shared"/>
        <v>20386</v>
      </c>
      <c r="E264">
        <f si="50" t="shared"/>
        <v>84112</v>
      </c>
      <c r="F264">
        <f si="50" t="shared"/>
        <v>10507</v>
      </c>
      <c r="G264">
        <f si="50" t="shared"/>
        <v>7345</v>
      </c>
      <c r="H264">
        <f si="50" t="shared"/>
        <v>29515</v>
      </c>
      <c r="I264">
        <f si="50" t="shared"/>
        <v>0</v>
      </c>
      <c r="J264">
        <f si="50" t="shared"/>
        <v>423019</v>
      </c>
      <c r="N264" t="s">
        <v>25</v>
      </c>
      <c r="O264" s="60" t="n">
        <v>227659.0</v>
      </c>
      <c r="P264" s="60" t="n">
        <v>43671.0</v>
      </c>
      <c r="Q264" s="60" t="n">
        <v>20108.0</v>
      </c>
      <c r="R264" s="60" t="n">
        <v>82980.0</v>
      </c>
      <c r="S264" s="60" t="n">
        <v>10540.0</v>
      </c>
      <c r="T264" s="60" t="n">
        <v>6788.0</v>
      </c>
      <c r="U264" s="60" t="n">
        <v>28702.0</v>
      </c>
      <c r="V264" s="60" t="n">
        <v>0.0</v>
      </c>
      <c r="W264">
        <f si="51" t="shared"/>
        <v>423019</v>
      </c>
    </row>
    <row r="265" spans="1:25" x14ac:dyDescent="0.2">
      <c r="A265" t="s">
        <v>249</v>
      </c>
      <c r="B265">
        <f si="50" t="shared"/>
        <v>311052</v>
      </c>
      <c r="C265">
        <f si="50" t="shared"/>
        <v>52880</v>
      </c>
      <c r="D265">
        <f si="50" t="shared"/>
        <v>136403</v>
      </c>
      <c r="E265">
        <f si="50" t="shared"/>
        <v>118809</v>
      </c>
      <c r="F265">
        <f si="50" t="shared"/>
        <v>12114</v>
      </c>
      <c r="G265">
        <f si="50" t="shared"/>
        <v>14236</v>
      </c>
      <c r="H265">
        <f si="50" t="shared"/>
        <v>44335</v>
      </c>
      <c r="I265">
        <f si="50" t="shared"/>
        <v>0</v>
      </c>
      <c r="J265">
        <f si="50" t="shared"/>
        <v>689829</v>
      </c>
      <c r="N265" t="s">
        <v>249</v>
      </c>
      <c r="O265" s="60" t="n">
        <v>309761.0</v>
      </c>
      <c r="P265" s="60" t="n">
        <v>52331.0</v>
      </c>
      <c r="Q265" s="60" t="n">
        <v>133276.0</v>
      </c>
      <c r="R265" s="60" t="n">
        <v>115655.0</v>
      </c>
      <c r="S265" s="60" t="n">
        <v>11715.0</v>
      </c>
      <c r="T265" s="60" t="n">
        <v>14617.0</v>
      </c>
      <c r="U265" s="60" t="n">
        <v>44202.0</v>
      </c>
      <c r="V265" s="60" t="n">
        <v>0.0</v>
      </c>
      <c r="W265">
        <f si="51" t="shared"/>
        <v>689829</v>
      </c>
    </row>
    <row r="266" spans="1:25" x14ac:dyDescent="0.2">
      <c r="A266" t="s">
        <v>27</v>
      </c>
      <c r="B266">
        <f si="50" t="shared"/>
        <v>186153</v>
      </c>
      <c r="C266">
        <f si="50" t="shared"/>
        <v>39871</v>
      </c>
      <c r="D266">
        <f si="50" t="shared"/>
        <v>87365</v>
      </c>
      <c r="E266">
        <f si="50" t="shared"/>
        <v>86487</v>
      </c>
      <c r="F266">
        <f si="50" t="shared"/>
        <v>12195</v>
      </c>
      <c r="G266">
        <f si="50" t="shared"/>
        <v>4753</v>
      </c>
      <c r="H266">
        <f si="50" t="shared"/>
        <v>20457</v>
      </c>
      <c r="I266">
        <f si="50" t="shared"/>
        <v>0</v>
      </c>
      <c r="J266">
        <f si="50" t="shared"/>
        <v>437281</v>
      </c>
      <c r="N266" t="s">
        <v>27</v>
      </c>
      <c r="O266" s="60" t="n">
        <v>180205.0</v>
      </c>
      <c r="P266" s="60" t="n">
        <v>38122.0</v>
      </c>
      <c r="Q266" s="60" t="n">
        <v>82343.0</v>
      </c>
      <c r="R266" s="60" t="n">
        <v>82300.0</v>
      </c>
      <c r="S266" s="60" t="n">
        <v>11109.0</v>
      </c>
      <c r="T266" s="60" t="n">
        <v>4390.0</v>
      </c>
      <c r="U266" s="60" t="n">
        <v>19487.0</v>
      </c>
      <c r="V266" s="60" t="n">
        <v>0.0</v>
      </c>
      <c r="W266">
        <f si="51" t="shared"/>
        <v>437281</v>
      </c>
    </row>
    <row r="267" spans="1:25" x14ac:dyDescent="0.2">
      <c r="A267" t="s">
        <v>28</v>
      </c>
      <c r="B267">
        <f si="50" t="shared"/>
        <v>165220</v>
      </c>
      <c r="C267">
        <f si="50" t="shared"/>
        <v>17849</v>
      </c>
      <c r="D267">
        <f si="50" t="shared"/>
        <v>37019</v>
      </c>
      <c r="E267">
        <f si="50" t="shared"/>
        <v>24809</v>
      </c>
      <c r="F267">
        <f si="50" t="shared"/>
        <v>7468</v>
      </c>
      <c r="G267">
        <f si="50" t="shared"/>
        <v>3283</v>
      </c>
      <c r="H267">
        <f si="50" t="shared"/>
        <v>14756</v>
      </c>
      <c r="I267">
        <f si="50" t="shared"/>
        <v>0</v>
      </c>
      <c r="J267">
        <f si="50" t="shared"/>
        <v>270404</v>
      </c>
      <c r="N267" t="s">
        <v>28</v>
      </c>
      <c r="O267" s="60" t="n">
        <v>162424.0</v>
      </c>
      <c r="P267" s="60" t="n">
        <v>17535.0</v>
      </c>
      <c r="Q267" s="60" t="n">
        <v>36005.0</v>
      </c>
      <c r="R267" s="60" t="n">
        <v>23601.0</v>
      </c>
      <c r="S267" s="60" t="n">
        <v>7261.0</v>
      </c>
      <c r="T267" s="60" t="n">
        <v>3753.0</v>
      </c>
      <c r="U267" s="60" t="n">
        <v>14725.0</v>
      </c>
      <c r="V267" s="60" t="n">
        <v>0.0</v>
      </c>
      <c r="W267">
        <f si="51" t="shared"/>
        <v>270404</v>
      </c>
    </row>
    <row r="268" spans="1:25" x14ac:dyDescent="0.2">
      <c r="A268" t="s">
        <v>29</v>
      </c>
      <c r="B268">
        <f si="50" t="shared"/>
        <v>145936</v>
      </c>
      <c r="C268">
        <f si="50" t="shared"/>
        <v>25425</v>
      </c>
      <c r="D268">
        <f si="50" t="shared"/>
        <v>46721</v>
      </c>
      <c r="E268">
        <f si="50" t="shared"/>
        <v>49650</v>
      </c>
      <c r="F268">
        <f si="50" t="shared"/>
        <v>8460</v>
      </c>
      <c r="G268">
        <f si="50" t="shared"/>
        <v>19546</v>
      </c>
      <c r="H268">
        <f si="50" t="shared"/>
        <v>84173</v>
      </c>
      <c r="I268">
        <f si="50" t="shared"/>
        <v>0</v>
      </c>
      <c r="J268">
        <f si="50" t="shared"/>
        <v>379911</v>
      </c>
      <c r="N268" t="s">
        <v>29</v>
      </c>
      <c r="O268" s="60" t="n">
        <v>143931.0</v>
      </c>
      <c r="P268" s="60" t="n">
        <v>24139.0</v>
      </c>
      <c r="Q268" s="60" t="n">
        <v>45483.0</v>
      </c>
      <c r="R268" s="60" t="n">
        <v>48558.0</v>
      </c>
      <c r="S268" s="60" t="n">
        <v>7960.0</v>
      </c>
      <c r="T268" s="60" t="n">
        <v>19242.0</v>
      </c>
      <c r="U268" s="60" t="n">
        <v>82602.0</v>
      </c>
      <c r="V268" s="60" t="n">
        <v>0.0</v>
      </c>
      <c r="W268">
        <f si="51" t="shared"/>
        <v>379911</v>
      </c>
    </row>
    <row r="269" spans="1:25" x14ac:dyDescent="0.2">
      <c r="A269" t="s">
        <v>38</v>
      </c>
      <c r="B269">
        <f si="50" t="shared"/>
        <v>935639</v>
      </c>
      <c r="C269">
        <f si="50" t="shared"/>
        <v>131841</v>
      </c>
      <c r="D269">
        <f si="50" t="shared"/>
        <v>186741</v>
      </c>
      <c r="E269">
        <f si="50" t="shared"/>
        <v>205238</v>
      </c>
      <c r="F269">
        <f si="50" t="shared"/>
        <v>53470</v>
      </c>
      <c r="G269">
        <f si="50" t="shared"/>
        <v>60605</v>
      </c>
      <c r="H269">
        <f si="50" t="shared"/>
        <v>263211</v>
      </c>
      <c r="I269">
        <f si="50" t="shared"/>
        <v>0</v>
      </c>
      <c r="J269">
        <f si="50" t="shared"/>
        <v>1836745</v>
      </c>
      <c r="N269" t="s">
        <v>38</v>
      </c>
      <c r="O269" s="60" t="n">
        <v>924372.0</v>
      </c>
      <c r="P269" s="60" t="n">
        <v>129129.0</v>
      </c>
      <c r="Q269" s="60" t="n">
        <v>179563.0</v>
      </c>
      <c r="R269" s="60" t="n">
        <v>198201.0</v>
      </c>
      <c r="S269" s="60" t="n">
        <v>51936.0</v>
      </c>
      <c r="T269" s="60" t="n">
        <v>60617.0</v>
      </c>
      <c r="U269" s="60" t="n">
        <v>260116.0</v>
      </c>
      <c r="V269" s="60" t="n">
        <v>0.0</v>
      </c>
      <c r="W269">
        <f si="51" t="shared"/>
        <v>1836745</v>
      </c>
    </row>
    <row r="271" spans="1:25" x14ac:dyDescent="0.2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2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2">
      <c r="A273" t="s">
        <v>23</v>
      </c>
      <c r="B273">
        <f ref="B273:F280" si="52" t="shared">O273*$B$1</f>
        <v>13639</v>
      </c>
      <c r="C273">
        <f si="52" t="shared"/>
        <v>118420</v>
      </c>
      <c r="D273">
        <f si="52" t="shared"/>
        <v>132087</v>
      </c>
      <c r="E273">
        <f si="52" t="shared"/>
        <v>665698</v>
      </c>
      <c r="F273">
        <f si="52" t="shared"/>
        <v>929844</v>
      </c>
      <c r="N273" t="s">
        <v>23</v>
      </c>
      <c r="O273" s="60" t="n">
        <v>13875.0</v>
      </c>
      <c r="P273" s="60" t="n">
        <v>119989.0</v>
      </c>
      <c r="Q273" s="60" t="n">
        <v>133554.0</v>
      </c>
      <c r="R273" s="60" t="n">
        <v>673607.0</v>
      </c>
      <c r="S273">
        <f ref="S273:S280" si="53" t="shared">SUM(O273:R273)</f>
        <v>929844</v>
      </c>
    </row>
    <row r="274" spans="1:19" x14ac:dyDescent="0.2">
      <c r="A274" t="s">
        <v>24</v>
      </c>
      <c r="B274">
        <f si="52" t="shared"/>
        <v>14767</v>
      </c>
      <c r="C274">
        <f si="52" t="shared"/>
        <v>47965</v>
      </c>
      <c r="D274">
        <f si="52" t="shared"/>
        <v>29385</v>
      </c>
      <c r="E274">
        <f si="52" t="shared"/>
        <v>154966</v>
      </c>
      <c r="F274">
        <f si="52" t="shared"/>
        <v>247083</v>
      </c>
      <c r="N274" t="s">
        <v>24</v>
      </c>
      <c r="O274" s="60" t="n">
        <v>14697.0</v>
      </c>
      <c r="P274" s="60" t="n">
        <v>48036.0</v>
      </c>
      <c r="Q274" s="60" t="n">
        <v>29340.0</v>
      </c>
      <c r="R274" s="60" t="n">
        <v>155190.0</v>
      </c>
      <c r="S274">
        <f si="53" t="shared"/>
        <v>247083</v>
      </c>
    </row>
    <row r="275" spans="1:19" x14ac:dyDescent="0.2">
      <c r="A275" t="s">
        <v>25</v>
      </c>
      <c r="B275">
        <f si="52" t="shared"/>
        <v>18460</v>
      </c>
      <c r="C275">
        <f si="52" t="shared"/>
        <v>67391</v>
      </c>
      <c r="D275">
        <f si="52" t="shared"/>
        <v>54872</v>
      </c>
      <c r="E275">
        <f si="52" t="shared"/>
        <v>282263</v>
      </c>
      <c r="F275">
        <f si="52" t="shared"/>
        <v>422986</v>
      </c>
      <c r="N275" t="s">
        <v>25</v>
      </c>
      <c r="O275" s="60" t="n">
        <v>18299.0</v>
      </c>
      <c r="P275" s="60" t="n">
        <v>66871.0</v>
      </c>
      <c r="Q275" s="60" t="n">
        <v>54305.0</v>
      </c>
      <c r="R275" s="60" t="n">
        <v>280951.0</v>
      </c>
      <c r="S275">
        <f si="53" t="shared"/>
        <v>422986</v>
      </c>
    </row>
    <row r="276" spans="1:19" x14ac:dyDescent="0.2">
      <c r="A276" t="s">
        <v>249</v>
      </c>
      <c r="B276">
        <f si="52" t="shared"/>
        <v>34080</v>
      </c>
      <c r="C276">
        <f si="52" t="shared"/>
        <v>128072</v>
      </c>
      <c r="D276">
        <f si="52" t="shared"/>
        <v>106841</v>
      </c>
      <c r="E276">
        <f si="52" t="shared"/>
        <v>420731</v>
      </c>
      <c r="F276">
        <f si="52" t="shared"/>
        <v>689724</v>
      </c>
      <c r="N276" t="s">
        <v>249</v>
      </c>
      <c r="O276" s="60" t="n">
        <v>33207.0</v>
      </c>
      <c r="P276" s="60" t="n">
        <v>125870.0</v>
      </c>
      <c r="Q276" s="60" t="n">
        <v>106272.0</v>
      </c>
      <c r="R276" s="60" t="n">
        <v>416105.0</v>
      </c>
      <c r="S276">
        <f si="53" t="shared"/>
        <v>689724</v>
      </c>
    </row>
    <row r="277" spans="1:19" x14ac:dyDescent="0.2">
      <c r="A277" t="s">
        <v>27</v>
      </c>
      <c r="B277">
        <f si="52" t="shared"/>
        <v>25450</v>
      </c>
      <c r="C277">
        <f si="52" t="shared"/>
        <v>86618</v>
      </c>
      <c r="D277">
        <f si="52" t="shared"/>
        <v>69674</v>
      </c>
      <c r="E277">
        <f si="52" t="shared"/>
        <v>255470</v>
      </c>
      <c r="F277">
        <f si="52" t="shared"/>
        <v>437212</v>
      </c>
      <c r="N277" t="s">
        <v>27</v>
      </c>
      <c r="O277" s="60" t="n">
        <v>24064.0</v>
      </c>
      <c r="P277" s="60" t="n">
        <v>82199.0</v>
      </c>
      <c r="Q277" s="60" t="n">
        <v>66722.0</v>
      </c>
      <c r="R277" s="60" t="n">
        <v>244900.0</v>
      </c>
      <c r="S277">
        <f si="53" t="shared"/>
        <v>437212</v>
      </c>
    </row>
    <row r="278" spans="1:19" x14ac:dyDescent="0.2">
      <c r="A278" t="s">
        <v>28</v>
      </c>
      <c r="B278">
        <f si="52" t="shared"/>
        <v>10309</v>
      </c>
      <c r="C278">
        <f si="52" t="shared"/>
        <v>42111</v>
      </c>
      <c r="D278">
        <f si="52" t="shared"/>
        <v>42152</v>
      </c>
      <c r="E278">
        <f si="52" t="shared"/>
        <v>175800</v>
      </c>
      <c r="F278">
        <f si="52" t="shared"/>
        <v>270372</v>
      </c>
      <c r="N278" t="s">
        <v>28</v>
      </c>
      <c r="O278" s="60" t="n">
        <v>9730.0</v>
      </c>
      <c r="P278" s="60" t="n">
        <v>41144.0</v>
      </c>
      <c r="Q278" s="60" t="n">
        <v>41022.0</v>
      </c>
      <c r="R278" s="60" t="n">
        <v>173372.0</v>
      </c>
      <c r="S278">
        <f si="53" t="shared"/>
        <v>270372</v>
      </c>
    </row>
    <row r="279" spans="1:19" x14ac:dyDescent="0.2">
      <c r="A279" t="s">
        <v>29</v>
      </c>
      <c r="B279">
        <f si="52" t="shared"/>
        <v>15575</v>
      </c>
      <c r="C279">
        <f si="52" t="shared"/>
        <v>58765</v>
      </c>
      <c r="D279">
        <f si="52" t="shared"/>
        <v>51836</v>
      </c>
      <c r="E279">
        <f si="52" t="shared"/>
        <v>253702</v>
      </c>
      <c r="F279">
        <f si="52" t="shared"/>
        <v>379878</v>
      </c>
      <c r="N279" t="s">
        <v>29</v>
      </c>
      <c r="O279" s="60" t="n">
        <v>15221.0</v>
      </c>
      <c r="P279" s="60" t="n">
        <v>57275.0</v>
      </c>
      <c r="Q279" s="60" t="n">
        <v>50719.0</v>
      </c>
      <c r="R279" s="60" t="n">
        <v>248664.0</v>
      </c>
      <c r="S279">
        <f si="53" t="shared"/>
        <v>379878</v>
      </c>
    </row>
    <row r="280" spans="1:19" x14ac:dyDescent="0.2">
      <c r="A280" t="s">
        <v>38</v>
      </c>
      <c r="B280">
        <f si="52" t="shared"/>
        <v>82351</v>
      </c>
      <c r="C280">
        <f si="52" t="shared"/>
        <v>314892</v>
      </c>
      <c r="D280">
        <f si="52" t="shared"/>
        <v>265414</v>
      </c>
      <c r="E280">
        <f si="52" t="shared"/>
        <v>1173879</v>
      </c>
      <c r="F280">
        <f si="52" t="shared"/>
        <v>1836536</v>
      </c>
      <c r="N280" t="s">
        <v>38</v>
      </c>
      <c r="O280" s="60" t="n">
        <v>79910.0</v>
      </c>
      <c r="P280" s="60" t="n">
        <v>308216.0</v>
      </c>
      <c r="Q280" s="60" t="n">
        <v>260419.0</v>
      </c>
      <c r="R280" s="60" t="n">
        <v>1155187.0</v>
      </c>
      <c r="S280">
        <f si="53" t="shared"/>
        <v>1836536</v>
      </c>
    </row>
    <row r="282" spans="1:19" x14ac:dyDescent="0.2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2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2">
      <c r="A284" t="s">
        <v>23</v>
      </c>
      <c r="B284">
        <f ref="B284:F291" si="54" t="shared">O284*$B$1</f>
        <v>7857</v>
      </c>
      <c r="C284">
        <f si="54" t="shared"/>
        <v>119517</v>
      </c>
      <c r="D284">
        <f si="54" t="shared"/>
        <v>606012</v>
      </c>
      <c r="E284">
        <f si="54" t="shared"/>
        <v>196556</v>
      </c>
      <c r="F284">
        <f si="54" t="shared"/>
        <v>929942</v>
      </c>
      <c r="N284" t="s">
        <v>23</v>
      </c>
      <c r="O284" s="60" t="n">
        <v>7959.0</v>
      </c>
      <c r="P284" s="60" t="n">
        <v>113195.0</v>
      </c>
      <c r="Q284" s="60" t="n">
        <v>619698.0</v>
      </c>
      <c r="R284" s="60" t="n">
        <v>200266.0</v>
      </c>
      <c r="S284">
        <f ref="S284:S291" si="55" t="shared">SUM(O284:R284)</f>
        <v>929942</v>
      </c>
    </row>
    <row r="285" spans="1:19" x14ac:dyDescent="0.2">
      <c r="A285" t="s">
        <v>24</v>
      </c>
      <c r="B285">
        <f si="54" t="shared"/>
        <v>6185</v>
      </c>
      <c r="C285">
        <f si="54" t="shared"/>
        <v>47893</v>
      </c>
      <c r="D285">
        <f si="54" t="shared"/>
        <v>150484</v>
      </c>
      <c r="E285">
        <f si="54" t="shared"/>
        <v>42529</v>
      </c>
      <c r="F285">
        <f si="54" t="shared"/>
        <v>247091</v>
      </c>
      <c r="N285" t="s">
        <v>24</v>
      </c>
      <c r="O285" s="60" t="n">
        <v>6042.0</v>
      </c>
      <c r="P285" s="60" t="n">
        <v>46635.0</v>
      </c>
      <c r="Q285" s="60" t="n">
        <v>151808.0</v>
      </c>
      <c r="R285" s="60" t="n">
        <v>42788.0</v>
      </c>
      <c r="S285">
        <f si="55" t="shared"/>
        <v>247091</v>
      </c>
    </row>
    <row r="286" spans="1:19" x14ac:dyDescent="0.2">
      <c r="A286" t="s">
        <v>25</v>
      </c>
      <c r="B286">
        <f si="54" t="shared"/>
        <v>11860</v>
      </c>
      <c r="C286">
        <f si="54" t="shared"/>
        <v>76429</v>
      </c>
      <c r="D286">
        <f si="54" t="shared"/>
        <v>259378</v>
      </c>
      <c r="E286">
        <f si="54" t="shared"/>
        <v>75352</v>
      </c>
      <c r="F286">
        <f si="54" t="shared"/>
        <v>423019</v>
      </c>
      <c r="N286" t="s">
        <v>25</v>
      </c>
      <c r="O286" s="60" t="n">
        <v>11585.0</v>
      </c>
      <c r="P286" s="60" t="n">
        <v>72657.0</v>
      </c>
      <c r="Q286" s="60" t="n">
        <v>260709.0</v>
      </c>
      <c r="R286" s="60" t="n">
        <v>75497.0</v>
      </c>
      <c r="S286">
        <f si="55" t="shared"/>
        <v>423019</v>
      </c>
    </row>
    <row r="287" spans="1:19" x14ac:dyDescent="0.2">
      <c r="A287" t="s">
        <v>249</v>
      </c>
      <c r="B287">
        <f si="54" t="shared"/>
        <v>18948</v>
      </c>
      <c r="C287">
        <f si="54" t="shared"/>
        <v>113721</v>
      </c>
      <c r="D287">
        <f si="54" t="shared"/>
        <v>431668</v>
      </c>
      <c r="E287">
        <f si="54" t="shared"/>
        <v>125492</v>
      </c>
      <c r="F287">
        <f si="54" t="shared"/>
        <v>689829</v>
      </c>
      <c r="N287" t="s">
        <v>249</v>
      </c>
      <c r="O287" s="60" t="n">
        <v>18417.0</v>
      </c>
      <c r="P287" s="60" t="n">
        <v>108092.0</v>
      </c>
      <c r="Q287" s="60" t="n">
        <v>430040.0</v>
      </c>
      <c r="R287" s="60" t="n">
        <v>125008.0</v>
      </c>
      <c r="S287">
        <f si="55" t="shared"/>
        <v>689829</v>
      </c>
    </row>
    <row r="288" spans="1:19" x14ac:dyDescent="0.2">
      <c r="A288" t="s">
        <v>27</v>
      </c>
      <c r="B288">
        <f si="54" t="shared"/>
        <v>13310</v>
      </c>
      <c r="C288">
        <f si="54" t="shared"/>
        <v>71644</v>
      </c>
      <c r="D288">
        <f si="54" t="shared"/>
        <v>273382</v>
      </c>
      <c r="E288">
        <f si="54" t="shared"/>
        <v>78945</v>
      </c>
      <c r="F288">
        <f si="54" t="shared"/>
        <v>437281</v>
      </c>
      <c r="N288" t="s">
        <v>27</v>
      </c>
      <c r="O288" s="60" t="n">
        <v>12727.0</v>
      </c>
      <c r="P288" s="60" t="n">
        <v>65247.0</v>
      </c>
      <c r="Q288" s="60" t="n">
        <v>263785.0</v>
      </c>
      <c r="R288" s="60" t="n">
        <v>76197.0</v>
      </c>
      <c r="S288">
        <f si="55" t="shared"/>
        <v>437281</v>
      </c>
    </row>
    <row r="289" spans="1:25" x14ac:dyDescent="0.2">
      <c r="A289" t="s">
        <v>28</v>
      </c>
      <c r="B289">
        <f si="54" t="shared"/>
        <v>5610</v>
      </c>
      <c r="C289">
        <f si="54" t="shared"/>
        <v>38513</v>
      </c>
      <c r="D289">
        <f si="54" t="shared"/>
        <v>173724</v>
      </c>
      <c r="E289">
        <f si="54" t="shared"/>
        <v>52557</v>
      </c>
      <c r="F289">
        <f si="54" t="shared"/>
        <v>270404</v>
      </c>
      <c r="N289" t="s">
        <v>28</v>
      </c>
      <c r="O289" s="60" t="n">
        <v>5161.0</v>
      </c>
      <c r="P289" s="60" t="n">
        <v>35903.0</v>
      </c>
      <c r="Q289" s="60" t="n">
        <v>172622.0</v>
      </c>
      <c r="R289" s="60" t="n">
        <v>51618.0</v>
      </c>
      <c r="S289">
        <f si="55" t="shared"/>
        <v>270404</v>
      </c>
    </row>
    <row r="290" spans="1:25" x14ac:dyDescent="0.2">
      <c r="A290" t="s">
        <v>29</v>
      </c>
      <c r="B290">
        <f si="54" t="shared"/>
        <v>8360</v>
      </c>
      <c r="C290">
        <f si="54" t="shared"/>
        <v>61991</v>
      </c>
      <c r="D290">
        <f si="54" t="shared"/>
        <v>239085</v>
      </c>
      <c r="E290">
        <f si="54" t="shared"/>
        <v>70475</v>
      </c>
      <c r="F290">
        <f si="54" t="shared"/>
        <v>379911</v>
      </c>
      <c r="N290" t="s">
        <v>29</v>
      </c>
      <c r="O290" s="60" t="n">
        <v>8032.0</v>
      </c>
      <c r="P290" s="60" t="n">
        <v>58222.0</v>
      </c>
      <c r="Q290" s="60" t="n">
        <v>236331.0</v>
      </c>
      <c r="R290" s="60" t="n">
        <v>69330.0</v>
      </c>
      <c r="S290">
        <f si="55" t="shared"/>
        <v>379911</v>
      </c>
    </row>
    <row r="291" spans="1:25" x14ac:dyDescent="0.2">
      <c r="A291" t="s">
        <v>38</v>
      </c>
      <c r="B291">
        <f si="54" t="shared"/>
        <v>46621</v>
      </c>
      <c r="C291">
        <f si="54" t="shared"/>
        <v>304845</v>
      </c>
      <c r="D291">
        <f si="54" t="shared"/>
        <v>1144633</v>
      </c>
      <c r="E291">
        <f si="54" t="shared"/>
        <v>340646</v>
      </c>
      <c r="F291">
        <f si="54" t="shared"/>
        <v>1836745</v>
      </c>
      <c r="N291" t="s">
        <v>38</v>
      </c>
      <c r="O291" s="60" t="n">
        <v>45039.0</v>
      </c>
      <c r="P291" s="60" t="n">
        <v>285683.0</v>
      </c>
      <c r="Q291" s="60" t="n">
        <v>1135750.0</v>
      </c>
      <c r="R291" s="60" t="n">
        <v>337462.0</v>
      </c>
      <c r="S291">
        <f si="55" t="shared"/>
        <v>1836745</v>
      </c>
    </row>
    <row r="293" spans="1:25" x14ac:dyDescent="0.2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2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2">
      <c r="A295" t="s">
        <v>23</v>
      </c>
      <c r="B295">
        <f ref="B295:L302" si="56" t="shared">O295*$B$1</f>
        <v>427684</v>
      </c>
      <c r="C295">
        <f si="56" t="shared"/>
        <v>44628</v>
      </c>
      <c r="D295">
        <f si="56" t="shared"/>
        <v>28423</v>
      </c>
      <c r="E295">
        <f si="56" t="shared"/>
        <v>164638</v>
      </c>
      <c r="F295">
        <f si="56" t="shared"/>
        <v>86207</v>
      </c>
      <c r="G295">
        <f si="56" t="shared"/>
        <v>113062</v>
      </c>
      <c r="H295">
        <f si="56" t="shared"/>
        <v>65300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929942</v>
      </c>
      <c r="N295" t="s">
        <v>23</v>
      </c>
      <c r="O295" s="60" t="n">
        <v>431654.0</v>
      </c>
      <c r="P295" s="60" t="n">
        <v>45069.0</v>
      </c>
      <c r="Q295" s="60" t="n">
        <v>28791.0</v>
      </c>
      <c r="R295" s="60" t="n">
        <v>167014.0</v>
      </c>
      <c r="S295" t="n">
        <v>87650.0</v>
      </c>
      <c r="T295" t="n">
        <v>114863.0</v>
      </c>
      <c r="U295" t="n">
        <v>66077.0</v>
      </c>
      <c r="V295" t="n">
        <v>0.0</v>
      </c>
      <c r="W295" t="n">
        <v>0.0</v>
      </c>
      <c r="X295" t="n">
        <v>0.0</v>
      </c>
      <c r="Y295">
        <f ref="Y295:Y302" si="57" t="shared">SUM(O295:X295)</f>
        <v>929942</v>
      </c>
    </row>
    <row r="296" spans="1:25" x14ac:dyDescent="0.2">
      <c r="A296" t="s">
        <v>24</v>
      </c>
      <c r="B296">
        <f si="56" t="shared"/>
        <v>80743</v>
      </c>
      <c r="C296">
        <f si="56" t="shared"/>
        <v>14706</v>
      </c>
      <c r="D296">
        <f si="56" t="shared"/>
        <v>9812</v>
      </c>
      <c r="E296">
        <f si="56" t="shared"/>
        <v>51129</v>
      </c>
      <c r="F296">
        <f si="56" t="shared"/>
        <v>27001</v>
      </c>
      <c r="G296">
        <f si="56" t="shared"/>
        <v>41899</v>
      </c>
      <c r="H296">
        <f si="56" t="shared"/>
        <v>21801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247091</v>
      </c>
      <c r="N296" t="s">
        <v>24</v>
      </c>
      <c r="O296" s="60" t="n">
        <v>80330.0</v>
      </c>
      <c r="P296" s="60" t="n">
        <v>14767.0</v>
      </c>
      <c r="Q296" s="60" t="n">
        <v>9886.0</v>
      </c>
      <c r="R296" s="60" t="n">
        <v>51230.0</v>
      </c>
      <c r="S296" t="n">
        <v>27041.0</v>
      </c>
      <c r="T296" t="n">
        <v>42164.0</v>
      </c>
      <c r="U296" t="n">
        <v>21855.0</v>
      </c>
      <c r="V296" t="n">
        <v>0.0</v>
      </c>
      <c r="W296" t="n">
        <v>0.0</v>
      </c>
      <c r="X296" t="n">
        <v>0.0</v>
      </c>
      <c r="Y296">
        <f si="57" t="shared"/>
        <v>247091</v>
      </c>
    </row>
    <row r="297" spans="1:25" x14ac:dyDescent="0.2">
      <c r="A297" t="s">
        <v>25</v>
      </c>
      <c r="B297">
        <f si="56" t="shared"/>
        <v>166579</v>
      </c>
      <c r="C297">
        <f si="56" t="shared"/>
        <v>20774</v>
      </c>
      <c r="D297">
        <f si="56" t="shared"/>
        <v>13774</v>
      </c>
      <c r="E297">
        <f si="56" t="shared"/>
        <v>87105</v>
      </c>
      <c r="F297">
        <f si="56" t="shared"/>
        <v>41137</v>
      </c>
      <c r="G297">
        <f si="56" t="shared"/>
        <v>61320</v>
      </c>
      <c r="H297">
        <f si="56" t="shared"/>
        <v>32330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423019</v>
      </c>
      <c r="N297" t="s">
        <v>25</v>
      </c>
      <c r="O297" s="60" t="n">
        <v>166004.0</v>
      </c>
      <c r="P297" s="60" t="n">
        <v>20795.0</v>
      </c>
      <c r="Q297" s="60" t="n">
        <v>13715.0</v>
      </c>
      <c r="R297" s="60" t="n">
        <v>86267.0</v>
      </c>
      <c r="S297" t="n">
        <v>41054.0</v>
      </c>
      <c r="T297" t="n">
        <v>60630.0</v>
      </c>
      <c r="U297" t="n">
        <v>31983.0</v>
      </c>
      <c r="V297" t="n">
        <v>0.0</v>
      </c>
      <c r="W297" t="n">
        <v>0.0</v>
      </c>
      <c r="X297" t="n">
        <v>0.0</v>
      </c>
      <c r="Y297">
        <f si="57" t="shared"/>
        <v>423019</v>
      </c>
    </row>
    <row r="298" spans="1:25" x14ac:dyDescent="0.2">
      <c r="A298" t="s">
        <v>249</v>
      </c>
      <c r="B298">
        <f si="56" t="shared"/>
        <v>274917</v>
      </c>
      <c r="C298">
        <f si="56" t="shared"/>
        <v>39603</v>
      </c>
      <c r="D298">
        <f si="56" t="shared"/>
        <v>24808</v>
      </c>
      <c r="E298">
        <f si="56" t="shared"/>
        <v>127015</v>
      </c>
      <c r="F298">
        <f si="56" t="shared"/>
        <v>71432</v>
      </c>
      <c r="G298">
        <f si="56" t="shared"/>
        <v>96067</v>
      </c>
      <c r="H298">
        <f si="56" t="shared"/>
        <v>55987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689829</v>
      </c>
      <c r="N298" t="s">
        <v>249</v>
      </c>
      <c r="O298" s="60" t="n">
        <v>272313.0</v>
      </c>
      <c r="P298" s="60" t="n">
        <v>39073.0</v>
      </c>
      <c r="Q298" s="60" t="n">
        <v>24376.0</v>
      </c>
      <c r="R298" s="60" t="n">
        <v>125408.0</v>
      </c>
      <c r="S298" t="n">
        <v>70621.0</v>
      </c>
      <c r="T298" t="n">
        <v>94780.0</v>
      </c>
      <c r="U298" t="n">
        <v>54986.0</v>
      </c>
      <c r="V298" t="n">
        <v>0.0</v>
      </c>
      <c r="W298" t="n">
        <v>0.0</v>
      </c>
      <c r="X298" t="n">
        <v>0.0</v>
      </c>
      <c r="Y298">
        <f si="57" t="shared"/>
        <v>689829</v>
      </c>
    </row>
    <row r="299" spans="1:25" x14ac:dyDescent="0.2">
      <c r="A299" t="s">
        <v>27</v>
      </c>
      <c r="B299">
        <f si="56" t="shared"/>
        <v>175393</v>
      </c>
      <c r="C299">
        <f si="56" t="shared"/>
        <v>25055</v>
      </c>
      <c r="D299">
        <f si="56" t="shared"/>
        <v>15800</v>
      </c>
      <c r="E299">
        <f si="56" t="shared"/>
        <v>81213</v>
      </c>
      <c r="F299">
        <f si="56" t="shared"/>
        <v>44546</v>
      </c>
      <c r="G299">
        <f si="56" t="shared"/>
        <v>60455</v>
      </c>
      <c r="H299">
        <f si="56" t="shared"/>
        <v>34819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437281</v>
      </c>
      <c r="N299" t="s">
        <v>27</v>
      </c>
      <c r="O299" s="60" t="n">
        <v>168008.0</v>
      </c>
      <c r="P299" s="60" t="n">
        <v>23963.0</v>
      </c>
      <c r="Q299" s="60" t="n">
        <v>14927.0</v>
      </c>
      <c r="R299" s="60" t="n">
        <v>77031.0</v>
      </c>
      <c r="S299" t="n">
        <v>42916.0</v>
      </c>
      <c r="T299" t="n">
        <v>57861.0</v>
      </c>
      <c r="U299" t="n">
        <v>33250.0</v>
      </c>
      <c r="V299" t="n">
        <v>0.0</v>
      </c>
      <c r="W299" t="n">
        <v>0.0</v>
      </c>
      <c r="X299" t="n">
        <v>0.0</v>
      </c>
      <c r="Y299">
        <f si="57" t="shared"/>
        <v>437281</v>
      </c>
    </row>
    <row r="300" spans="1:25" x14ac:dyDescent="0.2">
      <c r="A300" t="s">
        <v>28</v>
      </c>
      <c r="B300">
        <f si="56" t="shared"/>
        <v>113041</v>
      </c>
      <c r="C300">
        <f si="56" t="shared"/>
        <v>14731</v>
      </c>
      <c r="D300">
        <f si="56" t="shared"/>
        <v>9533</v>
      </c>
      <c r="E300">
        <f si="56" t="shared"/>
        <v>49062</v>
      </c>
      <c r="F300">
        <f si="56" t="shared"/>
        <v>26761</v>
      </c>
      <c r="G300">
        <f si="56" t="shared"/>
        <v>36380</v>
      </c>
      <c r="H300">
        <f si="56" t="shared"/>
        <v>20896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270404</v>
      </c>
      <c r="N300" t="s">
        <v>28</v>
      </c>
      <c r="O300" s="60" t="n">
        <v>111091.0</v>
      </c>
      <c r="P300" s="60" t="n">
        <v>14495.0</v>
      </c>
      <c r="Q300" s="60" t="n">
        <v>9245.0</v>
      </c>
      <c r="R300" s="60" t="n">
        <v>48066.0</v>
      </c>
      <c r="S300" t="n">
        <v>26275.0</v>
      </c>
      <c r="T300" t="n">
        <v>35835.0</v>
      </c>
      <c r="U300" t="n">
        <v>20297.0</v>
      </c>
      <c r="V300" t="n">
        <v>0.0</v>
      </c>
      <c r="W300" t="n">
        <v>0.0</v>
      </c>
      <c r="X300" t="n">
        <v>0.0</v>
      </c>
      <c r="Y300">
        <f si="57" t="shared"/>
        <v>270404</v>
      </c>
    </row>
    <row r="301" spans="1:25" x14ac:dyDescent="0.2">
      <c r="A301" t="s">
        <v>29</v>
      </c>
      <c r="B301">
        <f si="56" t="shared"/>
        <v>139978</v>
      </c>
      <c r="C301">
        <f si="56" t="shared"/>
        <v>22440</v>
      </c>
      <c r="D301">
        <f si="56" t="shared"/>
        <v>14673</v>
      </c>
      <c r="E301">
        <f si="56" t="shared"/>
        <v>72545</v>
      </c>
      <c r="F301">
        <f si="56" t="shared"/>
        <v>40548</v>
      </c>
      <c r="G301">
        <f si="56" t="shared"/>
        <v>57839</v>
      </c>
      <c r="H301">
        <f si="56" t="shared"/>
        <v>31888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379911</v>
      </c>
      <c r="N301" t="s">
        <v>29</v>
      </c>
      <c r="O301" s="60" t="n">
        <v>136927.0</v>
      </c>
      <c r="P301" s="60" t="n">
        <v>21968.0</v>
      </c>
      <c r="Q301" s="60" t="n">
        <v>14416.0</v>
      </c>
      <c r="R301" s="60" t="n">
        <v>71012.0</v>
      </c>
      <c r="S301" t="n">
        <v>39948.0</v>
      </c>
      <c r="T301" t="n">
        <v>56300.0</v>
      </c>
      <c r="U301" t="n">
        <v>31344.0</v>
      </c>
      <c r="V301" t="n">
        <v>0.0</v>
      </c>
      <c r="W301" t="n">
        <v>0.0</v>
      </c>
      <c r="X301" t="n">
        <v>0.0</v>
      </c>
      <c r="Y301">
        <f si="57" t="shared"/>
        <v>379911</v>
      </c>
    </row>
    <row r="302" spans="1:25" x14ac:dyDescent="0.2">
      <c r="A302" t="s">
        <v>38</v>
      </c>
      <c r="B302">
        <f si="56" t="shared"/>
        <v>801167</v>
      </c>
      <c r="C302">
        <f si="56" t="shared"/>
        <v>93591</v>
      </c>
      <c r="D302">
        <f si="56" t="shared"/>
        <v>54779</v>
      </c>
      <c r="E302">
        <f si="56" t="shared"/>
        <v>342711</v>
      </c>
      <c r="F302">
        <f si="56" t="shared"/>
        <v>162526</v>
      </c>
      <c r="G302">
        <f si="56" t="shared"/>
        <v>253315</v>
      </c>
      <c r="H302">
        <f si="56" t="shared"/>
        <v>128656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1836745</v>
      </c>
      <c r="N302" t="s">
        <v>38</v>
      </c>
      <c r="O302" s="60" t="n">
        <v>786609.0</v>
      </c>
      <c r="P302" s="60" t="n">
        <v>91687.0</v>
      </c>
      <c r="Q302" s="60" t="n">
        <v>53710.0</v>
      </c>
      <c r="R302" s="60" t="n">
        <v>336765.0</v>
      </c>
      <c r="S302" t="n">
        <v>160457.0</v>
      </c>
      <c r="T302" t="n">
        <v>248831.0</v>
      </c>
      <c r="U302" t="n">
        <v>125875.0</v>
      </c>
      <c r="V302" t="n">
        <v>0.0</v>
      </c>
      <c r="W302" t="n">
        <v>0.0</v>
      </c>
      <c r="X302" t="n">
        <v>0.0</v>
      </c>
      <c r="Y302">
        <f si="57" t="shared"/>
        <v>1836745</v>
      </c>
    </row>
    <row r="304" spans="1:25" x14ac:dyDescent="0.2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2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2">
      <c r="A306" t="s">
        <v>234</v>
      </c>
      <c r="B306">
        <f ref="B306:B313" si="58" t="shared">O306*$B$1</f>
        <v>852015</v>
      </c>
      <c r="N306" t="s">
        <v>234</v>
      </c>
      <c r="O306" s="60" t="n">
        <v>852015.0</v>
      </c>
    </row>
    <row r="307" spans="1:15" x14ac:dyDescent="0.2">
      <c r="A307" t="s">
        <v>235</v>
      </c>
      <c r="B307">
        <f si="58" t="shared"/>
        <v>108625</v>
      </c>
      <c r="N307" t="s">
        <v>235</v>
      </c>
      <c r="O307" s="60" t="n">
        <v>108625.0</v>
      </c>
    </row>
    <row r="308" spans="1:15" x14ac:dyDescent="0.2">
      <c r="A308" t="s">
        <v>14</v>
      </c>
      <c r="B308">
        <f si="58" t="shared"/>
        <v>215410</v>
      </c>
      <c r="N308" t="s">
        <v>14</v>
      </c>
      <c r="O308" s="60" t="n">
        <v>215410.0</v>
      </c>
    </row>
    <row r="309" spans="1:15" x14ac:dyDescent="0.2">
      <c r="A309" t="s">
        <v>15</v>
      </c>
      <c r="B309">
        <f si="58" t="shared"/>
        <v>202915</v>
      </c>
      <c r="N309" t="s">
        <v>15</v>
      </c>
      <c r="O309" s="60" t="n">
        <v>202915.0</v>
      </c>
    </row>
    <row r="310" spans="1:15" x14ac:dyDescent="0.2">
      <c r="A310" t="s">
        <v>236</v>
      </c>
      <c r="B310">
        <f si="58" t="shared"/>
        <v>64633</v>
      </c>
      <c r="N310" t="s">
        <v>236</v>
      </c>
      <c r="O310" s="60" t="n">
        <v>64633.0</v>
      </c>
    </row>
    <row r="311" spans="1:15" x14ac:dyDescent="0.2">
      <c r="A311" t="s">
        <v>237</v>
      </c>
      <c r="B311">
        <f si="58" t="shared"/>
        <v>55502</v>
      </c>
      <c r="N311" t="s">
        <v>237</v>
      </c>
      <c r="O311" s="60" t="n">
        <v>55502.0</v>
      </c>
    </row>
    <row r="312" spans="1:15" x14ac:dyDescent="0.2">
      <c r="A312" t="s">
        <v>238</v>
      </c>
      <c r="B312">
        <f si="58" t="shared"/>
        <v>267121</v>
      </c>
      <c r="N312" t="s">
        <v>238</v>
      </c>
      <c r="O312" s="60" t="n">
        <v>267121.0</v>
      </c>
    </row>
    <row r="313" spans="1:15" x14ac:dyDescent="0.2">
      <c r="A313" t="s">
        <v>239</v>
      </c>
      <c r="B313">
        <f si="58" t="shared"/>
        <v>0</v>
      </c>
      <c r="N313" t="s">
        <v>239</v>
      </c>
      <c r="O313" s="60" t="n">
        <v>0.0</v>
      </c>
    </row>
    <row r="315" spans="1:15" x14ac:dyDescent="0.2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2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2">
      <c r="A317" t="s">
        <v>182</v>
      </c>
      <c r="B317">
        <f>O317*$B$1</f>
        <v>93580</v>
      </c>
      <c r="N317" t="s">
        <v>182</v>
      </c>
      <c r="O317" s="60" t="n">
        <v>93580.0</v>
      </c>
    </row>
    <row r="318" spans="1:15" x14ac:dyDescent="0.2">
      <c r="A318" t="s">
        <v>183</v>
      </c>
      <c r="B318">
        <f>O318*$B$1</f>
        <v>322979</v>
      </c>
      <c r="N318" t="s">
        <v>183</v>
      </c>
      <c r="O318" s="60" t="n">
        <v>322979.0</v>
      </c>
    </row>
    <row r="319" spans="1:15" x14ac:dyDescent="0.2">
      <c r="A319" t="s">
        <v>184</v>
      </c>
      <c r="B319">
        <f>O319*$B$1</f>
        <v>258316</v>
      </c>
      <c r="N319" t="s">
        <v>184</v>
      </c>
      <c r="O319" s="60" t="n">
        <v>258316.0</v>
      </c>
    </row>
    <row r="320" spans="1:15" x14ac:dyDescent="0.2">
      <c r="A320" t="s">
        <v>276</v>
      </c>
      <c r="B320">
        <f>O320*$B$1</f>
        <v>1091148</v>
      </c>
      <c r="N320" t="s">
        <v>276</v>
      </c>
      <c r="O320" s="60" t="n">
        <v>1091148.0</v>
      </c>
    </row>
    <row r="322" spans="1:16" x14ac:dyDescent="0.2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2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2">
      <c r="A324" t="s">
        <v>193</v>
      </c>
      <c r="B324">
        <f>O324*$B$1</f>
        <v>54596</v>
      </c>
      <c r="N324" t="s">
        <v>193</v>
      </c>
      <c r="O324" s="60" t="n">
        <v>54218.0</v>
      </c>
    </row>
    <row r="325" spans="1:16" x14ac:dyDescent="0.2">
      <c r="A325" t="s">
        <v>279</v>
      </c>
      <c r="B325">
        <f>O325*$B$1</f>
        <v>318052</v>
      </c>
      <c r="N325" t="s">
        <v>279</v>
      </c>
      <c r="O325" s="60" t="n">
        <v>304865.0</v>
      </c>
    </row>
    <row r="326" spans="1:16" x14ac:dyDescent="0.2">
      <c r="A326" t="s">
        <v>280</v>
      </c>
      <c r="B326">
        <f>O326*$B$1</f>
        <v>1076719</v>
      </c>
      <c r="N326" t="s">
        <v>280</v>
      </c>
      <c r="O326" s="60" t="n">
        <v>1087886.0</v>
      </c>
    </row>
    <row r="327" spans="1:16" x14ac:dyDescent="0.2">
      <c r="A327" t="s">
        <v>281</v>
      </c>
      <c r="B327">
        <f>O327*$B$1</f>
        <v>316854</v>
      </c>
      <c r="N327" t="s">
        <v>281</v>
      </c>
      <c r="O327" s="60" t="n">
        <v>319252.0</v>
      </c>
    </row>
    <row r="329" spans="1:16" x14ac:dyDescent="0.2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2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2">
      <c r="A331">
        <v>1</v>
      </c>
      <c r="B331">
        <f ref="B331:B340" si="59" t="shared">O331*$B$1</f>
        <v>653968</v>
      </c>
      <c r="N331">
        <v>1</v>
      </c>
      <c r="O331" s="60" t="n">
        <v>653968.0</v>
      </c>
    </row>
    <row r="332" spans="1:16" x14ac:dyDescent="0.2">
      <c r="A332">
        <v>2</v>
      </c>
      <c r="B332">
        <f si="59" t="shared"/>
        <v>103501</v>
      </c>
      <c r="N332">
        <v>2</v>
      </c>
      <c r="O332" s="60" t="n">
        <v>103501.0</v>
      </c>
    </row>
    <row r="333" spans="1:16" x14ac:dyDescent="0.2">
      <c r="A333">
        <v>3</v>
      </c>
      <c r="B333">
        <f si="59" t="shared"/>
        <v>71370</v>
      </c>
      <c r="N333">
        <v>3</v>
      </c>
      <c r="O333" s="60" t="n">
        <v>71370.0</v>
      </c>
    </row>
    <row r="334" spans="1:16" x14ac:dyDescent="0.2">
      <c r="A334">
        <v>4</v>
      </c>
      <c r="B334">
        <f si="59" t="shared"/>
        <v>339384</v>
      </c>
      <c r="N334">
        <v>4</v>
      </c>
      <c r="O334" s="60" t="n">
        <v>339384.0</v>
      </c>
    </row>
    <row r="335" spans="1:16" x14ac:dyDescent="0.2">
      <c r="A335">
        <v>5</v>
      </c>
      <c r="B335">
        <f si="59" t="shared"/>
        <v>193955</v>
      </c>
      <c r="N335">
        <v>5</v>
      </c>
      <c r="O335" t="n">
        <v>193955.0</v>
      </c>
    </row>
    <row r="336" spans="1:16" x14ac:dyDescent="0.2">
      <c r="A336">
        <v>6</v>
      </c>
      <c r="B336">
        <f si="59" t="shared"/>
        <v>251147</v>
      </c>
      <c r="N336">
        <v>6</v>
      </c>
      <c r="O336" t="n">
        <v>251147.0</v>
      </c>
    </row>
    <row r="337" spans="1:22" x14ac:dyDescent="0.2">
      <c r="A337">
        <v>7</v>
      </c>
      <c r="B337">
        <f si="59" t="shared"/>
        <v>152896</v>
      </c>
      <c r="N337">
        <v>7</v>
      </c>
      <c r="O337" t="n">
        <v>152896.0</v>
      </c>
    </row>
    <row r="338" spans="1:22" x14ac:dyDescent="0.2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2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2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2">
      <c r="A342" s="31" t="s">
        <v>300</v>
      </c>
      <c r="N342" s="31" t="s">
        <v>300</v>
      </c>
    </row>
    <row r="343" spans="1:22" x14ac:dyDescent="0.2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2">
      <c r="A344" s="31" t="s">
        <v>46</v>
      </c>
      <c r="B344">
        <f ref="B344:H351" si="60" t="shared">O344*$B$1</f>
        <v>1269887</v>
      </c>
      <c r="C344">
        <f si="60" t="shared"/>
        <v>1658984</v>
      </c>
      <c r="D344">
        <f si="60" t="shared"/>
        <v>1642356</v>
      </c>
      <c r="E344">
        <f si="60" t="shared"/>
        <v>1597513</v>
      </c>
      <c r="F344">
        <f si="60" t="shared"/>
        <v>1643585</v>
      </c>
      <c r="G344">
        <f si="60" t="shared"/>
        <v>1695663</v>
      </c>
      <c r="H344">
        <f si="60" t="shared"/>
        <v>1623934</v>
      </c>
      <c r="I344">
        <f ref="I344:I351" si="61" t="shared">SUM(B344:H344)</f>
        <v>11131922</v>
      </c>
      <c r="N344" s="31" t="s">
        <v>46</v>
      </c>
      <c r="O344" t="n">
        <v>1265413.0</v>
      </c>
      <c r="P344" t="n">
        <v>1658365.0</v>
      </c>
      <c r="Q344" t="n">
        <v>1646246.0</v>
      </c>
      <c r="R344" t="n">
        <v>1601779.0</v>
      </c>
      <c r="S344" t="n">
        <v>1653624.0</v>
      </c>
      <c r="T344" t="n">
        <v>1700422.0</v>
      </c>
      <c r="U344" t="n">
        <v>1629102.0</v>
      </c>
    </row>
    <row r="345" spans="1:22" x14ac:dyDescent="0.2">
      <c r="A345" s="31" t="s">
        <v>23</v>
      </c>
      <c r="B345">
        <f si="60" t="shared"/>
        <v>28835</v>
      </c>
      <c r="C345">
        <f si="60" t="shared"/>
        <v>1172</v>
      </c>
      <c r="D345">
        <f si="60" t="shared"/>
        <v>705</v>
      </c>
      <c r="E345">
        <f si="60" t="shared"/>
        <v>1740</v>
      </c>
      <c r="F345">
        <f si="60" t="shared"/>
        <v>1459</v>
      </c>
      <c r="G345">
        <f si="60" t="shared"/>
        <v>1343</v>
      </c>
      <c r="H345">
        <f si="60" t="shared"/>
        <v>2720</v>
      </c>
      <c r="I345">
        <f si="61" t="shared"/>
        <v>37974</v>
      </c>
      <c r="N345" s="31" t="s">
        <v>23</v>
      </c>
      <c r="O345" t="n">
        <v>29158.0</v>
      </c>
      <c r="P345" t="n">
        <v>1158.0</v>
      </c>
      <c r="Q345" t="n">
        <v>637.0</v>
      </c>
      <c r="R345" t="n">
        <v>1768.0</v>
      </c>
      <c r="S345" t="n">
        <v>1281.0</v>
      </c>
      <c r="T345" t="n">
        <v>1270.0</v>
      </c>
      <c r="U345" t="n">
        <v>2609.0</v>
      </c>
    </row>
    <row r="346" spans="1:22" x14ac:dyDescent="0.2">
      <c r="A346" s="31" t="s">
        <v>24</v>
      </c>
      <c r="B346">
        <f si="60" t="shared"/>
        <v>1096</v>
      </c>
      <c r="C346">
        <f si="60" t="shared"/>
        <v>9249</v>
      </c>
      <c r="D346">
        <f si="60" t="shared"/>
        <v>66</v>
      </c>
      <c r="E346">
        <f si="60" t="shared"/>
        <v>300</v>
      </c>
      <c r="F346">
        <f si="60" t="shared"/>
        <v>194</v>
      </c>
      <c r="G346">
        <f si="60" t="shared"/>
        <v>222</v>
      </c>
      <c r="H346">
        <f si="60" t="shared"/>
        <v>1358</v>
      </c>
      <c r="I346">
        <f si="61" t="shared"/>
        <v>12485</v>
      </c>
      <c r="N346" s="31" t="s">
        <v>24</v>
      </c>
      <c r="O346" t="n">
        <v>1077.0</v>
      </c>
      <c r="P346" t="n">
        <v>9137.0</v>
      </c>
      <c r="Q346" t="n">
        <v>63.0</v>
      </c>
      <c r="R346" t="n">
        <v>312.0</v>
      </c>
      <c r="S346" t="n">
        <v>157.0</v>
      </c>
      <c r="T346" t="n">
        <v>206.0</v>
      </c>
      <c r="U346" t="n">
        <v>1302.0</v>
      </c>
    </row>
    <row r="347" spans="1:22" x14ac:dyDescent="0.2">
      <c r="A347" s="31" t="s">
        <v>25</v>
      </c>
      <c r="B347">
        <f si="60" t="shared"/>
        <v>32917</v>
      </c>
      <c r="C347">
        <f si="60" t="shared"/>
        <v>9371</v>
      </c>
      <c r="D347">
        <f si="60" t="shared"/>
        <v>19214</v>
      </c>
      <c r="E347">
        <f si="60" t="shared"/>
        <v>2836</v>
      </c>
      <c r="F347">
        <f si="60" t="shared"/>
        <v>2323</v>
      </c>
      <c r="G347">
        <f si="60" t="shared"/>
        <v>2154</v>
      </c>
      <c r="H347">
        <f si="60" t="shared"/>
        <v>4086</v>
      </c>
      <c r="I347">
        <f si="61" t="shared"/>
        <v>72901</v>
      </c>
      <c r="N347" s="31" t="s">
        <v>25</v>
      </c>
      <c r="O347" t="n">
        <v>33363.0</v>
      </c>
      <c r="P347" t="n">
        <v>9092.0</v>
      </c>
      <c r="Q347" t="n">
        <v>18911.0</v>
      </c>
      <c r="R347" t="n">
        <v>2643.0</v>
      </c>
      <c r="S347" t="n">
        <v>2153.0</v>
      </c>
      <c r="T347" t="n">
        <v>1936.0</v>
      </c>
      <c r="U347" t="n">
        <v>4042.0</v>
      </c>
    </row>
    <row r="348" spans="1:22" x14ac:dyDescent="0.2">
      <c r="A348" s="31" t="s">
        <v>249</v>
      </c>
      <c r="B348">
        <f si="60" t="shared"/>
        <v>89074</v>
      </c>
      <c r="C348">
        <f si="60" t="shared"/>
        <v>17887</v>
      </c>
      <c r="D348">
        <f si="60" t="shared"/>
        <v>23322</v>
      </c>
      <c r="E348">
        <f si="60" t="shared"/>
        <v>54568</v>
      </c>
      <c r="F348">
        <f si="60" t="shared"/>
        <v>17819</v>
      </c>
      <c r="G348">
        <f si="60" t="shared"/>
        <v>13410</v>
      </c>
      <c r="H348">
        <f si="60" t="shared"/>
        <v>21480</v>
      </c>
      <c r="I348">
        <f si="61" t="shared"/>
        <v>237560</v>
      </c>
      <c r="N348" s="31" t="s">
        <v>249</v>
      </c>
      <c r="O348" t="n">
        <v>90157.0</v>
      </c>
      <c r="P348" t="n">
        <v>18135.0</v>
      </c>
      <c r="Q348" t="n">
        <v>22993.0</v>
      </c>
      <c r="R348" t="n">
        <v>53732.0</v>
      </c>
      <c r="S348" t="n">
        <v>16508.0</v>
      </c>
      <c r="T348" t="n">
        <v>12407.0</v>
      </c>
      <c r="U348" t="n">
        <v>20723.0</v>
      </c>
    </row>
    <row r="349" spans="1:22" x14ac:dyDescent="0.2">
      <c r="A349" s="31" t="s">
        <v>27</v>
      </c>
      <c r="B349">
        <f si="60" t="shared"/>
        <v>102688</v>
      </c>
      <c r="C349">
        <f si="60" t="shared"/>
        <v>9064</v>
      </c>
      <c r="D349">
        <f si="60" t="shared"/>
        <v>31850</v>
      </c>
      <c r="E349">
        <f si="60" t="shared"/>
        <v>47524</v>
      </c>
      <c r="F349">
        <f si="60" t="shared"/>
        <v>64801</v>
      </c>
      <c r="G349">
        <f si="60" t="shared"/>
        <v>15911</v>
      </c>
      <c r="H349">
        <f si="60" t="shared"/>
        <v>26469</v>
      </c>
      <c r="I349">
        <f si="61" t="shared"/>
        <v>298307</v>
      </c>
      <c r="N349" s="31" t="s">
        <v>27</v>
      </c>
      <c r="O349" t="n">
        <v>102929.0</v>
      </c>
      <c r="P349" t="n">
        <v>8965.0</v>
      </c>
      <c r="Q349" t="n">
        <v>30266.0</v>
      </c>
      <c r="R349" t="n">
        <v>46079.0</v>
      </c>
      <c r="S349" t="n">
        <v>59381.0</v>
      </c>
      <c r="T349" t="n">
        <v>14878.0</v>
      </c>
      <c r="U349" t="n">
        <v>25053.0</v>
      </c>
    </row>
    <row r="350" spans="1:22" x14ac:dyDescent="0.2">
      <c r="A350" s="31" t="s">
        <v>28</v>
      </c>
      <c r="B350">
        <f si="60" t="shared"/>
        <v>145625</v>
      </c>
      <c r="C350">
        <f si="60" t="shared"/>
        <v>9276</v>
      </c>
      <c r="D350">
        <f si="60" t="shared"/>
        <v>28322</v>
      </c>
      <c r="E350">
        <f si="60" t="shared"/>
        <v>35511</v>
      </c>
      <c r="F350">
        <f si="60" t="shared"/>
        <v>17467</v>
      </c>
      <c r="G350">
        <f si="60" t="shared"/>
        <v>25559</v>
      </c>
      <c r="H350">
        <f si="60" t="shared"/>
        <v>27373</v>
      </c>
      <c r="I350">
        <f si="61" t="shared"/>
        <v>289133</v>
      </c>
      <c r="N350" s="31" t="s">
        <v>28</v>
      </c>
      <c r="O350" t="n">
        <v>146978.0</v>
      </c>
      <c r="P350" t="n">
        <v>9776.0</v>
      </c>
      <c r="Q350" t="n">
        <v>27417.0</v>
      </c>
      <c r="R350" t="n">
        <v>34399.0</v>
      </c>
      <c r="S350" t="n">
        <v>15992.0</v>
      </c>
      <c r="T350" t="n">
        <v>23830.0</v>
      </c>
      <c r="U350" t="n">
        <v>26813.0</v>
      </c>
    </row>
    <row r="351" spans="1:22" x14ac:dyDescent="0.2">
      <c r="A351" s="31" t="s">
        <v>29</v>
      </c>
      <c r="B351">
        <f si="60" t="shared"/>
        <v>96099</v>
      </c>
      <c r="C351">
        <f si="60" t="shared"/>
        <v>51218</v>
      </c>
      <c r="D351">
        <f si="60" t="shared"/>
        <v>20386</v>
      </c>
      <c r="E351">
        <f si="60" t="shared"/>
        <v>26229</v>
      </c>
      <c r="F351">
        <f si="60" t="shared"/>
        <v>18573</v>
      </c>
      <c r="G351">
        <f si="60" t="shared"/>
        <v>11959</v>
      </c>
      <c r="H351">
        <f si="60" t="shared"/>
        <v>58801</v>
      </c>
      <c r="I351">
        <f si="61" t="shared"/>
        <v>283265</v>
      </c>
      <c r="N351" s="31" t="s">
        <v>29</v>
      </c>
      <c r="O351" t="n">
        <v>97146.0</v>
      </c>
      <c r="P351" t="n">
        <v>51593.0</v>
      </c>
      <c r="Q351" t="n">
        <v>19688.0</v>
      </c>
      <c r="R351" t="n">
        <v>25509.0</v>
      </c>
      <c r="S351" t="n">
        <v>17125.0</v>
      </c>
      <c r="T351" t="n">
        <v>11272.0</v>
      </c>
      <c r="U351" t="n">
        <v>56577.0</v>
      </c>
    </row>
    <row r="352" spans="1:22" x14ac:dyDescent="0.2">
      <c r="A352" s="31" t="s">
        <v>240</v>
      </c>
      <c r="B352">
        <f ref="B352:I352" si="62" t="shared">SUM(B344:B351)</f>
        <v>1766221</v>
      </c>
      <c r="C352">
        <f si="62" t="shared"/>
        <v>1766221</v>
      </c>
      <c r="D352">
        <f si="62" t="shared"/>
        <v>1766221</v>
      </c>
      <c r="E352">
        <f si="62" t="shared"/>
        <v>1766221</v>
      </c>
      <c r="F352">
        <f si="62" t="shared"/>
        <v>1766221</v>
      </c>
      <c r="G352">
        <f si="62" t="shared"/>
        <v>1766221</v>
      </c>
      <c r="H352">
        <f si="62" t="shared"/>
        <v>1766221</v>
      </c>
      <c r="I352">
        <f si="62" t="shared"/>
        <v>12363547</v>
      </c>
    </row>
    <row r="354" spans="1:21" x14ac:dyDescent="0.2">
      <c r="A354" s="31" t="s">
        <v>302</v>
      </c>
      <c r="B354" s="31"/>
      <c r="N354" s="31" t="s">
        <v>302</v>
      </c>
      <c r="O354" s="31"/>
    </row>
    <row r="355" spans="1:21" x14ac:dyDescent="0.2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2">
      <c r="A356" s="31" t="s">
        <v>23</v>
      </c>
      <c r="B356" s="216">
        <f ref="B356:H362" si="63" t="shared">O356*$B$1</f>
        <v>793933.33333253721</v>
      </c>
      <c r="C356" s="216">
        <f si="63" t="shared"/>
        <v>0</v>
      </c>
      <c r="D356" s="216">
        <f si="63" t="shared"/>
        <v>0</v>
      </c>
      <c r="E356" s="216">
        <f si="63" t="shared"/>
        <v>0</v>
      </c>
      <c r="F356" s="216">
        <f si="63" t="shared"/>
        <v>0</v>
      </c>
      <c r="G356" s="216">
        <f si="63" t="shared"/>
        <v>0</v>
      </c>
      <c r="H356" s="216">
        <f si="63" t="shared"/>
        <v>0</v>
      </c>
      <c r="I356" s="221">
        <f ref="I356:I363" si="64" t="shared">SUM(B356:H356)</f>
        <v>793933.33333253721</v>
      </c>
      <c r="N356" s="31" t="s">
        <v>23</v>
      </c>
      <c r="O356" s="216">
        <v>793933.33333253721</v>
      </c>
      <c r="P356" s="216"/>
      <c r="Q356" s="216"/>
      <c r="R356" s="216"/>
      <c r="S356" s="216"/>
      <c r="T356" s="216"/>
      <c r="U356" s="216"/>
    </row>
    <row r="357" spans="1:21" x14ac:dyDescent="0.2">
      <c r="A357" s="31" t="s">
        <v>24</v>
      </c>
      <c r="B357" s="216">
        <f si="63" t="shared"/>
        <v>6729.9999999932697</v>
      </c>
      <c r="C357" s="216">
        <f si="63" t="shared"/>
        <v>851281.66666581261</v>
      </c>
      <c r="D357" s="216">
        <f si="63" t="shared"/>
        <v>0</v>
      </c>
      <c r="E357" s="216">
        <f si="63" t="shared"/>
        <v>0</v>
      </c>
      <c r="F357" s="216">
        <f si="63" t="shared"/>
        <v>0</v>
      </c>
      <c r="G357" s="216">
        <f si="63" t="shared"/>
        <v>0</v>
      </c>
      <c r="H357" s="216">
        <f si="63" t="shared"/>
        <v>0</v>
      </c>
      <c r="I357" s="221">
        <f si="64" t="shared"/>
        <v>858011.66666580585</v>
      </c>
      <c r="N357" s="31" t="s">
        <v>24</v>
      </c>
      <c r="O357" s="216">
        <v>6729.9999999932697</v>
      </c>
      <c r="P357" s="216">
        <v>851281.66666581261</v>
      </c>
      <c r="Q357" s="216"/>
      <c r="R357" s="216"/>
      <c r="S357" s="216"/>
      <c r="T357" s="216"/>
      <c r="U357" s="216"/>
    </row>
    <row r="358" spans="1:21" x14ac:dyDescent="0.2">
      <c r="A358" s="31" t="s">
        <v>25</v>
      </c>
      <c r="B358" s="216">
        <f si="63" t="shared"/>
        <v>24959.99999997504</v>
      </c>
      <c r="C358" s="216">
        <f si="63" t="shared"/>
        <v>8468.3333333248647</v>
      </c>
      <c r="D358" s="216">
        <f si="63" t="shared"/>
        <v>840658.33333248994</v>
      </c>
      <c r="E358" s="216">
        <f si="63" t="shared"/>
        <v>0</v>
      </c>
      <c r="F358" s="216">
        <f si="63" t="shared"/>
        <v>0</v>
      </c>
      <c r="G358" s="216">
        <f si="63" t="shared"/>
        <v>0</v>
      </c>
      <c r="H358" s="216">
        <f si="63" t="shared"/>
        <v>0</v>
      </c>
      <c r="I358" s="221">
        <f si="64" t="shared"/>
        <v>874086.6666657899</v>
      </c>
      <c r="N358" s="31" t="s">
        <v>25</v>
      </c>
      <c r="O358" s="216">
        <v>24959.99999997504</v>
      </c>
      <c r="P358" s="216">
        <v>8468.3333333248647</v>
      </c>
      <c r="Q358" s="216">
        <v>840658.33333248994</v>
      </c>
      <c r="R358" s="216"/>
      <c r="S358" s="216"/>
      <c r="T358" s="216"/>
      <c r="U358" s="216"/>
    </row>
    <row r="359" spans="1:21" x14ac:dyDescent="0.2">
      <c r="A359" s="31" t="s">
        <v>249</v>
      </c>
      <c r="B359" s="216">
        <f si="63" t="shared"/>
        <v>13486.66666665318</v>
      </c>
      <c r="C359" s="216">
        <f si="63" t="shared"/>
        <v>10748.333333322584</v>
      </c>
      <c r="D359" s="216">
        <f si="63" t="shared"/>
        <v>16339.999999983658</v>
      </c>
      <c r="E359" s="216">
        <f si="63" t="shared"/>
        <v>877253.33333245292</v>
      </c>
      <c r="F359" s="216">
        <f si="63" t="shared"/>
        <v>0</v>
      </c>
      <c r="G359" s="216">
        <f si="63" t="shared"/>
        <v>0</v>
      </c>
      <c r="H359" s="216">
        <f si="63" t="shared"/>
        <v>0</v>
      </c>
      <c r="I359" s="221">
        <f si="64" t="shared"/>
        <v>917828.33333241229</v>
      </c>
      <c r="N359" s="31" t="s">
        <v>249</v>
      </c>
      <c r="O359" s="216">
        <v>13486.66666665318</v>
      </c>
      <c r="P359" s="216">
        <v>10748.333333322584</v>
      </c>
      <c r="Q359" s="216">
        <v>16339.999999983658</v>
      </c>
      <c r="R359" s="216">
        <v>877253.33333245292</v>
      </c>
      <c r="S359" s="216"/>
      <c r="T359" s="216"/>
      <c r="U359" s="216"/>
    </row>
    <row r="360" spans="1:21" x14ac:dyDescent="0.2">
      <c r="A360" s="31" t="s">
        <v>27</v>
      </c>
      <c r="B360" s="216">
        <f si="63" t="shared"/>
        <v>15026.666666651639</v>
      </c>
      <c r="C360" s="216">
        <f si="63" t="shared"/>
        <v>1856.66666666481</v>
      </c>
      <c r="D360" s="216">
        <f si="63" t="shared"/>
        <v>23324.999999976673</v>
      </c>
      <c r="E360" s="216">
        <f si="63" t="shared"/>
        <v>10514.999999989484</v>
      </c>
      <c r="F360" s="216">
        <f si="63" t="shared"/>
        <v>875616.66666578793</v>
      </c>
      <c r="G360" s="216">
        <f si="63" t="shared"/>
        <v>0</v>
      </c>
      <c r="H360" s="216">
        <f si="63" t="shared"/>
        <v>0</v>
      </c>
      <c r="I360" s="221">
        <f si="64" t="shared"/>
        <v>926339.99999907054</v>
      </c>
      <c r="N360" s="31" t="s">
        <v>27</v>
      </c>
      <c r="O360" s="216">
        <v>15026.666666651639</v>
      </c>
      <c r="P360" s="216">
        <v>1856.66666666481</v>
      </c>
      <c r="Q360" s="216">
        <v>23324.999999976673</v>
      </c>
      <c r="R360" s="216">
        <v>10514.999999989484</v>
      </c>
      <c r="S360" s="216">
        <v>875616.66666578793</v>
      </c>
      <c r="T360" s="216"/>
      <c r="U360" s="216"/>
    </row>
    <row r="361" spans="1:21" x14ac:dyDescent="0.2">
      <c r="A361" s="31" t="s">
        <v>28</v>
      </c>
      <c r="B361" s="216">
        <f si="63" t="shared"/>
        <v>8718.3333333246155</v>
      </c>
      <c r="C361" s="216">
        <f si="63" t="shared"/>
        <v>5374.9999999946249</v>
      </c>
      <c r="D361" s="216">
        <f si="63" t="shared"/>
        <v>4353.3333333289802</v>
      </c>
      <c r="E361" s="216">
        <f si="63" t="shared"/>
        <v>2754.9999999972451</v>
      </c>
      <c r="F361" s="216">
        <f si="63" t="shared"/>
        <v>11644.999999988355</v>
      </c>
      <c r="G361" s="216">
        <f si="63" t="shared"/>
        <v>894876.66666576848</v>
      </c>
      <c r="H361" s="216">
        <f si="63" t="shared"/>
        <v>0</v>
      </c>
      <c r="I361" s="221">
        <f si="64" t="shared"/>
        <v>927723.33333240228</v>
      </c>
      <c r="N361" s="31" t="s">
        <v>28</v>
      </c>
      <c r="O361" s="216">
        <v>8718.3333333246155</v>
      </c>
      <c r="P361" s="216">
        <v>5374.9999999946249</v>
      </c>
      <c r="Q361" s="216">
        <v>4353.3333333289802</v>
      </c>
      <c r="R361" s="216">
        <v>2754.9999999972451</v>
      </c>
      <c r="S361" s="216">
        <v>11644.999999988355</v>
      </c>
      <c r="T361" s="216">
        <v>894876.66666576848</v>
      </c>
      <c r="U361" s="216"/>
    </row>
    <row r="362" spans="1:21" x14ac:dyDescent="0.2">
      <c r="A362" s="31" t="s">
        <v>29</v>
      </c>
      <c r="B362" s="216">
        <f si="63" t="shared"/>
        <v>39058.333333294278</v>
      </c>
      <c r="C362" s="216">
        <f si="63" t="shared"/>
        <v>24183.333333309147</v>
      </c>
      <c r="D362" s="216">
        <f si="63" t="shared"/>
        <v>17236.666666649427</v>
      </c>
      <c r="E362" s="216">
        <f si="63" t="shared"/>
        <v>11389.999999988609</v>
      </c>
      <c r="F362" s="216">
        <f si="63" t="shared"/>
        <v>14651.666666652014</v>
      </c>
      <c r="G362" s="216">
        <f si="63" t="shared"/>
        <v>7036.6666666596302</v>
      </c>
      <c r="H362" s="216">
        <f si="63" t="shared"/>
        <v>0</v>
      </c>
      <c r="I362" s="221">
        <f si="64" t="shared"/>
        <v>113556.66666655311</v>
      </c>
      <c r="N362" s="31" t="s">
        <v>29</v>
      </c>
      <c r="O362" s="216">
        <v>39058.333333294278</v>
      </c>
      <c r="P362" s="216">
        <v>24183.333333309147</v>
      </c>
      <c r="Q362" s="216">
        <v>17236.666666649427</v>
      </c>
      <c r="R362" s="216">
        <v>11389.999999988609</v>
      </c>
      <c r="S362" s="216">
        <v>14651.666666652014</v>
      </c>
      <c r="T362" s="216">
        <v>7036.6666666596302</v>
      </c>
      <c r="U362" s="216"/>
    </row>
    <row r="363" spans="1:21" x14ac:dyDescent="0.2">
      <c r="A363" s="31" t="s">
        <v>240</v>
      </c>
      <c r="B363" s="216">
        <f ref="B363:H363" si="65" t="shared">SUM(B356:B362)</f>
        <v>901913.33333242917</v>
      </c>
      <c r="C363" s="216">
        <f si="65" t="shared"/>
        <v>901913.33333242859</v>
      </c>
      <c r="D363" s="216">
        <f si="65" t="shared"/>
        <v>901913.33333242871</v>
      </c>
      <c r="E363" s="216">
        <f si="65" t="shared"/>
        <v>901913.33333242824</v>
      </c>
      <c r="F363" s="216">
        <f si="65" t="shared"/>
        <v>901913.33333242824</v>
      </c>
      <c r="G363" s="216">
        <f si="65" t="shared"/>
        <v>901913.33333242813</v>
      </c>
      <c r="H363" s="216">
        <f si="65" t="shared"/>
        <v>0</v>
      </c>
      <c r="I363" s="221">
        <f si="64" t="shared"/>
        <v>5411479.9999945713</v>
      </c>
      <c r="N363" s="31"/>
      <c r="O363" s="216">
        <v>0</v>
      </c>
      <c r="P363" s="216">
        <v>0</v>
      </c>
      <c r="Q363" s="216">
        <v>0</v>
      </c>
      <c r="R363" s="216">
        <v>0</v>
      </c>
      <c r="S363" s="216">
        <v>0</v>
      </c>
      <c r="T363" s="216">
        <v>0</v>
      </c>
      <c r="U363" s="216"/>
    </row>
    <row r="366" spans="1:21" x14ac:dyDescent="0.2">
      <c r="A366" s="31" t="s">
        <v>304</v>
      </c>
      <c r="B366" s="31"/>
      <c r="N366" s="31" t="s">
        <v>304</v>
      </c>
      <c r="O366" s="31"/>
    </row>
    <row r="367" spans="1:21" x14ac:dyDescent="0.2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2">
      <c r="A368" s="31" t="s">
        <v>23</v>
      </c>
      <c r="B368" s="216">
        <f ref="B368:H374" si="66" t="shared">O368*$B$1</f>
        <v>846586.66666581726</v>
      </c>
      <c r="C368" s="216">
        <f si="66" t="shared"/>
        <v>0</v>
      </c>
      <c r="D368" s="216">
        <f si="66" t="shared"/>
        <v>0</v>
      </c>
      <c r="E368" s="216">
        <f si="66" t="shared"/>
        <v>0</v>
      </c>
      <c r="F368" s="216">
        <f si="66" t="shared"/>
        <v>0</v>
      </c>
      <c r="G368" s="216">
        <f si="66" t="shared"/>
        <v>0</v>
      </c>
      <c r="H368" s="216">
        <f si="66" t="shared"/>
        <v>0</v>
      </c>
      <c r="I368" s="221">
        <f ref="I368:I375" si="67" t="shared">SUM(B368:H368)</f>
        <v>846586.66666581726</v>
      </c>
      <c r="N368" s="31" t="s">
        <v>23</v>
      </c>
      <c r="O368" s="216">
        <v>846586.66666581726</v>
      </c>
      <c r="P368" s="216"/>
      <c r="Q368" s="216"/>
      <c r="R368" s="216"/>
      <c r="S368" s="216"/>
      <c r="T368" s="216"/>
      <c r="U368" s="216"/>
    </row>
    <row r="369" spans="1:21" x14ac:dyDescent="0.2">
      <c r="A369" s="31" t="s">
        <v>24</v>
      </c>
      <c r="B369" s="216">
        <f si="66" t="shared"/>
        <v>0</v>
      </c>
      <c r="C369" s="216">
        <f si="66" t="shared"/>
        <v>882998.3333324471</v>
      </c>
      <c r="D369" s="216">
        <f si="66" t="shared"/>
        <v>0</v>
      </c>
      <c r="E369" s="216">
        <f si="66" t="shared"/>
        <v>0</v>
      </c>
      <c r="F369" s="216">
        <f si="66" t="shared"/>
        <v>0</v>
      </c>
      <c r="G369" s="216">
        <f si="66" t="shared"/>
        <v>0</v>
      </c>
      <c r="H369" s="216">
        <f si="66" t="shared"/>
        <v>0</v>
      </c>
      <c r="I369" s="221">
        <f si="67" t="shared"/>
        <v>882998.3333324471</v>
      </c>
      <c r="N369" s="31" t="s">
        <v>24</v>
      </c>
      <c r="O369" s="216">
        <v>0</v>
      </c>
      <c r="P369" s="216">
        <v>882998.3333324471</v>
      </c>
      <c r="Q369" s="216"/>
      <c r="R369" s="216"/>
      <c r="S369" s="216"/>
      <c r="T369" s="216"/>
      <c r="U369" s="216"/>
    </row>
    <row r="370" spans="1:21" x14ac:dyDescent="0.2">
      <c r="A370" s="31" t="s">
        <v>25</v>
      </c>
      <c r="B370" s="216">
        <f si="66" t="shared"/>
        <v>486.66666666618005</v>
      </c>
      <c r="C370" s="216">
        <f si="66" t="shared"/>
        <v>2239.9999999977599</v>
      </c>
      <c r="D370" s="216">
        <f si="66" t="shared"/>
        <v>795673.33333253546</v>
      </c>
      <c r="E370" s="216">
        <f si="66" t="shared"/>
        <v>0</v>
      </c>
      <c r="F370" s="216">
        <f si="66" t="shared"/>
        <v>0</v>
      </c>
      <c r="G370" s="216">
        <f si="66" t="shared"/>
        <v>0</v>
      </c>
      <c r="H370" s="216">
        <f si="66" t="shared"/>
        <v>0</v>
      </c>
      <c r="I370" s="221">
        <f si="67" t="shared"/>
        <v>798399.99999919941</v>
      </c>
      <c r="N370" s="31" t="s">
        <v>25</v>
      </c>
      <c r="O370" s="216">
        <v>486.66666666618005</v>
      </c>
      <c r="P370" s="216">
        <v>2239.9999999977599</v>
      </c>
      <c r="Q370" s="216">
        <v>795673.33333253546</v>
      </c>
      <c r="R370" s="216"/>
      <c r="S370" s="216"/>
      <c r="T370" s="216"/>
      <c r="U370" s="216"/>
    </row>
    <row r="371" spans="1:21" x14ac:dyDescent="0.2">
      <c r="A371" s="31" t="s">
        <v>249</v>
      </c>
      <c r="B371" s="216">
        <f si="66" t="shared"/>
        <v>3188.3333333301453</v>
      </c>
      <c r="C371" s="216">
        <f si="66" t="shared"/>
        <v>1648.333333331685</v>
      </c>
      <c r="D371" s="216">
        <f si="66" t="shared"/>
        <v>4729.9999999952697</v>
      </c>
      <c r="E371" s="216">
        <f si="66" t="shared"/>
        <v>771794.9999992263</v>
      </c>
      <c r="F371" s="216">
        <f si="66" t="shared"/>
        <v>0</v>
      </c>
      <c r="G371" s="216">
        <f si="66" t="shared"/>
        <v>0</v>
      </c>
      <c r="H371" s="216">
        <f si="66" t="shared"/>
        <v>0</v>
      </c>
      <c r="I371" s="221">
        <f si="67" t="shared"/>
        <v>781361.66666588339</v>
      </c>
      <c r="N371" s="31" t="s">
        <v>249</v>
      </c>
      <c r="O371" s="216">
        <v>3188.3333333301453</v>
      </c>
      <c r="P371" s="216">
        <v>1648.333333331685</v>
      </c>
      <c r="Q371" s="216">
        <v>4729.9999999952697</v>
      </c>
      <c r="R371" s="216">
        <v>771794.9999992263</v>
      </c>
      <c r="S371" s="216"/>
      <c r="T371" s="216"/>
      <c r="U371" s="216"/>
    </row>
    <row r="372" spans="1:21" x14ac:dyDescent="0.2">
      <c r="A372" s="31" t="s">
        <v>27</v>
      </c>
      <c r="B372" s="216">
        <f si="66" t="shared"/>
        <v>15144.999999984855</v>
      </c>
      <c r="C372" s="216">
        <f si="66" t="shared"/>
        <v>5548.3333333277851</v>
      </c>
      <c r="D372" s="216">
        <f si="66" t="shared"/>
        <v>37178.333333296156</v>
      </c>
      <c r="E372" s="216">
        <f si="66" t="shared"/>
        <v>44501.666666622172</v>
      </c>
      <c r="F372" s="216">
        <f si="66" t="shared"/>
        <v>668418.33333266422</v>
      </c>
      <c r="G372" s="216">
        <f si="66" t="shared"/>
        <v>0</v>
      </c>
      <c r="H372" s="216">
        <f si="66" t="shared"/>
        <v>0</v>
      </c>
      <c r="I372" s="221">
        <f si="67" t="shared"/>
        <v>770791.66666589514</v>
      </c>
      <c r="N372" s="31" t="s">
        <v>27</v>
      </c>
      <c r="O372" s="216">
        <v>15144.999999984855</v>
      </c>
      <c r="P372" s="216">
        <v>5548.3333333277851</v>
      </c>
      <c r="Q372" s="216">
        <v>37178.333333296156</v>
      </c>
      <c r="R372" s="216">
        <v>44501.666666622172</v>
      </c>
      <c r="S372" s="216">
        <v>668418.33333266422</v>
      </c>
      <c r="T372" s="216"/>
      <c r="U372" s="216"/>
    </row>
    <row r="373" spans="1:21" x14ac:dyDescent="0.2">
      <c r="A373" s="31" t="s">
        <v>28</v>
      </c>
      <c r="B373" s="216">
        <f si="66" t="shared"/>
        <v>30044.999999969954</v>
      </c>
      <c r="C373" s="216">
        <f si="66" t="shared"/>
        <v>4339.9999999956599</v>
      </c>
      <c r="D373" s="216">
        <f si="66" t="shared"/>
        <v>41711.666666624958</v>
      </c>
      <c r="E373" s="216">
        <f si="66" t="shared"/>
        <v>64999.999999935026</v>
      </c>
      <c r="F373" s="216">
        <f si="66" t="shared"/>
        <v>162016.66666650464</v>
      </c>
      <c r="G373" s="216">
        <f si="66" t="shared"/>
        <v>841786.66666582215</v>
      </c>
      <c r="H373" s="216">
        <f si="66" t="shared"/>
        <v>0</v>
      </c>
      <c r="I373" s="221">
        <f si="67" t="shared"/>
        <v>1144899.9999988524</v>
      </c>
      <c r="N373" s="31" t="s">
        <v>28</v>
      </c>
      <c r="O373" s="216">
        <v>30044.999999969954</v>
      </c>
      <c r="P373" s="216">
        <v>4339.9999999956599</v>
      </c>
      <c r="Q373" s="216">
        <v>41711.666666624958</v>
      </c>
      <c r="R373" s="216">
        <v>64999.999999935026</v>
      </c>
      <c r="S373" s="216">
        <v>162016.66666650464</v>
      </c>
      <c r="T373" s="216">
        <v>841786.66666582215</v>
      </c>
      <c r="U373" s="216"/>
    </row>
    <row r="374" spans="1:21" x14ac:dyDescent="0.2">
      <c r="A374" s="31" t="s">
        <v>29</v>
      </c>
      <c r="B374" s="216">
        <f si="66" t="shared"/>
        <v>6461.666666660205</v>
      </c>
      <c r="C374" s="216">
        <f si="66" t="shared"/>
        <v>5138.3333333281953</v>
      </c>
      <c r="D374" s="216">
        <f si="66" t="shared"/>
        <v>22619.999999977379</v>
      </c>
      <c r="E374" s="216">
        <f si="66" t="shared"/>
        <v>20616.666666646048</v>
      </c>
      <c r="F374" s="216">
        <f si="66" t="shared"/>
        <v>71478.333333261893</v>
      </c>
      <c r="G374" s="216">
        <f si="66" t="shared"/>
        <v>60126.666666606565</v>
      </c>
      <c r="H374" s="216">
        <f si="66" t="shared"/>
        <v>0</v>
      </c>
      <c r="I374" s="221">
        <f si="67" t="shared"/>
        <v>186441.66666648028</v>
      </c>
      <c r="N374" s="31" t="s">
        <v>29</v>
      </c>
      <c r="O374" s="216">
        <v>6461.666666660205</v>
      </c>
      <c r="P374" s="216">
        <v>5138.3333333281953</v>
      </c>
      <c r="Q374" s="216">
        <v>22619.999999977379</v>
      </c>
      <c r="R374" s="216">
        <v>20616.666666646048</v>
      </c>
      <c r="S374" s="216">
        <v>71478.333333261893</v>
      </c>
      <c r="T374" s="216">
        <v>60126.666666606565</v>
      </c>
      <c r="U374" s="216"/>
    </row>
    <row r="375" spans="1:21" x14ac:dyDescent="0.2">
      <c r="A375" s="31" t="s">
        <v>240</v>
      </c>
      <c r="B375" s="216">
        <f ref="B375:H375" si="68" t="shared">SUM(B368:B374)</f>
        <v>901913.33333242859</v>
      </c>
      <c r="C375" s="216">
        <f si="68" t="shared"/>
        <v>901913.33333242836</v>
      </c>
      <c r="D375" s="216">
        <f si="68" t="shared"/>
        <v>901913.33333242917</v>
      </c>
      <c r="E375" s="216">
        <f si="68" t="shared"/>
        <v>901913.33333242952</v>
      </c>
      <c r="F375" s="216">
        <f si="68" t="shared"/>
        <v>901913.33333243069</v>
      </c>
      <c r="G375" s="216">
        <f si="68" t="shared"/>
        <v>901913.33333242871</v>
      </c>
      <c r="H375" s="216">
        <f si="68" t="shared"/>
        <v>0</v>
      </c>
      <c r="I375" s="221">
        <f si="67" t="shared"/>
        <v>5411479.999994575</v>
      </c>
      <c r="N375" s="31"/>
      <c r="O375" s="216">
        <v>0</v>
      </c>
      <c r="P375" s="216">
        <v>0</v>
      </c>
      <c r="Q375" s="216">
        <v>0</v>
      </c>
      <c r="R375" s="216">
        <v>0</v>
      </c>
      <c r="S375" s="216">
        <v>0</v>
      </c>
      <c r="T375" s="216">
        <v>0</v>
      </c>
      <c r="U375" s="216"/>
    </row>
  </sheetData>
  <pageMargins bottom="1" footer="0.5" header="0.5" left="0.75" right="0.75" top="1"/>
  <pageSetup orientation="portrait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75"/>
  <sheetViews>
    <sheetView workbookViewId="0">
      <selection activeCell="O363" sqref="O363"/>
    </sheetView>
  </sheetViews>
  <sheetFormatPr defaultColWidth="11" defaultRowHeight="12.75" x14ac:dyDescent="0.2"/>
  <sheetData>
    <row r="1" spans="1:23" x14ac:dyDescent="0.2">
      <c r="A1" t="s">
        <v>229</v>
      </c>
      <c r="B1">
        <v>1</v>
      </c>
    </row>
    <row r="2" spans="1:23" x14ac:dyDescent="0.2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2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2">
      <c r="A4">
        <v>0</v>
      </c>
      <c r="B4">
        <f ref="B4:J7" si="0" t="shared">O4*$B$1</f>
        <v>80633.552446438553</v>
      </c>
      <c r="C4">
        <f si="0" t="shared"/>
        <v>18470.37721498451</v>
      </c>
      <c r="D4">
        <f si="0" t="shared"/>
        <v>77217.843217569942</v>
      </c>
      <c r="E4">
        <f si="0" t="shared"/>
        <v>66601.960623785766</v>
      </c>
      <c r="F4">
        <f si="0" t="shared"/>
        <v>26218.114168534779</v>
      </c>
      <c r="G4">
        <f si="0" t="shared"/>
        <v>5242.6513618964027</v>
      </c>
      <c r="H4">
        <f si="0" t="shared"/>
        <v>29766.079688291942</v>
      </c>
      <c r="I4">
        <f si="0" t="shared"/>
        <v>0</v>
      </c>
      <c r="J4">
        <f si="0" t="shared"/>
        <v>304150.57872150192</v>
      </c>
      <c r="N4">
        <v>0</v>
      </c>
      <c r="O4" t="n">
        <v>80633.55244643855</v>
      </c>
      <c r="P4" t="n">
        <v>18470.37721498451</v>
      </c>
      <c r="Q4" t="n">
        <v>77217.84321756994</v>
      </c>
      <c r="R4" t="n">
        <v>66601.96062378577</v>
      </c>
      <c r="S4" t="n">
        <v>26218.11416853478</v>
      </c>
      <c r="T4" t="n">
        <v>5242.651361896403</v>
      </c>
      <c r="U4" t="n">
        <v>29766.079688291942</v>
      </c>
      <c r="V4" t="n">
        <v>0.0</v>
      </c>
      <c r="W4">
        <f>SUM(O4:V4)</f>
        <v>304150.57872150192</v>
      </c>
    </row>
    <row r="5" spans="1:23" x14ac:dyDescent="0.2">
      <c r="A5">
        <v>1</v>
      </c>
      <c r="B5">
        <f si="0" t="shared"/>
        <v>532786.9797047982</v>
      </c>
      <c r="C5">
        <f si="0" t="shared"/>
        <v>48300.345268160112</v>
      </c>
      <c r="D5">
        <f si="0" t="shared"/>
        <v>86901.015074669296</v>
      </c>
      <c r="E5">
        <f si="0" t="shared"/>
        <v>72612.747769116104</v>
      </c>
      <c r="F5">
        <f si="0" t="shared"/>
        <v>23898.371024301319</v>
      </c>
      <c r="G5">
        <f si="0" t="shared"/>
        <v>36170.350959199975</v>
      </c>
      <c r="H5">
        <f si="0" t="shared"/>
        <v>174300.23285164943</v>
      </c>
      <c r="I5">
        <f si="0" t="shared"/>
        <v>0</v>
      </c>
      <c r="J5">
        <f si="0" t="shared"/>
        <v>974970.04265189427</v>
      </c>
      <c r="N5">
        <v>1</v>
      </c>
      <c r="O5" t="n">
        <v>532786.9797047982</v>
      </c>
      <c r="P5" t="n">
        <v>48300.34526816011</v>
      </c>
      <c r="Q5" t="n">
        <v>86901.0150746693</v>
      </c>
      <c r="R5" t="n">
        <v>72612.7477691161</v>
      </c>
      <c r="S5" t="n">
        <v>23898.37102430132</v>
      </c>
      <c r="T5" t="n">
        <v>36170.350959199975</v>
      </c>
      <c r="U5" t="n">
        <v>174300.23285164943</v>
      </c>
      <c r="V5" t="n">
        <v>0.0</v>
      </c>
      <c r="W5">
        <f>SUM(O5:V5)</f>
        <v>974970.04265189427</v>
      </c>
    </row>
    <row r="6" spans="1:23" x14ac:dyDescent="0.2">
      <c r="A6">
        <v>2</v>
      </c>
      <c r="B6">
        <f si="0" t="shared"/>
        <v>192153.81858778317</v>
      </c>
      <c r="C6">
        <f si="0" t="shared"/>
        <v>27845.615069131894</v>
      </c>
      <c r="D6">
        <f si="0" t="shared"/>
        <v>38253.409984529819</v>
      </c>
      <c r="E6">
        <f si="0" t="shared"/>
        <v>40851.803106125888</v>
      </c>
      <c r="F6">
        <f si="0" t="shared"/>
        <v>11245.584369199749</v>
      </c>
      <c r="G6">
        <f si="0" t="shared"/>
        <v>12670.116340235476</v>
      </c>
      <c r="H6">
        <f si="0" t="shared"/>
        <v>57814.401121454888</v>
      </c>
      <c r="I6">
        <f si="0" t="shared"/>
        <v>0</v>
      </c>
      <c r="J6">
        <f si="0" t="shared"/>
        <v>380834.74857846089</v>
      </c>
      <c r="N6">
        <v>2</v>
      </c>
      <c r="O6" t="n">
        <v>192153.81858778317</v>
      </c>
      <c r="P6" t="n">
        <v>27845.615069131894</v>
      </c>
      <c r="Q6" t="n">
        <v>38253.40998452982</v>
      </c>
      <c r="R6" t="n">
        <v>40851.80310612589</v>
      </c>
      <c r="S6" t="n">
        <v>11245.584369199749</v>
      </c>
      <c r="T6" t="n">
        <v>12670.116340235476</v>
      </c>
      <c r="U6" t="n">
        <v>57814.40112145489</v>
      </c>
      <c r="V6" t="n">
        <v>0.0</v>
      </c>
      <c r="W6">
        <f>SUM(O6:V6)</f>
        <v>380834.74857846089</v>
      </c>
    </row>
    <row r="7" spans="1:23" x14ac:dyDescent="0.2">
      <c r="A7">
        <v>3</v>
      </c>
      <c r="B7">
        <f si="0" t="shared"/>
        <v>46440.649260979444</v>
      </c>
      <c r="C7">
        <f si="0" t="shared"/>
        <v>14008.66244772348</v>
      </c>
      <c r="D7">
        <f si="0" t="shared"/>
        <v>13037.731723231225</v>
      </c>
      <c r="E7">
        <f si="0" t="shared"/>
        <v>22848.488500972464</v>
      </c>
      <c r="F7">
        <f si="0" t="shared"/>
        <v>3270.9304379641426</v>
      </c>
      <c r="G7">
        <f si="0" t="shared"/>
        <v>1418.8813386681556</v>
      </c>
      <c r="H7">
        <f si="0" t="shared"/>
        <v>5240.2863386037707</v>
      </c>
      <c r="I7">
        <f si="0" t="shared"/>
        <v>0</v>
      </c>
      <c r="J7">
        <f si="0" t="shared"/>
        <v>106265.63004814267</v>
      </c>
      <c r="N7">
        <v>3</v>
      </c>
      <c r="O7" t="n">
        <v>46440.649260979444</v>
      </c>
      <c r="P7" t="n">
        <v>14008.66244772348</v>
      </c>
      <c r="Q7" t="n">
        <v>13037.731723231225</v>
      </c>
      <c r="R7" t="n">
        <v>22848.488500972464</v>
      </c>
      <c r="S7" t="n">
        <v>3270.9304379641426</v>
      </c>
      <c r="T7" t="n">
        <v>1418.8813386681556</v>
      </c>
      <c r="U7" t="n">
        <v>5240.286338603771</v>
      </c>
      <c r="V7" t="n">
        <v>0.0</v>
      </c>
      <c r="W7">
        <f>SUM(O7:V7)</f>
        <v>106265.63004814267</v>
      </c>
    </row>
    <row r="9" spans="1:23" x14ac:dyDescent="0.2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2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2">
      <c r="A11" t="s">
        <v>54</v>
      </c>
      <c r="B11">
        <f ref="B11:B23" si="1" t="shared">O11*$B$1</f>
        <v>80633.552446438553</v>
      </c>
      <c r="C11">
        <f ref="C11:C23" si="2" t="shared">P11*$B$1</f>
        <v>18470.37721498451</v>
      </c>
      <c r="D11">
        <f ref="D11:D23" si="3" t="shared">Q11*$B$1</f>
        <v>77217.843217569942</v>
      </c>
      <c r="E11">
        <f ref="E11:E23" si="4" t="shared">R11*$B$1</f>
        <v>66601.960623785766</v>
      </c>
      <c r="F11">
        <f ref="F11:F23" si="5" t="shared">S11*$B$1</f>
        <v>26218.114168534779</v>
      </c>
      <c r="G11">
        <f ref="G11:G23" si="6" t="shared">T11*$B$1</f>
        <v>5242.6513618964027</v>
      </c>
      <c r="H11">
        <f ref="H11:H23" si="7" t="shared">U11*$B$1</f>
        <v>29766.079688291942</v>
      </c>
      <c r="I11">
        <f ref="I11:I23" si="8" t="shared">V11*$B$1</f>
        <v>0</v>
      </c>
      <c r="J11">
        <f ref="J11:J23" si="9" t="shared">W11*$B$1</f>
        <v>304150.57872150192</v>
      </c>
      <c r="N11" t="s">
        <v>54</v>
      </c>
      <c r="O11" t="n">
        <v>80633.55244643855</v>
      </c>
      <c r="P11" t="n">
        <v>18470.37721498451</v>
      </c>
      <c r="Q11" t="n">
        <v>77217.84321756994</v>
      </c>
      <c r="R11" t="n">
        <v>66601.96062378577</v>
      </c>
      <c r="S11" t="n">
        <v>26218.11416853478</v>
      </c>
      <c r="T11" t="n">
        <v>5242.651361896403</v>
      </c>
      <c r="U11" t="n">
        <v>29766.079688291942</v>
      </c>
      <c r="V11" t="n">
        <v>0.0</v>
      </c>
      <c r="W11">
        <f ref="W11:W23" si="10" t="shared">SUM(O11:V11)</f>
        <v>304150.57872150192</v>
      </c>
    </row>
    <row r="12" spans="1:23" x14ac:dyDescent="0.2">
      <c r="A12" s="58" t="s">
        <v>55</v>
      </c>
      <c r="B12">
        <f si="1" t="shared"/>
        <v>243588.31530529057</v>
      </c>
      <c r="C12">
        <f si="2" t="shared"/>
        <v>22042.959155148852</v>
      </c>
      <c r="D12">
        <f si="3" t="shared"/>
        <v>42754.653739792178</v>
      </c>
      <c r="E12">
        <f si="4" t="shared"/>
        <v>34898.128762734908</v>
      </c>
      <c r="F12">
        <f si="5" t="shared"/>
        <v>14558.867641034692</v>
      </c>
      <c r="G12">
        <f si="6" t="shared"/>
        <v>21695.729322337931</v>
      </c>
      <c r="H12">
        <f si="7" t="shared"/>
        <v>125561.00020467</v>
      </c>
      <c r="I12">
        <f si="8" t="shared"/>
        <v>0</v>
      </c>
      <c r="J12">
        <f si="9" t="shared"/>
        <v>505099.65413100913</v>
      </c>
      <c r="N12" s="58" t="s">
        <v>55</v>
      </c>
      <c r="O12" t="n">
        <v>243588.31530529057</v>
      </c>
      <c r="P12" t="n">
        <v>22042.959155148852</v>
      </c>
      <c r="Q12" t="n">
        <v>42754.65373979218</v>
      </c>
      <c r="R12" t="n">
        <v>34898.12876273491</v>
      </c>
      <c r="S12" t="n">
        <v>14558.867641034692</v>
      </c>
      <c r="T12" t="n">
        <v>21695.72932233793</v>
      </c>
      <c r="U12" t="n">
        <v>125561.00020467</v>
      </c>
      <c r="V12" t="n">
        <v>0.0</v>
      </c>
      <c r="W12">
        <f si="10" t="shared"/>
        <v>505099.65413100913</v>
      </c>
    </row>
    <row r="13" spans="1:23" x14ac:dyDescent="0.2">
      <c r="A13" s="56" t="s">
        <v>56</v>
      </c>
      <c r="B13">
        <f si="1" t="shared"/>
        <v>125836.69147950184</v>
      </c>
      <c r="C13">
        <f si="2" t="shared"/>
        <v>11501.472781467042</v>
      </c>
      <c r="D13">
        <f si="3" t="shared"/>
        <v>18453.346444951334</v>
      </c>
      <c r="E13">
        <f si="4" t="shared"/>
        <v>16026.582662958093</v>
      </c>
      <c r="F13">
        <f si="5" t="shared"/>
        <v>4709.7580533052878</v>
      </c>
      <c r="G13">
        <f si="6" t="shared"/>
        <v>8735.0894044949</v>
      </c>
      <c r="H13">
        <f si="7" t="shared"/>
        <v>25586.224397909868</v>
      </c>
      <c r="I13">
        <f si="8" t="shared"/>
        <v>0</v>
      </c>
      <c r="J13">
        <f si="9" t="shared"/>
        <v>210849.16522458839</v>
      </c>
      <c r="N13" s="56" t="s">
        <v>56</v>
      </c>
      <c r="O13" t="n">
        <v>125836.69147950184</v>
      </c>
      <c r="P13" t="n">
        <v>11501.472781467042</v>
      </c>
      <c r="Q13" t="n">
        <v>18453.346444951334</v>
      </c>
      <c r="R13" t="n">
        <v>16026.582662958093</v>
      </c>
      <c r="S13" t="n">
        <v>4709.758053305288</v>
      </c>
      <c r="T13" t="n">
        <v>8735.0894044949</v>
      </c>
      <c r="U13" t="n">
        <v>25586.224397909868</v>
      </c>
      <c r="V13" t="n">
        <v>0.0</v>
      </c>
      <c r="W13">
        <f si="10" t="shared"/>
        <v>210849.16522458839</v>
      </c>
    </row>
    <row r="14" spans="1:23" x14ac:dyDescent="0.2">
      <c r="A14" s="56" t="s">
        <v>57</v>
      </c>
      <c r="B14">
        <f si="1" t="shared"/>
        <v>78466.390323222397</v>
      </c>
      <c r="C14">
        <f si="2" t="shared"/>
        <v>6747.7894152598565</v>
      </c>
      <c r="D14">
        <f si="3" t="shared"/>
        <v>11899.35722663456</v>
      </c>
      <c r="E14">
        <f si="4" t="shared"/>
        <v>8449.7780107095641</v>
      </c>
      <c r="F14">
        <f si="5" t="shared"/>
        <v>2807.6200616019073</v>
      </c>
      <c r="G14">
        <f si="6" t="shared"/>
        <v>1691.0112377131891</v>
      </c>
      <c r="H14">
        <f si="7" t="shared"/>
        <v>14351.809495019777</v>
      </c>
      <c r="I14">
        <f si="8" t="shared"/>
        <v>0</v>
      </c>
      <c r="J14">
        <f si="9" t="shared"/>
        <v>124413.75577016125</v>
      </c>
      <c r="N14" s="56" t="s">
        <v>57</v>
      </c>
      <c r="O14" t="n">
        <v>78466.3903232224</v>
      </c>
      <c r="P14" t="n">
        <v>6747.7894152598565</v>
      </c>
      <c r="Q14" t="n">
        <v>11899.35722663456</v>
      </c>
      <c r="R14" t="n">
        <v>8449.778010709564</v>
      </c>
      <c r="S14" t="n">
        <v>2807.6200616019073</v>
      </c>
      <c r="T14" t="n">
        <v>1691.011237713189</v>
      </c>
      <c r="U14" t="n">
        <v>14351.809495019777</v>
      </c>
      <c r="V14" t="n">
        <v>0.0</v>
      </c>
      <c r="W14">
        <f si="10" t="shared"/>
        <v>124413.75577016125</v>
      </c>
    </row>
    <row r="15" spans="1:23" x14ac:dyDescent="0.2">
      <c r="A15" t="s">
        <v>58</v>
      </c>
      <c r="B15">
        <f si="1" t="shared"/>
        <v>84895.582596783381</v>
      </c>
      <c r="C15">
        <f si="2" t="shared"/>
        <v>8008.1239162843631</v>
      </c>
      <c r="D15">
        <f si="3" t="shared"/>
        <v>13793.657663291224</v>
      </c>
      <c r="E15">
        <f si="4" t="shared"/>
        <v>13238.258332713534</v>
      </c>
      <c r="F15">
        <f si="5" t="shared"/>
        <v>1822.1252683594341</v>
      </c>
      <c r="G15">
        <f si="6" t="shared"/>
        <v>4048.5209946539562</v>
      </c>
      <c r="H15">
        <f si="7" t="shared"/>
        <v>8801.1987540497958</v>
      </c>
      <c r="I15">
        <f si="8" t="shared"/>
        <v>0</v>
      </c>
      <c r="J15">
        <f si="9" t="shared"/>
        <v>134607.46752613568</v>
      </c>
      <c r="N15" t="s">
        <v>58</v>
      </c>
      <c r="O15" t="n">
        <v>84895.58259678338</v>
      </c>
      <c r="P15" t="n">
        <v>8008.123916284363</v>
      </c>
      <c r="Q15" t="n">
        <v>13793.657663291224</v>
      </c>
      <c r="R15" t="n">
        <v>13238.258332713534</v>
      </c>
      <c r="S15" t="n">
        <v>1822.1252683594341</v>
      </c>
      <c r="T15" t="n">
        <v>4048.520994653956</v>
      </c>
      <c r="U15" t="n">
        <v>8801.198754049796</v>
      </c>
      <c r="V15" t="n">
        <v>0.0</v>
      </c>
      <c r="W15">
        <f si="10" t="shared"/>
        <v>134607.46752613568</v>
      </c>
    </row>
    <row r="16" spans="1:23" x14ac:dyDescent="0.2">
      <c r="A16" s="58" t="s">
        <v>59</v>
      </c>
      <c r="B16">
        <f si="1" t="shared"/>
        <v>61197.212018352504</v>
      </c>
      <c r="C16">
        <f si="2" t="shared"/>
        <v>8917.0380648149312</v>
      </c>
      <c r="D16">
        <f si="3" t="shared"/>
        <v>12204.147976233429</v>
      </c>
      <c r="E16">
        <f si="4" t="shared"/>
        <v>13988.418417727211</v>
      </c>
      <c r="F16">
        <f si="5" t="shared"/>
        <v>5302.7033644314088</v>
      </c>
      <c r="G16">
        <f si="6" t="shared"/>
        <v>6542.4842479477666</v>
      </c>
      <c r="H16">
        <f si="7" t="shared"/>
        <v>32522.38823517918</v>
      </c>
      <c r="I16">
        <f si="8" t="shared"/>
        <v>0</v>
      </c>
      <c r="J16">
        <f si="9" t="shared"/>
        <v>140674.39232468643</v>
      </c>
      <c r="N16" s="58" t="s">
        <v>59</v>
      </c>
      <c r="O16" t="n">
        <v>61197.212018352504</v>
      </c>
      <c r="P16" t="n">
        <v>8917.038064814931</v>
      </c>
      <c r="Q16" t="n">
        <v>12204.14797623343</v>
      </c>
      <c r="R16" t="n">
        <v>13988.41841772721</v>
      </c>
      <c r="S16" t="n">
        <v>5302.703364431409</v>
      </c>
      <c r="T16" t="n">
        <v>6542.484247947767</v>
      </c>
      <c r="U16" t="n">
        <v>32522.38823517918</v>
      </c>
      <c r="V16" t="n">
        <v>0.0</v>
      </c>
      <c r="W16">
        <f si="10" t="shared"/>
        <v>140674.39232468643</v>
      </c>
    </row>
    <row r="17" spans="1:23" x14ac:dyDescent="0.2">
      <c r="A17" s="56" t="s">
        <v>60</v>
      </c>
      <c r="B17">
        <f si="1" t="shared"/>
        <v>49119.744594403601</v>
      </c>
      <c r="C17">
        <f si="2" t="shared"/>
        <v>6302.6420392639775</v>
      </c>
      <c r="D17">
        <f si="3" t="shared"/>
        <v>8889.6175491431477</v>
      </c>
      <c r="E17">
        <f si="4" t="shared"/>
        <v>11421.824936643365</v>
      </c>
      <c r="F17">
        <f si="5" t="shared"/>
        <v>1990.8758694062872</v>
      </c>
      <c r="G17">
        <f si="6" t="shared"/>
        <v>2762.668631476623</v>
      </c>
      <c r="H17">
        <f si="7" t="shared"/>
        <v>15651.17073198156</v>
      </c>
      <c r="I17">
        <f si="8" t="shared"/>
        <v>0</v>
      </c>
      <c r="J17">
        <f si="9" t="shared"/>
        <v>96138.544352318568</v>
      </c>
      <c r="N17" s="56" t="s">
        <v>60</v>
      </c>
      <c r="O17" t="n">
        <v>49119.7445944036</v>
      </c>
      <c r="P17" t="n">
        <v>6302.6420392639775</v>
      </c>
      <c r="Q17" t="n">
        <v>8889.617549143148</v>
      </c>
      <c r="R17" t="n">
        <v>11421.824936643365</v>
      </c>
      <c r="S17" t="n">
        <v>1990.8758694062872</v>
      </c>
      <c r="T17" t="n">
        <v>2762.668631476623</v>
      </c>
      <c r="U17" t="n">
        <v>15651.17073198156</v>
      </c>
      <c r="V17" t="n">
        <v>0.0</v>
      </c>
      <c r="W17">
        <f si="10" t="shared"/>
        <v>96138.544352318568</v>
      </c>
    </row>
    <row r="18" spans="1:23" x14ac:dyDescent="0.2">
      <c r="A18" s="56" t="s">
        <v>61</v>
      </c>
      <c r="B18">
        <f si="1" t="shared"/>
        <v>39143.412292344838</v>
      </c>
      <c r="C18">
        <f si="2" t="shared"/>
        <v>5027.4116343990154</v>
      </c>
      <c r="D18">
        <f si="3" t="shared"/>
        <v>8737.0744758213368</v>
      </c>
      <c r="E18">
        <f si="4" t="shared"/>
        <v>5770.7274255819275</v>
      </c>
      <c r="F18">
        <f si="5" t="shared"/>
        <v>1572.1150287732924</v>
      </c>
      <c r="G18">
        <f si="6" t="shared"/>
        <v>1570.4986260531762</v>
      </c>
      <c r="H18">
        <f si="7" t="shared"/>
        <v>6964.057347972157</v>
      </c>
      <c r="I18">
        <f si="8" t="shared"/>
        <v>0</v>
      </c>
      <c r="J18">
        <f si="9" t="shared"/>
        <v>68785.296830945736</v>
      </c>
      <c r="N18" s="56" t="s">
        <v>61</v>
      </c>
      <c r="O18" t="n">
        <v>39143.41229234484</v>
      </c>
      <c r="P18" t="n">
        <v>5027.411634399015</v>
      </c>
      <c r="Q18" t="n">
        <v>8737.074475821337</v>
      </c>
      <c r="R18" t="n">
        <v>5770.7274255819275</v>
      </c>
      <c r="S18" t="n">
        <v>1572.1150287732924</v>
      </c>
      <c r="T18" t="n">
        <v>1570.4986260531762</v>
      </c>
      <c r="U18" t="n">
        <v>6964.057347972157</v>
      </c>
      <c r="V18" t="n">
        <v>0.0</v>
      </c>
      <c r="W18">
        <f si="10" t="shared"/>
        <v>68785.296830945736</v>
      </c>
    </row>
    <row r="19" spans="1:23" x14ac:dyDescent="0.2">
      <c r="A19" t="s">
        <v>62</v>
      </c>
      <c r="B19">
        <f si="1" t="shared"/>
        <v>42693.449682682221</v>
      </c>
      <c r="C19">
        <f si="2" t="shared"/>
        <v>7598.5233306539703</v>
      </c>
      <c r="D19">
        <f si="3" t="shared"/>
        <v>8422.5699833319031</v>
      </c>
      <c r="E19">
        <f si="4" t="shared"/>
        <v>9670.8323261733822</v>
      </c>
      <c r="F19">
        <f si="5" t="shared"/>
        <v>2379.8901065887599</v>
      </c>
      <c r="G19">
        <f si="6" t="shared"/>
        <v>1794.4648347579096</v>
      </c>
      <c r="H19">
        <f si="7" t="shared"/>
        <v>2676.7848063219935</v>
      </c>
      <c r="I19">
        <f si="8" t="shared"/>
        <v>0</v>
      </c>
      <c r="J19">
        <f si="9" t="shared"/>
        <v>75236.515070510126</v>
      </c>
      <c r="N19" t="s">
        <v>62</v>
      </c>
      <c r="O19" t="n">
        <v>42693.44968268222</v>
      </c>
      <c r="P19" t="n">
        <v>7598.52333065397</v>
      </c>
      <c r="Q19" t="n">
        <v>8422.569983331903</v>
      </c>
      <c r="R19" t="n">
        <v>9670.832326173382</v>
      </c>
      <c r="S19" t="n">
        <v>2379.89010658876</v>
      </c>
      <c r="T19" t="n">
        <v>1794.4648347579096</v>
      </c>
      <c r="U19" t="n">
        <v>2676.7848063219935</v>
      </c>
      <c r="V19" t="n">
        <v>0.0</v>
      </c>
      <c r="W19">
        <f si="10" t="shared"/>
        <v>75236.515070510126</v>
      </c>
    </row>
    <row r="20" spans="1:23" x14ac:dyDescent="0.2">
      <c r="A20" s="58" t="s">
        <v>63</v>
      </c>
      <c r="B20">
        <f si="1" t="shared"/>
        <v>13461.323819781524</v>
      </c>
      <c r="C20">
        <f si="2" t="shared"/>
        <v>3852.2501345447031</v>
      </c>
      <c r="D20">
        <f si="3" t="shared"/>
        <v>3292.6763485916181</v>
      </c>
      <c r="E20">
        <f si="4" t="shared"/>
        <v>4151.1352183713752</v>
      </c>
      <c r="F20">
        <f si="5" t="shared"/>
        <v>1599.1896555934952</v>
      </c>
      <c r="G20">
        <f si="6" t="shared"/>
        <v>589.58908769955588</v>
      </c>
      <c r="H20">
        <f si="7" t="shared"/>
        <v>1493.9761932487104</v>
      </c>
      <c r="I20">
        <f si="8" t="shared"/>
        <v>0</v>
      </c>
      <c r="J20">
        <f si="9" t="shared"/>
        <v>28440.140457830981</v>
      </c>
      <c r="N20" s="58" t="s">
        <v>63</v>
      </c>
      <c r="O20" t="n">
        <v>13461.323819781524</v>
      </c>
      <c r="P20" t="n">
        <v>3852.250134544703</v>
      </c>
      <c r="Q20" t="n">
        <v>3292.676348591618</v>
      </c>
      <c r="R20" t="n">
        <v>4151.135218371375</v>
      </c>
      <c r="S20" t="n">
        <v>1599.1896555934952</v>
      </c>
      <c r="T20" t="n">
        <v>589.5890876995559</v>
      </c>
      <c r="U20" t="n">
        <v>1493.9761932487104</v>
      </c>
      <c r="V20" t="n">
        <v>0.0</v>
      </c>
      <c r="W20">
        <f si="10" t="shared"/>
        <v>28440.140457830981</v>
      </c>
    </row>
    <row r="21" spans="1:23" x14ac:dyDescent="0.2">
      <c r="A21" s="56" t="s">
        <v>64</v>
      </c>
      <c r="B21">
        <f si="1" t="shared"/>
        <v>9856.5496880074315</v>
      </c>
      <c r="C21">
        <f si="2" t="shared"/>
        <v>3385.9232092613001</v>
      </c>
      <c r="D21">
        <f si="3" t="shared"/>
        <v>4223.1086479242003</v>
      </c>
      <c r="E21">
        <f si="4" t="shared"/>
        <v>6886.3599962394364</v>
      </c>
      <c r="F21">
        <f si="5" t="shared"/>
        <v>485.73930112962802</v>
      </c>
      <c r="G21">
        <f si="6" t="shared"/>
        <v>521.7386913210139</v>
      </c>
      <c r="H21">
        <f si="7" t="shared"/>
        <v>1500.4387127315961</v>
      </c>
      <c r="I21">
        <f si="8" t="shared"/>
        <v>0</v>
      </c>
      <c r="J21">
        <f si="9" t="shared"/>
        <v>26859.858246614604</v>
      </c>
      <c r="N21" s="56" t="s">
        <v>64</v>
      </c>
      <c r="O21" t="n">
        <v>9856.549688007432</v>
      </c>
      <c r="P21" t="n">
        <v>3385.9232092613</v>
      </c>
      <c r="Q21" t="n">
        <v>4223.1086479242</v>
      </c>
      <c r="R21" t="n">
        <v>6886.359996239436</v>
      </c>
      <c r="S21" t="n">
        <v>485.739301129628</v>
      </c>
      <c r="T21" t="n">
        <v>521.7386913210139</v>
      </c>
      <c r="U21" t="n">
        <v>1500.438712731596</v>
      </c>
      <c r="V21" t="n">
        <v>0.0</v>
      </c>
      <c r="W21">
        <f si="10" t="shared"/>
        <v>26859.858246614604</v>
      </c>
    </row>
    <row r="22" spans="1:23" x14ac:dyDescent="0.2">
      <c r="A22" s="56" t="s">
        <v>65</v>
      </c>
      <c r="B22">
        <f si="1" t="shared"/>
        <v>10023.905786996735</v>
      </c>
      <c r="C22">
        <f si="2" t="shared"/>
        <v>2331.0194063853146</v>
      </c>
      <c r="D22">
        <f si="3" t="shared"/>
        <v>2524.7015809063009</v>
      </c>
      <c r="E22">
        <f si="4" t="shared"/>
        <v>3011.0053825985096</v>
      </c>
      <c r="F22">
        <f si="5" t="shared"/>
        <v>207.626271194064</v>
      </c>
      <c r="G22">
        <f si="6" t="shared"/>
        <v>307.55355964758581</v>
      </c>
      <c r="H22">
        <f si="7" t="shared"/>
        <v>546.97820349968856</v>
      </c>
      <c r="I22">
        <f si="8" t="shared"/>
        <v>0</v>
      </c>
      <c r="J22">
        <f si="9" t="shared"/>
        <v>18952.7901912282</v>
      </c>
      <c r="N22" s="56" t="s">
        <v>65</v>
      </c>
      <c r="O22" t="n">
        <v>10023.905786996735</v>
      </c>
      <c r="P22" t="n">
        <v>2331.0194063853146</v>
      </c>
      <c r="Q22" t="n">
        <v>2524.701580906301</v>
      </c>
      <c r="R22" t="n">
        <v>3011.0053825985096</v>
      </c>
      <c r="S22" t="n">
        <v>207.626271194064</v>
      </c>
      <c r="T22" t="n">
        <v>307.5535596475858</v>
      </c>
      <c r="U22" t="n">
        <v>546.9782034996886</v>
      </c>
      <c r="V22" t="n">
        <v>0.0</v>
      </c>
      <c r="W22">
        <f si="10" t="shared"/>
        <v>18952.7901912282</v>
      </c>
    </row>
    <row r="23" spans="1:23" x14ac:dyDescent="0.2">
      <c r="A23" t="s">
        <v>66</v>
      </c>
      <c r="B23">
        <f si="1" t="shared"/>
        <v>13098.869966193757</v>
      </c>
      <c r="C23">
        <f si="2" t="shared"/>
        <v>4439.4696975321622</v>
      </c>
      <c r="D23">
        <f si="3" t="shared"/>
        <v>2997.2451458091064</v>
      </c>
      <c r="E23">
        <f si="4" t="shared"/>
        <v>8799.9879037631417</v>
      </c>
      <c r="F23">
        <f si="5" t="shared"/>
        <v>978.37521004695543</v>
      </c>
      <c r="G23">
        <f si="6" t="shared"/>
        <v>0</v>
      </c>
      <c r="H23">
        <f si="7" t="shared"/>
        <v>1698.8932291237757</v>
      </c>
      <c r="I23">
        <f si="8" t="shared"/>
        <v>0</v>
      </c>
      <c r="J23">
        <f si="9" t="shared"/>
        <v>32012.8411524689</v>
      </c>
      <c r="N23" t="s">
        <v>66</v>
      </c>
      <c r="O23" t="n">
        <v>13098.869966193757</v>
      </c>
      <c r="P23" t="n">
        <v>4439.469697532162</v>
      </c>
      <c r="Q23" t="n">
        <v>2997.2451458091064</v>
      </c>
      <c r="R23" t="n">
        <v>8799.987903763142</v>
      </c>
      <c r="S23" t="n">
        <v>978.3752100469554</v>
      </c>
      <c r="T23" t="n">
        <v>0.0</v>
      </c>
      <c r="U23" t="n">
        <v>1698.8932291237757</v>
      </c>
      <c r="V23" t="n">
        <v>0.0</v>
      </c>
      <c r="W23">
        <f si="10" t="shared"/>
        <v>32012.8411524689</v>
      </c>
    </row>
    <row r="25" spans="1:23" x14ac:dyDescent="0.2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2">
      <c r="A27" t="s">
        <v>23</v>
      </c>
      <c r="N27" t="s">
        <v>23</v>
      </c>
    </row>
    <row r="28" spans="1:23" x14ac:dyDescent="0.2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2">
      <c r="A29" t="s">
        <v>54</v>
      </c>
      <c r="B29">
        <f ref="B29:J32" si="11" t="shared">O29*$B$1</f>
        <v>170033.37186062202</v>
      </c>
      <c r="C29">
        <f si="11" t="shared"/>
        <v>52462.767777288223</v>
      </c>
      <c r="D29">
        <f si="11" t="shared"/>
        <v>211689.03320710929</v>
      </c>
      <c r="E29">
        <f si="11" t="shared"/>
        <v>191237.12101862917</v>
      </c>
      <c r="F29">
        <f si="11" t="shared"/>
        <v>50388.546063746035</v>
      </c>
      <c r="G29">
        <f si="11" t="shared"/>
        <v>52508.645138879299</v>
      </c>
      <c r="H29">
        <f si="11" t="shared"/>
        <v>266039.86496527662</v>
      </c>
      <c r="I29">
        <f si="11" t="shared"/>
        <v>0</v>
      </c>
      <c r="J29">
        <f si="11" t="shared"/>
        <v>994359.35003155051</v>
      </c>
      <c r="N29" t="s">
        <v>54</v>
      </c>
      <c r="O29" t="n">
        <v>170033.37186062202</v>
      </c>
      <c r="P29" t="n">
        <v>52462.76777728822</v>
      </c>
      <c r="Q29" t="n">
        <v>211689.03320710929</v>
      </c>
      <c r="R29" t="n">
        <v>191237.12101862917</v>
      </c>
      <c r="S29" t="n">
        <v>50388.546063746035</v>
      </c>
      <c r="T29" t="n">
        <v>52508.6451388793</v>
      </c>
      <c r="U29" t="n">
        <v>266039.8649652766</v>
      </c>
      <c r="V29" t="n">
        <v>0.0</v>
      </c>
      <c r="W29">
        <f>SUM(O29:V29)</f>
        <v>994359.35003155051</v>
      </c>
    </row>
    <row r="30" spans="1:23" x14ac:dyDescent="0.2">
      <c r="A30" t="s">
        <v>70</v>
      </c>
      <c r="B30">
        <f si="11" t="shared"/>
        <v>0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1660.5497437090035</v>
      </c>
      <c r="G30">
        <f si="11" t="shared"/>
        <v>715.44649077562553</v>
      </c>
      <c r="H30">
        <f si="11" t="shared"/>
        <v>547.32754101886007</v>
      </c>
      <c r="I30">
        <f si="11" t="shared"/>
        <v>0</v>
      </c>
      <c r="J30">
        <f si="11" t="shared"/>
        <v>2923.3237755034888</v>
      </c>
      <c r="N30" t="s">
        <v>70</v>
      </c>
      <c r="O30" t="n">
        <v>0.0</v>
      </c>
      <c r="P30" t="n">
        <v>0.0</v>
      </c>
      <c r="Q30" t="n">
        <v>0.0</v>
      </c>
      <c r="R30" t="n">
        <v>0.0</v>
      </c>
      <c r="S30" t="n">
        <v>1660.5497437090035</v>
      </c>
      <c r="T30" t="n">
        <v>715.4464907756255</v>
      </c>
      <c r="U30" t="n">
        <v>547.3275410188601</v>
      </c>
      <c r="V30" t="n">
        <v>0.0</v>
      </c>
      <c r="W30">
        <f>SUM(O30:V30)</f>
        <v>2923.3237755034888</v>
      </c>
    </row>
    <row r="31" spans="1:23" x14ac:dyDescent="0.2">
      <c r="A31" t="s">
        <v>71</v>
      </c>
      <c r="B31">
        <f si="11" t="shared"/>
        <v>603970.81886196835</v>
      </c>
      <c r="C31">
        <f si="11" t="shared"/>
        <v>48492.951361159874</v>
      </c>
      <c r="D31">
        <f si="11" t="shared"/>
        <v>3313.8132887650108</v>
      </c>
      <c r="E31">
        <f si="11" t="shared"/>
        <v>9385.4916055102349</v>
      </c>
      <c r="F31">
        <f si="11" t="shared"/>
        <v>11421.496700184509</v>
      </c>
      <c r="G31">
        <f si="11" t="shared"/>
        <v>2277.9083703450824</v>
      </c>
      <c r="H31">
        <f si="11" t="shared"/>
        <v>533.80749370456215</v>
      </c>
      <c r="I31">
        <f si="11" t="shared"/>
        <v>0</v>
      </c>
      <c r="J31">
        <f si="11" t="shared"/>
        <v>679396.2876816378</v>
      </c>
      <c r="N31" t="s">
        <v>71</v>
      </c>
      <c r="O31" t="n">
        <v>603970.8188619683</v>
      </c>
      <c r="P31" t="n">
        <v>48492.951361159874</v>
      </c>
      <c r="Q31" t="n">
        <v>3313.813288765011</v>
      </c>
      <c r="R31" t="n">
        <v>9385.491605510235</v>
      </c>
      <c r="S31" t="n">
        <v>11421.496700184509</v>
      </c>
      <c r="T31" t="n">
        <v>2277.9083703450824</v>
      </c>
      <c r="U31" t="n">
        <v>533.8074937045621</v>
      </c>
      <c r="V31" t="n">
        <v>0.0</v>
      </c>
      <c r="W31">
        <f>SUM(O31:V31)</f>
        <v>679396.2876816378</v>
      </c>
    </row>
    <row r="32" spans="1:23" x14ac:dyDescent="0.2">
      <c r="A32" t="s">
        <v>72</v>
      </c>
      <c r="B32">
        <f si="11" t="shared"/>
        <v>78010.809277408945</v>
      </c>
      <c r="C32">
        <f si="11" t="shared"/>
        <v>7669.2808615519052</v>
      </c>
      <c r="D32">
        <f si="11" t="shared"/>
        <v>407.15350412597684</v>
      </c>
      <c r="E32">
        <f si="11" t="shared"/>
        <v>2292.3873758608188</v>
      </c>
      <c r="F32">
        <f si="11" t="shared"/>
        <v>1162.4074923604483</v>
      </c>
      <c r="G32">
        <f si="11" t="shared"/>
        <v>0</v>
      </c>
      <c r="H32">
        <f si="11" t="shared"/>
        <v>0</v>
      </c>
      <c r="I32">
        <f si="11" t="shared"/>
        <v>0</v>
      </c>
      <c r="J32">
        <f si="11" t="shared"/>
        <v>89542.038511308099</v>
      </c>
      <c r="N32" t="s">
        <v>72</v>
      </c>
      <c r="O32" t="n">
        <v>78010.80927740895</v>
      </c>
      <c r="P32" t="n">
        <v>7669.280861551905</v>
      </c>
      <c r="Q32" t="n">
        <v>407.15350412597684</v>
      </c>
      <c r="R32" t="n">
        <v>2292.387375860819</v>
      </c>
      <c r="S32" t="n">
        <v>1162.4074923604483</v>
      </c>
      <c r="T32" t="n">
        <v>0.0</v>
      </c>
      <c r="U32" t="n">
        <v>0.0</v>
      </c>
      <c r="V32" t="n">
        <v>0.0</v>
      </c>
      <c r="W32">
        <f>SUM(O32:V32)</f>
        <v>89542.038511308099</v>
      </c>
    </row>
    <row r="34" spans="1:23" x14ac:dyDescent="0.2">
      <c r="A34" t="s">
        <v>24</v>
      </c>
      <c r="N34" t="s">
        <v>24</v>
      </c>
    </row>
    <row r="35" spans="1:23" x14ac:dyDescent="0.2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2">
      <c r="A36" t="s">
        <v>54</v>
      </c>
      <c r="B36">
        <f ref="B36:J39" si="12" t="shared">O36*$B$1</f>
        <v>838797.36329358432</v>
      </c>
      <c r="C36">
        <f si="12" t="shared"/>
        <v>106626.56439359656</v>
      </c>
      <c r="D36">
        <f si="12" t="shared"/>
        <v>215020.34830881163</v>
      </c>
      <c r="E36">
        <f si="12" t="shared"/>
        <v>200485.20271791733</v>
      </c>
      <c r="F36">
        <f si="12" t="shared"/>
        <v>49597.913976236385</v>
      </c>
      <c r="G36">
        <f si="12" t="shared"/>
        <v>16940.784614252581</v>
      </c>
      <c r="H36">
        <f si="12" t="shared"/>
        <v>69111.264943919654</v>
      </c>
      <c r="I36">
        <f si="12" t="shared"/>
        <v>0</v>
      </c>
      <c r="J36">
        <f si="12" t="shared"/>
        <v>1496579.4422483186</v>
      </c>
      <c r="N36" t="s">
        <v>54</v>
      </c>
      <c r="O36" t="n">
        <v>838797.3632935843</v>
      </c>
      <c r="P36" t="n">
        <v>106626.56439359656</v>
      </c>
      <c r="Q36" t="n">
        <v>215020.34830881163</v>
      </c>
      <c r="R36" t="n">
        <v>200485.20271791733</v>
      </c>
      <c r="S36" t="n">
        <v>49597.913976236385</v>
      </c>
      <c r="T36" t="n">
        <v>16940.78461425258</v>
      </c>
      <c r="U36" t="n">
        <v>69111.26494391965</v>
      </c>
      <c r="V36" t="n">
        <v>0.0</v>
      </c>
      <c r="W36">
        <f>SUM(O36:V36)</f>
        <v>1496579.4422483186</v>
      </c>
    </row>
    <row r="37" spans="1:23" x14ac:dyDescent="0.2">
      <c r="A37" t="s">
        <v>70</v>
      </c>
      <c r="B37">
        <f si="12" t="shared"/>
        <v>5395.2652047421698</v>
      </c>
      <c r="C37">
        <f si="12" t="shared"/>
        <v>742.3319462550877</v>
      </c>
      <c r="D37">
        <f si="12" t="shared"/>
        <v>0</v>
      </c>
      <c r="E37">
        <f si="12" t="shared"/>
        <v>73.871567095522906</v>
      </c>
      <c r="F37">
        <f si="12" t="shared"/>
        <v>0</v>
      </c>
      <c r="G37">
        <f si="12" t="shared"/>
        <v>0</v>
      </c>
      <c r="H37">
        <f si="12" t="shared"/>
        <v>0</v>
      </c>
      <c r="I37">
        <f si="12" t="shared"/>
        <v>0</v>
      </c>
      <c r="J37">
        <f si="12" t="shared"/>
        <v>6211.4687180927804</v>
      </c>
      <c r="N37" t="s">
        <v>70</v>
      </c>
      <c r="O37" t="n">
        <v>5395.26520474217</v>
      </c>
      <c r="P37" t="n">
        <v>742.3319462550877</v>
      </c>
      <c r="Q37" t="n">
        <v>0.0</v>
      </c>
      <c r="R37" t="n">
        <v>73.8715670955229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6211.4687180927804</v>
      </c>
    </row>
    <row r="38" spans="1:23" x14ac:dyDescent="0.2">
      <c r="A38" t="s">
        <v>71</v>
      </c>
      <c r="B38">
        <f si="12" t="shared"/>
        <v>7753.0473600902087</v>
      </c>
      <c r="C38">
        <f si="12" t="shared"/>
        <v>952.47852484941893</v>
      </c>
      <c r="D38">
        <f si="12" t="shared"/>
        <v>389.65169118865902</v>
      </c>
      <c r="E38">
        <f si="12" t="shared"/>
        <v>1904.128108247477</v>
      </c>
      <c r="F38">
        <f si="12" t="shared"/>
        <v>14971.604414437168</v>
      </c>
      <c r="G38">
        <f si="12" t="shared"/>
        <v>36274.411917549653</v>
      </c>
      <c r="H38">
        <f si="12" t="shared"/>
        <v>190544.10258524079</v>
      </c>
      <c r="I38">
        <f si="12" t="shared"/>
        <v>0</v>
      </c>
      <c r="J38">
        <f si="12" t="shared"/>
        <v>252789.42460160336</v>
      </c>
      <c r="N38" t="s">
        <v>71</v>
      </c>
      <c r="O38" t="n">
        <v>7753.047360090209</v>
      </c>
      <c r="P38" t="n">
        <v>952.4785248494189</v>
      </c>
      <c r="Q38" t="n">
        <v>389.651691188659</v>
      </c>
      <c r="R38" t="n">
        <v>1904.128108247477</v>
      </c>
      <c r="S38" t="n">
        <v>14971.604414437168</v>
      </c>
      <c r="T38" t="n">
        <v>36274.41191754965</v>
      </c>
      <c r="U38" t="n">
        <v>190544.1025852408</v>
      </c>
      <c r="V38" t="n">
        <v>0.0</v>
      </c>
      <c r="W38">
        <f>SUM(O38:V38)</f>
        <v>252789.42460160336</v>
      </c>
    </row>
    <row r="39" spans="1:23" x14ac:dyDescent="0.2">
      <c r="A39" t="s">
        <v>72</v>
      </c>
      <c r="B39">
        <f si="12" t="shared"/>
        <v>69.324141582616406</v>
      </c>
      <c r="C39">
        <f si="12" t="shared"/>
        <v>303.625135298923</v>
      </c>
      <c r="D39">
        <f si="12" t="shared"/>
        <v>0</v>
      </c>
      <c r="E39">
        <f si="12" t="shared"/>
        <v>451.79760673987403</v>
      </c>
      <c r="F39">
        <f si="12" t="shared"/>
        <v>63.481609326437301</v>
      </c>
      <c r="G39">
        <f si="12" t="shared"/>
        <v>2286.8034681977729</v>
      </c>
      <c r="H39">
        <f si="12" t="shared"/>
        <v>7465.6324708396096</v>
      </c>
      <c r="I39">
        <f si="12" t="shared"/>
        <v>0</v>
      </c>
      <c r="J39">
        <f si="12" t="shared"/>
        <v>10640.664431985233</v>
      </c>
      <c r="N39" t="s">
        <v>72</v>
      </c>
      <c r="O39" t="n">
        <v>69.3241415826164</v>
      </c>
      <c r="P39" t="n">
        <v>303.625135298923</v>
      </c>
      <c r="Q39" t="n">
        <v>0.0</v>
      </c>
      <c r="R39" t="n">
        <v>451.797606739874</v>
      </c>
      <c r="S39" t="n">
        <v>63.4816093264373</v>
      </c>
      <c r="T39" t="n">
        <v>2286.803468197773</v>
      </c>
      <c r="U39" t="n">
        <v>7465.63247083961</v>
      </c>
      <c r="V39" t="n">
        <v>0.0</v>
      </c>
      <c r="W39">
        <f>SUM(O39:V39)</f>
        <v>10640.664431985233</v>
      </c>
    </row>
    <row r="41" spans="1:23" x14ac:dyDescent="0.2">
      <c r="A41" t="s">
        <v>25</v>
      </c>
      <c r="N41" t="s">
        <v>25</v>
      </c>
    </row>
    <row r="42" spans="1:23" x14ac:dyDescent="0.2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2">
      <c r="A43" t="s">
        <v>54</v>
      </c>
      <c r="B43">
        <f ref="B43:J46" si="13" t="shared">O43*$B$1</f>
        <v>687254.72765681602</v>
      </c>
      <c r="C43">
        <f si="13" t="shared"/>
        <v>84052.413280619585</v>
      </c>
      <c r="D43">
        <f si="13" t="shared"/>
        <v>199402.62958592866</v>
      </c>
      <c r="E43">
        <f si="13" t="shared"/>
        <v>161401.64525037922</v>
      </c>
      <c r="F43">
        <f si="13" t="shared"/>
        <v>58643.767955634226</v>
      </c>
      <c r="G43">
        <f si="13" t="shared"/>
        <v>49128.808552982984</v>
      </c>
      <c r="H43">
        <f si="13" t="shared"/>
        <v>239262.62016214937</v>
      </c>
      <c r="I43">
        <f si="13" t="shared"/>
        <v>0</v>
      </c>
      <c r="J43">
        <f si="13" t="shared"/>
        <v>1479146.61244451</v>
      </c>
      <c r="N43" t="s">
        <v>54</v>
      </c>
      <c r="O43" t="n">
        <v>687254.727656816</v>
      </c>
      <c r="P43" t="n">
        <v>84052.41328061958</v>
      </c>
      <c r="Q43" t="n">
        <v>199402.62958592866</v>
      </c>
      <c r="R43" t="n">
        <v>161401.64525037922</v>
      </c>
      <c r="S43" t="n">
        <v>58643.76795563423</v>
      </c>
      <c r="T43" t="n">
        <v>49128.808552982984</v>
      </c>
      <c r="U43" t="n">
        <v>239262.62016214937</v>
      </c>
      <c r="V43" t="n">
        <v>0.0</v>
      </c>
      <c r="W43">
        <f>SUM(O43:V43)</f>
        <v>1479146.61244451</v>
      </c>
    </row>
    <row r="44" spans="1:23" x14ac:dyDescent="0.2">
      <c r="A44" t="s">
        <v>70</v>
      </c>
      <c r="B44">
        <f si="13" t="shared"/>
        <v>105501.0489782393</v>
      </c>
      <c r="C44">
        <f si="13" t="shared"/>
        <v>5601.8868260325407</v>
      </c>
      <c r="D44">
        <f si="13" t="shared"/>
        <v>415.54923047878657</v>
      </c>
      <c r="E44">
        <f si="13" t="shared"/>
        <v>1009.0704421352559</v>
      </c>
      <c r="F44">
        <f si="13" t="shared"/>
        <v>1849.7375602242605</v>
      </c>
      <c r="G44">
        <f si="13" t="shared"/>
        <v>2982.8625001414412</v>
      </c>
      <c r="H44">
        <f si="13" t="shared"/>
        <v>17002.123411459241</v>
      </c>
      <c r="I44">
        <f si="13" t="shared"/>
        <v>0</v>
      </c>
      <c r="J44">
        <f si="13" t="shared"/>
        <v>134362.27894871082</v>
      </c>
      <c r="N44" t="s">
        <v>70</v>
      </c>
      <c r="O44" t="n">
        <v>105501.0489782393</v>
      </c>
      <c r="P44" t="n">
        <v>5601.886826032541</v>
      </c>
      <c r="Q44" t="n">
        <v>415.54923047878657</v>
      </c>
      <c r="R44" t="n">
        <v>1009.0704421352559</v>
      </c>
      <c r="S44" t="n">
        <v>1849.7375602242605</v>
      </c>
      <c r="T44" t="n">
        <v>2982.862500141441</v>
      </c>
      <c r="U44" t="n">
        <v>17002.12341145924</v>
      </c>
      <c r="V44" t="n">
        <v>0.0</v>
      </c>
      <c r="W44">
        <f>SUM(O44:V44)</f>
        <v>134362.27894871082</v>
      </c>
    </row>
    <row r="45" spans="1:23" x14ac:dyDescent="0.2">
      <c r="A45" t="s">
        <v>71</v>
      </c>
      <c r="B45">
        <f si="13" t="shared"/>
        <v>34611.034710541775</v>
      </c>
      <c r="C45">
        <f si="13" t="shared"/>
        <v>13159.289351650006</v>
      </c>
      <c r="D45">
        <f si="13" t="shared"/>
        <v>11349.376558622447</v>
      </c>
      <c r="E45">
        <f si="13" t="shared"/>
        <v>30297.6986296219</v>
      </c>
      <c r="F45">
        <f si="13" t="shared"/>
        <v>3331.120415473953</v>
      </c>
      <c r="G45">
        <f si="13" t="shared"/>
        <v>3015.0501866831078</v>
      </c>
      <c r="H45">
        <f si="13" t="shared"/>
        <v>7543.8106567624682</v>
      </c>
      <c r="I45">
        <f si="13" t="shared"/>
        <v>0</v>
      </c>
      <c r="J45">
        <f si="13" t="shared"/>
        <v>103307.38050935564</v>
      </c>
      <c r="N45" t="s">
        <v>71</v>
      </c>
      <c r="O45" t="n">
        <v>34611.034710541775</v>
      </c>
      <c r="P45" t="n">
        <v>13159.289351650006</v>
      </c>
      <c r="Q45" t="n">
        <v>11349.376558622447</v>
      </c>
      <c r="R45" t="n">
        <v>30297.6986296219</v>
      </c>
      <c r="S45" t="n">
        <v>3331.120415473953</v>
      </c>
      <c r="T45" t="n">
        <v>3015.0501866831078</v>
      </c>
      <c r="U45" t="n">
        <v>7543.810656762468</v>
      </c>
      <c r="V45" t="n">
        <v>0.0</v>
      </c>
      <c r="W45">
        <f>SUM(O45:V45)</f>
        <v>103307.38050935564</v>
      </c>
    </row>
    <row r="46" spans="1:23" x14ac:dyDescent="0.2">
      <c r="A46" t="s">
        <v>72</v>
      </c>
      <c r="B46">
        <f si="13" t="shared"/>
        <v>24648.188654402293</v>
      </c>
      <c r="C46">
        <f si="13" t="shared"/>
        <v>5811.4105416978628</v>
      </c>
      <c r="D46">
        <f si="13" t="shared"/>
        <v>4242.4446249703888</v>
      </c>
      <c r="E46">
        <f si="13" t="shared"/>
        <v>10206.585677863841</v>
      </c>
      <c r="F46">
        <f si="13" t="shared"/>
        <v>808.37406866755543</v>
      </c>
      <c r="G46">
        <f si="13" t="shared"/>
        <v>375.27876019247401</v>
      </c>
      <c r="H46">
        <f si="13" t="shared"/>
        <v>3312.4457696289642</v>
      </c>
      <c r="I46">
        <f si="13" t="shared"/>
        <v>0</v>
      </c>
      <c r="J46">
        <f si="13" t="shared"/>
        <v>49404.728097423373</v>
      </c>
      <c r="N46" t="s">
        <v>72</v>
      </c>
      <c r="O46" t="n">
        <v>24648.188654402293</v>
      </c>
      <c r="P46" t="n">
        <v>5811.410541697863</v>
      </c>
      <c r="Q46" t="n">
        <v>4242.444624970389</v>
      </c>
      <c r="R46" t="n">
        <v>10206.58567786384</v>
      </c>
      <c r="S46" t="n">
        <v>808.3740686675554</v>
      </c>
      <c r="T46" t="n">
        <v>375.278760192474</v>
      </c>
      <c r="U46" t="n">
        <v>3312.445769628964</v>
      </c>
      <c r="V46" t="n">
        <v>0.0</v>
      </c>
      <c r="W46">
        <f>SUM(O46:V46)</f>
        <v>49404.728097423373</v>
      </c>
    </row>
    <row r="48" spans="1:23" x14ac:dyDescent="0.2">
      <c r="A48" t="s">
        <v>249</v>
      </c>
      <c r="N48" t="s">
        <v>249</v>
      </c>
    </row>
    <row r="49" spans="1:23" x14ac:dyDescent="0.2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2">
      <c r="A50" t="s">
        <v>54</v>
      </c>
      <c r="B50">
        <f ref="B50:J53" si="14" t="shared">O50*$B$1</f>
        <v>609776.97359084513</v>
      </c>
      <c r="C50">
        <f si="14" t="shared"/>
        <v>70493.160549601918</v>
      </c>
      <c r="D50">
        <f si="14" t="shared"/>
        <v>122197.10885054465</v>
      </c>
      <c r="E50">
        <f si="14" t="shared"/>
        <v>126631.88789834146</v>
      </c>
      <c r="F50">
        <f si="14" t="shared"/>
        <v>54484.889349998812</v>
      </c>
      <c r="G50">
        <f si="14" t="shared"/>
        <v>41405.939953287227</v>
      </c>
      <c r="H50">
        <f si="14" t="shared"/>
        <v>226098.11002317324</v>
      </c>
      <c r="I50">
        <f si="14" t="shared"/>
        <v>0</v>
      </c>
      <c r="J50">
        <f si="14" t="shared"/>
        <v>1251088.0702157924</v>
      </c>
      <c r="N50" t="s">
        <v>54</v>
      </c>
      <c r="O50" t="n">
        <v>609776.9735908451</v>
      </c>
      <c r="P50" t="n">
        <v>70493.16054960192</v>
      </c>
      <c r="Q50" t="n">
        <v>122197.10885054465</v>
      </c>
      <c r="R50" t="n">
        <v>126631.88789834146</v>
      </c>
      <c r="S50" t="n">
        <v>54484.88934999881</v>
      </c>
      <c r="T50" t="n">
        <v>41405.93995328723</v>
      </c>
      <c r="U50" t="n">
        <v>226098.11002317324</v>
      </c>
      <c r="V50" t="n">
        <v>0.0</v>
      </c>
      <c r="W50">
        <f>SUM(O50:V50)</f>
        <v>1251088.0702157924</v>
      </c>
    </row>
    <row r="51" spans="1:23" x14ac:dyDescent="0.2">
      <c r="A51" t="s">
        <v>70</v>
      </c>
      <c r="B51">
        <f si="14" t="shared"/>
        <v>165703.0048786352</v>
      </c>
      <c r="C51">
        <f si="14" t="shared"/>
        <v>20135.417436419782</v>
      </c>
      <c r="D51">
        <f si="14" t="shared"/>
        <v>27399.047235644528</v>
      </c>
      <c r="E51">
        <f si="14" t="shared"/>
        <v>30258.859312266079</v>
      </c>
      <c r="F51">
        <f si="14" t="shared"/>
        <v>5332.9236068620912</v>
      </c>
      <c r="G51">
        <f si="14" t="shared"/>
        <v>8148.3100705660217</v>
      </c>
      <c r="H51">
        <f si="14" t="shared"/>
        <v>22977.505491895157</v>
      </c>
      <c r="I51">
        <f si="14" t="shared"/>
        <v>0</v>
      </c>
      <c r="J51">
        <f si="14" t="shared"/>
        <v>279955.06803228887</v>
      </c>
      <c r="N51" t="s">
        <v>70</v>
      </c>
      <c r="O51" t="n">
        <v>165703.0048786352</v>
      </c>
      <c r="P51" t="n">
        <v>20135.417436419782</v>
      </c>
      <c r="Q51" t="n">
        <v>27399.047235644528</v>
      </c>
      <c r="R51" t="n">
        <v>30258.85931226608</v>
      </c>
      <c r="S51" t="n">
        <v>5332.923606862091</v>
      </c>
      <c r="T51" t="n">
        <v>8148.310070566022</v>
      </c>
      <c r="U51" t="n">
        <v>22977.505491895157</v>
      </c>
      <c r="V51" t="n">
        <v>0.0</v>
      </c>
      <c r="W51">
        <f>SUM(O51:V51)</f>
        <v>279955.06803228887</v>
      </c>
    </row>
    <row r="52" spans="1:23" x14ac:dyDescent="0.2">
      <c r="A52" t="s">
        <v>71</v>
      </c>
      <c r="B52">
        <f si="14" t="shared"/>
        <v>46807.79089245457</v>
      </c>
      <c r="C52">
        <f si="14" t="shared"/>
        <v>9961.9970120169583</v>
      </c>
      <c r="D52">
        <f si="14" t="shared"/>
        <v>42410.854309715702</v>
      </c>
      <c r="E52">
        <f si="14" t="shared"/>
        <v>28611.784938692843</v>
      </c>
      <c r="F52">
        <f si="14" t="shared"/>
        <v>2827.8449487565799</v>
      </c>
      <c r="G52">
        <f si="14" t="shared"/>
        <v>5074.7466747811213</v>
      </c>
      <c r="H52">
        <f si="14" t="shared"/>
        <v>13867.511952333525</v>
      </c>
      <c r="I52">
        <f si="14" t="shared"/>
        <v>0</v>
      </c>
      <c r="J52">
        <f si="14" t="shared"/>
        <v>149562.5307287513</v>
      </c>
      <c r="N52" t="s">
        <v>71</v>
      </c>
      <c r="O52" t="n">
        <v>46807.79089245457</v>
      </c>
      <c r="P52" t="n">
        <v>9961.997012016958</v>
      </c>
      <c r="Q52" t="n">
        <v>42410.8543097157</v>
      </c>
      <c r="R52" t="n">
        <v>28611.784938692843</v>
      </c>
      <c r="S52" t="n">
        <v>2827.84494875658</v>
      </c>
      <c r="T52" t="n">
        <v>5074.746674781121</v>
      </c>
      <c r="U52" t="n">
        <v>13867.511952333525</v>
      </c>
      <c r="V52" t="n">
        <v>0.0</v>
      </c>
      <c r="W52">
        <f>SUM(O52:V52)</f>
        <v>149562.5307287513</v>
      </c>
    </row>
    <row r="53" spans="1:23" x14ac:dyDescent="0.2">
      <c r="A53" t="s">
        <v>72</v>
      </c>
      <c r="B53">
        <f si="14" t="shared"/>
        <v>29727.230638064473</v>
      </c>
      <c r="C53">
        <f si="14" t="shared"/>
        <v>8034.4250019613428</v>
      </c>
      <c r="D53">
        <f si="14" t="shared"/>
        <v>23402.989604095408</v>
      </c>
      <c r="E53">
        <f si="14" t="shared"/>
        <v>17412.467850699828</v>
      </c>
      <c r="F53">
        <f si="14" t="shared"/>
        <v>1987.3420943825067</v>
      </c>
      <c r="G53">
        <f si="14" t="shared"/>
        <v>873.00330136563935</v>
      </c>
      <c r="H53">
        <f si="14" t="shared"/>
        <v>4177.8725325981231</v>
      </c>
      <c r="I53">
        <f si="14" t="shared"/>
        <v>0</v>
      </c>
      <c r="J53">
        <f si="14" t="shared"/>
        <v>85615.331023167309</v>
      </c>
      <c r="N53" t="s">
        <v>72</v>
      </c>
      <c r="O53" t="n">
        <v>29727.230638064473</v>
      </c>
      <c r="P53" t="n">
        <v>8034.425001961343</v>
      </c>
      <c r="Q53" t="n">
        <v>23402.989604095408</v>
      </c>
      <c r="R53" t="n">
        <v>17412.467850699828</v>
      </c>
      <c r="S53" t="n">
        <v>1987.3420943825067</v>
      </c>
      <c r="T53" t="n">
        <v>873.0033013656393</v>
      </c>
      <c r="U53" t="n">
        <v>4177.872532598123</v>
      </c>
      <c r="V53" t="n">
        <v>0.0</v>
      </c>
      <c r="W53">
        <f>SUM(O53:V53)</f>
        <v>85615.331023167309</v>
      </c>
    </row>
    <row r="55" spans="1:23" x14ac:dyDescent="0.2">
      <c r="A55" t="s">
        <v>27</v>
      </c>
      <c r="N55" t="s">
        <v>27</v>
      </c>
    </row>
    <row r="56" spans="1:23" x14ac:dyDescent="0.2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2">
      <c r="A57" t="s">
        <v>54</v>
      </c>
      <c r="B57">
        <f ref="B57:J60" si="15" t="shared">O57*$B$1</f>
        <v>680174.62527469662</v>
      </c>
      <c r="C57">
        <f si="15" t="shared"/>
        <v>75390.287872731802</v>
      </c>
      <c r="D57">
        <f si="15" t="shared"/>
        <v>144288.85944361475</v>
      </c>
      <c r="E57">
        <f si="15" t="shared"/>
        <v>133162.36444792268</v>
      </c>
      <c r="F57">
        <f si="15" t="shared"/>
        <v>53684.741151018774</v>
      </c>
      <c r="G57">
        <f si="15" t="shared"/>
        <v>50292.01096684028</v>
      </c>
      <c r="H57">
        <f si="15" t="shared"/>
        <v>244844.33771617839</v>
      </c>
      <c r="I57">
        <f si="15" t="shared"/>
        <v>0</v>
      </c>
      <c r="J57">
        <f si="15" t="shared"/>
        <v>1381837.2268730034</v>
      </c>
      <c r="N57" t="s">
        <v>54</v>
      </c>
      <c r="O57" t="n">
        <v>680174.6252746966</v>
      </c>
      <c r="P57" t="n">
        <v>75390.2878727318</v>
      </c>
      <c r="Q57" t="n">
        <v>144288.85944361475</v>
      </c>
      <c r="R57" t="n">
        <v>133162.36444792268</v>
      </c>
      <c r="S57" t="n">
        <v>53684.741151018774</v>
      </c>
      <c r="T57" t="n">
        <v>50292.01096684028</v>
      </c>
      <c r="U57" t="n">
        <v>244844.3377161784</v>
      </c>
      <c r="V57" t="n">
        <v>0.0</v>
      </c>
      <c r="W57">
        <f>SUM(O57:V57)</f>
        <v>1381837.2268730034</v>
      </c>
    </row>
    <row r="58" spans="1:23" x14ac:dyDescent="0.2">
      <c r="A58" t="s">
        <v>70</v>
      </c>
      <c r="B58">
        <f si="15" t="shared"/>
        <v>119791.72585714341</v>
      </c>
      <c r="C58">
        <f si="15" t="shared"/>
        <v>18885.458220352826</v>
      </c>
      <c r="D58">
        <f si="15" t="shared"/>
        <v>30029.273483643665</v>
      </c>
      <c r="E58">
        <f si="15" t="shared"/>
        <v>28052.480781157712</v>
      </c>
      <c r="F58">
        <f si="15" t="shared"/>
        <v>6304.5561971883435</v>
      </c>
      <c r="G58">
        <f si="15" t="shared"/>
        <v>3294.8915336606251</v>
      </c>
      <c r="H58">
        <f si="15" t="shared"/>
        <v>13431.015907379269</v>
      </c>
      <c r="I58">
        <f si="15" t="shared"/>
        <v>0</v>
      </c>
      <c r="J58">
        <f si="15" t="shared"/>
        <v>219789.40198052584</v>
      </c>
      <c r="N58" t="s">
        <v>70</v>
      </c>
      <c r="O58" t="n">
        <v>119791.7258571434</v>
      </c>
      <c r="P58" t="n">
        <v>18885.458220352826</v>
      </c>
      <c r="Q58" t="n">
        <v>30029.273483643665</v>
      </c>
      <c r="R58" t="n">
        <v>28052.480781157712</v>
      </c>
      <c r="S58" t="n">
        <v>6304.5561971883435</v>
      </c>
      <c r="T58" t="n">
        <v>3294.891533660625</v>
      </c>
      <c r="U58" t="n">
        <v>13431.01590737927</v>
      </c>
      <c r="V58" t="n">
        <v>0.0</v>
      </c>
      <c r="W58">
        <f>SUM(O58:V58)</f>
        <v>219789.40198052584</v>
      </c>
    </row>
    <row r="59" spans="1:23" x14ac:dyDescent="0.2">
      <c r="A59" t="s">
        <v>71</v>
      </c>
      <c r="B59">
        <f si="15" t="shared"/>
        <v>37830.899600377779</v>
      </c>
      <c r="C59">
        <f si="15" t="shared"/>
        <v>9992.1957284738128</v>
      </c>
      <c r="D59">
        <f si="15" t="shared"/>
        <v>29112.671651209475</v>
      </c>
      <c r="E59">
        <f si="15" t="shared"/>
        <v>27319.243114751906</v>
      </c>
      <c r="F59">
        <f si="15" t="shared"/>
        <v>2812.4578516667957</v>
      </c>
      <c r="G59">
        <f si="15" t="shared"/>
        <v>1915.0974994991036</v>
      </c>
      <c r="H59">
        <f si="15" t="shared"/>
        <v>8234.4768432815308</v>
      </c>
      <c r="I59">
        <f si="15" t="shared"/>
        <v>0</v>
      </c>
      <c r="J59">
        <f si="15" t="shared"/>
        <v>117217.0422892604</v>
      </c>
      <c r="N59" t="s">
        <v>71</v>
      </c>
      <c r="O59" t="n">
        <v>37830.89960037778</v>
      </c>
      <c r="P59" t="n">
        <v>9992.195728473813</v>
      </c>
      <c r="Q59" t="n">
        <v>29112.671651209475</v>
      </c>
      <c r="R59" t="n">
        <v>27319.243114751906</v>
      </c>
      <c r="S59" t="n">
        <v>2812.4578516667957</v>
      </c>
      <c r="T59" t="n">
        <v>1915.0974994991036</v>
      </c>
      <c r="U59" t="n">
        <v>8234.47684328153</v>
      </c>
      <c r="V59" t="n">
        <v>0.0</v>
      </c>
      <c r="W59">
        <f>SUM(O59:V59)</f>
        <v>117217.0422892604</v>
      </c>
    </row>
    <row r="60" spans="1:23" x14ac:dyDescent="0.2">
      <c r="A60" t="s">
        <v>72</v>
      </c>
      <c r="B60">
        <f si="15" t="shared"/>
        <v>14217.749267781481</v>
      </c>
      <c r="C60">
        <f si="15" t="shared"/>
        <v>4357.0581784415608</v>
      </c>
      <c r="D60">
        <f si="15" t="shared"/>
        <v>11979.19542153238</v>
      </c>
      <c r="E60">
        <f si="15" t="shared"/>
        <v>14380.911656167909</v>
      </c>
      <c r="F60">
        <f si="15" t="shared"/>
        <v>1831.2448001260791</v>
      </c>
      <c r="G60">
        <f si="15" t="shared"/>
        <v>0</v>
      </c>
      <c r="H60">
        <f si="15" t="shared"/>
        <v>611.16953316087006</v>
      </c>
      <c r="I60">
        <f si="15" t="shared"/>
        <v>0</v>
      </c>
      <c r="J60">
        <f si="15" t="shared"/>
        <v>47377.328857210283</v>
      </c>
      <c r="N60" t="s">
        <v>72</v>
      </c>
      <c r="O60" t="n">
        <v>14217.74926778148</v>
      </c>
      <c r="P60" t="n">
        <v>4357.058178441561</v>
      </c>
      <c r="Q60" t="n">
        <v>11979.19542153238</v>
      </c>
      <c r="R60" t="n">
        <v>14380.91165616791</v>
      </c>
      <c r="S60" t="n">
        <v>1831.244800126079</v>
      </c>
      <c r="T60" t="n">
        <v>0.0</v>
      </c>
      <c r="U60" t="n">
        <v>611.1695331608701</v>
      </c>
      <c r="V60" t="n">
        <v>0.0</v>
      </c>
      <c r="W60">
        <f>SUM(O60:V60)</f>
        <v>47377.328857210283</v>
      </c>
    </row>
    <row r="62" spans="1:23" x14ac:dyDescent="0.2">
      <c r="A62" t="s">
        <v>28</v>
      </c>
      <c r="N62" t="s">
        <v>28</v>
      </c>
    </row>
    <row r="63" spans="1:23" x14ac:dyDescent="0.2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2">
      <c r="A64" t="s">
        <v>54</v>
      </c>
      <c r="B64">
        <f ref="B64:J67" si="16" t="shared">O64*$B$1</f>
        <v>687452.6629281881</v>
      </c>
      <c r="C64">
        <f si="16" t="shared"/>
        <v>90943.077867328961</v>
      </c>
      <c r="D64">
        <f si="16" t="shared"/>
        <v>175807.34528830682</v>
      </c>
      <c r="E64">
        <f si="16" t="shared"/>
        <v>173928.02100803444</v>
      </c>
      <c r="F64">
        <f si="16" t="shared"/>
        <v>57980.151696918947</v>
      </c>
      <c r="G64">
        <f si="16" t="shared"/>
        <v>50889.479184319789</v>
      </c>
      <c r="H64">
        <f si="16" t="shared"/>
        <v>249035.21868658767</v>
      </c>
      <c r="I64">
        <f si="16" t="shared"/>
        <v>0</v>
      </c>
      <c r="J64">
        <f si="16" t="shared"/>
        <v>1486035.9566596847</v>
      </c>
      <c r="N64" t="s">
        <v>54</v>
      </c>
      <c r="O64" t="n">
        <v>687452.6629281881</v>
      </c>
      <c r="P64" t="n">
        <v>90943.07786732896</v>
      </c>
      <c r="Q64" t="n">
        <v>175807.34528830682</v>
      </c>
      <c r="R64" t="n">
        <v>173928.02100803444</v>
      </c>
      <c r="S64" t="n">
        <v>57980.15169691895</v>
      </c>
      <c r="T64" t="n">
        <v>50889.47918431979</v>
      </c>
      <c r="U64" t="n">
        <v>249035.21868658767</v>
      </c>
      <c r="V64" t="n">
        <v>0.0</v>
      </c>
      <c r="W64">
        <f>SUM(O64:V64)</f>
        <v>1486035.9566596847</v>
      </c>
    </row>
    <row r="65" spans="1:23" x14ac:dyDescent="0.2">
      <c r="A65" t="s">
        <v>70</v>
      </c>
      <c r="B65">
        <f si="16" t="shared"/>
        <v>115557.26112153426</v>
      </c>
      <c r="C65">
        <f si="16" t="shared"/>
        <v>10354.179289213987</v>
      </c>
      <c r="D65">
        <f si="16" t="shared"/>
        <v>17025.842413905244</v>
      </c>
      <c r="E65">
        <f si="16" t="shared"/>
        <v>17815.176143143486</v>
      </c>
      <c r="F65">
        <f si="16" t="shared"/>
        <v>2529.4498062489843</v>
      </c>
      <c r="G65">
        <f si="16" t="shared"/>
        <v>3739.3269211981951</v>
      </c>
      <c r="H65">
        <f si="16" t="shared"/>
        <v>11206.110942444326</v>
      </c>
      <c r="I65">
        <f si="16" t="shared"/>
        <v>0</v>
      </c>
      <c r="J65">
        <f si="16" t="shared"/>
        <v>178227.34663768849</v>
      </c>
      <c r="N65" t="s">
        <v>70</v>
      </c>
      <c r="O65" t="n">
        <v>115557.26112153426</v>
      </c>
      <c r="P65" t="n">
        <v>10354.179289213987</v>
      </c>
      <c r="Q65" t="n">
        <v>17025.842413905244</v>
      </c>
      <c r="R65" t="n">
        <v>17815.176143143486</v>
      </c>
      <c r="S65" t="n">
        <v>2529.4498062489843</v>
      </c>
      <c r="T65" t="n">
        <v>3739.326921198195</v>
      </c>
      <c r="U65" t="n">
        <v>11206.110942444326</v>
      </c>
      <c r="V65" t="n">
        <v>0.0</v>
      </c>
      <c r="W65">
        <f>SUM(O65:V65)</f>
        <v>178227.34663768849</v>
      </c>
    </row>
    <row r="66" spans="1:23" x14ac:dyDescent="0.2">
      <c r="A66" t="s">
        <v>71</v>
      </c>
      <c r="B66">
        <f si="16" t="shared"/>
        <v>39959.570079388737</v>
      </c>
      <c r="C66">
        <f si="16" t="shared"/>
        <v>6891.3710642354326</v>
      </c>
      <c r="D66">
        <f si="16" t="shared"/>
        <v>20172.511997566904</v>
      </c>
      <c r="E66">
        <f si="16" t="shared"/>
        <v>10752.026638306845</v>
      </c>
      <c r="F66">
        <f si="16" t="shared"/>
        <v>4050.5463855095036</v>
      </c>
      <c r="G66">
        <f si="16" t="shared"/>
        <v>873.19389448202321</v>
      </c>
      <c r="H66">
        <f si="16" t="shared"/>
        <v>6548.927564795019</v>
      </c>
      <c r="I66">
        <f si="16" t="shared"/>
        <v>0</v>
      </c>
      <c r="J66">
        <f si="16" t="shared"/>
        <v>89248.147624284466</v>
      </c>
      <c r="N66" t="s">
        <v>71</v>
      </c>
      <c r="O66" t="n">
        <v>39959.57007938874</v>
      </c>
      <c r="P66" t="n">
        <v>6891.371064235433</v>
      </c>
      <c r="Q66" t="n">
        <v>20172.511997566904</v>
      </c>
      <c r="R66" t="n">
        <v>10752.026638306845</v>
      </c>
      <c r="S66" t="n">
        <v>4050.5463855095036</v>
      </c>
      <c r="T66" t="n">
        <v>873.1938944820232</v>
      </c>
      <c r="U66" t="n">
        <v>6548.927564795019</v>
      </c>
      <c r="V66" t="n">
        <v>0.0</v>
      </c>
      <c r="W66">
        <f>SUM(O66:V66)</f>
        <v>89248.147624284466</v>
      </c>
    </row>
    <row r="67" spans="1:23" x14ac:dyDescent="0.2">
      <c r="A67" t="s">
        <v>72</v>
      </c>
      <c r="B67">
        <f si="16" t="shared"/>
        <v>9045.5058708882061</v>
      </c>
      <c r="C67">
        <f si="16" t="shared"/>
        <v>436.37177922161203</v>
      </c>
      <c r="D67">
        <f si="16" t="shared"/>
        <v>2404.300300221309</v>
      </c>
      <c r="E67">
        <f si="16" t="shared"/>
        <v>419.77621051543912</v>
      </c>
      <c r="F67">
        <f si="16" t="shared"/>
        <v>72.852111322556595</v>
      </c>
      <c r="G67">
        <f si="16" t="shared"/>
        <v>0</v>
      </c>
      <c r="H67">
        <f si="16" t="shared"/>
        <v>330.742806173041</v>
      </c>
      <c r="I67">
        <f si="16" t="shared"/>
        <v>0</v>
      </c>
      <c r="J67">
        <f si="16" t="shared"/>
        <v>12709.549078342163</v>
      </c>
      <c r="N67" t="s">
        <v>72</v>
      </c>
      <c r="O67" t="n">
        <v>9045.505870888206</v>
      </c>
      <c r="P67" t="n">
        <v>436.37177922161203</v>
      </c>
      <c r="Q67" t="n">
        <v>2404.300300221309</v>
      </c>
      <c r="R67" t="n">
        <v>419.7762105154391</v>
      </c>
      <c r="S67" t="n">
        <v>72.8521113225566</v>
      </c>
      <c r="T67" t="n">
        <v>0.0</v>
      </c>
      <c r="U67" t="n">
        <v>330.742806173041</v>
      </c>
      <c r="V67" t="n">
        <v>0.0</v>
      </c>
      <c r="W67">
        <f>SUM(O67:V67)</f>
        <v>12709.549078342163</v>
      </c>
    </row>
    <row r="69" spans="1:23" x14ac:dyDescent="0.2">
      <c r="A69" t="s">
        <v>29</v>
      </c>
      <c r="N69" t="s">
        <v>29</v>
      </c>
    </row>
    <row r="70" spans="1:23" x14ac:dyDescent="0.2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2">
      <c r="A71" t="s">
        <v>54</v>
      </c>
      <c r="B71">
        <f ref="B71:J74" si="17" t="shared">O71*$B$1</f>
        <v>705276.94528310245</v>
      </c>
      <c r="C71">
        <f si="17" t="shared"/>
        <v>85337.954130724014</v>
      </c>
      <c r="D71">
        <f si="17" t="shared"/>
        <v>171351.9411736858</v>
      </c>
      <c r="E71">
        <f si="17" t="shared"/>
        <v>157145.93826101307</v>
      </c>
      <c r="F71">
        <f si="17" t="shared"/>
        <v>56030.301279364066</v>
      </c>
      <c r="G71">
        <f si="17" t="shared"/>
        <v>37818.187455184641</v>
      </c>
      <c r="H71">
        <f si="17" t="shared"/>
        <v>194204.7519926306</v>
      </c>
      <c r="I71">
        <f si="17" t="shared"/>
        <v>0</v>
      </c>
      <c r="J71">
        <f si="17" t="shared"/>
        <v>1407166.0195757046</v>
      </c>
      <c r="N71" t="s">
        <v>54</v>
      </c>
      <c r="O71" t="n">
        <v>705276.9452831025</v>
      </c>
      <c r="P71" t="n">
        <v>85337.95413072401</v>
      </c>
      <c r="Q71" t="n">
        <v>171351.9411736858</v>
      </c>
      <c r="R71" t="n">
        <v>157145.93826101307</v>
      </c>
      <c r="S71" t="n">
        <v>56030.30127936407</v>
      </c>
      <c r="T71" t="n">
        <v>37818.18745518464</v>
      </c>
      <c r="U71" t="n">
        <v>194204.7519926306</v>
      </c>
      <c r="V71" t="n">
        <v>0.0</v>
      </c>
      <c r="W71">
        <f>SUM(O71:V71)</f>
        <v>1407166.0195757046</v>
      </c>
    </row>
    <row r="72" spans="1:23" x14ac:dyDescent="0.2">
      <c r="A72" t="s">
        <v>70</v>
      </c>
      <c r="B72">
        <f si="17" t="shared"/>
        <v>66077.244553158715</v>
      </c>
      <c r="C72">
        <f si="17" t="shared"/>
        <v>8252.2507535254808</v>
      </c>
      <c r="D72">
        <f si="17" t="shared"/>
        <v>10890.967800947994</v>
      </c>
      <c r="E72">
        <f si="17" t="shared"/>
        <v>9495.6900375384976</v>
      </c>
      <c r="F72">
        <f si="17" t="shared"/>
        <v>3301.783406455062</v>
      </c>
      <c r="G72">
        <f si="17" t="shared"/>
        <v>6910.4599024011723</v>
      </c>
      <c r="H72">
        <f si="17" t="shared"/>
        <v>21450.688782823894</v>
      </c>
      <c r="I72">
        <f si="17" t="shared"/>
        <v>0</v>
      </c>
      <c r="J72">
        <f si="17" t="shared"/>
        <v>126379.08523685082</v>
      </c>
      <c r="N72" t="s">
        <v>70</v>
      </c>
      <c r="O72" t="n">
        <v>66077.24455315871</v>
      </c>
      <c r="P72" t="n">
        <v>8252.25075352548</v>
      </c>
      <c r="Q72" t="n">
        <v>10890.967800947994</v>
      </c>
      <c r="R72" t="n">
        <v>9495.690037538498</v>
      </c>
      <c r="S72" t="n">
        <v>3301.783406455062</v>
      </c>
      <c r="T72" t="n">
        <v>6910.459902401172</v>
      </c>
      <c r="U72" t="n">
        <v>21450.688782823894</v>
      </c>
      <c r="V72" t="n">
        <v>0.0</v>
      </c>
      <c r="W72">
        <f>SUM(O72:V72)</f>
        <v>126379.08523685082</v>
      </c>
    </row>
    <row r="73" spans="1:23" x14ac:dyDescent="0.2">
      <c r="A73" t="s">
        <v>71</v>
      </c>
      <c r="B73">
        <f si="17" t="shared"/>
        <v>72762.842038646108</v>
      </c>
      <c r="C73">
        <f si="17" t="shared"/>
        <v>12554.417097259933</v>
      </c>
      <c r="D73">
        <f si="17" t="shared"/>
        <v>29314.718371158924</v>
      </c>
      <c r="E73">
        <f si="17" t="shared"/>
        <v>30195.967463442852</v>
      </c>
      <c r="F73">
        <f si="17" t="shared"/>
        <v>4087.268736214708</v>
      </c>
      <c r="G73">
        <f si="17" t="shared"/>
        <v>7931.9105856992383</v>
      </c>
      <c r="H73">
        <f si="17" t="shared"/>
        <v>46166.973192507117</v>
      </c>
      <c r="I73">
        <f si="17" t="shared"/>
        <v>0</v>
      </c>
      <c r="J73">
        <f si="17" t="shared"/>
        <v>203014.09748492885</v>
      </c>
      <c r="N73" t="s">
        <v>71</v>
      </c>
      <c r="O73" t="n">
        <v>72762.84203864611</v>
      </c>
      <c r="P73" t="n">
        <v>12554.417097259933</v>
      </c>
      <c r="Q73" t="n">
        <v>29314.718371158924</v>
      </c>
      <c r="R73" t="n">
        <v>30195.967463442852</v>
      </c>
      <c r="S73" t="n">
        <v>4087.268736214708</v>
      </c>
      <c r="T73" t="n">
        <v>7931.910585699238</v>
      </c>
      <c r="U73" t="n">
        <v>46166.97319250712</v>
      </c>
      <c r="V73" t="n">
        <v>0.0</v>
      </c>
      <c r="W73">
        <f>SUM(O73:V73)</f>
        <v>203014.09748492885</v>
      </c>
    </row>
    <row r="74" spans="1:23" x14ac:dyDescent="0.2">
      <c r="A74" t="s">
        <v>72</v>
      </c>
      <c r="B74">
        <f si="17" t="shared"/>
        <v>7897.9681250919939</v>
      </c>
      <c r="C74">
        <f si="17" t="shared"/>
        <v>2480.3780184905759</v>
      </c>
      <c r="D74">
        <f si="17" t="shared"/>
        <v>3852.3726542075724</v>
      </c>
      <c r="E74">
        <f si="17" t="shared"/>
        <v>6077.4042380057926</v>
      </c>
      <c r="F74">
        <f si="17" t="shared"/>
        <v>1213.6465779661587</v>
      </c>
      <c r="G74">
        <f si="17" t="shared"/>
        <v>2841.4420567149573</v>
      </c>
      <c r="H74">
        <f si="17" t="shared"/>
        <v>5298.5860320384345</v>
      </c>
      <c r="I74">
        <f si="17" t="shared"/>
        <v>0</v>
      </c>
      <c r="J74">
        <f si="17" t="shared"/>
        <v>29661.797702515487</v>
      </c>
      <c r="N74" t="s">
        <v>72</v>
      </c>
      <c r="O74" t="n">
        <v>7897.968125091994</v>
      </c>
      <c r="P74" t="n">
        <v>2480.378018490576</v>
      </c>
      <c r="Q74" t="n">
        <v>3852.3726542075724</v>
      </c>
      <c r="R74" t="n">
        <v>6077.404238005793</v>
      </c>
      <c r="S74" t="n">
        <v>1213.6465779661587</v>
      </c>
      <c r="T74" t="n">
        <v>2841.4420567149573</v>
      </c>
      <c r="U74" t="n">
        <v>5298.5860320384345</v>
      </c>
      <c r="V74" t="n">
        <v>0.0</v>
      </c>
      <c r="W74">
        <f>SUM(O74:V74)</f>
        <v>29661.797702515487</v>
      </c>
    </row>
    <row r="76" spans="1:23" x14ac:dyDescent="0.2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2">
      <c r="A78" t="s">
        <v>23</v>
      </c>
      <c r="N78" t="s">
        <v>23</v>
      </c>
    </row>
    <row r="79" spans="1:23" x14ac:dyDescent="0.2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2">
      <c r="A80">
        <v>0</v>
      </c>
      <c r="B80">
        <f ref="B80:J83" si="18" t="shared">O80*$B$1</f>
        <v>170033.37186062202</v>
      </c>
      <c r="C80">
        <f si="18" t="shared"/>
        <v>52462.767777288223</v>
      </c>
      <c r="D80">
        <f si="18" t="shared"/>
        <v>211689.03320710929</v>
      </c>
      <c r="E80">
        <f si="18" t="shared"/>
        <v>191237.12101862917</v>
      </c>
      <c r="F80">
        <f si="18" t="shared"/>
        <v>52049.095807455036</v>
      </c>
      <c r="G80">
        <f si="18" t="shared"/>
        <v>53224.091629654926</v>
      </c>
      <c r="H80">
        <f si="18" t="shared"/>
        <v>266587.19250629545</v>
      </c>
      <c r="I80">
        <f si="18" t="shared"/>
        <v>0</v>
      </c>
      <c r="J80">
        <f si="18" t="shared"/>
        <v>997282.67380705406</v>
      </c>
      <c r="N80">
        <v>0</v>
      </c>
      <c r="O80" t="n">
        <v>170033.37186062202</v>
      </c>
      <c r="P80" t="n">
        <v>52462.76777728822</v>
      </c>
      <c r="Q80" t="n">
        <v>211689.03320710929</v>
      </c>
      <c r="R80" t="n">
        <v>191237.12101862917</v>
      </c>
      <c r="S80" t="n">
        <v>52049.095807455036</v>
      </c>
      <c r="T80" t="n">
        <v>53224.091629654926</v>
      </c>
      <c r="U80" t="n">
        <v>266587.19250629545</v>
      </c>
      <c r="V80" t="n">
        <v>0.0</v>
      </c>
      <c r="W80">
        <f>SUM(O80:V80)</f>
        <v>997282.67380705406</v>
      </c>
    </row>
    <row r="81" spans="1:23" x14ac:dyDescent="0.2">
      <c r="A81">
        <v>1</v>
      </c>
      <c r="B81">
        <f si="18" t="shared"/>
        <v>653236.47582852573</v>
      </c>
      <c r="C81">
        <f si="18" t="shared"/>
        <v>51615.889394310121</v>
      </c>
      <c r="D81">
        <f si="18" t="shared"/>
        <v>3415.5732010498582</v>
      </c>
      <c r="E81">
        <f si="18" t="shared"/>
        <v>11095.7088370895</v>
      </c>
      <c r="F81">
        <f si="18" t="shared"/>
        <v>12402.388884214479</v>
      </c>
      <c r="G81">
        <f si="18" t="shared"/>
        <v>2277.9083703450824</v>
      </c>
      <c r="H81">
        <f si="18" t="shared"/>
        <v>533.80749370456215</v>
      </c>
      <c r="I81">
        <f si="18" t="shared"/>
        <v>0</v>
      </c>
      <c r="J81">
        <f si="18" t="shared"/>
        <v>734577.75200923928</v>
      </c>
      <c r="N81">
        <v>1</v>
      </c>
      <c r="O81" t="n">
        <v>653236.4758285257</v>
      </c>
      <c r="P81" t="n">
        <v>51615.88939431012</v>
      </c>
      <c r="Q81" t="n">
        <v>3415.573201049858</v>
      </c>
      <c r="R81" t="n">
        <v>11095.7088370895</v>
      </c>
      <c r="S81" t="n">
        <v>12402.388884214479</v>
      </c>
      <c r="T81" t="n">
        <v>2277.9083703450824</v>
      </c>
      <c r="U81" t="n">
        <v>533.8074937045621</v>
      </c>
      <c r="V81" t="n">
        <v>0.0</v>
      </c>
      <c r="W81">
        <f>SUM(O81:V81)</f>
        <v>734577.75200923928</v>
      </c>
    </row>
    <row r="82" spans="1:23" x14ac:dyDescent="0.2">
      <c r="A82">
        <v>2</v>
      </c>
      <c r="B82">
        <f si="18" t="shared"/>
        <v>27135.677475118628</v>
      </c>
      <c r="C82">
        <f si="18" t="shared"/>
        <v>4262.5768684122195</v>
      </c>
      <c r="D82">
        <f si="18" t="shared"/>
        <v>305.39359184112948</v>
      </c>
      <c r="E82">
        <f si="18" t="shared"/>
        <v>582.17014428155369</v>
      </c>
      <c r="F82">
        <f si="18" t="shared"/>
        <v>181.51530833047829</v>
      </c>
      <c r="G82">
        <f si="18" t="shared"/>
        <v>0</v>
      </c>
      <c r="H82">
        <f si="18" t="shared"/>
        <v>0</v>
      </c>
      <c r="I82">
        <f si="18" t="shared"/>
        <v>0</v>
      </c>
      <c r="J82">
        <f si="18" t="shared"/>
        <v>32467.33338798401</v>
      </c>
      <c r="N82">
        <v>2</v>
      </c>
      <c r="O82" t="n">
        <v>27135.677475118628</v>
      </c>
      <c r="P82" t="n">
        <v>4262.5768684122195</v>
      </c>
      <c r="Q82" t="n">
        <v>305.3935918411295</v>
      </c>
      <c r="R82" t="n">
        <v>582.1701442815537</v>
      </c>
      <c r="S82" t="n">
        <v>181.5153083304783</v>
      </c>
      <c r="T82" t="n">
        <v>0.0</v>
      </c>
      <c r="U82" t="n">
        <v>0.0</v>
      </c>
      <c r="V82" t="n">
        <v>0.0</v>
      </c>
      <c r="W82">
        <f>SUM(O82:V82)</f>
        <v>32467.33338798401</v>
      </c>
    </row>
    <row r="83" spans="1:23" x14ac:dyDescent="0.2">
      <c r="A83" t="s">
        <v>94</v>
      </c>
      <c r="B83">
        <f si="18" t="shared"/>
        <v>1609.4748357329861</v>
      </c>
      <c r="C83">
        <f si="18" t="shared"/>
        <v>283.76595998943458</v>
      </c>
      <c r="D83">
        <f si="18" t="shared"/>
        <v>0</v>
      </c>
      <c r="E83">
        <f si="18" t="shared"/>
        <v>0</v>
      </c>
      <c r="F83">
        <f si="18" t="shared"/>
        <v>0</v>
      </c>
      <c r="G83">
        <f si="18" t="shared"/>
        <v>0</v>
      </c>
      <c r="H83">
        <f si="18" t="shared"/>
        <v>0</v>
      </c>
      <c r="I83">
        <f si="18" t="shared"/>
        <v>0</v>
      </c>
      <c r="J83">
        <f si="18" t="shared"/>
        <v>1893.2407957224207</v>
      </c>
      <c r="N83" t="s">
        <v>94</v>
      </c>
      <c r="O83" t="n">
        <v>1609.474835732986</v>
      </c>
      <c r="P83" t="n">
        <v>283.7659599894346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1893.2407957224207</v>
      </c>
    </row>
    <row r="85" spans="1:23" x14ac:dyDescent="0.2">
      <c r="A85" t="s">
        <v>24</v>
      </c>
      <c r="N85" t="s">
        <v>24</v>
      </c>
    </row>
    <row r="86" spans="1:23" x14ac:dyDescent="0.2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2">
      <c r="A87">
        <v>0</v>
      </c>
      <c r="B87">
        <f ref="B87:J90" si="19" t="shared">O87*$B$1</f>
        <v>844192.62849832652</v>
      </c>
      <c r="C87">
        <f si="19" t="shared"/>
        <v>107368.89633985165</v>
      </c>
      <c r="D87">
        <f si="19" t="shared"/>
        <v>215020.34830881163</v>
      </c>
      <c r="E87">
        <f si="19" t="shared"/>
        <v>200559.07428501287</v>
      </c>
      <c r="F87">
        <f si="19" t="shared"/>
        <v>49597.913976236385</v>
      </c>
      <c r="G87">
        <f si="19" t="shared"/>
        <v>16940.784614252581</v>
      </c>
      <c r="H87">
        <f si="19" t="shared"/>
        <v>69111.264943919654</v>
      </c>
      <c r="I87">
        <f si="19" t="shared"/>
        <v>0</v>
      </c>
      <c r="J87">
        <f si="19" t="shared"/>
        <v>1502790.9109664115</v>
      </c>
      <c r="N87">
        <v>0</v>
      </c>
      <c r="O87" t="n">
        <v>844192.6284983265</v>
      </c>
      <c r="P87" t="n">
        <v>107368.89633985165</v>
      </c>
      <c r="Q87" t="n">
        <v>215020.34830881163</v>
      </c>
      <c r="R87" t="n">
        <v>200559.07428501287</v>
      </c>
      <c r="S87" t="n">
        <v>49597.913976236385</v>
      </c>
      <c r="T87" t="n">
        <v>16940.78461425258</v>
      </c>
      <c r="U87" t="n">
        <v>69111.26494391965</v>
      </c>
      <c r="V87" t="n">
        <v>0.0</v>
      </c>
      <c r="W87">
        <f>SUM(O87:V87)</f>
        <v>1502790.9109664115</v>
      </c>
    </row>
    <row r="88" spans="1:23" x14ac:dyDescent="0.2">
      <c r="A88">
        <v>1</v>
      </c>
      <c r="B88">
        <f si="19" t="shared"/>
        <v>7822.3715016728247</v>
      </c>
      <c r="C88">
        <f si="19" t="shared"/>
        <v>1210.0279563086599</v>
      </c>
      <c r="D88">
        <f si="19" t="shared"/>
        <v>389.65169118865902</v>
      </c>
      <c r="E88">
        <f si="19" t="shared"/>
        <v>2355.9257149873511</v>
      </c>
      <c r="F88">
        <f si="19" t="shared"/>
        <v>13907.569110255921</v>
      </c>
      <c r="G88">
        <f si="19" t="shared"/>
        <v>37207.555768841456</v>
      </c>
      <c r="H88">
        <f si="19" t="shared"/>
        <v>193411.10989111569</v>
      </c>
      <c r="I88">
        <f si="19" t="shared"/>
        <v>0</v>
      </c>
      <c r="J88">
        <f si="19" t="shared"/>
        <v>256304.21163437056</v>
      </c>
      <c r="N88">
        <v>1</v>
      </c>
      <c r="O88" t="n">
        <v>7822.371501672825</v>
      </c>
      <c r="P88" t="n">
        <v>1210.02795630866</v>
      </c>
      <c r="Q88" t="n">
        <v>389.651691188659</v>
      </c>
      <c r="R88" t="n">
        <v>2355.925714987351</v>
      </c>
      <c r="S88" t="n">
        <v>13907.569110255921</v>
      </c>
      <c r="T88" t="n">
        <v>37207.555768841456</v>
      </c>
      <c r="U88" t="n">
        <v>193411.1098911157</v>
      </c>
      <c r="V88" t="n">
        <v>0.0</v>
      </c>
      <c r="W88">
        <f>SUM(O88:V88)</f>
        <v>256304.21163437056</v>
      </c>
    </row>
    <row r="89" spans="1:23" x14ac:dyDescent="0.2">
      <c r="A89">
        <v>2</v>
      </c>
      <c r="B89">
        <f si="19" t="shared"/>
        <v>0</v>
      </c>
      <c r="C89">
        <f si="19" t="shared"/>
        <v>46.075703839681999</v>
      </c>
      <c r="D89">
        <f si="19" t="shared"/>
        <v>0</v>
      </c>
      <c r="E89">
        <f si="19" t="shared"/>
        <v>0</v>
      </c>
      <c r="F89">
        <f si="19" t="shared"/>
        <v>1127.5169135076842</v>
      </c>
      <c r="G89">
        <f si="19" t="shared"/>
        <v>1353.659616905974</v>
      </c>
      <c r="H89">
        <f si="19" t="shared"/>
        <v>4598.6251649646856</v>
      </c>
      <c r="I89">
        <f si="19" t="shared"/>
        <v>0</v>
      </c>
      <c r="J89">
        <f si="19" t="shared"/>
        <v>7125.8773992180259</v>
      </c>
      <c r="N89">
        <v>2</v>
      </c>
      <c r="O89" t="n">
        <v>0.0</v>
      </c>
      <c r="P89" t="n">
        <v>46.075703839682</v>
      </c>
      <c r="Q89" t="n">
        <v>0.0</v>
      </c>
      <c r="R89" t="n">
        <v>0.0</v>
      </c>
      <c r="S89" t="n">
        <v>1127.5169135076842</v>
      </c>
      <c r="T89" t="n">
        <v>1353.659616905974</v>
      </c>
      <c r="U89" t="n">
        <v>4598.625164964686</v>
      </c>
      <c r="V89" t="n">
        <v>0.0</v>
      </c>
      <c r="W89">
        <f>SUM(O89:V89)</f>
        <v>7125.8773992180259</v>
      </c>
    </row>
    <row r="90" spans="1:23" x14ac:dyDescent="0.2">
      <c r="A90" t="s">
        <v>94</v>
      </c>
      <c r="B90">
        <f si="19" t="shared"/>
        <v>0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0</v>
      </c>
      <c r="G90">
        <f si="19" t="shared"/>
        <v>0</v>
      </c>
      <c r="H90">
        <f si="19" t="shared"/>
        <v>0</v>
      </c>
      <c r="I90">
        <f si="19" t="shared"/>
        <v>0</v>
      </c>
      <c r="J90">
        <f si="19" t="shared"/>
        <v>0</v>
      </c>
      <c r="N90" t="s">
        <v>94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25</v>
      </c>
      <c r="N92" t="s">
        <v>25</v>
      </c>
    </row>
    <row r="93" spans="1:23" x14ac:dyDescent="0.2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2">
      <c r="A94">
        <v>0</v>
      </c>
      <c r="B94">
        <f ref="B94:J97" si="20" t="shared">O94*$B$1</f>
        <v>792755.77663505531</v>
      </c>
      <c r="C94">
        <f si="20" t="shared"/>
        <v>89654.300106652125</v>
      </c>
      <c r="D94">
        <f si="20" t="shared"/>
        <v>199818.17881640745</v>
      </c>
      <c r="E94">
        <f si="20" t="shared"/>
        <v>162410.71569251447</v>
      </c>
      <c r="F94">
        <f si="20" t="shared"/>
        <v>60493.50551585848</v>
      </c>
      <c r="G94">
        <f si="20" t="shared"/>
        <v>52111.671053124424</v>
      </c>
      <c r="H94">
        <f si="20" t="shared"/>
        <v>256264.7435736086</v>
      </c>
      <c r="I94">
        <f si="20" t="shared"/>
        <v>0</v>
      </c>
      <c r="J94">
        <f si="20" t="shared"/>
        <v>1613508.891393221</v>
      </c>
      <c r="N94">
        <v>0</v>
      </c>
      <c r="O94" t="n">
        <v>792755.7766350553</v>
      </c>
      <c r="P94" t="n">
        <v>89654.30010665212</v>
      </c>
      <c r="Q94" t="n">
        <v>199818.17881640745</v>
      </c>
      <c r="R94" t="n">
        <v>162410.71569251447</v>
      </c>
      <c r="S94" t="n">
        <v>60493.50551585848</v>
      </c>
      <c r="T94" t="n">
        <v>52111.671053124424</v>
      </c>
      <c r="U94" t="n">
        <v>256264.7435736086</v>
      </c>
      <c r="V94" t="n">
        <v>0.0</v>
      </c>
      <c r="W94">
        <f>SUM(O94:V94)</f>
        <v>1613508.891393221</v>
      </c>
    </row>
    <row r="95" spans="1:23" x14ac:dyDescent="0.2">
      <c r="A95">
        <v>1</v>
      </c>
      <c r="B95">
        <f si="20" t="shared"/>
        <v>44210.270684138653</v>
      </c>
      <c r="C95">
        <f si="20" t="shared"/>
        <v>12461.58818515822</v>
      </c>
      <c r="D95">
        <f si="20" t="shared"/>
        <v>12912.486901868808</v>
      </c>
      <c r="E95">
        <f si="20" t="shared"/>
        <v>18644.193091052901</v>
      </c>
      <c r="F95">
        <f si="20" t="shared"/>
        <v>2356.1328008174032</v>
      </c>
      <c r="G95">
        <f si="20" t="shared"/>
        <v>3335.8229706003222</v>
      </c>
      <c r="H95">
        <f si="20" t="shared"/>
        <v>10526.09164724766</v>
      </c>
      <c r="I95">
        <f si="20" t="shared"/>
        <v>0</v>
      </c>
      <c r="J95">
        <f si="20" t="shared"/>
        <v>104446.58628088396</v>
      </c>
      <c r="N95">
        <v>1</v>
      </c>
      <c r="O95" t="n">
        <v>44210.27068413865</v>
      </c>
      <c r="P95" t="n">
        <v>12461.58818515822</v>
      </c>
      <c r="Q95" t="n">
        <v>12912.486901868808</v>
      </c>
      <c r="R95" t="n">
        <v>18644.1930910529</v>
      </c>
      <c r="S95" t="n">
        <v>2356.132800817403</v>
      </c>
      <c r="T95" t="n">
        <v>3335.822970600322</v>
      </c>
      <c r="U95" t="n">
        <v>10526.09164724766</v>
      </c>
      <c r="V95" t="n">
        <v>0.0</v>
      </c>
      <c r="W95">
        <f>SUM(O95:V95)</f>
        <v>104446.58628088396</v>
      </c>
    </row>
    <row r="96" spans="1:23" x14ac:dyDescent="0.2">
      <c r="A96">
        <v>2</v>
      </c>
      <c r="B96">
        <f si="20" t="shared"/>
        <v>13294.440328911156</v>
      </c>
      <c r="C96">
        <f si="20" t="shared"/>
        <v>5000.2620955947968</v>
      </c>
      <c r="D96">
        <f si="20" t="shared"/>
        <v>2434.1834608643462</v>
      </c>
      <c r="E96">
        <f si="20" t="shared"/>
        <v>15749.033217822491</v>
      </c>
      <c r="F96">
        <f si="20" t="shared"/>
        <v>1100.154857185506</v>
      </c>
      <c r="G96">
        <f si="20" t="shared"/>
        <v>54.505976275259599</v>
      </c>
      <c r="H96">
        <f si="20" t="shared"/>
        <v>330.16477914377208</v>
      </c>
      <c r="I96">
        <f si="20" t="shared"/>
        <v>0</v>
      </c>
      <c r="J96">
        <f si="20" t="shared"/>
        <v>37962.744715797329</v>
      </c>
      <c r="N96">
        <v>2</v>
      </c>
      <c r="O96" t="n">
        <v>13294.440328911156</v>
      </c>
      <c r="P96" t="n">
        <v>5000.262095594797</v>
      </c>
      <c r="Q96" t="n">
        <v>2434.183460864346</v>
      </c>
      <c r="R96" t="n">
        <v>15749.03321782249</v>
      </c>
      <c r="S96" t="n">
        <v>1100.154857185506</v>
      </c>
      <c r="T96" t="n">
        <v>54.5059762752596</v>
      </c>
      <c r="U96" t="n">
        <v>330.1647791437721</v>
      </c>
      <c r="V96" t="n">
        <v>0.0</v>
      </c>
      <c r="W96">
        <f>SUM(O96:V96)</f>
        <v>37962.744715797329</v>
      </c>
    </row>
    <row r="97" spans="1:23" x14ac:dyDescent="0.2">
      <c r="A97" t="s">
        <v>94</v>
      </c>
      <c r="B97">
        <f si="20" t="shared"/>
        <v>1754.512351894256</v>
      </c>
      <c r="C97">
        <f si="20" t="shared"/>
        <v>1508.8496125948529</v>
      </c>
      <c r="D97">
        <f si="20" t="shared"/>
        <v>245.1508208596824</v>
      </c>
      <c r="E97">
        <f si="20" t="shared"/>
        <v>6111.0579986103512</v>
      </c>
      <c r="F97">
        <f si="20" t="shared"/>
        <v>683.20682613859913</v>
      </c>
      <c r="G97">
        <f si="20" t="shared"/>
        <v>0</v>
      </c>
      <c r="H97">
        <f si="20" t="shared"/>
        <v>0</v>
      </c>
      <c r="I97">
        <f si="20" t="shared"/>
        <v>0</v>
      </c>
      <c r="J97">
        <f si="20" t="shared"/>
        <v>10302.777610097741</v>
      </c>
      <c r="N97" t="s">
        <v>94</v>
      </c>
      <c r="O97" t="n">
        <v>1754.512351894256</v>
      </c>
      <c r="P97" t="n">
        <v>1508.849612594853</v>
      </c>
      <c r="Q97" t="n">
        <v>245.1508208596824</v>
      </c>
      <c r="R97" t="n">
        <v>6111.057998610351</v>
      </c>
      <c r="S97" t="n">
        <v>683.2068261385991</v>
      </c>
      <c r="T97" t="n">
        <v>0.0</v>
      </c>
      <c r="U97" t="n">
        <v>0.0</v>
      </c>
      <c r="V97" t="n">
        <v>0.0</v>
      </c>
      <c r="W97">
        <f>SUM(O97:V97)</f>
        <v>10302.777610097741</v>
      </c>
    </row>
    <row r="99" spans="1:23" x14ac:dyDescent="0.2">
      <c r="A99" t="s">
        <v>249</v>
      </c>
      <c r="N99" t="s">
        <v>249</v>
      </c>
    </row>
    <row r="100" spans="1:23" x14ac:dyDescent="0.2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2">
      <c r="A101">
        <v>0</v>
      </c>
      <c r="B101">
        <f ref="B101:J104" si="21" t="shared">O101*$B$1</f>
        <v>775479.97846948029</v>
      </c>
      <c r="C101">
        <f si="21" t="shared"/>
        <v>90628.577986021701</v>
      </c>
      <c r="D101">
        <f si="21" t="shared"/>
        <v>149596.15608618918</v>
      </c>
      <c r="E101">
        <f si="21" t="shared"/>
        <v>156890.74721060754</v>
      </c>
      <c r="F101">
        <f si="21" t="shared"/>
        <v>59817.812956860907</v>
      </c>
      <c r="G101">
        <f si="21" t="shared"/>
        <v>49554.250023853252</v>
      </c>
      <c r="H101">
        <f si="21" t="shared"/>
        <v>249075.61551506841</v>
      </c>
      <c r="I101">
        <f si="21" t="shared"/>
        <v>0</v>
      </c>
      <c r="J101">
        <f si="21" t="shared"/>
        <v>1531043.1382480816</v>
      </c>
      <c r="N101">
        <v>0</v>
      </c>
      <c r="O101" t="n">
        <v>775479.9784694803</v>
      </c>
      <c r="P101" t="n">
        <v>90628.5779860217</v>
      </c>
      <c r="Q101" t="n">
        <v>149596.15608618918</v>
      </c>
      <c r="R101" t="n">
        <v>156890.74721060754</v>
      </c>
      <c r="S101" t="n">
        <v>59817.81295686091</v>
      </c>
      <c r="T101" t="n">
        <v>49554.25002385325</v>
      </c>
      <c r="U101" t="n">
        <v>249075.6155150684</v>
      </c>
      <c r="V101" t="n">
        <v>0.0</v>
      </c>
      <c r="W101">
        <f>SUM(O101:V101)</f>
        <v>1531043.1382480816</v>
      </c>
    </row>
    <row r="102" spans="1:23" x14ac:dyDescent="0.2">
      <c r="A102">
        <v>1</v>
      </c>
      <c r="B102">
        <f si="21" t="shared"/>
        <v>70311.002630487739</v>
      </c>
      <c r="C102">
        <f si="21" t="shared"/>
        <v>15492.001236482452</v>
      </c>
      <c r="D102">
        <f si="21" t="shared"/>
        <v>55952.615802126224</v>
      </c>
      <c r="E102">
        <f si="21" t="shared"/>
        <v>40768.12912348425</v>
      </c>
      <c r="F102">
        <f si="21" t="shared"/>
        <v>4339.425259374425</v>
      </c>
      <c r="G102">
        <f si="21" t="shared"/>
        <v>5781.4982819632296</v>
      </c>
      <c r="H102">
        <f si="21" t="shared"/>
        <v>17001.266502139315</v>
      </c>
      <c r="I102">
        <f si="21" t="shared"/>
        <v>0</v>
      </c>
      <c r="J102">
        <f si="21" t="shared"/>
        <v>209645.93883605764</v>
      </c>
      <c r="N102">
        <v>1</v>
      </c>
      <c r="O102" t="n">
        <v>70311.00263048774</v>
      </c>
      <c r="P102" t="n">
        <v>15492.001236482452</v>
      </c>
      <c r="Q102" t="n">
        <v>55952.61580212622</v>
      </c>
      <c r="R102" t="n">
        <v>40768.12912348425</v>
      </c>
      <c r="S102" t="n">
        <v>4339.425259374425</v>
      </c>
      <c r="T102" t="n">
        <v>5781.49828196323</v>
      </c>
      <c r="U102" t="n">
        <v>17001.266502139315</v>
      </c>
      <c r="V102" t="n">
        <v>0.0</v>
      </c>
      <c r="W102">
        <f>SUM(O102:V102)</f>
        <v>209645.93883605764</v>
      </c>
    </row>
    <row r="103" spans="1:23" x14ac:dyDescent="0.2">
      <c r="A103">
        <v>2</v>
      </c>
      <c r="B103">
        <f si="21" t="shared"/>
        <v>5592.4669732280563</v>
      </c>
      <c r="C103">
        <f si="21" t="shared"/>
        <v>2442.812400131073</v>
      </c>
      <c r="D103">
        <f si="21" t="shared"/>
        <v>8840.8994843920682</v>
      </c>
      <c r="E103">
        <f si="21" t="shared"/>
        <v>4857.2824012624142</v>
      </c>
      <c r="F103">
        <f si="21" t="shared"/>
        <v>448.46245669473888</v>
      </c>
      <c r="G103">
        <f si="21" t="shared"/>
        <v>166.25169418353158</v>
      </c>
      <c r="H103">
        <f si="21" t="shared"/>
        <v>546.20744755731175</v>
      </c>
      <c r="I103">
        <f si="21" t="shared"/>
        <v>0</v>
      </c>
      <c r="J103">
        <f si="21" t="shared"/>
        <v>22894.382857449193</v>
      </c>
      <c r="N103">
        <v>2</v>
      </c>
      <c r="O103" t="n">
        <v>5592.466973228056</v>
      </c>
      <c r="P103" t="n">
        <v>2442.812400131073</v>
      </c>
      <c r="Q103" t="n">
        <v>8840.899484392068</v>
      </c>
      <c r="R103" t="n">
        <v>4857.282401262414</v>
      </c>
      <c r="S103" t="n">
        <v>448.4624566947389</v>
      </c>
      <c r="T103" t="n">
        <v>166.25169418353158</v>
      </c>
      <c r="U103" t="n">
        <v>546.2074475573118</v>
      </c>
      <c r="V103" t="n">
        <v>0.0</v>
      </c>
      <c r="W103">
        <f>SUM(O103:V103)</f>
        <v>22894.382857449193</v>
      </c>
    </row>
    <row r="104" spans="1:23" x14ac:dyDescent="0.2">
      <c r="A104" t="s">
        <v>94</v>
      </c>
      <c r="B104">
        <f si="21" t="shared"/>
        <v>631.55192680325149</v>
      </c>
      <c r="C104">
        <f si="21" t="shared"/>
        <v>61.608377364775301</v>
      </c>
      <c r="D104">
        <f si="21" t="shared"/>
        <v>1020.3286272928184</v>
      </c>
      <c r="E104">
        <f si="21" t="shared"/>
        <v>398.84126464600598</v>
      </c>
      <c r="F104">
        <f si="21" t="shared"/>
        <v>27.299327069922999</v>
      </c>
      <c r="G104">
        <f si="21" t="shared"/>
        <v>0</v>
      </c>
      <c r="H104">
        <f si="21" t="shared"/>
        <v>497.91053523502001</v>
      </c>
      <c r="I104">
        <f si="21" t="shared"/>
        <v>0</v>
      </c>
      <c r="J104">
        <f si="21" t="shared"/>
        <v>2637.5400584117942</v>
      </c>
      <c r="N104" t="s">
        <v>94</v>
      </c>
      <c r="O104" t="n">
        <v>631.5519268032515</v>
      </c>
      <c r="P104" t="n">
        <v>61.6083773647753</v>
      </c>
      <c r="Q104" t="n">
        <v>1020.3286272928184</v>
      </c>
      <c r="R104" t="n">
        <v>398.841264646006</v>
      </c>
      <c r="S104" t="n">
        <v>27.299327069923</v>
      </c>
      <c r="T104" t="n">
        <v>0.0</v>
      </c>
      <c r="U104" t="n">
        <v>497.91053523502</v>
      </c>
      <c r="V104" t="n">
        <v>0.0</v>
      </c>
      <c r="W104">
        <f>SUM(O104:V104)</f>
        <v>2637.5400584117942</v>
      </c>
    </row>
    <row r="106" spans="1:23" x14ac:dyDescent="0.2">
      <c r="A106" t="s">
        <v>27</v>
      </c>
      <c r="N106" t="s">
        <v>27</v>
      </c>
    </row>
    <row r="107" spans="1:23" x14ac:dyDescent="0.2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2">
      <c r="A108">
        <v>0</v>
      </c>
      <c r="B108">
        <f ref="B108:J111" si="22" t="shared">O108*$B$1</f>
        <v>799966.35113184003</v>
      </c>
      <c r="C108">
        <f si="22" t="shared"/>
        <v>94275.746093084628</v>
      </c>
      <c r="D108">
        <f si="22" t="shared"/>
        <v>174318.13292725844</v>
      </c>
      <c r="E108">
        <f si="22" t="shared"/>
        <v>161214.84522908041</v>
      </c>
      <c r="F108">
        <f si="22" t="shared"/>
        <v>59989.297348207117</v>
      </c>
      <c r="G108">
        <f si="22" t="shared"/>
        <v>53586.902500500903</v>
      </c>
      <c r="H108">
        <f si="22" t="shared"/>
        <v>258275.35362355763</v>
      </c>
      <c r="I108">
        <f si="22" t="shared"/>
        <v>0</v>
      </c>
      <c r="J108">
        <f si="22" t="shared"/>
        <v>1601626.6288535292</v>
      </c>
      <c r="N108">
        <v>0</v>
      </c>
      <c r="O108" t="n">
        <v>799966.35113184</v>
      </c>
      <c r="P108" t="n">
        <v>94275.74609308463</v>
      </c>
      <c r="Q108" t="n">
        <v>174318.13292725844</v>
      </c>
      <c r="R108" t="n">
        <v>161214.8452290804</v>
      </c>
      <c r="S108" t="n">
        <v>59989.29734820712</v>
      </c>
      <c r="T108" t="n">
        <v>53586.9025005009</v>
      </c>
      <c r="U108" t="n">
        <v>258275.35362355763</v>
      </c>
      <c r="V108" t="n">
        <v>0.0</v>
      </c>
      <c r="W108">
        <f>SUM(O108:V108)</f>
        <v>1601626.6288535292</v>
      </c>
    </row>
    <row r="109" spans="1:23" x14ac:dyDescent="0.2">
      <c r="A109">
        <v>1</v>
      </c>
      <c r="B109">
        <f si="22" t="shared"/>
        <v>49712.177535653529</v>
      </c>
      <c r="C109">
        <f si="22" t="shared"/>
        <v>12897.575119918334</v>
      </c>
      <c r="D109">
        <f si="22" t="shared"/>
        <v>37488.600819148975</v>
      </c>
      <c r="E109">
        <f si="22" t="shared"/>
        <v>39249.088265919141</v>
      </c>
      <c r="F109">
        <f si="22" t="shared"/>
        <v>3597.9213249095865</v>
      </c>
      <c r="G109">
        <f si="22" t="shared"/>
        <v>1915.0974994991036</v>
      </c>
      <c r="H109">
        <f si="22" t="shared"/>
        <v>8845.6463764424007</v>
      </c>
      <c r="I109">
        <f si="22" t="shared"/>
        <v>0</v>
      </c>
      <c r="J109">
        <f si="22" t="shared"/>
        <v>153706.10694149105</v>
      </c>
      <c r="N109">
        <v>1</v>
      </c>
      <c r="O109" t="n">
        <v>49712.17753565353</v>
      </c>
      <c r="P109" t="n">
        <v>12897.575119918334</v>
      </c>
      <c r="Q109" t="n">
        <v>37488.600819148975</v>
      </c>
      <c r="R109" t="n">
        <v>39249.08826591914</v>
      </c>
      <c r="S109" t="n">
        <v>3597.9213249095865</v>
      </c>
      <c r="T109" t="n">
        <v>1915.0974994991036</v>
      </c>
      <c r="U109" t="n">
        <v>8845.6463764424</v>
      </c>
      <c r="V109" t="n">
        <v>0.0</v>
      </c>
      <c r="W109">
        <f>SUM(O109:V109)</f>
        <v>153706.10694149105</v>
      </c>
    </row>
    <row r="110" spans="1:23" x14ac:dyDescent="0.2">
      <c r="A110">
        <v>2</v>
      </c>
      <c r="B110">
        <f si="22" t="shared"/>
        <v>2336.4713325057287</v>
      </c>
      <c r="C110">
        <f si="22" t="shared"/>
        <v>1098.0808060076201</v>
      </c>
      <c r="D110">
        <f si="22" t="shared"/>
        <v>3552.0347903934403</v>
      </c>
      <c r="E110">
        <f si="22" t="shared"/>
        <v>2451.066505000676</v>
      </c>
      <c r="F110">
        <f si="22" t="shared"/>
        <v>1045.7813268832883</v>
      </c>
      <c r="G110">
        <f si="22" t="shared"/>
        <v>0</v>
      </c>
      <c r="H110">
        <f si="22" t="shared"/>
        <v>0</v>
      </c>
      <c r="I110">
        <f si="22" t="shared"/>
        <v>0</v>
      </c>
      <c r="J110">
        <f si="22" t="shared"/>
        <v>10483.434760790753</v>
      </c>
      <c r="N110">
        <v>2</v>
      </c>
      <c r="O110" t="n">
        <v>2336.4713325057287</v>
      </c>
      <c r="P110" t="n">
        <v>1098.0808060076201</v>
      </c>
      <c r="Q110" t="n">
        <v>3552.0347903934403</v>
      </c>
      <c r="R110" t="n">
        <v>2451.066505000676</v>
      </c>
      <c r="S110" t="n">
        <v>1045.7813268832883</v>
      </c>
      <c r="T110" t="n">
        <v>0.0</v>
      </c>
      <c r="U110" t="n">
        <v>0.0</v>
      </c>
      <c r="V110" t="n">
        <v>0.0</v>
      </c>
      <c r="W110">
        <f>SUM(O110:V110)</f>
        <v>10483.434760790753</v>
      </c>
    </row>
    <row r="111" spans="1:23" x14ac:dyDescent="0.2">
      <c r="A111" t="s">
        <v>94</v>
      </c>
      <c r="B111">
        <f si="22" t="shared"/>
        <v>0</v>
      </c>
      <c r="C111">
        <f si="22" t="shared"/>
        <v>353.597980989419</v>
      </c>
      <c r="D111">
        <f si="22" t="shared"/>
        <v>51.231463199437698</v>
      </c>
      <c r="E111">
        <f si="22" t="shared"/>
        <v>0</v>
      </c>
      <c r="F111">
        <f si="22" t="shared"/>
        <v>0</v>
      </c>
      <c r="G111">
        <f si="22" t="shared"/>
        <v>0</v>
      </c>
      <c r="H111">
        <f si="22" t="shared"/>
        <v>0</v>
      </c>
      <c r="I111">
        <f si="22" t="shared"/>
        <v>0</v>
      </c>
      <c r="J111">
        <f si="22" t="shared"/>
        <v>404.82944418885671</v>
      </c>
      <c r="N111" t="s">
        <v>94</v>
      </c>
      <c r="O111" t="n">
        <v>0.0</v>
      </c>
      <c r="P111" t="n">
        <v>353.597980989419</v>
      </c>
      <c r="Q111" t="n">
        <v>51.2314631994377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404.82944418885671</v>
      </c>
    </row>
    <row r="113" spans="1:23" x14ac:dyDescent="0.2">
      <c r="A113" t="s">
        <v>28</v>
      </c>
      <c r="N113" t="s">
        <v>28</v>
      </c>
    </row>
    <row r="114" spans="1:23" x14ac:dyDescent="0.2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2">
      <c r="A115">
        <v>0</v>
      </c>
      <c r="B115">
        <f ref="B115:J118" si="23" t="shared">O115*$B$1</f>
        <v>803009.92404972238</v>
      </c>
      <c r="C115">
        <f si="23" t="shared"/>
        <v>101297.25715654295</v>
      </c>
      <c r="D115">
        <f si="23" t="shared"/>
        <v>192833.18770221208</v>
      </c>
      <c r="E115">
        <f si="23" t="shared"/>
        <v>191743.19715117794</v>
      </c>
      <c r="F115">
        <f si="23" t="shared"/>
        <v>60509.601503167934</v>
      </c>
      <c r="G115">
        <f si="23" t="shared"/>
        <v>54628.806105517986</v>
      </c>
      <c r="H115">
        <f si="23" t="shared"/>
        <v>260241.32962903197</v>
      </c>
      <c r="I115">
        <f si="23" t="shared"/>
        <v>0</v>
      </c>
      <c r="J115">
        <f si="23" t="shared"/>
        <v>1664263.3032973735</v>
      </c>
      <c r="N115">
        <v>0</v>
      </c>
      <c r="O115" t="n">
        <v>803009.9240497224</v>
      </c>
      <c r="P115" t="n">
        <v>101297.25715654295</v>
      </c>
      <c r="Q115" t="n">
        <v>192833.18770221208</v>
      </c>
      <c r="R115" t="n">
        <v>191743.19715117794</v>
      </c>
      <c r="S115" t="n">
        <v>60509.601503167934</v>
      </c>
      <c r="T115" t="n">
        <v>54628.806105517986</v>
      </c>
      <c r="U115" t="n">
        <v>260241.32962903197</v>
      </c>
      <c r="V115" t="n">
        <v>0.0</v>
      </c>
      <c r="W115">
        <f>SUM(O115:V115)</f>
        <v>1664263.3032973735</v>
      </c>
    </row>
    <row r="116" spans="1:23" x14ac:dyDescent="0.2">
      <c r="A116">
        <v>1</v>
      </c>
      <c r="B116">
        <f si="23" t="shared"/>
        <v>48042.988574181392</v>
      </c>
      <c r="C116">
        <f si="23" t="shared"/>
        <v>7082.9877146739182</v>
      </c>
      <c r="D116">
        <f si="23" t="shared"/>
        <v>20605.502295497801</v>
      </c>
      <c r="E116">
        <f si="23" t="shared"/>
        <v>10104.641427946892</v>
      </c>
      <c r="F116">
        <f si="23" t="shared"/>
        <v>3743.448350222825</v>
      </c>
      <c r="G116">
        <f si="23" t="shared"/>
        <v>873.19389448202321</v>
      </c>
      <c r="H116">
        <f si="23" t="shared"/>
        <v>6784.1207157653234</v>
      </c>
      <c r="I116">
        <f si="23" t="shared"/>
        <v>0</v>
      </c>
      <c r="J116">
        <f si="23" t="shared"/>
        <v>97236.882972770181</v>
      </c>
      <c r="N116">
        <v>1</v>
      </c>
      <c r="O116" t="n">
        <v>48042.98857418139</v>
      </c>
      <c r="P116" t="n">
        <v>7082.987714673918</v>
      </c>
      <c r="Q116" t="n">
        <v>20605.5022954978</v>
      </c>
      <c r="R116" t="n">
        <v>10104.641427946892</v>
      </c>
      <c r="S116" t="n">
        <v>3743.448350222825</v>
      </c>
      <c r="T116" t="n">
        <v>873.1938944820232</v>
      </c>
      <c r="U116" t="n">
        <v>6784.120715765323</v>
      </c>
      <c r="V116" t="n">
        <v>0.0</v>
      </c>
      <c r="W116">
        <f>SUM(O116:V116)</f>
        <v>97236.882972770181</v>
      </c>
    </row>
    <row r="117" spans="1:23" x14ac:dyDescent="0.2">
      <c r="A117">
        <v>2</v>
      </c>
      <c r="B117">
        <f si="23" t="shared"/>
        <v>962.08737609555305</v>
      </c>
      <c r="C117">
        <f si="23" t="shared"/>
        <v>244.75512878312631</v>
      </c>
      <c r="D117">
        <f si="23" t="shared"/>
        <v>1971.3100022904136</v>
      </c>
      <c r="E117">
        <f si="23" t="shared"/>
        <v>1067.1614208753913</v>
      </c>
      <c r="F117">
        <f si="23" t="shared"/>
        <v>311.73157527645498</v>
      </c>
      <c r="G117">
        <f si="23" t="shared"/>
        <v>0</v>
      </c>
      <c r="H117">
        <f si="23" t="shared"/>
        <v>95.5496552027371</v>
      </c>
      <c r="I117">
        <f si="23" t="shared"/>
        <v>0</v>
      </c>
      <c r="J117">
        <f si="23" t="shared"/>
        <v>4652.5951585236771</v>
      </c>
      <c r="N117">
        <v>2</v>
      </c>
      <c r="O117" t="n">
        <v>962.087376095553</v>
      </c>
      <c r="P117" t="n">
        <v>244.7551287831263</v>
      </c>
      <c r="Q117" t="n">
        <v>1971.3100022904136</v>
      </c>
      <c r="R117" t="n">
        <v>1067.1614208753913</v>
      </c>
      <c r="S117" t="n">
        <v>311.731575276455</v>
      </c>
      <c r="T117" t="n">
        <v>0.0</v>
      </c>
      <c r="U117" t="n">
        <v>95.5496552027371</v>
      </c>
      <c r="V117" t="n">
        <v>0.0</v>
      </c>
      <c r="W117">
        <f>SUM(O117:V117)</f>
        <v>4652.5951585236771</v>
      </c>
    </row>
    <row r="118" spans="1:23" x14ac:dyDescent="0.2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68.218571332780101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68.218571332780101</v>
      </c>
      <c r="N118" t="s">
        <v>94</v>
      </c>
      <c r="O118" t="n">
        <v>0.0</v>
      </c>
      <c r="P118" t="n">
        <v>0.0</v>
      </c>
      <c r="Q118" t="n">
        <v>0.0</v>
      </c>
      <c r="R118" t="n">
        <v>0.0</v>
      </c>
      <c r="S118" t="n">
        <v>68.2185713327801</v>
      </c>
      <c r="T118" t="n">
        <v>0.0</v>
      </c>
      <c r="U118" t="n">
        <v>0.0</v>
      </c>
      <c r="V118" t="n">
        <v>0.0</v>
      </c>
      <c r="W118">
        <f>SUM(O118:V118)</f>
        <v>68.218571332780101</v>
      </c>
    </row>
    <row r="120" spans="1:23" x14ac:dyDescent="0.2">
      <c r="A120" t="s">
        <v>29</v>
      </c>
      <c r="N120" t="s">
        <v>29</v>
      </c>
    </row>
    <row r="121" spans="1:23" x14ac:dyDescent="0.2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2">
      <c r="A122">
        <v>0</v>
      </c>
      <c r="B122">
        <f ref="B122:J125" si="24" t="shared">O122*$B$1</f>
        <v>771354.18983626121</v>
      </c>
      <c r="C122">
        <f si="24" t="shared"/>
        <v>93590.204884249484</v>
      </c>
      <c r="D122">
        <f si="24" t="shared"/>
        <v>182242.90897463378</v>
      </c>
      <c r="E122">
        <f si="24" t="shared"/>
        <v>166641.62829855157</v>
      </c>
      <c r="F122">
        <f si="24" t="shared"/>
        <v>59332.084685819122</v>
      </c>
      <c r="G122">
        <f si="24" t="shared"/>
        <v>44728.647357585811</v>
      </c>
      <c r="H122">
        <f si="24" t="shared"/>
        <v>215655.44077545448</v>
      </c>
      <c r="I122">
        <f si="24" t="shared"/>
        <v>0</v>
      </c>
      <c r="J122">
        <f si="24" t="shared"/>
        <v>1533545.1048125557</v>
      </c>
      <c r="N122">
        <v>0</v>
      </c>
      <c r="O122" t="n">
        <v>771354.1898362612</v>
      </c>
      <c r="P122" t="n">
        <v>93590.20488424948</v>
      </c>
      <c r="Q122" t="n">
        <v>182242.90897463378</v>
      </c>
      <c r="R122" t="n">
        <v>166641.62829855157</v>
      </c>
      <c r="S122" t="n">
        <v>59332.08468581912</v>
      </c>
      <c r="T122" t="n">
        <v>44728.64735758581</v>
      </c>
      <c r="U122" t="n">
        <v>215655.44077545448</v>
      </c>
      <c r="V122" t="n">
        <v>0.0</v>
      </c>
      <c r="W122">
        <f>SUM(O122:V122)</f>
        <v>1533545.1048125557</v>
      </c>
    </row>
    <row r="123" spans="1:23" x14ac:dyDescent="0.2">
      <c r="A123">
        <v>1</v>
      </c>
      <c r="B123">
        <f si="24" t="shared"/>
        <v>78286.12518598717</v>
      </c>
      <c r="C123">
        <f si="24" t="shared"/>
        <v>13120.493377295446</v>
      </c>
      <c r="D123">
        <f si="24" t="shared"/>
        <v>29933.915707390901</v>
      </c>
      <c r="E123">
        <f si="24" t="shared"/>
        <v>33558.373126049904</v>
      </c>
      <c r="F123">
        <f si="24" t="shared"/>
        <v>4660.0922772644108</v>
      </c>
      <c r="G123">
        <f si="24" t="shared"/>
        <v>10319.388989613743</v>
      </c>
      <c r="H123">
        <f si="24" t="shared"/>
        <v>47018.092664577613</v>
      </c>
      <c r="I123">
        <f si="24" t="shared"/>
        <v>0</v>
      </c>
      <c r="J123">
        <f si="24" t="shared"/>
        <v>216896.48132817919</v>
      </c>
      <c r="N123">
        <v>1</v>
      </c>
      <c r="O123" t="n">
        <v>78286.12518598717</v>
      </c>
      <c r="P123" t="n">
        <v>13120.493377295446</v>
      </c>
      <c r="Q123" t="n">
        <v>29933.9157073909</v>
      </c>
      <c r="R123" t="n">
        <v>33558.373126049904</v>
      </c>
      <c r="S123" t="n">
        <v>4660.092277264411</v>
      </c>
      <c r="T123" t="n">
        <v>10319.388989613743</v>
      </c>
      <c r="U123" t="n">
        <v>47018.09266457761</v>
      </c>
      <c r="V123" t="n">
        <v>0.0</v>
      </c>
      <c r="W123">
        <f>SUM(O123:V123)</f>
        <v>216896.48132817919</v>
      </c>
    </row>
    <row r="124" spans="1:23" x14ac:dyDescent="0.2">
      <c r="A124">
        <v>2</v>
      </c>
      <c r="B124">
        <f si="24" t="shared"/>
        <v>1946.8734267658217</v>
      </c>
      <c r="C124">
        <f si="24" t="shared"/>
        <v>1914.3017384550631</v>
      </c>
      <c r="D124">
        <f si="24" t="shared"/>
        <v>3204.6777695156006</v>
      </c>
      <c r="E124">
        <f si="24" t="shared"/>
        <v>2714.9985753987394</v>
      </c>
      <c r="F124">
        <f si="24" t="shared"/>
        <v>640.8230369164562</v>
      </c>
      <c r="G124">
        <f si="24" t="shared"/>
        <v>453.96365280045342</v>
      </c>
      <c r="H124">
        <f si="24" t="shared"/>
        <v>4119.2799067361893</v>
      </c>
      <c r="I124">
        <f si="24" t="shared"/>
        <v>0</v>
      </c>
      <c r="J124">
        <f si="24" t="shared"/>
        <v>14994.918106588324</v>
      </c>
      <c r="N124">
        <v>2</v>
      </c>
      <c r="O124" t="n">
        <v>1946.8734267658217</v>
      </c>
      <c r="P124" t="n">
        <v>1914.301738455063</v>
      </c>
      <c r="Q124" t="n">
        <v>3204.6777695156006</v>
      </c>
      <c r="R124" t="n">
        <v>2714.9985753987394</v>
      </c>
      <c r="S124" t="n">
        <v>640.8230369164562</v>
      </c>
      <c r="T124" t="n">
        <v>453.9636528004534</v>
      </c>
      <c r="U124" t="n">
        <v>4119.279906736189</v>
      </c>
      <c r="V124" t="n">
        <v>0.0</v>
      </c>
      <c r="W124">
        <f>SUM(O124:V124)</f>
        <v>14994.918106588324</v>
      </c>
    </row>
    <row r="125" spans="1:23" x14ac:dyDescent="0.2">
      <c r="A125" t="s">
        <v>94</v>
      </c>
      <c r="B125">
        <f si="24" t="shared"/>
        <v>427.81155098511113</v>
      </c>
      <c r="C125">
        <f si="24" t="shared"/>
        <v>0</v>
      </c>
      <c r="D125">
        <f si="24" t="shared"/>
        <v>28.4975484599947</v>
      </c>
      <c r="E125">
        <f si="24" t="shared"/>
        <v>0</v>
      </c>
      <c r="F125">
        <f si="24" t="shared"/>
        <v>0</v>
      </c>
      <c r="G125">
        <f si="24" t="shared"/>
        <v>0</v>
      </c>
      <c r="H125">
        <f si="24" t="shared"/>
        <v>328.18665323175401</v>
      </c>
      <c r="I125">
        <f si="24" t="shared"/>
        <v>0</v>
      </c>
      <c r="J125">
        <f si="24" t="shared"/>
        <v>784.49575267685987</v>
      </c>
      <c r="N125" t="s">
        <v>94</v>
      </c>
      <c r="O125" t="n">
        <v>427.8115509851111</v>
      </c>
      <c r="P125" t="n">
        <v>0.0</v>
      </c>
      <c r="Q125" t="n">
        <v>28.4975484599947</v>
      </c>
      <c r="R125" t="n">
        <v>0.0</v>
      </c>
      <c r="S125" t="n">
        <v>0.0</v>
      </c>
      <c r="T125" t="n">
        <v>0.0</v>
      </c>
      <c r="U125" t="n">
        <v>328.186653231754</v>
      </c>
      <c r="V125" t="n">
        <v>0.0</v>
      </c>
      <c r="W125">
        <f>SUM(O125:V125)</f>
        <v>784.49575267685987</v>
      </c>
    </row>
    <row r="127" spans="1:23" x14ac:dyDescent="0.2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2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2">
      <c r="A129">
        <v>0</v>
      </c>
      <c r="B129">
        <f ref="B129:D132" si="25" t="shared">O129*$B$1</f>
        <v>604236.98207233404</v>
      </c>
      <c r="C129">
        <f si="25" t="shared"/>
        <v>87636.866444396408</v>
      </c>
      <c r="D129">
        <f si="25" t="shared"/>
        <v>691873.84851673048</v>
      </c>
      <c r="N129">
        <v>0</v>
      </c>
      <c r="O129" t="n">
        <v>604236.982072334</v>
      </c>
      <c r="P129" t="n">
        <v>87636.86644439641</v>
      </c>
      <c r="Q129">
        <f>SUM(O129:P129)</f>
        <v>691873.84851673048</v>
      </c>
    </row>
    <row r="130" spans="1:17" x14ac:dyDescent="0.2">
      <c r="A130">
        <v>1</v>
      </c>
      <c r="B130">
        <f si="25" t="shared"/>
        <v>118238.22703816759</v>
      </c>
      <c r="C130">
        <f si="25" t="shared"/>
        <v>5302.9312595813772</v>
      </c>
      <c r="D130">
        <f si="25" t="shared"/>
        <v>123541.15829774897</v>
      </c>
      <c r="N130">
        <v>1</v>
      </c>
      <c r="O130" t="n">
        <v>118238.22703816759</v>
      </c>
      <c r="P130" t="n">
        <v>5302.931259581377</v>
      </c>
      <c r="Q130">
        <f>SUM(O130:P130)</f>
        <v>123541.15829774897</v>
      </c>
    </row>
    <row r="131" spans="1:17" x14ac:dyDescent="0.2">
      <c r="A131">
        <v>2</v>
      </c>
      <c r="B131">
        <f si="25" t="shared"/>
        <v>11022.25353277744</v>
      </c>
      <c r="C131">
        <f si="25" t="shared"/>
        <v>1005.4505754711472</v>
      </c>
      <c r="D131">
        <f si="25" t="shared"/>
        <v>12027.704108248588</v>
      </c>
      <c r="N131">
        <v>2</v>
      </c>
      <c r="O131" t="n">
        <v>11022.25353277744</v>
      </c>
      <c r="P131" t="n">
        <v>1005.4505754711472</v>
      </c>
      <c r="Q131">
        <f>SUM(O131:P131)</f>
        <v>12027.704108248588</v>
      </c>
    </row>
    <row r="132" spans="1:17" x14ac:dyDescent="0.2">
      <c r="A132" t="s">
        <v>94</v>
      </c>
      <c r="B132">
        <f si="25" t="shared"/>
        <v>1851.3739193935239</v>
      </c>
      <c r="C132">
        <f si="25" t="shared"/>
        <v>453.20509178309999</v>
      </c>
      <c r="D132">
        <f si="25" t="shared"/>
        <v>2304.5790111766237</v>
      </c>
      <c r="N132" t="s">
        <v>94</v>
      </c>
      <c r="O132" t="n">
        <v>1851.373919393524</v>
      </c>
      <c r="P132" t="n">
        <v>453.2050917831</v>
      </c>
      <c r="Q132">
        <f>SUM(O132:P132)</f>
        <v>2304.5790111766237</v>
      </c>
    </row>
    <row r="134" spans="1:17" x14ac:dyDescent="0.2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2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2">
      <c r="A136" t="s">
        <v>23</v>
      </c>
      <c r="B136">
        <f ref="B136:D142" si="26" t="shared">O136*$B$1</f>
        <v>22479.201192487835</v>
      </c>
      <c r="C136">
        <f si="26" t="shared"/>
        <v>1542.5674848193678</v>
      </c>
      <c r="D136">
        <f si="26" t="shared"/>
        <v>24021.768677307202</v>
      </c>
      <c r="N136" t="s">
        <v>23</v>
      </c>
      <c r="O136" t="n">
        <v>22479.201192487835</v>
      </c>
      <c r="P136" t="n">
        <v>1542.5674848193678</v>
      </c>
      <c r="Q136">
        <f ref="Q136:Q142" si="27" t="shared">SUM(O136:P136)</f>
        <v>24021.768677307202</v>
      </c>
    </row>
    <row r="137" spans="1:17" x14ac:dyDescent="0.2">
      <c r="A137" t="s">
        <v>24</v>
      </c>
      <c r="B137">
        <f si="26" t="shared"/>
        <v>828.86353131360704</v>
      </c>
      <c r="C137">
        <f si="26" t="shared"/>
        <v>0</v>
      </c>
      <c r="D137">
        <f si="26" t="shared"/>
        <v>828.86353131360704</v>
      </c>
      <c r="N137" t="s">
        <v>24</v>
      </c>
      <c r="O137" t="n">
        <v>828.863531313607</v>
      </c>
      <c r="P137" t="n">
        <v>0.0</v>
      </c>
      <c r="Q137">
        <f si="27" t="shared"/>
        <v>828.86353131360704</v>
      </c>
    </row>
    <row r="138" spans="1:17" x14ac:dyDescent="0.2">
      <c r="A138" t="s">
        <v>25</v>
      </c>
      <c r="B138">
        <f si="26" t="shared"/>
        <v>5353.6247941500078</v>
      </c>
      <c r="C138">
        <f si="26" t="shared"/>
        <v>902.85003414668188</v>
      </c>
      <c r="D138">
        <f si="26" t="shared"/>
        <v>6256.4748282966893</v>
      </c>
      <c r="N138" t="s">
        <v>25</v>
      </c>
      <c r="O138" t="n">
        <v>5353.624794150008</v>
      </c>
      <c r="P138" t="n">
        <v>902.8500341466819</v>
      </c>
      <c r="Q138">
        <f si="27" t="shared"/>
        <v>6256.4748282966893</v>
      </c>
    </row>
    <row r="139" spans="1:17" x14ac:dyDescent="0.2">
      <c r="A139" t="s">
        <v>249</v>
      </c>
      <c r="B139">
        <f si="26" t="shared"/>
        <v>21603.247486885892</v>
      </c>
      <c r="C139">
        <f si="26" t="shared"/>
        <v>988.96077772236458</v>
      </c>
      <c r="D139">
        <f si="26" t="shared"/>
        <v>22592.208264608256</v>
      </c>
      <c r="N139" t="s">
        <v>249</v>
      </c>
      <c r="O139" t="n">
        <v>21603.24748688589</v>
      </c>
      <c r="P139" t="n">
        <v>988.9607777223646</v>
      </c>
      <c r="Q139">
        <f si="27" t="shared"/>
        <v>22592.208264608256</v>
      </c>
    </row>
    <row r="140" spans="1:17" x14ac:dyDescent="0.2">
      <c r="A140" t="s">
        <v>27</v>
      </c>
      <c r="B140">
        <f si="26" t="shared"/>
        <v>12973.02657358885</v>
      </c>
      <c r="C140">
        <f si="26" t="shared"/>
        <v>417.65395105493951</v>
      </c>
      <c r="D140">
        <f si="26" t="shared"/>
        <v>13390.680524643789</v>
      </c>
      <c r="N140" t="s">
        <v>27</v>
      </c>
      <c r="O140" t="n">
        <v>12973.02657358885</v>
      </c>
      <c r="P140" t="n">
        <v>417.6539510549395</v>
      </c>
      <c r="Q140">
        <f si="27" t="shared"/>
        <v>13390.680524643789</v>
      </c>
    </row>
    <row r="141" spans="1:17" x14ac:dyDescent="0.2">
      <c r="A141" t="s">
        <v>28</v>
      </c>
      <c r="B141">
        <f si="26" t="shared"/>
        <v>48263.614610402125</v>
      </c>
      <c r="C141">
        <f si="26" t="shared"/>
        <v>2330.884061801481</v>
      </c>
      <c r="D141">
        <f si="26" t="shared"/>
        <v>50594.498672203605</v>
      </c>
      <c r="N141" t="s">
        <v>28</v>
      </c>
      <c r="O141" t="n">
        <v>48263.614610402125</v>
      </c>
      <c r="P141" t="n">
        <v>2330.884061801481</v>
      </c>
      <c r="Q141">
        <f si="27" t="shared"/>
        <v>50594.498672203605</v>
      </c>
    </row>
    <row r="142" spans="1:17" x14ac:dyDescent="0.2">
      <c r="A142" t="s">
        <v>29</v>
      </c>
      <c r="B142">
        <f si="26" t="shared"/>
        <v>7044.5796643197164</v>
      </c>
      <c r="C142">
        <f si="26" t="shared"/>
        <v>294.41654291282498</v>
      </c>
      <c r="D142">
        <f si="26" t="shared"/>
        <v>7338.9962072325416</v>
      </c>
      <c r="N142" t="s">
        <v>29</v>
      </c>
      <c r="O142" t="n">
        <v>7044.579664319716</v>
      </c>
      <c r="P142" t="n">
        <v>294.416542912825</v>
      </c>
      <c r="Q142">
        <f si="27" t="shared"/>
        <v>7338.9962072325416</v>
      </c>
    </row>
    <row r="144" spans="1:17" x14ac:dyDescent="0.2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2">
      <c r="A146" t="s">
        <v>265</v>
      </c>
      <c r="N146" t="s">
        <v>265</v>
      </c>
    </row>
    <row r="147" spans="1:22" x14ac:dyDescent="0.2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2">
      <c r="A148">
        <v>0</v>
      </c>
      <c r="B148">
        <f ref="B148:I154" si="28" t="shared">O148*$B$1</f>
        <v>442097.26931890578</v>
      </c>
      <c r="C148">
        <f si="28" t="shared"/>
        <v>188556.29763828524</v>
      </c>
      <c r="D148">
        <f si="28" t="shared"/>
        <v>115798.85113271535</v>
      </c>
      <c r="E148">
        <f si="28" t="shared"/>
        <v>193226.52215862894</v>
      </c>
      <c r="F148">
        <f si="28" t="shared"/>
        <v>117246.91017444126</v>
      </c>
      <c r="G148">
        <f si="28" t="shared"/>
        <v>110278.06912955469</v>
      </c>
      <c r="H148">
        <f si="28" t="shared"/>
        <v>180929.84978468961</v>
      </c>
      <c r="I148">
        <f si="28" t="shared"/>
        <v>1348133.769337221</v>
      </c>
      <c r="N148">
        <v>0</v>
      </c>
      <c r="O148" t="n">
        <v>442097.2693189058</v>
      </c>
      <c r="P148" t="n">
        <v>188556.29763828524</v>
      </c>
      <c r="Q148" t="n">
        <v>115798.85113271535</v>
      </c>
      <c r="R148" t="n">
        <v>193226.52215862894</v>
      </c>
      <c r="S148" t="n">
        <v>117246.91017444126</v>
      </c>
      <c r="T148" t="n">
        <v>110278.06912955469</v>
      </c>
      <c r="U148" t="n">
        <v>180929.8497846896</v>
      </c>
      <c r="V148">
        <f ref="V148:V154" si="29" t="shared">SUM(O148:U148)</f>
        <v>1348133.769337221</v>
      </c>
    </row>
    <row r="149" spans="1:22" x14ac:dyDescent="0.2">
      <c r="A149">
        <v>1</v>
      </c>
      <c r="B149">
        <f si="28" t="shared"/>
        <v>185668.24585787192</v>
      </c>
      <c r="C149">
        <f si="28" t="shared"/>
        <v>47702.574238860383</v>
      </c>
      <c r="D149">
        <f si="28" t="shared"/>
        <v>47411.121570956784</v>
      </c>
      <c r="E149">
        <f si="28" t="shared"/>
        <v>54928.987621462162</v>
      </c>
      <c r="F149">
        <f si="28" t="shared"/>
        <v>37662.286341851068</v>
      </c>
      <c r="G149">
        <f si="28" t="shared"/>
        <v>26520.533092541529</v>
      </c>
      <c r="H149">
        <f si="28" t="shared"/>
        <v>45835.410262829319</v>
      </c>
      <c r="I149">
        <f si="28" t="shared"/>
        <v>445729.15898637311</v>
      </c>
      <c r="N149">
        <v>1</v>
      </c>
      <c r="O149" t="n">
        <v>185668.24585787192</v>
      </c>
      <c r="P149" t="n">
        <v>47702.57423886038</v>
      </c>
      <c r="Q149" t="n">
        <v>47411.121570956784</v>
      </c>
      <c r="R149" t="n">
        <v>54928.98762146216</v>
      </c>
      <c r="S149" t="n">
        <v>37662.28634185107</v>
      </c>
      <c r="T149" t="n">
        <v>26520.53309254153</v>
      </c>
      <c r="U149" t="n">
        <v>45835.41026282932</v>
      </c>
      <c r="V149">
        <f si="29" t="shared"/>
        <v>445729.15898637311</v>
      </c>
    </row>
    <row r="150" spans="1:22" x14ac:dyDescent="0.2">
      <c r="A150">
        <v>2</v>
      </c>
      <c r="B150">
        <f si="28" t="shared"/>
        <v>97478.144483707671</v>
      </c>
      <c r="C150">
        <f si="28" t="shared"/>
        <v>20354.846883846596</v>
      </c>
      <c r="D150">
        <f si="28" t="shared"/>
        <v>31362.006466334751</v>
      </c>
      <c r="E150">
        <f si="28" t="shared"/>
        <v>21960.029484589788</v>
      </c>
      <c r="F150">
        <f si="28" t="shared"/>
        <v>18490.799509938759</v>
      </c>
      <c r="G150">
        <f si="28" t="shared"/>
        <v>11131.276500434902</v>
      </c>
      <c r="H150">
        <f si="28" t="shared"/>
        <v>20028.614831575233</v>
      </c>
      <c r="I150">
        <f si="28" t="shared"/>
        <v>220805.71816042767</v>
      </c>
      <c r="N150">
        <v>2</v>
      </c>
      <c r="O150" t="n">
        <v>97478.14448370767</v>
      </c>
      <c r="P150" t="n">
        <v>20354.846883846596</v>
      </c>
      <c r="Q150" t="n">
        <v>31362.00646633475</v>
      </c>
      <c r="R150" t="n">
        <v>21960.029484589788</v>
      </c>
      <c r="S150" t="n">
        <v>18490.79950993876</v>
      </c>
      <c r="T150" t="n">
        <v>11131.276500434902</v>
      </c>
      <c r="U150" t="n">
        <v>20028.614831575233</v>
      </c>
      <c r="V150">
        <f si="29" t="shared"/>
        <v>220805.71816042767</v>
      </c>
    </row>
    <row r="151" spans="1:22" x14ac:dyDescent="0.2">
      <c r="A151">
        <v>3</v>
      </c>
      <c r="B151">
        <f si="28" t="shared"/>
        <v>55244.4793817057</v>
      </c>
      <c r="C151">
        <f si="28" t="shared"/>
        <v>9286.4001304213361</v>
      </c>
      <c r="D151">
        <f si="28" t="shared"/>
        <v>11790.481286713359</v>
      </c>
      <c r="E151">
        <f si="28" t="shared"/>
        <v>8338.5667230460658</v>
      </c>
      <c r="F151">
        <f si="28" t="shared"/>
        <v>7765.7468933073478</v>
      </c>
      <c r="G151">
        <f si="28" t="shared"/>
        <v>4312.4666604478844</v>
      </c>
      <c r="H151">
        <f si="28" t="shared"/>
        <v>3884.5202475582605</v>
      </c>
      <c r="I151">
        <f si="28" t="shared"/>
        <v>100622.66132319997</v>
      </c>
      <c r="N151">
        <v>3</v>
      </c>
      <c r="O151" t="n">
        <v>55244.4793817057</v>
      </c>
      <c r="P151" t="n">
        <v>9286.400130421336</v>
      </c>
      <c r="Q151" t="n">
        <v>11790.481286713359</v>
      </c>
      <c r="R151" t="n">
        <v>8338.566723046066</v>
      </c>
      <c r="S151" t="n">
        <v>7765.746893307348</v>
      </c>
      <c r="T151" t="n">
        <v>4312.466660447884</v>
      </c>
      <c r="U151" t="n">
        <v>3884.5202475582605</v>
      </c>
      <c r="V151">
        <f si="29" t="shared"/>
        <v>100622.66132319997</v>
      </c>
    </row>
    <row r="152" spans="1:22" x14ac:dyDescent="0.2">
      <c r="A152">
        <v>4</v>
      </c>
      <c r="B152">
        <f si="28" t="shared"/>
        <v>24108.496680083666</v>
      </c>
      <c r="C152">
        <f si="28" t="shared"/>
        <v>3323.6542072300945</v>
      </c>
      <c r="D152">
        <f si="28" t="shared"/>
        <v>4754.7764918355197</v>
      </c>
      <c r="E152">
        <f si="28" t="shared"/>
        <v>2901.3945211562036</v>
      </c>
      <c r="F152">
        <f si="28" t="shared"/>
        <v>4473.5233249173361</v>
      </c>
      <c r="G152">
        <f si="28" t="shared"/>
        <v>1724.3079930623246</v>
      </c>
      <c r="H152">
        <f si="28" t="shared"/>
        <v>3247.2792961096402</v>
      </c>
      <c r="I152">
        <f si="28" t="shared"/>
        <v>44533.432514394786</v>
      </c>
      <c r="N152">
        <v>4</v>
      </c>
      <c r="O152" t="n">
        <v>24108.496680083666</v>
      </c>
      <c r="P152" t="n">
        <v>3323.6542072300945</v>
      </c>
      <c r="Q152" t="n">
        <v>4754.77649183552</v>
      </c>
      <c r="R152" t="n">
        <v>2901.3945211562036</v>
      </c>
      <c r="S152" t="n">
        <v>4473.523324917336</v>
      </c>
      <c r="T152" t="n">
        <v>1724.3079930623246</v>
      </c>
      <c r="U152" t="n">
        <v>3247.27929610964</v>
      </c>
      <c r="V152">
        <f si="29" t="shared"/>
        <v>44533.432514394786</v>
      </c>
    </row>
    <row r="153" spans="1:22" x14ac:dyDescent="0.2">
      <c r="A153">
        <v>5</v>
      </c>
      <c r="B153">
        <f si="28" t="shared"/>
        <v>8864.8087135289716</v>
      </c>
      <c r="C153">
        <f si="28" t="shared"/>
        <v>1227.5453961169164</v>
      </c>
      <c r="D153">
        <f si="28" t="shared"/>
        <v>5799.1323411970952</v>
      </c>
      <c r="E153">
        <f si="28" t="shared"/>
        <v>1748.8145391496403</v>
      </c>
      <c r="F153">
        <f si="28" t="shared"/>
        <v>1175.9323591444543</v>
      </c>
      <c r="G153">
        <f si="28" t="shared"/>
        <v>1091.7998758649483</v>
      </c>
      <c r="H153">
        <f si="28" t="shared"/>
        <v>1042.8916638356316</v>
      </c>
      <c r="I153">
        <f si="28" t="shared"/>
        <v>20950.924888837661</v>
      </c>
      <c r="N153">
        <v>5</v>
      </c>
      <c r="O153" t="n">
        <v>8864.808713528972</v>
      </c>
      <c r="P153" t="n">
        <v>1227.5453961169164</v>
      </c>
      <c r="Q153" t="n">
        <v>5799.132341197095</v>
      </c>
      <c r="R153" t="n">
        <v>1748.8145391496403</v>
      </c>
      <c r="S153" t="n">
        <v>1175.9323591444543</v>
      </c>
      <c r="T153" t="n">
        <v>1091.7998758649483</v>
      </c>
      <c r="U153" t="n">
        <v>1042.8916638356316</v>
      </c>
      <c r="V153">
        <f si="29" t="shared"/>
        <v>20950.924888837661</v>
      </c>
    </row>
    <row r="154" spans="1:22" x14ac:dyDescent="0.2">
      <c r="A154" t="s">
        <v>154</v>
      </c>
      <c r="B154">
        <f si="28" t="shared"/>
        <v>16285.845498100958</v>
      </c>
      <c r="C154">
        <f si="28" t="shared"/>
        <v>933.51146935965494</v>
      </c>
      <c r="D154">
        <f si="28" t="shared"/>
        <v>2760.6953086269928</v>
      </c>
      <c r="E154">
        <f si="28" t="shared"/>
        <v>2866.9783827183419</v>
      </c>
      <c r="F154">
        <f si="28" t="shared"/>
        <v>2462.946716682708</v>
      </c>
      <c r="G154">
        <f si="28" t="shared"/>
        <v>2282.7744241131982</v>
      </c>
      <c r="H154">
        <f si="28" t="shared"/>
        <v>1610.234920021268</v>
      </c>
      <c r="I154">
        <f si="28" t="shared"/>
        <v>29202.986719623121</v>
      </c>
      <c r="N154" t="s">
        <v>154</v>
      </c>
      <c r="O154" t="n">
        <v>16285.845498100958</v>
      </c>
      <c r="P154" t="n">
        <v>933.5114693596549</v>
      </c>
      <c r="Q154" t="n">
        <v>2760.6953086269928</v>
      </c>
      <c r="R154" t="n">
        <v>2866.978382718342</v>
      </c>
      <c r="S154" t="n">
        <v>2462.946716682708</v>
      </c>
      <c r="T154" t="n">
        <v>2282.774424113198</v>
      </c>
      <c r="U154" t="n">
        <v>1610.234920021268</v>
      </c>
      <c r="V154">
        <f si="29" t="shared"/>
        <v>29202.986719623121</v>
      </c>
    </row>
    <row r="156" spans="1:22" x14ac:dyDescent="0.2">
      <c r="A156" t="s">
        <v>269</v>
      </c>
      <c r="N156" t="s">
        <v>269</v>
      </c>
    </row>
    <row r="157" spans="1:22" x14ac:dyDescent="0.2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2">
      <c r="A158">
        <v>0</v>
      </c>
      <c r="B158">
        <f ref="B158:I164" si="30" t="shared">O158*$B$1</f>
        <v>629251.55053998111</v>
      </c>
      <c r="C158">
        <f si="30" t="shared"/>
        <v>244485.5770779165</v>
      </c>
      <c r="D158">
        <f si="30" t="shared"/>
        <v>171879.89192151418</v>
      </c>
      <c r="E158">
        <f si="30" t="shared"/>
        <v>251301.80008843623</v>
      </c>
      <c r="F158">
        <f si="30" t="shared"/>
        <v>137075.3930421487</v>
      </c>
      <c r="G158">
        <f si="30" t="shared"/>
        <v>128275.89332015115</v>
      </c>
      <c r="H158">
        <f si="30" t="shared"/>
        <v>222351.81785020453</v>
      </c>
      <c r="I158">
        <f si="30" t="shared"/>
        <v>1784621.9238403523</v>
      </c>
      <c r="N158">
        <v>0</v>
      </c>
      <c r="O158" t="n">
        <v>629251.5505399811</v>
      </c>
      <c r="P158" t="n">
        <v>244485.5770779165</v>
      </c>
      <c r="Q158" t="n">
        <v>171879.89192151418</v>
      </c>
      <c r="R158" t="n">
        <v>251301.80008843623</v>
      </c>
      <c r="S158" t="n">
        <v>137075.3930421487</v>
      </c>
      <c r="T158" t="n">
        <v>128275.89332015115</v>
      </c>
      <c r="U158" t="n">
        <v>222351.81785020453</v>
      </c>
      <c r="V158">
        <f ref="V158:V164" si="31" t="shared">SUM(O158:U158)</f>
        <v>1784621.9238403523</v>
      </c>
    </row>
    <row r="159" spans="1:22" x14ac:dyDescent="0.2">
      <c r="A159">
        <v>1</v>
      </c>
      <c r="B159">
        <f si="30" t="shared"/>
        <v>138943.2411888786</v>
      </c>
      <c r="C159">
        <f si="30" t="shared"/>
        <v>19391.602572388241</v>
      </c>
      <c r="D159">
        <f si="30" t="shared"/>
        <v>24840.519570889868</v>
      </c>
      <c r="E159">
        <f si="30" t="shared"/>
        <v>27937.856543378955</v>
      </c>
      <c r="F159">
        <f si="30" t="shared"/>
        <v>35905.572260676796</v>
      </c>
      <c r="G159">
        <f si="30" t="shared"/>
        <v>19818.353095738577</v>
      </c>
      <c r="H159">
        <f si="30" t="shared"/>
        <v>21835.324063571476</v>
      </c>
      <c r="I159">
        <f si="30" t="shared"/>
        <v>288672.46929552255</v>
      </c>
      <c r="N159">
        <v>1</v>
      </c>
      <c r="O159" t="n">
        <v>138943.2411888786</v>
      </c>
      <c r="P159" t="n">
        <v>19391.60257238824</v>
      </c>
      <c r="Q159" t="n">
        <v>24840.51957088987</v>
      </c>
      <c r="R159" t="n">
        <v>27937.856543378955</v>
      </c>
      <c r="S159" t="n">
        <v>35905.572260676796</v>
      </c>
      <c r="T159" t="n">
        <v>19818.353095738577</v>
      </c>
      <c r="U159" t="n">
        <v>21835.324063571476</v>
      </c>
      <c r="V159">
        <f si="31" t="shared"/>
        <v>288672.46929552255</v>
      </c>
    </row>
    <row r="160" spans="1:22" x14ac:dyDescent="0.2">
      <c r="A160">
        <v>2</v>
      </c>
      <c r="B160">
        <f si="30" t="shared"/>
        <v>38709.038257284585</v>
      </c>
      <c r="C160">
        <f si="30" t="shared"/>
        <v>5065.892722933153</v>
      </c>
      <c r="D160">
        <f si="30" t="shared"/>
        <v>12835.23142701442</v>
      </c>
      <c r="E160">
        <f si="30" t="shared"/>
        <v>3174.0085372166209</v>
      </c>
      <c r="F160">
        <f si="30" t="shared"/>
        <v>9246.9018080586939</v>
      </c>
      <c r="G160">
        <f si="30" t="shared"/>
        <v>7167.8381144610139</v>
      </c>
      <c r="H160">
        <f si="30" t="shared"/>
        <v>7861.4467864438056</v>
      </c>
      <c r="I160">
        <f si="30" t="shared"/>
        <v>84060.357653412299</v>
      </c>
      <c r="N160">
        <v>2</v>
      </c>
      <c r="O160" t="n">
        <v>38709.038257284585</v>
      </c>
      <c r="P160" t="n">
        <v>5065.892722933153</v>
      </c>
      <c r="Q160" t="n">
        <v>12835.23142701442</v>
      </c>
      <c r="R160" t="n">
        <v>3174.008537216621</v>
      </c>
      <c r="S160" t="n">
        <v>9246.901808058694</v>
      </c>
      <c r="T160" t="n">
        <v>7167.838114461014</v>
      </c>
      <c r="U160" t="n">
        <v>7861.446786443806</v>
      </c>
      <c r="V160">
        <f si="31" t="shared"/>
        <v>84060.357653412299</v>
      </c>
    </row>
    <row r="161" spans="1:22" x14ac:dyDescent="0.2">
      <c r="A161">
        <v>3</v>
      </c>
      <c r="B161">
        <f si="30" t="shared"/>
        <v>15329.39960035385</v>
      </c>
      <c r="C161">
        <f si="30" t="shared"/>
        <v>2148.6974060890389</v>
      </c>
      <c r="D161">
        <f si="30" t="shared"/>
        <v>3309.4599857599396</v>
      </c>
      <c r="E161">
        <f si="30" t="shared"/>
        <v>1397.5891464090439</v>
      </c>
      <c r="F161">
        <f si="30" t="shared"/>
        <v>3036.5852681973588</v>
      </c>
      <c r="G161">
        <f si="30" t="shared"/>
        <v>283.05668701726722</v>
      </c>
      <c r="H161">
        <f si="30" t="shared"/>
        <v>2897.9633538249</v>
      </c>
      <c r="I161">
        <f si="30" t="shared"/>
        <v>28402.751447651401</v>
      </c>
      <c r="N161">
        <v>3</v>
      </c>
      <c r="O161" t="n">
        <v>15329.39960035385</v>
      </c>
      <c r="P161" t="n">
        <v>2148.697406089039</v>
      </c>
      <c r="Q161" t="n">
        <v>3309.4599857599396</v>
      </c>
      <c r="R161" t="n">
        <v>1397.589146409044</v>
      </c>
      <c r="S161" t="n">
        <v>3036.585268197359</v>
      </c>
      <c r="T161" t="n">
        <v>283.0566870172672</v>
      </c>
      <c r="U161" t="n">
        <v>2897.9633538249</v>
      </c>
      <c r="V161">
        <f si="31" t="shared"/>
        <v>28402.751447651401</v>
      </c>
    </row>
    <row r="162" spans="1:22" x14ac:dyDescent="0.2">
      <c r="A162">
        <v>4</v>
      </c>
      <c r="B162">
        <f si="30" t="shared"/>
        <v>3888.3334245359711</v>
      </c>
      <c r="C162">
        <f si="30" t="shared"/>
        <v>87.7202126158315</v>
      </c>
      <c r="D162">
        <f si="30" t="shared"/>
        <v>2301.394579342762</v>
      </c>
      <c r="E162">
        <f si="30" t="shared"/>
        <v>1235.0018702843174</v>
      </c>
      <c r="F162">
        <f si="30" t="shared"/>
        <v>2737.1139935556921</v>
      </c>
      <c r="G162">
        <f si="30" t="shared"/>
        <v>659.82609259093715</v>
      </c>
      <c r="H162">
        <f si="30" t="shared"/>
        <v>283.03531511800156</v>
      </c>
      <c r="I162">
        <f si="30" t="shared"/>
        <v>11192.425488043515</v>
      </c>
      <c r="N162">
        <v>4</v>
      </c>
      <c r="O162" t="n">
        <v>3888.333424535971</v>
      </c>
      <c r="P162" t="n">
        <v>87.7202126158315</v>
      </c>
      <c r="Q162" t="n">
        <v>2301.394579342762</v>
      </c>
      <c r="R162" t="n">
        <v>1235.0018702843174</v>
      </c>
      <c r="S162" t="n">
        <v>2737.113993555692</v>
      </c>
      <c r="T162" t="n">
        <v>659.8260925909372</v>
      </c>
      <c r="U162" t="n">
        <v>283.03531511800156</v>
      </c>
      <c r="V162">
        <f si="31" t="shared"/>
        <v>11192.425488043515</v>
      </c>
    </row>
    <row r="163" spans="1:22" x14ac:dyDescent="0.2">
      <c r="A163">
        <v>5</v>
      </c>
      <c r="B163">
        <f si="30" t="shared"/>
        <v>741.07630734663371</v>
      </c>
      <c r="C163">
        <f si="30" t="shared"/>
        <v>205.33997217747199</v>
      </c>
      <c r="D163">
        <f si="30" t="shared"/>
        <v>2977.4502623348712</v>
      </c>
      <c r="E163">
        <f si="30" t="shared"/>
        <v>596.03131832047927</v>
      </c>
      <c r="F163">
        <f si="30" t="shared"/>
        <v>889.82720748127645</v>
      </c>
      <c r="G163">
        <f si="30" t="shared"/>
        <v>589.41255041008196</v>
      </c>
      <c r="H163">
        <f si="30" t="shared"/>
        <v>582.86293697330427</v>
      </c>
      <c r="I163">
        <f si="30" t="shared"/>
        <v>6582.0005550441192</v>
      </c>
      <c r="N163">
        <v>5</v>
      </c>
      <c r="O163" t="n">
        <v>741.0763073466337</v>
      </c>
      <c r="P163" t="n">
        <v>205.339972177472</v>
      </c>
      <c r="Q163" t="n">
        <v>2977.4502623348712</v>
      </c>
      <c r="R163" t="n">
        <v>596.0313183204793</v>
      </c>
      <c r="S163" t="n">
        <v>889.8272074812764</v>
      </c>
      <c r="T163" t="n">
        <v>589.412550410082</v>
      </c>
      <c r="U163" t="n">
        <v>582.8629369733043</v>
      </c>
      <c r="V163">
        <f si="31" t="shared"/>
        <v>6582.0005550441192</v>
      </c>
    </row>
    <row r="164" spans="1:22" x14ac:dyDescent="0.2">
      <c r="A164" t="s">
        <v>154</v>
      </c>
      <c r="B164">
        <f si="30" t="shared"/>
        <v>2884.6506155239572</v>
      </c>
      <c r="C164">
        <f si="30" t="shared"/>
        <v>0</v>
      </c>
      <c r="D164">
        <f si="30" t="shared"/>
        <v>1533.116851523806</v>
      </c>
      <c r="E164">
        <f si="30" t="shared"/>
        <v>329.0059267054724</v>
      </c>
      <c r="F164">
        <f si="30" t="shared"/>
        <v>386.7517401643982</v>
      </c>
      <c r="G164">
        <f si="30" t="shared"/>
        <v>546.84781565044489</v>
      </c>
      <c r="H164">
        <f si="30" t="shared"/>
        <v>766.35070048294301</v>
      </c>
      <c r="I164">
        <f si="30" t="shared"/>
        <v>6446.7236500510207</v>
      </c>
      <c r="N164" t="s">
        <v>154</v>
      </c>
      <c r="O164" t="n">
        <v>2884.650615523957</v>
      </c>
      <c r="P164" t="n">
        <v>0.0</v>
      </c>
      <c r="Q164" t="n">
        <v>1533.116851523806</v>
      </c>
      <c r="R164" t="n">
        <v>329.0059267054724</v>
      </c>
      <c r="S164" t="n">
        <v>386.7517401643982</v>
      </c>
      <c r="T164" t="n">
        <v>546.8478156504449</v>
      </c>
      <c r="U164" t="n">
        <v>766.350700482943</v>
      </c>
      <c r="V164">
        <f si="31" t="shared"/>
        <v>6446.7236500510207</v>
      </c>
    </row>
    <row r="166" spans="1:22" x14ac:dyDescent="0.2">
      <c r="A166" t="s">
        <v>270</v>
      </c>
      <c r="N166" t="s">
        <v>270</v>
      </c>
    </row>
    <row r="167" spans="1:22" x14ac:dyDescent="0.2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2">
      <c r="A168">
        <v>0</v>
      </c>
      <c r="B168">
        <f ref="B168:I174" si="32" t="shared">O168*$B$1</f>
        <v>531323.30972776178</v>
      </c>
      <c r="C168">
        <f si="32" t="shared"/>
        <v>202376.85450172733</v>
      </c>
      <c r="D168">
        <f si="32" t="shared"/>
        <v>151320.71635663026</v>
      </c>
      <c r="E168">
        <f si="32" t="shared"/>
        <v>211393.66342735421</v>
      </c>
      <c r="F168">
        <f si="32" t="shared"/>
        <v>153259.85527837113</v>
      </c>
      <c r="G168">
        <f si="32" t="shared"/>
        <v>128960.43921877455</v>
      </c>
      <c r="H168">
        <f si="32" t="shared"/>
        <v>205776.44988657051</v>
      </c>
      <c r="I168">
        <f si="32" t="shared"/>
        <v>1584411.2883971899</v>
      </c>
      <c r="N168">
        <v>0</v>
      </c>
      <c r="O168" t="n">
        <v>531323.3097277618</v>
      </c>
      <c r="P168" t="n">
        <v>202376.85450172733</v>
      </c>
      <c r="Q168" t="n">
        <v>151320.71635663026</v>
      </c>
      <c r="R168" t="n">
        <v>211393.66342735421</v>
      </c>
      <c r="S168" t="n">
        <v>153259.85527837113</v>
      </c>
      <c r="T168" t="n">
        <v>128960.43921877455</v>
      </c>
      <c r="U168" t="n">
        <v>205776.4498865705</v>
      </c>
      <c r="V168">
        <f ref="V168:V174" si="33" t="shared">SUM(O168:U168)</f>
        <v>1584411.2883971899</v>
      </c>
    </row>
    <row r="169" spans="1:22" x14ac:dyDescent="0.2">
      <c r="A169">
        <v>1</v>
      </c>
      <c r="B169">
        <f si="32" t="shared"/>
        <v>184123.60133644112</v>
      </c>
      <c r="C169">
        <f si="32" t="shared"/>
        <v>47384.222393426135</v>
      </c>
      <c r="D169">
        <f si="32" t="shared"/>
        <v>39002.793496273473</v>
      </c>
      <c r="E169">
        <f si="32" t="shared"/>
        <v>51206.256405351371</v>
      </c>
      <c r="F169">
        <f si="32" t="shared"/>
        <v>21536.707818833529</v>
      </c>
      <c r="G169">
        <f si="32" t="shared"/>
        <v>19451.785683845275</v>
      </c>
      <c r="H169">
        <f si="32" t="shared"/>
        <v>34533.826461565804</v>
      </c>
      <c r="I169">
        <f si="32" t="shared"/>
        <v>397239.19359573675</v>
      </c>
      <c r="N169">
        <v>1</v>
      </c>
      <c r="O169" t="n">
        <v>184123.60133644112</v>
      </c>
      <c r="P169" t="n">
        <v>47384.222393426135</v>
      </c>
      <c r="Q169" t="n">
        <v>39002.79349627347</v>
      </c>
      <c r="R169" t="n">
        <v>51206.25640535137</v>
      </c>
      <c r="S169" t="n">
        <v>21536.70781883353</v>
      </c>
      <c r="T169" t="n">
        <v>19451.785683845275</v>
      </c>
      <c r="U169" t="n">
        <v>34533.826461565804</v>
      </c>
      <c r="V169">
        <f si="33" t="shared"/>
        <v>397239.19359573675</v>
      </c>
    </row>
    <row r="170" spans="1:22" x14ac:dyDescent="0.2">
      <c r="A170">
        <v>2</v>
      </c>
      <c r="B170">
        <f si="32" t="shared"/>
        <v>68282.272806973764</v>
      </c>
      <c r="C170">
        <f si="32" t="shared"/>
        <v>13854.204748168513</v>
      </c>
      <c r="D170">
        <f si="32" t="shared"/>
        <v>17242.505236774155</v>
      </c>
      <c r="E170">
        <f si="32" t="shared"/>
        <v>14829.949121376232</v>
      </c>
      <c r="F170">
        <f si="32" t="shared"/>
        <v>10516.402437414084</v>
      </c>
      <c r="G170">
        <f si="32" t="shared"/>
        <v>5004.9547991948666</v>
      </c>
      <c r="H170">
        <f si="32" t="shared"/>
        <v>13704.093275804236</v>
      </c>
      <c r="I170">
        <f si="32" t="shared"/>
        <v>143434.38242570587</v>
      </c>
      <c r="N170">
        <v>2</v>
      </c>
      <c r="O170" t="n">
        <v>68282.27280697376</v>
      </c>
      <c r="P170" t="n">
        <v>13854.204748168513</v>
      </c>
      <c r="Q170" t="n">
        <v>17242.505236774155</v>
      </c>
      <c r="R170" t="n">
        <v>14829.949121376232</v>
      </c>
      <c r="S170" t="n">
        <v>10516.402437414084</v>
      </c>
      <c r="T170" t="n">
        <v>5004.954799194867</v>
      </c>
      <c r="U170" t="n">
        <v>13704.093275804236</v>
      </c>
      <c r="V170">
        <f si="33" t="shared"/>
        <v>143434.38242570587</v>
      </c>
    </row>
    <row r="171" spans="1:22" x14ac:dyDescent="0.2">
      <c r="A171">
        <v>3</v>
      </c>
      <c r="B171">
        <f si="32" t="shared"/>
        <v>26418.936962182248</v>
      </c>
      <c r="C171">
        <f si="32" t="shared"/>
        <v>4471.565090895022</v>
      </c>
      <c r="D171">
        <f si="32" t="shared"/>
        <v>6468.8204437748373</v>
      </c>
      <c r="E171">
        <f si="32" t="shared"/>
        <v>4280.6064218978936</v>
      </c>
      <c r="F171">
        <f si="32" t="shared"/>
        <v>2902.8744665135891</v>
      </c>
      <c r="G171">
        <f si="32" t="shared"/>
        <v>1292.6938720217267</v>
      </c>
      <c r="H171">
        <f si="32" t="shared"/>
        <v>1300.9319655470492</v>
      </c>
      <c r="I171">
        <f si="32" t="shared"/>
        <v>47136.429222832368</v>
      </c>
      <c r="N171">
        <v>3</v>
      </c>
      <c r="O171" t="n">
        <v>26418.936962182248</v>
      </c>
      <c r="P171" t="n">
        <v>4471.565090895022</v>
      </c>
      <c r="Q171" t="n">
        <v>6468.820443774837</v>
      </c>
      <c r="R171" t="n">
        <v>4280.606421897894</v>
      </c>
      <c r="S171" t="n">
        <v>2902.874466513589</v>
      </c>
      <c r="T171" t="n">
        <v>1292.6938720217267</v>
      </c>
      <c r="U171" t="n">
        <v>1300.9319655470492</v>
      </c>
      <c r="V171">
        <f si="33" t="shared"/>
        <v>47136.429222832368</v>
      </c>
    </row>
    <row r="172" spans="1:22" x14ac:dyDescent="0.2">
      <c r="A172">
        <v>4</v>
      </c>
      <c r="B172">
        <f si="32" t="shared"/>
        <v>7169.3475991055138</v>
      </c>
      <c r="C172">
        <f si="32" t="shared"/>
        <v>1767.594733538444</v>
      </c>
      <c r="D172">
        <f si="32" t="shared"/>
        <v>3110.700404203842</v>
      </c>
      <c r="E172">
        <f si="32" t="shared"/>
        <v>1960.0611860374797</v>
      </c>
      <c r="F172">
        <f si="32" t="shared"/>
        <v>504.23058129452068</v>
      </c>
      <c r="G172">
        <f si="32" t="shared"/>
        <v>741.19163251216526</v>
      </c>
      <c r="H172">
        <f si="32" t="shared"/>
        <v>328.37292817668532</v>
      </c>
      <c r="I172">
        <f si="32" t="shared"/>
        <v>15581.499064868651</v>
      </c>
      <c r="N172">
        <v>4</v>
      </c>
      <c r="O172" t="n">
        <v>7169.347599105514</v>
      </c>
      <c r="P172" t="n">
        <v>1767.594733538444</v>
      </c>
      <c r="Q172" t="n">
        <v>3110.700404203842</v>
      </c>
      <c r="R172" t="n">
        <v>1960.0611860374797</v>
      </c>
      <c r="S172" t="n">
        <v>504.2305812945207</v>
      </c>
      <c r="T172" t="n">
        <v>741.1916325121653</v>
      </c>
      <c r="U172" t="n">
        <v>328.3729281766853</v>
      </c>
      <c r="V172">
        <f si="33" t="shared"/>
        <v>15581.499064868651</v>
      </c>
    </row>
    <row r="173" spans="1:22" x14ac:dyDescent="0.2">
      <c r="A173">
        <v>5</v>
      </c>
      <c r="B173">
        <f si="32" t="shared"/>
        <v>6895.1546713660573</v>
      </c>
      <c r="C173">
        <f si="32" t="shared"/>
        <v>802.21699918260572</v>
      </c>
      <c r="D173">
        <f si="32" t="shared"/>
        <v>1840.8229503560131</v>
      </c>
      <c r="E173">
        <f si="32" t="shared"/>
        <v>738.99077573682155</v>
      </c>
      <c r="F173">
        <f si="32" t="shared"/>
        <v>507.80797892552096</v>
      </c>
      <c r="G173">
        <f si="32" t="shared"/>
        <v>1890.1624696708845</v>
      </c>
      <c r="H173">
        <f si="32" t="shared"/>
        <v>498.63417039421148</v>
      </c>
      <c r="I173">
        <f si="32" t="shared"/>
        <v>13173.790015632114</v>
      </c>
      <c r="N173">
        <v>5</v>
      </c>
      <c r="O173" t="n">
        <v>6895.154671366057</v>
      </c>
      <c r="P173" t="n">
        <v>802.2169991826057</v>
      </c>
      <c r="Q173" t="n">
        <v>1840.822950356013</v>
      </c>
      <c r="R173" t="n">
        <v>738.9907757368215</v>
      </c>
      <c r="S173" t="n">
        <v>507.80797892552096</v>
      </c>
      <c r="T173" t="n">
        <v>1890.1624696708845</v>
      </c>
      <c r="U173" t="n">
        <v>498.6341703942115</v>
      </c>
      <c r="V173">
        <f si="33" t="shared"/>
        <v>13173.790015632114</v>
      </c>
    </row>
    <row r="174" spans="1:22" x14ac:dyDescent="0.2">
      <c r="A174" t="s">
        <v>154</v>
      </c>
      <c r="B174">
        <f si="32" t="shared"/>
        <v>5534.6668300742413</v>
      </c>
      <c r="C174">
        <f si="32" t="shared"/>
        <v>728.17149718218297</v>
      </c>
      <c r="D174">
        <f si="32" t="shared"/>
        <v>690.70571036725187</v>
      </c>
      <c r="E174">
        <f si="32" t="shared"/>
        <v>1561.7660929971239</v>
      </c>
      <c r="F174">
        <f si="32" t="shared"/>
        <v>50.266758930562702</v>
      </c>
      <c r="G174">
        <f si="32" t="shared"/>
        <v>0</v>
      </c>
      <c r="H174">
        <f si="32" t="shared"/>
        <v>436.49231856047271</v>
      </c>
      <c r="I174">
        <f si="32" t="shared"/>
        <v>9002.0692081118359</v>
      </c>
      <c r="N174" t="s">
        <v>154</v>
      </c>
      <c r="O174" t="n">
        <v>5534.666830074241</v>
      </c>
      <c r="P174" t="n">
        <v>728.171497182183</v>
      </c>
      <c r="Q174" t="n">
        <v>690.7057103672519</v>
      </c>
      <c r="R174" t="n">
        <v>1561.766092997124</v>
      </c>
      <c r="S174" t="n">
        <v>50.2667589305627</v>
      </c>
      <c r="T174" t="n">
        <v>0.0</v>
      </c>
      <c r="U174" t="n">
        <v>436.4923185604727</v>
      </c>
      <c r="V174">
        <f si="33" t="shared"/>
        <v>9002.0692081118359</v>
      </c>
    </row>
    <row r="176" spans="1:22" x14ac:dyDescent="0.2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2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2">
      <c r="A178" t="s">
        <v>23</v>
      </c>
      <c r="B178">
        <f ref="B178:J185" si="34" t="shared">O178*$B$1</f>
        <v>712869.63537018478</v>
      </c>
      <c r="C178">
        <f si="34" t="shared"/>
        <v>60992.341011102864</v>
      </c>
      <c r="D178">
        <f si="34" t="shared"/>
        <v>4026.3603847321169</v>
      </c>
      <c r="E178">
        <f si="34" t="shared"/>
        <v>12260.049125652607</v>
      </c>
      <c r="F178">
        <f si="34" t="shared"/>
        <v>12765.419500875436</v>
      </c>
      <c r="G178">
        <f si="34" t="shared"/>
        <v>2277.9083703450824</v>
      </c>
      <c r="H178">
        <f si="34" t="shared"/>
        <v>533.80749370456215</v>
      </c>
      <c r="I178">
        <f si="34" t="shared"/>
        <v>0</v>
      </c>
      <c r="J178">
        <f si="34" t="shared"/>
        <v>805725.5212565976</v>
      </c>
      <c r="N178" t="s">
        <v>23</v>
      </c>
      <c r="O178" t="n">
        <v>712869.6353701848</v>
      </c>
      <c r="P178" t="n">
        <v>60992.341011102864</v>
      </c>
      <c r="Q178" t="n">
        <v>4026.360384732117</v>
      </c>
      <c r="R178" t="n">
        <v>12260.049125652607</v>
      </c>
      <c r="S178" t="n">
        <v>12765.419500875436</v>
      </c>
      <c r="T178" t="n">
        <v>2277.9083703450824</v>
      </c>
      <c r="U178" t="n">
        <v>533.8074937045621</v>
      </c>
      <c r="V178" t="n">
        <v>0.0</v>
      </c>
      <c r="W178">
        <f ref="W178:W185" si="35" t="shared">SUM(O178:V178)</f>
        <v>805725.5212565976</v>
      </c>
    </row>
    <row r="179" spans="1:23" x14ac:dyDescent="0.2">
      <c r="A179" t="s">
        <v>24</v>
      </c>
      <c r="B179">
        <f si="34" t="shared"/>
        <v>7822.3715016728247</v>
      </c>
      <c r="C179">
        <f si="34" t="shared"/>
        <v>1302.1793639880239</v>
      </c>
      <c r="D179">
        <f si="34" t="shared"/>
        <v>389.65169118865902</v>
      </c>
      <c r="E179">
        <f si="34" t="shared"/>
        <v>2355.9257149873511</v>
      </c>
      <c r="F179">
        <f si="34" t="shared"/>
        <v>16162.602937271289</v>
      </c>
      <c r="G179">
        <f si="34" t="shared"/>
        <v>39914.875002653403</v>
      </c>
      <c r="H179">
        <f si="34" t="shared"/>
        <v>202608.36022104506</v>
      </c>
      <c r="I179">
        <f si="34" t="shared"/>
        <v>0</v>
      </c>
      <c r="J179">
        <f si="34" t="shared"/>
        <v>270555.96643280663</v>
      </c>
      <c r="N179" t="s">
        <v>24</v>
      </c>
      <c r="O179" t="n">
        <v>7822.371501672825</v>
      </c>
      <c r="P179" t="n">
        <v>1302.1793639880239</v>
      </c>
      <c r="Q179" t="n">
        <v>389.651691188659</v>
      </c>
      <c r="R179" t="n">
        <v>2355.925714987351</v>
      </c>
      <c r="S179" t="n">
        <v>16162.60293727129</v>
      </c>
      <c r="T179" t="n">
        <v>39914.8750026534</v>
      </c>
      <c r="U179" t="n">
        <v>202608.36022104506</v>
      </c>
      <c r="V179" t="n">
        <v>0.0</v>
      </c>
      <c r="W179">
        <f si="35" t="shared"/>
        <v>270555.96643280663</v>
      </c>
    </row>
    <row r="180" spans="1:23" x14ac:dyDescent="0.2">
      <c r="A180" t="s">
        <v>25</v>
      </c>
      <c r="B180">
        <f si="34" t="shared"/>
        <v>76516.285465825553</v>
      </c>
      <c r="C180">
        <f si="34" t="shared"/>
        <v>27149.561947780974</v>
      </c>
      <c r="D180">
        <f si="34" t="shared"/>
        <v>18544.803834636543</v>
      </c>
      <c r="E180">
        <f si="34" t="shared"/>
        <v>69972.619399549847</v>
      </c>
      <c r="F180">
        <f si="34" t="shared"/>
        <v>6606.0629936042124</v>
      </c>
      <c r="G180">
        <f si="34" t="shared"/>
        <v>3444.8349231508414</v>
      </c>
      <c r="H180">
        <f si="34" t="shared"/>
        <v>11186.421205535204</v>
      </c>
      <c r="I180">
        <f si="34" t="shared"/>
        <v>0</v>
      </c>
      <c r="J180">
        <f si="34" t="shared"/>
        <v>213420.5897700832</v>
      </c>
      <c r="N180" t="s">
        <v>25</v>
      </c>
      <c r="O180" t="n">
        <v>76516.28546582555</v>
      </c>
      <c r="P180" t="n">
        <v>27149.561947780974</v>
      </c>
      <c r="Q180" t="n">
        <v>18544.803834636543</v>
      </c>
      <c r="R180" t="n">
        <v>69972.61939954985</v>
      </c>
      <c r="S180" t="n">
        <v>6606.062993604212</v>
      </c>
      <c r="T180" t="n">
        <v>3444.8349231508414</v>
      </c>
      <c r="U180" t="n">
        <v>11186.421205535204</v>
      </c>
      <c r="V180" t="n">
        <v>0.0</v>
      </c>
      <c r="W180">
        <f si="35" t="shared"/>
        <v>213420.5897700832</v>
      </c>
    </row>
    <row r="181" spans="1:23" x14ac:dyDescent="0.2">
      <c r="A181" t="s">
        <v>249</v>
      </c>
      <c r="B181">
        <f si="34" t="shared"/>
        <v>83390.592357353598</v>
      </c>
      <c r="C181">
        <f si="34" t="shared"/>
        <v>20594.211608790396</v>
      </c>
      <c r="D181">
        <f si="34" t="shared"/>
        <v>76695.400652788812</v>
      </c>
      <c r="E181">
        <f si="34" t="shared"/>
        <v>51679.217719947097</v>
      </c>
      <c r="F181">
        <f si="34" t="shared"/>
        <v>5318.24815397367</v>
      </c>
      <c r="G181">
        <f si="34" t="shared"/>
        <v>6114.0016703302927</v>
      </c>
      <c r="H181">
        <f si="34" t="shared"/>
        <v>19587.413002959001</v>
      </c>
      <c r="I181">
        <f si="34" t="shared"/>
        <v>0</v>
      </c>
      <c r="J181">
        <f si="34" t="shared"/>
        <v>263379.08516614285</v>
      </c>
      <c r="N181" t="s">
        <v>249</v>
      </c>
      <c r="O181" t="n">
        <v>83390.5923573536</v>
      </c>
      <c r="P181" t="n">
        <v>20594.211608790396</v>
      </c>
      <c r="Q181" t="n">
        <v>76695.40065278881</v>
      </c>
      <c r="R181" t="n">
        <v>51679.2177199471</v>
      </c>
      <c r="S181" t="n">
        <v>5318.24815397367</v>
      </c>
      <c r="T181" t="n">
        <v>6114.001670330293</v>
      </c>
      <c r="U181" t="n">
        <v>19587.413002959</v>
      </c>
      <c r="V181" t="n">
        <v>0.0</v>
      </c>
      <c r="W181">
        <f si="35" t="shared"/>
        <v>263379.08516614285</v>
      </c>
    </row>
    <row r="182" spans="1:23" x14ac:dyDescent="0.2">
      <c r="A182" t="s">
        <v>27</v>
      </c>
      <c r="B182">
        <f si="34" t="shared"/>
        <v>54385.120200664984</v>
      </c>
      <c r="C182">
        <f si="34" t="shared"/>
        <v>16154.530674901831</v>
      </c>
      <c r="D182">
        <f si="34" t="shared"/>
        <v>44746.364789534171</v>
      </c>
      <c r="E182">
        <f si="34" t="shared"/>
        <v>44151.221275920492</v>
      </c>
      <c r="F182">
        <f si="34" t="shared"/>
        <v>5689.4839786761631</v>
      </c>
      <c r="G182">
        <f si="34" t="shared"/>
        <v>1915.0974994991036</v>
      </c>
      <c r="H182">
        <f si="34" t="shared"/>
        <v>8845.6463764424007</v>
      </c>
      <c r="I182">
        <f si="34" t="shared"/>
        <v>0</v>
      </c>
      <c r="J182">
        <f si="34" t="shared"/>
        <v>175887.46479563916</v>
      </c>
      <c r="N182" t="s">
        <v>27</v>
      </c>
      <c r="O182" t="n">
        <v>54385.120200664984</v>
      </c>
      <c r="P182" t="n">
        <v>16154.530674901831</v>
      </c>
      <c r="Q182" t="n">
        <v>44746.36478953417</v>
      </c>
      <c r="R182" t="n">
        <v>44151.22127592049</v>
      </c>
      <c r="S182" t="n">
        <v>5689.483978676163</v>
      </c>
      <c r="T182" t="n">
        <v>1915.0974994991036</v>
      </c>
      <c r="U182" t="n">
        <v>8845.6463764424</v>
      </c>
      <c r="V182" t="n">
        <v>0.0</v>
      </c>
      <c r="W182">
        <f si="35" t="shared"/>
        <v>175887.46479563916</v>
      </c>
    </row>
    <row r="183" spans="1:23" x14ac:dyDescent="0.2">
      <c r="A183" t="s">
        <v>28</v>
      </c>
      <c r="B183">
        <f si="34" t="shared"/>
        <v>49967.163326372502</v>
      </c>
      <c r="C183">
        <f si="34" t="shared"/>
        <v>7572.4979722401704</v>
      </c>
      <c r="D183">
        <f si="34" t="shared"/>
        <v>24548.122300078627</v>
      </c>
      <c r="E183">
        <f si="34" t="shared"/>
        <v>12238.964269697675</v>
      </c>
      <c r="F183">
        <f si="34" t="shared"/>
        <v>4571.5672147740752</v>
      </c>
      <c r="G183">
        <f si="34" t="shared"/>
        <v>873.19389448202321</v>
      </c>
      <c r="H183">
        <f si="34" t="shared"/>
        <v>6975.2200261707976</v>
      </c>
      <c r="I183">
        <f si="34" t="shared"/>
        <v>0</v>
      </c>
      <c r="J183">
        <f si="34" t="shared"/>
        <v>106746.72900381587</v>
      </c>
      <c r="N183" t="s">
        <v>28</v>
      </c>
      <c r="O183" t="n">
        <v>49967.1633263725</v>
      </c>
      <c r="P183" t="n">
        <v>7572.49797224017</v>
      </c>
      <c r="Q183" t="n">
        <v>24548.122300078627</v>
      </c>
      <c r="R183" t="n">
        <v>12238.964269697675</v>
      </c>
      <c r="S183" t="n">
        <v>4571.567214774075</v>
      </c>
      <c r="T183" t="n">
        <v>873.1938944820232</v>
      </c>
      <c r="U183" t="n">
        <v>6975.220026170798</v>
      </c>
      <c r="V183" t="n">
        <v>0.0</v>
      </c>
      <c r="W183">
        <f si="35" t="shared"/>
        <v>106746.72900381587</v>
      </c>
    </row>
    <row r="184" spans="1:23" x14ac:dyDescent="0.2">
      <c r="A184" t="s">
        <v>29</v>
      </c>
      <c r="B184">
        <f si="34" t="shared"/>
        <v>83463.306692474158</v>
      </c>
      <c r="C184">
        <f si="34" t="shared"/>
        <v>16949.096854205571</v>
      </c>
      <c r="D184">
        <f si="34" t="shared"/>
        <v>36428.763891802089</v>
      </c>
      <c r="E184">
        <f si="34" t="shared"/>
        <v>38988.370276847389</v>
      </c>
      <c r="F184">
        <f si="34" t="shared"/>
        <v>5941.7383510973232</v>
      </c>
      <c r="G184">
        <f si="34" t="shared"/>
        <v>11227.316295214649</v>
      </c>
      <c r="H184">
        <f si="34" t="shared"/>
        <v>56241.212437745249</v>
      </c>
      <c r="I184">
        <f si="34" t="shared"/>
        <v>0</v>
      </c>
      <c r="J184">
        <f si="34" t="shared"/>
        <v>249239.80479938642</v>
      </c>
      <c r="N184" t="s">
        <v>29</v>
      </c>
      <c r="O184" t="n">
        <v>83463.30669247416</v>
      </c>
      <c r="P184" t="n">
        <v>16949.09685420557</v>
      </c>
      <c r="Q184" t="n">
        <v>36428.76389180209</v>
      </c>
      <c r="R184" t="n">
        <v>38988.37027684739</v>
      </c>
      <c r="S184" t="n">
        <v>5941.738351097323</v>
      </c>
      <c r="T184" t="n">
        <v>11227.316295214649</v>
      </c>
      <c r="U184" t="n">
        <v>56241.21243774525</v>
      </c>
      <c r="V184" t="n">
        <v>0.0</v>
      </c>
      <c r="W184">
        <f si="35" t="shared"/>
        <v>249239.80479938642</v>
      </c>
    </row>
    <row r="185" spans="1:23" x14ac:dyDescent="0.2">
      <c r="A185" t="s">
        <v>30</v>
      </c>
      <c r="B185">
        <f si="34" t="shared"/>
        <v>118546.15785314803</v>
      </c>
      <c r="C185">
        <f si="34" t="shared"/>
        <v>6217.0090197566597</v>
      </c>
      <c r="D185">
        <f si="34" t="shared"/>
        <v>0</v>
      </c>
      <c r="E185">
        <f si="34" t="shared"/>
        <v>144.71307474982191</v>
      </c>
      <c r="F185">
        <f si="34" t="shared"/>
        <v>115.6107579511787</v>
      </c>
      <c r="G185">
        <f si="34" t="shared"/>
        <v>0</v>
      </c>
      <c r="H185">
        <f si="34" t="shared"/>
        <v>0</v>
      </c>
      <c r="I185">
        <f si="34" t="shared"/>
        <v>0</v>
      </c>
      <c r="J185">
        <f si="34" t="shared"/>
        <v>125023.49070560568</v>
      </c>
      <c r="N185" t="s">
        <v>30</v>
      </c>
      <c r="O185" t="n">
        <v>118546.15785314803</v>
      </c>
      <c r="P185" t="n">
        <v>6217.00901975666</v>
      </c>
      <c r="Q185" t="n">
        <v>0.0</v>
      </c>
      <c r="R185" t="n">
        <v>144.7130747498219</v>
      </c>
      <c r="S185" t="n">
        <v>115.6107579511787</v>
      </c>
      <c r="T185" t="n">
        <v>0.0</v>
      </c>
      <c r="U185" t="n">
        <v>0.0</v>
      </c>
      <c r="V185" t="n">
        <v>0.0</v>
      </c>
      <c r="W185">
        <f si="35" t="shared"/>
        <v>125023.49070560568</v>
      </c>
    </row>
    <row r="187" spans="1:23" x14ac:dyDescent="0.2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2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2">
      <c r="A189" t="s">
        <v>23</v>
      </c>
      <c r="B189">
        <f ref="B189:F196" si="36" t="shared">O189*$B$1</f>
        <v>9021.7538398626057</v>
      </c>
      <c r="C189">
        <f si="36" t="shared"/>
        <v>195939.48164150523</v>
      </c>
      <c r="D189">
        <f si="36" t="shared"/>
        <v>176393.44925100493</v>
      </c>
      <c r="E189">
        <f si="36" t="shared"/>
        <v>336925.66954719485</v>
      </c>
      <c r="F189">
        <f si="36" t="shared"/>
        <v>718280.3542795676</v>
      </c>
      <c r="N189" t="s">
        <v>23</v>
      </c>
      <c r="O189" t="n">
        <v>9021.753839862606</v>
      </c>
      <c r="P189" t="n">
        <v>195939.48164150523</v>
      </c>
      <c r="Q189" t="n">
        <v>176393.44925100493</v>
      </c>
      <c r="R189" t="n">
        <v>336925.66954719485</v>
      </c>
      <c r="S189">
        <f ref="S189:S196" si="37" t="shared">SUM(O189:R189)</f>
        <v>718280.3542795676</v>
      </c>
    </row>
    <row r="190" spans="1:23" x14ac:dyDescent="0.2">
      <c r="A190" t="s">
        <v>24</v>
      </c>
      <c r="B190">
        <f si="36" t="shared"/>
        <v>13259.890754189182</v>
      </c>
      <c r="C190">
        <f si="36" t="shared"/>
        <v>57701.062912679219</v>
      </c>
      <c r="D190">
        <f si="36" t="shared"/>
        <v>54393.043181548157</v>
      </c>
      <c r="E190">
        <f si="36" t="shared"/>
        <v>114442.54332453101</v>
      </c>
      <c r="F190">
        <f si="36" t="shared"/>
        <v>239796.54017294757</v>
      </c>
      <c r="N190" t="s">
        <v>24</v>
      </c>
      <c r="O190" t="n">
        <v>13259.890754189182</v>
      </c>
      <c r="P190" t="n">
        <v>57701.06291267922</v>
      </c>
      <c r="Q190" t="n">
        <v>54393.04318154816</v>
      </c>
      <c r="R190" t="n">
        <v>114442.54332453101</v>
      </c>
      <c r="S190">
        <f si="37" t="shared"/>
        <v>239796.54017294757</v>
      </c>
    </row>
    <row r="191" spans="1:23" x14ac:dyDescent="0.2">
      <c r="A191" t="s">
        <v>25</v>
      </c>
      <c r="B191">
        <f si="36" t="shared"/>
        <v>3999.4094454082915</v>
      </c>
      <c r="C191">
        <f si="36" t="shared"/>
        <v>46258.565579008464</v>
      </c>
      <c r="D191">
        <f si="36" t="shared"/>
        <v>46900.531725546585</v>
      </c>
      <c r="E191">
        <f si="36" t="shared"/>
        <v>88666.352104879683</v>
      </c>
      <c r="F191">
        <f si="36" t="shared"/>
        <v>185824.85885484301</v>
      </c>
      <c r="N191" t="s">
        <v>25</v>
      </c>
      <c r="O191" t="n">
        <v>3999.4094454082915</v>
      </c>
      <c r="P191" t="n">
        <v>46258.565579008464</v>
      </c>
      <c r="Q191" t="n">
        <v>46900.531725546585</v>
      </c>
      <c r="R191" t="n">
        <v>88666.35210487968</v>
      </c>
      <c r="S191">
        <f si="37" t="shared"/>
        <v>185824.85885484301</v>
      </c>
    </row>
    <row r="192" spans="1:23" x14ac:dyDescent="0.2">
      <c r="A192" t="s">
        <v>249</v>
      </c>
      <c r="B192">
        <f si="36" t="shared"/>
        <v>10553.760002696683</v>
      </c>
      <c r="C192">
        <f si="36" t="shared"/>
        <v>79802.67287994342</v>
      </c>
      <c r="D192">
        <f si="36" t="shared"/>
        <v>46041.2939629717</v>
      </c>
      <c r="E192">
        <f si="36" t="shared"/>
        <v>82853.263460782415</v>
      </c>
      <c r="F192">
        <f si="36" t="shared"/>
        <v>219250.99030639423</v>
      </c>
      <c r="N192" t="s">
        <v>249</v>
      </c>
      <c r="O192" t="n">
        <v>10553.760002696683</v>
      </c>
      <c r="P192" t="n">
        <v>79802.67287994342</v>
      </c>
      <c r="Q192" t="n">
        <v>46041.2939629717</v>
      </c>
      <c r="R192" t="n">
        <v>82853.26346078241</v>
      </c>
      <c r="S192">
        <f si="37" t="shared"/>
        <v>219250.99030639423</v>
      </c>
    </row>
    <row r="193" spans="1:19" x14ac:dyDescent="0.2">
      <c r="A193" t="s">
        <v>27</v>
      </c>
      <c r="B193">
        <f si="36" t="shared"/>
        <v>9920.5017835254948</v>
      </c>
      <c r="C193">
        <f si="36" t="shared"/>
        <v>58856.424543559988</v>
      </c>
      <c r="D193">
        <f si="36" t="shared"/>
        <v>32066.323253742914</v>
      </c>
      <c r="E193">
        <f si="36" t="shared"/>
        <v>49953.602967507715</v>
      </c>
      <c r="F193">
        <f si="36" t="shared"/>
        <v>150796.85254833612</v>
      </c>
      <c r="N193" t="s">
        <v>27</v>
      </c>
      <c r="O193" t="n">
        <v>9920.501783525495</v>
      </c>
      <c r="P193" t="n">
        <v>58856.42454355999</v>
      </c>
      <c r="Q193" t="n">
        <v>32066.323253742914</v>
      </c>
      <c r="R193" t="n">
        <v>49953.602967507715</v>
      </c>
      <c r="S193">
        <f si="37" t="shared"/>
        <v>150796.85254833612</v>
      </c>
    </row>
    <row r="194" spans="1:19" x14ac:dyDescent="0.2">
      <c r="A194" t="s">
        <v>28</v>
      </c>
      <c r="B194">
        <f si="36" t="shared"/>
        <v>1352.5288092822507</v>
      </c>
      <c r="C194">
        <f si="36" t="shared"/>
        <v>23655.171522885223</v>
      </c>
      <c r="D194">
        <f si="36" t="shared"/>
        <v>25237.595768509225</v>
      </c>
      <c r="E194">
        <f si="36" t="shared"/>
        <v>39099.63746887046</v>
      </c>
      <c r="F194">
        <f si="36" t="shared"/>
        <v>89344.933569547167</v>
      </c>
      <c r="N194" t="s">
        <v>28</v>
      </c>
      <c r="O194" t="n">
        <v>1352.5288092822507</v>
      </c>
      <c r="P194" t="n">
        <v>23655.171522885223</v>
      </c>
      <c r="Q194" t="n">
        <v>25237.595768509225</v>
      </c>
      <c r="R194" t="n">
        <v>39099.63746887046</v>
      </c>
      <c r="S194">
        <f si="37" t="shared"/>
        <v>89344.933569547167</v>
      </c>
    </row>
    <row r="195" spans="1:19" x14ac:dyDescent="0.2">
      <c r="A195" t="s">
        <v>29</v>
      </c>
      <c r="B195">
        <f si="36" t="shared"/>
        <v>6342.7174170753578</v>
      </c>
      <c r="C195">
        <f si="36" t="shared"/>
        <v>60697.725518076033</v>
      </c>
      <c r="D195">
        <f si="36" t="shared"/>
        <v>50677.761083510341</v>
      </c>
      <c r="E195">
        <f si="36" t="shared"/>
        <v>101165.06355332442</v>
      </c>
      <c r="F195">
        <f si="36" t="shared"/>
        <v>218883.26757198616</v>
      </c>
      <c r="N195" t="s">
        <v>29</v>
      </c>
      <c r="O195" t="n">
        <v>6342.717417075358</v>
      </c>
      <c r="P195" t="n">
        <v>60697.72551807603</v>
      </c>
      <c r="Q195" t="n">
        <v>50677.76108351034</v>
      </c>
      <c r="R195" t="n">
        <v>101165.06355332442</v>
      </c>
      <c r="S195">
        <f si="37" t="shared"/>
        <v>218883.26757198616</v>
      </c>
    </row>
    <row r="196" spans="1:19" x14ac:dyDescent="0.2">
      <c r="A196" t="s">
        <v>30</v>
      </c>
      <c r="B196">
        <f si="36" t="shared"/>
        <v>385.84865013703819</v>
      </c>
      <c r="C196">
        <f si="36" t="shared"/>
        <v>23229.950202746011</v>
      </c>
      <c r="D196">
        <f si="36" t="shared"/>
        <v>23574.994609756945</v>
      </c>
      <c r="E196">
        <f si="36" t="shared"/>
        <v>63531.981278272091</v>
      </c>
      <c r="F196">
        <f si="36" t="shared"/>
        <v>110722.77474091208</v>
      </c>
      <c r="N196" t="s">
        <v>30</v>
      </c>
      <c r="O196" t="n">
        <v>385.8486501370382</v>
      </c>
      <c r="P196" t="n">
        <v>23229.95020274601</v>
      </c>
      <c r="Q196" t="n">
        <v>23574.994609756945</v>
      </c>
      <c r="R196" t="n">
        <v>63531.98127827209</v>
      </c>
      <c r="S196">
        <f si="37" t="shared"/>
        <v>110722.77474091208</v>
      </c>
    </row>
    <row r="198" spans="1:19" x14ac:dyDescent="0.2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2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2">
      <c r="A200" t="s">
        <v>23</v>
      </c>
      <c r="B200">
        <f ref="B200:F207" si="38" t="shared">O200*$B$1</f>
        <v>9005.4360812845134</v>
      </c>
      <c r="C200">
        <f si="38" t="shared"/>
        <v>113352.94319523052</v>
      </c>
      <c r="D200">
        <f si="38" t="shared"/>
        <v>500771.06295762013</v>
      </c>
      <c r="E200">
        <f si="38" t="shared"/>
        <v>182596.07902246228</v>
      </c>
      <c r="F200">
        <f si="38" t="shared"/>
        <v>805725.52125659736</v>
      </c>
      <c r="N200" t="s">
        <v>23</v>
      </c>
      <c r="O200" t="n">
        <v>9005.436081284513</v>
      </c>
      <c r="P200" t="n">
        <v>113352.94319523052</v>
      </c>
      <c r="Q200" t="n">
        <v>500771.06295762013</v>
      </c>
      <c r="R200" t="n">
        <v>182596.07902246228</v>
      </c>
      <c r="S200">
        <f ref="S200:S207" si="39" t="shared">SUM(O200:R200)</f>
        <v>805725.52125659736</v>
      </c>
    </row>
    <row r="201" spans="1:19" x14ac:dyDescent="0.2">
      <c r="A201" t="s">
        <v>24</v>
      </c>
      <c r="B201">
        <f si="38" t="shared"/>
        <v>6398.8810385177721</v>
      </c>
      <c r="C201">
        <f si="38" t="shared"/>
        <v>55239.806435058184</v>
      </c>
      <c r="D201">
        <f si="38" t="shared"/>
        <v>156438.11453294824</v>
      </c>
      <c r="E201">
        <f si="38" t="shared"/>
        <v>52479.164426282427</v>
      </c>
      <c r="F201">
        <f si="38" t="shared"/>
        <v>270555.96643280663</v>
      </c>
      <c r="N201" t="s">
        <v>24</v>
      </c>
      <c r="O201" t="n">
        <v>6398.881038517772</v>
      </c>
      <c r="P201" t="n">
        <v>55239.806435058184</v>
      </c>
      <c r="Q201" t="n">
        <v>156438.11453294824</v>
      </c>
      <c r="R201" t="n">
        <v>52479.16442628243</v>
      </c>
      <c r="S201">
        <f si="39" t="shared"/>
        <v>270555.96643280663</v>
      </c>
    </row>
    <row r="202" spans="1:19" x14ac:dyDescent="0.2">
      <c r="A202" t="s">
        <v>25</v>
      </c>
      <c r="B202">
        <f si="38" t="shared"/>
        <v>1725.5284571528803</v>
      </c>
      <c r="C202">
        <f si="38" t="shared"/>
        <v>36919.546819135954</v>
      </c>
      <c r="D202">
        <f si="38" t="shared"/>
        <v>125167.26051112128</v>
      </c>
      <c r="E202">
        <f si="38" t="shared"/>
        <v>49608.25398267305</v>
      </c>
      <c r="F202">
        <f si="38" t="shared"/>
        <v>213420.58977008317</v>
      </c>
      <c r="N202" t="s">
        <v>25</v>
      </c>
      <c r="O202" t="n">
        <v>1725.5284571528803</v>
      </c>
      <c r="P202" t="n">
        <v>36919.546819135954</v>
      </c>
      <c r="Q202" t="n">
        <v>125167.26051112128</v>
      </c>
      <c r="R202" t="n">
        <v>49608.25398267305</v>
      </c>
      <c r="S202">
        <f si="39" t="shared"/>
        <v>213420.58977008317</v>
      </c>
    </row>
    <row r="203" spans="1:19" x14ac:dyDescent="0.2">
      <c r="A203" t="s">
        <v>249</v>
      </c>
      <c r="B203">
        <f si="38" t="shared"/>
        <v>11373.721125731357</v>
      </c>
      <c r="C203">
        <f si="38" t="shared"/>
        <v>45894.192523739839</v>
      </c>
      <c r="D203">
        <f si="38" t="shared"/>
        <v>151571.59196235373</v>
      </c>
      <c r="E203">
        <f si="38" t="shared"/>
        <v>54539.579554317956</v>
      </c>
      <c r="F203">
        <f si="38" t="shared"/>
        <v>263379.0851661429</v>
      </c>
      <c r="N203" t="s">
        <v>249</v>
      </c>
      <c r="O203" t="n">
        <v>11373.721125731357</v>
      </c>
      <c r="P203" t="n">
        <v>45894.19252373984</v>
      </c>
      <c r="Q203" t="n">
        <v>151571.59196235373</v>
      </c>
      <c r="R203" t="n">
        <v>54539.579554317956</v>
      </c>
      <c r="S203">
        <f si="39" t="shared"/>
        <v>263379.0851661429</v>
      </c>
    </row>
    <row r="204" spans="1:19" x14ac:dyDescent="0.2">
      <c r="A204" t="s">
        <v>27</v>
      </c>
      <c r="B204">
        <f si="38" t="shared"/>
        <v>8119.5988611485191</v>
      </c>
      <c r="C204">
        <f si="38" t="shared"/>
        <v>39945.782281654443</v>
      </c>
      <c r="D204">
        <f si="38" t="shared"/>
        <v>100626.17871255784</v>
      </c>
      <c r="E204">
        <f si="38" t="shared"/>
        <v>27195.904940278349</v>
      </c>
      <c r="F204">
        <f si="38" t="shared"/>
        <v>175887.46479563916</v>
      </c>
      <c r="N204" t="s">
        <v>27</v>
      </c>
      <c r="O204" t="n">
        <v>8119.598861148519</v>
      </c>
      <c r="P204" t="n">
        <v>39945.78228165444</v>
      </c>
      <c r="Q204" t="n">
        <v>100626.17871255784</v>
      </c>
      <c r="R204" t="n">
        <v>27195.90494027835</v>
      </c>
      <c r="S204">
        <f si="39" t="shared"/>
        <v>175887.46479563916</v>
      </c>
    </row>
    <row r="205" spans="1:19" x14ac:dyDescent="0.2">
      <c r="A205" t="s">
        <v>28</v>
      </c>
      <c r="B205">
        <f si="38" t="shared"/>
        <v>1140.0301878051232</v>
      </c>
      <c r="C205">
        <f si="38" t="shared"/>
        <v>21764.575737402691</v>
      </c>
      <c r="D205">
        <f si="38" t="shared"/>
        <v>60095.708512386685</v>
      </c>
      <c r="E205">
        <f si="38" t="shared"/>
        <v>23746.414566221367</v>
      </c>
      <c r="F205">
        <f si="38" t="shared"/>
        <v>106746.72900381587</v>
      </c>
      <c r="N205" t="s">
        <v>28</v>
      </c>
      <c r="O205" t="n">
        <v>1140.0301878051232</v>
      </c>
      <c r="P205" t="n">
        <v>21764.57573740269</v>
      </c>
      <c r="Q205" t="n">
        <v>60095.708512386685</v>
      </c>
      <c r="R205" t="n">
        <v>23746.414566221367</v>
      </c>
      <c r="S205">
        <f si="39" t="shared"/>
        <v>106746.72900381587</v>
      </c>
    </row>
    <row r="206" spans="1:19" x14ac:dyDescent="0.2">
      <c r="A206" t="s">
        <v>29</v>
      </c>
      <c r="B206">
        <f si="38" t="shared"/>
        <v>5353.9415866827048</v>
      </c>
      <c r="C206">
        <f si="38" t="shared"/>
        <v>32668.729047431058</v>
      </c>
      <c r="D206">
        <f si="38" t="shared"/>
        <v>154496.36572075513</v>
      </c>
      <c r="E206">
        <f si="38" t="shared"/>
        <v>56720.768444517518</v>
      </c>
      <c r="F206">
        <f si="38" t="shared"/>
        <v>249239.80479938642</v>
      </c>
      <c r="N206" t="s">
        <v>29</v>
      </c>
      <c r="O206" t="n">
        <v>5353.941586682705</v>
      </c>
      <c r="P206" t="n">
        <v>32668.729047431058</v>
      </c>
      <c r="Q206" t="n">
        <v>154496.36572075513</v>
      </c>
      <c r="R206" t="n">
        <v>56720.76844451752</v>
      </c>
      <c r="S206">
        <f si="39" t="shared"/>
        <v>249239.80479938642</v>
      </c>
    </row>
    <row r="207" spans="1:19" x14ac:dyDescent="0.2">
      <c r="A207" t="s">
        <v>30</v>
      </c>
      <c r="B207">
        <f si="38" t="shared"/>
        <v>908.77096041422021</v>
      </c>
      <c r="C207">
        <f si="38" t="shared"/>
        <v>11749.212623952235</v>
      </c>
      <c r="D207">
        <f si="38" t="shared"/>
        <v>75104.112593726284</v>
      </c>
      <c r="E207">
        <f si="38" t="shared"/>
        <v>37261.394527512959</v>
      </c>
      <c r="F207">
        <f si="38" t="shared"/>
        <v>125023.49070560568</v>
      </c>
      <c r="N207" t="s">
        <v>30</v>
      </c>
      <c r="O207" t="n">
        <v>908.7709604142202</v>
      </c>
      <c r="P207" t="n">
        <v>11749.212623952235</v>
      </c>
      <c r="Q207" t="n">
        <v>75104.11259372628</v>
      </c>
      <c r="R207" t="n">
        <v>37261.39452751296</v>
      </c>
      <c r="S207">
        <f si="39" t="shared"/>
        <v>125023.49070560568</v>
      </c>
    </row>
    <row r="209" spans="1:25" x14ac:dyDescent="0.2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2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2">
      <c r="A211" t="s">
        <v>23</v>
      </c>
      <c r="B211">
        <f ref="B211:L218" si="40" t="shared">O211*$B$1</f>
        <v>335269.01435171091</v>
      </c>
      <c r="C211">
        <f si="40" t="shared"/>
        <v>42244.473549368617</v>
      </c>
      <c r="D211">
        <f si="40" t="shared"/>
        <v>31237.841685632986</v>
      </c>
      <c r="E211">
        <f si="40" t="shared"/>
        <v>153416.79965213634</v>
      </c>
      <c r="F211">
        <f si="40" t="shared"/>
        <v>87000.283758866135</v>
      </c>
      <c r="G211">
        <f si="40" t="shared"/>
        <v>92208.440002753137</v>
      </c>
      <c r="H211">
        <f si="40" t="shared"/>
        <v>64348.66825612932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805725.52125659748</v>
      </c>
      <c r="N211" t="s">
        <v>23</v>
      </c>
      <c r="O211" t="n">
        <v>335269.0143517109</v>
      </c>
      <c r="P211" t="n">
        <v>42244.47354936862</v>
      </c>
      <c r="Q211" t="n">
        <v>31237.841685632986</v>
      </c>
      <c r="R211" t="n">
        <v>153416.79965213634</v>
      </c>
      <c r="S211" t="n">
        <v>87000.28375886614</v>
      </c>
      <c r="T211" t="n">
        <v>92208.44000275314</v>
      </c>
      <c r="U211" t="n">
        <v>64348.66825612932</v>
      </c>
      <c r="V211" t="n">
        <v>0.0</v>
      </c>
      <c r="W211" t="n">
        <v>0.0</v>
      </c>
      <c r="X211" t="n">
        <v>0.0</v>
      </c>
      <c r="Y211">
        <f ref="Y211:Y218" si="41" t="shared">SUM(O211:X211)</f>
        <v>805725.52125659748</v>
      </c>
    </row>
    <row r="212" spans="1:25" x14ac:dyDescent="0.2">
      <c r="A212" t="s">
        <v>24</v>
      </c>
      <c r="B212">
        <f si="40" t="shared"/>
        <v>89319.73148461146</v>
      </c>
      <c r="C212">
        <f si="40" t="shared"/>
        <v>16908.856452009451</v>
      </c>
      <c r="D212">
        <f si="40" t="shared"/>
        <v>10968.326417718794</v>
      </c>
      <c r="E212">
        <f si="40" t="shared"/>
        <v>59439.972385235851</v>
      </c>
      <c r="F212">
        <f si="40" t="shared"/>
        <v>25300.197541783506</v>
      </c>
      <c r="G212">
        <f si="40" t="shared"/>
        <v>47245.310438491724</v>
      </c>
      <c r="H212">
        <f si="40" t="shared"/>
        <v>21373.571712955829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270555.96643280663</v>
      </c>
      <c r="N212" t="s">
        <v>24</v>
      </c>
      <c r="O212" t="n">
        <v>89319.73148461146</v>
      </c>
      <c r="P212" t="n">
        <v>16908.85645200945</v>
      </c>
      <c r="Q212" t="n">
        <v>10968.326417718794</v>
      </c>
      <c r="R212" t="n">
        <v>59439.97238523585</v>
      </c>
      <c r="S212" t="n">
        <v>25300.197541783506</v>
      </c>
      <c r="T212" t="n">
        <v>47245.310438491724</v>
      </c>
      <c r="U212" t="n">
        <v>21373.57171295583</v>
      </c>
      <c r="V212" t="n">
        <v>0.0</v>
      </c>
      <c r="W212" t="n">
        <v>0.0</v>
      </c>
      <c r="X212" t="n">
        <v>0.0</v>
      </c>
      <c r="Y212">
        <f si="41" t="shared"/>
        <v>270555.96643280663</v>
      </c>
    </row>
    <row r="213" spans="1:25" x14ac:dyDescent="0.2">
      <c r="A213" t="s">
        <v>25</v>
      </c>
      <c r="B213">
        <f si="40" t="shared"/>
        <v>72785.011126599711</v>
      </c>
      <c r="C213">
        <f si="40" t="shared"/>
        <v>14217.448023815934</v>
      </c>
      <c r="D213">
        <f si="40" t="shared"/>
        <v>9241.508968908629</v>
      </c>
      <c r="E213">
        <f si="40" t="shared"/>
        <v>39083.403798856169</v>
      </c>
      <c r="F213">
        <f si="40" t="shared"/>
        <v>22466.16446577603</v>
      </c>
      <c r="G213">
        <f si="40" t="shared"/>
        <v>37609.708009438691</v>
      </c>
      <c r="H213">
        <f si="40" t="shared"/>
        <v>18017.345376688001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213420.58977008314</v>
      </c>
      <c r="N213" t="s">
        <v>25</v>
      </c>
      <c r="O213" t="n">
        <v>72785.01112659971</v>
      </c>
      <c r="P213" t="n">
        <v>14217.448023815934</v>
      </c>
      <c r="Q213" t="n">
        <v>9241.508968908629</v>
      </c>
      <c r="R213" t="n">
        <v>39083.40379885617</v>
      </c>
      <c r="S213" t="n">
        <v>22466.16446577603</v>
      </c>
      <c r="T213" t="n">
        <v>37609.70800943869</v>
      </c>
      <c r="U213" t="n">
        <v>18017.345376688</v>
      </c>
      <c r="V213" t="n">
        <v>0.0</v>
      </c>
      <c r="W213" t="n">
        <v>0.0</v>
      </c>
      <c r="X213" t="n">
        <v>0.0</v>
      </c>
      <c r="Y213">
        <f si="41" t="shared"/>
        <v>213420.58977008314</v>
      </c>
    </row>
    <row r="214" spans="1:25" x14ac:dyDescent="0.2">
      <c r="A214" t="s">
        <v>249</v>
      </c>
      <c r="B214">
        <f si="40" t="shared"/>
        <v>90169.374303226403</v>
      </c>
      <c r="C214">
        <f si="40" t="shared"/>
        <v>16023.371477652043</v>
      </c>
      <c r="D214">
        <f si="40" t="shared"/>
        <v>14134.57772443557</v>
      </c>
      <c r="E214">
        <f si="40" t="shared"/>
        <v>52545.557582670626</v>
      </c>
      <c r="F214">
        <f si="40" t="shared"/>
        <v>29845.687916341314</v>
      </c>
      <c r="G214">
        <f si="40" t="shared"/>
        <v>31461.513488329747</v>
      </c>
      <c r="H214">
        <f si="40" t="shared"/>
        <v>29199.002673487172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263379.08516614285</v>
      </c>
      <c r="N214" t="s">
        <v>249</v>
      </c>
      <c r="O214" t="n">
        <v>90169.3743032264</v>
      </c>
      <c r="P214" t="n">
        <v>16023.371477652043</v>
      </c>
      <c r="Q214" t="n">
        <v>14134.57772443557</v>
      </c>
      <c r="R214" t="n">
        <v>52545.557582670626</v>
      </c>
      <c r="S214" t="n">
        <v>29845.687916341314</v>
      </c>
      <c r="T214" t="n">
        <v>31461.513488329747</v>
      </c>
      <c r="U214" t="n">
        <v>29199.00267348717</v>
      </c>
      <c r="V214" t="n">
        <v>0.0</v>
      </c>
      <c r="W214" t="n">
        <v>0.0</v>
      </c>
      <c r="X214" t="n">
        <v>0.0</v>
      </c>
      <c r="Y214">
        <f si="41" t="shared"/>
        <v>263379.08516614285</v>
      </c>
    </row>
    <row r="215" spans="1:25" x14ac:dyDescent="0.2">
      <c r="A215" t="s">
        <v>27</v>
      </c>
      <c r="B215">
        <f si="40" t="shared"/>
        <v>61140.715220477388</v>
      </c>
      <c r="C215">
        <f si="40" t="shared"/>
        <v>11401.815632979529</v>
      </c>
      <c r="D215">
        <f si="40" t="shared"/>
        <v>6305.2350611652346</v>
      </c>
      <c r="E215">
        <f si="40" t="shared"/>
        <v>34399.603413509853</v>
      </c>
      <c r="F215">
        <f si="40" t="shared"/>
        <v>22323.943460451283</v>
      </c>
      <c r="G215">
        <f si="40" t="shared"/>
        <v>21582.67105089745</v>
      </c>
      <c r="H215">
        <f si="40" t="shared"/>
        <v>18733.480956158412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175887.46479563916</v>
      </c>
      <c r="N215" t="s">
        <v>27</v>
      </c>
      <c r="O215" t="n">
        <v>61140.71522047739</v>
      </c>
      <c r="P215" t="n">
        <v>11401.81563297953</v>
      </c>
      <c r="Q215" t="n">
        <v>6305.235061165235</v>
      </c>
      <c r="R215" t="n">
        <v>34399.60341350985</v>
      </c>
      <c r="S215" t="n">
        <v>22323.943460451283</v>
      </c>
      <c r="T215" t="n">
        <v>21582.67105089745</v>
      </c>
      <c r="U215" t="n">
        <v>18733.48095615841</v>
      </c>
      <c r="V215" t="n">
        <v>0.0</v>
      </c>
      <c r="W215" t="n">
        <v>0.0</v>
      </c>
      <c r="X215" t="n">
        <v>0.0</v>
      </c>
      <c r="Y215">
        <f si="41" t="shared"/>
        <v>175887.46479563916</v>
      </c>
    </row>
    <row r="216" spans="1:25" x14ac:dyDescent="0.2">
      <c r="A216" t="s">
        <v>28</v>
      </c>
      <c r="B216">
        <f si="40" t="shared"/>
        <v>38556.853824817001</v>
      </c>
      <c r="C216">
        <f si="40" t="shared"/>
        <v>4725.1556264275696</v>
      </c>
      <c r="D216">
        <f si="40" t="shared"/>
        <v>2989.2596963164206</v>
      </c>
      <c r="E216">
        <f si="40" t="shared"/>
        <v>18376.572199830702</v>
      </c>
      <c r="F216">
        <f si="40" t="shared"/>
        <v>13864.859744863175</v>
      </c>
      <c r="G216">
        <f si="40" t="shared"/>
        <v>16457.826664163302</v>
      </c>
      <c r="H216">
        <f si="40" t="shared"/>
        <v>11776.201247397699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106746.72900381585</v>
      </c>
      <c r="N216" t="s">
        <v>28</v>
      </c>
      <c r="O216" t="n">
        <v>38556.853824817</v>
      </c>
      <c r="P216" t="n">
        <v>4725.15562642757</v>
      </c>
      <c r="Q216" t="n">
        <v>2989.2596963164206</v>
      </c>
      <c r="R216" t="n">
        <v>18376.5721998307</v>
      </c>
      <c r="S216" t="n">
        <v>13864.859744863175</v>
      </c>
      <c r="T216" t="n">
        <v>16457.8266641633</v>
      </c>
      <c r="U216" t="n">
        <v>11776.2012473977</v>
      </c>
      <c r="V216" t="n">
        <v>0.0</v>
      </c>
      <c r="W216" t="n">
        <v>0.0</v>
      </c>
      <c r="X216" t="n">
        <v>0.0</v>
      </c>
      <c r="Y216">
        <f si="41" t="shared"/>
        <v>106746.72900381585</v>
      </c>
    </row>
    <row r="217" spans="1:25" x14ac:dyDescent="0.2">
      <c r="A217" t="s">
        <v>29</v>
      </c>
      <c r="B217">
        <f si="40" t="shared"/>
        <v>84800.511899354926</v>
      </c>
      <c r="C217">
        <f si="40" t="shared"/>
        <v>12067.697333040671</v>
      </c>
      <c r="D217">
        <f si="40" t="shared"/>
        <v>7859.3158669493614</v>
      </c>
      <c r="E217">
        <f si="40" t="shared"/>
        <v>49711.764726897563</v>
      </c>
      <c r="F217">
        <f si="40" t="shared"/>
        <v>37036.041179418738</v>
      </c>
      <c r="G217">
        <f si="40" t="shared"/>
        <v>38371.560229633382</v>
      </c>
      <c r="H217">
        <f si="40" t="shared"/>
        <v>19392.913564091774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249239.80479938642</v>
      </c>
      <c r="N217" t="s">
        <v>29</v>
      </c>
      <c r="O217" t="n">
        <v>84800.51189935493</v>
      </c>
      <c r="P217" t="n">
        <v>12067.69733304067</v>
      </c>
      <c r="Q217" t="n">
        <v>7859.315866949361</v>
      </c>
      <c r="R217" t="n">
        <v>49711.76472689756</v>
      </c>
      <c r="S217" t="n">
        <v>37036.04117941874</v>
      </c>
      <c r="T217" t="n">
        <v>38371.56022963338</v>
      </c>
      <c r="U217" t="n">
        <v>19392.913564091774</v>
      </c>
      <c r="V217" t="n">
        <v>0.0</v>
      </c>
      <c r="W217" t="n">
        <v>0.0</v>
      </c>
      <c r="X217" t="n">
        <v>0.0</v>
      </c>
      <c r="Y217">
        <f si="41" t="shared"/>
        <v>249239.80479938642</v>
      </c>
    </row>
    <row r="218" spans="1:25" x14ac:dyDescent="0.2">
      <c r="A218" t="s">
        <v>30</v>
      </c>
      <c r="B218">
        <f si="40" t="shared"/>
        <v>54552.141321189214</v>
      </c>
      <c r="C218">
        <f si="40" t="shared"/>
        <v>7902.7993425666682</v>
      </c>
      <c r="D218">
        <f si="40" t="shared"/>
        <v>4630.3304700721465</v>
      </c>
      <c r="E218">
        <f si="40" t="shared"/>
        <v>19864.81707296467</v>
      </c>
      <c r="F218">
        <f si="40" t="shared"/>
        <v>9178.7340953510666</v>
      </c>
      <c r="G218">
        <f si="40" t="shared"/>
        <v>18449.941381089207</v>
      </c>
      <c r="H218">
        <f si="40" t="shared"/>
        <v>10444.727022372717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125023.49070560568</v>
      </c>
      <c r="N218" t="s">
        <v>30</v>
      </c>
      <c r="O218" t="n">
        <v>54552.141321189214</v>
      </c>
      <c r="P218" t="n">
        <v>7902.799342566668</v>
      </c>
      <c r="Q218" t="n">
        <v>4630.330470072146</v>
      </c>
      <c r="R218" t="n">
        <v>19864.81707296467</v>
      </c>
      <c r="S218" t="n">
        <v>9178.734095351067</v>
      </c>
      <c r="T218" t="n">
        <v>18449.941381089207</v>
      </c>
      <c r="U218" t="n">
        <v>10444.727022372717</v>
      </c>
      <c r="V218" t="n">
        <v>0.0</v>
      </c>
      <c r="W218" t="n">
        <v>0.0</v>
      </c>
      <c r="X218" t="n">
        <v>0.0</v>
      </c>
      <c r="Y218">
        <f si="41" t="shared"/>
        <v>125023.49070560568</v>
      </c>
    </row>
    <row r="220" spans="1:25" x14ac:dyDescent="0.2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2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2">
      <c r="A222" t="s">
        <v>23</v>
      </c>
      <c r="B222">
        <f ref="B222:J228" si="42" t="shared">O222*$B$1</f>
        <v>146436.76210210469</v>
      </c>
      <c r="C222">
        <f si="42" t="shared"/>
        <v>18011.011336909913</v>
      </c>
      <c r="D222">
        <f si="42" t="shared"/>
        <v>977.16313366570421</v>
      </c>
      <c r="E222">
        <f si="42" t="shared"/>
        <v>2913.6556092475194</v>
      </c>
      <c r="F222">
        <f si="42" t="shared"/>
        <v>3913.4723200774861</v>
      </c>
      <c r="G222">
        <f si="42" t="shared"/>
        <v>715.44649077562553</v>
      </c>
      <c r="H222">
        <f si="42" t="shared"/>
        <v>547.32754101886007</v>
      </c>
      <c r="I222">
        <f si="42" t="shared"/>
        <v>0</v>
      </c>
      <c r="J222">
        <f si="42" t="shared"/>
        <v>173514.8385337998</v>
      </c>
      <c r="N222" t="s">
        <v>23</v>
      </c>
      <c r="O222" s="220" t="n">
        <v>146436.7621021047</v>
      </c>
      <c r="P222" s="220" t="n">
        <v>18011.011336909913</v>
      </c>
      <c r="Q222" s="220" t="n">
        <v>977.1631336657042</v>
      </c>
      <c r="R222" s="220" t="n">
        <v>2913.6556092475194</v>
      </c>
      <c r="S222" s="220" t="n">
        <v>3913.472320077486</v>
      </c>
      <c r="T222" s="220" t="n">
        <v>715.4464907756255</v>
      </c>
      <c r="U222" s="220" t="n">
        <v>547.3275410188601</v>
      </c>
      <c r="V222" t="n">
        <v>0.0</v>
      </c>
      <c r="W222" s="220">
        <f ref="W222:W228" si="43" t="shared">SUM(O222:V222)</f>
        <v>173514.8385337998</v>
      </c>
    </row>
    <row r="223" spans="1:25" x14ac:dyDescent="0.2">
      <c r="A223" t="s">
        <v>24</v>
      </c>
      <c r="B223">
        <f si="42" t="shared"/>
        <v>5970.6873133775489</v>
      </c>
      <c r="C223">
        <f si="42" t="shared"/>
        <v>1178.2264410397556</v>
      </c>
      <c r="D223">
        <f si="42" t="shared"/>
        <v>0</v>
      </c>
      <c r="E223">
        <f si="42" t="shared"/>
        <v>525.66917383539692</v>
      </c>
      <c r="F223">
        <f si="42" t="shared"/>
        <v>63.481609326437301</v>
      </c>
      <c r="G223">
        <f si="42" t="shared"/>
        <v>2286.8034681977729</v>
      </c>
      <c r="H223">
        <f si="42" t="shared"/>
        <v>9830.7716268697804</v>
      </c>
      <c r="I223">
        <f si="42" t="shared"/>
        <v>0</v>
      </c>
      <c r="J223">
        <f si="42" t="shared"/>
        <v>19855.639632646693</v>
      </c>
      <c r="N223" t="s">
        <v>24</v>
      </c>
      <c r="O223" s="220" t="n">
        <v>5970.687313377549</v>
      </c>
      <c r="P223" s="220" t="n">
        <v>1178.2264410397556</v>
      </c>
      <c r="Q223" s="220" t="n">
        <v>0.0</v>
      </c>
      <c r="R223" s="220" t="n">
        <v>525.6691738353969</v>
      </c>
      <c r="S223" s="220" t="n">
        <v>63.4816093264373</v>
      </c>
      <c r="T223" s="220" t="n">
        <v>2286.803468197773</v>
      </c>
      <c r="U223" s="220" t="n">
        <v>9830.77162686978</v>
      </c>
      <c r="V223" t="n">
        <v>0.0</v>
      </c>
      <c r="W223" s="220">
        <f si="43" t="shared"/>
        <v>19855.639632646693</v>
      </c>
    </row>
    <row r="224" spans="1:25" x14ac:dyDescent="0.2">
      <c r="A224" t="s">
        <v>25</v>
      </c>
      <c r="B224">
        <f si="42" t="shared"/>
        <v>210264.15163705559</v>
      </c>
      <c r="C224">
        <f si="42" t="shared"/>
        <v>16967.612220538369</v>
      </c>
      <c r="D224">
        <f si="42" t="shared"/>
        <v>5910.0668435584766</v>
      </c>
      <c r="E224">
        <f si="42" t="shared"/>
        <v>17714.755519625214</v>
      </c>
      <c r="F224">
        <f si="42" t="shared"/>
        <v>4427.1850298092477</v>
      </c>
      <c r="G224">
        <f si="42" t="shared"/>
        <v>4294.1292469222417</v>
      </c>
      <c r="H224">
        <f si="42" t="shared"/>
        <v>28897.29964006248</v>
      </c>
      <c r="I224">
        <f si="42" t="shared"/>
        <v>0</v>
      </c>
      <c r="J224">
        <f si="42" t="shared"/>
        <v>288475.20013757161</v>
      </c>
      <c r="N224" t="s">
        <v>25</v>
      </c>
      <c r="O224" s="220" t="n">
        <v>210264.1516370556</v>
      </c>
      <c r="P224" s="220" t="n">
        <v>16967.61222053837</v>
      </c>
      <c r="Q224" s="220" t="n">
        <v>5910.066843558477</v>
      </c>
      <c r="R224" s="220" t="n">
        <v>17714.755519625214</v>
      </c>
      <c r="S224" s="220" t="n">
        <v>4427.185029809248</v>
      </c>
      <c r="T224" s="220" t="n">
        <v>4294.129246922242</v>
      </c>
      <c r="U224" s="220" t="n">
        <v>28897.29964006248</v>
      </c>
      <c r="V224" t="n">
        <v>0.0</v>
      </c>
      <c r="W224" s="220">
        <f si="43" t="shared"/>
        <v>288475.20013757161</v>
      </c>
    </row>
    <row r="225" spans="1:23" x14ac:dyDescent="0.2">
      <c r="A225" t="s">
        <v>249</v>
      </c>
      <c r="B225">
        <f si="42" t="shared"/>
        <v>282354.40669936943</v>
      </c>
      <c r="C225">
        <f si="42" t="shared"/>
        <v>44474.157036697696</v>
      </c>
      <c r="D225">
        <f si="42" t="shared"/>
        <v>79453.359358301546</v>
      </c>
      <c r="E225">
        <f si="42" t="shared"/>
        <v>75173.629224921999</v>
      </c>
      <c r="F225">
        <f si="42" t="shared"/>
        <v>9978.4679619656763</v>
      </c>
      <c r="G225">
        <f si="42" t="shared"/>
        <v>12990.483249540996</v>
      </c>
      <c r="H225">
        <f si="42" t="shared"/>
        <v>35646.351297510439</v>
      </c>
      <c r="I225">
        <f si="42" t="shared"/>
        <v>0</v>
      </c>
      <c r="J225">
        <f si="42" t="shared"/>
        <v>540070.85482830787</v>
      </c>
      <c r="N225" t="s">
        <v>249</v>
      </c>
      <c r="O225" s="220" t="n">
        <v>282354.4066993694</v>
      </c>
      <c r="P225" s="220" t="n">
        <v>44474.157036697696</v>
      </c>
      <c r="Q225" s="220" t="n">
        <v>79453.35935830155</v>
      </c>
      <c r="R225" s="220" t="n">
        <v>75173.629224922</v>
      </c>
      <c r="S225" s="220" t="n">
        <v>9978.467961965676</v>
      </c>
      <c r="T225" s="220" t="n">
        <v>12990.483249540996</v>
      </c>
      <c r="U225" s="220" t="n">
        <v>35646.35129751044</v>
      </c>
      <c r="V225" t="n">
        <v>0.0</v>
      </c>
      <c r="W225" s="220">
        <f si="43" t="shared"/>
        <v>540070.85482830787</v>
      </c>
    </row>
    <row r="226" spans="1:23" x14ac:dyDescent="0.2">
      <c r="A226" t="s">
        <v>27</v>
      </c>
      <c r="B226">
        <f si="42" t="shared"/>
        <v>179642.8396920693</v>
      </c>
      <c r="C226">
        <f si="42" t="shared"/>
        <v>32611.034631052997</v>
      </c>
      <c r="D226">
        <f si="42" t="shared"/>
        <v>67797.725386574966</v>
      </c>
      <c r="E226">
        <f si="42" t="shared"/>
        <v>64440.058133579667</v>
      </c>
      <c r="F226">
        <f si="42" t="shared"/>
        <v>10928.754977614744</v>
      </c>
      <c r="G226">
        <f si="42" t="shared"/>
        <v>3521.8510842737828</v>
      </c>
      <c r="H226">
        <f si="42" t="shared"/>
        <v>18270.244910896246</v>
      </c>
      <c r="I226">
        <f si="42" t="shared"/>
        <v>0</v>
      </c>
      <c r="J226">
        <f si="42" t="shared"/>
        <v>377212.50881606166</v>
      </c>
      <c r="N226" t="s">
        <v>27</v>
      </c>
      <c r="O226" s="220" t="n">
        <v>179642.8396920693</v>
      </c>
      <c r="P226" s="220" t="n">
        <v>32611.034631052997</v>
      </c>
      <c r="Q226" s="220" t="n">
        <v>67797.72538657497</v>
      </c>
      <c r="R226" s="220" t="n">
        <v>64440.05813357967</v>
      </c>
      <c r="S226" s="220" t="n">
        <v>10928.754977614744</v>
      </c>
      <c r="T226" s="220" t="n">
        <v>3521.851084273783</v>
      </c>
      <c r="U226" s="220" t="n">
        <v>18270.244910896246</v>
      </c>
      <c r="V226" t="n">
        <v>0.0</v>
      </c>
      <c r="W226" s="220">
        <f si="43" t="shared"/>
        <v>377212.50881606166</v>
      </c>
    </row>
    <row r="227" spans="1:23" x14ac:dyDescent="0.2">
      <c r="A227" t="s">
        <v>28</v>
      </c>
      <c r="B227">
        <f si="42" t="shared"/>
        <v>136986.2772561</v>
      </c>
      <c r="C227">
        <f si="42" t="shared"/>
        <v>12179.557818052263</v>
      </c>
      <c r="D227">
        <f si="42" t="shared"/>
        <v>20500.120231938636</v>
      </c>
      <c r="E227">
        <f si="42" t="shared"/>
        <v>20208.539476925969</v>
      </c>
      <c r="F227">
        <f si="42" t="shared"/>
        <v>2949.6027365101413</v>
      </c>
      <c r="G227">
        <f si="42" t="shared"/>
        <v>4380.5362137410075</v>
      </c>
      <c r="H227">
        <f si="42" t="shared"/>
        <v>11573.28891060579</v>
      </c>
      <c r="I227">
        <f si="42" t="shared"/>
        <v>0</v>
      </c>
      <c r="J227">
        <f si="42" t="shared"/>
        <v>208777.92264387381</v>
      </c>
      <c r="N227" t="s">
        <v>28</v>
      </c>
      <c r="O227" s="220" t="n">
        <v>136986.2772561</v>
      </c>
      <c r="P227" s="220" t="n">
        <v>12179.557818052263</v>
      </c>
      <c r="Q227" s="220" t="n">
        <v>20500.120231938636</v>
      </c>
      <c r="R227" s="220" t="n">
        <v>20208.53947692597</v>
      </c>
      <c r="S227" s="220" t="n">
        <v>2949.6027365101413</v>
      </c>
      <c r="T227" s="220" t="n">
        <v>4380.5362137410075</v>
      </c>
      <c r="U227" s="220" t="n">
        <v>11573.28891060579</v>
      </c>
      <c r="V227" t="n">
        <v>0.0</v>
      </c>
      <c r="W227" s="220">
        <f si="43" t="shared"/>
        <v>208777.92264387381</v>
      </c>
    </row>
    <row r="228" spans="1:23" x14ac:dyDescent="0.2">
      <c r="A228" t="s">
        <v>29</v>
      </c>
      <c r="B228">
        <f si="42" t="shared"/>
        <v>85686.071083875097</v>
      </c>
      <c r="C228">
        <f si="42" t="shared"/>
        <v>12439.653544185423</v>
      </c>
      <c r="D228">
        <f si="42" t="shared"/>
        <v>18598.641817159965</v>
      </c>
      <c r="E228">
        <f si="42" t="shared"/>
        <v>22965.975803917583</v>
      </c>
      <c r="F228">
        <f si="42" t="shared"/>
        <v>4819.9223741672104</v>
      </c>
      <c r="G228">
        <f si="42" t="shared"/>
        <v>13183.873124305563</v>
      </c>
      <c r="H228">
        <f si="42" t="shared"/>
        <v>34925.82006270394</v>
      </c>
      <c r="I228">
        <f si="42" t="shared"/>
        <v>0</v>
      </c>
      <c r="J228">
        <f si="42" t="shared"/>
        <v>192619.95781031481</v>
      </c>
      <c r="N228" t="s">
        <v>29</v>
      </c>
      <c r="O228" s="220" t="n">
        <v>85686.0710838751</v>
      </c>
      <c r="P228" s="220" t="n">
        <v>12439.653544185423</v>
      </c>
      <c r="Q228" s="220" t="n">
        <v>18598.641817159965</v>
      </c>
      <c r="R228" s="220" t="n">
        <v>22965.975803917583</v>
      </c>
      <c r="S228" s="220" t="n">
        <v>4819.92237416721</v>
      </c>
      <c r="T228" s="220" t="n">
        <v>13183.873124305563</v>
      </c>
      <c r="U228" s="220" t="n">
        <v>34925.82006270394</v>
      </c>
      <c r="V228" t="n">
        <v>0.0</v>
      </c>
      <c r="W228" s="220">
        <f si="43" t="shared"/>
        <v>192619.95781031481</v>
      </c>
    </row>
    <row r="230" spans="1:23" x14ac:dyDescent="0.2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2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2">
      <c r="A232" t="s">
        <v>23</v>
      </c>
      <c r="B232">
        <f ref="B232:F238" si="44" t="shared">O232*$B$1</f>
        <v>1322.12000258137</v>
      </c>
      <c r="C232">
        <f si="44" t="shared"/>
        <v>52427.568861741223</v>
      </c>
      <c r="D232">
        <f si="44" t="shared"/>
        <v>32348.534627414887</v>
      </c>
      <c r="E232">
        <f si="44" t="shared"/>
        <v>72223.924943118924</v>
      </c>
      <c r="F232">
        <f si="44" t="shared"/>
        <v>158322.14843485638</v>
      </c>
      <c r="N232" t="s">
        <v>23</v>
      </c>
      <c r="O232" s="220" t="n">
        <v>1322.12000258137</v>
      </c>
      <c r="P232" s="220" t="n">
        <v>52427.56886174122</v>
      </c>
      <c r="Q232" s="220" t="n">
        <v>32348.534627414887</v>
      </c>
      <c r="R232" s="220" t="n">
        <v>72223.92494311892</v>
      </c>
      <c r="S232" s="220">
        <f ref="S232:S238" si="45" t="shared">SUM(O232:R232)</f>
        <v>158322.14843485638</v>
      </c>
    </row>
    <row r="233" spans="1:23" x14ac:dyDescent="0.2">
      <c r="A233" t="s">
        <v>24</v>
      </c>
      <c r="B233">
        <f si="44" t="shared"/>
        <v>417.37763990329722</v>
      </c>
      <c r="C233">
        <f si="44" t="shared"/>
        <v>4049.589913851145</v>
      </c>
      <c r="D233">
        <f si="44" t="shared"/>
        <v>4678.8031209406363</v>
      </c>
      <c r="E233">
        <f si="44" t="shared"/>
        <v>8653.7691656915595</v>
      </c>
      <c r="F233">
        <f si="44" t="shared"/>
        <v>17799.539840386638</v>
      </c>
      <c r="N233" t="s">
        <v>24</v>
      </c>
      <c r="O233" s="220" t="n">
        <v>417.3776399032972</v>
      </c>
      <c r="P233" s="220" t="n">
        <v>4049.589913851145</v>
      </c>
      <c r="Q233" s="220" t="n">
        <v>4678.803120940636</v>
      </c>
      <c r="R233" s="220" t="n">
        <v>8653.76916569156</v>
      </c>
      <c r="S233" s="220">
        <f si="45" t="shared"/>
        <v>17799.539840386638</v>
      </c>
    </row>
    <row r="234" spans="1:23" x14ac:dyDescent="0.2">
      <c r="A234" t="s">
        <v>25</v>
      </c>
      <c r="B234">
        <f si="44" t="shared"/>
        <v>8897.7389363476595</v>
      </c>
      <c r="C234">
        <f si="44" t="shared"/>
        <v>57599.143522069644</v>
      </c>
      <c r="D234">
        <f si="44" t="shared"/>
        <v>52083.364257706089</v>
      </c>
      <c r="E234">
        <f si="44" t="shared"/>
        <v>136350.17195668217</v>
      </c>
      <c r="F234">
        <f si="44" t="shared"/>
        <v>254930.41867280556</v>
      </c>
      <c r="N234" t="s">
        <v>25</v>
      </c>
      <c r="O234" s="220" t="n">
        <v>8897.73893634766</v>
      </c>
      <c r="P234" s="220" t="n">
        <v>57599.143522069644</v>
      </c>
      <c r="Q234" s="220" t="n">
        <v>52083.36425770609</v>
      </c>
      <c r="R234" s="220" t="n">
        <v>136350.17195668217</v>
      </c>
      <c r="S234" s="220">
        <f si="45" t="shared"/>
        <v>254930.41867280556</v>
      </c>
    </row>
    <row r="235" spans="1:23" x14ac:dyDescent="0.2">
      <c r="A235" t="s">
        <v>249</v>
      </c>
      <c r="B235">
        <f si="44" t="shared"/>
        <v>8532.1495229280736</v>
      </c>
      <c r="C235">
        <f si="44" t="shared"/>
        <v>151265.93962449016</v>
      </c>
      <c r="D235">
        <f si="44" t="shared"/>
        <v>119502.1897725671</v>
      </c>
      <c r="E235">
        <f si="44" t="shared"/>
        <v>195117.71733707277</v>
      </c>
      <c r="F235">
        <f si="44" t="shared"/>
        <v>474417.99625705811</v>
      </c>
      <c r="N235" t="s">
        <v>249</v>
      </c>
      <c r="O235" s="220" t="n">
        <v>8532.149522928074</v>
      </c>
      <c r="P235" s="220" t="n">
        <v>151265.93962449016</v>
      </c>
      <c r="Q235" s="220" t="n">
        <v>119502.1897725671</v>
      </c>
      <c r="R235" s="220" t="n">
        <v>195117.71733707277</v>
      </c>
      <c r="S235" s="220">
        <f si="45" t="shared"/>
        <v>474417.99625705811</v>
      </c>
    </row>
    <row r="236" spans="1:23" x14ac:dyDescent="0.2">
      <c r="A236" t="s">
        <v>27</v>
      </c>
      <c r="B236">
        <f si="44" t="shared"/>
        <v>6808.2493820531217</v>
      </c>
      <c r="C236">
        <f si="44" t="shared"/>
        <v>110459.69804510975</v>
      </c>
      <c r="D236">
        <f si="44" t="shared"/>
        <v>84514.268861003613</v>
      </c>
      <c r="E236">
        <f si="44" t="shared"/>
        <v>126352.80569890722</v>
      </c>
      <c r="F236">
        <f si="44" t="shared"/>
        <v>328135.02198707371</v>
      </c>
      <c r="N236" t="s">
        <v>27</v>
      </c>
      <c r="O236" s="220" t="n">
        <v>6808.249382053122</v>
      </c>
      <c r="P236" s="220" t="n">
        <v>110459.69804510975</v>
      </c>
      <c r="Q236" s="220" t="n">
        <v>84514.26886100361</v>
      </c>
      <c r="R236" s="220" t="n">
        <v>126352.80569890722</v>
      </c>
      <c r="S236" s="220">
        <f si="45" t="shared"/>
        <v>328135.02198707371</v>
      </c>
    </row>
    <row r="237" spans="1:23" x14ac:dyDescent="0.2">
      <c r="A237" t="s">
        <v>28</v>
      </c>
      <c r="B237">
        <f si="44" t="shared"/>
        <v>1366.5855668790218</v>
      </c>
      <c r="C237">
        <f si="44" t="shared"/>
        <v>50012.571376899134</v>
      </c>
      <c r="D237">
        <f si="44" t="shared"/>
        <v>39235.831197789521</v>
      </c>
      <c r="E237">
        <f si="44" t="shared"/>
        <v>88813.984017977244</v>
      </c>
      <c r="F237">
        <f si="44" t="shared"/>
        <v>179428.97215954494</v>
      </c>
      <c r="N237" t="s">
        <v>28</v>
      </c>
      <c r="O237" s="220" t="n">
        <v>1366.5855668790218</v>
      </c>
      <c r="P237" s="220" t="n">
        <v>50012.57137689913</v>
      </c>
      <c r="Q237" s="220" t="n">
        <v>39235.83119778952</v>
      </c>
      <c r="R237" s="220" t="n">
        <v>88813.98401797724</v>
      </c>
      <c r="S237" s="220">
        <f si="45" t="shared"/>
        <v>179428.97215954494</v>
      </c>
    </row>
    <row r="238" spans="1:23" x14ac:dyDescent="0.2">
      <c r="A238" t="s">
        <v>29</v>
      </c>
      <c r="B238">
        <f si="44" t="shared"/>
        <v>3124.8304340282139</v>
      </c>
      <c r="C238">
        <f si="44" t="shared"/>
        <v>43472.92100821378</v>
      </c>
      <c r="D238">
        <f si="44" t="shared"/>
        <v>37225.138022718056</v>
      </c>
      <c r="E238">
        <f si="44" t="shared"/>
        <v>84808.402521320008</v>
      </c>
      <c r="F238">
        <f si="44" t="shared"/>
        <v>168631.29198628006</v>
      </c>
      <c r="N238" t="s">
        <v>29</v>
      </c>
      <c r="O238" s="220" t="n">
        <v>3124.830434028214</v>
      </c>
      <c r="P238" s="220" t="n">
        <v>43472.92100821378</v>
      </c>
      <c r="Q238" s="220" t="n">
        <v>37225.138022718056</v>
      </c>
      <c r="R238" s="220" t="n">
        <v>84808.40252132001</v>
      </c>
      <c r="S238" s="220">
        <f si="45" t="shared"/>
        <v>168631.29198628006</v>
      </c>
    </row>
    <row r="240" spans="1:23" x14ac:dyDescent="0.2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2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2">
      <c r="A242" t="s">
        <v>23</v>
      </c>
      <c r="B242">
        <f ref="B242:F248" si="46" t="shared">O242*$B$1</f>
        <v>599.22778112646859</v>
      </c>
      <c r="C242">
        <f si="46" t="shared"/>
        <v>32133.259850556715</v>
      </c>
      <c r="D242">
        <f si="46" t="shared"/>
        <v>98941.054862678386</v>
      </c>
      <c r="E242">
        <f si="46" t="shared"/>
        <v>41841.296039438246</v>
      </c>
      <c r="F242">
        <f si="46" t="shared"/>
        <v>173514.83853379983</v>
      </c>
      <c r="N242" t="s">
        <v>23</v>
      </c>
      <c r="O242" s="220" t="n">
        <v>599.2277811264686</v>
      </c>
      <c r="P242" s="220" t="n">
        <v>32133.259850556715</v>
      </c>
      <c r="Q242" s="220" t="n">
        <v>98941.05486267839</v>
      </c>
      <c r="R242" s="220" t="n">
        <v>41841.296039438246</v>
      </c>
      <c r="S242" s="220">
        <f ref="S242:S248" si="47" t="shared">SUM(O242:R242)</f>
        <v>173514.83853379983</v>
      </c>
    </row>
    <row r="243" spans="1:25" x14ac:dyDescent="0.2">
      <c r="A243" t="s">
        <v>24</v>
      </c>
      <c r="B243">
        <f si="46" t="shared"/>
        <v>481.25122114767953</v>
      </c>
      <c r="C243">
        <f si="46" t="shared"/>
        <v>6188.0592333361146</v>
      </c>
      <c r="D243">
        <f si="46" t="shared"/>
        <v>10047.951499933515</v>
      </c>
      <c r="E243">
        <f si="46" t="shared"/>
        <v>3138.3776782293826</v>
      </c>
      <c r="F243">
        <f si="46" t="shared"/>
        <v>19855.639632646693</v>
      </c>
      <c r="N243" t="s">
        <v>24</v>
      </c>
      <c r="O243" s="220" t="n">
        <v>481.25122114767953</v>
      </c>
      <c r="P243" s="220" t="n">
        <v>6188.059233336115</v>
      </c>
      <c r="Q243" s="220" t="n">
        <v>10047.951499933515</v>
      </c>
      <c r="R243" s="220" t="n">
        <v>3138.3776782293826</v>
      </c>
      <c r="S243" s="220">
        <f si="47" t="shared"/>
        <v>19855.639632646693</v>
      </c>
    </row>
    <row r="244" spans="1:25" x14ac:dyDescent="0.2">
      <c r="A244" t="s">
        <v>25</v>
      </c>
      <c r="B244">
        <f si="46" t="shared"/>
        <v>245.0366375749249</v>
      </c>
      <c r="C244">
        <f si="46" t="shared"/>
        <v>47520.956653070272</v>
      </c>
      <c r="D244">
        <f si="46" t="shared"/>
        <v>174278.06357616762</v>
      </c>
      <c r="E244">
        <f si="46" t="shared"/>
        <v>66431.14327075881</v>
      </c>
      <c r="F244">
        <f si="46" t="shared"/>
        <v>288475.20013757161</v>
      </c>
      <c r="N244" t="s">
        <v>25</v>
      </c>
      <c r="O244" s="220" t="n">
        <v>245.0366375749249</v>
      </c>
      <c r="P244" s="220" t="n">
        <v>47520.95665307027</v>
      </c>
      <c r="Q244" s="220" t="n">
        <v>174278.06357616762</v>
      </c>
      <c r="R244" s="220" t="n">
        <v>66431.14327075881</v>
      </c>
      <c r="S244" s="220">
        <f si="47" t="shared"/>
        <v>288475.20013757161</v>
      </c>
    </row>
    <row r="245" spans="1:25" x14ac:dyDescent="0.2">
      <c r="A245" t="s">
        <v>249</v>
      </c>
      <c r="B245">
        <f si="46" t="shared"/>
        <v>8199.868621274054</v>
      </c>
      <c r="C245">
        <f si="46" t="shared"/>
        <v>69063.186262997697</v>
      </c>
      <c r="D245">
        <f si="46" t="shared"/>
        <v>331076.85081615159</v>
      </c>
      <c r="E245">
        <f si="46" t="shared"/>
        <v>131730.94912788444</v>
      </c>
      <c r="F245">
        <f si="46" t="shared"/>
        <v>540070.85482830775</v>
      </c>
      <c r="N245" t="s">
        <v>249</v>
      </c>
      <c r="O245" s="220" t="n">
        <v>8199.868621274054</v>
      </c>
      <c r="P245" s="220" t="n">
        <v>69063.1862629977</v>
      </c>
      <c r="Q245" s="220" t="n">
        <v>331076.8508161516</v>
      </c>
      <c r="R245" s="220" t="n">
        <v>131730.94912788444</v>
      </c>
      <c r="S245" s="220">
        <f si="47" t="shared"/>
        <v>540070.85482830775</v>
      </c>
    </row>
    <row r="246" spans="1:25" x14ac:dyDescent="0.2">
      <c r="A246" t="s">
        <v>27</v>
      </c>
      <c r="B246">
        <f si="46" t="shared"/>
        <v>6312.8747006882295</v>
      </c>
      <c r="C246">
        <f si="46" t="shared"/>
        <v>65063.938704572225</v>
      </c>
      <c r="D246">
        <f si="46" t="shared"/>
        <v>227862.59358356692</v>
      </c>
      <c r="E246">
        <f si="46" t="shared"/>
        <v>77973.101827234321</v>
      </c>
      <c r="F246">
        <f si="46" t="shared"/>
        <v>377212.50881606172</v>
      </c>
      <c r="N246" t="s">
        <v>27</v>
      </c>
      <c r="O246" s="220" t="n">
        <v>6312.8747006882295</v>
      </c>
      <c r="P246" s="220" t="n">
        <v>65063.938704572225</v>
      </c>
      <c r="Q246" s="220" t="n">
        <v>227862.59358356692</v>
      </c>
      <c r="R246" s="220" t="n">
        <v>77973.10182723432</v>
      </c>
      <c r="S246" s="220">
        <f si="47" t="shared"/>
        <v>377212.50881606172</v>
      </c>
    </row>
    <row r="247" spans="1:25" x14ac:dyDescent="0.2">
      <c r="A247" t="s">
        <v>28</v>
      </c>
      <c r="B247">
        <f si="46" t="shared"/>
        <v>2374.6350037685506</v>
      </c>
      <c r="C247">
        <f si="46" t="shared"/>
        <v>26986.058232582716</v>
      </c>
      <c r="D247">
        <f si="46" t="shared"/>
        <v>124582.21175195918</v>
      </c>
      <c r="E247">
        <f si="46" t="shared"/>
        <v>54835.017655563352</v>
      </c>
      <c r="F247">
        <f si="46" t="shared"/>
        <v>208777.92264387378</v>
      </c>
      <c r="N247" t="s">
        <v>28</v>
      </c>
      <c r="O247" s="220" t="n">
        <v>2374.6350037685506</v>
      </c>
      <c r="P247" s="220" t="n">
        <v>26986.058232582716</v>
      </c>
      <c r="Q247" s="220" t="n">
        <v>124582.21175195918</v>
      </c>
      <c r="R247" s="220" t="n">
        <v>54835.01765556335</v>
      </c>
      <c r="S247" s="220">
        <f si="47" t="shared"/>
        <v>208777.92264387378</v>
      </c>
    </row>
    <row r="248" spans="1:25" x14ac:dyDescent="0.2">
      <c r="A248" t="s">
        <v>29</v>
      </c>
      <c r="B248">
        <f si="46" t="shared"/>
        <v>3002.8189477316155</v>
      </c>
      <c r="C248">
        <f si="46" t="shared"/>
        <v>24882.652454716921</v>
      </c>
      <c r="D248">
        <f si="46" t="shared"/>
        <v>115081.79517625857</v>
      </c>
      <c r="E248">
        <f si="46" t="shared"/>
        <v>49652.691231607678</v>
      </c>
      <c r="F248">
        <f si="46" t="shared"/>
        <v>192619.95781031478</v>
      </c>
      <c r="N248" t="s">
        <v>29</v>
      </c>
      <c r="O248" s="220" t="n">
        <v>3002.8189477316155</v>
      </c>
      <c r="P248" s="220" t="n">
        <v>24882.65245471692</v>
      </c>
      <c r="Q248" s="220" t="n">
        <v>115081.79517625857</v>
      </c>
      <c r="R248" s="220" t="n">
        <v>49652.69123160768</v>
      </c>
      <c r="S248" s="220">
        <f si="47" t="shared"/>
        <v>192619.95781031478</v>
      </c>
    </row>
    <row r="250" spans="1:25" x14ac:dyDescent="0.2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2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2">
      <c r="A252" t="s">
        <v>23</v>
      </c>
      <c r="B252">
        <f ref="B252:L258" si="48" t="shared">O252*$B$1</f>
        <v>85942.359572784859</v>
      </c>
      <c r="C252">
        <f si="48" t="shared"/>
        <v>9160.0921320614289</v>
      </c>
      <c r="D252">
        <f si="48" t="shared"/>
        <v>11342.958400844816</v>
      </c>
      <c r="E252">
        <f si="48" t="shared"/>
        <v>26854.114858944133</v>
      </c>
      <c r="F252">
        <f si="48" t="shared"/>
        <v>12934.49953207092</v>
      </c>
      <c r="G252">
        <f si="48" t="shared"/>
        <v>14465.58763666141</v>
      </c>
      <c r="H252">
        <f si="48" t="shared"/>
        <v>12815.226400432244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173514.8385337998</v>
      </c>
      <c r="N252" t="s">
        <v>23</v>
      </c>
      <c r="O252" s="220" t="n">
        <v>85942.35957278486</v>
      </c>
      <c r="P252" s="220" t="n">
        <v>9160.092132061429</v>
      </c>
      <c r="Q252" s="220" t="n">
        <v>11342.958400844816</v>
      </c>
      <c r="R252" s="220" t="n">
        <v>26854.114858944133</v>
      </c>
      <c r="S252" s="220" t="n">
        <v>12934.49953207092</v>
      </c>
      <c r="T252" s="220" t="n">
        <v>14465.58763666141</v>
      </c>
      <c r="U252" s="220" t="n">
        <v>12815.226400432244</v>
      </c>
      <c r="V252" t="n">
        <v>0.0</v>
      </c>
      <c r="W252" t="n">
        <v>0.0</v>
      </c>
      <c r="X252" t="n">
        <v>0.0</v>
      </c>
      <c r="Y252" s="220">
        <f ref="Y252:Y258" si="49" t="shared">SUM(O252:X252)</f>
        <v>173514.8385337998</v>
      </c>
    </row>
    <row r="253" spans="1:25" x14ac:dyDescent="0.2">
      <c r="A253" t="s">
        <v>24</v>
      </c>
      <c r="B253">
        <f si="48" t="shared"/>
        <v>10476.177476472298</v>
      </c>
      <c r="C253">
        <f si="48" t="shared"/>
        <v>345.80125043274001</v>
      </c>
      <c r="D253">
        <f si="48" t="shared"/>
        <v>334.88790110621653</v>
      </c>
      <c r="E253">
        <f si="48" t="shared"/>
        <v>3328.0977706246695</v>
      </c>
      <c r="F253">
        <f si="48" t="shared"/>
        <v>696.15123332932967</v>
      </c>
      <c r="G253">
        <f si="48" t="shared"/>
        <v>3518.3862593815047</v>
      </c>
      <c r="H253">
        <f si="48" t="shared"/>
        <v>1156.1377412999339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19855.639632646693</v>
      </c>
      <c r="N253" t="s">
        <v>24</v>
      </c>
      <c r="O253" s="220" t="n">
        <v>10476.177476472298</v>
      </c>
      <c r="P253" s="220" t="n">
        <v>345.80125043274</v>
      </c>
      <c r="Q253" s="220" t="n">
        <v>334.88790110621653</v>
      </c>
      <c r="R253" s="220" t="n">
        <v>3328.0977706246695</v>
      </c>
      <c r="S253" s="220" t="n">
        <v>696.1512333293297</v>
      </c>
      <c r="T253" s="220" t="n">
        <v>3518.3862593815047</v>
      </c>
      <c r="U253" s="220" t="n">
        <v>1156.1377412999339</v>
      </c>
      <c r="V253" t="n">
        <v>0.0</v>
      </c>
      <c r="W253" t="n">
        <v>0.0</v>
      </c>
      <c r="X253" t="n">
        <v>0.0</v>
      </c>
      <c r="Y253" s="220">
        <f si="49" t="shared"/>
        <v>19855.639632646693</v>
      </c>
    </row>
    <row r="254" spans="1:25" x14ac:dyDescent="0.2">
      <c r="A254" t="s">
        <v>25</v>
      </c>
      <c r="B254">
        <f si="48" t="shared"/>
        <v>120671.62932453681</v>
      </c>
      <c r="C254">
        <f si="48" t="shared"/>
        <v>13572.687461775018</v>
      </c>
      <c r="D254">
        <f si="48" t="shared"/>
        <v>9832.9816152675103</v>
      </c>
      <c r="E254">
        <f si="48" t="shared"/>
        <v>64477.569972782301</v>
      </c>
      <c r="F254">
        <f si="48" t="shared"/>
        <v>26946.208965682457</v>
      </c>
      <c r="G254">
        <f si="48" t="shared"/>
        <v>34474.563150538699</v>
      </c>
      <c r="H254">
        <f si="48" t="shared"/>
        <v>18499.559646988833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288475.20013757161</v>
      </c>
      <c r="N254" t="s">
        <v>25</v>
      </c>
      <c r="O254" s="220" t="n">
        <v>120671.62932453681</v>
      </c>
      <c r="P254" s="220" t="n">
        <v>13572.687461775018</v>
      </c>
      <c r="Q254" s="220" t="n">
        <v>9832.98161526751</v>
      </c>
      <c r="R254" s="220" t="n">
        <v>64477.5699727823</v>
      </c>
      <c r="S254" s="220" t="n">
        <v>26946.208965682457</v>
      </c>
      <c r="T254" s="220" t="n">
        <v>34474.5631505387</v>
      </c>
      <c r="U254" s="220" t="n">
        <v>18499.559646988833</v>
      </c>
      <c r="V254" t="n">
        <v>0.0</v>
      </c>
      <c r="W254" t="n">
        <v>0.0</v>
      </c>
      <c r="X254" t="n">
        <v>0.0</v>
      </c>
      <c r="Y254" s="220">
        <f si="49" t="shared"/>
        <v>288475.20013757161</v>
      </c>
    </row>
    <row r="255" spans="1:25" x14ac:dyDescent="0.2">
      <c r="A255" t="s">
        <v>249</v>
      </c>
      <c r="B255">
        <f si="48" t="shared"/>
        <v>185127.46755918858</v>
      </c>
      <c r="C255">
        <f si="48" t="shared"/>
        <v>36053.832363036192</v>
      </c>
      <c r="D255">
        <f si="48" t="shared"/>
        <v>15825.857564265576</v>
      </c>
      <c r="E255">
        <f si="48" t="shared"/>
        <v>111122.50749535073</v>
      </c>
      <c r="F255">
        <f si="48" t="shared"/>
        <v>63769.658798565324</v>
      </c>
      <c r="G255">
        <f si="48" t="shared"/>
        <v>80088.882855475851</v>
      </c>
      <c r="H255">
        <f si="48" t="shared"/>
        <v>48082.648192425535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540070.85482830775</v>
      </c>
      <c r="N255" t="s">
        <v>249</v>
      </c>
      <c r="O255" s="220" t="n">
        <v>185127.46755918858</v>
      </c>
      <c r="P255" s="220" t="n">
        <v>36053.83236303619</v>
      </c>
      <c r="Q255" s="220" t="n">
        <v>15825.857564265576</v>
      </c>
      <c r="R255" s="220" t="n">
        <v>111122.50749535073</v>
      </c>
      <c r="S255" s="220" t="n">
        <v>63769.658798565324</v>
      </c>
      <c r="T255" s="220" t="n">
        <v>80088.88285547585</v>
      </c>
      <c r="U255" s="220" t="n">
        <v>48082.648192425535</v>
      </c>
      <c r="V255" t="n">
        <v>0.0</v>
      </c>
      <c r="W255" t="n">
        <v>0.0</v>
      </c>
      <c r="X255" t="n">
        <v>0.0</v>
      </c>
      <c r="Y255" s="220">
        <f si="49" t="shared"/>
        <v>540070.85482830775</v>
      </c>
    </row>
    <row r="256" spans="1:25" x14ac:dyDescent="0.2">
      <c r="A256" t="s">
        <v>27</v>
      </c>
      <c r="B256">
        <f si="48" t="shared"/>
        <v>116406.47783666644</v>
      </c>
      <c r="C256">
        <f si="48" t="shared"/>
        <v>21763.544316286814</v>
      </c>
      <c r="D256">
        <f si="48" t="shared"/>
        <v>16132.70441496159</v>
      </c>
      <c r="E256">
        <f si="48" t="shared"/>
        <v>77760.657183135641</v>
      </c>
      <c r="F256">
        <f si="48" t="shared"/>
        <v>44375.183732994294</v>
      </c>
      <c r="G256">
        <f si="48" t="shared"/>
        <v>70057.238441059992</v>
      </c>
      <c r="H256">
        <f si="48" t="shared"/>
        <v>30716.702890956927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377212.50881606177</v>
      </c>
      <c r="N256" t="s">
        <v>27</v>
      </c>
      <c r="O256" s="220" t="n">
        <v>116406.47783666644</v>
      </c>
      <c r="P256" s="220" t="n">
        <v>21763.544316286814</v>
      </c>
      <c r="Q256" s="220" t="n">
        <v>16132.70441496159</v>
      </c>
      <c r="R256" s="220" t="n">
        <v>77760.65718313564</v>
      </c>
      <c r="S256" s="220" t="n">
        <v>44375.183732994294</v>
      </c>
      <c r="T256" s="220" t="n">
        <v>70057.23844105999</v>
      </c>
      <c r="U256" s="220" t="n">
        <v>30716.702890956927</v>
      </c>
      <c r="V256" t="n">
        <v>0.0</v>
      </c>
      <c r="W256" t="n">
        <v>0.0</v>
      </c>
      <c r="X256" t="n">
        <v>0.0</v>
      </c>
      <c r="Y256" s="220">
        <f si="49" t="shared"/>
        <v>377212.50881606177</v>
      </c>
    </row>
    <row r="257" spans="1:25" x14ac:dyDescent="0.2">
      <c r="A257" t="s">
        <v>28</v>
      </c>
      <c r="B257">
        <f si="48" t="shared"/>
        <v>76399.817601195333</v>
      </c>
      <c r="C257">
        <f si="48" t="shared"/>
        <v>9848.6299380015225</v>
      </c>
      <c r="D257">
        <f si="48" t="shared"/>
        <v>10415.37967571947</v>
      </c>
      <c r="E257">
        <f si="48" t="shared"/>
        <v>37389.231900363542</v>
      </c>
      <c r="F257">
        <f si="48" t="shared"/>
        <v>23072.76039508979</v>
      </c>
      <c r="G257">
        <f si="48" t="shared"/>
        <v>29096.123840976274</v>
      </c>
      <c r="H257">
        <f si="48" t="shared"/>
        <v>22555.979292527871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208777.92264387381</v>
      </c>
      <c r="N257" t="s">
        <v>28</v>
      </c>
      <c r="O257" s="220" t="n">
        <v>76399.81760119533</v>
      </c>
      <c r="P257" s="220" t="n">
        <v>9848.629938001523</v>
      </c>
      <c r="Q257" s="220" t="n">
        <v>10415.37967571947</v>
      </c>
      <c r="R257" s="220" t="n">
        <v>37389.23190036354</v>
      </c>
      <c r="S257" s="220" t="n">
        <v>23072.76039508979</v>
      </c>
      <c r="T257" s="220" t="n">
        <v>29096.123840976274</v>
      </c>
      <c r="U257" s="220" t="n">
        <v>22555.97929252787</v>
      </c>
      <c r="V257" t="n">
        <v>0.0</v>
      </c>
      <c r="W257" t="n">
        <v>0.0</v>
      </c>
      <c r="X257" t="n">
        <v>0.0</v>
      </c>
      <c r="Y257" s="220">
        <f si="49" t="shared"/>
        <v>208777.92264387381</v>
      </c>
    </row>
    <row r="258" spans="1:25" x14ac:dyDescent="0.2">
      <c r="A258" t="s">
        <v>29</v>
      </c>
      <c r="B258">
        <f si="48" t="shared"/>
        <v>76574.963115983133</v>
      </c>
      <c r="C258">
        <f si="48" t="shared"/>
        <v>10092.269054707936</v>
      </c>
      <c r="D258">
        <f si="48" t="shared"/>
        <v>9771.4383404745004</v>
      </c>
      <c r="E258">
        <f si="48" t="shared"/>
        <v>34575.708584477463</v>
      </c>
      <c r="F258">
        <f si="48" t="shared"/>
        <v>19703.261498536318</v>
      </c>
      <c r="G258">
        <f si="48" t="shared"/>
        <v>29175.864071530319</v>
      </c>
      <c r="H258">
        <f si="48" t="shared"/>
        <v>12726.453144605111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192619.95781031478</v>
      </c>
      <c r="N258" t="s">
        <v>29</v>
      </c>
      <c r="O258" s="220" t="n">
        <v>76574.96311598313</v>
      </c>
      <c r="P258" s="220" t="n">
        <v>10092.269054707936</v>
      </c>
      <c r="Q258" s="220" t="n">
        <v>9771.4383404745</v>
      </c>
      <c r="R258" s="220" t="n">
        <v>34575.70858447746</v>
      </c>
      <c r="S258" s="220" t="n">
        <v>19703.261498536318</v>
      </c>
      <c r="T258" s="220" t="n">
        <v>29175.86407153032</v>
      </c>
      <c r="U258" s="220" t="n">
        <v>12726.453144605111</v>
      </c>
      <c r="V258" t="n">
        <v>0.0</v>
      </c>
      <c r="W258" t="n">
        <v>0.0</v>
      </c>
      <c r="X258" t="n">
        <v>0.0</v>
      </c>
      <c r="Y258" s="220">
        <f si="49" t="shared"/>
        <v>192619.95781031478</v>
      </c>
    </row>
    <row r="260" spans="1:25" x14ac:dyDescent="0.2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2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2">
      <c r="A262" t="s">
        <v>23</v>
      </c>
      <c r="B262">
        <f ref="B262:J269" si="50" t="shared">O262*$B$1</f>
        <v>975639.73494775128</v>
      </c>
      <c r="C262">
        <f si="50" t="shared"/>
        <v>84611.155888975118</v>
      </c>
      <c r="D262">
        <f si="50" t="shared"/>
        <v>5003.5235183978211</v>
      </c>
      <c r="E262">
        <f si="50" t="shared"/>
        <v>15318.417809649949</v>
      </c>
      <c r="F262">
        <f si="50" t="shared"/>
        <v>16794.502578904099</v>
      </c>
      <c r="G262">
        <f si="50" t="shared"/>
        <v>2993.3548611207079</v>
      </c>
      <c r="H262">
        <f si="50" t="shared"/>
        <v>1081.1350347234222</v>
      </c>
      <c r="I262">
        <f si="50" t="shared"/>
        <v>0</v>
      </c>
      <c r="J262">
        <f si="50" t="shared"/>
        <v>1101441.8246395222</v>
      </c>
      <c r="N262" t="s">
        <v>23</v>
      </c>
      <c r="O262" t="n">
        <v>975639.7349477513</v>
      </c>
      <c r="P262" t="n">
        <v>84611.15588897512</v>
      </c>
      <c r="Q262" t="n">
        <v>5003.523518397821</v>
      </c>
      <c r="R262" t="n">
        <v>15318.417809649949</v>
      </c>
      <c r="S262" t="n">
        <v>16794.5025789041</v>
      </c>
      <c r="T262" t="n">
        <v>2993.354861120708</v>
      </c>
      <c r="U262" t="n">
        <v>1081.1350347234222</v>
      </c>
      <c r="V262" t="n">
        <v>0.0</v>
      </c>
      <c r="W262">
        <f ref="W262:W269" si="51" t="shared">SUM(O262:V262)</f>
        <v>1101441.8246395222</v>
      </c>
    </row>
    <row r="263" spans="1:25" x14ac:dyDescent="0.2">
      <c r="A263" t="s">
        <v>24</v>
      </c>
      <c r="B263">
        <f si="50" t="shared"/>
        <v>13793.058815050374</v>
      </c>
      <c r="C263">
        <f si="50" t="shared"/>
        <v>2480.4058050277795</v>
      </c>
      <c r="D263">
        <f si="50" t="shared"/>
        <v>389.65169118865902</v>
      </c>
      <c r="E263">
        <f si="50" t="shared"/>
        <v>2881.5948888227481</v>
      </c>
      <c r="F263">
        <f si="50" t="shared"/>
        <v>16226.084546597727</v>
      </c>
      <c r="G263">
        <f si="50" t="shared"/>
        <v>42201.678470851177</v>
      </c>
      <c r="H263">
        <f si="50" t="shared"/>
        <v>212439.13184791486</v>
      </c>
      <c r="I263">
        <f si="50" t="shared"/>
        <v>0</v>
      </c>
      <c r="J263">
        <f si="50" t="shared"/>
        <v>290411.60606545332</v>
      </c>
      <c r="N263" t="s">
        <v>24</v>
      </c>
      <c r="O263" t="n">
        <v>13793.058815050374</v>
      </c>
      <c r="P263" t="n">
        <v>2480.4058050277795</v>
      </c>
      <c r="Q263" t="n">
        <v>389.651691188659</v>
      </c>
      <c r="R263" t="n">
        <v>2881.594888822748</v>
      </c>
      <c r="S263" t="n">
        <v>16226.084546597727</v>
      </c>
      <c r="T263" t="n">
        <v>42201.67847085118</v>
      </c>
      <c r="U263" t="n">
        <v>212439.13184791486</v>
      </c>
      <c r="V263" t="n">
        <v>0.0</v>
      </c>
      <c r="W263">
        <f si="51" t="shared"/>
        <v>290411.60606545332</v>
      </c>
    </row>
    <row r="264" spans="1:25" x14ac:dyDescent="0.2">
      <c r="A264" t="s">
        <v>25</v>
      </c>
      <c r="B264">
        <f si="50" t="shared"/>
        <v>288070.01418012049</v>
      </c>
      <c r="C264">
        <f si="50" t="shared"/>
        <v>44726.379647113659</v>
      </c>
      <c r="D264">
        <f si="50" t="shared"/>
        <v>24454.87067819502</v>
      </c>
      <c r="E264">
        <f si="50" t="shared"/>
        <v>87687.374919175054</v>
      </c>
      <c r="F264">
        <f si="50" t="shared"/>
        <v>11033.24802341346</v>
      </c>
      <c r="G264">
        <f si="50" t="shared"/>
        <v>7738.9641700730836</v>
      </c>
      <c r="H264">
        <f si="50" t="shared"/>
        <v>40083.720845597687</v>
      </c>
      <c r="I264">
        <f si="50" t="shared"/>
        <v>0</v>
      </c>
      <c r="J264">
        <f si="50" t="shared"/>
        <v>503794.5724636885</v>
      </c>
      <c r="N264" t="s">
        <v>25</v>
      </c>
      <c r="O264" t="n">
        <v>288070.0141801205</v>
      </c>
      <c r="P264" t="n">
        <v>44726.37964711366</v>
      </c>
      <c r="Q264" t="n">
        <v>24454.87067819502</v>
      </c>
      <c r="R264" t="n">
        <v>87687.37491917505</v>
      </c>
      <c r="S264" t="n">
        <v>11033.24802341346</v>
      </c>
      <c r="T264" t="n">
        <v>7738.964170073084</v>
      </c>
      <c r="U264" t="n">
        <v>40083.72084559769</v>
      </c>
      <c r="V264" t="n">
        <v>0.0</v>
      </c>
      <c r="W264">
        <f si="51" t="shared"/>
        <v>503794.5724636885</v>
      </c>
    </row>
    <row r="265" spans="1:25" x14ac:dyDescent="0.2">
      <c r="A265" t="s">
        <v>249</v>
      </c>
      <c r="B265">
        <f si="50" t="shared"/>
        <v>365744.99905672303</v>
      </c>
      <c r="C265">
        <f si="50" t="shared"/>
        <v>65068.368645488095</v>
      </c>
      <c r="D265">
        <f si="50" t="shared"/>
        <v>156148.76001109034</v>
      </c>
      <c r="E265">
        <f si="50" t="shared"/>
        <v>126852.8469448691</v>
      </c>
      <c r="F265">
        <f si="50" t="shared"/>
        <v>15296.716115939347</v>
      </c>
      <c r="G265">
        <f si="50" t="shared"/>
        <v>19104.484919871287</v>
      </c>
      <c r="H265">
        <f si="50" t="shared"/>
        <v>55233.76430046944</v>
      </c>
      <c r="I265">
        <f si="50" t="shared"/>
        <v>0</v>
      </c>
      <c r="J265">
        <f si="50" t="shared"/>
        <v>803449.93999445066</v>
      </c>
      <c r="N265" t="s">
        <v>249</v>
      </c>
      <c r="O265" t="n">
        <v>365744.999056723</v>
      </c>
      <c r="P265" t="n">
        <v>65068.368645488095</v>
      </c>
      <c r="Q265" t="n">
        <v>156148.76001109034</v>
      </c>
      <c r="R265" t="n">
        <v>126852.8469448691</v>
      </c>
      <c r="S265" t="n">
        <v>15296.716115939347</v>
      </c>
      <c r="T265" t="n">
        <v>19104.484919871287</v>
      </c>
      <c r="U265" t="n">
        <v>55233.76430046944</v>
      </c>
      <c r="V265" t="n">
        <v>0.0</v>
      </c>
      <c r="W265">
        <f si="51" t="shared"/>
        <v>803449.93999445066</v>
      </c>
    </row>
    <row r="266" spans="1:25" x14ac:dyDescent="0.2">
      <c r="A266" t="s">
        <v>27</v>
      </c>
      <c r="B266">
        <f si="50" t="shared"/>
        <v>234480.01690122604</v>
      </c>
      <c r="C266">
        <f si="50" t="shared"/>
        <v>48765.565305954828</v>
      </c>
      <c r="D266">
        <f si="50" t="shared"/>
        <v>112544.09017610914</v>
      </c>
      <c r="E266">
        <f si="50" t="shared"/>
        <v>108591.27940950016</v>
      </c>
      <c r="F266">
        <f si="50" t="shared"/>
        <v>16618.238956290908</v>
      </c>
      <c r="G266">
        <f si="50" t="shared"/>
        <v>5436.9485837728862</v>
      </c>
      <c r="H266">
        <f si="50" t="shared"/>
        <v>27115.891287338647</v>
      </c>
      <c r="I266">
        <f si="50" t="shared"/>
        <v>0</v>
      </c>
      <c r="J266">
        <f si="50" t="shared"/>
        <v>553552.03062019264</v>
      </c>
      <c r="N266" t="s">
        <v>27</v>
      </c>
      <c r="O266" t="n">
        <v>234480.01690122604</v>
      </c>
      <c r="P266" t="n">
        <v>48765.56530595483</v>
      </c>
      <c r="Q266" t="n">
        <v>112544.09017610914</v>
      </c>
      <c r="R266" t="n">
        <v>108591.27940950016</v>
      </c>
      <c r="S266" t="n">
        <v>16618.23895629091</v>
      </c>
      <c r="T266" t="n">
        <v>5436.948583772886</v>
      </c>
      <c r="U266" t="n">
        <v>27115.891287338647</v>
      </c>
      <c r="V266" t="n">
        <v>0.0</v>
      </c>
      <c r="W266">
        <f si="51" t="shared"/>
        <v>553552.03062019264</v>
      </c>
    </row>
    <row r="267" spans="1:25" x14ac:dyDescent="0.2">
      <c r="A267" t="s">
        <v>28</v>
      </c>
      <c r="B267">
        <f si="50" t="shared"/>
        <v>187057.01961058742</v>
      </c>
      <c r="C267">
        <f si="50" t="shared"/>
        <v>19752.055790292434</v>
      </c>
      <c r="D267">
        <f si="50" t="shared"/>
        <v>45048.242532017262</v>
      </c>
      <c r="E267">
        <f si="50" t="shared"/>
        <v>32447.503746623643</v>
      </c>
      <c r="F267">
        <f si="50" t="shared"/>
        <v>7521.169951284216</v>
      </c>
      <c r="G267">
        <f si="50" t="shared"/>
        <v>5253.7301082230306</v>
      </c>
      <c r="H267">
        <f si="50" t="shared"/>
        <v>18548.508936776587</v>
      </c>
      <c r="I267">
        <f si="50" t="shared"/>
        <v>0</v>
      </c>
      <c r="J267">
        <f si="50" t="shared"/>
        <v>315628.2306758046</v>
      </c>
      <c r="N267" t="s">
        <v>28</v>
      </c>
      <c r="O267" t="n">
        <v>187057.01961058742</v>
      </c>
      <c r="P267" t="n">
        <v>19752.055790292434</v>
      </c>
      <c r="Q267" t="n">
        <v>45048.24253201726</v>
      </c>
      <c r="R267" t="n">
        <v>32447.503746623643</v>
      </c>
      <c r="S267" t="n">
        <v>7521.169951284216</v>
      </c>
      <c r="T267" t="n">
        <v>5253.730108223031</v>
      </c>
      <c r="U267" t="n">
        <v>18548.508936776587</v>
      </c>
      <c r="V267" t="n">
        <v>0.0</v>
      </c>
      <c r="W267">
        <f si="51" t="shared"/>
        <v>315628.2306758046</v>
      </c>
    </row>
    <row r="268" spans="1:25" x14ac:dyDescent="0.2">
      <c r="A268" t="s">
        <v>29</v>
      </c>
      <c r="B268">
        <f si="50" t="shared"/>
        <v>176190.64520362957</v>
      </c>
      <c r="C268">
        <f si="50" t="shared"/>
        <v>29872.111350960175</v>
      </c>
      <c r="D268">
        <f si="50" t="shared"/>
        <v>57148.902591210339</v>
      </c>
      <c r="E268">
        <f si="50" t="shared"/>
        <v>62230.275469326298</v>
      </c>
      <c r="F268">
        <f si="50" t="shared"/>
        <v>10761.660725264534</v>
      </c>
      <c r="G268">
        <f si="50" t="shared"/>
        <v>25327.079930490614</v>
      </c>
      <c r="H268">
        <f si="50" t="shared"/>
        <v>91364.839800791393</v>
      </c>
      <c r="I268">
        <f si="50" t="shared"/>
        <v>0</v>
      </c>
      <c r="J268">
        <f si="50" t="shared"/>
        <v>452895.51507167297</v>
      </c>
      <c r="N268" t="s">
        <v>29</v>
      </c>
      <c r="O268" t="n">
        <v>176190.64520362957</v>
      </c>
      <c r="P268" t="n">
        <v>29872.111350960175</v>
      </c>
      <c r="Q268" t="n">
        <v>57148.90259121034</v>
      </c>
      <c r="R268" t="n">
        <v>62230.2754693263</v>
      </c>
      <c r="S268" t="n">
        <v>10761.660725264534</v>
      </c>
      <c r="T268" t="n">
        <v>25327.079930490614</v>
      </c>
      <c r="U268" t="n">
        <v>91364.8398007914</v>
      </c>
      <c r="V268" t="n">
        <v>0.0</v>
      </c>
      <c r="W268">
        <f si="51" t="shared"/>
        <v>452895.51507167297</v>
      </c>
    </row>
    <row r="269" spans="1:25" x14ac:dyDescent="0.2">
      <c r="A269" t="s">
        <v>38</v>
      </c>
      <c r="B269">
        <f si="50" t="shared"/>
        <v>1061641.611245143</v>
      </c>
      <c r="C269">
        <f si="50" t="shared"/>
        <v>150231.05848044067</v>
      </c>
      <c r="D269">
        <f si="50" t="shared"/>
        <v>203257.97066251273</v>
      </c>
      <c r="E269">
        <f si="50" t="shared"/>
        <v>231370.43839404112</v>
      </c>
      <c r="F269">
        <f si="50" t="shared"/>
        <v>57055.123130272172</v>
      </c>
      <c r="G269">
        <f si="50" t="shared"/>
        <v>64851.337144704987</v>
      </c>
      <c r="H269">
        <f si="50" t="shared"/>
        <v>305780.27346326009</v>
      </c>
      <c r="I269">
        <f si="50" t="shared"/>
        <v>0</v>
      </c>
      <c r="J269">
        <f si="50" t="shared"/>
        <v>2074187.8125203748</v>
      </c>
      <c r="N269" t="s">
        <v>38</v>
      </c>
      <c r="O269" t="n">
        <v>1061641.611245143</v>
      </c>
      <c r="P269" t="n">
        <v>150231.05848044067</v>
      </c>
      <c r="Q269" t="n">
        <v>203257.97066251273</v>
      </c>
      <c r="R269" t="n">
        <v>231370.43839404112</v>
      </c>
      <c r="S269" t="n">
        <v>57055.12313027217</v>
      </c>
      <c r="T269" t="n">
        <v>64851.33714470499</v>
      </c>
      <c r="U269" t="n">
        <v>305780.2734632601</v>
      </c>
      <c r="V269" t="n">
        <v>0.0</v>
      </c>
      <c r="W269">
        <f si="51" t="shared"/>
        <v>2074187.8125203748</v>
      </c>
    </row>
    <row r="271" spans="1:25" x14ac:dyDescent="0.2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2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2">
      <c r="A273" t="s">
        <v>23</v>
      </c>
      <c r="B273">
        <f ref="B273:F280" si="52" t="shared">O273*$B$1</f>
        <v>10729.722492581013</v>
      </c>
      <c r="C273">
        <f si="52" t="shared"/>
        <v>271346.30536861991</v>
      </c>
      <c r="D273">
        <f si="52" t="shared"/>
        <v>231516.66425875091</v>
      </c>
      <c r="E273">
        <f si="52" t="shared"/>
        <v>471462.92864293256</v>
      </c>
      <c r="F273">
        <f si="52" t="shared"/>
        <v>985055.62076288438</v>
      </c>
      <c r="N273" t="s">
        <v>23</v>
      </c>
      <c r="O273" t="n">
        <v>10729.722492581013</v>
      </c>
      <c r="P273" t="n">
        <v>271346.3053686199</v>
      </c>
      <c r="Q273" t="n">
        <v>231516.6642587509</v>
      </c>
      <c r="R273" t="n">
        <v>471462.92864293256</v>
      </c>
      <c r="S273">
        <f ref="S273:S280" si="53" t="shared">SUM(O273:R273)</f>
        <v>985055.62076288438</v>
      </c>
    </row>
    <row r="274" spans="1:19" x14ac:dyDescent="0.2">
      <c r="A274" t="s">
        <v>24</v>
      </c>
      <c r="B274">
        <f si="52" t="shared"/>
        <v>13677.268394092478</v>
      </c>
      <c r="C274">
        <f si="52" t="shared"/>
        <v>61750.652826530364</v>
      </c>
      <c r="D274">
        <f si="52" t="shared"/>
        <v>59071.846302488797</v>
      </c>
      <c r="E274">
        <f si="52" t="shared"/>
        <v>123096.31249022258</v>
      </c>
      <c r="F274">
        <f si="52" t="shared"/>
        <v>257596.08001333423</v>
      </c>
      <c r="N274" t="s">
        <v>24</v>
      </c>
      <c r="O274" t="n">
        <v>13677.268394092478</v>
      </c>
      <c r="P274" t="n">
        <v>61750.652826530364</v>
      </c>
      <c r="Q274" t="n">
        <v>59071.8463024888</v>
      </c>
      <c r="R274" t="n">
        <v>123096.31249022258</v>
      </c>
      <c r="S274">
        <f si="53" t="shared"/>
        <v>257596.08001333423</v>
      </c>
    </row>
    <row r="275" spans="1:19" x14ac:dyDescent="0.2">
      <c r="A275" t="s">
        <v>25</v>
      </c>
      <c r="B275">
        <f si="52" t="shared"/>
        <v>12897.148381755951</v>
      </c>
      <c r="C275">
        <f si="52" t="shared"/>
        <v>104108.40443845067</v>
      </c>
      <c r="D275">
        <f si="52" t="shared"/>
        <v>99590.834505874809</v>
      </c>
      <c r="E275">
        <f si="52" t="shared"/>
        <v>225664.43461819793</v>
      </c>
      <c r="F275">
        <f si="52" t="shared"/>
        <v>442260.82194427936</v>
      </c>
      <c r="N275" t="s">
        <v>25</v>
      </c>
      <c r="O275" t="n">
        <v>12897.148381755951</v>
      </c>
      <c r="P275" t="n">
        <v>104108.40443845067</v>
      </c>
      <c r="Q275" t="n">
        <v>99590.83450587481</v>
      </c>
      <c r="R275" t="n">
        <v>225664.43461819793</v>
      </c>
      <c r="S275">
        <f si="53" t="shared"/>
        <v>442260.82194427936</v>
      </c>
    </row>
    <row r="276" spans="1:19" x14ac:dyDescent="0.2">
      <c r="A276" t="s">
        <v>249</v>
      </c>
      <c r="B276">
        <f si="52" t="shared"/>
        <v>19085.909525624756</v>
      </c>
      <c r="C276">
        <f si="52" t="shared"/>
        <v>231068.61250443358</v>
      </c>
      <c r="D276">
        <f si="52" t="shared"/>
        <v>165543.48373553882</v>
      </c>
      <c r="E276">
        <f si="52" t="shared"/>
        <v>277970.98079785518</v>
      </c>
      <c r="F276">
        <f si="52" t="shared"/>
        <v>693668.98656345229</v>
      </c>
      <c r="N276" t="s">
        <v>249</v>
      </c>
      <c r="O276" t="n">
        <v>19085.909525624756</v>
      </c>
      <c r="P276" t="n">
        <v>231068.61250443358</v>
      </c>
      <c r="Q276" t="n">
        <v>165543.48373553882</v>
      </c>
      <c r="R276" t="n">
        <v>277970.9807978552</v>
      </c>
      <c r="S276">
        <f si="53" t="shared"/>
        <v>693668.98656345229</v>
      </c>
    </row>
    <row r="277" spans="1:19" x14ac:dyDescent="0.2">
      <c r="A277" t="s">
        <v>27</v>
      </c>
      <c r="B277">
        <f si="52" t="shared"/>
        <v>16728.751165578618</v>
      </c>
      <c r="C277">
        <f si="52" t="shared"/>
        <v>169316.12258866974</v>
      </c>
      <c r="D277">
        <f si="52" t="shared"/>
        <v>116580.59211474653</v>
      </c>
      <c r="E277">
        <f si="52" t="shared"/>
        <v>176758.46567490671</v>
      </c>
      <c r="F277">
        <f si="52" t="shared"/>
        <v>479383.93154390156</v>
      </c>
      <c r="N277" t="s">
        <v>27</v>
      </c>
      <c r="O277" t="n">
        <v>16728.75116557862</v>
      </c>
      <c r="P277" t="n">
        <v>169316.12258866974</v>
      </c>
      <c r="Q277" t="n">
        <v>116580.59211474653</v>
      </c>
      <c r="R277" t="n">
        <v>176758.4656749067</v>
      </c>
      <c r="S277">
        <f si="53" t="shared"/>
        <v>479383.93154390156</v>
      </c>
    </row>
    <row r="278" spans="1:19" x14ac:dyDescent="0.2">
      <c r="A278" t="s">
        <v>28</v>
      </c>
      <c r="B278">
        <f si="52" t="shared"/>
        <v>2719.1143761612725</v>
      </c>
      <c r="C278">
        <f si="52" t="shared"/>
        <v>73667.742899784353</v>
      </c>
      <c r="D278">
        <f si="52" t="shared"/>
        <v>64473.426966298743</v>
      </c>
      <c r="E278">
        <f si="52" t="shared"/>
        <v>127913.62148684771</v>
      </c>
      <c r="F278">
        <f si="52" t="shared"/>
        <v>268773.90572909208</v>
      </c>
      <c r="N278" t="s">
        <v>28</v>
      </c>
      <c r="O278" t="n">
        <v>2719.1143761612725</v>
      </c>
      <c r="P278" t="n">
        <v>73667.74289978435</v>
      </c>
      <c r="Q278" t="n">
        <v>64473.42696629874</v>
      </c>
      <c r="R278" t="n">
        <v>127913.62148684771</v>
      </c>
      <c r="S278">
        <f si="53" t="shared"/>
        <v>268773.90572909208</v>
      </c>
    </row>
    <row r="279" spans="1:19" x14ac:dyDescent="0.2">
      <c r="A279" t="s">
        <v>29</v>
      </c>
      <c r="B279">
        <f si="52" t="shared"/>
        <v>9544.9658053398016</v>
      </c>
      <c r="C279">
        <f si="52" t="shared"/>
        <v>107739.14102822632</v>
      </c>
      <c r="D279">
        <f si="52" t="shared"/>
        <v>91002.282991438609</v>
      </c>
      <c r="E279">
        <f si="52" t="shared"/>
        <v>189861.04280615758</v>
      </c>
      <c r="F279">
        <f si="52" t="shared"/>
        <v>398147.43263116234</v>
      </c>
      <c r="N279" t="s">
        <v>29</v>
      </c>
      <c r="O279" t="n">
        <v>9544.965805339802</v>
      </c>
      <c r="P279" t="n">
        <v>107739.14102822632</v>
      </c>
      <c r="Q279" t="n">
        <v>91002.28299143861</v>
      </c>
      <c r="R279" t="n">
        <v>189861.04280615758</v>
      </c>
      <c r="S279">
        <f si="53" t="shared"/>
        <v>398147.43263116234</v>
      </c>
    </row>
    <row r="280" spans="1:19" x14ac:dyDescent="0.2">
      <c r="A280" t="s">
        <v>38</v>
      </c>
      <c r="B280">
        <f si="52" t="shared"/>
        <v>54373.144097803633</v>
      </c>
      <c r="C280">
        <f si="52" t="shared"/>
        <v>519243.40658975579</v>
      </c>
      <c r="D280">
        <f si="52" t="shared"/>
        <v>428803.99004842737</v>
      </c>
      <c r="E280">
        <f si="52" t="shared"/>
        <v>809337.23525610275</v>
      </c>
      <c r="F280">
        <f si="52" t="shared"/>
        <v>1811757.7759920894</v>
      </c>
      <c r="N280" t="s">
        <v>38</v>
      </c>
      <c r="O280" t="n">
        <v>54373.14409780363</v>
      </c>
      <c r="P280" t="n">
        <v>519243.4065897558</v>
      </c>
      <c r="Q280" t="n">
        <v>428803.99004842737</v>
      </c>
      <c r="R280" t="n">
        <v>809337.2352561028</v>
      </c>
      <c r="S280">
        <f si="53" t="shared"/>
        <v>1811757.7759920894</v>
      </c>
    </row>
    <row r="282" spans="1:19" x14ac:dyDescent="0.2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2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2">
      <c r="A284" t="s">
        <v>23</v>
      </c>
      <c r="B284">
        <f ref="B284:F291" si="54" t="shared">O284*$B$1</f>
        <v>10513.434822825202</v>
      </c>
      <c r="C284">
        <f si="54" t="shared"/>
        <v>156671.90055692531</v>
      </c>
      <c r="D284">
        <f si="54" t="shared"/>
        <v>672967.47280253679</v>
      </c>
      <c r="E284">
        <f si="54" t="shared"/>
        <v>261289.01645723512</v>
      </c>
      <c r="F284">
        <f si="54" t="shared"/>
        <v>1101441.8246395225</v>
      </c>
      <c r="N284" t="s">
        <v>23</v>
      </c>
      <c r="O284" t="n">
        <v>10513.434822825202</v>
      </c>
      <c r="P284" t="n">
        <v>156671.9005569253</v>
      </c>
      <c r="Q284" t="n">
        <v>672967.4728025368</v>
      </c>
      <c r="R284" t="n">
        <v>261289.01645723512</v>
      </c>
      <c r="S284">
        <f ref="S284:S291" si="55" t="shared">SUM(O284:R284)</f>
        <v>1101441.8246395225</v>
      </c>
    </row>
    <row r="285" spans="1:19" x14ac:dyDescent="0.2">
      <c r="A285" t="s">
        <v>24</v>
      </c>
      <c r="B285">
        <f si="54" t="shared"/>
        <v>6880.1322596654509</v>
      </c>
      <c r="C285">
        <f si="54" t="shared"/>
        <v>61427.865668394297</v>
      </c>
      <c r="D285">
        <f si="54" t="shared"/>
        <v>166486.06603288176</v>
      </c>
      <c r="E285">
        <f si="54" t="shared"/>
        <v>55617.542104511806</v>
      </c>
      <c r="F285">
        <f si="54" t="shared"/>
        <v>290411.60606545332</v>
      </c>
      <c r="N285" t="s">
        <v>24</v>
      </c>
      <c r="O285" t="n">
        <v>6880.132259665451</v>
      </c>
      <c r="P285" t="n">
        <v>61427.8656683943</v>
      </c>
      <c r="Q285" t="n">
        <v>166486.06603288176</v>
      </c>
      <c r="R285" t="n">
        <v>55617.542104511806</v>
      </c>
      <c r="S285">
        <f si="55" t="shared"/>
        <v>290411.60606545332</v>
      </c>
    </row>
    <row r="286" spans="1:19" x14ac:dyDescent="0.2">
      <c r="A286" t="s">
        <v>25</v>
      </c>
      <c r="B286">
        <f si="54" t="shared"/>
        <v>1970.565094727805</v>
      </c>
      <c r="C286">
        <f si="54" t="shared"/>
        <v>84810.642878216662</v>
      </c>
      <c r="D286">
        <f si="54" t="shared"/>
        <v>300667.79313324869</v>
      </c>
      <c r="E286">
        <f si="54" t="shared"/>
        <v>116345.57135749528</v>
      </c>
      <c r="F286">
        <f si="54" t="shared"/>
        <v>503794.57246368844</v>
      </c>
      <c r="N286" t="s">
        <v>25</v>
      </c>
      <c r="O286" t="n">
        <v>1970.565094727805</v>
      </c>
      <c r="P286" t="n">
        <v>84810.64287821666</v>
      </c>
      <c r="Q286" t="n">
        <v>300667.7931332487</v>
      </c>
      <c r="R286" t="n">
        <v>116345.57135749528</v>
      </c>
      <c r="S286">
        <f si="55" t="shared"/>
        <v>503794.57246368844</v>
      </c>
    </row>
    <row r="287" spans="1:19" x14ac:dyDescent="0.2">
      <c r="A287" t="s">
        <v>249</v>
      </c>
      <c r="B287">
        <f si="54" t="shared"/>
        <v>19573.589747005411</v>
      </c>
      <c r="C287">
        <f si="54" t="shared"/>
        <v>114957.37878673754</v>
      </c>
      <c r="D287">
        <f si="54" t="shared"/>
        <v>482648.44277850533</v>
      </c>
      <c r="E287">
        <f si="54" t="shared"/>
        <v>186270.52868220239</v>
      </c>
      <c r="F287">
        <f si="54" t="shared"/>
        <v>803449.93999445066</v>
      </c>
      <c r="N287" t="s">
        <v>249</v>
      </c>
      <c r="O287" t="n">
        <v>19573.58974700541</v>
      </c>
      <c r="P287" t="n">
        <v>114957.37878673754</v>
      </c>
      <c r="Q287" t="n">
        <v>482648.4427785053</v>
      </c>
      <c r="R287" t="n">
        <v>186270.5286822024</v>
      </c>
      <c r="S287">
        <f si="55" t="shared"/>
        <v>803449.93999445066</v>
      </c>
    </row>
    <row r="288" spans="1:19" x14ac:dyDescent="0.2">
      <c r="A288" t="s">
        <v>27</v>
      </c>
      <c r="B288">
        <f si="54" t="shared"/>
        <v>14432.473561836749</v>
      </c>
      <c r="C288">
        <f si="54" t="shared"/>
        <v>105009.72098622666</v>
      </c>
      <c r="D288">
        <f si="54" t="shared"/>
        <v>328940.82930461655</v>
      </c>
      <c r="E288">
        <f si="54" t="shared"/>
        <v>105169.00676751266</v>
      </c>
      <c r="F288">
        <f si="54" t="shared"/>
        <v>553552.03062019264</v>
      </c>
      <c r="N288" t="s">
        <v>27</v>
      </c>
      <c r="O288" t="n">
        <v>14432.473561836749</v>
      </c>
      <c r="P288" t="n">
        <v>105009.72098622666</v>
      </c>
      <c r="Q288" t="n">
        <v>328940.82930461655</v>
      </c>
      <c r="R288" t="n">
        <v>105169.00676751266</v>
      </c>
      <c r="S288">
        <f si="55" t="shared"/>
        <v>553552.03062019264</v>
      </c>
    </row>
    <row r="289" spans="1:25" x14ac:dyDescent="0.2">
      <c r="A289" t="s">
        <v>28</v>
      </c>
      <c r="B289">
        <f si="54" t="shared"/>
        <v>3514.6651915736743</v>
      </c>
      <c r="C289">
        <f si="54" t="shared"/>
        <v>48750.633969985407</v>
      </c>
      <c r="D289">
        <f si="54" t="shared"/>
        <v>184677.92026434586</v>
      </c>
      <c r="E289">
        <f si="54" t="shared"/>
        <v>78685.011249899646</v>
      </c>
      <c r="F289">
        <f si="54" t="shared"/>
        <v>315628.2306758046</v>
      </c>
      <c r="N289" t="s">
        <v>28</v>
      </c>
      <c r="O289" t="n">
        <v>3514.6651915736743</v>
      </c>
      <c r="P289" t="n">
        <v>48750.63396998541</v>
      </c>
      <c r="Q289" t="n">
        <v>184677.92026434586</v>
      </c>
      <c r="R289" t="n">
        <v>78685.01124989965</v>
      </c>
      <c r="S289">
        <f si="55" t="shared"/>
        <v>315628.2306758046</v>
      </c>
    </row>
    <row r="290" spans="1:25" x14ac:dyDescent="0.2">
      <c r="A290" t="s">
        <v>29</v>
      </c>
      <c r="B290">
        <f si="54" t="shared"/>
        <v>9159.3926286054684</v>
      </c>
      <c r="C290">
        <f si="54" t="shared"/>
        <v>59480.193557843428</v>
      </c>
      <c r="D290">
        <f si="54" t="shared"/>
        <v>274783.41599752661</v>
      </c>
      <c r="E290">
        <f si="54" t="shared"/>
        <v>109472.51288769745</v>
      </c>
      <c r="F290">
        <f si="54" t="shared"/>
        <v>452895.51507167297</v>
      </c>
      <c r="N290" t="s">
        <v>29</v>
      </c>
      <c r="O290" t="n">
        <v>9159.392628605468</v>
      </c>
      <c r="P290" t="n">
        <v>59480.19355784343</v>
      </c>
      <c r="Q290" t="n">
        <v>274783.4159975266</v>
      </c>
      <c r="R290" t="n">
        <v>109472.51288769745</v>
      </c>
      <c r="S290">
        <f si="55" t="shared"/>
        <v>452895.51507167297</v>
      </c>
    </row>
    <row r="291" spans="1:25" x14ac:dyDescent="0.2">
      <c r="A291" t="s">
        <v>38</v>
      </c>
      <c r="B291">
        <f si="54" t="shared"/>
        <v>42314.505244131724</v>
      </c>
      <c r="C291">
        <f si="54" t="shared"/>
        <v>344000.62895325973</v>
      </c>
      <c r="D291">
        <f si="54" t="shared"/>
        <v>1244085.5665978026</v>
      </c>
      <c r="E291">
        <f si="54" t="shared"/>
        <v>443787.1117251807</v>
      </c>
      <c r="F291">
        <f si="54" t="shared"/>
        <v>2074187.8125203748</v>
      </c>
      <c r="N291" t="s">
        <v>38</v>
      </c>
      <c r="O291" t="n">
        <v>42314.505244131724</v>
      </c>
      <c r="P291" t="n">
        <v>344000.62895325973</v>
      </c>
      <c r="Q291" t="n">
        <v>1244085.5665978026</v>
      </c>
      <c r="R291" t="n">
        <v>443787.1117251807</v>
      </c>
      <c r="S291">
        <f si="55" t="shared"/>
        <v>2074187.8125203748</v>
      </c>
    </row>
    <row r="293" spans="1:25" x14ac:dyDescent="0.2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2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2">
      <c r="A295" t="s">
        <v>23</v>
      </c>
      <c r="B295">
        <f ref="B295:L302" si="56" t="shared">O295*$B$1</f>
        <v>511207.12004111335</v>
      </c>
      <c r="C295">
        <f si="56" t="shared"/>
        <v>49866.133622168862</v>
      </c>
      <c r="D295">
        <f si="56" t="shared"/>
        <v>38324.46293587421</v>
      </c>
      <c r="E295">
        <f si="56" t="shared"/>
        <v>189088.05129381493</v>
      </c>
      <c r="F295">
        <f si="56" t="shared"/>
        <v>94958.901783980909</v>
      </c>
      <c r="G295">
        <f si="56" t="shared"/>
        <v>127646.22240651889</v>
      </c>
      <c r="H295">
        <f si="56" t="shared"/>
        <v>70670.26383603226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1081761.1559195034</v>
      </c>
      <c r="N295" t="s">
        <v>23</v>
      </c>
      <c r="O295" t="n">
        <v>511207.12004111335</v>
      </c>
      <c r="P295" t="n">
        <v>49866.13362216886</v>
      </c>
      <c r="Q295" t="n">
        <v>38324.46293587421</v>
      </c>
      <c r="R295" t="n">
        <v>189088.05129381493</v>
      </c>
      <c r="S295" t="n">
        <v>94958.90178398091</v>
      </c>
      <c r="T295" t="n">
        <v>127646.2224065189</v>
      </c>
      <c r="U295" t="n">
        <v>70670.26383603226</v>
      </c>
      <c r="V295" t="n">
        <v>0.0</v>
      </c>
      <c r="W295" t="n">
        <v>0.0</v>
      </c>
      <c r="X295" t="n">
        <v>0.0</v>
      </c>
      <c r="Y295">
        <f ref="Y295:Y302" si="57" t="shared">SUM(O295:X295)</f>
        <v>1081761.1559195034</v>
      </c>
    </row>
    <row r="296" spans="1:25" x14ac:dyDescent="0.2">
      <c r="A296" t="s">
        <v>24</v>
      </c>
      <c r="B296">
        <f si="56" t="shared"/>
        <v>99751.093498743125</v>
      </c>
      <c r="C296">
        <f si="56" t="shared"/>
        <v>17254.657702442193</v>
      </c>
      <c r="D296">
        <f si="56" t="shared"/>
        <v>11011.913442845032</v>
      </c>
      <c r="E296">
        <f si="56" t="shared"/>
        <v>60945.500702517245</v>
      </c>
      <c r="F296">
        <f si="56" t="shared"/>
        <v>25948.431493180473</v>
      </c>
      <c r="G296">
        <f si="56" t="shared"/>
        <v>51486.043063312405</v>
      </c>
      <c r="H296">
        <f si="56" t="shared"/>
        <v>22099.895982811195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288497.53588585166</v>
      </c>
      <c r="N296" t="s">
        <v>24</v>
      </c>
      <c r="O296" t="n">
        <v>99751.09349874312</v>
      </c>
      <c r="P296" t="n">
        <v>17254.657702442193</v>
      </c>
      <c r="Q296" t="n">
        <v>11011.913442845032</v>
      </c>
      <c r="R296" t="n">
        <v>60945.500702517245</v>
      </c>
      <c r="S296" t="n">
        <v>25948.431493180473</v>
      </c>
      <c r="T296" t="n">
        <v>51486.043063312405</v>
      </c>
      <c r="U296" t="n">
        <v>22099.895982811195</v>
      </c>
      <c r="V296" t="n">
        <v>0.0</v>
      </c>
      <c r="W296" t="n">
        <v>0.0</v>
      </c>
      <c r="X296" t="n">
        <v>0.0</v>
      </c>
      <c r="Y296">
        <f si="57" t="shared"/>
        <v>288497.53588585166</v>
      </c>
    </row>
    <row r="297" spans="1:25" x14ac:dyDescent="0.2">
      <c r="A297" t="s">
        <v>25</v>
      </c>
      <c r="B297">
        <f si="56" t="shared"/>
        <v>207959.21066484367</v>
      </c>
      <c r="C297">
        <f si="56" t="shared"/>
        <v>24301.01974086367</v>
      </c>
      <c r="D297">
        <f si="56" t="shared"/>
        <v>15870.2094247115</v>
      </c>
      <c r="E297">
        <f si="56" t="shared"/>
        <v>99390.352605531472</v>
      </c>
      <c r="F297">
        <f si="56" t="shared"/>
        <v>46475.058870733126</v>
      </c>
      <c r="G297">
        <f si="56" t="shared"/>
        <v>72152.490524269422</v>
      </c>
      <c r="H297">
        <f si="56" t="shared"/>
        <v>31838.721598634274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497987.06342958711</v>
      </c>
      <c r="N297" t="s">
        <v>25</v>
      </c>
      <c r="O297" t="n">
        <v>207959.21066484367</v>
      </c>
      <c r="P297" t="n">
        <v>24301.01974086367</v>
      </c>
      <c r="Q297" t="n">
        <v>15870.2094247115</v>
      </c>
      <c r="R297" t="n">
        <v>99390.35260553147</v>
      </c>
      <c r="S297" t="n">
        <v>46475.058870733126</v>
      </c>
      <c r="T297" t="n">
        <v>72152.49052426942</v>
      </c>
      <c r="U297" t="n">
        <v>31838.721598634274</v>
      </c>
      <c r="V297" t="n">
        <v>0.0</v>
      </c>
      <c r="W297" t="n">
        <v>0.0</v>
      </c>
      <c r="X297" t="n">
        <v>0.0</v>
      </c>
      <c r="Y297">
        <f si="57" t="shared"/>
        <v>497987.06342958711</v>
      </c>
    </row>
    <row r="298" spans="1:25" x14ac:dyDescent="0.2">
      <c r="A298" t="s">
        <v>249</v>
      </c>
      <c r="B298">
        <f si="56" t="shared"/>
        <v>298051.88037438132</v>
      </c>
      <c r="C298">
        <f si="56" t="shared"/>
        <v>40878.401584771629</v>
      </c>
      <c r="D298">
        <f si="56" t="shared"/>
        <v>27765.548785766583</v>
      </c>
      <c r="E298">
        <f si="56" t="shared"/>
        <v>154954.96622590296</v>
      </c>
      <c r="F298">
        <f si="56" t="shared"/>
        <v>86872.05847934843</v>
      </c>
      <c r="G298">
        <f si="56" t="shared"/>
        <v>113910.43929292825</v>
      </c>
      <c r="H298">
        <f si="56" t="shared"/>
        <v>68611.764154820004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791045.05889791914</v>
      </c>
      <c r="N298" t="s">
        <v>249</v>
      </c>
      <c r="O298" t="n">
        <v>298051.8803743813</v>
      </c>
      <c r="P298" t="n">
        <v>40878.40158477163</v>
      </c>
      <c r="Q298" t="n">
        <v>27765.548785766583</v>
      </c>
      <c r="R298" t="n">
        <v>154954.96622590296</v>
      </c>
      <c r="S298" t="n">
        <v>86872.05847934843</v>
      </c>
      <c r="T298" t="n">
        <v>113910.43929292825</v>
      </c>
      <c r="U298" t="n">
        <v>68611.76415482</v>
      </c>
      <c r="V298" t="n">
        <v>0.0</v>
      </c>
      <c r="W298" t="n">
        <v>0.0</v>
      </c>
      <c r="X298" t="n">
        <v>0.0</v>
      </c>
      <c r="Y298">
        <f si="57" t="shared"/>
        <v>791045.05889791914</v>
      </c>
    </row>
    <row r="299" spans="1:25" x14ac:dyDescent="0.2">
      <c r="A299" t="s">
        <v>27</v>
      </c>
      <c r="B299">
        <f si="56" t="shared"/>
        <v>211923.76630540256</v>
      </c>
      <c r="C299">
        <f si="56" t="shared"/>
        <v>26276.194384060611</v>
      </c>
      <c r="D299">
        <f si="56" t="shared"/>
        <v>17103.907990723375</v>
      </c>
      <c r="E299">
        <f si="56" t="shared"/>
        <v>104468.01397979571</v>
      </c>
      <c r="F299">
        <f si="56" t="shared"/>
        <v>55371.690208055516</v>
      </c>
      <c r="G299">
        <f si="56" t="shared"/>
        <v>87396.419562422336</v>
      </c>
      <c r="H299">
        <f si="56" t="shared"/>
        <v>42442.053757484937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544982.04618794506</v>
      </c>
      <c r="N299" t="s">
        <v>27</v>
      </c>
      <c r="O299" t="n">
        <v>211923.76630540256</v>
      </c>
      <c r="P299" t="n">
        <v>26276.19438406061</v>
      </c>
      <c r="Q299" t="n">
        <v>17103.907990723375</v>
      </c>
      <c r="R299" t="n">
        <v>104468.01397979571</v>
      </c>
      <c r="S299" t="n">
        <v>55371.690208055516</v>
      </c>
      <c r="T299" t="n">
        <v>87396.41956242234</v>
      </c>
      <c r="U299" t="n">
        <v>42442.05375748494</v>
      </c>
      <c r="V299" t="n">
        <v>0.0</v>
      </c>
      <c r="W299" t="n">
        <v>0.0</v>
      </c>
      <c r="X299" t="n">
        <v>0.0</v>
      </c>
      <c r="Y299">
        <f si="57" t="shared"/>
        <v>544982.04618794506</v>
      </c>
    </row>
    <row r="300" spans="1:25" x14ac:dyDescent="0.2">
      <c r="A300" t="s">
        <v>28</v>
      </c>
      <c r="B300">
        <f si="56" t="shared"/>
        <v>141177.28052750998</v>
      </c>
      <c r="C300">
        <f si="56" t="shared"/>
        <v>9074.0693046939286</v>
      </c>
      <c r="D300">
        <f si="56" t="shared"/>
        <v>8192.9133962023643</v>
      </c>
      <c r="E300">
        <f si="56" t="shared"/>
        <v>47931.069404802794</v>
      </c>
      <c r="F300">
        <f si="56" t="shared"/>
        <v>29197.775110348324</v>
      </c>
      <c r="G300">
        <f si="56" t="shared"/>
        <v>48305.897461168548</v>
      </c>
      <c r="H300">
        <f si="56" t="shared"/>
        <v>23501.855161491614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307380.86036621756</v>
      </c>
      <c r="N300" t="s">
        <v>28</v>
      </c>
      <c r="O300" t="n">
        <v>141177.28052750998</v>
      </c>
      <c r="P300" t="n">
        <v>9074.069304693929</v>
      </c>
      <c r="Q300" t="n">
        <v>8192.913396202364</v>
      </c>
      <c r="R300" t="n">
        <v>47931.069404802794</v>
      </c>
      <c r="S300" t="n">
        <v>29197.775110348324</v>
      </c>
      <c r="T300" t="n">
        <v>48305.89746116855</v>
      </c>
      <c r="U300" t="n">
        <v>23501.855161491614</v>
      </c>
      <c r="V300" t="n">
        <v>0.0</v>
      </c>
      <c r="W300" t="n">
        <v>0.0</v>
      </c>
      <c r="X300" t="n">
        <v>0.0</v>
      </c>
      <c r="Y300">
        <f si="57" t="shared"/>
        <v>307380.86036621756</v>
      </c>
    </row>
    <row r="301" spans="1:25" x14ac:dyDescent="0.2">
      <c r="A301" t="s">
        <v>29</v>
      </c>
      <c r="B301">
        <f si="56" t="shared"/>
        <v>182154.68952716532</v>
      </c>
      <c r="C301">
        <f si="56" t="shared"/>
        <v>17613.986228651247</v>
      </c>
      <c r="D301">
        <f si="56" t="shared"/>
        <v>16073.83994124498</v>
      </c>
      <c r="E301">
        <f si="56" t="shared"/>
        <v>81259.347284962249</v>
      </c>
      <c r="F301">
        <f si="56" t="shared"/>
        <v>54373.922153385254</v>
      </c>
      <c r="G301">
        <f si="56" t="shared"/>
        <v>67914.463855315742</v>
      </c>
      <c r="H301">
        <f si="56" t="shared"/>
        <v>28701.48254022207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448091.73153094685</v>
      </c>
      <c r="N301" t="s">
        <v>29</v>
      </c>
      <c r="O301" t="n">
        <v>182154.68952716532</v>
      </c>
      <c r="P301" t="n">
        <v>17613.986228651247</v>
      </c>
      <c r="Q301" t="n">
        <v>16073.83994124498</v>
      </c>
      <c r="R301" t="n">
        <v>81259.34728496225</v>
      </c>
      <c r="S301" t="n">
        <v>54373.922153385254</v>
      </c>
      <c r="T301" t="n">
        <v>67914.46385531574</v>
      </c>
      <c r="U301" t="n">
        <v>28701.48254022207</v>
      </c>
      <c r="V301" t="n">
        <v>0.0</v>
      </c>
      <c r="W301" t="n">
        <v>0.0</v>
      </c>
      <c r="X301" t="n">
        <v>0.0</v>
      </c>
      <c r="Y301">
        <f si="57" t="shared"/>
        <v>448091.73153094685</v>
      </c>
    </row>
    <row r="302" spans="1:25" x14ac:dyDescent="0.2">
      <c r="A302" t="s">
        <v>38</v>
      </c>
      <c r="B302">
        <f si="56" t="shared"/>
        <v>901124.12668545195</v>
      </c>
      <c r="C302">
        <f si="56" t="shared"/>
        <v>98427.14002898497</v>
      </c>
      <c r="D302">
        <f si="56" t="shared"/>
        <v>68895.189606254149</v>
      </c>
      <c r="E302">
        <f si="56" t="shared"/>
        <v>359149.64435639419</v>
      </c>
      <c r="F302">
        <f si="56" t="shared"/>
        <v>198443.43782782598</v>
      </c>
      <c r="G302">
        <f si="56" t="shared"/>
        <v>273513.84888414794</v>
      </c>
      <c r="H302">
        <f si="56" t="shared"/>
        <v>134439.72601684622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2033993.1134059054</v>
      </c>
      <c r="N302" t="s">
        <v>38</v>
      </c>
      <c r="O302" t="n">
        <v>901124.126685452</v>
      </c>
      <c r="P302" t="n">
        <v>98427.14002898497</v>
      </c>
      <c r="Q302" t="n">
        <v>68895.18960625415</v>
      </c>
      <c r="R302" t="n">
        <v>359149.6443563942</v>
      </c>
      <c r="S302" t="n">
        <v>198443.43782782598</v>
      </c>
      <c r="T302" t="n">
        <v>273513.84888414794</v>
      </c>
      <c r="U302" t="n">
        <v>134439.72601684622</v>
      </c>
      <c r="V302" t="n">
        <v>0.0</v>
      </c>
      <c r="W302" t="n">
        <v>0.0</v>
      </c>
      <c r="X302" t="n">
        <v>0.0</v>
      </c>
      <c r="Y302">
        <f si="57" t="shared"/>
        <v>2033993.1134059054</v>
      </c>
    </row>
    <row r="304" spans="1:25" x14ac:dyDescent="0.2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2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2">
      <c r="A306" t="s">
        <v>234</v>
      </c>
      <c r="B306">
        <f ref="B306:B313" si="58" t="shared">O306*$B$1</f>
        <v>852014.9999999993</v>
      </c>
      <c r="N306" t="s">
        <v>234</v>
      </c>
      <c r="O306" t="n">
        <v>852014.9999999993</v>
      </c>
    </row>
    <row r="307" spans="1:15" x14ac:dyDescent="0.2">
      <c r="A307" t="s">
        <v>235</v>
      </c>
      <c r="B307">
        <f si="58" t="shared"/>
        <v>108625</v>
      </c>
      <c r="N307" t="s">
        <v>235</v>
      </c>
      <c r="O307" t="n">
        <v>108625.0</v>
      </c>
    </row>
    <row r="308" spans="1:15" x14ac:dyDescent="0.2">
      <c r="A308" t="s">
        <v>14</v>
      </c>
      <c r="B308">
        <f si="58" t="shared"/>
        <v>215410.00000000029</v>
      </c>
      <c r="N308" t="s">
        <v>14</v>
      </c>
      <c r="O308" t="n">
        <v>215410.0000000003</v>
      </c>
    </row>
    <row r="309" spans="1:15" x14ac:dyDescent="0.2">
      <c r="A309" t="s">
        <v>15</v>
      </c>
      <c r="B309">
        <f si="58" t="shared"/>
        <v>202915.0000000002</v>
      </c>
      <c r="N309" t="s">
        <v>15</v>
      </c>
      <c r="O309" t="n">
        <v>202915.0000000002</v>
      </c>
    </row>
    <row r="310" spans="1:15" x14ac:dyDescent="0.2">
      <c r="A310" t="s">
        <v>236</v>
      </c>
      <c r="B310">
        <f si="58" t="shared"/>
        <v>64632.999999999993</v>
      </c>
      <c r="N310" t="s">
        <v>236</v>
      </c>
      <c r="O310" t="n">
        <v>64632.99999999999</v>
      </c>
    </row>
    <row r="311" spans="1:15" x14ac:dyDescent="0.2">
      <c r="A311" t="s">
        <v>237</v>
      </c>
      <c r="B311">
        <f si="58" t="shared"/>
        <v>55502.000000000007</v>
      </c>
      <c r="N311" t="s">
        <v>237</v>
      </c>
      <c r="O311" t="n">
        <v>55502.00000000001</v>
      </c>
    </row>
    <row r="312" spans="1:15" x14ac:dyDescent="0.2">
      <c r="A312" t="s">
        <v>238</v>
      </c>
      <c r="B312">
        <f si="58" t="shared"/>
        <v>267121.00000000006</v>
      </c>
      <c r="N312" t="s">
        <v>238</v>
      </c>
      <c r="O312" t="n">
        <v>267121.00000000006</v>
      </c>
    </row>
    <row r="313" spans="1:15" x14ac:dyDescent="0.2">
      <c r="A313" t="s">
        <v>239</v>
      </c>
      <c r="B313">
        <f si="58" t="shared"/>
        <v>0</v>
      </c>
      <c r="N313" t="s">
        <v>239</v>
      </c>
      <c r="O313" t="n">
        <v>0.0</v>
      </c>
    </row>
    <row r="315" spans="1:15" x14ac:dyDescent="0.2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2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2">
      <c r="A317" t="s">
        <v>182</v>
      </c>
      <c r="B317">
        <f>O317*$B$1</f>
        <v>52642.63273887401</v>
      </c>
      <c r="N317" t="s">
        <v>182</v>
      </c>
      <c r="O317" s="220" t="n">
        <v>52642.63273887401</v>
      </c>
    </row>
    <row r="318" spans="1:15" x14ac:dyDescent="0.2">
      <c r="A318" t="s">
        <v>183</v>
      </c>
      <c r="B318">
        <f>O318*$B$1</f>
        <v>465116.39388516947</v>
      </c>
      <c r="N318" t="s">
        <v>183</v>
      </c>
      <c r="O318" s="220" t="n">
        <v>465116.39388516947</v>
      </c>
    </row>
    <row r="319" spans="1:15" x14ac:dyDescent="0.2">
      <c r="A319" t="s">
        <v>184</v>
      </c>
      <c r="B319">
        <f>O319*$B$1</f>
        <v>354363.57349479233</v>
      </c>
      <c r="N319" t="s">
        <v>184</v>
      </c>
      <c r="O319" s="220" t="n">
        <v>354363.57349479233</v>
      </c>
    </row>
    <row r="320" spans="1:15" x14ac:dyDescent="0.2">
      <c r="A320" t="s">
        <v>276</v>
      </c>
      <c r="B320">
        <f>O320*$B$1</f>
        <v>654986.77908716607</v>
      </c>
      <c r="N320" t="s">
        <v>276</v>
      </c>
      <c r="O320" s="220" t="n">
        <v>654986.7790871661</v>
      </c>
    </row>
    <row r="322" spans="1:16" x14ac:dyDescent="0.2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2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2">
      <c r="A324" t="s">
        <v>193</v>
      </c>
      <c r="B324">
        <f>O324*$B$1</f>
        <v>53499.322307846342</v>
      </c>
      <c r="N324" t="s">
        <v>193</v>
      </c>
      <c r="O324" s="220" t="n">
        <v>53499.32230784634</v>
      </c>
    </row>
    <row r="325" spans="1:16" x14ac:dyDescent="0.2">
      <c r="A325" t="s">
        <v>279</v>
      </c>
      <c r="B325">
        <f>O325*$B$1</f>
        <v>321887.45525557804</v>
      </c>
      <c r="N325" t="s">
        <v>279</v>
      </c>
      <c r="O325" s="220" t="n">
        <v>321887.45525557804</v>
      </c>
    </row>
    <row r="326" spans="1:16" x14ac:dyDescent="0.2">
      <c r="A326" t="s">
        <v>280</v>
      </c>
      <c r="B326">
        <f>O326*$B$1</f>
        <v>1027057.240466507</v>
      </c>
      <c r="N326" t="s">
        <v>280</v>
      </c>
      <c r="O326" s="220" t="n">
        <v>1027057.240466507</v>
      </c>
    </row>
    <row r="327" spans="1:16" x14ac:dyDescent="0.2">
      <c r="A327" t="s">
        <v>281</v>
      </c>
      <c r="B327">
        <f>O327*$B$1</f>
        <v>363776.98197006836</v>
      </c>
      <c r="N327" t="s">
        <v>281</v>
      </c>
      <c r="O327" s="220" t="n">
        <v>363776.98197006836</v>
      </c>
    </row>
    <row r="329" spans="1:16" x14ac:dyDescent="0.2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2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2">
      <c r="A331">
        <v>1</v>
      </c>
      <c r="B331">
        <f ref="B331:B340" si="59" t="shared">O331*$B$1</f>
        <v>653169.10305177723</v>
      </c>
      <c r="N331">
        <v>1</v>
      </c>
      <c r="O331" s="220" t="n">
        <v>653169.1030517772</v>
      </c>
    </row>
    <row r="332" spans="1:16" x14ac:dyDescent="0.2">
      <c r="A332">
        <v>2</v>
      </c>
      <c r="B332">
        <f si="59" t="shared"/>
        <v>103500.99999999993</v>
      </c>
      <c r="N332">
        <v>2</v>
      </c>
      <c r="O332" s="220" t="n">
        <v>103500.99999999993</v>
      </c>
    </row>
    <row r="333" spans="1:16" x14ac:dyDescent="0.2">
      <c r="A333">
        <v>3</v>
      </c>
      <c r="B333">
        <f si="59" t="shared"/>
        <v>72126.842960679831</v>
      </c>
      <c r="N333">
        <v>3</v>
      </c>
      <c r="O333" s="220" t="n">
        <v>72126.84296067983</v>
      </c>
    </row>
    <row r="334" spans="1:16" x14ac:dyDescent="0.2">
      <c r="A334">
        <v>4</v>
      </c>
      <c r="B334">
        <f si="59" t="shared"/>
        <v>339467.00000000047</v>
      </c>
      <c r="N334">
        <v>4</v>
      </c>
      <c r="O334" s="220" t="n">
        <v>339467.00000000047</v>
      </c>
    </row>
    <row r="335" spans="1:16" x14ac:dyDescent="0.2">
      <c r="A335">
        <v>5</v>
      </c>
      <c r="B335">
        <f si="59" t="shared"/>
        <v>193840.00865513986</v>
      </c>
      <c r="N335">
        <v>5</v>
      </c>
      <c r="O335" s="220" t="n">
        <v>193840.00865513986</v>
      </c>
    </row>
    <row r="336" spans="1:16" x14ac:dyDescent="0.2">
      <c r="A336">
        <v>6</v>
      </c>
      <c r="B336">
        <f si="59" t="shared"/>
        <v>251106.05398754237</v>
      </c>
      <c r="N336">
        <v>6</v>
      </c>
      <c r="O336" s="220" t="n">
        <v>251106.05398754237</v>
      </c>
    </row>
    <row r="337" spans="1:22" x14ac:dyDescent="0.2">
      <c r="A337">
        <v>7</v>
      </c>
      <c r="B337">
        <f si="59" t="shared"/>
        <v>153010.99134486017</v>
      </c>
      <c r="N337">
        <v>7</v>
      </c>
      <c r="O337" t="n">
        <v>153010.99134486017</v>
      </c>
    </row>
    <row r="338" spans="1:22" x14ac:dyDescent="0.2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2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2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2">
      <c r="A342" s="31" t="s">
        <v>300</v>
      </c>
      <c r="N342" s="31" t="s">
        <v>300</v>
      </c>
    </row>
    <row r="343" spans="1:22" x14ac:dyDescent="0.2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2">
      <c r="A344" s="31" t="s">
        <v>46</v>
      </c>
      <c r="B344">
        <f ref="B344:H351" si="60" t="shared">O344*$B$1</f>
        <v>1314369.0722889169</v>
      </c>
      <c r="C344">
        <f si="60" t="shared"/>
        <v>1673140.3701550292</v>
      </c>
      <c r="D344">
        <f si="60" t="shared"/>
        <v>1653457.8953034473</v>
      </c>
      <c r="E344">
        <f si="60" t="shared"/>
        <v>1626434.8494628125</v>
      </c>
      <c r="F344">
        <f si="60" t="shared"/>
        <v>1668793.266243675</v>
      </c>
      <c r="G344">
        <f si="60" t="shared"/>
        <v>1699795.9478483328</v>
      </c>
      <c r="H344">
        <f si="60" t="shared"/>
        <v>1635573.9240106684</v>
      </c>
      <c r="I344">
        <f ref="I344:I351" si="61" t="shared">SUM(B344:H344)</f>
        <v>11271565.325312881</v>
      </c>
      <c r="N344" s="31" t="s">
        <v>46</v>
      </c>
      <c r="O344" t="n">
        <v>1314369.072288917</v>
      </c>
      <c r="P344" t="n">
        <v>1673140.3701550292</v>
      </c>
      <c r="Q344" t="n">
        <v>1653457.8953034473</v>
      </c>
      <c r="R344" t="n">
        <v>1626434.8494628125</v>
      </c>
      <c r="S344" t="n">
        <v>1668793.266243675</v>
      </c>
      <c r="T344" t="n">
        <v>1699795.9478483328</v>
      </c>
      <c r="U344" t="n">
        <v>1635573.9240106684</v>
      </c>
    </row>
    <row r="345" spans="1:22" x14ac:dyDescent="0.2">
      <c r="A345" s="31" t="s">
        <v>23</v>
      </c>
      <c r="B345">
        <f si="60" t="shared"/>
        <v>22723.36519792</v>
      </c>
      <c r="C345">
        <f si="60" t="shared"/>
        <v>1730.0701088613382</v>
      </c>
      <c r="D345">
        <f si="60" t="shared"/>
        <v>256.76518051688561</v>
      </c>
      <c r="E345">
        <f si="60" t="shared"/>
        <v>960.30052579126527</v>
      </c>
      <c r="F345">
        <f si="60" t="shared"/>
        <v>1379.7879591957819</v>
      </c>
      <c r="G345">
        <f si="60" t="shared"/>
        <v>1617.3828014641474</v>
      </c>
      <c r="H345">
        <f si="60" t="shared"/>
        <v>1094.4894888648087</v>
      </c>
      <c r="I345">
        <f si="61" t="shared"/>
        <v>29762.161262614231</v>
      </c>
      <c r="N345" s="31" t="s">
        <v>23</v>
      </c>
      <c r="O345" t="n">
        <v>22723.36519792</v>
      </c>
      <c r="P345" t="n">
        <v>1730.0701088613382</v>
      </c>
      <c r="Q345" t="n">
        <v>256.7651805168856</v>
      </c>
      <c r="R345" t="n">
        <v>960.3005257912653</v>
      </c>
      <c r="S345" t="n">
        <v>1379.787959195782</v>
      </c>
      <c r="T345" t="n">
        <v>1617.3828014641474</v>
      </c>
      <c r="U345" t="n">
        <v>1094.4894888648087</v>
      </c>
    </row>
    <row r="346" spans="1:22" x14ac:dyDescent="0.2">
      <c r="A346" s="31" t="s">
        <v>24</v>
      </c>
      <c r="B346">
        <f si="60" t="shared"/>
        <v>2404.8230142671796</v>
      </c>
      <c r="C346">
        <f si="60" t="shared"/>
        <v>5264.7771873797401</v>
      </c>
      <c r="D346">
        <f si="60" t="shared"/>
        <v>0</v>
      </c>
      <c r="E346">
        <f si="60" t="shared"/>
        <v>0</v>
      </c>
      <c r="F346">
        <f si="60" t="shared"/>
        <v>160.22400959608299</v>
      </c>
      <c r="G346">
        <f si="60" t="shared"/>
        <v>0</v>
      </c>
      <c r="H346">
        <f si="60" t="shared"/>
        <v>0</v>
      </c>
      <c r="I346">
        <f si="61" t="shared"/>
        <v>7829.8242112430025</v>
      </c>
      <c r="N346" s="31" t="s">
        <v>24</v>
      </c>
      <c r="O346" t="n">
        <v>2404.8230142671796</v>
      </c>
      <c r="P346" t="n">
        <v>5264.77718737974</v>
      </c>
      <c r="Q346" t="n">
        <v>0.0</v>
      </c>
      <c r="R346" t="n">
        <v>0.0</v>
      </c>
      <c r="S346" t="n">
        <v>160.224009596083</v>
      </c>
      <c r="T346" t="n">
        <v>0.0</v>
      </c>
      <c r="U346" t="n">
        <v>0.0</v>
      </c>
    </row>
    <row r="347" spans="1:22" x14ac:dyDescent="0.2">
      <c r="A347" s="31" t="s">
        <v>25</v>
      </c>
      <c r="B347">
        <f si="60" t="shared"/>
        <v>56664.491318322885</v>
      </c>
      <c r="C347">
        <f si="60" t="shared"/>
        <v>14333.543021949225</v>
      </c>
      <c r="D347">
        <f si="60" t="shared"/>
        <v>10466.530025608597</v>
      </c>
      <c r="E347">
        <f si="60" t="shared"/>
        <v>7215.7187975204215</v>
      </c>
      <c r="F347">
        <f si="60" t="shared"/>
        <v>327.45978299499006</v>
      </c>
      <c r="G347">
        <f si="60" t="shared"/>
        <v>457.09580894600367</v>
      </c>
      <c r="H347">
        <f si="60" t="shared"/>
        <v>6551.6438702360929</v>
      </c>
      <c r="I347">
        <f si="61" t="shared"/>
        <v>96016.48262557821</v>
      </c>
      <c r="N347" s="31" t="s">
        <v>25</v>
      </c>
      <c r="O347" t="n">
        <v>56664.491318322885</v>
      </c>
      <c r="P347" t="n">
        <v>14333.543021949225</v>
      </c>
      <c r="Q347" t="n">
        <v>10466.530025608597</v>
      </c>
      <c r="R347" t="n">
        <v>7215.7187975204215</v>
      </c>
      <c r="S347" t="n">
        <v>327.45978299499006</v>
      </c>
      <c r="T347" t="n">
        <v>457.0958089460037</v>
      </c>
      <c r="U347" t="n">
        <v>6551.643870236093</v>
      </c>
    </row>
    <row r="348" spans="1:22" x14ac:dyDescent="0.2">
      <c r="A348" s="31" t="s">
        <v>249</v>
      </c>
      <c r="B348">
        <f si="60" t="shared"/>
        <v>98996.129654174263</v>
      </c>
      <c r="C348">
        <f si="60" t="shared"/>
        <v>21351.61379151107</v>
      </c>
      <c r="D348">
        <f si="60" t="shared"/>
        <v>24583.985820362435</v>
      </c>
      <c r="E348">
        <f si="60" t="shared"/>
        <v>42749.607195252363</v>
      </c>
      <c r="F348">
        <f si="60" t="shared"/>
        <v>28563.217798002541</v>
      </c>
      <c r="G348">
        <f si="60" t="shared"/>
        <v>21630.273754568629</v>
      </c>
      <c r="H348">
        <f si="60" t="shared"/>
        <v>29452.828651620814</v>
      </c>
      <c r="I348">
        <f si="61" t="shared"/>
        <v>267327.6566654921</v>
      </c>
      <c r="N348" s="31" t="s">
        <v>249</v>
      </c>
      <c r="O348" t="n">
        <v>98996.12965417426</v>
      </c>
      <c r="P348" t="n">
        <v>21351.61379151107</v>
      </c>
      <c r="Q348" t="n">
        <v>24583.985820362435</v>
      </c>
      <c r="R348" t="n">
        <v>42749.60719525236</v>
      </c>
      <c r="S348" t="n">
        <v>28563.21779800254</v>
      </c>
      <c r="T348" t="n">
        <v>21630.27375456863</v>
      </c>
      <c r="U348" t="n">
        <v>29452.828651620814</v>
      </c>
    </row>
    <row r="349" spans="1:22" x14ac:dyDescent="0.2">
      <c r="A349" s="31" t="s">
        <v>27</v>
      </c>
      <c r="B349">
        <f si="60" t="shared"/>
        <v>94492.733316782891</v>
      </c>
      <c r="C349">
        <f si="60" t="shared"/>
        <v>13141.457833215347</v>
      </c>
      <c r="D349">
        <f si="60" t="shared"/>
        <v>27009.413349041959</v>
      </c>
      <c r="E349">
        <f si="60" t="shared"/>
        <v>39417.516072323349</v>
      </c>
      <c r="F349">
        <f si="60" t="shared"/>
        <v>37507.515423024372</v>
      </c>
      <c r="G349">
        <f si="60" t="shared"/>
        <v>15975.994268472419</v>
      </c>
      <c r="H349">
        <f si="60" t="shared"/>
        <v>38529.641239967452</v>
      </c>
      <c r="I349">
        <f si="61" t="shared"/>
        <v>266074.27150282776</v>
      </c>
      <c r="N349" s="31" t="s">
        <v>27</v>
      </c>
      <c r="O349" t="n">
        <v>94492.73331678289</v>
      </c>
      <c r="P349" t="n">
        <v>13141.457833215347</v>
      </c>
      <c r="Q349" t="n">
        <v>27009.41334904196</v>
      </c>
      <c r="R349" t="n">
        <v>39417.51607232335</v>
      </c>
      <c r="S349" t="n">
        <v>37507.51542302437</v>
      </c>
      <c r="T349" t="n">
        <v>15975.99426847242</v>
      </c>
      <c r="U349" t="n">
        <v>38529.64123996745</v>
      </c>
    </row>
    <row r="350" spans="1:22" x14ac:dyDescent="0.2">
      <c r="A350" s="31" t="s">
        <v>28</v>
      </c>
      <c r="B350">
        <f si="60" t="shared"/>
        <v>105041.63147994311</v>
      </c>
      <c r="C350">
        <f si="60" t="shared"/>
        <v>7683.5878220315753</v>
      </c>
      <c r="D350">
        <f si="60" t="shared"/>
        <v>16442.796200721059</v>
      </c>
      <c r="E350">
        <f si="60" t="shared"/>
        <v>26016.680304324051</v>
      </c>
      <c r="F350">
        <f si="60" t="shared"/>
        <v>17047.663690978672</v>
      </c>
      <c r="G350">
        <f si="60" t="shared"/>
        <v>10873.717864460134</v>
      </c>
      <c r="H350">
        <f si="60" t="shared"/>
        <v>25356.675036126879</v>
      </c>
      <c r="I350">
        <f si="61" t="shared"/>
        <v>208462.75239858549</v>
      </c>
      <c r="N350" s="31" t="s">
        <v>28</v>
      </c>
      <c r="O350" t="n">
        <v>105041.63147994311</v>
      </c>
      <c r="P350" t="n">
        <v>7683.587822031575</v>
      </c>
      <c r="Q350" t="n">
        <v>16442.79620072106</v>
      </c>
      <c r="R350" t="n">
        <v>26016.68030432405</v>
      </c>
      <c r="S350" t="n">
        <v>17047.663690978672</v>
      </c>
      <c r="T350" t="n">
        <v>10873.717864460134</v>
      </c>
      <c r="U350" t="n">
        <v>25356.67503612688</v>
      </c>
    </row>
    <row r="351" spans="1:22" x14ac:dyDescent="0.2">
      <c r="A351" s="31" t="s">
        <v>29</v>
      </c>
      <c r="B351">
        <f si="60" t="shared"/>
        <v>71528.753729672739</v>
      </c>
      <c r="C351">
        <f si="60" t="shared"/>
        <v>29575.580080022279</v>
      </c>
      <c r="D351">
        <f si="60" t="shared"/>
        <v>34003.614120301689</v>
      </c>
      <c r="E351">
        <f si="60" t="shared"/>
        <v>23426.327641975859</v>
      </c>
      <c r="F351">
        <f si="60" t="shared"/>
        <v>12441.865092532353</v>
      </c>
      <c r="G351">
        <f si="60" t="shared"/>
        <v>15870.587653755669</v>
      </c>
      <c r="H351">
        <f si="60" t="shared"/>
        <v>29661.797702515487</v>
      </c>
      <c r="I351">
        <f si="61" t="shared"/>
        <v>216508.5260207761</v>
      </c>
      <c r="N351" s="31" t="s">
        <v>29</v>
      </c>
      <c r="O351" t="n">
        <v>71528.75372967274</v>
      </c>
      <c r="P351" t="n">
        <v>29575.58008002228</v>
      </c>
      <c r="Q351" t="n">
        <v>34003.61412030169</v>
      </c>
      <c r="R351" t="n">
        <v>23426.32764197586</v>
      </c>
      <c r="S351" t="n">
        <v>12441.865092532353</v>
      </c>
      <c r="T351" t="n">
        <v>15870.587653755669</v>
      </c>
      <c r="U351" t="n">
        <v>29661.797702515487</v>
      </c>
    </row>
    <row r="352" spans="1:22" x14ac:dyDescent="0.2">
      <c r="A352" s="31" t="s">
        <v>240</v>
      </c>
      <c r="B352">
        <f ref="B352:I352" si="62" t="shared">SUM(B344:B351)</f>
        <v>1766221</v>
      </c>
      <c r="C352">
        <f si="62" t="shared"/>
        <v>1766221</v>
      </c>
      <c r="D352">
        <f si="62" t="shared"/>
        <v>1766221</v>
      </c>
      <c r="E352">
        <f si="62" t="shared"/>
        <v>1766220.9999999998</v>
      </c>
      <c r="F352">
        <f si="62" t="shared"/>
        <v>1766220.9999999995</v>
      </c>
      <c r="G352">
        <f si="62" t="shared"/>
        <v>1766220.9999999995</v>
      </c>
      <c r="H352">
        <f si="62" t="shared"/>
        <v>1766221</v>
      </c>
      <c r="I352">
        <f si="62" t="shared"/>
        <v>12363547</v>
      </c>
    </row>
    <row r="354" spans="1:21" x14ac:dyDescent="0.2">
      <c r="A354" s="31" t="s">
        <v>302</v>
      </c>
      <c r="B354" s="31"/>
      <c r="N354" s="31" t="s">
        <v>302</v>
      </c>
      <c r="O354" s="31"/>
    </row>
    <row r="355" spans="1:21" x14ac:dyDescent="0.2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2">
      <c r="A356" s="31" t="s">
        <v>23</v>
      </c>
      <c r="B356" s="216">
        <f ref="B356:H362" si="63" t="shared">O356*$B$1</f>
        <v>828136.22620000003</v>
      </c>
      <c r="C356" s="216">
        <f si="63" t="shared"/>
        <v>0</v>
      </c>
      <c r="D356" s="216">
        <f si="63" t="shared"/>
        <v>0</v>
      </c>
      <c r="E356" s="216">
        <f si="63" t="shared"/>
        <v>0</v>
      </c>
      <c r="F356" s="216">
        <f si="63" t="shared"/>
        <v>0</v>
      </c>
      <c r="G356" s="216">
        <f si="63" t="shared"/>
        <v>0</v>
      </c>
      <c r="H356" s="216">
        <f si="63" t="shared"/>
        <v>0</v>
      </c>
      <c r="I356" s="221">
        <f ref="I356:I363" si="64" t="shared">SUM(B356:H356)</f>
        <v>828136.22620000003</v>
      </c>
      <c r="N356" s="31" t="s">
        <v>23</v>
      </c>
      <c r="O356" s="216">
        <v>828136.22620000003</v>
      </c>
      <c r="P356" s="216"/>
      <c r="Q356" s="216"/>
      <c r="R356" s="216"/>
      <c r="S356" s="216"/>
      <c r="T356" s="216"/>
      <c r="U356" s="216"/>
    </row>
    <row r="357" spans="1:21" x14ac:dyDescent="0.2">
      <c r="A357" s="31" t="s">
        <v>24</v>
      </c>
      <c r="B357" s="216">
        <f si="63" t="shared"/>
        <v>7737.3564999999999</v>
      </c>
      <c r="C357" s="216">
        <f si="63" t="shared"/>
        <v>863789.81160000002</v>
      </c>
      <c r="D357" s="216">
        <f si="63" t="shared"/>
        <v>0</v>
      </c>
      <c r="E357" s="216">
        <f si="63" t="shared"/>
        <v>0</v>
      </c>
      <c r="F357" s="216">
        <f si="63" t="shared"/>
        <v>0</v>
      </c>
      <c r="G357" s="216">
        <f si="63" t="shared"/>
        <v>0</v>
      </c>
      <c r="H357" s="216">
        <f si="63" t="shared"/>
        <v>0</v>
      </c>
      <c r="I357" s="221">
        <f si="64" t="shared"/>
        <v>871527.16810000001</v>
      </c>
      <c r="N357" s="31" t="s">
        <v>24</v>
      </c>
      <c r="O357" s="216">
        <v>7737.3564999999999</v>
      </c>
      <c r="P357" s="216">
        <v>863789.81160000002</v>
      </c>
      <c r="Q357" s="216"/>
      <c r="R357" s="216"/>
      <c r="S357" s="216"/>
      <c r="T357" s="216"/>
      <c r="U357" s="216"/>
    </row>
    <row r="358" spans="1:21" x14ac:dyDescent="0.2">
      <c r="A358" s="31" t="s">
        <v>25</v>
      </c>
      <c r="B358" s="216">
        <f si="63" t="shared"/>
        <v>12000.5095</v>
      </c>
      <c r="C358" s="216">
        <f si="63" t="shared"/>
        <v>3841.4481000000001</v>
      </c>
      <c r="D358" s="216">
        <f si="63" t="shared"/>
        <v>867818.82380000001</v>
      </c>
      <c r="E358" s="216">
        <f si="63" t="shared"/>
        <v>0</v>
      </c>
      <c r="F358" s="216">
        <f si="63" t="shared"/>
        <v>0</v>
      </c>
      <c r="G358" s="216">
        <f si="63" t="shared"/>
        <v>0</v>
      </c>
      <c r="H358" s="216">
        <f si="63" t="shared"/>
        <v>0</v>
      </c>
      <c r="I358" s="221">
        <f si="64" t="shared"/>
        <v>883660.78139999998</v>
      </c>
      <c r="N358" s="31" t="s">
        <v>25</v>
      </c>
      <c r="O358" s="216">
        <v>12000.5095</v>
      </c>
      <c r="P358" s="216">
        <v>3841.4481000000001</v>
      </c>
      <c r="Q358" s="216">
        <v>867818.82380000001</v>
      </c>
      <c r="R358" s="216"/>
      <c r="S358" s="216"/>
      <c r="T358" s="216"/>
      <c r="U358" s="216"/>
    </row>
    <row r="359" spans="1:21" x14ac:dyDescent="0.2">
      <c r="A359" s="31" t="s">
        <v>249</v>
      </c>
      <c r="B359" s="216">
        <f si="63" t="shared"/>
        <v>9176.7682000000004</v>
      </c>
      <c r="C359" s="216">
        <f si="63" t="shared"/>
        <v>6726.1538</v>
      </c>
      <c r="D359" s="216">
        <f si="63" t="shared"/>
        <v>9006.6995999999999</v>
      </c>
      <c r="E359" s="216">
        <f si="63" t="shared"/>
        <v>882051.85459999996</v>
      </c>
      <c r="F359" s="216">
        <f si="63" t="shared"/>
        <v>0</v>
      </c>
      <c r="G359" s="216">
        <f si="63" t="shared"/>
        <v>0</v>
      </c>
      <c r="H359" s="216">
        <f si="63" t="shared"/>
        <v>0</v>
      </c>
      <c r="I359" s="221">
        <f si="64" t="shared"/>
        <v>906961.47619999992</v>
      </c>
      <c r="N359" s="31" t="s">
        <v>249</v>
      </c>
      <c r="O359" s="216">
        <v>9176.7682000000004</v>
      </c>
      <c r="P359" s="216">
        <v>6726.1538</v>
      </c>
      <c r="Q359" s="216">
        <v>9006.6995999999999</v>
      </c>
      <c r="R359" s="216">
        <v>882051.85459999996</v>
      </c>
      <c r="S359" s="216"/>
      <c r="T359" s="216"/>
      <c r="U359" s="216"/>
    </row>
    <row r="360" spans="1:21" x14ac:dyDescent="0.2">
      <c r="A360" s="31" t="s">
        <v>27</v>
      </c>
      <c r="B360" s="216">
        <f si="63" t="shared"/>
        <v>11487.002199999999</v>
      </c>
      <c r="C360" s="216">
        <f si="63" t="shared"/>
        <v>932.14569999999992</v>
      </c>
      <c r="D360" s="216">
        <f si="63" t="shared"/>
        <v>12289.315999999999</v>
      </c>
      <c r="E360" s="216">
        <f si="63" t="shared"/>
        <v>6795.3742999999995</v>
      </c>
      <c r="F360" s="216">
        <f si="63" t="shared"/>
        <v>878314.91579999996</v>
      </c>
      <c r="G360" s="216">
        <f si="63" t="shared"/>
        <v>0</v>
      </c>
      <c r="H360" s="216">
        <f si="63" t="shared"/>
        <v>0</v>
      </c>
      <c r="I360" s="221">
        <f si="64" t="shared"/>
        <v>909818.75399999996</v>
      </c>
      <c r="N360" s="31" t="s">
        <v>27</v>
      </c>
      <c r="O360" s="216">
        <v>11487.002199999999</v>
      </c>
      <c r="P360" s="216">
        <v>932.14569999999992</v>
      </c>
      <c r="Q360" s="216">
        <v>12289.315999999999</v>
      </c>
      <c r="R360" s="216">
        <v>6795.3742999999995</v>
      </c>
      <c r="S360" s="216">
        <v>878314.91579999996</v>
      </c>
      <c r="T360" s="216"/>
      <c r="U360" s="216"/>
    </row>
    <row r="361" spans="1:21" x14ac:dyDescent="0.2">
      <c r="A361" s="31" t="s">
        <v>28</v>
      </c>
      <c r="B361" s="216">
        <f si="63" t="shared"/>
        <v>7898.3492999999999</v>
      </c>
      <c r="C361" s="216">
        <f si="63" t="shared"/>
        <v>7053.4885999999997</v>
      </c>
      <c r="D361" s="216">
        <f si="63" t="shared"/>
        <v>3011.7606000000001</v>
      </c>
      <c r="E361" s="216">
        <f si="63" t="shared"/>
        <v>2980.1797000000001</v>
      </c>
      <c r="F361" s="216">
        <f si="63" t="shared"/>
        <v>11263.047199999999</v>
      </c>
      <c r="G361" s="216">
        <f si="63" t="shared"/>
        <v>897651.50060000003</v>
      </c>
      <c r="H361" s="216">
        <f si="63" t="shared"/>
        <v>0</v>
      </c>
      <c r="I361" s="221">
        <f si="64" t="shared"/>
        <v>929858.326</v>
      </c>
      <c r="N361" s="31" t="s">
        <v>28</v>
      </c>
      <c r="O361" s="216">
        <v>7898.3492999999999</v>
      </c>
      <c r="P361" s="216">
        <v>7053.4885999999997</v>
      </c>
      <c r="Q361" s="216">
        <v>3011.7606000000001</v>
      </c>
      <c r="R361" s="216">
        <v>2980.1797000000001</v>
      </c>
      <c r="S361" s="216">
        <v>11263.047199999999</v>
      </c>
      <c r="T361" s="216">
        <v>897651.50060000003</v>
      </c>
      <c r="U361" s="216"/>
    </row>
    <row r="362" spans="1:21" x14ac:dyDescent="0.2">
      <c r="A362" s="31" t="s">
        <v>29</v>
      </c>
      <c r="B362" s="216">
        <f si="63" t="shared"/>
        <v>24437.8724</v>
      </c>
      <c r="C362" s="216">
        <f si="63" t="shared"/>
        <v>18531.036500000002</v>
      </c>
      <c r="D362" s="216">
        <f si="63" t="shared"/>
        <v>8747.4843000000001</v>
      </c>
      <c r="E362" s="216">
        <f si="63" t="shared"/>
        <v>9046.6756999999998</v>
      </c>
      <c r="F362" s="216">
        <f si="63" t="shared"/>
        <v>11296.121299999999</v>
      </c>
      <c r="G362" s="216">
        <f si="63" t="shared"/>
        <v>3222.5837000000001</v>
      </c>
      <c r="H362" s="216">
        <f si="63" t="shared"/>
        <v>0</v>
      </c>
      <c r="I362" s="221">
        <f si="64" t="shared"/>
        <v>75281.773900000015</v>
      </c>
      <c r="N362" s="31" t="s">
        <v>29</v>
      </c>
      <c r="O362" s="216">
        <v>24437.8724</v>
      </c>
      <c r="P362" s="216">
        <v>18531.036500000002</v>
      </c>
      <c r="Q362" s="216">
        <v>8747.4843000000001</v>
      </c>
      <c r="R362" s="216">
        <v>9046.6756999999998</v>
      </c>
      <c r="S362" s="216">
        <v>11296.121299999999</v>
      </c>
      <c r="T362" s="216">
        <v>3222.5837000000001</v>
      </c>
      <c r="U362" s="216"/>
    </row>
    <row r="363" spans="1:21" x14ac:dyDescent="0.2">
      <c r="A363" s="31" t="s">
        <v>240</v>
      </c>
      <c r="B363" s="216">
        <f ref="B363:H363" si="65" t="shared">SUM(B356:B362)</f>
        <v>900874.0843000001</v>
      </c>
      <c r="C363" s="216">
        <f si="65" t="shared"/>
        <v>900874.0843000001</v>
      </c>
      <c r="D363" s="216">
        <f si="65" t="shared"/>
        <v>900874.0843000001</v>
      </c>
      <c r="E363" s="216">
        <f si="65" t="shared"/>
        <v>900874.08429999999</v>
      </c>
      <c r="F363" s="216">
        <f si="65" t="shared"/>
        <v>900874.08429999999</v>
      </c>
      <c r="G363" s="216">
        <f si="65" t="shared"/>
        <v>900874.08429999999</v>
      </c>
      <c r="H363" s="216">
        <f si="65" t="shared"/>
        <v>0</v>
      </c>
      <c r="I363" s="221">
        <f si="64" t="shared"/>
        <v>5405244.5058000004</v>
      </c>
      <c r="N363" s="31"/>
      <c r="O363" s="216">
        <v>0</v>
      </c>
      <c r="P363" s="216">
        <v>0</v>
      </c>
      <c r="Q363" s="216">
        <v>0</v>
      </c>
      <c r="R363" s="216">
        <v>0</v>
      </c>
      <c r="S363" s="216">
        <v>0</v>
      </c>
      <c r="T363" s="216">
        <v>0</v>
      </c>
      <c r="U363" s="216"/>
    </row>
    <row r="366" spans="1:21" x14ac:dyDescent="0.2">
      <c r="A366" s="31" t="s">
        <v>304</v>
      </c>
      <c r="B366" s="31"/>
      <c r="N366" s="31" t="s">
        <v>304</v>
      </c>
      <c r="O366" s="31"/>
    </row>
    <row r="367" spans="1:21" x14ac:dyDescent="0.2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2">
      <c r="A368" s="31" t="s">
        <v>23</v>
      </c>
      <c r="B368" s="216">
        <f ref="B368:H374" si="66" t="shared">O368*$B$1</f>
        <v>879285.97589999996</v>
      </c>
      <c r="C368" s="216">
        <f si="66" t="shared"/>
        <v>0</v>
      </c>
      <c r="D368" s="216">
        <f si="66" t="shared"/>
        <v>0</v>
      </c>
      <c r="E368" s="216">
        <f si="66" t="shared"/>
        <v>0</v>
      </c>
      <c r="F368" s="216">
        <f si="66" t="shared"/>
        <v>0</v>
      </c>
      <c r="G368" s="216">
        <f si="66" t="shared"/>
        <v>0</v>
      </c>
      <c r="H368" s="216">
        <f si="66" t="shared"/>
        <v>0</v>
      </c>
      <c r="I368" s="221">
        <f ref="I368:I375" si="67" t="shared">SUM(B368:H368)</f>
        <v>879285.97589999996</v>
      </c>
      <c r="N368" s="31" t="s">
        <v>23</v>
      </c>
      <c r="O368" s="216">
        <v>879285.97589999996</v>
      </c>
      <c r="P368" s="216"/>
      <c r="Q368" s="216"/>
      <c r="R368" s="216"/>
      <c r="S368" s="216"/>
      <c r="T368" s="216"/>
      <c r="U368" s="216"/>
    </row>
    <row r="369" spans="1:21" x14ac:dyDescent="0.2">
      <c r="A369" s="31" t="s">
        <v>24</v>
      </c>
      <c r="B369" s="216">
        <f si="66" t="shared"/>
        <v>0</v>
      </c>
      <c r="C369" s="216">
        <f si="66" t="shared"/>
        <v>894155.81160000002</v>
      </c>
      <c r="D369" s="216">
        <f si="66" t="shared"/>
        <v>0</v>
      </c>
      <c r="E369" s="216">
        <f si="66" t="shared"/>
        <v>0</v>
      </c>
      <c r="F369" s="216">
        <f si="66" t="shared"/>
        <v>0</v>
      </c>
      <c r="G369" s="216">
        <f si="66" t="shared"/>
        <v>0</v>
      </c>
      <c r="H369" s="216">
        <f si="66" t="shared"/>
        <v>0</v>
      </c>
      <c r="I369" s="221">
        <f si="67" t="shared"/>
        <v>894155.81160000002</v>
      </c>
      <c r="N369" s="31" t="s">
        <v>24</v>
      </c>
      <c r="O369" s="216">
        <v>0</v>
      </c>
      <c r="P369" s="216">
        <v>894155.81160000002</v>
      </c>
      <c r="Q369" s="216"/>
      <c r="R369" s="216"/>
      <c r="S369" s="216"/>
      <c r="T369" s="216"/>
      <c r="U369" s="216"/>
    </row>
    <row r="370" spans="1:21" x14ac:dyDescent="0.2">
      <c r="A370" s="31" t="s">
        <v>25</v>
      </c>
      <c r="B370" s="216">
        <f si="66" t="shared"/>
        <v>523.59349999999995</v>
      </c>
      <c r="C370" s="216">
        <f si="66" t="shared"/>
        <v>1936.7293999999999</v>
      </c>
      <c r="D370" s="216">
        <f si="66" t="shared"/>
        <v>870257.92929999996</v>
      </c>
      <c r="E370" s="216">
        <f si="66" t="shared"/>
        <v>0</v>
      </c>
      <c r="F370" s="216">
        <f si="66" t="shared"/>
        <v>0</v>
      </c>
      <c r="G370" s="216">
        <f si="66" t="shared"/>
        <v>0</v>
      </c>
      <c r="H370" s="216">
        <f si="66" t="shared"/>
        <v>0</v>
      </c>
      <c r="I370" s="221">
        <f si="67" t="shared"/>
        <v>872718.25219999999</v>
      </c>
      <c r="N370" s="31" t="s">
        <v>25</v>
      </c>
      <c r="O370" s="216">
        <v>523.59349999999995</v>
      </c>
      <c r="P370" s="216">
        <v>1936.7293999999999</v>
      </c>
      <c r="Q370" s="216">
        <v>870257.92929999996</v>
      </c>
      <c r="R370" s="216"/>
      <c r="S370" s="216"/>
      <c r="T370" s="216"/>
      <c r="U370" s="216"/>
    </row>
    <row r="371" spans="1:21" x14ac:dyDescent="0.2">
      <c r="A371" s="31" t="s">
        <v>249</v>
      </c>
      <c r="B371" s="216">
        <f si="66" t="shared"/>
        <v>6028.9278999999997</v>
      </c>
      <c r="C371" s="216">
        <f si="66" t="shared"/>
        <v>1153.797</v>
      </c>
      <c r="D371" s="216">
        <f si="66" t="shared"/>
        <v>4711.6208999999999</v>
      </c>
      <c r="E371" s="216">
        <f si="66" t="shared"/>
        <v>832648.69770000002</v>
      </c>
      <c r="F371" s="216">
        <f si="66" t="shared"/>
        <v>0</v>
      </c>
      <c r="G371" s="216">
        <f si="66" t="shared"/>
        <v>0</v>
      </c>
      <c r="H371" s="216">
        <f si="66" t="shared"/>
        <v>0</v>
      </c>
      <c r="I371" s="221">
        <f si="67" t="shared"/>
        <v>844543.04350000003</v>
      </c>
      <c r="N371" s="31" t="s">
        <v>249</v>
      </c>
      <c r="O371" s="216">
        <v>6028.9278999999997</v>
      </c>
      <c r="P371" s="216">
        <v>1153.797</v>
      </c>
      <c r="Q371" s="216">
        <v>4711.6208999999999</v>
      </c>
      <c r="R371" s="216">
        <v>832648.69770000002</v>
      </c>
      <c r="S371" s="216"/>
      <c r="T371" s="216"/>
      <c r="U371" s="216"/>
    </row>
    <row r="372" spans="1:21" x14ac:dyDescent="0.2">
      <c r="A372" s="31" t="s">
        <v>27</v>
      </c>
      <c r="B372" s="216">
        <f si="66" t="shared"/>
        <v>4845.6759000000002</v>
      </c>
      <c r="C372" s="216">
        <f si="66" t="shared"/>
        <v>0</v>
      </c>
      <c r="D372" s="216">
        <f si="66" t="shared"/>
        <v>11406.1469</v>
      </c>
      <c r="E372" s="216">
        <f si="66" t="shared"/>
        <v>24484.0288</v>
      </c>
      <c r="F372" s="216">
        <f si="66" t="shared"/>
        <v>830474.97369999997</v>
      </c>
      <c r="G372" s="216">
        <f si="66" t="shared"/>
        <v>0</v>
      </c>
      <c r="H372" s="216">
        <f si="66" t="shared"/>
        <v>0</v>
      </c>
      <c r="I372" s="221">
        <f si="67" t="shared"/>
        <v>871210.82530000003</v>
      </c>
      <c r="N372" s="31" t="s">
        <v>27</v>
      </c>
      <c r="O372" s="216">
        <v>4845.6759000000002</v>
      </c>
      <c r="P372" s="216">
        <v>0</v>
      </c>
      <c r="Q372" s="216">
        <v>11406.1469</v>
      </c>
      <c r="R372" s="216">
        <v>24484.0288</v>
      </c>
      <c r="S372" s="216">
        <v>830474.97369999997</v>
      </c>
      <c r="T372" s="216"/>
      <c r="U372" s="216"/>
    </row>
    <row r="373" spans="1:21" x14ac:dyDescent="0.2">
      <c r="A373" s="31" t="s">
        <v>28</v>
      </c>
      <c r="B373" s="216">
        <f si="66" t="shared"/>
        <v>6291.2919999999995</v>
      </c>
      <c r="C373" s="216">
        <f si="66" t="shared"/>
        <v>694.49429999999995</v>
      </c>
      <c r="D373" s="216">
        <f si="66" t="shared"/>
        <v>5866.2605000000003</v>
      </c>
      <c r="E373" s="216">
        <f si="66" t="shared"/>
        <v>24770.4715</v>
      </c>
      <c r="F373" s="216">
        <f si="66" t="shared"/>
        <v>46629.869100000004</v>
      </c>
      <c r="G373" s="216">
        <f si="66" t="shared"/>
        <v>876192.92359999998</v>
      </c>
      <c r="H373" s="216">
        <f si="66" t="shared"/>
        <v>0</v>
      </c>
      <c r="I373" s="221">
        <f si="67" t="shared"/>
        <v>960445.31099999999</v>
      </c>
      <c r="N373" s="31" t="s">
        <v>28</v>
      </c>
      <c r="O373" s="216">
        <v>6291.2919999999995</v>
      </c>
      <c r="P373" s="216">
        <v>694.49429999999995</v>
      </c>
      <c r="Q373" s="216">
        <v>5866.2605000000003</v>
      </c>
      <c r="R373" s="216">
        <v>24770.4715</v>
      </c>
      <c r="S373" s="216">
        <v>46629.869100000004</v>
      </c>
      <c r="T373" s="216">
        <v>876192.92359999998</v>
      </c>
      <c r="U373" s="216"/>
    </row>
    <row r="374" spans="1:21" x14ac:dyDescent="0.2">
      <c r="A374" s="31" t="s">
        <v>29</v>
      </c>
      <c r="B374" s="216">
        <f si="66" t="shared"/>
        <v>3898.6190999999999</v>
      </c>
      <c r="C374" s="216">
        <f si="66" t="shared"/>
        <v>2933.252</v>
      </c>
      <c r="D374" s="216">
        <f si="66" t="shared"/>
        <v>8632.1266999999989</v>
      </c>
      <c r="E374" s="216">
        <f si="66" t="shared"/>
        <v>18970.886299999998</v>
      </c>
      <c r="F374" s="216">
        <f si="66" t="shared"/>
        <v>23769.2415</v>
      </c>
      <c r="G374" s="216">
        <f si="66" t="shared"/>
        <v>24681.1607</v>
      </c>
      <c r="H374" s="216">
        <f si="66" t="shared"/>
        <v>0</v>
      </c>
      <c r="I374" s="221">
        <f si="67" t="shared"/>
        <v>82885.286300000007</v>
      </c>
      <c r="N374" s="31" t="s">
        <v>29</v>
      </c>
      <c r="O374" s="216">
        <v>3898.6190999999999</v>
      </c>
      <c r="P374" s="216">
        <v>2933.252</v>
      </c>
      <c r="Q374" s="216">
        <v>8632.1266999999989</v>
      </c>
      <c r="R374" s="216">
        <v>18970.886299999998</v>
      </c>
      <c r="S374" s="216">
        <v>23769.2415</v>
      </c>
      <c r="T374" s="216">
        <v>24681.1607</v>
      </c>
      <c r="U374" s="216"/>
    </row>
    <row r="375" spans="1:21" x14ac:dyDescent="0.2">
      <c r="A375" s="31" t="s">
        <v>240</v>
      </c>
      <c r="B375" s="216">
        <f ref="B375:H375" si="68" t="shared">SUM(B368:B374)</f>
        <v>900874.08429999999</v>
      </c>
      <c r="C375" s="216">
        <f si="68" t="shared"/>
        <v>900874.08429999999</v>
      </c>
      <c r="D375" s="216">
        <f si="68" t="shared"/>
        <v>900874.08429999999</v>
      </c>
      <c r="E375" s="216">
        <f si="68" t="shared"/>
        <v>900874.08429999999</v>
      </c>
      <c r="F375" s="216">
        <f si="68" t="shared"/>
        <v>900874.08429999999</v>
      </c>
      <c r="G375" s="216">
        <f si="68" t="shared"/>
        <v>900874.08429999999</v>
      </c>
      <c r="H375" s="216">
        <f si="68" t="shared"/>
        <v>0</v>
      </c>
      <c r="I375" s="221">
        <f si="67" t="shared"/>
        <v>5405244.5058000004</v>
      </c>
      <c r="N375" s="31"/>
      <c r="O375" s="216">
        <v>0</v>
      </c>
      <c r="P375" s="216">
        <v>0</v>
      </c>
      <c r="Q375" s="216">
        <v>0</v>
      </c>
      <c r="R375" s="216">
        <v>0</v>
      </c>
      <c r="S375" s="216">
        <v>0</v>
      </c>
      <c r="T375" s="216">
        <v>0</v>
      </c>
      <c r="U375" s="216"/>
    </row>
  </sheetData>
  <pageMargins bottom="0.75" footer="0.3" header="0.3" left="0.7" right="0.7" top="0.75"/>
  <pageSetup orientation="portrait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topLeftCell="A338" workbookViewId="0">
      <selection activeCell="A340" sqref="A340"/>
    </sheetView>
  </sheetViews>
  <sheetFormatPr defaultRowHeight="12.75" x14ac:dyDescent="0.2"/>
  <sheetData>
    <row customHeight="1" ht="14.25" r="1" spans="1:5" x14ac:dyDescent="0.25">
      <c r="A1" s="64" t="s">
        <v>306</v>
      </c>
      <c r="B1" s="64" t="s">
        <v>307</v>
      </c>
      <c r="C1" s="64" t="s">
        <v>308</v>
      </c>
      <c r="D1" s="65" t="s">
        <v>309</v>
      </c>
      <c r="E1" s="66" t="s">
        <v>310</v>
      </c>
    </row>
    <row customHeight="1" ht="14.25" r="2" spans="1:5" x14ac:dyDescent="0.25">
      <c r="A2" s="62">
        <v>100</v>
      </c>
      <c r="B2" s="62" t="s">
        <v>311</v>
      </c>
      <c r="C2" s="62" t="s">
        <v>312</v>
      </c>
      <c r="D2" s="67">
        <v>0.59360162660100002</v>
      </c>
      <c r="E2" s="61" t="s">
        <v>313</v>
      </c>
    </row>
    <row customHeight="1" ht="14.25" r="3" spans="1:5" x14ac:dyDescent="0.25">
      <c r="A3" s="62">
        <v>101</v>
      </c>
      <c r="B3" s="62" t="s">
        <v>314</v>
      </c>
      <c r="C3" s="62" t="s">
        <v>312</v>
      </c>
      <c r="D3" s="67">
        <v>2.2607629985500002</v>
      </c>
      <c r="E3" s="61" t="s">
        <v>315</v>
      </c>
    </row>
    <row customHeight="1" ht="14.25" r="4" spans="1:5" x14ac:dyDescent="0.25">
      <c r="A4" s="62">
        <v>102</v>
      </c>
      <c r="B4" s="62" t="s">
        <v>316</v>
      </c>
      <c r="C4" s="62" t="s">
        <v>312</v>
      </c>
      <c r="D4" s="63">
        <v>-0.67702180034500004</v>
      </c>
      <c r="E4" s="61" t="s">
        <v>317</v>
      </c>
    </row>
    <row customHeight="1" ht="14.25" r="5" spans="1:5" x14ac:dyDescent="0.25">
      <c r="A5" s="62">
        <v>105</v>
      </c>
      <c r="B5" s="62" t="s">
        <v>318</v>
      </c>
      <c r="C5" s="62" t="s">
        <v>312</v>
      </c>
      <c r="D5" s="63">
        <v>-1.2291096581800001</v>
      </c>
      <c r="E5" s="61" t="s">
        <v>319</v>
      </c>
    </row>
    <row customHeight="1" ht="14.25" r="6" spans="1:5" x14ac:dyDescent="0.25">
      <c r="A6" s="62">
        <v>106</v>
      </c>
      <c r="B6" s="62" t="s">
        <v>320</v>
      </c>
      <c r="C6" s="62" t="s">
        <v>312</v>
      </c>
      <c r="D6" s="63">
        <v>-1.88719601199</v>
      </c>
      <c r="E6" s="61" t="s">
        <v>321</v>
      </c>
    </row>
    <row customHeight="1" ht="14.25" r="7" spans="1:5" x14ac:dyDescent="0.25">
      <c r="A7" s="62">
        <v>109</v>
      </c>
      <c r="B7" s="62" t="s">
        <v>322</v>
      </c>
      <c r="C7" s="62" t="s">
        <v>312</v>
      </c>
      <c r="D7" s="63">
        <v>-0.104539156562</v>
      </c>
      <c r="E7" s="61" t="s">
        <v>323</v>
      </c>
    </row>
    <row customHeight="1" ht="14.25" r="8" spans="1:5" x14ac:dyDescent="0.25">
      <c r="A8" s="62">
        <v>110</v>
      </c>
      <c r="B8" s="62" t="s">
        <v>324</v>
      </c>
      <c r="C8" s="62" t="s">
        <v>312</v>
      </c>
      <c r="D8" s="63">
        <v>-5.3840960751700001E-2</v>
      </c>
      <c r="E8" s="61" t="s">
        <v>325</v>
      </c>
    </row>
    <row customHeight="1" ht="14.25" r="9" spans="1:5" x14ac:dyDescent="0.25">
      <c r="A9" s="62">
        <v>111</v>
      </c>
      <c r="B9" s="62" t="s">
        <v>326</v>
      </c>
      <c r="C9" s="62" t="s">
        <v>312</v>
      </c>
      <c r="D9" s="63">
        <v>5.5398475571900002E-2</v>
      </c>
      <c r="E9" s="61" t="s">
        <v>327</v>
      </c>
    </row>
    <row customHeight="1" ht="14.25" r="10" spans="1:5" x14ac:dyDescent="0.25">
      <c r="A10" s="62">
        <v>112</v>
      </c>
      <c r="B10" s="62" t="s">
        <v>328</v>
      </c>
      <c r="C10" s="62" t="s">
        <v>312</v>
      </c>
      <c r="D10" s="63">
        <v>0.104963199705</v>
      </c>
      <c r="E10" s="61" t="s">
        <v>329</v>
      </c>
    </row>
    <row customHeight="1" ht="14.25" r="11" spans="1:5" x14ac:dyDescent="0.25">
      <c r="A11" s="62">
        <v>113</v>
      </c>
      <c r="B11" s="62" t="s">
        <v>330</v>
      </c>
      <c r="C11" s="62" t="s">
        <v>331</v>
      </c>
      <c r="D11" s="63">
        <v>0</v>
      </c>
      <c r="E11" s="61" t="s">
        <v>332</v>
      </c>
    </row>
    <row customHeight="1" ht="14.25" r="12" spans="1:5" x14ac:dyDescent="0.25">
      <c r="A12" s="62">
        <v>114</v>
      </c>
      <c r="B12" s="62" t="s">
        <v>333</v>
      </c>
      <c r="C12" s="62" t="s">
        <v>331</v>
      </c>
      <c r="D12" s="63">
        <v>0</v>
      </c>
      <c r="E12" s="61" t="s">
        <v>334</v>
      </c>
    </row>
    <row customHeight="1" ht="14.25" r="13" spans="1:5" x14ac:dyDescent="0.25">
      <c r="A13" s="62">
        <v>116</v>
      </c>
      <c r="B13" s="62" t="s">
        <v>335</v>
      </c>
      <c r="C13" s="62" t="s">
        <v>312</v>
      </c>
      <c r="D13" s="63">
        <v>0.119359946565</v>
      </c>
      <c r="E13" s="61" t="s">
        <v>336</v>
      </c>
    </row>
    <row customHeight="1" ht="14.25" r="14" spans="1:5" x14ac:dyDescent="0.25">
      <c r="A14" s="62">
        <v>117</v>
      </c>
      <c r="B14" s="62" t="s">
        <v>337</v>
      </c>
      <c r="C14" s="62" t="s">
        <v>312</v>
      </c>
      <c r="D14" s="63">
        <v>-0.46873969835200002</v>
      </c>
      <c r="E14" s="61" t="s">
        <v>338</v>
      </c>
    </row>
    <row customHeight="1" ht="14.25" r="15" spans="1:5" x14ac:dyDescent="0.25">
      <c r="A15" s="62">
        <v>118</v>
      </c>
      <c r="B15" s="62" t="s">
        <v>339</v>
      </c>
      <c r="C15" s="62" t="s">
        <v>331</v>
      </c>
      <c r="D15" s="63">
        <v>0</v>
      </c>
      <c r="E15" s="61" t="s">
        <v>340</v>
      </c>
    </row>
    <row customHeight="1" ht="14.25" r="16" spans="1:5" x14ac:dyDescent="0.25">
      <c r="A16" s="62">
        <v>119</v>
      </c>
      <c r="B16" s="62" t="s">
        <v>341</v>
      </c>
      <c r="C16" s="62" t="s">
        <v>331</v>
      </c>
      <c r="D16" s="63">
        <v>0</v>
      </c>
      <c r="E16" s="61" t="s">
        <v>342</v>
      </c>
    </row>
    <row customHeight="1" ht="14.25" r="17" spans="1:5" x14ac:dyDescent="0.25">
      <c r="A17" s="62">
        <v>120</v>
      </c>
      <c r="B17" s="62" t="s">
        <v>343</v>
      </c>
      <c r="C17" s="62" t="s">
        <v>331</v>
      </c>
      <c r="D17" s="63">
        <v>0</v>
      </c>
      <c r="E17" s="61" t="s">
        <v>344</v>
      </c>
    </row>
    <row customHeight="1" ht="14.25" r="18" spans="1:5" x14ac:dyDescent="0.25">
      <c r="A18" s="62">
        <v>121</v>
      </c>
      <c r="B18" s="62" t="s">
        <v>345</v>
      </c>
      <c r="C18" s="62" t="s">
        <v>331</v>
      </c>
      <c r="D18" s="63">
        <v>0</v>
      </c>
      <c r="E18" s="61" t="s">
        <v>346</v>
      </c>
    </row>
    <row customHeight="1" ht="14.25" r="19" spans="1:5" x14ac:dyDescent="0.25">
      <c r="A19" s="62">
        <v>122</v>
      </c>
      <c r="B19" s="62" t="s">
        <v>347</v>
      </c>
      <c r="C19" s="62" t="s">
        <v>331</v>
      </c>
      <c r="D19" s="63">
        <v>0</v>
      </c>
      <c r="E19" s="61" t="s">
        <v>348</v>
      </c>
    </row>
    <row customHeight="1" ht="14.25" r="20" spans="1:5" x14ac:dyDescent="0.25">
      <c r="A20" s="62">
        <v>123</v>
      </c>
      <c r="B20" s="62" t="s">
        <v>349</v>
      </c>
      <c r="C20" s="62" t="s">
        <v>331</v>
      </c>
      <c r="D20" s="63">
        <v>0</v>
      </c>
      <c r="E20" s="61" t="s">
        <v>350</v>
      </c>
    </row>
    <row customHeight="1" ht="14.25" r="21" spans="1:5" x14ac:dyDescent="0.25">
      <c r="A21" s="62">
        <v>124</v>
      </c>
      <c r="B21" s="62" t="s">
        <v>351</v>
      </c>
      <c r="C21" s="62" t="s">
        <v>312</v>
      </c>
      <c r="D21" s="63">
        <v>-1.93525950132</v>
      </c>
      <c r="E21" s="61" t="s">
        <v>352</v>
      </c>
    </row>
    <row customHeight="1" ht="14.25" r="22" spans="1:5" x14ac:dyDescent="0.25">
      <c r="A22" s="62">
        <v>125</v>
      </c>
      <c r="B22" s="62" t="s">
        <v>353</v>
      </c>
      <c r="C22" s="62" t="s">
        <v>331</v>
      </c>
      <c r="D22" s="63">
        <v>0</v>
      </c>
      <c r="E22" s="61" t="s">
        <v>354</v>
      </c>
    </row>
    <row customHeight="1" ht="14.25" r="23" spans="1:5" x14ac:dyDescent="0.25">
      <c r="A23" s="62">
        <v>126</v>
      </c>
      <c r="B23" s="62" t="s">
        <v>355</v>
      </c>
      <c r="C23" s="62" t="s">
        <v>331</v>
      </c>
      <c r="D23" s="63">
        <v>0</v>
      </c>
      <c r="E23" s="61" t="s">
        <v>356</v>
      </c>
    </row>
    <row customHeight="1" ht="14.25" r="24" spans="1:5" x14ac:dyDescent="0.25">
      <c r="A24" s="62">
        <v>127</v>
      </c>
      <c r="B24" s="62" t="s">
        <v>357</v>
      </c>
      <c r="C24" s="62" t="s">
        <v>312</v>
      </c>
      <c r="D24" s="63">
        <v>0.70457506868099995</v>
      </c>
      <c r="E24" s="61" t="s">
        <v>358</v>
      </c>
    </row>
    <row customHeight="1" ht="14.25" r="25" spans="1:5" x14ac:dyDescent="0.25">
      <c r="A25" s="62">
        <v>128</v>
      </c>
      <c r="B25" s="62" t="s">
        <v>359</v>
      </c>
      <c r="C25" s="62" t="s">
        <v>312</v>
      </c>
      <c r="D25" s="63">
        <v>-0.473736021364</v>
      </c>
      <c r="E25" s="61" t="s">
        <v>358</v>
      </c>
    </row>
    <row customHeight="1" ht="14.25" r="26" spans="1:5" x14ac:dyDescent="0.25">
      <c r="A26" s="62">
        <v>129</v>
      </c>
      <c r="B26" s="62" t="s">
        <v>360</v>
      </c>
      <c r="C26" s="62" t="s">
        <v>312</v>
      </c>
      <c r="D26" s="63">
        <v>-0.39185504390800002</v>
      </c>
      <c r="E26" s="61" t="s">
        <v>358</v>
      </c>
    </row>
    <row customHeight="1" ht="14.25" r="27" spans="1:5" x14ac:dyDescent="0.25">
      <c r="A27" s="62">
        <v>151</v>
      </c>
      <c r="B27" s="62" t="s">
        <v>361</v>
      </c>
      <c r="C27" s="62" t="s">
        <v>331</v>
      </c>
      <c r="D27" s="63">
        <v>0</v>
      </c>
      <c r="E27" s="61" t="s">
        <v>362</v>
      </c>
    </row>
    <row customHeight="1" ht="14.25" r="28" spans="1:5" x14ac:dyDescent="0.25">
      <c r="A28" s="62">
        <v>200</v>
      </c>
      <c r="B28" s="62" t="s">
        <v>363</v>
      </c>
      <c r="C28" s="62" t="s">
        <v>312</v>
      </c>
      <c r="D28" s="67">
        <v>-0.86143817039500004</v>
      </c>
      <c r="E28" s="61" t="s">
        <v>364</v>
      </c>
    </row>
    <row customHeight="1" ht="14.25" r="29" spans="1:5" x14ac:dyDescent="0.25">
      <c r="A29" s="62">
        <v>201</v>
      </c>
      <c r="B29" s="62" t="s">
        <v>365</v>
      </c>
      <c r="C29" s="62" t="s">
        <v>312</v>
      </c>
      <c r="D29" s="67">
        <v>-0.78594987134100003</v>
      </c>
      <c r="E29" s="61" t="s">
        <v>366</v>
      </c>
    </row>
    <row customHeight="1" ht="14.25" r="30" spans="1:5" x14ac:dyDescent="0.25">
      <c r="A30" s="62"/>
      <c r="B30" s="62"/>
      <c r="C30" s="62"/>
      <c r="D30" s="63"/>
      <c r="E30" s="61" t="s">
        <v>367</v>
      </c>
    </row>
    <row customHeight="1" ht="14.25" r="31" spans="1:5" x14ac:dyDescent="0.25">
      <c r="A31" s="62"/>
      <c r="B31" s="62"/>
      <c r="C31" s="62"/>
      <c r="D31" s="63"/>
      <c r="E31" s="61" t="s">
        <v>368</v>
      </c>
    </row>
    <row customHeight="1" ht="14.25" r="32" spans="1:5" x14ac:dyDescent="0.25">
      <c r="A32" s="62"/>
      <c r="B32" s="62"/>
      <c r="C32" s="62"/>
      <c r="D32" s="63"/>
      <c r="E32" s="61" t="s">
        <v>369</v>
      </c>
    </row>
    <row customHeight="1" ht="14.25" r="33" spans="1:5" x14ac:dyDescent="0.25">
      <c r="A33" s="62">
        <v>205</v>
      </c>
      <c r="B33" s="62" t="s">
        <v>370</v>
      </c>
      <c r="C33" s="62" t="s">
        <v>312</v>
      </c>
      <c r="D33" s="63">
        <v>1.0083216006</v>
      </c>
      <c r="E33" s="61" t="s">
        <v>371</v>
      </c>
    </row>
    <row customHeight="1" ht="14.25" r="34" spans="1:5" x14ac:dyDescent="0.25">
      <c r="A34" s="62">
        <v>206</v>
      </c>
      <c r="B34" s="62" t="s">
        <v>372</v>
      </c>
      <c r="C34" s="62" t="s">
        <v>312</v>
      </c>
      <c r="D34" s="63">
        <v>2.08888367603</v>
      </c>
      <c r="E34" s="61" t="s">
        <v>373</v>
      </c>
    </row>
    <row customHeight="1" ht="14.25" r="35" spans="1:5" x14ac:dyDescent="0.25">
      <c r="A35" s="62">
        <v>207</v>
      </c>
      <c r="B35" s="62" t="s">
        <v>374</v>
      </c>
      <c r="C35" s="62" t="s">
        <v>312</v>
      </c>
      <c r="D35" s="63">
        <v>2.1761416178699999</v>
      </c>
      <c r="E35" s="61" t="s">
        <v>375</v>
      </c>
    </row>
    <row customHeight="1" ht="14.25" r="36" spans="1:5" x14ac:dyDescent="0.25">
      <c r="A36" s="62">
        <v>208</v>
      </c>
      <c r="B36" s="62" t="s">
        <v>376</v>
      </c>
      <c r="C36" s="62" t="s">
        <v>312</v>
      </c>
      <c r="D36" s="63">
        <v>1.14749890025</v>
      </c>
      <c r="E36" s="61" t="s">
        <v>377</v>
      </c>
    </row>
    <row customHeight="1" ht="14.25" r="37" spans="1:5" x14ac:dyDescent="0.25">
      <c r="A37" s="62">
        <v>209</v>
      </c>
      <c r="B37" s="62" t="s">
        <v>378</v>
      </c>
      <c r="C37" s="62" t="s">
        <v>331</v>
      </c>
      <c r="D37" s="63">
        <v>0</v>
      </c>
      <c r="E37" s="61" t="s">
        <v>379</v>
      </c>
    </row>
    <row customHeight="1" ht="14.25" r="38" spans="1:5" x14ac:dyDescent="0.25">
      <c r="A38" s="62">
        <v>210</v>
      </c>
      <c r="B38" s="62" t="s">
        <v>380</v>
      </c>
      <c r="C38" s="62" t="s">
        <v>312</v>
      </c>
      <c r="D38" s="63">
        <v>0.175618791701</v>
      </c>
      <c r="E38" s="61" t="s">
        <v>381</v>
      </c>
    </row>
    <row customHeight="1" ht="14.25" r="39" spans="1:5" x14ac:dyDescent="0.25">
      <c r="A39" s="62">
        <v>211</v>
      </c>
      <c r="B39" s="62" t="s">
        <v>382</v>
      </c>
      <c r="C39" s="62" t="s">
        <v>331</v>
      </c>
      <c r="D39" s="63">
        <v>0</v>
      </c>
      <c r="E39" s="61" t="s">
        <v>383</v>
      </c>
    </row>
    <row customHeight="1" ht="14.25" r="40" spans="1:5" x14ac:dyDescent="0.25">
      <c r="A40" s="62">
        <v>212</v>
      </c>
      <c r="B40" s="62" t="s">
        <v>384</v>
      </c>
      <c r="C40" s="62" t="s">
        <v>331</v>
      </c>
      <c r="D40" s="63">
        <v>0</v>
      </c>
      <c r="E40" s="61" t="s">
        <v>385</v>
      </c>
    </row>
    <row customHeight="1" ht="14.25" r="41" spans="1:5" x14ac:dyDescent="0.25">
      <c r="A41" s="62">
        <v>213</v>
      </c>
      <c r="B41" s="62" t="s">
        <v>386</v>
      </c>
      <c r="C41" s="62" t="s">
        <v>331</v>
      </c>
      <c r="D41" s="63">
        <v>0</v>
      </c>
      <c r="E41" s="61" t="s">
        <v>387</v>
      </c>
    </row>
    <row customHeight="1" ht="14.25" r="42" spans="1:5" x14ac:dyDescent="0.25">
      <c r="A42" s="62">
        <v>214</v>
      </c>
      <c r="B42" s="62" t="s">
        <v>388</v>
      </c>
      <c r="C42" s="62" t="s">
        <v>331</v>
      </c>
      <c r="D42" s="63">
        <v>0</v>
      </c>
      <c r="E42" s="61" t="s">
        <v>389</v>
      </c>
    </row>
    <row customHeight="1" ht="14.25" r="43" spans="1:5" x14ac:dyDescent="0.25">
      <c r="A43" s="62"/>
      <c r="B43" s="62"/>
      <c r="C43" s="62"/>
      <c r="D43" s="63"/>
      <c r="E43" s="61" t="s">
        <v>390</v>
      </c>
    </row>
    <row customHeight="1" ht="14.25" r="44" spans="1:5" x14ac:dyDescent="0.25">
      <c r="A44" s="62">
        <v>216</v>
      </c>
      <c r="B44" s="62" t="s">
        <v>391</v>
      </c>
      <c r="C44" s="62" t="s">
        <v>331</v>
      </c>
      <c r="D44" s="63">
        <v>0</v>
      </c>
      <c r="E44" s="61" t="s">
        <v>392</v>
      </c>
    </row>
    <row customHeight="1" ht="14.25" r="45" spans="1:5" x14ac:dyDescent="0.25">
      <c r="A45" s="62">
        <v>217</v>
      </c>
      <c r="B45" s="62" t="s">
        <v>393</v>
      </c>
      <c r="C45" s="62" t="s">
        <v>312</v>
      </c>
      <c r="D45" s="63">
        <v>-1.04665789108</v>
      </c>
      <c r="E45" s="61" t="s">
        <v>394</v>
      </c>
    </row>
    <row customHeight="1" ht="14.25" r="46" spans="1:5" x14ac:dyDescent="0.25">
      <c r="A46" s="62">
        <v>218</v>
      </c>
      <c r="B46" s="62" t="s">
        <v>395</v>
      </c>
      <c r="C46" s="62" t="s">
        <v>331</v>
      </c>
      <c r="D46" s="63">
        <v>0</v>
      </c>
      <c r="E46" s="61" t="s">
        <v>396</v>
      </c>
    </row>
    <row customHeight="1" ht="14.25" r="47" spans="1:5" x14ac:dyDescent="0.25">
      <c r="A47" s="62">
        <v>219</v>
      </c>
      <c r="B47" s="62" t="s">
        <v>397</v>
      </c>
      <c r="C47" s="62" t="s">
        <v>331</v>
      </c>
      <c r="D47" s="63">
        <v>0</v>
      </c>
      <c r="E47" s="61" t="s">
        <v>398</v>
      </c>
    </row>
    <row customHeight="1" ht="14.25" r="48" spans="1:5" x14ac:dyDescent="0.25">
      <c r="A48" s="62">
        <v>220</v>
      </c>
      <c r="B48" s="62" t="s">
        <v>399</v>
      </c>
      <c r="C48" s="62" t="s">
        <v>331</v>
      </c>
      <c r="D48" s="63">
        <v>0</v>
      </c>
      <c r="E48" s="61" t="s">
        <v>400</v>
      </c>
    </row>
    <row customHeight="1" ht="14.25" r="49" spans="1:5" x14ac:dyDescent="0.25">
      <c r="A49" s="62">
        <v>221</v>
      </c>
      <c r="B49" s="62" t="s">
        <v>401</v>
      </c>
      <c r="C49" s="62" t="s">
        <v>312</v>
      </c>
      <c r="D49" s="63">
        <v>0.28116382464200002</v>
      </c>
      <c r="E49" s="61" t="s">
        <v>402</v>
      </c>
    </row>
    <row customHeight="1" ht="14.25" r="50" spans="1:5" x14ac:dyDescent="0.25">
      <c r="A50" s="62">
        <v>222</v>
      </c>
      <c r="B50" s="62" t="s">
        <v>403</v>
      </c>
      <c r="C50" s="62" t="s">
        <v>331</v>
      </c>
      <c r="D50" s="63">
        <v>0</v>
      </c>
      <c r="E50" s="61" t="s">
        <v>404</v>
      </c>
    </row>
    <row customHeight="1" ht="14.25" r="51" spans="1:5" x14ac:dyDescent="0.25">
      <c r="A51" s="62">
        <v>223</v>
      </c>
      <c r="B51" s="62" t="s">
        <v>405</v>
      </c>
      <c r="C51" s="62" t="s">
        <v>312</v>
      </c>
      <c r="D51" s="63">
        <v>-0.85726200968300004</v>
      </c>
      <c r="E51" s="61" t="s">
        <v>406</v>
      </c>
    </row>
    <row customHeight="1" ht="14.25" r="52" spans="1:5" x14ac:dyDescent="0.25">
      <c r="A52" s="62">
        <v>224</v>
      </c>
      <c r="B52" s="62" t="s">
        <v>407</v>
      </c>
      <c r="C52" s="62" t="s">
        <v>331</v>
      </c>
      <c r="D52" s="63">
        <v>0</v>
      </c>
      <c r="E52" s="61" t="s">
        <v>408</v>
      </c>
    </row>
    <row customHeight="1" ht="14.25" r="53" spans="1:5" x14ac:dyDescent="0.25">
      <c r="A53" s="62">
        <v>225</v>
      </c>
      <c r="B53" s="62" t="s">
        <v>409</v>
      </c>
      <c r="C53" s="62" t="s">
        <v>331</v>
      </c>
      <c r="D53" s="63">
        <v>0</v>
      </c>
      <c r="E53" s="61" t="s">
        <v>410</v>
      </c>
    </row>
    <row customHeight="1" ht="14.25" r="54" spans="1:5" x14ac:dyDescent="0.25">
      <c r="A54" s="62">
        <v>226</v>
      </c>
      <c r="B54" s="62" t="s">
        <v>411</v>
      </c>
      <c r="C54" s="62" t="s">
        <v>331</v>
      </c>
      <c r="D54" s="63">
        <v>0</v>
      </c>
      <c r="E54" s="61" t="s">
        <v>412</v>
      </c>
    </row>
    <row customHeight="1" ht="14.25" r="55" spans="1:5" x14ac:dyDescent="0.25">
      <c r="A55" s="62">
        <v>227</v>
      </c>
      <c r="B55" s="62" t="s">
        <v>413</v>
      </c>
      <c r="C55" s="62" t="s">
        <v>331</v>
      </c>
      <c r="D55" s="63">
        <v>0</v>
      </c>
      <c r="E55" s="61" t="s">
        <v>414</v>
      </c>
    </row>
    <row customHeight="1" ht="14.25" r="56" spans="1:5" x14ac:dyDescent="0.25">
      <c r="A56" s="62">
        <v>228</v>
      </c>
      <c r="B56" s="62" t="s">
        <v>415</v>
      </c>
      <c r="C56" s="62" t="s">
        <v>312</v>
      </c>
      <c r="D56" s="63">
        <v>0.21589729844200001</v>
      </c>
      <c r="E56" s="61" t="s">
        <v>414</v>
      </c>
    </row>
    <row customHeight="1" ht="14.25" r="57" spans="1:5" x14ac:dyDescent="0.25">
      <c r="A57" s="62">
        <v>229</v>
      </c>
      <c r="B57" s="62" t="s">
        <v>416</v>
      </c>
      <c r="C57" s="62" t="s">
        <v>312</v>
      </c>
      <c r="D57" s="63">
        <v>0.39645838010899997</v>
      </c>
      <c r="E57" s="61" t="s">
        <v>414</v>
      </c>
    </row>
    <row customHeight="1" ht="14.25" r="58" spans="1:5" x14ac:dyDescent="0.25">
      <c r="A58" s="62">
        <v>251</v>
      </c>
      <c r="B58" s="62" t="s">
        <v>417</v>
      </c>
      <c r="C58" s="62" t="s">
        <v>331</v>
      </c>
      <c r="D58" s="63">
        <v>0</v>
      </c>
      <c r="E58" s="61" t="s">
        <v>418</v>
      </c>
    </row>
    <row customHeight="1" ht="14.25" r="59" spans="1:5" x14ac:dyDescent="0.25">
      <c r="A59" s="62">
        <v>300</v>
      </c>
      <c r="B59" s="62" t="s">
        <v>419</v>
      </c>
      <c r="C59" s="62" t="s">
        <v>312</v>
      </c>
      <c r="D59" s="67">
        <v>-3.4074389037100001</v>
      </c>
      <c r="E59" s="61" t="s">
        <v>420</v>
      </c>
    </row>
    <row customHeight="1" ht="14.25" r="60" spans="1:5" x14ac:dyDescent="0.25">
      <c r="A60" s="62">
        <v>301</v>
      </c>
      <c r="B60" s="62" t="s">
        <v>421</v>
      </c>
      <c r="C60" s="62" t="s">
        <v>312</v>
      </c>
      <c r="D60" s="67">
        <v>-1.46802054944</v>
      </c>
      <c r="E60" s="61" t="s">
        <v>422</v>
      </c>
    </row>
    <row customHeight="1" ht="14.25" r="61" spans="1:5" x14ac:dyDescent="0.25">
      <c r="A61" s="62">
        <v>302</v>
      </c>
      <c r="B61" s="62" t="s">
        <v>423</v>
      </c>
      <c r="C61" s="62" t="s">
        <v>331</v>
      </c>
      <c r="D61" s="63">
        <v>0</v>
      </c>
      <c r="E61" s="61" t="s">
        <v>424</v>
      </c>
    </row>
    <row customHeight="1" ht="14.25" r="62" spans="1:5" x14ac:dyDescent="0.25">
      <c r="A62" s="62">
        <v>303</v>
      </c>
      <c r="B62" s="62" t="s">
        <v>425</v>
      </c>
      <c r="C62" s="62" t="s">
        <v>312</v>
      </c>
      <c r="D62" s="63">
        <v>-0.74665963725100004</v>
      </c>
      <c r="E62" s="61" t="s">
        <v>426</v>
      </c>
    </row>
    <row customHeight="1" ht="14.25" r="63" spans="1:5" x14ac:dyDescent="0.25">
      <c r="A63" s="62">
        <v>304</v>
      </c>
      <c r="B63" s="62" t="s">
        <v>427</v>
      </c>
      <c r="C63" s="62" t="s">
        <v>331</v>
      </c>
      <c r="D63" s="63">
        <v>0</v>
      </c>
      <c r="E63" s="61" t="s">
        <v>428</v>
      </c>
    </row>
    <row customHeight="1" ht="14.25" r="64" spans="1:5" x14ac:dyDescent="0.25">
      <c r="A64" s="62">
        <v>305</v>
      </c>
      <c r="B64" s="62" t="s">
        <v>429</v>
      </c>
      <c r="C64" s="62" t="s">
        <v>331</v>
      </c>
      <c r="D64" s="63">
        <v>0</v>
      </c>
      <c r="E64" s="61" t="s">
        <v>430</v>
      </c>
    </row>
    <row customHeight="1" ht="14.25" r="65" spans="1:5" x14ac:dyDescent="0.25">
      <c r="A65" s="62">
        <v>306</v>
      </c>
      <c r="B65" s="62" t="s">
        <v>431</v>
      </c>
      <c r="C65" s="62" t="s">
        <v>331</v>
      </c>
      <c r="D65" s="63">
        <v>0</v>
      </c>
      <c r="E65" s="61" t="s">
        <v>432</v>
      </c>
    </row>
    <row customHeight="1" ht="14.25" r="66" spans="1:5" x14ac:dyDescent="0.25">
      <c r="A66" s="62">
        <v>307</v>
      </c>
      <c r="B66" s="62" t="s">
        <v>433</v>
      </c>
      <c r="C66" s="62" t="s">
        <v>331</v>
      </c>
      <c r="D66" s="63">
        <v>0</v>
      </c>
      <c r="E66" s="61" t="s">
        <v>434</v>
      </c>
    </row>
    <row customHeight="1" ht="14.25" r="67" spans="1:5" x14ac:dyDescent="0.25">
      <c r="A67" s="62">
        <v>308</v>
      </c>
      <c r="B67" s="62" t="s">
        <v>435</v>
      </c>
      <c r="C67" s="62" t="s">
        <v>312</v>
      </c>
      <c r="D67" s="63">
        <v>0.55350968411900003</v>
      </c>
      <c r="E67" s="61" t="s">
        <v>436</v>
      </c>
    </row>
    <row customHeight="1" ht="14.25" r="68" spans="1:5" x14ac:dyDescent="0.25">
      <c r="A68" s="62">
        <v>309</v>
      </c>
      <c r="B68" s="62" t="s">
        <v>437</v>
      </c>
      <c r="C68" s="62" t="s">
        <v>312</v>
      </c>
      <c r="D68" s="63">
        <v>-0.23172742344700001</v>
      </c>
      <c r="E68" s="61" t="s">
        <v>438</v>
      </c>
    </row>
    <row customHeight="1" ht="14.25" r="69" spans="1:5" x14ac:dyDescent="0.25">
      <c r="A69" s="62">
        <v>310</v>
      </c>
      <c r="B69" s="62" t="s">
        <v>439</v>
      </c>
      <c r="C69" s="62" t="s">
        <v>312</v>
      </c>
      <c r="D69" s="63">
        <v>-0.13772236960600001</v>
      </c>
      <c r="E69" s="61" t="s">
        <v>440</v>
      </c>
    </row>
    <row customHeight="1" ht="14.25" r="70" spans="1:5" x14ac:dyDescent="0.25">
      <c r="A70" s="62">
        <v>311</v>
      </c>
      <c r="B70" s="62" t="s">
        <v>441</v>
      </c>
      <c r="C70" s="62" t="s">
        <v>331</v>
      </c>
      <c r="D70" s="63">
        <v>0</v>
      </c>
      <c r="E70" s="61" t="s">
        <v>442</v>
      </c>
    </row>
    <row customHeight="1" ht="14.25" r="71" spans="1:5" x14ac:dyDescent="0.25">
      <c r="A71" s="62">
        <v>312</v>
      </c>
      <c r="B71" s="62" t="s">
        <v>443</v>
      </c>
      <c r="C71" s="62" t="s">
        <v>331</v>
      </c>
      <c r="D71" s="63">
        <v>0</v>
      </c>
      <c r="E71" s="61" t="s">
        <v>444</v>
      </c>
    </row>
    <row customHeight="1" ht="14.25" r="72" spans="1:5" x14ac:dyDescent="0.25">
      <c r="A72" s="62">
        <v>313</v>
      </c>
      <c r="B72" s="62" t="s">
        <v>445</v>
      </c>
      <c r="C72" s="62" t="s">
        <v>312</v>
      </c>
      <c r="D72" s="63">
        <v>0.15830555373499999</v>
      </c>
      <c r="E72" s="61" t="s">
        <v>446</v>
      </c>
    </row>
    <row customHeight="1" ht="14.25" r="73" spans="1:5" x14ac:dyDescent="0.25">
      <c r="A73" s="62">
        <v>314</v>
      </c>
      <c r="B73" s="62" t="s">
        <v>447</v>
      </c>
      <c r="C73" s="62" t="s">
        <v>312</v>
      </c>
      <c r="D73" s="63">
        <v>-0.47638575072</v>
      </c>
      <c r="E73" s="61" t="s">
        <v>448</v>
      </c>
    </row>
    <row customHeight="1" ht="14.25" r="74" spans="1:5" x14ac:dyDescent="0.25">
      <c r="A74" s="62"/>
      <c r="B74" s="62"/>
      <c r="C74" s="62"/>
      <c r="D74" s="63"/>
      <c r="E74" s="61" t="s">
        <v>449</v>
      </c>
    </row>
    <row customHeight="1" ht="14.25" r="75" spans="1:5" x14ac:dyDescent="0.25">
      <c r="A75" s="62">
        <v>316</v>
      </c>
      <c r="B75" s="62" t="s">
        <v>450</v>
      </c>
      <c r="C75" s="62" t="s">
        <v>331</v>
      </c>
      <c r="D75" s="63">
        <v>0</v>
      </c>
      <c r="E75" s="61" t="s">
        <v>451</v>
      </c>
    </row>
    <row customHeight="1" ht="14.25" r="76" spans="1:5" x14ac:dyDescent="0.25">
      <c r="A76" s="62">
        <v>317</v>
      </c>
      <c r="B76" s="62" t="s">
        <v>452</v>
      </c>
      <c r="C76" s="62" t="s">
        <v>312</v>
      </c>
      <c r="D76" s="63">
        <v>1.2331767950900001</v>
      </c>
      <c r="E76" s="61" t="s">
        <v>453</v>
      </c>
    </row>
    <row customHeight="1" ht="14.25" r="77" spans="1:5" x14ac:dyDescent="0.25">
      <c r="A77" s="62">
        <v>318</v>
      </c>
      <c r="B77" s="62" t="s">
        <v>454</v>
      </c>
      <c r="C77" s="62" t="s">
        <v>312</v>
      </c>
      <c r="D77" s="63">
        <v>1.79373653729</v>
      </c>
      <c r="E77" s="61" t="s">
        <v>455</v>
      </c>
    </row>
    <row customHeight="1" ht="14.25" r="78" spans="1:5" x14ac:dyDescent="0.25">
      <c r="A78" s="62">
        <v>319</v>
      </c>
      <c r="B78" s="62" t="s">
        <v>456</v>
      </c>
      <c r="C78" s="62" t="s">
        <v>312</v>
      </c>
      <c r="D78" s="63">
        <v>0.54032130864700001</v>
      </c>
      <c r="E78" s="61" t="s">
        <v>457</v>
      </c>
    </row>
    <row customHeight="1" ht="14.25" r="79" spans="1:5" x14ac:dyDescent="0.25">
      <c r="A79" s="62">
        <v>320</v>
      </c>
      <c r="B79" s="62" t="s">
        <v>458</v>
      </c>
      <c r="C79" s="62" t="s">
        <v>312</v>
      </c>
      <c r="D79" s="63">
        <v>1.2225471973399999</v>
      </c>
      <c r="E79" s="61" t="s">
        <v>459</v>
      </c>
    </row>
    <row customHeight="1" ht="14.25" r="80" spans="1:5" x14ac:dyDescent="0.25">
      <c r="A80" s="62">
        <v>321</v>
      </c>
      <c r="B80" s="62" t="s">
        <v>460</v>
      </c>
      <c r="C80" s="62" t="s">
        <v>312</v>
      </c>
      <c r="D80" s="63">
        <v>-0.66641066384699998</v>
      </c>
      <c r="E80" s="61" t="s">
        <v>461</v>
      </c>
    </row>
    <row customHeight="1" ht="14.25" r="81" spans="1:5" x14ac:dyDescent="0.25">
      <c r="A81" s="62">
        <v>322</v>
      </c>
      <c r="B81" s="62" t="s">
        <v>462</v>
      </c>
      <c r="C81" s="62" t="s">
        <v>312</v>
      </c>
      <c r="D81" s="63">
        <v>-0.26227433626199997</v>
      </c>
      <c r="E81" s="61" t="s">
        <v>463</v>
      </c>
    </row>
    <row customHeight="1" ht="14.25" r="82" spans="1:5" x14ac:dyDescent="0.25">
      <c r="A82" s="62">
        <v>323</v>
      </c>
      <c r="B82" s="62" t="s">
        <v>464</v>
      </c>
      <c r="C82" s="62" t="s">
        <v>312</v>
      </c>
      <c r="D82" s="63">
        <v>-0.32522027447700003</v>
      </c>
      <c r="E82" s="61" t="s">
        <v>465</v>
      </c>
    </row>
    <row customHeight="1" ht="14.25" r="83" spans="1:5" x14ac:dyDescent="0.25">
      <c r="A83" s="62">
        <v>324</v>
      </c>
      <c r="B83" s="62" t="s">
        <v>466</v>
      </c>
      <c r="C83" s="62" t="s">
        <v>331</v>
      </c>
      <c r="D83" s="63">
        <v>0</v>
      </c>
      <c r="E83" s="61" t="s">
        <v>467</v>
      </c>
    </row>
    <row customHeight="1" ht="14.25" r="84" spans="1:5" x14ac:dyDescent="0.25">
      <c r="A84" s="62">
        <v>325</v>
      </c>
      <c r="B84" s="62" t="s">
        <v>468</v>
      </c>
      <c r="C84" s="62" t="s">
        <v>331</v>
      </c>
      <c r="D84" s="63">
        <v>0</v>
      </c>
      <c r="E84" s="61" t="s">
        <v>469</v>
      </c>
    </row>
    <row customHeight="1" ht="14.25" r="85" spans="1:5" x14ac:dyDescent="0.25">
      <c r="A85" s="62">
        <v>326</v>
      </c>
      <c r="B85" s="62" t="s">
        <v>470</v>
      </c>
      <c r="C85" s="62" t="s">
        <v>331</v>
      </c>
      <c r="D85" s="63">
        <v>0</v>
      </c>
      <c r="E85" s="61" t="s">
        <v>471</v>
      </c>
    </row>
    <row customHeight="1" ht="14.25" r="86" spans="1:5" x14ac:dyDescent="0.25">
      <c r="A86" s="62">
        <v>327</v>
      </c>
      <c r="B86" s="62" t="s">
        <v>472</v>
      </c>
      <c r="C86" s="62" t="s">
        <v>331</v>
      </c>
      <c r="D86" s="63">
        <v>0</v>
      </c>
      <c r="E86" s="61" t="s">
        <v>473</v>
      </c>
    </row>
    <row customHeight="1" ht="14.25" r="87" spans="1:5" x14ac:dyDescent="0.25">
      <c r="A87" s="62">
        <v>328</v>
      </c>
      <c r="B87" s="62" t="s">
        <v>474</v>
      </c>
      <c r="C87" s="62" t="s">
        <v>312</v>
      </c>
      <c r="D87" s="63">
        <v>3.4768357092199997E-2</v>
      </c>
      <c r="E87" s="61" t="s">
        <v>473</v>
      </c>
    </row>
    <row customHeight="1" ht="14.25" r="88" spans="1:5" x14ac:dyDescent="0.25">
      <c r="A88" s="62">
        <v>329</v>
      </c>
      <c r="B88" s="62" t="s">
        <v>475</v>
      </c>
      <c r="C88" s="62" t="s">
        <v>312</v>
      </c>
      <c r="D88" s="63">
        <v>7.6268365288400003E-2</v>
      </c>
      <c r="E88" s="61" t="s">
        <v>473</v>
      </c>
    </row>
    <row customHeight="1" ht="14.25" r="89" spans="1:5" x14ac:dyDescent="0.25">
      <c r="A89" s="62">
        <v>351</v>
      </c>
      <c r="B89" s="62" t="s">
        <v>476</v>
      </c>
      <c r="C89" s="62" t="s">
        <v>331</v>
      </c>
      <c r="D89" s="63">
        <v>0</v>
      </c>
      <c r="E89" s="61" t="s">
        <v>477</v>
      </c>
    </row>
    <row customHeight="1" ht="14.25" r="90" spans="1:5" x14ac:dyDescent="0.25">
      <c r="A90" s="62">
        <v>400</v>
      </c>
      <c r="B90" s="62" t="s">
        <v>478</v>
      </c>
      <c r="C90" s="62" t="s">
        <v>312</v>
      </c>
      <c r="D90" s="67">
        <v>-2.3982761737499998</v>
      </c>
      <c r="E90" s="61" t="s">
        <v>479</v>
      </c>
    </row>
    <row customHeight="1" ht="14.25" r="91" spans="1:5" x14ac:dyDescent="0.25">
      <c r="A91" s="62">
        <v>401</v>
      </c>
      <c r="B91" s="62" t="s">
        <v>480</v>
      </c>
      <c r="C91" s="62" t="s">
        <v>312</v>
      </c>
      <c r="D91" s="67">
        <v>1.76216764608</v>
      </c>
      <c r="E91" s="61" t="s">
        <v>481</v>
      </c>
    </row>
    <row customHeight="1" ht="14.25" r="92" spans="1:5" x14ac:dyDescent="0.25">
      <c r="A92" s="62">
        <v>402</v>
      </c>
      <c r="B92" s="62" t="s">
        <v>482</v>
      </c>
      <c r="C92" s="62" t="s">
        <v>312</v>
      </c>
      <c r="D92" s="63">
        <v>0.19320373610399999</v>
      </c>
      <c r="E92" s="61" t="s">
        <v>483</v>
      </c>
    </row>
    <row customHeight="1" ht="14.25" r="93" spans="1:5" x14ac:dyDescent="0.25">
      <c r="A93" s="62">
        <v>403</v>
      </c>
      <c r="B93" s="62" t="s">
        <v>484</v>
      </c>
      <c r="C93" s="62" t="s">
        <v>312</v>
      </c>
      <c r="D93" s="63">
        <v>0.52545543591999999</v>
      </c>
      <c r="E93" s="61" t="s">
        <v>485</v>
      </c>
    </row>
    <row customHeight="1" ht="14.25" r="94" spans="1:5" x14ac:dyDescent="0.25">
      <c r="A94" s="62">
        <v>404</v>
      </c>
      <c r="B94" s="62" t="s">
        <v>486</v>
      </c>
      <c r="C94" s="62" t="s">
        <v>312</v>
      </c>
      <c r="D94" s="63">
        <v>0.41321074580299999</v>
      </c>
      <c r="E94" s="61" t="s">
        <v>487</v>
      </c>
    </row>
    <row customHeight="1" ht="14.25" r="95" spans="1:5" x14ac:dyDescent="0.25">
      <c r="A95" s="62">
        <v>405</v>
      </c>
      <c r="B95" s="62" t="s">
        <v>488</v>
      </c>
      <c r="C95" s="62" t="s">
        <v>331</v>
      </c>
      <c r="D95" s="63">
        <v>0</v>
      </c>
      <c r="E95" s="61" t="s">
        <v>489</v>
      </c>
    </row>
    <row customHeight="1" ht="14.25" r="96" spans="1:5" x14ac:dyDescent="0.25">
      <c r="A96" s="62">
        <v>406</v>
      </c>
      <c r="B96" s="62" t="s">
        <v>490</v>
      </c>
      <c r="C96" s="62" t="s">
        <v>312</v>
      </c>
      <c r="D96" s="63">
        <v>-0.28000928906599998</v>
      </c>
      <c r="E96" s="61" t="s">
        <v>491</v>
      </c>
    </row>
    <row customHeight="1" ht="14.25" r="97" spans="1:5" x14ac:dyDescent="0.25">
      <c r="A97" s="62">
        <v>407</v>
      </c>
      <c r="B97" s="62" t="s">
        <v>492</v>
      </c>
      <c r="C97" s="62" t="s">
        <v>312</v>
      </c>
      <c r="D97" s="63">
        <v>-0.44484435744700002</v>
      </c>
      <c r="E97" s="61" t="s">
        <v>493</v>
      </c>
    </row>
    <row customHeight="1" ht="14.25" r="98" spans="1:5" x14ac:dyDescent="0.25">
      <c r="A98" s="62">
        <v>408</v>
      </c>
      <c r="B98" s="62" t="s">
        <v>494</v>
      </c>
      <c r="C98" s="62" t="s">
        <v>312</v>
      </c>
      <c r="D98" s="63">
        <v>-0.56977797245299999</v>
      </c>
      <c r="E98" s="61" t="s">
        <v>495</v>
      </c>
    </row>
    <row customHeight="1" ht="14.25" r="99" spans="1:5" x14ac:dyDescent="0.25">
      <c r="A99" s="62">
        <v>409</v>
      </c>
      <c r="B99" s="62" t="s">
        <v>496</v>
      </c>
      <c r="C99" s="62" t="s">
        <v>312</v>
      </c>
      <c r="D99" s="63">
        <v>-0.14054445235400001</v>
      </c>
      <c r="E99" s="61" t="s">
        <v>497</v>
      </c>
    </row>
    <row customHeight="1" ht="14.25" r="100" spans="1:5" x14ac:dyDescent="0.25">
      <c r="A100" s="62">
        <v>410</v>
      </c>
      <c r="B100" s="62" t="s">
        <v>498</v>
      </c>
      <c r="C100" s="62" t="s">
        <v>331</v>
      </c>
      <c r="D100" s="63">
        <v>0</v>
      </c>
      <c r="E100" s="61" t="s">
        <v>499</v>
      </c>
    </row>
    <row customHeight="1" ht="14.25" r="101" spans="1:5" x14ac:dyDescent="0.25">
      <c r="A101" s="62">
        <v>411</v>
      </c>
      <c r="B101" s="62" t="s">
        <v>500</v>
      </c>
      <c r="C101" s="62" t="s">
        <v>312</v>
      </c>
      <c r="D101" s="63">
        <v>0.115311648879</v>
      </c>
      <c r="E101" s="61" t="s">
        <v>501</v>
      </c>
    </row>
    <row customHeight="1" ht="14.25" r="102" spans="1:5" x14ac:dyDescent="0.25">
      <c r="A102" s="62">
        <v>412</v>
      </c>
      <c r="B102" s="62" t="s">
        <v>502</v>
      </c>
      <c r="C102" s="62" t="s">
        <v>312</v>
      </c>
      <c r="D102" s="63">
        <v>9.47178749948E-2</v>
      </c>
      <c r="E102" s="61" t="s">
        <v>503</v>
      </c>
    </row>
    <row customHeight="1" ht="14.25" r="103" spans="1:5" x14ac:dyDescent="0.25">
      <c r="A103" s="62">
        <v>413</v>
      </c>
      <c r="B103" s="62" t="s">
        <v>504</v>
      </c>
      <c r="C103" s="62" t="s">
        <v>312</v>
      </c>
      <c r="D103" s="63">
        <v>6.1244785304499998E-2</v>
      </c>
      <c r="E103" s="61" t="s">
        <v>505</v>
      </c>
    </row>
    <row customHeight="1" ht="14.25" r="104" spans="1:5" x14ac:dyDescent="0.25">
      <c r="A104" s="62">
        <v>414</v>
      </c>
      <c r="B104" s="62" t="s">
        <v>506</v>
      </c>
      <c r="C104" s="62" t="s">
        <v>331</v>
      </c>
      <c r="D104" s="63">
        <v>0</v>
      </c>
      <c r="E104" s="61" t="s">
        <v>507</v>
      </c>
    </row>
    <row customHeight="1" ht="14.25" r="105" spans="1:5" x14ac:dyDescent="0.25">
      <c r="A105" s="62"/>
      <c r="B105" s="62"/>
      <c r="C105" s="62"/>
      <c r="D105" s="63"/>
      <c r="E105" s="61" t="s">
        <v>508</v>
      </c>
    </row>
    <row customHeight="1" ht="14.25" r="106" spans="1:5" x14ac:dyDescent="0.25">
      <c r="A106" s="62">
        <v>416</v>
      </c>
      <c r="B106" s="62" t="s">
        <v>509</v>
      </c>
      <c r="C106" s="62" t="s">
        <v>331</v>
      </c>
      <c r="D106" s="63">
        <v>0</v>
      </c>
      <c r="E106" s="61" t="s">
        <v>510</v>
      </c>
    </row>
    <row customHeight="1" ht="14.25" r="107" spans="1:5" x14ac:dyDescent="0.25">
      <c r="A107" s="62">
        <v>417</v>
      </c>
      <c r="B107" s="62" t="s">
        <v>511</v>
      </c>
      <c r="C107" s="62" t="s">
        <v>312</v>
      </c>
      <c r="D107" s="63">
        <v>-0.40965813037100002</v>
      </c>
      <c r="E107" s="61" t="s">
        <v>512</v>
      </c>
    </row>
    <row customHeight="1" ht="14.25" r="108" spans="1:5" x14ac:dyDescent="0.25">
      <c r="A108" s="62">
        <v>418</v>
      </c>
      <c r="B108" s="62" t="s">
        <v>513</v>
      </c>
      <c r="C108" s="62" t="s">
        <v>312</v>
      </c>
      <c r="D108" s="63">
        <v>-0.27272828309399999</v>
      </c>
      <c r="E108" s="61" t="s">
        <v>514</v>
      </c>
    </row>
    <row customHeight="1" ht="14.25" r="109" spans="1:5" x14ac:dyDescent="0.25">
      <c r="A109" s="62">
        <v>419</v>
      </c>
      <c r="B109" s="62" t="s">
        <v>515</v>
      </c>
      <c r="C109" s="62" t="s">
        <v>331</v>
      </c>
      <c r="D109" s="63">
        <v>0</v>
      </c>
      <c r="E109" s="61" t="s">
        <v>516</v>
      </c>
    </row>
    <row customHeight="1" ht="14.25" r="110" spans="1:5" x14ac:dyDescent="0.25">
      <c r="A110" s="62">
        <v>420</v>
      </c>
      <c r="B110" s="62" t="s">
        <v>517</v>
      </c>
      <c r="C110" s="62" t="s">
        <v>312</v>
      </c>
      <c r="D110" s="63">
        <v>-0.47043638995300002</v>
      </c>
      <c r="E110" s="61" t="s">
        <v>518</v>
      </c>
    </row>
    <row customHeight="1" ht="14.25" r="111" spans="1:5" x14ac:dyDescent="0.25">
      <c r="A111" s="62">
        <v>421</v>
      </c>
      <c r="B111" s="62" t="s">
        <v>519</v>
      </c>
      <c r="C111" s="62" t="s">
        <v>312</v>
      </c>
      <c r="D111" s="63">
        <v>-0.37600681948100001</v>
      </c>
      <c r="E111" s="61" t="s">
        <v>520</v>
      </c>
    </row>
    <row customHeight="1" ht="14.25" r="112" spans="1:5" x14ac:dyDescent="0.25">
      <c r="A112" s="62">
        <v>422</v>
      </c>
      <c r="B112" s="62" t="s">
        <v>521</v>
      </c>
      <c r="C112" s="62" t="s">
        <v>312</v>
      </c>
      <c r="D112" s="63">
        <v>-0.209864278569</v>
      </c>
      <c r="E112" s="61" t="s">
        <v>522</v>
      </c>
    </row>
    <row customHeight="1" ht="14.25" r="113" spans="1:5" x14ac:dyDescent="0.25">
      <c r="A113" s="62">
        <v>423</v>
      </c>
      <c r="B113" s="62" t="s">
        <v>523</v>
      </c>
      <c r="C113" s="62" t="s">
        <v>312</v>
      </c>
      <c r="D113" s="63">
        <v>9.4396255009400007E-2</v>
      </c>
      <c r="E113" s="61" t="s">
        <v>524</v>
      </c>
    </row>
    <row customHeight="1" ht="14.25" r="114" spans="1:5" x14ac:dyDescent="0.25">
      <c r="A114" s="62">
        <v>424</v>
      </c>
      <c r="B114" s="62" t="s">
        <v>525</v>
      </c>
      <c r="C114" s="62" t="s">
        <v>331</v>
      </c>
      <c r="D114" s="63">
        <v>0</v>
      </c>
      <c r="E114" s="61" t="s">
        <v>526</v>
      </c>
    </row>
    <row customHeight="1" ht="14.25" r="115" spans="1:5" x14ac:dyDescent="0.25">
      <c r="A115" s="62">
        <v>425</v>
      </c>
      <c r="B115" s="62" t="s">
        <v>527</v>
      </c>
      <c r="C115" s="62" t="s">
        <v>331</v>
      </c>
      <c r="D115" s="63">
        <v>0</v>
      </c>
      <c r="E115" s="61" t="s">
        <v>528</v>
      </c>
    </row>
    <row customHeight="1" ht="14.25" r="116" spans="1:5" x14ac:dyDescent="0.25">
      <c r="A116" s="62">
        <v>426</v>
      </c>
      <c r="B116" s="62" t="s">
        <v>529</v>
      </c>
      <c r="C116" s="62" t="s">
        <v>331</v>
      </c>
      <c r="D116" s="63">
        <v>0</v>
      </c>
      <c r="E116" s="61" t="s">
        <v>530</v>
      </c>
    </row>
    <row customHeight="1" ht="14.25" r="117" spans="1:5" x14ac:dyDescent="0.25">
      <c r="A117" s="62">
        <v>427</v>
      </c>
      <c r="B117" s="62" t="s">
        <v>531</v>
      </c>
      <c r="C117" s="62" t="s">
        <v>331</v>
      </c>
      <c r="D117" s="63">
        <v>0</v>
      </c>
      <c r="E117" s="61" t="s">
        <v>532</v>
      </c>
    </row>
    <row customHeight="1" ht="14.25" r="118" spans="1:5" x14ac:dyDescent="0.25">
      <c r="A118" s="62">
        <v>428</v>
      </c>
      <c r="B118" s="62" t="s">
        <v>533</v>
      </c>
      <c r="C118" s="62" t="s">
        <v>312</v>
      </c>
      <c r="D118" s="63">
        <v>1.73847560434E-2</v>
      </c>
      <c r="E118" s="61" t="s">
        <v>532</v>
      </c>
    </row>
    <row customHeight="1" ht="14.25" r="119" spans="1:5" x14ac:dyDescent="0.25">
      <c r="A119" s="62">
        <v>429</v>
      </c>
      <c r="B119" s="62" t="s">
        <v>534</v>
      </c>
      <c r="C119" s="62" t="s">
        <v>312</v>
      </c>
      <c r="D119" s="63">
        <v>-5.59466962609E-2</v>
      </c>
      <c r="E119" s="61" t="s">
        <v>532</v>
      </c>
    </row>
    <row customHeight="1" ht="14.25" r="120" spans="1:5" x14ac:dyDescent="0.25">
      <c r="A120" s="62">
        <v>451</v>
      </c>
      <c r="B120" s="62" t="s">
        <v>535</v>
      </c>
      <c r="C120" s="62" t="s">
        <v>331</v>
      </c>
      <c r="D120" s="63">
        <v>0</v>
      </c>
      <c r="E120" s="61" t="s">
        <v>536</v>
      </c>
    </row>
    <row customHeight="1" ht="14.25" r="121" spans="1:5" x14ac:dyDescent="0.25">
      <c r="A121" s="62">
        <v>500</v>
      </c>
      <c r="B121" s="62" t="s">
        <v>537</v>
      </c>
      <c r="C121" s="62" t="s">
        <v>312</v>
      </c>
      <c r="D121" s="67">
        <v>-2.8894802391700001</v>
      </c>
      <c r="E121" s="61" t="s">
        <v>538</v>
      </c>
    </row>
    <row customHeight="1" ht="14.25" r="122" spans="1:5" x14ac:dyDescent="0.25">
      <c r="A122" s="62">
        <v>501</v>
      </c>
      <c r="B122" s="62" t="s">
        <v>539</v>
      </c>
      <c r="C122" s="62" t="s">
        <v>312</v>
      </c>
      <c r="D122" s="67">
        <v>1.20019223739</v>
      </c>
      <c r="E122" s="61" t="s">
        <v>540</v>
      </c>
    </row>
    <row customHeight="1" ht="14.25" r="123" spans="1:5" x14ac:dyDescent="0.25">
      <c r="A123" s="62">
        <v>502</v>
      </c>
      <c r="B123" s="62" t="s">
        <v>541</v>
      </c>
      <c r="C123" s="62" t="s">
        <v>312</v>
      </c>
      <c r="D123" s="63">
        <v>5.8380087117899999E-2</v>
      </c>
      <c r="E123" s="61" t="s">
        <v>542</v>
      </c>
    </row>
    <row customHeight="1" ht="14.25" r="124" spans="1:5" x14ac:dyDescent="0.25">
      <c r="A124" s="62">
        <v>503</v>
      </c>
      <c r="B124" s="62" t="s">
        <v>543</v>
      </c>
      <c r="C124" s="62" t="s">
        <v>312</v>
      </c>
      <c r="D124" s="63">
        <v>0.203681069582</v>
      </c>
      <c r="E124" s="61" t="s">
        <v>544</v>
      </c>
    </row>
    <row customHeight="1" ht="14.25" r="125" spans="1:5" x14ac:dyDescent="0.25">
      <c r="A125" s="62">
        <v>504</v>
      </c>
      <c r="B125" s="62" t="s">
        <v>545</v>
      </c>
      <c r="C125" s="62" t="s">
        <v>312</v>
      </c>
      <c r="D125" s="63">
        <v>0.46146093992800002</v>
      </c>
      <c r="E125" s="61" t="s">
        <v>546</v>
      </c>
    </row>
    <row customHeight="1" ht="14.25" r="126" spans="1:5" x14ac:dyDescent="0.25">
      <c r="A126" s="62">
        <v>505</v>
      </c>
      <c r="B126" s="62" t="s">
        <v>547</v>
      </c>
      <c r="C126" s="62" t="s">
        <v>312</v>
      </c>
      <c r="D126" s="63">
        <v>0.221710710605</v>
      </c>
      <c r="E126" s="61" t="s">
        <v>548</v>
      </c>
    </row>
    <row customHeight="1" ht="14.25" r="127" spans="1:5" x14ac:dyDescent="0.25">
      <c r="A127" s="62">
        <v>506</v>
      </c>
      <c r="B127" s="62" t="s">
        <v>549</v>
      </c>
      <c r="C127" s="62" t="s">
        <v>312</v>
      </c>
      <c r="D127" s="63">
        <v>-0.47361611325699998</v>
      </c>
      <c r="E127" s="61" t="s">
        <v>550</v>
      </c>
    </row>
    <row customHeight="1" ht="14.25" r="128" spans="1:5" x14ac:dyDescent="0.25">
      <c r="A128" s="62">
        <v>507</v>
      </c>
      <c r="B128" s="62" t="s">
        <v>551</v>
      </c>
      <c r="C128" s="62" t="s">
        <v>312</v>
      </c>
      <c r="D128" s="63">
        <v>-0.55915518403499997</v>
      </c>
      <c r="E128" s="61" t="s">
        <v>552</v>
      </c>
    </row>
    <row customHeight="1" ht="14.25" r="129" spans="1:5" x14ac:dyDescent="0.25">
      <c r="A129" s="62">
        <v>508</v>
      </c>
      <c r="B129" s="62" t="s">
        <v>553</v>
      </c>
      <c r="C129" s="62" t="s">
        <v>331</v>
      </c>
      <c r="D129" s="63">
        <v>0</v>
      </c>
      <c r="E129" s="61" t="s">
        <v>554</v>
      </c>
    </row>
    <row customHeight="1" ht="14.25" r="130" spans="1:5" x14ac:dyDescent="0.25">
      <c r="A130" s="62">
        <v>509</v>
      </c>
      <c r="B130" s="62" t="s">
        <v>555</v>
      </c>
      <c r="C130" s="62" t="s">
        <v>312</v>
      </c>
      <c r="D130" s="63">
        <v>-0.17146619609700001</v>
      </c>
      <c r="E130" s="61" t="s">
        <v>556</v>
      </c>
    </row>
    <row customHeight="1" ht="14.25" r="131" spans="1:5" x14ac:dyDescent="0.25">
      <c r="A131" s="62">
        <v>510</v>
      </c>
      <c r="B131" s="62" t="s">
        <v>557</v>
      </c>
      <c r="C131" s="62" t="s">
        <v>331</v>
      </c>
      <c r="D131" s="63">
        <v>0</v>
      </c>
      <c r="E131" s="61" t="s">
        <v>558</v>
      </c>
    </row>
    <row customHeight="1" ht="14.25" r="132" spans="1:5" x14ac:dyDescent="0.25">
      <c r="A132" s="62">
        <v>511</v>
      </c>
      <c r="B132" s="62" t="s">
        <v>559</v>
      </c>
      <c r="C132" s="62" t="s">
        <v>331</v>
      </c>
      <c r="D132" s="63">
        <v>0</v>
      </c>
      <c r="E132" s="61" t="s">
        <v>560</v>
      </c>
    </row>
    <row customHeight="1" ht="14.25" r="133" spans="1:5" x14ac:dyDescent="0.25">
      <c r="A133" s="62">
        <v>512</v>
      </c>
      <c r="B133" s="62" t="s">
        <v>561</v>
      </c>
      <c r="C133" s="62" t="s">
        <v>312</v>
      </c>
      <c r="D133" s="63">
        <v>0.107493865359</v>
      </c>
      <c r="E133" s="61" t="s">
        <v>562</v>
      </c>
    </row>
    <row customHeight="1" ht="14.25" r="134" spans="1:5" x14ac:dyDescent="0.25">
      <c r="A134" s="62">
        <v>513</v>
      </c>
      <c r="B134" s="62" t="s">
        <v>563</v>
      </c>
      <c r="C134" s="62" t="s">
        <v>312</v>
      </c>
      <c r="D134" s="63">
        <v>0.26453943645099998</v>
      </c>
      <c r="E134" s="61" t="s">
        <v>564</v>
      </c>
    </row>
    <row customHeight="1" ht="14.25" r="135" spans="1:5" x14ac:dyDescent="0.25">
      <c r="A135" s="62">
        <v>514</v>
      </c>
      <c r="B135" s="62" t="s">
        <v>565</v>
      </c>
      <c r="C135" s="62" t="s">
        <v>331</v>
      </c>
      <c r="D135" s="63">
        <v>0</v>
      </c>
      <c r="E135" s="61" t="s">
        <v>566</v>
      </c>
    </row>
    <row customHeight="1" ht="14.25" r="136" spans="1:5" x14ac:dyDescent="0.25">
      <c r="A136" s="62"/>
      <c r="B136" s="62"/>
      <c r="C136" s="62"/>
      <c r="D136" s="63"/>
      <c r="E136" s="61" t="s">
        <v>567</v>
      </c>
    </row>
    <row customHeight="1" ht="14.25" r="137" spans="1:5" x14ac:dyDescent="0.25">
      <c r="A137" s="62">
        <v>516</v>
      </c>
      <c r="B137" s="62" t="s">
        <v>568</v>
      </c>
      <c r="C137" s="62" t="s">
        <v>312</v>
      </c>
      <c r="D137" s="63">
        <v>0.17106021717600001</v>
      </c>
      <c r="E137" s="61" t="s">
        <v>569</v>
      </c>
    </row>
    <row customHeight="1" ht="14.25" r="138" spans="1:5" x14ac:dyDescent="0.25">
      <c r="A138" s="62">
        <v>517</v>
      </c>
      <c r="B138" s="62" t="s">
        <v>570</v>
      </c>
      <c r="C138" s="62" t="s">
        <v>331</v>
      </c>
      <c r="D138" s="63">
        <v>0</v>
      </c>
      <c r="E138" s="61" t="s">
        <v>571</v>
      </c>
    </row>
    <row customHeight="1" ht="14.25" r="139" spans="1:5" x14ac:dyDescent="0.25">
      <c r="A139" s="62">
        <v>518</v>
      </c>
      <c r="B139" s="62" t="s">
        <v>572</v>
      </c>
      <c r="C139" s="62" t="s">
        <v>331</v>
      </c>
      <c r="D139" s="63">
        <v>0</v>
      </c>
      <c r="E139" s="61" t="s">
        <v>573</v>
      </c>
    </row>
    <row customHeight="1" ht="14.25" r="140" spans="1:5" x14ac:dyDescent="0.25">
      <c r="A140" s="62">
        <v>519</v>
      </c>
      <c r="B140" s="62" t="s">
        <v>574</v>
      </c>
      <c r="C140" s="62" t="s">
        <v>312</v>
      </c>
      <c r="D140" s="63">
        <v>-0.35204692353900002</v>
      </c>
      <c r="E140" s="61" t="s">
        <v>575</v>
      </c>
    </row>
    <row customHeight="1" ht="14.25" r="141" spans="1:5" x14ac:dyDescent="0.25">
      <c r="A141" s="62">
        <v>520</v>
      </c>
      <c r="B141" s="62" t="s">
        <v>576</v>
      </c>
      <c r="C141" s="62" t="s">
        <v>331</v>
      </c>
      <c r="D141" s="63">
        <v>0</v>
      </c>
      <c r="E141" s="61" t="s">
        <v>577</v>
      </c>
    </row>
    <row customHeight="1" ht="14.25" r="142" spans="1:5" x14ac:dyDescent="0.25">
      <c r="A142" s="62">
        <v>521</v>
      </c>
      <c r="B142" s="62" t="s">
        <v>578</v>
      </c>
      <c r="C142" s="62" t="s">
        <v>312</v>
      </c>
      <c r="D142" s="63">
        <v>-0.30791030020900001</v>
      </c>
      <c r="E142" s="61" t="s">
        <v>579</v>
      </c>
    </row>
    <row customHeight="1" ht="14.25" r="143" spans="1:5" x14ac:dyDescent="0.25">
      <c r="A143" s="62">
        <v>522</v>
      </c>
      <c r="B143" s="62" t="s">
        <v>580</v>
      </c>
      <c r="C143" s="62" t="s">
        <v>312</v>
      </c>
      <c r="D143" s="63">
        <v>-0.29888855118699997</v>
      </c>
      <c r="E143" s="61" t="s">
        <v>581</v>
      </c>
    </row>
    <row customHeight="1" ht="14.25" r="144" spans="1:5" x14ac:dyDescent="0.25">
      <c r="A144" s="62">
        <v>523</v>
      </c>
      <c r="B144" s="62" t="s">
        <v>582</v>
      </c>
      <c r="C144" s="62" t="s">
        <v>312</v>
      </c>
      <c r="D144" s="63">
        <v>8.0266289956400005E-2</v>
      </c>
      <c r="E144" s="61" t="s">
        <v>583</v>
      </c>
    </row>
    <row customHeight="1" ht="14.25" r="145" spans="1:5" x14ac:dyDescent="0.25">
      <c r="A145" s="62">
        <v>524</v>
      </c>
      <c r="B145" s="62" t="s">
        <v>584</v>
      </c>
      <c r="C145" s="62" t="s">
        <v>331</v>
      </c>
      <c r="D145" s="63">
        <v>0</v>
      </c>
      <c r="E145" s="61" t="s">
        <v>585</v>
      </c>
    </row>
    <row customHeight="1" ht="14.25" r="146" spans="1:5" x14ac:dyDescent="0.25">
      <c r="A146" s="62">
        <v>525</v>
      </c>
      <c r="B146" s="62" t="s">
        <v>586</v>
      </c>
      <c r="C146" s="62" t="s">
        <v>331</v>
      </c>
      <c r="D146" s="63">
        <v>0</v>
      </c>
      <c r="E146" s="61" t="s">
        <v>587</v>
      </c>
    </row>
    <row customHeight="1" ht="14.25" r="147" spans="1:5" x14ac:dyDescent="0.25">
      <c r="A147" s="62">
        <v>526</v>
      </c>
      <c r="B147" s="62" t="s">
        <v>588</v>
      </c>
      <c r="C147" s="62" t="s">
        <v>331</v>
      </c>
      <c r="D147" s="63">
        <v>0</v>
      </c>
      <c r="E147" s="61" t="s">
        <v>589</v>
      </c>
    </row>
    <row customHeight="1" ht="14.25" r="148" spans="1:5" x14ac:dyDescent="0.25">
      <c r="A148" s="62">
        <v>527</v>
      </c>
      <c r="B148" s="62" t="s">
        <v>590</v>
      </c>
      <c r="C148" s="62" t="s">
        <v>331</v>
      </c>
      <c r="D148" s="63">
        <v>0</v>
      </c>
      <c r="E148" s="61" t="s">
        <v>591</v>
      </c>
    </row>
    <row customHeight="1" ht="14.25" r="149" spans="1:5" x14ac:dyDescent="0.25">
      <c r="A149" s="62">
        <v>528</v>
      </c>
      <c r="B149" s="62" t="s">
        <v>592</v>
      </c>
      <c r="C149" s="62" t="s">
        <v>312</v>
      </c>
      <c r="D149" s="63">
        <v>5.4115472884499999E-2</v>
      </c>
      <c r="E149" s="61" t="s">
        <v>591</v>
      </c>
    </row>
    <row customHeight="1" ht="14.25" r="150" spans="1:5" x14ac:dyDescent="0.25">
      <c r="A150" s="62">
        <v>529</v>
      </c>
      <c r="B150" s="62" t="s">
        <v>593</v>
      </c>
      <c r="C150" s="62" t="s">
        <v>312</v>
      </c>
      <c r="D150" s="63">
        <v>-2.8648428481899999E-2</v>
      </c>
      <c r="E150" s="61" t="s">
        <v>591</v>
      </c>
    </row>
    <row customHeight="1" ht="14.25" r="151" spans="1:5" x14ac:dyDescent="0.25">
      <c r="A151" s="62">
        <v>551</v>
      </c>
      <c r="B151" s="62" t="s">
        <v>594</v>
      </c>
      <c r="C151" s="62" t="s">
        <v>331</v>
      </c>
      <c r="D151" s="63">
        <v>0</v>
      </c>
      <c r="E151" s="61" t="s">
        <v>595</v>
      </c>
    </row>
    <row customHeight="1" ht="14.25" r="152" spans="1:5" x14ac:dyDescent="0.25">
      <c r="A152" s="62">
        <v>600</v>
      </c>
      <c r="B152" s="62" t="s">
        <v>596</v>
      </c>
      <c r="C152" s="62" t="s">
        <v>312</v>
      </c>
      <c r="D152" s="67">
        <v>-3.1425534854400001</v>
      </c>
      <c r="E152" s="61" t="s">
        <v>597</v>
      </c>
    </row>
    <row customHeight="1" ht="14.25" r="153" spans="1:5" x14ac:dyDescent="0.25">
      <c r="A153" s="62">
        <v>601</v>
      </c>
      <c r="B153" s="62" t="s">
        <v>598</v>
      </c>
      <c r="C153" s="62" t="s">
        <v>312</v>
      </c>
      <c r="D153" s="67">
        <v>0.46830660861500001</v>
      </c>
      <c r="E153" s="61" t="s">
        <v>599</v>
      </c>
    </row>
    <row customHeight="1" ht="14.25" r="154" spans="1:5" x14ac:dyDescent="0.25">
      <c r="A154" s="62">
        <v>602</v>
      </c>
      <c r="B154" s="62" t="s">
        <v>600</v>
      </c>
      <c r="C154" s="62" t="s">
        <v>312</v>
      </c>
      <c r="D154" s="63">
        <v>-0.25863723025500002</v>
      </c>
      <c r="E154" s="61" t="s">
        <v>601</v>
      </c>
    </row>
    <row customHeight="1" ht="14.25" r="155" spans="1:5" x14ac:dyDescent="0.25">
      <c r="A155" s="62">
        <v>603</v>
      </c>
      <c r="B155" s="62" t="s">
        <v>602</v>
      </c>
      <c r="C155" s="62" t="s">
        <v>331</v>
      </c>
      <c r="D155" s="63">
        <v>0</v>
      </c>
      <c r="E155" s="61" t="s">
        <v>603</v>
      </c>
    </row>
    <row customHeight="1" ht="14.25" r="156" spans="1:5" x14ac:dyDescent="0.25">
      <c r="A156" s="62">
        <v>604</v>
      </c>
      <c r="B156" s="62" t="s">
        <v>604</v>
      </c>
      <c r="C156" s="62" t="s">
        <v>331</v>
      </c>
      <c r="D156" s="63">
        <v>0</v>
      </c>
      <c r="E156" s="61" t="s">
        <v>605</v>
      </c>
    </row>
    <row customHeight="1" ht="14.25" r="157" spans="1:5" x14ac:dyDescent="0.25">
      <c r="A157" s="62">
        <v>605</v>
      </c>
      <c r="B157" s="62" t="s">
        <v>606</v>
      </c>
      <c r="C157" s="62" t="s">
        <v>331</v>
      </c>
      <c r="D157" s="63">
        <v>0</v>
      </c>
      <c r="E157" s="61" t="s">
        <v>607</v>
      </c>
    </row>
    <row customHeight="1" ht="14.25" r="158" spans="1:5" x14ac:dyDescent="0.25">
      <c r="A158" s="62">
        <v>606</v>
      </c>
      <c r="B158" s="62" t="s">
        <v>608</v>
      </c>
      <c r="C158" s="62" t="s">
        <v>312</v>
      </c>
      <c r="D158" s="63">
        <v>-0.43185728271200002</v>
      </c>
      <c r="E158" s="61" t="s">
        <v>609</v>
      </c>
    </row>
    <row customHeight="1" ht="14.25" r="159" spans="1:5" x14ac:dyDescent="0.25">
      <c r="A159" s="62">
        <v>607</v>
      </c>
      <c r="B159" s="62" t="s">
        <v>610</v>
      </c>
      <c r="C159" s="62" t="s">
        <v>312</v>
      </c>
      <c r="D159" s="63">
        <v>-0.761624854909</v>
      </c>
      <c r="E159" s="61" t="s">
        <v>611</v>
      </c>
    </row>
    <row customHeight="1" ht="14.25" r="160" spans="1:5" x14ac:dyDescent="0.25">
      <c r="A160" s="62">
        <v>608</v>
      </c>
      <c r="B160" s="62" t="s">
        <v>612</v>
      </c>
      <c r="C160" s="62" t="s">
        <v>312</v>
      </c>
      <c r="D160" s="63">
        <v>-0.333105150643</v>
      </c>
      <c r="E160" s="61" t="s">
        <v>613</v>
      </c>
    </row>
    <row customHeight="1" ht="14.25" r="161" spans="1:5" x14ac:dyDescent="0.25">
      <c r="A161" s="62">
        <v>609</v>
      </c>
      <c r="B161" s="62" t="s">
        <v>614</v>
      </c>
      <c r="C161" s="62" t="s">
        <v>312</v>
      </c>
      <c r="D161" s="63">
        <v>-0.13926104036799999</v>
      </c>
      <c r="E161" s="61" t="s">
        <v>615</v>
      </c>
    </row>
    <row customHeight="1" ht="14.25" r="162" spans="1:5" x14ac:dyDescent="0.25">
      <c r="A162" s="62">
        <v>610</v>
      </c>
      <c r="B162" s="62" t="s">
        <v>616</v>
      </c>
      <c r="C162" s="62" t="s">
        <v>312</v>
      </c>
      <c r="D162" s="63">
        <v>-0.138284140981</v>
      </c>
      <c r="E162" s="61" t="s">
        <v>617</v>
      </c>
    </row>
    <row customHeight="1" ht="14.25" r="163" spans="1:5" x14ac:dyDescent="0.25">
      <c r="A163" s="62">
        <v>611</v>
      </c>
      <c r="B163" s="62" t="s">
        <v>618</v>
      </c>
      <c r="C163" s="62" t="s">
        <v>331</v>
      </c>
      <c r="D163" s="63">
        <v>0</v>
      </c>
      <c r="E163" s="61" t="s">
        <v>619</v>
      </c>
    </row>
    <row customHeight="1" ht="14.25" r="164" spans="1:5" x14ac:dyDescent="0.25">
      <c r="A164" s="62">
        <v>612</v>
      </c>
      <c r="B164" s="62" t="s">
        <v>620</v>
      </c>
      <c r="C164" s="62" t="s">
        <v>312</v>
      </c>
      <c r="D164" s="63">
        <v>0.113283156875</v>
      </c>
      <c r="E164" s="61" t="s">
        <v>621</v>
      </c>
    </row>
    <row customHeight="1" ht="14.25" r="165" spans="1:5" x14ac:dyDescent="0.25">
      <c r="A165" s="62">
        <v>613</v>
      </c>
      <c r="B165" s="62" t="s">
        <v>622</v>
      </c>
      <c r="C165" s="62" t="s">
        <v>331</v>
      </c>
      <c r="D165" s="63">
        <v>0</v>
      </c>
      <c r="E165" s="61" t="s">
        <v>623</v>
      </c>
    </row>
    <row customHeight="1" ht="14.25" r="166" spans="1:5" x14ac:dyDescent="0.25">
      <c r="A166" s="62">
        <v>614</v>
      </c>
      <c r="B166" s="62" t="s">
        <v>624</v>
      </c>
      <c r="C166" s="62" t="s">
        <v>331</v>
      </c>
      <c r="D166" s="63">
        <v>0</v>
      </c>
      <c r="E166" s="61" t="s">
        <v>625</v>
      </c>
    </row>
    <row customHeight="1" ht="14.25" r="167" spans="1:5" x14ac:dyDescent="0.25">
      <c r="A167" s="62"/>
      <c r="B167" s="62"/>
      <c r="C167" s="62"/>
      <c r="D167" s="63"/>
      <c r="E167" s="61" t="s">
        <v>626</v>
      </c>
    </row>
    <row customHeight="1" ht="14.25" r="168" spans="1:5" x14ac:dyDescent="0.25">
      <c r="A168" s="62">
        <v>616</v>
      </c>
      <c r="B168" s="62" t="s">
        <v>627</v>
      </c>
      <c r="C168" s="62" t="s">
        <v>312</v>
      </c>
      <c r="D168" s="63">
        <v>-0.14819313325899999</v>
      </c>
      <c r="E168" s="61" t="s">
        <v>628</v>
      </c>
    </row>
    <row customHeight="1" ht="14.25" r="169" spans="1:5" x14ac:dyDescent="0.25">
      <c r="A169" s="62">
        <v>617</v>
      </c>
      <c r="B169" s="62" t="s">
        <v>629</v>
      </c>
      <c r="C169" s="62" t="s">
        <v>331</v>
      </c>
      <c r="D169" s="63">
        <v>0</v>
      </c>
      <c r="E169" s="61" t="s">
        <v>630</v>
      </c>
    </row>
    <row customHeight="1" ht="14.25" r="170" spans="1:5" x14ac:dyDescent="0.25">
      <c r="A170" s="62">
        <v>618</v>
      </c>
      <c r="B170" s="62" t="s">
        <v>631</v>
      </c>
      <c r="C170" s="62" t="s">
        <v>312</v>
      </c>
      <c r="D170" s="63">
        <v>-0.77235565857900002</v>
      </c>
      <c r="E170" s="61" t="s">
        <v>632</v>
      </c>
    </row>
    <row customHeight="1" ht="14.25" r="171" spans="1:5" x14ac:dyDescent="0.25">
      <c r="A171" s="62">
        <v>619</v>
      </c>
      <c r="B171" s="62" t="s">
        <v>633</v>
      </c>
      <c r="C171" s="62" t="s">
        <v>331</v>
      </c>
      <c r="D171" s="63">
        <v>0</v>
      </c>
      <c r="E171" s="61" t="s">
        <v>634</v>
      </c>
    </row>
    <row customHeight="1" ht="14.25" r="172" spans="1:5" x14ac:dyDescent="0.25">
      <c r="A172" s="62">
        <v>620</v>
      </c>
      <c r="B172" s="62" t="s">
        <v>635</v>
      </c>
      <c r="C172" s="62" t="s">
        <v>312</v>
      </c>
      <c r="D172" s="63">
        <v>-0.52846389883400002</v>
      </c>
      <c r="E172" s="61" t="s">
        <v>636</v>
      </c>
    </row>
    <row customHeight="1" ht="14.25" r="173" spans="1:5" x14ac:dyDescent="0.25">
      <c r="A173" s="62">
        <v>621</v>
      </c>
      <c r="B173" s="62" t="s">
        <v>637</v>
      </c>
      <c r="C173" s="62" t="s">
        <v>331</v>
      </c>
      <c r="D173" s="63">
        <v>0</v>
      </c>
      <c r="E173" s="61" t="s">
        <v>638</v>
      </c>
    </row>
    <row customHeight="1" ht="14.25" r="174" spans="1:5" x14ac:dyDescent="0.25">
      <c r="A174" s="62">
        <v>622</v>
      </c>
      <c r="B174" s="62" t="s">
        <v>639</v>
      </c>
      <c r="C174" s="62" t="s">
        <v>331</v>
      </c>
      <c r="D174" s="63">
        <v>0</v>
      </c>
      <c r="E174" s="61" t="s">
        <v>640</v>
      </c>
    </row>
    <row customHeight="1" ht="14.25" r="175" spans="1:5" x14ac:dyDescent="0.25">
      <c r="A175" s="62">
        <v>623</v>
      </c>
      <c r="B175" s="62" t="s">
        <v>641</v>
      </c>
      <c r="C175" s="62" t="s">
        <v>331</v>
      </c>
      <c r="D175" s="63">
        <v>0</v>
      </c>
      <c r="E175" s="61" t="s">
        <v>642</v>
      </c>
    </row>
    <row customHeight="1" ht="14.25" r="176" spans="1:5" x14ac:dyDescent="0.25">
      <c r="A176" s="62">
        <v>624</v>
      </c>
      <c r="B176" s="62" t="s">
        <v>643</v>
      </c>
      <c r="C176" s="62" t="s">
        <v>331</v>
      </c>
      <c r="D176" s="63">
        <v>0</v>
      </c>
      <c r="E176" s="61" t="s">
        <v>644</v>
      </c>
    </row>
    <row customHeight="1" ht="14.25" r="177" spans="1:5" x14ac:dyDescent="0.25">
      <c r="A177" s="62">
        <v>625</v>
      </c>
      <c r="B177" s="62" t="s">
        <v>645</v>
      </c>
      <c r="C177" s="62" t="s">
        <v>331</v>
      </c>
      <c r="D177" s="63">
        <v>0</v>
      </c>
      <c r="E177" s="61" t="s">
        <v>646</v>
      </c>
    </row>
    <row customHeight="1" ht="14.25" r="178" spans="1:5" x14ac:dyDescent="0.25">
      <c r="A178" s="62">
        <v>626</v>
      </c>
      <c r="B178" s="62" t="s">
        <v>647</v>
      </c>
      <c r="C178" s="62" t="s">
        <v>331</v>
      </c>
      <c r="D178" s="63">
        <v>0</v>
      </c>
      <c r="E178" s="61" t="s">
        <v>648</v>
      </c>
    </row>
    <row customHeight="1" ht="14.25" r="179" spans="1:5" x14ac:dyDescent="0.25">
      <c r="A179" s="62">
        <v>627</v>
      </c>
      <c r="B179" s="62" t="s">
        <v>649</v>
      </c>
      <c r="C179" s="62" t="s">
        <v>331</v>
      </c>
      <c r="D179" s="63">
        <v>0</v>
      </c>
      <c r="E179" s="61" t="s">
        <v>650</v>
      </c>
    </row>
    <row customHeight="1" ht="14.25" r="180" spans="1:5" x14ac:dyDescent="0.25">
      <c r="A180" s="62">
        <v>628</v>
      </c>
      <c r="B180" s="62" t="s">
        <v>651</v>
      </c>
      <c r="C180" s="62" t="s">
        <v>312</v>
      </c>
      <c r="D180" s="63">
        <v>1.67714133211E-2</v>
      </c>
      <c r="E180" s="61" t="s">
        <v>650</v>
      </c>
    </row>
    <row customHeight="1" ht="14.25" r="181" spans="1:5" x14ac:dyDescent="0.25">
      <c r="A181" s="62">
        <v>629</v>
      </c>
      <c r="B181" s="62" t="s">
        <v>652</v>
      </c>
      <c r="C181" s="62" t="s">
        <v>312</v>
      </c>
      <c r="D181" s="63">
        <v>-5.7462042074900001E-2</v>
      </c>
      <c r="E181" s="61" t="s">
        <v>650</v>
      </c>
    </row>
    <row customHeight="1" ht="14.25" r="182" spans="1:5" x14ac:dyDescent="0.25">
      <c r="A182" s="62">
        <v>651</v>
      </c>
      <c r="B182" s="62" t="s">
        <v>653</v>
      </c>
      <c r="C182" s="62" t="s">
        <v>331</v>
      </c>
      <c r="D182" s="63">
        <v>0</v>
      </c>
      <c r="E182" s="61" t="s">
        <v>654</v>
      </c>
    </row>
    <row customHeight="1" ht="14.25" r="183" spans="1:5" x14ac:dyDescent="0.25">
      <c r="A183" s="62">
        <v>700</v>
      </c>
      <c r="B183" s="62" t="s">
        <v>655</v>
      </c>
      <c r="C183" s="62" t="s">
        <v>312</v>
      </c>
      <c r="D183" s="67">
        <v>-2.2957108102200001</v>
      </c>
      <c r="E183" s="61" t="s">
        <v>656</v>
      </c>
    </row>
    <row customHeight="1" ht="14.25" r="184" spans="1:5" x14ac:dyDescent="0.25">
      <c r="A184" s="62">
        <v>701</v>
      </c>
      <c r="B184" s="62" t="s">
        <v>657</v>
      </c>
      <c r="C184" s="62" t="s">
        <v>312</v>
      </c>
      <c r="D184" s="67">
        <v>1.0435208703700001</v>
      </c>
      <c r="E184" s="61" t="s">
        <v>658</v>
      </c>
    </row>
    <row customHeight="1" ht="14.25" r="185" spans="1:5" x14ac:dyDescent="0.25">
      <c r="A185" s="62">
        <v>702</v>
      </c>
      <c r="B185" s="62" t="s">
        <v>659</v>
      </c>
      <c r="C185" s="62" t="s">
        <v>331</v>
      </c>
      <c r="D185" s="63">
        <v>0</v>
      </c>
      <c r="E185" s="61" t="s">
        <v>660</v>
      </c>
    </row>
    <row customHeight="1" ht="14.25" r="186" spans="1:5" x14ac:dyDescent="0.25">
      <c r="A186" s="62">
        <v>703</v>
      </c>
      <c r="B186" s="62" t="s">
        <v>661</v>
      </c>
      <c r="C186" s="62" t="s">
        <v>331</v>
      </c>
      <c r="D186" s="63">
        <v>0</v>
      </c>
      <c r="E186" s="61" t="s">
        <v>662</v>
      </c>
    </row>
    <row customHeight="1" ht="14.25" r="187" spans="1:5" x14ac:dyDescent="0.25">
      <c r="A187" s="62">
        <v>704</v>
      </c>
      <c r="B187" s="62" t="s">
        <v>663</v>
      </c>
      <c r="C187" s="62" t="s">
        <v>331</v>
      </c>
      <c r="D187" s="63">
        <v>0</v>
      </c>
      <c r="E187" s="61" t="s">
        <v>664</v>
      </c>
    </row>
    <row customHeight="1" ht="14.25" r="188" spans="1:5" x14ac:dyDescent="0.25">
      <c r="A188" s="62">
        <v>705</v>
      </c>
      <c r="B188" s="62" t="s">
        <v>665</v>
      </c>
      <c r="C188" s="62" t="s">
        <v>331</v>
      </c>
      <c r="D188" s="63">
        <v>0</v>
      </c>
      <c r="E188" s="61" t="s">
        <v>666</v>
      </c>
    </row>
    <row customHeight="1" ht="14.25" r="189" spans="1:5" x14ac:dyDescent="0.25">
      <c r="A189" s="62">
        <v>706</v>
      </c>
      <c r="B189" s="62" t="s">
        <v>667</v>
      </c>
      <c r="C189" s="62" t="s">
        <v>331</v>
      </c>
      <c r="D189" s="63">
        <v>0</v>
      </c>
      <c r="E189" s="61" t="s">
        <v>668</v>
      </c>
    </row>
    <row customHeight="1" ht="14.25" r="190" spans="1:5" x14ac:dyDescent="0.25">
      <c r="A190" s="62">
        <v>707</v>
      </c>
      <c r="B190" s="62" t="s">
        <v>669</v>
      </c>
      <c r="C190" s="62" t="s">
        <v>312</v>
      </c>
      <c r="D190" s="63">
        <v>0.32823377068999998</v>
      </c>
      <c r="E190" s="61" t="s">
        <v>670</v>
      </c>
    </row>
    <row customHeight="1" ht="14.25" r="191" spans="1:5" x14ac:dyDescent="0.25">
      <c r="A191" s="62">
        <v>708</v>
      </c>
      <c r="B191" s="62" t="s">
        <v>671</v>
      </c>
      <c r="C191" s="62" t="s">
        <v>312</v>
      </c>
      <c r="D191" s="63">
        <v>0.35139233343499998</v>
      </c>
      <c r="E191" s="61" t="s">
        <v>672</v>
      </c>
    </row>
    <row customHeight="1" ht="14.25" r="192" spans="1:5" x14ac:dyDescent="0.25">
      <c r="A192" s="62">
        <v>709</v>
      </c>
      <c r="B192" s="62" t="s">
        <v>673</v>
      </c>
      <c r="C192" s="62" t="s">
        <v>312</v>
      </c>
      <c r="D192" s="63">
        <v>-0.32863919348999998</v>
      </c>
      <c r="E192" s="61" t="s">
        <v>674</v>
      </c>
    </row>
    <row customHeight="1" ht="14.25" r="193" spans="1:5" x14ac:dyDescent="0.25">
      <c r="A193" s="62">
        <v>710</v>
      </c>
      <c r="B193" s="62" t="s">
        <v>675</v>
      </c>
      <c r="C193" s="62" t="s">
        <v>312</v>
      </c>
      <c r="D193" s="63">
        <v>-0.20972042282600001</v>
      </c>
      <c r="E193" s="61" t="s">
        <v>676</v>
      </c>
    </row>
    <row customHeight="1" ht="14.25" r="194" spans="1:5" x14ac:dyDescent="0.25">
      <c r="A194" s="62">
        <v>711</v>
      </c>
      <c r="B194" s="62" t="s">
        <v>677</v>
      </c>
      <c r="C194" s="62" t="s">
        <v>312</v>
      </c>
      <c r="D194" s="63">
        <v>0.228834456336</v>
      </c>
      <c r="E194" s="61" t="s">
        <v>678</v>
      </c>
    </row>
    <row customHeight="1" ht="14.25" r="195" spans="1:5" x14ac:dyDescent="0.25">
      <c r="A195" s="62">
        <v>712</v>
      </c>
      <c r="B195" s="62" t="s">
        <v>679</v>
      </c>
      <c r="C195" s="62" t="s">
        <v>312</v>
      </c>
      <c r="D195" s="63">
        <v>8.8648559868700003E-2</v>
      </c>
      <c r="E195" s="61" t="s">
        <v>680</v>
      </c>
    </row>
    <row customHeight="1" ht="14.25" r="196" spans="1:5" x14ac:dyDescent="0.25">
      <c r="A196" s="62">
        <v>713</v>
      </c>
      <c r="B196" s="62" t="s">
        <v>681</v>
      </c>
      <c r="C196" s="62" t="s">
        <v>312</v>
      </c>
      <c r="D196" s="63">
        <v>6.1717359063299997E-2</v>
      </c>
      <c r="E196" s="61" t="s">
        <v>682</v>
      </c>
    </row>
    <row customHeight="1" ht="14.25" r="197" spans="1:5" x14ac:dyDescent="0.25">
      <c r="A197" s="62">
        <v>714</v>
      </c>
      <c r="B197" s="62" t="s">
        <v>683</v>
      </c>
      <c r="C197" s="62" t="s">
        <v>331</v>
      </c>
      <c r="D197" s="63">
        <v>0</v>
      </c>
      <c r="E197" s="61" t="s">
        <v>684</v>
      </c>
    </row>
    <row customHeight="1" ht="14.25" r="198" spans="1:5" x14ac:dyDescent="0.25">
      <c r="A198" s="62"/>
      <c r="B198" s="62"/>
      <c r="C198" s="62"/>
      <c r="D198" s="63"/>
      <c r="E198" s="61" t="s">
        <v>685</v>
      </c>
    </row>
    <row customHeight="1" ht="14.25" r="199" spans="1:5" x14ac:dyDescent="0.25">
      <c r="A199" s="62">
        <v>716</v>
      </c>
      <c r="B199" s="62" t="s">
        <v>686</v>
      </c>
      <c r="C199" s="62" t="s">
        <v>331</v>
      </c>
      <c r="D199" s="63">
        <v>0</v>
      </c>
      <c r="E199" s="61" t="s">
        <v>687</v>
      </c>
    </row>
    <row customHeight="1" ht="14.25" r="200" spans="1:5" x14ac:dyDescent="0.25">
      <c r="A200" s="62">
        <v>717</v>
      </c>
      <c r="B200" s="62" t="s">
        <v>688</v>
      </c>
      <c r="C200" s="62" t="s">
        <v>331</v>
      </c>
      <c r="D200" s="63">
        <v>0</v>
      </c>
      <c r="E200" s="61" t="s">
        <v>689</v>
      </c>
    </row>
    <row customHeight="1" ht="14.25" r="201" spans="1:5" x14ac:dyDescent="0.25">
      <c r="A201" s="62">
        <v>718</v>
      </c>
      <c r="B201" s="62" t="s">
        <v>690</v>
      </c>
      <c r="C201" s="62" t="s">
        <v>312</v>
      </c>
      <c r="D201" s="63">
        <v>-0.34857981358700002</v>
      </c>
      <c r="E201" s="61" t="s">
        <v>691</v>
      </c>
    </row>
    <row customHeight="1" ht="14.25" r="202" spans="1:5" x14ac:dyDescent="0.25">
      <c r="A202" s="62">
        <v>719</v>
      </c>
      <c r="B202" s="62" t="s">
        <v>692</v>
      </c>
      <c r="C202" s="62" t="s">
        <v>331</v>
      </c>
      <c r="D202" s="63">
        <v>0</v>
      </c>
      <c r="E202" s="61" t="s">
        <v>693</v>
      </c>
    </row>
    <row customHeight="1" ht="14.25" r="203" spans="1:5" x14ac:dyDescent="0.25">
      <c r="A203" s="62">
        <v>720</v>
      </c>
      <c r="B203" s="62" t="s">
        <v>694</v>
      </c>
      <c r="C203" s="62" t="s">
        <v>312</v>
      </c>
      <c r="D203" s="63">
        <v>-0.37096408844599998</v>
      </c>
      <c r="E203" s="61" t="s">
        <v>695</v>
      </c>
    </row>
    <row customHeight="1" ht="14.25" r="204" spans="1:5" x14ac:dyDescent="0.25">
      <c r="A204" s="62">
        <v>721</v>
      </c>
      <c r="B204" s="62" t="s">
        <v>696</v>
      </c>
      <c r="C204" s="62" t="s">
        <v>331</v>
      </c>
      <c r="D204" s="63">
        <v>0</v>
      </c>
      <c r="E204" s="61" t="s">
        <v>697</v>
      </c>
    </row>
    <row customHeight="1" ht="14.25" r="205" spans="1:5" x14ac:dyDescent="0.25">
      <c r="A205" s="62">
        <v>722</v>
      </c>
      <c r="B205" s="62" t="s">
        <v>698</v>
      </c>
      <c r="C205" s="62" t="s">
        <v>331</v>
      </c>
      <c r="D205" s="63">
        <v>0</v>
      </c>
      <c r="E205" s="61" t="s">
        <v>699</v>
      </c>
    </row>
    <row customHeight="1" ht="14.25" r="206" spans="1:5" x14ac:dyDescent="0.25">
      <c r="A206" s="62">
        <v>723</v>
      </c>
      <c r="B206" s="62" t="s">
        <v>700</v>
      </c>
      <c r="C206" s="62" t="s">
        <v>312</v>
      </c>
      <c r="D206" s="63">
        <v>-0.27446758810600003</v>
      </c>
      <c r="E206" s="61" t="s">
        <v>701</v>
      </c>
    </row>
    <row customHeight="1" ht="14.25" r="207" spans="1:5" x14ac:dyDescent="0.25">
      <c r="A207" s="62">
        <v>724</v>
      </c>
      <c r="B207" s="62" t="s">
        <v>702</v>
      </c>
      <c r="C207" s="62" t="s">
        <v>312</v>
      </c>
      <c r="D207" s="63">
        <v>-0.54557098181399999</v>
      </c>
      <c r="E207" s="61" t="s">
        <v>703</v>
      </c>
    </row>
    <row customHeight="1" ht="14.25" r="208" spans="1:5" x14ac:dyDescent="0.25">
      <c r="A208" s="62">
        <v>725</v>
      </c>
      <c r="B208" s="62" t="s">
        <v>704</v>
      </c>
      <c r="C208" s="62" t="s">
        <v>331</v>
      </c>
      <c r="D208" s="63">
        <v>0</v>
      </c>
      <c r="E208" s="61" t="s">
        <v>705</v>
      </c>
    </row>
    <row customHeight="1" ht="14.25" r="209" spans="1:5" x14ac:dyDescent="0.25">
      <c r="A209" s="62">
        <v>726</v>
      </c>
      <c r="B209" s="62" t="s">
        <v>706</v>
      </c>
      <c r="C209" s="62" t="s">
        <v>331</v>
      </c>
      <c r="D209" s="63">
        <v>0</v>
      </c>
      <c r="E209" s="61" t="s">
        <v>707</v>
      </c>
    </row>
    <row customHeight="1" ht="14.25" r="210" spans="1:5" x14ac:dyDescent="0.25">
      <c r="A210" s="62">
        <v>727</v>
      </c>
      <c r="B210" s="62" t="s">
        <v>708</v>
      </c>
      <c r="C210" s="62" t="s">
        <v>331</v>
      </c>
      <c r="D210" s="63">
        <v>0</v>
      </c>
      <c r="E210" s="61" t="s">
        <v>709</v>
      </c>
    </row>
    <row customHeight="1" ht="14.25" r="211" spans="1:5" x14ac:dyDescent="0.25">
      <c r="A211" s="62">
        <v>728</v>
      </c>
      <c r="B211" s="62" t="s">
        <v>710</v>
      </c>
      <c r="C211" s="62" t="s">
        <v>312</v>
      </c>
      <c r="D211" s="63">
        <v>1.8259670169799999E-2</v>
      </c>
      <c r="E211" s="61" t="s">
        <v>709</v>
      </c>
    </row>
    <row customHeight="1" ht="14.25" r="212" spans="1:5" x14ac:dyDescent="0.25">
      <c r="A212" s="62">
        <v>729</v>
      </c>
      <c r="B212" s="62" t="s">
        <v>711</v>
      </c>
      <c r="C212" s="62" t="s">
        <v>312</v>
      </c>
      <c r="D212" s="63">
        <v>-8.7588819390500006E-2</v>
      </c>
      <c r="E212" s="61" t="s">
        <v>709</v>
      </c>
    </row>
    <row customHeight="1" ht="14.25" r="213" spans="1:5" x14ac:dyDescent="0.25">
      <c r="A213" s="62">
        <v>751</v>
      </c>
      <c r="B213" s="62" t="s">
        <v>712</v>
      </c>
      <c r="C213" s="62" t="s">
        <v>312</v>
      </c>
      <c r="D213" s="63">
        <v>-0.22130910929299999</v>
      </c>
      <c r="E213" s="61" t="s">
        <v>713</v>
      </c>
    </row>
    <row customHeight="1" ht="14.25" r="214" spans="1:5" x14ac:dyDescent="0.25">
      <c r="A214" s="62">
        <v>802</v>
      </c>
      <c r="B214" s="62" t="s">
        <v>714</v>
      </c>
      <c r="C214" s="62" t="s">
        <v>312</v>
      </c>
      <c r="D214" s="63">
        <v>0.60088845647900002</v>
      </c>
      <c r="E214" s="61" t="s">
        <v>715</v>
      </c>
    </row>
    <row customHeight="1" ht="14.25" r="215" spans="1:5" x14ac:dyDescent="0.25">
      <c r="A215" s="62">
        <v>803</v>
      </c>
      <c r="B215" s="62" t="s">
        <v>716</v>
      </c>
      <c r="C215" s="62" t="s">
        <v>312</v>
      </c>
      <c r="D215" s="63">
        <v>0.35497920864400001</v>
      </c>
      <c r="E215" s="61" t="s">
        <v>717</v>
      </c>
    </row>
    <row customHeight="1" ht="14.25" r="216" spans="1:5" x14ac:dyDescent="0.25">
      <c r="A216" s="62">
        <v>804</v>
      </c>
      <c r="B216" s="62" t="s">
        <v>718</v>
      </c>
      <c r="C216" s="62" t="s">
        <v>312</v>
      </c>
      <c r="D216" s="63">
        <v>0.20313273922399999</v>
      </c>
      <c r="E216" s="61" t="s">
        <v>719</v>
      </c>
    </row>
    <row customHeight="1" ht="14.25" r="217" spans="1:5" x14ac:dyDescent="0.25">
      <c r="A217" s="62">
        <v>805</v>
      </c>
      <c r="B217" s="62" t="s">
        <v>720</v>
      </c>
      <c r="C217" s="62" t="s">
        <v>312</v>
      </c>
      <c r="D217" s="63">
        <v>0.36229771955599999</v>
      </c>
      <c r="E217" s="61" t="s">
        <v>721</v>
      </c>
    </row>
    <row customHeight="1" ht="14.25" r="218" spans="1:5" x14ac:dyDescent="0.25">
      <c r="A218" s="62">
        <v>806</v>
      </c>
      <c r="B218" s="62" t="s">
        <v>722</v>
      </c>
      <c r="C218" s="62" t="s">
        <v>312</v>
      </c>
      <c r="D218" s="63">
        <v>0.94922191818599999</v>
      </c>
      <c r="E218" s="61" t="s">
        <v>723</v>
      </c>
    </row>
    <row customHeight="1" ht="14.25" r="219" spans="1:5" x14ac:dyDescent="0.25">
      <c r="A219" s="62">
        <v>807</v>
      </c>
      <c r="B219" s="62" t="s">
        <v>724</v>
      </c>
      <c r="C219" s="62" t="s">
        <v>312</v>
      </c>
      <c r="D219" s="63">
        <v>0.74295703060700002</v>
      </c>
      <c r="E219" s="61" t="s">
        <v>725</v>
      </c>
    </row>
    <row customHeight="1" ht="14.25" r="220" spans="1:5" x14ac:dyDescent="0.25">
      <c r="A220" s="62">
        <v>808</v>
      </c>
      <c r="B220" s="62" t="s">
        <v>726</v>
      </c>
      <c r="C220" s="62" t="s">
        <v>331</v>
      </c>
      <c r="D220" s="63">
        <v>0</v>
      </c>
      <c r="E220" s="61" t="s">
        <v>727</v>
      </c>
    </row>
    <row customHeight="1" ht="14.25" r="221" spans="1:5" x14ac:dyDescent="0.25">
      <c r="A221" s="62">
        <v>809</v>
      </c>
      <c r="B221" s="62" t="s">
        <v>728</v>
      </c>
      <c r="C221" s="62" t="s">
        <v>331</v>
      </c>
      <c r="D221" s="63">
        <v>0</v>
      </c>
      <c r="E221" s="61" t="s">
        <v>729</v>
      </c>
    </row>
    <row customHeight="1" ht="14.25" r="222" spans="1:5" x14ac:dyDescent="0.25">
      <c r="A222" s="62">
        <v>810</v>
      </c>
      <c r="B222" s="62" t="s">
        <v>730</v>
      </c>
      <c r="C222" s="62" t="s">
        <v>331</v>
      </c>
      <c r="D222" s="63">
        <v>0</v>
      </c>
      <c r="E222" s="61" t="s">
        <v>731</v>
      </c>
    </row>
    <row customHeight="1" ht="14.25" r="223" spans="1:5" x14ac:dyDescent="0.25">
      <c r="A223" s="62">
        <v>811</v>
      </c>
      <c r="B223" s="62" t="s">
        <v>732</v>
      </c>
      <c r="C223" s="62" t="s">
        <v>331</v>
      </c>
      <c r="D223" s="63">
        <v>0</v>
      </c>
      <c r="E223" s="61" t="s">
        <v>733</v>
      </c>
    </row>
    <row customHeight="1" ht="14.25" r="224" spans="1:5" x14ac:dyDescent="0.25">
      <c r="A224" s="62">
        <v>812</v>
      </c>
      <c r="B224" s="62" t="s">
        <v>734</v>
      </c>
      <c r="C224" s="62" t="s">
        <v>331</v>
      </c>
      <c r="D224" s="63">
        <v>0</v>
      </c>
      <c r="E224" s="61" t="s">
        <v>735</v>
      </c>
    </row>
    <row customHeight="1" ht="14.25" r="225" spans="1:5" x14ac:dyDescent="0.25">
      <c r="A225" s="62">
        <v>813</v>
      </c>
      <c r="B225" s="62" t="s">
        <v>736</v>
      </c>
      <c r="C225" s="62" t="s">
        <v>331</v>
      </c>
      <c r="D225" s="63">
        <v>0</v>
      </c>
      <c r="E225" s="61" t="s">
        <v>737</v>
      </c>
    </row>
    <row customHeight="1" ht="14.25" r="226" spans="1:5" x14ac:dyDescent="0.25">
      <c r="A226" s="62">
        <v>814</v>
      </c>
      <c r="B226" s="62" t="s">
        <v>738</v>
      </c>
      <c r="C226" s="62" t="s">
        <v>331</v>
      </c>
      <c r="D226" s="63">
        <v>0</v>
      </c>
      <c r="E226" s="61" t="s">
        <v>739</v>
      </c>
    </row>
    <row customHeight="1" ht="14.25" r="227" spans="1:5" x14ac:dyDescent="0.25">
      <c r="A227" s="62"/>
      <c r="B227" s="62"/>
      <c r="C227" s="62"/>
      <c r="D227" s="63"/>
      <c r="E227" s="61" t="s">
        <v>740</v>
      </c>
    </row>
    <row customHeight="1" ht="14.25" r="228" spans="1:5" x14ac:dyDescent="0.25">
      <c r="A228" s="62">
        <v>816</v>
      </c>
      <c r="B228" s="62" t="s">
        <v>741</v>
      </c>
      <c r="C228" s="62" t="s">
        <v>312</v>
      </c>
      <c r="D228" s="63">
        <v>-0.173824856152</v>
      </c>
      <c r="E228" s="61" t="s">
        <v>742</v>
      </c>
    </row>
    <row customHeight="1" ht="14.25" r="229" spans="1:5" x14ac:dyDescent="0.25">
      <c r="A229" s="62">
        <v>817</v>
      </c>
      <c r="B229" s="62" t="s">
        <v>743</v>
      </c>
      <c r="C229" s="62" t="s">
        <v>312</v>
      </c>
      <c r="D229" s="63">
        <v>-0.84168486773899998</v>
      </c>
      <c r="E229" s="61" t="s">
        <v>744</v>
      </c>
    </row>
    <row customHeight="1" ht="14.25" r="230" spans="1:5" x14ac:dyDescent="0.25">
      <c r="A230" s="62">
        <v>818</v>
      </c>
      <c r="B230" s="62" t="s">
        <v>745</v>
      </c>
      <c r="C230" s="62" t="s">
        <v>312</v>
      </c>
      <c r="D230" s="63">
        <v>0.69190233831699999</v>
      </c>
      <c r="E230" s="61" t="s">
        <v>746</v>
      </c>
    </row>
    <row customHeight="1" ht="14.25" r="231" spans="1:5" x14ac:dyDescent="0.25">
      <c r="A231" s="62">
        <v>819</v>
      </c>
      <c r="B231" s="62" t="s">
        <v>747</v>
      </c>
      <c r="C231" s="62" t="s">
        <v>312</v>
      </c>
      <c r="D231" s="63">
        <v>-0.35930557927899998</v>
      </c>
      <c r="E231" s="61" t="s">
        <v>748</v>
      </c>
    </row>
    <row customHeight="1" ht="14.25" r="232" spans="1:5" x14ac:dyDescent="0.25">
      <c r="A232" s="62">
        <v>820</v>
      </c>
      <c r="B232" s="62" t="s">
        <v>749</v>
      </c>
      <c r="C232" s="62" t="s">
        <v>312</v>
      </c>
      <c r="D232" s="63">
        <v>0.61080273357399995</v>
      </c>
      <c r="E232" s="61" t="s">
        <v>750</v>
      </c>
    </row>
    <row customHeight="1" ht="14.25" r="233" spans="1:5" x14ac:dyDescent="0.25">
      <c r="A233" s="62">
        <v>821</v>
      </c>
      <c r="B233" s="62" t="s">
        <v>751</v>
      </c>
      <c r="C233" s="62" t="s">
        <v>312</v>
      </c>
      <c r="D233" s="63">
        <v>0.41956504765899999</v>
      </c>
      <c r="E233" s="61" t="s">
        <v>752</v>
      </c>
    </row>
    <row customHeight="1" ht="14.25" r="234" spans="1:5" x14ac:dyDescent="0.25">
      <c r="A234" s="62">
        <v>822</v>
      </c>
      <c r="B234" s="62" t="s">
        <v>753</v>
      </c>
      <c r="C234" s="62" t="s">
        <v>331</v>
      </c>
      <c r="D234" s="63">
        <v>0</v>
      </c>
      <c r="E234" s="61" t="s">
        <v>754</v>
      </c>
    </row>
    <row customHeight="1" ht="14.25" r="235" spans="1:5" x14ac:dyDescent="0.25">
      <c r="A235" s="62">
        <v>823</v>
      </c>
      <c r="B235" s="62" t="s">
        <v>755</v>
      </c>
      <c r="C235" s="62" t="s">
        <v>331</v>
      </c>
      <c r="D235" s="63">
        <v>0</v>
      </c>
      <c r="E235" s="61" t="s">
        <v>756</v>
      </c>
    </row>
    <row customHeight="1" ht="14.25" r="236" spans="1:5" x14ac:dyDescent="0.25">
      <c r="A236" s="62">
        <v>824</v>
      </c>
      <c r="B236" s="62" t="s">
        <v>757</v>
      </c>
      <c r="C236" s="62" t="s">
        <v>312</v>
      </c>
      <c r="D236" s="63">
        <v>0.58100166113100005</v>
      </c>
      <c r="E236" s="61" t="s">
        <v>758</v>
      </c>
    </row>
    <row customHeight="1" ht="14.25" r="237" spans="1:5" x14ac:dyDescent="0.25">
      <c r="A237" s="62">
        <v>825</v>
      </c>
      <c r="B237" s="62" t="s">
        <v>759</v>
      </c>
      <c r="C237" s="62" t="s">
        <v>331</v>
      </c>
      <c r="D237" s="63">
        <v>0</v>
      </c>
      <c r="E237" s="61" t="s">
        <v>760</v>
      </c>
    </row>
    <row customHeight="1" ht="14.25" r="238" spans="1:5" x14ac:dyDescent="0.25">
      <c r="A238" s="62">
        <v>826</v>
      </c>
      <c r="B238" s="62" t="s">
        <v>761</v>
      </c>
      <c r="C238" s="62" t="s">
        <v>312</v>
      </c>
      <c r="D238" s="63">
        <v>1.2369334111600001E-3</v>
      </c>
      <c r="E238" s="61" t="s">
        <v>762</v>
      </c>
    </row>
    <row customHeight="1" ht="14.25" r="239" spans="1:5" x14ac:dyDescent="0.25">
      <c r="A239" s="62">
        <v>827</v>
      </c>
      <c r="B239" s="62" t="s">
        <v>763</v>
      </c>
      <c r="C239" s="62" t="s">
        <v>312</v>
      </c>
      <c r="D239" s="63">
        <v>3.29179941507E-2</v>
      </c>
      <c r="E239" s="61" t="s">
        <v>764</v>
      </c>
    </row>
    <row customHeight="1" ht="14.25" r="240" spans="1:5" x14ac:dyDescent="0.25">
      <c r="A240" s="62">
        <v>851</v>
      </c>
      <c r="B240" s="62" t="s">
        <v>765</v>
      </c>
      <c r="C240" s="62" t="s">
        <v>331</v>
      </c>
      <c r="D240" s="63">
        <v>0</v>
      </c>
      <c r="E240" s="61" t="s">
        <v>766</v>
      </c>
    </row>
    <row customHeight="1" ht="14.25" r="241" spans="1:5" x14ac:dyDescent="0.25">
      <c r="A241" s="62">
        <v>902</v>
      </c>
      <c r="B241" s="62" t="s">
        <v>767</v>
      </c>
      <c r="C241" s="62" t="s">
        <v>331</v>
      </c>
      <c r="D241" s="63">
        <v>0</v>
      </c>
      <c r="E241" s="61" t="s">
        <v>768</v>
      </c>
    </row>
    <row customHeight="1" ht="14.25" r="242" spans="1:5" x14ac:dyDescent="0.25">
      <c r="A242" s="62">
        <v>903</v>
      </c>
      <c r="B242" s="62" t="s">
        <v>769</v>
      </c>
      <c r="C242" s="62" t="s">
        <v>331</v>
      </c>
      <c r="D242" s="63">
        <v>0</v>
      </c>
      <c r="E242" s="61" t="s">
        <v>770</v>
      </c>
    </row>
    <row customHeight="1" ht="14.25" r="243" spans="1:5" x14ac:dyDescent="0.25">
      <c r="A243" s="62">
        <v>904</v>
      </c>
      <c r="B243" s="62" t="s">
        <v>771</v>
      </c>
      <c r="C243" s="62" t="s">
        <v>331</v>
      </c>
      <c r="D243" s="63">
        <v>0</v>
      </c>
      <c r="E243" s="61" t="s">
        <v>772</v>
      </c>
    </row>
    <row customHeight="1" ht="14.25" r="244" spans="1:5" x14ac:dyDescent="0.25">
      <c r="A244" s="62">
        <v>905</v>
      </c>
      <c r="B244" s="62" t="s">
        <v>773</v>
      </c>
      <c r="C244" s="62" t="s">
        <v>331</v>
      </c>
      <c r="D244" s="63">
        <v>0</v>
      </c>
      <c r="E244" s="61" t="s">
        <v>774</v>
      </c>
    </row>
    <row customHeight="1" ht="14.25" r="245" spans="1:5" x14ac:dyDescent="0.25">
      <c r="A245" s="62">
        <v>906</v>
      </c>
      <c r="B245" s="62" t="s">
        <v>775</v>
      </c>
      <c r="C245" s="62" t="s">
        <v>312</v>
      </c>
      <c r="D245" s="63">
        <v>0.91744825006800002</v>
      </c>
      <c r="E245" s="61" t="s">
        <v>776</v>
      </c>
    </row>
    <row customHeight="1" ht="14.25" r="246" spans="1:5" x14ac:dyDescent="0.25">
      <c r="A246" s="62">
        <v>907</v>
      </c>
      <c r="B246" s="62" t="s">
        <v>777</v>
      </c>
      <c r="C246" s="62" t="s">
        <v>312</v>
      </c>
      <c r="D246" s="63">
        <v>0.210035136712</v>
      </c>
      <c r="E246" s="61" t="s">
        <v>778</v>
      </c>
    </row>
    <row customHeight="1" ht="14.25" r="247" spans="1:5" x14ac:dyDescent="0.25">
      <c r="A247" s="62">
        <v>908</v>
      </c>
      <c r="B247" s="62" t="s">
        <v>779</v>
      </c>
      <c r="C247" s="62" t="s">
        <v>331</v>
      </c>
      <c r="D247" s="63">
        <v>0</v>
      </c>
      <c r="E247" s="61" t="s">
        <v>780</v>
      </c>
    </row>
    <row customHeight="1" ht="14.25" r="248" spans="1:5" x14ac:dyDescent="0.25">
      <c r="A248" s="62">
        <v>909</v>
      </c>
      <c r="B248" s="62" t="s">
        <v>781</v>
      </c>
      <c r="C248" s="62" t="s">
        <v>331</v>
      </c>
      <c r="D248" s="63">
        <v>0</v>
      </c>
      <c r="E248" s="61" t="s">
        <v>782</v>
      </c>
    </row>
    <row customHeight="1" ht="14.25" r="249" spans="1:5" x14ac:dyDescent="0.25">
      <c r="A249" s="62">
        <v>910</v>
      </c>
      <c r="B249" s="62" t="s">
        <v>783</v>
      </c>
      <c r="C249" s="62" t="s">
        <v>331</v>
      </c>
      <c r="D249" s="63">
        <v>0</v>
      </c>
      <c r="E249" s="61" t="s">
        <v>784</v>
      </c>
    </row>
    <row customHeight="1" ht="14.25" r="250" spans="1:5" x14ac:dyDescent="0.25">
      <c r="A250" s="62">
        <v>911</v>
      </c>
      <c r="B250" s="62" t="s">
        <v>785</v>
      </c>
      <c r="C250" s="62" t="s">
        <v>331</v>
      </c>
      <c r="D250" s="63">
        <v>0</v>
      </c>
      <c r="E250" s="61" t="s">
        <v>786</v>
      </c>
    </row>
    <row customHeight="1" ht="14.25" r="251" spans="1:5" x14ac:dyDescent="0.25">
      <c r="A251" s="62">
        <v>912</v>
      </c>
      <c r="B251" s="62" t="s">
        <v>787</v>
      </c>
      <c r="C251" s="62" t="s">
        <v>331</v>
      </c>
      <c r="D251" s="63">
        <v>0</v>
      </c>
      <c r="E251" s="61" t="s">
        <v>788</v>
      </c>
    </row>
    <row customHeight="1" ht="14.25" r="252" spans="1:5" x14ac:dyDescent="0.25">
      <c r="A252" s="62">
        <v>913</v>
      </c>
      <c r="B252" s="62" t="s">
        <v>789</v>
      </c>
      <c r="C252" s="62" t="s">
        <v>331</v>
      </c>
      <c r="D252" s="63">
        <v>0</v>
      </c>
      <c r="E252" s="61" t="s">
        <v>790</v>
      </c>
    </row>
    <row customHeight="1" ht="14.25" r="253" spans="1:5" x14ac:dyDescent="0.25">
      <c r="A253" s="62">
        <v>914</v>
      </c>
      <c r="B253" s="62" t="s">
        <v>791</v>
      </c>
      <c r="C253" s="62" t="s">
        <v>331</v>
      </c>
      <c r="D253" s="63">
        <v>0</v>
      </c>
      <c r="E253" s="61" t="s">
        <v>792</v>
      </c>
    </row>
    <row customHeight="1" ht="14.25" r="254" spans="1:5" x14ac:dyDescent="0.25">
      <c r="A254" s="62"/>
      <c r="B254" s="62"/>
      <c r="C254" s="62"/>
      <c r="D254" s="63"/>
      <c r="E254" s="61" t="s">
        <v>793</v>
      </c>
    </row>
    <row customHeight="1" ht="14.25" r="255" spans="1:5" x14ac:dyDescent="0.25">
      <c r="A255" s="62">
        <v>916</v>
      </c>
      <c r="B255" s="62" t="s">
        <v>794</v>
      </c>
      <c r="C255" s="62" t="s">
        <v>331</v>
      </c>
      <c r="D255" s="63">
        <v>0</v>
      </c>
      <c r="E255" s="61" t="s">
        <v>795</v>
      </c>
    </row>
    <row customHeight="1" ht="14.25" r="256" spans="1:5" x14ac:dyDescent="0.25">
      <c r="A256" s="62">
        <v>917</v>
      </c>
      <c r="B256" s="62" t="s">
        <v>796</v>
      </c>
      <c r="C256" s="62" t="s">
        <v>331</v>
      </c>
      <c r="D256" s="63">
        <v>0</v>
      </c>
      <c r="E256" s="61" t="s">
        <v>797</v>
      </c>
    </row>
    <row customHeight="1" ht="14.25" r="257" spans="1:5" x14ac:dyDescent="0.25">
      <c r="A257" s="62">
        <v>918</v>
      </c>
      <c r="B257" s="62" t="s">
        <v>798</v>
      </c>
      <c r="C257" s="62" t="s">
        <v>331</v>
      </c>
      <c r="D257" s="63">
        <v>0</v>
      </c>
      <c r="E257" s="61" t="s">
        <v>799</v>
      </c>
    </row>
    <row customHeight="1" ht="14.25" r="258" spans="1:5" x14ac:dyDescent="0.25">
      <c r="A258" s="62">
        <v>919</v>
      </c>
      <c r="B258" s="62" t="s">
        <v>800</v>
      </c>
      <c r="C258" s="62" t="s">
        <v>331</v>
      </c>
      <c r="D258" s="63">
        <v>0</v>
      </c>
      <c r="E258" s="61" t="s">
        <v>801</v>
      </c>
    </row>
    <row customHeight="1" ht="14.25" r="259" spans="1:5" x14ac:dyDescent="0.25">
      <c r="A259" s="62">
        <v>920</v>
      </c>
      <c r="B259" s="62" t="s">
        <v>802</v>
      </c>
      <c r="C259" s="62" t="s">
        <v>331</v>
      </c>
      <c r="D259" s="63">
        <v>0</v>
      </c>
      <c r="E259" s="61" t="s">
        <v>803</v>
      </c>
    </row>
    <row customHeight="1" ht="14.25" r="260" spans="1:5" x14ac:dyDescent="0.25">
      <c r="A260" s="62">
        <v>921</v>
      </c>
      <c r="B260" s="62" t="s">
        <v>804</v>
      </c>
      <c r="C260" s="62" t="s">
        <v>331</v>
      </c>
      <c r="D260" s="63">
        <v>0</v>
      </c>
      <c r="E260" s="61" t="s">
        <v>805</v>
      </c>
    </row>
    <row customHeight="1" ht="14.25" r="261" spans="1:5" x14ac:dyDescent="0.25">
      <c r="A261" s="62">
        <v>922</v>
      </c>
      <c r="B261" s="62" t="s">
        <v>806</v>
      </c>
      <c r="C261" s="62" t="s">
        <v>331</v>
      </c>
      <c r="D261" s="63">
        <v>0</v>
      </c>
      <c r="E261" s="61" t="s">
        <v>807</v>
      </c>
    </row>
    <row customHeight="1" ht="14.25" r="262" spans="1:5" x14ac:dyDescent="0.25">
      <c r="A262" s="62">
        <v>923</v>
      </c>
      <c r="B262" s="62" t="s">
        <v>808</v>
      </c>
      <c r="C262" s="62" t="s">
        <v>331</v>
      </c>
      <c r="D262" s="63">
        <v>0</v>
      </c>
      <c r="E262" s="61" t="s">
        <v>809</v>
      </c>
    </row>
    <row customHeight="1" ht="14.25" r="263" spans="1:5" x14ac:dyDescent="0.25">
      <c r="A263" s="62">
        <v>924</v>
      </c>
      <c r="B263" s="62" t="s">
        <v>810</v>
      </c>
      <c r="C263" s="62" t="s">
        <v>312</v>
      </c>
      <c r="D263" s="63">
        <v>0.25647966370500003</v>
      </c>
      <c r="E263" s="61" t="s">
        <v>811</v>
      </c>
    </row>
    <row customHeight="1" ht="14.25" r="264" spans="1:5" x14ac:dyDescent="0.25">
      <c r="A264" s="62">
        <v>925</v>
      </c>
      <c r="B264" s="62" t="s">
        <v>812</v>
      </c>
      <c r="C264" s="62" t="s">
        <v>331</v>
      </c>
      <c r="D264" s="63">
        <v>0</v>
      </c>
      <c r="E264" s="61" t="s">
        <v>813</v>
      </c>
    </row>
    <row customHeight="1" ht="14.25" r="265" spans="1:5" x14ac:dyDescent="0.25">
      <c r="A265" s="62">
        <v>926</v>
      </c>
      <c r="B265" s="62" t="s">
        <v>814</v>
      </c>
      <c r="C265" s="62" t="s">
        <v>331</v>
      </c>
      <c r="D265" s="63">
        <v>0</v>
      </c>
      <c r="E265" s="61" t="s">
        <v>815</v>
      </c>
    </row>
    <row customHeight="1" ht="14.25" r="266" spans="1:5" x14ac:dyDescent="0.25">
      <c r="A266" s="62">
        <v>927</v>
      </c>
      <c r="B266" s="62" t="s">
        <v>816</v>
      </c>
      <c r="C266" s="62" t="s">
        <v>331</v>
      </c>
      <c r="D266" s="63">
        <v>0</v>
      </c>
      <c r="E266" s="61" t="s">
        <v>817</v>
      </c>
    </row>
    <row customHeight="1" ht="14.25" r="267" spans="1:5" x14ac:dyDescent="0.25">
      <c r="A267" s="62">
        <v>951</v>
      </c>
      <c r="B267" s="62" t="s">
        <v>818</v>
      </c>
      <c r="C267" s="62" t="s">
        <v>331</v>
      </c>
      <c r="D267" s="63">
        <v>0</v>
      </c>
      <c r="E267" s="61" t="s">
        <v>819</v>
      </c>
    </row>
    <row customHeight="1" ht="14.25" r="268" spans="1:5" x14ac:dyDescent="0.25">
      <c r="A268" s="62">
        <v>1010</v>
      </c>
      <c r="B268" s="62" t="s">
        <v>820</v>
      </c>
      <c r="C268" s="62" t="s">
        <v>312</v>
      </c>
      <c r="D268" s="63">
        <v>0.62022844943300004</v>
      </c>
      <c r="E268" s="61" t="s">
        <v>821</v>
      </c>
    </row>
    <row customHeight="1" ht="14.25" r="269" spans="1:5" x14ac:dyDescent="0.25">
      <c r="A269" s="62">
        <v>1011</v>
      </c>
      <c r="B269" s="62" t="s">
        <v>822</v>
      </c>
      <c r="C269" s="62" t="s">
        <v>312</v>
      </c>
      <c r="D269" s="63">
        <v>-0.92628874550499996</v>
      </c>
      <c r="E269" s="61" t="s">
        <v>823</v>
      </c>
    </row>
    <row customHeight="1" ht="14.25" r="270" spans="1:5" x14ac:dyDescent="0.25">
      <c r="A270" s="62">
        <v>1012</v>
      </c>
      <c r="B270" s="62" t="s">
        <v>824</v>
      </c>
      <c r="C270" s="62" t="s">
        <v>312</v>
      </c>
      <c r="D270" s="63">
        <v>0.122962438174</v>
      </c>
      <c r="E270" s="61" t="s">
        <v>825</v>
      </c>
    </row>
    <row customHeight="1" ht="14.25" r="271" spans="1:5" x14ac:dyDescent="0.25">
      <c r="A271" s="62">
        <v>1013</v>
      </c>
      <c r="B271" s="62" t="s">
        <v>826</v>
      </c>
      <c r="C271" s="62" t="s">
        <v>312</v>
      </c>
      <c r="D271" s="63">
        <v>0.99129580194</v>
      </c>
      <c r="E271" s="61" t="s">
        <v>827</v>
      </c>
    </row>
    <row customHeight="1" ht="14.25" r="272" spans="1:5" x14ac:dyDescent="0.25">
      <c r="A272" s="62">
        <v>1014</v>
      </c>
      <c r="B272" s="62" t="s">
        <v>828</v>
      </c>
      <c r="C272" s="62" t="s">
        <v>312</v>
      </c>
      <c r="D272" s="63">
        <v>-0.25742972486600002</v>
      </c>
      <c r="E272" s="61" t="s">
        <v>829</v>
      </c>
    </row>
    <row customHeight="1" ht="14.25" r="273" spans="1:5" x14ac:dyDescent="0.25">
      <c r="A273" s="62">
        <v>1015</v>
      </c>
      <c r="B273" s="62" t="s">
        <v>830</v>
      </c>
      <c r="C273" s="62" t="s">
        <v>312</v>
      </c>
      <c r="D273" s="63">
        <v>-0.15509922944400001</v>
      </c>
      <c r="E273" s="61" t="s">
        <v>831</v>
      </c>
    </row>
    <row customHeight="1" ht="14.25" r="274" spans="1:5" x14ac:dyDescent="0.25">
      <c r="A274" s="62">
        <v>1016</v>
      </c>
      <c r="B274" s="62" t="s">
        <v>832</v>
      </c>
      <c r="C274" s="62" t="s">
        <v>312</v>
      </c>
      <c r="D274" s="63">
        <v>0.47377553160399999</v>
      </c>
      <c r="E274" s="61" t="s">
        <v>833</v>
      </c>
    </row>
    <row customHeight="1" ht="14.25" r="275" spans="1:5" x14ac:dyDescent="0.25">
      <c r="A275" s="62"/>
      <c r="B275" s="62"/>
      <c r="C275" s="62"/>
      <c r="D275" s="63"/>
      <c r="E275" s="61" t="s">
        <v>834</v>
      </c>
    </row>
    <row customHeight="1" ht="14.25" r="276" spans="1:5" x14ac:dyDescent="0.25">
      <c r="A276" s="62">
        <v>1018</v>
      </c>
      <c r="B276" s="62" t="s">
        <v>835</v>
      </c>
      <c r="C276" s="62" t="s">
        <v>312</v>
      </c>
      <c r="D276" s="63">
        <v>-2.9680946238400001E-2</v>
      </c>
      <c r="E276" s="61" t="s">
        <v>836</v>
      </c>
    </row>
    <row customHeight="1" ht="14.25" r="277" spans="1:5" x14ac:dyDescent="0.25">
      <c r="A277" s="62">
        <v>1019</v>
      </c>
      <c r="B277" s="62" t="s">
        <v>837</v>
      </c>
      <c r="C277" s="62" t="s">
        <v>312</v>
      </c>
      <c r="D277" s="63">
        <v>-5.7505183079299999E-2</v>
      </c>
      <c r="E277" s="61" t="s">
        <v>838</v>
      </c>
    </row>
    <row customHeight="1" ht="14.25" r="278" spans="1:5" x14ac:dyDescent="0.25">
      <c r="A278" s="62">
        <v>1020</v>
      </c>
      <c r="B278" s="62" t="s">
        <v>839</v>
      </c>
      <c r="C278" s="62" t="s">
        <v>312</v>
      </c>
      <c r="D278" s="63">
        <v>0.83467013855500005</v>
      </c>
      <c r="E278" s="61" t="s">
        <v>840</v>
      </c>
    </row>
    <row customHeight="1" ht="14.25" r="279" spans="1:5" x14ac:dyDescent="0.25">
      <c r="A279" s="62">
        <v>1021</v>
      </c>
      <c r="B279" s="62" t="s">
        <v>841</v>
      </c>
      <c r="C279" s="62" t="s">
        <v>312</v>
      </c>
      <c r="D279" s="63">
        <v>2.49151431122E-2</v>
      </c>
      <c r="E279" s="61" t="s">
        <v>842</v>
      </c>
    </row>
    <row customHeight="1" ht="14.25" r="280" spans="1:5" x14ac:dyDescent="0.25">
      <c r="A280" s="62">
        <v>1022</v>
      </c>
      <c r="B280" s="62" t="s">
        <v>843</v>
      </c>
      <c r="C280" s="62" t="s">
        <v>312</v>
      </c>
      <c r="D280" s="63">
        <v>-0.44455279214999999</v>
      </c>
      <c r="E280" s="61" t="s">
        <v>844</v>
      </c>
    </row>
    <row customHeight="1" ht="14.25" r="281" spans="1:5" x14ac:dyDescent="0.25">
      <c r="A281" s="62">
        <v>1023</v>
      </c>
      <c r="B281" s="62" t="s">
        <v>845</v>
      </c>
      <c r="C281" s="62" t="s">
        <v>312</v>
      </c>
      <c r="D281" s="63">
        <v>1.0220867657699999</v>
      </c>
      <c r="E281" s="61" t="s">
        <v>846</v>
      </c>
    </row>
    <row customHeight="1" ht="14.25" r="282" spans="1:5" x14ac:dyDescent="0.25">
      <c r="A282" s="62">
        <v>1024</v>
      </c>
      <c r="B282" s="62" t="s">
        <v>847</v>
      </c>
      <c r="C282" s="62" t="s">
        <v>312</v>
      </c>
      <c r="D282" s="63">
        <v>-0.51603342620100001</v>
      </c>
      <c r="E282" s="61" t="s">
        <v>848</v>
      </c>
    </row>
    <row customHeight="1" ht="14.25" r="283" spans="1:5" x14ac:dyDescent="0.25">
      <c r="A283" s="62">
        <v>1025</v>
      </c>
      <c r="B283" s="62" t="s">
        <v>849</v>
      </c>
      <c r="C283" s="62" t="s">
        <v>312</v>
      </c>
      <c r="D283" s="63">
        <v>-0.557817023548</v>
      </c>
      <c r="E283" s="61" t="s">
        <v>850</v>
      </c>
    </row>
    <row customHeight="1" ht="14.25" r="284" spans="1:5" x14ac:dyDescent="0.25">
      <c r="A284" s="62">
        <v>1026</v>
      </c>
      <c r="B284" s="62" t="s">
        <v>851</v>
      </c>
      <c r="C284" s="62" t="s">
        <v>312</v>
      </c>
      <c r="D284" s="63">
        <v>-0.33987264769100001</v>
      </c>
      <c r="E284" s="61" t="s">
        <v>852</v>
      </c>
    </row>
    <row customHeight="1" ht="14.25" r="285" spans="1:5" x14ac:dyDescent="0.25">
      <c r="A285" s="62">
        <v>1028</v>
      </c>
      <c r="B285" s="62" t="s">
        <v>853</v>
      </c>
      <c r="C285" s="62" t="s">
        <v>312</v>
      </c>
      <c r="D285" s="63">
        <v>-5.8386949563200001E-2</v>
      </c>
      <c r="E285" s="61" t="s">
        <v>854</v>
      </c>
    </row>
    <row customHeight="1" ht="14.25" r="286" spans="1:5" x14ac:dyDescent="0.25">
      <c r="A286" s="62">
        <v>1029</v>
      </c>
      <c r="B286" s="62" t="s">
        <v>855</v>
      </c>
      <c r="C286" s="62" t="s">
        <v>331</v>
      </c>
      <c r="D286" s="63">
        <v>0</v>
      </c>
      <c r="E286" s="61" t="s">
        <v>856</v>
      </c>
    </row>
    <row customHeight="1" ht="14.25" r="287" spans="1:5" x14ac:dyDescent="0.25">
      <c r="A287" s="62">
        <v>1033</v>
      </c>
      <c r="B287" s="62" t="s">
        <v>857</v>
      </c>
      <c r="C287" s="62" t="s">
        <v>312</v>
      </c>
      <c r="D287" s="63">
        <v>2.4065371787399998</v>
      </c>
      <c r="E287" s="61" t="s">
        <v>858</v>
      </c>
    </row>
    <row customHeight="1" ht="14.25" r="288" spans="1:5" x14ac:dyDescent="0.25">
      <c r="A288" s="62">
        <v>1034</v>
      </c>
      <c r="B288" s="62" t="s">
        <v>859</v>
      </c>
      <c r="C288" s="62" t="s">
        <v>312</v>
      </c>
      <c r="D288" s="63">
        <v>0.41307512360999998</v>
      </c>
      <c r="E288" s="61" t="s">
        <v>860</v>
      </c>
    </row>
    <row customHeight="1" ht="14.25" r="289" spans="1:5" x14ac:dyDescent="0.25">
      <c r="A289" s="62">
        <v>1035</v>
      </c>
      <c r="B289" s="62" t="s">
        <v>861</v>
      </c>
      <c r="C289" s="62" t="s">
        <v>312</v>
      </c>
      <c r="D289" s="63">
        <v>0.36473610060099998</v>
      </c>
      <c r="E289" s="61" t="s">
        <v>862</v>
      </c>
    </row>
    <row customHeight="1" ht="14.25" r="290" spans="1:5" x14ac:dyDescent="0.25">
      <c r="A290" s="62">
        <v>1036</v>
      </c>
      <c r="B290" s="62" t="s">
        <v>863</v>
      </c>
      <c r="C290" s="62" t="s">
        <v>312</v>
      </c>
      <c r="D290" s="63">
        <v>0.58814808101500005</v>
      </c>
      <c r="E290" s="61" t="s">
        <v>864</v>
      </c>
    </row>
    <row customHeight="1" ht="14.25" r="291" spans="1:5" x14ac:dyDescent="0.25">
      <c r="A291" s="62">
        <v>1043</v>
      </c>
      <c r="B291" s="62" t="s">
        <v>865</v>
      </c>
      <c r="C291" s="62" t="s">
        <v>312</v>
      </c>
      <c r="D291" s="63">
        <v>-0.55052394285899997</v>
      </c>
      <c r="E291" s="61" t="s">
        <v>866</v>
      </c>
    </row>
    <row customHeight="1" ht="14.25" r="292" spans="1:5" x14ac:dyDescent="0.25">
      <c r="A292" s="62">
        <v>1044</v>
      </c>
      <c r="B292" s="62" t="s">
        <v>867</v>
      </c>
      <c r="C292" s="62" t="s">
        <v>312</v>
      </c>
      <c r="D292" s="63">
        <v>0.41985546286199998</v>
      </c>
      <c r="E292" s="61" t="s">
        <v>868</v>
      </c>
    </row>
    <row customHeight="1" ht="14.25" r="293" spans="1:5" x14ac:dyDescent="0.25">
      <c r="A293" s="62">
        <v>1045</v>
      </c>
      <c r="B293" s="62" t="s">
        <v>869</v>
      </c>
      <c r="C293" s="62" t="s">
        <v>312</v>
      </c>
      <c r="D293" s="63">
        <v>0.14835781039000001</v>
      </c>
      <c r="E293" s="61" t="s">
        <v>870</v>
      </c>
    </row>
    <row customHeight="1" ht="14.25" r="294" spans="1:5" x14ac:dyDescent="0.25">
      <c r="A294" s="62">
        <v>1046</v>
      </c>
      <c r="B294" s="62" t="s">
        <v>871</v>
      </c>
      <c r="C294" s="62" t="s">
        <v>312</v>
      </c>
      <c r="D294" s="63">
        <v>0.249023546515</v>
      </c>
      <c r="E294" s="61" t="s">
        <v>872</v>
      </c>
    </row>
    <row customHeight="1" ht="14.25" r="295" spans="1:5" x14ac:dyDescent="0.25">
      <c r="A295" s="62">
        <v>1053</v>
      </c>
      <c r="B295" s="62" t="s">
        <v>873</v>
      </c>
      <c r="C295" s="62" t="s">
        <v>312</v>
      </c>
      <c r="D295" s="63">
        <v>-0.39976593946</v>
      </c>
      <c r="E295" s="61" t="s">
        <v>874</v>
      </c>
    </row>
    <row customHeight="1" ht="14.25" r="296" spans="1:5" x14ac:dyDescent="0.25">
      <c r="A296" s="62">
        <v>1054</v>
      </c>
      <c r="B296" s="62" t="s">
        <v>875</v>
      </c>
      <c r="C296" s="62" t="s">
        <v>312</v>
      </c>
      <c r="D296" s="63">
        <v>0.190721848</v>
      </c>
      <c r="E296" s="61" t="s">
        <v>876</v>
      </c>
    </row>
    <row customHeight="1" ht="14.25" r="297" spans="1:5" x14ac:dyDescent="0.25">
      <c r="A297" s="62">
        <v>1055</v>
      </c>
      <c r="B297" s="62" t="s">
        <v>877</v>
      </c>
      <c r="C297" s="62" t="s">
        <v>312</v>
      </c>
      <c r="D297" s="63">
        <v>0.77322220290999999</v>
      </c>
      <c r="E297" s="61" t="s">
        <v>878</v>
      </c>
    </row>
    <row customHeight="1" ht="14.25" r="298" spans="1:5" x14ac:dyDescent="0.25">
      <c r="A298" s="62">
        <v>1056</v>
      </c>
      <c r="B298" s="62" t="s">
        <v>879</v>
      </c>
      <c r="C298" s="62" t="s">
        <v>312</v>
      </c>
      <c r="D298" s="63">
        <v>-0.30132160266000002</v>
      </c>
      <c r="E298" s="61" t="s">
        <v>880</v>
      </c>
    </row>
    <row customHeight="1" ht="14.25" r="299" spans="1:5" x14ac:dyDescent="0.25">
      <c r="A299" s="62">
        <v>1063</v>
      </c>
      <c r="B299" s="62" t="s">
        <v>881</v>
      </c>
      <c r="C299" s="62" t="s">
        <v>312</v>
      </c>
      <c r="D299" s="63">
        <v>-8.1217959165099995E-2</v>
      </c>
      <c r="E299" s="61" t="s">
        <v>882</v>
      </c>
    </row>
    <row customHeight="1" ht="14.25" r="300" spans="1:5" x14ac:dyDescent="0.25">
      <c r="A300" s="62">
        <v>1064</v>
      </c>
      <c r="B300" s="62" t="s">
        <v>883</v>
      </c>
      <c r="C300" s="62" t="s">
        <v>312</v>
      </c>
      <c r="D300" s="63">
        <v>0.22551013394899999</v>
      </c>
      <c r="E300" s="61" t="s">
        <v>884</v>
      </c>
    </row>
    <row customHeight="1" ht="14.25" r="301" spans="1:5" x14ac:dyDescent="0.25">
      <c r="A301" s="62">
        <v>1065</v>
      </c>
      <c r="B301" s="62" t="s">
        <v>885</v>
      </c>
      <c r="C301" s="62" t="s">
        <v>312</v>
      </c>
      <c r="D301" s="63">
        <v>0.30120956241699998</v>
      </c>
      <c r="E301" s="61" t="s">
        <v>886</v>
      </c>
    </row>
    <row customHeight="1" ht="14.25" r="302" spans="1:5" x14ac:dyDescent="0.25">
      <c r="A302" s="62">
        <v>1066</v>
      </c>
      <c r="B302" s="62" t="s">
        <v>887</v>
      </c>
      <c r="C302" s="62" t="s">
        <v>312</v>
      </c>
      <c r="D302" s="63">
        <v>-0.14627640169</v>
      </c>
      <c r="E302" s="61" t="s">
        <v>888</v>
      </c>
    </row>
    <row customHeight="1" ht="14.25" r="303" spans="1:5" x14ac:dyDescent="0.25">
      <c r="A303" s="62">
        <v>1073</v>
      </c>
      <c r="B303" s="62" t="s">
        <v>889</v>
      </c>
      <c r="C303" s="62" t="s">
        <v>312</v>
      </c>
      <c r="D303" s="63">
        <v>-0.55358196334700005</v>
      </c>
      <c r="E303" s="61" t="s">
        <v>890</v>
      </c>
    </row>
    <row customHeight="1" ht="14.25" r="304" spans="1:5" x14ac:dyDescent="0.25">
      <c r="A304" s="62">
        <v>1074</v>
      </c>
      <c r="B304" s="62" t="s">
        <v>891</v>
      </c>
      <c r="C304" s="62" t="s">
        <v>312</v>
      </c>
      <c r="D304" s="63">
        <v>-6.9330556773299995E-2</v>
      </c>
      <c r="E304" s="61" t="s">
        <v>892</v>
      </c>
    </row>
    <row customHeight="1" ht="14.25" r="305" spans="1:5" x14ac:dyDescent="0.25">
      <c r="A305" s="62">
        <v>1075</v>
      </c>
      <c r="B305" s="62" t="s">
        <v>893</v>
      </c>
      <c r="C305" s="62" t="s">
        <v>312</v>
      </c>
      <c r="D305" s="63">
        <v>0.112518585229</v>
      </c>
      <c r="E305" s="61" t="s">
        <v>894</v>
      </c>
    </row>
    <row customHeight="1" ht="14.25" r="306" spans="1:5" x14ac:dyDescent="0.25">
      <c r="A306" s="62">
        <v>1076</v>
      </c>
      <c r="B306" s="62" t="s">
        <v>895</v>
      </c>
      <c r="C306" s="62" t="s">
        <v>312</v>
      </c>
      <c r="D306" s="63">
        <v>0.42259980050599999</v>
      </c>
      <c r="E306" s="61" t="s">
        <v>896</v>
      </c>
    </row>
    <row customHeight="1" ht="14.25" r="307" spans="1:5" x14ac:dyDescent="0.25">
      <c r="A307" s="62">
        <v>1112</v>
      </c>
      <c r="B307" s="62" t="s">
        <v>897</v>
      </c>
      <c r="C307" s="62" t="s">
        <v>312</v>
      </c>
      <c r="D307" s="63">
        <v>-1.5159667569199999</v>
      </c>
      <c r="E307" s="61" t="s">
        <v>898</v>
      </c>
    </row>
    <row customHeight="1" ht="14.25" r="308" spans="1:5" x14ac:dyDescent="0.25">
      <c r="A308" s="62">
        <v>1113</v>
      </c>
      <c r="B308" s="62" t="s">
        <v>899</v>
      </c>
      <c r="C308" s="62" t="s">
        <v>312</v>
      </c>
      <c r="D308" s="63">
        <v>-1.25860017038</v>
      </c>
      <c r="E308" s="61" t="s">
        <v>900</v>
      </c>
    </row>
    <row customHeight="1" ht="14.25" r="309" spans="1:5" x14ac:dyDescent="0.25">
      <c r="A309" s="62">
        <v>1114</v>
      </c>
      <c r="B309" s="62" t="s">
        <v>901</v>
      </c>
      <c r="C309" s="62" t="s">
        <v>312</v>
      </c>
      <c r="D309" s="63">
        <v>-0.98798477919399996</v>
      </c>
      <c r="E309" s="61" t="s">
        <v>902</v>
      </c>
    </row>
    <row customHeight="1" ht="14.25" r="310" spans="1:5" x14ac:dyDescent="0.25">
      <c r="A310" s="62">
        <v>1115</v>
      </c>
      <c r="B310" s="62" t="s">
        <v>903</v>
      </c>
      <c r="C310" s="62" t="s">
        <v>312</v>
      </c>
      <c r="D310" s="63">
        <v>-0.85516042207999998</v>
      </c>
      <c r="E310" s="61" t="s">
        <v>904</v>
      </c>
    </row>
    <row customHeight="1" ht="14.25" r="311" spans="1:5" x14ac:dyDescent="0.25">
      <c r="A311" s="62">
        <v>1116</v>
      </c>
      <c r="B311" s="62" t="s">
        <v>905</v>
      </c>
      <c r="C311" s="62" t="s">
        <v>312</v>
      </c>
      <c r="D311" s="63">
        <v>-0.43795874111499999</v>
      </c>
      <c r="E311" s="61" t="s">
        <v>906</v>
      </c>
    </row>
    <row customHeight="1" ht="14.25" r="312" spans="1:5" x14ac:dyDescent="0.25">
      <c r="A312" s="62">
        <v>1117</v>
      </c>
      <c r="B312" s="62" t="s">
        <v>907</v>
      </c>
      <c r="C312" s="62" t="s">
        <v>312</v>
      </c>
      <c r="D312" s="63">
        <v>-0.46612496709000001</v>
      </c>
      <c r="E312" s="61" t="s">
        <v>908</v>
      </c>
    </row>
    <row customHeight="1" ht="14.25" r="313" spans="1:5" x14ac:dyDescent="0.25">
      <c r="A313" s="62">
        <v>1123</v>
      </c>
      <c r="B313" s="62" t="s">
        <v>909</v>
      </c>
      <c r="C313" s="62" t="s">
        <v>312</v>
      </c>
      <c r="D313" s="63">
        <v>-1.3137469667199999</v>
      </c>
      <c r="E313" s="61" t="s">
        <v>910</v>
      </c>
    </row>
    <row customHeight="1" ht="14.25" r="314" spans="1:5" x14ac:dyDescent="0.25">
      <c r="A314" s="62">
        <v>1124</v>
      </c>
      <c r="B314" s="62" t="s">
        <v>911</v>
      </c>
      <c r="C314" s="62" t="s">
        <v>312</v>
      </c>
      <c r="D314" s="63">
        <v>-0.74461563958900001</v>
      </c>
      <c r="E314" s="61" t="s">
        <v>912</v>
      </c>
    </row>
    <row customHeight="1" ht="14.25" r="315" spans="1:5" x14ac:dyDescent="0.25">
      <c r="A315" s="62">
        <v>1125</v>
      </c>
      <c r="B315" s="62" t="s">
        <v>913</v>
      </c>
      <c r="C315" s="62" t="s">
        <v>312</v>
      </c>
      <c r="D315" s="63">
        <v>-0.72233741176900002</v>
      </c>
      <c r="E315" s="61" t="s">
        <v>914</v>
      </c>
    </row>
    <row customHeight="1" ht="14.25" r="316" spans="1:5" x14ac:dyDescent="0.25">
      <c r="A316" s="62">
        <v>1126</v>
      </c>
      <c r="B316" s="62" t="s">
        <v>915</v>
      </c>
      <c r="C316" s="62" t="s">
        <v>312</v>
      </c>
      <c r="D316" s="63">
        <v>-0.508145526987</v>
      </c>
      <c r="E316" s="61" t="s">
        <v>916</v>
      </c>
    </row>
    <row customHeight="1" ht="14.25" r="317" spans="1:5" x14ac:dyDescent="0.25">
      <c r="A317" s="62">
        <v>1127</v>
      </c>
      <c r="B317" s="62" t="s">
        <v>917</v>
      </c>
      <c r="C317" s="62" t="s">
        <v>312</v>
      </c>
      <c r="D317" s="63">
        <v>-0.48686652386000001</v>
      </c>
      <c r="E317" s="61" t="s">
        <v>918</v>
      </c>
    </row>
    <row customHeight="1" ht="14.25" r="318" spans="1:5" x14ac:dyDescent="0.25">
      <c r="A318" s="62">
        <v>1134</v>
      </c>
      <c r="B318" s="62" t="s">
        <v>919</v>
      </c>
      <c r="C318" s="62" t="s">
        <v>312</v>
      </c>
      <c r="D318" s="63">
        <v>0.398720034916</v>
      </c>
      <c r="E318" s="61" t="s">
        <v>920</v>
      </c>
    </row>
    <row customHeight="1" ht="14.25" r="319" spans="1:5" x14ac:dyDescent="0.25">
      <c r="A319" s="62">
        <v>1135</v>
      </c>
      <c r="B319" s="62" t="s">
        <v>921</v>
      </c>
      <c r="C319" s="62" t="s">
        <v>312</v>
      </c>
      <c r="D319" s="63">
        <v>-6.6189123184200005E-2</v>
      </c>
      <c r="E319" s="61" t="s">
        <v>922</v>
      </c>
    </row>
    <row customHeight="1" ht="14.25" r="320" spans="1:5" x14ac:dyDescent="0.25">
      <c r="A320" s="62">
        <v>1136</v>
      </c>
      <c r="B320" s="62" t="s">
        <v>923</v>
      </c>
      <c r="C320" s="62" t="s">
        <v>312</v>
      </c>
      <c r="D320" s="63">
        <v>-7.8918781693600004E-2</v>
      </c>
      <c r="E320" s="61" t="s">
        <v>924</v>
      </c>
    </row>
    <row customHeight="1" ht="14.25" r="321" spans="1:5" x14ac:dyDescent="0.25">
      <c r="A321" s="62">
        <v>1137</v>
      </c>
      <c r="B321" s="62" t="s">
        <v>925</v>
      </c>
      <c r="C321" s="62" t="s">
        <v>312</v>
      </c>
      <c r="D321" s="63">
        <v>0.243957855541</v>
      </c>
      <c r="E321" s="61" t="s">
        <v>926</v>
      </c>
    </row>
    <row customHeight="1" ht="14.25" r="322" spans="1:5" x14ac:dyDescent="0.25">
      <c r="A322" s="62">
        <v>1145</v>
      </c>
      <c r="B322" s="62" t="s">
        <v>927</v>
      </c>
      <c r="C322" s="62" t="s">
        <v>312</v>
      </c>
      <c r="D322" s="63">
        <v>1.14376676225E-2</v>
      </c>
      <c r="E322" s="61" t="s">
        <v>928</v>
      </c>
    </row>
    <row customHeight="1" ht="14.25" r="323" spans="1:5" x14ac:dyDescent="0.25">
      <c r="A323" s="62">
        <v>1146</v>
      </c>
      <c r="B323" s="62" t="s">
        <v>929</v>
      </c>
      <c r="C323" s="62" t="s">
        <v>312</v>
      </c>
      <c r="D323" s="63">
        <v>0.307184455794</v>
      </c>
      <c r="E323" s="61" t="s">
        <v>930</v>
      </c>
    </row>
    <row customHeight="1" ht="14.25" r="324" spans="1:5" x14ac:dyDescent="0.25">
      <c r="A324" s="62">
        <v>1147</v>
      </c>
      <c r="B324" s="62" t="s">
        <v>931</v>
      </c>
      <c r="C324" s="62" t="s">
        <v>312</v>
      </c>
      <c r="D324" s="63">
        <v>-0.12329005178999999</v>
      </c>
      <c r="E324" s="61" t="s">
        <v>932</v>
      </c>
    </row>
    <row customHeight="1" ht="14.25" r="325" spans="1:5" x14ac:dyDescent="0.25">
      <c r="A325" s="62">
        <v>1156</v>
      </c>
      <c r="B325" s="62" t="s">
        <v>933</v>
      </c>
      <c r="C325" s="62" t="s">
        <v>312</v>
      </c>
      <c r="D325" s="63">
        <v>-0.38573730080200003</v>
      </c>
      <c r="E325" s="61" t="s">
        <v>934</v>
      </c>
    </row>
    <row customHeight="1" ht="14.25" r="326" spans="1:5" x14ac:dyDescent="0.25">
      <c r="A326" s="62">
        <v>1157</v>
      </c>
      <c r="B326" s="62" t="s">
        <v>935</v>
      </c>
      <c r="C326" s="62" t="s">
        <v>312</v>
      </c>
      <c r="D326" s="63">
        <v>6.2103537354600002E-2</v>
      </c>
      <c r="E326" s="61" t="s">
        <v>936</v>
      </c>
    </row>
    <row customHeight="1" ht="14.25" r="327" spans="1:5" x14ac:dyDescent="0.25">
      <c r="A327" s="62">
        <v>1213</v>
      </c>
      <c r="B327" s="62" t="s">
        <v>937</v>
      </c>
      <c r="C327" s="62" t="s">
        <v>312</v>
      </c>
      <c r="D327" s="63">
        <v>-1.4107824825799999</v>
      </c>
      <c r="E327" s="61" t="s">
        <v>938</v>
      </c>
    </row>
    <row customHeight="1" ht="14.25" r="328" spans="1:5" x14ac:dyDescent="0.25">
      <c r="A328" s="62">
        <v>1214</v>
      </c>
      <c r="B328" s="62" t="s">
        <v>939</v>
      </c>
      <c r="C328" s="62" t="s">
        <v>312</v>
      </c>
      <c r="D328" s="63">
        <v>-0.67028757194199995</v>
      </c>
      <c r="E328" s="61" t="s">
        <v>940</v>
      </c>
    </row>
    <row customHeight="1" ht="14.25" r="329" spans="1:5" x14ac:dyDescent="0.25">
      <c r="A329" s="62">
        <v>1215</v>
      </c>
      <c r="B329" s="62" t="s">
        <v>941</v>
      </c>
      <c r="C329" s="62" t="s">
        <v>312</v>
      </c>
      <c r="D329" s="63">
        <v>-0.69688193970800005</v>
      </c>
      <c r="E329" s="61" t="s">
        <v>942</v>
      </c>
    </row>
    <row customHeight="1" ht="14.25" r="330" spans="1:5" x14ac:dyDescent="0.25">
      <c r="A330" s="62">
        <v>1216</v>
      </c>
      <c r="B330" s="62" t="s">
        <v>943</v>
      </c>
      <c r="C330" s="62" t="s">
        <v>312</v>
      </c>
      <c r="D330" s="63">
        <v>-0.50289966674099995</v>
      </c>
      <c r="E330" s="61" t="s">
        <v>944</v>
      </c>
    </row>
    <row customHeight="1" ht="14.25" r="331" spans="1:5" x14ac:dyDescent="0.25">
      <c r="A331" s="62">
        <v>1217</v>
      </c>
      <c r="B331" s="62" t="s">
        <v>945</v>
      </c>
      <c r="C331" s="62" t="s">
        <v>312</v>
      </c>
      <c r="D331" s="63">
        <v>-0.99588152693599996</v>
      </c>
      <c r="E331" s="61" t="s">
        <v>946</v>
      </c>
    </row>
    <row customHeight="1" ht="14.25" r="332" spans="1:5" x14ac:dyDescent="0.25">
      <c r="A332" s="62">
        <v>1223</v>
      </c>
      <c r="B332" s="62" t="s">
        <v>947</v>
      </c>
      <c r="C332" s="62" t="s">
        <v>312</v>
      </c>
      <c r="D332" s="63">
        <v>-1.15884229352</v>
      </c>
      <c r="E332" s="61" t="s">
        <v>948</v>
      </c>
    </row>
    <row customHeight="1" ht="14.25" r="333" spans="1:5" x14ac:dyDescent="0.25">
      <c r="A333" s="62">
        <v>1224</v>
      </c>
      <c r="B333" s="62" t="s">
        <v>949</v>
      </c>
      <c r="C333" s="62" t="s">
        <v>312</v>
      </c>
      <c r="D333" s="63">
        <v>-0.41315925356400002</v>
      </c>
      <c r="E333" s="61" t="s">
        <v>950</v>
      </c>
    </row>
    <row customHeight="1" ht="14.25" r="334" spans="1:5" x14ac:dyDescent="0.25">
      <c r="A334" s="62">
        <v>1225</v>
      </c>
      <c r="B334" s="62" t="s">
        <v>951</v>
      </c>
      <c r="C334" s="62" t="s">
        <v>312</v>
      </c>
      <c r="D334" s="63">
        <v>-1.1781073092900001</v>
      </c>
      <c r="E334" s="61" t="s">
        <v>952</v>
      </c>
    </row>
    <row customHeight="1" ht="14.25" r="335" spans="1:5" x14ac:dyDescent="0.25">
      <c r="A335" s="62">
        <v>1226</v>
      </c>
      <c r="B335" s="62" t="s">
        <v>953</v>
      </c>
      <c r="C335" s="62" t="s">
        <v>312</v>
      </c>
      <c r="D335" s="63">
        <v>0.41808528217399998</v>
      </c>
      <c r="E335" s="61" t="s">
        <v>954</v>
      </c>
    </row>
    <row customHeight="1" ht="14.25" r="336" spans="1:5" x14ac:dyDescent="0.25">
      <c r="A336" s="62">
        <v>1227</v>
      </c>
      <c r="B336" s="62" t="s">
        <v>955</v>
      </c>
      <c r="C336" s="62" t="s">
        <v>312</v>
      </c>
      <c r="D336" s="63">
        <v>-0.23909838973600001</v>
      </c>
      <c r="E336" s="61" t="s">
        <v>956</v>
      </c>
    </row>
    <row customHeight="1" ht="14.25" r="337" spans="1:5" x14ac:dyDescent="0.25">
      <c r="A337" s="62">
        <v>1234</v>
      </c>
      <c r="B337" s="62" t="s">
        <v>957</v>
      </c>
      <c r="C337" s="62" t="s">
        <v>312</v>
      </c>
      <c r="D337" s="63">
        <v>-0.53250623547800002</v>
      </c>
      <c r="E337" s="61" t="s">
        <v>958</v>
      </c>
    </row>
    <row customHeight="1" ht="14.25" r="338" spans="1:5" x14ac:dyDescent="0.25">
      <c r="A338" s="62">
        <v>1235</v>
      </c>
      <c r="B338" s="62" t="s">
        <v>959</v>
      </c>
      <c r="C338" s="62" t="s">
        <v>312</v>
      </c>
      <c r="D338" s="63">
        <v>-0.73781638945000005</v>
      </c>
      <c r="E338" s="61" t="s">
        <v>960</v>
      </c>
    </row>
    <row customHeight="1" ht="14.25" r="339" spans="1:5" x14ac:dyDescent="0.25">
      <c r="A339" s="62">
        <v>1236</v>
      </c>
      <c r="B339" s="62" t="s">
        <v>961</v>
      </c>
      <c r="C339" s="62" t="s">
        <v>312</v>
      </c>
      <c r="D339" s="63">
        <v>-0.39225286756099997</v>
      </c>
      <c r="E339" s="61" t="s">
        <v>962</v>
      </c>
    </row>
    <row customHeight="1" ht="14.25" r="340" spans="1:5" x14ac:dyDescent="0.25">
      <c r="A340" s="62">
        <v>1237</v>
      </c>
      <c r="B340" s="62" t="s">
        <v>963</v>
      </c>
      <c r="C340" s="62" t="s">
        <v>312</v>
      </c>
      <c r="D340" s="63">
        <v>-0.20531482124200001</v>
      </c>
      <c r="E340" s="61" t="s">
        <v>964</v>
      </c>
    </row>
    <row customHeight="1" ht="14.25" r="341" spans="1:5" x14ac:dyDescent="0.25">
      <c r="A341" s="62">
        <v>1245</v>
      </c>
      <c r="B341" s="62" t="s">
        <v>965</v>
      </c>
      <c r="C341" s="62" t="s">
        <v>312</v>
      </c>
      <c r="D341" s="63">
        <v>-0.17779072526699999</v>
      </c>
      <c r="E341" s="61" t="s">
        <v>966</v>
      </c>
    </row>
    <row customHeight="1" ht="14.25" r="342" spans="1:5" x14ac:dyDescent="0.25">
      <c r="A342" s="62">
        <v>1246</v>
      </c>
      <c r="B342" s="62" t="s">
        <v>967</v>
      </c>
      <c r="C342" s="62" t="s">
        <v>312</v>
      </c>
      <c r="D342" s="63">
        <v>-0.47229190428099999</v>
      </c>
      <c r="E342" s="61" t="s">
        <v>968</v>
      </c>
    </row>
    <row customHeight="1" ht="14.25" r="343" spans="1:5" x14ac:dyDescent="0.25">
      <c r="A343" s="62">
        <v>1247</v>
      </c>
      <c r="B343" s="62" t="s">
        <v>969</v>
      </c>
      <c r="C343" s="62" t="s">
        <v>312</v>
      </c>
      <c r="D343" s="63">
        <v>-0.702095060341</v>
      </c>
      <c r="E343" s="61" t="s">
        <v>970</v>
      </c>
    </row>
    <row customHeight="1" ht="14.25" r="344" spans="1:5" x14ac:dyDescent="0.25">
      <c r="A344" s="62">
        <v>1256</v>
      </c>
      <c r="B344" s="62" t="s">
        <v>971</v>
      </c>
      <c r="C344" s="62" t="s">
        <v>312</v>
      </c>
      <c r="D344" s="63">
        <v>-0.46940031431700002</v>
      </c>
      <c r="E344" s="61" t="s">
        <v>972</v>
      </c>
    </row>
    <row customHeight="1" ht="14.25" r="345" spans="1:5" x14ac:dyDescent="0.25">
      <c r="A345" s="62">
        <v>1257</v>
      </c>
      <c r="B345" s="62" t="s">
        <v>973</v>
      </c>
      <c r="C345" s="62" t="s">
        <v>312</v>
      </c>
      <c r="D345" s="63">
        <v>-0.63882592744199995</v>
      </c>
      <c r="E345" s="61" t="s">
        <v>974</v>
      </c>
    </row>
    <row customHeight="1" ht="14.25" r="346" spans="1:5" x14ac:dyDescent="0.25">
      <c r="A346" s="62">
        <v>1311</v>
      </c>
      <c r="B346" s="62" t="s">
        <v>975</v>
      </c>
      <c r="C346" s="62" t="s">
        <v>312</v>
      </c>
      <c r="D346" s="67">
        <v>-3.23294475912</v>
      </c>
      <c r="E346" s="61" t="s">
        <v>976</v>
      </c>
    </row>
    <row customHeight="1" ht="14.25" r="347" spans="1:5" x14ac:dyDescent="0.25">
      <c r="A347" s="62">
        <v>1312</v>
      </c>
      <c r="B347" s="62" t="s">
        <v>977</v>
      </c>
      <c r="C347" s="62" t="s">
        <v>312</v>
      </c>
      <c r="D347" s="67">
        <v>-4.9079128005400001</v>
      </c>
      <c r="E347" s="61" t="s">
        <v>978</v>
      </c>
    </row>
    <row customHeight="1" ht="14.25" r="348" spans="1:5" x14ac:dyDescent="0.25">
      <c r="A348" s="62">
        <v>1313</v>
      </c>
      <c r="B348" s="62" t="s">
        <v>979</v>
      </c>
      <c r="C348" s="62" t="s">
        <v>312</v>
      </c>
      <c r="D348" s="67">
        <v>-5.5245256889299998</v>
      </c>
      <c r="E348" s="61" t="s">
        <v>980</v>
      </c>
    </row>
    <row customHeight="1" ht="14.25" r="349" spans="1:5" x14ac:dyDescent="0.25">
      <c r="A349" s="62">
        <v>1321</v>
      </c>
      <c r="B349" s="62" t="s">
        <v>981</v>
      </c>
      <c r="C349" s="62" t="s">
        <v>312</v>
      </c>
      <c r="D349" s="67">
        <v>-3.0694184685499999</v>
      </c>
      <c r="E349" s="61" t="s">
        <v>982</v>
      </c>
    </row>
    <row customHeight="1" ht="14.25" r="350" spans="1:5" x14ac:dyDescent="0.25">
      <c r="A350" s="62">
        <v>1322</v>
      </c>
      <c r="B350" s="62" t="s">
        <v>983</v>
      </c>
      <c r="C350" s="62" t="s">
        <v>312</v>
      </c>
      <c r="D350" s="67">
        <v>-4.6893655781000003</v>
      </c>
      <c r="E350" s="61" t="s">
        <v>984</v>
      </c>
    </row>
    <row customHeight="1" ht="14.25" r="351" spans="1:5" x14ac:dyDescent="0.25">
      <c r="A351" s="62">
        <v>1323</v>
      </c>
      <c r="B351" s="62" t="s">
        <v>985</v>
      </c>
      <c r="C351" s="62" t="s">
        <v>312</v>
      </c>
      <c r="D351" s="67">
        <v>-5.2945530060500001</v>
      </c>
      <c r="E351" s="61" t="s">
        <v>986</v>
      </c>
    </row>
    <row customHeight="1" ht="14.25" r="352" spans="1:5" x14ac:dyDescent="0.25">
      <c r="A352" s="62">
        <v>1331</v>
      </c>
      <c r="B352" s="62" t="s">
        <v>987</v>
      </c>
      <c r="C352" s="62" t="s">
        <v>312</v>
      </c>
      <c r="D352" s="67">
        <v>-2.8060943842600001</v>
      </c>
      <c r="E352" s="61" t="s">
        <v>988</v>
      </c>
    </row>
    <row customHeight="1" ht="14.25" r="353" spans="1:5" x14ac:dyDescent="0.25">
      <c r="A353" s="62">
        <v>1332</v>
      </c>
      <c r="B353" s="62" t="s">
        <v>989</v>
      </c>
      <c r="C353" s="62" t="s">
        <v>312</v>
      </c>
      <c r="D353" s="67">
        <v>-4.5280142445599996</v>
      </c>
      <c r="E353" s="61" t="s">
        <v>990</v>
      </c>
    </row>
    <row customHeight="1" ht="14.25" r="354" spans="1:5" x14ac:dyDescent="0.25">
      <c r="A354" s="62">
        <v>1401</v>
      </c>
      <c r="B354" s="62" t="s">
        <v>991</v>
      </c>
      <c r="C354" s="62" t="s">
        <v>312</v>
      </c>
      <c r="D354" s="63">
        <v>9.2723414770299994E-2</v>
      </c>
      <c r="E354" s="61" t="s">
        <v>992</v>
      </c>
    </row>
    <row customHeight="1" ht="14.25" r="355" spans="1:5" x14ac:dyDescent="0.25">
      <c r="A355" s="62">
        <v>1402</v>
      </c>
      <c r="B355" s="62" t="s">
        <v>993</v>
      </c>
      <c r="C355" s="62" t="s">
        <v>312</v>
      </c>
      <c r="D355" s="63">
        <v>0.25636973171499999</v>
      </c>
      <c r="E355" s="61" t="s">
        <v>994</v>
      </c>
    </row>
    <row customHeight="1" ht="14.25" r="356" spans="1:5" x14ac:dyDescent="0.25">
      <c r="A356" s="62">
        <v>1403</v>
      </c>
      <c r="B356" s="62" t="s">
        <v>995</v>
      </c>
      <c r="C356" s="62" t="s">
        <v>312</v>
      </c>
      <c r="D356" s="63">
        <v>0.46539161270599999</v>
      </c>
      <c r="E356" s="61" t="s">
        <v>996</v>
      </c>
    </row>
    <row customHeight="1" ht="14.25" r="357" spans="1:5" x14ac:dyDescent="0.25">
      <c r="A357" s="62">
        <v>1404</v>
      </c>
      <c r="B357" s="62" t="s">
        <v>997</v>
      </c>
      <c r="C357" s="62" t="s">
        <v>312</v>
      </c>
      <c r="D357" s="63">
        <v>-0.81558723264099997</v>
      </c>
      <c r="E357" s="61" t="s">
        <v>998</v>
      </c>
    </row>
    <row customHeight="1" ht="14.25" r="358" spans="1:5" x14ac:dyDescent="0.25">
      <c r="A358" s="62">
        <v>1405</v>
      </c>
      <c r="B358" s="62" t="s">
        <v>999</v>
      </c>
      <c r="C358" s="62" t="s">
        <v>312</v>
      </c>
      <c r="D358" s="63">
        <v>-3.5031756741299998E-2</v>
      </c>
      <c r="E358" s="61" t="s">
        <v>1000</v>
      </c>
    </row>
    <row customHeight="1" ht="14.25" r="359" spans="1:5" x14ac:dyDescent="0.25">
      <c r="A359" s="62">
        <v>1411</v>
      </c>
      <c r="B359" s="62" t="s">
        <v>1001</v>
      </c>
      <c r="C359" s="62" t="s">
        <v>312</v>
      </c>
      <c r="D359" s="63">
        <v>0.27709867578399999</v>
      </c>
      <c r="E359" s="61" t="s">
        <v>1002</v>
      </c>
    </row>
    <row customHeight="1" ht="14.25" r="360" spans="1:5" x14ac:dyDescent="0.25">
      <c r="A360" s="62">
        <v>1412</v>
      </c>
      <c r="B360" s="62" t="s">
        <v>1003</v>
      </c>
      <c r="C360" s="62" t="s">
        <v>312</v>
      </c>
      <c r="D360" s="63">
        <v>0.230643528391</v>
      </c>
      <c r="E360" s="61" t="s">
        <v>1004</v>
      </c>
    </row>
    <row customHeight="1" ht="14.25" r="361" spans="1:5" x14ac:dyDescent="0.25">
      <c r="A361" s="62">
        <v>1413</v>
      </c>
      <c r="B361" s="62" t="s">
        <v>1005</v>
      </c>
      <c r="C361" s="62" t="s">
        <v>312</v>
      </c>
      <c r="D361" s="63">
        <v>-0.13102011246199999</v>
      </c>
      <c r="E361" s="61" t="s">
        <v>1006</v>
      </c>
    </row>
    <row customHeight="1" ht="14.25" r="362" spans="1:5" x14ac:dyDescent="0.25">
      <c r="A362" s="62">
        <v>1414</v>
      </c>
      <c r="B362" s="62" t="s">
        <v>1007</v>
      </c>
      <c r="C362" s="62" t="s">
        <v>312</v>
      </c>
      <c r="D362" s="63">
        <v>0.55615704919099995</v>
      </c>
      <c r="E362" s="61" t="s">
        <v>1008</v>
      </c>
    </row>
    <row customHeight="1" ht="14.25" r="363" spans="1:5" x14ac:dyDescent="0.25">
      <c r="A363" s="62">
        <v>1415</v>
      </c>
      <c r="B363" s="62" t="s">
        <v>1009</v>
      </c>
      <c r="C363" s="62" t="s">
        <v>312</v>
      </c>
      <c r="D363" s="63">
        <v>1.26703424977E-2</v>
      </c>
      <c r="E363" s="61" t="s">
        <v>1010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8192"/>
  <sheetViews>
    <sheetView topLeftCell="A8137" workbookViewId="0" zoomScaleNormal="100">
      <selection activeCell="A8192" sqref="A8192"/>
    </sheetView>
  </sheetViews>
  <sheetFormatPr defaultColWidth="9" defaultRowHeight="15" x14ac:dyDescent="0.25"/>
  <cols>
    <col min="1" max="14" customWidth="true" style="201" width="9.0" collapsed="true"/>
    <col min="15" max="15" customWidth="true" style="201" width="14.5" collapsed="true"/>
    <col min="16" max="22" customWidth="true" style="201" width="9.0" collapsed="true"/>
    <col min="23" max="16384" style="201" width="9.0" collapsed="true"/>
  </cols>
  <sheetData>
    <row r="1" spans="1:15" x14ac:dyDescent="0.2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>
        <v>1.1299999999999999</v>
      </c>
      <c r="J1" s="102"/>
      <c r="K1" s="102"/>
      <c r="L1" s="102"/>
      <c r="M1" s="102"/>
      <c r="N1" s="102"/>
      <c r="O1" s="103"/>
    </row>
    <row r="2" spans="1:15" x14ac:dyDescent="0.25">
      <c r="A2" s="104">
        <v>1</v>
      </c>
      <c r="B2" s="105" t="s">
        <v>1013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6"/>
    </row>
    <row r="3" spans="1:15" x14ac:dyDescent="0.2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</row>
    <row r="4" spans="1:15" x14ac:dyDescent="0.2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6"/>
    </row>
    <row r="5" spans="1:15" x14ac:dyDescent="0.25">
      <c r="A5" s="104">
        <v>4</v>
      </c>
      <c r="B5" s="105" t="s">
        <v>1016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6"/>
    </row>
    <row r="6" spans="1:15" x14ac:dyDescent="0.25">
      <c r="A6" s="109" t="s">
        <v>1017</v>
      </c>
      <c r="B6" s="107" t="s">
        <v>1018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8"/>
    </row>
    <row r="8" spans="1:15" x14ac:dyDescent="0.25">
      <c r="A8" s="201" t="s">
        <v>1019</v>
      </c>
      <c r="B8" s="201" t="s">
        <v>1020</v>
      </c>
      <c r="C8" s="201" t="s">
        <v>1021</v>
      </c>
      <c r="D8" s="201">
        <v>1828</v>
      </c>
      <c r="E8" s="201" t="s">
        <v>1022</v>
      </c>
    </row>
    <row r="9" spans="1:15" x14ac:dyDescent="0.25">
      <c r="A9" s="201" t="s">
        <v>1023</v>
      </c>
      <c r="B9" s="201" t="s">
        <v>1024</v>
      </c>
      <c r="C9" s="201" t="s">
        <v>1025</v>
      </c>
      <c r="D9" s="201" t="s">
        <v>1021</v>
      </c>
      <c r="E9" s="201">
        <v>4</v>
      </c>
      <c r="F9" s="69">
        <v>0.34832175925925929</v>
      </c>
      <c r="G9" t="s">
        <v>1026</v>
      </c>
      <c r="H9">
        <v>26</v>
      </c>
      <c r="I9" t="s">
        <v>1261</v>
      </c>
      <c r="J9">
        <v>12</v>
      </c>
    </row>
    <row r="10" spans="1:15" x14ac:dyDescent="0.25">
      <c r="A10" s="201" t="s">
        <v>1027</v>
      </c>
    </row>
    <row r="11" spans="1:15" x14ac:dyDescent="0.25">
      <c r="A11" s="201">
        <v>20</v>
      </c>
      <c r="B11" s="201" t="s">
        <v>1028</v>
      </c>
      <c r="C11" s="201" t="s">
        <v>331</v>
      </c>
      <c r="D11" s="201">
        <v>1</v>
      </c>
      <c r="E11" s="70"/>
      <c r="F11" s="70"/>
    </row>
    <row r="12" spans="1:15" x14ac:dyDescent="0.25">
      <c r="A12" s="201">
        <v>100</v>
      </c>
      <c r="B12" s="201" t="s">
        <v>311</v>
      </c>
      <c r="C12" s="201" t="s">
        <v>312</v>
      </c>
      <c r="D12" s="201">
        <v>1.9017439303100001</v>
      </c>
      <c r="E12" s="70"/>
    </row>
    <row r="13" spans="1:15" x14ac:dyDescent="0.25">
      <c r="A13" s="201">
        <v>101</v>
      </c>
      <c r="B13" s="201" t="s">
        <v>314</v>
      </c>
      <c r="C13" s="201" t="s">
        <v>312</v>
      </c>
      <c r="D13" s="201">
        <v>3.6928987586500002</v>
      </c>
      <c r="E13" s="70"/>
      <c r="F13" s="70"/>
    </row>
    <row r="14" spans="1:15" x14ac:dyDescent="0.25">
      <c r="A14" s="201">
        <v>102</v>
      </c>
      <c r="B14" s="201" t="s">
        <v>316</v>
      </c>
      <c r="C14" s="201" t="s">
        <v>312</v>
      </c>
      <c r="D14" s="201">
        <v>-0.12630532374</v>
      </c>
      <c r="E14" s="70"/>
    </row>
    <row r="15" spans="1:15" x14ac:dyDescent="0.25">
      <c r="A15" s="201">
        <v>105</v>
      </c>
      <c r="B15" s="201" t="s">
        <v>318</v>
      </c>
      <c r="C15" s="201" t="s">
        <v>312</v>
      </c>
      <c r="D15" s="201">
        <v>-2.5142965129700001</v>
      </c>
    </row>
    <row r="16" spans="1:15" x14ac:dyDescent="0.25">
      <c r="A16" s="201">
        <v>106</v>
      </c>
      <c r="B16" s="201" t="s">
        <v>320</v>
      </c>
      <c r="C16" s="201" t="s">
        <v>312</v>
      </c>
      <c r="D16" s="201">
        <v>-3.8295481163199998</v>
      </c>
    </row>
    <row r="17" spans="1:6" x14ac:dyDescent="0.25">
      <c r="A17" s="201">
        <v>109</v>
      </c>
      <c r="B17" s="201" t="s">
        <v>322</v>
      </c>
      <c r="C17" s="201" t="s">
        <v>331</v>
      </c>
      <c r="D17" s="201">
        <v>0</v>
      </c>
      <c r="E17" s="70"/>
      <c r="F17" s="70"/>
    </row>
    <row r="18" spans="1:6" x14ac:dyDescent="0.25">
      <c r="A18" s="201">
        <v>110</v>
      </c>
      <c r="B18" s="201" t="s">
        <v>324</v>
      </c>
      <c r="C18" s="201" t="s">
        <v>331</v>
      </c>
      <c r="D18" s="70">
        <v>0</v>
      </c>
      <c r="E18" s="70"/>
      <c r="F18" s="70"/>
    </row>
    <row r="19" spans="1:6" x14ac:dyDescent="0.25">
      <c r="A19" s="201">
        <v>111</v>
      </c>
      <c r="B19" s="201" t="s">
        <v>326</v>
      </c>
      <c r="C19" s="201" t="s">
        <v>312</v>
      </c>
      <c r="D19" s="70">
        <v>8.8907504740000004E-2</v>
      </c>
      <c r="E19" s="70"/>
      <c r="F19" s="70"/>
    </row>
    <row r="20" spans="1:6" x14ac:dyDescent="0.25">
      <c r="A20" s="201">
        <v>112</v>
      </c>
      <c r="B20" s="201" t="s">
        <v>328</v>
      </c>
      <c r="C20" s="201" t="s">
        <v>331</v>
      </c>
      <c r="D20" s="201">
        <v>0</v>
      </c>
    </row>
    <row r="21" spans="1:6" x14ac:dyDescent="0.25">
      <c r="A21" s="201">
        <v>113</v>
      </c>
      <c r="B21" s="201" t="s">
        <v>330</v>
      </c>
      <c r="C21" s="201" t="s">
        <v>331</v>
      </c>
      <c r="D21" s="201">
        <v>0</v>
      </c>
    </row>
    <row r="22" spans="1:6" x14ac:dyDescent="0.25">
      <c r="A22" s="201">
        <v>114</v>
      </c>
      <c r="B22" s="201" t="s">
        <v>333</v>
      </c>
      <c r="C22" s="201" t="s">
        <v>331</v>
      </c>
      <c r="D22" s="70">
        <v>0</v>
      </c>
      <c r="E22" s="70"/>
      <c r="F22" s="70"/>
    </row>
    <row r="23" spans="1:6" x14ac:dyDescent="0.25">
      <c r="A23" s="201">
        <v>116</v>
      </c>
      <c r="B23" s="201" t="s">
        <v>335</v>
      </c>
      <c r="C23" s="201" t="s">
        <v>312</v>
      </c>
      <c r="D23" s="70">
        <v>8.3424060300000005E-2</v>
      </c>
      <c r="E23" s="70"/>
    </row>
    <row r="24" spans="1:6" x14ac:dyDescent="0.25">
      <c r="A24" s="201">
        <v>117</v>
      </c>
      <c r="B24" s="201" t="s">
        <v>337</v>
      </c>
      <c r="C24" s="201" t="s">
        <v>312</v>
      </c>
      <c r="D24" s="70">
        <v>-0.36733346327999999</v>
      </c>
    </row>
    <row r="25" spans="1:6" x14ac:dyDescent="0.25">
      <c r="A25" s="201">
        <v>118</v>
      </c>
      <c r="B25" s="201" t="s">
        <v>339</v>
      </c>
      <c r="C25" s="201" t="s">
        <v>331</v>
      </c>
      <c r="D25" s="201">
        <v>0</v>
      </c>
    </row>
    <row r="26" spans="1:6" x14ac:dyDescent="0.25">
      <c r="A26" s="201">
        <v>119</v>
      </c>
      <c r="B26" s="201" t="s">
        <v>341</v>
      </c>
      <c r="C26" s="201" t="s">
        <v>331</v>
      </c>
      <c r="D26" s="201">
        <v>0</v>
      </c>
    </row>
    <row r="27" spans="1:6" x14ac:dyDescent="0.25">
      <c r="A27" s="201">
        <v>120</v>
      </c>
      <c r="B27" s="201" t="s">
        <v>343</v>
      </c>
      <c r="C27" s="201" t="s">
        <v>331</v>
      </c>
      <c r="D27" s="201">
        <v>0</v>
      </c>
    </row>
    <row r="28" spans="1:6" x14ac:dyDescent="0.25">
      <c r="A28" s="201">
        <v>121</v>
      </c>
      <c r="B28" s="201" t="s">
        <v>345</v>
      </c>
      <c r="C28" s="201" t="s">
        <v>331</v>
      </c>
      <c r="D28" s="201">
        <v>0</v>
      </c>
    </row>
    <row r="29" spans="1:6" x14ac:dyDescent="0.25">
      <c r="A29" s="201">
        <v>122</v>
      </c>
      <c r="B29" s="201" t="s">
        <v>347</v>
      </c>
      <c r="C29" s="201" t="s">
        <v>331</v>
      </c>
      <c r="D29" s="201">
        <v>0</v>
      </c>
    </row>
    <row r="30" spans="1:6" x14ac:dyDescent="0.25">
      <c r="A30" s="201">
        <v>123</v>
      </c>
      <c r="B30" s="201" t="s">
        <v>349</v>
      </c>
      <c r="C30" s="201" t="s">
        <v>331</v>
      </c>
      <c r="D30" s="201">
        <v>0</v>
      </c>
    </row>
    <row r="31" spans="1:6" x14ac:dyDescent="0.25">
      <c r="A31" s="201">
        <v>124</v>
      </c>
      <c r="B31" s="201" t="s">
        <v>351</v>
      </c>
      <c r="C31" s="201" t="s">
        <v>312</v>
      </c>
      <c r="D31" s="201">
        <v>-2.1672870261199999</v>
      </c>
    </row>
    <row r="32" spans="1:6" x14ac:dyDescent="0.25">
      <c r="A32" s="201">
        <v>125</v>
      </c>
      <c r="B32" s="201" t="s">
        <v>353</v>
      </c>
      <c r="C32" s="201" t="s">
        <v>331</v>
      </c>
      <c r="D32" s="201">
        <v>0</v>
      </c>
    </row>
    <row r="33" spans="1:6" x14ac:dyDescent="0.25">
      <c r="A33" s="201">
        <v>126</v>
      </c>
      <c r="B33" s="201" t="s">
        <v>355</v>
      </c>
      <c r="C33" s="201" t="s">
        <v>331</v>
      </c>
      <c r="D33" s="201">
        <v>0</v>
      </c>
      <c r="E33" s="70"/>
      <c r="F33" s="70"/>
    </row>
    <row r="34" spans="1:6" x14ac:dyDescent="0.25">
      <c r="A34" s="201">
        <v>127</v>
      </c>
      <c r="B34" s="201" t="s">
        <v>357</v>
      </c>
      <c r="C34" s="201" t="s">
        <v>312</v>
      </c>
      <c r="D34" s="201">
        <v>0.38761782790999999</v>
      </c>
      <c r="E34" s="70"/>
      <c r="F34" s="70"/>
    </row>
    <row r="35" spans="1:6" x14ac:dyDescent="0.25">
      <c r="A35" s="201">
        <v>128</v>
      </c>
      <c r="B35" s="201" t="s">
        <v>1029</v>
      </c>
      <c r="C35" s="201" t="s">
        <v>331</v>
      </c>
      <c r="D35" s="201">
        <v>0</v>
      </c>
    </row>
    <row r="36" spans="1:6" x14ac:dyDescent="0.25">
      <c r="A36" s="201">
        <v>129</v>
      </c>
      <c r="B36" s="201" t="s">
        <v>359</v>
      </c>
      <c r="C36" s="201" t="s">
        <v>312</v>
      </c>
      <c r="D36" s="201">
        <v>-0.23310400815000001</v>
      </c>
    </row>
    <row r="37" spans="1:6" x14ac:dyDescent="0.25">
      <c r="A37" s="201">
        <v>130</v>
      </c>
      <c r="B37" s="201" t="s">
        <v>1030</v>
      </c>
      <c r="C37" s="201" t="s">
        <v>331</v>
      </c>
      <c r="D37" s="201">
        <v>0</v>
      </c>
      <c r="E37" s="70"/>
      <c r="F37" s="70"/>
    </row>
    <row r="38" spans="1:6" x14ac:dyDescent="0.25">
      <c r="A38" s="201">
        <v>131</v>
      </c>
      <c r="B38" s="201" t="s">
        <v>360</v>
      </c>
      <c r="C38" s="201" t="s">
        <v>312</v>
      </c>
      <c r="D38" s="201">
        <v>-0.32003778984999998</v>
      </c>
      <c r="E38" s="70"/>
      <c r="F38" s="70"/>
    </row>
    <row r="39" spans="1:6" x14ac:dyDescent="0.25">
      <c r="A39" s="201">
        <v>132</v>
      </c>
      <c r="B39" s="201" t="s">
        <v>1031</v>
      </c>
      <c r="C39" s="201" t="s">
        <v>312</v>
      </c>
      <c r="D39" s="70">
        <v>-0.91278430805999999</v>
      </c>
      <c r="E39" s="70"/>
      <c r="F39" s="70"/>
    </row>
    <row r="40" spans="1:6" x14ac:dyDescent="0.25">
      <c r="A40" s="201">
        <v>133</v>
      </c>
      <c r="B40" s="201" t="s">
        <v>1032</v>
      </c>
      <c r="C40" s="201" t="s">
        <v>312</v>
      </c>
      <c r="D40" s="201">
        <v>-9.7755538330000002E-2</v>
      </c>
    </row>
    <row r="41" spans="1:6" x14ac:dyDescent="0.25">
      <c r="A41" s="201">
        <v>134</v>
      </c>
      <c r="B41" s="201" t="s">
        <v>1033</v>
      </c>
      <c r="C41" s="201" t="s">
        <v>331</v>
      </c>
      <c r="D41" s="201">
        <v>-10.210000000000001</v>
      </c>
      <c r="E41" s="70"/>
    </row>
    <row r="42" spans="1:6" x14ac:dyDescent="0.25">
      <c r="A42" s="201">
        <v>151</v>
      </c>
      <c r="B42" s="201" t="s">
        <v>361</v>
      </c>
      <c r="C42" s="201" t="s">
        <v>331</v>
      </c>
      <c r="D42" s="201">
        <v>-0.47911897977000001</v>
      </c>
    </row>
    <row r="43" spans="1:6" x14ac:dyDescent="0.25">
      <c r="A43" s="201">
        <v>200</v>
      </c>
      <c r="B43" s="201" t="s">
        <v>363</v>
      </c>
      <c r="C43" s="201" t="s">
        <v>312</v>
      </c>
      <c r="D43" s="201">
        <v>-1.1650098583199999</v>
      </c>
    </row>
    <row r="44" spans="1:6" x14ac:dyDescent="0.25">
      <c r="A44" s="201">
        <v>201</v>
      </c>
      <c r="B44" s="201" t="s">
        <v>365</v>
      </c>
      <c r="C44" s="201" t="s">
        <v>312</v>
      </c>
      <c r="D44" s="201">
        <v>0.39716470355</v>
      </c>
    </row>
    <row r="45" spans="1:6" x14ac:dyDescent="0.25">
      <c r="A45" s="201">
        <v>205</v>
      </c>
      <c r="B45" s="201" t="s">
        <v>370</v>
      </c>
      <c r="C45" s="201" t="s">
        <v>312</v>
      </c>
      <c r="D45" s="201">
        <v>-0.54322823780999996</v>
      </c>
    </row>
    <row r="46" spans="1:6" x14ac:dyDescent="0.25">
      <c r="A46" s="201">
        <v>206</v>
      </c>
      <c r="B46" s="201" t="s">
        <v>372</v>
      </c>
      <c r="C46" s="201" t="s">
        <v>312</v>
      </c>
      <c r="D46" s="70">
        <v>0.32874149364999999</v>
      </c>
      <c r="E46" s="70"/>
      <c r="F46" s="70"/>
    </row>
    <row r="47" spans="1:6" x14ac:dyDescent="0.25">
      <c r="A47" s="201">
        <v>207</v>
      </c>
      <c r="B47" s="201" t="s">
        <v>374</v>
      </c>
      <c r="C47" s="201" t="s">
        <v>312</v>
      </c>
      <c r="D47" s="201">
        <v>2.3775085649699998</v>
      </c>
    </row>
    <row r="48" spans="1:6" x14ac:dyDescent="0.25">
      <c r="A48" s="201">
        <v>208</v>
      </c>
      <c r="B48" s="201" t="s">
        <v>376</v>
      </c>
      <c r="C48" s="201" t="s">
        <v>312</v>
      </c>
      <c r="D48" s="201">
        <v>1.1554295912400001</v>
      </c>
    </row>
    <row r="49" spans="1:4" x14ac:dyDescent="0.25">
      <c r="A49" s="201">
        <v>209</v>
      </c>
      <c r="B49" s="201" t="s">
        <v>378</v>
      </c>
      <c r="C49" s="201" t="s">
        <v>331</v>
      </c>
      <c r="D49" s="201">
        <v>0</v>
      </c>
    </row>
    <row r="50" spans="1:4" x14ac:dyDescent="0.25">
      <c r="A50" s="201">
        <v>210</v>
      </c>
      <c r="B50" s="201" t="s">
        <v>380</v>
      </c>
      <c r="C50" s="201" t="s">
        <v>312</v>
      </c>
      <c r="D50" s="201">
        <v>0.1877879022</v>
      </c>
    </row>
    <row r="51" spans="1:4" x14ac:dyDescent="0.25">
      <c r="A51" s="201">
        <v>211</v>
      </c>
      <c r="B51" s="201" t="s">
        <v>382</v>
      </c>
      <c r="C51" s="201" t="s">
        <v>331</v>
      </c>
      <c r="D51" s="201">
        <v>0</v>
      </c>
    </row>
    <row r="52" spans="1:4" x14ac:dyDescent="0.25">
      <c r="A52" s="201">
        <v>212</v>
      </c>
      <c r="B52" s="201" t="s">
        <v>384</v>
      </c>
      <c r="C52" s="201" t="s">
        <v>331</v>
      </c>
      <c r="D52" s="201">
        <v>0</v>
      </c>
    </row>
    <row r="53" spans="1:4" x14ac:dyDescent="0.25">
      <c r="A53" s="201">
        <v>213</v>
      </c>
      <c r="B53" s="201" t="s">
        <v>386</v>
      </c>
      <c r="C53" s="201" t="s">
        <v>331</v>
      </c>
      <c r="D53" s="201">
        <v>0</v>
      </c>
    </row>
    <row r="54" spans="1:4" x14ac:dyDescent="0.25">
      <c r="A54" s="201">
        <v>214</v>
      </c>
      <c r="B54" s="201" t="s">
        <v>388</v>
      </c>
      <c r="C54" s="201" t="s">
        <v>331</v>
      </c>
      <c r="D54" s="201">
        <v>0</v>
      </c>
    </row>
    <row r="55" spans="1:4" x14ac:dyDescent="0.25">
      <c r="A55" s="201">
        <v>216</v>
      </c>
      <c r="B55" s="201" t="s">
        <v>391</v>
      </c>
      <c r="C55" s="201" t="s">
        <v>331</v>
      </c>
      <c r="D55" s="201">
        <v>0</v>
      </c>
    </row>
    <row r="56" spans="1:4" x14ac:dyDescent="0.25">
      <c r="A56" s="201">
        <v>217</v>
      </c>
      <c r="B56" s="201" t="s">
        <v>393</v>
      </c>
      <c r="C56" s="201" t="s">
        <v>312</v>
      </c>
      <c r="D56" s="201">
        <v>-1.07693002171</v>
      </c>
    </row>
    <row r="57" spans="1:4" x14ac:dyDescent="0.25">
      <c r="A57" s="201">
        <v>218</v>
      </c>
      <c r="B57" s="201" t="s">
        <v>395</v>
      </c>
      <c r="C57" s="201" t="s">
        <v>331</v>
      </c>
      <c r="D57" s="201">
        <v>0</v>
      </c>
    </row>
    <row r="58" spans="1:4" x14ac:dyDescent="0.25">
      <c r="A58" s="201">
        <v>219</v>
      </c>
      <c r="B58" s="201" t="s">
        <v>397</v>
      </c>
      <c r="C58" s="201" t="s">
        <v>331</v>
      </c>
      <c r="D58" s="201">
        <v>0</v>
      </c>
    </row>
    <row r="59" spans="1:4" x14ac:dyDescent="0.25">
      <c r="A59" s="201">
        <v>220</v>
      </c>
      <c r="B59" s="201" t="s">
        <v>399</v>
      </c>
      <c r="C59" s="201" t="s">
        <v>331</v>
      </c>
      <c r="D59" s="201">
        <v>0</v>
      </c>
    </row>
    <row r="60" spans="1:4" x14ac:dyDescent="0.25">
      <c r="A60" s="201">
        <v>221</v>
      </c>
      <c r="B60" s="201" t="s">
        <v>401</v>
      </c>
      <c r="C60" s="201" t="s">
        <v>312</v>
      </c>
      <c r="D60" s="201">
        <v>0.33401706346999999</v>
      </c>
    </row>
    <row r="61" spans="1:4" x14ac:dyDescent="0.25">
      <c r="A61" s="201">
        <v>222</v>
      </c>
      <c r="B61" s="201" t="s">
        <v>403</v>
      </c>
      <c r="C61" s="201" t="s">
        <v>331</v>
      </c>
      <c r="D61" s="201">
        <v>0</v>
      </c>
    </row>
    <row r="62" spans="1:4" x14ac:dyDescent="0.25">
      <c r="A62" s="201">
        <v>223</v>
      </c>
      <c r="B62" s="201" t="s">
        <v>405</v>
      </c>
      <c r="C62" s="201" t="s">
        <v>312</v>
      </c>
      <c r="D62" s="201">
        <v>-0.94598469378000005</v>
      </c>
    </row>
    <row r="63" spans="1:4" x14ac:dyDescent="0.25">
      <c r="A63" s="201">
        <v>224</v>
      </c>
      <c r="B63" s="201" t="s">
        <v>407</v>
      </c>
      <c r="C63" s="201" t="s">
        <v>331</v>
      </c>
      <c r="D63" s="201">
        <v>0</v>
      </c>
    </row>
    <row r="64" spans="1:4" x14ac:dyDescent="0.25">
      <c r="A64" s="201">
        <v>225</v>
      </c>
      <c r="B64" s="201" t="s">
        <v>409</v>
      </c>
      <c r="C64" s="201" t="s">
        <v>331</v>
      </c>
      <c r="D64" s="201">
        <v>0</v>
      </c>
    </row>
    <row r="65" spans="1:6" x14ac:dyDescent="0.25">
      <c r="A65" s="201">
        <v>226</v>
      </c>
      <c r="B65" s="201" t="s">
        <v>411</v>
      </c>
      <c r="C65" s="201" t="s">
        <v>331</v>
      </c>
      <c r="D65" s="201">
        <v>0</v>
      </c>
    </row>
    <row r="66" spans="1:6" x14ac:dyDescent="0.25">
      <c r="A66" s="201">
        <v>227</v>
      </c>
      <c r="B66" s="201" t="s">
        <v>413</v>
      </c>
      <c r="C66" s="201" t="s">
        <v>331</v>
      </c>
      <c r="D66" s="201">
        <v>0</v>
      </c>
      <c r="E66" s="70"/>
      <c r="F66" s="70"/>
    </row>
    <row r="67" spans="1:6" x14ac:dyDescent="0.25">
      <c r="A67" s="201">
        <v>228</v>
      </c>
      <c r="B67" s="201" t="s">
        <v>1034</v>
      </c>
      <c r="C67" s="201" t="s">
        <v>331</v>
      </c>
      <c r="D67" s="201">
        <v>0</v>
      </c>
    </row>
    <row r="68" spans="1:6" x14ac:dyDescent="0.25">
      <c r="A68" s="201">
        <v>229</v>
      </c>
      <c r="B68" s="201" t="s">
        <v>415</v>
      </c>
      <c r="C68" s="201" t="s">
        <v>312</v>
      </c>
      <c r="D68" s="70">
        <v>0.15632093079000001</v>
      </c>
      <c r="E68" s="70"/>
    </row>
    <row r="69" spans="1:6" x14ac:dyDescent="0.25">
      <c r="A69" s="201">
        <v>230</v>
      </c>
      <c r="B69" s="201" t="s">
        <v>1035</v>
      </c>
      <c r="C69" s="201" t="s">
        <v>331</v>
      </c>
      <c r="D69" s="201">
        <v>0</v>
      </c>
    </row>
    <row r="70" spans="1:6" x14ac:dyDescent="0.25">
      <c r="A70" s="201">
        <v>231</v>
      </c>
      <c r="B70" s="201" t="s">
        <v>416</v>
      </c>
      <c r="C70" s="201" t="s">
        <v>312</v>
      </c>
      <c r="D70" s="201">
        <v>0.44595990495999999</v>
      </c>
    </row>
    <row r="71" spans="1:6" x14ac:dyDescent="0.25">
      <c r="A71" s="201">
        <v>232</v>
      </c>
      <c r="B71" s="201" t="s">
        <v>1036</v>
      </c>
      <c r="C71" s="201" t="s">
        <v>312</v>
      </c>
      <c r="D71" s="201">
        <v>-0.60208080629000005</v>
      </c>
    </row>
    <row r="72" spans="1:6" x14ac:dyDescent="0.25">
      <c r="A72" s="201">
        <v>233</v>
      </c>
      <c r="B72" s="201" t="s">
        <v>1037</v>
      </c>
      <c r="C72" s="201" t="s">
        <v>331</v>
      </c>
      <c r="D72" s="201">
        <v>0</v>
      </c>
    </row>
    <row r="73" spans="1:6" x14ac:dyDescent="0.25">
      <c r="A73" s="201">
        <v>234</v>
      </c>
      <c r="B73" s="201" t="s">
        <v>1038</v>
      </c>
      <c r="C73" s="201" t="s">
        <v>331</v>
      </c>
      <c r="D73" s="201">
        <v>1.3</v>
      </c>
    </row>
    <row r="74" spans="1:6" x14ac:dyDescent="0.25">
      <c r="A74" s="201">
        <v>251</v>
      </c>
      <c r="B74" s="201" t="s">
        <v>417</v>
      </c>
      <c r="C74" s="201" t="s">
        <v>331</v>
      </c>
      <c r="D74" s="201">
        <v>-0.13882682499999999</v>
      </c>
      <c r="E74" s="70"/>
      <c r="F74" s="70"/>
    </row>
    <row r="75" spans="1:6" x14ac:dyDescent="0.25">
      <c r="A75" s="201">
        <v>300</v>
      </c>
      <c r="B75" s="201" t="s">
        <v>419</v>
      </c>
      <c r="C75" s="201" t="s">
        <v>312</v>
      </c>
      <c r="D75" s="201">
        <v>-3.20782328605</v>
      </c>
    </row>
    <row r="76" spans="1:6" x14ac:dyDescent="0.25">
      <c r="A76" s="201">
        <v>301</v>
      </c>
      <c r="B76" s="201" t="s">
        <v>421</v>
      </c>
      <c r="C76" s="201" t="s">
        <v>312</v>
      </c>
      <c r="D76" s="201">
        <v>-0.40483252988000001</v>
      </c>
    </row>
    <row r="77" spans="1:6" x14ac:dyDescent="0.25">
      <c r="A77" s="201">
        <v>302</v>
      </c>
      <c r="B77" s="201" t="s">
        <v>423</v>
      </c>
      <c r="C77" s="201" t="s">
        <v>331</v>
      </c>
      <c r="D77" s="201">
        <v>1.2614942409100001</v>
      </c>
      <c r="E77" s="70"/>
      <c r="F77" s="70"/>
    </row>
    <row r="78" spans="1:6" x14ac:dyDescent="0.25">
      <c r="A78" s="201">
        <v>303</v>
      </c>
      <c r="B78" s="201" t="s">
        <v>425</v>
      </c>
      <c r="C78" s="201" t="s">
        <v>312</v>
      </c>
      <c r="D78" s="201">
        <v>-2.11024149046</v>
      </c>
      <c r="E78" s="70"/>
      <c r="F78" s="70"/>
    </row>
    <row r="79" spans="1:6" x14ac:dyDescent="0.25">
      <c r="A79" s="201">
        <v>304</v>
      </c>
      <c r="B79" s="201" t="s">
        <v>427</v>
      </c>
      <c r="C79" s="201" t="s">
        <v>331</v>
      </c>
      <c r="D79" s="201">
        <v>-1.1088219987000001</v>
      </c>
    </row>
    <row r="80" spans="1:6" x14ac:dyDescent="0.25">
      <c r="A80" s="201">
        <v>305</v>
      </c>
      <c r="B80" s="201" t="s">
        <v>429</v>
      </c>
      <c r="C80" s="201" t="s">
        <v>331</v>
      </c>
      <c r="D80" s="201">
        <v>-1.4521986715899999</v>
      </c>
    </row>
    <row r="81" spans="1:6" x14ac:dyDescent="0.25">
      <c r="A81" s="201">
        <v>306</v>
      </c>
      <c r="B81" s="201" t="s">
        <v>431</v>
      </c>
      <c r="C81" s="201" t="s">
        <v>331</v>
      </c>
      <c r="D81" s="201">
        <v>-1.83417982882</v>
      </c>
      <c r="E81" s="70"/>
      <c r="F81" s="70"/>
    </row>
    <row r="82" spans="1:6" x14ac:dyDescent="0.25">
      <c r="A82" s="201">
        <v>307</v>
      </c>
      <c r="B82" s="201" t="s">
        <v>433</v>
      </c>
      <c r="C82" s="201" t="s">
        <v>331</v>
      </c>
      <c r="D82" s="201">
        <v>-1.8750020057100001</v>
      </c>
      <c r="E82" s="70"/>
      <c r="F82" s="70"/>
    </row>
    <row r="83" spans="1:6" x14ac:dyDescent="0.25">
      <c r="A83" s="201">
        <v>308</v>
      </c>
      <c r="B83" s="201" t="s">
        <v>435</v>
      </c>
      <c r="C83" s="201" t="s">
        <v>312</v>
      </c>
      <c r="D83" s="201">
        <v>0.58461516065999997</v>
      </c>
    </row>
    <row r="84" spans="1:6" x14ac:dyDescent="0.25">
      <c r="A84" s="201">
        <v>309</v>
      </c>
      <c r="B84" s="201" t="s">
        <v>437</v>
      </c>
      <c r="C84" s="201" t="s">
        <v>312</v>
      </c>
      <c r="D84" s="70">
        <v>-0.18680904856</v>
      </c>
      <c r="E84" s="70"/>
    </row>
    <row r="85" spans="1:6" x14ac:dyDescent="0.25">
      <c r="A85" s="201">
        <v>310</v>
      </c>
      <c r="B85" s="201" t="s">
        <v>439</v>
      </c>
      <c r="C85" s="201" t="s">
        <v>312</v>
      </c>
      <c r="D85" s="70">
        <v>-0.11525581364</v>
      </c>
      <c r="E85" s="70"/>
      <c r="F85" s="70"/>
    </row>
    <row r="86" spans="1:6" x14ac:dyDescent="0.25">
      <c r="A86" s="201">
        <v>311</v>
      </c>
      <c r="B86" s="201" t="s">
        <v>441</v>
      </c>
      <c r="C86" s="201" t="s">
        <v>331</v>
      </c>
      <c r="D86" s="201">
        <v>0</v>
      </c>
    </row>
    <row r="87" spans="1:6" x14ac:dyDescent="0.25">
      <c r="A87" s="201">
        <v>312</v>
      </c>
      <c r="B87" s="201" t="s">
        <v>443</v>
      </c>
      <c r="C87" s="201" t="s">
        <v>331</v>
      </c>
      <c r="D87" s="201">
        <v>0</v>
      </c>
    </row>
    <row r="88" spans="1:6" x14ac:dyDescent="0.25">
      <c r="A88" s="201">
        <v>313</v>
      </c>
      <c r="B88" s="201" t="s">
        <v>445</v>
      </c>
      <c r="C88" s="201" t="s">
        <v>312</v>
      </c>
      <c r="D88" s="70">
        <v>0.11275167466</v>
      </c>
      <c r="E88" s="70"/>
    </row>
    <row r="89" spans="1:6" x14ac:dyDescent="0.25">
      <c r="A89" s="201">
        <v>314</v>
      </c>
      <c r="B89" s="201" t="s">
        <v>447</v>
      </c>
      <c r="C89" s="201" t="s">
        <v>312</v>
      </c>
      <c r="D89" s="201">
        <v>-0.47378038370999997</v>
      </c>
      <c r="E89" s="70"/>
    </row>
    <row r="90" spans="1:6" x14ac:dyDescent="0.25">
      <c r="A90" s="201">
        <v>316</v>
      </c>
      <c r="B90" s="201" t="s">
        <v>450</v>
      </c>
      <c r="C90" s="201" t="s">
        <v>331</v>
      </c>
      <c r="D90" s="201">
        <v>0</v>
      </c>
    </row>
    <row r="91" spans="1:6" x14ac:dyDescent="0.25">
      <c r="A91" s="201">
        <v>317</v>
      </c>
      <c r="B91" s="201" t="s">
        <v>452</v>
      </c>
      <c r="C91" s="201" t="s">
        <v>312</v>
      </c>
      <c r="D91" s="70">
        <v>1.25074400924</v>
      </c>
      <c r="E91" s="70"/>
      <c r="F91" s="70"/>
    </row>
    <row r="92" spans="1:6" x14ac:dyDescent="0.25">
      <c r="A92" s="201">
        <v>318</v>
      </c>
      <c r="B92" s="201" t="s">
        <v>454</v>
      </c>
      <c r="C92" s="201" t="s">
        <v>312</v>
      </c>
      <c r="D92" s="70">
        <v>1.7780840091600001</v>
      </c>
      <c r="E92" s="70"/>
      <c r="F92" s="70"/>
    </row>
    <row r="93" spans="1:6" x14ac:dyDescent="0.25">
      <c r="A93" s="201">
        <v>319</v>
      </c>
      <c r="B93" s="201" t="s">
        <v>456</v>
      </c>
      <c r="C93" s="201" t="s">
        <v>312</v>
      </c>
      <c r="D93" s="201">
        <v>0.58933089640000003</v>
      </c>
      <c r="E93" s="70"/>
      <c r="F93" s="70"/>
    </row>
    <row r="94" spans="1:6" x14ac:dyDescent="0.25">
      <c r="A94" s="201">
        <v>320</v>
      </c>
      <c r="B94" s="201" t="s">
        <v>458</v>
      </c>
      <c r="C94" s="201" t="s">
        <v>312</v>
      </c>
      <c r="D94" s="201">
        <v>1.2248944044500001</v>
      </c>
      <c r="E94" s="70"/>
      <c r="F94" s="70"/>
    </row>
    <row r="95" spans="1:6" x14ac:dyDescent="0.25">
      <c r="A95" s="201">
        <v>321</v>
      </c>
      <c r="B95" s="201" t="s">
        <v>460</v>
      </c>
      <c r="C95" s="201" t="s">
        <v>312</v>
      </c>
      <c r="D95" s="70">
        <v>-0.64118983166999999</v>
      </c>
      <c r="E95" s="70"/>
    </row>
    <row r="96" spans="1:6" x14ac:dyDescent="0.25">
      <c r="A96" s="201">
        <v>322</v>
      </c>
      <c r="B96" s="201" t="s">
        <v>462</v>
      </c>
      <c r="C96" s="201" t="s">
        <v>312</v>
      </c>
      <c r="D96" s="201">
        <v>-0.26216348222000002</v>
      </c>
      <c r="E96" s="70"/>
      <c r="F96" s="70"/>
    </row>
    <row r="97" spans="1:6" x14ac:dyDescent="0.25">
      <c r="A97" s="201">
        <v>323</v>
      </c>
      <c r="B97" s="201" t="s">
        <v>464</v>
      </c>
      <c r="C97" s="201" t="s">
        <v>312</v>
      </c>
      <c r="D97" s="201">
        <v>-0.34261970775</v>
      </c>
      <c r="E97" s="70"/>
      <c r="F97" s="70"/>
    </row>
    <row r="98" spans="1:6" x14ac:dyDescent="0.25">
      <c r="A98" s="201">
        <v>324</v>
      </c>
      <c r="B98" s="201" t="s">
        <v>466</v>
      </c>
      <c r="C98" s="201" t="s">
        <v>331</v>
      </c>
      <c r="D98" s="201">
        <v>0</v>
      </c>
      <c r="E98" s="70"/>
      <c r="F98" s="70"/>
    </row>
    <row r="99" spans="1:6" x14ac:dyDescent="0.25">
      <c r="A99" s="201">
        <v>325</v>
      </c>
      <c r="B99" s="201" t="s">
        <v>468</v>
      </c>
      <c r="C99" s="201" t="s">
        <v>331</v>
      </c>
      <c r="D99" s="201">
        <v>0</v>
      </c>
    </row>
    <row r="100" spans="1:6" x14ac:dyDescent="0.25">
      <c r="A100" s="201">
        <v>326</v>
      </c>
      <c r="B100" s="201" t="s">
        <v>470</v>
      </c>
      <c r="C100" s="201" t="s">
        <v>331</v>
      </c>
      <c r="D100" s="70">
        <v>0</v>
      </c>
      <c r="E100" s="70"/>
      <c r="F100" s="70"/>
    </row>
    <row r="101" spans="1:6" x14ac:dyDescent="0.25">
      <c r="A101" s="201">
        <v>327</v>
      </c>
      <c r="B101" s="201" t="s">
        <v>472</v>
      </c>
      <c r="C101" s="201" t="s">
        <v>331</v>
      </c>
      <c r="D101" s="201">
        <v>0</v>
      </c>
    </row>
    <row r="102" spans="1:6" x14ac:dyDescent="0.25">
      <c r="A102" s="201">
        <v>328</v>
      </c>
      <c r="B102" s="201" t="s">
        <v>1039</v>
      </c>
      <c r="C102" s="201" t="s">
        <v>331</v>
      </c>
      <c r="D102" s="70">
        <v>0</v>
      </c>
      <c r="E102" s="70"/>
      <c r="F102" s="70"/>
    </row>
    <row r="103" spans="1:6" x14ac:dyDescent="0.25">
      <c r="A103" s="201">
        <v>329</v>
      </c>
      <c r="B103" s="201" t="s">
        <v>474</v>
      </c>
      <c r="C103" s="201" t="s">
        <v>312</v>
      </c>
      <c r="D103" s="70">
        <v>6.6231123020000005E-2</v>
      </c>
      <c r="E103" s="70"/>
      <c r="F103" s="70"/>
    </row>
    <row r="104" spans="1:6" x14ac:dyDescent="0.25">
      <c r="A104" s="201">
        <v>330</v>
      </c>
      <c r="B104" s="201" t="s">
        <v>1040</v>
      </c>
      <c r="C104" s="201" t="s">
        <v>331</v>
      </c>
      <c r="D104" s="201">
        <v>0</v>
      </c>
      <c r="E104" s="70"/>
      <c r="F104" s="70"/>
    </row>
    <row r="105" spans="1:6" x14ac:dyDescent="0.25">
      <c r="A105" s="201">
        <v>331</v>
      </c>
      <c r="B105" s="201" t="s">
        <v>475</v>
      </c>
      <c r="C105" s="201" t="s">
        <v>312</v>
      </c>
      <c r="D105" s="70">
        <v>7.8148553590000003E-2</v>
      </c>
      <c r="E105" s="70"/>
      <c r="F105" s="70"/>
    </row>
    <row r="106" spans="1:6" x14ac:dyDescent="0.25">
      <c r="A106" s="201">
        <v>332</v>
      </c>
      <c r="B106" s="201" t="s">
        <v>1041</v>
      </c>
      <c r="C106" s="201" t="s">
        <v>312</v>
      </c>
      <c r="D106" s="70">
        <v>-0.36162839107</v>
      </c>
      <c r="E106" s="70"/>
      <c r="F106" s="70"/>
    </row>
    <row r="107" spans="1:6" x14ac:dyDescent="0.25">
      <c r="A107" s="201">
        <v>333</v>
      </c>
      <c r="B107" s="201" t="s">
        <v>1042</v>
      </c>
      <c r="C107" s="201" t="s">
        <v>312</v>
      </c>
      <c r="D107" s="70">
        <v>-0.16749789355</v>
      </c>
      <c r="E107" s="70"/>
      <c r="F107" s="70"/>
    </row>
    <row r="108" spans="1:6" x14ac:dyDescent="0.25">
      <c r="A108" s="201">
        <v>334</v>
      </c>
      <c r="B108" s="201" t="s">
        <v>1043</v>
      </c>
      <c r="C108" s="201" t="s">
        <v>312</v>
      </c>
      <c r="D108" s="201">
        <v>-1.4</v>
      </c>
      <c r="E108" s="70"/>
      <c r="F108" s="70"/>
    </row>
    <row r="109" spans="1:6" x14ac:dyDescent="0.25">
      <c r="A109" s="201">
        <v>351</v>
      </c>
      <c r="B109" s="201" t="s">
        <v>476</v>
      </c>
      <c r="C109" s="201" t="s">
        <v>331</v>
      </c>
      <c r="D109" s="201">
        <v>-1.0623648370200001</v>
      </c>
    </row>
    <row r="110" spans="1:6" x14ac:dyDescent="0.25">
      <c r="A110" s="201">
        <v>400</v>
      </c>
      <c r="B110" s="201" t="s">
        <v>478</v>
      </c>
      <c r="C110" s="201" t="s">
        <v>312</v>
      </c>
      <c r="D110" s="201">
        <v>-1.5432299922999999</v>
      </c>
    </row>
    <row r="111" spans="1:6" x14ac:dyDescent="0.25">
      <c r="A111" s="201">
        <v>401</v>
      </c>
      <c r="B111" s="201" t="s">
        <v>480</v>
      </c>
      <c r="C111" s="201" t="s">
        <v>312</v>
      </c>
      <c r="D111" s="201">
        <v>3.31854492639</v>
      </c>
    </row>
    <row r="112" spans="1:6" x14ac:dyDescent="0.25">
      <c r="A112" s="201">
        <v>402</v>
      </c>
      <c r="B112" s="201" t="s">
        <v>482</v>
      </c>
      <c r="C112" s="201" t="s">
        <v>312</v>
      </c>
      <c r="D112" s="70">
        <v>2.8035772453900001</v>
      </c>
      <c r="E112" s="70"/>
    </row>
    <row r="113" spans="1:6" x14ac:dyDescent="0.25">
      <c r="A113" s="201">
        <v>403</v>
      </c>
      <c r="B113" s="201" t="s">
        <v>484</v>
      </c>
      <c r="C113" s="201" t="s">
        <v>312</v>
      </c>
      <c r="D113" s="201">
        <v>-0.24624373095999999</v>
      </c>
      <c r="E113" s="70"/>
    </row>
    <row r="114" spans="1:6" x14ac:dyDescent="0.25">
      <c r="A114" s="201">
        <v>404</v>
      </c>
      <c r="B114" s="201" t="s">
        <v>486</v>
      </c>
      <c r="C114" s="201" t="s">
        <v>312</v>
      </c>
      <c r="D114" s="201">
        <v>-1.1659743151199999</v>
      </c>
      <c r="E114" s="70"/>
      <c r="F114" s="70"/>
    </row>
    <row r="115" spans="1:6" x14ac:dyDescent="0.25">
      <c r="A115" s="201">
        <v>405</v>
      </c>
      <c r="B115" s="201" t="s">
        <v>488</v>
      </c>
      <c r="C115" s="201" t="s">
        <v>331</v>
      </c>
      <c r="D115" s="70">
        <v>-2.0528822094499999</v>
      </c>
      <c r="E115" s="70"/>
      <c r="F115" s="70"/>
    </row>
    <row r="116" spans="1:6" x14ac:dyDescent="0.25">
      <c r="A116" s="201">
        <v>406</v>
      </c>
      <c r="B116" s="201" t="s">
        <v>490</v>
      </c>
      <c r="C116" s="201" t="s">
        <v>312</v>
      </c>
      <c r="D116" s="201">
        <v>-2.4818889930700001</v>
      </c>
      <c r="E116" s="70"/>
      <c r="F116" s="70"/>
    </row>
    <row r="117" spans="1:6" x14ac:dyDescent="0.25">
      <c r="A117" s="201">
        <v>407</v>
      </c>
      <c r="B117" s="201" t="s">
        <v>492</v>
      </c>
      <c r="C117" s="201" t="s">
        <v>312</v>
      </c>
      <c r="D117" s="201">
        <v>-1.73055593888</v>
      </c>
      <c r="E117" s="70"/>
      <c r="F117" s="70"/>
    </row>
    <row r="118" spans="1:6" x14ac:dyDescent="0.25">
      <c r="A118" s="201">
        <v>408</v>
      </c>
      <c r="B118" s="201" t="s">
        <v>494</v>
      </c>
      <c r="C118" s="201" t="s">
        <v>312</v>
      </c>
      <c r="D118" s="70">
        <v>-0.41495252702000002</v>
      </c>
      <c r="E118" s="70"/>
      <c r="F118" s="70"/>
    </row>
    <row r="119" spans="1:6" x14ac:dyDescent="0.25">
      <c r="A119" s="201">
        <v>409</v>
      </c>
      <c r="B119" s="201" t="s">
        <v>496</v>
      </c>
      <c r="C119" s="201" t="s">
        <v>312</v>
      </c>
      <c r="D119" s="70">
        <v>-7.0369393259999996E-2</v>
      </c>
      <c r="E119" s="70"/>
    </row>
    <row r="120" spans="1:6" x14ac:dyDescent="0.25">
      <c r="A120" s="201">
        <v>410</v>
      </c>
      <c r="B120" s="201" t="s">
        <v>498</v>
      </c>
      <c r="C120" s="201" t="s">
        <v>331</v>
      </c>
      <c r="D120" s="201">
        <v>0</v>
      </c>
    </row>
    <row r="121" spans="1:6" x14ac:dyDescent="0.25">
      <c r="A121" s="201">
        <v>411</v>
      </c>
      <c r="B121" s="201" t="s">
        <v>500</v>
      </c>
      <c r="C121" s="201" t="s">
        <v>312</v>
      </c>
      <c r="D121" s="70">
        <v>0.11538390076</v>
      </c>
      <c r="E121" s="70"/>
      <c r="F121" s="70"/>
    </row>
    <row r="122" spans="1:6" x14ac:dyDescent="0.25">
      <c r="A122" s="201">
        <v>412</v>
      </c>
      <c r="B122" s="201" t="s">
        <v>502</v>
      </c>
      <c r="C122" s="201" t="s">
        <v>312</v>
      </c>
      <c r="D122" s="70">
        <v>2.96634151E-2</v>
      </c>
      <c r="E122" s="70"/>
      <c r="F122" s="70"/>
    </row>
    <row r="123" spans="1:6" x14ac:dyDescent="0.25">
      <c r="A123" s="201">
        <v>413</v>
      </c>
      <c r="B123" s="201" t="s">
        <v>504</v>
      </c>
      <c r="C123" s="201" t="s">
        <v>331</v>
      </c>
      <c r="D123" s="201">
        <v>0</v>
      </c>
    </row>
    <row r="124" spans="1:6" x14ac:dyDescent="0.25">
      <c r="A124" s="201">
        <v>414</v>
      </c>
      <c r="B124" s="201" t="s">
        <v>506</v>
      </c>
      <c r="C124" s="201" t="s">
        <v>331</v>
      </c>
      <c r="D124" s="201">
        <v>0</v>
      </c>
    </row>
    <row r="125" spans="1:6" x14ac:dyDescent="0.25">
      <c r="A125" s="201">
        <v>416</v>
      </c>
      <c r="B125" s="201" t="s">
        <v>509</v>
      </c>
      <c r="C125" s="201" t="s">
        <v>331</v>
      </c>
      <c r="D125" s="201">
        <v>0</v>
      </c>
    </row>
    <row r="126" spans="1:6" x14ac:dyDescent="0.25">
      <c r="A126" s="201">
        <v>417</v>
      </c>
      <c r="B126" s="201" t="s">
        <v>511</v>
      </c>
      <c r="C126" s="201" t="s">
        <v>312</v>
      </c>
      <c r="D126" s="70">
        <v>-0.38489686671000001</v>
      </c>
      <c r="E126" s="70"/>
      <c r="F126" s="70"/>
    </row>
    <row r="127" spans="1:6" x14ac:dyDescent="0.25">
      <c r="A127" s="201">
        <v>418</v>
      </c>
      <c r="B127" s="201" t="s">
        <v>513</v>
      </c>
      <c r="C127" s="201" t="s">
        <v>312</v>
      </c>
      <c r="D127" s="70">
        <v>-0.29875526683999998</v>
      </c>
      <c r="E127" s="70"/>
      <c r="F127" s="70"/>
    </row>
    <row r="128" spans="1:6" x14ac:dyDescent="0.25">
      <c r="A128" s="201">
        <v>419</v>
      </c>
      <c r="B128" s="201" t="s">
        <v>515</v>
      </c>
      <c r="C128" s="201" t="s">
        <v>331</v>
      </c>
      <c r="D128" s="70">
        <v>0</v>
      </c>
      <c r="E128" s="70"/>
      <c r="F128" s="70"/>
    </row>
    <row r="129" spans="1:6" x14ac:dyDescent="0.25">
      <c r="A129" s="201">
        <v>420</v>
      </c>
      <c r="B129" s="201" t="s">
        <v>517</v>
      </c>
      <c r="C129" s="201" t="s">
        <v>312</v>
      </c>
      <c r="D129" s="201">
        <v>-0.45044495679000002</v>
      </c>
      <c r="E129" s="70"/>
    </row>
    <row r="130" spans="1:6" x14ac:dyDescent="0.25">
      <c r="A130" s="201">
        <v>421</v>
      </c>
      <c r="B130" s="201" t="s">
        <v>519</v>
      </c>
      <c r="C130" s="201" t="s">
        <v>312</v>
      </c>
      <c r="D130" s="201">
        <v>-0.30637165113999998</v>
      </c>
    </row>
    <row r="131" spans="1:6" x14ac:dyDescent="0.25">
      <c r="A131" s="201">
        <v>422</v>
      </c>
      <c r="B131" s="201" t="s">
        <v>521</v>
      </c>
      <c r="C131" s="201" t="s">
        <v>312</v>
      </c>
      <c r="D131" s="201">
        <v>-0.20794112521999999</v>
      </c>
      <c r="E131" s="70"/>
    </row>
    <row r="132" spans="1:6" x14ac:dyDescent="0.25">
      <c r="A132" s="201">
        <v>423</v>
      </c>
      <c r="B132" s="201" t="s">
        <v>523</v>
      </c>
      <c r="C132" s="201" t="s">
        <v>312</v>
      </c>
      <c r="D132" s="201">
        <v>6.3943550629999998E-2</v>
      </c>
      <c r="E132" s="70"/>
    </row>
    <row r="133" spans="1:6" x14ac:dyDescent="0.25">
      <c r="A133" s="201">
        <v>424</v>
      </c>
      <c r="B133" s="201" t="s">
        <v>525</v>
      </c>
      <c r="C133" s="201" t="s">
        <v>331</v>
      </c>
      <c r="D133" s="201">
        <v>0</v>
      </c>
      <c r="E133" s="70"/>
      <c r="F133" s="70"/>
    </row>
    <row r="134" spans="1:6" x14ac:dyDescent="0.25">
      <c r="A134" s="201">
        <v>425</v>
      </c>
      <c r="B134" s="201" t="s">
        <v>527</v>
      </c>
      <c r="C134" s="201" t="s">
        <v>331</v>
      </c>
      <c r="D134" s="70">
        <v>0</v>
      </c>
      <c r="E134" s="70"/>
      <c r="F134" s="70"/>
    </row>
    <row r="135" spans="1:6" x14ac:dyDescent="0.25">
      <c r="A135" s="201">
        <v>426</v>
      </c>
      <c r="B135" s="201" t="s">
        <v>529</v>
      </c>
      <c r="C135" s="201" t="s">
        <v>331</v>
      </c>
      <c r="D135" s="201">
        <v>0</v>
      </c>
    </row>
    <row r="136" spans="1:6" x14ac:dyDescent="0.25">
      <c r="A136" s="201">
        <v>427</v>
      </c>
      <c r="B136" s="201" t="s">
        <v>531</v>
      </c>
      <c r="C136" s="201" t="s">
        <v>331</v>
      </c>
      <c r="D136" s="70">
        <v>0</v>
      </c>
      <c r="E136" s="70"/>
      <c r="F136" s="70"/>
    </row>
    <row r="137" spans="1:6" x14ac:dyDescent="0.25">
      <c r="A137" s="201">
        <v>428</v>
      </c>
      <c r="B137" s="201" t="s">
        <v>1044</v>
      </c>
      <c r="C137" s="201" t="s">
        <v>331</v>
      </c>
      <c r="D137" s="201">
        <v>0</v>
      </c>
      <c r="E137" s="70"/>
      <c r="F137" s="70"/>
    </row>
    <row r="138" spans="1:6" x14ac:dyDescent="0.25">
      <c r="A138" s="201">
        <v>429</v>
      </c>
      <c r="B138" s="201" t="s">
        <v>533</v>
      </c>
      <c r="C138" s="201" t="s">
        <v>312</v>
      </c>
      <c r="D138" s="70">
        <v>2.930861446E-2</v>
      </c>
      <c r="E138" s="70"/>
      <c r="F138" s="70"/>
    </row>
    <row r="139" spans="1:6" x14ac:dyDescent="0.25">
      <c r="A139" s="201">
        <v>430</v>
      </c>
      <c r="B139" s="201" t="s">
        <v>1045</v>
      </c>
      <c r="C139" s="201" t="s">
        <v>331</v>
      </c>
      <c r="D139" s="201">
        <v>0</v>
      </c>
      <c r="E139" s="70"/>
      <c r="F139" s="70"/>
    </row>
    <row r="140" spans="1:6" x14ac:dyDescent="0.25">
      <c r="A140" s="201">
        <v>431</v>
      </c>
      <c r="B140" s="201" t="s">
        <v>534</v>
      </c>
      <c r="C140" s="201" t="s">
        <v>312</v>
      </c>
      <c r="D140" s="70">
        <v>-7.5671272809999995E-2</v>
      </c>
      <c r="E140" s="70"/>
    </row>
    <row r="141" spans="1:6" x14ac:dyDescent="0.25">
      <c r="A141" s="201">
        <v>432</v>
      </c>
      <c r="B141" s="201" t="s">
        <v>1046</v>
      </c>
      <c r="C141" s="201" t="s">
        <v>312</v>
      </c>
      <c r="D141" s="70">
        <v>-0.97950456358000004</v>
      </c>
      <c r="E141" s="70"/>
    </row>
    <row r="142" spans="1:6" x14ac:dyDescent="0.25">
      <c r="A142" s="201">
        <v>433</v>
      </c>
      <c r="B142" s="201" t="s">
        <v>1047</v>
      </c>
      <c r="C142" s="201" t="s">
        <v>312</v>
      </c>
      <c r="D142" s="70">
        <v>-0.23241280488999999</v>
      </c>
      <c r="E142" s="70"/>
      <c r="F142" s="70"/>
    </row>
    <row r="143" spans="1:6" x14ac:dyDescent="0.25">
      <c r="A143" s="201">
        <v>434</v>
      </c>
      <c r="B143" s="201" t="s">
        <v>1048</v>
      </c>
      <c r="C143" s="201" t="s">
        <v>331</v>
      </c>
      <c r="D143" s="201">
        <v>-1.7</v>
      </c>
      <c r="E143" s="70"/>
      <c r="F143" s="70"/>
    </row>
    <row r="144" spans="1:6" x14ac:dyDescent="0.25">
      <c r="A144" s="201">
        <v>451</v>
      </c>
      <c r="B144" s="201" t="s">
        <v>535</v>
      </c>
      <c r="C144" s="201" t="s">
        <v>331</v>
      </c>
      <c r="D144" s="201">
        <v>-0.78628794521000001</v>
      </c>
      <c r="E144" s="70"/>
      <c r="F144" s="70"/>
    </row>
    <row r="145" spans="1:6" x14ac:dyDescent="0.25">
      <c r="A145" s="201">
        <v>500</v>
      </c>
      <c r="B145" s="201" t="s">
        <v>537</v>
      </c>
      <c r="C145" s="201" t="s">
        <v>312</v>
      </c>
      <c r="D145" s="201">
        <v>-1.8946560162599999</v>
      </c>
      <c r="E145" s="70"/>
      <c r="F145" s="70"/>
    </row>
    <row r="146" spans="1:6" x14ac:dyDescent="0.25">
      <c r="A146" s="201">
        <v>501</v>
      </c>
      <c r="B146" s="201" t="s">
        <v>539</v>
      </c>
      <c r="C146" s="201" t="s">
        <v>312</v>
      </c>
      <c r="D146" s="201">
        <v>2.2010931360999999</v>
      </c>
      <c r="E146" s="70"/>
      <c r="F146" s="70"/>
    </row>
    <row r="147" spans="1:6" x14ac:dyDescent="0.25">
      <c r="A147" s="201">
        <v>502</v>
      </c>
      <c r="B147" s="201" t="s">
        <v>541</v>
      </c>
      <c r="C147" s="201" t="s">
        <v>312</v>
      </c>
      <c r="D147" s="201">
        <v>2.37096125334</v>
      </c>
      <c r="E147" s="70"/>
    </row>
    <row r="148" spans="1:6" x14ac:dyDescent="0.25">
      <c r="A148" s="201">
        <v>503</v>
      </c>
      <c r="B148" s="201" t="s">
        <v>543</v>
      </c>
      <c r="C148" s="201" t="s">
        <v>312</v>
      </c>
      <c r="D148" s="201">
        <v>-0.75642426743000002</v>
      </c>
      <c r="E148" s="70"/>
    </row>
    <row r="149" spans="1:6" x14ac:dyDescent="0.25">
      <c r="A149" s="201">
        <v>504</v>
      </c>
      <c r="B149" s="201" t="s">
        <v>545</v>
      </c>
      <c r="C149" s="201" t="s">
        <v>312</v>
      </c>
      <c r="D149" s="201">
        <v>-0.80435735085000004</v>
      </c>
      <c r="E149" s="70"/>
      <c r="F149" s="70"/>
    </row>
    <row r="150" spans="1:6" x14ac:dyDescent="0.25">
      <c r="A150" s="201">
        <v>505</v>
      </c>
      <c r="B150" s="201" t="s">
        <v>547</v>
      </c>
      <c r="C150" s="201" t="s">
        <v>312</v>
      </c>
      <c r="D150" s="70">
        <v>-1.32038599973</v>
      </c>
    </row>
    <row r="151" spans="1:6" x14ac:dyDescent="0.25">
      <c r="A151" s="201">
        <v>506</v>
      </c>
      <c r="B151" s="201" t="s">
        <v>549</v>
      </c>
      <c r="C151" s="201" t="s">
        <v>312</v>
      </c>
      <c r="D151" s="70">
        <v>-3.1616474248899999</v>
      </c>
      <c r="E151" s="70"/>
      <c r="F151" s="70"/>
    </row>
    <row r="152" spans="1:6" x14ac:dyDescent="0.25">
      <c r="A152" s="201">
        <v>507</v>
      </c>
      <c r="B152" s="201" t="s">
        <v>551</v>
      </c>
      <c r="C152" s="201" t="s">
        <v>312</v>
      </c>
      <c r="D152" s="70">
        <v>-2.1164686959500001</v>
      </c>
      <c r="E152" s="70"/>
      <c r="F152" s="70"/>
    </row>
    <row r="153" spans="1:6" x14ac:dyDescent="0.25">
      <c r="A153" s="201">
        <v>508</v>
      </c>
      <c r="B153" s="201" t="s">
        <v>553</v>
      </c>
      <c r="C153" s="201" t="s">
        <v>331</v>
      </c>
      <c r="D153" s="201">
        <v>0</v>
      </c>
      <c r="E153" s="70"/>
      <c r="F153" s="70"/>
    </row>
    <row r="154" spans="1:6" x14ac:dyDescent="0.25">
      <c r="A154" s="201">
        <v>509</v>
      </c>
      <c r="B154" s="201" t="s">
        <v>555</v>
      </c>
      <c r="C154" s="201" t="s">
        <v>312</v>
      </c>
      <c r="D154" s="70">
        <v>-0.10456159314000001</v>
      </c>
      <c r="E154" s="70"/>
    </row>
    <row r="155" spans="1:6" x14ac:dyDescent="0.25">
      <c r="A155" s="201">
        <v>510</v>
      </c>
      <c r="B155" s="201" t="s">
        <v>557</v>
      </c>
      <c r="C155" s="201" t="s">
        <v>331</v>
      </c>
      <c r="D155" s="201">
        <v>0</v>
      </c>
      <c r="E155" s="70"/>
      <c r="F155" s="70"/>
    </row>
    <row r="156" spans="1:6" x14ac:dyDescent="0.25">
      <c r="A156" s="201">
        <v>511</v>
      </c>
      <c r="B156" s="201" t="s">
        <v>559</v>
      </c>
      <c r="C156" s="201" t="s">
        <v>331</v>
      </c>
      <c r="D156" s="70">
        <v>0</v>
      </c>
      <c r="E156" s="70"/>
      <c r="F156" s="70"/>
    </row>
    <row r="157" spans="1:6" x14ac:dyDescent="0.25">
      <c r="A157" s="201">
        <v>512</v>
      </c>
      <c r="B157" s="201" t="s">
        <v>561</v>
      </c>
      <c r="C157" s="201" t="s">
        <v>312</v>
      </c>
      <c r="D157" s="70">
        <v>5.745555644E-2</v>
      </c>
      <c r="E157" s="70"/>
    </row>
    <row r="158" spans="1:6" x14ac:dyDescent="0.25">
      <c r="A158" s="201">
        <v>513</v>
      </c>
      <c r="B158" s="201" t="s">
        <v>563</v>
      </c>
      <c r="C158" s="201" t="s">
        <v>312</v>
      </c>
      <c r="D158" s="70">
        <v>0.19161158986999999</v>
      </c>
      <c r="E158" s="70"/>
    </row>
    <row r="159" spans="1:6" x14ac:dyDescent="0.25">
      <c r="A159" s="201">
        <v>514</v>
      </c>
      <c r="B159" s="201" t="s">
        <v>565</v>
      </c>
      <c r="C159" s="201" t="s">
        <v>331</v>
      </c>
      <c r="D159" s="201">
        <v>0</v>
      </c>
    </row>
    <row r="160" spans="1:6" x14ac:dyDescent="0.25">
      <c r="A160" s="201">
        <v>516</v>
      </c>
      <c r="B160" s="201" t="s">
        <v>568</v>
      </c>
      <c r="C160" s="201" t="s">
        <v>312</v>
      </c>
      <c r="D160" s="70">
        <v>0.15645340274</v>
      </c>
      <c r="E160" s="70"/>
    </row>
    <row r="161" spans="1:6" x14ac:dyDescent="0.25">
      <c r="A161" s="201">
        <v>517</v>
      </c>
      <c r="B161" s="201" t="s">
        <v>570</v>
      </c>
      <c r="C161" s="201" t="s">
        <v>331</v>
      </c>
      <c r="D161" s="201">
        <v>0</v>
      </c>
    </row>
    <row r="162" spans="1:6" x14ac:dyDescent="0.25">
      <c r="A162" s="201">
        <v>518</v>
      </c>
      <c r="B162" s="201" t="s">
        <v>572</v>
      </c>
      <c r="C162" s="201" t="s">
        <v>331</v>
      </c>
      <c r="D162" s="70">
        <v>0</v>
      </c>
      <c r="E162" s="70"/>
      <c r="F162" s="70"/>
    </row>
    <row r="163" spans="1:6" x14ac:dyDescent="0.25">
      <c r="A163" s="201">
        <v>519</v>
      </c>
      <c r="B163" s="201" t="s">
        <v>574</v>
      </c>
      <c r="C163" s="201" t="s">
        <v>312</v>
      </c>
      <c r="D163" s="70">
        <v>-0.29155341554999997</v>
      </c>
      <c r="E163" s="70"/>
      <c r="F163" s="70"/>
    </row>
    <row r="164" spans="1:6" x14ac:dyDescent="0.25">
      <c r="A164" s="201">
        <v>520</v>
      </c>
      <c r="B164" s="201" t="s">
        <v>576</v>
      </c>
      <c r="C164" s="201" t="s">
        <v>331</v>
      </c>
      <c r="D164" s="70">
        <v>0</v>
      </c>
      <c r="E164" s="70"/>
      <c r="F164" s="70"/>
    </row>
    <row r="165" spans="1:6" x14ac:dyDescent="0.25">
      <c r="A165" s="201">
        <v>521</v>
      </c>
      <c r="B165" s="201" t="s">
        <v>578</v>
      </c>
      <c r="C165" s="201" t="s">
        <v>312</v>
      </c>
      <c r="D165" s="70">
        <v>-0.23060470699999999</v>
      </c>
    </row>
    <row r="166" spans="1:6" x14ac:dyDescent="0.25">
      <c r="A166" s="201">
        <v>522</v>
      </c>
      <c r="B166" s="201" t="s">
        <v>580</v>
      </c>
      <c r="C166" s="201" t="s">
        <v>312</v>
      </c>
      <c r="D166" s="70">
        <v>-0.30518042548000002</v>
      </c>
      <c r="E166" s="70"/>
      <c r="F166" s="70"/>
    </row>
    <row r="167" spans="1:6" x14ac:dyDescent="0.25">
      <c r="A167" s="201">
        <v>523</v>
      </c>
      <c r="B167" s="201" t="s">
        <v>582</v>
      </c>
      <c r="C167" s="201" t="s">
        <v>312</v>
      </c>
      <c r="D167" s="201">
        <v>4.7427549270000001E-2</v>
      </c>
      <c r="E167" s="70"/>
    </row>
    <row r="168" spans="1:6" x14ac:dyDescent="0.25">
      <c r="A168" s="201">
        <v>524</v>
      </c>
      <c r="B168" s="201" t="s">
        <v>584</v>
      </c>
      <c r="C168" s="201" t="s">
        <v>331</v>
      </c>
      <c r="D168" s="70">
        <v>0</v>
      </c>
      <c r="E168" s="70"/>
      <c r="F168" s="70"/>
    </row>
    <row r="169" spans="1:6" x14ac:dyDescent="0.25">
      <c r="A169" s="201">
        <v>525</v>
      </c>
      <c r="B169" s="201" t="s">
        <v>586</v>
      </c>
      <c r="C169" s="201" t="s">
        <v>331</v>
      </c>
      <c r="D169" s="70">
        <v>0</v>
      </c>
      <c r="E169" s="70"/>
      <c r="F169" s="70"/>
    </row>
    <row r="170" spans="1:6" x14ac:dyDescent="0.25">
      <c r="A170" s="201">
        <v>526</v>
      </c>
      <c r="B170" s="201" t="s">
        <v>588</v>
      </c>
      <c r="C170" s="201" t="s">
        <v>331</v>
      </c>
      <c r="D170" s="70">
        <v>0</v>
      </c>
      <c r="E170" s="70"/>
      <c r="F170" s="70"/>
    </row>
    <row r="171" spans="1:6" x14ac:dyDescent="0.25">
      <c r="A171" s="201">
        <v>527</v>
      </c>
      <c r="B171" s="201" t="s">
        <v>590</v>
      </c>
      <c r="C171" s="201" t="s">
        <v>331</v>
      </c>
      <c r="D171" s="201">
        <v>0</v>
      </c>
      <c r="E171" s="70"/>
      <c r="F171" s="70"/>
    </row>
    <row r="172" spans="1:6" x14ac:dyDescent="0.25">
      <c r="A172" s="201">
        <v>528</v>
      </c>
      <c r="B172" s="201" t="s">
        <v>1049</v>
      </c>
      <c r="C172" s="201" t="s">
        <v>331</v>
      </c>
      <c r="D172" s="201">
        <v>0</v>
      </c>
      <c r="E172" s="70"/>
      <c r="F172" s="70"/>
    </row>
    <row r="173" spans="1:6" x14ac:dyDescent="0.25">
      <c r="A173" s="201">
        <v>529</v>
      </c>
      <c r="B173" s="201" t="s">
        <v>592</v>
      </c>
      <c r="C173" s="201" t="s">
        <v>312</v>
      </c>
      <c r="D173" s="70">
        <v>3.2339996109999998E-2</v>
      </c>
      <c r="E173" s="70"/>
    </row>
    <row r="174" spans="1:6" x14ac:dyDescent="0.25">
      <c r="A174" s="201">
        <v>530</v>
      </c>
      <c r="B174" s="201" t="s">
        <v>1050</v>
      </c>
      <c r="C174" s="201" t="s">
        <v>331</v>
      </c>
      <c r="D174" s="201">
        <v>0</v>
      </c>
    </row>
    <row r="175" spans="1:6" x14ac:dyDescent="0.25">
      <c r="A175" s="201">
        <v>531</v>
      </c>
      <c r="B175" s="201" t="s">
        <v>593</v>
      </c>
      <c r="C175" s="201" t="s">
        <v>312</v>
      </c>
      <c r="D175" s="70">
        <v>-3.6036766669999998E-2</v>
      </c>
      <c r="E175" s="70"/>
    </row>
    <row r="176" spans="1:6" x14ac:dyDescent="0.25">
      <c r="A176" s="201">
        <v>532</v>
      </c>
      <c r="B176" s="201" t="s">
        <v>1051</v>
      </c>
      <c r="C176" s="201" t="s">
        <v>312</v>
      </c>
      <c r="D176" s="70">
        <v>-0.89221574083999999</v>
      </c>
      <c r="E176" s="70"/>
    </row>
    <row r="177" spans="1:6" x14ac:dyDescent="0.25">
      <c r="A177" s="201">
        <v>533</v>
      </c>
      <c r="B177" s="201" t="s">
        <v>1052</v>
      </c>
      <c r="C177" s="201" t="s">
        <v>312</v>
      </c>
      <c r="D177" s="70">
        <v>-0.21394173623000001</v>
      </c>
      <c r="E177" s="70"/>
    </row>
    <row r="178" spans="1:6" x14ac:dyDescent="0.25">
      <c r="A178" s="201">
        <v>534</v>
      </c>
      <c r="B178" s="201" t="s">
        <v>1053</v>
      </c>
      <c r="C178" s="201" t="s">
        <v>331</v>
      </c>
      <c r="D178" s="201">
        <v>-2</v>
      </c>
      <c r="E178" s="70"/>
    </row>
    <row r="179" spans="1:6" x14ac:dyDescent="0.25">
      <c r="A179" s="201">
        <v>551</v>
      </c>
      <c r="B179" s="201" t="s">
        <v>594</v>
      </c>
      <c r="C179" s="201" t="s">
        <v>331</v>
      </c>
      <c r="D179" s="201">
        <v>-0.95312305667999997</v>
      </c>
    </row>
    <row r="180" spans="1:6" x14ac:dyDescent="0.25">
      <c r="A180" s="201">
        <v>600</v>
      </c>
      <c r="B180" s="201" t="s">
        <v>596</v>
      </c>
      <c r="C180" s="201" t="s">
        <v>312</v>
      </c>
      <c r="D180" s="201">
        <v>-2.06583195268</v>
      </c>
    </row>
    <row r="181" spans="1:6" x14ac:dyDescent="0.25">
      <c r="A181" s="201">
        <v>601</v>
      </c>
      <c r="B181" s="201" t="s">
        <v>598</v>
      </c>
      <c r="C181" s="201" t="s">
        <v>312</v>
      </c>
      <c r="D181" s="70">
        <v>1.6525579475700001</v>
      </c>
      <c r="E181" s="70"/>
      <c r="F181" s="70"/>
    </row>
    <row r="182" spans="1:6" x14ac:dyDescent="0.25">
      <c r="A182" s="201">
        <v>602</v>
      </c>
      <c r="B182" s="201" t="s">
        <v>600</v>
      </c>
      <c r="C182" s="201" t="s">
        <v>312</v>
      </c>
      <c r="D182" s="70">
        <v>0.50535074812000003</v>
      </c>
      <c r="E182" s="70"/>
      <c r="F182" s="70"/>
    </row>
    <row r="183" spans="1:6" x14ac:dyDescent="0.25">
      <c r="A183" s="201">
        <v>603</v>
      </c>
      <c r="B183" s="201" t="s">
        <v>602</v>
      </c>
      <c r="C183" s="201" t="s">
        <v>331</v>
      </c>
      <c r="D183" s="201">
        <v>-0.82288544304</v>
      </c>
      <c r="E183" s="70"/>
      <c r="F183" s="70"/>
    </row>
    <row r="184" spans="1:6" x14ac:dyDescent="0.25">
      <c r="A184" s="201">
        <v>604</v>
      </c>
      <c r="B184" s="201" t="s">
        <v>604</v>
      </c>
      <c r="C184" s="201" t="s">
        <v>331</v>
      </c>
      <c r="D184" s="201">
        <v>-1.4950205351900001</v>
      </c>
      <c r="E184" s="70"/>
      <c r="F184" s="70"/>
    </row>
    <row r="185" spans="1:6" x14ac:dyDescent="0.25">
      <c r="A185" s="201">
        <v>605</v>
      </c>
      <c r="B185" s="201" t="s">
        <v>606</v>
      </c>
      <c r="C185" s="201" t="s">
        <v>331</v>
      </c>
      <c r="D185" s="201">
        <v>-0.96389520255000005</v>
      </c>
    </row>
    <row r="186" spans="1:6" x14ac:dyDescent="0.25">
      <c r="A186" s="201">
        <v>606</v>
      </c>
      <c r="B186" s="201" t="s">
        <v>608</v>
      </c>
      <c r="C186" s="201" t="s">
        <v>312</v>
      </c>
      <c r="D186" s="70">
        <v>-2.9948228206800001</v>
      </c>
      <c r="E186" s="70"/>
      <c r="F186" s="70"/>
    </row>
    <row r="187" spans="1:6" x14ac:dyDescent="0.25">
      <c r="A187" s="201">
        <v>607</v>
      </c>
      <c r="B187" s="201" t="s">
        <v>610</v>
      </c>
      <c r="C187" s="201" t="s">
        <v>312</v>
      </c>
      <c r="D187" s="201">
        <v>-1.98828318011</v>
      </c>
    </row>
    <row r="188" spans="1:6" x14ac:dyDescent="0.25">
      <c r="A188" s="201">
        <v>608</v>
      </c>
      <c r="B188" s="201" t="s">
        <v>612</v>
      </c>
      <c r="C188" s="201" t="s">
        <v>312</v>
      </c>
      <c r="D188" s="201">
        <v>-0.28195572471000002</v>
      </c>
    </row>
    <row r="189" spans="1:6" x14ac:dyDescent="0.25">
      <c r="A189" s="201">
        <v>609</v>
      </c>
      <c r="B189" s="201" t="s">
        <v>614</v>
      </c>
      <c r="C189" s="201" t="s">
        <v>312</v>
      </c>
      <c r="D189" s="70">
        <v>-0.10168568981999999</v>
      </c>
      <c r="E189" s="70"/>
      <c r="F189" s="70"/>
    </row>
    <row r="190" spans="1:6" x14ac:dyDescent="0.25">
      <c r="A190" s="201">
        <v>610</v>
      </c>
      <c r="B190" s="201" t="s">
        <v>616</v>
      </c>
      <c r="C190" s="201" t="s">
        <v>312</v>
      </c>
      <c r="D190" s="70">
        <v>-0.12921988157</v>
      </c>
      <c r="E190" s="70"/>
    </row>
    <row r="191" spans="1:6" x14ac:dyDescent="0.25">
      <c r="A191" s="201">
        <v>611</v>
      </c>
      <c r="B191" s="201" t="s">
        <v>618</v>
      </c>
      <c r="C191" s="201" t="s">
        <v>331</v>
      </c>
      <c r="D191" s="201">
        <v>0</v>
      </c>
    </row>
    <row r="192" spans="1:6" x14ac:dyDescent="0.25">
      <c r="A192" s="201">
        <v>612</v>
      </c>
      <c r="B192" s="201" t="s">
        <v>620</v>
      </c>
      <c r="C192" s="201" t="s">
        <v>312</v>
      </c>
      <c r="D192" s="70">
        <v>8.0869880239999997E-2</v>
      </c>
      <c r="E192" s="70"/>
      <c r="F192" s="70"/>
    </row>
    <row r="193" spans="1:6" x14ac:dyDescent="0.25">
      <c r="A193" s="201">
        <v>613</v>
      </c>
      <c r="B193" s="201" t="s">
        <v>622</v>
      </c>
      <c r="C193" s="201" t="s">
        <v>331</v>
      </c>
      <c r="D193" s="201">
        <v>0</v>
      </c>
      <c r="E193" s="70"/>
      <c r="F193" s="70"/>
    </row>
    <row r="194" spans="1:6" x14ac:dyDescent="0.25">
      <c r="A194" s="201">
        <v>614</v>
      </c>
      <c r="B194" s="201" t="s">
        <v>624</v>
      </c>
      <c r="C194" s="201" t="s">
        <v>331</v>
      </c>
      <c r="D194" s="70">
        <v>0</v>
      </c>
      <c r="E194" s="70"/>
      <c r="F194" s="70"/>
    </row>
    <row r="195" spans="1:6" x14ac:dyDescent="0.25">
      <c r="A195" s="201">
        <v>616</v>
      </c>
      <c r="B195" s="201" t="s">
        <v>627</v>
      </c>
      <c r="C195" s="201" t="s">
        <v>312</v>
      </c>
      <c r="D195" s="70">
        <v>-0.16267799775</v>
      </c>
      <c r="E195" s="70"/>
      <c r="F195" s="70"/>
    </row>
    <row r="196" spans="1:6" x14ac:dyDescent="0.25">
      <c r="A196" s="201">
        <v>617</v>
      </c>
      <c r="B196" s="201" t="s">
        <v>629</v>
      </c>
      <c r="C196" s="201" t="s">
        <v>331</v>
      </c>
      <c r="D196" s="201">
        <v>0</v>
      </c>
      <c r="E196" s="70"/>
      <c r="F196" s="70"/>
    </row>
    <row r="197" spans="1:6" x14ac:dyDescent="0.25">
      <c r="A197" s="201">
        <v>618</v>
      </c>
      <c r="B197" s="201" t="s">
        <v>631</v>
      </c>
      <c r="C197" s="201" t="s">
        <v>312</v>
      </c>
      <c r="D197" s="70">
        <v>-0.77288709444000003</v>
      </c>
      <c r="E197" s="70"/>
      <c r="F197" s="70"/>
    </row>
    <row r="198" spans="1:6" x14ac:dyDescent="0.25">
      <c r="A198" s="201">
        <v>619</v>
      </c>
      <c r="B198" s="201" t="s">
        <v>633</v>
      </c>
      <c r="C198" s="201" t="s">
        <v>331</v>
      </c>
      <c r="D198" s="201">
        <v>0</v>
      </c>
    </row>
    <row r="199" spans="1:6" x14ac:dyDescent="0.25">
      <c r="A199" s="201">
        <v>620</v>
      </c>
      <c r="B199" s="201" t="s">
        <v>635</v>
      </c>
      <c r="C199" s="201" t="s">
        <v>312</v>
      </c>
      <c r="D199" s="201">
        <v>-0.51821598620999998</v>
      </c>
      <c r="E199" s="70"/>
    </row>
    <row r="200" spans="1:6" x14ac:dyDescent="0.25">
      <c r="A200" s="201">
        <v>621</v>
      </c>
      <c r="B200" s="201" t="s">
        <v>637</v>
      </c>
      <c r="C200" s="201" t="s">
        <v>331</v>
      </c>
      <c r="D200" s="201">
        <v>0</v>
      </c>
    </row>
    <row r="201" spans="1:6" x14ac:dyDescent="0.25">
      <c r="A201" s="201">
        <v>622</v>
      </c>
      <c r="B201" s="201" t="s">
        <v>639</v>
      </c>
      <c r="C201" s="201" t="s">
        <v>331</v>
      </c>
      <c r="D201" s="201">
        <v>0</v>
      </c>
      <c r="E201" s="70"/>
      <c r="F201" s="70"/>
    </row>
    <row r="202" spans="1:6" x14ac:dyDescent="0.25">
      <c r="A202" s="201">
        <v>623</v>
      </c>
      <c r="B202" s="201" t="s">
        <v>641</v>
      </c>
      <c r="C202" s="201" t="s">
        <v>331</v>
      </c>
      <c r="D202" s="70">
        <v>0</v>
      </c>
      <c r="E202" s="70"/>
      <c r="F202" s="70"/>
    </row>
    <row r="203" spans="1:6" x14ac:dyDescent="0.25">
      <c r="A203" s="201">
        <v>624</v>
      </c>
      <c r="B203" s="201" t="s">
        <v>643</v>
      </c>
      <c r="C203" s="201" t="s">
        <v>331</v>
      </c>
      <c r="D203" s="201">
        <v>0</v>
      </c>
    </row>
    <row r="204" spans="1:6" x14ac:dyDescent="0.25">
      <c r="A204" s="201">
        <v>625</v>
      </c>
      <c r="B204" s="201" t="s">
        <v>645</v>
      </c>
      <c r="C204" s="201" t="s">
        <v>331</v>
      </c>
      <c r="D204" s="70">
        <v>0</v>
      </c>
      <c r="E204" s="70"/>
      <c r="F204" s="70"/>
    </row>
    <row r="205" spans="1:6" x14ac:dyDescent="0.25">
      <c r="A205" s="201">
        <v>626</v>
      </c>
      <c r="B205" s="201" t="s">
        <v>647</v>
      </c>
      <c r="C205" s="201" t="s">
        <v>331</v>
      </c>
      <c r="D205" s="201">
        <v>0</v>
      </c>
      <c r="E205" s="70"/>
      <c r="F205" s="70"/>
    </row>
    <row r="206" spans="1:6" x14ac:dyDescent="0.25">
      <c r="A206" s="201">
        <v>627</v>
      </c>
      <c r="B206" s="201" t="s">
        <v>649</v>
      </c>
      <c r="C206" s="201" t="s">
        <v>331</v>
      </c>
      <c r="D206" s="70">
        <v>0</v>
      </c>
      <c r="E206" s="70"/>
      <c r="F206" s="70"/>
    </row>
    <row r="207" spans="1:6" x14ac:dyDescent="0.25">
      <c r="A207" s="201">
        <v>628</v>
      </c>
      <c r="B207" s="201" t="s">
        <v>1054</v>
      </c>
      <c r="C207" s="201" t="s">
        <v>331</v>
      </c>
      <c r="D207" s="201">
        <v>0</v>
      </c>
    </row>
    <row r="208" spans="1:6" x14ac:dyDescent="0.25">
      <c r="A208" s="201">
        <v>629</v>
      </c>
      <c r="B208" s="201" t="s">
        <v>651</v>
      </c>
      <c r="C208" s="201" t="s">
        <v>312</v>
      </c>
      <c r="D208" s="70">
        <v>2.6649678940000001E-2</v>
      </c>
      <c r="E208" s="70"/>
    </row>
    <row r="209" spans="1:6" x14ac:dyDescent="0.25">
      <c r="A209" s="201">
        <v>630</v>
      </c>
      <c r="B209" s="201" t="s">
        <v>1055</v>
      </c>
      <c r="C209" s="201" t="s">
        <v>331</v>
      </c>
      <c r="D209" s="201">
        <v>0</v>
      </c>
    </row>
    <row r="210" spans="1:6" x14ac:dyDescent="0.25">
      <c r="A210" s="201">
        <v>631</v>
      </c>
      <c r="B210" s="201" t="s">
        <v>652</v>
      </c>
      <c r="C210" s="201" t="s">
        <v>312</v>
      </c>
      <c r="D210" s="70">
        <v>-6.5044309719999999E-2</v>
      </c>
      <c r="E210" s="70"/>
    </row>
    <row r="211" spans="1:6" x14ac:dyDescent="0.25">
      <c r="A211" s="201">
        <v>632</v>
      </c>
      <c r="B211" s="201" t="s">
        <v>1056</v>
      </c>
      <c r="C211" s="201" t="s">
        <v>312</v>
      </c>
      <c r="D211" s="70">
        <v>-0.72078261221999995</v>
      </c>
      <c r="E211" s="70"/>
      <c r="F211" s="70"/>
    </row>
    <row r="212" spans="1:6" x14ac:dyDescent="0.25">
      <c r="A212" s="201">
        <v>633</v>
      </c>
      <c r="B212" s="201" t="s">
        <v>1057</v>
      </c>
      <c r="C212" s="201" t="s">
        <v>312</v>
      </c>
      <c r="D212" s="70">
        <v>-8.6248917470000006E-2</v>
      </c>
      <c r="E212" s="70"/>
      <c r="F212" s="70"/>
    </row>
    <row r="213" spans="1:6" x14ac:dyDescent="0.25">
      <c r="A213" s="201">
        <v>634</v>
      </c>
      <c r="B213" s="201" t="s">
        <v>1058</v>
      </c>
      <c r="C213" s="201" t="s">
        <v>331</v>
      </c>
      <c r="D213" s="70">
        <v>-0.7</v>
      </c>
      <c r="E213" s="70"/>
      <c r="F213" s="70"/>
    </row>
    <row r="214" spans="1:6" x14ac:dyDescent="0.25">
      <c r="A214" s="201">
        <v>651</v>
      </c>
      <c r="B214" s="201" t="s">
        <v>653</v>
      </c>
      <c r="C214" s="201" t="s">
        <v>331</v>
      </c>
      <c r="D214" s="201">
        <v>-0.67422601961999995</v>
      </c>
    </row>
    <row r="215" spans="1:6" x14ac:dyDescent="0.25">
      <c r="A215" s="201">
        <v>700</v>
      </c>
      <c r="B215" s="201" t="s">
        <v>655</v>
      </c>
      <c r="C215" s="201" t="s">
        <v>312</v>
      </c>
      <c r="D215" s="70">
        <v>-1.2801669037600001</v>
      </c>
      <c r="E215" s="70"/>
    </row>
    <row r="216" spans="1:6" x14ac:dyDescent="0.25">
      <c r="A216" s="201">
        <v>701</v>
      </c>
      <c r="B216" s="201" t="s">
        <v>657</v>
      </c>
      <c r="C216" s="201" t="s">
        <v>312</v>
      </c>
      <c r="D216" s="70">
        <v>2.0647581169100002</v>
      </c>
      <c r="E216" s="70"/>
    </row>
    <row r="217" spans="1:6" x14ac:dyDescent="0.25">
      <c r="A217" s="201">
        <v>702</v>
      </c>
      <c r="B217" s="201" t="s">
        <v>659</v>
      </c>
      <c r="C217" s="201" t="s">
        <v>331</v>
      </c>
      <c r="D217" s="201">
        <v>0.65142938905000003</v>
      </c>
      <c r="E217" s="70"/>
      <c r="F217" s="70"/>
    </row>
    <row r="218" spans="1:6" x14ac:dyDescent="0.25">
      <c r="A218" s="201">
        <v>703</v>
      </c>
      <c r="B218" s="201" t="s">
        <v>661</v>
      </c>
      <c r="C218" s="201" t="s">
        <v>331</v>
      </c>
      <c r="D218" s="201">
        <v>-1.1475698162500001</v>
      </c>
      <c r="E218" s="70"/>
      <c r="F218" s="70"/>
    </row>
    <row r="219" spans="1:6" x14ac:dyDescent="0.25">
      <c r="A219" s="201">
        <v>704</v>
      </c>
      <c r="B219" s="201" t="s">
        <v>663</v>
      </c>
      <c r="C219" s="201" t="s">
        <v>331</v>
      </c>
      <c r="D219" s="201">
        <v>-1.0826110979400001</v>
      </c>
      <c r="E219" s="70"/>
      <c r="F219" s="70"/>
    </row>
    <row r="220" spans="1:6" x14ac:dyDescent="0.25">
      <c r="A220" s="201">
        <v>705</v>
      </c>
      <c r="B220" s="201" t="s">
        <v>665</v>
      </c>
      <c r="C220" s="201" t="s">
        <v>331</v>
      </c>
      <c r="D220" s="70">
        <v>-2.0534535142900001</v>
      </c>
      <c r="E220" s="70"/>
      <c r="F220" s="70"/>
    </row>
    <row r="221" spans="1:6" x14ac:dyDescent="0.25">
      <c r="A221" s="201">
        <v>706</v>
      </c>
      <c r="B221" s="201" t="s">
        <v>667</v>
      </c>
      <c r="C221" s="201" t="s">
        <v>331</v>
      </c>
      <c r="D221" s="201">
        <v>-1.5469095636900001</v>
      </c>
    </row>
    <row r="222" spans="1:6" x14ac:dyDescent="0.25">
      <c r="A222" s="201">
        <v>707</v>
      </c>
      <c r="B222" s="201" t="s">
        <v>669</v>
      </c>
      <c r="C222" s="201" t="s">
        <v>312</v>
      </c>
      <c r="D222" s="201">
        <v>-0.36546801553000002</v>
      </c>
      <c r="E222" s="70"/>
    </row>
    <row r="223" spans="1:6" x14ac:dyDescent="0.25">
      <c r="A223" s="201">
        <v>708</v>
      </c>
      <c r="B223" s="201" t="s">
        <v>671</v>
      </c>
      <c r="C223" s="201" t="s">
        <v>312</v>
      </c>
      <c r="D223" s="70">
        <v>0.43115396777999998</v>
      </c>
      <c r="E223" s="70"/>
    </row>
    <row r="224" spans="1:6" x14ac:dyDescent="0.25">
      <c r="A224" s="201">
        <v>709</v>
      </c>
      <c r="B224" s="201" t="s">
        <v>673</v>
      </c>
      <c r="C224" s="201" t="s">
        <v>312</v>
      </c>
      <c r="D224" s="201">
        <v>-0.23414926352000001</v>
      </c>
      <c r="E224" s="70"/>
    </row>
    <row r="225" spans="1:6" x14ac:dyDescent="0.25">
      <c r="A225" s="201">
        <v>710</v>
      </c>
      <c r="B225" s="201" t="s">
        <v>675</v>
      </c>
      <c r="C225" s="201" t="s">
        <v>312</v>
      </c>
      <c r="D225" s="201">
        <v>-0.16753633813999999</v>
      </c>
      <c r="E225" s="70"/>
    </row>
    <row r="226" spans="1:6" x14ac:dyDescent="0.25">
      <c r="A226" s="201">
        <v>711</v>
      </c>
      <c r="B226" s="201" t="s">
        <v>677</v>
      </c>
      <c r="C226" s="201" t="s">
        <v>312</v>
      </c>
      <c r="D226" s="70">
        <v>0.24127006967</v>
      </c>
      <c r="E226" s="70"/>
    </row>
    <row r="227" spans="1:6" x14ac:dyDescent="0.25">
      <c r="A227" s="201">
        <v>712</v>
      </c>
      <c r="B227" s="201" t="s">
        <v>679</v>
      </c>
      <c r="C227" s="201" t="s">
        <v>312</v>
      </c>
      <c r="D227" s="70">
        <v>9.3852056000000003E-2</v>
      </c>
      <c r="E227" s="70"/>
      <c r="F227" s="70"/>
    </row>
    <row r="228" spans="1:6" x14ac:dyDescent="0.25">
      <c r="A228" s="201">
        <v>713</v>
      </c>
      <c r="B228" s="201" t="s">
        <v>681</v>
      </c>
      <c r="C228" s="201" t="s">
        <v>331</v>
      </c>
      <c r="D228" s="201">
        <v>0</v>
      </c>
    </row>
    <row r="229" spans="1:6" x14ac:dyDescent="0.25">
      <c r="A229" s="201">
        <v>714</v>
      </c>
      <c r="B229" s="201" t="s">
        <v>683</v>
      </c>
      <c r="C229" s="201" t="s">
        <v>331</v>
      </c>
      <c r="D229" s="201">
        <v>0</v>
      </c>
    </row>
    <row r="230" spans="1:6" x14ac:dyDescent="0.25">
      <c r="A230" s="201">
        <v>716</v>
      </c>
      <c r="B230" s="201" t="s">
        <v>686</v>
      </c>
      <c r="C230" s="201" t="s">
        <v>331</v>
      </c>
      <c r="D230" s="201">
        <v>0</v>
      </c>
      <c r="E230" s="70"/>
      <c r="F230" s="70"/>
    </row>
    <row r="231" spans="1:6" x14ac:dyDescent="0.25">
      <c r="A231" s="201">
        <v>717</v>
      </c>
      <c r="B231" s="201" t="s">
        <v>688</v>
      </c>
      <c r="C231" s="201" t="s">
        <v>331</v>
      </c>
      <c r="D231" s="201">
        <v>0</v>
      </c>
    </row>
    <row r="232" spans="1:6" x14ac:dyDescent="0.25">
      <c r="A232" s="201">
        <v>718</v>
      </c>
      <c r="B232" s="201" t="s">
        <v>690</v>
      </c>
      <c r="C232" s="201" t="s">
        <v>312</v>
      </c>
      <c r="D232" s="70">
        <v>-0.34985702366999999</v>
      </c>
      <c r="E232" s="70"/>
    </row>
    <row r="233" spans="1:6" x14ac:dyDescent="0.25">
      <c r="A233" s="201">
        <v>719</v>
      </c>
      <c r="B233" s="201" t="s">
        <v>692</v>
      </c>
      <c r="C233" s="201" t="s">
        <v>331</v>
      </c>
      <c r="D233" s="201">
        <v>0</v>
      </c>
    </row>
    <row r="234" spans="1:6" x14ac:dyDescent="0.25">
      <c r="A234" s="201">
        <v>720</v>
      </c>
      <c r="B234" s="201" t="s">
        <v>694</v>
      </c>
      <c r="C234" s="201" t="s">
        <v>312</v>
      </c>
      <c r="D234" s="201">
        <v>-0.36186341506000003</v>
      </c>
      <c r="E234" s="70"/>
    </row>
    <row r="235" spans="1:6" x14ac:dyDescent="0.25">
      <c r="A235" s="201">
        <v>721</v>
      </c>
      <c r="B235" s="201" t="s">
        <v>696</v>
      </c>
      <c r="C235" s="201" t="s">
        <v>331</v>
      </c>
      <c r="D235" s="201">
        <v>0</v>
      </c>
    </row>
    <row r="236" spans="1:6" x14ac:dyDescent="0.25">
      <c r="A236" s="201">
        <v>722</v>
      </c>
      <c r="B236" s="201" t="s">
        <v>698</v>
      </c>
      <c r="C236" s="201" t="s">
        <v>331</v>
      </c>
      <c r="D236" s="70">
        <v>0</v>
      </c>
      <c r="E236" s="70"/>
      <c r="F236" s="70"/>
    </row>
    <row r="237" spans="1:6" x14ac:dyDescent="0.25">
      <c r="A237" s="201">
        <v>723</v>
      </c>
      <c r="B237" s="201" t="s">
        <v>700</v>
      </c>
      <c r="C237" s="201" t="s">
        <v>312</v>
      </c>
      <c r="D237" s="70">
        <v>-0.29322999638000002</v>
      </c>
      <c r="E237" s="70"/>
      <c r="F237" s="70"/>
    </row>
    <row r="238" spans="1:6" x14ac:dyDescent="0.25">
      <c r="A238" s="201">
        <v>724</v>
      </c>
      <c r="B238" s="201" t="s">
        <v>702</v>
      </c>
      <c r="C238" s="201" t="s">
        <v>312</v>
      </c>
      <c r="D238" s="70">
        <v>-0.54873078521999996</v>
      </c>
      <c r="E238" s="70"/>
      <c r="F238" s="70"/>
    </row>
    <row r="239" spans="1:6" x14ac:dyDescent="0.25">
      <c r="A239" s="201">
        <v>725</v>
      </c>
      <c r="B239" s="201" t="s">
        <v>704</v>
      </c>
      <c r="C239" s="201" t="s">
        <v>331</v>
      </c>
      <c r="D239" s="201">
        <v>0</v>
      </c>
      <c r="E239" s="70"/>
      <c r="F239" s="70"/>
    </row>
    <row r="240" spans="1:6" x14ac:dyDescent="0.25">
      <c r="A240" s="201">
        <v>726</v>
      </c>
      <c r="B240" s="201" t="s">
        <v>706</v>
      </c>
      <c r="C240" s="201" t="s">
        <v>331</v>
      </c>
      <c r="D240" s="201">
        <v>0</v>
      </c>
      <c r="E240" s="70"/>
      <c r="F240" s="70"/>
    </row>
    <row r="241" spans="1:6" x14ac:dyDescent="0.25">
      <c r="A241" s="201">
        <v>727</v>
      </c>
      <c r="B241" s="201" t="s">
        <v>708</v>
      </c>
      <c r="C241" s="201" t="s">
        <v>331</v>
      </c>
      <c r="D241" s="201">
        <v>0</v>
      </c>
      <c r="E241" s="70"/>
      <c r="F241" s="70"/>
    </row>
    <row r="242" spans="1:6" x14ac:dyDescent="0.25">
      <c r="A242" s="201">
        <v>728</v>
      </c>
      <c r="B242" s="201" t="s">
        <v>1059</v>
      </c>
      <c r="C242" s="201" t="s">
        <v>331</v>
      </c>
      <c r="D242" s="201">
        <v>0</v>
      </c>
    </row>
    <row r="243" spans="1:6" x14ac:dyDescent="0.25">
      <c r="A243" s="201">
        <v>729</v>
      </c>
      <c r="B243" s="201" t="s">
        <v>710</v>
      </c>
      <c r="C243" s="201" t="s">
        <v>312</v>
      </c>
      <c r="D243" s="70">
        <v>2.299546198E-2</v>
      </c>
      <c r="E243" s="70"/>
    </row>
    <row r="244" spans="1:6" x14ac:dyDescent="0.25">
      <c r="A244" s="201">
        <v>730</v>
      </c>
      <c r="B244" s="201" t="s">
        <v>1060</v>
      </c>
      <c r="C244" s="201" t="s">
        <v>331</v>
      </c>
      <c r="D244" s="201">
        <v>0</v>
      </c>
    </row>
    <row r="245" spans="1:6" x14ac:dyDescent="0.25">
      <c r="A245" s="201">
        <v>731</v>
      </c>
      <c r="B245" s="201" t="s">
        <v>711</v>
      </c>
      <c r="C245" s="201" t="s">
        <v>312</v>
      </c>
      <c r="D245" s="70">
        <v>-0.11198004113</v>
      </c>
      <c r="E245" s="70"/>
    </row>
    <row r="246" spans="1:6" x14ac:dyDescent="0.25">
      <c r="A246" s="201">
        <v>732</v>
      </c>
      <c r="B246" s="201" t="s">
        <v>1061</v>
      </c>
      <c r="C246" s="201" t="s">
        <v>312</v>
      </c>
      <c r="D246" s="70">
        <v>-0.68960917957000001</v>
      </c>
      <c r="E246" s="70"/>
    </row>
    <row r="247" spans="1:6" x14ac:dyDescent="0.25">
      <c r="A247" s="201">
        <v>733</v>
      </c>
      <c r="B247" s="201" t="s">
        <v>1062</v>
      </c>
      <c r="C247" s="201" t="s">
        <v>312</v>
      </c>
      <c r="D247" s="201">
        <v>-0.11786941991</v>
      </c>
      <c r="E247" s="70"/>
    </row>
    <row r="248" spans="1:6" x14ac:dyDescent="0.25">
      <c r="A248" s="201">
        <v>734</v>
      </c>
      <c r="B248" s="201" t="s">
        <v>1063</v>
      </c>
      <c r="C248" s="201" t="s">
        <v>312</v>
      </c>
      <c r="D248" s="70">
        <v>-1.2</v>
      </c>
      <c r="E248" s="70"/>
    </row>
    <row r="249" spans="1:6" x14ac:dyDescent="0.25">
      <c r="A249" s="201">
        <v>751</v>
      </c>
      <c r="B249" s="201" t="s">
        <v>712</v>
      </c>
      <c r="C249" s="201" t="s">
        <v>312</v>
      </c>
      <c r="D249" s="201">
        <v>-1.08724312621</v>
      </c>
      <c r="E249" s="70"/>
    </row>
    <row r="250" spans="1:6" x14ac:dyDescent="0.25">
      <c r="A250" s="201">
        <v>802</v>
      </c>
      <c r="B250" s="201" t="s">
        <v>714</v>
      </c>
      <c r="C250" s="201" t="s">
        <v>312</v>
      </c>
      <c r="D250" s="201">
        <v>0.60977667497999999</v>
      </c>
    </row>
    <row r="251" spans="1:6" x14ac:dyDescent="0.25">
      <c r="A251" s="201">
        <v>803</v>
      </c>
      <c r="B251" s="201" t="s">
        <v>716</v>
      </c>
      <c r="C251" s="201" t="s">
        <v>312</v>
      </c>
      <c r="D251" s="201">
        <v>0.35295912634999999</v>
      </c>
    </row>
    <row r="252" spans="1:6" x14ac:dyDescent="0.25">
      <c r="A252" s="201">
        <v>804</v>
      </c>
      <c r="B252" s="201" t="s">
        <v>718</v>
      </c>
      <c r="C252" s="201" t="s">
        <v>312</v>
      </c>
      <c r="D252" s="201">
        <v>0.20798756905999999</v>
      </c>
    </row>
    <row r="253" spans="1:6" x14ac:dyDescent="0.25">
      <c r="A253" s="201">
        <v>805</v>
      </c>
      <c r="B253" s="201" t="s">
        <v>720</v>
      </c>
      <c r="C253" s="201" t="s">
        <v>312</v>
      </c>
      <c r="D253" s="70">
        <v>0.31535405351000001</v>
      </c>
    </row>
    <row r="254" spans="1:6" x14ac:dyDescent="0.25">
      <c r="A254" s="201">
        <v>806</v>
      </c>
      <c r="B254" s="201" t="s">
        <v>722</v>
      </c>
      <c r="C254" s="201" t="s">
        <v>312</v>
      </c>
      <c r="D254" s="70">
        <v>0.98676165079</v>
      </c>
    </row>
    <row r="255" spans="1:6" x14ac:dyDescent="0.25">
      <c r="A255" s="201">
        <v>807</v>
      </c>
      <c r="B255" s="201" t="s">
        <v>724</v>
      </c>
      <c r="C255" s="201" t="s">
        <v>312</v>
      </c>
      <c r="D255" s="201">
        <v>0.72867818651000005</v>
      </c>
      <c r="E255" s="70"/>
      <c r="F255" s="70"/>
    </row>
    <row r="256" spans="1:6" x14ac:dyDescent="0.25">
      <c r="A256" s="201">
        <v>808</v>
      </c>
      <c r="B256" s="201" t="s">
        <v>726</v>
      </c>
      <c r="C256" s="201" t="s">
        <v>331</v>
      </c>
      <c r="D256" s="201">
        <v>0</v>
      </c>
    </row>
    <row r="257" spans="1:6" x14ac:dyDescent="0.25">
      <c r="A257" s="201">
        <v>809</v>
      </c>
      <c r="B257" s="201" t="s">
        <v>728</v>
      </c>
      <c r="C257" s="201" t="s">
        <v>331</v>
      </c>
      <c r="D257" s="201">
        <v>0</v>
      </c>
    </row>
    <row r="258" spans="1:6" x14ac:dyDescent="0.25">
      <c r="A258" s="201">
        <v>810</v>
      </c>
      <c r="B258" s="201" t="s">
        <v>730</v>
      </c>
      <c r="C258" s="201" t="s">
        <v>331</v>
      </c>
      <c r="D258" s="201">
        <v>0</v>
      </c>
    </row>
    <row r="259" spans="1:6" x14ac:dyDescent="0.25">
      <c r="A259" s="201">
        <v>811</v>
      </c>
      <c r="B259" s="201" t="s">
        <v>732</v>
      </c>
      <c r="C259" s="201" t="s">
        <v>331</v>
      </c>
      <c r="D259" s="201">
        <v>0</v>
      </c>
    </row>
    <row r="260" spans="1:6" x14ac:dyDescent="0.25">
      <c r="A260" s="201">
        <v>812</v>
      </c>
      <c r="B260" s="201" t="s">
        <v>734</v>
      </c>
      <c r="C260" s="201" t="s">
        <v>331</v>
      </c>
      <c r="D260" s="201">
        <v>0</v>
      </c>
    </row>
    <row r="261" spans="1:6" x14ac:dyDescent="0.25">
      <c r="A261" s="201">
        <v>813</v>
      </c>
      <c r="B261" s="201" t="s">
        <v>736</v>
      </c>
      <c r="C261" s="201" t="s">
        <v>331</v>
      </c>
      <c r="D261" s="201">
        <v>0</v>
      </c>
    </row>
    <row r="262" spans="1:6" x14ac:dyDescent="0.25">
      <c r="A262" s="201">
        <v>814</v>
      </c>
      <c r="B262" s="201" t="s">
        <v>738</v>
      </c>
      <c r="C262" s="201" t="s">
        <v>331</v>
      </c>
      <c r="D262" s="201">
        <v>0</v>
      </c>
    </row>
    <row r="263" spans="1:6" x14ac:dyDescent="0.25">
      <c r="A263" s="201">
        <v>816</v>
      </c>
      <c r="B263" s="201" t="s">
        <v>741</v>
      </c>
      <c r="C263" s="201" t="s">
        <v>312</v>
      </c>
      <c r="D263" s="201">
        <v>-0.18079951418000001</v>
      </c>
      <c r="E263" s="70"/>
    </row>
    <row r="264" spans="1:6" x14ac:dyDescent="0.25">
      <c r="A264" s="201">
        <v>817</v>
      </c>
      <c r="B264" s="201" t="s">
        <v>743</v>
      </c>
      <c r="C264" s="201" t="s">
        <v>312</v>
      </c>
      <c r="D264" s="70">
        <v>-0.81715753822000003</v>
      </c>
    </row>
    <row r="265" spans="1:6" x14ac:dyDescent="0.25">
      <c r="A265" s="201">
        <v>818</v>
      </c>
      <c r="B265" s="201" t="s">
        <v>745</v>
      </c>
      <c r="C265" s="201" t="s">
        <v>312</v>
      </c>
      <c r="D265" s="70">
        <v>0.67896564696999995</v>
      </c>
      <c r="E265" s="70"/>
      <c r="F265" s="70"/>
    </row>
    <row r="266" spans="1:6" x14ac:dyDescent="0.25">
      <c r="A266" s="201">
        <v>819</v>
      </c>
      <c r="B266" s="201" t="s">
        <v>747</v>
      </c>
      <c r="C266" s="201" t="s">
        <v>312</v>
      </c>
      <c r="D266" s="70">
        <v>-0.30146391228000002</v>
      </c>
      <c r="E266" s="70"/>
      <c r="F266" s="70"/>
    </row>
    <row r="267" spans="1:6" x14ac:dyDescent="0.25">
      <c r="A267" s="201">
        <v>820</v>
      </c>
      <c r="B267" s="201" t="s">
        <v>749</v>
      </c>
      <c r="C267" s="201" t="s">
        <v>312</v>
      </c>
      <c r="D267" s="201">
        <v>0.59568631491000001</v>
      </c>
    </row>
    <row r="268" spans="1:6" x14ac:dyDescent="0.25">
      <c r="A268" s="201">
        <v>821</v>
      </c>
      <c r="B268" s="201" t="s">
        <v>751</v>
      </c>
      <c r="C268" s="201" t="s">
        <v>312</v>
      </c>
      <c r="D268" s="201">
        <v>0.48251789562000003</v>
      </c>
    </row>
    <row r="269" spans="1:6" x14ac:dyDescent="0.25">
      <c r="A269" s="201">
        <v>822</v>
      </c>
      <c r="B269" s="201" t="s">
        <v>753</v>
      </c>
      <c r="C269" s="201" t="s">
        <v>331</v>
      </c>
      <c r="D269" s="201">
        <v>0</v>
      </c>
    </row>
    <row r="270" spans="1:6" x14ac:dyDescent="0.25">
      <c r="A270" s="201">
        <v>823</v>
      </c>
      <c r="B270" s="201" t="s">
        <v>755</v>
      </c>
      <c r="C270" s="201" t="s">
        <v>331</v>
      </c>
      <c r="D270" s="201">
        <v>0</v>
      </c>
      <c r="E270" s="70"/>
    </row>
    <row r="271" spans="1:6" x14ac:dyDescent="0.25">
      <c r="A271" s="201">
        <v>824</v>
      </c>
      <c r="B271" s="201" t="s">
        <v>757</v>
      </c>
      <c r="C271" s="201" t="s">
        <v>312</v>
      </c>
      <c r="D271" s="70">
        <v>0.57205792138</v>
      </c>
      <c r="E271" s="70"/>
    </row>
    <row r="272" spans="1:6" x14ac:dyDescent="0.25">
      <c r="A272" s="201">
        <v>825</v>
      </c>
      <c r="B272" s="201" t="s">
        <v>759</v>
      </c>
      <c r="C272" s="201" t="s">
        <v>331</v>
      </c>
      <c r="D272" s="70">
        <v>0</v>
      </c>
    </row>
    <row r="273" spans="1:5" x14ac:dyDescent="0.25">
      <c r="A273" s="201">
        <v>826</v>
      </c>
      <c r="B273" s="201" t="s">
        <v>761</v>
      </c>
      <c r="C273" s="201" t="s">
        <v>312</v>
      </c>
      <c r="D273" s="70">
        <v>1.5230910899999999E-3</v>
      </c>
      <c r="E273" s="70"/>
    </row>
    <row r="274" spans="1:5" x14ac:dyDescent="0.25">
      <c r="A274" s="201">
        <v>827</v>
      </c>
      <c r="B274" s="201" t="s">
        <v>763</v>
      </c>
      <c r="C274" s="201" t="s">
        <v>312</v>
      </c>
      <c r="D274" s="70">
        <v>1.926247926E-2</v>
      </c>
      <c r="E274" s="70"/>
    </row>
    <row r="275" spans="1:5" x14ac:dyDescent="0.25">
      <c r="A275" s="201">
        <v>828</v>
      </c>
      <c r="B275" s="201" t="s">
        <v>1064</v>
      </c>
      <c r="C275" s="201" t="s">
        <v>331</v>
      </c>
      <c r="D275" s="201">
        <v>0</v>
      </c>
    </row>
    <row r="276" spans="1:5" x14ac:dyDescent="0.25">
      <c r="A276" s="201">
        <v>834</v>
      </c>
      <c r="B276" s="201" t="s">
        <v>1065</v>
      </c>
      <c r="C276" s="201" t="s">
        <v>312</v>
      </c>
      <c r="D276" s="201">
        <v>2.2999999999999998</v>
      </c>
    </row>
    <row r="277" spans="1:5" x14ac:dyDescent="0.25">
      <c r="A277" s="201">
        <v>851</v>
      </c>
      <c r="B277" s="201" t="s">
        <v>765</v>
      </c>
      <c r="C277" s="201" t="s">
        <v>331</v>
      </c>
      <c r="D277" s="70">
        <v>0</v>
      </c>
    </row>
    <row r="278" spans="1:5" x14ac:dyDescent="0.25">
      <c r="A278" s="201">
        <v>902</v>
      </c>
      <c r="B278" s="201" t="s">
        <v>767</v>
      </c>
      <c r="C278" s="201" t="s">
        <v>331</v>
      </c>
      <c r="D278" s="201">
        <v>0</v>
      </c>
    </row>
    <row r="279" spans="1:5" x14ac:dyDescent="0.25">
      <c r="A279" s="201">
        <v>903</v>
      </c>
      <c r="B279" s="201" t="s">
        <v>769</v>
      </c>
      <c r="C279" s="201" t="s">
        <v>331</v>
      </c>
      <c r="D279" s="201">
        <v>0</v>
      </c>
    </row>
    <row r="280" spans="1:5" x14ac:dyDescent="0.25">
      <c r="A280" s="201">
        <v>904</v>
      </c>
      <c r="B280" s="201" t="s">
        <v>771</v>
      </c>
      <c r="C280" s="201" t="s">
        <v>312</v>
      </c>
      <c r="D280" s="201">
        <v>7.1217396059999993E-2</v>
      </c>
    </row>
    <row r="281" spans="1:5" x14ac:dyDescent="0.25">
      <c r="A281" s="201">
        <v>905</v>
      </c>
      <c r="B281" s="201" t="s">
        <v>773</v>
      </c>
      <c r="C281" s="201" t="s">
        <v>331</v>
      </c>
      <c r="D281" s="70">
        <v>0</v>
      </c>
    </row>
    <row r="282" spans="1:5" x14ac:dyDescent="0.25">
      <c r="A282" s="201">
        <v>906</v>
      </c>
      <c r="B282" s="201" t="s">
        <v>775</v>
      </c>
      <c r="C282" s="201" t="s">
        <v>312</v>
      </c>
      <c r="D282" s="70">
        <v>0.96179941879999997</v>
      </c>
      <c r="E282" s="70"/>
    </row>
    <row r="283" spans="1:5" x14ac:dyDescent="0.25">
      <c r="A283" s="201">
        <v>907</v>
      </c>
      <c r="B283" s="201" t="s">
        <v>777</v>
      </c>
      <c r="C283" s="201" t="s">
        <v>312</v>
      </c>
      <c r="D283" s="201">
        <v>0.24396724398</v>
      </c>
    </row>
    <row r="284" spans="1:5" x14ac:dyDescent="0.25">
      <c r="A284" s="201">
        <v>908</v>
      </c>
      <c r="B284" s="201" t="s">
        <v>779</v>
      </c>
      <c r="C284" s="201" t="s">
        <v>331</v>
      </c>
      <c r="D284" s="201">
        <v>0</v>
      </c>
    </row>
    <row r="285" spans="1:5" x14ac:dyDescent="0.25">
      <c r="A285" s="201">
        <v>909</v>
      </c>
      <c r="B285" s="201" t="s">
        <v>781</v>
      </c>
      <c r="C285" s="201" t="s">
        <v>331</v>
      </c>
      <c r="D285" s="201">
        <v>0</v>
      </c>
      <c r="E285" s="70"/>
    </row>
    <row r="286" spans="1:5" x14ac:dyDescent="0.25">
      <c r="A286" s="201">
        <v>910</v>
      </c>
      <c r="B286" s="201" t="s">
        <v>783</v>
      </c>
      <c r="C286" s="201" t="s">
        <v>331</v>
      </c>
      <c r="D286" s="201">
        <v>0</v>
      </c>
      <c r="E286" s="70"/>
    </row>
    <row r="287" spans="1:5" x14ac:dyDescent="0.25">
      <c r="A287" s="201">
        <v>911</v>
      </c>
      <c r="B287" s="201" t="s">
        <v>785</v>
      </c>
      <c r="C287" s="201" t="s">
        <v>331</v>
      </c>
      <c r="D287" s="201">
        <v>0</v>
      </c>
    </row>
    <row r="288" spans="1:5" x14ac:dyDescent="0.25">
      <c r="A288" s="201">
        <v>912</v>
      </c>
      <c r="B288" s="201" t="s">
        <v>787</v>
      </c>
      <c r="C288" s="201" t="s">
        <v>331</v>
      </c>
      <c r="D288" s="201">
        <v>0</v>
      </c>
    </row>
    <row r="289" spans="1:5" x14ac:dyDescent="0.25">
      <c r="A289" s="201">
        <v>913</v>
      </c>
      <c r="B289" s="201" t="s">
        <v>789</v>
      </c>
      <c r="C289" s="201" t="s">
        <v>331</v>
      </c>
      <c r="D289" s="201">
        <v>0</v>
      </c>
    </row>
    <row r="290" spans="1:5" x14ac:dyDescent="0.25">
      <c r="A290" s="201">
        <v>914</v>
      </c>
      <c r="B290" s="201" t="s">
        <v>791</v>
      </c>
      <c r="C290" s="201" t="s">
        <v>331</v>
      </c>
      <c r="D290" s="70">
        <v>0</v>
      </c>
      <c r="E290" s="70"/>
    </row>
    <row r="291" spans="1:5" x14ac:dyDescent="0.25">
      <c r="A291" s="201">
        <v>916</v>
      </c>
      <c r="B291" s="201" t="s">
        <v>794</v>
      </c>
      <c r="C291" s="201" t="s">
        <v>331</v>
      </c>
      <c r="D291" s="201">
        <v>0</v>
      </c>
    </row>
    <row r="292" spans="1:5" x14ac:dyDescent="0.25">
      <c r="A292" s="201">
        <v>917</v>
      </c>
      <c r="B292" s="201" t="s">
        <v>796</v>
      </c>
      <c r="C292" s="201" t="s">
        <v>331</v>
      </c>
      <c r="D292" s="201">
        <v>0</v>
      </c>
    </row>
    <row r="293" spans="1:5" x14ac:dyDescent="0.25">
      <c r="A293" s="201">
        <v>918</v>
      </c>
      <c r="B293" s="201" t="s">
        <v>798</v>
      </c>
      <c r="C293" s="201" t="s">
        <v>331</v>
      </c>
      <c r="D293" s="201">
        <v>0</v>
      </c>
      <c r="E293" s="70"/>
    </row>
    <row r="294" spans="1:5" x14ac:dyDescent="0.25">
      <c r="A294" s="201">
        <v>919</v>
      </c>
      <c r="B294" s="201" t="s">
        <v>800</v>
      </c>
      <c r="C294" s="201" t="s">
        <v>331</v>
      </c>
      <c r="D294" s="201">
        <v>0</v>
      </c>
      <c r="E294" s="70"/>
    </row>
    <row r="295" spans="1:5" x14ac:dyDescent="0.25">
      <c r="A295" s="201">
        <v>920</v>
      </c>
      <c r="B295" s="201" t="s">
        <v>802</v>
      </c>
      <c r="C295" s="201" t="s">
        <v>331</v>
      </c>
      <c r="D295" s="70">
        <v>0</v>
      </c>
    </row>
    <row r="296" spans="1:5" x14ac:dyDescent="0.25">
      <c r="A296" s="201">
        <v>921</v>
      </c>
      <c r="B296" s="201" t="s">
        <v>804</v>
      </c>
      <c r="C296" s="201" t="s">
        <v>331</v>
      </c>
      <c r="D296" s="70">
        <v>0</v>
      </c>
      <c r="E296" s="70"/>
    </row>
    <row r="297" spans="1:5" x14ac:dyDescent="0.25">
      <c r="A297" s="201">
        <v>922</v>
      </c>
      <c r="B297" s="201" t="s">
        <v>806</v>
      </c>
      <c r="C297" s="201" t="s">
        <v>331</v>
      </c>
      <c r="D297" s="201">
        <v>0</v>
      </c>
    </row>
    <row r="298" spans="1:5" x14ac:dyDescent="0.25">
      <c r="A298" s="201">
        <v>923</v>
      </c>
      <c r="B298" s="201" t="s">
        <v>808</v>
      </c>
      <c r="C298" s="201" t="s">
        <v>331</v>
      </c>
      <c r="D298" s="70">
        <v>0</v>
      </c>
    </row>
    <row r="299" spans="1:5" x14ac:dyDescent="0.25">
      <c r="A299" s="201">
        <v>924</v>
      </c>
      <c r="B299" s="201" t="s">
        <v>810</v>
      </c>
      <c r="C299" s="201" t="s">
        <v>312</v>
      </c>
      <c r="D299" s="201">
        <v>0.29114282556999999</v>
      </c>
    </row>
    <row r="300" spans="1:5" x14ac:dyDescent="0.25">
      <c r="A300" s="201">
        <v>925</v>
      </c>
      <c r="B300" s="201" t="s">
        <v>812</v>
      </c>
      <c r="C300" s="201" t="s">
        <v>331</v>
      </c>
      <c r="D300" s="201">
        <v>0</v>
      </c>
    </row>
    <row r="301" spans="1:5" x14ac:dyDescent="0.25">
      <c r="A301" s="201">
        <v>926</v>
      </c>
      <c r="B301" s="201" t="s">
        <v>814</v>
      </c>
      <c r="C301" s="201" t="s">
        <v>331</v>
      </c>
      <c r="D301" s="70">
        <v>0</v>
      </c>
      <c r="E301" s="70"/>
    </row>
    <row r="302" spans="1:5" x14ac:dyDescent="0.25">
      <c r="A302" s="201">
        <v>927</v>
      </c>
      <c r="B302" s="201" t="s">
        <v>816</v>
      </c>
      <c r="C302" s="201" t="s">
        <v>331</v>
      </c>
      <c r="D302" s="70">
        <v>0</v>
      </c>
      <c r="E302" s="70"/>
    </row>
    <row r="303" spans="1:5" x14ac:dyDescent="0.25">
      <c r="A303" s="201">
        <v>928</v>
      </c>
      <c r="B303" s="201" t="s">
        <v>1066</v>
      </c>
      <c r="C303" s="201" t="s">
        <v>331</v>
      </c>
      <c r="D303" s="70">
        <v>0</v>
      </c>
      <c r="E303" s="70"/>
    </row>
    <row r="304" spans="1:5" x14ac:dyDescent="0.25">
      <c r="A304" s="201">
        <v>934</v>
      </c>
      <c r="B304" s="201" t="s">
        <v>1058</v>
      </c>
      <c r="C304" s="201" t="s">
        <v>312</v>
      </c>
      <c r="D304" s="70">
        <v>-1.6</v>
      </c>
      <c r="E304" s="70"/>
    </row>
    <row r="305" spans="1:5" x14ac:dyDescent="0.25">
      <c r="A305" s="201">
        <v>951</v>
      </c>
      <c r="B305" s="201" t="s">
        <v>818</v>
      </c>
      <c r="C305" s="201" t="s">
        <v>331</v>
      </c>
      <c r="D305" s="201">
        <v>0</v>
      </c>
    </row>
    <row r="306" spans="1:5" x14ac:dyDescent="0.25">
      <c r="A306" s="201">
        <v>1010</v>
      </c>
      <c r="B306" s="201" t="s">
        <v>820</v>
      </c>
      <c r="C306" s="201" t="s">
        <v>312</v>
      </c>
      <c r="D306" s="70">
        <v>0.45786643087000001</v>
      </c>
    </row>
    <row r="307" spans="1:5" x14ac:dyDescent="0.25">
      <c r="A307" s="201">
        <v>1011</v>
      </c>
      <c r="B307" s="201" t="s">
        <v>822</v>
      </c>
      <c r="C307" s="201" t="s">
        <v>312</v>
      </c>
      <c r="D307" s="70">
        <v>-1.89314616394</v>
      </c>
      <c r="E307" s="70"/>
    </row>
    <row r="308" spans="1:5" x14ac:dyDescent="0.25">
      <c r="A308" s="201">
        <v>1012</v>
      </c>
      <c r="B308" s="201" t="s">
        <v>824</v>
      </c>
      <c r="C308" s="201" t="s">
        <v>312</v>
      </c>
      <c r="D308" s="201">
        <v>0.18030694579000001</v>
      </c>
    </row>
    <row r="309" spans="1:5" x14ac:dyDescent="0.25">
      <c r="A309" s="201">
        <v>1013</v>
      </c>
      <c r="B309" s="201" t="s">
        <v>826</v>
      </c>
      <c r="C309" s="201" t="s">
        <v>312</v>
      </c>
      <c r="D309" s="201">
        <v>1.0017474184599999</v>
      </c>
      <c r="E309" s="70"/>
    </row>
    <row r="310" spans="1:5" x14ac:dyDescent="0.25">
      <c r="A310" s="201">
        <v>1014</v>
      </c>
      <c r="B310" s="201" t="s">
        <v>828</v>
      </c>
      <c r="C310" s="201" t="s">
        <v>312</v>
      </c>
      <c r="D310" s="70">
        <v>-0.28287807831</v>
      </c>
      <c r="E310" s="70"/>
    </row>
    <row r="311" spans="1:5" x14ac:dyDescent="0.25">
      <c r="A311" s="201">
        <v>1015</v>
      </c>
      <c r="B311" s="201" t="s">
        <v>830</v>
      </c>
      <c r="C311" s="201" t="s">
        <v>312</v>
      </c>
      <c r="D311" s="201">
        <v>-0.19412767935</v>
      </c>
    </row>
    <row r="312" spans="1:5" x14ac:dyDescent="0.25">
      <c r="A312" s="201">
        <v>1016</v>
      </c>
      <c r="B312" s="201" t="s">
        <v>832</v>
      </c>
      <c r="C312" s="201" t="s">
        <v>312</v>
      </c>
      <c r="D312" s="70">
        <v>0.46459217164</v>
      </c>
      <c r="E312" s="70"/>
    </row>
    <row r="313" spans="1:5" x14ac:dyDescent="0.25">
      <c r="A313" s="201">
        <v>1018</v>
      </c>
      <c r="B313" s="201" t="s">
        <v>835</v>
      </c>
      <c r="C313" s="201" t="s">
        <v>312</v>
      </c>
      <c r="D313" s="201">
        <v>-1.3899299449999999E-2</v>
      </c>
    </row>
    <row r="314" spans="1:5" x14ac:dyDescent="0.25">
      <c r="A314" s="201">
        <v>1019</v>
      </c>
      <c r="B314" s="201" t="s">
        <v>837</v>
      </c>
      <c r="C314" s="201" t="s">
        <v>312</v>
      </c>
      <c r="D314" s="70">
        <v>-2.669063524E-2</v>
      </c>
      <c r="E314" s="70"/>
    </row>
    <row r="315" spans="1:5" x14ac:dyDescent="0.25">
      <c r="A315" s="201">
        <v>1020</v>
      </c>
      <c r="B315" s="201" t="s">
        <v>839</v>
      </c>
      <c r="C315" s="201" t="s">
        <v>312</v>
      </c>
      <c r="D315" s="70">
        <v>0.95021951402000004</v>
      </c>
      <c r="E315" s="70"/>
    </row>
    <row r="316" spans="1:5" x14ac:dyDescent="0.25">
      <c r="A316" s="201">
        <v>1021</v>
      </c>
      <c r="B316" s="201" t="s">
        <v>841</v>
      </c>
      <c r="C316" s="201" t="s">
        <v>312</v>
      </c>
      <c r="D316" s="70">
        <v>4.6119139490000002E-2</v>
      </c>
      <c r="E316" s="70"/>
    </row>
    <row r="317" spans="1:5" x14ac:dyDescent="0.25">
      <c r="A317" s="201">
        <v>1022</v>
      </c>
      <c r="B317" s="201" t="s">
        <v>843</v>
      </c>
      <c r="C317" s="201" t="s">
        <v>312</v>
      </c>
      <c r="D317" s="70">
        <v>-0.50334562370000002</v>
      </c>
      <c r="E317" s="70"/>
    </row>
    <row r="318" spans="1:5" x14ac:dyDescent="0.25">
      <c r="A318" s="201">
        <v>1023</v>
      </c>
      <c r="B318" s="201" t="s">
        <v>845</v>
      </c>
      <c r="C318" s="201" t="s">
        <v>312</v>
      </c>
      <c r="D318" s="70">
        <v>1.0587748827500001</v>
      </c>
      <c r="E318" s="70"/>
    </row>
    <row r="319" spans="1:5" x14ac:dyDescent="0.25">
      <c r="A319" s="201">
        <v>1024</v>
      </c>
      <c r="B319" s="201" t="s">
        <v>847</v>
      </c>
      <c r="C319" s="201" t="s">
        <v>312</v>
      </c>
      <c r="D319" s="201">
        <v>-0.53848378215000003</v>
      </c>
      <c r="E319" s="70"/>
    </row>
    <row r="320" spans="1:5" x14ac:dyDescent="0.25">
      <c r="A320" s="201">
        <v>1025</v>
      </c>
      <c r="B320" s="201" t="s">
        <v>849</v>
      </c>
      <c r="C320" s="201" t="s">
        <v>312</v>
      </c>
      <c r="D320" s="70">
        <v>-0.56980481664000004</v>
      </c>
    </row>
    <row r="321" spans="1:5" x14ac:dyDescent="0.25">
      <c r="A321" s="201">
        <v>1026</v>
      </c>
      <c r="B321" s="201" t="s">
        <v>851</v>
      </c>
      <c r="C321" s="201" t="s">
        <v>312</v>
      </c>
      <c r="D321" s="70">
        <v>-0.36556883931</v>
      </c>
      <c r="E321" s="70"/>
    </row>
    <row r="322" spans="1:5" x14ac:dyDescent="0.25">
      <c r="A322" s="201">
        <v>1028</v>
      </c>
      <c r="B322" s="201" t="s">
        <v>853</v>
      </c>
      <c r="C322" s="201" t="s">
        <v>312</v>
      </c>
      <c r="D322" s="70">
        <v>-5.1231861699999999E-2</v>
      </c>
    </row>
    <row r="323" spans="1:5" x14ac:dyDescent="0.25">
      <c r="A323" s="201">
        <v>1029</v>
      </c>
      <c r="B323" s="201" t="s">
        <v>855</v>
      </c>
      <c r="C323" s="201" t="s">
        <v>331</v>
      </c>
      <c r="D323" s="201">
        <v>0</v>
      </c>
      <c r="E323" s="70"/>
    </row>
    <row r="324" spans="1:5" x14ac:dyDescent="0.25">
      <c r="A324" s="201">
        <v>1033</v>
      </c>
      <c r="B324" s="201" t="s">
        <v>857</v>
      </c>
      <c r="C324" s="201" t="s">
        <v>312</v>
      </c>
      <c r="D324" s="201">
        <v>2.3191467598700002</v>
      </c>
    </row>
    <row r="325" spans="1:5" x14ac:dyDescent="0.25">
      <c r="A325" s="201">
        <v>1034</v>
      </c>
      <c r="B325" s="201" t="s">
        <v>859</v>
      </c>
      <c r="C325" s="201" t="s">
        <v>312</v>
      </c>
      <c r="D325" s="201">
        <v>0.43882869600000002</v>
      </c>
    </row>
    <row r="326" spans="1:5" x14ac:dyDescent="0.25">
      <c r="A326" s="201">
        <v>1035</v>
      </c>
      <c r="B326" s="201" t="s">
        <v>861</v>
      </c>
      <c r="C326" s="201" t="s">
        <v>312</v>
      </c>
      <c r="D326" s="70">
        <v>0.38801901626000002</v>
      </c>
      <c r="E326" s="70"/>
    </row>
    <row r="327" spans="1:5" x14ac:dyDescent="0.25">
      <c r="A327" s="201">
        <v>1036</v>
      </c>
      <c r="B327" s="201" t="s">
        <v>863</v>
      </c>
      <c r="C327" s="201" t="s">
        <v>312</v>
      </c>
      <c r="D327" s="201">
        <v>0.60596435895</v>
      </c>
    </row>
    <row r="328" spans="1:5" x14ac:dyDescent="0.25">
      <c r="A328" s="201">
        <v>1043</v>
      </c>
      <c r="B328" s="201" t="s">
        <v>865</v>
      </c>
      <c r="C328" s="201" t="s">
        <v>312</v>
      </c>
      <c r="D328" s="201">
        <v>-0.54382622784000001</v>
      </c>
      <c r="E328" s="70"/>
    </row>
    <row r="329" spans="1:5" x14ac:dyDescent="0.25">
      <c r="A329" s="201">
        <v>1044</v>
      </c>
      <c r="B329" s="201" t="s">
        <v>867</v>
      </c>
      <c r="C329" s="201" t="s">
        <v>312</v>
      </c>
      <c r="D329" s="201">
        <v>0.15599073697999999</v>
      </c>
      <c r="E329" s="70"/>
    </row>
    <row r="330" spans="1:5" x14ac:dyDescent="0.25">
      <c r="A330" s="201">
        <v>1045</v>
      </c>
      <c r="B330" s="201" t="s">
        <v>869</v>
      </c>
      <c r="C330" s="201" t="s">
        <v>312</v>
      </c>
      <c r="D330" s="201">
        <v>0.14237055478999999</v>
      </c>
      <c r="E330" s="70"/>
    </row>
    <row r="331" spans="1:5" x14ac:dyDescent="0.25">
      <c r="A331" s="201">
        <v>1046</v>
      </c>
      <c r="B331" s="201" t="s">
        <v>871</v>
      </c>
      <c r="C331" s="201" t="s">
        <v>312</v>
      </c>
      <c r="D331" s="70">
        <v>0.23516411118</v>
      </c>
      <c r="E331" s="70"/>
    </row>
    <row r="332" spans="1:5" x14ac:dyDescent="0.25">
      <c r="A332" s="201">
        <v>1053</v>
      </c>
      <c r="B332" s="201" t="s">
        <v>873</v>
      </c>
      <c r="C332" s="201" t="s">
        <v>312</v>
      </c>
      <c r="D332" s="201">
        <v>-0.39185646229999999</v>
      </c>
    </row>
    <row r="333" spans="1:5" x14ac:dyDescent="0.25">
      <c r="A333" s="201">
        <v>1054</v>
      </c>
      <c r="B333" s="201" t="s">
        <v>875</v>
      </c>
      <c r="C333" s="201" t="s">
        <v>312</v>
      </c>
      <c r="D333" s="201">
        <v>0.18528363720999999</v>
      </c>
      <c r="E333" s="70"/>
    </row>
    <row r="334" spans="1:5" x14ac:dyDescent="0.25">
      <c r="A334" s="201">
        <v>1055</v>
      </c>
      <c r="B334" s="201" t="s">
        <v>877</v>
      </c>
      <c r="C334" s="201" t="s">
        <v>312</v>
      </c>
      <c r="D334" s="201">
        <v>0.50750506111000004</v>
      </c>
      <c r="E334" s="70"/>
    </row>
    <row r="335" spans="1:5" x14ac:dyDescent="0.25">
      <c r="A335" s="201">
        <v>1056</v>
      </c>
      <c r="B335" s="201" t="s">
        <v>879</v>
      </c>
      <c r="C335" s="201" t="s">
        <v>312</v>
      </c>
      <c r="D335" s="201">
        <v>-0.31245288367000001</v>
      </c>
      <c r="E335" s="70"/>
    </row>
    <row r="336" spans="1:5" x14ac:dyDescent="0.25">
      <c r="A336" s="201">
        <v>1063</v>
      </c>
      <c r="B336" s="201" t="s">
        <v>881</v>
      </c>
      <c r="C336" s="201" t="s">
        <v>312</v>
      </c>
      <c r="D336" s="201">
        <v>-6.4681278980000007E-2</v>
      </c>
    </row>
    <row r="337" spans="1:5" x14ac:dyDescent="0.25">
      <c r="A337" s="201">
        <v>1064</v>
      </c>
      <c r="B337" s="201" t="s">
        <v>883</v>
      </c>
      <c r="C337" s="201" t="s">
        <v>312</v>
      </c>
      <c r="D337" s="70">
        <v>0.22146406565999999</v>
      </c>
      <c r="E337" s="70"/>
    </row>
    <row r="338" spans="1:5" x14ac:dyDescent="0.25">
      <c r="A338" s="201">
        <v>1065</v>
      </c>
      <c r="B338" s="201" t="s">
        <v>885</v>
      </c>
      <c r="C338" s="201" t="s">
        <v>312</v>
      </c>
      <c r="D338" s="201">
        <v>0.29629414685</v>
      </c>
      <c r="E338" s="70"/>
    </row>
    <row r="339" spans="1:5" x14ac:dyDescent="0.25">
      <c r="A339" s="201">
        <v>1066</v>
      </c>
      <c r="B339" s="201" t="s">
        <v>887</v>
      </c>
      <c r="C339" s="201" t="s">
        <v>312</v>
      </c>
      <c r="D339" s="70">
        <v>-0.26730699518000001</v>
      </c>
      <c r="E339" s="70"/>
    </row>
    <row r="340" spans="1:5" x14ac:dyDescent="0.25">
      <c r="A340" s="201">
        <v>1073</v>
      </c>
      <c r="B340" s="201" t="s">
        <v>889</v>
      </c>
      <c r="C340" s="201" t="s">
        <v>312</v>
      </c>
      <c r="D340" s="201">
        <v>-0.5416388862</v>
      </c>
    </row>
    <row r="341" spans="1:5" x14ac:dyDescent="0.25">
      <c r="A341" s="201">
        <v>1074</v>
      </c>
      <c r="B341" s="201" t="s">
        <v>891</v>
      </c>
      <c r="C341" s="201" t="s">
        <v>312</v>
      </c>
      <c r="D341" s="201">
        <v>-7.6209529090000006E-2</v>
      </c>
      <c r="E341" s="70"/>
    </row>
    <row r="342" spans="1:5" x14ac:dyDescent="0.25">
      <c r="A342" s="201">
        <v>1075</v>
      </c>
      <c r="B342" s="201" t="s">
        <v>893</v>
      </c>
      <c r="C342" s="201" t="s">
        <v>312</v>
      </c>
      <c r="D342" s="201">
        <v>0.11079465702999999</v>
      </c>
      <c r="E342" s="70"/>
    </row>
    <row r="343" spans="1:5" x14ac:dyDescent="0.25">
      <c r="A343" s="201">
        <v>1076</v>
      </c>
      <c r="B343" s="201" t="s">
        <v>895</v>
      </c>
      <c r="C343" s="201" t="s">
        <v>312</v>
      </c>
      <c r="D343" s="201">
        <v>0.41172526745999999</v>
      </c>
      <c r="E343" s="70"/>
    </row>
    <row r="344" spans="1:5" x14ac:dyDescent="0.25">
      <c r="A344" s="201">
        <v>1112</v>
      </c>
      <c r="B344" s="201" t="s">
        <v>897</v>
      </c>
      <c r="C344" s="201" t="s">
        <v>312</v>
      </c>
      <c r="D344" s="201">
        <v>-1.5644309596599999</v>
      </c>
    </row>
    <row r="345" spans="1:5" x14ac:dyDescent="0.25">
      <c r="A345" s="201">
        <v>1113</v>
      </c>
      <c r="B345" s="201" t="s">
        <v>899</v>
      </c>
      <c r="C345" s="201" t="s">
        <v>312</v>
      </c>
      <c r="D345" s="70">
        <v>-1.2740274169500001</v>
      </c>
      <c r="E345" s="70"/>
    </row>
    <row r="346" spans="1:5" x14ac:dyDescent="0.25">
      <c r="A346" s="201">
        <v>1114</v>
      </c>
      <c r="B346" s="201" t="s">
        <v>901</v>
      </c>
      <c r="C346" s="201" t="s">
        <v>312</v>
      </c>
      <c r="D346" s="201">
        <v>-1.0749348599599999</v>
      </c>
      <c r="E346" s="70"/>
    </row>
    <row r="347" spans="1:5" x14ac:dyDescent="0.25">
      <c r="A347" s="201">
        <v>1115</v>
      </c>
      <c r="B347" s="201" t="s">
        <v>903</v>
      </c>
      <c r="C347" s="201" t="s">
        <v>312</v>
      </c>
      <c r="D347" s="70">
        <v>-0.94518526709999995</v>
      </c>
      <c r="E347" s="70"/>
    </row>
    <row r="348" spans="1:5" x14ac:dyDescent="0.25">
      <c r="A348" s="201">
        <v>1116</v>
      </c>
      <c r="B348" s="201" t="s">
        <v>905</v>
      </c>
      <c r="C348" s="201" t="s">
        <v>312</v>
      </c>
      <c r="D348" s="201">
        <v>-0.50215980633000001</v>
      </c>
    </row>
    <row r="349" spans="1:5" x14ac:dyDescent="0.25">
      <c r="A349" s="201">
        <v>1117</v>
      </c>
      <c r="B349" s="201" t="s">
        <v>907</v>
      </c>
      <c r="C349" s="201" t="s">
        <v>312</v>
      </c>
      <c r="D349" s="70">
        <v>-0.54063652535999995</v>
      </c>
    </row>
    <row r="350" spans="1:5" x14ac:dyDescent="0.25">
      <c r="A350" s="201">
        <v>1123</v>
      </c>
      <c r="B350" s="201" t="s">
        <v>909</v>
      </c>
      <c r="C350" s="201" t="s">
        <v>312</v>
      </c>
      <c r="D350" s="201">
        <v>-1.3616026243299999</v>
      </c>
    </row>
    <row r="351" spans="1:5" x14ac:dyDescent="0.25">
      <c r="A351" s="201">
        <v>1124</v>
      </c>
      <c r="B351" s="201" t="s">
        <v>911</v>
      </c>
      <c r="C351" s="201" t="s">
        <v>312</v>
      </c>
      <c r="D351" s="201">
        <v>-0.84898836228999996</v>
      </c>
      <c r="E351" s="70"/>
    </row>
    <row r="352" spans="1:5" x14ac:dyDescent="0.25">
      <c r="A352" s="201">
        <v>1125</v>
      </c>
      <c r="B352" s="201" t="s">
        <v>913</v>
      </c>
      <c r="C352" s="201" t="s">
        <v>312</v>
      </c>
      <c r="D352" s="201">
        <v>-0.78613389561000002</v>
      </c>
    </row>
    <row r="353" spans="1:5" x14ac:dyDescent="0.25">
      <c r="A353" s="201">
        <v>1126</v>
      </c>
      <c r="B353" s="201" t="s">
        <v>915</v>
      </c>
      <c r="C353" s="201" t="s">
        <v>312</v>
      </c>
      <c r="D353" s="70">
        <v>-0.54681847911000003</v>
      </c>
      <c r="E353" s="70"/>
    </row>
    <row r="354" spans="1:5" x14ac:dyDescent="0.25">
      <c r="A354" s="201">
        <v>1127</v>
      </c>
      <c r="B354" s="201" t="s">
        <v>917</v>
      </c>
      <c r="C354" s="201" t="s">
        <v>312</v>
      </c>
      <c r="D354" s="201">
        <v>-0.52556611821999999</v>
      </c>
    </row>
    <row r="355" spans="1:5" x14ac:dyDescent="0.25">
      <c r="A355" s="201">
        <v>1134</v>
      </c>
      <c r="B355" s="201" t="s">
        <v>919</v>
      </c>
      <c r="C355" s="201" t="s">
        <v>312</v>
      </c>
      <c r="D355" s="70">
        <v>0.36235102463000002</v>
      </c>
      <c r="E355" s="70"/>
    </row>
    <row r="356" spans="1:5" x14ac:dyDescent="0.25">
      <c r="A356" s="201">
        <v>1135</v>
      </c>
      <c r="B356" s="201" t="s">
        <v>921</v>
      </c>
      <c r="C356" s="201" t="s">
        <v>312</v>
      </c>
      <c r="D356" s="201">
        <v>-0.10012866324</v>
      </c>
      <c r="E356" s="70"/>
    </row>
    <row r="357" spans="1:5" x14ac:dyDescent="0.25">
      <c r="A357" s="201">
        <v>1136</v>
      </c>
      <c r="B357" s="201" t="s">
        <v>923</v>
      </c>
      <c r="C357" s="201" t="s">
        <v>312</v>
      </c>
      <c r="D357" s="201">
        <v>-0.10673219229</v>
      </c>
    </row>
    <row r="358" spans="1:5" x14ac:dyDescent="0.25">
      <c r="A358" s="201">
        <v>1137</v>
      </c>
      <c r="B358" s="201" t="s">
        <v>925</v>
      </c>
      <c r="C358" s="201" t="s">
        <v>312</v>
      </c>
      <c r="D358" s="70">
        <v>0.21650598322</v>
      </c>
    </row>
    <row r="359" spans="1:5" x14ac:dyDescent="0.25">
      <c r="A359" s="201">
        <v>1145</v>
      </c>
      <c r="B359" s="201" t="s">
        <v>927</v>
      </c>
      <c r="C359" s="201" t="s">
        <v>312</v>
      </c>
      <c r="D359" s="70">
        <v>-5.5921311629999998E-2</v>
      </c>
    </row>
    <row r="360" spans="1:5" x14ac:dyDescent="0.25">
      <c r="A360" s="201">
        <v>1146</v>
      </c>
      <c r="B360" s="201" t="s">
        <v>929</v>
      </c>
      <c r="C360" s="201" t="s">
        <v>312</v>
      </c>
      <c r="D360" s="70">
        <v>0.24358333610999999</v>
      </c>
      <c r="E360" s="70"/>
    </row>
    <row r="361" spans="1:5" x14ac:dyDescent="0.25">
      <c r="A361" s="201">
        <v>1147</v>
      </c>
      <c r="B361" s="201" t="s">
        <v>931</v>
      </c>
      <c r="C361" s="201" t="s">
        <v>312</v>
      </c>
      <c r="D361" s="70">
        <v>-0.18853487848</v>
      </c>
    </row>
    <row r="362" spans="1:5" x14ac:dyDescent="0.25">
      <c r="A362" s="201">
        <v>1156</v>
      </c>
      <c r="B362" s="201" t="s">
        <v>933</v>
      </c>
      <c r="C362" s="70" t="s">
        <v>312</v>
      </c>
      <c r="D362" s="70">
        <v>-0.44226070846999999</v>
      </c>
      <c r="E362" s="70"/>
    </row>
    <row r="363" spans="1:5" x14ac:dyDescent="0.25">
      <c r="A363" s="201">
        <v>1157</v>
      </c>
      <c r="B363" s="201" t="s">
        <v>935</v>
      </c>
      <c r="C363" s="201" t="s">
        <v>312</v>
      </c>
      <c r="D363" s="201">
        <v>1.030149396E-2</v>
      </c>
      <c r="E363" s="70"/>
    </row>
    <row r="364" spans="1:5" x14ac:dyDescent="0.25">
      <c r="A364" s="201">
        <v>1213</v>
      </c>
      <c r="B364" s="201" t="s">
        <v>937</v>
      </c>
      <c r="C364" s="201" t="s">
        <v>312</v>
      </c>
      <c r="D364" s="70">
        <v>-1.36481525144</v>
      </c>
    </row>
    <row r="365" spans="1:5" x14ac:dyDescent="0.25">
      <c r="A365" s="201">
        <v>1214</v>
      </c>
      <c r="B365" s="201" t="s">
        <v>939</v>
      </c>
      <c r="C365" s="201" t="s">
        <v>312</v>
      </c>
      <c r="D365" s="201">
        <v>-0.61775033894999998</v>
      </c>
      <c r="E365" s="70"/>
    </row>
    <row r="366" spans="1:5" x14ac:dyDescent="0.25">
      <c r="A366" s="201">
        <v>1215</v>
      </c>
      <c r="B366" s="201" t="s">
        <v>941</v>
      </c>
      <c r="C366" s="201" t="s">
        <v>312</v>
      </c>
      <c r="D366" s="70">
        <v>-0.64325229668999995</v>
      </c>
    </row>
    <row r="367" spans="1:5" x14ac:dyDescent="0.25">
      <c r="A367" s="201">
        <v>1216</v>
      </c>
      <c r="B367" s="201" t="s">
        <v>943</v>
      </c>
      <c r="C367" s="201" t="s">
        <v>312</v>
      </c>
      <c r="D367" s="70">
        <v>-0.44793136683000001</v>
      </c>
      <c r="E367" s="70"/>
    </row>
    <row r="368" spans="1:5" x14ac:dyDescent="0.25">
      <c r="A368" s="201">
        <v>1217</v>
      </c>
      <c r="B368" s="201" t="s">
        <v>945</v>
      </c>
      <c r="C368" s="201" t="s">
        <v>312</v>
      </c>
      <c r="D368" s="201">
        <v>-0.93801074919000005</v>
      </c>
    </row>
    <row r="369" spans="1:5" x14ac:dyDescent="0.25">
      <c r="A369" s="201">
        <v>1223</v>
      </c>
      <c r="B369" s="201" t="s">
        <v>947</v>
      </c>
      <c r="C369" s="201" t="s">
        <v>312</v>
      </c>
      <c r="D369" s="201">
        <v>-1.1092063858900001</v>
      </c>
    </row>
    <row r="370" spans="1:5" x14ac:dyDescent="0.25">
      <c r="A370" s="201">
        <v>1224</v>
      </c>
      <c r="B370" s="201" t="s">
        <v>949</v>
      </c>
      <c r="C370" s="201" t="s">
        <v>312</v>
      </c>
      <c r="D370" s="201">
        <v>-0.37840972925999999</v>
      </c>
    </row>
    <row r="371" spans="1:5" x14ac:dyDescent="0.25">
      <c r="A371" s="201">
        <v>1225</v>
      </c>
      <c r="B371" s="201" t="s">
        <v>951</v>
      </c>
      <c r="C371" s="201" t="s">
        <v>312</v>
      </c>
      <c r="D371" s="70">
        <v>-1.13150811347</v>
      </c>
    </row>
    <row r="372" spans="1:5" x14ac:dyDescent="0.25">
      <c r="A372" s="201">
        <v>1226</v>
      </c>
      <c r="B372" s="201" t="s">
        <v>953</v>
      </c>
      <c r="C372" s="201" t="s">
        <v>312</v>
      </c>
      <c r="D372" s="70">
        <v>0.46235910839</v>
      </c>
    </row>
    <row r="373" spans="1:5" x14ac:dyDescent="0.25">
      <c r="A373" s="201">
        <v>1227</v>
      </c>
      <c r="B373" s="201" t="s">
        <v>955</v>
      </c>
      <c r="C373" s="201" t="s">
        <v>312</v>
      </c>
      <c r="D373" s="201">
        <v>-0.18611062162</v>
      </c>
    </row>
    <row r="374" spans="1:5" x14ac:dyDescent="0.25">
      <c r="A374" s="201">
        <v>1234</v>
      </c>
      <c r="B374" s="201" t="s">
        <v>957</v>
      </c>
      <c r="C374" s="201" t="s">
        <v>312</v>
      </c>
      <c r="D374" s="201">
        <v>-0.52820419371000005</v>
      </c>
    </row>
    <row r="375" spans="1:5" x14ac:dyDescent="0.25">
      <c r="A375" s="201">
        <v>1235</v>
      </c>
      <c r="B375" s="201" t="s">
        <v>959</v>
      </c>
      <c r="C375" s="201" t="s">
        <v>312</v>
      </c>
      <c r="D375" s="201">
        <v>-0.73156894307999998</v>
      </c>
    </row>
    <row r="376" spans="1:5" x14ac:dyDescent="0.25">
      <c r="A376" s="201">
        <v>1236</v>
      </c>
      <c r="B376" s="201" t="s">
        <v>961</v>
      </c>
      <c r="C376" s="201" t="s">
        <v>312</v>
      </c>
      <c r="D376" s="201">
        <v>-0.38019855195000002</v>
      </c>
    </row>
    <row r="377" spans="1:5" x14ac:dyDescent="0.25">
      <c r="A377" s="201">
        <v>1237</v>
      </c>
      <c r="B377" s="201" t="s">
        <v>963</v>
      </c>
      <c r="C377" s="201" t="s">
        <v>312</v>
      </c>
      <c r="D377" s="201">
        <v>-0.17169006107000001</v>
      </c>
    </row>
    <row r="378" spans="1:5" x14ac:dyDescent="0.25">
      <c r="A378" s="201">
        <v>1245</v>
      </c>
      <c r="B378" s="201" t="s">
        <v>965</v>
      </c>
      <c r="C378" s="201" t="s">
        <v>312</v>
      </c>
      <c r="D378" s="70">
        <v>-0.20732203726000001</v>
      </c>
      <c r="E378" s="70"/>
    </row>
    <row r="379" spans="1:5" x14ac:dyDescent="0.25">
      <c r="A379" s="201">
        <v>1246</v>
      </c>
      <c r="B379" s="201" t="s">
        <v>967</v>
      </c>
      <c r="C379" s="201" t="s">
        <v>312</v>
      </c>
      <c r="D379" s="70">
        <v>-0.48987563117999999</v>
      </c>
      <c r="E379" s="70"/>
    </row>
    <row r="380" spans="1:5" x14ac:dyDescent="0.25">
      <c r="A380" s="201">
        <v>1247</v>
      </c>
      <c r="B380" s="201" t="s">
        <v>969</v>
      </c>
      <c r="C380" s="201" t="s">
        <v>312</v>
      </c>
      <c r="D380" s="70">
        <v>-0.70672408033</v>
      </c>
      <c r="E380" s="70"/>
    </row>
    <row r="381" spans="1:5" x14ac:dyDescent="0.25">
      <c r="A381" s="201">
        <v>1256</v>
      </c>
      <c r="B381" s="201" t="s">
        <v>971</v>
      </c>
      <c r="C381" s="201" t="s">
        <v>312</v>
      </c>
      <c r="D381" s="70">
        <v>-0.48653889900000002</v>
      </c>
      <c r="E381" s="70"/>
    </row>
    <row r="382" spans="1:5" x14ac:dyDescent="0.25">
      <c r="A382" s="201">
        <v>1257</v>
      </c>
      <c r="B382" s="201" t="s">
        <v>973</v>
      </c>
      <c r="C382" s="201" t="s">
        <v>312</v>
      </c>
      <c r="D382" s="70">
        <v>-0.64057657043000005</v>
      </c>
      <c r="E382" s="70"/>
    </row>
    <row r="383" spans="1:5" x14ac:dyDescent="0.25">
      <c r="A383" s="201">
        <v>1311</v>
      </c>
      <c r="B383" s="201" t="s">
        <v>975</v>
      </c>
      <c r="C383" s="201" t="s">
        <v>312</v>
      </c>
      <c r="D383" s="70">
        <v>-3.0895488316500002</v>
      </c>
      <c r="E383" s="70"/>
    </row>
    <row r="384" spans="1:5" x14ac:dyDescent="0.25">
      <c r="A384" s="201">
        <v>1312</v>
      </c>
      <c r="B384" s="201" t="s">
        <v>977</v>
      </c>
      <c r="C384" s="201" t="s">
        <v>312</v>
      </c>
      <c r="D384" s="201">
        <v>-4.6880391214500001</v>
      </c>
      <c r="E384" s="70"/>
    </row>
    <row r="385" spans="1:5" x14ac:dyDescent="0.25">
      <c r="A385" s="201">
        <v>1313</v>
      </c>
      <c r="B385" s="201" t="s">
        <v>979</v>
      </c>
      <c r="C385" s="201" t="s">
        <v>312</v>
      </c>
      <c r="D385" s="70">
        <v>-5.2719733197699998</v>
      </c>
      <c r="E385" s="70"/>
    </row>
    <row r="386" spans="1:5" x14ac:dyDescent="0.25">
      <c r="A386" s="201">
        <v>1321</v>
      </c>
      <c r="B386" s="201" t="s">
        <v>981</v>
      </c>
      <c r="C386" s="201" t="s">
        <v>312</v>
      </c>
      <c r="D386" s="201">
        <v>-2.98919984582</v>
      </c>
      <c r="E386" s="70"/>
    </row>
    <row r="387" spans="1:5" x14ac:dyDescent="0.25">
      <c r="A387" s="201">
        <v>1322</v>
      </c>
      <c r="B387" s="201" t="s">
        <v>983</v>
      </c>
      <c r="C387" s="201" t="s">
        <v>312</v>
      </c>
      <c r="D387" s="201">
        <v>-4.5628566934299997</v>
      </c>
      <c r="E387" s="70"/>
    </row>
    <row r="388" spans="1:5" x14ac:dyDescent="0.25">
      <c r="A388" s="201">
        <v>1323</v>
      </c>
      <c r="B388" s="201" t="s">
        <v>985</v>
      </c>
      <c r="C388" s="201" t="s">
        <v>312</v>
      </c>
      <c r="D388" s="201">
        <v>-5.1473826788899997</v>
      </c>
    </row>
    <row r="389" spans="1:5" x14ac:dyDescent="0.25">
      <c r="A389" s="201">
        <v>1331</v>
      </c>
      <c r="B389" s="201" t="s">
        <v>987</v>
      </c>
      <c r="C389" s="201" t="s">
        <v>312</v>
      </c>
      <c r="D389" s="201">
        <v>-2.7935912245000001</v>
      </c>
    </row>
    <row r="390" spans="1:5" x14ac:dyDescent="0.25">
      <c r="A390" s="201">
        <v>1332</v>
      </c>
      <c r="B390" s="201" t="s">
        <v>989</v>
      </c>
      <c r="C390" s="201" t="s">
        <v>312</v>
      </c>
      <c r="D390" s="201">
        <v>-4.48645805507</v>
      </c>
    </row>
    <row r="391" spans="1:5" x14ac:dyDescent="0.25">
      <c r="A391" s="201">
        <v>1401</v>
      </c>
      <c r="B391" s="201" t="s">
        <v>991</v>
      </c>
      <c r="C391" s="201" t="s">
        <v>312</v>
      </c>
      <c r="D391" s="70">
        <v>6.7478150240000007E-2</v>
      </c>
      <c r="E391" s="70"/>
    </row>
    <row r="392" spans="1:5" x14ac:dyDescent="0.25">
      <c r="A392" s="201">
        <v>1402</v>
      </c>
      <c r="B392" s="201" t="s">
        <v>993</v>
      </c>
      <c r="C392" s="201" t="s">
        <v>312</v>
      </c>
      <c r="D392" s="201">
        <v>0.24276221477000001</v>
      </c>
    </row>
    <row r="393" spans="1:5" x14ac:dyDescent="0.25">
      <c r="A393" s="201">
        <v>1403</v>
      </c>
      <c r="B393" s="201" t="s">
        <v>995</v>
      </c>
      <c r="C393" s="201" t="s">
        <v>312</v>
      </c>
      <c r="D393" s="201">
        <v>0.56918922084000001</v>
      </c>
    </row>
    <row r="394" spans="1:5" x14ac:dyDescent="0.25">
      <c r="A394" s="201">
        <v>1404</v>
      </c>
      <c r="B394" s="201" t="s">
        <v>997</v>
      </c>
      <c r="C394" s="70" t="s">
        <v>312</v>
      </c>
      <c r="D394" s="70">
        <v>-0.78749655288999998</v>
      </c>
      <c r="E394" s="70"/>
    </row>
    <row r="395" spans="1:5" x14ac:dyDescent="0.25">
      <c r="A395" s="201">
        <v>1405</v>
      </c>
      <c r="B395" s="201" t="s">
        <v>999</v>
      </c>
      <c r="C395" s="201" t="s">
        <v>312</v>
      </c>
      <c r="D395" s="69">
        <v>-3.3357793339999997E-2</v>
      </c>
      <c r="E395" s="70"/>
    </row>
    <row r="396" spans="1:5" x14ac:dyDescent="0.25">
      <c r="A396" s="201">
        <v>1406</v>
      </c>
      <c r="B396" s="201" t="s">
        <v>1067</v>
      </c>
      <c r="C396" s="201" t="s">
        <v>331</v>
      </c>
      <c r="D396" s="201">
        <v>0</v>
      </c>
    </row>
    <row r="397" spans="1:5" x14ac:dyDescent="0.25">
      <c r="A397" s="201">
        <v>1411</v>
      </c>
      <c r="B397" s="201" t="s">
        <v>1001</v>
      </c>
      <c r="C397" s="201" t="s">
        <v>312</v>
      </c>
      <c r="D397" s="70">
        <v>0.27559751794999998</v>
      </c>
    </row>
    <row r="398" spans="1:5" x14ac:dyDescent="0.25">
      <c r="A398" s="201">
        <v>1412</v>
      </c>
      <c r="B398" s="201" t="s">
        <v>1003</v>
      </c>
      <c r="C398" s="201" t="s">
        <v>312</v>
      </c>
      <c r="D398" s="201">
        <v>0.17673343790000001</v>
      </c>
    </row>
    <row r="399" spans="1:5" x14ac:dyDescent="0.25">
      <c r="A399" s="201">
        <v>1413</v>
      </c>
      <c r="B399" s="201" t="s">
        <v>1005</v>
      </c>
      <c r="C399" s="201" t="s">
        <v>331</v>
      </c>
      <c r="D399" s="70">
        <v>0</v>
      </c>
      <c r="E399" s="70"/>
    </row>
    <row r="400" spans="1:5" x14ac:dyDescent="0.25">
      <c r="A400" s="201">
        <v>1414</v>
      </c>
      <c r="B400" s="201" t="s">
        <v>1007</v>
      </c>
      <c r="C400" s="201" t="s">
        <v>312</v>
      </c>
      <c r="D400" s="201">
        <v>0.53708781768000002</v>
      </c>
    </row>
    <row r="401" spans="1:11" x14ac:dyDescent="0.25">
      <c r="A401" s="201">
        <v>1415</v>
      </c>
      <c r="B401" s="201" t="s">
        <v>1009</v>
      </c>
      <c r="C401" s="201" t="s">
        <v>312</v>
      </c>
      <c r="D401" s="201">
        <v>4.1828202400000002E-3</v>
      </c>
      <c r="E401" s="70"/>
    </row>
    <row r="402" spans="1:11" x14ac:dyDescent="0.25">
      <c r="A402" s="201">
        <v>1416</v>
      </c>
      <c r="B402" s="201" t="s">
        <v>1068</v>
      </c>
      <c r="C402" s="201" t="s">
        <v>331</v>
      </c>
      <c r="D402" s="201">
        <v>0</v>
      </c>
    </row>
    <row r="403" spans="1:11" x14ac:dyDescent="0.25">
      <c r="B403">
        <v>-1</v>
      </c>
      <c r="C403"/>
      <c r="D403"/>
    </row>
    <row r="404" spans="1:11" x14ac:dyDescent="0.25">
      <c r="A404"/>
      <c r="B404" s="201">
        <v>8878</v>
      </c>
      <c r="C404" s="70">
        <v>-34399.419721899998</v>
      </c>
      <c r="D404" s="70">
        <v>-60448.649706700002</v>
      </c>
      <c r="E404" s="70">
        <v>-32183.1544626</v>
      </c>
    </row>
    <row r="405" spans="1:11" x14ac:dyDescent="0.25">
      <c r="B405" s="201">
        <v>4</v>
      </c>
      <c r="C405">
        <v>0</v>
      </c>
      <c r="D405" s="69">
        <v>0.34832175925925929</v>
      </c>
      <c r="E405" s="70" t="s">
        <v>1026</v>
      </c>
      <c r="F405" s="201">
        <v>26</v>
      </c>
      <c r="G405" s="201" t="s">
        <v>1261</v>
      </c>
      <c r="H405" s="201">
        <v>12</v>
      </c>
    </row>
    <row r="406" spans="1:11" x14ac:dyDescent="0.25">
      <c r="B406" s="201">
        <v>8377</v>
      </c>
      <c r="C406" s="201">
        <v>-18045</v>
      </c>
      <c r="D406" s="201">
        <v>-1561</v>
      </c>
      <c r="E406" s="201">
        <v>-4872</v>
      </c>
      <c r="F406" s="201">
        <v>-12810</v>
      </c>
      <c r="G406" s="201">
        <v>13822</v>
      </c>
      <c r="H406" s="201">
        <v>-1674</v>
      </c>
      <c r="I406" s="201">
        <v>-7440</v>
      </c>
      <c r="J406" s="201">
        <v>6372</v>
      </c>
      <c r="K406" s="201">
        <v>25945</v>
      </c>
    </row>
    <row r="407" spans="1:11" x14ac:dyDescent="0.25">
      <c r="A407"/>
      <c r="B407">
        <v>0</v>
      </c>
      <c r="C407">
        <v>0</v>
      </c>
      <c r="D407">
        <v>0</v>
      </c>
      <c r="E407">
        <v>0</v>
      </c>
      <c r="F407" s="201">
        <v>0</v>
      </c>
      <c r="G407" s="201">
        <v>0</v>
      </c>
      <c r="H407" s="201">
        <v>0</v>
      </c>
      <c r="I407" s="201">
        <v>0</v>
      </c>
      <c r="J407" s="201">
        <v>0</v>
      </c>
      <c r="K407" s="201">
        <v>0</v>
      </c>
    </row>
    <row r="408" spans="1:11" x14ac:dyDescent="0.25">
      <c r="A408"/>
      <c r="B408" s="201">
        <v>0</v>
      </c>
      <c r="C408" s="201">
        <v>-16694</v>
      </c>
      <c r="D408" s="201">
        <v>-3137</v>
      </c>
      <c r="E408" s="201">
        <v>5041</v>
      </c>
      <c r="F408" s="201">
        <v>5910</v>
      </c>
      <c r="G408" s="201">
        <v>558</v>
      </c>
      <c r="H408" s="201">
        <v>0</v>
      </c>
      <c r="I408" s="201">
        <v>0</v>
      </c>
      <c r="J408" s="201">
        <v>0</v>
      </c>
      <c r="K408" s="201">
        <v>0</v>
      </c>
    </row>
    <row r="409" spans="1:11" x14ac:dyDescent="0.25">
      <c r="A409"/>
      <c r="B409" s="201">
        <v>0</v>
      </c>
      <c r="C409">
        <v>0</v>
      </c>
      <c r="D409" s="201">
        <v>0</v>
      </c>
      <c r="E409" s="201">
        <v>0</v>
      </c>
      <c r="F409" s="201">
        <v>0</v>
      </c>
      <c r="G409" s="201">
        <v>0</v>
      </c>
      <c r="H409" s="201">
        <v>0</v>
      </c>
      <c r="I409" s="201">
        <v>0</v>
      </c>
      <c r="J409" s="201">
        <v>0</v>
      </c>
      <c r="K409" s="201">
        <v>0</v>
      </c>
    </row>
    <row r="410" spans="1:11" x14ac:dyDescent="0.25">
      <c r="A410"/>
      <c r="B410" s="201">
        <v>0</v>
      </c>
      <c r="C410">
        <v>0</v>
      </c>
      <c r="D410" s="201">
        <v>0</v>
      </c>
      <c r="E410" s="201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 s="201">
        <v>0</v>
      </c>
    </row>
    <row r="411" spans="1:11" x14ac:dyDescent="0.25">
      <c r="A411"/>
      <c r="B411" s="201">
        <v>0</v>
      </c>
      <c r="C411">
        <v>0</v>
      </c>
      <c r="D411" s="201">
        <v>0</v>
      </c>
      <c r="E411" s="201">
        <v>0</v>
      </c>
      <c r="F411">
        <v>0</v>
      </c>
      <c r="G411">
        <v>-26066</v>
      </c>
      <c r="H411">
        <v>-4132</v>
      </c>
      <c r="I411">
        <v>-12339</v>
      </c>
      <c r="J411">
        <v>-6961</v>
      </c>
      <c r="K411" s="201">
        <v>9380</v>
      </c>
    </row>
    <row r="412" spans="1:11" x14ac:dyDescent="0.25">
      <c r="A412"/>
      <c r="B412" s="201">
        <v>0</v>
      </c>
      <c r="C412">
        <v>0</v>
      </c>
      <c r="D412" s="201">
        <v>-175</v>
      </c>
      <c r="E412" s="201">
        <v>0</v>
      </c>
      <c r="F412">
        <v>0</v>
      </c>
      <c r="G412">
        <v>0</v>
      </c>
      <c r="H412">
        <v>-6748</v>
      </c>
      <c r="I412">
        <v>-491</v>
      </c>
      <c r="J412">
        <v>-8214</v>
      </c>
      <c r="K412" s="201">
        <v>-2854</v>
      </c>
    </row>
    <row r="413" spans="1:11" x14ac:dyDescent="0.25">
      <c r="A413"/>
      <c r="B413" s="201">
        <v>4339</v>
      </c>
      <c r="C413">
        <v>0</v>
      </c>
      <c r="D413" s="201">
        <v>0</v>
      </c>
      <c r="E413" s="201">
        <v>3601</v>
      </c>
      <c r="F413">
        <v>0</v>
      </c>
      <c r="G413">
        <v>0</v>
      </c>
      <c r="H413">
        <v>0</v>
      </c>
      <c r="I413">
        <v>16425</v>
      </c>
      <c r="J413">
        <v>0</v>
      </c>
      <c r="K413" s="201">
        <v>0</v>
      </c>
    </row>
    <row r="414" spans="1:11" x14ac:dyDescent="0.25">
      <c r="A414"/>
      <c r="B414" s="201">
        <v>0</v>
      </c>
      <c r="C414">
        <v>0</v>
      </c>
      <c r="D414" s="201">
        <v>0</v>
      </c>
      <c r="E414" s="201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 s="201">
        <v>0</v>
      </c>
    </row>
    <row r="415" spans="1:11" x14ac:dyDescent="0.25">
      <c r="A415"/>
      <c r="B415" s="201">
        <v>0</v>
      </c>
      <c r="C415">
        <v>0</v>
      </c>
      <c r="D415" s="201">
        <v>0</v>
      </c>
      <c r="E415" s="201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 s="201">
        <v>0</v>
      </c>
    </row>
    <row r="416" spans="1:11" x14ac:dyDescent="0.25">
      <c r="A416"/>
      <c r="B416" s="201">
        <v>0</v>
      </c>
      <c r="C416">
        <v>0</v>
      </c>
      <c r="D416" s="201">
        <v>0</v>
      </c>
      <c r="E416" s="201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s="201">
        <v>0</v>
      </c>
    </row>
    <row r="417" spans="1:11" x14ac:dyDescent="0.25">
      <c r="A417"/>
      <c r="B417" s="201">
        <v>0</v>
      </c>
      <c r="C417">
        <v>0</v>
      </c>
      <c r="D417" s="201">
        <v>0</v>
      </c>
      <c r="E417" s="201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 s="201">
        <v>0</v>
      </c>
    </row>
    <row r="418" spans="1:11" x14ac:dyDescent="0.25">
      <c r="A418"/>
      <c r="B418" s="201">
        <v>0</v>
      </c>
      <c r="C418">
        <v>0</v>
      </c>
      <c r="D418" s="201">
        <v>0</v>
      </c>
      <c r="E418" s="201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 s="201">
        <v>0</v>
      </c>
    </row>
    <row r="419" spans="1:11" x14ac:dyDescent="0.25">
      <c r="A419"/>
      <c r="B419" s="201">
        <v>0</v>
      </c>
      <c r="C419">
        <v>0</v>
      </c>
      <c r="D419" s="201">
        <v>0</v>
      </c>
      <c r="E419" s="201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s="201">
        <v>0</v>
      </c>
    </row>
    <row r="420" spans="1:11" x14ac:dyDescent="0.25">
      <c r="A420"/>
      <c r="B420" s="201">
        <v>0</v>
      </c>
      <c r="C420">
        <v>0</v>
      </c>
      <c r="D420" s="201">
        <v>0</v>
      </c>
      <c r="E420" s="201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 s="201">
        <v>0</v>
      </c>
    </row>
    <row r="421" spans="1:11" x14ac:dyDescent="0.25">
      <c r="A421"/>
      <c r="B421" s="201">
        <v>0</v>
      </c>
      <c r="C421">
        <v>0</v>
      </c>
      <c r="D421" s="201">
        <v>0</v>
      </c>
      <c r="E421" s="20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s="201">
        <v>0</v>
      </c>
    </row>
    <row r="422" spans="1:11" x14ac:dyDescent="0.25">
      <c r="A422"/>
      <c r="B422" s="201">
        <v>0</v>
      </c>
      <c r="C422">
        <v>0</v>
      </c>
      <c r="D422" s="201">
        <v>0</v>
      </c>
      <c r="E422" s="201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s="201">
        <v>0</v>
      </c>
    </row>
    <row r="423" spans="1:11" x14ac:dyDescent="0.25">
      <c r="A423"/>
      <c r="B423" s="201">
        <v>0</v>
      </c>
      <c r="C423">
        <v>-27814</v>
      </c>
      <c r="D423" s="201">
        <v>-3753</v>
      </c>
      <c r="E423" s="201">
        <v>-4058</v>
      </c>
      <c r="F423">
        <v>430</v>
      </c>
      <c r="G423">
        <v>264</v>
      </c>
      <c r="H423">
        <v>0</v>
      </c>
      <c r="I423">
        <v>0</v>
      </c>
      <c r="J423">
        <v>-2867</v>
      </c>
      <c r="K423" s="201">
        <v>0</v>
      </c>
    </row>
    <row r="424" spans="1:11" x14ac:dyDescent="0.25">
      <c r="A424"/>
      <c r="B424" s="201">
        <v>0</v>
      </c>
      <c r="C424">
        <v>0</v>
      </c>
      <c r="D424" s="201">
        <v>1804</v>
      </c>
      <c r="E424" s="201">
        <v>235</v>
      </c>
      <c r="F424">
        <v>0</v>
      </c>
      <c r="G424">
        <v>0</v>
      </c>
      <c r="H424">
        <v>0</v>
      </c>
      <c r="I424">
        <v>0</v>
      </c>
      <c r="J424">
        <v>0</v>
      </c>
      <c r="K424" s="201">
        <v>0</v>
      </c>
    </row>
    <row r="425" spans="1:11" x14ac:dyDescent="0.25">
      <c r="A425"/>
      <c r="B425" s="201">
        <v>0</v>
      </c>
      <c r="C425">
        <v>0</v>
      </c>
      <c r="D425" s="201">
        <v>0</v>
      </c>
      <c r="E425" s="201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s="201">
        <v>0</v>
      </c>
    </row>
    <row r="426" spans="1:11" x14ac:dyDescent="0.25">
      <c r="A426"/>
      <c r="B426" s="201">
        <v>0</v>
      </c>
      <c r="C426">
        <v>0</v>
      </c>
      <c r="D426" s="201">
        <v>0</v>
      </c>
      <c r="E426" s="201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s="201">
        <v>0</v>
      </c>
    </row>
    <row r="427" spans="1:11" x14ac:dyDescent="0.25">
      <c r="A427"/>
      <c r="B427" s="201">
        <v>0</v>
      </c>
      <c r="C427">
        <v>0</v>
      </c>
      <c r="D427" s="201">
        <v>0</v>
      </c>
      <c r="E427" s="201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 s="201">
        <v>0</v>
      </c>
    </row>
    <row r="428" spans="1:11" x14ac:dyDescent="0.25">
      <c r="A428"/>
      <c r="B428" s="201">
        <v>0</v>
      </c>
      <c r="C428">
        <v>0</v>
      </c>
      <c r="D428" s="201">
        <v>0</v>
      </c>
      <c r="E428" s="201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 s="201">
        <v>0</v>
      </c>
    </row>
    <row r="429" spans="1:11" x14ac:dyDescent="0.25">
      <c r="A429"/>
      <c r="B429" s="201">
        <v>0</v>
      </c>
      <c r="C429">
        <v>-5742</v>
      </c>
      <c r="D429" s="201">
        <v>-47763</v>
      </c>
      <c r="E429" s="201">
        <v>-1595</v>
      </c>
      <c r="F429">
        <v>-2366</v>
      </c>
      <c r="G429">
        <v>-6857</v>
      </c>
      <c r="H429">
        <v>0</v>
      </c>
      <c r="I429">
        <v>0</v>
      </c>
      <c r="J429">
        <v>-455</v>
      </c>
      <c r="K429" s="201">
        <v>0</v>
      </c>
    </row>
    <row r="430" spans="1:11" x14ac:dyDescent="0.25">
      <c r="A430"/>
      <c r="B430" s="201">
        <v>0</v>
      </c>
      <c r="C430">
        <v>0</v>
      </c>
      <c r="D430" s="201">
        <v>-593</v>
      </c>
      <c r="E430" s="201">
        <v>-2164</v>
      </c>
      <c r="F430">
        <v>0</v>
      </c>
      <c r="G430">
        <v>0</v>
      </c>
      <c r="H430">
        <v>0</v>
      </c>
      <c r="I430">
        <v>0</v>
      </c>
      <c r="J430">
        <v>0</v>
      </c>
      <c r="K430" s="201">
        <v>0</v>
      </c>
    </row>
    <row r="431" spans="1:11" x14ac:dyDescent="0.25">
      <c r="A431"/>
      <c r="B431" s="201">
        <v>5367</v>
      </c>
      <c r="C431">
        <v>0</v>
      </c>
      <c r="D431" s="201">
        <v>0</v>
      </c>
      <c r="E431" s="20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s="201">
        <v>0</v>
      </c>
    </row>
    <row r="432" spans="1:11" x14ac:dyDescent="0.25">
      <c r="A432"/>
      <c r="B432" s="201">
        <v>0</v>
      </c>
      <c r="C432">
        <v>0</v>
      </c>
      <c r="D432" s="201">
        <v>0</v>
      </c>
      <c r="E432" s="201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 s="201">
        <v>0</v>
      </c>
    </row>
    <row r="433" spans="1:11" x14ac:dyDescent="0.25">
      <c r="A433"/>
      <c r="B433" s="201">
        <v>0</v>
      </c>
      <c r="C433">
        <v>0</v>
      </c>
      <c r="D433" s="201">
        <v>0</v>
      </c>
      <c r="E433" s="201">
        <v>0</v>
      </c>
      <c r="F433">
        <v>0</v>
      </c>
      <c r="G433">
        <v>0</v>
      </c>
      <c r="H433">
        <v>-6981</v>
      </c>
      <c r="I433">
        <v>46889</v>
      </c>
      <c r="J433">
        <v>692</v>
      </c>
      <c r="K433" s="201">
        <v>451</v>
      </c>
    </row>
    <row r="434" spans="1:11" x14ac:dyDescent="0.25">
      <c r="A434"/>
      <c r="B434" s="201">
        <v>4806</v>
      </c>
      <c r="C434">
        <v>0</v>
      </c>
      <c r="D434" s="201">
        <v>0</v>
      </c>
      <c r="E434" s="201">
        <v>-791</v>
      </c>
      <c r="F434">
        <v>0</v>
      </c>
      <c r="G434">
        <v>0</v>
      </c>
      <c r="H434">
        <v>0</v>
      </c>
      <c r="I434">
        <v>61</v>
      </c>
      <c r="J434">
        <v>284</v>
      </c>
      <c r="K434" s="201">
        <v>0</v>
      </c>
    </row>
    <row r="435" spans="1:11" x14ac:dyDescent="0.25">
      <c r="A435"/>
      <c r="B435" s="201">
        <v>0</v>
      </c>
      <c r="C435">
        <v>0</v>
      </c>
      <c r="D435" s="201">
        <v>0</v>
      </c>
      <c r="E435" s="201">
        <v>0</v>
      </c>
      <c r="F435">
        <v>0</v>
      </c>
      <c r="G435">
        <v>971</v>
      </c>
      <c r="H435">
        <v>0</v>
      </c>
      <c r="I435">
        <v>0</v>
      </c>
      <c r="J435">
        <v>-97457</v>
      </c>
      <c r="K435" s="201">
        <v>0</v>
      </c>
    </row>
    <row r="436" spans="1:11" x14ac:dyDescent="0.25">
      <c r="A436"/>
      <c r="B436" s="201">
        <v>0</v>
      </c>
      <c r="C436">
        <v>0</v>
      </c>
      <c r="D436" s="201">
        <v>0</v>
      </c>
      <c r="E436" s="201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s="201">
        <v>0</v>
      </c>
    </row>
    <row r="437" spans="1:11" x14ac:dyDescent="0.25">
      <c r="A437"/>
      <c r="B437" s="201">
        <v>0</v>
      </c>
      <c r="C437">
        <v>0</v>
      </c>
      <c r="D437" s="201">
        <v>0</v>
      </c>
      <c r="E437" s="201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 s="201">
        <v>0</v>
      </c>
    </row>
    <row r="438" spans="1:11" x14ac:dyDescent="0.25">
      <c r="A438"/>
      <c r="B438" s="201">
        <v>0</v>
      </c>
      <c r="C438">
        <v>0</v>
      </c>
      <c r="D438" s="201">
        <v>0</v>
      </c>
      <c r="E438" s="201">
        <v>0</v>
      </c>
      <c r="F438">
        <v>0</v>
      </c>
      <c r="G438">
        <v>659</v>
      </c>
      <c r="H438">
        <v>3964</v>
      </c>
      <c r="I438">
        <v>143</v>
      </c>
      <c r="J438">
        <v>4</v>
      </c>
      <c r="K438" s="201">
        <v>438</v>
      </c>
    </row>
    <row r="439" spans="1:11" x14ac:dyDescent="0.25">
      <c r="A439"/>
      <c r="B439" s="201">
        <v>0</v>
      </c>
      <c r="C439">
        <v>0</v>
      </c>
      <c r="D439" s="201">
        <v>37</v>
      </c>
      <c r="E439" s="201">
        <v>0</v>
      </c>
      <c r="F439">
        <v>0</v>
      </c>
      <c r="G439">
        <v>0</v>
      </c>
      <c r="H439">
        <v>-186</v>
      </c>
      <c r="I439">
        <v>586</v>
      </c>
      <c r="J439">
        <v>0</v>
      </c>
      <c r="K439" s="201">
        <v>0</v>
      </c>
    </row>
    <row r="440" spans="1:11" x14ac:dyDescent="0.25">
      <c r="A440"/>
      <c r="B440" s="201">
        <v>0</v>
      </c>
      <c r="C440">
        <v>0</v>
      </c>
      <c r="D440" s="201">
        <v>0</v>
      </c>
      <c r="E440" s="201">
        <v>0</v>
      </c>
      <c r="F440">
        <v>-226</v>
      </c>
      <c r="G440">
        <v>0</v>
      </c>
      <c r="H440">
        <v>0</v>
      </c>
      <c r="I440">
        <v>-31640</v>
      </c>
      <c r="J440">
        <v>0</v>
      </c>
      <c r="K440" s="201">
        <v>31397</v>
      </c>
    </row>
    <row r="441" spans="1:11" x14ac:dyDescent="0.25">
      <c r="A441"/>
      <c r="B441" s="201">
        <v>0</v>
      </c>
      <c r="C441">
        <v>-31702</v>
      </c>
      <c r="D441" s="201">
        <v>-2944</v>
      </c>
      <c r="E441" s="201">
        <v>3037</v>
      </c>
      <c r="F441">
        <v>2337</v>
      </c>
      <c r="G441">
        <v>2447</v>
      </c>
      <c r="H441">
        <v>0</v>
      </c>
      <c r="I441">
        <v>0</v>
      </c>
      <c r="J441">
        <v>3686</v>
      </c>
      <c r="K441" s="201">
        <v>0</v>
      </c>
    </row>
    <row r="442" spans="1:11" x14ac:dyDescent="0.25">
      <c r="A442"/>
      <c r="B442" s="201">
        <v>0</v>
      </c>
      <c r="C442">
        <v>0</v>
      </c>
      <c r="D442" s="201">
        <v>2960</v>
      </c>
      <c r="E442" s="201">
        <v>-3815</v>
      </c>
      <c r="F442">
        <v>0</v>
      </c>
      <c r="G442">
        <v>0</v>
      </c>
      <c r="H442">
        <v>0</v>
      </c>
      <c r="I442">
        <v>0</v>
      </c>
      <c r="J442">
        <v>0</v>
      </c>
      <c r="K442" s="201">
        <v>0</v>
      </c>
    </row>
    <row r="443" spans="1:11" x14ac:dyDescent="0.25">
      <c r="A443"/>
      <c r="B443" s="201">
        <v>3749</v>
      </c>
      <c r="C443">
        <v>0</v>
      </c>
      <c r="D443" s="201">
        <v>0</v>
      </c>
      <c r="E443" s="201">
        <v>417</v>
      </c>
      <c r="F443">
        <v>0</v>
      </c>
      <c r="G443">
        <v>-16</v>
      </c>
      <c r="H443">
        <v>0</v>
      </c>
      <c r="I443">
        <v>376</v>
      </c>
      <c r="J443">
        <v>-34558</v>
      </c>
      <c r="K443" s="201">
        <v>-4878</v>
      </c>
    </row>
    <row r="444" spans="1:11" x14ac:dyDescent="0.25">
      <c r="A444"/>
      <c r="B444" s="201">
        <v>3130</v>
      </c>
      <c r="C444">
        <v>-3063</v>
      </c>
      <c r="D444" s="201">
        <v>-8751</v>
      </c>
      <c r="E444" s="201">
        <v>0</v>
      </c>
      <c r="F444">
        <v>0</v>
      </c>
      <c r="G444">
        <v>-5470</v>
      </c>
      <c r="H444">
        <v>0</v>
      </c>
      <c r="I444">
        <v>0</v>
      </c>
      <c r="J444">
        <v>0</v>
      </c>
      <c r="K444" s="201">
        <v>3093</v>
      </c>
    </row>
    <row r="445" spans="1:11" x14ac:dyDescent="0.25">
      <c r="A445"/>
      <c r="B445" s="201">
        <v>1422</v>
      </c>
      <c r="C445">
        <v>0</v>
      </c>
      <c r="D445" s="201">
        <v>0</v>
      </c>
      <c r="E445" s="201">
        <v>0</v>
      </c>
      <c r="F445">
        <v>0</v>
      </c>
      <c r="G445">
        <v>0</v>
      </c>
      <c r="H445">
        <v>0</v>
      </c>
      <c r="I445">
        <v>6779</v>
      </c>
      <c r="J445">
        <v>0</v>
      </c>
      <c r="K445" s="201">
        <v>0</v>
      </c>
    </row>
    <row r="446" spans="1:11" x14ac:dyDescent="0.25">
      <c r="A446"/>
      <c r="B446" s="201">
        <v>279</v>
      </c>
      <c r="C446">
        <v>0</v>
      </c>
      <c r="D446" s="201">
        <v>347</v>
      </c>
      <c r="E446" s="201">
        <v>0</v>
      </c>
      <c r="F446">
        <v>53</v>
      </c>
      <c r="G446">
        <v>-13253</v>
      </c>
      <c r="H446">
        <v>0</v>
      </c>
      <c r="I446">
        <v>0</v>
      </c>
      <c r="J446">
        <v>0</v>
      </c>
      <c r="K446" s="201">
        <v>0</v>
      </c>
    </row>
    <row r="447" spans="1:11" x14ac:dyDescent="0.25">
      <c r="A447"/>
      <c r="B447" s="201">
        <v>0</v>
      </c>
      <c r="C447">
        <v>0</v>
      </c>
      <c r="D447" s="201">
        <v>0</v>
      </c>
      <c r="E447" s="201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 s="201">
        <v>0</v>
      </c>
    </row>
    <row r="448" spans="1:11" x14ac:dyDescent="0.25">
      <c r="A448"/>
      <c r="B448" s="201">
        <v>0</v>
      </c>
      <c r="C448">
        <v>0</v>
      </c>
      <c r="D448" s="201">
        <v>0</v>
      </c>
      <c r="E448" s="201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s="201">
        <v>0</v>
      </c>
    </row>
    <row r="449" spans="1:11" x14ac:dyDescent="0.25">
      <c r="A449"/>
      <c r="B449" s="201">
        <v>0</v>
      </c>
      <c r="C449">
        <v>0</v>
      </c>
      <c r="D449" s="201">
        <v>0</v>
      </c>
      <c r="E449" s="201">
        <v>0</v>
      </c>
      <c r="F449">
        <v>0</v>
      </c>
      <c r="G449">
        <v>5483</v>
      </c>
      <c r="H449">
        <v>-14960</v>
      </c>
      <c r="I449">
        <v>-2992</v>
      </c>
      <c r="J449">
        <v>21916</v>
      </c>
      <c r="K449" s="201">
        <v>17511</v>
      </c>
    </row>
    <row r="450" spans="1:11" x14ac:dyDescent="0.25">
      <c r="A450"/>
      <c r="B450" s="201">
        <v>0</v>
      </c>
      <c r="C450">
        <v>0</v>
      </c>
      <c r="D450" s="201">
        <v>-325</v>
      </c>
      <c r="E450" s="201">
        <v>0</v>
      </c>
      <c r="F450">
        <v>0</v>
      </c>
      <c r="G450">
        <v>0</v>
      </c>
      <c r="H450">
        <v>937</v>
      </c>
      <c r="I450">
        <v>-1184</v>
      </c>
      <c r="J450">
        <v>0</v>
      </c>
      <c r="K450" s="201">
        <v>0</v>
      </c>
    </row>
    <row r="451" spans="1:11" x14ac:dyDescent="0.25">
      <c r="A451"/>
      <c r="B451" s="201">
        <v>0</v>
      </c>
      <c r="C451">
        <v>0</v>
      </c>
      <c r="D451" s="201">
        <v>0</v>
      </c>
      <c r="E451" s="201">
        <v>0</v>
      </c>
      <c r="F451">
        <v>-244</v>
      </c>
      <c r="G451">
        <v>0</v>
      </c>
      <c r="H451">
        <v>0</v>
      </c>
      <c r="I451">
        <v>6580</v>
      </c>
      <c r="J451">
        <v>0</v>
      </c>
      <c r="K451" s="201">
        <v>-6563</v>
      </c>
    </row>
    <row r="452" spans="1:11" x14ac:dyDescent="0.25">
      <c r="A452"/>
      <c r="B452" s="201">
        <v>0</v>
      </c>
      <c r="C452">
        <v>-262</v>
      </c>
      <c r="D452" s="201">
        <v>-2341</v>
      </c>
      <c r="E452" s="201">
        <v>542</v>
      </c>
      <c r="F452">
        <v>0</v>
      </c>
      <c r="G452">
        <v>45</v>
      </c>
      <c r="H452">
        <v>26187</v>
      </c>
      <c r="I452">
        <v>-27</v>
      </c>
      <c r="J452">
        <v>-3739</v>
      </c>
      <c r="K452" s="201">
        <v>-3037</v>
      </c>
    </row>
    <row r="453" spans="1:11" x14ac:dyDescent="0.25">
      <c r="A453"/>
      <c r="B453" s="201">
        <v>0</v>
      </c>
      <c r="C453">
        <v>0</v>
      </c>
      <c r="D453" s="201">
        <v>124</v>
      </c>
      <c r="E453" s="201">
        <v>0</v>
      </c>
      <c r="F453">
        <v>0</v>
      </c>
      <c r="G453">
        <v>0</v>
      </c>
      <c r="H453">
        <v>66</v>
      </c>
      <c r="I453">
        <v>64</v>
      </c>
      <c r="J453">
        <v>0</v>
      </c>
      <c r="K453" s="201">
        <v>0</v>
      </c>
    </row>
    <row r="454" spans="1:11" x14ac:dyDescent="0.25">
      <c r="A454"/>
      <c r="B454" s="201">
        <v>0</v>
      </c>
      <c r="C454">
        <v>0</v>
      </c>
      <c r="D454" s="201">
        <v>0</v>
      </c>
      <c r="E454" s="201">
        <v>0</v>
      </c>
      <c r="F454">
        <v>239</v>
      </c>
      <c r="G454">
        <v>0</v>
      </c>
      <c r="H454">
        <v>0</v>
      </c>
      <c r="I454">
        <v>1369</v>
      </c>
      <c r="J454">
        <v>0</v>
      </c>
      <c r="K454" s="201">
        <v>-1345</v>
      </c>
    </row>
    <row r="455" spans="1:11" x14ac:dyDescent="0.25">
      <c r="A455"/>
      <c r="B455" s="201">
        <v>0</v>
      </c>
      <c r="C455">
        <v>-214</v>
      </c>
      <c r="D455" s="201">
        <v>309</v>
      </c>
      <c r="E455" s="201">
        <v>16</v>
      </c>
      <c r="F455">
        <v>0</v>
      </c>
      <c r="G455">
        <v>15659</v>
      </c>
      <c r="H455">
        <v>-2043</v>
      </c>
      <c r="I455">
        <v>11828</v>
      </c>
      <c r="J455">
        <v>2853</v>
      </c>
      <c r="K455" s="201">
        <v>-10523</v>
      </c>
    </row>
    <row r="456" spans="1:11" x14ac:dyDescent="0.25">
      <c r="A456"/>
      <c r="B456" s="201">
        <v>-12029</v>
      </c>
      <c r="C456">
        <v>0</v>
      </c>
      <c r="D456" s="201">
        <v>0</v>
      </c>
      <c r="E456" s="201">
        <v>233</v>
      </c>
      <c r="F456">
        <v>0</v>
      </c>
      <c r="G456">
        <v>0</v>
      </c>
      <c r="H456">
        <v>0</v>
      </c>
      <c r="I456">
        <v>-823</v>
      </c>
      <c r="J456">
        <v>530</v>
      </c>
      <c r="K456" s="201">
        <v>0</v>
      </c>
    </row>
    <row r="457" spans="1:11" x14ac:dyDescent="0.25">
      <c r="A457"/>
      <c r="B457" s="201">
        <v>0</v>
      </c>
      <c r="C457">
        <v>0</v>
      </c>
      <c r="D457" s="201">
        <v>0</v>
      </c>
      <c r="E457" s="201">
        <v>0</v>
      </c>
      <c r="F457">
        <v>0</v>
      </c>
      <c r="G457">
        <v>540</v>
      </c>
      <c r="H457">
        <v>0</v>
      </c>
      <c r="I457">
        <v>0</v>
      </c>
      <c r="J457">
        <v>-7369</v>
      </c>
      <c r="K457" s="201">
        <v>0</v>
      </c>
    </row>
    <row r="458" spans="1:11" x14ac:dyDescent="0.25">
      <c r="A458"/>
      <c r="B458" s="201">
        <v>7383</v>
      </c>
      <c r="C458">
        <v>0</v>
      </c>
      <c r="D458" s="201">
        <v>238</v>
      </c>
      <c r="E458" s="201">
        <v>364</v>
      </c>
      <c r="F458">
        <v>-1017</v>
      </c>
      <c r="G458">
        <v>0</v>
      </c>
      <c r="H458">
        <v>-68514</v>
      </c>
      <c r="I458">
        <v>-12889</v>
      </c>
      <c r="J458">
        <v>-2616</v>
      </c>
      <c r="K458" s="201">
        <v>12359</v>
      </c>
    </row>
    <row r="459" spans="1:11" x14ac:dyDescent="0.25">
      <c r="A459"/>
      <c r="B459" s="201">
        <v>2713</v>
      </c>
      <c r="C459">
        <v>-15969</v>
      </c>
      <c r="D459" s="201">
        <v>-7865</v>
      </c>
      <c r="E459" s="201">
        <v>0</v>
      </c>
      <c r="F459">
        <v>0</v>
      </c>
      <c r="G459">
        <v>191</v>
      </c>
      <c r="H459">
        <v>0</v>
      </c>
      <c r="I459">
        <v>0</v>
      </c>
      <c r="J459">
        <v>0</v>
      </c>
      <c r="K459" s="201">
        <v>-868</v>
      </c>
    </row>
    <row r="460" spans="1:11" x14ac:dyDescent="0.25">
      <c r="A460"/>
      <c r="B460" s="201">
        <v>988</v>
      </c>
      <c r="C460">
        <v>0</v>
      </c>
      <c r="D460" s="201">
        <v>0</v>
      </c>
      <c r="E460" s="201">
        <v>0</v>
      </c>
      <c r="F460">
        <v>0</v>
      </c>
      <c r="G460">
        <v>0</v>
      </c>
      <c r="H460">
        <v>0</v>
      </c>
      <c r="I460">
        <v>228</v>
      </c>
      <c r="J460">
        <v>0</v>
      </c>
      <c r="K460" s="201">
        <v>0</v>
      </c>
    </row>
    <row r="461" spans="1:11" x14ac:dyDescent="0.25">
      <c r="A461"/>
      <c r="B461" s="201">
        <v>-7175</v>
      </c>
      <c r="C461">
        <v>0</v>
      </c>
      <c r="D461" s="201">
        <v>7180</v>
      </c>
      <c r="E461" s="201">
        <v>0</v>
      </c>
      <c r="F461">
        <v>306</v>
      </c>
      <c r="G461">
        <v>713</v>
      </c>
      <c r="H461">
        <v>-718</v>
      </c>
      <c r="I461">
        <v>0</v>
      </c>
      <c r="J461">
        <v>-72122</v>
      </c>
      <c r="K461" s="201">
        <v>-13186</v>
      </c>
    </row>
    <row r="462" spans="1:11" x14ac:dyDescent="0.25">
      <c r="B462" s="201">
        <v>59664</v>
      </c>
      <c r="C462">
        <v>-3567</v>
      </c>
      <c r="D462" s="201">
        <v>14826</v>
      </c>
      <c r="E462" s="201">
        <v>3267</v>
      </c>
      <c r="F462">
        <v>-21171</v>
      </c>
      <c r="G462">
        <v>-16959</v>
      </c>
      <c r="H462">
        <v>0</v>
      </c>
      <c r="I462">
        <v>0</v>
      </c>
      <c r="J462">
        <v>393</v>
      </c>
      <c r="K462" s="201">
        <v>0</v>
      </c>
    </row>
    <row r="463" spans="1:11" x14ac:dyDescent="0.25">
      <c r="A463"/>
      <c r="B463" s="201">
        <v>0</v>
      </c>
      <c r="C463" s="201">
        <v>0</v>
      </c>
      <c r="D463" s="201">
        <v>-1079</v>
      </c>
      <c r="E463" s="201">
        <v>1243</v>
      </c>
      <c r="F463">
        <v>0</v>
      </c>
      <c r="G463">
        <v>0</v>
      </c>
      <c r="H463">
        <v>0</v>
      </c>
      <c r="I463">
        <v>0</v>
      </c>
      <c r="J463">
        <v>0</v>
      </c>
      <c r="K463" s="201">
        <v>0</v>
      </c>
    </row>
    <row r="464" spans="1:11" x14ac:dyDescent="0.25">
      <c r="A464"/>
      <c r="B464" s="201">
        <v>358</v>
      </c>
      <c r="C464">
        <v>0</v>
      </c>
      <c r="D464" s="201">
        <v>0</v>
      </c>
      <c r="E464" s="201">
        <v>-6529</v>
      </c>
      <c r="F464">
        <v>0</v>
      </c>
      <c r="G464">
        <v>6485</v>
      </c>
      <c r="H464">
        <v>0</v>
      </c>
      <c r="I464">
        <v>217</v>
      </c>
      <c r="J464">
        <v>1223</v>
      </c>
      <c r="K464" s="201">
        <v>-735</v>
      </c>
    </row>
    <row r="465" spans="1:11" x14ac:dyDescent="0.25">
      <c r="A465"/>
      <c r="B465" s="201">
        <v>0</v>
      </c>
      <c r="C465">
        <v>-88262</v>
      </c>
      <c r="D465" s="201">
        <v>-14166</v>
      </c>
      <c r="E465" s="201">
        <v>65663</v>
      </c>
      <c r="F465">
        <v>70171</v>
      </c>
      <c r="G465">
        <v>-2017</v>
      </c>
      <c r="H465">
        <v>12063</v>
      </c>
      <c r="I465">
        <v>2361</v>
      </c>
      <c r="J465">
        <v>-17832</v>
      </c>
      <c r="K465" s="201">
        <v>-14780</v>
      </c>
    </row>
    <row r="466" spans="1:11" x14ac:dyDescent="0.25">
      <c r="A466"/>
      <c r="B466" s="201">
        <v>0</v>
      </c>
      <c r="C466">
        <v>0</v>
      </c>
      <c r="D466" s="201">
        <v>137</v>
      </c>
      <c r="E466" s="201">
        <v>0</v>
      </c>
      <c r="F466">
        <v>0</v>
      </c>
      <c r="G466">
        <v>0</v>
      </c>
      <c r="H466">
        <v>-894</v>
      </c>
      <c r="I466">
        <v>1069</v>
      </c>
      <c r="J466">
        <v>0</v>
      </c>
      <c r="K466" s="201">
        <v>0</v>
      </c>
    </row>
    <row r="467" spans="1:11" x14ac:dyDescent="0.25">
      <c r="A467"/>
      <c r="B467" s="201">
        <v>0</v>
      </c>
      <c r="C467">
        <v>0</v>
      </c>
      <c r="D467" s="201">
        <v>0</v>
      </c>
      <c r="E467" s="201">
        <v>0</v>
      </c>
      <c r="F467">
        <v>-262</v>
      </c>
      <c r="G467">
        <v>0</v>
      </c>
      <c r="H467">
        <v>0</v>
      </c>
      <c r="I467">
        <v>-4028</v>
      </c>
      <c r="J467">
        <v>0</v>
      </c>
      <c r="K467" s="201">
        <v>3885</v>
      </c>
    </row>
    <row r="468" spans="1:11" x14ac:dyDescent="0.25">
      <c r="A468"/>
      <c r="B468" s="201">
        <v>0</v>
      </c>
      <c r="C468">
        <v>76</v>
      </c>
      <c r="D468" s="201">
        <v>943</v>
      </c>
      <c r="E468" s="201">
        <v>-683</v>
      </c>
      <c r="F468">
        <v>0</v>
      </c>
      <c r="G468">
        <v>-63562</v>
      </c>
      <c r="H468">
        <v>-11388</v>
      </c>
      <c r="I468">
        <v>51027</v>
      </c>
      <c r="J468">
        <v>53390</v>
      </c>
      <c r="K468" s="201">
        <v>63202</v>
      </c>
    </row>
    <row r="469" spans="1:11" x14ac:dyDescent="0.25">
      <c r="A469"/>
      <c r="B469" s="201">
        <v>0</v>
      </c>
      <c r="C469">
        <v>0</v>
      </c>
      <c r="D469" s="201">
        <v>0</v>
      </c>
      <c r="E469" s="201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s="201">
        <v>0</v>
      </c>
    </row>
    <row r="470" spans="1:11" x14ac:dyDescent="0.25">
      <c r="A470"/>
      <c r="B470" s="201">
        <v>0</v>
      </c>
      <c r="C470">
        <v>0</v>
      </c>
      <c r="D470" s="201">
        <v>0</v>
      </c>
      <c r="E470" s="201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 s="201">
        <v>0</v>
      </c>
    </row>
    <row r="471" spans="1:11" x14ac:dyDescent="0.25">
      <c r="A471"/>
      <c r="B471" s="201">
        <v>0</v>
      </c>
      <c r="C471">
        <v>0</v>
      </c>
      <c r="D471" s="201">
        <v>0</v>
      </c>
      <c r="E471" s="20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s="201">
        <v>0</v>
      </c>
    </row>
    <row r="472" spans="1:11" x14ac:dyDescent="0.25">
      <c r="A472"/>
      <c r="B472" s="201">
        <v>0</v>
      </c>
      <c r="C472">
        <v>0</v>
      </c>
      <c r="D472" s="201">
        <v>0</v>
      </c>
      <c r="E472" s="201">
        <v>0</v>
      </c>
      <c r="F472">
        <v>0</v>
      </c>
      <c r="G472">
        <v>0</v>
      </c>
      <c r="H472">
        <v>-56</v>
      </c>
      <c r="I472">
        <v>-292</v>
      </c>
      <c r="J472">
        <v>-12</v>
      </c>
      <c r="K472" s="201">
        <v>-319</v>
      </c>
    </row>
    <row r="473" spans="1:11" x14ac:dyDescent="0.25">
      <c r="A473"/>
      <c r="B473" s="201">
        <v>-283</v>
      </c>
      <c r="C473">
        <v>0</v>
      </c>
      <c r="D473" s="201">
        <v>0</v>
      </c>
      <c r="E473" s="201">
        <v>-265</v>
      </c>
      <c r="F473">
        <v>0</v>
      </c>
      <c r="G473">
        <v>0</v>
      </c>
      <c r="H473">
        <v>0</v>
      </c>
      <c r="I473">
        <v>-201</v>
      </c>
      <c r="J473">
        <v>148</v>
      </c>
      <c r="K473" s="201">
        <v>0</v>
      </c>
    </row>
    <row r="474" spans="1:11" x14ac:dyDescent="0.25">
      <c r="A474"/>
      <c r="B474" s="201">
        <v>0</v>
      </c>
      <c r="C474">
        <v>0</v>
      </c>
      <c r="D474" s="201">
        <v>0</v>
      </c>
      <c r="E474" s="201">
        <v>0</v>
      </c>
      <c r="F474">
        <v>0</v>
      </c>
      <c r="G474">
        <v>237</v>
      </c>
      <c r="H474">
        <v>0</v>
      </c>
      <c r="I474">
        <v>0</v>
      </c>
      <c r="J474">
        <v>741</v>
      </c>
      <c r="K474" s="201">
        <v>0</v>
      </c>
    </row>
    <row r="475" spans="1:11" x14ac:dyDescent="0.25">
      <c r="A475"/>
      <c r="B475" s="201">
        <v>-711</v>
      </c>
      <c r="C475">
        <v>0</v>
      </c>
      <c r="D475" s="201">
        <v>26</v>
      </c>
      <c r="E475" s="201">
        <v>-86</v>
      </c>
      <c r="F475">
        <v>-120</v>
      </c>
      <c r="G475">
        <v>0</v>
      </c>
      <c r="H475">
        <v>-14632</v>
      </c>
      <c r="I475">
        <v>-3579</v>
      </c>
      <c r="J475">
        <v>2179</v>
      </c>
      <c r="K475" s="201">
        <v>159</v>
      </c>
    </row>
    <row r="476" spans="1:11" x14ac:dyDescent="0.25">
      <c r="A476"/>
      <c r="B476" s="201">
        <v>2505</v>
      </c>
      <c r="C476">
        <v>2874</v>
      </c>
      <c r="D476" s="201">
        <v>0</v>
      </c>
      <c r="E476" s="201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s="201">
        <v>0</v>
      </c>
    </row>
    <row r="477" spans="1:11" x14ac:dyDescent="0.25">
      <c r="A477"/>
      <c r="B477" s="201">
        <v>0</v>
      </c>
      <c r="C477">
        <v>0</v>
      </c>
      <c r="D477" s="201">
        <v>0</v>
      </c>
      <c r="E477" s="201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 s="201">
        <v>0</v>
      </c>
    </row>
    <row r="478" spans="1:11" x14ac:dyDescent="0.25">
      <c r="A478"/>
      <c r="B478" s="201">
        <v>0</v>
      </c>
      <c r="C478">
        <v>0</v>
      </c>
      <c r="D478" s="201">
        <v>0</v>
      </c>
      <c r="E478" s="201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s="201">
        <v>0</v>
      </c>
    </row>
    <row r="479" spans="1:11" x14ac:dyDescent="0.25">
      <c r="A479"/>
      <c r="B479" s="201">
        <v>0</v>
      </c>
      <c r="C479">
        <v>0</v>
      </c>
      <c r="D479" s="201">
        <v>0</v>
      </c>
      <c r="E479" s="201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 s="201">
        <v>0</v>
      </c>
    </row>
    <row r="480" spans="1:11" x14ac:dyDescent="0.25">
      <c r="A480"/>
      <c r="B480" s="201">
        <v>0</v>
      </c>
      <c r="C480">
        <v>0</v>
      </c>
      <c r="D480" s="201">
        <v>0</v>
      </c>
      <c r="E480" s="201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s="201">
        <v>0</v>
      </c>
    </row>
    <row r="481" spans="1:11" x14ac:dyDescent="0.25">
      <c r="A481"/>
      <c r="B481" s="201">
        <v>0</v>
      </c>
      <c r="C481">
        <v>0</v>
      </c>
      <c r="D481" s="201">
        <v>0</v>
      </c>
      <c r="E481" s="20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 s="201">
        <v>0</v>
      </c>
    </row>
    <row r="482" spans="1:11" x14ac:dyDescent="0.25">
      <c r="A482"/>
      <c r="B482" s="201">
        <v>0</v>
      </c>
      <c r="C482">
        <v>0</v>
      </c>
      <c r="D482" s="201">
        <v>0</v>
      </c>
      <c r="E482" s="201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s="201">
        <v>0</v>
      </c>
    </row>
    <row r="483" spans="1:11" x14ac:dyDescent="0.25">
      <c r="A483"/>
      <c r="B483" s="201">
        <v>0</v>
      </c>
      <c r="C483">
        <v>0</v>
      </c>
      <c r="D483" s="201">
        <v>0</v>
      </c>
      <c r="E483" s="201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 s="201">
        <v>0</v>
      </c>
    </row>
    <row r="484" spans="1:11" x14ac:dyDescent="0.25">
      <c r="A484"/>
      <c r="B484" s="201">
        <v>0</v>
      </c>
      <c r="C484">
        <v>0</v>
      </c>
      <c r="D484" s="201">
        <v>0</v>
      </c>
      <c r="E484" s="201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 s="201">
        <v>0</v>
      </c>
    </row>
    <row r="485" spans="1:11" x14ac:dyDescent="0.25">
      <c r="A485"/>
      <c r="B485" s="201">
        <v>0</v>
      </c>
      <c r="C485">
        <v>0</v>
      </c>
      <c r="D485" s="201">
        <v>0</v>
      </c>
      <c r="E485" s="201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 s="201">
        <v>0</v>
      </c>
    </row>
    <row r="486" spans="1:11" x14ac:dyDescent="0.25">
      <c r="A486"/>
      <c r="B486" s="201">
        <v>0</v>
      </c>
      <c r="C486">
        <v>0</v>
      </c>
      <c r="D486" s="201">
        <v>0</v>
      </c>
      <c r="E486" s="201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201">
        <v>0</v>
      </c>
    </row>
    <row r="487" spans="1:11" x14ac:dyDescent="0.25">
      <c r="A487"/>
      <c r="B487" s="201">
        <v>0</v>
      </c>
      <c r="C487">
        <v>0</v>
      </c>
      <c r="D487" s="201">
        <v>0</v>
      </c>
      <c r="E487" s="201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s="201">
        <v>0</v>
      </c>
    </row>
    <row r="488" spans="1:11" x14ac:dyDescent="0.25">
      <c r="A488"/>
      <c r="B488" s="201">
        <v>0</v>
      </c>
      <c r="C488">
        <v>0</v>
      </c>
      <c r="D488" s="201">
        <v>0</v>
      </c>
      <c r="E488" s="201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 s="201">
        <v>0</v>
      </c>
    </row>
    <row r="489" spans="1:11" x14ac:dyDescent="0.25">
      <c r="A489"/>
      <c r="B489" s="201">
        <v>0</v>
      </c>
      <c r="C489">
        <v>0</v>
      </c>
      <c r="D489" s="201">
        <v>0</v>
      </c>
      <c r="E489" s="201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 s="201">
        <v>0</v>
      </c>
    </row>
    <row r="490" spans="1:11" x14ac:dyDescent="0.25">
      <c r="A490"/>
      <c r="B490" s="201">
        <v>0</v>
      </c>
      <c r="C490">
        <v>0</v>
      </c>
      <c r="D490" s="201">
        <v>0</v>
      </c>
      <c r="E490" s="201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 s="201">
        <v>0</v>
      </c>
    </row>
    <row r="491" spans="1:11" x14ac:dyDescent="0.25">
      <c r="A491"/>
      <c r="B491" s="201">
        <v>0</v>
      </c>
      <c r="C491">
        <v>0</v>
      </c>
      <c r="D491" s="201">
        <v>0</v>
      </c>
      <c r="E491" s="20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 s="201">
        <v>0</v>
      </c>
    </row>
    <row r="492" spans="1:11" x14ac:dyDescent="0.25">
      <c r="A492"/>
      <c r="B492" s="201">
        <v>0</v>
      </c>
      <c r="C492">
        <v>0</v>
      </c>
      <c r="D492" s="201">
        <v>0</v>
      </c>
      <c r="E492" s="201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 s="201">
        <v>0</v>
      </c>
    </row>
    <row r="493" spans="1:11" x14ac:dyDescent="0.25">
      <c r="A493"/>
      <c r="B493" s="201">
        <v>0</v>
      </c>
      <c r="C493">
        <v>0</v>
      </c>
      <c r="D493" s="201">
        <v>0</v>
      </c>
      <c r="E493" s="201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 s="201">
        <v>0</v>
      </c>
    </row>
    <row r="494" spans="1:11" x14ac:dyDescent="0.25">
      <c r="A494"/>
      <c r="B494" s="201">
        <v>0</v>
      </c>
      <c r="C494">
        <v>0</v>
      </c>
      <c r="D494" s="201">
        <v>0</v>
      </c>
      <c r="E494" s="201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s="201">
        <v>0</v>
      </c>
    </row>
    <row r="495" spans="1:11" x14ac:dyDescent="0.25">
      <c r="A495"/>
      <c r="B495" s="201">
        <v>0</v>
      </c>
      <c r="C495">
        <v>0</v>
      </c>
      <c r="D495" s="201">
        <v>0</v>
      </c>
      <c r="E495" s="201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 s="201">
        <v>0</v>
      </c>
    </row>
    <row r="496" spans="1:11" x14ac:dyDescent="0.25">
      <c r="A496"/>
      <c r="B496" s="201">
        <v>0</v>
      </c>
      <c r="C496">
        <v>0</v>
      </c>
      <c r="D496" s="201">
        <v>0</v>
      </c>
      <c r="E496" s="201">
        <v>-330</v>
      </c>
      <c r="F496">
        <v>1602</v>
      </c>
      <c r="G496">
        <v>-187</v>
      </c>
      <c r="H496">
        <v>-632</v>
      </c>
      <c r="I496">
        <v>-418</v>
      </c>
      <c r="J496">
        <v>0</v>
      </c>
      <c r="K496" s="201">
        <v>0</v>
      </c>
    </row>
    <row r="497" spans="1:11" x14ac:dyDescent="0.25">
      <c r="A497"/>
      <c r="B497" s="201">
        <v>-48</v>
      </c>
      <c r="C497">
        <v>0</v>
      </c>
      <c r="D497" s="201">
        <v>0</v>
      </c>
      <c r="E497" s="201">
        <v>0</v>
      </c>
      <c r="F497">
        <v>-281</v>
      </c>
      <c r="G497">
        <v>3731</v>
      </c>
      <c r="H497">
        <v>0</v>
      </c>
      <c r="I497">
        <v>0</v>
      </c>
      <c r="J497">
        <v>0</v>
      </c>
      <c r="K497" s="201">
        <v>0</v>
      </c>
    </row>
    <row r="498" spans="1:11" x14ac:dyDescent="0.25">
      <c r="A498"/>
      <c r="B498" s="201">
        <v>0</v>
      </c>
      <c r="C498">
        <v>0</v>
      </c>
      <c r="D498" s="201">
        <v>177</v>
      </c>
      <c r="E498" s="201">
        <v>0</v>
      </c>
      <c r="F498">
        <v>0</v>
      </c>
      <c r="G498">
        <v>-2714</v>
      </c>
      <c r="H498">
        <v>0</v>
      </c>
      <c r="I498">
        <v>2809</v>
      </c>
      <c r="J498">
        <v>0</v>
      </c>
      <c r="K498" s="201">
        <v>108</v>
      </c>
    </row>
    <row r="499" spans="1:11" x14ac:dyDescent="0.25">
      <c r="A499"/>
      <c r="B499" s="201">
        <v>-9</v>
      </c>
      <c r="C499">
        <v>-262</v>
      </c>
      <c r="D499" s="201">
        <v>0</v>
      </c>
      <c r="E499" s="201">
        <v>-5909</v>
      </c>
      <c r="F499">
        <v>-1822</v>
      </c>
      <c r="G499">
        <v>-2404</v>
      </c>
      <c r="H499">
        <v>6675</v>
      </c>
      <c r="I499">
        <v>6789</v>
      </c>
      <c r="J499">
        <v>6933</v>
      </c>
      <c r="K499" s="201">
        <v>0</v>
      </c>
    </row>
    <row r="500" spans="1:11" x14ac:dyDescent="0.25">
      <c r="A500"/>
      <c r="B500" s="201">
        <v>-3351</v>
      </c>
      <c r="C500">
        <v>0</v>
      </c>
      <c r="D500" s="201">
        <v>0</v>
      </c>
      <c r="E500" s="201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s="201">
        <v>0</v>
      </c>
    </row>
    <row r="501" spans="1:11" x14ac:dyDescent="0.25">
      <c r="A501"/>
      <c r="B501" s="201">
        <v>0</v>
      </c>
      <c r="C501">
        <v>0</v>
      </c>
      <c r="D501" s="201">
        <v>0</v>
      </c>
      <c r="E501" s="2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 s="201">
        <v>0</v>
      </c>
    </row>
    <row r="502" spans="1:11" x14ac:dyDescent="0.25">
      <c r="A502"/>
      <c r="B502" s="201">
        <v>0</v>
      </c>
      <c r="C502">
        <v>0</v>
      </c>
      <c r="D502" s="201">
        <v>0</v>
      </c>
      <c r="E502" s="201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s="201">
        <v>0</v>
      </c>
    </row>
    <row r="503" spans="1:11" x14ac:dyDescent="0.25">
      <c r="A503"/>
      <c r="B503" s="201">
        <v>0</v>
      </c>
      <c r="C503">
        <v>0</v>
      </c>
      <c r="D503" s="201">
        <v>0</v>
      </c>
      <c r="E503" s="201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 s="201">
        <v>0</v>
      </c>
    </row>
    <row r="504" spans="1:11" x14ac:dyDescent="0.25">
      <c r="A504"/>
      <c r="B504" s="201">
        <v>0</v>
      </c>
      <c r="C504">
        <v>0</v>
      </c>
      <c r="D504" s="201">
        <v>0</v>
      </c>
      <c r="E504" s="201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 s="201">
        <v>0</v>
      </c>
    </row>
    <row r="505" spans="1:11" x14ac:dyDescent="0.25">
      <c r="A505"/>
      <c r="B505" s="201">
        <v>0</v>
      </c>
      <c r="C505">
        <v>0</v>
      </c>
      <c r="D505" s="201">
        <v>0</v>
      </c>
      <c r="E505" s="201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s="201">
        <v>0</v>
      </c>
    </row>
    <row r="506" spans="1:11" x14ac:dyDescent="0.25">
      <c r="A506"/>
      <c r="B506" s="201">
        <v>0</v>
      </c>
      <c r="C506">
        <v>0</v>
      </c>
      <c r="D506" s="201">
        <v>0</v>
      </c>
      <c r="E506" s="201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 s="201">
        <v>0</v>
      </c>
    </row>
    <row r="507" spans="1:11" x14ac:dyDescent="0.25">
      <c r="A507"/>
      <c r="B507" s="201">
        <v>0</v>
      </c>
      <c r="C507">
        <v>0</v>
      </c>
      <c r="D507" s="201">
        <v>0</v>
      </c>
      <c r="E507" s="201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s="201">
        <v>0</v>
      </c>
    </row>
    <row r="508" spans="1:11" x14ac:dyDescent="0.25">
      <c r="A508"/>
      <c r="B508" s="201">
        <v>0</v>
      </c>
      <c r="C508">
        <v>0</v>
      </c>
      <c r="D508" s="201">
        <v>0</v>
      </c>
      <c r="E508" s="201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 s="201">
        <v>0</v>
      </c>
    </row>
    <row r="509" spans="1:11" x14ac:dyDescent="0.25">
      <c r="A509"/>
      <c r="B509" s="201">
        <v>0</v>
      </c>
      <c r="C509">
        <v>0</v>
      </c>
      <c r="D509" s="201">
        <v>0</v>
      </c>
      <c r="E509" s="20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 s="201">
        <v>0</v>
      </c>
    </row>
    <row r="510" spans="1:11" x14ac:dyDescent="0.25">
      <c r="A510"/>
      <c r="B510" s="201">
        <v>0</v>
      </c>
      <c r="C510">
        <v>0</v>
      </c>
      <c r="D510" s="201">
        <v>0</v>
      </c>
      <c r="E510" s="201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 s="201">
        <v>0</v>
      </c>
    </row>
    <row r="511" spans="1:11" x14ac:dyDescent="0.25">
      <c r="A511"/>
      <c r="B511" s="201">
        <v>0</v>
      </c>
      <c r="C511">
        <v>0</v>
      </c>
      <c r="D511" s="201">
        <v>0</v>
      </c>
      <c r="E511" s="20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 s="201">
        <v>0</v>
      </c>
    </row>
    <row r="512" spans="1:11" x14ac:dyDescent="0.25">
      <c r="A512"/>
      <c r="B512" s="201">
        <v>0</v>
      </c>
      <c r="C512">
        <v>0</v>
      </c>
      <c r="D512" s="201">
        <v>0</v>
      </c>
      <c r="E512" s="201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 s="201">
        <v>0</v>
      </c>
    </row>
    <row r="513" spans="1:11" x14ac:dyDescent="0.25">
      <c r="A513"/>
      <c r="B513" s="201">
        <v>0</v>
      </c>
      <c r="C513">
        <v>0</v>
      </c>
      <c r="D513" s="201">
        <v>0</v>
      </c>
      <c r="E513" s="201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s="201">
        <v>0</v>
      </c>
    </row>
    <row r="514" spans="1:11" x14ac:dyDescent="0.25">
      <c r="A514"/>
      <c r="B514" s="201">
        <v>0</v>
      </c>
      <c r="C514">
        <v>-247</v>
      </c>
      <c r="D514" s="201">
        <v>-2072</v>
      </c>
      <c r="E514" s="201">
        <v>-308</v>
      </c>
      <c r="F514">
        <v>5431</v>
      </c>
      <c r="G514">
        <v>3518</v>
      </c>
      <c r="H514">
        <v>0</v>
      </c>
      <c r="I514">
        <v>0</v>
      </c>
      <c r="J514">
        <v>-99</v>
      </c>
      <c r="K514" s="201">
        <v>0</v>
      </c>
    </row>
    <row r="515" spans="1:11" x14ac:dyDescent="0.25">
      <c r="A515"/>
      <c r="B515" s="201">
        <v>0</v>
      </c>
      <c r="C515">
        <v>0</v>
      </c>
      <c r="D515" s="201">
        <v>12</v>
      </c>
      <c r="E515" s="201">
        <v>-176</v>
      </c>
      <c r="F515">
        <v>0</v>
      </c>
      <c r="G515">
        <v>0</v>
      </c>
      <c r="H515">
        <v>0</v>
      </c>
      <c r="I515">
        <v>0</v>
      </c>
      <c r="J515">
        <v>0</v>
      </c>
      <c r="K515" s="201">
        <v>0</v>
      </c>
    </row>
    <row r="516" spans="1:11" x14ac:dyDescent="0.25">
      <c r="A516"/>
      <c r="B516" s="201">
        <v>-711</v>
      </c>
      <c r="C516">
        <v>0</v>
      </c>
      <c r="D516" s="201">
        <v>0</v>
      </c>
      <c r="E516" s="201">
        <v>356</v>
      </c>
      <c r="F516">
        <v>0</v>
      </c>
      <c r="G516">
        <v>-372</v>
      </c>
      <c r="H516">
        <v>0</v>
      </c>
      <c r="I516">
        <v>-38</v>
      </c>
      <c r="J516">
        <v>150</v>
      </c>
      <c r="K516" s="201">
        <v>1075</v>
      </c>
    </row>
    <row r="517" spans="1:11" x14ac:dyDescent="0.25">
      <c r="A517"/>
      <c r="B517" s="201">
        <v>0</v>
      </c>
      <c r="C517">
        <v>-21566</v>
      </c>
      <c r="D517" s="201">
        <v>-7712</v>
      </c>
      <c r="E517" s="201">
        <v>-25609</v>
      </c>
      <c r="F517">
        <v>9643</v>
      </c>
      <c r="G517">
        <v>21112</v>
      </c>
      <c r="H517">
        <v>16044</v>
      </c>
      <c r="I517">
        <v>0</v>
      </c>
      <c r="J517">
        <v>4806</v>
      </c>
      <c r="K517" s="201">
        <v>0</v>
      </c>
    </row>
    <row r="518" spans="1:11" x14ac:dyDescent="0.25">
      <c r="A518"/>
      <c r="B518" s="201">
        <v>0</v>
      </c>
      <c r="C518">
        <v>0</v>
      </c>
      <c r="D518" s="201">
        <v>0</v>
      </c>
      <c r="E518" s="201">
        <v>0</v>
      </c>
      <c r="F518">
        <v>-1837</v>
      </c>
      <c r="G518">
        <v>0</v>
      </c>
      <c r="H518">
        <v>0</v>
      </c>
      <c r="I518">
        <v>0</v>
      </c>
      <c r="J518">
        <v>0</v>
      </c>
      <c r="K518" s="201">
        <v>0</v>
      </c>
    </row>
    <row r="519" spans="1:11" x14ac:dyDescent="0.25">
      <c r="A519"/>
      <c r="B519" s="201">
        <v>0</v>
      </c>
      <c r="C519">
        <v>0</v>
      </c>
      <c r="D519" s="201">
        <v>0</v>
      </c>
      <c r="E519" s="201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s="201">
        <v>0</v>
      </c>
    </row>
    <row r="520" spans="1:11" x14ac:dyDescent="0.25">
      <c r="A520"/>
      <c r="B520" s="201">
        <v>0</v>
      </c>
      <c r="C520">
        <v>0</v>
      </c>
      <c r="D520" s="201">
        <v>0</v>
      </c>
      <c r="E520" s="201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 s="201">
        <v>0</v>
      </c>
    </row>
    <row r="521" spans="1:11" x14ac:dyDescent="0.25">
      <c r="A521"/>
      <c r="B521" s="201">
        <v>0</v>
      </c>
      <c r="C521">
        <v>0</v>
      </c>
      <c r="D521" s="201">
        <v>0</v>
      </c>
      <c r="E521" s="20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s="201">
        <v>0</v>
      </c>
    </row>
    <row r="522" spans="1:11" x14ac:dyDescent="0.25">
      <c r="A522"/>
      <c r="B522" s="201">
        <v>0</v>
      </c>
      <c r="C522">
        <v>0</v>
      </c>
      <c r="D522" s="201">
        <v>0</v>
      </c>
      <c r="E522" s="201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 s="201">
        <v>0</v>
      </c>
    </row>
    <row r="523" spans="1:11" x14ac:dyDescent="0.25">
      <c r="A523"/>
      <c r="B523" s="201">
        <v>0</v>
      </c>
      <c r="C523">
        <v>0</v>
      </c>
      <c r="D523" s="201">
        <v>0</v>
      </c>
      <c r="E523" s="201">
        <v>0</v>
      </c>
      <c r="F523">
        <v>0</v>
      </c>
      <c r="G523">
        <v>0</v>
      </c>
      <c r="H523">
        <v>-137</v>
      </c>
      <c r="I523">
        <v>182</v>
      </c>
      <c r="J523">
        <v>60</v>
      </c>
      <c r="K523" s="201">
        <v>-1547</v>
      </c>
    </row>
    <row r="524" spans="1:11" x14ac:dyDescent="0.25">
      <c r="B524" s="201">
        <v>-766</v>
      </c>
      <c r="C524">
        <v>0</v>
      </c>
      <c r="D524" s="201">
        <v>0</v>
      </c>
      <c r="E524" s="201">
        <v>235</v>
      </c>
      <c r="F524">
        <v>0</v>
      </c>
      <c r="G524">
        <v>0</v>
      </c>
      <c r="H524">
        <v>0</v>
      </c>
      <c r="I524">
        <v>49</v>
      </c>
      <c r="J524">
        <v>135</v>
      </c>
      <c r="K524" s="201">
        <v>0</v>
      </c>
    </row>
    <row r="525" spans="1:11" x14ac:dyDescent="0.25">
      <c r="A525"/>
      <c r="B525" s="201">
        <v>0</v>
      </c>
      <c r="C525">
        <v>0</v>
      </c>
      <c r="D525" s="201">
        <v>0</v>
      </c>
      <c r="E525" s="201">
        <v>0</v>
      </c>
      <c r="F525">
        <v>0</v>
      </c>
      <c r="G525">
        <v>86</v>
      </c>
      <c r="H525">
        <v>0</v>
      </c>
      <c r="I525">
        <v>0</v>
      </c>
      <c r="J525">
        <v>687</v>
      </c>
      <c r="K525" s="201">
        <v>0</v>
      </c>
    </row>
    <row r="526" spans="1:11" x14ac:dyDescent="0.25">
      <c r="B526" s="201">
        <v>-740</v>
      </c>
      <c r="C526">
        <v>0</v>
      </c>
      <c r="D526" s="201">
        <v>4</v>
      </c>
      <c r="E526" s="201">
        <v>-34</v>
      </c>
      <c r="F526">
        <v>-11</v>
      </c>
      <c r="G526">
        <v>0</v>
      </c>
      <c r="H526">
        <v>-21453</v>
      </c>
      <c r="I526">
        <v>-5960</v>
      </c>
      <c r="J526">
        <v>-2159</v>
      </c>
      <c r="K526" s="201">
        <v>16995</v>
      </c>
    </row>
    <row r="527" spans="1:11" x14ac:dyDescent="0.25">
      <c r="A527"/>
      <c r="B527" s="201">
        <v>21162</v>
      </c>
      <c r="C527">
        <v>19994</v>
      </c>
      <c r="D527" s="201">
        <v>0</v>
      </c>
      <c r="E527" s="201">
        <v>-133</v>
      </c>
      <c r="F527">
        <v>0</v>
      </c>
      <c r="G527">
        <v>0</v>
      </c>
      <c r="H527">
        <v>0</v>
      </c>
      <c r="I527">
        <v>0</v>
      </c>
      <c r="J527">
        <v>0</v>
      </c>
      <c r="K527" s="201">
        <v>6848</v>
      </c>
    </row>
    <row r="528" spans="1:11" x14ac:dyDescent="0.25">
      <c r="A528"/>
      <c r="B528" s="201">
        <v>0</v>
      </c>
      <c r="C528">
        <v>0</v>
      </c>
      <c r="D528" s="201">
        <v>0</v>
      </c>
      <c r="E528" s="201">
        <v>27561</v>
      </c>
      <c r="F528">
        <v>0</v>
      </c>
      <c r="G528">
        <v>0</v>
      </c>
      <c r="H528">
        <v>0</v>
      </c>
      <c r="I528">
        <v>0</v>
      </c>
      <c r="J528">
        <v>0</v>
      </c>
      <c r="K528" s="201">
        <v>0</v>
      </c>
    </row>
    <row r="529" spans="1:11" x14ac:dyDescent="0.25">
      <c r="A529"/>
      <c r="B529" s="201">
        <v>0</v>
      </c>
      <c r="C529">
        <v>0</v>
      </c>
      <c r="D529" s="201">
        <v>0</v>
      </c>
      <c r="E529" s="201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 s="201">
        <v>0</v>
      </c>
    </row>
    <row r="530" spans="1:11" x14ac:dyDescent="0.25">
      <c r="A530"/>
      <c r="B530" s="201">
        <v>0</v>
      </c>
      <c r="C530">
        <v>0</v>
      </c>
      <c r="D530" s="201">
        <v>0</v>
      </c>
      <c r="E530" s="201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s="201">
        <v>0</v>
      </c>
    </row>
    <row r="531" spans="1:11" x14ac:dyDescent="0.25">
      <c r="A531"/>
      <c r="B531" s="201">
        <v>0</v>
      </c>
      <c r="C531">
        <v>0</v>
      </c>
      <c r="D531" s="201">
        <v>0</v>
      </c>
      <c r="E531" s="20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 s="201">
        <v>0</v>
      </c>
    </row>
    <row r="532" spans="1:11" x14ac:dyDescent="0.25">
      <c r="A532"/>
      <c r="B532" s="201">
        <v>0</v>
      </c>
      <c r="C532">
        <v>0</v>
      </c>
      <c r="D532" s="201">
        <v>0</v>
      </c>
      <c r="E532" s="201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s="201">
        <v>0</v>
      </c>
    </row>
    <row r="533" spans="1:11" x14ac:dyDescent="0.25">
      <c r="A533"/>
      <c r="B533" s="201">
        <v>0</v>
      </c>
      <c r="C533">
        <v>0</v>
      </c>
      <c r="D533" s="201">
        <v>0</v>
      </c>
      <c r="E533" s="201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 s="201">
        <v>0</v>
      </c>
    </row>
    <row r="534" spans="1:11" x14ac:dyDescent="0.25">
      <c r="A534"/>
      <c r="B534" s="201">
        <v>0</v>
      </c>
      <c r="C534">
        <v>0</v>
      </c>
      <c r="D534" s="201">
        <v>0</v>
      </c>
      <c r="E534" s="201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s="201">
        <v>0</v>
      </c>
    </row>
    <row r="535" spans="1:11" x14ac:dyDescent="0.25">
      <c r="A535"/>
      <c r="B535" s="201">
        <v>0</v>
      </c>
      <c r="C535">
        <v>0</v>
      </c>
      <c r="D535" s="201">
        <v>0</v>
      </c>
      <c r="E535" s="201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 s="201">
        <v>0</v>
      </c>
    </row>
    <row r="536" spans="1:11" x14ac:dyDescent="0.25">
      <c r="A536"/>
      <c r="B536" s="201">
        <v>0</v>
      </c>
      <c r="C536">
        <v>0</v>
      </c>
      <c r="D536" s="201">
        <v>0</v>
      </c>
      <c r="E536" s="201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 s="201">
        <v>0</v>
      </c>
    </row>
    <row r="537" spans="1:11" x14ac:dyDescent="0.25">
      <c r="A537"/>
      <c r="B537" s="201">
        <v>0</v>
      </c>
      <c r="C537">
        <v>0</v>
      </c>
      <c r="D537" s="201">
        <v>0</v>
      </c>
      <c r="E537" s="201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 s="201">
        <v>0</v>
      </c>
    </row>
    <row r="538" spans="1:11" x14ac:dyDescent="0.25">
      <c r="A538"/>
      <c r="B538" s="201">
        <v>0</v>
      </c>
      <c r="C538">
        <v>0</v>
      </c>
      <c r="D538" s="201">
        <v>0</v>
      </c>
      <c r="E538" s="201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 s="201">
        <v>0</v>
      </c>
    </row>
    <row r="539" spans="1:11" x14ac:dyDescent="0.25">
      <c r="A539"/>
      <c r="B539" s="201">
        <v>0</v>
      </c>
      <c r="C539">
        <v>0</v>
      </c>
      <c r="D539" s="201">
        <v>0</v>
      </c>
      <c r="E539" s="201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 s="201">
        <v>0</v>
      </c>
    </row>
    <row r="540" spans="1:11" x14ac:dyDescent="0.25">
      <c r="A540"/>
      <c r="B540" s="201">
        <v>0</v>
      </c>
      <c r="C540">
        <v>0</v>
      </c>
      <c r="D540" s="201">
        <v>0</v>
      </c>
      <c r="E540" s="201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 s="201">
        <v>0</v>
      </c>
    </row>
    <row r="541" spans="1:11" x14ac:dyDescent="0.25">
      <c r="A541"/>
      <c r="B541" s="201">
        <v>0</v>
      </c>
      <c r="C541">
        <v>0</v>
      </c>
      <c r="D541" s="201">
        <v>0</v>
      </c>
      <c r="E541" s="20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 s="201">
        <v>0</v>
      </c>
    </row>
    <row r="542" spans="1:11" x14ac:dyDescent="0.25">
      <c r="A542"/>
      <c r="B542" s="201">
        <v>0</v>
      </c>
      <c r="C542">
        <v>0</v>
      </c>
      <c r="D542" s="201">
        <v>0</v>
      </c>
      <c r="E542" s="201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s="201">
        <v>0</v>
      </c>
    </row>
    <row r="543" spans="1:11" x14ac:dyDescent="0.25">
      <c r="A543"/>
      <c r="B543" s="201">
        <v>0</v>
      </c>
      <c r="C543">
        <v>0</v>
      </c>
      <c r="D543" s="201">
        <v>0</v>
      </c>
      <c r="E543" s="201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 s="201">
        <v>0</v>
      </c>
    </row>
    <row r="544" spans="1:11" x14ac:dyDescent="0.25">
      <c r="A544"/>
      <c r="B544" s="201">
        <v>0</v>
      </c>
      <c r="C544">
        <v>0</v>
      </c>
      <c r="D544" s="201">
        <v>0</v>
      </c>
      <c r="E544" s="201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s="201">
        <v>0</v>
      </c>
    </row>
    <row r="545" spans="1:11" x14ac:dyDescent="0.25">
      <c r="A545"/>
      <c r="B545" s="201">
        <v>0</v>
      </c>
      <c r="C545">
        <v>0</v>
      </c>
      <c r="D545" s="201">
        <v>0</v>
      </c>
      <c r="E545" s="201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 s="201">
        <v>0</v>
      </c>
    </row>
    <row r="546" spans="1:11" x14ac:dyDescent="0.25">
      <c r="A546"/>
      <c r="B546" s="201">
        <v>0</v>
      </c>
      <c r="C546">
        <v>0</v>
      </c>
      <c r="D546" s="201">
        <v>0</v>
      </c>
      <c r="E546" s="201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 s="201">
        <v>0</v>
      </c>
    </row>
    <row r="547" spans="1:11" x14ac:dyDescent="0.25">
      <c r="A547"/>
      <c r="B547" s="201">
        <v>0</v>
      </c>
      <c r="C547">
        <v>0</v>
      </c>
      <c r="D547" s="201">
        <v>0</v>
      </c>
      <c r="E547" s="201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 s="201">
        <v>0</v>
      </c>
    </row>
    <row r="548" spans="1:11" x14ac:dyDescent="0.25">
      <c r="A548"/>
      <c r="B548" s="201">
        <v>0</v>
      </c>
      <c r="C548">
        <v>0</v>
      </c>
      <c r="D548" s="201">
        <v>0</v>
      </c>
      <c r="E548" s="201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 s="201">
        <v>0</v>
      </c>
    </row>
    <row r="549" spans="1:11" x14ac:dyDescent="0.25">
      <c r="A549"/>
      <c r="B549" s="201">
        <v>0</v>
      </c>
      <c r="C549">
        <v>0</v>
      </c>
      <c r="D549" s="201">
        <v>0</v>
      </c>
      <c r="E549" s="201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 s="201">
        <v>0</v>
      </c>
    </row>
    <row r="550" spans="1:11" x14ac:dyDescent="0.25">
      <c r="A550"/>
      <c r="B550" s="201">
        <v>0</v>
      </c>
      <c r="C550">
        <v>0</v>
      </c>
      <c r="D550" s="201">
        <v>0</v>
      </c>
      <c r="E550" s="201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s="201">
        <v>0</v>
      </c>
    </row>
    <row r="551" spans="1:11" x14ac:dyDescent="0.25">
      <c r="A551"/>
      <c r="B551" s="201">
        <v>0</v>
      </c>
      <c r="C551">
        <v>0</v>
      </c>
      <c r="D551" s="201">
        <v>0</v>
      </c>
      <c r="E551" s="20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 s="201">
        <v>0</v>
      </c>
    </row>
    <row r="552" spans="1:11" x14ac:dyDescent="0.25">
      <c r="A552"/>
      <c r="B552" s="201">
        <v>0</v>
      </c>
      <c r="C552">
        <v>0</v>
      </c>
      <c r="D552" s="201">
        <v>0</v>
      </c>
      <c r="E552" s="201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s="201">
        <v>0</v>
      </c>
    </row>
    <row r="553" spans="1:11" x14ac:dyDescent="0.25">
      <c r="A553"/>
      <c r="B553" s="201">
        <v>0</v>
      </c>
      <c r="C553">
        <v>0</v>
      </c>
      <c r="D553" s="201">
        <v>0</v>
      </c>
      <c r="E553" s="201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 s="201">
        <v>0</v>
      </c>
    </row>
    <row r="554" spans="1:11" x14ac:dyDescent="0.25">
      <c r="A554"/>
      <c r="B554" s="201">
        <v>0</v>
      </c>
      <c r="C554">
        <v>0</v>
      </c>
      <c r="D554" s="201">
        <v>0</v>
      </c>
      <c r="E554" s="201">
        <v>0</v>
      </c>
      <c r="F554">
        <v>0</v>
      </c>
      <c r="G554">
        <v>-1151</v>
      </c>
      <c r="H554">
        <v>354</v>
      </c>
      <c r="I554">
        <v>-247</v>
      </c>
      <c r="J554">
        <v>938</v>
      </c>
      <c r="K554" s="201">
        <v>-123</v>
      </c>
    </row>
    <row r="555" spans="1:11" x14ac:dyDescent="0.25">
      <c r="A555"/>
      <c r="B555" s="201">
        <v>0</v>
      </c>
      <c r="C555">
        <v>0</v>
      </c>
      <c r="D555" s="201">
        <v>734</v>
      </c>
      <c r="E555" s="201">
        <v>0</v>
      </c>
      <c r="F555">
        <v>0</v>
      </c>
      <c r="G555">
        <v>0</v>
      </c>
      <c r="H555">
        <v>532</v>
      </c>
      <c r="I555">
        <v>-2</v>
      </c>
      <c r="J555">
        <v>0</v>
      </c>
      <c r="K555" s="201">
        <v>0</v>
      </c>
    </row>
    <row r="556" spans="1:11" x14ac:dyDescent="0.25">
      <c r="A556"/>
      <c r="B556" s="201">
        <v>0</v>
      </c>
      <c r="C556">
        <v>0</v>
      </c>
      <c r="D556" s="201">
        <v>0</v>
      </c>
      <c r="E556" s="201">
        <v>0</v>
      </c>
      <c r="F556">
        <v>301</v>
      </c>
      <c r="G556">
        <v>0</v>
      </c>
      <c r="H556">
        <v>0</v>
      </c>
      <c r="I556">
        <v>-1719</v>
      </c>
      <c r="J556">
        <v>0</v>
      </c>
      <c r="K556" s="201">
        <v>2117</v>
      </c>
    </row>
    <row r="557" spans="1:11" x14ac:dyDescent="0.25">
      <c r="A557"/>
      <c r="B557" s="201">
        <v>0</v>
      </c>
      <c r="C557">
        <v>123</v>
      </c>
      <c r="D557" s="201">
        <v>-51</v>
      </c>
      <c r="E557" s="201">
        <v>180</v>
      </c>
      <c r="F557">
        <v>0</v>
      </c>
      <c r="G557">
        <v>-24131</v>
      </c>
      <c r="H557">
        <v>-646</v>
      </c>
      <c r="I557">
        <v>5598</v>
      </c>
      <c r="J557">
        <v>7910</v>
      </c>
      <c r="K557" s="201">
        <v>14287</v>
      </c>
    </row>
    <row r="558" spans="1:11" x14ac:dyDescent="0.25">
      <c r="A558"/>
      <c r="B558" s="201">
        <v>-11217</v>
      </c>
      <c r="C558">
        <v>0</v>
      </c>
      <c r="D558" s="201">
        <v>7575</v>
      </c>
      <c r="E558" s="201">
        <v>0</v>
      </c>
      <c r="F558">
        <v>0</v>
      </c>
      <c r="G558">
        <v>0</v>
      </c>
      <c r="H558">
        <v>0</v>
      </c>
      <c r="I558">
        <v>0</v>
      </c>
      <c r="J558">
        <v>-4095</v>
      </c>
      <c r="K558" s="201">
        <v>0</v>
      </c>
    </row>
    <row r="559" spans="1:11" x14ac:dyDescent="0.25">
      <c r="A559"/>
      <c r="B559" s="201">
        <v>0</v>
      </c>
      <c r="C559">
        <v>0</v>
      </c>
      <c r="D559" s="201">
        <v>2400</v>
      </c>
      <c r="E559" s="201">
        <v>0</v>
      </c>
      <c r="F559">
        <v>-8227</v>
      </c>
      <c r="G559">
        <v>0</v>
      </c>
      <c r="H559">
        <v>0</v>
      </c>
      <c r="I559">
        <v>0</v>
      </c>
      <c r="J559">
        <v>0</v>
      </c>
      <c r="K559" s="201">
        <v>0</v>
      </c>
    </row>
    <row r="560" spans="1:11" x14ac:dyDescent="0.25">
      <c r="A560"/>
      <c r="B560" s="201">
        <v>0</v>
      </c>
      <c r="C560">
        <v>0</v>
      </c>
      <c r="D560" s="201">
        <v>0</v>
      </c>
      <c r="E560" s="201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s="201">
        <v>0</v>
      </c>
    </row>
    <row r="561" spans="1:11" x14ac:dyDescent="0.25">
      <c r="A561"/>
      <c r="B561" s="201">
        <v>0</v>
      </c>
      <c r="C561">
        <v>0</v>
      </c>
      <c r="D561" s="201">
        <v>0</v>
      </c>
      <c r="E561" s="20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 s="201">
        <v>0</v>
      </c>
    </row>
    <row r="562" spans="1:11" x14ac:dyDescent="0.25">
      <c r="A562"/>
      <c r="B562" s="201">
        <v>0</v>
      </c>
      <c r="C562">
        <v>0</v>
      </c>
      <c r="D562" s="201">
        <v>0</v>
      </c>
      <c r="E562" s="201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s="201">
        <v>0</v>
      </c>
    </row>
    <row r="563" spans="1:11" x14ac:dyDescent="0.25">
      <c r="A563"/>
      <c r="B563" s="201">
        <v>0</v>
      </c>
      <c r="C563">
        <v>0</v>
      </c>
      <c r="D563" s="201">
        <v>0</v>
      </c>
      <c r="E563" s="201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 s="201">
        <v>0</v>
      </c>
    </row>
    <row r="564" spans="1:11" x14ac:dyDescent="0.25">
      <c r="A564"/>
      <c r="B564" s="201">
        <v>0</v>
      </c>
      <c r="C564">
        <v>0</v>
      </c>
      <c r="D564" s="201">
        <v>0</v>
      </c>
      <c r="E564" s="201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 s="201">
        <v>0</v>
      </c>
    </row>
    <row r="565" spans="1:11" x14ac:dyDescent="0.25">
      <c r="A565"/>
      <c r="B565" s="201">
        <v>0</v>
      </c>
      <c r="C565">
        <v>0</v>
      </c>
      <c r="D565" s="201">
        <v>0</v>
      </c>
      <c r="E565" s="201">
        <v>0</v>
      </c>
      <c r="F565">
        <v>0</v>
      </c>
      <c r="G565">
        <v>0</v>
      </c>
      <c r="H565">
        <v>471</v>
      </c>
      <c r="I565">
        <v>-425</v>
      </c>
      <c r="J565">
        <v>97</v>
      </c>
      <c r="K565" s="201">
        <v>272</v>
      </c>
    </row>
    <row r="566" spans="1:11" x14ac:dyDescent="0.25">
      <c r="A566"/>
      <c r="B566" s="201">
        <v>994</v>
      </c>
      <c r="C566">
        <v>0</v>
      </c>
      <c r="D566" s="201">
        <v>0</v>
      </c>
      <c r="E566" s="201">
        <v>-407</v>
      </c>
      <c r="F566">
        <v>0</v>
      </c>
      <c r="G566">
        <v>0</v>
      </c>
      <c r="H566">
        <v>0</v>
      </c>
      <c r="I566">
        <v>-228</v>
      </c>
      <c r="J566">
        <v>-155</v>
      </c>
      <c r="K566" s="201">
        <v>0</v>
      </c>
    </row>
    <row r="567" spans="1:11" x14ac:dyDescent="0.25">
      <c r="A567"/>
      <c r="B567" s="201">
        <v>0</v>
      </c>
      <c r="C567">
        <v>0</v>
      </c>
      <c r="D567" s="201">
        <v>0</v>
      </c>
      <c r="E567" s="201">
        <v>0</v>
      </c>
      <c r="F567">
        <v>0</v>
      </c>
      <c r="G567">
        <v>-211</v>
      </c>
      <c r="H567">
        <v>0</v>
      </c>
      <c r="I567">
        <v>0</v>
      </c>
      <c r="J567">
        <v>1457</v>
      </c>
      <c r="K567" s="201">
        <v>0</v>
      </c>
    </row>
    <row r="568" spans="1:11" x14ac:dyDescent="0.25">
      <c r="A568"/>
      <c r="B568" s="201">
        <v>-1567</v>
      </c>
      <c r="C568">
        <v>0</v>
      </c>
      <c r="D568" s="201">
        <v>804</v>
      </c>
      <c r="E568" s="201">
        <v>-212</v>
      </c>
      <c r="F568">
        <v>-143</v>
      </c>
      <c r="G568">
        <v>0</v>
      </c>
      <c r="H568">
        <v>-3309</v>
      </c>
      <c r="I568">
        <v>-13628</v>
      </c>
      <c r="J568">
        <v>1720</v>
      </c>
      <c r="K568" s="201">
        <v>2301</v>
      </c>
    </row>
    <row r="569" spans="1:11" x14ac:dyDescent="0.25">
      <c r="A569"/>
      <c r="B569" s="201">
        <v>2296</v>
      </c>
      <c r="C569">
        <v>-811</v>
      </c>
      <c r="D569" s="201">
        <v>0</v>
      </c>
      <c r="E569" s="201">
        <v>989</v>
      </c>
      <c r="F569">
        <v>0</v>
      </c>
      <c r="G569">
        <v>0</v>
      </c>
      <c r="H569">
        <v>0</v>
      </c>
      <c r="I569">
        <v>0</v>
      </c>
      <c r="J569">
        <v>0</v>
      </c>
      <c r="K569" s="201">
        <v>-1039</v>
      </c>
    </row>
    <row r="570" spans="1:11" x14ac:dyDescent="0.25">
      <c r="A570"/>
      <c r="B570" s="201">
        <v>0</v>
      </c>
      <c r="C570">
        <v>0</v>
      </c>
      <c r="D570" s="201">
        <v>0</v>
      </c>
      <c r="E570" s="201">
        <v>629</v>
      </c>
      <c r="F570">
        <v>0</v>
      </c>
      <c r="G570">
        <v>-2197</v>
      </c>
      <c r="H570">
        <v>0</v>
      </c>
      <c r="I570">
        <v>0</v>
      </c>
      <c r="J570">
        <v>0</v>
      </c>
      <c r="K570" s="201">
        <v>0</v>
      </c>
    </row>
    <row r="571" spans="1:11" x14ac:dyDescent="0.25">
      <c r="A571"/>
      <c r="B571" s="201">
        <v>0</v>
      </c>
      <c r="C571">
        <v>7706</v>
      </c>
      <c r="D571" s="201">
        <v>0</v>
      </c>
      <c r="E571" s="201">
        <v>-2203</v>
      </c>
      <c r="F571">
        <v>1682</v>
      </c>
      <c r="G571">
        <v>81</v>
      </c>
      <c r="H571">
        <v>-4131</v>
      </c>
      <c r="I571">
        <v>-3398</v>
      </c>
      <c r="J571">
        <v>0</v>
      </c>
      <c r="K571" s="201">
        <v>0</v>
      </c>
    </row>
    <row r="572" spans="1:11" x14ac:dyDescent="0.25">
      <c r="A572"/>
      <c r="B572" s="201">
        <v>-69</v>
      </c>
      <c r="C572">
        <v>0</v>
      </c>
      <c r="D572" s="201">
        <v>0</v>
      </c>
      <c r="E572" s="201">
        <v>0</v>
      </c>
      <c r="F572">
        <v>-98</v>
      </c>
      <c r="G572">
        <v>98</v>
      </c>
      <c r="H572">
        <v>0</v>
      </c>
      <c r="I572">
        <v>0</v>
      </c>
      <c r="J572">
        <v>0</v>
      </c>
      <c r="K572" s="201">
        <v>0</v>
      </c>
    </row>
    <row r="573" spans="1:11" x14ac:dyDescent="0.25">
      <c r="A573"/>
      <c r="B573" s="201">
        <v>0</v>
      </c>
      <c r="C573">
        <v>0</v>
      </c>
      <c r="D573" s="201">
        <v>-127</v>
      </c>
      <c r="E573" s="201">
        <v>0</v>
      </c>
      <c r="F573">
        <v>0</v>
      </c>
      <c r="G573">
        <v>75</v>
      </c>
      <c r="H573">
        <v>0</v>
      </c>
      <c r="I573">
        <v>-114</v>
      </c>
      <c r="J573">
        <v>0</v>
      </c>
      <c r="K573" s="201">
        <v>5</v>
      </c>
    </row>
    <row r="574" spans="1:11" x14ac:dyDescent="0.25">
      <c r="A574"/>
      <c r="B574" s="201">
        <v>2976</v>
      </c>
      <c r="C574">
        <v>153</v>
      </c>
      <c r="D574" s="201">
        <v>0</v>
      </c>
      <c r="E574" s="201">
        <v>-20789</v>
      </c>
      <c r="F574">
        <v>-3370</v>
      </c>
      <c r="G574">
        <v>5769</v>
      </c>
      <c r="H574">
        <v>851</v>
      </c>
      <c r="I574">
        <v>1050</v>
      </c>
      <c r="J574">
        <v>580</v>
      </c>
      <c r="K574" s="201">
        <v>0</v>
      </c>
    </row>
    <row r="575" spans="1:11" x14ac:dyDescent="0.25">
      <c r="A575"/>
      <c r="B575" s="201">
        <v>-5220</v>
      </c>
      <c r="C575">
        <v>0</v>
      </c>
      <c r="D575" s="201">
        <v>0</v>
      </c>
      <c r="E575" s="201">
        <v>0</v>
      </c>
      <c r="F575">
        <v>0</v>
      </c>
      <c r="G575">
        <v>0</v>
      </c>
      <c r="H575">
        <v>-1390</v>
      </c>
      <c r="I575">
        <v>0</v>
      </c>
      <c r="J575">
        <v>0</v>
      </c>
      <c r="K575" s="201">
        <v>0</v>
      </c>
    </row>
    <row r="576" spans="1:11" x14ac:dyDescent="0.25">
      <c r="B576" s="201">
        <v>-5080</v>
      </c>
      <c r="C576">
        <v>0</v>
      </c>
      <c r="D576" s="201">
        <v>3688</v>
      </c>
      <c r="E576" s="201">
        <v>0</v>
      </c>
      <c r="F576">
        <v>0</v>
      </c>
      <c r="G576">
        <v>0</v>
      </c>
      <c r="H576">
        <v>0</v>
      </c>
      <c r="I576">
        <v>0</v>
      </c>
      <c r="J576">
        <v>-1635</v>
      </c>
      <c r="K576" s="201">
        <v>0</v>
      </c>
    </row>
    <row r="577" spans="1:11" x14ac:dyDescent="0.25">
      <c r="A577"/>
      <c r="B577" s="201">
        <v>-224</v>
      </c>
      <c r="C577">
        <v>0</v>
      </c>
      <c r="D577" s="201">
        <v>0</v>
      </c>
      <c r="E577" s="201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 s="201">
        <v>0</v>
      </c>
    </row>
    <row r="578" spans="1:11" x14ac:dyDescent="0.25">
      <c r="A578"/>
      <c r="B578" s="201">
        <v>0</v>
      </c>
      <c r="C578">
        <v>0</v>
      </c>
      <c r="D578" s="201">
        <v>0</v>
      </c>
      <c r="E578" s="201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s="201">
        <v>0</v>
      </c>
    </row>
    <row r="579" spans="1:11" x14ac:dyDescent="0.25">
      <c r="A579"/>
      <c r="B579" s="201">
        <v>0</v>
      </c>
      <c r="C579">
        <v>0</v>
      </c>
      <c r="D579" s="201">
        <v>0</v>
      </c>
      <c r="E579" s="201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 s="201">
        <v>0</v>
      </c>
    </row>
    <row r="580" spans="1:11" x14ac:dyDescent="0.25">
      <c r="A580"/>
      <c r="B580" s="201">
        <v>0</v>
      </c>
      <c r="C580">
        <v>0</v>
      </c>
      <c r="D580" s="201">
        <v>0</v>
      </c>
      <c r="E580" s="201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s="201">
        <v>0</v>
      </c>
    </row>
    <row r="581" spans="1:11" x14ac:dyDescent="0.25">
      <c r="A581"/>
      <c r="B581" s="201">
        <v>0</v>
      </c>
      <c r="C581">
        <v>0</v>
      </c>
      <c r="D581" s="201">
        <v>0</v>
      </c>
      <c r="E581" s="20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 s="201">
        <v>0</v>
      </c>
    </row>
    <row r="582" spans="1:11" x14ac:dyDescent="0.25">
      <c r="A582"/>
      <c r="B582" s="201">
        <v>0</v>
      </c>
      <c r="C582">
        <v>0</v>
      </c>
      <c r="D582" s="201">
        <v>0</v>
      </c>
      <c r="E582" s="201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 s="201">
        <v>0</v>
      </c>
    </row>
    <row r="583" spans="1:11" x14ac:dyDescent="0.25">
      <c r="A583"/>
      <c r="B583" s="201">
        <v>0</v>
      </c>
      <c r="C583">
        <v>0</v>
      </c>
      <c r="D583" s="201">
        <v>0</v>
      </c>
      <c r="E583" s="201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 s="201">
        <v>0</v>
      </c>
    </row>
    <row r="584" spans="1:11" x14ac:dyDescent="0.25">
      <c r="A584"/>
      <c r="B584" s="201">
        <v>0</v>
      </c>
      <c r="C584">
        <v>0</v>
      </c>
      <c r="D584" s="201">
        <v>0</v>
      </c>
      <c r="E584" s="201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 s="201">
        <v>0</v>
      </c>
    </row>
    <row r="585" spans="1:11" x14ac:dyDescent="0.25">
      <c r="A585"/>
      <c r="B585" s="201">
        <v>0</v>
      </c>
      <c r="C585">
        <v>0</v>
      </c>
      <c r="D585" s="201">
        <v>0</v>
      </c>
      <c r="E585" s="201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s="201">
        <v>0</v>
      </c>
    </row>
    <row r="586" spans="1:11" x14ac:dyDescent="0.25">
      <c r="A586"/>
      <c r="B586" s="201">
        <v>0</v>
      </c>
      <c r="C586">
        <v>0</v>
      </c>
      <c r="D586" s="201">
        <v>0</v>
      </c>
      <c r="E586" s="201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 s="201">
        <v>0</v>
      </c>
    </row>
    <row r="587" spans="1:11" x14ac:dyDescent="0.25">
      <c r="A587"/>
      <c r="B587" s="201">
        <v>0</v>
      </c>
      <c r="C587">
        <v>0</v>
      </c>
      <c r="D587" s="201">
        <v>0</v>
      </c>
      <c r="E587" s="201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s="201">
        <v>0</v>
      </c>
    </row>
    <row r="588" spans="1:11" x14ac:dyDescent="0.25">
      <c r="A588"/>
      <c r="B588" s="201">
        <v>0</v>
      </c>
      <c r="C588">
        <v>0</v>
      </c>
      <c r="D588" s="201">
        <v>0</v>
      </c>
      <c r="E588" s="201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 s="201">
        <v>0</v>
      </c>
    </row>
    <row r="589" spans="1:11" x14ac:dyDescent="0.25">
      <c r="A589"/>
      <c r="B589" s="201">
        <v>4429</v>
      </c>
      <c r="C589">
        <v>945</v>
      </c>
      <c r="D589" s="201">
        <v>1621</v>
      </c>
      <c r="E589" s="201">
        <v>-157</v>
      </c>
      <c r="F589">
        <v>-320</v>
      </c>
      <c r="G589">
        <v>0</v>
      </c>
      <c r="H589">
        <v>0</v>
      </c>
      <c r="I589">
        <v>619</v>
      </c>
      <c r="J589">
        <v>0</v>
      </c>
      <c r="K589" s="201">
        <v>0</v>
      </c>
    </row>
    <row r="590" spans="1:11" x14ac:dyDescent="0.25">
      <c r="A590"/>
      <c r="B590" s="201">
        <v>0</v>
      </c>
      <c r="C590">
        <v>-1942</v>
      </c>
      <c r="D590" s="201">
        <v>1596</v>
      </c>
      <c r="E590" s="201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 s="201">
        <v>823</v>
      </c>
    </row>
    <row r="591" spans="1:11" x14ac:dyDescent="0.25">
      <c r="A591"/>
      <c r="B591" s="201">
        <v>0</v>
      </c>
      <c r="C591">
        <v>0</v>
      </c>
      <c r="D591" s="201">
        <v>186</v>
      </c>
      <c r="E591" s="201">
        <v>0</v>
      </c>
      <c r="F591">
        <v>-260</v>
      </c>
      <c r="G591">
        <v>0</v>
      </c>
      <c r="H591">
        <v>-496</v>
      </c>
      <c r="I591">
        <v>-1711</v>
      </c>
      <c r="J591">
        <v>-775</v>
      </c>
      <c r="K591" s="201">
        <v>0</v>
      </c>
    </row>
    <row r="592" spans="1:11" x14ac:dyDescent="0.25">
      <c r="A592"/>
      <c r="B592" s="201">
        <v>2567</v>
      </c>
      <c r="C592">
        <v>389</v>
      </c>
      <c r="D592" s="201">
        <v>257</v>
      </c>
      <c r="E592" s="201">
        <v>-50</v>
      </c>
      <c r="F592">
        <v>-3836</v>
      </c>
      <c r="G592">
        <v>-3761</v>
      </c>
      <c r="H592">
        <v>0</v>
      </c>
      <c r="I592">
        <v>-148</v>
      </c>
      <c r="J592">
        <v>0</v>
      </c>
      <c r="K592" s="201">
        <v>0</v>
      </c>
    </row>
    <row r="593" spans="1:11" x14ac:dyDescent="0.25">
      <c r="A593"/>
      <c r="B593" s="201">
        <v>0</v>
      </c>
      <c r="C593">
        <v>0</v>
      </c>
      <c r="D593" s="201">
        <v>0</v>
      </c>
      <c r="E593" s="201">
        <v>1461</v>
      </c>
      <c r="F593">
        <v>0</v>
      </c>
      <c r="G593">
        <v>0</v>
      </c>
      <c r="H593">
        <v>0</v>
      </c>
      <c r="I593">
        <v>-1242</v>
      </c>
      <c r="J593">
        <v>0</v>
      </c>
      <c r="K593" s="201">
        <v>-134</v>
      </c>
    </row>
    <row r="594" spans="1:11" x14ac:dyDescent="0.25">
      <c r="A594"/>
      <c r="B594" s="201">
        <v>0</v>
      </c>
      <c r="C594">
        <v>0</v>
      </c>
      <c r="D594" s="201">
        <v>0</v>
      </c>
      <c r="E594" s="201">
        <v>0</v>
      </c>
      <c r="F594">
        <v>0</v>
      </c>
      <c r="G594">
        <v>186</v>
      </c>
      <c r="H594">
        <v>0</v>
      </c>
      <c r="I594">
        <v>794</v>
      </c>
      <c r="J594">
        <v>-6</v>
      </c>
      <c r="K594" s="201">
        <v>0</v>
      </c>
    </row>
    <row r="595" spans="1:11" x14ac:dyDescent="0.25">
      <c r="A595"/>
      <c r="B595" s="201">
        <v>0</v>
      </c>
      <c r="C595">
        <v>-300</v>
      </c>
      <c r="D595" s="201">
        <v>30175</v>
      </c>
      <c r="E595" s="201">
        <v>164</v>
      </c>
      <c r="F595">
        <v>30</v>
      </c>
      <c r="G595">
        <v>891</v>
      </c>
      <c r="H595">
        <v>0</v>
      </c>
      <c r="I595">
        <v>0</v>
      </c>
      <c r="J595">
        <v>-5</v>
      </c>
      <c r="K595" s="201">
        <v>0</v>
      </c>
    </row>
    <row r="596" spans="1:11" x14ac:dyDescent="0.25">
      <c r="A596"/>
      <c r="B596" s="201">
        <v>0</v>
      </c>
      <c r="C596">
        <v>0</v>
      </c>
      <c r="D596" s="201">
        <v>32</v>
      </c>
      <c r="E596" s="201">
        <v>204</v>
      </c>
      <c r="F596">
        <v>0</v>
      </c>
      <c r="G596">
        <v>0</v>
      </c>
      <c r="H596">
        <v>0</v>
      </c>
      <c r="I596">
        <v>0</v>
      </c>
      <c r="J596">
        <v>0</v>
      </c>
      <c r="K596" s="201">
        <v>0</v>
      </c>
    </row>
    <row r="597" spans="1:11" x14ac:dyDescent="0.25">
      <c r="A597"/>
      <c r="B597" s="201">
        <v>-193</v>
      </c>
      <c r="C597">
        <v>0</v>
      </c>
      <c r="D597" s="201">
        <v>0</v>
      </c>
      <c r="E597" s="201">
        <v>-187</v>
      </c>
      <c r="F597">
        <v>0</v>
      </c>
      <c r="G597">
        <v>222</v>
      </c>
      <c r="H597">
        <v>0</v>
      </c>
      <c r="I597">
        <v>-369</v>
      </c>
      <c r="J597">
        <v>-96</v>
      </c>
      <c r="K597" s="201">
        <v>108</v>
      </c>
    </row>
    <row r="598" spans="1:11" x14ac:dyDescent="0.25">
      <c r="A598"/>
      <c r="B598" s="201">
        <v>0</v>
      </c>
      <c r="C598">
        <v>-1485</v>
      </c>
      <c r="D598" s="201">
        <v>25013</v>
      </c>
      <c r="E598" s="201">
        <v>128</v>
      </c>
      <c r="F598">
        <v>969</v>
      </c>
      <c r="G598">
        <v>1538</v>
      </c>
      <c r="H598">
        <v>3204</v>
      </c>
      <c r="I598">
        <v>0</v>
      </c>
      <c r="J598">
        <v>64</v>
      </c>
      <c r="K598" s="201">
        <v>0</v>
      </c>
    </row>
    <row r="599" spans="1:11" x14ac:dyDescent="0.25">
      <c r="A599"/>
      <c r="B599" s="201">
        <v>0</v>
      </c>
      <c r="C599">
        <v>0</v>
      </c>
      <c r="D599" s="201">
        <v>0</v>
      </c>
      <c r="E599" s="201">
        <v>0</v>
      </c>
      <c r="F599">
        <v>-1384</v>
      </c>
      <c r="G599">
        <v>0</v>
      </c>
      <c r="H599">
        <v>0</v>
      </c>
      <c r="I599">
        <v>0</v>
      </c>
      <c r="J599">
        <v>976</v>
      </c>
      <c r="K599" s="201">
        <v>0</v>
      </c>
    </row>
    <row r="600" spans="1:11" x14ac:dyDescent="0.25">
      <c r="A600"/>
      <c r="B600" s="201">
        <v>279</v>
      </c>
      <c r="C600">
        <v>0</v>
      </c>
      <c r="D600" s="201">
        <v>0</v>
      </c>
      <c r="E600" s="201">
        <v>0</v>
      </c>
      <c r="F600">
        <v>0</v>
      </c>
      <c r="G600">
        <v>0</v>
      </c>
      <c r="H600">
        <v>-456</v>
      </c>
      <c r="I600">
        <v>0</v>
      </c>
      <c r="J600">
        <v>435</v>
      </c>
      <c r="K600" s="201">
        <v>-68</v>
      </c>
    </row>
    <row r="601" spans="1:11" x14ac:dyDescent="0.25">
      <c r="A601"/>
      <c r="B601" s="201">
        <v>0</v>
      </c>
      <c r="C601">
        <v>0</v>
      </c>
      <c r="D601" s="201">
        <v>-11247</v>
      </c>
      <c r="E601" s="2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s="201">
        <v>0</v>
      </c>
    </row>
    <row r="602" spans="1:11" x14ac:dyDescent="0.25">
      <c r="A602"/>
      <c r="B602" s="201">
        <v>0</v>
      </c>
      <c r="C602">
        <v>0</v>
      </c>
      <c r="D602" s="201">
        <v>0</v>
      </c>
      <c r="E602" s="201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s="201">
        <v>0</v>
      </c>
    </row>
    <row r="603" spans="1:11" x14ac:dyDescent="0.25">
      <c r="A603"/>
      <c r="B603" s="201">
        <v>0</v>
      </c>
      <c r="C603">
        <v>0</v>
      </c>
      <c r="D603" s="201">
        <v>0</v>
      </c>
      <c r="E603" s="201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s="201">
        <v>0</v>
      </c>
    </row>
    <row r="604" spans="1:11" x14ac:dyDescent="0.25">
      <c r="A604"/>
      <c r="B604" s="201">
        <v>0</v>
      </c>
      <c r="C604">
        <v>0</v>
      </c>
      <c r="D604" s="201">
        <v>0</v>
      </c>
      <c r="E604" s="201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 s="201">
        <v>0</v>
      </c>
    </row>
    <row r="605" spans="1:11" x14ac:dyDescent="0.25">
      <c r="A605"/>
      <c r="B605" s="201">
        <v>0</v>
      </c>
      <c r="C605">
        <v>0</v>
      </c>
      <c r="D605" s="201">
        <v>0</v>
      </c>
      <c r="E605" s="201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 s="201">
        <v>0</v>
      </c>
    </row>
    <row r="606" spans="1:11" x14ac:dyDescent="0.25">
      <c r="A606"/>
      <c r="B606" s="201">
        <v>0</v>
      </c>
      <c r="C606">
        <v>0</v>
      </c>
      <c r="D606" s="201">
        <v>0</v>
      </c>
      <c r="E606" s="201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 s="201">
        <v>0</v>
      </c>
    </row>
    <row r="607" spans="1:11" x14ac:dyDescent="0.25">
      <c r="A607"/>
      <c r="B607" s="201">
        <v>0</v>
      </c>
      <c r="C607">
        <v>0</v>
      </c>
      <c r="D607" s="201">
        <v>0</v>
      </c>
      <c r="E607" s="201">
        <v>0</v>
      </c>
      <c r="F607">
        <v>0</v>
      </c>
      <c r="G607">
        <v>0</v>
      </c>
      <c r="H607">
        <v>-2750</v>
      </c>
      <c r="I607">
        <v>-384</v>
      </c>
      <c r="J607">
        <v>-1036</v>
      </c>
      <c r="K607" s="201">
        <v>209</v>
      </c>
    </row>
    <row r="608" spans="1:11" x14ac:dyDescent="0.25">
      <c r="A608"/>
      <c r="B608" s="201">
        <v>-1199</v>
      </c>
      <c r="C608">
        <v>0</v>
      </c>
      <c r="D608" s="201">
        <v>0</v>
      </c>
      <c r="E608" s="201">
        <v>-281</v>
      </c>
      <c r="F608">
        <v>0</v>
      </c>
      <c r="G608">
        <v>0</v>
      </c>
      <c r="H608">
        <v>0</v>
      </c>
      <c r="I608">
        <v>2195</v>
      </c>
      <c r="J608">
        <v>-2760</v>
      </c>
      <c r="K608" s="201">
        <v>0</v>
      </c>
    </row>
    <row r="609" spans="1:11" x14ac:dyDescent="0.25">
      <c r="A609"/>
      <c r="B609" s="201">
        <v>0</v>
      </c>
      <c r="C609">
        <v>0</v>
      </c>
      <c r="D609" s="201">
        <v>0</v>
      </c>
      <c r="E609" s="201">
        <v>0</v>
      </c>
      <c r="F609">
        <v>0</v>
      </c>
      <c r="G609">
        <v>-549</v>
      </c>
      <c r="H609">
        <v>0</v>
      </c>
      <c r="I609">
        <v>0</v>
      </c>
      <c r="J609">
        <v>-170</v>
      </c>
      <c r="K609" s="201">
        <v>0</v>
      </c>
    </row>
    <row r="610" spans="1:11" x14ac:dyDescent="0.25">
      <c r="A610"/>
      <c r="B610" s="201">
        <v>99</v>
      </c>
      <c r="C610">
        <v>0</v>
      </c>
      <c r="D610" s="201">
        <v>752</v>
      </c>
      <c r="E610" s="201">
        <v>1214</v>
      </c>
      <c r="F610">
        <v>733</v>
      </c>
      <c r="G610">
        <v>0</v>
      </c>
      <c r="H610">
        <v>-806</v>
      </c>
      <c r="I610">
        <v>-677</v>
      </c>
      <c r="J610">
        <v>-314</v>
      </c>
      <c r="K610" s="201">
        <v>-812</v>
      </c>
    </row>
    <row r="611" spans="1:11" x14ac:dyDescent="0.25">
      <c r="A611"/>
      <c r="B611" s="201">
        <v>-558</v>
      </c>
      <c r="C611">
        <v>-520</v>
      </c>
      <c r="D611" s="201">
        <v>0</v>
      </c>
      <c r="E611" s="201">
        <v>275</v>
      </c>
      <c r="F611">
        <v>0</v>
      </c>
      <c r="G611">
        <v>0</v>
      </c>
      <c r="H611">
        <v>0</v>
      </c>
      <c r="I611">
        <v>0</v>
      </c>
      <c r="J611">
        <v>0</v>
      </c>
      <c r="K611" s="201">
        <v>-1113</v>
      </c>
    </row>
    <row r="612" spans="1:11" x14ac:dyDescent="0.25">
      <c r="A612"/>
      <c r="B612" s="201">
        <v>0</v>
      </c>
      <c r="C612">
        <v>0</v>
      </c>
      <c r="D612" s="201">
        <v>0</v>
      </c>
      <c r="E612" s="201">
        <v>1104</v>
      </c>
      <c r="F612">
        <v>0</v>
      </c>
      <c r="G612">
        <v>337</v>
      </c>
      <c r="H612">
        <v>0</v>
      </c>
      <c r="I612">
        <v>0</v>
      </c>
      <c r="J612">
        <v>0</v>
      </c>
      <c r="K612" s="201">
        <v>0</v>
      </c>
    </row>
    <row r="613" spans="1:11" x14ac:dyDescent="0.25">
      <c r="A613"/>
      <c r="B613" s="201">
        <v>0</v>
      </c>
      <c r="C613">
        <v>601</v>
      </c>
      <c r="D613" s="201">
        <v>0</v>
      </c>
      <c r="E613" s="201">
        <v>1293</v>
      </c>
      <c r="F613">
        <v>778</v>
      </c>
      <c r="G613">
        <v>0</v>
      </c>
      <c r="H613">
        <v>0</v>
      </c>
      <c r="I613">
        <v>-14766</v>
      </c>
      <c r="J613">
        <v>-7448</v>
      </c>
      <c r="K613" s="201">
        <v>0</v>
      </c>
    </row>
    <row r="614" spans="1:11" x14ac:dyDescent="0.25">
      <c r="A614"/>
      <c r="B614" s="201">
        <v>0</v>
      </c>
      <c r="C614">
        <v>0</v>
      </c>
      <c r="D614" s="201">
        <v>0</v>
      </c>
      <c r="E614" s="201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 s="201">
        <v>0</v>
      </c>
    </row>
    <row r="615" spans="1:11" x14ac:dyDescent="0.25">
      <c r="A615"/>
      <c r="B615" s="201">
        <v>0</v>
      </c>
      <c r="C615">
        <v>0</v>
      </c>
      <c r="D615" s="201">
        <v>0</v>
      </c>
      <c r="E615" s="201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 s="201">
        <v>0</v>
      </c>
    </row>
    <row r="616" spans="1:11" x14ac:dyDescent="0.25">
      <c r="A616"/>
      <c r="B616" s="201">
        <v>0</v>
      </c>
      <c r="C616">
        <v>0</v>
      </c>
      <c r="D616" s="201">
        <v>0</v>
      </c>
      <c r="E616" s="201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s="201">
        <v>0</v>
      </c>
    </row>
    <row r="617" spans="1:11" x14ac:dyDescent="0.25">
      <c r="A617"/>
      <c r="B617" s="201">
        <v>0</v>
      </c>
      <c r="C617">
        <v>0</v>
      </c>
      <c r="D617" s="201">
        <v>0</v>
      </c>
      <c r="E617" s="201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s="201">
        <v>0</v>
      </c>
    </row>
    <row r="618" spans="1:11" x14ac:dyDescent="0.25">
      <c r="A618"/>
      <c r="B618" s="201">
        <v>0</v>
      </c>
      <c r="C618">
        <v>0</v>
      </c>
      <c r="D618" s="201">
        <v>0</v>
      </c>
      <c r="E618" s="201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s="201">
        <v>0</v>
      </c>
    </row>
    <row r="619" spans="1:11" x14ac:dyDescent="0.25">
      <c r="A619"/>
      <c r="B619" s="201">
        <v>0</v>
      </c>
      <c r="C619">
        <v>0</v>
      </c>
      <c r="D619" s="201">
        <v>0</v>
      </c>
      <c r="E619" s="201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s="201">
        <v>0</v>
      </c>
    </row>
    <row r="620" spans="1:11" x14ac:dyDescent="0.25">
      <c r="A620"/>
      <c r="B620" s="201">
        <v>0</v>
      </c>
      <c r="C620">
        <v>0</v>
      </c>
      <c r="D620" s="201">
        <v>0</v>
      </c>
      <c r="E620" s="201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s="201">
        <v>0</v>
      </c>
    </row>
    <row r="621" spans="1:11" x14ac:dyDescent="0.25">
      <c r="A621"/>
      <c r="B621" s="201">
        <v>0</v>
      </c>
      <c r="C621">
        <v>0</v>
      </c>
      <c r="D621" s="201">
        <v>0</v>
      </c>
      <c r="E621" s="20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s="201">
        <v>0</v>
      </c>
    </row>
    <row r="622" spans="1:11" x14ac:dyDescent="0.25">
      <c r="A622"/>
      <c r="B622" s="201">
        <v>0</v>
      </c>
      <c r="C622">
        <v>0</v>
      </c>
      <c r="D622" s="201">
        <v>0</v>
      </c>
      <c r="E622" s="201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 s="201">
        <v>0</v>
      </c>
    </row>
    <row r="623" spans="1:11" x14ac:dyDescent="0.25">
      <c r="A623"/>
      <c r="B623" s="201">
        <v>0</v>
      </c>
      <c r="C623">
        <v>0</v>
      </c>
      <c r="D623" s="201">
        <v>0</v>
      </c>
      <c r="E623" s="201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s="201">
        <v>0</v>
      </c>
    </row>
    <row r="624" spans="1:11" x14ac:dyDescent="0.25">
      <c r="A624"/>
      <c r="B624" s="201">
        <v>0</v>
      </c>
      <c r="C624">
        <v>0</v>
      </c>
      <c r="D624" s="201">
        <v>0</v>
      </c>
      <c r="E624" s="201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s="201">
        <v>0</v>
      </c>
    </row>
    <row r="625" spans="1:11" x14ac:dyDescent="0.25">
      <c r="A625"/>
      <c r="B625" s="201">
        <v>0</v>
      </c>
      <c r="C625">
        <v>0</v>
      </c>
      <c r="D625" s="201">
        <v>0</v>
      </c>
      <c r="E625" s="201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s="201">
        <v>0</v>
      </c>
    </row>
    <row r="626" spans="1:11" x14ac:dyDescent="0.25">
      <c r="A626"/>
      <c r="B626" s="201">
        <v>0</v>
      </c>
      <c r="C626">
        <v>0</v>
      </c>
      <c r="D626" s="201">
        <v>0</v>
      </c>
      <c r="E626" s="201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s="201">
        <v>0</v>
      </c>
    </row>
    <row r="627" spans="1:11" x14ac:dyDescent="0.25">
      <c r="A627"/>
      <c r="B627" s="201">
        <v>0</v>
      </c>
      <c r="C627">
        <v>0</v>
      </c>
      <c r="D627" s="201">
        <v>0</v>
      </c>
      <c r="E627" s="201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 s="201">
        <v>0</v>
      </c>
    </row>
    <row r="628" spans="1:11" x14ac:dyDescent="0.25">
      <c r="A628"/>
      <c r="B628" s="201">
        <v>0</v>
      </c>
      <c r="C628">
        <v>0</v>
      </c>
      <c r="D628" s="201">
        <v>0</v>
      </c>
      <c r="E628" s="201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 s="201">
        <v>0</v>
      </c>
    </row>
    <row r="629" spans="1:11" x14ac:dyDescent="0.25">
      <c r="A629"/>
      <c r="B629" s="201">
        <v>0</v>
      </c>
      <c r="C629">
        <v>0</v>
      </c>
      <c r="D629" s="201">
        <v>0</v>
      </c>
      <c r="E629" s="201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 s="201">
        <v>0</v>
      </c>
    </row>
    <row r="630" spans="1:11" x14ac:dyDescent="0.25">
      <c r="A630"/>
      <c r="B630" s="201">
        <v>0</v>
      </c>
      <c r="C630">
        <v>0</v>
      </c>
      <c r="D630" s="201">
        <v>0</v>
      </c>
      <c r="E630" s="201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s="201">
        <v>0</v>
      </c>
    </row>
    <row r="631" spans="1:11" x14ac:dyDescent="0.25">
      <c r="A631"/>
      <c r="B631" s="201">
        <v>0</v>
      </c>
      <c r="C631">
        <v>0</v>
      </c>
      <c r="D631" s="201">
        <v>0</v>
      </c>
      <c r="E631" s="20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 s="201">
        <v>0</v>
      </c>
    </row>
    <row r="632" spans="1:11" x14ac:dyDescent="0.25">
      <c r="A632"/>
      <c r="B632" s="201">
        <v>0</v>
      </c>
      <c r="C632">
        <v>0</v>
      </c>
      <c r="D632" s="201">
        <v>0</v>
      </c>
      <c r="E632" s="201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 s="201">
        <v>0</v>
      </c>
    </row>
    <row r="633" spans="1:11" x14ac:dyDescent="0.25">
      <c r="A633"/>
      <c r="B633" s="201">
        <v>0</v>
      </c>
      <c r="C633">
        <v>0</v>
      </c>
      <c r="D633" s="201">
        <v>0</v>
      </c>
      <c r="E633" s="201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 s="201">
        <v>0</v>
      </c>
    </row>
    <row r="634" spans="1:11" x14ac:dyDescent="0.25">
      <c r="A634"/>
      <c r="B634" s="201">
        <v>0</v>
      </c>
      <c r="C634">
        <v>0</v>
      </c>
      <c r="D634" s="201">
        <v>0</v>
      </c>
      <c r="E634" s="201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 s="201">
        <v>0</v>
      </c>
    </row>
    <row r="635" spans="1:11" x14ac:dyDescent="0.25">
      <c r="A635"/>
      <c r="B635" s="201">
        <v>0</v>
      </c>
      <c r="C635">
        <v>0</v>
      </c>
      <c r="D635" s="201">
        <v>0</v>
      </c>
      <c r="E635" s="201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s="201">
        <v>0</v>
      </c>
    </row>
    <row r="636" spans="1:11" x14ac:dyDescent="0.25">
      <c r="A636"/>
      <c r="B636" s="201">
        <v>0</v>
      </c>
      <c r="C636">
        <v>0</v>
      </c>
      <c r="D636" s="201">
        <v>0</v>
      </c>
      <c r="E636" s="201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s="201">
        <v>0</v>
      </c>
    </row>
    <row r="637" spans="1:11" x14ac:dyDescent="0.25">
      <c r="A637"/>
      <c r="B637" s="201">
        <v>0</v>
      </c>
      <c r="C637">
        <v>0</v>
      </c>
      <c r="D637" s="201">
        <v>0</v>
      </c>
      <c r="E637" s="201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s="201">
        <v>0</v>
      </c>
    </row>
    <row r="638" spans="1:11" x14ac:dyDescent="0.25">
      <c r="A638"/>
      <c r="B638" s="201">
        <v>0</v>
      </c>
      <c r="C638">
        <v>0</v>
      </c>
      <c r="D638" s="201">
        <v>0</v>
      </c>
      <c r="E638" s="201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s="201">
        <v>0</v>
      </c>
    </row>
    <row r="639" spans="1:11" x14ac:dyDescent="0.25">
      <c r="A639"/>
      <c r="B639" s="201">
        <v>0</v>
      </c>
      <c r="C639">
        <v>0</v>
      </c>
      <c r="D639" s="201">
        <v>0</v>
      </c>
      <c r="E639" s="201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s="201">
        <v>0</v>
      </c>
    </row>
    <row r="640" spans="1:11" x14ac:dyDescent="0.25">
      <c r="A640"/>
      <c r="B640" s="201">
        <v>0</v>
      </c>
      <c r="C640">
        <v>0</v>
      </c>
      <c r="D640" s="201">
        <v>0</v>
      </c>
      <c r="E640" s="201">
        <v>0</v>
      </c>
      <c r="F640">
        <v>0</v>
      </c>
      <c r="G640">
        <v>0</v>
      </c>
      <c r="H640">
        <v>-2194</v>
      </c>
      <c r="I640">
        <v>785</v>
      </c>
      <c r="J640">
        <v>-1218</v>
      </c>
      <c r="K640" s="201">
        <v>-606</v>
      </c>
    </row>
    <row r="641" spans="1:11" x14ac:dyDescent="0.25">
      <c r="A641"/>
      <c r="B641" s="201">
        <v>-2505</v>
      </c>
      <c r="C641">
        <v>0</v>
      </c>
      <c r="D641" s="201">
        <v>0</v>
      </c>
      <c r="E641" s="201">
        <v>-75</v>
      </c>
      <c r="F641">
        <v>0</v>
      </c>
      <c r="G641">
        <v>0</v>
      </c>
      <c r="H641">
        <v>0</v>
      </c>
      <c r="I641">
        <v>1094</v>
      </c>
      <c r="J641">
        <v>-1400</v>
      </c>
      <c r="K641" s="201">
        <v>0</v>
      </c>
    </row>
    <row r="642" spans="1:11" x14ac:dyDescent="0.25">
      <c r="A642"/>
      <c r="B642" s="201">
        <v>0</v>
      </c>
      <c r="C642">
        <v>0</v>
      </c>
      <c r="D642" s="201">
        <v>0</v>
      </c>
      <c r="E642" s="201">
        <v>0</v>
      </c>
      <c r="F642">
        <v>0</v>
      </c>
      <c r="G642">
        <v>-903</v>
      </c>
      <c r="H642">
        <v>0</v>
      </c>
      <c r="I642">
        <v>0</v>
      </c>
      <c r="J642">
        <v>242</v>
      </c>
      <c r="K642" s="201">
        <v>0</v>
      </c>
    </row>
    <row r="643" spans="1:11" x14ac:dyDescent="0.25">
      <c r="A643"/>
      <c r="B643" s="201">
        <v>-348</v>
      </c>
      <c r="C643">
        <v>0</v>
      </c>
      <c r="D643" s="201">
        <v>208</v>
      </c>
      <c r="E643" s="201">
        <v>1273</v>
      </c>
      <c r="F643">
        <v>598</v>
      </c>
      <c r="G643">
        <v>0</v>
      </c>
      <c r="H643">
        <v>476</v>
      </c>
      <c r="I643">
        <v>-426</v>
      </c>
      <c r="J643">
        <v>-735</v>
      </c>
      <c r="K643" s="201">
        <v>-1695</v>
      </c>
    </row>
    <row r="644" spans="1:11" x14ac:dyDescent="0.25">
      <c r="A644"/>
      <c r="B644" s="201">
        <v>-3605</v>
      </c>
      <c r="C644">
        <v>-2185</v>
      </c>
      <c r="D644" s="201">
        <v>0</v>
      </c>
      <c r="E644" s="201">
        <v>280</v>
      </c>
      <c r="F644">
        <v>0</v>
      </c>
      <c r="G644">
        <v>0</v>
      </c>
      <c r="H644">
        <v>0</v>
      </c>
      <c r="I644">
        <v>0</v>
      </c>
      <c r="J644">
        <v>0</v>
      </c>
      <c r="K644" s="201">
        <v>28</v>
      </c>
    </row>
    <row r="645" spans="1:11" x14ac:dyDescent="0.25">
      <c r="A645"/>
      <c r="B645" s="201">
        <v>0</v>
      </c>
      <c r="C645">
        <v>0</v>
      </c>
      <c r="D645" s="201">
        <v>0</v>
      </c>
      <c r="E645" s="201">
        <v>-56</v>
      </c>
      <c r="F645">
        <v>0</v>
      </c>
      <c r="G645">
        <v>329</v>
      </c>
      <c r="H645">
        <v>0</v>
      </c>
      <c r="I645">
        <v>0</v>
      </c>
      <c r="J645">
        <v>0</v>
      </c>
      <c r="K645" s="201">
        <v>0</v>
      </c>
    </row>
    <row r="646" spans="1:11" x14ac:dyDescent="0.25">
      <c r="A646"/>
      <c r="B646" s="201">
        <v>0</v>
      </c>
      <c r="C646">
        <v>2653</v>
      </c>
      <c r="D646" s="201">
        <v>0</v>
      </c>
      <c r="E646" s="201">
        <v>4245</v>
      </c>
      <c r="F646">
        <v>875</v>
      </c>
      <c r="G646">
        <v>0</v>
      </c>
      <c r="H646">
        <v>0</v>
      </c>
      <c r="I646">
        <v>18896</v>
      </c>
      <c r="J646">
        <v>5861</v>
      </c>
      <c r="K646" s="201">
        <v>0</v>
      </c>
    </row>
    <row r="647" spans="1:11" x14ac:dyDescent="0.25">
      <c r="A647"/>
      <c r="B647" s="201">
        <v>18062</v>
      </c>
      <c r="C647">
        <v>0</v>
      </c>
      <c r="D647" s="201">
        <v>0</v>
      </c>
      <c r="E647" s="201">
        <v>0</v>
      </c>
      <c r="F647">
        <v>0</v>
      </c>
      <c r="G647">
        <v>-497</v>
      </c>
      <c r="H647">
        <v>-39</v>
      </c>
      <c r="I647">
        <v>101</v>
      </c>
      <c r="J647">
        <v>290</v>
      </c>
      <c r="K647" s="201">
        <v>336</v>
      </c>
    </row>
    <row r="648" spans="1:11" x14ac:dyDescent="0.25">
      <c r="A648"/>
      <c r="B648" s="201">
        <v>0</v>
      </c>
      <c r="C648">
        <v>0</v>
      </c>
      <c r="D648" s="201">
        <v>27</v>
      </c>
      <c r="E648" s="201">
        <v>0</v>
      </c>
      <c r="F648">
        <v>0</v>
      </c>
      <c r="G648">
        <v>0</v>
      </c>
      <c r="H648">
        <v>546</v>
      </c>
      <c r="I648">
        <v>-562</v>
      </c>
      <c r="J648">
        <v>0</v>
      </c>
      <c r="K648" s="201">
        <v>0</v>
      </c>
    </row>
    <row r="649" spans="1:11" x14ac:dyDescent="0.25">
      <c r="A649"/>
      <c r="B649" s="201">
        <v>0</v>
      </c>
      <c r="C649">
        <v>0</v>
      </c>
      <c r="D649" s="201">
        <v>0</v>
      </c>
      <c r="E649" s="201">
        <v>0</v>
      </c>
      <c r="F649">
        <v>103</v>
      </c>
      <c r="G649">
        <v>0</v>
      </c>
      <c r="H649">
        <v>0</v>
      </c>
      <c r="I649">
        <v>157</v>
      </c>
      <c r="J649">
        <v>0</v>
      </c>
      <c r="K649" s="201">
        <v>-320</v>
      </c>
    </row>
    <row r="650" spans="1:11" x14ac:dyDescent="0.25">
      <c r="A650"/>
      <c r="B650" s="201">
        <v>0</v>
      </c>
      <c r="C650">
        <v>-515</v>
      </c>
      <c r="D650" s="201">
        <v>231</v>
      </c>
      <c r="E650" s="201">
        <v>191</v>
      </c>
      <c r="F650">
        <v>0</v>
      </c>
      <c r="G650">
        <v>76</v>
      </c>
      <c r="H650">
        <v>61</v>
      </c>
      <c r="I650">
        <v>237</v>
      </c>
      <c r="J650">
        <v>155</v>
      </c>
      <c r="K650" s="201">
        <v>-227</v>
      </c>
    </row>
    <row r="651" spans="1:11" x14ac:dyDescent="0.25">
      <c r="A651"/>
      <c r="B651" s="201">
        <v>-291</v>
      </c>
      <c r="C651">
        <v>0</v>
      </c>
      <c r="D651" s="201">
        <v>-36</v>
      </c>
      <c r="E651" s="20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s="201">
        <v>0</v>
      </c>
    </row>
    <row r="652" spans="1:11" x14ac:dyDescent="0.25">
      <c r="A652"/>
      <c r="B652" s="201">
        <v>0</v>
      </c>
      <c r="C652">
        <v>0</v>
      </c>
      <c r="D652" s="201">
        <v>-136</v>
      </c>
      <c r="E652" s="201">
        <v>0</v>
      </c>
      <c r="F652">
        <v>47</v>
      </c>
      <c r="G652">
        <v>0</v>
      </c>
      <c r="H652">
        <v>0</v>
      </c>
      <c r="I652">
        <v>0</v>
      </c>
      <c r="J652">
        <v>0</v>
      </c>
      <c r="K652" s="201">
        <v>0</v>
      </c>
    </row>
    <row r="653" spans="1:11" x14ac:dyDescent="0.25">
      <c r="A653"/>
      <c r="B653" s="201">
        <v>-1214</v>
      </c>
      <c r="C653">
        <v>0</v>
      </c>
      <c r="D653" s="201">
        <v>-441</v>
      </c>
      <c r="E653" s="201">
        <v>193</v>
      </c>
      <c r="F653">
        <v>0</v>
      </c>
      <c r="G653">
        <v>0</v>
      </c>
      <c r="H653">
        <v>1546</v>
      </c>
      <c r="I653">
        <v>217</v>
      </c>
      <c r="J653">
        <v>0</v>
      </c>
      <c r="K653" s="201">
        <v>-8119</v>
      </c>
    </row>
    <row r="654" spans="1:11" x14ac:dyDescent="0.25">
      <c r="A654"/>
      <c r="B654" s="201">
        <v>0</v>
      </c>
      <c r="C654">
        <v>0</v>
      </c>
      <c r="D654" s="201">
        <v>0</v>
      </c>
      <c r="E654" s="201">
        <v>0</v>
      </c>
      <c r="F654">
        <v>-2153</v>
      </c>
      <c r="G654">
        <v>-446</v>
      </c>
      <c r="H654">
        <v>-38</v>
      </c>
      <c r="I654">
        <v>109</v>
      </c>
      <c r="J654">
        <v>110</v>
      </c>
      <c r="K654" s="201">
        <v>330</v>
      </c>
    </row>
    <row r="655" spans="1:11" x14ac:dyDescent="0.25">
      <c r="A655"/>
      <c r="B655" s="201">
        <v>0</v>
      </c>
      <c r="C655">
        <v>0</v>
      </c>
      <c r="D655" s="201">
        <v>-80</v>
      </c>
      <c r="E655" s="201">
        <v>0</v>
      </c>
      <c r="F655">
        <v>0</v>
      </c>
      <c r="G655">
        <v>0</v>
      </c>
      <c r="H655">
        <v>434</v>
      </c>
      <c r="I655">
        <v>-341</v>
      </c>
      <c r="J655">
        <v>0</v>
      </c>
      <c r="K655" s="201">
        <v>0</v>
      </c>
    </row>
    <row r="656" spans="1:11" x14ac:dyDescent="0.25">
      <c r="A656"/>
      <c r="B656" s="201">
        <v>0</v>
      </c>
      <c r="C656">
        <v>0</v>
      </c>
      <c r="D656" s="201">
        <v>0</v>
      </c>
      <c r="E656" s="201">
        <v>0</v>
      </c>
      <c r="F656">
        <v>81</v>
      </c>
      <c r="G656">
        <v>0</v>
      </c>
      <c r="H656">
        <v>0</v>
      </c>
      <c r="I656">
        <v>6</v>
      </c>
      <c r="J656">
        <v>0</v>
      </c>
      <c r="K656" s="201">
        <v>-77</v>
      </c>
    </row>
    <row r="657" spans="1:11" x14ac:dyDescent="0.25">
      <c r="A657"/>
      <c r="B657" s="201">
        <v>0</v>
      </c>
      <c r="C657">
        <v>-292</v>
      </c>
      <c r="D657" s="201">
        <v>179</v>
      </c>
      <c r="E657" s="201">
        <v>125</v>
      </c>
      <c r="F657">
        <v>0</v>
      </c>
      <c r="G657">
        <v>93</v>
      </c>
      <c r="H657">
        <v>6</v>
      </c>
      <c r="I657">
        <v>210</v>
      </c>
      <c r="J657">
        <v>313</v>
      </c>
      <c r="K657" s="201">
        <v>65</v>
      </c>
    </row>
    <row r="658" spans="1:11" x14ac:dyDescent="0.25">
      <c r="A658"/>
      <c r="B658" s="201">
        <v>66</v>
      </c>
      <c r="C658">
        <v>0</v>
      </c>
      <c r="D658" s="201">
        <v>198</v>
      </c>
      <c r="E658" s="201">
        <v>0</v>
      </c>
      <c r="F658">
        <v>0</v>
      </c>
      <c r="G658">
        <v>0</v>
      </c>
      <c r="H658">
        <v>0</v>
      </c>
      <c r="I658">
        <v>0</v>
      </c>
      <c r="J658">
        <v>58</v>
      </c>
      <c r="K658" s="201">
        <v>0</v>
      </c>
    </row>
    <row r="659" spans="1:11" x14ac:dyDescent="0.25">
      <c r="A659"/>
      <c r="B659" s="201">
        <v>0</v>
      </c>
      <c r="C659">
        <v>0</v>
      </c>
      <c r="D659" s="201">
        <v>-116</v>
      </c>
      <c r="E659" s="201">
        <v>0</v>
      </c>
      <c r="F659">
        <v>28</v>
      </c>
      <c r="G659">
        <v>0</v>
      </c>
      <c r="H659">
        <v>0</v>
      </c>
      <c r="I659">
        <v>0</v>
      </c>
      <c r="J659">
        <v>0</v>
      </c>
      <c r="K659" s="201">
        <v>0</v>
      </c>
    </row>
    <row r="660" spans="1:11" x14ac:dyDescent="0.25">
      <c r="A660"/>
      <c r="B660" s="201">
        <v>-1255</v>
      </c>
      <c r="C660">
        <v>0</v>
      </c>
      <c r="D660" s="201">
        <v>-394</v>
      </c>
      <c r="E660" s="201">
        <v>-70</v>
      </c>
      <c r="F660">
        <v>0</v>
      </c>
      <c r="G660">
        <v>0</v>
      </c>
      <c r="H660">
        <v>-1900</v>
      </c>
      <c r="I660">
        <v>-1304</v>
      </c>
      <c r="J660">
        <v>0</v>
      </c>
      <c r="K660" s="201">
        <v>-7296</v>
      </c>
    </row>
    <row r="661" spans="1:11" x14ac:dyDescent="0.25">
      <c r="A661"/>
      <c r="B661" s="201">
        <v>0</v>
      </c>
      <c r="C661">
        <v>0</v>
      </c>
      <c r="D661" s="201">
        <v>0</v>
      </c>
      <c r="E661" s="201">
        <v>0</v>
      </c>
      <c r="F661">
        <v>-3423</v>
      </c>
      <c r="G661">
        <v>23961</v>
      </c>
      <c r="H661">
        <v>0</v>
      </c>
      <c r="I661">
        <v>0</v>
      </c>
      <c r="J661">
        <v>0</v>
      </c>
      <c r="K661" s="201">
        <v>0</v>
      </c>
    </row>
    <row r="662" spans="1:11" x14ac:dyDescent="0.25">
      <c r="A662"/>
      <c r="B662" s="201">
        <v>0</v>
      </c>
      <c r="C662">
        <v>0</v>
      </c>
      <c r="D662" s="201">
        <v>0</v>
      </c>
      <c r="E662" s="201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 s="201">
        <v>0</v>
      </c>
    </row>
    <row r="663" spans="1:11" x14ac:dyDescent="0.25">
      <c r="A663"/>
      <c r="B663" s="201">
        <v>0</v>
      </c>
      <c r="C663">
        <v>0</v>
      </c>
      <c r="D663" s="201">
        <v>0</v>
      </c>
      <c r="E663" s="201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 s="201">
        <v>0</v>
      </c>
    </row>
    <row r="664" spans="1:11" x14ac:dyDescent="0.25">
      <c r="A664"/>
      <c r="B664" s="201">
        <v>0</v>
      </c>
      <c r="C664">
        <v>0</v>
      </c>
      <c r="D664" s="201">
        <v>0</v>
      </c>
      <c r="E664" s="201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 s="201">
        <v>0</v>
      </c>
    </row>
    <row r="665" spans="1:11" x14ac:dyDescent="0.25">
      <c r="A665"/>
      <c r="B665" s="201">
        <v>0</v>
      </c>
      <c r="C665">
        <v>0</v>
      </c>
      <c r="D665" s="201">
        <v>0</v>
      </c>
      <c r="E665" s="201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 s="201">
        <v>0</v>
      </c>
    </row>
    <row r="666" spans="1:11" x14ac:dyDescent="0.25">
      <c r="A666"/>
      <c r="B666" s="201">
        <v>0</v>
      </c>
      <c r="C666">
        <v>0</v>
      </c>
      <c r="D666" s="201">
        <v>0</v>
      </c>
      <c r="E666" s="201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 s="201">
        <v>0</v>
      </c>
    </row>
    <row r="667" spans="1:11" x14ac:dyDescent="0.25">
      <c r="A667"/>
      <c r="B667" s="201">
        <v>0</v>
      </c>
      <c r="C667">
        <v>0</v>
      </c>
      <c r="D667" s="201">
        <v>0</v>
      </c>
      <c r="E667" s="201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 s="201">
        <v>0</v>
      </c>
    </row>
    <row r="668" spans="1:11" x14ac:dyDescent="0.25">
      <c r="A668"/>
      <c r="B668" s="201">
        <v>0</v>
      </c>
      <c r="C668">
        <v>0</v>
      </c>
      <c r="D668" s="201">
        <v>0</v>
      </c>
      <c r="E668" s="201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 s="201">
        <v>0</v>
      </c>
    </row>
    <row r="669" spans="1:11" x14ac:dyDescent="0.25">
      <c r="A669"/>
      <c r="B669" s="201">
        <v>0</v>
      </c>
      <c r="C669">
        <v>0</v>
      </c>
      <c r="D669" s="201">
        <v>0</v>
      </c>
      <c r="E669" s="201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 s="201">
        <v>0</v>
      </c>
    </row>
    <row r="670" spans="1:11" x14ac:dyDescent="0.25">
      <c r="A670"/>
      <c r="B670" s="201">
        <v>0</v>
      </c>
      <c r="C670">
        <v>0</v>
      </c>
      <c r="D670" s="201">
        <v>0</v>
      </c>
      <c r="E670" s="201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s="201">
        <v>0</v>
      </c>
    </row>
    <row r="671" spans="1:11" x14ac:dyDescent="0.25">
      <c r="A671"/>
      <c r="B671" s="201">
        <v>0</v>
      </c>
      <c r="C671">
        <v>0</v>
      </c>
      <c r="D671" s="201">
        <v>0</v>
      </c>
      <c r="E671" s="20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 s="201">
        <v>0</v>
      </c>
    </row>
    <row r="672" spans="1:11" x14ac:dyDescent="0.25">
      <c r="A672"/>
      <c r="B672" s="201">
        <v>0</v>
      </c>
      <c r="C672">
        <v>0</v>
      </c>
      <c r="D672" s="201">
        <v>0</v>
      </c>
      <c r="E672" s="201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 s="201">
        <v>0</v>
      </c>
    </row>
    <row r="673" spans="1:11" x14ac:dyDescent="0.25">
      <c r="A673"/>
      <c r="B673" s="201">
        <v>0</v>
      </c>
      <c r="C673">
        <v>0</v>
      </c>
      <c r="D673" s="201">
        <v>0</v>
      </c>
      <c r="E673" s="201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 s="201">
        <v>0</v>
      </c>
    </row>
    <row r="674" spans="1:11" x14ac:dyDescent="0.25">
      <c r="A674"/>
      <c r="B674" s="201">
        <v>0</v>
      </c>
      <c r="C674">
        <v>0</v>
      </c>
      <c r="D674" s="201">
        <v>0</v>
      </c>
      <c r="E674" s="201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 s="201">
        <v>0</v>
      </c>
    </row>
    <row r="675" spans="1:11" x14ac:dyDescent="0.25">
      <c r="A675"/>
      <c r="B675" s="201">
        <v>0</v>
      </c>
      <c r="C675">
        <v>0</v>
      </c>
      <c r="D675" s="201">
        <v>0</v>
      </c>
      <c r="E675" s="201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 s="201">
        <v>0</v>
      </c>
    </row>
    <row r="676" spans="1:11" x14ac:dyDescent="0.25">
      <c r="A676"/>
      <c r="B676" s="201">
        <v>0</v>
      </c>
      <c r="C676">
        <v>-85</v>
      </c>
      <c r="D676" s="201">
        <v>-295</v>
      </c>
      <c r="E676" s="201">
        <v>307</v>
      </c>
      <c r="F676">
        <v>266</v>
      </c>
      <c r="G676">
        <v>-228</v>
      </c>
      <c r="H676">
        <v>0</v>
      </c>
      <c r="I676">
        <v>0</v>
      </c>
      <c r="J676">
        <v>-246</v>
      </c>
      <c r="K676" s="201">
        <v>0</v>
      </c>
    </row>
    <row r="677" spans="1:11" x14ac:dyDescent="0.25">
      <c r="A677"/>
      <c r="B677" s="201">
        <v>0</v>
      </c>
      <c r="C677">
        <v>0</v>
      </c>
      <c r="D677" s="201">
        <v>240</v>
      </c>
      <c r="E677" s="201">
        <v>-480</v>
      </c>
      <c r="F677">
        <v>0</v>
      </c>
      <c r="G677">
        <v>0</v>
      </c>
      <c r="H677">
        <v>0</v>
      </c>
      <c r="I677">
        <v>0</v>
      </c>
      <c r="J677">
        <v>0</v>
      </c>
      <c r="K677" s="201">
        <v>0</v>
      </c>
    </row>
    <row r="678" spans="1:11" x14ac:dyDescent="0.25">
      <c r="A678"/>
      <c r="B678" s="201">
        <v>-244</v>
      </c>
      <c r="C678">
        <v>0</v>
      </c>
      <c r="D678" s="201">
        <v>0</v>
      </c>
      <c r="E678" s="201">
        <v>-70</v>
      </c>
      <c r="F678">
        <v>0</v>
      </c>
      <c r="G678">
        <v>-13</v>
      </c>
      <c r="H678">
        <v>0</v>
      </c>
      <c r="I678">
        <v>141</v>
      </c>
      <c r="J678">
        <v>182</v>
      </c>
      <c r="K678" s="201">
        <v>-83</v>
      </c>
    </row>
    <row r="679" spans="1:11" x14ac:dyDescent="0.25">
      <c r="A679"/>
      <c r="B679" s="201">
        <v>0</v>
      </c>
      <c r="C679">
        <v>66</v>
      </c>
      <c r="D679" s="201">
        <v>-264</v>
      </c>
      <c r="E679" s="201">
        <v>352</v>
      </c>
      <c r="F679">
        <v>-253</v>
      </c>
      <c r="G679">
        <v>-111</v>
      </c>
      <c r="H679">
        <v>28</v>
      </c>
      <c r="I679">
        <v>0</v>
      </c>
      <c r="J679">
        <v>-52</v>
      </c>
      <c r="K679" s="201">
        <v>0</v>
      </c>
    </row>
    <row r="680" spans="1:11" x14ac:dyDescent="0.25">
      <c r="A680"/>
      <c r="B680" s="201">
        <v>0</v>
      </c>
      <c r="C680">
        <v>0</v>
      </c>
      <c r="D680" s="201">
        <v>0</v>
      </c>
      <c r="E680" s="201">
        <v>0</v>
      </c>
      <c r="F680">
        <v>-107</v>
      </c>
      <c r="G680">
        <v>0</v>
      </c>
      <c r="H680">
        <v>0</v>
      </c>
      <c r="I680">
        <v>0</v>
      </c>
      <c r="J680">
        <v>-268</v>
      </c>
      <c r="K680" s="201">
        <v>0</v>
      </c>
    </row>
    <row r="681" spans="1:11" x14ac:dyDescent="0.25">
      <c r="A681"/>
      <c r="B681" s="201">
        <v>-45</v>
      </c>
      <c r="C681">
        <v>0</v>
      </c>
      <c r="D681" s="201">
        <v>0</v>
      </c>
      <c r="E681" s="201">
        <v>0</v>
      </c>
      <c r="F681">
        <v>0</v>
      </c>
      <c r="G681">
        <v>0</v>
      </c>
      <c r="H681">
        <v>312</v>
      </c>
      <c r="I681">
        <v>0</v>
      </c>
      <c r="J681">
        <v>235</v>
      </c>
      <c r="K681" s="201">
        <v>20</v>
      </c>
    </row>
    <row r="682" spans="1:11" x14ac:dyDescent="0.25">
      <c r="A682"/>
      <c r="B682" s="201">
        <v>0</v>
      </c>
      <c r="C682">
        <v>0</v>
      </c>
      <c r="D682" s="201">
        <v>-7831</v>
      </c>
      <c r="E682" s="201">
        <v>-4716</v>
      </c>
      <c r="F682">
        <v>0</v>
      </c>
      <c r="G682">
        <v>-10396</v>
      </c>
      <c r="H682">
        <v>0</v>
      </c>
      <c r="I682">
        <v>0</v>
      </c>
      <c r="J682">
        <v>0</v>
      </c>
      <c r="K682" s="201">
        <v>0</v>
      </c>
    </row>
    <row r="683" spans="1:11" x14ac:dyDescent="0.25">
      <c r="A683"/>
      <c r="B683" s="201">
        <v>867</v>
      </c>
      <c r="C683">
        <v>-19138</v>
      </c>
      <c r="D683" s="201">
        <v>-8414</v>
      </c>
      <c r="E683" s="201">
        <v>0</v>
      </c>
      <c r="F683">
        <v>0</v>
      </c>
      <c r="G683">
        <v>2016</v>
      </c>
      <c r="H683">
        <v>176</v>
      </c>
      <c r="I683">
        <v>-823</v>
      </c>
      <c r="J683">
        <v>-561</v>
      </c>
      <c r="K683" s="201">
        <v>-536</v>
      </c>
    </row>
    <row r="684" spans="1:11" x14ac:dyDescent="0.25">
      <c r="A684"/>
      <c r="B684" s="201">
        <v>0</v>
      </c>
      <c r="C684">
        <v>0</v>
      </c>
      <c r="D684" s="201">
        <v>170</v>
      </c>
      <c r="E684" s="201">
        <v>0</v>
      </c>
      <c r="F684">
        <v>0</v>
      </c>
      <c r="G684">
        <v>0</v>
      </c>
      <c r="H684">
        <v>-1168</v>
      </c>
      <c r="I684">
        <v>1158</v>
      </c>
      <c r="J684">
        <v>0</v>
      </c>
      <c r="K684" s="201">
        <v>0</v>
      </c>
    </row>
    <row r="685" spans="1:11" x14ac:dyDescent="0.25">
      <c r="A685"/>
      <c r="B685" s="201">
        <v>0</v>
      </c>
      <c r="C685">
        <v>0</v>
      </c>
      <c r="D685" s="201">
        <v>0</v>
      </c>
      <c r="E685" s="201">
        <v>0</v>
      </c>
      <c r="F685">
        <v>65</v>
      </c>
      <c r="G685">
        <v>0</v>
      </c>
      <c r="H685">
        <v>0</v>
      </c>
      <c r="I685">
        <v>77</v>
      </c>
      <c r="J685">
        <v>0</v>
      </c>
      <c r="K685" s="201">
        <v>24</v>
      </c>
    </row>
    <row r="686" spans="1:11" x14ac:dyDescent="0.25">
      <c r="A686"/>
      <c r="B686" s="201">
        <v>0</v>
      </c>
      <c r="C686">
        <v>-160</v>
      </c>
      <c r="D686" s="201">
        <v>-765</v>
      </c>
      <c r="E686" s="201">
        <v>-365</v>
      </c>
      <c r="F686">
        <v>0</v>
      </c>
      <c r="G686">
        <v>-98</v>
      </c>
      <c r="H686">
        <v>-108</v>
      </c>
      <c r="I686">
        <v>-594</v>
      </c>
      <c r="J686">
        <v>-317</v>
      </c>
      <c r="K686" s="201">
        <v>-217</v>
      </c>
    </row>
    <row r="687" spans="1:11" x14ac:dyDescent="0.25">
      <c r="A687"/>
      <c r="B687" s="201">
        <v>-78</v>
      </c>
      <c r="C687">
        <v>0</v>
      </c>
      <c r="D687" s="201">
        <v>83</v>
      </c>
      <c r="E687" s="201">
        <v>0</v>
      </c>
      <c r="F687">
        <v>0</v>
      </c>
      <c r="G687">
        <v>0</v>
      </c>
      <c r="H687">
        <v>0</v>
      </c>
      <c r="I687">
        <v>0</v>
      </c>
      <c r="J687">
        <v>-196</v>
      </c>
      <c r="K687" s="201">
        <v>0</v>
      </c>
    </row>
    <row r="688" spans="1:11" x14ac:dyDescent="0.25">
      <c r="A688"/>
      <c r="B688" s="201">
        <v>0</v>
      </c>
      <c r="C688">
        <v>0</v>
      </c>
      <c r="D688" s="201">
        <v>535</v>
      </c>
      <c r="E688" s="201">
        <v>0</v>
      </c>
      <c r="F688">
        <v>173</v>
      </c>
      <c r="G688">
        <v>0</v>
      </c>
      <c r="H688">
        <v>0</v>
      </c>
      <c r="I688">
        <v>0</v>
      </c>
      <c r="J688">
        <v>0</v>
      </c>
      <c r="K688" s="201">
        <v>0</v>
      </c>
    </row>
    <row r="689" spans="1:11" x14ac:dyDescent="0.25">
      <c r="A689"/>
      <c r="B689" s="201">
        <v>190</v>
      </c>
      <c r="C689">
        <v>0</v>
      </c>
      <c r="D689" s="201">
        <v>114</v>
      </c>
      <c r="E689" s="201">
        <v>258</v>
      </c>
      <c r="F689">
        <v>0</v>
      </c>
      <c r="G689">
        <v>0</v>
      </c>
      <c r="H689">
        <v>-1008</v>
      </c>
      <c r="I689">
        <v>-1269</v>
      </c>
      <c r="J689">
        <v>0</v>
      </c>
      <c r="K689" s="201">
        <v>12117</v>
      </c>
    </row>
    <row r="690" spans="1:11" x14ac:dyDescent="0.25">
      <c r="A690"/>
      <c r="B690" s="201">
        <v>0</v>
      </c>
      <c r="C690">
        <v>0</v>
      </c>
      <c r="D690" s="201">
        <v>0</v>
      </c>
      <c r="E690" s="201">
        <v>0</v>
      </c>
      <c r="F690">
        <v>3292</v>
      </c>
      <c r="G690">
        <v>1689</v>
      </c>
      <c r="H690">
        <v>-4329</v>
      </c>
      <c r="I690">
        <v>0</v>
      </c>
      <c r="J690">
        <v>0</v>
      </c>
      <c r="K690" s="201">
        <v>-35258</v>
      </c>
    </row>
    <row r="691" spans="1:11" x14ac:dyDescent="0.25">
      <c r="A691"/>
      <c r="B691" s="201">
        <v>0</v>
      </c>
      <c r="C691">
        <v>0</v>
      </c>
      <c r="D691" s="201">
        <v>0</v>
      </c>
      <c r="E691" s="20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 s="201">
        <v>0</v>
      </c>
    </row>
    <row r="692" spans="1:11" x14ac:dyDescent="0.25">
      <c r="A692"/>
      <c r="B692" s="201">
        <v>0</v>
      </c>
      <c r="C692">
        <v>0</v>
      </c>
      <c r="D692" s="201">
        <v>0</v>
      </c>
      <c r="E692" s="201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s="201">
        <v>0</v>
      </c>
    </row>
    <row r="693" spans="1:11" x14ac:dyDescent="0.25">
      <c r="A693"/>
      <c r="B693" s="201">
        <v>0</v>
      </c>
      <c r="C693">
        <v>0</v>
      </c>
      <c r="D693" s="201">
        <v>0</v>
      </c>
      <c r="E693" s="201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 s="201">
        <v>0</v>
      </c>
    </row>
    <row r="694" spans="1:11" x14ac:dyDescent="0.25">
      <c r="A694"/>
      <c r="B694" s="201">
        <v>0</v>
      </c>
      <c r="C694">
        <v>0</v>
      </c>
      <c r="D694" s="201">
        <v>0</v>
      </c>
      <c r="E694" s="201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s="201">
        <v>0</v>
      </c>
    </row>
    <row r="695" spans="1:11" x14ac:dyDescent="0.25">
      <c r="A695"/>
      <c r="B695" s="201">
        <v>0</v>
      </c>
      <c r="C695">
        <v>0</v>
      </c>
      <c r="D695" s="201">
        <v>0</v>
      </c>
      <c r="E695" s="201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 s="201">
        <v>0</v>
      </c>
    </row>
    <row r="696" spans="1:11" x14ac:dyDescent="0.25">
      <c r="A696"/>
      <c r="B696" s="201">
        <v>0</v>
      </c>
      <c r="C696">
        <v>0</v>
      </c>
      <c r="D696" s="201">
        <v>0</v>
      </c>
      <c r="E696" s="201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s="201">
        <v>0</v>
      </c>
    </row>
    <row r="697" spans="1:11" x14ac:dyDescent="0.25">
      <c r="A697"/>
      <c r="B697" s="201">
        <v>0</v>
      </c>
      <c r="C697">
        <v>0</v>
      </c>
      <c r="D697" s="201">
        <v>0</v>
      </c>
      <c r="E697" s="201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 s="201">
        <v>0</v>
      </c>
    </row>
    <row r="698" spans="1:11" x14ac:dyDescent="0.25">
      <c r="A698"/>
      <c r="B698" s="201">
        <v>0</v>
      </c>
      <c r="C698">
        <v>0</v>
      </c>
      <c r="D698" s="201">
        <v>0</v>
      </c>
      <c r="E698" s="201">
        <v>0</v>
      </c>
      <c r="F698">
        <v>0</v>
      </c>
      <c r="G698">
        <v>0</v>
      </c>
      <c r="H698">
        <v>-1344</v>
      </c>
      <c r="I698">
        <v>14</v>
      </c>
      <c r="J698">
        <v>-93</v>
      </c>
      <c r="K698" s="201">
        <v>-84</v>
      </c>
    </row>
    <row r="699" spans="1:11" x14ac:dyDescent="0.25">
      <c r="A699"/>
      <c r="B699" s="201">
        <v>-128</v>
      </c>
      <c r="C699">
        <v>0</v>
      </c>
      <c r="D699" s="201">
        <v>0</v>
      </c>
      <c r="E699" s="201">
        <v>-126</v>
      </c>
      <c r="F699">
        <v>0</v>
      </c>
      <c r="G699">
        <v>0</v>
      </c>
      <c r="H699">
        <v>0</v>
      </c>
      <c r="I699">
        <v>338</v>
      </c>
      <c r="J699">
        <v>-1307</v>
      </c>
      <c r="K699" s="201">
        <v>0</v>
      </c>
    </row>
    <row r="700" spans="1:11" x14ac:dyDescent="0.25">
      <c r="A700"/>
      <c r="B700" s="201">
        <v>0</v>
      </c>
      <c r="C700">
        <v>0</v>
      </c>
      <c r="D700" s="201">
        <v>0</v>
      </c>
      <c r="E700" s="201">
        <v>0</v>
      </c>
      <c r="F700">
        <v>0</v>
      </c>
      <c r="G700">
        <v>331</v>
      </c>
      <c r="H700">
        <v>0</v>
      </c>
      <c r="I700">
        <v>0</v>
      </c>
      <c r="J700">
        <v>-408</v>
      </c>
      <c r="K700" s="201">
        <v>0</v>
      </c>
    </row>
    <row r="701" spans="1:11" x14ac:dyDescent="0.25">
      <c r="A701"/>
      <c r="B701" s="201">
        <v>514</v>
      </c>
      <c r="C701">
        <v>0</v>
      </c>
      <c r="D701" s="201">
        <v>1053</v>
      </c>
      <c r="E701" s="201">
        <v>433</v>
      </c>
      <c r="F701">
        <v>295</v>
      </c>
      <c r="G701">
        <v>0</v>
      </c>
      <c r="H701">
        <v>-725</v>
      </c>
      <c r="I701">
        <v>-140</v>
      </c>
      <c r="J701">
        <v>-269</v>
      </c>
      <c r="K701" s="201">
        <v>-16</v>
      </c>
    </row>
    <row r="702" spans="1:11" x14ac:dyDescent="0.25">
      <c r="A702"/>
      <c r="B702" s="201">
        <v>332</v>
      </c>
      <c r="C702">
        <v>-182</v>
      </c>
      <c r="D702" s="201">
        <v>0</v>
      </c>
      <c r="E702" s="201">
        <v>119</v>
      </c>
      <c r="F702">
        <v>0</v>
      </c>
      <c r="G702">
        <v>0</v>
      </c>
      <c r="H702">
        <v>0</v>
      </c>
      <c r="I702">
        <v>0</v>
      </c>
      <c r="J702">
        <v>0</v>
      </c>
      <c r="K702" s="201">
        <v>334</v>
      </c>
    </row>
    <row r="703" spans="1:11" x14ac:dyDescent="0.25">
      <c r="A703"/>
      <c r="B703" s="201">
        <v>0</v>
      </c>
      <c r="C703">
        <v>0</v>
      </c>
      <c r="D703" s="201">
        <v>0</v>
      </c>
      <c r="E703" s="201">
        <v>274</v>
      </c>
      <c r="F703">
        <v>0</v>
      </c>
      <c r="G703">
        <v>212</v>
      </c>
      <c r="H703">
        <v>0</v>
      </c>
      <c r="I703">
        <v>0</v>
      </c>
      <c r="J703">
        <v>0</v>
      </c>
      <c r="K703" s="201">
        <v>0</v>
      </c>
    </row>
    <row r="704" spans="1:11" x14ac:dyDescent="0.25">
      <c r="A704"/>
      <c r="B704" s="201">
        <v>0</v>
      </c>
      <c r="C704">
        <v>278</v>
      </c>
      <c r="D704" s="201">
        <v>0</v>
      </c>
      <c r="E704" s="201">
        <v>195</v>
      </c>
      <c r="F704">
        <v>358</v>
      </c>
      <c r="G704">
        <v>0</v>
      </c>
      <c r="H704">
        <v>0</v>
      </c>
      <c r="I704">
        <v>-4043</v>
      </c>
      <c r="J704">
        <v>-1871</v>
      </c>
      <c r="K704" s="201">
        <v>0</v>
      </c>
    </row>
    <row r="705" spans="1:11" x14ac:dyDescent="0.25">
      <c r="B705" s="201">
        <v>6261</v>
      </c>
      <c r="C705">
        <v>0</v>
      </c>
      <c r="D705" s="201">
        <v>0</v>
      </c>
      <c r="E705" s="201">
        <v>0</v>
      </c>
      <c r="F705">
        <v>0</v>
      </c>
      <c r="G705">
        <v>4570</v>
      </c>
      <c r="H705">
        <v>-5106</v>
      </c>
      <c r="I705">
        <v>-2792</v>
      </c>
      <c r="J705">
        <v>0</v>
      </c>
      <c r="K705" s="201">
        <v>0</v>
      </c>
    </row>
    <row r="706" spans="1:11" x14ac:dyDescent="0.25">
      <c r="B706" s="201">
        <v>5312</v>
      </c>
      <c r="C706">
        <v>-480</v>
      </c>
      <c r="D706" s="201">
        <v>0</v>
      </c>
      <c r="E706" s="201">
        <v>-467</v>
      </c>
      <c r="F706">
        <v>156</v>
      </c>
      <c r="G706">
        <v>259</v>
      </c>
      <c r="H706">
        <v>-22</v>
      </c>
      <c r="I706">
        <v>-1017</v>
      </c>
      <c r="J706">
        <v>0</v>
      </c>
      <c r="K706" s="201">
        <v>0</v>
      </c>
    </row>
    <row r="707" spans="1:11" x14ac:dyDescent="0.25">
      <c r="A707"/>
      <c r="B707" s="201">
        <v>118</v>
      </c>
      <c r="C707">
        <v>0</v>
      </c>
      <c r="D707" s="201">
        <v>0</v>
      </c>
      <c r="E707" s="201">
        <v>0</v>
      </c>
      <c r="F707">
        <v>-834</v>
      </c>
      <c r="G707">
        <v>-243</v>
      </c>
      <c r="H707">
        <v>0</v>
      </c>
      <c r="I707">
        <v>0</v>
      </c>
      <c r="J707">
        <v>0</v>
      </c>
      <c r="K707" s="201">
        <v>0</v>
      </c>
    </row>
    <row r="708" spans="1:11" x14ac:dyDescent="0.25">
      <c r="A708"/>
      <c r="B708" s="201">
        <v>0</v>
      </c>
      <c r="C708">
        <v>0</v>
      </c>
      <c r="D708" s="201">
        <v>-244</v>
      </c>
      <c r="E708" s="201">
        <v>0</v>
      </c>
      <c r="F708">
        <v>0</v>
      </c>
      <c r="G708">
        <v>-458</v>
      </c>
      <c r="H708">
        <v>0</v>
      </c>
      <c r="I708">
        <v>722</v>
      </c>
      <c r="J708">
        <v>0</v>
      </c>
      <c r="K708" s="201">
        <v>1365</v>
      </c>
    </row>
    <row r="709" spans="1:11" x14ac:dyDescent="0.25">
      <c r="A709"/>
      <c r="B709" s="201">
        <v>15</v>
      </c>
      <c r="C709">
        <v>-168</v>
      </c>
      <c r="D709" s="201">
        <v>0</v>
      </c>
      <c r="E709" s="201">
        <v>-154</v>
      </c>
      <c r="F709">
        <v>-257</v>
      </c>
      <c r="G709">
        <v>-13</v>
      </c>
      <c r="H709">
        <v>-894</v>
      </c>
      <c r="I709">
        <v>-799</v>
      </c>
      <c r="J709">
        <v>-472</v>
      </c>
      <c r="K709" s="201">
        <v>0</v>
      </c>
    </row>
    <row r="710" spans="1:11" x14ac:dyDescent="0.25">
      <c r="A710"/>
      <c r="B710" s="201">
        <v>218</v>
      </c>
      <c r="C710">
        <v>0</v>
      </c>
      <c r="D710" s="201">
        <v>0</v>
      </c>
      <c r="E710" s="201">
        <v>0</v>
      </c>
      <c r="F710">
        <v>0</v>
      </c>
      <c r="G710">
        <v>0</v>
      </c>
      <c r="H710">
        <v>-898</v>
      </c>
      <c r="I710">
        <v>0</v>
      </c>
      <c r="J710">
        <v>0</v>
      </c>
      <c r="K710" s="201">
        <v>0</v>
      </c>
    </row>
    <row r="711" spans="1:11" x14ac:dyDescent="0.25">
      <c r="A711"/>
      <c r="B711" s="201">
        <v>241</v>
      </c>
      <c r="C711">
        <v>0</v>
      </c>
      <c r="D711" s="201">
        <v>-32</v>
      </c>
      <c r="E711" s="201">
        <v>0</v>
      </c>
      <c r="F711">
        <v>0</v>
      </c>
      <c r="G711">
        <v>0</v>
      </c>
      <c r="H711">
        <v>0</v>
      </c>
      <c r="I711">
        <v>0</v>
      </c>
      <c r="J711">
        <v>94</v>
      </c>
      <c r="K711" s="201">
        <v>0</v>
      </c>
    </row>
    <row r="712" spans="1:11" x14ac:dyDescent="0.25">
      <c r="A712"/>
      <c r="B712" s="201">
        <v>612</v>
      </c>
      <c r="C712">
        <v>593</v>
      </c>
      <c r="D712" s="201">
        <v>0</v>
      </c>
      <c r="E712" s="201">
        <v>0</v>
      </c>
      <c r="F712">
        <v>-12455</v>
      </c>
      <c r="G712">
        <v>-8224</v>
      </c>
      <c r="H712">
        <v>0</v>
      </c>
      <c r="I712">
        <v>19580</v>
      </c>
      <c r="J712">
        <v>0</v>
      </c>
      <c r="K712" s="201">
        <v>0</v>
      </c>
    </row>
    <row r="713" spans="1:11" x14ac:dyDescent="0.25">
      <c r="A713"/>
      <c r="B713" s="201">
        <v>0</v>
      </c>
      <c r="C713">
        <v>0</v>
      </c>
      <c r="D713" s="201">
        <v>10935</v>
      </c>
      <c r="E713" s="201">
        <v>1584</v>
      </c>
      <c r="F713">
        <v>-2641</v>
      </c>
      <c r="G713">
        <v>0</v>
      </c>
      <c r="H713">
        <v>0</v>
      </c>
      <c r="I713">
        <v>1901</v>
      </c>
      <c r="J713">
        <v>1516</v>
      </c>
      <c r="K713" s="201">
        <v>0</v>
      </c>
    </row>
    <row r="714" spans="1:11" x14ac:dyDescent="0.25">
      <c r="A714"/>
      <c r="B714" s="201">
        <v>-15358</v>
      </c>
      <c r="C714">
        <v>-90</v>
      </c>
      <c r="D714" s="201">
        <v>-31</v>
      </c>
      <c r="E714" s="201">
        <v>174</v>
      </c>
      <c r="F714">
        <v>-112</v>
      </c>
      <c r="G714">
        <v>-200</v>
      </c>
      <c r="H714">
        <v>0</v>
      </c>
      <c r="I714">
        <v>0</v>
      </c>
      <c r="J714">
        <v>-30</v>
      </c>
      <c r="K714" s="201">
        <v>0</v>
      </c>
    </row>
    <row r="715" spans="1:11" x14ac:dyDescent="0.25">
      <c r="A715"/>
      <c r="B715" s="201">
        <v>0</v>
      </c>
      <c r="C715">
        <v>0</v>
      </c>
      <c r="D715" s="201">
        <v>-142</v>
      </c>
      <c r="E715" s="201">
        <v>416</v>
      </c>
      <c r="F715">
        <v>0</v>
      </c>
      <c r="G715">
        <v>0</v>
      </c>
      <c r="H715">
        <v>0</v>
      </c>
      <c r="I715">
        <v>0</v>
      </c>
      <c r="J715">
        <v>0</v>
      </c>
      <c r="K715" s="201">
        <v>0</v>
      </c>
    </row>
    <row r="716" spans="1:11" x14ac:dyDescent="0.25">
      <c r="A716"/>
      <c r="B716" s="201">
        <v>-20</v>
      </c>
      <c r="C716">
        <v>0</v>
      </c>
      <c r="D716" s="201">
        <v>0</v>
      </c>
      <c r="E716" s="201">
        <v>-229</v>
      </c>
      <c r="F716">
        <v>0</v>
      </c>
      <c r="G716">
        <v>342</v>
      </c>
      <c r="H716">
        <v>0</v>
      </c>
      <c r="I716">
        <v>684</v>
      </c>
      <c r="J716">
        <v>3</v>
      </c>
      <c r="K716" s="201">
        <v>23</v>
      </c>
    </row>
    <row r="717" spans="1:11" x14ac:dyDescent="0.25">
      <c r="A717"/>
      <c r="B717" s="201">
        <v>0</v>
      </c>
      <c r="C717">
        <v>142</v>
      </c>
      <c r="D717" s="201">
        <v>-88</v>
      </c>
      <c r="E717" s="201">
        <v>-169</v>
      </c>
      <c r="F717">
        <v>-354</v>
      </c>
      <c r="G717">
        <v>-315</v>
      </c>
      <c r="H717">
        <v>-290</v>
      </c>
      <c r="I717">
        <v>0</v>
      </c>
      <c r="J717">
        <v>-4</v>
      </c>
      <c r="K717" s="201">
        <v>0</v>
      </c>
    </row>
    <row r="718" spans="1:11" x14ac:dyDescent="0.25">
      <c r="A718"/>
      <c r="B718" s="201">
        <v>0</v>
      </c>
      <c r="C718">
        <v>0</v>
      </c>
      <c r="D718" s="201">
        <v>0</v>
      </c>
      <c r="E718" s="201">
        <v>0</v>
      </c>
      <c r="F718">
        <v>-243</v>
      </c>
      <c r="G718">
        <v>0</v>
      </c>
      <c r="H718">
        <v>0</v>
      </c>
      <c r="I718">
        <v>0</v>
      </c>
      <c r="J718">
        <v>-150</v>
      </c>
      <c r="K718" s="201">
        <v>0</v>
      </c>
    </row>
    <row r="719" spans="1:11" x14ac:dyDescent="0.25">
      <c r="A719"/>
      <c r="B719" s="201">
        <v>-106</v>
      </c>
      <c r="C719">
        <v>0</v>
      </c>
      <c r="D719" s="201">
        <v>0</v>
      </c>
      <c r="E719" s="201">
        <v>0</v>
      </c>
      <c r="F719">
        <v>0</v>
      </c>
      <c r="G719">
        <v>0</v>
      </c>
      <c r="H719">
        <v>-170</v>
      </c>
      <c r="I719">
        <v>0</v>
      </c>
      <c r="J719">
        <v>149</v>
      </c>
      <c r="K719" s="201">
        <v>259</v>
      </c>
    </row>
    <row r="720" spans="1:11" x14ac:dyDescent="0.25">
      <c r="A720"/>
      <c r="B720" s="201">
        <v>0</v>
      </c>
      <c r="C720">
        <v>0</v>
      </c>
      <c r="D720" s="201">
        <v>-2278</v>
      </c>
      <c r="E720" s="201">
        <v>-1218</v>
      </c>
      <c r="F720">
        <v>0</v>
      </c>
      <c r="G720">
        <v>2025</v>
      </c>
      <c r="H720">
        <v>0</v>
      </c>
      <c r="I720">
        <v>0</v>
      </c>
      <c r="J720">
        <v>0</v>
      </c>
      <c r="K720" s="201">
        <v>0</v>
      </c>
    </row>
    <row r="721" spans="1:11" x14ac:dyDescent="0.25">
      <c r="B721" s="201">
        <v>2972</v>
      </c>
      <c r="C721">
        <v>-3167</v>
      </c>
      <c r="D721" s="201">
        <v>-3051</v>
      </c>
      <c r="E721" s="201">
        <v>0</v>
      </c>
      <c r="F721">
        <v>0</v>
      </c>
      <c r="G721">
        <v>7436</v>
      </c>
      <c r="H721">
        <v>-7559</v>
      </c>
      <c r="I721">
        <v>0</v>
      </c>
      <c r="J721">
        <v>7923</v>
      </c>
      <c r="K721" s="201">
        <v>7501</v>
      </c>
    </row>
    <row r="722" spans="1:11" x14ac:dyDescent="0.25">
      <c r="A722"/>
      <c r="B722" s="201">
        <v>764</v>
      </c>
      <c r="C722">
        <v>243</v>
      </c>
      <c r="D722" s="201">
        <v>-33</v>
      </c>
      <c r="E722" s="201">
        <v>-202</v>
      </c>
      <c r="F722">
        <v>-1033</v>
      </c>
      <c r="G722">
        <v>0</v>
      </c>
      <c r="H722">
        <v>0</v>
      </c>
      <c r="I722">
        <v>183</v>
      </c>
      <c r="J722">
        <v>0</v>
      </c>
      <c r="K722" s="201">
        <v>0</v>
      </c>
    </row>
    <row r="723" spans="1:11" x14ac:dyDescent="0.25">
      <c r="A723"/>
      <c r="B723" s="201">
        <v>0</v>
      </c>
      <c r="C723">
        <v>-1319</v>
      </c>
      <c r="D723" s="201">
        <v>684</v>
      </c>
      <c r="E723" s="201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s="201">
        <v>84</v>
      </c>
    </row>
    <row r="724" spans="1:11" x14ac:dyDescent="0.25">
      <c r="A724"/>
      <c r="B724" s="201">
        <v>0</v>
      </c>
      <c r="C724">
        <v>0</v>
      </c>
      <c r="D724" s="201">
        <v>-279</v>
      </c>
      <c r="E724" s="201">
        <v>0</v>
      </c>
      <c r="F724">
        <v>480</v>
      </c>
      <c r="G724">
        <v>0</v>
      </c>
      <c r="H724">
        <v>713</v>
      </c>
      <c r="I724">
        <v>-521</v>
      </c>
      <c r="J724">
        <v>23</v>
      </c>
      <c r="K724" s="201">
        <v>0</v>
      </c>
    </row>
    <row r="725" spans="1:11" x14ac:dyDescent="0.25">
      <c r="A725"/>
      <c r="B725" s="201">
        <v>-269</v>
      </c>
      <c r="C725">
        <v>-274</v>
      </c>
      <c r="D725" s="201">
        <v>-193</v>
      </c>
      <c r="E725" s="201">
        <v>-667</v>
      </c>
      <c r="F725">
        <v>-532</v>
      </c>
      <c r="G725">
        <v>-284</v>
      </c>
      <c r="H725">
        <v>0</v>
      </c>
      <c r="I725">
        <v>144</v>
      </c>
      <c r="J725">
        <v>0</v>
      </c>
      <c r="K725" s="201">
        <v>0</v>
      </c>
    </row>
    <row r="726" spans="1:11" x14ac:dyDescent="0.25">
      <c r="A726"/>
      <c r="B726" s="201">
        <v>0</v>
      </c>
      <c r="C726">
        <v>0</v>
      </c>
      <c r="D726" s="201">
        <v>0</v>
      </c>
      <c r="E726" s="201">
        <v>-646</v>
      </c>
      <c r="F726">
        <v>0</v>
      </c>
      <c r="G726">
        <v>0</v>
      </c>
      <c r="H726">
        <v>0</v>
      </c>
      <c r="I726">
        <v>718</v>
      </c>
      <c r="J726">
        <v>0</v>
      </c>
      <c r="K726" s="201">
        <v>228</v>
      </c>
    </row>
    <row r="727" spans="1:11" x14ac:dyDescent="0.25">
      <c r="A727"/>
      <c r="B727" s="201">
        <v>0</v>
      </c>
      <c r="C727">
        <v>0</v>
      </c>
      <c r="D727" s="201">
        <v>0</v>
      </c>
      <c r="E727" s="201">
        <v>0</v>
      </c>
      <c r="F727">
        <v>0</v>
      </c>
      <c r="G727">
        <v>170</v>
      </c>
      <c r="H727">
        <v>0</v>
      </c>
      <c r="I727">
        <v>476</v>
      </c>
      <c r="J727">
        <v>434</v>
      </c>
      <c r="K727" s="201">
        <v>0</v>
      </c>
    </row>
    <row r="728" spans="1:11" x14ac:dyDescent="0.25">
      <c r="A728"/>
      <c r="B728" s="201">
        <v>0</v>
      </c>
      <c r="C728">
        <v>-9971</v>
      </c>
      <c r="D728" s="201">
        <v>-6517</v>
      </c>
      <c r="E728" s="201">
        <v>0</v>
      </c>
      <c r="F728">
        <v>12499</v>
      </c>
      <c r="G728">
        <v>0</v>
      </c>
      <c r="H728">
        <v>0</v>
      </c>
      <c r="I728">
        <v>0</v>
      </c>
      <c r="J728">
        <v>0</v>
      </c>
      <c r="K728" s="201">
        <v>9456</v>
      </c>
    </row>
    <row r="729" spans="1:11" x14ac:dyDescent="0.25">
      <c r="A729"/>
      <c r="B729" s="201">
        <v>2071</v>
      </c>
      <c r="C729">
        <v>49</v>
      </c>
      <c r="D729" s="201">
        <v>0</v>
      </c>
      <c r="E729" s="201">
        <v>0</v>
      </c>
      <c r="F729">
        <v>8851</v>
      </c>
      <c r="G729">
        <v>-7750</v>
      </c>
      <c r="H729">
        <v>0</v>
      </c>
      <c r="I729">
        <v>7382</v>
      </c>
      <c r="J729">
        <v>20407</v>
      </c>
      <c r="K729" s="201">
        <v>-25964</v>
      </c>
    </row>
    <row r="730" spans="1:11" x14ac:dyDescent="0.25">
      <c r="A730"/>
      <c r="B730" s="201">
        <v>188</v>
      </c>
      <c r="C730">
        <v>-903</v>
      </c>
      <c r="D730" s="201">
        <v>-93</v>
      </c>
      <c r="E730" s="201">
        <v>551</v>
      </c>
      <c r="F730">
        <v>-704</v>
      </c>
      <c r="G730">
        <v>0</v>
      </c>
      <c r="H730">
        <v>0</v>
      </c>
      <c r="I730">
        <v>-16</v>
      </c>
      <c r="J730">
        <v>0</v>
      </c>
      <c r="K730" s="201">
        <v>0</v>
      </c>
    </row>
    <row r="731" spans="1:11" x14ac:dyDescent="0.25">
      <c r="A731"/>
      <c r="B731" s="201">
        <v>0</v>
      </c>
      <c r="C731">
        <v>-14</v>
      </c>
      <c r="D731" s="201">
        <v>-146</v>
      </c>
      <c r="E731" s="20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s="201">
        <v>-410</v>
      </c>
    </row>
    <row r="732" spans="1:11" x14ac:dyDescent="0.25">
      <c r="A732"/>
      <c r="B732" s="201">
        <v>0</v>
      </c>
      <c r="C732">
        <v>0</v>
      </c>
      <c r="D732" s="201">
        <v>238</v>
      </c>
      <c r="E732" s="201">
        <v>0</v>
      </c>
      <c r="F732">
        <v>-267</v>
      </c>
      <c r="G732">
        <v>0</v>
      </c>
      <c r="H732">
        <v>131</v>
      </c>
      <c r="I732">
        <v>9</v>
      </c>
      <c r="J732">
        <v>196</v>
      </c>
      <c r="K732" s="201">
        <v>0</v>
      </c>
    </row>
    <row r="733" spans="1:11" x14ac:dyDescent="0.25">
      <c r="A733"/>
      <c r="B733" s="201">
        <v>784</v>
      </c>
      <c r="C733">
        <v>-1039</v>
      </c>
      <c r="D733" s="201">
        <v>-85</v>
      </c>
      <c r="E733" s="201">
        <v>-646</v>
      </c>
      <c r="F733">
        <v>-1645</v>
      </c>
      <c r="G733">
        <v>140</v>
      </c>
      <c r="H733">
        <v>0</v>
      </c>
      <c r="I733">
        <v>-12</v>
      </c>
      <c r="J733">
        <v>0</v>
      </c>
      <c r="K733" s="201">
        <v>0</v>
      </c>
    </row>
    <row r="734" spans="1:11" x14ac:dyDescent="0.25">
      <c r="A734"/>
      <c r="B734" s="201">
        <v>0</v>
      </c>
      <c r="C734">
        <v>0</v>
      </c>
      <c r="D734" s="201">
        <v>0</v>
      </c>
      <c r="E734" s="201">
        <v>403</v>
      </c>
      <c r="F734">
        <v>0</v>
      </c>
      <c r="G734">
        <v>0</v>
      </c>
      <c r="H734">
        <v>0</v>
      </c>
      <c r="I734">
        <v>2152</v>
      </c>
      <c r="J734">
        <v>0</v>
      </c>
      <c r="K734" s="201">
        <v>-47</v>
      </c>
    </row>
    <row r="735" spans="1:11" x14ac:dyDescent="0.25">
      <c r="A735"/>
      <c r="B735" s="201">
        <v>0</v>
      </c>
      <c r="C735">
        <v>0</v>
      </c>
      <c r="D735" s="201">
        <v>0</v>
      </c>
      <c r="E735" s="201">
        <v>0</v>
      </c>
      <c r="F735">
        <v>0</v>
      </c>
      <c r="G735">
        <v>326</v>
      </c>
      <c r="H735">
        <v>0</v>
      </c>
      <c r="I735">
        <v>1135</v>
      </c>
      <c r="J735">
        <v>-132</v>
      </c>
      <c r="K735" s="201">
        <v>0</v>
      </c>
    </row>
    <row r="736" spans="1:11" x14ac:dyDescent="0.25">
      <c r="A736"/>
      <c r="B736" s="201">
        <v>0</v>
      </c>
      <c r="C736" s="201">
        <v>-3200</v>
      </c>
      <c r="D736" s="201">
        <v>-4805</v>
      </c>
      <c r="E736" s="201">
        <v>0</v>
      </c>
      <c r="F736">
        <v>13508</v>
      </c>
      <c r="G736">
        <v>0</v>
      </c>
      <c r="H736">
        <v>0</v>
      </c>
      <c r="I736">
        <v>0</v>
      </c>
      <c r="J736">
        <v>0</v>
      </c>
      <c r="K736" s="201">
        <v>12303</v>
      </c>
    </row>
    <row r="737" spans="1:11" x14ac:dyDescent="0.25">
      <c r="A737"/>
      <c r="B737" s="201">
        <v>-9943</v>
      </c>
      <c r="C737">
        <v>-2444</v>
      </c>
      <c r="D737" s="201">
        <v>0</v>
      </c>
      <c r="E737" s="201">
        <v>0</v>
      </c>
      <c r="F737">
        <v>1811</v>
      </c>
      <c r="G737">
        <v>3355</v>
      </c>
      <c r="H737">
        <v>0</v>
      </c>
      <c r="I737">
        <v>-13353</v>
      </c>
      <c r="J737">
        <v>5566</v>
      </c>
      <c r="K737" s="201">
        <v>-3157</v>
      </c>
    </row>
    <row r="738" spans="1:11" x14ac:dyDescent="0.25">
      <c r="A738"/>
      <c r="B738" s="201">
        <v>5869</v>
      </c>
      <c r="C738">
        <v>411</v>
      </c>
      <c r="D738" s="201">
        <v>-370</v>
      </c>
      <c r="E738" s="201">
        <v>-109</v>
      </c>
      <c r="F738">
        <v>199</v>
      </c>
      <c r="G738">
        <v>-627</v>
      </c>
      <c r="H738">
        <v>0</v>
      </c>
      <c r="I738">
        <v>0</v>
      </c>
      <c r="J738">
        <v>189</v>
      </c>
      <c r="K738" s="201">
        <v>0</v>
      </c>
    </row>
    <row r="739" spans="1:11" x14ac:dyDescent="0.25">
      <c r="A739"/>
      <c r="B739" s="201">
        <v>0</v>
      </c>
      <c r="C739">
        <v>0</v>
      </c>
      <c r="D739" s="201">
        <v>-90</v>
      </c>
      <c r="E739" s="201">
        <v>101</v>
      </c>
      <c r="F739">
        <v>0</v>
      </c>
      <c r="G739">
        <v>0</v>
      </c>
      <c r="H739">
        <v>0</v>
      </c>
      <c r="I739">
        <v>0</v>
      </c>
      <c r="J739">
        <v>0</v>
      </c>
      <c r="K739" s="201">
        <v>0</v>
      </c>
    </row>
    <row r="740" spans="1:11" x14ac:dyDescent="0.25">
      <c r="A740"/>
      <c r="B740" s="201">
        <v>-19</v>
      </c>
      <c r="C740">
        <v>0</v>
      </c>
      <c r="D740" s="201">
        <v>0</v>
      </c>
      <c r="E740" s="201">
        <v>-15</v>
      </c>
      <c r="F740">
        <v>0</v>
      </c>
      <c r="G740">
        <v>31</v>
      </c>
      <c r="H740">
        <v>0</v>
      </c>
      <c r="I740">
        <v>218</v>
      </c>
      <c r="J740">
        <v>-236</v>
      </c>
      <c r="K740" s="201">
        <v>-125</v>
      </c>
    </row>
    <row r="741" spans="1:11" x14ac:dyDescent="0.25">
      <c r="A741"/>
      <c r="B741" s="201">
        <v>0</v>
      </c>
      <c r="C741">
        <v>61</v>
      </c>
      <c r="D741" s="201">
        <v>-624</v>
      </c>
      <c r="E741" s="201">
        <v>216</v>
      </c>
      <c r="F741">
        <v>-534</v>
      </c>
      <c r="G741">
        <v>-751</v>
      </c>
      <c r="H741">
        <v>-99</v>
      </c>
      <c r="I741">
        <v>0</v>
      </c>
      <c r="J741">
        <v>35</v>
      </c>
      <c r="K741" s="201">
        <v>0</v>
      </c>
    </row>
    <row r="742" spans="1:11" x14ac:dyDescent="0.25">
      <c r="A742"/>
      <c r="B742" s="201">
        <v>0</v>
      </c>
      <c r="C742">
        <v>0</v>
      </c>
      <c r="D742" s="201">
        <v>0</v>
      </c>
      <c r="E742" s="201">
        <v>0</v>
      </c>
      <c r="F742">
        <v>-301</v>
      </c>
      <c r="G742">
        <v>0</v>
      </c>
      <c r="H742">
        <v>0</v>
      </c>
      <c r="I742">
        <v>0</v>
      </c>
      <c r="J742">
        <v>121</v>
      </c>
      <c r="K742" s="201">
        <v>0</v>
      </c>
    </row>
    <row r="743" spans="1:11" x14ac:dyDescent="0.25">
      <c r="A743"/>
      <c r="B743" s="201">
        <v>177</v>
      </c>
      <c r="C743">
        <v>0</v>
      </c>
      <c r="D743" s="201">
        <v>0</v>
      </c>
      <c r="E743" s="201">
        <v>0</v>
      </c>
      <c r="F743">
        <v>0</v>
      </c>
      <c r="G743">
        <v>0</v>
      </c>
      <c r="H743">
        <v>61</v>
      </c>
      <c r="I743">
        <v>0</v>
      </c>
      <c r="J743">
        <v>630</v>
      </c>
      <c r="K743" s="201">
        <v>261</v>
      </c>
    </row>
    <row r="744" spans="1:11" x14ac:dyDescent="0.25">
      <c r="A744"/>
      <c r="B744" s="201">
        <v>0</v>
      </c>
      <c r="C744">
        <v>0</v>
      </c>
      <c r="D744" s="201">
        <v>-5244</v>
      </c>
      <c r="E744" s="201">
        <v>-4175</v>
      </c>
      <c r="F744">
        <v>0</v>
      </c>
      <c r="G744">
        <v>13680</v>
      </c>
      <c r="H744">
        <v>0</v>
      </c>
      <c r="I744">
        <v>0</v>
      </c>
      <c r="J744">
        <v>0</v>
      </c>
      <c r="K744" s="201">
        <v>0</v>
      </c>
    </row>
    <row r="745" spans="1:11" x14ac:dyDescent="0.25">
      <c r="B745" s="201">
        <v>9055</v>
      </c>
      <c r="C745">
        <v>-1220</v>
      </c>
      <c r="D745" s="201">
        <v>-3647</v>
      </c>
      <c r="E745" s="201">
        <v>0</v>
      </c>
      <c r="F745">
        <v>0</v>
      </c>
      <c r="G745">
        <v>491</v>
      </c>
      <c r="H745">
        <v>-965</v>
      </c>
      <c r="I745">
        <v>0</v>
      </c>
      <c r="J745">
        <v>-22093</v>
      </c>
      <c r="K745" s="201">
        <v>-1652</v>
      </c>
    </row>
    <row r="746" spans="1:11" x14ac:dyDescent="0.25">
      <c r="A746"/>
      <c r="B746" s="201">
        <v>-15449</v>
      </c>
      <c r="C746">
        <v>3625</v>
      </c>
      <c r="D746" s="201">
        <v>16903</v>
      </c>
      <c r="E746" s="201">
        <v>-258</v>
      </c>
      <c r="F746">
        <v>-180</v>
      </c>
      <c r="G746">
        <v>39</v>
      </c>
      <c r="H746">
        <v>-86</v>
      </c>
      <c r="I746">
        <v>-1141</v>
      </c>
      <c r="J746">
        <v>0</v>
      </c>
      <c r="K746" s="201">
        <v>0</v>
      </c>
    </row>
    <row r="747" spans="1:11" x14ac:dyDescent="0.25">
      <c r="A747"/>
      <c r="B747" s="201">
        <v>61</v>
      </c>
      <c r="C747">
        <v>0</v>
      </c>
      <c r="D747" s="201">
        <v>0</v>
      </c>
      <c r="E747" s="201">
        <v>0</v>
      </c>
      <c r="F747">
        <v>491</v>
      </c>
      <c r="G747">
        <v>-690</v>
      </c>
      <c r="H747">
        <v>0</v>
      </c>
      <c r="I747">
        <v>0</v>
      </c>
      <c r="J747">
        <v>0</v>
      </c>
      <c r="K747" s="201">
        <v>0</v>
      </c>
    </row>
    <row r="748" spans="1:11" x14ac:dyDescent="0.25">
      <c r="A748"/>
      <c r="B748" s="201">
        <v>0</v>
      </c>
      <c r="C748">
        <v>0</v>
      </c>
      <c r="D748" s="201">
        <v>191</v>
      </c>
      <c r="E748" s="201">
        <v>0</v>
      </c>
      <c r="F748">
        <v>0</v>
      </c>
      <c r="G748">
        <v>58</v>
      </c>
      <c r="H748">
        <v>0</v>
      </c>
      <c r="I748">
        <v>-90</v>
      </c>
      <c r="J748">
        <v>0</v>
      </c>
      <c r="K748" s="201">
        <v>-75</v>
      </c>
    </row>
    <row r="749" spans="1:11" x14ac:dyDescent="0.25">
      <c r="A749"/>
      <c r="B749" s="201">
        <v>23</v>
      </c>
      <c r="C749">
        <v>-26</v>
      </c>
      <c r="D749" s="201">
        <v>0</v>
      </c>
      <c r="E749" s="201">
        <v>-488</v>
      </c>
      <c r="F749">
        <v>-511</v>
      </c>
      <c r="G749">
        <v>-185</v>
      </c>
      <c r="H749">
        <v>-932</v>
      </c>
      <c r="I749">
        <v>-756</v>
      </c>
      <c r="J749">
        <v>-400</v>
      </c>
      <c r="K749" s="201">
        <v>0</v>
      </c>
    </row>
    <row r="750" spans="1:11" x14ac:dyDescent="0.25">
      <c r="A750"/>
      <c r="B750" s="201">
        <v>242</v>
      </c>
      <c r="C750">
        <v>0</v>
      </c>
      <c r="D750" s="201">
        <v>0</v>
      </c>
      <c r="E750" s="201">
        <v>0</v>
      </c>
      <c r="F750">
        <v>0</v>
      </c>
      <c r="G750">
        <v>0</v>
      </c>
      <c r="H750">
        <v>-1066</v>
      </c>
      <c r="I750">
        <v>0</v>
      </c>
      <c r="J750">
        <v>0</v>
      </c>
      <c r="K750" s="201">
        <v>0</v>
      </c>
    </row>
    <row r="751" spans="1:11" x14ac:dyDescent="0.25">
      <c r="A751"/>
      <c r="B751" s="201">
        <v>674</v>
      </c>
      <c r="C751">
        <v>0</v>
      </c>
      <c r="D751" s="201">
        <v>133</v>
      </c>
      <c r="E751" s="201">
        <v>0</v>
      </c>
      <c r="F751">
        <v>0</v>
      </c>
      <c r="G751">
        <v>0</v>
      </c>
      <c r="H751">
        <v>0</v>
      </c>
      <c r="I751">
        <v>0</v>
      </c>
      <c r="J751">
        <v>433</v>
      </c>
      <c r="K751" s="201">
        <v>0</v>
      </c>
    </row>
    <row r="752" spans="1:11" x14ac:dyDescent="0.25">
      <c r="A752"/>
      <c r="B752" s="201">
        <v>878</v>
      </c>
      <c r="C752">
        <v>654</v>
      </c>
      <c r="D752" s="201">
        <v>0</v>
      </c>
      <c r="E752" s="201">
        <v>0</v>
      </c>
      <c r="F752">
        <v>-17352</v>
      </c>
      <c r="G752">
        <v>-8872</v>
      </c>
      <c r="H752">
        <v>0</v>
      </c>
      <c r="I752">
        <v>27910</v>
      </c>
      <c r="J752">
        <v>0</v>
      </c>
      <c r="K752" s="201">
        <v>0</v>
      </c>
    </row>
    <row r="753" spans="1:11" x14ac:dyDescent="0.25">
      <c r="A753"/>
      <c r="B753" s="201">
        <v>0</v>
      </c>
      <c r="C753">
        <v>0</v>
      </c>
      <c r="D753" s="201">
        <v>14708</v>
      </c>
      <c r="E753" s="201">
        <v>-286</v>
      </c>
      <c r="F753">
        <v>495</v>
      </c>
      <c r="G753">
        <v>0</v>
      </c>
      <c r="H753">
        <v>0</v>
      </c>
      <c r="I753">
        <v>1969</v>
      </c>
      <c r="J753">
        <v>-541</v>
      </c>
      <c r="K753" s="201">
        <v>0</v>
      </c>
    </row>
    <row r="754" spans="1:11" x14ac:dyDescent="0.25">
      <c r="A754"/>
      <c r="B754" s="201">
        <v>5854</v>
      </c>
      <c r="C754">
        <v>19377</v>
      </c>
      <c r="D754" s="201">
        <v>5757</v>
      </c>
      <c r="E754" s="201">
        <v>14044</v>
      </c>
      <c r="F754">
        <v>16085</v>
      </c>
      <c r="G754">
        <v>20403</v>
      </c>
      <c r="H754">
        <v>0</v>
      </c>
      <c r="I754">
        <v>0</v>
      </c>
      <c r="J754">
        <v>0</v>
      </c>
      <c r="K754" s="201">
        <v>0</v>
      </c>
    </row>
    <row r="755" spans="1:11" x14ac:dyDescent="0.25">
      <c r="A755"/>
      <c r="B755" s="201">
        <v>0</v>
      </c>
      <c r="C755">
        <v>0</v>
      </c>
      <c r="D755" s="201">
        <v>0</v>
      </c>
      <c r="E755" s="201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 s="201">
        <v>0</v>
      </c>
    </row>
    <row r="756" spans="1:11" x14ac:dyDescent="0.25">
      <c r="A756"/>
      <c r="B756" s="201">
        <v>0</v>
      </c>
      <c r="C756">
        <v>0</v>
      </c>
      <c r="D756" s="201">
        <v>0</v>
      </c>
      <c r="E756" s="201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 s="201">
        <v>0</v>
      </c>
    </row>
    <row r="757" spans="1:11" x14ac:dyDescent="0.25">
      <c r="A757"/>
      <c r="B757" s="201">
        <v>0</v>
      </c>
      <c r="C757">
        <v>0</v>
      </c>
      <c r="D757" s="201">
        <v>0</v>
      </c>
      <c r="E757" s="201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s="201">
        <v>0</v>
      </c>
    </row>
    <row r="758" spans="1:11" x14ac:dyDescent="0.25">
      <c r="A758"/>
      <c r="B758" s="201">
        <v>0</v>
      </c>
      <c r="C758">
        <v>0</v>
      </c>
      <c r="D758" s="201">
        <v>0</v>
      </c>
      <c r="E758" s="201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 s="201">
        <v>0</v>
      </c>
    </row>
    <row r="759" spans="1:11" x14ac:dyDescent="0.25">
      <c r="A759"/>
      <c r="B759" s="201">
        <v>0</v>
      </c>
      <c r="C759">
        <v>0</v>
      </c>
      <c r="D759" s="201">
        <v>0</v>
      </c>
      <c r="E759" s="201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 s="201">
        <v>0</v>
      </c>
    </row>
    <row r="760" spans="1:11" x14ac:dyDescent="0.25">
      <c r="A760"/>
      <c r="B760" s="201">
        <v>0</v>
      </c>
      <c r="C760">
        <v>0</v>
      </c>
      <c r="D760" s="201">
        <v>0</v>
      </c>
      <c r="E760" s="201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 s="201">
        <v>0</v>
      </c>
    </row>
    <row r="761" spans="1:11" x14ac:dyDescent="0.25">
      <c r="A761"/>
      <c r="B761" s="201">
        <v>0</v>
      </c>
      <c r="C761">
        <v>0</v>
      </c>
      <c r="D761" s="201">
        <v>0</v>
      </c>
      <c r="E761" s="20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 s="201">
        <v>0</v>
      </c>
    </row>
    <row r="762" spans="1:11" x14ac:dyDescent="0.25">
      <c r="A762"/>
      <c r="B762" s="201">
        <v>0</v>
      </c>
      <c r="C762">
        <v>0</v>
      </c>
      <c r="D762" s="201">
        <v>0</v>
      </c>
      <c r="E762" s="201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 s="201">
        <v>0</v>
      </c>
    </row>
    <row r="763" spans="1:11" x14ac:dyDescent="0.25">
      <c r="A763"/>
      <c r="B763" s="201">
        <v>0</v>
      </c>
      <c r="C763">
        <v>0</v>
      </c>
      <c r="D763" s="201">
        <v>0</v>
      </c>
      <c r="E763" s="201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 s="201">
        <v>0</v>
      </c>
    </row>
    <row r="764" spans="1:11" x14ac:dyDescent="0.25">
      <c r="A764"/>
      <c r="B764" s="201">
        <v>0</v>
      </c>
      <c r="C764">
        <v>0</v>
      </c>
      <c r="D764" s="201">
        <v>0</v>
      </c>
      <c r="E764" s="201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 s="201">
        <v>0</v>
      </c>
    </row>
    <row r="765" spans="1:11" x14ac:dyDescent="0.25">
      <c r="A765"/>
      <c r="B765" s="201">
        <v>0</v>
      </c>
      <c r="C765">
        <v>0</v>
      </c>
      <c r="D765" s="201">
        <v>0</v>
      </c>
      <c r="E765" s="201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 s="201">
        <v>0</v>
      </c>
    </row>
    <row r="766" spans="1:11" x14ac:dyDescent="0.25">
      <c r="A766"/>
      <c r="B766" s="201">
        <v>0</v>
      </c>
      <c r="C766">
        <v>0</v>
      </c>
      <c r="D766" s="201">
        <v>0</v>
      </c>
      <c r="E766" s="201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s="201">
        <v>0</v>
      </c>
    </row>
    <row r="767" spans="1:11" x14ac:dyDescent="0.25">
      <c r="A767"/>
      <c r="B767" s="201">
        <v>0</v>
      </c>
      <c r="C767">
        <v>0</v>
      </c>
      <c r="D767" s="201">
        <v>0</v>
      </c>
      <c r="E767" s="201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s="201">
        <v>0</v>
      </c>
    </row>
    <row r="768" spans="1:11" x14ac:dyDescent="0.25">
      <c r="A768"/>
      <c r="B768" s="201">
        <v>0</v>
      </c>
      <c r="C768">
        <v>0</v>
      </c>
      <c r="D768" s="201">
        <v>0</v>
      </c>
      <c r="E768" s="201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s="201">
        <v>0</v>
      </c>
    </row>
    <row r="769" spans="1:11" x14ac:dyDescent="0.25">
      <c r="A769"/>
      <c r="B769" s="201">
        <v>0</v>
      </c>
      <c r="C769">
        <v>0</v>
      </c>
      <c r="D769" s="201">
        <v>0</v>
      </c>
      <c r="E769" s="201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s="201">
        <v>0</v>
      </c>
    </row>
    <row r="770" spans="1:11" x14ac:dyDescent="0.25">
      <c r="A770"/>
      <c r="B770" s="201">
        <v>0</v>
      </c>
      <c r="C770">
        <v>0</v>
      </c>
      <c r="D770" s="201">
        <v>0</v>
      </c>
      <c r="E770" s="201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 s="201">
        <v>0</v>
      </c>
    </row>
    <row r="771" spans="1:11" x14ac:dyDescent="0.25">
      <c r="A771"/>
      <c r="B771" s="201">
        <v>0</v>
      </c>
      <c r="C771">
        <v>0</v>
      </c>
      <c r="D771" s="201">
        <v>0</v>
      </c>
      <c r="E771" s="20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 s="201">
        <v>0</v>
      </c>
    </row>
    <row r="772" spans="1:11" x14ac:dyDescent="0.25">
      <c r="A772"/>
      <c r="B772" s="201">
        <v>0</v>
      </c>
      <c r="C772">
        <v>0</v>
      </c>
      <c r="D772" s="201">
        <v>0</v>
      </c>
      <c r="E772" s="201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 s="201">
        <v>0</v>
      </c>
    </row>
    <row r="773" spans="1:11" x14ac:dyDescent="0.25">
      <c r="A773"/>
      <c r="B773" s="201">
        <v>0</v>
      </c>
      <c r="C773">
        <v>0</v>
      </c>
      <c r="D773" s="201">
        <v>0</v>
      </c>
      <c r="E773" s="201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s="201">
        <v>0</v>
      </c>
    </row>
    <row r="774" spans="1:11" x14ac:dyDescent="0.25">
      <c r="A774"/>
      <c r="B774" s="201">
        <v>0</v>
      </c>
      <c r="C774">
        <v>0</v>
      </c>
      <c r="D774" s="201">
        <v>0</v>
      </c>
      <c r="E774" s="201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 s="201">
        <v>0</v>
      </c>
    </row>
    <row r="775" spans="1:11" x14ac:dyDescent="0.25">
      <c r="A775"/>
      <c r="B775" s="201">
        <v>0</v>
      </c>
      <c r="C775">
        <v>0</v>
      </c>
      <c r="D775" s="201">
        <v>0</v>
      </c>
      <c r="E775" s="201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 s="201">
        <v>0</v>
      </c>
    </row>
    <row r="776" spans="1:11" x14ac:dyDescent="0.25">
      <c r="A776"/>
      <c r="B776" s="201">
        <v>0</v>
      </c>
      <c r="C776">
        <v>0</v>
      </c>
      <c r="D776" s="201">
        <v>0</v>
      </c>
      <c r="E776" s="201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 s="201">
        <v>0</v>
      </c>
    </row>
    <row r="777" spans="1:11" x14ac:dyDescent="0.25">
      <c r="A777"/>
      <c r="B777" s="201">
        <v>0</v>
      </c>
      <c r="C777">
        <v>0</v>
      </c>
      <c r="D777" s="201">
        <v>0</v>
      </c>
      <c r="E777" s="201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 s="201">
        <v>0</v>
      </c>
    </row>
    <row r="778" spans="1:11" x14ac:dyDescent="0.25">
      <c r="A778"/>
      <c r="B778" s="201">
        <v>0</v>
      </c>
      <c r="C778">
        <v>0</v>
      </c>
      <c r="D778" s="201">
        <v>0</v>
      </c>
      <c r="E778" s="201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 s="201">
        <v>0</v>
      </c>
    </row>
    <row r="779" spans="1:11" x14ac:dyDescent="0.25">
      <c r="A779"/>
      <c r="B779" s="201">
        <v>0</v>
      </c>
      <c r="C779">
        <v>0</v>
      </c>
      <c r="D779" s="201">
        <v>0</v>
      </c>
      <c r="E779" s="201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 s="201">
        <v>0</v>
      </c>
    </row>
    <row r="780" spans="1:11" x14ac:dyDescent="0.25">
      <c r="A780"/>
      <c r="B780" s="201">
        <v>0</v>
      </c>
      <c r="C780">
        <v>0</v>
      </c>
      <c r="D780" s="201">
        <v>0</v>
      </c>
      <c r="E780" s="201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s="201">
        <v>0</v>
      </c>
    </row>
    <row r="781" spans="1:11" x14ac:dyDescent="0.25">
      <c r="A781"/>
      <c r="B781" s="201">
        <v>0</v>
      </c>
      <c r="C781">
        <v>0</v>
      </c>
      <c r="D781" s="201">
        <v>0</v>
      </c>
      <c r="E781" s="20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 s="201">
        <v>0</v>
      </c>
    </row>
    <row r="782" spans="1:11" x14ac:dyDescent="0.25">
      <c r="A782"/>
      <c r="B782" s="201">
        <v>0</v>
      </c>
      <c r="C782">
        <v>0</v>
      </c>
      <c r="D782" s="201">
        <v>0</v>
      </c>
      <c r="E782" s="201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s="201">
        <v>0</v>
      </c>
    </row>
    <row r="783" spans="1:11" x14ac:dyDescent="0.25">
      <c r="A783"/>
      <c r="B783" s="201">
        <v>0</v>
      </c>
      <c r="C783">
        <v>0</v>
      </c>
      <c r="D783" s="201">
        <v>0</v>
      </c>
      <c r="E783" s="201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 s="201">
        <v>0</v>
      </c>
    </row>
    <row r="784" spans="1:11" x14ac:dyDescent="0.25">
      <c r="A784"/>
      <c r="B784" s="201">
        <v>0</v>
      </c>
      <c r="C784">
        <v>0</v>
      </c>
      <c r="D784" s="201">
        <v>0</v>
      </c>
      <c r="E784" s="201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s="201">
        <v>0</v>
      </c>
    </row>
    <row r="785" spans="1:11" x14ac:dyDescent="0.25">
      <c r="A785"/>
      <c r="B785" s="201">
        <v>0</v>
      </c>
      <c r="C785">
        <v>0</v>
      </c>
      <c r="D785" s="201">
        <v>0</v>
      </c>
      <c r="E785" s="201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 s="201">
        <v>0</v>
      </c>
    </row>
    <row r="786" spans="1:11" x14ac:dyDescent="0.25">
      <c r="A786"/>
      <c r="B786" s="201">
        <v>0</v>
      </c>
      <c r="C786">
        <v>0</v>
      </c>
      <c r="D786" s="201">
        <v>0</v>
      </c>
      <c r="E786" s="201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s="201">
        <v>0</v>
      </c>
    </row>
    <row r="787" spans="1:11" x14ac:dyDescent="0.25">
      <c r="A787"/>
      <c r="B787" s="201">
        <v>0</v>
      </c>
      <c r="C787">
        <v>0</v>
      </c>
      <c r="D787" s="201">
        <v>0</v>
      </c>
      <c r="E787" s="201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 s="201">
        <v>0</v>
      </c>
    </row>
    <row r="788" spans="1:11" x14ac:dyDescent="0.25">
      <c r="A788"/>
      <c r="B788" s="201">
        <v>0</v>
      </c>
      <c r="C788">
        <v>0</v>
      </c>
      <c r="D788" s="201">
        <v>0</v>
      </c>
      <c r="E788" s="201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 s="201">
        <v>0</v>
      </c>
    </row>
    <row r="789" spans="1:11" x14ac:dyDescent="0.25">
      <c r="A789"/>
      <c r="B789" s="201">
        <v>0</v>
      </c>
      <c r="C789">
        <v>0</v>
      </c>
      <c r="D789" s="201">
        <v>0</v>
      </c>
      <c r="E789" s="201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s="201">
        <v>0</v>
      </c>
    </row>
    <row r="790" spans="1:11" x14ac:dyDescent="0.25">
      <c r="A790"/>
      <c r="B790" s="201">
        <v>0</v>
      </c>
      <c r="C790">
        <v>0</v>
      </c>
      <c r="D790" s="201">
        <v>0</v>
      </c>
      <c r="E790" s="201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 s="201">
        <v>0</v>
      </c>
    </row>
    <row r="791" spans="1:11" x14ac:dyDescent="0.25">
      <c r="A791"/>
      <c r="B791" s="201">
        <v>0</v>
      </c>
      <c r="C791">
        <v>0</v>
      </c>
      <c r="D791" s="201">
        <v>0</v>
      </c>
      <c r="E791" s="20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s="201">
        <v>0</v>
      </c>
    </row>
    <row r="792" spans="1:11" x14ac:dyDescent="0.25">
      <c r="A792"/>
      <c r="B792" s="201">
        <v>0</v>
      </c>
      <c r="C792">
        <v>0</v>
      </c>
      <c r="D792" s="201">
        <v>0</v>
      </c>
      <c r="E792" s="201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s="201">
        <v>0</v>
      </c>
    </row>
    <row r="793" spans="1:11" x14ac:dyDescent="0.25">
      <c r="A793"/>
      <c r="B793" s="201">
        <v>0</v>
      </c>
      <c r="C793">
        <v>0</v>
      </c>
      <c r="D793" s="201">
        <v>0</v>
      </c>
      <c r="E793" s="201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 s="201">
        <v>0</v>
      </c>
    </row>
    <row r="794" spans="1:11" x14ac:dyDescent="0.25">
      <c r="A794"/>
      <c r="B794" s="201">
        <v>0</v>
      </c>
      <c r="C794">
        <v>0</v>
      </c>
      <c r="D794" s="201">
        <v>0</v>
      </c>
      <c r="E794" s="201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s="201">
        <v>0</v>
      </c>
    </row>
    <row r="795" spans="1:11" x14ac:dyDescent="0.25">
      <c r="A795"/>
      <c r="B795" s="201">
        <v>0</v>
      </c>
      <c r="C795">
        <v>0</v>
      </c>
      <c r="D795" s="201">
        <v>0</v>
      </c>
      <c r="E795" s="201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 s="201">
        <v>0</v>
      </c>
    </row>
    <row r="796" spans="1:11" x14ac:dyDescent="0.25">
      <c r="A796"/>
      <c r="B796" s="201">
        <v>0</v>
      </c>
      <c r="C796">
        <v>0</v>
      </c>
      <c r="D796" s="201">
        <v>0</v>
      </c>
      <c r="E796" s="201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 s="201">
        <v>0</v>
      </c>
    </row>
    <row r="797" spans="1:11" x14ac:dyDescent="0.25">
      <c r="A797"/>
      <c r="B797" s="201">
        <v>0</v>
      </c>
      <c r="C797">
        <v>0</v>
      </c>
      <c r="D797" s="201">
        <v>0</v>
      </c>
      <c r="E797" s="201">
        <v>0</v>
      </c>
      <c r="F797">
        <v>0</v>
      </c>
      <c r="G797">
        <v>0</v>
      </c>
      <c r="H797">
        <v>-1598</v>
      </c>
      <c r="I797">
        <v>-661</v>
      </c>
      <c r="J797">
        <v>-774</v>
      </c>
      <c r="K797" s="201">
        <v>270</v>
      </c>
    </row>
    <row r="798" spans="1:11" x14ac:dyDescent="0.25">
      <c r="A798"/>
      <c r="B798" s="201">
        <v>512</v>
      </c>
      <c r="C798">
        <v>0</v>
      </c>
      <c r="D798" s="201">
        <v>0</v>
      </c>
      <c r="E798" s="201">
        <v>-537</v>
      </c>
      <c r="F798">
        <v>0</v>
      </c>
      <c r="G798">
        <v>0</v>
      </c>
      <c r="H798">
        <v>0</v>
      </c>
      <c r="I798">
        <v>1073</v>
      </c>
      <c r="J798">
        <v>-558</v>
      </c>
      <c r="K798" s="201">
        <v>0</v>
      </c>
    </row>
    <row r="799" spans="1:11" x14ac:dyDescent="0.25">
      <c r="A799"/>
      <c r="B799" s="201">
        <v>0</v>
      </c>
      <c r="C799">
        <v>0</v>
      </c>
      <c r="D799" s="201">
        <v>0</v>
      </c>
      <c r="E799" s="201">
        <v>0</v>
      </c>
      <c r="F799">
        <v>0</v>
      </c>
      <c r="G799">
        <v>-523</v>
      </c>
      <c r="H799">
        <v>0</v>
      </c>
      <c r="I799">
        <v>0</v>
      </c>
      <c r="J799">
        <v>-63</v>
      </c>
      <c r="K799" s="201">
        <v>0</v>
      </c>
    </row>
    <row r="800" spans="1:11" x14ac:dyDescent="0.25">
      <c r="A800"/>
      <c r="B800" s="201">
        <v>184</v>
      </c>
      <c r="C800">
        <v>0</v>
      </c>
      <c r="D800" s="201">
        <v>332</v>
      </c>
      <c r="E800" s="201">
        <v>828</v>
      </c>
      <c r="F800">
        <v>461</v>
      </c>
      <c r="G800">
        <v>0</v>
      </c>
      <c r="H800">
        <v>-1353</v>
      </c>
      <c r="I800">
        <v>112</v>
      </c>
      <c r="J800">
        <v>-228</v>
      </c>
      <c r="K800" s="201">
        <v>119</v>
      </c>
    </row>
    <row r="801" spans="1:11" x14ac:dyDescent="0.25">
      <c r="A801"/>
      <c r="B801" s="201">
        <v>4602</v>
      </c>
      <c r="C801">
        <v>4558</v>
      </c>
      <c r="D801" s="201">
        <v>0</v>
      </c>
      <c r="E801" s="201">
        <v>11</v>
      </c>
      <c r="F801">
        <v>0</v>
      </c>
      <c r="G801">
        <v>0</v>
      </c>
      <c r="H801">
        <v>0</v>
      </c>
      <c r="I801">
        <v>0</v>
      </c>
      <c r="J801">
        <v>0</v>
      </c>
      <c r="K801" s="201">
        <v>-1284</v>
      </c>
    </row>
    <row r="802" spans="1:11" x14ac:dyDescent="0.25">
      <c r="A802"/>
      <c r="B802" s="201">
        <v>0</v>
      </c>
      <c r="C802">
        <v>0</v>
      </c>
      <c r="D802" s="201">
        <v>0</v>
      </c>
      <c r="E802" s="201">
        <v>1073</v>
      </c>
      <c r="F802">
        <v>0</v>
      </c>
      <c r="G802">
        <v>-59</v>
      </c>
      <c r="H802">
        <v>0</v>
      </c>
      <c r="I802">
        <v>0</v>
      </c>
      <c r="J802">
        <v>0</v>
      </c>
      <c r="K802" s="201">
        <v>0</v>
      </c>
    </row>
    <row r="803" spans="1:11" x14ac:dyDescent="0.25">
      <c r="A803"/>
      <c r="B803" s="201">
        <v>0</v>
      </c>
      <c r="C803">
        <v>-341</v>
      </c>
      <c r="D803" s="201">
        <v>0</v>
      </c>
      <c r="E803" s="201">
        <v>-1225</v>
      </c>
      <c r="F803">
        <v>-912</v>
      </c>
      <c r="G803">
        <v>0</v>
      </c>
      <c r="H803">
        <v>0</v>
      </c>
      <c r="I803">
        <v>-90958</v>
      </c>
      <c r="J803">
        <v>13287</v>
      </c>
      <c r="K803" s="201">
        <v>0</v>
      </c>
    </row>
    <row r="804" spans="1:11" x14ac:dyDescent="0.25">
      <c r="A804"/>
      <c r="B804" s="201">
        <v>7554</v>
      </c>
      <c r="C804">
        <v>0</v>
      </c>
      <c r="D804" s="201">
        <v>0</v>
      </c>
      <c r="E804" s="201">
        <v>0</v>
      </c>
      <c r="F804">
        <v>0</v>
      </c>
      <c r="G804">
        <v>-28345</v>
      </c>
      <c r="H804">
        <v>-6544</v>
      </c>
      <c r="I804">
        <v>-2432</v>
      </c>
      <c r="J804">
        <v>0</v>
      </c>
      <c r="K804" s="201">
        <v>0</v>
      </c>
    </row>
    <row r="805" spans="1:11" x14ac:dyDescent="0.25">
      <c r="A805"/>
      <c r="B805" s="201">
        <v>5196</v>
      </c>
      <c r="C805">
        <v>-136</v>
      </c>
      <c r="D805" s="201">
        <v>0</v>
      </c>
      <c r="E805" s="201">
        <v>1328</v>
      </c>
      <c r="F805">
        <v>5307</v>
      </c>
      <c r="G805">
        <v>1642</v>
      </c>
      <c r="H805">
        <v>4704</v>
      </c>
      <c r="I805">
        <v>-326</v>
      </c>
      <c r="J805">
        <v>1450</v>
      </c>
      <c r="K805" s="201">
        <v>8955</v>
      </c>
    </row>
    <row r="806" spans="1:11" x14ac:dyDescent="0.25">
      <c r="A806"/>
      <c r="B806" s="201">
        <v>0</v>
      </c>
      <c r="C806">
        <v>0</v>
      </c>
      <c r="D806" s="201">
        <v>0</v>
      </c>
      <c r="E806" s="201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 s="201">
        <v>0</v>
      </c>
    </row>
    <row r="807" spans="1:11" x14ac:dyDescent="0.25">
      <c r="A807"/>
      <c r="B807" s="201">
        <v>0</v>
      </c>
      <c r="C807">
        <v>0</v>
      </c>
      <c r="D807" s="201">
        <v>0</v>
      </c>
      <c r="E807" s="201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s="201">
        <v>0</v>
      </c>
    </row>
    <row r="808" spans="1:11" x14ac:dyDescent="0.25">
      <c r="A808"/>
      <c r="B808" s="201">
        <v>0</v>
      </c>
      <c r="C808">
        <v>0</v>
      </c>
      <c r="D808" s="201">
        <v>0</v>
      </c>
      <c r="E808" s="201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 s="201">
        <v>0</v>
      </c>
    </row>
    <row r="809" spans="1:11" x14ac:dyDescent="0.25">
      <c r="A809"/>
      <c r="B809" s="201">
        <v>0</v>
      </c>
      <c r="C809">
        <v>0</v>
      </c>
      <c r="D809" s="201">
        <v>0</v>
      </c>
      <c r="E809" s="201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s="201">
        <v>0</v>
      </c>
    </row>
    <row r="810" spans="1:11" x14ac:dyDescent="0.25">
      <c r="A810"/>
      <c r="B810" s="201">
        <v>0</v>
      </c>
      <c r="C810">
        <v>0</v>
      </c>
      <c r="D810" s="201">
        <v>0</v>
      </c>
      <c r="E810" s="201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 s="201">
        <v>0</v>
      </c>
    </row>
    <row r="811" spans="1:11" x14ac:dyDescent="0.25">
      <c r="A811"/>
      <c r="B811" s="201">
        <v>0</v>
      </c>
      <c r="C811">
        <v>0</v>
      </c>
      <c r="D811" s="201">
        <v>0</v>
      </c>
      <c r="E811" s="20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s="201">
        <v>0</v>
      </c>
    </row>
    <row r="812" spans="1:11" x14ac:dyDescent="0.25">
      <c r="A812"/>
      <c r="B812" s="201">
        <v>0</v>
      </c>
      <c r="C812">
        <v>0</v>
      </c>
      <c r="D812" s="201">
        <v>0</v>
      </c>
      <c r="E812" s="201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 s="201">
        <v>0</v>
      </c>
    </row>
    <row r="813" spans="1:11" x14ac:dyDescent="0.25">
      <c r="A813"/>
      <c r="B813" s="201">
        <v>0</v>
      </c>
      <c r="C813">
        <v>0</v>
      </c>
      <c r="D813" s="201">
        <v>0</v>
      </c>
      <c r="E813" s="201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s="201">
        <v>0</v>
      </c>
    </row>
    <row r="814" spans="1:11" x14ac:dyDescent="0.25">
      <c r="A814"/>
      <c r="B814" s="201">
        <v>0</v>
      </c>
      <c r="C814">
        <v>0</v>
      </c>
      <c r="D814" s="201">
        <v>0</v>
      </c>
      <c r="E814" s="201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 s="201">
        <v>0</v>
      </c>
    </row>
    <row r="815" spans="1:11" x14ac:dyDescent="0.25">
      <c r="A815"/>
      <c r="B815" s="201">
        <v>0</v>
      </c>
      <c r="C815">
        <v>0</v>
      </c>
      <c r="D815" s="201">
        <v>0</v>
      </c>
      <c r="E815" s="201">
        <v>0</v>
      </c>
      <c r="F815">
        <v>0</v>
      </c>
      <c r="G815">
        <v>393</v>
      </c>
      <c r="H815">
        <v>-746</v>
      </c>
      <c r="I815">
        <v>56</v>
      </c>
      <c r="J815">
        <v>39</v>
      </c>
      <c r="K815" s="201">
        <v>-1052</v>
      </c>
    </row>
    <row r="816" spans="1:11" x14ac:dyDescent="0.25">
      <c r="A816"/>
      <c r="B816" s="201">
        <v>0</v>
      </c>
      <c r="C816">
        <v>0</v>
      </c>
      <c r="D816" s="201">
        <v>26</v>
      </c>
      <c r="E816" s="201">
        <v>0</v>
      </c>
      <c r="F816">
        <v>0</v>
      </c>
      <c r="G816">
        <v>0</v>
      </c>
      <c r="H816">
        <v>-62</v>
      </c>
      <c r="I816">
        <v>-518</v>
      </c>
      <c r="J816">
        <v>0</v>
      </c>
      <c r="K816" s="201">
        <v>0</v>
      </c>
    </row>
    <row r="817" spans="1:11" x14ac:dyDescent="0.25">
      <c r="A817"/>
      <c r="B817" s="201">
        <v>0</v>
      </c>
      <c r="C817">
        <v>0</v>
      </c>
      <c r="D817" s="201">
        <v>0</v>
      </c>
      <c r="E817" s="201">
        <v>0</v>
      </c>
      <c r="F817">
        <v>561</v>
      </c>
      <c r="G817">
        <v>0</v>
      </c>
      <c r="H817">
        <v>0</v>
      </c>
      <c r="I817">
        <v>94</v>
      </c>
      <c r="J817">
        <v>0</v>
      </c>
      <c r="K817" s="201">
        <v>-122</v>
      </c>
    </row>
    <row r="818" spans="1:11" x14ac:dyDescent="0.25">
      <c r="A818"/>
      <c r="B818" s="201">
        <v>0</v>
      </c>
      <c r="C818">
        <v>178</v>
      </c>
      <c r="D818" s="201">
        <v>-37</v>
      </c>
      <c r="E818" s="201">
        <v>-129</v>
      </c>
      <c r="F818">
        <v>0</v>
      </c>
      <c r="G818">
        <v>2041</v>
      </c>
      <c r="H818">
        <v>554</v>
      </c>
      <c r="I818">
        <v>-183</v>
      </c>
      <c r="J818">
        <v>-1076</v>
      </c>
      <c r="K818" s="201">
        <v>-1545</v>
      </c>
    </row>
    <row r="819" spans="1:11" x14ac:dyDescent="0.25">
      <c r="A819"/>
      <c r="B819" s="201">
        <v>-4082</v>
      </c>
      <c r="C819">
        <v>0</v>
      </c>
      <c r="D819" s="201">
        <v>-268</v>
      </c>
      <c r="E819" s="201">
        <v>0</v>
      </c>
      <c r="F819">
        <v>0</v>
      </c>
      <c r="G819">
        <v>0</v>
      </c>
      <c r="H819">
        <v>0</v>
      </c>
      <c r="I819">
        <v>0</v>
      </c>
      <c r="J819">
        <v>2176</v>
      </c>
      <c r="K819" s="201">
        <v>0</v>
      </c>
    </row>
    <row r="820" spans="1:11" x14ac:dyDescent="0.25">
      <c r="A820"/>
      <c r="B820" s="201">
        <v>0</v>
      </c>
      <c r="C820">
        <v>0</v>
      </c>
      <c r="D820" s="201">
        <v>-1513</v>
      </c>
      <c r="E820" s="201">
        <v>0</v>
      </c>
      <c r="F820">
        <v>-500</v>
      </c>
      <c r="G820">
        <v>0</v>
      </c>
      <c r="H820">
        <v>0</v>
      </c>
      <c r="I820">
        <v>0</v>
      </c>
      <c r="J820">
        <v>0</v>
      </c>
      <c r="K820" s="201">
        <v>0</v>
      </c>
    </row>
    <row r="821" spans="1:11" x14ac:dyDescent="0.25">
      <c r="A821"/>
      <c r="B821" s="201">
        <v>578</v>
      </c>
      <c r="C821">
        <v>0</v>
      </c>
      <c r="D821" s="201">
        <v>-1029</v>
      </c>
      <c r="E821" s="201">
        <v>-393</v>
      </c>
      <c r="F821">
        <v>0</v>
      </c>
      <c r="G821">
        <v>0</v>
      </c>
      <c r="H821">
        <v>16869</v>
      </c>
      <c r="I821">
        <v>-73264</v>
      </c>
      <c r="J821">
        <v>0</v>
      </c>
      <c r="K821" s="201">
        <v>2481</v>
      </c>
    </row>
    <row r="822" spans="1:11" x14ac:dyDescent="0.25">
      <c r="A822"/>
      <c r="B822" s="201">
        <v>0</v>
      </c>
      <c r="C822">
        <v>0</v>
      </c>
      <c r="D822" s="201">
        <v>0</v>
      </c>
      <c r="E822" s="201">
        <v>0</v>
      </c>
      <c r="F822">
        <v>-12982</v>
      </c>
      <c r="G822">
        <v>-3421</v>
      </c>
      <c r="H822">
        <v>-1943</v>
      </c>
      <c r="I822">
        <v>0</v>
      </c>
      <c r="J822">
        <v>0</v>
      </c>
      <c r="K822" s="201">
        <v>3135</v>
      </c>
    </row>
    <row r="823" spans="1:11" x14ac:dyDescent="0.25">
      <c r="B823" s="201">
        <v>-681</v>
      </c>
      <c r="C823">
        <v>0</v>
      </c>
      <c r="D823" s="201">
        <v>-371</v>
      </c>
      <c r="E823" s="201">
        <v>3849</v>
      </c>
      <c r="F823">
        <v>41</v>
      </c>
      <c r="G823">
        <v>2568</v>
      </c>
      <c r="H823">
        <v>4609</v>
      </c>
      <c r="I823">
        <v>1289</v>
      </c>
      <c r="J823">
        <v>3379</v>
      </c>
      <c r="K823" s="201">
        <v>0</v>
      </c>
    </row>
    <row r="824" spans="1:11" x14ac:dyDescent="0.25">
      <c r="A824"/>
      <c r="B824" s="201">
        <v>0</v>
      </c>
      <c r="C824">
        <v>0</v>
      </c>
      <c r="D824" s="201">
        <v>0</v>
      </c>
      <c r="E824" s="201">
        <v>0</v>
      </c>
      <c r="F824">
        <v>-17437</v>
      </c>
      <c r="G824">
        <v>0</v>
      </c>
      <c r="H824">
        <v>-944</v>
      </c>
      <c r="I824">
        <v>-377</v>
      </c>
      <c r="J824">
        <v>-401</v>
      </c>
      <c r="K824" s="201">
        <v>-32</v>
      </c>
    </row>
    <row r="825" spans="1:11" x14ac:dyDescent="0.25">
      <c r="A825"/>
      <c r="B825" s="201">
        <v>113</v>
      </c>
      <c r="C825">
        <v>0</v>
      </c>
      <c r="D825" s="201">
        <v>0</v>
      </c>
      <c r="E825" s="201">
        <v>-25</v>
      </c>
      <c r="F825">
        <v>0</v>
      </c>
      <c r="G825">
        <v>0</v>
      </c>
      <c r="H825">
        <v>0</v>
      </c>
      <c r="I825">
        <v>968</v>
      </c>
      <c r="J825">
        <v>-1028</v>
      </c>
      <c r="K825" s="201">
        <v>0</v>
      </c>
    </row>
    <row r="826" spans="1:11" x14ac:dyDescent="0.25">
      <c r="A826"/>
      <c r="B826" s="201">
        <v>0</v>
      </c>
      <c r="C826">
        <v>0</v>
      </c>
      <c r="D826" s="201">
        <v>0</v>
      </c>
      <c r="E826" s="201">
        <v>0</v>
      </c>
      <c r="F826">
        <v>0</v>
      </c>
      <c r="G826">
        <v>-115</v>
      </c>
      <c r="H826">
        <v>0</v>
      </c>
      <c r="I826">
        <v>0</v>
      </c>
      <c r="J826">
        <v>-248</v>
      </c>
      <c r="K826" s="201">
        <v>0</v>
      </c>
    </row>
    <row r="827" spans="1:11" x14ac:dyDescent="0.25">
      <c r="A827"/>
      <c r="B827" s="201">
        <v>134</v>
      </c>
      <c r="C827">
        <v>0</v>
      </c>
      <c r="D827" s="201">
        <v>195</v>
      </c>
      <c r="E827" s="201">
        <v>-1570</v>
      </c>
      <c r="F827">
        <v>379</v>
      </c>
      <c r="G827">
        <v>0</v>
      </c>
      <c r="H827">
        <v>-335</v>
      </c>
      <c r="I827">
        <v>-417</v>
      </c>
      <c r="J827">
        <v>-107</v>
      </c>
      <c r="K827" s="201">
        <v>11</v>
      </c>
    </row>
    <row r="828" spans="1:11" x14ac:dyDescent="0.25">
      <c r="A828"/>
      <c r="B828" s="201">
        <v>-43</v>
      </c>
      <c r="C828">
        <v>-400</v>
      </c>
      <c r="D828" s="201">
        <v>0</v>
      </c>
      <c r="E828" s="201">
        <v>34</v>
      </c>
      <c r="F828">
        <v>0</v>
      </c>
      <c r="G828">
        <v>0</v>
      </c>
      <c r="H828">
        <v>0</v>
      </c>
      <c r="I828">
        <v>0</v>
      </c>
      <c r="J828">
        <v>0</v>
      </c>
      <c r="K828" s="201">
        <v>-422</v>
      </c>
    </row>
    <row r="829" spans="1:11" x14ac:dyDescent="0.25">
      <c r="A829"/>
      <c r="B829" s="201">
        <v>0</v>
      </c>
      <c r="C829">
        <v>0</v>
      </c>
      <c r="D829" s="201">
        <v>0</v>
      </c>
      <c r="E829" s="201">
        <v>317</v>
      </c>
      <c r="F829">
        <v>0</v>
      </c>
      <c r="G829">
        <v>175</v>
      </c>
      <c r="H829">
        <v>0</v>
      </c>
      <c r="I829">
        <v>0</v>
      </c>
      <c r="J829">
        <v>0</v>
      </c>
      <c r="K829" s="201">
        <v>0</v>
      </c>
    </row>
    <row r="830" spans="1:11" x14ac:dyDescent="0.25">
      <c r="A830"/>
      <c r="B830" s="201">
        <v>0</v>
      </c>
      <c r="C830">
        <v>201</v>
      </c>
      <c r="D830" s="201">
        <v>0</v>
      </c>
      <c r="E830" s="201">
        <v>302</v>
      </c>
      <c r="F830">
        <v>-1083</v>
      </c>
      <c r="G830">
        <v>0</v>
      </c>
      <c r="H830">
        <v>0</v>
      </c>
      <c r="I830">
        <v>-4774</v>
      </c>
      <c r="J830">
        <v>-2984</v>
      </c>
      <c r="K830" s="201">
        <v>0</v>
      </c>
    </row>
    <row r="831" spans="1:11" x14ac:dyDescent="0.25">
      <c r="A831"/>
      <c r="B831" s="201">
        <v>892</v>
      </c>
      <c r="C831">
        <v>0</v>
      </c>
      <c r="D831" s="201">
        <v>0</v>
      </c>
      <c r="E831" s="201">
        <v>0</v>
      </c>
      <c r="F831">
        <v>0</v>
      </c>
      <c r="G831">
        <v>-1444</v>
      </c>
      <c r="H831">
        <v>-10064</v>
      </c>
      <c r="I831">
        <v>-4730</v>
      </c>
      <c r="J831">
        <v>0</v>
      </c>
      <c r="K831" s="201">
        <v>0</v>
      </c>
    </row>
    <row r="832" spans="1:11" x14ac:dyDescent="0.25">
      <c r="A832"/>
      <c r="B832" s="201">
        <v>-3645</v>
      </c>
      <c r="C832">
        <v>842</v>
      </c>
      <c r="D832" s="201">
        <v>0</v>
      </c>
      <c r="E832" s="201">
        <v>-4401</v>
      </c>
      <c r="F832">
        <v>-2578</v>
      </c>
      <c r="G832">
        <v>-2849</v>
      </c>
      <c r="H832">
        <v>-611</v>
      </c>
      <c r="I832">
        <v>-1202</v>
      </c>
      <c r="J832">
        <v>132</v>
      </c>
      <c r="K832" s="201">
        <v>1492</v>
      </c>
    </row>
    <row r="833" spans="1:11" x14ac:dyDescent="0.25">
      <c r="A833"/>
      <c r="B833" s="201">
        <v>0</v>
      </c>
      <c r="C833">
        <v>0</v>
      </c>
      <c r="D833" s="201">
        <v>0</v>
      </c>
      <c r="E833" s="201">
        <v>0</v>
      </c>
      <c r="F833">
        <v>0</v>
      </c>
      <c r="G833">
        <v>-305</v>
      </c>
      <c r="H833">
        <v>0</v>
      </c>
      <c r="I833">
        <v>135</v>
      </c>
      <c r="J833">
        <v>-224</v>
      </c>
      <c r="K833" s="201">
        <v>-14</v>
      </c>
    </row>
    <row r="834" spans="1:11" x14ac:dyDescent="0.25">
      <c r="A834"/>
      <c r="B834" s="201">
        <v>-234</v>
      </c>
      <c r="C834">
        <v>113</v>
      </c>
      <c r="D834" s="201">
        <v>817</v>
      </c>
      <c r="E834" s="201">
        <v>0</v>
      </c>
      <c r="F834">
        <v>0</v>
      </c>
      <c r="G834">
        <v>-47</v>
      </c>
      <c r="H834">
        <v>0</v>
      </c>
      <c r="I834">
        <v>0</v>
      </c>
      <c r="J834">
        <v>0</v>
      </c>
      <c r="K834" s="201">
        <v>143</v>
      </c>
    </row>
    <row r="835" spans="1:11" x14ac:dyDescent="0.25">
      <c r="A835"/>
      <c r="B835" s="201">
        <v>-130</v>
      </c>
      <c r="C835">
        <v>0</v>
      </c>
      <c r="D835" s="201">
        <v>0</v>
      </c>
      <c r="E835" s="201">
        <v>0</v>
      </c>
      <c r="F835">
        <v>0</v>
      </c>
      <c r="G835">
        <v>0</v>
      </c>
      <c r="H835">
        <v>0</v>
      </c>
      <c r="I835">
        <v>-353</v>
      </c>
      <c r="J835">
        <v>0</v>
      </c>
      <c r="K835" s="201">
        <v>0</v>
      </c>
    </row>
    <row r="836" spans="1:11" x14ac:dyDescent="0.25">
      <c r="A836"/>
      <c r="B836" s="201">
        <v>142</v>
      </c>
      <c r="C836">
        <v>0</v>
      </c>
      <c r="D836" s="201">
        <v>-211</v>
      </c>
      <c r="E836" s="201">
        <v>0</v>
      </c>
      <c r="F836">
        <v>-181</v>
      </c>
      <c r="G836">
        <v>365</v>
      </c>
      <c r="H836">
        <v>-283</v>
      </c>
      <c r="I836">
        <v>0</v>
      </c>
      <c r="J836">
        <v>78</v>
      </c>
      <c r="K836" s="201">
        <v>368</v>
      </c>
    </row>
    <row r="837" spans="1:11" x14ac:dyDescent="0.25">
      <c r="A837"/>
      <c r="B837" s="201">
        <v>47</v>
      </c>
      <c r="C837">
        <v>475</v>
      </c>
      <c r="D837" s="201">
        <v>559</v>
      </c>
      <c r="E837" s="201">
        <v>65</v>
      </c>
      <c r="F837">
        <v>0</v>
      </c>
      <c r="G837">
        <v>-191</v>
      </c>
      <c r="H837">
        <v>0</v>
      </c>
      <c r="I837">
        <v>0</v>
      </c>
      <c r="J837">
        <v>0</v>
      </c>
      <c r="K837" s="201">
        <v>0</v>
      </c>
    </row>
    <row r="838" spans="1:11" x14ac:dyDescent="0.25">
      <c r="A838"/>
      <c r="B838" s="201">
        <v>0</v>
      </c>
      <c r="C838">
        <v>539</v>
      </c>
      <c r="D838" s="201">
        <v>0</v>
      </c>
      <c r="E838" s="201">
        <v>0</v>
      </c>
      <c r="F838">
        <v>0</v>
      </c>
      <c r="G838">
        <v>-426</v>
      </c>
      <c r="H838">
        <v>0</v>
      </c>
      <c r="I838">
        <v>-299</v>
      </c>
      <c r="J838">
        <v>0</v>
      </c>
      <c r="K838" s="201">
        <v>0</v>
      </c>
    </row>
    <row r="839" spans="1:11" x14ac:dyDescent="0.25">
      <c r="A839"/>
      <c r="B839" s="201">
        <v>0</v>
      </c>
      <c r="C839">
        <v>0</v>
      </c>
      <c r="D839" s="201">
        <v>0</v>
      </c>
      <c r="E839" s="201">
        <v>-44</v>
      </c>
      <c r="F839">
        <v>0</v>
      </c>
      <c r="G839">
        <v>-571</v>
      </c>
      <c r="H839">
        <v>-294</v>
      </c>
      <c r="I839">
        <v>0</v>
      </c>
      <c r="J839">
        <v>0</v>
      </c>
      <c r="K839" s="201">
        <v>-3682</v>
      </c>
    </row>
    <row r="840" spans="1:11" x14ac:dyDescent="0.25">
      <c r="B840" s="201">
        <v>-5308</v>
      </c>
      <c r="C840">
        <v>0</v>
      </c>
      <c r="D840" s="201">
        <v>1939</v>
      </c>
      <c r="E840" s="201">
        <v>0</v>
      </c>
      <c r="F840">
        <v>0</v>
      </c>
      <c r="G840">
        <v>0</v>
      </c>
      <c r="H840">
        <v>0</v>
      </c>
      <c r="I840">
        <v>-12975</v>
      </c>
      <c r="J840">
        <v>1638</v>
      </c>
      <c r="K840" s="201">
        <v>1016</v>
      </c>
    </row>
    <row r="841" spans="1:11" x14ac:dyDescent="0.25">
      <c r="A841"/>
      <c r="B841" s="201">
        <v>0</v>
      </c>
      <c r="C841">
        <v>0</v>
      </c>
      <c r="D841" s="201">
        <v>24246</v>
      </c>
      <c r="E841" s="201">
        <v>-2556</v>
      </c>
      <c r="F841">
        <v>0</v>
      </c>
      <c r="G841">
        <v>2490</v>
      </c>
      <c r="H841">
        <v>5943</v>
      </c>
      <c r="I841">
        <v>-3171</v>
      </c>
      <c r="J841">
        <v>-1794</v>
      </c>
      <c r="K841" s="201">
        <v>-3956</v>
      </c>
    </row>
    <row r="842" spans="1:11" x14ac:dyDescent="0.25">
      <c r="A842"/>
      <c r="B842" s="201">
        <v>-103</v>
      </c>
      <c r="C842">
        <v>4092</v>
      </c>
      <c r="D842" s="201">
        <v>0</v>
      </c>
      <c r="E842" s="201">
        <v>0</v>
      </c>
      <c r="F842">
        <v>0</v>
      </c>
      <c r="G842">
        <v>0</v>
      </c>
      <c r="H842">
        <v>0</v>
      </c>
      <c r="I842">
        <v>-5508</v>
      </c>
      <c r="J842">
        <v>0</v>
      </c>
      <c r="K842" s="201">
        <v>-1980</v>
      </c>
    </row>
    <row r="843" spans="1:11" x14ac:dyDescent="0.25">
      <c r="A843"/>
      <c r="B843" s="201">
        <v>-11626</v>
      </c>
      <c r="C843">
        <v>0</v>
      </c>
      <c r="D843" s="201">
        <v>0</v>
      </c>
      <c r="E843" s="201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 s="201">
        <v>0</v>
      </c>
    </row>
    <row r="844" spans="1:11" x14ac:dyDescent="0.25">
      <c r="A844"/>
      <c r="B844" s="201">
        <v>0</v>
      </c>
      <c r="C844">
        <v>0</v>
      </c>
      <c r="D844" s="201">
        <v>0</v>
      </c>
      <c r="E844" s="201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 s="201">
        <v>0</v>
      </c>
    </row>
    <row r="845" spans="1:11" x14ac:dyDescent="0.25">
      <c r="A845"/>
      <c r="B845" s="201">
        <v>0</v>
      </c>
      <c r="C845">
        <v>0</v>
      </c>
      <c r="D845" s="201">
        <v>0</v>
      </c>
      <c r="E845" s="201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s="201">
        <v>0</v>
      </c>
    </row>
    <row r="846" spans="1:11" x14ac:dyDescent="0.25">
      <c r="A846"/>
      <c r="B846" s="201">
        <v>0</v>
      </c>
      <c r="C846">
        <v>0</v>
      </c>
      <c r="D846" s="201">
        <v>0</v>
      </c>
      <c r="E846" s="201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 s="201">
        <v>0</v>
      </c>
    </row>
    <row r="847" spans="1:11" x14ac:dyDescent="0.25">
      <c r="A847"/>
      <c r="B847" s="201">
        <v>0</v>
      </c>
      <c r="C847">
        <v>0</v>
      </c>
      <c r="D847" s="201">
        <v>0</v>
      </c>
      <c r="E847" s="201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s="201">
        <v>0</v>
      </c>
    </row>
    <row r="848" spans="1:11" x14ac:dyDescent="0.25">
      <c r="A848"/>
      <c r="B848" s="201">
        <v>0</v>
      </c>
      <c r="C848">
        <v>0</v>
      </c>
      <c r="D848" s="201">
        <v>0</v>
      </c>
      <c r="E848" s="201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 s="201">
        <v>0</v>
      </c>
    </row>
    <row r="849" spans="1:11" x14ac:dyDescent="0.25">
      <c r="A849"/>
      <c r="B849" s="201">
        <v>0</v>
      </c>
      <c r="C849">
        <v>0</v>
      </c>
      <c r="D849" s="201">
        <v>0</v>
      </c>
      <c r="E849" s="201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s="201">
        <v>0</v>
      </c>
    </row>
    <row r="850" spans="1:11" x14ac:dyDescent="0.25">
      <c r="A850"/>
      <c r="B850" s="201">
        <v>0</v>
      </c>
      <c r="C850">
        <v>0</v>
      </c>
      <c r="D850" s="201">
        <v>0</v>
      </c>
      <c r="E850" s="201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 s="201">
        <v>0</v>
      </c>
    </row>
    <row r="851" spans="1:11" x14ac:dyDescent="0.25">
      <c r="A851"/>
      <c r="B851" s="201">
        <v>0</v>
      </c>
      <c r="C851">
        <v>0</v>
      </c>
      <c r="D851" s="201">
        <v>0</v>
      </c>
      <c r="E851" s="20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s="201">
        <v>0</v>
      </c>
    </row>
    <row r="852" spans="1:11" x14ac:dyDescent="0.25">
      <c r="A852"/>
      <c r="B852" s="201">
        <v>0</v>
      </c>
      <c r="C852">
        <v>0</v>
      </c>
      <c r="D852" s="201">
        <v>0</v>
      </c>
      <c r="E852" s="201">
        <v>0</v>
      </c>
      <c r="F852">
        <v>0</v>
      </c>
      <c r="G852">
        <v>4947</v>
      </c>
      <c r="H852">
        <v>873</v>
      </c>
      <c r="I852">
        <v>1560</v>
      </c>
      <c r="J852">
        <v>1072</v>
      </c>
      <c r="K852" s="201">
        <v>1003</v>
      </c>
    </row>
    <row r="853" spans="1:11" x14ac:dyDescent="0.25">
      <c r="A853"/>
      <c r="B853" s="201">
        <v>0</v>
      </c>
      <c r="C853">
        <v>0</v>
      </c>
      <c r="D853" s="201">
        <v>352</v>
      </c>
      <c r="E853" s="201">
        <v>0</v>
      </c>
      <c r="F853">
        <v>0</v>
      </c>
      <c r="G853">
        <v>0</v>
      </c>
      <c r="H853">
        <v>80</v>
      </c>
      <c r="I853">
        <v>-315</v>
      </c>
      <c r="J853">
        <v>0</v>
      </c>
      <c r="K853" s="201">
        <v>0</v>
      </c>
    </row>
    <row r="854" spans="1:11" x14ac:dyDescent="0.25">
      <c r="A854"/>
      <c r="B854" s="201">
        <v>0</v>
      </c>
      <c r="C854">
        <v>0</v>
      </c>
      <c r="D854" s="201">
        <v>0</v>
      </c>
      <c r="E854" s="201">
        <v>0</v>
      </c>
      <c r="F854">
        <v>-141</v>
      </c>
      <c r="G854">
        <v>0</v>
      </c>
      <c r="H854">
        <v>0</v>
      </c>
      <c r="I854">
        <v>-357</v>
      </c>
      <c r="J854">
        <v>0</v>
      </c>
      <c r="K854" s="201">
        <v>-441</v>
      </c>
    </row>
    <row r="855" spans="1:11" x14ac:dyDescent="0.25">
      <c r="A855"/>
      <c r="B855" s="201">
        <v>0</v>
      </c>
      <c r="C855">
        <v>-635</v>
      </c>
      <c r="D855" s="201">
        <v>-2562</v>
      </c>
      <c r="E855" s="201">
        <v>-466</v>
      </c>
      <c r="F855">
        <v>0</v>
      </c>
      <c r="G855">
        <v>675</v>
      </c>
      <c r="H855">
        <v>405</v>
      </c>
      <c r="I855">
        <v>392</v>
      </c>
      <c r="J855">
        <v>234</v>
      </c>
      <c r="K855" s="201">
        <v>384</v>
      </c>
    </row>
    <row r="856" spans="1:11" x14ac:dyDescent="0.25">
      <c r="A856"/>
      <c r="B856" s="201">
        <v>593</v>
      </c>
      <c r="C856">
        <v>0</v>
      </c>
      <c r="D856" s="201">
        <v>-338</v>
      </c>
      <c r="E856" s="201">
        <v>0</v>
      </c>
      <c r="F856">
        <v>0</v>
      </c>
      <c r="G856">
        <v>0</v>
      </c>
      <c r="H856">
        <v>0</v>
      </c>
      <c r="I856">
        <v>0</v>
      </c>
      <c r="J856">
        <v>-158</v>
      </c>
      <c r="K856" s="201">
        <v>0</v>
      </c>
    </row>
    <row r="857" spans="1:11" x14ac:dyDescent="0.25">
      <c r="A857"/>
      <c r="B857" s="201">
        <v>0</v>
      </c>
      <c r="C857">
        <v>0</v>
      </c>
      <c r="D857" s="201">
        <v>154</v>
      </c>
      <c r="E857" s="201">
        <v>0</v>
      </c>
      <c r="F857">
        <v>-44</v>
      </c>
      <c r="G857">
        <v>0</v>
      </c>
      <c r="H857">
        <v>0</v>
      </c>
      <c r="I857">
        <v>0</v>
      </c>
      <c r="J857">
        <v>0</v>
      </c>
      <c r="K857" s="201">
        <v>0</v>
      </c>
    </row>
    <row r="858" spans="1:11" x14ac:dyDescent="0.25">
      <c r="A858"/>
      <c r="B858" s="201">
        <v>-1249</v>
      </c>
      <c r="C858">
        <v>0</v>
      </c>
      <c r="D858" s="201">
        <v>30</v>
      </c>
      <c r="E858" s="201">
        <v>-1003</v>
      </c>
      <c r="F858">
        <v>0</v>
      </c>
      <c r="G858">
        <v>0</v>
      </c>
      <c r="H858">
        <v>2855</v>
      </c>
      <c r="I858">
        <v>924</v>
      </c>
      <c r="J858">
        <v>0</v>
      </c>
      <c r="K858" s="201">
        <v>2253</v>
      </c>
    </row>
    <row r="859" spans="1:11" x14ac:dyDescent="0.25">
      <c r="A859"/>
      <c r="B859" s="201">
        <v>0</v>
      </c>
      <c r="C859">
        <v>0</v>
      </c>
      <c r="D859" s="201">
        <v>0</v>
      </c>
      <c r="E859" s="201">
        <v>0</v>
      </c>
      <c r="F859">
        <v>272</v>
      </c>
      <c r="G859">
        <v>962</v>
      </c>
      <c r="H859">
        <v>201</v>
      </c>
      <c r="I859">
        <v>0</v>
      </c>
      <c r="J859">
        <v>0</v>
      </c>
      <c r="K859" s="201">
        <v>-648</v>
      </c>
    </row>
    <row r="860" spans="1:11" x14ac:dyDescent="0.25">
      <c r="A860"/>
      <c r="B860" s="201">
        <v>-773</v>
      </c>
      <c r="C860">
        <v>0</v>
      </c>
      <c r="D860" s="201">
        <v>-60</v>
      </c>
      <c r="E860" s="201">
        <v>1058</v>
      </c>
      <c r="F860">
        <v>-35</v>
      </c>
      <c r="G860">
        <v>861</v>
      </c>
      <c r="H860">
        <v>568</v>
      </c>
      <c r="I860">
        <v>67</v>
      </c>
      <c r="J860">
        <v>1191</v>
      </c>
      <c r="K860" s="201">
        <v>0</v>
      </c>
    </row>
    <row r="861" spans="1:11" x14ac:dyDescent="0.25">
      <c r="A861"/>
      <c r="B861" s="201">
        <v>0</v>
      </c>
      <c r="C861">
        <v>0</v>
      </c>
      <c r="D861" s="201">
        <v>0</v>
      </c>
      <c r="E861" s="201">
        <v>0</v>
      </c>
      <c r="F861">
        <v>569</v>
      </c>
      <c r="G861">
        <v>0</v>
      </c>
      <c r="H861">
        <v>-1444</v>
      </c>
      <c r="I861">
        <v>-25</v>
      </c>
      <c r="J861">
        <v>347</v>
      </c>
      <c r="K861" s="201">
        <v>0</v>
      </c>
    </row>
    <row r="862" spans="1:11" x14ac:dyDescent="0.25">
      <c r="A862"/>
      <c r="B862" s="201">
        <v>2533</v>
      </c>
      <c r="C862">
        <v>35323</v>
      </c>
      <c r="D862" s="201">
        <v>-456</v>
      </c>
      <c r="E862" s="201">
        <v>-173</v>
      </c>
      <c r="F862">
        <v>-388</v>
      </c>
      <c r="G862">
        <v>0</v>
      </c>
      <c r="H862">
        <v>0</v>
      </c>
      <c r="I862">
        <v>40</v>
      </c>
      <c r="J862">
        <v>0</v>
      </c>
      <c r="K862" s="201">
        <v>0</v>
      </c>
    </row>
    <row r="863" spans="1:11" x14ac:dyDescent="0.25">
      <c r="A863"/>
      <c r="B863" s="201">
        <v>0</v>
      </c>
      <c r="C863">
        <v>256</v>
      </c>
      <c r="D863" s="201">
        <v>-346</v>
      </c>
      <c r="E863" s="201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s="201">
        <v>-442</v>
      </c>
    </row>
    <row r="864" spans="1:11" x14ac:dyDescent="0.25">
      <c r="A864"/>
      <c r="B864" s="201">
        <v>0</v>
      </c>
      <c r="C864">
        <v>0</v>
      </c>
      <c r="D864" s="201">
        <v>64</v>
      </c>
      <c r="E864" s="201">
        <v>0</v>
      </c>
      <c r="F864">
        <v>-277</v>
      </c>
      <c r="G864">
        <v>0</v>
      </c>
      <c r="H864">
        <v>76</v>
      </c>
      <c r="I864">
        <v>-1110</v>
      </c>
      <c r="J864">
        <v>-665</v>
      </c>
      <c r="K864" s="201">
        <v>0</v>
      </c>
    </row>
    <row r="865" spans="1:11" x14ac:dyDescent="0.25">
      <c r="A865"/>
      <c r="B865" s="201">
        <v>672</v>
      </c>
      <c r="C865">
        <v>29998</v>
      </c>
      <c r="D865" s="201">
        <v>-65</v>
      </c>
      <c r="E865" s="201">
        <v>-392</v>
      </c>
      <c r="F865">
        <v>-535</v>
      </c>
      <c r="G865">
        <v>49</v>
      </c>
      <c r="H865">
        <v>0</v>
      </c>
      <c r="I865">
        <v>-19</v>
      </c>
      <c r="J865">
        <v>0</v>
      </c>
      <c r="K865" s="201">
        <v>0</v>
      </c>
    </row>
    <row r="866" spans="1:11" x14ac:dyDescent="0.25">
      <c r="A866"/>
      <c r="B866" s="201">
        <v>0</v>
      </c>
      <c r="C866">
        <v>0</v>
      </c>
      <c r="D866" s="201">
        <v>0</v>
      </c>
      <c r="E866" s="201">
        <v>-145</v>
      </c>
      <c r="F866">
        <v>0</v>
      </c>
      <c r="G866">
        <v>0</v>
      </c>
      <c r="H866">
        <v>0</v>
      </c>
      <c r="I866">
        <v>-223</v>
      </c>
      <c r="J866">
        <v>0</v>
      </c>
      <c r="K866" s="201">
        <v>-157</v>
      </c>
    </row>
    <row r="867" spans="1:11" x14ac:dyDescent="0.25">
      <c r="A867"/>
      <c r="B867" s="201">
        <v>0</v>
      </c>
      <c r="C867">
        <v>0</v>
      </c>
      <c r="D867" s="201">
        <v>0</v>
      </c>
      <c r="E867" s="201">
        <v>0</v>
      </c>
      <c r="F867">
        <v>0</v>
      </c>
      <c r="G867">
        <v>-699</v>
      </c>
      <c r="H867">
        <v>0</v>
      </c>
      <c r="I867">
        <v>2</v>
      </c>
      <c r="J867">
        <v>-255</v>
      </c>
      <c r="K867" s="201">
        <v>0</v>
      </c>
    </row>
    <row r="868" spans="1:11" x14ac:dyDescent="0.25">
      <c r="A868"/>
      <c r="B868" s="201">
        <v>0</v>
      </c>
      <c r="C868">
        <v>-2517</v>
      </c>
      <c r="D868" s="201">
        <v>40687</v>
      </c>
      <c r="E868" s="201">
        <v>0</v>
      </c>
      <c r="F868">
        <v>-374</v>
      </c>
      <c r="G868">
        <v>0</v>
      </c>
      <c r="H868">
        <v>0</v>
      </c>
      <c r="I868">
        <v>0</v>
      </c>
      <c r="J868">
        <v>0</v>
      </c>
      <c r="K868" s="201">
        <v>675</v>
      </c>
    </row>
    <row r="869" spans="1:11" x14ac:dyDescent="0.25">
      <c r="A869"/>
      <c r="B869" s="201">
        <v>-50</v>
      </c>
      <c r="C869">
        <v>-7</v>
      </c>
      <c r="D869" s="201">
        <v>0</v>
      </c>
      <c r="E869" s="201">
        <v>0</v>
      </c>
      <c r="F869">
        <v>124</v>
      </c>
      <c r="G869">
        <v>18</v>
      </c>
      <c r="H869">
        <v>0</v>
      </c>
      <c r="I869">
        <v>164</v>
      </c>
      <c r="J869">
        <v>113</v>
      </c>
      <c r="K869" s="201">
        <v>-26</v>
      </c>
    </row>
    <row r="870" spans="1:11" x14ac:dyDescent="0.25">
      <c r="A870"/>
      <c r="B870" s="201">
        <v>59</v>
      </c>
      <c r="C870">
        <v>-48</v>
      </c>
      <c r="D870" s="201">
        <v>93</v>
      </c>
      <c r="E870" s="201">
        <v>657</v>
      </c>
      <c r="F870">
        <v>0</v>
      </c>
      <c r="G870">
        <v>0</v>
      </c>
      <c r="H870">
        <v>0</v>
      </c>
      <c r="I870">
        <v>0</v>
      </c>
      <c r="J870">
        <v>0</v>
      </c>
      <c r="K870" s="201">
        <v>1851</v>
      </c>
    </row>
    <row r="871" spans="1:11" x14ac:dyDescent="0.25">
      <c r="A871"/>
      <c r="B871" s="201">
        <v>0</v>
      </c>
      <c r="C871">
        <v>389</v>
      </c>
      <c r="D871" s="201">
        <v>-217</v>
      </c>
      <c r="E871" s="201">
        <v>317</v>
      </c>
      <c r="F871">
        <v>0</v>
      </c>
      <c r="G871">
        <v>-1619</v>
      </c>
      <c r="H871">
        <v>-3664</v>
      </c>
      <c r="I871">
        <v>47</v>
      </c>
      <c r="J871">
        <v>8675</v>
      </c>
      <c r="K871" s="201">
        <v>-43</v>
      </c>
    </row>
    <row r="872" spans="1:11" x14ac:dyDescent="0.25">
      <c r="A872"/>
      <c r="B872" s="201">
        <v>322</v>
      </c>
      <c r="C872">
        <v>0</v>
      </c>
      <c r="D872" s="201">
        <v>0</v>
      </c>
      <c r="E872" s="201">
        <v>-174</v>
      </c>
      <c r="F872">
        <v>0</v>
      </c>
      <c r="G872">
        <v>0</v>
      </c>
      <c r="H872">
        <v>0</v>
      </c>
      <c r="I872">
        <v>-504</v>
      </c>
      <c r="J872">
        <v>-77</v>
      </c>
      <c r="K872" s="201">
        <v>0</v>
      </c>
    </row>
    <row r="873" spans="1:11" x14ac:dyDescent="0.25">
      <c r="A873"/>
      <c r="B873" s="201">
        <v>0</v>
      </c>
      <c r="C873">
        <v>0</v>
      </c>
      <c r="D873" s="201">
        <v>0</v>
      </c>
      <c r="E873" s="201">
        <v>0</v>
      </c>
      <c r="F873">
        <v>0</v>
      </c>
      <c r="G873">
        <v>-141</v>
      </c>
      <c r="H873">
        <v>0</v>
      </c>
      <c r="I873">
        <v>0</v>
      </c>
      <c r="J873">
        <v>-241</v>
      </c>
      <c r="K873" s="201">
        <v>0</v>
      </c>
    </row>
    <row r="874" spans="1:11" x14ac:dyDescent="0.25">
      <c r="A874"/>
      <c r="B874" s="201">
        <v>326</v>
      </c>
      <c r="C874">
        <v>0</v>
      </c>
      <c r="D874" s="201">
        <v>126</v>
      </c>
      <c r="E874" s="201">
        <v>1187</v>
      </c>
      <c r="F874">
        <v>500</v>
      </c>
      <c r="G874">
        <v>0</v>
      </c>
      <c r="H874">
        <v>-1452</v>
      </c>
      <c r="I874">
        <v>-99</v>
      </c>
      <c r="J874">
        <v>-231</v>
      </c>
      <c r="K874" s="201">
        <v>614</v>
      </c>
    </row>
    <row r="875" spans="1:11" x14ac:dyDescent="0.25">
      <c r="A875"/>
      <c r="B875" s="201">
        <v>1007</v>
      </c>
      <c r="C875">
        <v>724</v>
      </c>
      <c r="D875" s="201">
        <v>0</v>
      </c>
      <c r="E875" s="201">
        <v>-32</v>
      </c>
      <c r="F875">
        <v>0</v>
      </c>
      <c r="G875">
        <v>0</v>
      </c>
      <c r="H875">
        <v>0</v>
      </c>
      <c r="I875">
        <v>0</v>
      </c>
      <c r="J875">
        <v>0</v>
      </c>
      <c r="K875" s="201">
        <v>-159</v>
      </c>
    </row>
    <row r="876" spans="1:11" x14ac:dyDescent="0.25">
      <c r="A876"/>
      <c r="B876" s="201">
        <v>0</v>
      </c>
      <c r="C876">
        <v>0</v>
      </c>
      <c r="D876" s="201">
        <v>0</v>
      </c>
      <c r="E876" s="201">
        <v>675</v>
      </c>
      <c r="F876">
        <v>0</v>
      </c>
      <c r="G876">
        <v>-118</v>
      </c>
      <c r="H876">
        <v>0</v>
      </c>
      <c r="I876">
        <v>0</v>
      </c>
      <c r="J876">
        <v>0</v>
      </c>
      <c r="K876" s="201">
        <v>0</v>
      </c>
    </row>
    <row r="877" spans="1:11" x14ac:dyDescent="0.25">
      <c r="A877"/>
      <c r="B877" s="201">
        <v>0</v>
      </c>
      <c r="C877">
        <v>52</v>
      </c>
      <c r="D877" s="201">
        <v>0</v>
      </c>
      <c r="E877" s="201">
        <v>5</v>
      </c>
      <c r="F877">
        <v>892</v>
      </c>
      <c r="G877">
        <v>0</v>
      </c>
      <c r="H877">
        <v>0</v>
      </c>
      <c r="I877">
        <v>707</v>
      </c>
      <c r="J877">
        <v>140</v>
      </c>
      <c r="K877" s="201">
        <v>0</v>
      </c>
    </row>
    <row r="878" spans="1:11" x14ac:dyDescent="0.25">
      <c r="A878"/>
      <c r="B878" s="201">
        <v>-462</v>
      </c>
      <c r="C878">
        <v>0</v>
      </c>
      <c r="D878" s="201">
        <v>0</v>
      </c>
      <c r="E878" s="201">
        <v>0</v>
      </c>
      <c r="F878">
        <v>0</v>
      </c>
      <c r="G878">
        <v>-733</v>
      </c>
      <c r="H878">
        <v>202</v>
      </c>
      <c r="I878">
        <v>10</v>
      </c>
      <c r="J878">
        <v>0</v>
      </c>
      <c r="K878" s="201">
        <v>0</v>
      </c>
    </row>
    <row r="879" spans="1:11" x14ac:dyDescent="0.25">
      <c r="A879"/>
      <c r="B879" s="201">
        <v>-312</v>
      </c>
      <c r="C879">
        <v>467</v>
      </c>
      <c r="D879" s="201">
        <v>0</v>
      </c>
      <c r="E879" s="201">
        <v>120</v>
      </c>
      <c r="F879">
        <v>54</v>
      </c>
      <c r="G879">
        <v>74</v>
      </c>
      <c r="H879">
        <v>-92</v>
      </c>
      <c r="I879">
        <v>-332</v>
      </c>
      <c r="J879">
        <v>-588</v>
      </c>
      <c r="K879" s="201">
        <v>84</v>
      </c>
    </row>
    <row r="880" spans="1:11" x14ac:dyDescent="0.25">
      <c r="A880"/>
      <c r="B880" s="201">
        <v>0</v>
      </c>
      <c r="C880">
        <v>0</v>
      </c>
      <c r="D880" s="201">
        <v>0</v>
      </c>
      <c r="E880" s="201">
        <v>0</v>
      </c>
      <c r="F880">
        <v>0</v>
      </c>
      <c r="G880">
        <v>-323</v>
      </c>
      <c r="H880">
        <v>0</v>
      </c>
      <c r="I880">
        <v>80</v>
      </c>
      <c r="J880">
        <v>-88</v>
      </c>
      <c r="K880" s="201">
        <v>-205</v>
      </c>
    </row>
    <row r="881" spans="1:11" x14ac:dyDescent="0.25">
      <c r="A881"/>
      <c r="B881" s="201">
        <v>0</v>
      </c>
      <c r="C881">
        <v>-6741</v>
      </c>
      <c r="D881" s="201">
        <v>-6629</v>
      </c>
      <c r="E881" s="201">
        <v>-12515</v>
      </c>
      <c r="F881">
        <v>-160</v>
      </c>
      <c r="G881">
        <v>428</v>
      </c>
      <c r="H881">
        <v>637</v>
      </c>
      <c r="I881">
        <v>364</v>
      </c>
      <c r="J881">
        <v>0</v>
      </c>
      <c r="K881" s="201">
        <v>0</v>
      </c>
    </row>
    <row r="882" spans="1:11" x14ac:dyDescent="0.25">
      <c r="A882"/>
      <c r="B882" s="201">
        <v>-1037</v>
      </c>
      <c r="C882">
        <v>0</v>
      </c>
      <c r="D882" s="201">
        <v>0</v>
      </c>
      <c r="E882" s="201">
        <v>0</v>
      </c>
      <c r="F882">
        <v>-1283</v>
      </c>
      <c r="G882">
        <v>1539</v>
      </c>
      <c r="H882">
        <v>0</v>
      </c>
      <c r="I882">
        <v>0</v>
      </c>
      <c r="J882">
        <v>0</v>
      </c>
      <c r="K882" s="201">
        <v>0</v>
      </c>
    </row>
    <row r="883" spans="1:11" x14ac:dyDescent="0.25">
      <c r="A883"/>
      <c r="B883" s="201">
        <v>0</v>
      </c>
      <c r="C883">
        <v>0</v>
      </c>
      <c r="D883" s="201">
        <v>890</v>
      </c>
      <c r="E883" s="201">
        <v>0</v>
      </c>
      <c r="F883">
        <v>0</v>
      </c>
      <c r="G883">
        <v>-184</v>
      </c>
      <c r="H883">
        <v>0</v>
      </c>
      <c r="I883">
        <v>200</v>
      </c>
      <c r="J883">
        <v>0</v>
      </c>
      <c r="K883" s="201">
        <v>303</v>
      </c>
    </row>
    <row r="884" spans="1:11" x14ac:dyDescent="0.25">
      <c r="A884"/>
      <c r="B884" s="201">
        <v>7848</v>
      </c>
      <c r="C884">
        <v>2994</v>
      </c>
      <c r="D884" s="201">
        <v>0</v>
      </c>
      <c r="E884" s="201">
        <v>-3199</v>
      </c>
      <c r="F884">
        <v>94</v>
      </c>
      <c r="G884">
        <v>-292</v>
      </c>
      <c r="H884">
        <v>1289</v>
      </c>
      <c r="I884">
        <v>2489</v>
      </c>
      <c r="J884">
        <v>1538</v>
      </c>
      <c r="K884" s="201">
        <v>0</v>
      </c>
    </row>
    <row r="885" spans="1:11" x14ac:dyDescent="0.25">
      <c r="A885"/>
      <c r="B885" s="201">
        <v>-31</v>
      </c>
      <c r="C885">
        <v>0</v>
      </c>
      <c r="D885" s="201">
        <v>0</v>
      </c>
      <c r="E885" s="201">
        <v>0</v>
      </c>
      <c r="F885">
        <v>0</v>
      </c>
      <c r="G885">
        <v>0</v>
      </c>
      <c r="H885">
        <v>237</v>
      </c>
      <c r="I885">
        <v>0</v>
      </c>
      <c r="J885">
        <v>0</v>
      </c>
      <c r="K885" s="201">
        <v>0</v>
      </c>
    </row>
    <row r="886" spans="1:11" x14ac:dyDescent="0.25">
      <c r="B886" s="201">
        <v>1355</v>
      </c>
      <c r="C886">
        <v>0</v>
      </c>
      <c r="D886" s="201">
        <v>196</v>
      </c>
      <c r="E886" s="201">
        <v>0</v>
      </c>
      <c r="F886">
        <v>0</v>
      </c>
      <c r="G886">
        <v>0</v>
      </c>
      <c r="H886">
        <v>0</v>
      </c>
      <c r="I886">
        <v>0</v>
      </c>
      <c r="J886">
        <v>-169</v>
      </c>
      <c r="K886" s="201">
        <v>0</v>
      </c>
    </row>
    <row r="887" spans="1:11" x14ac:dyDescent="0.25">
      <c r="A887"/>
      <c r="B887" s="201">
        <v>39</v>
      </c>
      <c r="C887">
        <v>1504</v>
      </c>
      <c r="D887" s="201">
        <v>0</v>
      </c>
      <c r="E887" s="201">
        <v>0</v>
      </c>
      <c r="F887">
        <v>1837</v>
      </c>
      <c r="G887">
        <v>89</v>
      </c>
      <c r="H887">
        <v>0</v>
      </c>
      <c r="I887">
        <v>-2992</v>
      </c>
      <c r="J887">
        <v>0</v>
      </c>
      <c r="K887" s="201">
        <v>0</v>
      </c>
    </row>
    <row r="888" spans="1:11" x14ac:dyDescent="0.25">
      <c r="A888"/>
      <c r="B888" s="201">
        <v>0</v>
      </c>
      <c r="C888">
        <v>0</v>
      </c>
      <c r="D888" s="201">
        <v>-1871</v>
      </c>
      <c r="E888" s="201">
        <v>885</v>
      </c>
      <c r="F888">
        <v>-119</v>
      </c>
      <c r="G888">
        <v>0</v>
      </c>
      <c r="H888">
        <v>0</v>
      </c>
      <c r="I888">
        <v>49</v>
      </c>
      <c r="J888">
        <v>384</v>
      </c>
      <c r="K888" s="201">
        <v>0</v>
      </c>
    </row>
    <row r="889" spans="1:11" x14ac:dyDescent="0.25">
      <c r="A889"/>
      <c r="B889" s="201">
        <v>295</v>
      </c>
      <c r="C889">
        <v>-770</v>
      </c>
      <c r="D889" s="201">
        <v>77</v>
      </c>
      <c r="E889" s="201">
        <v>-800</v>
      </c>
      <c r="F889">
        <v>-957</v>
      </c>
      <c r="G889">
        <v>-1570</v>
      </c>
      <c r="H889">
        <v>-2457</v>
      </c>
      <c r="I889">
        <v>0</v>
      </c>
      <c r="J889">
        <v>0</v>
      </c>
      <c r="K889" s="201">
        <v>0</v>
      </c>
    </row>
    <row r="890" spans="1:11" x14ac:dyDescent="0.25">
      <c r="A890"/>
      <c r="B890" s="201">
        <v>0</v>
      </c>
      <c r="C890">
        <v>0</v>
      </c>
      <c r="D890" s="201">
        <v>-823</v>
      </c>
      <c r="E890" s="201">
        <v>0</v>
      </c>
      <c r="F890">
        <v>385</v>
      </c>
      <c r="G890">
        <v>569</v>
      </c>
      <c r="H890">
        <v>189</v>
      </c>
      <c r="I890">
        <v>0</v>
      </c>
      <c r="J890">
        <v>-16566</v>
      </c>
      <c r="K890" s="201">
        <v>-13769</v>
      </c>
    </row>
    <row r="891" spans="1:11" x14ac:dyDescent="0.25">
      <c r="A891"/>
      <c r="B891" s="201">
        <v>24645</v>
      </c>
      <c r="C891">
        <v>-10240</v>
      </c>
      <c r="D891" s="201">
        <v>-319</v>
      </c>
      <c r="E891" s="201">
        <v>729</v>
      </c>
      <c r="F891">
        <v>483</v>
      </c>
      <c r="G891">
        <v>850</v>
      </c>
      <c r="H891">
        <v>0</v>
      </c>
      <c r="I891">
        <v>0</v>
      </c>
      <c r="J891">
        <v>-975</v>
      </c>
      <c r="K891" s="201">
        <v>0</v>
      </c>
    </row>
    <row r="892" spans="1:11" x14ac:dyDescent="0.25">
      <c r="A892"/>
      <c r="B892" s="201">
        <v>0</v>
      </c>
      <c r="C892">
        <v>0</v>
      </c>
      <c r="D892" s="201">
        <v>-1169</v>
      </c>
      <c r="E892" s="201">
        <v>723</v>
      </c>
      <c r="F892">
        <v>0</v>
      </c>
      <c r="G892">
        <v>0</v>
      </c>
      <c r="H892">
        <v>0</v>
      </c>
      <c r="I892">
        <v>0</v>
      </c>
      <c r="J892">
        <v>0</v>
      </c>
      <c r="K892" s="201">
        <v>0</v>
      </c>
    </row>
    <row r="893" spans="1:11" x14ac:dyDescent="0.25">
      <c r="A893"/>
      <c r="B893" s="201">
        <v>1125</v>
      </c>
      <c r="C893">
        <v>0</v>
      </c>
      <c r="D893" s="201">
        <v>0</v>
      </c>
      <c r="E893" s="201">
        <v>-75</v>
      </c>
      <c r="F893">
        <v>0</v>
      </c>
      <c r="G893">
        <v>40</v>
      </c>
      <c r="H893">
        <v>0</v>
      </c>
      <c r="I893">
        <v>-109</v>
      </c>
      <c r="J893">
        <v>6451</v>
      </c>
      <c r="K893" s="201">
        <v>2412</v>
      </c>
    </row>
    <row r="894" spans="1:11" x14ac:dyDescent="0.25">
      <c r="A894"/>
      <c r="B894" s="201">
        <v>0</v>
      </c>
      <c r="C894">
        <v>-2679</v>
      </c>
      <c r="D894" s="201">
        <v>32</v>
      </c>
      <c r="E894" s="201">
        <v>-100</v>
      </c>
      <c r="F894">
        <v>1242</v>
      </c>
      <c r="G894">
        <v>2139</v>
      </c>
      <c r="H894">
        <v>1307</v>
      </c>
      <c r="I894">
        <v>0</v>
      </c>
      <c r="J894">
        <v>-40</v>
      </c>
      <c r="K894" s="201">
        <v>0</v>
      </c>
    </row>
    <row r="895" spans="1:11" x14ac:dyDescent="0.25">
      <c r="A895"/>
      <c r="B895" s="201">
        <v>0</v>
      </c>
      <c r="C895">
        <v>0</v>
      </c>
      <c r="D895" s="201">
        <v>0</v>
      </c>
      <c r="E895" s="201">
        <v>0</v>
      </c>
      <c r="F895">
        <v>-296</v>
      </c>
      <c r="G895">
        <v>0</v>
      </c>
      <c r="H895">
        <v>0</v>
      </c>
      <c r="I895">
        <v>0</v>
      </c>
      <c r="J895">
        <v>667</v>
      </c>
      <c r="K895" s="201">
        <v>0</v>
      </c>
    </row>
    <row r="896" spans="1:11" x14ac:dyDescent="0.25">
      <c r="A896"/>
      <c r="B896" s="201">
        <v>-217</v>
      </c>
      <c r="C896">
        <v>0</v>
      </c>
      <c r="D896" s="201">
        <v>0</v>
      </c>
      <c r="E896" s="201">
        <v>0</v>
      </c>
      <c r="F896">
        <v>0</v>
      </c>
      <c r="G896">
        <v>0</v>
      </c>
      <c r="H896">
        <v>-157</v>
      </c>
      <c r="I896">
        <v>0</v>
      </c>
      <c r="J896">
        <v>-264</v>
      </c>
      <c r="K896" s="201">
        <v>1231</v>
      </c>
    </row>
    <row r="897" spans="1:11" x14ac:dyDescent="0.25">
      <c r="A897"/>
      <c r="B897" s="201">
        <v>0</v>
      </c>
      <c r="C897">
        <v>0</v>
      </c>
      <c r="D897" s="201">
        <v>1212</v>
      </c>
      <c r="E897" s="201">
        <v>629</v>
      </c>
      <c r="F897">
        <v>0</v>
      </c>
      <c r="G897">
        <v>-2856</v>
      </c>
      <c r="H897">
        <v>0</v>
      </c>
      <c r="I897">
        <v>0</v>
      </c>
      <c r="J897">
        <v>0</v>
      </c>
      <c r="K897" s="201">
        <v>0</v>
      </c>
    </row>
    <row r="898" spans="1:11" x14ac:dyDescent="0.25">
      <c r="B898" s="201">
        <v>-2477</v>
      </c>
      <c r="C898">
        <v>835</v>
      </c>
      <c r="D898" s="201">
        <v>124</v>
      </c>
      <c r="E898" s="201">
        <v>0</v>
      </c>
      <c r="F898">
        <v>0</v>
      </c>
      <c r="G898">
        <v>-76</v>
      </c>
      <c r="H898">
        <v>-361</v>
      </c>
      <c r="I898">
        <v>0</v>
      </c>
      <c r="J898">
        <v>937</v>
      </c>
      <c r="K898" s="201">
        <v>598</v>
      </c>
    </row>
    <row r="899" spans="1:11" x14ac:dyDescent="0.25">
      <c r="A899"/>
      <c r="B899" s="201">
        <v>217</v>
      </c>
      <c r="C899">
        <v>-254</v>
      </c>
      <c r="D899" s="201">
        <v>-339</v>
      </c>
      <c r="E899" s="201">
        <v>9</v>
      </c>
      <c r="F899">
        <v>2399</v>
      </c>
      <c r="G899">
        <v>0</v>
      </c>
      <c r="H899">
        <v>0</v>
      </c>
      <c r="I899">
        <v>0</v>
      </c>
      <c r="J899">
        <v>0</v>
      </c>
      <c r="K899" s="201">
        <v>0</v>
      </c>
    </row>
    <row r="900" spans="1:11" x14ac:dyDescent="0.25">
      <c r="A900"/>
      <c r="B900" s="201">
        <v>-395</v>
      </c>
      <c r="C900">
        <v>0</v>
      </c>
      <c r="D900" s="201">
        <v>50</v>
      </c>
      <c r="E900" s="201">
        <v>145</v>
      </c>
      <c r="F900">
        <v>127</v>
      </c>
      <c r="G900">
        <v>0</v>
      </c>
      <c r="H900">
        <v>-10150</v>
      </c>
      <c r="I900">
        <v>-8077</v>
      </c>
      <c r="J900">
        <v>23996</v>
      </c>
      <c r="K900" s="201">
        <v>42001</v>
      </c>
    </row>
    <row r="901" spans="1:11" x14ac:dyDescent="0.25">
      <c r="A901"/>
      <c r="B901" s="201">
        <v>0</v>
      </c>
      <c r="C901">
        <v>0</v>
      </c>
      <c r="D901" s="201">
        <v>0</v>
      </c>
      <c r="E901" s="2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 s="201">
        <v>0</v>
      </c>
    </row>
    <row r="902" spans="1:11" x14ac:dyDescent="0.25">
      <c r="A902"/>
      <c r="B902" s="201">
        <v>0</v>
      </c>
      <c r="C902">
        <v>0</v>
      </c>
      <c r="D902" s="201">
        <v>0</v>
      </c>
      <c r="E902" s="201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 s="201">
        <v>0</v>
      </c>
    </row>
    <row r="903" spans="1:11" x14ac:dyDescent="0.25">
      <c r="A903"/>
      <c r="B903" s="201">
        <v>0</v>
      </c>
      <c r="C903">
        <v>0</v>
      </c>
      <c r="D903" s="201">
        <v>0</v>
      </c>
      <c r="E903" s="201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 s="201">
        <v>0</v>
      </c>
    </row>
    <row r="904" spans="1:11" x14ac:dyDescent="0.25">
      <c r="A904"/>
      <c r="B904" s="201">
        <v>0</v>
      </c>
      <c r="C904">
        <v>0</v>
      </c>
      <c r="D904" s="201">
        <v>0</v>
      </c>
      <c r="E904" s="201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s="201">
        <v>0</v>
      </c>
    </row>
    <row r="905" spans="1:11" x14ac:dyDescent="0.25">
      <c r="A905"/>
      <c r="B905" s="201">
        <v>0</v>
      </c>
      <c r="C905">
        <v>0</v>
      </c>
      <c r="D905" s="201">
        <v>0</v>
      </c>
      <c r="E905" s="201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 s="201">
        <v>0</v>
      </c>
    </row>
    <row r="906" spans="1:11" x14ac:dyDescent="0.25">
      <c r="A906"/>
      <c r="B906" s="201">
        <v>0</v>
      </c>
      <c r="C906">
        <v>0</v>
      </c>
      <c r="D906" s="201">
        <v>0</v>
      </c>
      <c r="E906" s="201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s="201">
        <v>0</v>
      </c>
    </row>
    <row r="907" spans="1:11" x14ac:dyDescent="0.25">
      <c r="A907"/>
      <c r="B907" s="201">
        <v>0</v>
      </c>
      <c r="C907">
        <v>0</v>
      </c>
      <c r="D907" s="201">
        <v>0</v>
      </c>
      <c r="E907" s="201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 s="201">
        <v>0</v>
      </c>
    </row>
    <row r="908" spans="1:11" x14ac:dyDescent="0.25">
      <c r="A908"/>
      <c r="B908" s="201">
        <v>0</v>
      </c>
      <c r="C908">
        <v>0</v>
      </c>
      <c r="D908" s="201">
        <v>0</v>
      </c>
      <c r="E908" s="201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 s="201">
        <v>0</v>
      </c>
    </row>
    <row r="909" spans="1:11" x14ac:dyDescent="0.25">
      <c r="A909"/>
      <c r="B909" s="201">
        <v>0</v>
      </c>
      <c r="C909">
        <v>0</v>
      </c>
      <c r="D909" s="201">
        <v>0</v>
      </c>
      <c r="E909" s="201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 s="201">
        <v>0</v>
      </c>
    </row>
    <row r="910" spans="1:11" x14ac:dyDescent="0.25">
      <c r="A910"/>
      <c r="B910" s="201">
        <v>0</v>
      </c>
      <c r="C910">
        <v>0</v>
      </c>
      <c r="D910" s="201">
        <v>0</v>
      </c>
      <c r="E910" s="201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s="201">
        <v>0</v>
      </c>
    </row>
    <row r="911" spans="1:11" x14ac:dyDescent="0.25">
      <c r="A911"/>
      <c r="B911" s="201">
        <v>-3961</v>
      </c>
      <c r="C911">
        <v>-351</v>
      </c>
      <c r="D911" s="201">
        <v>185</v>
      </c>
      <c r="E911" s="201">
        <v>-529</v>
      </c>
      <c r="F911">
        <v>10917</v>
      </c>
      <c r="G911">
        <v>0</v>
      </c>
      <c r="H911">
        <v>0</v>
      </c>
      <c r="I911">
        <v>-566</v>
      </c>
      <c r="J911">
        <v>0</v>
      </c>
      <c r="K911" s="201">
        <v>0</v>
      </c>
    </row>
    <row r="912" spans="1:11" x14ac:dyDescent="0.25">
      <c r="A912"/>
      <c r="B912" s="201">
        <v>0</v>
      </c>
      <c r="C912">
        <v>-420</v>
      </c>
      <c r="D912" s="201">
        <v>691</v>
      </c>
      <c r="E912" s="201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 s="201">
        <v>53</v>
      </c>
    </row>
    <row r="913" spans="1:11" x14ac:dyDescent="0.25">
      <c r="A913"/>
      <c r="B913" s="201">
        <v>0</v>
      </c>
      <c r="C913">
        <v>0</v>
      </c>
      <c r="D913" s="201">
        <v>-980</v>
      </c>
      <c r="E913" s="201">
        <v>0</v>
      </c>
      <c r="F913">
        <v>1063</v>
      </c>
      <c r="G913">
        <v>0</v>
      </c>
      <c r="H913">
        <v>218</v>
      </c>
      <c r="I913">
        <v>2421</v>
      </c>
      <c r="J913">
        <v>726</v>
      </c>
      <c r="K913" s="201">
        <v>0</v>
      </c>
    </row>
    <row r="914" spans="1:11" x14ac:dyDescent="0.25">
      <c r="A914"/>
      <c r="B914" s="201">
        <v>313</v>
      </c>
      <c r="C914">
        <v>-433</v>
      </c>
      <c r="D914" s="201">
        <v>366</v>
      </c>
      <c r="E914" s="201">
        <v>10479</v>
      </c>
      <c r="F914">
        <v>1791</v>
      </c>
      <c r="G914">
        <v>525</v>
      </c>
      <c r="H914">
        <v>0</v>
      </c>
      <c r="I914">
        <v>-147</v>
      </c>
      <c r="J914">
        <v>0</v>
      </c>
      <c r="K914" s="201">
        <v>0</v>
      </c>
    </row>
    <row r="915" spans="1:11" x14ac:dyDescent="0.25">
      <c r="A915"/>
      <c r="B915" s="201">
        <v>0</v>
      </c>
      <c r="C915">
        <v>0</v>
      </c>
      <c r="D915" s="201">
        <v>0</v>
      </c>
      <c r="E915" s="201">
        <v>-439</v>
      </c>
      <c r="F915">
        <v>0</v>
      </c>
      <c r="G915">
        <v>0</v>
      </c>
      <c r="H915">
        <v>0</v>
      </c>
      <c r="I915">
        <v>-43</v>
      </c>
      <c r="J915">
        <v>0</v>
      </c>
      <c r="K915" s="201">
        <v>610</v>
      </c>
    </row>
    <row r="916" spans="1:11" x14ac:dyDescent="0.25">
      <c r="A916"/>
      <c r="B916" s="201">
        <v>0</v>
      </c>
      <c r="C916">
        <v>0</v>
      </c>
      <c r="D916" s="201">
        <v>0</v>
      </c>
      <c r="E916" s="201">
        <v>0</v>
      </c>
      <c r="F916">
        <v>0</v>
      </c>
      <c r="G916">
        <v>-90</v>
      </c>
      <c r="H916">
        <v>0</v>
      </c>
      <c r="I916">
        <v>-841</v>
      </c>
      <c r="J916">
        <v>-3731</v>
      </c>
      <c r="K916" s="201">
        <v>0</v>
      </c>
    </row>
    <row r="917" spans="1:11" x14ac:dyDescent="0.25">
      <c r="A917"/>
      <c r="B917" s="201">
        <v>0</v>
      </c>
      <c r="C917">
        <v>1378</v>
      </c>
      <c r="D917" s="201">
        <v>1708</v>
      </c>
      <c r="E917" s="201">
        <v>0</v>
      </c>
      <c r="F917">
        <v>-1918</v>
      </c>
      <c r="G917">
        <v>0</v>
      </c>
      <c r="H917">
        <v>0</v>
      </c>
      <c r="I917">
        <v>0</v>
      </c>
      <c r="J917">
        <v>0</v>
      </c>
      <c r="K917" s="201">
        <v>-3405</v>
      </c>
    </row>
    <row r="918" spans="1:11" x14ac:dyDescent="0.25">
      <c r="A918"/>
      <c r="B918" s="201">
        <v>371</v>
      </c>
      <c r="C918">
        <v>160</v>
      </c>
      <c r="D918" s="201">
        <v>0</v>
      </c>
      <c r="E918" s="201">
        <v>0</v>
      </c>
      <c r="F918">
        <v>-641</v>
      </c>
      <c r="G918">
        <v>-92</v>
      </c>
      <c r="H918">
        <v>0</v>
      </c>
      <c r="I918">
        <v>-215</v>
      </c>
      <c r="J918">
        <v>-1645</v>
      </c>
      <c r="K918" s="201">
        <v>-206</v>
      </c>
    </row>
    <row r="919" spans="1:11" x14ac:dyDescent="0.25">
      <c r="A919"/>
      <c r="B919" s="201">
        <v>-1505</v>
      </c>
      <c r="C919">
        <v>-1381</v>
      </c>
      <c r="D919" s="201">
        <v>-1785</v>
      </c>
      <c r="E919" s="201">
        <v>-2249</v>
      </c>
      <c r="F919">
        <v>0</v>
      </c>
      <c r="G919">
        <v>0</v>
      </c>
      <c r="H919">
        <v>0</v>
      </c>
      <c r="I919">
        <v>0</v>
      </c>
      <c r="J919">
        <v>0</v>
      </c>
      <c r="K919" s="201">
        <v>-1280</v>
      </c>
    </row>
    <row r="920" spans="1:11" x14ac:dyDescent="0.25">
      <c r="A920"/>
      <c r="B920" s="201">
        <v>0</v>
      </c>
      <c r="C920">
        <v>-2116</v>
      </c>
      <c r="D920" s="201">
        <v>-203</v>
      </c>
      <c r="E920" s="201">
        <v>1449</v>
      </c>
      <c r="F920">
        <v>0</v>
      </c>
      <c r="G920">
        <v>-7644</v>
      </c>
      <c r="H920">
        <v>-6203</v>
      </c>
      <c r="I920">
        <v>8198</v>
      </c>
      <c r="J920">
        <v>21654</v>
      </c>
      <c r="K920" s="201">
        <v>11901</v>
      </c>
    </row>
    <row r="921" spans="1:11" x14ac:dyDescent="0.25">
      <c r="A921"/>
      <c r="B921" s="201">
        <v>0</v>
      </c>
      <c r="C921">
        <v>-5295</v>
      </c>
      <c r="D921" s="201">
        <v>509</v>
      </c>
      <c r="E921" s="201">
        <v>-96</v>
      </c>
      <c r="F921">
        <v>532</v>
      </c>
      <c r="G921">
        <v>2821</v>
      </c>
      <c r="H921">
        <v>0</v>
      </c>
      <c r="I921">
        <v>0</v>
      </c>
      <c r="J921">
        <v>-836</v>
      </c>
      <c r="K921" s="201">
        <v>0</v>
      </c>
    </row>
    <row r="922" spans="1:11" x14ac:dyDescent="0.25">
      <c r="A922"/>
      <c r="B922" s="201">
        <v>0</v>
      </c>
      <c r="C922">
        <v>0</v>
      </c>
      <c r="D922" s="201">
        <v>-814</v>
      </c>
      <c r="E922" s="201">
        <v>1224</v>
      </c>
      <c r="F922">
        <v>0</v>
      </c>
      <c r="G922">
        <v>0</v>
      </c>
      <c r="H922">
        <v>0</v>
      </c>
      <c r="I922">
        <v>0</v>
      </c>
      <c r="J922">
        <v>0</v>
      </c>
      <c r="K922" s="201">
        <v>0</v>
      </c>
    </row>
    <row r="923" spans="1:11" x14ac:dyDescent="0.25">
      <c r="A923"/>
      <c r="B923" s="201">
        <v>55</v>
      </c>
      <c r="C923">
        <v>0</v>
      </c>
      <c r="D923" s="201">
        <v>0</v>
      </c>
      <c r="E923" s="201">
        <v>-475</v>
      </c>
      <c r="F923">
        <v>0</v>
      </c>
      <c r="G923">
        <v>537</v>
      </c>
      <c r="H923">
        <v>0</v>
      </c>
      <c r="I923">
        <v>159</v>
      </c>
      <c r="J923">
        <v>3768</v>
      </c>
      <c r="K923" s="201">
        <v>987</v>
      </c>
    </row>
    <row r="924" spans="1:11" x14ac:dyDescent="0.25">
      <c r="A924"/>
      <c r="B924" s="201">
        <v>0</v>
      </c>
      <c r="C924">
        <v>105</v>
      </c>
      <c r="D924" s="201">
        <v>1776</v>
      </c>
      <c r="E924" s="201">
        <v>-399</v>
      </c>
      <c r="F924">
        <v>3010</v>
      </c>
      <c r="G924">
        <v>6692</v>
      </c>
      <c r="H924">
        <v>6</v>
      </c>
      <c r="I924">
        <v>0</v>
      </c>
      <c r="J924">
        <v>-296</v>
      </c>
      <c r="K924" s="201">
        <v>0</v>
      </c>
    </row>
    <row r="925" spans="1:11" x14ac:dyDescent="0.25">
      <c r="A925"/>
      <c r="B925" s="201">
        <v>0</v>
      </c>
      <c r="C925">
        <v>0</v>
      </c>
      <c r="D925" s="201">
        <v>0</v>
      </c>
      <c r="E925" s="201">
        <v>0</v>
      </c>
      <c r="F925">
        <v>-959</v>
      </c>
      <c r="G925">
        <v>0</v>
      </c>
      <c r="H925">
        <v>0</v>
      </c>
      <c r="I925">
        <v>0</v>
      </c>
      <c r="J925">
        <v>1279</v>
      </c>
      <c r="K925" s="201">
        <v>0</v>
      </c>
    </row>
    <row r="926" spans="1:11" x14ac:dyDescent="0.25">
      <c r="A926"/>
      <c r="B926" s="201">
        <v>888</v>
      </c>
      <c r="C926">
        <v>0</v>
      </c>
      <c r="D926" s="201">
        <v>0</v>
      </c>
      <c r="E926" s="201">
        <v>0</v>
      </c>
      <c r="F926">
        <v>0</v>
      </c>
      <c r="G926">
        <v>0</v>
      </c>
      <c r="H926">
        <v>-960</v>
      </c>
      <c r="I926">
        <v>0</v>
      </c>
      <c r="J926">
        <v>-2502</v>
      </c>
      <c r="K926" s="201">
        <v>-5088</v>
      </c>
    </row>
    <row r="927" spans="1:11" x14ac:dyDescent="0.25">
      <c r="A927"/>
      <c r="B927" s="201">
        <v>0</v>
      </c>
      <c r="C927">
        <v>0</v>
      </c>
      <c r="D927" s="201">
        <v>-4465</v>
      </c>
      <c r="E927" s="201">
        <v>-4049</v>
      </c>
      <c r="F927">
        <v>0</v>
      </c>
      <c r="G927">
        <v>-5263</v>
      </c>
      <c r="H927">
        <v>0</v>
      </c>
      <c r="I927">
        <v>0</v>
      </c>
      <c r="J927">
        <v>0</v>
      </c>
      <c r="K927" s="201">
        <v>0</v>
      </c>
    </row>
    <row r="928" spans="1:11" x14ac:dyDescent="0.25">
      <c r="B928" s="201">
        <v>-14512</v>
      </c>
      <c r="C928">
        <v>-327</v>
      </c>
      <c r="D928" s="201">
        <v>131</v>
      </c>
      <c r="E928" s="201">
        <v>0</v>
      </c>
      <c r="F928">
        <v>0</v>
      </c>
      <c r="G928">
        <v>-604</v>
      </c>
      <c r="H928">
        <v>-222</v>
      </c>
      <c r="I928">
        <v>0</v>
      </c>
      <c r="J928">
        <v>-284</v>
      </c>
      <c r="K928" s="201">
        <v>-3520</v>
      </c>
    </row>
    <row r="929" spans="1:11" x14ac:dyDescent="0.25">
      <c r="A929"/>
      <c r="B929" s="201">
        <v>-508</v>
      </c>
      <c r="C929">
        <v>-3052</v>
      </c>
      <c r="D929" s="201">
        <v>-7306</v>
      </c>
      <c r="E929" s="201">
        <v>-4345</v>
      </c>
      <c r="F929">
        <v>-4906</v>
      </c>
      <c r="G929">
        <v>0</v>
      </c>
      <c r="H929">
        <v>0</v>
      </c>
      <c r="I929">
        <v>0</v>
      </c>
      <c r="J929">
        <v>0</v>
      </c>
      <c r="K929" s="201">
        <v>0</v>
      </c>
    </row>
    <row r="930" spans="1:11" x14ac:dyDescent="0.25">
      <c r="A930"/>
      <c r="B930" s="201">
        <v>5189</v>
      </c>
      <c r="C930">
        <v>0</v>
      </c>
      <c r="D930" s="201">
        <v>7889</v>
      </c>
      <c r="E930" s="201">
        <v>-368</v>
      </c>
      <c r="F930">
        <v>3859</v>
      </c>
      <c r="G930">
        <v>0</v>
      </c>
      <c r="H930">
        <v>-9743</v>
      </c>
      <c r="I930">
        <v>-7146</v>
      </c>
      <c r="J930">
        <v>10675</v>
      </c>
      <c r="K930" s="201">
        <v>32007</v>
      </c>
    </row>
    <row r="931" spans="1:11" x14ac:dyDescent="0.25">
      <c r="A931"/>
      <c r="B931" s="201">
        <v>17165</v>
      </c>
      <c r="C931">
        <v>0</v>
      </c>
      <c r="D931" s="201">
        <v>35101</v>
      </c>
      <c r="E931" s="201">
        <v>-7066</v>
      </c>
      <c r="F931">
        <v>661</v>
      </c>
      <c r="G931">
        <v>-795</v>
      </c>
      <c r="H931">
        <v>-270</v>
      </c>
      <c r="I931">
        <v>-84</v>
      </c>
      <c r="J931">
        <v>0</v>
      </c>
      <c r="K931" s="201">
        <v>0</v>
      </c>
    </row>
    <row r="932" spans="1:11" x14ac:dyDescent="0.25">
      <c r="A932"/>
      <c r="B932" s="201">
        <v>-763</v>
      </c>
      <c r="C932">
        <v>0</v>
      </c>
      <c r="D932" s="201">
        <v>0</v>
      </c>
      <c r="E932" s="201">
        <v>0</v>
      </c>
      <c r="F932">
        <v>-508</v>
      </c>
      <c r="G932">
        <v>1108</v>
      </c>
      <c r="H932">
        <v>0</v>
      </c>
      <c r="I932">
        <v>0</v>
      </c>
      <c r="J932">
        <v>0</v>
      </c>
      <c r="K932" s="201">
        <v>0</v>
      </c>
    </row>
    <row r="933" spans="1:11" x14ac:dyDescent="0.25">
      <c r="A933"/>
      <c r="B933" s="201">
        <v>0</v>
      </c>
      <c r="C933">
        <v>0</v>
      </c>
      <c r="D933" s="201">
        <v>-823</v>
      </c>
      <c r="E933" s="201">
        <v>0</v>
      </c>
      <c r="F933">
        <v>0</v>
      </c>
      <c r="G933">
        <v>-46</v>
      </c>
      <c r="H933">
        <v>0</v>
      </c>
      <c r="I933">
        <v>58</v>
      </c>
      <c r="J933">
        <v>0</v>
      </c>
      <c r="K933" s="201">
        <v>216</v>
      </c>
    </row>
    <row r="934" spans="1:11" x14ac:dyDescent="0.25">
      <c r="A934"/>
      <c r="B934" s="201">
        <v>5032</v>
      </c>
      <c r="C934">
        <v>1365</v>
      </c>
      <c r="D934" s="201">
        <v>0</v>
      </c>
      <c r="E934" s="201">
        <v>-346</v>
      </c>
      <c r="F934">
        <v>635</v>
      </c>
      <c r="G934">
        <v>-747</v>
      </c>
      <c r="H934">
        <v>771</v>
      </c>
      <c r="I934">
        <v>817</v>
      </c>
      <c r="J934">
        <v>3507</v>
      </c>
      <c r="K934" s="201">
        <v>0</v>
      </c>
    </row>
    <row r="935" spans="1:11" x14ac:dyDescent="0.25">
      <c r="A935"/>
      <c r="B935" s="201">
        <v>78</v>
      </c>
      <c r="C935">
        <v>0</v>
      </c>
      <c r="D935" s="201">
        <v>0</v>
      </c>
      <c r="E935" s="201">
        <v>0</v>
      </c>
      <c r="F935">
        <v>0</v>
      </c>
      <c r="G935">
        <v>0</v>
      </c>
      <c r="H935">
        <v>-97</v>
      </c>
      <c r="I935">
        <v>0</v>
      </c>
      <c r="J935">
        <v>0</v>
      </c>
      <c r="K935" s="201">
        <v>0</v>
      </c>
    </row>
    <row r="936" spans="1:11" x14ac:dyDescent="0.25">
      <c r="A936"/>
      <c r="B936" s="201">
        <v>737</v>
      </c>
      <c r="C936">
        <v>0</v>
      </c>
      <c r="D936" s="201">
        <v>486</v>
      </c>
      <c r="E936" s="201">
        <v>0</v>
      </c>
      <c r="F936">
        <v>0</v>
      </c>
      <c r="G936">
        <v>0</v>
      </c>
      <c r="H936">
        <v>0</v>
      </c>
      <c r="I936">
        <v>0</v>
      </c>
      <c r="J936">
        <v>780</v>
      </c>
      <c r="K936" s="201">
        <v>0</v>
      </c>
    </row>
    <row r="937" spans="1:11" x14ac:dyDescent="0.25">
      <c r="A937"/>
      <c r="B937" s="201">
        <v>353</v>
      </c>
      <c r="C937">
        <v>-1278</v>
      </c>
      <c r="D937" s="201">
        <v>0</v>
      </c>
      <c r="E937" s="201">
        <v>0</v>
      </c>
      <c r="F937">
        <v>1712</v>
      </c>
      <c r="G937">
        <v>1102</v>
      </c>
      <c r="H937">
        <v>0</v>
      </c>
      <c r="I937">
        <v>-490</v>
      </c>
      <c r="J937">
        <v>0</v>
      </c>
      <c r="K937" s="201">
        <v>0</v>
      </c>
    </row>
    <row r="938" spans="1:11" x14ac:dyDescent="0.25">
      <c r="A938"/>
      <c r="B938" s="201">
        <v>0</v>
      </c>
      <c r="C938">
        <v>0</v>
      </c>
      <c r="D938" s="201">
        <v>-6771</v>
      </c>
      <c r="E938" s="201">
        <v>-167</v>
      </c>
      <c r="F938">
        <v>-613</v>
      </c>
      <c r="G938">
        <v>0</v>
      </c>
      <c r="H938">
        <v>0</v>
      </c>
      <c r="I938">
        <v>-45</v>
      </c>
      <c r="J938">
        <v>826</v>
      </c>
      <c r="K938" s="201">
        <v>0</v>
      </c>
    </row>
    <row r="939" spans="1:11" x14ac:dyDescent="0.25">
      <c r="A939"/>
      <c r="B939" s="201">
        <v>-240</v>
      </c>
      <c r="C939">
        <v>-614</v>
      </c>
      <c r="D939" s="201">
        <v>-66</v>
      </c>
      <c r="E939" s="201">
        <v>-705</v>
      </c>
      <c r="F939">
        <v>-1040</v>
      </c>
      <c r="G939">
        <v>-1028</v>
      </c>
      <c r="H939">
        <v>-1052</v>
      </c>
      <c r="I939">
        <v>0</v>
      </c>
      <c r="J939">
        <v>0</v>
      </c>
      <c r="K939" s="201">
        <v>0</v>
      </c>
    </row>
    <row r="940" spans="1:11" x14ac:dyDescent="0.25">
      <c r="A940"/>
      <c r="B940" s="201">
        <v>0</v>
      </c>
      <c r="C940">
        <v>0</v>
      </c>
      <c r="D940" s="201">
        <v>-2530</v>
      </c>
      <c r="E940" s="201">
        <v>0</v>
      </c>
      <c r="F940">
        <v>-941</v>
      </c>
      <c r="G940">
        <v>-315</v>
      </c>
      <c r="H940">
        <v>825</v>
      </c>
      <c r="I940">
        <v>0</v>
      </c>
      <c r="J940">
        <v>-8284</v>
      </c>
      <c r="K940" s="201">
        <v>-5348</v>
      </c>
    </row>
    <row r="941" spans="1:11" x14ac:dyDescent="0.25">
      <c r="A941"/>
      <c r="B941" s="201">
        <v>12291</v>
      </c>
      <c r="C941">
        <v>34579</v>
      </c>
      <c r="D941" s="201">
        <v>19448</v>
      </c>
      <c r="E941" s="201">
        <v>0</v>
      </c>
      <c r="F941">
        <v>20796</v>
      </c>
      <c r="G941">
        <v>30491</v>
      </c>
      <c r="H941">
        <v>-42</v>
      </c>
      <c r="I941">
        <v>-109</v>
      </c>
      <c r="J941">
        <v>-9</v>
      </c>
      <c r="K941" s="201">
        <v>381</v>
      </c>
    </row>
    <row r="942" spans="1:11" x14ac:dyDescent="0.25">
      <c r="A942"/>
      <c r="B942" s="201">
        <v>137</v>
      </c>
      <c r="C942">
        <v>0</v>
      </c>
      <c r="D942" s="201">
        <v>0</v>
      </c>
      <c r="E942" s="201">
        <v>192</v>
      </c>
      <c r="F942">
        <v>0</v>
      </c>
      <c r="G942">
        <v>0</v>
      </c>
      <c r="H942">
        <v>0</v>
      </c>
      <c r="I942">
        <v>67</v>
      </c>
      <c r="J942">
        <v>125</v>
      </c>
      <c r="K942" s="201">
        <v>0</v>
      </c>
    </row>
    <row r="943" spans="1:11" x14ac:dyDescent="0.25">
      <c r="A943"/>
      <c r="B943" s="201">
        <v>0</v>
      </c>
      <c r="C943">
        <v>0</v>
      </c>
      <c r="D943" s="201">
        <v>0</v>
      </c>
      <c r="E943" s="201">
        <v>0</v>
      </c>
      <c r="F943">
        <v>0</v>
      </c>
      <c r="G943">
        <v>-134</v>
      </c>
      <c r="H943">
        <v>0</v>
      </c>
      <c r="I943">
        <v>0</v>
      </c>
      <c r="J943">
        <v>-104</v>
      </c>
      <c r="K943" s="201">
        <v>0</v>
      </c>
    </row>
    <row r="944" spans="1:11" x14ac:dyDescent="0.25">
      <c r="A944"/>
      <c r="B944" s="201">
        <v>-4</v>
      </c>
      <c r="C944">
        <v>0</v>
      </c>
      <c r="D944" s="201">
        <v>-23</v>
      </c>
      <c r="E944" s="201">
        <v>93</v>
      </c>
      <c r="F944">
        <v>99</v>
      </c>
      <c r="G944">
        <v>0</v>
      </c>
      <c r="H944">
        <v>294</v>
      </c>
      <c r="I944">
        <v>-33</v>
      </c>
      <c r="J944">
        <v>457</v>
      </c>
      <c r="K944" s="201">
        <v>-21</v>
      </c>
    </row>
    <row r="945" spans="1:11" x14ac:dyDescent="0.25">
      <c r="A945"/>
      <c r="B945" s="201">
        <v>-95</v>
      </c>
      <c r="C945">
        <v>-144</v>
      </c>
      <c r="D945" s="201">
        <v>0</v>
      </c>
      <c r="E945" s="201">
        <v>-744</v>
      </c>
      <c r="F945">
        <v>0</v>
      </c>
      <c r="G945">
        <v>0</v>
      </c>
      <c r="H945">
        <v>0</v>
      </c>
      <c r="I945">
        <v>0</v>
      </c>
      <c r="J945">
        <v>0</v>
      </c>
      <c r="K945" s="201">
        <v>-7</v>
      </c>
    </row>
    <row r="946" spans="1:11" x14ac:dyDescent="0.25">
      <c r="A946"/>
      <c r="B946" s="201">
        <v>0</v>
      </c>
      <c r="C946">
        <v>0</v>
      </c>
      <c r="D946" s="201">
        <v>0</v>
      </c>
      <c r="E946" s="201">
        <v>-393</v>
      </c>
      <c r="F946">
        <v>0</v>
      </c>
      <c r="G946">
        <v>47</v>
      </c>
      <c r="H946">
        <v>0</v>
      </c>
      <c r="I946">
        <v>0</v>
      </c>
      <c r="J946">
        <v>0</v>
      </c>
      <c r="K946" s="201">
        <v>0</v>
      </c>
    </row>
    <row r="947" spans="1:11" x14ac:dyDescent="0.25">
      <c r="A947"/>
      <c r="B947" s="201">
        <v>0</v>
      </c>
      <c r="C947">
        <v>-521</v>
      </c>
      <c r="D947" s="201">
        <v>0</v>
      </c>
      <c r="E947" s="201">
        <v>-77</v>
      </c>
      <c r="F947">
        <v>-78</v>
      </c>
      <c r="G947">
        <v>0</v>
      </c>
      <c r="H947">
        <v>0</v>
      </c>
      <c r="I947">
        <v>-318</v>
      </c>
      <c r="J947">
        <v>-125</v>
      </c>
      <c r="K947" s="201">
        <v>0</v>
      </c>
    </row>
    <row r="948" spans="1:11" x14ac:dyDescent="0.25">
      <c r="A948"/>
      <c r="B948" s="201">
        <v>596</v>
      </c>
      <c r="C948">
        <v>0</v>
      </c>
      <c r="D948" s="201">
        <v>0</v>
      </c>
      <c r="E948" s="201">
        <v>0</v>
      </c>
      <c r="F948">
        <v>0</v>
      </c>
      <c r="G948">
        <v>-101</v>
      </c>
      <c r="H948">
        <v>-7792</v>
      </c>
      <c r="I948">
        <v>833</v>
      </c>
      <c r="J948">
        <v>0</v>
      </c>
      <c r="K948" s="201">
        <v>0</v>
      </c>
    </row>
    <row r="949" spans="1:11" x14ac:dyDescent="0.25">
      <c r="B949" s="201">
        <v>-210</v>
      </c>
      <c r="C949">
        <v>209</v>
      </c>
      <c r="D949" s="201">
        <v>0</v>
      </c>
      <c r="E949" s="201">
        <v>286</v>
      </c>
      <c r="F949">
        <v>-323</v>
      </c>
      <c r="G949">
        <v>57</v>
      </c>
      <c r="H949">
        <v>-353</v>
      </c>
      <c r="I949">
        <v>687</v>
      </c>
      <c r="J949">
        <v>50</v>
      </c>
      <c r="K949" s="201">
        <v>-152</v>
      </c>
    </row>
    <row r="950" spans="1:11" x14ac:dyDescent="0.25">
      <c r="A950"/>
      <c r="B950" s="201">
        <v>0</v>
      </c>
      <c r="C950">
        <v>0</v>
      </c>
      <c r="D950" s="201">
        <v>0</v>
      </c>
      <c r="E950" s="201">
        <v>0</v>
      </c>
      <c r="F950">
        <v>0</v>
      </c>
      <c r="G950">
        <v>563</v>
      </c>
      <c r="H950">
        <v>0</v>
      </c>
      <c r="I950">
        <v>265</v>
      </c>
      <c r="J950">
        <v>943</v>
      </c>
      <c r="K950" s="201">
        <v>-469</v>
      </c>
    </row>
    <row r="951" spans="1:11" x14ac:dyDescent="0.25">
      <c r="A951"/>
      <c r="B951" s="201">
        <v>0</v>
      </c>
      <c r="C951" s="201">
        <v>-8013</v>
      </c>
      <c r="D951" s="201">
        <v>-4885</v>
      </c>
      <c r="E951" s="201">
        <v>-2637</v>
      </c>
      <c r="F951">
        <v>-7642</v>
      </c>
      <c r="G951">
        <v>-4700</v>
      </c>
      <c r="H951">
        <v>0</v>
      </c>
      <c r="I951">
        <v>1540</v>
      </c>
      <c r="J951">
        <v>674</v>
      </c>
      <c r="K951" s="201">
        <v>-2459</v>
      </c>
    </row>
    <row r="952" spans="1:11" x14ac:dyDescent="0.25">
      <c r="A952"/>
      <c r="B952" s="201">
        <v>0</v>
      </c>
      <c r="C952">
        <v>0</v>
      </c>
      <c r="D952" s="201">
        <v>0</v>
      </c>
      <c r="E952" s="201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 s="201">
        <v>0</v>
      </c>
    </row>
    <row r="953" spans="1:11" x14ac:dyDescent="0.25">
      <c r="A953"/>
      <c r="B953" s="201">
        <v>0</v>
      </c>
      <c r="C953">
        <v>0</v>
      </c>
      <c r="D953" s="201">
        <v>0</v>
      </c>
      <c r="E953" s="201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 s="201">
        <v>0</v>
      </c>
    </row>
    <row r="954" spans="1:11" x14ac:dyDescent="0.25">
      <c r="A954"/>
      <c r="B954" s="201">
        <v>0</v>
      </c>
      <c r="C954">
        <v>0</v>
      </c>
      <c r="D954" s="201">
        <v>0</v>
      </c>
      <c r="E954" s="201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 s="201">
        <v>0</v>
      </c>
    </row>
    <row r="955" spans="1:11" x14ac:dyDescent="0.25">
      <c r="A955"/>
      <c r="B955" s="201">
        <v>0</v>
      </c>
      <c r="C955">
        <v>0</v>
      </c>
      <c r="D955" s="201">
        <v>0</v>
      </c>
      <c r="E955" s="201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 s="201">
        <v>0</v>
      </c>
    </row>
    <row r="956" spans="1:11" x14ac:dyDescent="0.25">
      <c r="A956"/>
      <c r="B956" s="201">
        <v>0</v>
      </c>
      <c r="C956">
        <v>0</v>
      </c>
      <c r="D956" s="201">
        <v>0</v>
      </c>
      <c r="E956" s="201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 s="201">
        <v>0</v>
      </c>
    </row>
    <row r="957" spans="1:11" x14ac:dyDescent="0.25">
      <c r="A957"/>
      <c r="B957" s="201">
        <v>0</v>
      </c>
      <c r="C957">
        <v>0</v>
      </c>
      <c r="D957" s="201">
        <v>0</v>
      </c>
      <c r="E957" s="201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 s="201">
        <v>0</v>
      </c>
    </row>
    <row r="958" spans="1:11" x14ac:dyDescent="0.25">
      <c r="A958"/>
      <c r="B958" s="201">
        <v>0</v>
      </c>
      <c r="C958">
        <v>0</v>
      </c>
      <c r="D958" s="201">
        <v>0</v>
      </c>
      <c r="E958" s="201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 s="201">
        <v>0</v>
      </c>
    </row>
    <row r="959" spans="1:11" x14ac:dyDescent="0.25">
      <c r="A959"/>
      <c r="B959" s="201">
        <v>0</v>
      </c>
      <c r="C959">
        <v>0</v>
      </c>
      <c r="D959" s="201">
        <v>0</v>
      </c>
      <c r="E959" s="201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s="201">
        <v>0</v>
      </c>
    </row>
    <row r="960" spans="1:11" x14ac:dyDescent="0.25">
      <c r="A960"/>
      <c r="B960" s="201">
        <v>0</v>
      </c>
      <c r="C960">
        <v>0</v>
      </c>
      <c r="D960" s="201">
        <v>0</v>
      </c>
      <c r="E960" s="201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 s="201">
        <v>0</v>
      </c>
    </row>
    <row r="961" spans="1:11" x14ac:dyDescent="0.25">
      <c r="A961"/>
      <c r="B961" s="201">
        <v>0</v>
      </c>
      <c r="C961">
        <v>0</v>
      </c>
      <c r="D961" s="201">
        <v>0</v>
      </c>
      <c r="E961" s="20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s="201">
        <v>0</v>
      </c>
    </row>
    <row r="962" spans="1:11" x14ac:dyDescent="0.25">
      <c r="A962"/>
      <c r="B962" s="201">
        <v>0</v>
      </c>
      <c r="C962">
        <v>0</v>
      </c>
      <c r="D962" s="201">
        <v>0</v>
      </c>
      <c r="E962" s="201">
        <v>0</v>
      </c>
      <c r="F962">
        <v>0</v>
      </c>
      <c r="G962">
        <v>-504</v>
      </c>
      <c r="H962">
        <v>-198</v>
      </c>
      <c r="I962">
        <v>286</v>
      </c>
      <c r="J962">
        <v>58</v>
      </c>
      <c r="K962" s="201">
        <v>12</v>
      </c>
    </row>
    <row r="963" spans="1:11" x14ac:dyDescent="0.25">
      <c r="A963"/>
      <c r="B963" s="201">
        <v>0</v>
      </c>
      <c r="C963">
        <v>0</v>
      </c>
      <c r="D963" s="201">
        <v>3880</v>
      </c>
      <c r="E963" s="201">
        <v>0</v>
      </c>
      <c r="F963">
        <v>0</v>
      </c>
      <c r="G963">
        <v>0</v>
      </c>
      <c r="H963">
        <v>90</v>
      </c>
      <c r="I963">
        <v>6</v>
      </c>
      <c r="J963">
        <v>0</v>
      </c>
      <c r="K963" s="201">
        <v>0</v>
      </c>
    </row>
    <row r="964" spans="1:11" x14ac:dyDescent="0.25">
      <c r="A964"/>
      <c r="B964" s="201">
        <v>0</v>
      </c>
      <c r="C964">
        <v>0</v>
      </c>
      <c r="D964" s="201">
        <v>0</v>
      </c>
      <c r="E964" s="201">
        <v>0</v>
      </c>
      <c r="F964">
        <v>-337</v>
      </c>
      <c r="G964">
        <v>0</v>
      </c>
      <c r="H964">
        <v>0</v>
      </c>
      <c r="I964">
        <v>-15</v>
      </c>
      <c r="J964">
        <v>0</v>
      </c>
      <c r="K964" s="201">
        <v>89</v>
      </c>
    </row>
    <row r="965" spans="1:11" x14ac:dyDescent="0.25">
      <c r="A965"/>
      <c r="B965" s="201">
        <v>0</v>
      </c>
      <c r="C965">
        <v>227</v>
      </c>
      <c r="D965" s="201">
        <v>-265</v>
      </c>
      <c r="E965" s="201">
        <v>-202</v>
      </c>
      <c r="F965">
        <v>0</v>
      </c>
      <c r="G965">
        <v>-31</v>
      </c>
      <c r="H965">
        <v>-3</v>
      </c>
      <c r="I965">
        <v>-206</v>
      </c>
      <c r="J965">
        <v>-86</v>
      </c>
      <c r="K965" s="201">
        <v>53</v>
      </c>
    </row>
    <row r="966" spans="1:11" x14ac:dyDescent="0.25">
      <c r="A966"/>
      <c r="B966" s="201">
        <v>137</v>
      </c>
      <c r="C966">
        <v>0</v>
      </c>
      <c r="D966" s="201">
        <v>-920</v>
      </c>
      <c r="E966" s="201">
        <v>0</v>
      </c>
      <c r="F966">
        <v>0</v>
      </c>
      <c r="G966">
        <v>0</v>
      </c>
      <c r="H966">
        <v>0</v>
      </c>
      <c r="I966">
        <v>0</v>
      </c>
      <c r="J966">
        <v>-110</v>
      </c>
      <c r="K966" s="201">
        <v>0</v>
      </c>
    </row>
    <row r="967" spans="1:11" x14ac:dyDescent="0.25">
      <c r="A967"/>
      <c r="B967" s="201">
        <v>0</v>
      </c>
      <c r="C967">
        <v>0</v>
      </c>
      <c r="D967" s="201">
        <v>102</v>
      </c>
      <c r="E967" s="201">
        <v>0</v>
      </c>
      <c r="F967">
        <v>86</v>
      </c>
      <c r="G967">
        <v>0</v>
      </c>
      <c r="H967">
        <v>0</v>
      </c>
      <c r="I967">
        <v>0</v>
      </c>
      <c r="J967">
        <v>0</v>
      </c>
      <c r="K967" s="201">
        <v>0</v>
      </c>
    </row>
    <row r="968" spans="1:11" x14ac:dyDescent="0.25">
      <c r="A968"/>
      <c r="B968" s="201">
        <v>385</v>
      </c>
      <c r="C968">
        <v>0</v>
      </c>
      <c r="D968" s="201">
        <v>-35</v>
      </c>
      <c r="E968" s="201">
        <v>45</v>
      </c>
      <c r="F968">
        <v>0</v>
      </c>
      <c r="G968">
        <v>0</v>
      </c>
      <c r="H968">
        <v>-61</v>
      </c>
      <c r="I968">
        <v>-98</v>
      </c>
      <c r="J968">
        <v>0</v>
      </c>
      <c r="K968" s="201">
        <v>-132</v>
      </c>
    </row>
    <row r="969" spans="1:11" x14ac:dyDescent="0.25">
      <c r="A969"/>
      <c r="B969" s="201">
        <v>0</v>
      </c>
      <c r="C969">
        <v>0</v>
      </c>
      <c r="D969" s="201">
        <v>0</v>
      </c>
      <c r="E969" s="201">
        <v>0</v>
      </c>
      <c r="F969">
        <v>108</v>
      </c>
      <c r="G969">
        <v>439</v>
      </c>
      <c r="H969">
        <v>2543</v>
      </c>
      <c r="I969">
        <v>0</v>
      </c>
      <c r="J969">
        <v>0</v>
      </c>
      <c r="K969" s="201">
        <v>16</v>
      </c>
    </row>
    <row r="970" spans="1:11" x14ac:dyDescent="0.25">
      <c r="A970"/>
      <c r="B970" s="201">
        <v>378</v>
      </c>
      <c r="C970">
        <v>0</v>
      </c>
      <c r="D970" s="201">
        <v>30</v>
      </c>
      <c r="E970" s="201">
        <v>138</v>
      </c>
      <c r="F970">
        <v>1</v>
      </c>
      <c r="G970">
        <v>43</v>
      </c>
      <c r="H970">
        <v>-153</v>
      </c>
      <c r="I970">
        <v>-144</v>
      </c>
      <c r="J970">
        <v>240</v>
      </c>
      <c r="K970" s="201">
        <v>0</v>
      </c>
    </row>
    <row r="971" spans="1:11" x14ac:dyDescent="0.25">
      <c r="A971"/>
      <c r="B971" s="201">
        <v>0</v>
      </c>
      <c r="C971">
        <v>0</v>
      </c>
      <c r="D971" s="201">
        <v>0</v>
      </c>
      <c r="E971" s="201">
        <v>0</v>
      </c>
      <c r="F971">
        <v>-38</v>
      </c>
      <c r="G971">
        <v>0</v>
      </c>
      <c r="H971">
        <v>-27</v>
      </c>
      <c r="I971">
        <v>-201</v>
      </c>
      <c r="J971">
        <v>287</v>
      </c>
      <c r="K971" s="201">
        <v>0</v>
      </c>
    </row>
    <row r="972" spans="1:11" x14ac:dyDescent="0.25">
      <c r="A972"/>
      <c r="B972" s="201">
        <v>-3955</v>
      </c>
      <c r="C972">
        <v>-2211</v>
      </c>
      <c r="D972" s="201">
        <v>3974</v>
      </c>
      <c r="E972" s="201">
        <v>7531</v>
      </c>
      <c r="F972">
        <v>4536</v>
      </c>
      <c r="G972">
        <v>0</v>
      </c>
      <c r="H972">
        <v>-1264</v>
      </c>
      <c r="I972">
        <v>-551</v>
      </c>
      <c r="J972">
        <v>2437</v>
      </c>
      <c r="K972" s="201">
        <v>18510</v>
      </c>
    </row>
    <row r="973" spans="1:11" x14ac:dyDescent="0.25">
      <c r="A973"/>
      <c r="B973" s="201">
        <v>0</v>
      </c>
      <c r="C973">
        <v>-525</v>
      </c>
      <c r="D973" s="201">
        <v>152</v>
      </c>
      <c r="E973" s="201">
        <v>239</v>
      </c>
      <c r="F973">
        <v>-57</v>
      </c>
      <c r="G973">
        <v>499</v>
      </c>
      <c r="H973">
        <v>0</v>
      </c>
      <c r="I973">
        <v>0</v>
      </c>
      <c r="J973">
        <v>63</v>
      </c>
      <c r="K973" s="201">
        <v>0</v>
      </c>
    </row>
    <row r="974" spans="1:11" x14ac:dyDescent="0.25">
      <c r="A974"/>
      <c r="B974" s="201">
        <v>0</v>
      </c>
      <c r="C974">
        <v>0</v>
      </c>
      <c r="D974" s="201">
        <v>-26</v>
      </c>
      <c r="E974" s="201">
        <v>-131</v>
      </c>
      <c r="F974">
        <v>0</v>
      </c>
      <c r="G974">
        <v>0</v>
      </c>
      <c r="H974">
        <v>0</v>
      </c>
      <c r="I974">
        <v>0</v>
      </c>
      <c r="J974">
        <v>0</v>
      </c>
      <c r="K974" s="201">
        <v>0</v>
      </c>
    </row>
    <row r="975" spans="1:11" x14ac:dyDescent="0.25">
      <c r="A975"/>
      <c r="B975" s="201">
        <v>144</v>
      </c>
      <c r="C975">
        <v>0</v>
      </c>
      <c r="D975" s="201">
        <v>0</v>
      </c>
      <c r="E975" s="201">
        <v>-121</v>
      </c>
      <c r="F975">
        <v>0</v>
      </c>
      <c r="G975">
        <v>70</v>
      </c>
      <c r="H975">
        <v>0</v>
      </c>
      <c r="I975">
        <v>-142</v>
      </c>
      <c r="J975">
        <v>154</v>
      </c>
      <c r="K975" s="201">
        <v>97</v>
      </c>
    </row>
    <row r="976" spans="1:11" x14ac:dyDescent="0.25">
      <c r="A976"/>
      <c r="B976" s="201">
        <v>0</v>
      </c>
      <c r="C976">
        <v>-251</v>
      </c>
      <c r="D976" s="201">
        <v>-119</v>
      </c>
      <c r="E976" s="201">
        <v>181</v>
      </c>
      <c r="F976">
        <v>636</v>
      </c>
      <c r="G976">
        <v>-255</v>
      </c>
      <c r="H976">
        <v>170</v>
      </c>
      <c r="I976">
        <v>0</v>
      </c>
      <c r="J976">
        <v>-281</v>
      </c>
      <c r="K976" s="201">
        <v>0</v>
      </c>
    </row>
    <row r="977" spans="1:11" x14ac:dyDescent="0.25">
      <c r="A977"/>
      <c r="B977" s="201">
        <v>0</v>
      </c>
      <c r="C977">
        <v>0</v>
      </c>
      <c r="D977" s="201">
        <v>0</v>
      </c>
      <c r="E977" s="201">
        <v>0</v>
      </c>
      <c r="F977">
        <v>-68</v>
      </c>
      <c r="G977">
        <v>0</v>
      </c>
      <c r="H977">
        <v>0</v>
      </c>
      <c r="I977">
        <v>0</v>
      </c>
      <c r="J977">
        <v>194</v>
      </c>
      <c r="K977" s="201">
        <v>0</v>
      </c>
    </row>
    <row r="978" spans="1:11" x14ac:dyDescent="0.25">
      <c r="A978"/>
      <c r="B978" s="201">
        <v>101</v>
      </c>
      <c r="C978">
        <v>0</v>
      </c>
      <c r="D978" s="201">
        <v>0</v>
      </c>
      <c r="E978" s="201">
        <v>0</v>
      </c>
      <c r="F978">
        <v>0</v>
      </c>
      <c r="G978">
        <v>0</v>
      </c>
      <c r="H978">
        <v>136</v>
      </c>
      <c r="I978">
        <v>0</v>
      </c>
      <c r="J978">
        <v>107</v>
      </c>
      <c r="K978" s="201">
        <v>85</v>
      </c>
    </row>
    <row r="979" spans="1:11" x14ac:dyDescent="0.25">
      <c r="A979"/>
      <c r="B979" s="201">
        <v>0</v>
      </c>
      <c r="C979">
        <v>0</v>
      </c>
      <c r="D979" s="201">
        <v>6772</v>
      </c>
      <c r="E979" s="201">
        <v>6599</v>
      </c>
      <c r="F979">
        <v>0</v>
      </c>
      <c r="G979">
        <v>-1013</v>
      </c>
      <c r="H979">
        <v>0</v>
      </c>
      <c r="I979">
        <v>0</v>
      </c>
      <c r="J979">
        <v>0</v>
      </c>
      <c r="K979" s="201">
        <v>0</v>
      </c>
    </row>
    <row r="980" spans="1:11" x14ac:dyDescent="0.25">
      <c r="A980"/>
      <c r="B980" s="201">
        <v>5953</v>
      </c>
      <c r="C980">
        <v>-3628</v>
      </c>
      <c r="D980" s="201">
        <v>-2255</v>
      </c>
      <c r="E980" s="201">
        <v>0</v>
      </c>
      <c r="F980">
        <v>0</v>
      </c>
      <c r="G980">
        <v>871</v>
      </c>
      <c r="H980">
        <v>-138</v>
      </c>
      <c r="I980">
        <v>0</v>
      </c>
      <c r="J980">
        <v>-493</v>
      </c>
      <c r="K980" s="201">
        <v>-1030</v>
      </c>
    </row>
    <row r="981" spans="1:11" x14ac:dyDescent="0.25">
      <c r="A981"/>
      <c r="B981" s="201">
        <v>-99</v>
      </c>
      <c r="C981">
        <v>-483</v>
      </c>
      <c r="D981" s="201">
        <v>-1864</v>
      </c>
      <c r="E981" s="201">
        <v>-461</v>
      </c>
      <c r="F981">
        <v>-510</v>
      </c>
      <c r="G981">
        <v>0</v>
      </c>
      <c r="H981">
        <v>0</v>
      </c>
      <c r="I981">
        <v>0</v>
      </c>
      <c r="J981">
        <v>0</v>
      </c>
      <c r="K981" s="201">
        <v>0</v>
      </c>
    </row>
    <row r="982" spans="1:11" x14ac:dyDescent="0.25">
      <c r="A982"/>
      <c r="B982" s="201">
        <v>-7595</v>
      </c>
      <c r="C982">
        <v>0</v>
      </c>
      <c r="D982" s="201">
        <v>-8800</v>
      </c>
      <c r="E982" s="201">
        <v>-1830</v>
      </c>
      <c r="F982">
        <v>-596</v>
      </c>
      <c r="G982">
        <v>0</v>
      </c>
      <c r="H982">
        <v>276</v>
      </c>
      <c r="I982">
        <v>-2929</v>
      </c>
      <c r="J982">
        <v>1779</v>
      </c>
      <c r="K982" s="201">
        <v>2779</v>
      </c>
    </row>
    <row r="983" spans="1:11" x14ac:dyDescent="0.25">
      <c r="B983" s="201">
        <v>4261</v>
      </c>
      <c r="C983">
        <v>0</v>
      </c>
      <c r="D983" s="201">
        <v>8969</v>
      </c>
      <c r="E983" s="201">
        <v>-2636</v>
      </c>
      <c r="F983">
        <v>517</v>
      </c>
      <c r="G983">
        <v>11072</v>
      </c>
      <c r="H983">
        <v>0</v>
      </c>
      <c r="I983">
        <v>-2890</v>
      </c>
      <c r="J983">
        <v>0</v>
      </c>
      <c r="K983" s="201">
        <v>0</v>
      </c>
    </row>
    <row r="984" spans="1:11" x14ac:dyDescent="0.25">
      <c r="A984"/>
      <c r="B984" s="201">
        <v>0</v>
      </c>
      <c r="C984">
        <v>0</v>
      </c>
      <c r="D984" s="201">
        <v>0</v>
      </c>
      <c r="E984" s="201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 s="201">
        <v>0</v>
      </c>
    </row>
    <row r="985" spans="1:11" x14ac:dyDescent="0.25">
      <c r="A985"/>
      <c r="B985" s="201">
        <v>0</v>
      </c>
      <c r="C985">
        <v>0</v>
      </c>
      <c r="D985" s="201">
        <v>0</v>
      </c>
      <c r="E985" s="201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s="201">
        <v>0</v>
      </c>
    </row>
    <row r="986" spans="1:11" x14ac:dyDescent="0.25">
      <c r="A986"/>
      <c r="B986" s="201">
        <v>0</v>
      </c>
      <c r="C986">
        <v>0</v>
      </c>
      <c r="D986" s="201">
        <v>0</v>
      </c>
      <c r="E986" s="201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 s="201">
        <v>0</v>
      </c>
    </row>
    <row r="987" spans="1:11" x14ac:dyDescent="0.25">
      <c r="A987"/>
      <c r="B987" s="201">
        <v>0</v>
      </c>
      <c r="C987">
        <v>0</v>
      </c>
      <c r="D987" s="201">
        <v>0</v>
      </c>
      <c r="E987" s="201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 s="201">
        <v>0</v>
      </c>
    </row>
    <row r="988" spans="1:11" x14ac:dyDescent="0.25">
      <c r="A988"/>
      <c r="B988" s="201">
        <v>0</v>
      </c>
      <c r="C988">
        <v>0</v>
      </c>
      <c r="D988" s="201">
        <v>0</v>
      </c>
      <c r="E988" s="201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 s="201">
        <v>0</v>
      </c>
    </row>
    <row r="989" spans="1:11" x14ac:dyDescent="0.25">
      <c r="A989"/>
      <c r="B989" s="201">
        <v>0</v>
      </c>
      <c r="C989">
        <v>0</v>
      </c>
      <c r="D989" s="201">
        <v>0</v>
      </c>
      <c r="E989" s="201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s="201">
        <v>0</v>
      </c>
    </row>
    <row r="990" spans="1:11" x14ac:dyDescent="0.25">
      <c r="A990"/>
      <c r="B990" s="201">
        <v>0</v>
      </c>
      <c r="C990">
        <v>0</v>
      </c>
      <c r="D990" s="201">
        <v>0</v>
      </c>
      <c r="E990" s="201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 s="201">
        <v>0</v>
      </c>
    </row>
    <row r="991" spans="1:11" x14ac:dyDescent="0.25">
      <c r="A991"/>
      <c r="B991" s="201">
        <v>0</v>
      </c>
      <c r="C991">
        <v>0</v>
      </c>
      <c r="D991" s="201">
        <v>0</v>
      </c>
      <c r="E991" s="20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 s="201">
        <v>0</v>
      </c>
    </row>
    <row r="992" spans="1:11" x14ac:dyDescent="0.25">
      <c r="A992"/>
      <c r="B992" s="201">
        <v>0</v>
      </c>
      <c r="C992">
        <v>0</v>
      </c>
      <c r="D992" s="201">
        <v>0</v>
      </c>
      <c r="E992" s="201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 s="201">
        <v>0</v>
      </c>
    </row>
    <row r="993" spans="1:11" x14ac:dyDescent="0.25">
      <c r="A993"/>
      <c r="B993" s="201">
        <v>0</v>
      </c>
      <c r="C993">
        <v>0</v>
      </c>
      <c r="D993" s="201">
        <v>0</v>
      </c>
      <c r="E993" s="201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 s="201">
        <v>0</v>
      </c>
    </row>
    <row r="994" spans="1:11" x14ac:dyDescent="0.25">
      <c r="A994"/>
      <c r="B994" s="201">
        <v>0</v>
      </c>
      <c r="C994">
        <v>0</v>
      </c>
      <c r="D994" s="201">
        <v>0</v>
      </c>
      <c r="E994" s="201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s="201">
        <v>0</v>
      </c>
    </row>
    <row r="995" spans="1:11" x14ac:dyDescent="0.25">
      <c r="A995"/>
      <c r="B995" s="201">
        <v>0</v>
      </c>
      <c r="C995">
        <v>0</v>
      </c>
      <c r="D995" s="201">
        <v>0</v>
      </c>
      <c r="E995" s="201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s="201">
        <v>0</v>
      </c>
    </row>
    <row r="996" spans="1:11" x14ac:dyDescent="0.25">
      <c r="A996"/>
      <c r="B996" s="201">
        <v>0</v>
      </c>
      <c r="C996">
        <v>0</v>
      </c>
      <c r="D996" s="201">
        <v>0</v>
      </c>
      <c r="E996" s="201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 s="201">
        <v>0</v>
      </c>
    </row>
    <row r="997" spans="1:11" x14ac:dyDescent="0.25">
      <c r="A997"/>
      <c r="B997" s="201">
        <v>0</v>
      </c>
      <c r="C997">
        <v>0</v>
      </c>
      <c r="D997" s="201">
        <v>0</v>
      </c>
      <c r="E997" s="201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s="201">
        <v>0</v>
      </c>
    </row>
    <row r="998" spans="1:11" x14ac:dyDescent="0.25">
      <c r="A998"/>
      <c r="B998" s="201">
        <v>0</v>
      </c>
      <c r="C998">
        <v>0</v>
      </c>
      <c r="D998" s="201">
        <v>0</v>
      </c>
      <c r="E998" s="201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 s="201">
        <v>0</v>
      </c>
    </row>
    <row r="999" spans="1:11" x14ac:dyDescent="0.25">
      <c r="A999"/>
      <c r="B999" s="201">
        <v>0</v>
      </c>
      <c r="C999">
        <v>0</v>
      </c>
      <c r="D999" s="201">
        <v>0</v>
      </c>
      <c r="E999" s="201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s="201">
        <v>0</v>
      </c>
    </row>
    <row r="1000" spans="1:11" x14ac:dyDescent="0.25">
      <c r="A1000"/>
      <c r="B1000" s="201">
        <v>0</v>
      </c>
      <c r="C1000">
        <v>0</v>
      </c>
      <c r="D1000" s="201">
        <v>0</v>
      </c>
      <c r="E1000" s="201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 s="201">
        <v>0</v>
      </c>
    </row>
    <row r="1001" spans="1:11" x14ac:dyDescent="0.25">
      <c r="A1001"/>
      <c r="B1001" s="201">
        <v>0</v>
      </c>
      <c r="C1001">
        <v>0</v>
      </c>
      <c r="D1001" s="201">
        <v>0</v>
      </c>
      <c r="E1001" s="2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s="201">
        <v>0</v>
      </c>
    </row>
    <row r="1002" spans="1:11" x14ac:dyDescent="0.25">
      <c r="A1002"/>
      <c r="B1002" s="201">
        <v>0</v>
      </c>
      <c r="C1002">
        <v>0</v>
      </c>
      <c r="D1002" s="201">
        <v>0</v>
      </c>
      <c r="E1002" s="201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 s="201">
        <v>0</v>
      </c>
    </row>
    <row r="1003" spans="1:11" x14ac:dyDescent="0.25">
      <c r="A1003"/>
      <c r="B1003" s="201">
        <v>0</v>
      </c>
      <c r="C1003">
        <v>0</v>
      </c>
      <c r="D1003" s="201">
        <v>0</v>
      </c>
      <c r="E1003" s="201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s="201">
        <v>0</v>
      </c>
    </row>
    <row r="1004" spans="1:11" x14ac:dyDescent="0.25">
      <c r="A1004"/>
      <c r="B1004" s="201">
        <v>0</v>
      </c>
      <c r="C1004">
        <v>0</v>
      </c>
      <c r="D1004" s="201">
        <v>0</v>
      </c>
      <c r="E1004" s="201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 s="201">
        <v>0</v>
      </c>
    </row>
    <row r="1005" spans="1:11" x14ac:dyDescent="0.25">
      <c r="A1005"/>
      <c r="B1005" s="201">
        <v>0</v>
      </c>
      <c r="C1005">
        <v>0</v>
      </c>
      <c r="D1005" s="201">
        <v>0</v>
      </c>
      <c r="E1005" s="201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 s="201">
        <v>0</v>
      </c>
    </row>
    <row r="1006" spans="1:11" x14ac:dyDescent="0.25">
      <c r="A1006"/>
      <c r="B1006" s="201">
        <v>0</v>
      </c>
      <c r="C1006">
        <v>0</v>
      </c>
      <c r="D1006" s="201">
        <v>0</v>
      </c>
      <c r="E1006" s="201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 s="201">
        <v>0</v>
      </c>
    </row>
    <row r="1007" spans="1:11" x14ac:dyDescent="0.25">
      <c r="A1007"/>
      <c r="B1007" s="201">
        <v>0</v>
      </c>
      <c r="C1007">
        <v>0</v>
      </c>
      <c r="D1007" s="201">
        <v>0</v>
      </c>
      <c r="E1007" s="201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 s="201">
        <v>0</v>
      </c>
    </row>
    <row r="1008" spans="1:11" x14ac:dyDescent="0.25">
      <c r="A1008"/>
      <c r="B1008" s="201">
        <v>0</v>
      </c>
      <c r="C1008">
        <v>0</v>
      </c>
      <c r="D1008" s="201">
        <v>0</v>
      </c>
      <c r="E1008" s="201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 s="201">
        <v>0</v>
      </c>
    </row>
    <row r="1009" spans="1:11" x14ac:dyDescent="0.25">
      <c r="A1009"/>
      <c r="B1009" s="201">
        <v>0</v>
      </c>
      <c r="C1009">
        <v>0</v>
      </c>
      <c r="D1009" s="201">
        <v>0</v>
      </c>
      <c r="E1009" s="201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 s="201">
        <v>0</v>
      </c>
    </row>
    <row r="1010" spans="1:11" x14ac:dyDescent="0.25">
      <c r="A1010"/>
      <c r="B1010" s="201">
        <v>0</v>
      </c>
      <c r="C1010">
        <v>0</v>
      </c>
      <c r="D1010" s="201">
        <v>0</v>
      </c>
      <c r="E1010" s="201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 s="201">
        <v>0</v>
      </c>
    </row>
    <row r="1011" spans="1:11" x14ac:dyDescent="0.25">
      <c r="A1011"/>
      <c r="B1011" s="201">
        <v>0</v>
      </c>
      <c r="C1011">
        <v>0</v>
      </c>
      <c r="D1011" s="201">
        <v>0</v>
      </c>
      <c r="E1011" s="20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 s="201">
        <v>0</v>
      </c>
    </row>
    <row r="1012" spans="1:11" x14ac:dyDescent="0.25">
      <c r="A1012"/>
      <c r="B1012" s="201">
        <v>0</v>
      </c>
      <c r="C1012">
        <v>0</v>
      </c>
      <c r="D1012" s="201">
        <v>0</v>
      </c>
      <c r="E1012" s="201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 s="201">
        <v>0</v>
      </c>
    </row>
    <row r="1013" spans="1:11" x14ac:dyDescent="0.25">
      <c r="A1013"/>
      <c r="B1013" s="201">
        <v>0</v>
      </c>
      <c r="C1013">
        <v>0</v>
      </c>
      <c r="D1013" s="201">
        <v>0</v>
      </c>
      <c r="E1013" s="201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 s="201">
        <v>0</v>
      </c>
    </row>
    <row r="1014" spans="1:11" x14ac:dyDescent="0.25">
      <c r="A1014"/>
      <c r="B1014" s="201">
        <v>0</v>
      </c>
      <c r="C1014">
        <v>0</v>
      </c>
      <c r="D1014" s="201">
        <v>0</v>
      </c>
      <c r="E1014" s="201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 s="201">
        <v>0</v>
      </c>
    </row>
    <row r="1015" spans="1:11" x14ac:dyDescent="0.25">
      <c r="A1015"/>
      <c r="B1015" s="201">
        <v>0</v>
      </c>
      <c r="C1015">
        <v>0</v>
      </c>
      <c r="D1015" s="201">
        <v>0</v>
      </c>
      <c r="E1015" s="201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 s="201">
        <v>0</v>
      </c>
    </row>
    <row r="1016" spans="1:11" x14ac:dyDescent="0.25">
      <c r="A1016"/>
      <c r="B1016" s="201">
        <v>0</v>
      </c>
      <c r="C1016">
        <v>0</v>
      </c>
      <c r="D1016" s="201">
        <v>0</v>
      </c>
      <c r="E1016" s="201">
        <v>0</v>
      </c>
      <c r="F1016">
        <v>0</v>
      </c>
      <c r="G1016">
        <v>-699</v>
      </c>
      <c r="H1016">
        <v>109</v>
      </c>
      <c r="I1016">
        <v>-456</v>
      </c>
      <c r="J1016">
        <v>-331</v>
      </c>
      <c r="K1016" s="201">
        <v>211</v>
      </c>
    </row>
    <row r="1017" spans="1:11" x14ac:dyDescent="0.25">
      <c r="A1017"/>
      <c r="B1017" s="201">
        <v>0</v>
      </c>
      <c r="C1017">
        <v>0</v>
      </c>
      <c r="D1017" s="201">
        <v>137</v>
      </c>
      <c r="E1017" s="201">
        <v>0</v>
      </c>
      <c r="F1017">
        <v>0</v>
      </c>
      <c r="G1017">
        <v>0</v>
      </c>
      <c r="H1017">
        <v>455</v>
      </c>
      <c r="I1017">
        <v>6771</v>
      </c>
      <c r="J1017">
        <v>0</v>
      </c>
      <c r="K1017" s="201">
        <v>0</v>
      </c>
    </row>
    <row r="1018" spans="1:11" x14ac:dyDescent="0.25">
      <c r="A1018"/>
      <c r="B1018" s="201">
        <v>0</v>
      </c>
      <c r="C1018">
        <v>0</v>
      </c>
      <c r="D1018" s="201">
        <v>0</v>
      </c>
      <c r="E1018" s="201">
        <v>0</v>
      </c>
      <c r="F1018">
        <v>-3</v>
      </c>
      <c r="G1018">
        <v>0</v>
      </c>
      <c r="H1018">
        <v>0</v>
      </c>
      <c r="I1018">
        <v>-303</v>
      </c>
      <c r="J1018">
        <v>0</v>
      </c>
      <c r="K1018" s="201">
        <v>359</v>
      </c>
    </row>
    <row r="1019" spans="1:11" x14ac:dyDescent="0.25">
      <c r="A1019"/>
      <c r="B1019" s="201">
        <v>0</v>
      </c>
      <c r="C1019">
        <v>254</v>
      </c>
      <c r="D1019" s="201">
        <v>-107</v>
      </c>
      <c r="E1019" s="201">
        <v>88</v>
      </c>
      <c r="F1019">
        <v>0</v>
      </c>
      <c r="G1019">
        <v>-387</v>
      </c>
      <c r="H1019">
        <v>-32</v>
      </c>
      <c r="I1019">
        <v>-199</v>
      </c>
      <c r="J1019">
        <v>241</v>
      </c>
      <c r="K1019" s="201">
        <v>296</v>
      </c>
    </row>
    <row r="1020" spans="1:11" x14ac:dyDescent="0.25">
      <c r="A1020"/>
      <c r="B1020" s="201">
        <v>252</v>
      </c>
      <c r="C1020">
        <v>0</v>
      </c>
      <c r="D1020" s="201">
        <v>-51</v>
      </c>
      <c r="E1020" s="201">
        <v>0</v>
      </c>
      <c r="F1020">
        <v>0</v>
      </c>
      <c r="G1020">
        <v>0</v>
      </c>
      <c r="H1020">
        <v>0</v>
      </c>
      <c r="I1020">
        <v>0</v>
      </c>
      <c r="J1020">
        <v>4138</v>
      </c>
      <c r="K1020" s="201">
        <v>0</v>
      </c>
    </row>
    <row r="1021" spans="1:11" x14ac:dyDescent="0.25">
      <c r="A1021"/>
      <c r="B1021" s="201">
        <v>0</v>
      </c>
      <c r="C1021">
        <v>0</v>
      </c>
      <c r="D1021" s="201">
        <v>-298</v>
      </c>
      <c r="E1021" s="201">
        <v>0</v>
      </c>
      <c r="F1021">
        <v>180</v>
      </c>
      <c r="G1021">
        <v>0</v>
      </c>
      <c r="H1021">
        <v>0</v>
      </c>
      <c r="I1021">
        <v>0</v>
      </c>
      <c r="J1021">
        <v>0</v>
      </c>
      <c r="K1021" s="201">
        <v>0</v>
      </c>
    </row>
    <row r="1022" spans="1:11" x14ac:dyDescent="0.25">
      <c r="A1022"/>
      <c r="B1022" s="201">
        <v>15</v>
      </c>
      <c r="C1022">
        <v>0</v>
      </c>
      <c r="D1022" s="201">
        <v>-60</v>
      </c>
      <c r="E1022" s="201">
        <v>264</v>
      </c>
      <c r="F1022">
        <v>0</v>
      </c>
      <c r="G1022">
        <v>0</v>
      </c>
      <c r="H1022">
        <v>962</v>
      </c>
      <c r="I1022">
        <v>235</v>
      </c>
      <c r="J1022">
        <v>0</v>
      </c>
      <c r="K1022" s="201">
        <v>79</v>
      </c>
    </row>
    <row r="1023" spans="1:11" x14ac:dyDescent="0.25">
      <c r="A1023"/>
      <c r="B1023" s="201">
        <v>0</v>
      </c>
      <c r="C1023">
        <v>0</v>
      </c>
      <c r="D1023" s="201">
        <v>0</v>
      </c>
      <c r="E1023" s="201">
        <v>0</v>
      </c>
      <c r="F1023">
        <v>-533</v>
      </c>
      <c r="G1023">
        <v>14</v>
      </c>
      <c r="H1023">
        <v>-87</v>
      </c>
      <c r="I1023">
        <v>0</v>
      </c>
      <c r="J1023">
        <v>0</v>
      </c>
      <c r="K1023" s="201">
        <v>269</v>
      </c>
    </row>
    <row r="1024" spans="1:11" x14ac:dyDescent="0.25">
      <c r="A1024"/>
      <c r="B1024" s="201">
        <v>-170</v>
      </c>
      <c r="C1024">
        <v>0</v>
      </c>
      <c r="D1024" s="201">
        <v>-6224</v>
      </c>
      <c r="E1024" s="201">
        <v>383</v>
      </c>
      <c r="F1024">
        <v>-245</v>
      </c>
      <c r="G1024">
        <v>-690</v>
      </c>
      <c r="H1024">
        <v>48</v>
      </c>
      <c r="I1024">
        <v>1324</v>
      </c>
      <c r="J1024">
        <v>-120</v>
      </c>
      <c r="K1024" s="201">
        <v>0</v>
      </c>
    </row>
    <row r="1025" spans="1:11" x14ac:dyDescent="0.25">
      <c r="A1025"/>
      <c r="B1025" s="201">
        <v>0</v>
      </c>
      <c r="C1025">
        <v>0</v>
      </c>
      <c r="D1025" s="201">
        <v>0</v>
      </c>
      <c r="E1025" s="201">
        <v>0</v>
      </c>
      <c r="F1025">
        <v>-229</v>
      </c>
      <c r="G1025">
        <v>0</v>
      </c>
      <c r="H1025">
        <v>-88</v>
      </c>
      <c r="I1025">
        <v>-742</v>
      </c>
      <c r="J1025">
        <v>-353</v>
      </c>
      <c r="K1025" s="201">
        <v>0</v>
      </c>
    </row>
    <row r="1026" spans="1:11" x14ac:dyDescent="0.25">
      <c r="A1026"/>
      <c r="B1026" s="201">
        <v>342</v>
      </c>
      <c r="C1026">
        <v>123</v>
      </c>
      <c r="D1026" s="201">
        <v>-4961</v>
      </c>
      <c r="E1026" s="201">
        <v>1038</v>
      </c>
      <c r="F1026">
        <v>-9360</v>
      </c>
      <c r="G1026">
        <v>0</v>
      </c>
      <c r="H1026">
        <v>553</v>
      </c>
      <c r="I1026">
        <v>-42</v>
      </c>
      <c r="J1026">
        <v>1014</v>
      </c>
      <c r="K1026" s="201">
        <v>-803</v>
      </c>
    </row>
    <row r="1027" spans="1:11" x14ac:dyDescent="0.25">
      <c r="A1027"/>
      <c r="B1027" s="201">
        <v>0</v>
      </c>
      <c r="C1027">
        <v>11</v>
      </c>
      <c r="D1027" s="201">
        <v>340</v>
      </c>
      <c r="E1027" s="201">
        <v>0</v>
      </c>
      <c r="F1027">
        <v>0</v>
      </c>
      <c r="G1027">
        <v>0</v>
      </c>
      <c r="H1027">
        <v>-201</v>
      </c>
      <c r="I1027">
        <v>331</v>
      </c>
      <c r="J1027">
        <v>371</v>
      </c>
      <c r="K1027" s="201">
        <v>121</v>
      </c>
    </row>
    <row r="1028" spans="1:11" x14ac:dyDescent="0.25">
      <c r="A1028"/>
      <c r="B1028" s="201">
        <v>-607</v>
      </c>
      <c r="C1028">
        <v>0</v>
      </c>
      <c r="D1028" s="201">
        <v>0</v>
      </c>
      <c r="E1028" s="201">
        <v>-1</v>
      </c>
      <c r="F1028">
        <v>0</v>
      </c>
      <c r="G1028">
        <v>0</v>
      </c>
      <c r="H1028">
        <v>0</v>
      </c>
      <c r="I1028">
        <v>-2110</v>
      </c>
      <c r="J1028">
        <v>24</v>
      </c>
      <c r="K1028" s="201">
        <v>0</v>
      </c>
    </row>
    <row r="1029" spans="1:11" x14ac:dyDescent="0.25">
      <c r="A1029"/>
      <c r="B1029" s="201">
        <v>0</v>
      </c>
      <c r="C1029">
        <v>0</v>
      </c>
      <c r="D1029" s="201">
        <v>0</v>
      </c>
      <c r="E1029" s="201">
        <v>0</v>
      </c>
      <c r="F1029">
        <v>0</v>
      </c>
      <c r="G1029">
        <v>-169</v>
      </c>
      <c r="H1029">
        <v>0</v>
      </c>
      <c r="I1029">
        <v>0</v>
      </c>
      <c r="J1029">
        <v>-81</v>
      </c>
      <c r="K1029" s="201">
        <v>0</v>
      </c>
    </row>
    <row r="1030" spans="1:11" x14ac:dyDescent="0.25">
      <c r="A1030"/>
      <c r="B1030" s="201">
        <v>380</v>
      </c>
      <c r="C1030">
        <v>0</v>
      </c>
      <c r="D1030" s="201">
        <v>470</v>
      </c>
      <c r="E1030" s="201">
        <v>150</v>
      </c>
      <c r="F1030">
        <v>-339</v>
      </c>
      <c r="G1030">
        <v>0</v>
      </c>
      <c r="H1030">
        <v>581</v>
      </c>
      <c r="I1030">
        <v>324</v>
      </c>
      <c r="J1030">
        <v>84</v>
      </c>
      <c r="K1030" s="201">
        <v>-344</v>
      </c>
    </row>
    <row r="1031" spans="1:11" x14ac:dyDescent="0.25">
      <c r="A1031"/>
      <c r="B1031" s="201">
        <v>-458</v>
      </c>
      <c r="C1031">
        <v>-319</v>
      </c>
      <c r="D1031" s="201">
        <v>0</v>
      </c>
      <c r="E1031" s="201">
        <v>-21</v>
      </c>
      <c r="F1031">
        <v>0</v>
      </c>
      <c r="G1031">
        <v>0</v>
      </c>
      <c r="H1031">
        <v>0</v>
      </c>
      <c r="I1031">
        <v>0</v>
      </c>
      <c r="J1031">
        <v>0</v>
      </c>
      <c r="K1031" s="201">
        <v>-81</v>
      </c>
    </row>
    <row r="1032" spans="1:11" x14ac:dyDescent="0.25">
      <c r="A1032"/>
      <c r="B1032" s="201">
        <v>0</v>
      </c>
      <c r="C1032">
        <v>0</v>
      </c>
      <c r="D1032" s="201">
        <v>0</v>
      </c>
      <c r="E1032" s="201">
        <v>-235</v>
      </c>
      <c r="F1032">
        <v>0</v>
      </c>
      <c r="G1032">
        <v>-94</v>
      </c>
      <c r="H1032">
        <v>0</v>
      </c>
      <c r="I1032">
        <v>0</v>
      </c>
      <c r="J1032">
        <v>0</v>
      </c>
      <c r="K1032" s="201">
        <v>0</v>
      </c>
    </row>
    <row r="1033" spans="1:11" x14ac:dyDescent="0.25">
      <c r="A1033"/>
      <c r="B1033" s="201">
        <v>0</v>
      </c>
      <c r="C1033">
        <v>-197</v>
      </c>
      <c r="D1033" s="201">
        <v>0</v>
      </c>
      <c r="E1033" s="201">
        <v>144</v>
      </c>
      <c r="F1033">
        <v>-158</v>
      </c>
      <c r="G1033">
        <v>0</v>
      </c>
      <c r="H1033">
        <v>0</v>
      </c>
      <c r="I1033">
        <v>2323</v>
      </c>
      <c r="J1033">
        <v>1262</v>
      </c>
      <c r="K1033" s="201">
        <v>0</v>
      </c>
    </row>
    <row r="1034" spans="1:11" x14ac:dyDescent="0.25">
      <c r="A1034"/>
      <c r="B1034" s="201">
        <v>911</v>
      </c>
      <c r="C1034">
        <v>0</v>
      </c>
      <c r="D1034" s="201">
        <v>0</v>
      </c>
      <c r="E1034" s="201">
        <v>0</v>
      </c>
      <c r="F1034">
        <v>0</v>
      </c>
      <c r="G1034">
        <v>-675</v>
      </c>
      <c r="H1034">
        <v>-433</v>
      </c>
      <c r="I1034">
        <v>-74</v>
      </c>
      <c r="J1034">
        <v>0</v>
      </c>
      <c r="K1034" s="201">
        <v>0</v>
      </c>
    </row>
    <row r="1035" spans="1:11" x14ac:dyDescent="0.25">
      <c r="A1035"/>
      <c r="B1035" s="201">
        <v>57</v>
      </c>
      <c r="C1035">
        <v>-454</v>
      </c>
      <c r="D1035" s="201">
        <v>0</v>
      </c>
      <c r="E1035" s="201">
        <v>290</v>
      </c>
      <c r="F1035">
        <v>-4404</v>
      </c>
      <c r="G1035">
        <v>-53</v>
      </c>
      <c r="H1035">
        <v>-2039</v>
      </c>
      <c r="I1035">
        <v>-678</v>
      </c>
      <c r="J1035">
        <v>-777</v>
      </c>
      <c r="K1035" s="201">
        <v>-873</v>
      </c>
    </row>
    <row r="1036" spans="1:11" x14ac:dyDescent="0.25">
      <c r="A1036"/>
      <c r="B1036" s="201">
        <v>0</v>
      </c>
      <c r="C1036">
        <v>0</v>
      </c>
      <c r="D1036" s="201">
        <v>0</v>
      </c>
      <c r="E1036" s="201">
        <v>0</v>
      </c>
      <c r="F1036">
        <v>0</v>
      </c>
      <c r="G1036">
        <v>-1026</v>
      </c>
      <c r="H1036">
        <v>0</v>
      </c>
      <c r="I1036">
        <v>-575</v>
      </c>
      <c r="J1036">
        <v>-2350</v>
      </c>
      <c r="K1036" s="201">
        <v>-1338</v>
      </c>
    </row>
    <row r="1037" spans="1:11" x14ac:dyDescent="0.25">
      <c r="A1037"/>
      <c r="B1037" s="201">
        <v>0</v>
      </c>
      <c r="C1037">
        <v>-5971</v>
      </c>
      <c r="D1037" s="201">
        <v>-4839</v>
      </c>
      <c r="E1037" s="201">
        <v>-6402</v>
      </c>
      <c r="F1037">
        <v>13464</v>
      </c>
      <c r="G1037">
        <v>-8086</v>
      </c>
      <c r="H1037">
        <v>0</v>
      </c>
      <c r="I1037">
        <v>8667</v>
      </c>
      <c r="J1037">
        <v>12056</v>
      </c>
      <c r="K1037" s="201">
        <v>10968</v>
      </c>
    </row>
    <row r="1038" spans="1:11" x14ac:dyDescent="0.25">
      <c r="A1038"/>
      <c r="B1038" s="201">
        <v>4016</v>
      </c>
      <c r="C1038">
        <v>0</v>
      </c>
      <c r="D1038" s="201">
        <v>-2811</v>
      </c>
      <c r="E1038" s="201">
        <v>401</v>
      </c>
      <c r="F1038">
        <v>0</v>
      </c>
      <c r="G1038">
        <v>0</v>
      </c>
      <c r="H1038">
        <v>0</v>
      </c>
      <c r="I1038">
        <v>-17388</v>
      </c>
      <c r="J1038">
        <v>0</v>
      </c>
      <c r="K1038" s="201">
        <v>0</v>
      </c>
    </row>
    <row r="1039" spans="1:11" x14ac:dyDescent="0.25">
      <c r="A1039"/>
      <c r="B1039" s="201">
        <v>0</v>
      </c>
      <c r="C1039">
        <v>0</v>
      </c>
      <c r="D1039" s="201">
        <v>0</v>
      </c>
      <c r="E1039" s="201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 s="201">
        <v>0</v>
      </c>
    </row>
    <row r="1040" spans="1:11" x14ac:dyDescent="0.25">
      <c r="A1040"/>
      <c r="B1040" s="201">
        <v>0</v>
      </c>
      <c r="C1040">
        <v>0</v>
      </c>
      <c r="D1040" s="201">
        <v>0</v>
      </c>
      <c r="E1040" s="201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 s="201">
        <v>0</v>
      </c>
    </row>
    <row r="1041" spans="1:11" x14ac:dyDescent="0.25">
      <c r="A1041"/>
      <c r="B1041" s="201">
        <v>0</v>
      </c>
      <c r="C1041">
        <v>0</v>
      </c>
      <c r="D1041" s="201">
        <v>0</v>
      </c>
      <c r="E1041" s="20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 s="201">
        <v>0</v>
      </c>
    </row>
    <row r="1042" spans="1:11" x14ac:dyDescent="0.25">
      <c r="A1042"/>
      <c r="B1042" s="201">
        <v>0</v>
      </c>
      <c r="C1042">
        <v>0</v>
      </c>
      <c r="D1042" s="201">
        <v>0</v>
      </c>
      <c r="E1042" s="201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 s="201">
        <v>0</v>
      </c>
    </row>
    <row r="1043" spans="1:11" x14ac:dyDescent="0.25">
      <c r="A1043"/>
      <c r="B1043" s="201">
        <v>0</v>
      </c>
      <c r="C1043">
        <v>0</v>
      </c>
      <c r="D1043" s="201">
        <v>0</v>
      </c>
      <c r="E1043" s="201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 s="201">
        <v>0</v>
      </c>
    </row>
    <row r="1044" spans="1:11" x14ac:dyDescent="0.25">
      <c r="A1044"/>
      <c r="B1044" s="201">
        <v>0</v>
      </c>
      <c r="C1044">
        <v>0</v>
      </c>
      <c r="D1044" s="201">
        <v>0</v>
      </c>
      <c r="E1044" s="201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 s="201">
        <v>0</v>
      </c>
    </row>
    <row r="1045" spans="1:11" x14ac:dyDescent="0.25">
      <c r="A1045"/>
      <c r="B1045" s="201">
        <v>0</v>
      </c>
      <c r="C1045">
        <v>0</v>
      </c>
      <c r="D1045" s="201">
        <v>0</v>
      </c>
      <c r="E1045" s="201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 s="201">
        <v>0</v>
      </c>
    </row>
    <row r="1046" spans="1:11" x14ac:dyDescent="0.25">
      <c r="A1046"/>
      <c r="B1046" s="201">
        <v>0</v>
      </c>
      <c r="C1046">
        <v>0</v>
      </c>
      <c r="D1046" s="201">
        <v>0</v>
      </c>
      <c r="E1046" s="201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 s="201">
        <v>0</v>
      </c>
    </row>
    <row r="1047" spans="1:11" x14ac:dyDescent="0.25">
      <c r="A1047"/>
      <c r="B1047" s="201">
        <v>0</v>
      </c>
      <c r="C1047">
        <v>0</v>
      </c>
      <c r="D1047" s="201">
        <v>0</v>
      </c>
      <c r="E1047" s="201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 s="201">
        <v>0</v>
      </c>
    </row>
    <row r="1048" spans="1:11" x14ac:dyDescent="0.25">
      <c r="A1048"/>
      <c r="B1048" s="201">
        <v>0</v>
      </c>
      <c r="C1048">
        <v>0</v>
      </c>
      <c r="D1048" s="201">
        <v>0</v>
      </c>
      <c r="E1048" s="201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 s="201">
        <v>0</v>
      </c>
    </row>
    <row r="1049" spans="1:11" x14ac:dyDescent="0.25">
      <c r="A1049"/>
      <c r="B1049" s="201">
        <v>0</v>
      </c>
      <c r="C1049">
        <v>0</v>
      </c>
      <c r="D1049" s="201">
        <v>0</v>
      </c>
      <c r="E1049" s="201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 s="201">
        <v>0</v>
      </c>
    </row>
    <row r="1050" spans="1:11" x14ac:dyDescent="0.25">
      <c r="A1050"/>
      <c r="B1050" s="201">
        <v>0</v>
      </c>
      <c r="C1050">
        <v>-122</v>
      </c>
      <c r="D1050" s="201">
        <v>263</v>
      </c>
      <c r="E1050" s="201">
        <v>8</v>
      </c>
      <c r="F1050">
        <v>-384</v>
      </c>
      <c r="G1050">
        <v>-675</v>
      </c>
      <c r="H1050">
        <v>0</v>
      </c>
      <c r="I1050">
        <v>0</v>
      </c>
      <c r="J1050">
        <v>-10</v>
      </c>
      <c r="K1050" s="201">
        <v>0</v>
      </c>
    </row>
    <row r="1051" spans="1:11" x14ac:dyDescent="0.25">
      <c r="A1051"/>
      <c r="B1051" s="201">
        <v>0</v>
      </c>
      <c r="C1051">
        <v>0</v>
      </c>
      <c r="D1051" s="201">
        <v>-2029</v>
      </c>
      <c r="E1051" s="201">
        <v>-524</v>
      </c>
      <c r="F1051">
        <v>0</v>
      </c>
      <c r="G1051">
        <v>0</v>
      </c>
      <c r="H1051">
        <v>0</v>
      </c>
      <c r="I1051">
        <v>0</v>
      </c>
      <c r="J1051">
        <v>0</v>
      </c>
      <c r="K1051" s="201">
        <v>0</v>
      </c>
    </row>
    <row r="1052" spans="1:11" x14ac:dyDescent="0.25">
      <c r="A1052"/>
      <c r="B1052" s="201">
        <v>465</v>
      </c>
      <c r="C1052">
        <v>0</v>
      </c>
      <c r="D1052" s="201">
        <v>0</v>
      </c>
      <c r="E1052" s="201">
        <v>-56</v>
      </c>
      <c r="F1052">
        <v>0</v>
      </c>
      <c r="G1052">
        <v>325</v>
      </c>
      <c r="H1052">
        <v>0</v>
      </c>
      <c r="I1052">
        <v>442</v>
      </c>
      <c r="J1052">
        <v>-225</v>
      </c>
      <c r="K1052" s="201">
        <v>451</v>
      </c>
    </row>
    <row r="1053" spans="1:11" x14ac:dyDescent="0.25">
      <c r="A1053"/>
      <c r="B1053" s="201">
        <v>0</v>
      </c>
      <c r="C1053">
        <v>91</v>
      </c>
      <c r="D1053" s="201">
        <v>203</v>
      </c>
      <c r="E1053" s="201">
        <v>-611</v>
      </c>
      <c r="F1053">
        <v>-262</v>
      </c>
      <c r="G1053">
        <v>-172</v>
      </c>
      <c r="H1053">
        <v>-146</v>
      </c>
      <c r="I1053">
        <v>0</v>
      </c>
      <c r="J1053">
        <v>-100</v>
      </c>
      <c r="K1053" s="201">
        <v>0</v>
      </c>
    </row>
    <row r="1054" spans="1:11" x14ac:dyDescent="0.25">
      <c r="A1054"/>
      <c r="B1054" s="201">
        <v>0</v>
      </c>
      <c r="C1054">
        <v>0</v>
      </c>
      <c r="D1054" s="201">
        <v>0</v>
      </c>
      <c r="E1054" s="201">
        <v>0</v>
      </c>
      <c r="F1054">
        <v>156</v>
      </c>
      <c r="G1054">
        <v>0</v>
      </c>
      <c r="H1054">
        <v>0</v>
      </c>
      <c r="I1054">
        <v>0</v>
      </c>
      <c r="J1054">
        <v>474</v>
      </c>
      <c r="K1054" s="201">
        <v>0</v>
      </c>
    </row>
    <row r="1055" spans="1:11" x14ac:dyDescent="0.25">
      <c r="A1055"/>
      <c r="B1055" s="201">
        <v>37</v>
      </c>
      <c r="C1055">
        <v>0</v>
      </c>
      <c r="D1055" s="201">
        <v>0</v>
      </c>
      <c r="E1055" s="201">
        <v>0</v>
      </c>
      <c r="F1055">
        <v>0</v>
      </c>
      <c r="G1055">
        <v>0</v>
      </c>
      <c r="H1055">
        <v>-215</v>
      </c>
      <c r="I1055">
        <v>0</v>
      </c>
      <c r="J1055">
        <v>81</v>
      </c>
      <c r="K1055" s="201">
        <v>320</v>
      </c>
    </row>
    <row r="1056" spans="1:11" x14ac:dyDescent="0.25">
      <c r="A1056"/>
      <c r="B1056" s="201">
        <v>0</v>
      </c>
      <c r="C1056">
        <v>0</v>
      </c>
      <c r="D1056" s="201">
        <v>1216</v>
      </c>
      <c r="E1056" s="201">
        <v>932</v>
      </c>
      <c r="F1056">
        <v>0</v>
      </c>
      <c r="G1056">
        <v>337</v>
      </c>
      <c r="H1056">
        <v>0</v>
      </c>
      <c r="I1056">
        <v>0</v>
      </c>
      <c r="J1056">
        <v>0</v>
      </c>
      <c r="K1056" s="201">
        <v>0</v>
      </c>
    </row>
    <row r="1057" spans="1:11" x14ac:dyDescent="0.25">
      <c r="A1057"/>
      <c r="B1057" s="201">
        <v>-756</v>
      </c>
      <c r="C1057">
        <v>-397</v>
      </c>
      <c r="D1057" s="201">
        <v>-221</v>
      </c>
      <c r="E1057" s="201">
        <v>0</v>
      </c>
      <c r="F1057">
        <v>0</v>
      </c>
      <c r="G1057">
        <v>20</v>
      </c>
      <c r="H1057">
        <v>-89</v>
      </c>
      <c r="I1057">
        <v>0</v>
      </c>
      <c r="J1057">
        <v>-399</v>
      </c>
      <c r="K1057" s="201">
        <v>-1265</v>
      </c>
    </row>
    <row r="1058" spans="1:11" x14ac:dyDescent="0.25">
      <c r="A1058"/>
      <c r="B1058" s="201">
        <v>60</v>
      </c>
      <c r="C1058">
        <v>-2884</v>
      </c>
      <c r="D1058" s="201">
        <v>-709</v>
      </c>
      <c r="E1058" s="201">
        <v>-624</v>
      </c>
      <c r="F1058">
        <v>-953</v>
      </c>
      <c r="G1058">
        <v>0</v>
      </c>
      <c r="H1058">
        <v>0</v>
      </c>
      <c r="I1058">
        <v>0</v>
      </c>
      <c r="J1058">
        <v>0</v>
      </c>
      <c r="K1058" s="201">
        <v>0</v>
      </c>
    </row>
    <row r="1059" spans="1:11" x14ac:dyDescent="0.25">
      <c r="A1059"/>
      <c r="B1059" s="201">
        <v>-569</v>
      </c>
      <c r="C1059">
        <v>0</v>
      </c>
      <c r="D1059" s="201">
        <v>-392</v>
      </c>
      <c r="E1059" s="201">
        <v>-1257</v>
      </c>
      <c r="F1059">
        <v>-194</v>
      </c>
      <c r="G1059">
        <v>0</v>
      </c>
      <c r="H1059">
        <v>-6621</v>
      </c>
      <c r="I1059">
        <v>-5738</v>
      </c>
      <c r="J1059">
        <v>8201</v>
      </c>
      <c r="K1059" s="201">
        <v>17004</v>
      </c>
    </row>
    <row r="1060" spans="1:11" x14ac:dyDescent="0.25">
      <c r="A1060"/>
      <c r="B1060" s="201">
        <v>4156</v>
      </c>
      <c r="C1060">
        <v>0</v>
      </c>
      <c r="D1060" s="201">
        <v>9661</v>
      </c>
      <c r="E1060" s="201">
        <v>13111</v>
      </c>
      <c r="F1060">
        <v>13032</v>
      </c>
      <c r="G1060">
        <v>2896</v>
      </c>
      <c r="H1060">
        <v>0</v>
      </c>
      <c r="I1060">
        <v>-2086</v>
      </c>
      <c r="J1060">
        <v>364</v>
      </c>
      <c r="K1060" s="201">
        <v>0</v>
      </c>
    </row>
    <row r="1061" spans="1:11" x14ac:dyDescent="0.25">
      <c r="A1061"/>
      <c r="B1061" s="201">
        <v>0</v>
      </c>
      <c r="C1061">
        <v>0</v>
      </c>
      <c r="D1061" s="201">
        <v>4879</v>
      </c>
      <c r="E1061" s="201">
        <v>17180</v>
      </c>
      <c r="F1061">
        <v>0</v>
      </c>
      <c r="G1061">
        <v>-2042</v>
      </c>
      <c r="H1061">
        <v>-451</v>
      </c>
      <c r="I1061">
        <v>40</v>
      </c>
      <c r="J1061">
        <v>2089</v>
      </c>
      <c r="K1061" s="201">
        <v>-100</v>
      </c>
    </row>
    <row r="1062" spans="1:11" x14ac:dyDescent="0.25">
      <c r="A1062"/>
      <c r="B1062" s="201">
        <v>0</v>
      </c>
      <c r="C1062">
        <v>0</v>
      </c>
      <c r="D1062" s="201">
        <v>-309</v>
      </c>
      <c r="E1062" s="201">
        <v>0</v>
      </c>
      <c r="F1062">
        <v>0</v>
      </c>
      <c r="G1062">
        <v>0</v>
      </c>
      <c r="H1062">
        <v>-199</v>
      </c>
      <c r="I1062">
        <v>88</v>
      </c>
      <c r="J1062">
        <v>0</v>
      </c>
      <c r="K1062" s="201">
        <v>0</v>
      </c>
    </row>
    <row r="1063" spans="1:11" x14ac:dyDescent="0.25">
      <c r="A1063"/>
      <c r="B1063" s="201">
        <v>0</v>
      </c>
      <c r="C1063">
        <v>0</v>
      </c>
      <c r="D1063" s="201">
        <v>0</v>
      </c>
      <c r="E1063" s="201">
        <v>0</v>
      </c>
      <c r="F1063">
        <v>-287</v>
      </c>
      <c r="G1063">
        <v>0</v>
      </c>
      <c r="H1063">
        <v>0</v>
      </c>
      <c r="I1063">
        <v>78</v>
      </c>
      <c r="J1063">
        <v>0</v>
      </c>
      <c r="K1063" s="201">
        <v>-84</v>
      </c>
    </row>
    <row r="1064" spans="1:11" x14ac:dyDescent="0.25">
      <c r="A1064"/>
      <c r="B1064" s="201">
        <v>0</v>
      </c>
      <c r="C1064">
        <v>78</v>
      </c>
      <c r="D1064" s="201">
        <v>1366</v>
      </c>
      <c r="E1064" s="201">
        <v>876</v>
      </c>
      <c r="F1064">
        <v>0</v>
      </c>
      <c r="G1064">
        <v>62</v>
      </c>
      <c r="H1064">
        <v>-306</v>
      </c>
      <c r="I1064">
        <v>277</v>
      </c>
      <c r="J1064">
        <v>799</v>
      </c>
      <c r="K1064" s="201">
        <v>963</v>
      </c>
    </row>
    <row r="1065" spans="1:11" x14ac:dyDescent="0.25">
      <c r="A1065"/>
      <c r="B1065" s="201">
        <v>699</v>
      </c>
      <c r="C1065">
        <v>0</v>
      </c>
      <c r="D1065" s="201">
        <v>81</v>
      </c>
      <c r="E1065" s="201">
        <v>0</v>
      </c>
      <c r="F1065">
        <v>0</v>
      </c>
      <c r="G1065">
        <v>0</v>
      </c>
      <c r="H1065">
        <v>0</v>
      </c>
      <c r="I1065">
        <v>0</v>
      </c>
      <c r="J1065">
        <v>-604</v>
      </c>
      <c r="K1065" s="201">
        <v>0</v>
      </c>
    </row>
    <row r="1066" spans="1:11" x14ac:dyDescent="0.25">
      <c r="A1066"/>
      <c r="B1066" s="201">
        <v>0</v>
      </c>
      <c r="C1066">
        <v>0</v>
      </c>
      <c r="D1066" s="201">
        <v>5729</v>
      </c>
      <c r="E1066" s="201">
        <v>0</v>
      </c>
      <c r="F1066">
        <v>518</v>
      </c>
      <c r="G1066">
        <v>0</v>
      </c>
      <c r="H1066">
        <v>0</v>
      </c>
      <c r="I1066">
        <v>0</v>
      </c>
      <c r="J1066">
        <v>0</v>
      </c>
      <c r="K1066" s="201">
        <v>0</v>
      </c>
    </row>
    <row r="1067" spans="1:11" x14ac:dyDescent="0.25">
      <c r="A1067"/>
      <c r="B1067" s="201">
        <v>176</v>
      </c>
      <c r="C1067">
        <v>0</v>
      </c>
      <c r="D1067" s="201">
        <v>266</v>
      </c>
      <c r="E1067" s="201">
        <v>-2220</v>
      </c>
      <c r="F1067">
        <v>0</v>
      </c>
      <c r="G1067">
        <v>0</v>
      </c>
      <c r="H1067">
        <v>724</v>
      </c>
      <c r="I1067">
        <v>219</v>
      </c>
      <c r="J1067">
        <v>0</v>
      </c>
      <c r="K1067" s="201">
        <v>-828</v>
      </c>
    </row>
    <row r="1068" spans="1:11" x14ac:dyDescent="0.25">
      <c r="A1068"/>
      <c r="B1068" s="201">
        <v>0</v>
      </c>
      <c r="C1068">
        <v>0</v>
      </c>
      <c r="D1068" s="201">
        <v>0</v>
      </c>
      <c r="E1068" s="201">
        <v>0</v>
      </c>
      <c r="F1068">
        <v>-437</v>
      </c>
      <c r="G1068">
        <v>657</v>
      </c>
      <c r="H1068">
        <v>-83</v>
      </c>
      <c r="I1068">
        <v>0</v>
      </c>
      <c r="J1068">
        <v>0</v>
      </c>
      <c r="K1068" s="201">
        <v>27</v>
      </c>
    </row>
    <row r="1069" spans="1:11" x14ac:dyDescent="0.25">
      <c r="A1069"/>
      <c r="B1069" s="201">
        <v>147</v>
      </c>
      <c r="C1069">
        <v>0</v>
      </c>
      <c r="D1069" s="201">
        <v>446</v>
      </c>
      <c r="E1069" s="201">
        <v>-132</v>
      </c>
      <c r="F1069">
        <v>71</v>
      </c>
      <c r="G1069">
        <v>-118</v>
      </c>
      <c r="H1069">
        <v>-1249</v>
      </c>
      <c r="I1069">
        <v>-1256</v>
      </c>
      <c r="J1069">
        <v>-1553</v>
      </c>
      <c r="K1069" s="201">
        <v>0</v>
      </c>
    </row>
    <row r="1070" spans="1:11" x14ac:dyDescent="0.25">
      <c r="A1070"/>
      <c r="B1070" s="201">
        <v>0</v>
      </c>
      <c r="C1070">
        <v>0</v>
      </c>
      <c r="D1070" s="201">
        <v>0</v>
      </c>
      <c r="E1070" s="201">
        <v>0</v>
      </c>
      <c r="F1070">
        <v>-1014</v>
      </c>
      <c r="G1070">
        <v>0</v>
      </c>
      <c r="H1070">
        <v>-287</v>
      </c>
      <c r="I1070">
        <v>418</v>
      </c>
      <c r="J1070">
        <v>516</v>
      </c>
      <c r="K1070" s="201">
        <v>0</v>
      </c>
    </row>
    <row r="1071" spans="1:11" x14ac:dyDescent="0.25">
      <c r="A1071"/>
      <c r="B1071" s="201">
        <v>-7143</v>
      </c>
      <c r="C1071">
        <v>-5540</v>
      </c>
      <c r="D1071" s="201">
        <v>4763</v>
      </c>
      <c r="E1071" s="201">
        <v>25078</v>
      </c>
      <c r="F1071">
        <v>5059</v>
      </c>
      <c r="G1071">
        <v>0</v>
      </c>
      <c r="H1071">
        <v>12640</v>
      </c>
      <c r="I1071">
        <v>25602</v>
      </c>
      <c r="J1071">
        <v>19410</v>
      </c>
      <c r="K1071" s="201">
        <v>-7354</v>
      </c>
    </row>
    <row r="1072" spans="1:11" x14ac:dyDescent="0.25">
      <c r="A1072"/>
      <c r="B1072" s="201">
        <v>0</v>
      </c>
      <c r="C1072">
        <v>1443</v>
      </c>
      <c r="D1072" s="201">
        <v>4570</v>
      </c>
      <c r="E1072" s="201">
        <v>0</v>
      </c>
      <c r="F1072">
        <v>0</v>
      </c>
      <c r="G1072">
        <v>0</v>
      </c>
      <c r="H1072">
        <v>-8599</v>
      </c>
      <c r="I1072">
        <v>10126</v>
      </c>
      <c r="J1072">
        <v>0</v>
      </c>
      <c r="K1072" s="201">
        <v>9336</v>
      </c>
    </row>
    <row r="1073" spans="1:11" x14ac:dyDescent="0.25">
      <c r="A1073"/>
      <c r="B1073" s="201">
        <v>-106</v>
      </c>
      <c r="C1073">
        <v>-75</v>
      </c>
      <c r="D1073" s="201">
        <v>55</v>
      </c>
      <c r="E1073" s="201">
        <v>261</v>
      </c>
      <c r="F1073">
        <v>112</v>
      </c>
      <c r="G1073">
        <v>0</v>
      </c>
      <c r="H1073">
        <v>0</v>
      </c>
      <c r="I1073">
        <v>-168</v>
      </c>
      <c r="J1073">
        <v>0</v>
      </c>
      <c r="K1073" s="201">
        <v>0</v>
      </c>
    </row>
    <row r="1074" spans="1:11" x14ac:dyDescent="0.25">
      <c r="A1074"/>
      <c r="B1074" s="201">
        <v>0</v>
      </c>
      <c r="C1074">
        <v>-81</v>
      </c>
      <c r="D1074" s="201">
        <v>-214</v>
      </c>
      <c r="E1074" s="201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 s="201">
        <v>-104</v>
      </c>
    </row>
    <row r="1075" spans="1:11" x14ac:dyDescent="0.25">
      <c r="A1075"/>
      <c r="B1075" s="201">
        <v>0</v>
      </c>
      <c r="C1075">
        <v>0</v>
      </c>
      <c r="D1075" s="201">
        <v>7</v>
      </c>
      <c r="E1075" s="201">
        <v>0</v>
      </c>
      <c r="F1075">
        <v>-60</v>
      </c>
      <c r="G1075">
        <v>0</v>
      </c>
      <c r="H1075">
        <v>41</v>
      </c>
      <c r="I1075">
        <v>234</v>
      </c>
      <c r="J1075">
        <v>169</v>
      </c>
      <c r="K1075" s="201">
        <v>0</v>
      </c>
    </row>
    <row r="1076" spans="1:11" x14ac:dyDescent="0.25">
      <c r="A1076"/>
      <c r="B1076" s="201">
        <v>386</v>
      </c>
      <c r="C1076">
        <v>51</v>
      </c>
      <c r="D1076" s="201">
        <v>350</v>
      </c>
      <c r="E1076" s="201">
        <v>-7</v>
      </c>
      <c r="F1076">
        <v>-121</v>
      </c>
      <c r="G1076">
        <v>-66</v>
      </c>
      <c r="H1076">
        <v>0</v>
      </c>
      <c r="I1076">
        <v>-86</v>
      </c>
      <c r="J1076">
        <v>0</v>
      </c>
      <c r="K1076" s="201">
        <v>0</v>
      </c>
    </row>
    <row r="1077" spans="1:11" x14ac:dyDescent="0.25">
      <c r="A1077"/>
      <c r="B1077" s="201">
        <v>0</v>
      </c>
      <c r="C1077">
        <v>0</v>
      </c>
      <c r="D1077" s="201">
        <v>0</v>
      </c>
      <c r="E1077" s="201">
        <v>-424</v>
      </c>
      <c r="F1077">
        <v>0</v>
      </c>
      <c r="G1077">
        <v>0</v>
      </c>
      <c r="H1077">
        <v>0</v>
      </c>
      <c r="I1077">
        <v>-410</v>
      </c>
      <c r="J1077">
        <v>0</v>
      </c>
      <c r="K1077" s="201">
        <v>-210</v>
      </c>
    </row>
    <row r="1078" spans="1:11" x14ac:dyDescent="0.25">
      <c r="A1078"/>
      <c r="B1078" s="201">
        <v>0</v>
      </c>
      <c r="C1078">
        <v>0</v>
      </c>
      <c r="D1078" s="201">
        <v>0</v>
      </c>
      <c r="E1078" s="201">
        <v>0</v>
      </c>
      <c r="F1078">
        <v>0</v>
      </c>
      <c r="G1078">
        <v>-225</v>
      </c>
      <c r="H1078">
        <v>0</v>
      </c>
      <c r="I1078">
        <v>-29</v>
      </c>
      <c r="J1078">
        <v>-316</v>
      </c>
      <c r="K1078" s="201">
        <v>0</v>
      </c>
    </row>
    <row r="1079" spans="1:11" x14ac:dyDescent="0.25">
      <c r="A1079"/>
      <c r="B1079" s="201">
        <v>0</v>
      </c>
      <c r="C1079">
        <v>589</v>
      </c>
      <c r="D1079" s="201">
        <v>164</v>
      </c>
      <c r="E1079" s="201">
        <v>0</v>
      </c>
      <c r="F1079">
        <v>-1098</v>
      </c>
      <c r="G1079">
        <v>0</v>
      </c>
      <c r="H1079">
        <v>0</v>
      </c>
      <c r="I1079">
        <v>0</v>
      </c>
      <c r="J1079">
        <v>0</v>
      </c>
      <c r="K1079" s="201">
        <v>-733</v>
      </c>
    </row>
    <row r="1080" spans="1:11" x14ac:dyDescent="0.25">
      <c r="A1080"/>
      <c r="B1080" s="201">
        <v>103</v>
      </c>
      <c r="C1080">
        <v>28</v>
      </c>
      <c r="D1080" s="201">
        <v>0</v>
      </c>
      <c r="E1080" s="201">
        <v>0</v>
      </c>
      <c r="F1080">
        <v>43</v>
      </c>
      <c r="G1080">
        <v>152</v>
      </c>
      <c r="H1080">
        <v>0</v>
      </c>
      <c r="I1080">
        <v>1861</v>
      </c>
      <c r="J1080">
        <v>-66</v>
      </c>
      <c r="K1080" s="201">
        <v>949</v>
      </c>
    </row>
    <row r="1081" spans="1:11" x14ac:dyDescent="0.25">
      <c r="A1081"/>
      <c r="B1081" s="201">
        <v>-238</v>
      </c>
      <c r="C1081">
        <v>-1126</v>
      </c>
      <c r="D1081" s="201">
        <v>-7937</v>
      </c>
      <c r="E1081" s="201">
        <v>-1834</v>
      </c>
      <c r="F1081">
        <v>0</v>
      </c>
      <c r="G1081">
        <v>0</v>
      </c>
      <c r="H1081">
        <v>0</v>
      </c>
      <c r="I1081">
        <v>0</v>
      </c>
      <c r="J1081">
        <v>0</v>
      </c>
      <c r="K1081" s="201">
        <v>-355</v>
      </c>
    </row>
    <row r="1082" spans="1:11" x14ac:dyDescent="0.25">
      <c r="A1082"/>
      <c r="B1082" s="201">
        <v>0</v>
      </c>
      <c r="C1082">
        <v>-45</v>
      </c>
      <c r="D1082" s="201">
        <v>339</v>
      </c>
      <c r="E1082" s="201">
        <v>214</v>
      </c>
      <c r="F1082">
        <v>0</v>
      </c>
      <c r="G1082">
        <v>-5446</v>
      </c>
      <c r="H1082">
        <v>-3777</v>
      </c>
      <c r="I1082">
        <v>5941</v>
      </c>
      <c r="J1082">
        <v>22469</v>
      </c>
      <c r="K1082" s="201">
        <v>1381</v>
      </c>
    </row>
    <row r="1083" spans="1:11" x14ac:dyDescent="0.25">
      <c r="A1083"/>
      <c r="B1083" s="201">
        <v>0</v>
      </c>
      <c r="C1083">
        <v>11465</v>
      </c>
      <c r="D1083" s="201">
        <v>16581</v>
      </c>
      <c r="E1083" s="201">
        <v>15027</v>
      </c>
      <c r="F1083">
        <v>251</v>
      </c>
      <c r="G1083">
        <v>0</v>
      </c>
      <c r="H1083">
        <v>5168</v>
      </c>
      <c r="I1083">
        <v>756</v>
      </c>
      <c r="J1083">
        <v>0</v>
      </c>
      <c r="K1083" s="201">
        <v>0</v>
      </c>
    </row>
    <row r="1084" spans="1:11" x14ac:dyDescent="0.25">
      <c r="A1084"/>
      <c r="B1084" s="201">
        <v>0</v>
      </c>
      <c r="C1084">
        <v>-16575</v>
      </c>
      <c r="D1084" s="201">
        <v>3100</v>
      </c>
      <c r="E1084" s="201">
        <v>0</v>
      </c>
      <c r="F1084">
        <v>3790</v>
      </c>
      <c r="G1084">
        <v>19853</v>
      </c>
      <c r="H1084">
        <v>-249</v>
      </c>
      <c r="I1084">
        <v>119</v>
      </c>
      <c r="J1084">
        <v>-139</v>
      </c>
      <c r="K1084" s="201">
        <v>-23</v>
      </c>
    </row>
    <row r="1085" spans="1:11" x14ac:dyDescent="0.25">
      <c r="A1085"/>
      <c r="B1085" s="201">
        <v>136</v>
      </c>
      <c r="C1085">
        <v>0</v>
      </c>
      <c r="D1085" s="201">
        <v>0</v>
      </c>
      <c r="E1085" s="201">
        <v>58</v>
      </c>
      <c r="F1085">
        <v>0</v>
      </c>
      <c r="G1085">
        <v>0</v>
      </c>
      <c r="H1085">
        <v>0</v>
      </c>
      <c r="I1085">
        <v>53</v>
      </c>
      <c r="J1085">
        <v>402</v>
      </c>
      <c r="K1085" s="201">
        <v>0</v>
      </c>
    </row>
    <row r="1086" spans="1:11" x14ac:dyDescent="0.25">
      <c r="A1086"/>
      <c r="B1086" s="201">
        <v>0</v>
      </c>
      <c r="C1086">
        <v>0</v>
      </c>
      <c r="D1086" s="201">
        <v>0</v>
      </c>
      <c r="E1086" s="201">
        <v>0</v>
      </c>
      <c r="F1086">
        <v>0</v>
      </c>
      <c r="G1086">
        <v>-187</v>
      </c>
      <c r="H1086">
        <v>0</v>
      </c>
      <c r="I1086">
        <v>0</v>
      </c>
      <c r="J1086">
        <v>-99</v>
      </c>
      <c r="K1086" s="201">
        <v>0</v>
      </c>
    </row>
    <row r="1087" spans="1:11" x14ac:dyDescent="0.25">
      <c r="A1087"/>
      <c r="B1087" s="201">
        <v>145</v>
      </c>
      <c r="C1087">
        <v>0</v>
      </c>
      <c r="D1087" s="201">
        <v>162</v>
      </c>
      <c r="E1087" s="201">
        <v>69</v>
      </c>
      <c r="F1087">
        <v>67</v>
      </c>
      <c r="G1087">
        <v>0</v>
      </c>
      <c r="H1087">
        <v>-515</v>
      </c>
      <c r="I1087">
        <v>4</v>
      </c>
      <c r="J1087">
        <v>-84</v>
      </c>
      <c r="K1087" s="201">
        <v>358</v>
      </c>
    </row>
    <row r="1088" spans="1:11" x14ac:dyDescent="0.25">
      <c r="A1088"/>
      <c r="B1088" s="201">
        <v>496</v>
      </c>
      <c r="C1088">
        <v>406</v>
      </c>
      <c r="D1088" s="201">
        <v>0</v>
      </c>
      <c r="E1088" s="201">
        <v>-8</v>
      </c>
      <c r="F1088">
        <v>0</v>
      </c>
      <c r="G1088">
        <v>0</v>
      </c>
      <c r="H1088">
        <v>0</v>
      </c>
      <c r="I1088">
        <v>0</v>
      </c>
      <c r="J1088">
        <v>0</v>
      </c>
      <c r="K1088" s="201">
        <v>355</v>
      </c>
    </row>
    <row r="1089" spans="1:11" x14ac:dyDescent="0.25">
      <c r="A1089"/>
      <c r="B1089" s="201">
        <v>0</v>
      </c>
      <c r="C1089">
        <v>0</v>
      </c>
      <c r="D1089" s="201">
        <v>0</v>
      </c>
      <c r="E1089" s="201">
        <v>638</v>
      </c>
      <c r="F1089">
        <v>0</v>
      </c>
      <c r="G1089">
        <v>982</v>
      </c>
      <c r="H1089">
        <v>0</v>
      </c>
      <c r="I1089">
        <v>0</v>
      </c>
      <c r="J1089">
        <v>0</v>
      </c>
      <c r="K1089" s="201">
        <v>0</v>
      </c>
    </row>
    <row r="1090" spans="1:11" x14ac:dyDescent="0.25">
      <c r="A1090"/>
      <c r="B1090" s="201">
        <v>0</v>
      </c>
      <c r="C1090">
        <v>-95</v>
      </c>
      <c r="D1090" s="201">
        <v>0</v>
      </c>
      <c r="E1090" s="201">
        <v>-73</v>
      </c>
      <c r="F1090">
        <v>177</v>
      </c>
      <c r="G1090">
        <v>0</v>
      </c>
      <c r="H1090">
        <v>0</v>
      </c>
      <c r="I1090">
        <v>1544</v>
      </c>
      <c r="J1090">
        <v>720</v>
      </c>
      <c r="K1090" s="201">
        <v>0</v>
      </c>
    </row>
    <row r="1091" spans="1:11" x14ac:dyDescent="0.25">
      <c r="B1091" s="201">
        <v>-2820</v>
      </c>
      <c r="C1091">
        <v>0</v>
      </c>
      <c r="D1091" s="201">
        <v>0</v>
      </c>
      <c r="E1091" s="201">
        <v>0</v>
      </c>
      <c r="F1091">
        <v>0</v>
      </c>
      <c r="G1091">
        <v>-1391</v>
      </c>
      <c r="H1091">
        <v>-205</v>
      </c>
      <c r="I1091">
        <v>-224</v>
      </c>
      <c r="J1091">
        <v>0</v>
      </c>
      <c r="K1091" s="201">
        <v>0</v>
      </c>
    </row>
    <row r="1092" spans="1:11" x14ac:dyDescent="0.25">
      <c r="A1092"/>
      <c r="B1092" s="76">
        <v>52</v>
      </c>
      <c r="C1092">
        <v>-40</v>
      </c>
      <c r="D1092" s="201">
        <v>0</v>
      </c>
      <c r="E1092" s="201">
        <v>-259</v>
      </c>
      <c r="F1092">
        <v>-1679</v>
      </c>
      <c r="G1092">
        <v>-287</v>
      </c>
      <c r="H1092">
        <v>-1125</v>
      </c>
      <c r="I1092">
        <v>-1518</v>
      </c>
      <c r="J1092">
        <v>-2112</v>
      </c>
      <c r="K1092" s="201">
        <v>-8124</v>
      </c>
    </row>
    <row r="1093" spans="1:11" x14ac:dyDescent="0.25">
      <c r="A1093"/>
      <c r="B1093" s="201">
        <v>0</v>
      </c>
      <c r="C1093">
        <v>0</v>
      </c>
      <c r="D1093" s="201">
        <v>0</v>
      </c>
      <c r="E1093" s="201">
        <v>0</v>
      </c>
      <c r="F1093">
        <v>0</v>
      </c>
      <c r="G1093">
        <v>-932</v>
      </c>
      <c r="H1093">
        <v>0</v>
      </c>
      <c r="I1093">
        <v>-245</v>
      </c>
      <c r="J1093">
        <v>164</v>
      </c>
      <c r="K1093" s="201">
        <v>-171</v>
      </c>
    </row>
    <row r="1094" spans="1:11" x14ac:dyDescent="0.25">
      <c r="A1094"/>
      <c r="B1094" s="201">
        <v>0</v>
      </c>
      <c r="C1094">
        <v>-10444</v>
      </c>
      <c r="D1094" s="201">
        <v>-8510</v>
      </c>
      <c r="E1094" s="201">
        <v>-2946</v>
      </c>
      <c r="F1094">
        <v>29043</v>
      </c>
      <c r="G1094">
        <v>-17219</v>
      </c>
      <c r="H1094">
        <v>0</v>
      </c>
      <c r="I1094">
        <v>14455</v>
      </c>
      <c r="J1094">
        <v>21656</v>
      </c>
      <c r="K1094" s="201">
        <v>20038</v>
      </c>
    </row>
    <row r="1095" spans="1:11" x14ac:dyDescent="0.25">
      <c r="A1095"/>
      <c r="B1095" s="201">
        <v>1840</v>
      </c>
      <c r="C1095">
        <v>0</v>
      </c>
      <c r="D1095" s="201">
        <v>-2582</v>
      </c>
      <c r="E1095" s="201">
        <v>-4344</v>
      </c>
      <c r="F1095">
        <v>0</v>
      </c>
      <c r="G1095">
        <v>0</v>
      </c>
      <c r="H1095">
        <v>0</v>
      </c>
      <c r="I1095">
        <v>6226</v>
      </c>
      <c r="J1095">
        <v>21480</v>
      </c>
      <c r="K1095" s="201">
        <v>0</v>
      </c>
    </row>
    <row r="1096" spans="1:11" x14ac:dyDescent="0.25">
      <c r="A1096"/>
      <c r="B1096" s="201">
        <v>16247</v>
      </c>
      <c r="C1096" s="201">
        <v>25370</v>
      </c>
      <c r="D1096" s="201">
        <v>28363</v>
      </c>
      <c r="E1096" s="201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 s="201">
        <v>0</v>
      </c>
    </row>
    <row r="1097" spans="1:11" x14ac:dyDescent="0.25">
      <c r="A1097"/>
      <c r="B1097" s="201">
        <v>0</v>
      </c>
      <c r="C1097">
        <v>0</v>
      </c>
      <c r="D1097" s="201">
        <v>0</v>
      </c>
      <c r="E1097" s="201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 s="201">
        <v>0</v>
      </c>
    </row>
    <row r="1098" spans="1:11" x14ac:dyDescent="0.25">
      <c r="A1098"/>
      <c r="B1098" s="201">
        <v>0</v>
      </c>
      <c r="C1098">
        <v>0</v>
      </c>
      <c r="D1098" s="201">
        <v>0</v>
      </c>
      <c r="E1098" s="201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 s="201">
        <v>0</v>
      </c>
    </row>
    <row r="1099" spans="1:11" x14ac:dyDescent="0.25">
      <c r="A1099"/>
      <c r="B1099" s="201">
        <v>0</v>
      </c>
      <c r="C1099">
        <v>0</v>
      </c>
      <c r="D1099" s="201">
        <v>0</v>
      </c>
      <c r="E1099" s="201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 s="201">
        <v>0</v>
      </c>
    </row>
    <row r="1100" spans="1:11" x14ac:dyDescent="0.25">
      <c r="A1100"/>
      <c r="B1100" s="201">
        <v>0</v>
      </c>
      <c r="C1100">
        <v>0</v>
      </c>
      <c r="D1100" s="201">
        <v>0</v>
      </c>
      <c r="E1100" s="201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 s="201">
        <v>0</v>
      </c>
    </row>
    <row r="1101" spans="1:11" x14ac:dyDescent="0.25">
      <c r="A1101"/>
      <c r="B1101" s="201">
        <v>0</v>
      </c>
      <c r="C1101">
        <v>0</v>
      </c>
      <c r="D1101" s="201">
        <v>0</v>
      </c>
      <c r="E1101" s="2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 s="201">
        <v>0</v>
      </c>
    </row>
    <row r="1102" spans="1:11" x14ac:dyDescent="0.25">
      <c r="A1102"/>
      <c r="B1102" s="201">
        <v>0</v>
      </c>
      <c r="C1102">
        <v>0</v>
      </c>
      <c r="D1102" s="201">
        <v>0</v>
      </c>
      <c r="E1102" s="201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 s="201">
        <v>0</v>
      </c>
    </row>
    <row r="1103" spans="1:11" x14ac:dyDescent="0.25">
      <c r="A1103"/>
      <c r="B1103" s="201">
        <v>0</v>
      </c>
      <c r="C1103">
        <v>0</v>
      </c>
      <c r="D1103" s="201">
        <v>0</v>
      </c>
      <c r="E1103" s="201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 s="201">
        <v>0</v>
      </c>
    </row>
    <row r="1104" spans="1:11" x14ac:dyDescent="0.25">
      <c r="A1104"/>
      <c r="B1104" s="201">
        <v>0</v>
      </c>
      <c r="C1104">
        <v>0</v>
      </c>
      <c r="D1104" s="201">
        <v>0</v>
      </c>
      <c r="E1104" s="201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 s="201">
        <v>0</v>
      </c>
    </row>
    <row r="1105" spans="1:11" x14ac:dyDescent="0.25">
      <c r="A1105"/>
      <c r="B1105" s="201">
        <v>0</v>
      </c>
      <c r="C1105">
        <v>0</v>
      </c>
      <c r="D1105" s="201">
        <v>0</v>
      </c>
      <c r="E1105" s="201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 s="201">
        <v>0</v>
      </c>
    </row>
    <row r="1106" spans="1:11" x14ac:dyDescent="0.25">
      <c r="A1106"/>
      <c r="B1106" s="201">
        <v>0</v>
      </c>
      <c r="C1106">
        <v>0</v>
      </c>
      <c r="D1106" s="201">
        <v>0</v>
      </c>
      <c r="E1106" s="201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 s="201">
        <v>0</v>
      </c>
    </row>
    <row r="1107" spans="1:11" x14ac:dyDescent="0.25">
      <c r="A1107"/>
      <c r="B1107" s="201">
        <v>0</v>
      </c>
      <c r="C1107">
        <v>0</v>
      </c>
      <c r="D1107" s="201">
        <v>0</v>
      </c>
      <c r="E1107" s="201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 s="201">
        <v>0</v>
      </c>
    </row>
    <row r="1108" spans="1:11" x14ac:dyDescent="0.25">
      <c r="A1108"/>
      <c r="B1108" s="201">
        <v>0</v>
      </c>
      <c r="C1108">
        <v>0</v>
      </c>
      <c r="D1108" s="201">
        <v>0</v>
      </c>
      <c r="E1108" s="201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 s="201">
        <v>0</v>
      </c>
    </row>
    <row r="1109" spans="1:11" x14ac:dyDescent="0.25">
      <c r="A1109"/>
      <c r="B1109" s="201">
        <v>0</v>
      </c>
      <c r="C1109">
        <v>0</v>
      </c>
      <c r="D1109" s="201">
        <v>0</v>
      </c>
      <c r="E1109" s="201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 s="201">
        <v>0</v>
      </c>
    </row>
    <row r="1110" spans="1:11" x14ac:dyDescent="0.25">
      <c r="A1110"/>
      <c r="B1110" s="201">
        <v>0</v>
      </c>
      <c r="C1110">
        <v>0</v>
      </c>
      <c r="D1110" s="201">
        <v>0</v>
      </c>
      <c r="E1110" s="201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 s="201">
        <v>0</v>
      </c>
    </row>
    <row r="1111" spans="1:11" x14ac:dyDescent="0.25">
      <c r="A1111"/>
      <c r="B1111" s="201">
        <v>0</v>
      </c>
      <c r="C1111">
        <v>0</v>
      </c>
      <c r="D1111" s="201">
        <v>0</v>
      </c>
      <c r="E1111" s="20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 s="201">
        <v>0</v>
      </c>
    </row>
    <row r="1112" spans="1:11" x14ac:dyDescent="0.25">
      <c r="A1112"/>
      <c r="B1112" s="201">
        <v>0</v>
      </c>
      <c r="C1112">
        <v>0</v>
      </c>
      <c r="D1112" s="201">
        <v>0</v>
      </c>
      <c r="E1112" s="201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 s="201">
        <v>0</v>
      </c>
    </row>
    <row r="1113" spans="1:11" x14ac:dyDescent="0.25">
      <c r="A1113"/>
      <c r="B1113" s="201">
        <v>0</v>
      </c>
      <c r="C1113">
        <v>0</v>
      </c>
      <c r="D1113" s="201">
        <v>0</v>
      </c>
      <c r="E1113" s="201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 s="201">
        <v>0</v>
      </c>
    </row>
    <row r="1114" spans="1:11" x14ac:dyDescent="0.25">
      <c r="A1114"/>
      <c r="B1114" s="201">
        <v>0</v>
      </c>
      <c r="C1114">
        <v>0</v>
      </c>
      <c r="D1114" s="201">
        <v>0</v>
      </c>
      <c r="E1114" s="201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 s="201">
        <v>0</v>
      </c>
    </row>
    <row r="1115" spans="1:11" x14ac:dyDescent="0.25">
      <c r="A1115"/>
      <c r="B1115" s="201">
        <v>0</v>
      </c>
      <c r="C1115">
        <v>0</v>
      </c>
      <c r="D1115" s="201">
        <v>0</v>
      </c>
      <c r="E1115" s="201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 s="201">
        <v>0</v>
      </c>
    </row>
    <row r="1116" spans="1:11" x14ac:dyDescent="0.25">
      <c r="A1116"/>
      <c r="B1116" s="201">
        <v>0</v>
      </c>
      <c r="C1116">
        <v>0</v>
      </c>
      <c r="D1116" s="201">
        <v>0</v>
      </c>
      <c r="E1116" s="201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 s="201">
        <v>0</v>
      </c>
    </row>
    <row r="1117" spans="1:11" x14ac:dyDescent="0.25">
      <c r="A1117"/>
      <c r="B1117" s="201">
        <v>0</v>
      </c>
      <c r="C1117">
        <v>0</v>
      </c>
      <c r="D1117" s="201">
        <v>0</v>
      </c>
      <c r="E1117" s="201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 s="201">
        <v>0</v>
      </c>
    </row>
    <row r="1118" spans="1:11" x14ac:dyDescent="0.25">
      <c r="A1118"/>
      <c r="B1118" s="201">
        <v>0</v>
      </c>
      <c r="C1118">
        <v>0</v>
      </c>
      <c r="D1118" s="201">
        <v>0</v>
      </c>
      <c r="E1118" s="201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 s="201">
        <v>0</v>
      </c>
    </row>
    <row r="1119" spans="1:11" x14ac:dyDescent="0.25">
      <c r="A1119"/>
      <c r="B1119" s="201">
        <v>0</v>
      </c>
      <c r="C1119">
        <v>0</v>
      </c>
      <c r="D1119" s="201">
        <v>0</v>
      </c>
      <c r="E1119" s="201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 s="201">
        <v>0</v>
      </c>
    </row>
    <row r="1120" spans="1:11" x14ac:dyDescent="0.25">
      <c r="A1120"/>
      <c r="B1120" s="201">
        <v>0</v>
      </c>
      <c r="C1120">
        <v>0</v>
      </c>
      <c r="D1120" s="201">
        <v>0</v>
      </c>
      <c r="E1120" s="201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 s="201">
        <v>0</v>
      </c>
    </row>
    <row r="1121" spans="1:11" x14ac:dyDescent="0.25">
      <c r="A1121"/>
      <c r="B1121" s="201">
        <v>0</v>
      </c>
      <c r="C1121">
        <v>0</v>
      </c>
      <c r="D1121" s="201">
        <v>0</v>
      </c>
      <c r="E1121" s="20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 s="201">
        <v>0</v>
      </c>
    </row>
    <row r="1122" spans="1:11" x14ac:dyDescent="0.25">
      <c r="A1122"/>
      <c r="B1122" s="201">
        <v>0</v>
      </c>
      <c r="C1122">
        <v>0</v>
      </c>
      <c r="D1122" s="201">
        <v>0</v>
      </c>
      <c r="E1122" s="201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 s="201">
        <v>0</v>
      </c>
    </row>
    <row r="1123" spans="1:11" x14ac:dyDescent="0.25">
      <c r="A1123"/>
      <c r="B1123" s="201">
        <v>0</v>
      </c>
      <c r="C1123">
        <v>0</v>
      </c>
      <c r="D1123" s="201">
        <v>0</v>
      </c>
      <c r="E1123" s="201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 s="201">
        <v>0</v>
      </c>
    </row>
    <row r="1124" spans="1:11" x14ac:dyDescent="0.25">
      <c r="A1124"/>
      <c r="B1124" s="201">
        <v>0</v>
      </c>
      <c r="C1124">
        <v>0</v>
      </c>
      <c r="D1124" s="201">
        <v>0</v>
      </c>
      <c r="E1124" s="201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 s="201">
        <v>0</v>
      </c>
    </row>
    <row r="1125" spans="1:11" x14ac:dyDescent="0.25">
      <c r="A1125"/>
      <c r="B1125" s="201">
        <v>0</v>
      </c>
      <c r="C1125">
        <v>0</v>
      </c>
      <c r="D1125" s="201">
        <v>0</v>
      </c>
      <c r="E1125" s="201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 s="201">
        <v>0</v>
      </c>
    </row>
    <row r="1126" spans="1:11" x14ac:dyDescent="0.25">
      <c r="A1126"/>
      <c r="B1126" s="201">
        <v>0</v>
      </c>
      <c r="C1126">
        <v>0</v>
      </c>
      <c r="D1126" s="201">
        <v>0</v>
      </c>
      <c r="E1126" s="201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 s="201">
        <v>0</v>
      </c>
    </row>
    <row r="1127" spans="1:11" x14ac:dyDescent="0.25">
      <c r="A1127"/>
      <c r="B1127" s="201">
        <v>0</v>
      </c>
      <c r="C1127">
        <v>0</v>
      </c>
      <c r="D1127" s="201">
        <v>0</v>
      </c>
      <c r="E1127" s="201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 s="201">
        <v>0</v>
      </c>
    </row>
    <row r="1128" spans="1:11" x14ac:dyDescent="0.25">
      <c r="A1128"/>
      <c r="B1128" s="201">
        <v>0</v>
      </c>
      <c r="C1128">
        <v>0</v>
      </c>
      <c r="D1128" s="201">
        <v>0</v>
      </c>
      <c r="E1128" s="201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 s="201">
        <v>0</v>
      </c>
    </row>
    <row r="1129" spans="1:11" x14ac:dyDescent="0.25">
      <c r="A1129"/>
      <c r="B1129" s="201">
        <v>0</v>
      </c>
      <c r="C1129">
        <v>0</v>
      </c>
      <c r="D1129" s="201">
        <v>0</v>
      </c>
      <c r="E1129" s="201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 s="201">
        <v>0</v>
      </c>
    </row>
    <row r="1130" spans="1:11" x14ac:dyDescent="0.25">
      <c r="A1130"/>
      <c r="B1130" s="201">
        <v>0</v>
      </c>
      <c r="C1130">
        <v>0</v>
      </c>
      <c r="D1130" s="201">
        <v>0</v>
      </c>
      <c r="E1130" s="201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 s="201">
        <v>0</v>
      </c>
    </row>
    <row r="1131" spans="1:11" x14ac:dyDescent="0.25">
      <c r="A1131"/>
      <c r="B1131" s="201">
        <v>0</v>
      </c>
      <c r="C1131">
        <v>0</v>
      </c>
      <c r="D1131" s="201">
        <v>0</v>
      </c>
      <c r="E1131" s="20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 s="201">
        <v>0</v>
      </c>
    </row>
    <row r="1132" spans="1:11" x14ac:dyDescent="0.25">
      <c r="A1132"/>
      <c r="B1132" s="201">
        <v>0</v>
      </c>
      <c r="C1132">
        <v>0</v>
      </c>
      <c r="D1132" s="201">
        <v>0</v>
      </c>
      <c r="E1132" s="201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 s="201">
        <v>0</v>
      </c>
    </row>
    <row r="1133" spans="1:11" x14ac:dyDescent="0.25">
      <c r="A1133"/>
      <c r="B1133" s="201">
        <v>0</v>
      </c>
      <c r="C1133">
        <v>0</v>
      </c>
      <c r="D1133" s="201">
        <v>0</v>
      </c>
      <c r="E1133" s="201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 s="201">
        <v>0</v>
      </c>
    </row>
    <row r="1134" spans="1:11" x14ac:dyDescent="0.25">
      <c r="A1134"/>
      <c r="B1134" s="201">
        <v>0</v>
      </c>
      <c r="C1134">
        <v>0</v>
      </c>
      <c r="D1134" s="201">
        <v>0</v>
      </c>
      <c r="E1134" s="201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 s="201">
        <v>0</v>
      </c>
    </row>
    <row r="1135" spans="1:11" x14ac:dyDescent="0.25">
      <c r="A1135"/>
      <c r="B1135" s="201">
        <v>0</v>
      </c>
      <c r="C1135">
        <v>0</v>
      </c>
      <c r="D1135" s="201">
        <v>0</v>
      </c>
      <c r="E1135" s="201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 s="201">
        <v>0</v>
      </c>
    </row>
    <row r="1136" spans="1:11" x14ac:dyDescent="0.25">
      <c r="A1136"/>
      <c r="B1136" s="201">
        <v>0</v>
      </c>
      <c r="C1136">
        <v>0</v>
      </c>
      <c r="D1136" s="201">
        <v>0</v>
      </c>
      <c r="E1136" s="201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 s="201">
        <v>0</v>
      </c>
    </row>
    <row r="1137" spans="1:11" x14ac:dyDescent="0.25">
      <c r="A1137"/>
      <c r="B1137" s="201">
        <v>0</v>
      </c>
      <c r="C1137">
        <v>0</v>
      </c>
      <c r="D1137" s="201">
        <v>0</v>
      </c>
      <c r="E1137" s="201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 s="201">
        <v>0</v>
      </c>
    </row>
    <row r="1138" spans="1:11" x14ac:dyDescent="0.25">
      <c r="A1138"/>
      <c r="B1138" s="201">
        <v>0</v>
      </c>
      <c r="C1138">
        <v>0</v>
      </c>
      <c r="D1138" s="201">
        <v>0</v>
      </c>
      <c r="E1138" s="201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 s="201">
        <v>0</v>
      </c>
    </row>
    <row r="1139" spans="1:11" x14ac:dyDescent="0.25">
      <c r="A1139"/>
      <c r="B1139" s="201">
        <v>0</v>
      </c>
      <c r="C1139">
        <v>0</v>
      </c>
      <c r="D1139" s="201">
        <v>0</v>
      </c>
      <c r="E1139" s="201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 s="201">
        <v>0</v>
      </c>
    </row>
    <row r="1140" spans="1:11" x14ac:dyDescent="0.25">
      <c r="A1140"/>
      <c r="B1140" s="201">
        <v>0</v>
      </c>
      <c r="C1140">
        <v>0</v>
      </c>
      <c r="D1140" s="201">
        <v>0</v>
      </c>
      <c r="E1140" s="201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 s="201">
        <v>0</v>
      </c>
    </row>
    <row r="1141" spans="1:11" x14ac:dyDescent="0.25">
      <c r="A1141"/>
      <c r="B1141" s="201">
        <v>0</v>
      </c>
      <c r="C1141">
        <v>0</v>
      </c>
      <c r="D1141" s="201">
        <v>0</v>
      </c>
      <c r="E1141" s="20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 s="201">
        <v>0</v>
      </c>
    </row>
    <row r="1142" spans="1:11" x14ac:dyDescent="0.25">
      <c r="A1142"/>
      <c r="B1142" s="201">
        <v>0</v>
      </c>
      <c r="C1142">
        <v>0</v>
      </c>
      <c r="D1142" s="201">
        <v>0</v>
      </c>
      <c r="E1142" s="201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 s="201">
        <v>0</v>
      </c>
    </row>
    <row r="1143" spans="1:11" x14ac:dyDescent="0.25">
      <c r="A1143"/>
      <c r="B1143" s="201">
        <v>0</v>
      </c>
      <c r="C1143">
        <v>0</v>
      </c>
      <c r="D1143" s="201">
        <v>0</v>
      </c>
      <c r="E1143" s="201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 s="201">
        <v>0</v>
      </c>
    </row>
    <row r="1144" spans="1:11" x14ac:dyDescent="0.25">
      <c r="A1144"/>
      <c r="B1144" s="201">
        <v>0</v>
      </c>
      <c r="C1144">
        <v>0</v>
      </c>
      <c r="D1144" s="201">
        <v>0</v>
      </c>
      <c r="E1144" s="201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 s="201">
        <v>0</v>
      </c>
    </row>
    <row r="1145" spans="1:11" x14ac:dyDescent="0.25">
      <c r="A1145"/>
      <c r="B1145" s="201">
        <v>0</v>
      </c>
      <c r="C1145">
        <v>0</v>
      </c>
      <c r="D1145" s="201">
        <v>0</v>
      </c>
      <c r="E1145" s="201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 s="201">
        <v>0</v>
      </c>
    </row>
    <row r="1146" spans="1:11" x14ac:dyDescent="0.25">
      <c r="A1146"/>
      <c r="B1146" s="201">
        <v>0</v>
      </c>
      <c r="C1146">
        <v>0</v>
      </c>
      <c r="D1146" s="201">
        <v>0</v>
      </c>
      <c r="E1146" s="201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 s="201">
        <v>0</v>
      </c>
    </row>
    <row r="1147" spans="1:11" x14ac:dyDescent="0.25">
      <c r="A1147"/>
      <c r="B1147" s="201">
        <v>0</v>
      </c>
      <c r="C1147">
        <v>0</v>
      </c>
      <c r="D1147" s="201">
        <v>0</v>
      </c>
      <c r="E1147" s="201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 s="201">
        <v>0</v>
      </c>
    </row>
    <row r="1148" spans="1:11" x14ac:dyDescent="0.25">
      <c r="A1148"/>
      <c r="B1148" s="201">
        <v>0</v>
      </c>
      <c r="C1148">
        <v>0</v>
      </c>
      <c r="D1148" s="201">
        <v>0</v>
      </c>
      <c r="E1148" s="201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 s="201">
        <v>0</v>
      </c>
    </row>
    <row r="1149" spans="1:11" x14ac:dyDescent="0.25">
      <c r="A1149"/>
      <c r="B1149" s="201">
        <v>0</v>
      </c>
      <c r="C1149">
        <v>0</v>
      </c>
      <c r="D1149" s="201">
        <v>0</v>
      </c>
      <c r="E1149" s="201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 s="201">
        <v>0</v>
      </c>
    </row>
    <row r="1150" spans="1:11" x14ac:dyDescent="0.25">
      <c r="A1150"/>
      <c r="B1150" s="201">
        <v>0</v>
      </c>
      <c r="C1150">
        <v>0</v>
      </c>
      <c r="D1150" s="201">
        <v>0</v>
      </c>
      <c r="E1150" s="201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 s="201">
        <v>0</v>
      </c>
    </row>
    <row r="1151" spans="1:11" x14ac:dyDescent="0.25">
      <c r="A1151"/>
      <c r="B1151" s="201">
        <v>0</v>
      </c>
      <c r="C1151">
        <v>0</v>
      </c>
      <c r="D1151" s="201">
        <v>0</v>
      </c>
      <c r="E1151" s="20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 s="201">
        <v>0</v>
      </c>
    </row>
    <row r="1152" spans="1:11" x14ac:dyDescent="0.25">
      <c r="A1152"/>
      <c r="B1152" s="201">
        <v>0</v>
      </c>
      <c r="C1152">
        <v>0</v>
      </c>
      <c r="D1152" s="201">
        <v>0</v>
      </c>
      <c r="E1152" s="201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 s="201">
        <v>0</v>
      </c>
    </row>
    <row r="1153" spans="1:11" x14ac:dyDescent="0.25">
      <c r="A1153"/>
      <c r="B1153" s="201">
        <v>0</v>
      </c>
      <c r="C1153">
        <v>0</v>
      </c>
      <c r="D1153" s="201">
        <v>0</v>
      </c>
      <c r="E1153" s="201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 s="201">
        <v>0</v>
      </c>
    </row>
    <row r="1154" spans="1:11" x14ac:dyDescent="0.25">
      <c r="A1154"/>
      <c r="B1154" s="201">
        <v>0</v>
      </c>
      <c r="C1154">
        <v>0</v>
      </c>
      <c r="D1154" s="201">
        <v>0</v>
      </c>
      <c r="E1154" s="201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 s="201">
        <v>0</v>
      </c>
    </row>
    <row r="1155" spans="1:11" x14ac:dyDescent="0.25">
      <c r="A1155"/>
      <c r="B1155" s="201">
        <v>0</v>
      </c>
      <c r="C1155">
        <v>0</v>
      </c>
      <c r="D1155" s="201">
        <v>0</v>
      </c>
      <c r="E1155" s="201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 s="201">
        <v>0</v>
      </c>
    </row>
    <row r="1156" spans="1:11" x14ac:dyDescent="0.25">
      <c r="A1156"/>
      <c r="B1156" s="201">
        <v>0</v>
      </c>
      <c r="C1156">
        <v>0</v>
      </c>
      <c r="D1156" s="201">
        <v>0</v>
      </c>
      <c r="E1156" s="201">
        <v>-100</v>
      </c>
      <c r="F1156">
        <v>-521</v>
      </c>
      <c r="G1156">
        <v>-1077</v>
      </c>
      <c r="H1156">
        <v>-1043</v>
      </c>
      <c r="I1156">
        <v>-1252</v>
      </c>
      <c r="J1156">
        <v>0</v>
      </c>
      <c r="K1156" s="201">
        <v>0</v>
      </c>
    </row>
    <row r="1157" spans="1:11" x14ac:dyDescent="0.25">
      <c r="A1157"/>
      <c r="B1157" s="201">
        <v>-105</v>
      </c>
      <c r="C1157">
        <v>0</v>
      </c>
      <c r="D1157" s="201">
        <v>0</v>
      </c>
      <c r="E1157" s="201">
        <v>0</v>
      </c>
      <c r="F1157">
        <v>127</v>
      </c>
      <c r="G1157">
        <v>-390</v>
      </c>
      <c r="H1157">
        <v>0</v>
      </c>
      <c r="I1157">
        <v>0</v>
      </c>
      <c r="J1157">
        <v>0</v>
      </c>
      <c r="K1157" s="201">
        <v>0</v>
      </c>
    </row>
    <row r="1158" spans="1:11" x14ac:dyDescent="0.25">
      <c r="A1158"/>
      <c r="B1158" s="201">
        <v>0</v>
      </c>
      <c r="C1158">
        <v>0</v>
      </c>
      <c r="D1158" s="201">
        <v>433</v>
      </c>
      <c r="E1158" s="201">
        <v>0</v>
      </c>
      <c r="F1158">
        <v>0</v>
      </c>
      <c r="G1158">
        <v>479</v>
      </c>
      <c r="H1158">
        <v>0</v>
      </c>
      <c r="I1158">
        <v>320</v>
      </c>
      <c r="J1158">
        <v>0</v>
      </c>
      <c r="K1158" s="201">
        <v>574</v>
      </c>
    </row>
    <row r="1159" spans="1:11" x14ac:dyDescent="0.25">
      <c r="A1159"/>
      <c r="B1159" s="201">
        <v>-118</v>
      </c>
      <c r="C1159">
        <v>-547</v>
      </c>
      <c r="D1159" s="201">
        <v>0</v>
      </c>
      <c r="E1159" s="201">
        <v>1046</v>
      </c>
      <c r="F1159">
        <v>-58</v>
      </c>
      <c r="G1159">
        <v>-375</v>
      </c>
      <c r="H1159">
        <v>-790</v>
      </c>
      <c r="I1159">
        <v>-703</v>
      </c>
      <c r="J1159">
        <v>-926</v>
      </c>
      <c r="K1159" s="201">
        <v>0</v>
      </c>
    </row>
    <row r="1160" spans="1:11" x14ac:dyDescent="0.25">
      <c r="A1160"/>
      <c r="B1160" s="201">
        <v>401</v>
      </c>
      <c r="C1160">
        <v>0</v>
      </c>
      <c r="D1160" s="201">
        <v>0</v>
      </c>
      <c r="E1160" s="201">
        <v>0</v>
      </c>
      <c r="F1160">
        <v>0</v>
      </c>
      <c r="G1160">
        <v>0</v>
      </c>
      <c r="H1160">
        <v>2</v>
      </c>
      <c r="I1160">
        <v>0</v>
      </c>
      <c r="J1160">
        <v>0</v>
      </c>
      <c r="K1160" s="201">
        <v>0</v>
      </c>
    </row>
    <row r="1161" spans="1:11" x14ac:dyDescent="0.25">
      <c r="A1161"/>
      <c r="B1161" s="201">
        <v>-483</v>
      </c>
      <c r="C1161">
        <v>0</v>
      </c>
      <c r="D1161" s="201">
        <v>-112</v>
      </c>
      <c r="E1161" s="201">
        <v>0</v>
      </c>
      <c r="F1161">
        <v>0</v>
      </c>
      <c r="G1161">
        <v>0</v>
      </c>
      <c r="H1161">
        <v>0</v>
      </c>
      <c r="I1161">
        <v>0</v>
      </c>
      <c r="J1161">
        <v>1283</v>
      </c>
      <c r="K1161" s="201">
        <v>0</v>
      </c>
    </row>
    <row r="1162" spans="1:11" x14ac:dyDescent="0.25">
      <c r="A1162"/>
      <c r="B1162" s="201">
        <v>-14</v>
      </c>
      <c r="C1162">
        <v>-75</v>
      </c>
      <c r="D1162" s="201">
        <v>0</v>
      </c>
      <c r="E1162" s="201">
        <v>0</v>
      </c>
      <c r="F1162">
        <v>4909</v>
      </c>
      <c r="G1162">
        <v>-2099</v>
      </c>
      <c r="H1162">
        <v>0</v>
      </c>
      <c r="I1162">
        <v>758</v>
      </c>
      <c r="J1162">
        <v>0</v>
      </c>
      <c r="K1162" s="201">
        <v>0</v>
      </c>
    </row>
    <row r="1163" spans="1:11" x14ac:dyDescent="0.25">
      <c r="A1163"/>
      <c r="B1163" s="201">
        <v>0</v>
      </c>
      <c r="C1163">
        <v>0</v>
      </c>
      <c r="D1163" s="201">
        <v>-1776</v>
      </c>
      <c r="E1163" s="201">
        <v>-621</v>
      </c>
      <c r="F1163">
        <v>-62</v>
      </c>
      <c r="G1163">
        <v>0</v>
      </c>
      <c r="H1163">
        <v>0</v>
      </c>
      <c r="I1163">
        <v>944</v>
      </c>
      <c r="J1163">
        <v>572</v>
      </c>
      <c r="K1163" s="201">
        <v>0</v>
      </c>
    </row>
    <row r="1164" spans="1:11" x14ac:dyDescent="0.25">
      <c r="A1164"/>
      <c r="B1164" s="201">
        <v>367</v>
      </c>
      <c r="C1164">
        <v>-313</v>
      </c>
      <c r="D1164" s="201">
        <v>224</v>
      </c>
      <c r="E1164" s="201">
        <v>-408</v>
      </c>
      <c r="F1164">
        <v>184</v>
      </c>
      <c r="G1164">
        <v>902</v>
      </c>
      <c r="H1164">
        <v>567</v>
      </c>
      <c r="I1164">
        <v>0</v>
      </c>
      <c r="J1164">
        <v>0</v>
      </c>
      <c r="K1164" s="201">
        <v>0</v>
      </c>
    </row>
    <row r="1165" spans="1:11" x14ac:dyDescent="0.25">
      <c r="A1165"/>
      <c r="B1165" s="201">
        <v>0</v>
      </c>
      <c r="C1165">
        <v>0</v>
      </c>
      <c r="D1165" s="201">
        <v>2116</v>
      </c>
      <c r="E1165" s="201">
        <v>0</v>
      </c>
      <c r="F1165">
        <v>3016</v>
      </c>
      <c r="G1165">
        <v>266</v>
      </c>
      <c r="H1165">
        <v>-547</v>
      </c>
      <c r="I1165">
        <v>0</v>
      </c>
      <c r="J1165">
        <v>-89976</v>
      </c>
      <c r="K1165" s="201">
        <v>5128</v>
      </c>
    </row>
    <row r="1166" spans="1:11" x14ac:dyDescent="0.25">
      <c r="A1166"/>
      <c r="B1166" s="201">
        <v>291</v>
      </c>
      <c r="C1166">
        <v>-345</v>
      </c>
      <c r="D1166" s="201">
        <v>-147</v>
      </c>
      <c r="E1166" s="201">
        <v>0</v>
      </c>
      <c r="F1166">
        <v>366</v>
      </c>
      <c r="G1166">
        <v>467</v>
      </c>
      <c r="H1166">
        <v>-1360</v>
      </c>
      <c r="I1166">
        <v>2359</v>
      </c>
      <c r="J1166">
        <v>0</v>
      </c>
      <c r="K1166" s="201">
        <v>51</v>
      </c>
    </row>
    <row r="1167" spans="1:11" x14ac:dyDescent="0.25">
      <c r="A1167"/>
      <c r="B1167" s="201">
        <v>-16829</v>
      </c>
      <c r="C1167">
        <v>0</v>
      </c>
      <c r="D1167" s="201">
        <v>0</v>
      </c>
      <c r="E1167" s="201">
        <v>0</v>
      </c>
      <c r="F1167">
        <v>-749</v>
      </c>
      <c r="G1167">
        <v>1572</v>
      </c>
      <c r="H1167">
        <v>0</v>
      </c>
      <c r="I1167">
        <v>1591</v>
      </c>
      <c r="J1167">
        <v>28</v>
      </c>
      <c r="K1167" s="201">
        <v>-990</v>
      </c>
    </row>
    <row r="1168" spans="1:11" x14ac:dyDescent="0.25">
      <c r="A1168"/>
      <c r="B1168" s="201">
        <v>1749</v>
      </c>
      <c r="C1168">
        <v>0</v>
      </c>
      <c r="D1168" s="201">
        <v>0</v>
      </c>
      <c r="E1168" s="201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 s="201">
        <v>0</v>
      </c>
    </row>
    <row r="1169" spans="1:11" x14ac:dyDescent="0.25">
      <c r="A1169"/>
      <c r="B1169" s="201">
        <v>0</v>
      </c>
      <c r="C1169">
        <v>0</v>
      </c>
      <c r="D1169" s="201">
        <v>0</v>
      </c>
      <c r="E1169" s="201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 s="201">
        <v>0</v>
      </c>
    </row>
    <row r="1170" spans="1:11" x14ac:dyDescent="0.25">
      <c r="A1170"/>
      <c r="B1170" s="201">
        <v>0</v>
      </c>
      <c r="C1170">
        <v>0</v>
      </c>
      <c r="D1170" s="201">
        <v>0</v>
      </c>
      <c r="E1170" s="201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 s="201">
        <v>0</v>
      </c>
    </row>
    <row r="1171" spans="1:11" x14ac:dyDescent="0.25">
      <c r="A1171"/>
      <c r="B1171" s="201">
        <v>0</v>
      </c>
      <c r="C1171">
        <v>0</v>
      </c>
      <c r="D1171" s="201">
        <v>0</v>
      </c>
      <c r="E1171" s="20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 s="201">
        <v>0</v>
      </c>
    </row>
    <row r="1172" spans="1:11" x14ac:dyDescent="0.25">
      <c r="A1172"/>
      <c r="B1172" s="201">
        <v>0</v>
      </c>
      <c r="C1172">
        <v>0</v>
      </c>
      <c r="D1172" s="201">
        <v>0</v>
      </c>
      <c r="E1172" s="201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 s="201">
        <v>0</v>
      </c>
    </row>
    <row r="1173" spans="1:11" x14ac:dyDescent="0.25">
      <c r="A1173"/>
      <c r="B1173" s="201">
        <v>0</v>
      </c>
      <c r="C1173">
        <v>0</v>
      </c>
      <c r="D1173" s="201">
        <v>0</v>
      </c>
      <c r="E1173" s="201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 s="201">
        <v>0</v>
      </c>
    </row>
    <row r="1174" spans="1:11" x14ac:dyDescent="0.25">
      <c r="A1174"/>
      <c r="B1174" s="201">
        <v>0</v>
      </c>
      <c r="C1174">
        <v>0</v>
      </c>
      <c r="D1174" s="201">
        <v>0</v>
      </c>
      <c r="E1174" s="201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 s="201">
        <v>0</v>
      </c>
    </row>
    <row r="1175" spans="1:11" x14ac:dyDescent="0.25">
      <c r="A1175"/>
      <c r="B1175" s="201">
        <v>0</v>
      </c>
      <c r="C1175">
        <v>0</v>
      </c>
      <c r="D1175" s="201">
        <v>0</v>
      </c>
      <c r="E1175" s="201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 s="201">
        <v>0</v>
      </c>
    </row>
    <row r="1176" spans="1:11" x14ac:dyDescent="0.25">
      <c r="A1176"/>
      <c r="B1176" s="201">
        <v>0</v>
      </c>
      <c r="C1176">
        <v>0</v>
      </c>
      <c r="D1176" s="201">
        <v>0</v>
      </c>
      <c r="E1176" s="201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 s="201">
        <v>0</v>
      </c>
    </row>
    <row r="1177" spans="1:11" x14ac:dyDescent="0.25">
      <c r="A1177"/>
      <c r="B1177" s="201">
        <v>0</v>
      </c>
      <c r="C1177">
        <v>0</v>
      </c>
      <c r="D1177" s="201">
        <v>0</v>
      </c>
      <c r="E1177" s="201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 s="201">
        <v>0</v>
      </c>
    </row>
    <row r="1178" spans="1:11" x14ac:dyDescent="0.25">
      <c r="A1178"/>
      <c r="B1178" s="201">
        <v>0</v>
      </c>
      <c r="C1178">
        <v>0</v>
      </c>
      <c r="D1178" s="201">
        <v>0</v>
      </c>
      <c r="E1178" s="201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 s="201">
        <v>0</v>
      </c>
    </row>
    <row r="1179" spans="1:11" x14ac:dyDescent="0.25">
      <c r="A1179"/>
      <c r="B1179" s="201">
        <v>0</v>
      </c>
      <c r="C1179">
        <v>0</v>
      </c>
      <c r="D1179" s="201">
        <v>0</v>
      </c>
      <c r="E1179" s="201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 s="201">
        <v>0</v>
      </c>
    </row>
    <row r="1180" spans="1:11" x14ac:dyDescent="0.25">
      <c r="A1180"/>
      <c r="B1180" s="201">
        <v>0</v>
      </c>
      <c r="C1180">
        <v>0</v>
      </c>
      <c r="D1180" s="201">
        <v>0</v>
      </c>
      <c r="E1180" s="201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 s="201">
        <v>0</v>
      </c>
    </row>
    <row r="1181" spans="1:11" x14ac:dyDescent="0.25">
      <c r="A1181"/>
      <c r="B1181" s="201">
        <v>-961</v>
      </c>
      <c r="C1181">
        <v>-5805</v>
      </c>
      <c r="D1181" s="201">
        <v>595</v>
      </c>
      <c r="E1181" s="201">
        <v>158</v>
      </c>
      <c r="F1181">
        <v>182</v>
      </c>
      <c r="G1181">
        <v>0</v>
      </c>
      <c r="H1181">
        <v>0</v>
      </c>
      <c r="I1181">
        <v>-72</v>
      </c>
      <c r="J1181">
        <v>0</v>
      </c>
      <c r="K1181" s="201">
        <v>0</v>
      </c>
    </row>
    <row r="1182" spans="1:11" x14ac:dyDescent="0.25">
      <c r="A1182"/>
      <c r="B1182" s="201">
        <v>0</v>
      </c>
      <c r="C1182">
        <v>-68</v>
      </c>
      <c r="D1182" s="201">
        <v>-46</v>
      </c>
      <c r="E1182" s="201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 s="201">
        <v>623</v>
      </c>
    </row>
    <row r="1183" spans="1:11" x14ac:dyDescent="0.25">
      <c r="A1183"/>
      <c r="B1183" s="201">
        <v>0</v>
      </c>
      <c r="C1183">
        <v>0</v>
      </c>
      <c r="D1183" s="201">
        <v>-56</v>
      </c>
      <c r="E1183" s="201">
        <v>0</v>
      </c>
      <c r="F1183">
        <v>346</v>
      </c>
      <c r="G1183">
        <v>0</v>
      </c>
      <c r="H1183">
        <v>-421</v>
      </c>
      <c r="I1183">
        <v>-97</v>
      </c>
      <c r="J1183">
        <v>190</v>
      </c>
      <c r="K1183" s="201">
        <v>0</v>
      </c>
    </row>
    <row r="1184" spans="1:11" x14ac:dyDescent="0.25">
      <c r="A1184"/>
      <c r="B1184" s="201">
        <v>-133</v>
      </c>
      <c r="C1184">
        <v>-4633</v>
      </c>
      <c r="D1184" s="201">
        <v>82</v>
      </c>
      <c r="E1184" s="201">
        <v>139</v>
      </c>
      <c r="F1184">
        <v>290</v>
      </c>
      <c r="G1184">
        <v>-144</v>
      </c>
      <c r="H1184">
        <v>0</v>
      </c>
      <c r="I1184">
        <v>69</v>
      </c>
      <c r="J1184">
        <v>0</v>
      </c>
      <c r="K1184" s="201">
        <v>0</v>
      </c>
    </row>
    <row r="1185" spans="1:11" x14ac:dyDescent="0.25">
      <c r="A1185"/>
      <c r="B1185" s="201">
        <v>0</v>
      </c>
      <c r="C1185">
        <v>0</v>
      </c>
      <c r="D1185" s="201">
        <v>0</v>
      </c>
      <c r="E1185" s="201">
        <v>56</v>
      </c>
      <c r="F1185">
        <v>0</v>
      </c>
      <c r="G1185">
        <v>0</v>
      </c>
      <c r="H1185">
        <v>0</v>
      </c>
      <c r="I1185">
        <v>60</v>
      </c>
      <c r="J1185">
        <v>0</v>
      </c>
      <c r="K1185" s="201">
        <v>92</v>
      </c>
    </row>
    <row r="1186" spans="1:11" x14ac:dyDescent="0.25">
      <c r="A1186"/>
      <c r="B1186" s="201">
        <v>0</v>
      </c>
      <c r="C1186">
        <v>0</v>
      </c>
      <c r="D1186" s="201">
        <v>0</v>
      </c>
      <c r="E1186" s="201">
        <v>0</v>
      </c>
      <c r="F1186">
        <v>0</v>
      </c>
      <c r="G1186">
        <v>854</v>
      </c>
      <c r="H1186">
        <v>0</v>
      </c>
      <c r="I1186">
        <v>-92</v>
      </c>
      <c r="J1186">
        <v>-244</v>
      </c>
      <c r="K1186" s="201">
        <v>0</v>
      </c>
    </row>
    <row r="1187" spans="1:11" x14ac:dyDescent="0.25">
      <c r="A1187"/>
      <c r="B1187" s="201">
        <v>0</v>
      </c>
      <c r="C1187">
        <v>1904</v>
      </c>
      <c r="D1187" s="201">
        <v>-1532</v>
      </c>
      <c r="E1187" s="201">
        <v>0</v>
      </c>
      <c r="F1187">
        <v>547</v>
      </c>
      <c r="G1187">
        <v>0</v>
      </c>
      <c r="H1187">
        <v>0</v>
      </c>
      <c r="I1187">
        <v>0</v>
      </c>
      <c r="J1187">
        <v>0</v>
      </c>
      <c r="K1187" s="201">
        <v>-886</v>
      </c>
    </row>
    <row r="1188" spans="1:11" x14ac:dyDescent="0.25">
      <c r="A1188"/>
      <c r="B1188" s="201">
        <v>943</v>
      </c>
      <c r="C1188">
        <v>240</v>
      </c>
      <c r="D1188" s="201">
        <v>0</v>
      </c>
      <c r="E1188" s="201">
        <v>0</v>
      </c>
      <c r="F1188">
        <v>-390</v>
      </c>
      <c r="G1188">
        <v>-137</v>
      </c>
      <c r="H1188">
        <v>0</v>
      </c>
      <c r="I1188">
        <v>46</v>
      </c>
      <c r="J1188">
        <v>463</v>
      </c>
      <c r="K1188" s="201">
        <v>-28</v>
      </c>
    </row>
    <row r="1189" spans="1:11" x14ac:dyDescent="0.25">
      <c r="A1189"/>
      <c r="B1189" s="201">
        <v>326</v>
      </c>
      <c r="C1189">
        <v>574</v>
      </c>
      <c r="D1189" s="201">
        <v>314</v>
      </c>
      <c r="E1189" s="201">
        <v>80</v>
      </c>
      <c r="F1189">
        <v>0</v>
      </c>
      <c r="G1189">
        <v>0</v>
      </c>
      <c r="H1189">
        <v>0</v>
      </c>
      <c r="I1189">
        <v>0</v>
      </c>
      <c r="J1189">
        <v>0</v>
      </c>
      <c r="K1189" s="201">
        <v>-1194</v>
      </c>
    </row>
    <row r="1190" spans="1:11" x14ac:dyDescent="0.25">
      <c r="A1190"/>
      <c r="B1190" s="201">
        <v>0</v>
      </c>
      <c r="C1190">
        <v>349</v>
      </c>
      <c r="D1190" s="201">
        <v>481</v>
      </c>
      <c r="E1190" s="201">
        <v>-75</v>
      </c>
      <c r="F1190">
        <v>0</v>
      </c>
      <c r="G1190">
        <v>7133</v>
      </c>
      <c r="H1190">
        <v>-70252</v>
      </c>
      <c r="I1190">
        <v>2878</v>
      </c>
      <c r="J1190">
        <v>1568</v>
      </c>
      <c r="K1190" s="201">
        <v>682</v>
      </c>
    </row>
    <row r="1191" spans="1:11" x14ac:dyDescent="0.25">
      <c r="A1191"/>
      <c r="B1191" s="201">
        <v>0</v>
      </c>
      <c r="C1191">
        <v>1379</v>
      </c>
      <c r="D1191" s="201">
        <v>1054</v>
      </c>
      <c r="E1191" s="201">
        <v>-1398</v>
      </c>
      <c r="F1191">
        <v>794</v>
      </c>
      <c r="G1191">
        <v>0</v>
      </c>
      <c r="H1191">
        <v>-1315</v>
      </c>
      <c r="I1191">
        <v>-14460</v>
      </c>
      <c r="J1191">
        <v>0</v>
      </c>
      <c r="K1191" s="201">
        <v>0</v>
      </c>
    </row>
    <row r="1192" spans="1:11" x14ac:dyDescent="0.25">
      <c r="A1192"/>
      <c r="B1192" s="201">
        <v>0</v>
      </c>
      <c r="C1192">
        <v>-1340</v>
      </c>
      <c r="D1192" s="201">
        <v>2754</v>
      </c>
      <c r="E1192" s="201">
        <v>0</v>
      </c>
      <c r="F1192">
        <v>3254</v>
      </c>
      <c r="G1192">
        <v>679</v>
      </c>
      <c r="H1192">
        <v>-2034</v>
      </c>
      <c r="I1192">
        <v>2447</v>
      </c>
      <c r="J1192">
        <v>0</v>
      </c>
      <c r="K1192" s="201">
        <v>0</v>
      </c>
    </row>
    <row r="1193" spans="1:11" x14ac:dyDescent="0.25">
      <c r="A1193"/>
      <c r="B1193" s="201">
        <v>0</v>
      </c>
      <c r="C1193">
        <v>0</v>
      </c>
      <c r="D1193" s="201">
        <v>0</v>
      </c>
      <c r="E1193" s="201">
        <v>-4488</v>
      </c>
      <c r="F1193">
        <v>0</v>
      </c>
      <c r="G1193">
        <v>-2273</v>
      </c>
      <c r="H1193">
        <v>-337</v>
      </c>
      <c r="I1193">
        <v>-399</v>
      </c>
      <c r="J1193">
        <v>-113</v>
      </c>
      <c r="K1193" s="201">
        <v>-85</v>
      </c>
    </row>
    <row r="1194" spans="1:11" x14ac:dyDescent="0.25">
      <c r="A1194"/>
      <c r="B1194" s="201">
        <v>0</v>
      </c>
      <c r="C1194">
        <v>0</v>
      </c>
      <c r="D1194" s="201">
        <v>-123</v>
      </c>
      <c r="E1194" s="201">
        <v>0</v>
      </c>
      <c r="F1194">
        <v>0</v>
      </c>
      <c r="G1194">
        <v>0</v>
      </c>
      <c r="H1194">
        <v>-134</v>
      </c>
      <c r="I1194">
        <v>247</v>
      </c>
      <c r="J1194">
        <v>0</v>
      </c>
      <c r="K1194" s="201">
        <v>0</v>
      </c>
    </row>
    <row r="1195" spans="1:11" x14ac:dyDescent="0.25">
      <c r="A1195"/>
      <c r="B1195" s="201">
        <v>0</v>
      </c>
      <c r="C1195">
        <v>0</v>
      </c>
      <c r="D1195" s="201">
        <v>0</v>
      </c>
      <c r="E1195" s="201">
        <v>0</v>
      </c>
      <c r="F1195">
        <v>-52</v>
      </c>
      <c r="G1195">
        <v>0</v>
      </c>
      <c r="H1195">
        <v>0</v>
      </c>
      <c r="I1195">
        <v>51</v>
      </c>
      <c r="J1195">
        <v>0</v>
      </c>
      <c r="K1195" s="201">
        <v>-69</v>
      </c>
    </row>
    <row r="1196" spans="1:11" x14ac:dyDescent="0.25">
      <c r="A1196"/>
      <c r="B1196" s="201">
        <v>0</v>
      </c>
      <c r="C1196">
        <v>19</v>
      </c>
      <c r="D1196" s="201">
        <v>2708</v>
      </c>
      <c r="E1196" s="201">
        <v>64</v>
      </c>
      <c r="F1196">
        <v>0</v>
      </c>
      <c r="G1196">
        <v>-926</v>
      </c>
      <c r="H1196">
        <v>-257</v>
      </c>
      <c r="I1196">
        <v>-204</v>
      </c>
      <c r="J1196">
        <v>-80</v>
      </c>
      <c r="K1196" s="201">
        <v>163</v>
      </c>
    </row>
    <row r="1197" spans="1:11" x14ac:dyDescent="0.25">
      <c r="A1197"/>
      <c r="B1197" s="201">
        <v>24</v>
      </c>
      <c r="C1197">
        <v>0</v>
      </c>
      <c r="D1197" s="201">
        <v>39</v>
      </c>
      <c r="E1197" s="201">
        <v>0</v>
      </c>
      <c r="F1197">
        <v>0</v>
      </c>
      <c r="G1197">
        <v>0</v>
      </c>
      <c r="H1197">
        <v>0</v>
      </c>
      <c r="I1197">
        <v>0</v>
      </c>
      <c r="J1197">
        <v>54</v>
      </c>
      <c r="K1197" s="201">
        <v>0</v>
      </c>
    </row>
    <row r="1198" spans="1:11" x14ac:dyDescent="0.25">
      <c r="A1198"/>
      <c r="B1198" s="201">
        <v>0</v>
      </c>
      <c r="C1198">
        <v>0</v>
      </c>
      <c r="D1198" s="201">
        <v>55</v>
      </c>
      <c r="E1198" s="201">
        <v>0</v>
      </c>
      <c r="F1198">
        <v>19</v>
      </c>
      <c r="G1198">
        <v>0</v>
      </c>
      <c r="H1198">
        <v>0</v>
      </c>
      <c r="I1198">
        <v>0</v>
      </c>
      <c r="J1198">
        <v>0</v>
      </c>
      <c r="K1198" s="201">
        <v>0</v>
      </c>
    </row>
    <row r="1199" spans="1:11" x14ac:dyDescent="0.25">
      <c r="A1199"/>
      <c r="B1199" s="201">
        <v>61</v>
      </c>
      <c r="C1199">
        <v>0</v>
      </c>
      <c r="D1199" s="201">
        <v>-14</v>
      </c>
      <c r="E1199" s="201">
        <v>1777</v>
      </c>
      <c r="F1199">
        <v>0</v>
      </c>
      <c r="G1199">
        <v>0</v>
      </c>
      <c r="H1199">
        <v>-486</v>
      </c>
      <c r="I1199">
        <v>-279</v>
      </c>
      <c r="J1199">
        <v>0</v>
      </c>
      <c r="K1199" s="201">
        <v>-134</v>
      </c>
    </row>
    <row r="1200" spans="1:11" x14ac:dyDescent="0.25">
      <c r="A1200"/>
      <c r="B1200" s="201">
        <v>0</v>
      </c>
      <c r="C1200">
        <v>0</v>
      </c>
      <c r="D1200" s="201">
        <v>0</v>
      </c>
      <c r="E1200" s="201">
        <v>0</v>
      </c>
      <c r="F1200">
        <v>158</v>
      </c>
      <c r="G1200">
        <v>865</v>
      </c>
      <c r="H1200">
        <v>199</v>
      </c>
      <c r="I1200">
        <v>0</v>
      </c>
      <c r="J1200">
        <v>0</v>
      </c>
      <c r="K1200" s="201">
        <v>-258</v>
      </c>
    </row>
    <row r="1201" spans="1:11" x14ac:dyDescent="0.25">
      <c r="A1201"/>
      <c r="B1201" s="201">
        <v>227</v>
      </c>
      <c r="C1201">
        <v>0</v>
      </c>
      <c r="D1201" s="201">
        <v>482</v>
      </c>
      <c r="E1201" s="201">
        <v>175</v>
      </c>
      <c r="F1201">
        <v>114</v>
      </c>
      <c r="G1201">
        <v>130</v>
      </c>
      <c r="H1201">
        <v>136</v>
      </c>
      <c r="I1201">
        <v>153</v>
      </c>
      <c r="J1201">
        <v>-273</v>
      </c>
      <c r="K1201" s="201">
        <v>0</v>
      </c>
    </row>
    <row r="1202" spans="1:11" x14ac:dyDescent="0.25">
      <c r="A1202"/>
      <c r="B1202" s="201">
        <v>0</v>
      </c>
      <c r="C1202">
        <v>0</v>
      </c>
      <c r="D1202" s="201">
        <v>0</v>
      </c>
      <c r="E1202" s="201">
        <v>0</v>
      </c>
      <c r="F1202">
        <v>499</v>
      </c>
      <c r="G1202">
        <v>0</v>
      </c>
      <c r="H1202">
        <v>159</v>
      </c>
      <c r="I1202">
        <v>-7754</v>
      </c>
      <c r="J1202">
        <v>921</v>
      </c>
      <c r="K1202" s="201">
        <v>0</v>
      </c>
    </row>
    <row r="1203" spans="1:11" x14ac:dyDescent="0.25">
      <c r="A1203"/>
      <c r="B1203" s="201">
        <v>-4244</v>
      </c>
      <c r="C1203">
        <v>-2656</v>
      </c>
      <c r="D1203" s="201">
        <v>134</v>
      </c>
      <c r="E1203" s="201">
        <v>-442</v>
      </c>
      <c r="F1203">
        <v>-1126</v>
      </c>
      <c r="G1203">
        <v>0</v>
      </c>
      <c r="H1203">
        <v>957</v>
      </c>
      <c r="I1203">
        <v>1829</v>
      </c>
      <c r="J1203">
        <v>432</v>
      </c>
      <c r="K1203" s="201">
        <v>-7868</v>
      </c>
    </row>
    <row r="1204" spans="1:11" x14ac:dyDescent="0.25">
      <c r="A1204"/>
      <c r="B1204" s="201">
        <v>0</v>
      </c>
      <c r="C1204">
        <v>214</v>
      </c>
      <c r="D1204" s="201">
        <v>4072</v>
      </c>
      <c r="E1204" s="201">
        <v>0</v>
      </c>
      <c r="F1204">
        <v>0</v>
      </c>
      <c r="G1204">
        <v>0</v>
      </c>
      <c r="H1204">
        <v>-827</v>
      </c>
      <c r="I1204">
        <v>640</v>
      </c>
      <c r="J1204">
        <v>0</v>
      </c>
      <c r="K1204" s="201">
        <v>933</v>
      </c>
    </row>
    <row r="1205" spans="1:11" x14ac:dyDescent="0.25">
      <c r="A1205"/>
      <c r="B1205" s="201">
        <v>-554</v>
      </c>
      <c r="C1205">
        <v>769</v>
      </c>
      <c r="D1205" s="201">
        <v>2157</v>
      </c>
      <c r="E1205" s="201">
        <v>0</v>
      </c>
      <c r="F1205">
        <v>0</v>
      </c>
      <c r="G1205">
        <v>0</v>
      </c>
      <c r="H1205">
        <v>0</v>
      </c>
      <c r="I1205">
        <v>0</v>
      </c>
      <c r="J1205">
        <v>-582</v>
      </c>
      <c r="K1205" s="201">
        <v>0</v>
      </c>
    </row>
    <row r="1206" spans="1:11" x14ac:dyDescent="0.25">
      <c r="B1206" s="201">
        <v>-679</v>
      </c>
      <c r="C1206">
        <v>-939</v>
      </c>
      <c r="D1206" s="201">
        <v>-203</v>
      </c>
      <c r="E1206" s="201">
        <v>95</v>
      </c>
      <c r="F1206">
        <v>-113</v>
      </c>
      <c r="G1206">
        <v>-402</v>
      </c>
      <c r="H1206">
        <v>0</v>
      </c>
      <c r="I1206">
        <v>0</v>
      </c>
      <c r="J1206">
        <v>-39</v>
      </c>
      <c r="K1206" s="201">
        <v>0</v>
      </c>
    </row>
    <row r="1207" spans="1:11" x14ac:dyDescent="0.25">
      <c r="A1207"/>
      <c r="B1207" s="201">
        <v>0</v>
      </c>
      <c r="C1207">
        <v>0</v>
      </c>
      <c r="D1207" s="201">
        <v>-5</v>
      </c>
      <c r="E1207" s="201">
        <v>98</v>
      </c>
      <c r="F1207">
        <v>0</v>
      </c>
      <c r="G1207">
        <v>0</v>
      </c>
      <c r="H1207">
        <v>0</v>
      </c>
      <c r="I1207">
        <v>0</v>
      </c>
      <c r="J1207">
        <v>0</v>
      </c>
      <c r="K1207" s="201">
        <v>0</v>
      </c>
    </row>
    <row r="1208" spans="1:11" x14ac:dyDescent="0.25">
      <c r="A1208"/>
      <c r="B1208" s="201">
        <v>36</v>
      </c>
      <c r="C1208">
        <v>0</v>
      </c>
      <c r="D1208" s="201">
        <v>0</v>
      </c>
      <c r="E1208" s="201">
        <v>11</v>
      </c>
      <c r="F1208">
        <v>0</v>
      </c>
      <c r="G1208">
        <v>-37</v>
      </c>
      <c r="H1208">
        <v>0</v>
      </c>
      <c r="I1208">
        <v>-84</v>
      </c>
      <c r="J1208">
        <v>-420</v>
      </c>
      <c r="K1208" s="201">
        <v>3077</v>
      </c>
    </row>
    <row r="1209" spans="1:11" x14ac:dyDescent="0.25">
      <c r="A1209"/>
      <c r="B1209" s="201">
        <v>0</v>
      </c>
      <c r="C1209">
        <v>-205</v>
      </c>
      <c r="D1209" s="201">
        <v>-88</v>
      </c>
      <c r="E1209" s="201">
        <v>-72</v>
      </c>
      <c r="F1209">
        <v>-195</v>
      </c>
      <c r="G1209">
        <v>-118</v>
      </c>
      <c r="H1209">
        <v>-147</v>
      </c>
      <c r="I1209">
        <v>0</v>
      </c>
      <c r="J1209">
        <v>-145</v>
      </c>
      <c r="K1209" s="201">
        <v>0</v>
      </c>
    </row>
    <row r="1210" spans="1:11" x14ac:dyDescent="0.25">
      <c r="A1210"/>
      <c r="B1210" s="201">
        <v>0</v>
      </c>
      <c r="C1210">
        <v>0</v>
      </c>
      <c r="D1210" s="201">
        <v>0</v>
      </c>
      <c r="E1210" s="201">
        <v>0</v>
      </c>
      <c r="F1210">
        <v>18</v>
      </c>
      <c r="G1210">
        <v>0</v>
      </c>
      <c r="H1210">
        <v>0</v>
      </c>
      <c r="I1210">
        <v>0</v>
      </c>
      <c r="J1210">
        <v>5</v>
      </c>
      <c r="K1210" s="201">
        <v>0</v>
      </c>
    </row>
    <row r="1211" spans="1:11" x14ac:dyDescent="0.25">
      <c r="A1211"/>
      <c r="B1211" s="201">
        <v>-3</v>
      </c>
      <c r="C1211">
        <v>0</v>
      </c>
      <c r="D1211" s="201">
        <v>0</v>
      </c>
      <c r="E1211" s="201">
        <v>0</v>
      </c>
      <c r="F1211">
        <v>0</v>
      </c>
      <c r="G1211">
        <v>0</v>
      </c>
      <c r="H1211">
        <v>98</v>
      </c>
      <c r="I1211">
        <v>0</v>
      </c>
      <c r="J1211">
        <v>-20</v>
      </c>
      <c r="K1211" s="201">
        <v>429</v>
      </c>
    </row>
    <row r="1212" spans="1:11" x14ac:dyDescent="0.25">
      <c r="A1212"/>
      <c r="B1212" s="201">
        <v>0</v>
      </c>
      <c r="C1212">
        <v>0</v>
      </c>
      <c r="D1212" s="201">
        <v>-55</v>
      </c>
      <c r="E1212" s="201">
        <v>109</v>
      </c>
      <c r="F1212">
        <v>0</v>
      </c>
      <c r="G1212">
        <v>-459</v>
      </c>
      <c r="H1212">
        <v>0</v>
      </c>
      <c r="I1212">
        <v>0</v>
      </c>
      <c r="J1212">
        <v>0</v>
      </c>
      <c r="K1212" s="201">
        <v>0</v>
      </c>
    </row>
    <row r="1213" spans="1:11" x14ac:dyDescent="0.25">
      <c r="A1213"/>
      <c r="B1213" s="201">
        <v>1156</v>
      </c>
      <c r="C1213">
        <v>-536</v>
      </c>
      <c r="D1213" s="201">
        <v>-54</v>
      </c>
      <c r="E1213" s="201">
        <v>0</v>
      </c>
      <c r="F1213">
        <v>0</v>
      </c>
      <c r="G1213">
        <v>131</v>
      </c>
      <c r="H1213">
        <v>-363</v>
      </c>
      <c r="I1213">
        <v>0</v>
      </c>
      <c r="J1213">
        <v>-97</v>
      </c>
      <c r="K1213" s="201">
        <v>-589</v>
      </c>
    </row>
    <row r="1214" spans="1:11" x14ac:dyDescent="0.25">
      <c r="A1214"/>
      <c r="B1214" s="201">
        <v>289</v>
      </c>
      <c r="C1214">
        <v>297</v>
      </c>
      <c r="D1214" s="201">
        <v>406</v>
      </c>
      <c r="E1214" s="201">
        <v>190</v>
      </c>
      <c r="F1214">
        <v>-332</v>
      </c>
      <c r="G1214">
        <v>0</v>
      </c>
      <c r="H1214">
        <v>0</v>
      </c>
      <c r="I1214">
        <v>0</v>
      </c>
      <c r="J1214">
        <v>0</v>
      </c>
      <c r="K1214" s="201">
        <v>0</v>
      </c>
    </row>
    <row r="1215" spans="1:11" x14ac:dyDescent="0.25">
      <c r="A1215"/>
      <c r="B1215" s="201">
        <v>642</v>
      </c>
      <c r="C1215">
        <v>0</v>
      </c>
      <c r="D1215" s="201">
        <v>308</v>
      </c>
      <c r="E1215" s="201">
        <v>1046</v>
      </c>
      <c r="F1215">
        <v>-7316</v>
      </c>
      <c r="G1215">
        <v>0</v>
      </c>
      <c r="H1215">
        <v>-5780</v>
      </c>
      <c r="I1215">
        <v>-5934</v>
      </c>
      <c r="J1215">
        <v>1832</v>
      </c>
      <c r="K1215" s="201">
        <v>1010</v>
      </c>
    </row>
    <row r="1216" spans="1:11" x14ac:dyDescent="0.25">
      <c r="A1216"/>
      <c r="B1216" s="201">
        <v>1088</v>
      </c>
      <c r="C1216">
        <v>0</v>
      </c>
      <c r="D1216" s="201">
        <v>-9935</v>
      </c>
      <c r="E1216" s="201">
        <v>-15489</v>
      </c>
      <c r="F1216">
        <v>-17476</v>
      </c>
      <c r="G1216">
        <v>6905</v>
      </c>
      <c r="H1216">
        <v>0</v>
      </c>
      <c r="I1216">
        <v>-1375</v>
      </c>
      <c r="J1216">
        <v>6200</v>
      </c>
      <c r="K1216" s="201">
        <v>0</v>
      </c>
    </row>
    <row r="1217" spans="1:11" x14ac:dyDescent="0.25">
      <c r="A1217"/>
      <c r="B1217" s="201">
        <v>0</v>
      </c>
      <c r="C1217">
        <v>0</v>
      </c>
      <c r="D1217" s="201">
        <v>1152</v>
      </c>
      <c r="E1217" s="201">
        <v>2937</v>
      </c>
      <c r="F1217">
        <v>0</v>
      </c>
      <c r="G1217">
        <v>-5636</v>
      </c>
      <c r="H1217">
        <v>-7876</v>
      </c>
      <c r="I1217">
        <v>-3448</v>
      </c>
      <c r="J1217">
        <v>-516</v>
      </c>
      <c r="K1217" s="201">
        <v>0</v>
      </c>
    </row>
    <row r="1218" spans="1:11" x14ac:dyDescent="0.25">
      <c r="A1218"/>
      <c r="B1218" s="201">
        <v>0</v>
      </c>
      <c r="C1218">
        <v>0</v>
      </c>
      <c r="D1218" s="201">
        <v>0</v>
      </c>
      <c r="E1218" s="201">
        <v>0</v>
      </c>
      <c r="F1218">
        <v>-193</v>
      </c>
      <c r="G1218">
        <v>0</v>
      </c>
      <c r="H1218">
        <v>1588</v>
      </c>
      <c r="I1218">
        <v>-8619</v>
      </c>
      <c r="J1218">
        <v>0</v>
      </c>
      <c r="K1218" s="201">
        <v>0</v>
      </c>
    </row>
    <row r="1219" spans="1:11" x14ac:dyDescent="0.25">
      <c r="A1219"/>
      <c r="B1219" s="201">
        <v>0</v>
      </c>
      <c r="C1219">
        <v>0</v>
      </c>
      <c r="D1219" s="201">
        <v>0</v>
      </c>
      <c r="E1219" s="201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 s="201">
        <v>0</v>
      </c>
    </row>
    <row r="1220" spans="1:11" x14ac:dyDescent="0.25">
      <c r="A1220"/>
      <c r="B1220" s="201">
        <v>0</v>
      </c>
      <c r="C1220">
        <v>0</v>
      </c>
      <c r="D1220" s="201">
        <v>0</v>
      </c>
      <c r="E1220" s="201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 s="201">
        <v>0</v>
      </c>
    </row>
    <row r="1221" spans="1:11" x14ac:dyDescent="0.25">
      <c r="A1221"/>
      <c r="B1221" s="201">
        <v>0</v>
      </c>
      <c r="C1221">
        <v>0</v>
      </c>
      <c r="D1221" s="201">
        <v>0</v>
      </c>
      <c r="E1221" s="20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 s="201">
        <v>0</v>
      </c>
    </row>
    <row r="1222" spans="1:11" x14ac:dyDescent="0.25">
      <c r="A1222"/>
      <c r="B1222" s="201">
        <v>0</v>
      </c>
      <c r="C1222">
        <v>0</v>
      </c>
      <c r="D1222" s="201">
        <v>0</v>
      </c>
      <c r="E1222" s="201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 s="201">
        <v>0</v>
      </c>
    </row>
    <row r="1223" spans="1:11" x14ac:dyDescent="0.25">
      <c r="A1223"/>
      <c r="B1223" s="201">
        <v>0</v>
      </c>
      <c r="C1223">
        <v>0</v>
      </c>
      <c r="D1223" s="201">
        <v>0</v>
      </c>
      <c r="E1223" s="201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 s="201">
        <v>0</v>
      </c>
    </row>
    <row r="1224" spans="1:11" x14ac:dyDescent="0.25">
      <c r="A1224"/>
      <c r="B1224" s="201">
        <v>0</v>
      </c>
      <c r="C1224">
        <v>0</v>
      </c>
      <c r="D1224" s="201">
        <v>0</v>
      </c>
      <c r="E1224" s="201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 s="201">
        <v>0</v>
      </c>
    </row>
    <row r="1225" spans="1:11" x14ac:dyDescent="0.25">
      <c r="A1225"/>
      <c r="B1225" s="201">
        <v>0</v>
      </c>
      <c r="C1225">
        <v>0</v>
      </c>
      <c r="D1225" s="201">
        <v>0</v>
      </c>
      <c r="E1225" s="201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 s="201">
        <v>0</v>
      </c>
    </row>
    <row r="1226" spans="1:11" x14ac:dyDescent="0.25">
      <c r="A1226"/>
      <c r="B1226" s="201">
        <v>0</v>
      </c>
      <c r="C1226">
        <v>0</v>
      </c>
      <c r="D1226" s="201">
        <v>0</v>
      </c>
      <c r="E1226" s="201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 s="201">
        <v>0</v>
      </c>
    </row>
    <row r="1227" spans="1:11" x14ac:dyDescent="0.25">
      <c r="A1227"/>
      <c r="B1227" s="201">
        <v>0</v>
      </c>
      <c r="C1227">
        <v>0</v>
      </c>
      <c r="D1227" s="201">
        <v>0</v>
      </c>
      <c r="E1227" s="201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 s="201">
        <v>0</v>
      </c>
    </row>
    <row r="1228" spans="1:11" x14ac:dyDescent="0.25">
      <c r="A1228"/>
      <c r="B1228" s="201">
        <v>0</v>
      </c>
      <c r="C1228">
        <v>0</v>
      </c>
      <c r="D1228" s="201">
        <v>0</v>
      </c>
      <c r="E1228" s="201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 s="201">
        <v>0</v>
      </c>
    </row>
    <row r="1229" spans="1:11" x14ac:dyDescent="0.25">
      <c r="A1229"/>
      <c r="B1229" s="201">
        <v>0</v>
      </c>
      <c r="C1229">
        <v>0</v>
      </c>
      <c r="D1229" s="201">
        <v>0</v>
      </c>
      <c r="E1229" s="201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 s="201">
        <v>0</v>
      </c>
    </row>
    <row r="1230" spans="1:11" x14ac:dyDescent="0.25">
      <c r="A1230"/>
      <c r="B1230" s="201">
        <v>0</v>
      </c>
      <c r="C1230">
        <v>0</v>
      </c>
      <c r="D1230" s="201">
        <v>0</v>
      </c>
      <c r="E1230" s="201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 s="201">
        <v>0</v>
      </c>
    </row>
    <row r="1231" spans="1:11" x14ac:dyDescent="0.25">
      <c r="A1231"/>
      <c r="B1231" s="201">
        <v>0</v>
      </c>
      <c r="C1231">
        <v>0</v>
      </c>
      <c r="D1231" s="201">
        <v>0</v>
      </c>
      <c r="E1231" s="201">
        <v>0</v>
      </c>
      <c r="F1231">
        <v>0</v>
      </c>
      <c r="G1231">
        <v>0</v>
      </c>
      <c r="H1231">
        <v>2083</v>
      </c>
      <c r="I1231">
        <v>982</v>
      </c>
      <c r="J1231">
        <v>896</v>
      </c>
      <c r="K1231" s="201">
        <v>391</v>
      </c>
    </row>
    <row r="1232" spans="1:11" x14ac:dyDescent="0.25">
      <c r="A1232"/>
      <c r="B1232" s="201">
        <v>703</v>
      </c>
      <c r="C1232">
        <v>0</v>
      </c>
      <c r="D1232" s="201">
        <v>0</v>
      </c>
      <c r="E1232" s="201">
        <v>98</v>
      </c>
      <c r="F1232">
        <v>0</v>
      </c>
      <c r="G1232">
        <v>0</v>
      </c>
      <c r="H1232">
        <v>0</v>
      </c>
      <c r="I1232">
        <v>-139</v>
      </c>
      <c r="J1232">
        <v>142</v>
      </c>
      <c r="K1232" s="201">
        <v>0</v>
      </c>
    </row>
    <row r="1233" spans="1:11" x14ac:dyDescent="0.25">
      <c r="A1233"/>
      <c r="B1233" s="201">
        <v>0</v>
      </c>
      <c r="C1233">
        <v>0</v>
      </c>
      <c r="D1233" s="201">
        <v>0</v>
      </c>
      <c r="E1233" s="201">
        <v>0</v>
      </c>
      <c r="F1233">
        <v>0</v>
      </c>
      <c r="G1233">
        <v>-554</v>
      </c>
      <c r="H1233">
        <v>0</v>
      </c>
      <c r="I1233">
        <v>0</v>
      </c>
      <c r="J1233">
        <v>-148</v>
      </c>
      <c r="K1233" s="201">
        <v>0</v>
      </c>
    </row>
    <row r="1234" spans="1:11" x14ac:dyDescent="0.25">
      <c r="A1234"/>
      <c r="B1234" s="201">
        <v>-454</v>
      </c>
      <c r="C1234">
        <v>0</v>
      </c>
      <c r="D1234" s="201">
        <v>-460</v>
      </c>
      <c r="E1234" s="201">
        <v>-667</v>
      </c>
      <c r="F1234">
        <v>-55</v>
      </c>
      <c r="G1234">
        <v>0</v>
      </c>
      <c r="H1234">
        <v>571</v>
      </c>
      <c r="I1234">
        <v>507</v>
      </c>
      <c r="J1234">
        <v>-336</v>
      </c>
      <c r="K1234" s="201">
        <v>-7</v>
      </c>
    </row>
    <row r="1235" spans="1:11" x14ac:dyDescent="0.25">
      <c r="A1235"/>
      <c r="B1235" s="201">
        <v>1519</v>
      </c>
      <c r="C1235">
        <v>2371</v>
      </c>
      <c r="D1235" s="201">
        <v>0</v>
      </c>
      <c r="E1235" s="201">
        <v>-291</v>
      </c>
      <c r="F1235">
        <v>0</v>
      </c>
      <c r="G1235">
        <v>0</v>
      </c>
      <c r="H1235">
        <v>0</v>
      </c>
      <c r="I1235">
        <v>0</v>
      </c>
      <c r="J1235">
        <v>0</v>
      </c>
      <c r="K1235" s="201">
        <v>-50</v>
      </c>
    </row>
    <row r="1236" spans="1:11" x14ac:dyDescent="0.25">
      <c r="A1236"/>
      <c r="B1236" s="201">
        <v>0</v>
      </c>
      <c r="C1236">
        <v>0</v>
      </c>
      <c r="D1236" s="201">
        <v>0</v>
      </c>
      <c r="E1236" s="201">
        <v>363</v>
      </c>
      <c r="F1236">
        <v>0</v>
      </c>
      <c r="G1236">
        <v>-27</v>
      </c>
      <c r="H1236">
        <v>0</v>
      </c>
      <c r="I1236">
        <v>0</v>
      </c>
      <c r="J1236">
        <v>0</v>
      </c>
      <c r="K1236" s="201">
        <v>0</v>
      </c>
    </row>
    <row r="1237" spans="1:11" x14ac:dyDescent="0.25">
      <c r="A1237"/>
      <c r="B1237" s="201">
        <v>0</v>
      </c>
      <c r="C1237">
        <v>-965</v>
      </c>
      <c r="D1237" s="201">
        <v>0</v>
      </c>
      <c r="E1237" s="201">
        <v>510</v>
      </c>
      <c r="F1237">
        <v>-1487</v>
      </c>
      <c r="G1237">
        <v>0</v>
      </c>
      <c r="H1237">
        <v>0</v>
      </c>
      <c r="I1237">
        <v>1804</v>
      </c>
      <c r="J1237">
        <v>1556</v>
      </c>
      <c r="K1237" s="201">
        <v>0</v>
      </c>
    </row>
    <row r="1238" spans="1:11" x14ac:dyDescent="0.25">
      <c r="A1238"/>
      <c r="B1238" s="201">
        <v>519</v>
      </c>
      <c r="C1238">
        <v>0</v>
      </c>
      <c r="D1238" s="201">
        <v>0</v>
      </c>
      <c r="E1238" s="201">
        <v>0</v>
      </c>
      <c r="F1238">
        <v>0</v>
      </c>
      <c r="G1238">
        <v>617</v>
      </c>
      <c r="H1238">
        <v>870</v>
      </c>
      <c r="I1238">
        <v>249</v>
      </c>
      <c r="J1238">
        <v>0</v>
      </c>
      <c r="K1238" s="201">
        <v>0</v>
      </c>
    </row>
    <row r="1239" spans="1:11" x14ac:dyDescent="0.25">
      <c r="A1239"/>
      <c r="B1239" s="201">
        <v>-270</v>
      </c>
      <c r="C1239">
        <v>-425</v>
      </c>
      <c r="D1239" s="201">
        <v>0</v>
      </c>
      <c r="E1239" s="201">
        <v>-123</v>
      </c>
      <c r="F1239">
        <v>216</v>
      </c>
      <c r="G1239">
        <v>-173</v>
      </c>
      <c r="H1239">
        <v>278</v>
      </c>
      <c r="I1239">
        <v>-170</v>
      </c>
      <c r="J1239">
        <v>-429</v>
      </c>
      <c r="K1239" s="201">
        <v>38</v>
      </c>
    </row>
    <row r="1240" spans="1:11" x14ac:dyDescent="0.25">
      <c r="A1240"/>
      <c r="B1240" s="201">
        <v>0</v>
      </c>
      <c r="C1240">
        <v>0</v>
      </c>
      <c r="D1240" s="201">
        <v>0</v>
      </c>
      <c r="E1240" s="201">
        <v>0</v>
      </c>
      <c r="F1240">
        <v>0</v>
      </c>
      <c r="G1240">
        <v>1867</v>
      </c>
      <c r="H1240">
        <v>0</v>
      </c>
      <c r="I1240">
        <v>-1841</v>
      </c>
      <c r="J1240">
        <v>-279</v>
      </c>
      <c r="K1240" s="201">
        <v>519</v>
      </c>
    </row>
    <row r="1241" spans="1:11" x14ac:dyDescent="0.25">
      <c r="A1241"/>
      <c r="B1241" s="201">
        <v>0</v>
      </c>
      <c r="C1241">
        <v>7396</v>
      </c>
      <c r="D1241" s="201">
        <v>-4757</v>
      </c>
      <c r="E1241" s="201">
        <v>1106</v>
      </c>
      <c r="F1241">
        <v>1752</v>
      </c>
      <c r="G1241">
        <v>1133</v>
      </c>
      <c r="H1241">
        <v>0</v>
      </c>
      <c r="I1241">
        <v>-76</v>
      </c>
      <c r="J1241">
        <v>638</v>
      </c>
      <c r="K1241" s="201">
        <v>-1239</v>
      </c>
    </row>
    <row r="1242" spans="1:11" x14ac:dyDescent="0.25">
      <c r="A1242"/>
      <c r="B1242" s="201">
        <v>931</v>
      </c>
      <c r="C1242">
        <v>0</v>
      </c>
      <c r="D1242" s="201">
        <v>-122</v>
      </c>
      <c r="E1242" s="201">
        <v>-1049</v>
      </c>
      <c r="F1242">
        <v>0</v>
      </c>
      <c r="G1242">
        <v>0</v>
      </c>
      <c r="H1242">
        <v>0</v>
      </c>
      <c r="I1242">
        <v>-187</v>
      </c>
      <c r="J1242">
        <v>139</v>
      </c>
      <c r="K1242" s="201">
        <v>0</v>
      </c>
    </row>
    <row r="1243" spans="1:11" x14ac:dyDescent="0.25">
      <c r="A1243"/>
      <c r="B1243" s="201">
        <v>312</v>
      </c>
      <c r="C1243">
        <v>-117</v>
      </c>
      <c r="D1243" s="201">
        <v>-102</v>
      </c>
      <c r="E1243" s="201">
        <v>537</v>
      </c>
      <c r="F1243">
        <v>0</v>
      </c>
      <c r="G1243">
        <v>0</v>
      </c>
      <c r="H1243">
        <v>0</v>
      </c>
      <c r="I1243">
        <v>0</v>
      </c>
      <c r="J1243">
        <v>0</v>
      </c>
      <c r="K1243" s="201">
        <v>-4121</v>
      </c>
    </row>
    <row r="1244" spans="1:11" x14ac:dyDescent="0.25">
      <c r="A1244"/>
      <c r="B1244" s="201">
        <v>0</v>
      </c>
      <c r="C1244">
        <v>6861</v>
      </c>
      <c r="D1244" s="201">
        <v>334</v>
      </c>
      <c r="E1244" s="201">
        <v>1830</v>
      </c>
      <c r="F1244">
        <v>0</v>
      </c>
      <c r="G1244">
        <v>765</v>
      </c>
      <c r="H1244">
        <v>34500</v>
      </c>
      <c r="I1244">
        <v>-170</v>
      </c>
      <c r="J1244">
        <v>191</v>
      </c>
      <c r="K1244" s="201">
        <v>-138</v>
      </c>
    </row>
    <row r="1245" spans="1:11" x14ac:dyDescent="0.25">
      <c r="A1245"/>
      <c r="B1245" s="201">
        <v>0</v>
      </c>
      <c r="C1245">
        <v>0</v>
      </c>
      <c r="D1245" s="201">
        <v>-137</v>
      </c>
      <c r="E1245" s="201">
        <v>0</v>
      </c>
      <c r="F1245">
        <v>0</v>
      </c>
      <c r="G1245">
        <v>0</v>
      </c>
      <c r="H1245">
        <v>-72</v>
      </c>
      <c r="I1245">
        <v>-136</v>
      </c>
      <c r="J1245">
        <v>0</v>
      </c>
      <c r="K1245" s="201">
        <v>0</v>
      </c>
    </row>
    <row r="1246" spans="1:11" x14ac:dyDescent="0.25">
      <c r="A1246"/>
      <c r="B1246" s="201">
        <v>0</v>
      </c>
      <c r="C1246">
        <v>0</v>
      </c>
      <c r="D1246" s="201">
        <v>0</v>
      </c>
      <c r="E1246" s="201">
        <v>0</v>
      </c>
      <c r="F1246">
        <v>-500</v>
      </c>
      <c r="G1246">
        <v>0</v>
      </c>
      <c r="H1246">
        <v>0</v>
      </c>
      <c r="I1246">
        <v>-103</v>
      </c>
      <c r="J1246">
        <v>0</v>
      </c>
      <c r="K1246" s="201">
        <v>-73</v>
      </c>
    </row>
    <row r="1247" spans="1:11" x14ac:dyDescent="0.25">
      <c r="A1247"/>
      <c r="B1247" s="201">
        <v>0</v>
      </c>
      <c r="C1247">
        <v>194</v>
      </c>
      <c r="D1247" s="201">
        <v>39</v>
      </c>
      <c r="E1247" s="201">
        <v>-149</v>
      </c>
      <c r="F1247">
        <v>0</v>
      </c>
      <c r="G1247">
        <v>486</v>
      </c>
      <c r="H1247">
        <v>29697</v>
      </c>
      <c r="I1247">
        <v>246</v>
      </c>
      <c r="J1247">
        <v>44</v>
      </c>
      <c r="K1247" s="201">
        <v>-151</v>
      </c>
    </row>
    <row r="1248" spans="1:11" x14ac:dyDescent="0.25">
      <c r="A1248"/>
      <c r="B1248" s="201">
        <v>429</v>
      </c>
      <c r="C1248">
        <v>0</v>
      </c>
      <c r="D1248" s="201">
        <v>0</v>
      </c>
      <c r="E1248" s="201">
        <v>0</v>
      </c>
      <c r="F1248">
        <v>0</v>
      </c>
      <c r="G1248">
        <v>0</v>
      </c>
      <c r="H1248">
        <v>0</v>
      </c>
      <c r="I1248">
        <v>0</v>
      </c>
      <c r="J1248">
        <v>-154</v>
      </c>
      <c r="K1248" s="201">
        <v>0</v>
      </c>
    </row>
    <row r="1249" spans="1:11" x14ac:dyDescent="0.25">
      <c r="A1249"/>
      <c r="B1249" s="201">
        <v>0</v>
      </c>
      <c r="C1249">
        <v>0</v>
      </c>
      <c r="D1249" s="201">
        <v>-42</v>
      </c>
      <c r="E1249" s="201">
        <v>0</v>
      </c>
      <c r="F1249">
        <v>98</v>
      </c>
      <c r="G1249">
        <v>0</v>
      </c>
      <c r="H1249">
        <v>0</v>
      </c>
      <c r="I1249">
        <v>0</v>
      </c>
      <c r="J1249">
        <v>0</v>
      </c>
      <c r="K1249" s="201">
        <v>0</v>
      </c>
    </row>
    <row r="1250" spans="1:11" x14ac:dyDescent="0.25">
      <c r="A1250"/>
      <c r="B1250" s="201">
        <v>-585</v>
      </c>
      <c r="C1250">
        <v>0</v>
      </c>
      <c r="D1250" s="201">
        <v>-455</v>
      </c>
      <c r="E1250" s="201">
        <v>-750</v>
      </c>
      <c r="F1250">
        <v>0</v>
      </c>
      <c r="G1250">
        <v>0</v>
      </c>
      <c r="H1250">
        <v>-1257</v>
      </c>
      <c r="I1250">
        <v>39409</v>
      </c>
      <c r="J1250">
        <v>0</v>
      </c>
      <c r="K1250" s="201">
        <v>121</v>
      </c>
    </row>
    <row r="1251" spans="1:11" x14ac:dyDescent="0.25">
      <c r="A1251"/>
      <c r="B1251" s="201">
        <v>0</v>
      </c>
      <c r="C1251">
        <v>0</v>
      </c>
      <c r="D1251" s="201">
        <v>0</v>
      </c>
      <c r="E1251" s="201">
        <v>0</v>
      </c>
      <c r="F1251">
        <v>-2418</v>
      </c>
      <c r="G1251">
        <v>-34</v>
      </c>
      <c r="H1251">
        <v>-98</v>
      </c>
      <c r="I1251">
        <v>0</v>
      </c>
      <c r="J1251">
        <v>0</v>
      </c>
      <c r="K1251" s="201">
        <v>-227</v>
      </c>
    </row>
    <row r="1252" spans="1:11" x14ac:dyDescent="0.25">
      <c r="A1252"/>
      <c r="B1252" s="201">
        <v>172</v>
      </c>
      <c r="C1252">
        <v>0</v>
      </c>
      <c r="D1252" s="201">
        <v>107</v>
      </c>
      <c r="E1252" s="201">
        <v>204</v>
      </c>
      <c r="F1252">
        <v>-126</v>
      </c>
      <c r="G1252">
        <v>72</v>
      </c>
      <c r="H1252">
        <v>-351</v>
      </c>
      <c r="I1252">
        <v>-210</v>
      </c>
      <c r="J1252">
        <v>411</v>
      </c>
      <c r="K1252" s="201">
        <v>0</v>
      </c>
    </row>
    <row r="1253" spans="1:11" x14ac:dyDescent="0.25">
      <c r="A1253"/>
      <c r="B1253" s="201">
        <v>0</v>
      </c>
      <c r="C1253">
        <v>0</v>
      </c>
      <c r="D1253" s="201">
        <v>0</v>
      </c>
      <c r="E1253" s="201">
        <v>0</v>
      </c>
      <c r="F1253">
        <v>811</v>
      </c>
      <c r="G1253">
        <v>0</v>
      </c>
      <c r="H1253">
        <v>1198</v>
      </c>
      <c r="I1253">
        <v>-376</v>
      </c>
      <c r="J1253">
        <v>173</v>
      </c>
      <c r="K1253" s="201">
        <v>0</v>
      </c>
    </row>
    <row r="1254" spans="1:11" x14ac:dyDescent="0.25">
      <c r="A1254"/>
      <c r="B1254" s="201">
        <v>-4670</v>
      </c>
      <c r="C1254">
        <v>38177</v>
      </c>
      <c r="D1254" s="201">
        <v>546</v>
      </c>
      <c r="E1254" s="201">
        <v>591</v>
      </c>
      <c r="F1254">
        <v>134</v>
      </c>
      <c r="G1254">
        <v>0</v>
      </c>
      <c r="H1254">
        <v>86</v>
      </c>
      <c r="I1254">
        <v>-38</v>
      </c>
      <c r="J1254">
        <v>-3190</v>
      </c>
      <c r="K1254" s="201">
        <v>549</v>
      </c>
    </row>
    <row r="1255" spans="1:11" x14ac:dyDescent="0.25">
      <c r="A1255"/>
      <c r="B1255" s="201">
        <v>0</v>
      </c>
      <c r="C1255">
        <v>-120</v>
      </c>
      <c r="D1255" s="201">
        <v>-452</v>
      </c>
      <c r="E1255" s="201">
        <v>0</v>
      </c>
      <c r="F1255">
        <v>0</v>
      </c>
      <c r="G1255">
        <v>0</v>
      </c>
      <c r="H1255">
        <v>17</v>
      </c>
      <c r="I1255">
        <v>582</v>
      </c>
      <c r="J1255">
        <v>0</v>
      </c>
      <c r="K1255" s="201">
        <v>379</v>
      </c>
    </row>
    <row r="1256" spans="1:11" x14ac:dyDescent="0.25">
      <c r="A1256"/>
      <c r="B1256" s="201">
        <v>-122</v>
      </c>
      <c r="C1256">
        <v>-295</v>
      </c>
      <c r="D1256" s="201">
        <v>723</v>
      </c>
      <c r="E1256" s="201">
        <v>0</v>
      </c>
      <c r="F1256">
        <v>0</v>
      </c>
      <c r="G1256">
        <v>0</v>
      </c>
      <c r="H1256">
        <v>0</v>
      </c>
      <c r="I1256">
        <v>0</v>
      </c>
      <c r="J1256">
        <v>3962</v>
      </c>
      <c r="K1256" s="201">
        <v>0</v>
      </c>
    </row>
    <row r="1257" spans="1:11" x14ac:dyDescent="0.25">
      <c r="A1257"/>
      <c r="B1257" s="201">
        <v>6526</v>
      </c>
      <c r="C1257">
        <v>-91</v>
      </c>
      <c r="D1257" s="201">
        <v>1740</v>
      </c>
      <c r="E1257" s="201">
        <v>0</v>
      </c>
      <c r="F1257">
        <v>-4175</v>
      </c>
      <c r="G1257">
        <v>-2827</v>
      </c>
      <c r="H1257">
        <v>154</v>
      </c>
      <c r="I1257">
        <v>6464</v>
      </c>
      <c r="J1257">
        <v>705</v>
      </c>
      <c r="K1257" s="201">
        <v>448</v>
      </c>
    </row>
    <row r="1258" spans="1:11" x14ac:dyDescent="0.25">
      <c r="A1258"/>
      <c r="B1258" s="201">
        <v>0</v>
      </c>
      <c r="C1258">
        <v>0</v>
      </c>
      <c r="D1258" s="201">
        <v>-119</v>
      </c>
      <c r="E1258" s="201">
        <v>0</v>
      </c>
      <c r="F1258">
        <v>0</v>
      </c>
      <c r="G1258">
        <v>0</v>
      </c>
      <c r="H1258">
        <v>-900</v>
      </c>
      <c r="I1258">
        <v>146</v>
      </c>
      <c r="J1258">
        <v>0</v>
      </c>
      <c r="K1258" s="201">
        <v>0</v>
      </c>
    </row>
    <row r="1259" spans="1:11" x14ac:dyDescent="0.25">
      <c r="A1259"/>
      <c r="B1259" s="201">
        <v>0</v>
      </c>
      <c r="C1259">
        <v>0</v>
      </c>
      <c r="D1259" s="201">
        <v>0</v>
      </c>
      <c r="E1259" s="201">
        <v>0</v>
      </c>
      <c r="F1259">
        <v>-55</v>
      </c>
      <c r="G1259">
        <v>0</v>
      </c>
      <c r="H1259">
        <v>0</v>
      </c>
      <c r="I1259">
        <v>-411</v>
      </c>
      <c r="J1259">
        <v>0</v>
      </c>
      <c r="K1259" s="201">
        <v>466</v>
      </c>
    </row>
    <row r="1260" spans="1:11" x14ac:dyDescent="0.25">
      <c r="A1260"/>
      <c r="B1260" s="201">
        <v>0</v>
      </c>
      <c r="C1260">
        <v>148</v>
      </c>
      <c r="D1260" s="201">
        <v>894</v>
      </c>
      <c r="E1260" s="201">
        <v>328</v>
      </c>
      <c r="F1260">
        <v>0</v>
      </c>
      <c r="G1260">
        <v>-1263</v>
      </c>
      <c r="H1260">
        <v>-161</v>
      </c>
      <c r="I1260">
        <v>1076</v>
      </c>
      <c r="J1260">
        <v>981</v>
      </c>
      <c r="K1260" s="201">
        <v>1128</v>
      </c>
    </row>
    <row r="1261" spans="1:11" x14ac:dyDescent="0.25">
      <c r="A1261"/>
      <c r="B1261" s="201">
        <v>349</v>
      </c>
      <c r="C1261">
        <v>0</v>
      </c>
      <c r="D1261" s="201">
        <v>-31</v>
      </c>
      <c r="E1261" s="201">
        <v>0</v>
      </c>
      <c r="F1261">
        <v>0</v>
      </c>
      <c r="G1261">
        <v>0</v>
      </c>
      <c r="H1261">
        <v>0</v>
      </c>
      <c r="I1261">
        <v>0</v>
      </c>
      <c r="J1261">
        <v>79</v>
      </c>
      <c r="K1261" s="201">
        <v>0</v>
      </c>
    </row>
    <row r="1262" spans="1:11" x14ac:dyDescent="0.25">
      <c r="A1262"/>
      <c r="B1262" s="201">
        <v>0</v>
      </c>
      <c r="C1262">
        <v>0</v>
      </c>
      <c r="D1262" s="201">
        <v>-114</v>
      </c>
      <c r="E1262" s="201">
        <v>0</v>
      </c>
      <c r="F1262">
        <v>-151</v>
      </c>
      <c r="G1262">
        <v>0</v>
      </c>
      <c r="H1262">
        <v>0</v>
      </c>
      <c r="I1262">
        <v>0</v>
      </c>
      <c r="J1262">
        <v>0</v>
      </c>
      <c r="K1262" s="201">
        <v>0</v>
      </c>
    </row>
    <row r="1263" spans="1:11" x14ac:dyDescent="0.25">
      <c r="A1263"/>
      <c r="B1263" s="201">
        <v>-214</v>
      </c>
      <c r="C1263">
        <v>0</v>
      </c>
      <c r="D1263" s="201">
        <v>-135</v>
      </c>
      <c r="E1263" s="201">
        <v>441</v>
      </c>
      <c r="F1263">
        <v>0</v>
      </c>
      <c r="G1263">
        <v>0</v>
      </c>
      <c r="H1263">
        <v>673</v>
      </c>
      <c r="I1263">
        <v>271</v>
      </c>
      <c r="J1263">
        <v>0</v>
      </c>
      <c r="K1263" s="201">
        <v>-682</v>
      </c>
    </row>
    <row r="1264" spans="1:11" x14ac:dyDescent="0.25">
      <c r="A1264"/>
      <c r="B1264" s="201">
        <v>0</v>
      </c>
      <c r="C1264">
        <v>0</v>
      </c>
      <c r="D1264" s="201">
        <v>0</v>
      </c>
      <c r="E1264" s="201">
        <v>0</v>
      </c>
      <c r="F1264">
        <v>240</v>
      </c>
      <c r="G1264">
        <v>282</v>
      </c>
      <c r="H1264">
        <v>199</v>
      </c>
      <c r="I1264">
        <v>0</v>
      </c>
      <c r="J1264">
        <v>0</v>
      </c>
      <c r="K1264" s="201">
        <v>-121</v>
      </c>
    </row>
    <row r="1265" spans="1:11" x14ac:dyDescent="0.25">
      <c r="A1265"/>
      <c r="B1265" s="201">
        <v>-455</v>
      </c>
      <c r="C1265">
        <v>0</v>
      </c>
      <c r="D1265" s="201">
        <v>-265</v>
      </c>
      <c r="E1265" s="201">
        <v>51</v>
      </c>
      <c r="F1265">
        <v>30</v>
      </c>
      <c r="G1265">
        <v>-195</v>
      </c>
      <c r="H1265">
        <v>-142</v>
      </c>
      <c r="I1265">
        <v>-371</v>
      </c>
      <c r="J1265">
        <v>109</v>
      </c>
      <c r="K1265" s="201">
        <v>0</v>
      </c>
    </row>
    <row r="1266" spans="1:11" x14ac:dyDescent="0.25">
      <c r="A1266"/>
      <c r="B1266" s="201">
        <v>0</v>
      </c>
      <c r="C1266">
        <v>0</v>
      </c>
      <c r="D1266" s="201">
        <v>0</v>
      </c>
      <c r="E1266" s="201">
        <v>0</v>
      </c>
      <c r="F1266">
        <v>-412</v>
      </c>
      <c r="G1266">
        <v>0</v>
      </c>
      <c r="H1266">
        <v>-62</v>
      </c>
      <c r="I1266">
        <v>-403</v>
      </c>
      <c r="J1266">
        <v>-528</v>
      </c>
      <c r="K1266" s="201">
        <v>0</v>
      </c>
    </row>
    <row r="1267" spans="1:11" x14ac:dyDescent="0.25">
      <c r="A1267"/>
      <c r="B1267" s="201">
        <v>1706</v>
      </c>
      <c r="C1267">
        <v>204</v>
      </c>
      <c r="D1267" s="201">
        <v>-7574</v>
      </c>
      <c r="E1267" s="201">
        <v>-2362</v>
      </c>
      <c r="F1267">
        <v>-2144</v>
      </c>
      <c r="G1267">
        <v>0</v>
      </c>
      <c r="H1267">
        <v>-342</v>
      </c>
      <c r="I1267">
        <v>-402</v>
      </c>
      <c r="J1267">
        <v>215</v>
      </c>
      <c r="K1267" s="201">
        <v>559</v>
      </c>
    </row>
    <row r="1268" spans="1:11" x14ac:dyDescent="0.25">
      <c r="A1268"/>
      <c r="B1268" s="201">
        <v>0</v>
      </c>
      <c r="C1268">
        <v>24</v>
      </c>
      <c r="D1268" s="201">
        <v>-83</v>
      </c>
      <c r="E1268" s="201">
        <v>0</v>
      </c>
      <c r="F1268">
        <v>0</v>
      </c>
      <c r="G1268">
        <v>0</v>
      </c>
      <c r="H1268">
        <v>23</v>
      </c>
      <c r="I1268">
        <v>183</v>
      </c>
      <c r="J1268">
        <v>0</v>
      </c>
      <c r="K1268" s="201">
        <v>-104</v>
      </c>
    </row>
    <row r="1269" spans="1:11" x14ac:dyDescent="0.25">
      <c r="A1269"/>
      <c r="B1269" s="201">
        <v>-244</v>
      </c>
      <c r="C1269">
        <v>-527</v>
      </c>
      <c r="D1269" s="201">
        <v>670</v>
      </c>
      <c r="E1269" s="201">
        <v>0</v>
      </c>
      <c r="F1269">
        <v>0</v>
      </c>
      <c r="G1269">
        <v>0</v>
      </c>
      <c r="H1269">
        <v>0</v>
      </c>
      <c r="I1269">
        <v>0</v>
      </c>
      <c r="J1269">
        <v>-1021</v>
      </c>
      <c r="K1269" s="201">
        <v>0</v>
      </c>
    </row>
    <row r="1270" spans="1:11" x14ac:dyDescent="0.25">
      <c r="A1270"/>
      <c r="B1270" s="201">
        <v>411</v>
      </c>
      <c r="C1270">
        <v>-365</v>
      </c>
      <c r="D1270" s="201">
        <v>-1162</v>
      </c>
      <c r="E1270" s="201">
        <v>0</v>
      </c>
      <c r="F1270">
        <v>-2763</v>
      </c>
      <c r="G1270">
        <v>-3225</v>
      </c>
      <c r="H1270">
        <v>-10019</v>
      </c>
      <c r="I1270">
        <v>2</v>
      </c>
      <c r="J1270">
        <v>1155</v>
      </c>
      <c r="K1270" s="201">
        <v>1238</v>
      </c>
    </row>
    <row r="1271" spans="1:11" x14ac:dyDescent="0.25">
      <c r="A1271"/>
      <c r="B1271" s="201">
        <v>784</v>
      </c>
      <c r="C1271">
        <v>0</v>
      </c>
      <c r="D1271" s="201">
        <v>0</v>
      </c>
      <c r="E1271" s="201">
        <v>-422</v>
      </c>
      <c r="F1271">
        <v>0</v>
      </c>
      <c r="G1271">
        <v>0</v>
      </c>
      <c r="H1271">
        <v>0</v>
      </c>
      <c r="I1271">
        <v>-2154</v>
      </c>
      <c r="J1271">
        <v>107</v>
      </c>
      <c r="K1271" s="201">
        <v>0</v>
      </c>
    </row>
    <row r="1272" spans="1:11" x14ac:dyDescent="0.25">
      <c r="A1272"/>
      <c r="B1272" s="201">
        <v>0</v>
      </c>
      <c r="C1272">
        <v>0</v>
      </c>
      <c r="D1272" s="201">
        <v>0</v>
      </c>
      <c r="E1272" s="201">
        <v>0</v>
      </c>
      <c r="F1272">
        <v>0</v>
      </c>
      <c r="G1272">
        <v>648</v>
      </c>
      <c r="H1272">
        <v>0</v>
      </c>
      <c r="I1272">
        <v>0</v>
      </c>
      <c r="J1272">
        <v>-410</v>
      </c>
      <c r="K1272" s="201">
        <v>0</v>
      </c>
    </row>
    <row r="1273" spans="1:11" x14ac:dyDescent="0.25">
      <c r="A1273"/>
      <c r="B1273" s="201">
        <v>245</v>
      </c>
      <c r="C1273">
        <v>0</v>
      </c>
      <c r="D1273" s="201">
        <v>185</v>
      </c>
      <c r="E1273" s="201">
        <v>6361</v>
      </c>
      <c r="F1273">
        <v>2768</v>
      </c>
      <c r="G1273">
        <v>0</v>
      </c>
      <c r="H1273">
        <v>-3066</v>
      </c>
      <c r="I1273">
        <v>-213</v>
      </c>
      <c r="J1273">
        <v>1580</v>
      </c>
      <c r="K1273" s="201">
        <v>1837</v>
      </c>
    </row>
    <row r="1274" spans="1:11" x14ac:dyDescent="0.25">
      <c r="A1274"/>
      <c r="B1274" s="201">
        <v>2749</v>
      </c>
      <c r="C1274">
        <v>749</v>
      </c>
      <c r="D1274" s="201">
        <v>0</v>
      </c>
      <c r="E1274" s="201">
        <v>-3</v>
      </c>
      <c r="F1274">
        <v>0</v>
      </c>
      <c r="G1274">
        <v>0</v>
      </c>
      <c r="H1274">
        <v>0</v>
      </c>
      <c r="I1274">
        <v>0</v>
      </c>
      <c r="J1274">
        <v>0</v>
      </c>
      <c r="K1274" s="201">
        <v>134</v>
      </c>
    </row>
    <row r="1275" spans="1:11" x14ac:dyDescent="0.25">
      <c r="A1275"/>
      <c r="B1275" s="201">
        <v>0</v>
      </c>
      <c r="C1275">
        <v>0</v>
      </c>
      <c r="D1275" s="201">
        <v>0</v>
      </c>
      <c r="E1275" s="201">
        <v>536</v>
      </c>
      <c r="F1275">
        <v>0</v>
      </c>
      <c r="G1275">
        <v>158</v>
      </c>
      <c r="H1275">
        <v>0</v>
      </c>
      <c r="I1275">
        <v>0</v>
      </c>
      <c r="J1275">
        <v>0</v>
      </c>
      <c r="K1275" s="201">
        <v>0</v>
      </c>
    </row>
    <row r="1276" spans="1:11" x14ac:dyDescent="0.25">
      <c r="A1276"/>
      <c r="B1276" s="201">
        <v>0</v>
      </c>
      <c r="C1276">
        <v>-660</v>
      </c>
      <c r="D1276" s="201">
        <v>0</v>
      </c>
      <c r="E1276" s="201">
        <v>-214</v>
      </c>
      <c r="F1276">
        <v>1022</v>
      </c>
      <c r="G1276">
        <v>0</v>
      </c>
      <c r="H1276">
        <v>0</v>
      </c>
      <c r="I1276">
        <v>257</v>
      </c>
      <c r="J1276">
        <v>-245</v>
      </c>
      <c r="K1276" s="201">
        <v>0</v>
      </c>
    </row>
    <row r="1277" spans="1:11" x14ac:dyDescent="0.25">
      <c r="A1277"/>
      <c r="B1277" s="201">
        <v>804</v>
      </c>
      <c r="C1277">
        <v>0</v>
      </c>
      <c r="D1277" s="201">
        <v>0</v>
      </c>
      <c r="E1277" s="201">
        <v>0</v>
      </c>
      <c r="F1277">
        <v>0</v>
      </c>
      <c r="G1277">
        <v>723</v>
      </c>
      <c r="H1277">
        <v>675</v>
      </c>
      <c r="I1277">
        <v>-117</v>
      </c>
      <c r="J1277">
        <v>0</v>
      </c>
      <c r="K1277" s="201">
        <v>0</v>
      </c>
    </row>
    <row r="1278" spans="1:11" x14ac:dyDescent="0.25">
      <c r="A1278"/>
      <c r="B1278" s="201">
        <v>33</v>
      </c>
      <c r="C1278">
        <v>-6</v>
      </c>
      <c r="D1278" s="201">
        <v>0</v>
      </c>
      <c r="E1278" s="201">
        <v>179</v>
      </c>
      <c r="F1278">
        <v>-132</v>
      </c>
      <c r="G1278">
        <v>166</v>
      </c>
      <c r="H1278">
        <v>-241</v>
      </c>
      <c r="I1278">
        <v>81</v>
      </c>
      <c r="J1278">
        <v>-448</v>
      </c>
      <c r="K1278" s="201">
        <v>-1298</v>
      </c>
    </row>
    <row r="1279" spans="1:11" x14ac:dyDescent="0.25">
      <c r="A1279"/>
      <c r="B1279" s="201">
        <v>0</v>
      </c>
      <c r="C1279">
        <v>0</v>
      </c>
      <c r="D1279" s="201">
        <v>0</v>
      </c>
      <c r="E1279" s="201">
        <v>0</v>
      </c>
      <c r="F1279">
        <v>0</v>
      </c>
      <c r="G1279">
        <v>-115</v>
      </c>
      <c r="H1279">
        <v>0</v>
      </c>
      <c r="I1279">
        <v>365</v>
      </c>
      <c r="J1279">
        <v>674</v>
      </c>
      <c r="K1279" s="201">
        <v>352</v>
      </c>
    </row>
    <row r="1280" spans="1:11" x14ac:dyDescent="0.25">
      <c r="A1280"/>
      <c r="B1280" s="201">
        <v>0</v>
      </c>
      <c r="C1280">
        <v>3886</v>
      </c>
      <c r="D1280" s="201">
        <v>-648</v>
      </c>
      <c r="E1280" s="201">
        <v>-2474</v>
      </c>
      <c r="F1280">
        <v>-11841</v>
      </c>
      <c r="G1280">
        <v>-3069</v>
      </c>
      <c r="H1280">
        <v>0</v>
      </c>
      <c r="I1280">
        <v>-1428</v>
      </c>
      <c r="J1280">
        <v>-2281</v>
      </c>
      <c r="K1280" s="201">
        <v>-286</v>
      </c>
    </row>
    <row r="1281" spans="1:11" x14ac:dyDescent="0.25">
      <c r="A1281"/>
      <c r="B1281" s="201">
        <v>1824</v>
      </c>
      <c r="C1281">
        <v>0</v>
      </c>
      <c r="D1281" s="201">
        <v>-78</v>
      </c>
      <c r="E1281" s="201">
        <v>-160</v>
      </c>
      <c r="F1281">
        <v>0</v>
      </c>
      <c r="G1281">
        <v>0</v>
      </c>
      <c r="H1281">
        <v>0</v>
      </c>
      <c r="I1281">
        <v>-168</v>
      </c>
      <c r="J1281">
        <v>-921</v>
      </c>
      <c r="K1281" s="201">
        <v>0</v>
      </c>
    </row>
    <row r="1282" spans="1:11" x14ac:dyDescent="0.25">
      <c r="A1282"/>
      <c r="B1282" s="201">
        <v>-1101</v>
      </c>
      <c r="C1282">
        <v>-2200</v>
      </c>
      <c r="D1282" s="201">
        <v>-2712</v>
      </c>
      <c r="E1282" s="201">
        <v>-3598</v>
      </c>
      <c r="F1282">
        <v>0</v>
      </c>
      <c r="G1282">
        <v>0</v>
      </c>
      <c r="H1282">
        <v>0</v>
      </c>
      <c r="I1282">
        <v>0</v>
      </c>
      <c r="J1282">
        <v>0</v>
      </c>
      <c r="K1282" s="201">
        <v>-1010</v>
      </c>
    </row>
    <row r="1283" spans="1:11" x14ac:dyDescent="0.25">
      <c r="A1283"/>
      <c r="B1283" s="201">
        <v>0</v>
      </c>
      <c r="C1283">
        <v>2066</v>
      </c>
      <c r="D1283" s="201">
        <v>-535</v>
      </c>
      <c r="E1283" s="201">
        <v>-1320</v>
      </c>
      <c r="F1283">
        <v>0</v>
      </c>
      <c r="G1283">
        <v>-4520</v>
      </c>
      <c r="H1283">
        <v>-4760</v>
      </c>
      <c r="I1283">
        <v>24955</v>
      </c>
      <c r="J1283">
        <v>-9215</v>
      </c>
      <c r="K1283" s="201">
        <v>-135</v>
      </c>
    </row>
    <row r="1284" spans="1:11" x14ac:dyDescent="0.25">
      <c r="A1284"/>
      <c r="B1284" s="201">
        <v>1298</v>
      </c>
      <c r="C1284">
        <v>1056</v>
      </c>
      <c r="D1284" s="201">
        <v>1300</v>
      </c>
      <c r="E1284" s="201">
        <v>0</v>
      </c>
      <c r="F1284">
        <v>0</v>
      </c>
      <c r="G1284">
        <v>-344</v>
      </c>
      <c r="H1284">
        <v>0</v>
      </c>
      <c r="I1284">
        <v>0</v>
      </c>
      <c r="J1284">
        <v>0</v>
      </c>
      <c r="K1284" s="201">
        <v>-2070</v>
      </c>
    </row>
    <row r="1285" spans="1:11" x14ac:dyDescent="0.25">
      <c r="A1285"/>
      <c r="B1285" s="201">
        <v>496</v>
      </c>
      <c r="C1285">
        <v>0</v>
      </c>
      <c r="D1285" s="201">
        <v>0</v>
      </c>
      <c r="E1285" s="201">
        <v>0</v>
      </c>
      <c r="F1285">
        <v>0</v>
      </c>
      <c r="G1285">
        <v>0</v>
      </c>
      <c r="H1285">
        <v>0</v>
      </c>
      <c r="I1285">
        <v>1100</v>
      </c>
      <c r="J1285">
        <v>0</v>
      </c>
      <c r="K1285" s="201">
        <v>0</v>
      </c>
    </row>
    <row r="1286" spans="1:11" x14ac:dyDescent="0.25">
      <c r="A1286"/>
      <c r="B1286" s="201">
        <v>-344</v>
      </c>
      <c r="C1286">
        <v>0</v>
      </c>
      <c r="D1286" s="201">
        <v>253</v>
      </c>
      <c r="E1286" s="201">
        <v>0</v>
      </c>
      <c r="F1286">
        <v>-77</v>
      </c>
      <c r="G1286">
        <v>5577</v>
      </c>
      <c r="H1286">
        <v>2317</v>
      </c>
      <c r="I1286">
        <v>0</v>
      </c>
      <c r="J1286">
        <v>-2484</v>
      </c>
      <c r="K1286" s="201">
        <v>-99</v>
      </c>
    </row>
    <row r="1287" spans="1:11" x14ac:dyDescent="0.25">
      <c r="A1287"/>
      <c r="B1287" s="201">
        <v>1721</v>
      </c>
      <c r="C1287">
        <v>1750</v>
      </c>
      <c r="D1287" s="201">
        <v>2340</v>
      </c>
      <c r="E1287" s="201">
        <v>647</v>
      </c>
      <c r="F1287">
        <v>0</v>
      </c>
      <c r="G1287">
        <v>-57</v>
      </c>
      <c r="H1287">
        <v>0</v>
      </c>
      <c r="I1287">
        <v>0</v>
      </c>
      <c r="J1287">
        <v>0</v>
      </c>
      <c r="K1287" s="201">
        <v>0</v>
      </c>
    </row>
    <row r="1288" spans="1:11" x14ac:dyDescent="0.25">
      <c r="A1288"/>
      <c r="B1288" s="201">
        <v>0</v>
      </c>
      <c r="C1288">
        <v>100</v>
      </c>
      <c r="D1288" s="201">
        <v>0</v>
      </c>
      <c r="E1288" s="201">
        <v>0</v>
      </c>
      <c r="F1288">
        <v>0</v>
      </c>
      <c r="G1288">
        <v>-356</v>
      </c>
      <c r="H1288">
        <v>0</v>
      </c>
      <c r="I1288">
        <v>-289</v>
      </c>
      <c r="J1288">
        <v>0</v>
      </c>
      <c r="K1288" s="201">
        <v>0</v>
      </c>
    </row>
    <row r="1289" spans="1:11" x14ac:dyDescent="0.25">
      <c r="A1289"/>
      <c r="B1289" s="201">
        <v>0</v>
      </c>
      <c r="C1289">
        <v>0</v>
      </c>
      <c r="D1289" s="201">
        <v>0</v>
      </c>
      <c r="E1289" s="201">
        <v>-512</v>
      </c>
      <c r="F1289">
        <v>0</v>
      </c>
      <c r="G1289">
        <v>-452</v>
      </c>
      <c r="H1289">
        <v>629</v>
      </c>
      <c r="I1289">
        <v>0</v>
      </c>
      <c r="J1289">
        <v>0</v>
      </c>
      <c r="K1289" s="201">
        <v>1075</v>
      </c>
    </row>
    <row r="1290" spans="1:11" x14ac:dyDescent="0.25">
      <c r="A1290"/>
      <c r="B1290" s="201">
        <v>849</v>
      </c>
      <c r="C1290">
        <v>0</v>
      </c>
      <c r="D1290" s="201">
        <v>-2797</v>
      </c>
      <c r="E1290" s="201">
        <v>0</v>
      </c>
      <c r="F1290">
        <v>0</v>
      </c>
      <c r="G1290">
        <v>0</v>
      </c>
      <c r="H1290">
        <v>0</v>
      </c>
      <c r="I1290">
        <v>-930</v>
      </c>
      <c r="J1290">
        <v>916</v>
      </c>
      <c r="K1290" s="201">
        <v>237</v>
      </c>
    </row>
    <row r="1291" spans="1:11" x14ac:dyDescent="0.25">
      <c r="A1291"/>
      <c r="B1291" s="201">
        <v>0</v>
      </c>
      <c r="C1291">
        <v>0</v>
      </c>
      <c r="D1291" s="201">
        <v>-54</v>
      </c>
      <c r="E1291" s="201">
        <v>-952</v>
      </c>
      <c r="F1291">
        <v>0</v>
      </c>
      <c r="G1291">
        <v>132</v>
      </c>
      <c r="H1291">
        <v>540</v>
      </c>
      <c r="I1291">
        <v>80</v>
      </c>
      <c r="J1291">
        <v>-158</v>
      </c>
      <c r="K1291" s="201">
        <v>7</v>
      </c>
    </row>
    <row r="1292" spans="1:11" x14ac:dyDescent="0.25">
      <c r="A1292"/>
      <c r="B1292" s="201">
        <v>351</v>
      </c>
      <c r="C1292">
        <v>2391</v>
      </c>
      <c r="D1292" s="201">
        <v>0</v>
      </c>
      <c r="E1292" s="201">
        <v>0</v>
      </c>
      <c r="F1292">
        <v>0</v>
      </c>
      <c r="G1292">
        <v>0</v>
      </c>
      <c r="H1292">
        <v>0</v>
      </c>
      <c r="I1292">
        <v>-514</v>
      </c>
      <c r="J1292">
        <v>0</v>
      </c>
      <c r="K1292" s="201">
        <v>-174</v>
      </c>
    </row>
    <row r="1293" spans="1:11" x14ac:dyDescent="0.25">
      <c r="A1293"/>
      <c r="B1293" s="201">
        <v>-374</v>
      </c>
      <c r="C1293">
        <v>-327</v>
      </c>
      <c r="D1293" s="201">
        <v>0</v>
      </c>
      <c r="E1293" s="201">
        <v>1894</v>
      </c>
      <c r="F1293">
        <v>-343</v>
      </c>
      <c r="G1293">
        <v>-2228</v>
      </c>
      <c r="H1293">
        <v>-2451</v>
      </c>
      <c r="I1293">
        <v>-2332</v>
      </c>
      <c r="J1293">
        <v>0</v>
      </c>
      <c r="K1293" s="201">
        <v>207</v>
      </c>
    </row>
    <row r="1294" spans="1:11" x14ac:dyDescent="0.25">
      <c r="A1294"/>
      <c r="B1294" s="201">
        <v>278</v>
      </c>
      <c r="C1294">
        <v>142</v>
      </c>
      <c r="D1294" s="201">
        <v>911</v>
      </c>
      <c r="E1294" s="201">
        <v>0</v>
      </c>
      <c r="F1294">
        <v>166</v>
      </c>
      <c r="G1294">
        <v>-665</v>
      </c>
      <c r="H1294">
        <v>0</v>
      </c>
      <c r="I1294">
        <v>0</v>
      </c>
      <c r="J1294">
        <v>0</v>
      </c>
      <c r="K1294" s="201">
        <v>650</v>
      </c>
    </row>
    <row r="1295" spans="1:11" x14ac:dyDescent="0.25">
      <c r="A1295"/>
      <c r="B1295" s="201">
        <v>876</v>
      </c>
      <c r="C1295">
        <v>0</v>
      </c>
      <c r="D1295" s="201">
        <v>-235</v>
      </c>
      <c r="E1295" s="201">
        <v>180</v>
      </c>
      <c r="F1295">
        <v>838</v>
      </c>
      <c r="G1295">
        <v>2877</v>
      </c>
      <c r="H1295">
        <v>0</v>
      </c>
      <c r="I1295">
        <v>0</v>
      </c>
      <c r="J1295">
        <v>0</v>
      </c>
      <c r="K1295" s="201">
        <v>0</v>
      </c>
    </row>
    <row r="1296" spans="1:11" x14ac:dyDescent="0.25">
      <c r="A1296"/>
      <c r="B1296" s="201">
        <v>0</v>
      </c>
      <c r="C1296">
        <v>-833</v>
      </c>
      <c r="D1296" s="201">
        <v>0</v>
      </c>
      <c r="E1296" s="201">
        <v>1325</v>
      </c>
      <c r="F1296">
        <v>-230</v>
      </c>
      <c r="G1296">
        <v>-984</v>
      </c>
      <c r="H1296">
        <v>0</v>
      </c>
      <c r="I1296">
        <v>-4556</v>
      </c>
      <c r="J1296">
        <v>-3559</v>
      </c>
      <c r="K1296" s="201">
        <v>23198</v>
      </c>
    </row>
    <row r="1297" spans="1:11" x14ac:dyDescent="0.25">
      <c r="A1297"/>
      <c r="B1297" s="201">
        <v>41811</v>
      </c>
      <c r="C1297">
        <v>-4669</v>
      </c>
      <c r="D1297" s="201">
        <v>-15</v>
      </c>
      <c r="E1297" s="201">
        <v>578</v>
      </c>
      <c r="F1297">
        <v>4820</v>
      </c>
      <c r="G1297">
        <v>597</v>
      </c>
      <c r="H1297">
        <v>0</v>
      </c>
      <c r="I1297">
        <v>0</v>
      </c>
      <c r="J1297">
        <v>-133</v>
      </c>
      <c r="K1297" s="201">
        <v>0</v>
      </c>
    </row>
    <row r="1298" spans="1:11" x14ac:dyDescent="0.25">
      <c r="A1298"/>
      <c r="B1298" s="201">
        <v>0</v>
      </c>
      <c r="C1298">
        <v>0</v>
      </c>
      <c r="D1298" s="201">
        <v>-924</v>
      </c>
      <c r="E1298" s="201">
        <v>-93</v>
      </c>
      <c r="F1298">
        <v>0</v>
      </c>
      <c r="G1298">
        <v>0</v>
      </c>
      <c r="H1298">
        <v>0</v>
      </c>
      <c r="I1298">
        <v>0</v>
      </c>
      <c r="J1298">
        <v>0</v>
      </c>
      <c r="K1298" s="201">
        <v>0</v>
      </c>
    </row>
    <row r="1299" spans="1:11" x14ac:dyDescent="0.25">
      <c r="A1299"/>
      <c r="B1299" s="201">
        <v>-122</v>
      </c>
      <c r="C1299">
        <v>0</v>
      </c>
      <c r="D1299" s="201">
        <v>0</v>
      </c>
      <c r="E1299" s="201">
        <v>-924</v>
      </c>
      <c r="F1299">
        <v>0</v>
      </c>
      <c r="G1299">
        <v>990</v>
      </c>
      <c r="H1299">
        <v>0</v>
      </c>
      <c r="I1299">
        <v>274</v>
      </c>
      <c r="J1299">
        <v>2650</v>
      </c>
      <c r="K1299" s="201">
        <v>945</v>
      </c>
    </row>
    <row r="1300" spans="1:11" x14ac:dyDescent="0.25">
      <c r="A1300"/>
      <c r="B1300" s="201">
        <v>0</v>
      </c>
      <c r="C1300">
        <v>1033</v>
      </c>
      <c r="D1300" s="201">
        <v>-33</v>
      </c>
      <c r="E1300" s="201">
        <v>9683</v>
      </c>
      <c r="F1300">
        <v>1771</v>
      </c>
      <c r="G1300">
        <v>597</v>
      </c>
      <c r="H1300">
        <v>799</v>
      </c>
      <c r="I1300">
        <v>0</v>
      </c>
      <c r="J1300">
        <v>120</v>
      </c>
      <c r="K1300" s="201">
        <v>0</v>
      </c>
    </row>
    <row r="1301" spans="1:11" x14ac:dyDescent="0.25">
      <c r="A1301"/>
      <c r="B1301" s="201">
        <v>0</v>
      </c>
      <c r="C1301">
        <v>0</v>
      </c>
      <c r="D1301" s="201">
        <v>0</v>
      </c>
      <c r="E1301" s="201">
        <v>0</v>
      </c>
      <c r="F1301">
        <v>-41</v>
      </c>
      <c r="G1301">
        <v>0</v>
      </c>
      <c r="H1301">
        <v>0</v>
      </c>
      <c r="I1301">
        <v>0</v>
      </c>
      <c r="J1301">
        <v>-4138</v>
      </c>
      <c r="K1301" s="201">
        <v>0</v>
      </c>
    </row>
    <row r="1302" spans="1:11" x14ac:dyDescent="0.25">
      <c r="A1302"/>
      <c r="B1302" s="201">
        <v>501</v>
      </c>
      <c r="C1302">
        <v>0</v>
      </c>
      <c r="D1302" s="201">
        <v>0</v>
      </c>
      <c r="E1302" s="201">
        <v>0</v>
      </c>
      <c r="F1302">
        <v>0</v>
      </c>
      <c r="G1302">
        <v>0</v>
      </c>
      <c r="H1302">
        <v>-65</v>
      </c>
      <c r="I1302">
        <v>0</v>
      </c>
      <c r="J1302">
        <v>29</v>
      </c>
      <c r="K1302" s="201">
        <v>-3922</v>
      </c>
    </row>
    <row r="1303" spans="1:11" x14ac:dyDescent="0.25">
      <c r="A1303"/>
      <c r="B1303" s="201">
        <v>0</v>
      </c>
      <c r="C1303">
        <v>0</v>
      </c>
      <c r="D1303" s="201">
        <v>548</v>
      </c>
      <c r="E1303" s="201">
        <v>203</v>
      </c>
      <c r="F1303">
        <v>0</v>
      </c>
      <c r="G1303">
        <v>299</v>
      </c>
      <c r="H1303">
        <v>0</v>
      </c>
      <c r="I1303">
        <v>0</v>
      </c>
      <c r="J1303">
        <v>0</v>
      </c>
      <c r="K1303" s="201">
        <v>0</v>
      </c>
    </row>
    <row r="1304" spans="1:11" x14ac:dyDescent="0.25">
      <c r="A1304"/>
      <c r="B1304" s="201">
        <v>623</v>
      </c>
      <c r="C1304">
        <v>503</v>
      </c>
      <c r="D1304" s="201">
        <v>36</v>
      </c>
      <c r="E1304" s="201">
        <v>0</v>
      </c>
      <c r="F1304">
        <v>0</v>
      </c>
      <c r="G1304">
        <v>110</v>
      </c>
      <c r="H1304">
        <v>-92</v>
      </c>
      <c r="I1304">
        <v>0</v>
      </c>
      <c r="J1304">
        <v>-203</v>
      </c>
      <c r="K1304" s="201">
        <v>325</v>
      </c>
    </row>
    <row r="1305" spans="1:11" x14ac:dyDescent="0.25">
      <c r="A1305"/>
      <c r="B1305" s="201">
        <v>-82</v>
      </c>
      <c r="C1305">
        <v>256</v>
      </c>
      <c r="D1305" s="201">
        <v>971</v>
      </c>
      <c r="E1305" s="201">
        <v>668</v>
      </c>
      <c r="F1305">
        <v>312</v>
      </c>
      <c r="G1305">
        <v>0</v>
      </c>
      <c r="H1305">
        <v>0</v>
      </c>
      <c r="I1305">
        <v>0</v>
      </c>
      <c r="J1305">
        <v>0</v>
      </c>
      <c r="K1305" s="201">
        <v>0</v>
      </c>
    </row>
    <row r="1306" spans="1:11" x14ac:dyDescent="0.25">
      <c r="A1306"/>
      <c r="B1306" s="201">
        <v>-952</v>
      </c>
      <c r="C1306">
        <v>0</v>
      </c>
      <c r="D1306" s="201">
        <v>-315</v>
      </c>
      <c r="E1306" s="201">
        <v>-286</v>
      </c>
      <c r="F1306">
        <v>-348</v>
      </c>
      <c r="G1306">
        <v>0</v>
      </c>
      <c r="H1306">
        <v>99</v>
      </c>
      <c r="I1306">
        <v>-995</v>
      </c>
      <c r="J1306">
        <v>140</v>
      </c>
      <c r="K1306" s="201">
        <v>336</v>
      </c>
    </row>
    <row r="1307" spans="1:11" x14ac:dyDescent="0.25">
      <c r="A1307"/>
      <c r="B1307" s="201">
        <v>82</v>
      </c>
      <c r="C1307">
        <v>0</v>
      </c>
      <c r="D1307" s="201">
        <v>-699</v>
      </c>
      <c r="E1307" s="201">
        <v>-1635</v>
      </c>
      <c r="F1307">
        <v>758</v>
      </c>
      <c r="G1307">
        <v>721</v>
      </c>
      <c r="H1307">
        <v>0</v>
      </c>
      <c r="I1307">
        <v>212</v>
      </c>
      <c r="J1307">
        <v>225</v>
      </c>
      <c r="K1307" s="201">
        <v>0</v>
      </c>
    </row>
    <row r="1308" spans="1:11" x14ac:dyDescent="0.25">
      <c r="A1308"/>
      <c r="B1308" s="201">
        <v>0</v>
      </c>
      <c r="C1308">
        <v>0</v>
      </c>
      <c r="D1308" s="201">
        <v>57</v>
      </c>
      <c r="E1308" s="201">
        <v>-128</v>
      </c>
      <c r="F1308">
        <v>0</v>
      </c>
      <c r="G1308">
        <v>278</v>
      </c>
      <c r="H1308">
        <v>862</v>
      </c>
      <c r="I1308">
        <v>586</v>
      </c>
      <c r="J1308">
        <v>238</v>
      </c>
      <c r="K1308" s="201">
        <v>0</v>
      </c>
    </row>
    <row r="1309" spans="1:11" x14ac:dyDescent="0.25">
      <c r="A1309"/>
      <c r="B1309" s="201">
        <v>0</v>
      </c>
      <c r="C1309">
        <v>0</v>
      </c>
      <c r="D1309" s="201">
        <v>0</v>
      </c>
      <c r="E1309" s="201">
        <v>0</v>
      </c>
      <c r="F1309">
        <v>-456</v>
      </c>
      <c r="G1309">
        <v>0</v>
      </c>
      <c r="H1309">
        <v>1374</v>
      </c>
      <c r="I1309">
        <v>-392</v>
      </c>
      <c r="J1309">
        <v>-547</v>
      </c>
      <c r="K1309" s="201">
        <v>0</v>
      </c>
    </row>
    <row r="1310" spans="1:11" x14ac:dyDescent="0.25">
      <c r="A1310"/>
      <c r="B1310" s="201">
        <v>-1389</v>
      </c>
      <c r="C1310">
        <v>1469</v>
      </c>
      <c r="D1310" s="201">
        <v>13936</v>
      </c>
      <c r="E1310" s="201">
        <v>19088</v>
      </c>
      <c r="F1310">
        <v>19546</v>
      </c>
      <c r="G1310">
        <v>-3250</v>
      </c>
      <c r="H1310">
        <v>-88</v>
      </c>
      <c r="I1310">
        <v>477</v>
      </c>
      <c r="J1310">
        <v>189</v>
      </c>
      <c r="K1310" s="201">
        <v>10942</v>
      </c>
    </row>
    <row r="1311" spans="1:11" x14ac:dyDescent="0.25">
      <c r="A1311"/>
      <c r="B1311" s="201">
        <v>0</v>
      </c>
      <c r="C1311">
        <v>0</v>
      </c>
      <c r="D1311" s="201">
        <v>-232</v>
      </c>
      <c r="E1311" s="201">
        <v>0</v>
      </c>
      <c r="F1311">
        <v>0</v>
      </c>
      <c r="G1311">
        <v>0</v>
      </c>
      <c r="H1311">
        <v>-152</v>
      </c>
      <c r="I1311">
        <v>263</v>
      </c>
      <c r="J1311">
        <v>0</v>
      </c>
      <c r="K1311" s="201">
        <v>0</v>
      </c>
    </row>
    <row r="1312" spans="1:11" x14ac:dyDescent="0.25">
      <c r="A1312"/>
      <c r="B1312" s="201">
        <v>0</v>
      </c>
      <c r="C1312">
        <v>0</v>
      </c>
      <c r="D1312" s="201">
        <v>0</v>
      </c>
      <c r="E1312" s="201">
        <v>0</v>
      </c>
      <c r="F1312">
        <v>66</v>
      </c>
      <c r="G1312">
        <v>0</v>
      </c>
      <c r="H1312">
        <v>0</v>
      </c>
      <c r="I1312">
        <v>-1231</v>
      </c>
      <c r="J1312">
        <v>0</v>
      </c>
      <c r="K1312" s="201">
        <v>1233</v>
      </c>
    </row>
    <row r="1313" spans="1:11" x14ac:dyDescent="0.25">
      <c r="A1313"/>
      <c r="B1313" s="201">
        <v>0</v>
      </c>
      <c r="C1313">
        <v>115</v>
      </c>
      <c r="D1313" s="201">
        <v>1770</v>
      </c>
      <c r="E1313" s="201">
        <v>729</v>
      </c>
      <c r="F1313">
        <v>0</v>
      </c>
      <c r="G1313">
        <v>146</v>
      </c>
      <c r="H1313">
        <v>-176</v>
      </c>
      <c r="I1313">
        <v>3074</v>
      </c>
      <c r="J1313">
        <v>10497</v>
      </c>
      <c r="K1313" s="201">
        <v>1639</v>
      </c>
    </row>
    <row r="1314" spans="1:11" x14ac:dyDescent="0.25">
      <c r="A1314"/>
      <c r="B1314" s="201">
        <v>690</v>
      </c>
      <c r="C1314">
        <v>0</v>
      </c>
      <c r="D1314" s="201">
        <v>-27</v>
      </c>
      <c r="E1314" s="201">
        <v>0</v>
      </c>
      <c r="F1314">
        <v>0</v>
      </c>
      <c r="G1314">
        <v>0</v>
      </c>
      <c r="H1314">
        <v>0</v>
      </c>
      <c r="I1314">
        <v>0</v>
      </c>
      <c r="J1314">
        <v>-329</v>
      </c>
      <c r="K1314" s="201">
        <v>0</v>
      </c>
    </row>
    <row r="1315" spans="1:11" x14ac:dyDescent="0.25">
      <c r="A1315"/>
      <c r="B1315" s="201">
        <v>0</v>
      </c>
      <c r="C1315">
        <v>0</v>
      </c>
      <c r="D1315" s="201">
        <v>-983</v>
      </c>
      <c r="E1315" s="201">
        <v>0</v>
      </c>
      <c r="F1315">
        <v>580</v>
      </c>
      <c r="G1315">
        <v>0</v>
      </c>
      <c r="H1315">
        <v>0</v>
      </c>
      <c r="I1315">
        <v>0</v>
      </c>
      <c r="J1315">
        <v>0</v>
      </c>
      <c r="K1315" s="201">
        <v>0</v>
      </c>
    </row>
    <row r="1316" spans="1:11" x14ac:dyDescent="0.25">
      <c r="A1316"/>
      <c r="B1316" s="201">
        <v>-356</v>
      </c>
      <c r="C1316">
        <v>0</v>
      </c>
      <c r="D1316" s="201">
        <v>-1544</v>
      </c>
      <c r="E1316" s="201">
        <v>-3888</v>
      </c>
      <c r="F1316">
        <v>0</v>
      </c>
      <c r="G1316">
        <v>0</v>
      </c>
      <c r="H1316">
        <v>293</v>
      </c>
      <c r="I1316">
        <v>1549</v>
      </c>
      <c r="J1316">
        <v>0</v>
      </c>
      <c r="K1316" s="201">
        <v>-2212</v>
      </c>
    </row>
    <row r="1317" spans="1:11" x14ac:dyDescent="0.25">
      <c r="A1317"/>
      <c r="B1317" s="201">
        <v>0</v>
      </c>
      <c r="C1317">
        <v>0</v>
      </c>
      <c r="D1317" s="201">
        <v>0</v>
      </c>
      <c r="E1317" s="201">
        <v>0</v>
      </c>
      <c r="F1317">
        <v>-2819</v>
      </c>
      <c r="G1317">
        <v>572</v>
      </c>
      <c r="H1317">
        <v>351</v>
      </c>
      <c r="I1317">
        <v>0</v>
      </c>
      <c r="J1317">
        <v>0</v>
      </c>
      <c r="K1317" s="201">
        <v>-858</v>
      </c>
    </row>
    <row r="1318" spans="1:11" x14ac:dyDescent="0.25">
      <c r="A1318"/>
      <c r="B1318" s="201">
        <v>-310</v>
      </c>
      <c r="C1318">
        <v>0</v>
      </c>
      <c r="D1318" s="201">
        <v>-185</v>
      </c>
      <c r="E1318" s="201">
        <v>-1627</v>
      </c>
      <c r="F1318">
        <v>-271</v>
      </c>
      <c r="G1318">
        <v>-1409</v>
      </c>
      <c r="H1318">
        <v>-1298</v>
      </c>
      <c r="I1318">
        <v>-1443</v>
      </c>
      <c r="J1318">
        <v>-2220</v>
      </c>
      <c r="K1318" s="201">
        <v>0</v>
      </c>
    </row>
    <row r="1319" spans="1:11" x14ac:dyDescent="0.25">
      <c r="A1319"/>
      <c r="B1319" s="201">
        <v>0</v>
      </c>
      <c r="C1319">
        <v>0</v>
      </c>
      <c r="D1319" s="201">
        <v>0</v>
      </c>
      <c r="E1319" s="201">
        <v>0</v>
      </c>
      <c r="F1319">
        <v>-505</v>
      </c>
      <c r="G1319">
        <v>0</v>
      </c>
      <c r="H1319">
        <v>-1980</v>
      </c>
      <c r="I1319">
        <v>17</v>
      </c>
      <c r="J1319">
        <v>1478</v>
      </c>
      <c r="K1319" s="201">
        <v>0</v>
      </c>
    </row>
    <row r="1320" spans="1:11" x14ac:dyDescent="0.25">
      <c r="A1320"/>
      <c r="B1320" s="201">
        <v>325</v>
      </c>
      <c r="C1320">
        <v>-578</v>
      </c>
      <c r="D1320" s="201">
        <v>-24</v>
      </c>
      <c r="E1320" s="201">
        <v>-366</v>
      </c>
      <c r="F1320">
        <v>478</v>
      </c>
      <c r="G1320">
        <v>0</v>
      </c>
      <c r="H1320">
        <v>8026</v>
      </c>
      <c r="I1320">
        <v>-393</v>
      </c>
      <c r="J1320">
        <v>14</v>
      </c>
      <c r="K1320" s="201">
        <v>-176</v>
      </c>
    </row>
    <row r="1321" spans="1:11" x14ac:dyDescent="0.25">
      <c r="A1321"/>
      <c r="B1321" s="201">
        <v>0</v>
      </c>
      <c r="C1321">
        <v>-97</v>
      </c>
      <c r="D1321" s="201">
        <v>231</v>
      </c>
      <c r="E1321" s="201">
        <v>0</v>
      </c>
      <c r="F1321">
        <v>0</v>
      </c>
      <c r="G1321">
        <v>0</v>
      </c>
      <c r="H1321">
        <v>259</v>
      </c>
      <c r="I1321">
        <v>-239</v>
      </c>
      <c r="J1321">
        <v>0</v>
      </c>
      <c r="K1321" s="201">
        <v>-98</v>
      </c>
    </row>
    <row r="1322" spans="1:11" x14ac:dyDescent="0.25">
      <c r="A1322"/>
      <c r="B1322" s="201">
        <v>-1040</v>
      </c>
      <c r="C1322">
        <v>-1033</v>
      </c>
      <c r="D1322" s="201">
        <v>-647</v>
      </c>
      <c r="E1322" s="201">
        <v>0</v>
      </c>
      <c r="F1322">
        <v>0</v>
      </c>
      <c r="G1322">
        <v>0</v>
      </c>
      <c r="H1322">
        <v>0</v>
      </c>
      <c r="I1322">
        <v>0</v>
      </c>
      <c r="J1322">
        <v>-873</v>
      </c>
      <c r="K1322" s="201">
        <v>0</v>
      </c>
    </row>
    <row r="1323" spans="1:11" x14ac:dyDescent="0.25">
      <c r="A1323"/>
      <c r="B1323" s="201">
        <v>914</v>
      </c>
      <c r="C1323">
        <v>-422</v>
      </c>
      <c r="D1323" s="201">
        <v>814</v>
      </c>
      <c r="E1323" s="201">
        <v>0</v>
      </c>
      <c r="F1323">
        <v>-1585</v>
      </c>
      <c r="G1323">
        <v>808</v>
      </c>
      <c r="H1323">
        <v>7796</v>
      </c>
      <c r="I1323">
        <v>15523</v>
      </c>
      <c r="J1323">
        <v>11761</v>
      </c>
      <c r="K1323" s="201">
        <v>21642</v>
      </c>
    </row>
    <row r="1324" spans="1:11" x14ac:dyDescent="0.25">
      <c r="A1324"/>
      <c r="B1324" s="201">
        <v>-3384</v>
      </c>
      <c r="C1324">
        <v>-733</v>
      </c>
      <c r="D1324" s="201">
        <v>325</v>
      </c>
      <c r="E1324" s="201">
        <v>1176</v>
      </c>
      <c r="F1324">
        <v>3240</v>
      </c>
      <c r="G1324">
        <v>0</v>
      </c>
      <c r="H1324">
        <v>0</v>
      </c>
      <c r="I1324">
        <v>-298</v>
      </c>
      <c r="J1324">
        <v>0</v>
      </c>
      <c r="K1324" s="201">
        <v>0</v>
      </c>
    </row>
    <row r="1325" spans="1:11" x14ac:dyDescent="0.25">
      <c r="A1325"/>
      <c r="B1325" s="201">
        <v>0</v>
      </c>
      <c r="C1325">
        <v>-391</v>
      </c>
      <c r="D1325" s="201">
        <v>474</v>
      </c>
      <c r="E1325" s="201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 s="201">
        <v>440</v>
      </c>
    </row>
    <row r="1326" spans="1:11" x14ac:dyDescent="0.25">
      <c r="A1326"/>
      <c r="B1326" s="201">
        <v>0</v>
      </c>
      <c r="C1326">
        <v>0</v>
      </c>
      <c r="D1326" s="201">
        <v>-649</v>
      </c>
      <c r="E1326" s="201">
        <v>0</v>
      </c>
      <c r="F1326">
        <v>802</v>
      </c>
      <c r="G1326">
        <v>0</v>
      </c>
      <c r="H1326">
        <v>-5</v>
      </c>
      <c r="I1326">
        <v>2042</v>
      </c>
      <c r="J1326">
        <v>723</v>
      </c>
      <c r="K1326" s="201">
        <v>0</v>
      </c>
    </row>
    <row r="1327" spans="1:11" x14ac:dyDescent="0.25">
      <c r="A1327"/>
      <c r="B1327" s="201">
        <v>376</v>
      </c>
      <c r="C1327">
        <v>1070</v>
      </c>
      <c r="D1327" s="201">
        <v>2580</v>
      </c>
      <c r="E1327" s="201">
        <v>2252</v>
      </c>
      <c r="F1327">
        <v>5737</v>
      </c>
      <c r="G1327">
        <v>-610</v>
      </c>
      <c r="H1327">
        <v>0</v>
      </c>
      <c r="I1327">
        <v>-26</v>
      </c>
      <c r="J1327">
        <v>0</v>
      </c>
      <c r="K1327" s="201">
        <v>0</v>
      </c>
    </row>
    <row r="1328" spans="1:11" x14ac:dyDescent="0.25">
      <c r="A1328"/>
      <c r="B1328" s="201">
        <v>0</v>
      </c>
      <c r="C1328">
        <v>0</v>
      </c>
      <c r="D1328" s="201">
        <v>0</v>
      </c>
      <c r="E1328" s="201">
        <v>-682</v>
      </c>
      <c r="F1328">
        <v>0</v>
      </c>
      <c r="G1328">
        <v>0</v>
      </c>
      <c r="H1328">
        <v>0</v>
      </c>
      <c r="I1328">
        <v>118</v>
      </c>
      <c r="J1328">
        <v>0</v>
      </c>
      <c r="K1328" s="201">
        <v>772</v>
      </c>
    </row>
    <row r="1329" spans="1:11" x14ac:dyDescent="0.25">
      <c r="A1329"/>
      <c r="B1329" s="201">
        <v>0</v>
      </c>
      <c r="C1329">
        <v>0</v>
      </c>
      <c r="D1329" s="201">
        <v>0</v>
      </c>
      <c r="E1329" s="201">
        <v>0</v>
      </c>
      <c r="F1329">
        <v>0</v>
      </c>
      <c r="G1329">
        <v>-949</v>
      </c>
      <c r="H1329">
        <v>0</v>
      </c>
      <c r="I1329">
        <v>-3759</v>
      </c>
      <c r="J1329">
        <v>-4919</v>
      </c>
      <c r="K1329" s="201">
        <v>0</v>
      </c>
    </row>
    <row r="1330" spans="1:11" x14ac:dyDescent="0.25">
      <c r="A1330"/>
      <c r="B1330" s="201">
        <v>0</v>
      </c>
      <c r="C1330">
        <v>-4944</v>
      </c>
      <c r="D1330" s="201">
        <v>-5313</v>
      </c>
      <c r="E1330" s="201">
        <v>0</v>
      </c>
      <c r="F1330">
        <v>-4994</v>
      </c>
      <c r="G1330">
        <v>0</v>
      </c>
      <c r="H1330">
        <v>0</v>
      </c>
      <c r="I1330">
        <v>0</v>
      </c>
      <c r="J1330">
        <v>0</v>
      </c>
      <c r="K1330" s="201">
        <v>-13365</v>
      </c>
    </row>
    <row r="1331" spans="1:11" x14ac:dyDescent="0.25">
      <c r="A1331"/>
      <c r="B1331" s="201">
        <v>-62</v>
      </c>
      <c r="C1331">
        <v>466</v>
      </c>
      <c r="D1331" s="201">
        <v>0</v>
      </c>
      <c r="E1331" s="201">
        <v>0</v>
      </c>
      <c r="F1331">
        <v>-717</v>
      </c>
      <c r="G1331">
        <v>-523</v>
      </c>
      <c r="H1331">
        <v>0</v>
      </c>
      <c r="I1331">
        <v>-206</v>
      </c>
      <c r="J1331">
        <v>-3194</v>
      </c>
      <c r="K1331" s="201">
        <v>-470</v>
      </c>
    </row>
    <row r="1332" spans="1:11" x14ac:dyDescent="0.25">
      <c r="A1332"/>
      <c r="B1332" s="201">
        <v>-2740</v>
      </c>
      <c r="C1332">
        <v>-6418</v>
      </c>
      <c r="D1332" s="201">
        <v>-3421</v>
      </c>
      <c r="E1332" s="201">
        <v>-4286</v>
      </c>
      <c r="F1332">
        <v>0</v>
      </c>
      <c r="G1332">
        <v>0</v>
      </c>
      <c r="H1332">
        <v>0</v>
      </c>
      <c r="I1332">
        <v>0</v>
      </c>
      <c r="J1332">
        <v>0</v>
      </c>
      <c r="K1332" s="201">
        <v>6949</v>
      </c>
    </row>
    <row r="1333" spans="1:11" x14ac:dyDescent="0.25">
      <c r="A1333"/>
      <c r="B1333" s="201">
        <v>0</v>
      </c>
      <c r="C1333">
        <v>8947</v>
      </c>
      <c r="D1333" s="201">
        <v>75</v>
      </c>
      <c r="E1333" s="201">
        <v>3426</v>
      </c>
      <c r="F1333">
        <v>0</v>
      </c>
      <c r="G1333">
        <v>614</v>
      </c>
      <c r="H1333">
        <v>1957</v>
      </c>
      <c r="I1333">
        <v>-137</v>
      </c>
      <c r="J1333">
        <v>-727</v>
      </c>
      <c r="K1333" s="201">
        <v>744</v>
      </c>
    </row>
    <row r="1334" spans="1:11" x14ac:dyDescent="0.25">
      <c r="A1334"/>
      <c r="B1334" s="201">
        <v>0</v>
      </c>
      <c r="C1334">
        <v>-706</v>
      </c>
      <c r="D1334" s="201">
        <v>15155</v>
      </c>
      <c r="E1334" s="201">
        <v>769</v>
      </c>
      <c r="F1334">
        <v>166</v>
      </c>
      <c r="G1334">
        <v>0</v>
      </c>
      <c r="H1334">
        <v>51</v>
      </c>
      <c r="I1334">
        <v>-2421</v>
      </c>
      <c r="J1334">
        <v>0</v>
      </c>
      <c r="K1334" s="201">
        <v>0</v>
      </c>
    </row>
    <row r="1335" spans="1:11" x14ac:dyDescent="0.25">
      <c r="A1335"/>
      <c r="B1335" s="201">
        <v>0</v>
      </c>
      <c r="C1335">
        <v>425</v>
      </c>
      <c r="D1335" s="201">
        <v>-224</v>
      </c>
      <c r="E1335" s="201">
        <v>0</v>
      </c>
      <c r="F1335">
        <v>-92</v>
      </c>
      <c r="G1335">
        <v>-2615</v>
      </c>
      <c r="H1335">
        <v>-1170</v>
      </c>
      <c r="I1335">
        <v>-1138</v>
      </c>
      <c r="J1335">
        <v>0</v>
      </c>
      <c r="K1335" s="201">
        <v>0</v>
      </c>
    </row>
    <row r="1336" spans="1:11" x14ac:dyDescent="0.25">
      <c r="A1336"/>
      <c r="B1336" s="201">
        <v>0</v>
      </c>
      <c r="C1336">
        <v>0</v>
      </c>
      <c r="D1336" s="201">
        <v>0</v>
      </c>
      <c r="E1336" s="201">
        <v>-106</v>
      </c>
      <c r="F1336">
        <v>0</v>
      </c>
      <c r="G1336">
        <v>-2741</v>
      </c>
      <c r="H1336">
        <v>-143</v>
      </c>
      <c r="I1336">
        <v>1355</v>
      </c>
      <c r="J1336">
        <v>0</v>
      </c>
      <c r="K1336" s="201">
        <v>-16922</v>
      </c>
    </row>
    <row r="1337" spans="1:11" x14ac:dyDescent="0.25">
      <c r="A1337"/>
      <c r="B1337" s="201">
        <v>-14681</v>
      </c>
      <c r="C1337">
        <v>8639</v>
      </c>
      <c r="D1337" s="201">
        <v>18979</v>
      </c>
      <c r="E1337" s="201">
        <v>13576</v>
      </c>
      <c r="F1337">
        <v>21991</v>
      </c>
      <c r="G1337">
        <v>29039</v>
      </c>
      <c r="H1337">
        <v>0</v>
      </c>
      <c r="I1337">
        <v>0</v>
      </c>
      <c r="J1337">
        <v>0</v>
      </c>
      <c r="K1337" s="201">
        <v>0</v>
      </c>
    </row>
    <row r="1338" spans="1:11" x14ac:dyDescent="0.25">
      <c r="A1338"/>
      <c r="B1338" s="201">
        <v>0</v>
      </c>
      <c r="C1338">
        <v>0</v>
      </c>
      <c r="D1338" s="201">
        <v>0</v>
      </c>
      <c r="E1338" s="201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 s="201">
        <v>0</v>
      </c>
    </row>
    <row r="1339" spans="1:11" x14ac:dyDescent="0.25">
      <c r="A1339"/>
      <c r="B1339" s="201">
        <v>0</v>
      </c>
      <c r="C1339">
        <v>0</v>
      </c>
      <c r="D1339" s="201">
        <v>0</v>
      </c>
      <c r="E1339" s="201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 s="201">
        <v>0</v>
      </c>
    </row>
    <row r="1340" spans="1:11" x14ac:dyDescent="0.25">
      <c r="A1340"/>
      <c r="B1340" s="201">
        <v>0</v>
      </c>
      <c r="C1340">
        <v>0</v>
      </c>
      <c r="D1340" s="201">
        <v>0</v>
      </c>
      <c r="E1340" s="201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 s="201">
        <v>0</v>
      </c>
    </row>
    <row r="1341" spans="1:11" x14ac:dyDescent="0.25">
      <c r="A1341"/>
      <c r="B1341" s="201">
        <v>0</v>
      </c>
      <c r="C1341">
        <v>0</v>
      </c>
      <c r="D1341" s="201">
        <v>0</v>
      </c>
      <c r="E1341" s="20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 s="201">
        <v>0</v>
      </c>
    </row>
    <row r="1342" spans="1:11" x14ac:dyDescent="0.25">
      <c r="A1342"/>
      <c r="B1342" s="201">
        <v>0</v>
      </c>
      <c r="C1342">
        <v>0</v>
      </c>
      <c r="D1342" s="201">
        <v>0</v>
      </c>
      <c r="E1342" s="201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 s="201">
        <v>0</v>
      </c>
    </row>
    <row r="1343" spans="1:11" x14ac:dyDescent="0.25">
      <c r="A1343"/>
      <c r="B1343" s="201">
        <v>0</v>
      </c>
      <c r="C1343">
        <v>0</v>
      </c>
      <c r="D1343" s="201">
        <v>0</v>
      </c>
      <c r="E1343" s="201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 s="201">
        <v>0</v>
      </c>
    </row>
    <row r="1344" spans="1:11" x14ac:dyDescent="0.25">
      <c r="A1344"/>
      <c r="B1344" s="201">
        <v>0</v>
      </c>
      <c r="C1344">
        <v>0</v>
      </c>
      <c r="D1344" s="201">
        <v>0</v>
      </c>
      <c r="E1344" s="201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 s="201">
        <v>0</v>
      </c>
    </row>
    <row r="1345" spans="1:11" x14ac:dyDescent="0.25">
      <c r="A1345"/>
      <c r="B1345" s="201">
        <v>0</v>
      </c>
      <c r="C1345">
        <v>0</v>
      </c>
      <c r="D1345" s="201">
        <v>0</v>
      </c>
      <c r="E1345" s="201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 s="201">
        <v>0</v>
      </c>
    </row>
    <row r="1346" spans="1:11" x14ac:dyDescent="0.25">
      <c r="A1346"/>
      <c r="B1346" s="201">
        <v>0</v>
      </c>
      <c r="C1346">
        <v>0</v>
      </c>
      <c r="D1346" s="201">
        <v>0</v>
      </c>
      <c r="E1346" s="201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 s="201">
        <v>0</v>
      </c>
    </row>
    <row r="1347" spans="1:11" x14ac:dyDescent="0.25">
      <c r="A1347"/>
      <c r="B1347" s="201">
        <v>0</v>
      </c>
      <c r="C1347">
        <v>0</v>
      </c>
      <c r="D1347" s="201">
        <v>0</v>
      </c>
      <c r="E1347" s="201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 s="201">
        <v>0</v>
      </c>
    </row>
    <row r="1348" spans="1:11" x14ac:dyDescent="0.25">
      <c r="A1348"/>
      <c r="B1348" s="201">
        <v>0</v>
      </c>
      <c r="C1348">
        <v>0</v>
      </c>
      <c r="D1348" s="201">
        <v>0</v>
      </c>
      <c r="E1348" s="201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 s="201">
        <v>0</v>
      </c>
    </row>
    <row r="1349" spans="1:11" x14ac:dyDescent="0.25">
      <c r="A1349"/>
      <c r="B1349" s="201">
        <v>0</v>
      </c>
      <c r="C1349">
        <v>0</v>
      </c>
      <c r="D1349" s="201">
        <v>0</v>
      </c>
      <c r="E1349" s="201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 s="201">
        <v>0</v>
      </c>
    </row>
    <row r="1350" spans="1:11" x14ac:dyDescent="0.25">
      <c r="A1350"/>
      <c r="B1350" s="201">
        <v>0</v>
      </c>
      <c r="C1350">
        <v>0</v>
      </c>
      <c r="D1350" s="201">
        <v>0</v>
      </c>
      <c r="E1350" s="201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 s="201">
        <v>0</v>
      </c>
    </row>
    <row r="1351" spans="1:11" x14ac:dyDescent="0.25">
      <c r="A1351"/>
      <c r="B1351" s="201">
        <v>0</v>
      </c>
      <c r="C1351">
        <v>0</v>
      </c>
      <c r="D1351" s="201">
        <v>0</v>
      </c>
      <c r="E1351" s="201">
        <v>-11</v>
      </c>
      <c r="F1351">
        <v>-108</v>
      </c>
      <c r="G1351">
        <v>-67</v>
      </c>
      <c r="H1351">
        <v>-150</v>
      </c>
      <c r="I1351">
        <v>45</v>
      </c>
      <c r="J1351">
        <v>0</v>
      </c>
      <c r="K1351" s="201">
        <v>0</v>
      </c>
    </row>
    <row r="1352" spans="1:11" x14ac:dyDescent="0.25">
      <c r="A1352"/>
      <c r="B1352" s="201">
        <v>-178</v>
      </c>
      <c r="C1352">
        <v>0</v>
      </c>
      <c r="D1352" s="201">
        <v>0</v>
      </c>
      <c r="E1352" s="201">
        <v>0</v>
      </c>
      <c r="F1352">
        <v>-57</v>
      </c>
      <c r="G1352">
        <v>105</v>
      </c>
      <c r="H1352">
        <v>0</v>
      </c>
      <c r="I1352">
        <v>0</v>
      </c>
      <c r="J1352">
        <v>0</v>
      </c>
      <c r="K1352" s="201">
        <v>0</v>
      </c>
    </row>
    <row r="1353" spans="1:11" x14ac:dyDescent="0.25">
      <c r="A1353"/>
      <c r="B1353" s="201">
        <v>0</v>
      </c>
      <c r="C1353">
        <v>0</v>
      </c>
      <c r="D1353" s="201">
        <v>31</v>
      </c>
      <c r="E1353" s="201">
        <v>0</v>
      </c>
      <c r="F1353">
        <v>0</v>
      </c>
      <c r="G1353">
        <v>-17</v>
      </c>
      <c r="H1353">
        <v>0</v>
      </c>
      <c r="I1353">
        <v>-89</v>
      </c>
      <c r="J1353">
        <v>0</v>
      </c>
      <c r="K1353" s="201">
        <v>-152</v>
      </c>
    </row>
    <row r="1354" spans="1:11" x14ac:dyDescent="0.25">
      <c r="A1354"/>
      <c r="B1354" s="201">
        <v>199</v>
      </c>
      <c r="C1354">
        <v>115</v>
      </c>
      <c r="D1354" s="201">
        <v>0</v>
      </c>
      <c r="E1354" s="201">
        <v>79</v>
      </c>
      <c r="F1354">
        <v>-65</v>
      </c>
      <c r="G1354">
        <v>-59</v>
      </c>
      <c r="H1354">
        <v>6</v>
      </c>
      <c r="I1354">
        <v>-31</v>
      </c>
      <c r="J1354">
        <v>34</v>
      </c>
      <c r="K1354" s="201">
        <v>0</v>
      </c>
    </row>
    <row r="1355" spans="1:11" x14ac:dyDescent="0.25">
      <c r="B1355" s="201">
        <v>-632</v>
      </c>
      <c r="C1355">
        <v>0</v>
      </c>
      <c r="D1355" s="201">
        <v>0</v>
      </c>
      <c r="E1355" s="201">
        <v>0</v>
      </c>
      <c r="F1355">
        <v>0</v>
      </c>
      <c r="G1355">
        <v>0</v>
      </c>
      <c r="H1355">
        <v>140</v>
      </c>
      <c r="I1355">
        <v>0</v>
      </c>
      <c r="J1355">
        <v>0</v>
      </c>
      <c r="K1355" s="201">
        <v>0</v>
      </c>
    </row>
    <row r="1356" spans="1:11" x14ac:dyDescent="0.25">
      <c r="A1356"/>
      <c r="B1356" s="201">
        <v>-89</v>
      </c>
      <c r="C1356">
        <v>0</v>
      </c>
      <c r="D1356" s="201">
        <v>-10</v>
      </c>
      <c r="E1356" s="201">
        <v>0</v>
      </c>
      <c r="F1356">
        <v>0</v>
      </c>
      <c r="G1356">
        <v>0</v>
      </c>
      <c r="H1356">
        <v>0</v>
      </c>
      <c r="I1356">
        <v>0</v>
      </c>
      <c r="J1356">
        <v>-579</v>
      </c>
      <c r="K1356" s="201">
        <v>0</v>
      </c>
    </row>
    <row r="1357" spans="1:11" x14ac:dyDescent="0.25">
      <c r="A1357"/>
      <c r="B1357" s="201">
        <v>-249</v>
      </c>
      <c r="C1357">
        <v>182</v>
      </c>
      <c r="D1357" s="201">
        <v>0</v>
      </c>
      <c r="E1357" s="201">
        <v>0</v>
      </c>
      <c r="F1357">
        <v>-243</v>
      </c>
      <c r="G1357">
        <v>-240</v>
      </c>
      <c r="H1357">
        <v>0</v>
      </c>
      <c r="I1357">
        <v>236</v>
      </c>
      <c r="J1357">
        <v>0</v>
      </c>
      <c r="K1357" s="201">
        <v>0</v>
      </c>
    </row>
    <row r="1358" spans="1:11" x14ac:dyDescent="0.25">
      <c r="A1358"/>
      <c r="B1358" s="201">
        <v>0</v>
      </c>
      <c r="C1358">
        <v>0</v>
      </c>
      <c r="D1358" s="201">
        <v>-507</v>
      </c>
      <c r="E1358" s="201">
        <v>-4876</v>
      </c>
      <c r="F1358">
        <v>276</v>
      </c>
      <c r="G1358">
        <v>0</v>
      </c>
      <c r="H1358">
        <v>0</v>
      </c>
      <c r="I1358">
        <v>962</v>
      </c>
      <c r="J1358">
        <v>-138</v>
      </c>
      <c r="K1358" s="201">
        <v>0</v>
      </c>
    </row>
    <row r="1359" spans="1:11" x14ac:dyDescent="0.25">
      <c r="A1359"/>
      <c r="B1359" s="201">
        <v>125</v>
      </c>
      <c r="C1359">
        <v>-237</v>
      </c>
      <c r="D1359" s="201">
        <v>146</v>
      </c>
      <c r="E1359" s="201">
        <v>-201</v>
      </c>
      <c r="F1359">
        <v>312</v>
      </c>
      <c r="G1359">
        <v>76</v>
      </c>
      <c r="H1359">
        <v>-114</v>
      </c>
      <c r="I1359">
        <v>0</v>
      </c>
      <c r="J1359">
        <v>0</v>
      </c>
      <c r="K1359" s="201">
        <v>0</v>
      </c>
    </row>
    <row r="1360" spans="1:11" x14ac:dyDescent="0.25">
      <c r="A1360"/>
      <c r="B1360" s="201">
        <v>0</v>
      </c>
      <c r="C1360">
        <v>0</v>
      </c>
      <c r="D1360" s="201">
        <v>444</v>
      </c>
      <c r="E1360" s="201">
        <v>0</v>
      </c>
      <c r="F1360">
        <v>223</v>
      </c>
      <c r="G1360">
        <v>623</v>
      </c>
      <c r="H1360">
        <v>150</v>
      </c>
      <c r="I1360">
        <v>0</v>
      </c>
      <c r="J1360">
        <v>904</v>
      </c>
      <c r="K1360" s="201">
        <v>875</v>
      </c>
    </row>
    <row r="1361" spans="1:11" x14ac:dyDescent="0.25">
      <c r="A1361"/>
      <c r="B1361" s="201">
        <v>487</v>
      </c>
      <c r="C1361">
        <v>1556</v>
      </c>
      <c r="D1361" s="201">
        <v>797</v>
      </c>
      <c r="E1361" s="201">
        <v>0</v>
      </c>
      <c r="F1361">
        <v>-309</v>
      </c>
      <c r="G1361">
        <v>-42</v>
      </c>
      <c r="H1361">
        <v>-120</v>
      </c>
      <c r="I1361">
        <v>-18942</v>
      </c>
      <c r="J1361">
        <v>0</v>
      </c>
      <c r="K1361" s="201">
        <v>-698</v>
      </c>
    </row>
    <row r="1362" spans="1:11" x14ac:dyDescent="0.25">
      <c r="A1362"/>
      <c r="B1362" s="201">
        <v>-2406</v>
      </c>
      <c r="C1362">
        <v>0</v>
      </c>
      <c r="D1362" s="201">
        <v>0</v>
      </c>
      <c r="E1362" s="201">
        <v>0</v>
      </c>
      <c r="F1362">
        <v>-56</v>
      </c>
      <c r="G1362">
        <v>-605</v>
      </c>
      <c r="H1362">
        <v>0</v>
      </c>
      <c r="I1362">
        <v>-611</v>
      </c>
      <c r="J1362">
        <v>1345</v>
      </c>
      <c r="K1362" s="201">
        <v>164</v>
      </c>
    </row>
    <row r="1363" spans="1:11" x14ac:dyDescent="0.25">
      <c r="B1363" s="201">
        <v>-492</v>
      </c>
      <c r="C1363">
        <v>0</v>
      </c>
      <c r="D1363" s="201">
        <v>0</v>
      </c>
      <c r="E1363" s="201">
        <v>0</v>
      </c>
      <c r="F1363">
        <v>0</v>
      </c>
      <c r="G1363">
        <v>0</v>
      </c>
      <c r="H1363">
        <v>138</v>
      </c>
      <c r="I1363">
        <v>0</v>
      </c>
      <c r="J1363">
        <v>-398</v>
      </c>
      <c r="K1363" s="201">
        <v>1761</v>
      </c>
    </row>
    <row r="1364" spans="1:11" x14ac:dyDescent="0.25">
      <c r="A1364"/>
      <c r="B1364" s="201">
        <v>-1016</v>
      </c>
      <c r="C1364">
        <v>0</v>
      </c>
      <c r="D1364" s="201">
        <v>-7908</v>
      </c>
      <c r="E1364" s="201">
        <v>-5274</v>
      </c>
      <c r="F1364">
        <v>-3981</v>
      </c>
      <c r="G1364">
        <v>-9220</v>
      </c>
      <c r="H1364">
        <v>-6480</v>
      </c>
      <c r="I1364">
        <v>-6417</v>
      </c>
      <c r="J1364">
        <v>-512</v>
      </c>
      <c r="K1364" s="201">
        <v>-395</v>
      </c>
    </row>
    <row r="1365" spans="1:11" x14ac:dyDescent="0.25">
      <c r="A1365"/>
      <c r="B1365" s="201">
        <v>0</v>
      </c>
      <c r="C1365">
        <v>0</v>
      </c>
      <c r="D1365" s="201">
        <v>0</v>
      </c>
      <c r="E1365" s="201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 s="201">
        <v>0</v>
      </c>
    </row>
    <row r="1366" spans="1:11" x14ac:dyDescent="0.25">
      <c r="A1366"/>
      <c r="B1366" s="201">
        <v>0</v>
      </c>
      <c r="C1366">
        <v>0</v>
      </c>
      <c r="D1366" s="201">
        <v>0</v>
      </c>
      <c r="E1366" s="201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 s="201">
        <v>0</v>
      </c>
    </row>
    <row r="1367" spans="1:11" x14ac:dyDescent="0.25">
      <c r="A1367"/>
      <c r="B1367" s="201">
        <v>0</v>
      </c>
      <c r="C1367">
        <v>0</v>
      </c>
      <c r="D1367" s="201">
        <v>0</v>
      </c>
      <c r="E1367" s="201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 s="201">
        <v>0</v>
      </c>
    </row>
    <row r="1368" spans="1:11" x14ac:dyDescent="0.25">
      <c r="A1368"/>
      <c r="B1368" s="201">
        <v>0</v>
      </c>
      <c r="C1368">
        <v>0</v>
      </c>
      <c r="D1368" s="201">
        <v>0</v>
      </c>
      <c r="E1368" s="201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 s="201">
        <v>0</v>
      </c>
    </row>
    <row r="1369" spans="1:11" x14ac:dyDescent="0.25">
      <c r="A1369"/>
      <c r="B1369" s="201">
        <v>0</v>
      </c>
      <c r="C1369">
        <v>0</v>
      </c>
      <c r="D1369" s="201">
        <v>0</v>
      </c>
      <c r="E1369" s="201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 s="201">
        <v>0</v>
      </c>
    </row>
    <row r="1370" spans="1:11" x14ac:dyDescent="0.25">
      <c r="A1370"/>
      <c r="B1370" s="201">
        <v>0</v>
      </c>
      <c r="C1370">
        <v>0</v>
      </c>
      <c r="D1370" s="201">
        <v>0</v>
      </c>
      <c r="E1370" s="201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 s="201">
        <v>0</v>
      </c>
    </row>
    <row r="1371" spans="1:11" x14ac:dyDescent="0.25">
      <c r="A1371"/>
      <c r="B1371" s="201">
        <v>0</v>
      </c>
      <c r="C1371">
        <v>0</v>
      </c>
      <c r="D1371" s="201">
        <v>0</v>
      </c>
      <c r="E1371" s="20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 s="201">
        <v>0</v>
      </c>
    </row>
    <row r="1372" spans="1:11" x14ac:dyDescent="0.25">
      <c r="A1372"/>
      <c r="B1372" s="201">
        <v>0</v>
      </c>
      <c r="C1372">
        <v>0</v>
      </c>
      <c r="D1372" s="201">
        <v>0</v>
      </c>
      <c r="E1372" s="201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 s="201">
        <v>0</v>
      </c>
    </row>
    <row r="1373" spans="1:11" x14ac:dyDescent="0.25">
      <c r="A1373"/>
      <c r="B1373" s="201">
        <v>0</v>
      </c>
      <c r="C1373">
        <v>0</v>
      </c>
      <c r="D1373" s="201">
        <v>0</v>
      </c>
      <c r="E1373" s="201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 s="201">
        <v>0</v>
      </c>
    </row>
    <row r="1374" spans="1:11" x14ac:dyDescent="0.25">
      <c r="A1374"/>
      <c r="B1374" s="201">
        <v>0</v>
      </c>
      <c r="C1374">
        <v>0</v>
      </c>
      <c r="D1374" s="201">
        <v>0</v>
      </c>
      <c r="E1374" s="201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 s="201">
        <v>0</v>
      </c>
    </row>
    <row r="1375" spans="1:11" x14ac:dyDescent="0.25">
      <c r="A1375"/>
      <c r="B1375" s="201">
        <v>0</v>
      </c>
      <c r="C1375">
        <v>0</v>
      </c>
      <c r="D1375" s="201">
        <v>0</v>
      </c>
      <c r="E1375" s="201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 s="201">
        <v>0</v>
      </c>
    </row>
    <row r="1376" spans="1:11" x14ac:dyDescent="0.25">
      <c r="A1376"/>
      <c r="B1376" s="201">
        <v>0</v>
      </c>
      <c r="C1376">
        <v>0</v>
      </c>
      <c r="D1376" s="201">
        <v>0</v>
      </c>
      <c r="E1376" s="201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 s="201">
        <v>0</v>
      </c>
    </row>
    <row r="1377" spans="1:11" x14ac:dyDescent="0.25">
      <c r="A1377"/>
      <c r="B1377" s="201">
        <v>0</v>
      </c>
      <c r="C1377">
        <v>0</v>
      </c>
      <c r="D1377" s="201">
        <v>0</v>
      </c>
      <c r="E1377" s="201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 s="201">
        <v>0</v>
      </c>
    </row>
    <row r="1378" spans="1:11" x14ac:dyDescent="0.25">
      <c r="A1378"/>
      <c r="B1378" s="201">
        <v>0</v>
      </c>
      <c r="C1378">
        <v>0</v>
      </c>
      <c r="D1378" s="201">
        <v>0</v>
      </c>
      <c r="E1378" s="201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 s="201">
        <v>0</v>
      </c>
    </row>
    <row r="1379" spans="1:11" x14ac:dyDescent="0.25">
      <c r="A1379"/>
      <c r="B1379" s="201">
        <v>0</v>
      </c>
      <c r="C1379">
        <v>0</v>
      </c>
      <c r="D1379" s="201">
        <v>0</v>
      </c>
      <c r="E1379" s="201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 s="201">
        <v>0</v>
      </c>
    </row>
    <row r="1380" spans="1:11" x14ac:dyDescent="0.25">
      <c r="A1380"/>
      <c r="B1380" s="201">
        <v>0</v>
      </c>
      <c r="C1380">
        <v>0</v>
      </c>
      <c r="D1380" s="201">
        <v>0</v>
      </c>
      <c r="E1380" s="201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 s="201">
        <v>0</v>
      </c>
    </row>
    <row r="1381" spans="1:11" x14ac:dyDescent="0.25">
      <c r="A1381"/>
      <c r="B1381" s="201">
        <v>0</v>
      </c>
      <c r="C1381">
        <v>0</v>
      </c>
      <c r="D1381" s="201">
        <v>0</v>
      </c>
      <c r="E1381" s="20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 s="201">
        <v>0</v>
      </c>
    </row>
    <row r="1382" spans="1:11" x14ac:dyDescent="0.25">
      <c r="A1382"/>
      <c r="B1382" s="201">
        <v>0</v>
      </c>
      <c r="C1382">
        <v>0</v>
      </c>
      <c r="D1382" s="201">
        <v>0</v>
      </c>
      <c r="E1382" s="201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 s="201">
        <v>0</v>
      </c>
    </row>
    <row r="1383" spans="1:11" x14ac:dyDescent="0.25">
      <c r="A1383"/>
      <c r="B1383" s="201">
        <v>0</v>
      </c>
      <c r="C1383">
        <v>0</v>
      </c>
      <c r="D1383" s="201">
        <v>0</v>
      </c>
      <c r="E1383" s="201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 s="201">
        <v>0</v>
      </c>
    </row>
    <row r="1384" spans="1:11" x14ac:dyDescent="0.25">
      <c r="A1384"/>
      <c r="B1384" s="201">
        <v>0</v>
      </c>
      <c r="C1384">
        <v>0</v>
      </c>
      <c r="D1384" s="201">
        <v>0</v>
      </c>
      <c r="E1384" s="201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 s="201">
        <v>0</v>
      </c>
    </row>
    <row r="1385" spans="1:11" x14ac:dyDescent="0.25">
      <c r="A1385"/>
      <c r="B1385" s="201">
        <v>0</v>
      </c>
      <c r="C1385">
        <v>0</v>
      </c>
      <c r="D1385" s="201">
        <v>0</v>
      </c>
      <c r="E1385" s="201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 s="201">
        <v>0</v>
      </c>
    </row>
    <row r="1386" spans="1:11" x14ac:dyDescent="0.25">
      <c r="A1386"/>
      <c r="B1386" s="201">
        <v>0</v>
      </c>
      <c r="C1386">
        <v>0</v>
      </c>
      <c r="D1386" s="201">
        <v>0</v>
      </c>
      <c r="E1386" s="201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 s="201">
        <v>0</v>
      </c>
    </row>
    <row r="1387" spans="1:11" x14ac:dyDescent="0.25">
      <c r="A1387"/>
      <c r="B1387" s="201">
        <v>0</v>
      </c>
      <c r="C1387">
        <v>0</v>
      </c>
      <c r="D1387" s="201">
        <v>0</v>
      </c>
      <c r="E1387" s="201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 s="201">
        <v>0</v>
      </c>
    </row>
    <row r="1388" spans="1:11" x14ac:dyDescent="0.25">
      <c r="A1388"/>
      <c r="B1388" s="201">
        <v>0</v>
      </c>
      <c r="C1388">
        <v>0</v>
      </c>
      <c r="D1388" s="201">
        <v>0</v>
      </c>
      <c r="E1388" s="201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 s="201">
        <v>0</v>
      </c>
    </row>
    <row r="1389" spans="1:11" x14ac:dyDescent="0.25">
      <c r="A1389"/>
      <c r="B1389" s="201">
        <v>0</v>
      </c>
      <c r="C1389">
        <v>0</v>
      </c>
      <c r="D1389" s="201">
        <v>0</v>
      </c>
      <c r="E1389" s="201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 s="201">
        <v>0</v>
      </c>
    </row>
    <row r="1390" spans="1:11" x14ac:dyDescent="0.25">
      <c r="A1390"/>
      <c r="B1390" s="201">
        <v>0</v>
      </c>
      <c r="C1390">
        <v>0</v>
      </c>
      <c r="D1390" s="201">
        <v>0</v>
      </c>
      <c r="E1390" s="201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 s="201">
        <v>0</v>
      </c>
    </row>
    <row r="1391" spans="1:11" x14ac:dyDescent="0.25">
      <c r="A1391"/>
      <c r="B1391" s="201">
        <v>0</v>
      </c>
      <c r="C1391">
        <v>0</v>
      </c>
      <c r="D1391" s="201">
        <v>0</v>
      </c>
      <c r="E1391" s="20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 s="201">
        <v>0</v>
      </c>
    </row>
    <row r="1392" spans="1:11" x14ac:dyDescent="0.25">
      <c r="A1392"/>
      <c r="B1392" s="201">
        <v>0</v>
      </c>
      <c r="C1392">
        <v>0</v>
      </c>
      <c r="D1392" s="201">
        <v>0</v>
      </c>
      <c r="E1392" s="201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 s="201">
        <v>0</v>
      </c>
    </row>
    <row r="1393" spans="1:11" x14ac:dyDescent="0.25">
      <c r="A1393"/>
      <c r="B1393" s="201">
        <v>-1240</v>
      </c>
      <c r="C1393">
        <v>201</v>
      </c>
      <c r="D1393" s="201">
        <v>146</v>
      </c>
      <c r="E1393" s="201">
        <v>-37</v>
      </c>
      <c r="F1393">
        <v>540</v>
      </c>
      <c r="G1393">
        <v>0</v>
      </c>
      <c r="H1393">
        <v>0</v>
      </c>
      <c r="I1393">
        <v>129</v>
      </c>
      <c r="J1393">
        <v>0</v>
      </c>
      <c r="K1393" s="201">
        <v>0</v>
      </c>
    </row>
    <row r="1394" spans="1:11" x14ac:dyDescent="0.25">
      <c r="A1394"/>
      <c r="B1394" s="201">
        <v>0</v>
      </c>
      <c r="C1394">
        <v>-59</v>
      </c>
      <c r="D1394" s="201">
        <v>-56</v>
      </c>
      <c r="E1394" s="201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 s="201">
        <v>59</v>
      </c>
    </row>
    <row r="1395" spans="1:11" x14ac:dyDescent="0.25">
      <c r="A1395"/>
      <c r="B1395" s="201">
        <v>0</v>
      </c>
      <c r="C1395">
        <v>0</v>
      </c>
      <c r="D1395" s="201">
        <v>-153</v>
      </c>
      <c r="E1395" s="201">
        <v>0</v>
      </c>
      <c r="F1395">
        <v>115</v>
      </c>
      <c r="G1395">
        <v>0</v>
      </c>
      <c r="H1395">
        <v>-112</v>
      </c>
      <c r="I1395">
        <v>584</v>
      </c>
      <c r="J1395">
        <v>189</v>
      </c>
      <c r="K1395" s="201">
        <v>0</v>
      </c>
    </row>
    <row r="1396" spans="1:11" x14ac:dyDescent="0.25">
      <c r="B1396" s="201">
        <v>-237</v>
      </c>
      <c r="C1396">
        <v>-133</v>
      </c>
      <c r="D1396" s="201">
        <v>429</v>
      </c>
      <c r="E1396" s="201">
        <v>719</v>
      </c>
      <c r="F1396">
        <v>0</v>
      </c>
      <c r="G1396">
        <v>638</v>
      </c>
      <c r="H1396">
        <v>0</v>
      </c>
      <c r="I1396">
        <v>-302</v>
      </c>
      <c r="J1396">
        <v>0</v>
      </c>
      <c r="K1396" s="201">
        <v>0</v>
      </c>
    </row>
    <row r="1397" spans="1:11" x14ac:dyDescent="0.25">
      <c r="A1397"/>
      <c r="B1397" s="201">
        <v>0</v>
      </c>
      <c r="C1397">
        <v>0</v>
      </c>
      <c r="D1397" s="201">
        <v>0</v>
      </c>
      <c r="E1397" s="201">
        <v>-43</v>
      </c>
      <c r="F1397">
        <v>0</v>
      </c>
      <c r="G1397">
        <v>0</v>
      </c>
      <c r="H1397">
        <v>0</v>
      </c>
      <c r="I1397">
        <v>126</v>
      </c>
      <c r="J1397">
        <v>0</v>
      </c>
      <c r="K1397" s="201">
        <v>188</v>
      </c>
    </row>
    <row r="1398" spans="1:11" x14ac:dyDescent="0.25">
      <c r="A1398"/>
      <c r="B1398" s="201">
        <v>0</v>
      </c>
      <c r="C1398">
        <v>0</v>
      </c>
      <c r="D1398" s="201">
        <v>0</v>
      </c>
      <c r="E1398" s="201">
        <v>0</v>
      </c>
      <c r="F1398">
        <v>0</v>
      </c>
      <c r="G1398">
        <v>148</v>
      </c>
      <c r="H1398">
        <v>0</v>
      </c>
      <c r="I1398">
        <v>409</v>
      </c>
      <c r="J1398">
        <v>-268</v>
      </c>
      <c r="K1398" s="201">
        <v>0</v>
      </c>
    </row>
    <row r="1399" spans="1:11" x14ac:dyDescent="0.25">
      <c r="A1399"/>
      <c r="B1399" s="201">
        <v>0</v>
      </c>
      <c r="C1399">
        <v>7465</v>
      </c>
      <c r="D1399" s="201">
        <v>7017</v>
      </c>
      <c r="E1399" s="201">
        <v>0</v>
      </c>
      <c r="F1399">
        <v>-1341</v>
      </c>
      <c r="G1399">
        <v>0</v>
      </c>
      <c r="H1399">
        <v>0</v>
      </c>
      <c r="I1399">
        <v>0</v>
      </c>
      <c r="J1399">
        <v>0</v>
      </c>
      <c r="K1399" s="201">
        <v>6036</v>
      </c>
    </row>
    <row r="1400" spans="1:11" x14ac:dyDescent="0.25">
      <c r="A1400"/>
      <c r="B1400" s="201">
        <v>-3592</v>
      </c>
      <c r="C1400">
        <v>-2386</v>
      </c>
      <c r="D1400" s="201">
        <v>0</v>
      </c>
      <c r="E1400" s="201">
        <v>0</v>
      </c>
      <c r="F1400">
        <v>1669</v>
      </c>
      <c r="G1400">
        <v>-275</v>
      </c>
      <c r="H1400">
        <v>0</v>
      </c>
      <c r="I1400">
        <v>-396</v>
      </c>
      <c r="J1400">
        <v>-1111</v>
      </c>
      <c r="K1400" s="201">
        <v>-65</v>
      </c>
    </row>
    <row r="1401" spans="1:11" x14ac:dyDescent="0.25">
      <c r="A1401"/>
      <c r="B1401" s="201">
        <v>-532</v>
      </c>
      <c r="C1401">
        <v>-1945</v>
      </c>
      <c r="D1401" s="201">
        <v>-528</v>
      </c>
      <c r="E1401" s="201">
        <v>-742</v>
      </c>
      <c r="F1401">
        <v>0</v>
      </c>
      <c r="G1401">
        <v>0</v>
      </c>
      <c r="H1401">
        <v>0</v>
      </c>
      <c r="I1401">
        <v>0</v>
      </c>
      <c r="J1401">
        <v>0</v>
      </c>
      <c r="K1401" s="201">
        <v>-8517</v>
      </c>
    </row>
    <row r="1402" spans="1:11" x14ac:dyDescent="0.25">
      <c r="A1402"/>
      <c r="B1402" s="201">
        <v>0</v>
      </c>
      <c r="C1402">
        <v>-9427</v>
      </c>
      <c r="D1402" s="201">
        <v>-1762</v>
      </c>
      <c r="E1402" s="201">
        <v>-78</v>
      </c>
      <c r="F1402">
        <v>0</v>
      </c>
      <c r="G1402">
        <v>-520</v>
      </c>
      <c r="H1402">
        <v>-788</v>
      </c>
      <c r="I1402">
        <v>-191</v>
      </c>
      <c r="J1402">
        <v>-486</v>
      </c>
      <c r="K1402" s="201">
        <v>-753</v>
      </c>
    </row>
    <row r="1403" spans="1:11" x14ac:dyDescent="0.25">
      <c r="A1403"/>
      <c r="B1403" s="201">
        <v>0</v>
      </c>
      <c r="C1403">
        <v>-58</v>
      </c>
      <c r="D1403" s="201">
        <v>-1701</v>
      </c>
      <c r="E1403" s="201">
        <v>325</v>
      </c>
      <c r="F1403">
        <v>-2353</v>
      </c>
      <c r="G1403">
        <v>0</v>
      </c>
      <c r="H1403">
        <v>-244</v>
      </c>
      <c r="I1403">
        <v>17208</v>
      </c>
      <c r="J1403">
        <v>0</v>
      </c>
      <c r="K1403" s="201">
        <v>0</v>
      </c>
    </row>
    <row r="1404" spans="1:11" x14ac:dyDescent="0.25">
      <c r="A1404"/>
      <c r="B1404" s="201">
        <v>0</v>
      </c>
      <c r="C1404">
        <v>9</v>
      </c>
      <c r="D1404" s="201">
        <v>93</v>
      </c>
      <c r="E1404" s="201">
        <v>0</v>
      </c>
      <c r="F1404">
        <v>7</v>
      </c>
      <c r="G1404">
        <v>-470</v>
      </c>
      <c r="H1404">
        <v>-340</v>
      </c>
      <c r="I1404">
        <v>825</v>
      </c>
      <c r="J1404">
        <v>0</v>
      </c>
      <c r="K1404" s="201">
        <v>0</v>
      </c>
    </row>
    <row r="1405" spans="1:11" x14ac:dyDescent="0.25">
      <c r="A1405"/>
      <c r="B1405" s="201">
        <v>0</v>
      </c>
      <c r="C1405">
        <v>0</v>
      </c>
      <c r="D1405" s="201">
        <v>0</v>
      </c>
      <c r="E1405" s="201">
        <v>-2301</v>
      </c>
      <c r="F1405">
        <v>0</v>
      </c>
      <c r="G1405">
        <v>-1436</v>
      </c>
      <c r="H1405">
        <v>-1237</v>
      </c>
      <c r="I1405">
        <v>-868</v>
      </c>
      <c r="J1405">
        <v>0</v>
      </c>
      <c r="K1405" s="201">
        <v>1043</v>
      </c>
    </row>
    <row r="1406" spans="1:11" x14ac:dyDescent="0.25">
      <c r="A1406"/>
      <c r="B1406" s="201">
        <v>-1338</v>
      </c>
      <c r="C1406">
        <v>3009</v>
      </c>
      <c r="D1406" s="201">
        <v>6613</v>
      </c>
      <c r="E1406" s="201">
        <v>6591</v>
      </c>
      <c r="F1406">
        <v>4004</v>
      </c>
      <c r="G1406">
        <v>10778</v>
      </c>
      <c r="H1406">
        <v>-7449</v>
      </c>
      <c r="I1406">
        <v>0</v>
      </c>
      <c r="J1406">
        <v>12370</v>
      </c>
      <c r="K1406" s="201">
        <v>0</v>
      </c>
    </row>
    <row r="1407" spans="1:11" x14ac:dyDescent="0.25">
      <c r="A1407"/>
      <c r="B1407" s="201">
        <v>0</v>
      </c>
      <c r="C1407">
        <v>755</v>
      </c>
      <c r="D1407" s="201">
        <v>-224</v>
      </c>
      <c r="E1407" s="201">
        <v>87</v>
      </c>
      <c r="F1407">
        <v>76</v>
      </c>
      <c r="G1407">
        <v>66</v>
      </c>
      <c r="H1407">
        <v>0</v>
      </c>
      <c r="I1407">
        <v>0</v>
      </c>
      <c r="J1407">
        <v>-375</v>
      </c>
      <c r="K1407" s="201">
        <v>0</v>
      </c>
    </row>
    <row r="1408" spans="1:11" x14ac:dyDescent="0.25">
      <c r="A1408"/>
      <c r="B1408" s="201">
        <v>0</v>
      </c>
      <c r="C1408">
        <v>0</v>
      </c>
      <c r="D1408" s="201">
        <v>-60</v>
      </c>
      <c r="E1408" s="201">
        <v>-218</v>
      </c>
      <c r="F1408">
        <v>0</v>
      </c>
      <c r="G1408">
        <v>0</v>
      </c>
      <c r="H1408">
        <v>0</v>
      </c>
      <c r="I1408">
        <v>0</v>
      </c>
      <c r="J1408">
        <v>0</v>
      </c>
      <c r="K1408" s="201">
        <v>0</v>
      </c>
    </row>
    <row r="1409" spans="1:11" x14ac:dyDescent="0.25">
      <c r="A1409"/>
      <c r="B1409" s="201">
        <v>-324</v>
      </c>
      <c r="C1409">
        <v>0</v>
      </c>
      <c r="D1409" s="201">
        <v>0</v>
      </c>
      <c r="E1409" s="201">
        <v>81</v>
      </c>
      <c r="F1409">
        <v>0</v>
      </c>
      <c r="G1409">
        <v>-198</v>
      </c>
      <c r="H1409">
        <v>0</v>
      </c>
      <c r="I1409">
        <v>-39</v>
      </c>
      <c r="J1409">
        <v>-173</v>
      </c>
      <c r="K1409" s="201">
        <v>-12</v>
      </c>
    </row>
    <row r="1410" spans="1:11" x14ac:dyDescent="0.25">
      <c r="A1410"/>
      <c r="B1410" s="201">
        <v>0</v>
      </c>
      <c r="C1410">
        <v>189</v>
      </c>
      <c r="D1410" s="201">
        <v>-91</v>
      </c>
      <c r="E1410" s="201">
        <v>-153</v>
      </c>
      <c r="F1410">
        <v>-225</v>
      </c>
      <c r="G1410">
        <v>-235</v>
      </c>
      <c r="H1410">
        <v>-393</v>
      </c>
      <c r="I1410">
        <v>0</v>
      </c>
      <c r="J1410">
        <v>163</v>
      </c>
      <c r="K1410" s="201">
        <v>0</v>
      </c>
    </row>
    <row r="1411" spans="1:11" x14ac:dyDescent="0.25">
      <c r="A1411"/>
      <c r="B1411" s="201">
        <v>0</v>
      </c>
      <c r="C1411">
        <v>0</v>
      </c>
      <c r="D1411" s="201">
        <v>0</v>
      </c>
      <c r="E1411" s="201">
        <v>0</v>
      </c>
      <c r="F1411">
        <v>-256</v>
      </c>
      <c r="G1411">
        <v>0</v>
      </c>
      <c r="H1411">
        <v>0</v>
      </c>
      <c r="I1411">
        <v>0</v>
      </c>
      <c r="J1411">
        <v>-186</v>
      </c>
      <c r="K1411" s="201">
        <v>0</v>
      </c>
    </row>
    <row r="1412" spans="1:11" x14ac:dyDescent="0.25">
      <c r="A1412"/>
      <c r="B1412" s="201">
        <v>-33</v>
      </c>
      <c r="C1412">
        <v>0</v>
      </c>
      <c r="D1412" s="201">
        <v>0</v>
      </c>
      <c r="E1412" s="201">
        <v>0</v>
      </c>
      <c r="F1412">
        <v>0</v>
      </c>
      <c r="G1412">
        <v>0</v>
      </c>
      <c r="H1412">
        <v>39</v>
      </c>
      <c r="I1412">
        <v>0</v>
      </c>
      <c r="J1412">
        <v>-67</v>
      </c>
      <c r="K1412" s="201">
        <v>96</v>
      </c>
    </row>
    <row r="1413" spans="1:11" x14ac:dyDescent="0.25">
      <c r="A1413"/>
      <c r="B1413" s="201">
        <v>0</v>
      </c>
      <c r="C1413">
        <v>0</v>
      </c>
      <c r="D1413" s="201">
        <v>238</v>
      </c>
      <c r="E1413" s="201">
        <v>-36</v>
      </c>
      <c r="F1413">
        <v>0</v>
      </c>
      <c r="G1413">
        <v>523</v>
      </c>
      <c r="H1413">
        <v>0</v>
      </c>
      <c r="I1413">
        <v>0</v>
      </c>
      <c r="J1413">
        <v>0</v>
      </c>
      <c r="K1413" s="201">
        <v>0</v>
      </c>
    </row>
    <row r="1414" spans="1:11" x14ac:dyDescent="0.25">
      <c r="A1414"/>
      <c r="B1414" s="201">
        <v>51</v>
      </c>
      <c r="C1414">
        <v>1199</v>
      </c>
      <c r="D1414" s="201">
        <v>140</v>
      </c>
      <c r="E1414" s="201">
        <v>0</v>
      </c>
      <c r="F1414">
        <v>0</v>
      </c>
      <c r="G1414">
        <v>-6219</v>
      </c>
      <c r="H1414">
        <v>1383</v>
      </c>
      <c r="I1414">
        <v>0</v>
      </c>
      <c r="J1414">
        <v>-93</v>
      </c>
      <c r="K1414" s="201">
        <v>-304</v>
      </c>
    </row>
    <row r="1415" spans="1:11" x14ac:dyDescent="0.25">
      <c r="A1415"/>
      <c r="B1415" s="201">
        <v>-331</v>
      </c>
      <c r="C1415">
        <v>-553</v>
      </c>
      <c r="D1415" s="201">
        <v>-116</v>
      </c>
      <c r="E1415" s="201">
        <v>124</v>
      </c>
      <c r="F1415">
        <v>-268</v>
      </c>
      <c r="G1415">
        <v>0</v>
      </c>
      <c r="H1415">
        <v>0</v>
      </c>
      <c r="I1415">
        <v>0</v>
      </c>
      <c r="J1415">
        <v>0</v>
      </c>
      <c r="K1415" s="201">
        <v>0</v>
      </c>
    </row>
    <row r="1416" spans="1:11" x14ac:dyDescent="0.25">
      <c r="A1416"/>
      <c r="B1416" s="201">
        <v>24</v>
      </c>
      <c r="C1416">
        <v>0</v>
      </c>
      <c r="D1416" s="201">
        <v>98</v>
      </c>
      <c r="E1416" s="201">
        <v>547</v>
      </c>
      <c r="F1416">
        <v>-1830</v>
      </c>
      <c r="G1416">
        <v>0</v>
      </c>
      <c r="H1416">
        <v>-870</v>
      </c>
      <c r="I1416">
        <v>-87</v>
      </c>
      <c r="J1416">
        <v>2</v>
      </c>
      <c r="K1416" s="201">
        <v>653</v>
      </c>
    </row>
    <row r="1417" spans="1:11" x14ac:dyDescent="0.25">
      <c r="A1417"/>
      <c r="B1417" s="201">
        <v>216</v>
      </c>
      <c r="C1417">
        <v>0</v>
      </c>
      <c r="D1417" s="201">
        <v>174</v>
      </c>
      <c r="E1417" s="201">
        <v>194</v>
      </c>
      <c r="F1417">
        <v>742</v>
      </c>
      <c r="G1417">
        <v>-7</v>
      </c>
      <c r="H1417">
        <v>0</v>
      </c>
      <c r="I1417">
        <v>1059</v>
      </c>
      <c r="J1417">
        <v>-497</v>
      </c>
      <c r="K1417" s="201">
        <v>0</v>
      </c>
    </row>
    <row r="1418" spans="1:11" x14ac:dyDescent="0.25">
      <c r="A1418"/>
      <c r="B1418" s="201">
        <v>0</v>
      </c>
      <c r="C1418">
        <v>0</v>
      </c>
      <c r="D1418" s="201">
        <v>577</v>
      </c>
      <c r="E1418" s="201">
        <v>133</v>
      </c>
      <c r="F1418">
        <v>0</v>
      </c>
      <c r="G1418">
        <v>412</v>
      </c>
      <c r="H1418">
        <v>206</v>
      </c>
      <c r="I1418">
        <v>158</v>
      </c>
      <c r="J1418">
        <v>333</v>
      </c>
      <c r="K1418" s="201">
        <v>0</v>
      </c>
    </row>
    <row r="1419" spans="1:11" x14ac:dyDescent="0.25">
      <c r="A1419"/>
      <c r="B1419" s="201">
        <v>0</v>
      </c>
      <c r="C1419">
        <v>0</v>
      </c>
      <c r="D1419" s="201">
        <v>0</v>
      </c>
      <c r="E1419" s="201">
        <v>0</v>
      </c>
      <c r="F1419">
        <v>895</v>
      </c>
      <c r="G1419">
        <v>0</v>
      </c>
      <c r="H1419">
        <v>-94</v>
      </c>
      <c r="I1419">
        <v>-259</v>
      </c>
      <c r="J1419">
        <v>161</v>
      </c>
      <c r="K1419" s="201">
        <v>0</v>
      </c>
    </row>
    <row r="1420" spans="1:11" x14ac:dyDescent="0.25">
      <c r="A1420"/>
      <c r="B1420" s="201">
        <v>-3499</v>
      </c>
      <c r="C1420">
        <v>-1010</v>
      </c>
      <c r="D1420" s="201">
        <v>2210</v>
      </c>
      <c r="E1420" s="201">
        <v>-4537</v>
      </c>
      <c r="F1420">
        <v>2812</v>
      </c>
      <c r="G1420">
        <v>-2132</v>
      </c>
      <c r="H1420">
        <v>1244</v>
      </c>
      <c r="I1420">
        <v>2831</v>
      </c>
      <c r="J1420">
        <v>0</v>
      </c>
      <c r="K1420" s="201">
        <v>-18905</v>
      </c>
    </row>
    <row r="1421" spans="1:11" x14ac:dyDescent="0.25">
      <c r="A1421"/>
      <c r="B1421" s="201">
        <v>0</v>
      </c>
      <c r="C1421">
        <v>0</v>
      </c>
      <c r="D1421" s="201">
        <v>-10824</v>
      </c>
      <c r="E1421" s="20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 s="201">
        <v>0</v>
      </c>
    </row>
    <row r="1422" spans="1:11" x14ac:dyDescent="0.25">
      <c r="A1422"/>
      <c r="B1422" s="201">
        <v>0</v>
      </c>
      <c r="C1422">
        <v>0</v>
      </c>
      <c r="D1422" s="201">
        <v>0</v>
      </c>
      <c r="E1422" s="201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 s="201">
        <v>0</v>
      </c>
    </row>
    <row r="1423" spans="1:11" x14ac:dyDescent="0.25">
      <c r="A1423"/>
      <c r="B1423" s="201">
        <v>0</v>
      </c>
      <c r="C1423">
        <v>0</v>
      </c>
      <c r="D1423" s="201">
        <v>0</v>
      </c>
      <c r="E1423" s="201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 s="201">
        <v>0</v>
      </c>
    </row>
    <row r="1424" spans="1:11" x14ac:dyDescent="0.25">
      <c r="A1424"/>
      <c r="B1424" s="201">
        <v>0</v>
      </c>
      <c r="C1424">
        <v>0</v>
      </c>
      <c r="D1424" s="201">
        <v>0</v>
      </c>
      <c r="E1424" s="201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 s="201">
        <v>0</v>
      </c>
    </row>
    <row r="1425" spans="1:11" x14ac:dyDescent="0.25">
      <c r="A1425"/>
      <c r="B1425" s="201">
        <v>0</v>
      </c>
      <c r="C1425">
        <v>0</v>
      </c>
      <c r="D1425" s="201">
        <v>0</v>
      </c>
      <c r="E1425" s="201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 s="201">
        <v>0</v>
      </c>
    </row>
    <row r="1426" spans="1:11" x14ac:dyDescent="0.25">
      <c r="A1426"/>
      <c r="B1426" s="201">
        <v>0</v>
      </c>
      <c r="C1426">
        <v>0</v>
      </c>
      <c r="D1426" s="201">
        <v>0</v>
      </c>
      <c r="E1426" s="201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 s="201">
        <v>0</v>
      </c>
    </row>
    <row r="1427" spans="1:11" x14ac:dyDescent="0.25">
      <c r="A1427"/>
      <c r="B1427" s="201">
        <v>0</v>
      </c>
      <c r="C1427">
        <v>0</v>
      </c>
      <c r="D1427" s="201">
        <v>0</v>
      </c>
      <c r="E1427" s="201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 s="201">
        <v>0</v>
      </c>
    </row>
    <row r="1428" spans="1:11" x14ac:dyDescent="0.25">
      <c r="A1428"/>
      <c r="B1428" s="201">
        <v>0</v>
      </c>
      <c r="C1428">
        <v>0</v>
      </c>
      <c r="D1428" s="201">
        <v>0</v>
      </c>
      <c r="E1428" s="201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 s="201">
        <v>0</v>
      </c>
    </row>
    <row r="1429" spans="1:11" x14ac:dyDescent="0.25">
      <c r="A1429"/>
      <c r="B1429" s="201">
        <v>0</v>
      </c>
      <c r="C1429">
        <v>0</v>
      </c>
      <c r="D1429" s="201">
        <v>0</v>
      </c>
      <c r="E1429" s="201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 s="201">
        <v>0</v>
      </c>
    </row>
    <row r="1430" spans="1:11" x14ac:dyDescent="0.25">
      <c r="A1430"/>
      <c r="B1430" s="201">
        <v>0</v>
      </c>
      <c r="C1430">
        <v>0</v>
      </c>
      <c r="D1430" s="201">
        <v>0</v>
      </c>
      <c r="E1430" s="201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 s="201">
        <v>0</v>
      </c>
    </row>
    <row r="1431" spans="1:11" x14ac:dyDescent="0.25">
      <c r="A1431"/>
      <c r="B1431" s="201">
        <v>0</v>
      </c>
      <c r="C1431">
        <v>0</v>
      </c>
      <c r="D1431" s="201">
        <v>0</v>
      </c>
      <c r="E1431" s="20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 s="201">
        <v>0</v>
      </c>
    </row>
    <row r="1432" spans="1:11" x14ac:dyDescent="0.25">
      <c r="A1432"/>
      <c r="B1432" s="201">
        <v>0</v>
      </c>
      <c r="C1432">
        <v>0</v>
      </c>
      <c r="D1432" s="201">
        <v>0</v>
      </c>
      <c r="E1432" s="201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 s="201">
        <v>0</v>
      </c>
    </row>
    <row r="1433" spans="1:11" x14ac:dyDescent="0.25">
      <c r="A1433"/>
      <c r="B1433" s="201">
        <v>0</v>
      </c>
      <c r="C1433">
        <v>0</v>
      </c>
      <c r="D1433" s="201">
        <v>0</v>
      </c>
      <c r="E1433" s="201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 s="201">
        <v>0</v>
      </c>
    </row>
    <row r="1434" spans="1:11" x14ac:dyDescent="0.25">
      <c r="A1434"/>
      <c r="B1434" s="201">
        <v>0</v>
      </c>
      <c r="C1434">
        <v>0</v>
      </c>
      <c r="D1434" s="201">
        <v>0</v>
      </c>
      <c r="E1434" s="201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 s="201">
        <v>0</v>
      </c>
    </row>
    <row r="1435" spans="1:11" x14ac:dyDescent="0.25">
      <c r="A1435"/>
      <c r="B1435" s="201">
        <v>0</v>
      </c>
      <c r="C1435">
        <v>0</v>
      </c>
      <c r="D1435" s="201">
        <v>0</v>
      </c>
      <c r="E1435" s="201">
        <v>0</v>
      </c>
      <c r="F1435">
        <v>0</v>
      </c>
      <c r="G1435">
        <v>0</v>
      </c>
      <c r="H1435">
        <v>-428</v>
      </c>
      <c r="I1435">
        <v>-327</v>
      </c>
      <c r="J1435">
        <v>-750</v>
      </c>
      <c r="K1435" s="201">
        <v>-602</v>
      </c>
    </row>
    <row r="1436" spans="1:11" x14ac:dyDescent="0.25">
      <c r="A1436"/>
      <c r="B1436" s="201">
        <v>188</v>
      </c>
      <c r="C1436">
        <v>0</v>
      </c>
      <c r="D1436" s="201">
        <v>0</v>
      </c>
      <c r="E1436" s="201">
        <v>-5</v>
      </c>
      <c r="F1436">
        <v>0</v>
      </c>
      <c r="G1436">
        <v>0</v>
      </c>
      <c r="H1436">
        <v>0</v>
      </c>
      <c r="I1436">
        <v>4667</v>
      </c>
      <c r="J1436">
        <v>208</v>
      </c>
      <c r="K1436" s="201">
        <v>0</v>
      </c>
    </row>
    <row r="1437" spans="1:11" x14ac:dyDescent="0.25">
      <c r="A1437"/>
      <c r="B1437" s="201">
        <v>0</v>
      </c>
      <c r="C1437">
        <v>0</v>
      </c>
      <c r="D1437" s="201">
        <v>0</v>
      </c>
      <c r="E1437" s="201">
        <v>0</v>
      </c>
      <c r="F1437">
        <v>0</v>
      </c>
      <c r="G1437">
        <v>-88</v>
      </c>
      <c r="H1437">
        <v>0</v>
      </c>
      <c r="I1437">
        <v>0</v>
      </c>
      <c r="J1437">
        <v>94</v>
      </c>
      <c r="K1437" s="201">
        <v>0</v>
      </c>
    </row>
    <row r="1438" spans="1:11" x14ac:dyDescent="0.25">
      <c r="A1438"/>
      <c r="B1438" s="201">
        <v>-54</v>
      </c>
      <c r="C1438">
        <v>0</v>
      </c>
      <c r="D1438" s="201">
        <v>-66</v>
      </c>
      <c r="E1438" s="201">
        <v>-485</v>
      </c>
      <c r="F1438">
        <v>-38</v>
      </c>
      <c r="G1438">
        <v>0</v>
      </c>
      <c r="H1438">
        <v>526</v>
      </c>
      <c r="I1438">
        <v>-15</v>
      </c>
      <c r="J1438">
        <v>-440</v>
      </c>
      <c r="K1438" s="201">
        <v>-461</v>
      </c>
    </row>
    <row r="1439" spans="1:11" x14ac:dyDescent="0.25">
      <c r="A1439"/>
      <c r="B1439" s="201">
        <v>-498</v>
      </c>
      <c r="C1439">
        <v>-821</v>
      </c>
      <c r="D1439" s="201">
        <v>0</v>
      </c>
      <c r="E1439" s="201">
        <v>-196</v>
      </c>
      <c r="F1439">
        <v>0</v>
      </c>
      <c r="G1439">
        <v>0</v>
      </c>
      <c r="H1439">
        <v>0</v>
      </c>
      <c r="I1439">
        <v>0</v>
      </c>
      <c r="J1439">
        <v>0</v>
      </c>
      <c r="K1439" s="201">
        <v>-728</v>
      </c>
    </row>
    <row r="1440" spans="1:11" x14ac:dyDescent="0.25">
      <c r="A1440"/>
      <c r="B1440" s="201">
        <v>0</v>
      </c>
      <c r="C1440">
        <v>0</v>
      </c>
      <c r="D1440" s="201">
        <v>0</v>
      </c>
      <c r="E1440" s="201">
        <v>-192</v>
      </c>
      <c r="F1440">
        <v>0</v>
      </c>
      <c r="G1440">
        <v>-87</v>
      </c>
      <c r="H1440">
        <v>0</v>
      </c>
      <c r="I1440">
        <v>0</v>
      </c>
      <c r="J1440">
        <v>0</v>
      </c>
      <c r="K1440" s="201">
        <v>0</v>
      </c>
    </row>
    <row r="1441" spans="1:11" x14ac:dyDescent="0.25">
      <c r="A1441"/>
      <c r="B1441" s="201">
        <v>0</v>
      </c>
      <c r="C1441">
        <v>62</v>
      </c>
      <c r="D1441" s="201">
        <v>0</v>
      </c>
      <c r="E1441" s="201">
        <v>-90</v>
      </c>
      <c r="F1441">
        <v>-58</v>
      </c>
      <c r="G1441">
        <v>0</v>
      </c>
      <c r="H1441">
        <v>0</v>
      </c>
      <c r="I1441">
        <v>-660</v>
      </c>
      <c r="J1441">
        <v>-473</v>
      </c>
      <c r="K1441" s="201">
        <v>0</v>
      </c>
    </row>
    <row r="1442" spans="1:11" x14ac:dyDescent="0.25">
      <c r="A1442"/>
      <c r="B1442" s="201">
        <v>-188</v>
      </c>
      <c r="C1442">
        <v>0</v>
      </c>
      <c r="D1442" s="201">
        <v>0</v>
      </c>
      <c r="E1442" s="201">
        <v>0</v>
      </c>
      <c r="F1442">
        <v>0</v>
      </c>
      <c r="G1442">
        <v>-217</v>
      </c>
      <c r="H1442">
        <v>457</v>
      </c>
      <c r="I1442">
        <v>68</v>
      </c>
      <c r="J1442">
        <v>0</v>
      </c>
      <c r="K1442" s="201">
        <v>0</v>
      </c>
    </row>
    <row r="1443" spans="1:11" x14ac:dyDescent="0.25">
      <c r="A1443"/>
      <c r="B1443" s="201">
        <v>-161</v>
      </c>
      <c r="C1443">
        <v>8</v>
      </c>
      <c r="D1443" s="201">
        <v>0</v>
      </c>
      <c r="E1443" s="201">
        <v>459</v>
      </c>
      <c r="F1443">
        <v>16</v>
      </c>
      <c r="G1443">
        <v>345</v>
      </c>
      <c r="H1443">
        <v>-141</v>
      </c>
      <c r="I1443">
        <v>138</v>
      </c>
      <c r="J1443">
        <v>107</v>
      </c>
      <c r="K1443" s="201">
        <v>225</v>
      </c>
    </row>
    <row r="1444" spans="1:11" x14ac:dyDescent="0.25">
      <c r="A1444"/>
      <c r="B1444" s="201">
        <v>0</v>
      </c>
      <c r="C1444">
        <v>0</v>
      </c>
      <c r="D1444" s="201">
        <v>0</v>
      </c>
      <c r="E1444" s="201">
        <v>0</v>
      </c>
      <c r="F1444">
        <v>0</v>
      </c>
      <c r="G1444">
        <v>208</v>
      </c>
      <c r="H1444">
        <v>0</v>
      </c>
      <c r="I1444">
        <v>391</v>
      </c>
      <c r="J1444">
        <v>902</v>
      </c>
      <c r="K1444" s="201">
        <v>253</v>
      </c>
    </row>
    <row r="1445" spans="1:11" x14ac:dyDescent="0.25">
      <c r="A1445"/>
      <c r="B1445" s="201">
        <v>0</v>
      </c>
      <c r="C1445">
        <v>-119</v>
      </c>
      <c r="D1445" s="201">
        <v>-733</v>
      </c>
      <c r="E1445" s="201">
        <v>-203</v>
      </c>
      <c r="F1445">
        <v>1222</v>
      </c>
      <c r="G1445">
        <v>-464</v>
      </c>
      <c r="H1445">
        <v>0</v>
      </c>
      <c r="I1445">
        <v>757</v>
      </c>
      <c r="J1445">
        <v>989</v>
      </c>
      <c r="K1445" s="201">
        <v>1382</v>
      </c>
    </row>
    <row r="1446" spans="1:11" x14ac:dyDescent="0.25">
      <c r="A1446"/>
      <c r="B1446" s="201">
        <v>295</v>
      </c>
      <c r="C1446">
        <v>0</v>
      </c>
      <c r="D1446" s="201">
        <v>-190</v>
      </c>
      <c r="E1446" s="201">
        <v>-5</v>
      </c>
      <c r="F1446">
        <v>0</v>
      </c>
      <c r="G1446">
        <v>0</v>
      </c>
      <c r="H1446">
        <v>0</v>
      </c>
      <c r="I1446">
        <v>1440</v>
      </c>
      <c r="J1446">
        <v>2331</v>
      </c>
      <c r="K1446" s="201">
        <v>0</v>
      </c>
    </row>
    <row r="1447" spans="1:11" x14ac:dyDescent="0.25">
      <c r="A1447"/>
      <c r="B1447" s="201">
        <v>1932</v>
      </c>
      <c r="C1447">
        <v>658</v>
      </c>
      <c r="D1447" s="201">
        <v>41</v>
      </c>
      <c r="E1447" s="201">
        <v>1906</v>
      </c>
      <c r="F1447">
        <v>0</v>
      </c>
      <c r="G1447">
        <v>0</v>
      </c>
      <c r="H1447">
        <v>0</v>
      </c>
      <c r="I1447">
        <v>0</v>
      </c>
      <c r="J1447">
        <v>0</v>
      </c>
      <c r="K1447" s="201">
        <v>-203</v>
      </c>
    </row>
    <row r="1448" spans="1:11" x14ac:dyDescent="0.25">
      <c r="A1448"/>
      <c r="B1448" s="201">
        <v>0</v>
      </c>
      <c r="C1448">
        <v>580</v>
      </c>
      <c r="D1448" s="201">
        <v>-156</v>
      </c>
      <c r="E1448" s="201">
        <v>-284</v>
      </c>
      <c r="F1448">
        <v>0</v>
      </c>
      <c r="G1448">
        <v>-2058</v>
      </c>
      <c r="H1448">
        <v>-1925</v>
      </c>
      <c r="I1448">
        <v>-8328</v>
      </c>
      <c r="J1448">
        <v>-17777</v>
      </c>
      <c r="K1448" s="201">
        <v>-7348</v>
      </c>
    </row>
    <row r="1449" spans="1:11" x14ac:dyDescent="0.25">
      <c r="A1449"/>
      <c r="B1449" s="201">
        <v>-7325</v>
      </c>
      <c r="C1449">
        <v>5418</v>
      </c>
      <c r="D1449" s="201">
        <v>5875</v>
      </c>
      <c r="E1449" s="201">
        <v>0</v>
      </c>
      <c r="F1449">
        <v>-4270</v>
      </c>
      <c r="G1449">
        <v>0</v>
      </c>
      <c r="H1449">
        <v>0</v>
      </c>
      <c r="I1449">
        <v>122</v>
      </c>
      <c r="J1449">
        <v>-2199</v>
      </c>
      <c r="K1449" s="201">
        <v>0</v>
      </c>
    </row>
    <row r="1450" spans="1:11" x14ac:dyDescent="0.25">
      <c r="A1450"/>
      <c r="B1450" s="201">
        <v>0</v>
      </c>
      <c r="C1450">
        <v>0</v>
      </c>
      <c r="D1450" s="201">
        <v>0</v>
      </c>
      <c r="E1450" s="201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 s="201">
        <v>0</v>
      </c>
    </row>
    <row r="1451" spans="1:11" x14ac:dyDescent="0.25">
      <c r="A1451"/>
      <c r="B1451" s="201">
        <v>0</v>
      </c>
      <c r="C1451">
        <v>0</v>
      </c>
      <c r="D1451" s="201">
        <v>0</v>
      </c>
      <c r="E1451" s="20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 s="201">
        <v>0</v>
      </c>
    </row>
    <row r="1452" spans="1:11" x14ac:dyDescent="0.25">
      <c r="A1452"/>
      <c r="B1452" s="201">
        <v>0</v>
      </c>
      <c r="C1452">
        <v>0</v>
      </c>
      <c r="D1452" s="201">
        <v>0</v>
      </c>
      <c r="E1452" s="201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 s="201">
        <v>0</v>
      </c>
    </row>
    <row r="1453" spans="1:11" x14ac:dyDescent="0.25">
      <c r="A1453"/>
      <c r="B1453" s="201">
        <v>0</v>
      </c>
      <c r="C1453">
        <v>0</v>
      </c>
      <c r="D1453" s="201">
        <v>0</v>
      </c>
      <c r="E1453" s="201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 s="201">
        <v>0</v>
      </c>
    </row>
    <row r="1454" spans="1:11" x14ac:dyDescent="0.25">
      <c r="A1454"/>
      <c r="B1454" s="201">
        <v>0</v>
      </c>
      <c r="C1454">
        <v>0</v>
      </c>
      <c r="D1454" s="201">
        <v>0</v>
      </c>
      <c r="E1454" s="201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 s="201">
        <v>0</v>
      </c>
    </row>
    <row r="1455" spans="1:11" x14ac:dyDescent="0.25">
      <c r="A1455"/>
      <c r="B1455" s="201">
        <v>0</v>
      </c>
      <c r="C1455">
        <v>0</v>
      </c>
      <c r="D1455" s="201">
        <v>0</v>
      </c>
      <c r="E1455" s="201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 s="201">
        <v>0</v>
      </c>
    </row>
    <row r="1456" spans="1:11" x14ac:dyDescent="0.25">
      <c r="A1456"/>
      <c r="B1456" s="201">
        <v>0</v>
      </c>
      <c r="C1456">
        <v>0</v>
      </c>
      <c r="D1456" s="201">
        <v>0</v>
      </c>
      <c r="E1456" s="201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 s="201">
        <v>0</v>
      </c>
    </row>
    <row r="1457" spans="1:11" x14ac:dyDescent="0.25">
      <c r="A1457"/>
      <c r="B1457" s="201">
        <v>0</v>
      </c>
      <c r="C1457">
        <v>0</v>
      </c>
      <c r="D1457" s="201">
        <v>0</v>
      </c>
      <c r="E1457" s="201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 s="201">
        <v>0</v>
      </c>
    </row>
    <row r="1458" spans="1:11" x14ac:dyDescent="0.25">
      <c r="A1458"/>
      <c r="B1458" s="201">
        <v>0</v>
      </c>
      <c r="C1458">
        <v>0</v>
      </c>
      <c r="D1458" s="201">
        <v>0</v>
      </c>
      <c r="E1458" s="201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 s="201">
        <v>0</v>
      </c>
    </row>
    <row r="1459" spans="1:11" x14ac:dyDescent="0.25">
      <c r="A1459"/>
      <c r="B1459" s="201">
        <v>0</v>
      </c>
      <c r="C1459">
        <v>0</v>
      </c>
      <c r="D1459" s="201">
        <v>0</v>
      </c>
      <c r="E1459" s="201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 s="201">
        <v>0</v>
      </c>
    </row>
    <row r="1460" spans="1:11" x14ac:dyDescent="0.25">
      <c r="A1460"/>
      <c r="B1460" s="201">
        <v>0</v>
      </c>
      <c r="C1460">
        <v>0</v>
      </c>
      <c r="D1460" s="201">
        <v>0</v>
      </c>
      <c r="E1460" s="201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 s="201">
        <v>0</v>
      </c>
    </row>
    <row r="1461" spans="1:11" x14ac:dyDescent="0.25">
      <c r="A1461"/>
      <c r="B1461" s="201">
        <v>0</v>
      </c>
      <c r="C1461">
        <v>0</v>
      </c>
      <c r="D1461" s="201">
        <v>0</v>
      </c>
      <c r="E1461" s="20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 s="201">
        <v>0</v>
      </c>
    </row>
    <row r="1462" spans="1:11" x14ac:dyDescent="0.25">
      <c r="A1462"/>
      <c r="B1462" s="201">
        <v>0</v>
      </c>
      <c r="C1462">
        <v>0</v>
      </c>
      <c r="D1462" s="201">
        <v>0</v>
      </c>
      <c r="E1462" s="201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 s="201">
        <v>0</v>
      </c>
    </row>
    <row r="1463" spans="1:11" x14ac:dyDescent="0.25">
      <c r="A1463"/>
      <c r="B1463" s="201">
        <v>0</v>
      </c>
      <c r="C1463">
        <v>0</v>
      </c>
      <c r="D1463" s="201">
        <v>0</v>
      </c>
      <c r="E1463" s="201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 s="201">
        <v>0</v>
      </c>
    </row>
    <row r="1464" spans="1:11" x14ac:dyDescent="0.25">
      <c r="A1464"/>
      <c r="B1464" s="201">
        <v>0</v>
      </c>
      <c r="C1464">
        <v>0</v>
      </c>
      <c r="D1464" s="201">
        <v>0</v>
      </c>
      <c r="E1464" s="201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 s="201">
        <v>0</v>
      </c>
    </row>
    <row r="1465" spans="1:11" x14ac:dyDescent="0.25">
      <c r="A1465"/>
      <c r="B1465" s="201">
        <v>0</v>
      </c>
      <c r="C1465">
        <v>0</v>
      </c>
      <c r="D1465" s="201">
        <v>0</v>
      </c>
      <c r="E1465" s="201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 s="201">
        <v>0</v>
      </c>
    </row>
    <row r="1466" spans="1:11" x14ac:dyDescent="0.25">
      <c r="A1466"/>
      <c r="B1466" s="201">
        <v>0</v>
      </c>
      <c r="C1466">
        <v>0</v>
      </c>
      <c r="D1466" s="201">
        <v>0</v>
      </c>
      <c r="E1466" s="201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 s="201">
        <v>0</v>
      </c>
    </row>
    <row r="1467" spans="1:11" x14ac:dyDescent="0.25">
      <c r="A1467"/>
      <c r="B1467" s="201">
        <v>0</v>
      </c>
      <c r="C1467">
        <v>0</v>
      </c>
      <c r="D1467" s="201">
        <v>0</v>
      </c>
      <c r="E1467" s="201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 s="201">
        <v>0</v>
      </c>
    </row>
    <row r="1468" spans="1:11" x14ac:dyDescent="0.25">
      <c r="A1468"/>
      <c r="B1468" s="201">
        <v>0</v>
      </c>
      <c r="C1468">
        <v>0</v>
      </c>
      <c r="D1468" s="201">
        <v>0</v>
      </c>
      <c r="E1468" s="201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 s="201">
        <v>0</v>
      </c>
    </row>
    <row r="1469" spans="1:11" x14ac:dyDescent="0.25">
      <c r="A1469"/>
      <c r="B1469" s="201">
        <v>0</v>
      </c>
      <c r="C1469">
        <v>0</v>
      </c>
      <c r="D1469" s="201">
        <v>0</v>
      </c>
      <c r="E1469" s="201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 s="201">
        <v>0</v>
      </c>
    </row>
    <row r="1470" spans="1:11" x14ac:dyDescent="0.25">
      <c r="A1470"/>
      <c r="B1470" s="201">
        <v>0</v>
      </c>
      <c r="C1470">
        <v>0</v>
      </c>
      <c r="D1470" s="201">
        <v>0</v>
      </c>
      <c r="E1470" s="201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 s="201">
        <v>0</v>
      </c>
    </row>
    <row r="1471" spans="1:11" x14ac:dyDescent="0.25">
      <c r="A1471"/>
      <c r="B1471" s="201">
        <v>0</v>
      </c>
      <c r="C1471">
        <v>0</v>
      </c>
      <c r="D1471" s="201">
        <v>0</v>
      </c>
      <c r="E1471" s="20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 s="201">
        <v>0</v>
      </c>
    </row>
    <row r="1472" spans="1:11" x14ac:dyDescent="0.25">
      <c r="A1472"/>
      <c r="B1472" s="201">
        <v>0</v>
      </c>
      <c r="C1472">
        <v>0</v>
      </c>
      <c r="D1472" s="201">
        <v>0</v>
      </c>
      <c r="E1472" s="201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 s="201">
        <v>0</v>
      </c>
    </row>
    <row r="1473" spans="1:11" x14ac:dyDescent="0.25">
      <c r="A1473"/>
      <c r="B1473" s="201">
        <v>0</v>
      </c>
      <c r="C1473">
        <v>0</v>
      </c>
      <c r="D1473" s="201">
        <v>0</v>
      </c>
      <c r="E1473" s="201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 s="201">
        <v>0</v>
      </c>
    </row>
    <row r="1474" spans="1:11" x14ac:dyDescent="0.25">
      <c r="A1474"/>
      <c r="B1474" s="201">
        <v>0</v>
      </c>
      <c r="C1474">
        <v>0</v>
      </c>
      <c r="D1474" s="201">
        <v>0</v>
      </c>
      <c r="E1474" s="201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 s="201">
        <v>0</v>
      </c>
    </row>
    <row r="1475" spans="1:11" x14ac:dyDescent="0.25">
      <c r="A1475"/>
      <c r="B1475" s="201">
        <v>0</v>
      </c>
      <c r="C1475">
        <v>0</v>
      </c>
      <c r="D1475" s="201">
        <v>0</v>
      </c>
      <c r="E1475" s="201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 s="201">
        <v>0</v>
      </c>
    </row>
    <row r="1476" spans="1:11" x14ac:dyDescent="0.25">
      <c r="A1476"/>
      <c r="B1476" s="201">
        <v>0</v>
      </c>
      <c r="C1476">
        <v>0</v>
      </c>
      <c r="D1476" s="201">
        <v>0</v>
      </c>
      <c r="E1476" s="201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 s="201">
        <v>0</v>
      </c>
    </row>
    <row r="1477" spans="1:11" x14ac:dyDescent="0.25">
      <c r="A1477"/>
      <c r="B1477" s="201">
        <v>0</v>
      </c>
      <c r="C1477">
        <v>0</v>
      </c>
      <c r="D1477" s="201">
        <v>0</v>
      </c>
      <c r="E1477" s="201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 s="201">
        <v>0</v>
      </c>
    </row>
    <row r="1478" spans="1:11" x14ac:dyDescent="0.25">
      <c r="A1478"/>
      <c r="B1478" s="201">
        <v>0</v>
      </c>
      <c r="C1478">
        <v>0</v>
      </c>
      <c r="D1478" s="201">
        <v>0</v>
      </c>
      <c r="E1478" s="201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 s="201">
        <v>0</v>
      </c>
    </row>
    <row r="1479" spans="1:11" x14ac:dyDescent="0.25">
      <c r="A1479"/>
      <c r="B1479" s="201">
        <v>0</v>
      </c>
      <c r="C1479">
        <v>148</v>
      </c>
      <c r="D1479" s="201">
        <v>81</v>
      </c>
      <c r="E1479" s="201">
        <v>27</v>
      </c>
      <c r="F1479">
        <v>-65</v>
      </c>
      <c r="G1479">
        <v>-102</v>
      </c>
      <c r="H1479">
        <v>0</v>
      </c>
      <c r="I1479">
        <v>0</v>
      </c>
      <c r="J1479">
        <v>-160</v>
      </c>
      <c r="K1479" s="201">
        <v>0</v>
      </c>
    </row>
    <row r="1480" spans="1:11" x14ac:dyDescent="0.25">
      <c r="A1480"/>
      <c r="B1480" s="201">
        <v>0</v>
      </c>
      <c r="C1480">
        <v>0</v>
      </c>
      <c r="D1480" s="201">
        <v>-144</v>
      </c>
      <c r="E1480" s="201">
        <v>-469</v>
      </c>
      <c r="F1480">
        <v>0</v>
      </c>
      <c r="G1480">
        <v>0</v>
      </c>
      <c r="H1480">
        <v>0</v>
      </c>
      <c r="I1480">
        <v>0</v>
      </c>
      <c r="J1480">
        <v>0</v>
      </c>
      <c r="K1480" s="201">
        <v>0</v>
      </c>
    </row>
    <row r="1481" spans="1:11" x14ac:dyDescent="0.25">
      <c r="A1481"/>
      <c r="B1481" s="201">
        <v>68</v>
      </c>
      <c r="C1481">
        <v>0</v>
      </c>
      <c r="D1481" s="201">
        <v>0</v>
      </c>
      <c r="E1481" s="201">
        <v>-73</v>
      </c>
      <c r="F1481">
        <v>0</v>
      </c>
      <c r="G1481">
        <v>181</v>
      </c>
      <c r="H1481">
        <v>0</v>
      </c>
      <c r="I1481">
        <v>270</v>
      </c>
      <c r="J1481">
        <v>-223</v>
      </c>
      <c r="K1481" s="201">
        <v>188</v>
      </c>
    </row>
    <row r="1482" spans="1:11" x14ac:dyDescent="0.25">
      <c r="A1482"/>
      <c r="B1482" s="201">
        <v>0</v>
      </c>
      <c r="C1482">
        <v>373</v>
      </c>
      <c r="D1482" s="201">
        <v>149</v>
      </c>
      <c r="E1482" s="201">
        <v>-157</v>
      </c>
      <c r="F1482">
        <v>-276</v>
      </c>
      <c r="G1482">
        <v>-354</v>
      </c>
      <c r="H1482">
        <v>-478</v>
      </c>
      <c r="I1482">
        <v>0</v>
      </c>
      <c r="J1482">
        <v>-65</v>
      </c>
      <c r="K1482" s="201">
        <v>0</v>
      </c>
    </row>
    <row r="1483" spans="1:11" x14ac:dyDescent="0.25">
      <c r="A1483"/>
      <c r="B1483" s="201">
        <v>0</v>
      </c>
      <c r="C1483">
        <v>0</v>
      </c>
      <c r="D1483" s="201">
        <v>0</v>
      </c>
      <c r="E1483" s="201">
        <v>0</v>
      </c>
      <c r="F1483">
        <v>-257</v>
      </c>
      <c r="G1483">
        <v>0</v>
      </c>
      <c r="H1483">
        <v>0</v>
      </c>
      <c r="I1483">
        <v>0</v>
      </c>
      <c r="J1483">
        <v>-402</v>
      </c>
      <c r="K1483" s="201">
        <v>0</v>
      </c>
    </row>
    <row r="1484" spans="1:11" x14ac:dyDescent="0.25">
      <c r="A1484"/>
      <c r="B1484" s="201">
        <v>-178</v>
      </c>
      <c r="C1484">
        <v>0</v>
      </c>
      <c r="D1484" s="201">
        <v>0</v>
      </c>
      <c r="E1484" s="201">
        <v>0</v>
      </c>
      <c r="F1484">
        <v>0</v>
      </c>
      <c r="G1484">
        <v>0</v>
      </c>
      <c r="H1484">
        <v>-471</v>
      </c>
      <c r="I1484">
        <v>0</v>
      </c>
      <c r="J1484">
        <v>-104</v>
      </c>
      <c r="K1484" s="201">
        <v>144</v>
      </c>
    </row>
    <row r="1485" spans="1:11" x14ac:dyDescent="0.25">
      <c r="A1485"/>
      <c r="B1485" s="201">
        <v>0</v>
      </c>
      <c r="C1485">
        <v>0</v>
      </c>
      <c r="D1485" s="201">
        <v>-79</v>
      </c>
      <c r="E1485" s="201">
        <v>125</v>
      </c>
      <c r="F1485">
        <v>0</v>
      </c>
      <c r="G1485">
        <v>150</v>
      </c>
      <c r="H1485">
        <v>0</v>
      </c>
      <c r="I1485">
        <v>0</v>
      </c>
      <c r="J1485">
        <v>0</v>
      </c>
      <c r="K1485" s="201">
        <v>0</v>
      </c>
    </row>
    <row r="1486" spans="1:11" x14ac:dyDescent="0.25">
      <c r="A1486"/>
      <c r="B1486" s="201">
        <v>143</v>
      </c>
      <c r="C1486">
        <v>186</v>
      </c>
      <c r="D1486" s="201">
        <v>117</v>
      </c>
      <c r="E1486" s="201">
        <v>0</v>
      </c>
      <c r="F1486">
        <v>0</v>
      </c>
      <c r="G1486">
        <v>-285</v>
      </c>
      <c r="H1486">
        <v>-17</v>
      </c>
      <c r="I1486">
        <v>0</v>
      </c>
      <c r="J1486">
        <v>130</v>
      </c>
      <c r="K1486" s="201">
        <v>-98</v>
      </c>
    </row>
    <row r="1487" spans="1:11" x14ac:dyDescent="0.25">
      <c r="A1487"/>
      <c r="B1487" s="201">
        <v>553</v>
      </c>
      <c r="C1487">
        <v>45</v>
      </c>
      <c r="D1487" s="201">
        <v>-105</v>
      </c>
      <c r="E1487" s="201">
        <v>507</v>
      </c>
      <c r="F1487">
        <v>-176</v>
      </c>
      <c r="G1487">
        <v>0</v>
      </c>
      <c r="H1487">
        <v>0</v>
      </c>
      <c r="I1487">
        <v>0</v>
      </c>
      <c r="J1487">
        <v>0</v>
      </c>
      <c r="K1487" s="201">
        <v>0</v>
      </c>
    </row>
    <row r="1488" spans="1:11" x14ac:dyDescent="0.25">
      <c r="A1488"/>
      <c r="B1488" s="201">
        <v>4</v>
      </c>
      <c r="C1488">
        <v>0</v>
      </c>
      <c r="D1488" s="201">
        <v>-17</v>
      </c>
      <c r="E1488" s="201">
        <v>-135</v>
      </c>
      <c r="F1488">
        <v>79</v>
      </c>
      <c r="G1488">
        <v>0</v>
      </c>
      <c r="H1488">
        <v>114</v>
      </c>
      <c r="I1488">
        <v>-216</v>
      </c>
      <c r="J1488">
        <v>-62</v>
      </c>
      <c r="K1488" s="201">
        <v>6</v>
      </c>
    </row>
    <row r="1489" spans="1:11" x14ac:dyDescent="0.25">
      <c r="A1489"/>
      <c r="B1489" s="201">
        <v>-298</v>
      </c>
      <c r="C1489">
        <v>0</v>
      </c>
      <c r="D1489" s="201">
        <v>62</v>
      </c>
      <c r="E1489" s="201">
        <v>119</v>
      </c>
      <c r="F1489">
        <v>470</v>
      </c>
      <c r="G1489">
        <v>21</v>
      </c>
      <c r="H1489">
        <v>0</v>
      </c>
      <c r="I1489">
        <v>166</v>
      </c>
      <c r="J1489">
        <v>-43</v>
      </c>
      <c r="K1489" s="201">
        <v>0</v>
      </c>
    </row>
    <row r="1490" spans="1:11" x14ac:dyDescent="0.25">
      <c r="A1490"/>
      <c r="B1490" s="201">
        <v>0</v>
      </c>
      <c r="C1490">
        <v>0</v>
      </c>
      <c r="D1490" s="201">
        <v>519</v>
      </c>
      <c r="E1490" s="201">
        <v>536</v>
      </c>
      <c r="F1490">
        <v>0</v>
      </c>
      <c r="G1490">
        <v>-1140</v>
      </c>
      <c r="H1490">
        <v>-81</v>
      </c>
      <c r="I1490">
        <v>451</v>
      </c>
      <c r="J1490">
        <v>-311</v>
      </c>
      <c r="K1490" s="201">
        <v>0</v>
      </c>
    </row>
    <row r="1491" spans="1:11" x14ac:dyDescent="0.25">
      <c r="A1491"/>
      <c r="B1491" s="201">
        <v>0</v>
      </c>
      <c r="C1491">
        <v>0</v>
      </c>
      <c r="D1491" s="201">
        <v>0</v>
      </c>
      <c r="E1491" s="201">
        <v>0</v>
      </c>
      <c r="F1491">
        <v>-189</v>
      </c>
      <c r="G1491">
        <v>0</v>
      </c>
      <c r="H1491">
        <v>308</v>
      </c>
      <c r="I1491">
        <v>2</v>
      </c>
      <c r="J1491">
        <v>532</v>
      </c>
      <c r="K1491" s="201">
        <v>0</v>
      </c>
    </row>
    <row r="1492" spans="1:11" x14ac:dyDescent="0.25">
      <c r="A1492"/>
      <c r="B1492" s="201">
        <v>-504</v>
      </c>
      <c r="C1492">
        <v>-192</v>
      </c>
      <c r="D1492" s="201">
        <v>4023</v>
      </c>
      <c r="E1492" s="201">
        <v>4035</v>
      </c>
      <c r="F1492">
        <v>2203</v>
      </c>
      <c r="G1492">
        <v>3956</v>
      </c>
      <c r="H1492">
        <v>4161</v>
      </c>
      <c r="I1492">
        <v>4333</v>
      </c>
      <c r="J1492">
        <v>0</v>
      </c>
      <c r="K1492" s="201">
        <v>-1607</v>
      </c>
    </row>
    <row r="1493" spans="1:11" x14ac:dyDescent="0.25">
      <c r="A1493"/>
      <c r="B1493" s="201">
        <v>0</v>
      </c>
      <c r="C1493">
        <v>0</v>
      </c>
      <c r="D1493" s="201">
        <v>-147</v>
      </c>
      <c r="E1493" s="201">
        <v>4684</v>
      </c>
      <c r="F1493">
        <v>0</v>
      </c>
      <c r="G1493">
        <v>9513</v>
      </c>
      <c r="H1493">
        <v>0</v>
      </c>
      <c r="I1493">
        <v>0</v>
      </c>
      <c r="J1493">
        <v>0</v>
      </c>
      <c r="K1493" s="201">
        <v>0</v>
      </c>
    </row>
    <row r="1494" spans="1:11" x14ac:dyDescent="0.25">
      <c r="A1494"/>
      <c r="B1494" s="201">
        <v>0</v>
      </c>
      <c r="C1494">
        <v>0</v>
      </c>
      <c r="D1494" s="201">
        <v>0</v>
      </c>
      <c r="E1494" s="201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 s="201">
        <v>0</v>
      </c>
    </row>
    <row r="1495" spans="1:11" x14ac:dyDescent="0.25">
      <c r="A1495"/>
      <c r="B1495" s="201">
        <v>0</v>
      </c>
      <c r="C1495">
        <v>0</v>
      </c>
      <c r="D1495" s="201">
        <v>0</v>
      </c>
      <c r="E1495" s="201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 s="201">
        <v>0</v>
      </c>
    </row>
    <row r="1496" spans="1:11" x14ac:dyDescent="0.25">
      <c r="A1496"/>
      <c r="B1496" s="201">
        <v>0</v>
      </c>
      <c r="C1496">
        <v>0</v>
      </c>
      <c r="D1496" s="201">
        <v>0</v>
      </c>
      <c r="E1496" s="201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 s="201">
        <v>0</v>
      </c>
    </row>
    <row r="1497" spans="1:11" x14ac:dyDescent="0.25">
      <c r="A1497"/>
      <c r="B1497" s="201">
        <v>0</v>
      </c>
      <c r="C1497">
        <v>0</v>
      </c>
      <c r="D1497" s="201">
        <v>0</v>
      </c>
      <c r="E1497" s="201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 s="201">
        <v>0</v>
      </c>
    </row>
    <row r="1498" spans="1:11" x14ac:dyDescent="0.25">
      <c r="A1498"/>
      <c r="B1498" s="201">
        <v>0</v>
      </c>
      <c r="C1498">
        <v>0</v>
      </c>
      <c r="D1498" s="201">
        <v>0</v>
      </c>
      <c r="E1498" s="201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 s="201">
        <v>0</v>
      </c>
    </row>
    <row r="1499" spans="1:11" x14ac:dyDescent="0.25">
      <c r="A1499"/>
      <c r="B1499" s="201">
        <v>0</v>
      </c>
      <c r="C1499">
        <v>0</v>
      </c>
      <c r="D1499" s="201">
        <v>0</v>
      </c>
      <c r="E1499" s="201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 s="201">
        <v>0</v>
      </c>
    </row>
    <row r="1500" spans="1:11" x14ac:dyDescent="0.25">
      <c r="A1500"/>
      <c r="B1500" s="201">
        <v>0</v>
      </c>
      <c r="C1500">
        <v>0</v>
      </c>
      <c r="D1500" s="201">
        <v>0</v>
      </c>
      <c r="E1500" s="201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 s="201">
        <v>0</v>
      </c>
    </row>
    <row r="1501" spans="1:11" x14ac:dyDescent="0.25">
      <c r="A1501"/>
      <c r="B1501" s="201">
        <v>0</v>
      </c>
      <c r="C1501">
        <v>0</v>
      </c>
      <c r="D1501" s="201">
        <v>0</v>
      </c>
      <c r="E1501" s="2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 s="201">
        <v>0</v>
      </c>
    </row>
    <row r="1502" spans="1:11" x14ac:dyDescent="0.25">
      <c r="A1502"/>
      <c r="B1502" s="201">
        <v>0</v>
      </c>
      <c r="C1502">
        <v>0</v>
      </c>
      <c r="D1502" s="201">
        <v>0</v>
      </c>
      <c r="E1502" s="201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 s="201">
        <v>0</v>
      </c>
    </row>
    <row r="1503" spans="1:11" x14ac:dyDescent="0.25">
      <c r="A1503"/>
      <c r="B1503" s="201">
        <v>0</v>
      </c>
      <c r="C1503">
        <v>0</v>
      </c>
      <c r="D1503" s="201">
        <v>0</v>
      </c>
      <c r="E1503" s="201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 s="201">
        <v>0</v>
      </c>
    </row>
    <row r="1504" spans="1:11" x14ac:dyDescent="0.25">
      <c r="A1504"/>
      <c r="B1504" s="201">
        <v>0</v>
      </c>
      <c r="C1504">
        <v>0</v>
      </c>
      <c r="D1504" s="201">
        <v>0</v>
      </c>
      <c r="E1504" s="201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 s="201">
        <v>0</v>
      </c>
    </row>
    <row r="1505" spans="1:11" x14ac:dyDescent="0.25">
      <c r="A1505"/>
      <c r="B1505" s="201">
        <v>0</v>
      </c>
      <c r="C1505">
        <v>0</v>
      </c>
      <c r="D1505" s="201">
        <v>0</v>
      </c>
      <c r="E1505" s="201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 s="201">
        <v>0</v>
      </c>
    </row>
    <row r="1506" spans="1:11" x14ac:dyDescent="0.25">
      <c r="A1506"/>
      <c r="B1506" s="201">
        <v>0</v>
      </c>
      <c r="C1506">
        <v>0</v>
      </c>
      <c r="D1506" s="201">
        <v>0</v>
      </c>
      <c r="E1506" s="201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 s="201">
        <v>0</v>
      </c>
    </row>
    <row r="1507" spans="1:11" x14ac:dyDescent="0.25">
      <c r="A1507"/>
      <c r="B1507" s="201">
        <v>0</v>
      </c>
      <c r="C1507">
        <v>0</v>
      </c>
      <c r="D1507" s="201">
        <v>0</v>
      </c>
      <c r="E1507" s="201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 s="201">
        <v>0</v>
      </c>
    </row>
    <row r="1508" spans="1:11" x14ac:dyDescent="0.25">
      <c r="A1508"/>
      <c r="B1508" s="201">
        <v>0</v>
      </c>
      <c r="C1508">
        <v>0</v>
      </c>
      <c r="D1508" s="201">
        <v>0</v>
      </c>
      <c r="E1508" s="201">
        <v>0</v>
      </c>
      <c r="F1508">
        <v>0</v>
      </c>
      <c r="G1508">
        <v>0</v>
      </c>
      <c r="H1508">
        <v>1173</v>
      </c>
      <c r="I1508">
        <v>-217</v>
      </c>
      <c r="J1508">
        <v>-13</v>
      </c>
      <c r="K1508" s="201">
        <v>-139</v>
      </c>
    </row>
    <row r="1509" spans="1:11" x14ac:dyDescent="0.25">
      <c r="A1509"/>
      <c r="B1509" s="201">
        <v>-409</v>
      </c>
      <c r="C1509">
        <v>0</v>
      </c>
      <c r="D1509" s="201">
        <v>0</v>
      </c>
      <c r="E1509" s="201">
        <v>-90</v>
      </c>
      <c r="F1509">
        <v>0</v>
      </c>
      <c r="G1509">
        <v>0</v>
      </c>
      <c r="H1509">
        <v>0</v>
      </c>
      <c r="I1509">
        <v>202</v>
      </c>
      <c r="J1509">
        <v>278</v>
      </c>
      <c r="K1509" s="201">
        <v>0</v>
      </c>
    </row>
    <row r="1510" spans="1:11" x14ac:dyDescent="0.25">
      <c r="A1510"/>
      <c r="B1510" s="201">
        <v>0</v>
      </c>
      <c r="C1510">
        <v>0</v>
      </c>
      <c r="D1510" s="201">
        <v>0</v>
      </c>
      <c r="E1510" s="201">
        <v>0</v>
      </c>
      <c r="F1510">
        <v>0</v>
      </c>
      <c r="G1510">
        <v>-104</v>
      </c>
      <c r="H1510">
        <v>0</v>
      </c>
      <c r="I1510">
        <v>0</v>
      </c>
      <c r="J1510">
        <v>367</v>
      </c>
      <c r="K1510" s="201">
        <v>0</v>
      </c>
    </row>
    <row r="1511" spans="1:11" x14ac:dyDescent="0.25">
      <c r="A1511"/>
      <c r="B1511" s="201">
        <v>-472</v>
      </c>
      <c r="C1511">
        <v>0</v>
      </c>
      <c r="D1511" s="201">
        <v>-68</v>
      </c>
      <c r="E1511" s="201">
        <v>-586</v>
      </c>
      <c r="F1511">
        <v>181</v>
      </c>
      <c r="G1511">
        <v>0</v>
      </c>
      <c r="H1511">
        <v>-770</v>
      </c>
      <c r="I1511">
        <v>-249</v>
      </c>
      <c r="J1511">
        <v>-2677</v>
      </c>
      <c r="K1511" s="201">
        <v>-2</v>
      </c>
    </row>
    <row r="1512" spans="1:11" x14ac:dyDescent="0.25">
      <c r="A1512"/>
      <c r="B1512" s="201">
        <v>884</v>
      </c>
      <c r="C1512">
        <v>531</v>
      </c>
      <c r="D1512" s="201">
        <v>0</v>
      </c>
      <c r="E1512" s="201">
        <v>179</v>
      </c>
      <c r="F1512">
        <v>0</v>
      </c>
      <c r="G1512">
        <v>0</v>
      </c>
      <c r="H1512">
        <v>0</v>
      </c>
      <c r="I1512">
        <v>0</v>
      </c>
      <c r="J1512">
        <v>0</v>
      </c>
      <c r="K1512" s="201">
        <v>-54</v>
      </c>
    </row>
    <row r="1513" spans="1:11" x14ac:dyDescent="0.25">
      <c r="A1513"/>
      <c r="B1513" s="201">
        <v>0</v>
      </c>
      <c r="C1513">
        <v>0</v>
      </c>
      <c r="D1513" s="201">
        <v>0</v>
      </c>
      <c r="E1513" s="201">
        <v>7539</v>
      </c>
      <c r="F1513">
        <v>0</v>
      </c>
      <c r="G1513">
        <v>298</v>
      </c>
      <c r="H1513">
        <v>0</v>
      </c>
      <c r="I1513">
        <v>0</v>
      </c>
      <c r="J1513">
        <v>0</v>
      </c>
      <c r="K1513" s="201">
        <v>0</v>
      </c>
    </row>
    <row r="1514" spans="1:11" x14ac:dyDescent="0.25">
      <c r="A1514"/>
      <c r="B1514" s="201">
        <v>0</v>
      </c>
      <c r="C1514">
        <v>32</v>
      </c>
      <c r="D1514" s="201">
        <v>0</v>
      </c>
      <c r="E1514" s="201">
        <v>-46</v>
      </c>
      <c r="F1514">
        <v>-375</v>
      </c>
      <c r="G1514">
        <v>0</v>
      </c>
      <c r="H1514">
        <v>0</v>
      </c>
      <c r="I1514">
        <v>-518</v>
      </c>
      <c r="J1514">
        <v>-144</v>
      </c>
      <c r="K1514" s="201">
        <v>0</v>
      </c>
    </row>
    <row r="1515" spans="1:11" x14ac:dyDescent="0.25">
      <c r="A1515"/>
      <c r="B1515" s="201">
        <v>-416</v>
      </c>
      <c r="C1515">
        <v>0</v>
      </c>
      <c r="D1515" s="201">
        <v>0</v>
      </c>
      <c r="E1515" s="201">
        <v>0</v>
      </c>
      <c r="F1515">
        <v>0</v>
      </c>
      <c r="G1515">
        <v>73</v>
      </c>
      <c r="H1515">
        <v>271</v>
      </c>
      <c r="I1515">
        <v>-33</v>
      </c>
      <c r="J1515">
        <v>0</v>
      </c>
      <c r="K1515" s="201">
        <v>0</v>
      </c>
    </row>
    <row r="1516" spans="1:11" x14ac:dyDescent="0.25">
      <c r="A1516"/>
      <c r="B1516" s="201">
        <v>-371</v>
      </c>
      <c r="C1516">
        <v>24</v>
      </c>
      <c r="D1516" s="201">
        <v>0</v>
      </c>
      <c r="E1516" s="201">
        <v>-206</v>
      </c>
      <c r="F1516">
        <v>-141</v>
      </c>
      <c r="G1516">
        <v>105</v>
      </c>
      <c r="H1516">
        <v>-225</v>
      </c>
      <c r="I1516">
        <v>1123</v>
      </c>
      <c r="J1516">
        <v>-657</v>
      </c>
      <c r="K1516" s="201">
        <v>-934</v>
      </c>
    </row>
    <row r="1517" spans="1:11" x14ac:dyDescent="0.25">
      <c r="A1517"/>
      <c r="B1517" s="201">
        <v>0</v>
      </c>
      <c r="C1517">
        <v>0</v>
      </c>
      <c r="D1517" s="201">
        <v>0</v>
      </c>
      <c r="E1517" s="201">
        <v>0</v>
      </c>
      <c r="F1517">
        <v>0</v>
      </c>
      <c r="G1517">
        <v>213</v>
      </c>
      <c r="H1517">
        <v>0</v>
      </c>
      <c r="I1517">
        <v>93</v>
      </c>
      <c r="J1517">
        <v>639</v>
      </c>
      <c r="K1517" s="201">
        <v>481</v>
      </c>
    </row>
    <row r="1518" spans="1:11" x14ac:dyDescent="0.25">
      <c r="A1518"/>
      <c r="B1518" s="201">
        <v>0</v>
      </c>
      <c r="C1518">
        <v>667</v>
      </c>
      <c r="D1518" s="201">
        <v>-63</v>
      </c>
      <c r="E1518" s="201">
        <v>-369</v>
      </c>
      <c r="F1518">
        <v>-2242</v>
      </c>
      <c r="G1518">
        <v>22</v>
      </c>
      <c r="H1518">
        <v>0</v>
      </c>
      <c r="I1518">
        <v>-892</v>
      </c>
      <c r="J1518">
        <v>-2279</v>
      </c>
      <c r="K1518" s="201">
        <v>-825</v>
      </c>
    </row>
    <row r="1519" spans="1:11" x14ac:dyDescent="0.25">
      <c r="A1519"/>
      <c r="B1519" s="201">
        <v>1212</v>
      </c>
      <c r="C1519">
        <v>0</v>
      </c>
      <c r="D1519" s="201">
        <v>-125</v>
      </c>
      <c r="E1519" s="201">
        <v>-689</v>
      </c>
      <c r="F1519">
        <v>0</v>
      </c>
      <c r="G1519">
        <v>0</v>
      </c>
      <c r="H1519">
        <v>0</v>
      </c>
      <c r="I1519">
        <v>-366</v>
      </c>
      <c r="J1519">
        <v>-276</v>
      </c>
      <c r="K1519" s="201">
        <v>0</v>
      </c>
    </row>
    <row r="1520" spans="1:11" x14ac:dyDescent="0.25">
      <c r="A1520"/>
      <c r="B1520" s="201">
        <v>-543</v>
      </c>
      <c r="C1520">
        <v>-6891</v>
      </c>
      <c r="D1520" s="201">
        <v>-2418</v>
      </c>
      <c r="E1520" s="201">
        <v>-3177</v>
      </c>
      <c r="F1520">
        <v>0</v>
      </c>
      <c r="G1520">
        <v>0</v>
      </c>
      <c r="H1520">
        <v>0</v>
      </c>
      <c r="I1520">
        <v>0</v>
      </c>
      <c r="J1520">
        <v>0</v>
      </c>
      <c r="K1520" s="201">
        <v>-285</v>
      </c>
    </row>
    <row r="1521" spans="1:11" x14ac:dyDescent="0.25">
      <c r="A1521"/>
      <c r="B1521" s="201">
        <v>0</v>
      </c>
      <c r="C1521">
        <v>647</v>
      </c>
      <c r="D1521" s="201">
        <v>402</v>
      </c>
      <c r="E1521" s="201">
        <v>1121</v>
      </c>
      <c r="F1521">
        <v>0</v>
      </c>
      <c r="G1521">
        <v>-379</v>
      </c>
      <c r="H1521">
        <v>-425</v>
      </c>
      <c r="I1521">
        <v>-2887</v>
      </c>
      <c r="J1521">
        <v>10665</v>
      </c>
      <c r="K1521" s="201">
        <v>-5791</v>
      </c>
    </row>
    <row r="1522" spans="1:11" x14ac:dyDescent="0.25">
      <c r="A1522"/>
      <c r="B1522" s="201">
        <v>-36100</v>
      </c>
      <c r="C1522">
        <v>-459</v>
      </c>
      <c r="D1522" s="201">
        <v>7792</v>
      </c>
      <c r="E1522" s="201">
        <v>0</v>
      </c>
      <c r="F1522">
        <v>-6082</v>
      </c>
      <c r="G1522">
        <v>0</v>
      </c>
      <c r="H1522">
        <v>0</v>
      </c>
      <c r="I1522">
        <v>4029</v>
      </c>
      <c r="J1522">
        <v>3782</v>
      </c>
      <c r="K1522" s="201">
        <v>0</v>
      </c>
    </row>
    <row r="1523" spans="1:11" x14ac:dyDescent="0.25">
      <c r="A1523"/>
      <c r="B1523" s="201">
        <v>-1103</v>
      </c>
      <c r="C1523">
        <v>0</v>
      </c>
      <c r="D1523" s="201">
        <v>0</v>
      </c>
      <c r="E1523" s="201">
        <v>-2643</v>
      </c>
      <c r="F1523">
        <v>0</v>
      </c>
      <c r="G1523">
        <v>1063</v>
      </c>
      <c r="H1523">
        <v>-44</v>
      </c>
      <c r="I1523">
        <v>-18</v>
      </c>
      <c r="J1523">
        <v>-91</v>
      </c>
      <c r="K1523" s="201">
        <v>58</v>
      </c>
    </row>
    <row r="1524" spans="1:11" x14ac:dyDescent="0.25">
      <c r="A1524"/>
      <c r="B1524" s="201">
        <v>0</v>
      </c>
      <c r="C1524">
        <v>0</v>
      </c>
      <c r="D1524" s="201">
        <v>-142</v>
      </c>
      <c r="E1524" s="201">
        <v>0</v>
      </c>
      <c r="F1524">
        <v>0</v>
      </c>
      <c r="G1524">
        <v>0</v>
      </c>
      <c r="H1524">
        <v>322</v>
      </c>
      <c r="I1524">
        <v>740</v>
      </c>
      <c r="J1524">
        <v>0</v>
      </c>
      <c r="K1524" s="201">
        <v>0</v>
      </c>
    </row>
    <row r="1525" spans="1:11" x14ac:dyDescent="0.25">
      <c r="A1525"/>
      <c r="B1525" s="201">
        <v>0</v>
      </c>
      <c r="C1525">
        <v>0</v>
      </c>
      <c r="D1525" s="201">
        <v>0</v>
      </c>
      <c r="E1525" s="201">
        <v>0</v>
      </c>
      <c r="F1525">
        <v>46</v>
      </c>
      <c r="G1525">
        <v>0</v>
      </c>
      <c r="H1525">
        <v>0</v>
      </c>
      <c r="I1525">
        <v>11</v>
      </c>
      <c r="J1525">
        <v>0</v>
      </c>
      <c r="K1525" s="201">
        <v>-95</v>
      </c>
    </row>
    <row r="1526" spans="1:11" x14ac:dyDescent="0.25">
      <c r="A1526"/>
      <c r="B1526" s="201">
        <v>0</v>
      </c>
      <c r="C1526">
        <v>21</v>
      </c>
      <c r="D1526" s="201">
        <v>-606</v>
      </c>
      <c r="E1526" s="201">
        <v>-183</v>
      </c>
      <c r="F1526">
        <v>0</v>
      </c>
      <c r="G1526">
        <v>242</v>
      </c>
      <c r="H1526">
        <v>39</v>
      </c>
      <c r="I1526">
        <v>-213</v>
      </c>
      <c r="J1526">
        <v>-226</v>
      </c>
      <c r="K1526" s="201">
        <v>-184</v>
      </c>
    </row>
    <row r="1527" spans="1:11" x14ac:dyDescent="0.25">
      <c r="A1527"/>
      <c r="B1527" s="201">
        <v>-457</v>
      </c>
      <c r="C1527">
        <v>0</v>
      </c>
      <c r="D1527" s="201">
        <v>-54</v>
      </c>
      <c r="E1527" s="201">
        <v>0</v>
      </c>
      <c r="F1527">
        <v>0</v>
      </c>
      <c r="G1527">
        <v>0</v>
      </c>
      <c r="H1527">
        <v>0</v>
      </c>
      <c r="I1527">
        <v>0</v>
      </c>
      <c r="J1527">
        <v>359</v>
      </c>
      <c r="K1527" s="201">
        <v>0</v>
      </c>
    </row>
    <row r="1528" spans="1:11" x14ac:dyDescent="0.25">
      <c r="A1528"/>
      <c r="B1528" s="201">
        <v>0</v>
      </c>
      <c r="C1528">
        <v>0</v>
      </c>
      <c r="D1528" s="201">
        <v>-348</v>
      </c>
      <c r="E1528" s="201">
        <v>0</v>
      </c>
      <c r="F1528">
        <v>-337</v>
      </c>
      <c r="G1528">
        <v>0</v>
      </c>
      <c r="H1528">
        <v>0</v>
      </c>
      <c r="I1528">
        <v>0</v>
      </c>
      <c r="J1528">
        <v>0</v>
      </c>
      <c r="K1528" s="201">
        <v>0</v>
      </c>
    </row>
    <row r="1529" spans="1:11" x14ac:dyDescent="0.25">
      <c r="A1529"/>
      <c r="B1529" s="201">
        <v>-344</v>
      </c>
      <c r="C1529">
        <v>0</v>
      </c>
      <c r="D1529" s="201">
        <v>-200</v>
      </c>
      <c r="E1529" s="201">
        <v>194</v>
      </c>
      <c r="F1529">
        <v>0</v>
      </c>
      <c r="G1529">
        <v>0</v>
      </c>
      <c r="H1529">
        <v>14</v>
      </c>
      <c r="I1529">
        <v>-98</v>
      </c>
      <c r="J1529">
        <v>0</v>
      </c>
      <c r="K1529" s="201">
        <v>-618</v>
      </c>
    </row>
    <row r="1530" spans="1:11" x14ac:dyDescent="0.25">
      <c r="A1530"/>
      <c r="B1530" s="201">
        <v>0</v>
      </c>
      <c r="C1530">
        <v>0</v>
      </c>
      <c r="D1530" s="201">
        <v>0</v>
      </c>
      <c r="E1530" s="201">
        <v>0</v>
      </c>
      <c r="F1530">
        <v>-17</v>
      </c>
      <c r="G1530">
        <v>84</v>
      </c>
      <c r="H1530">
        <v>-6</v>
      </c>
      <c r="I1530">
        <v>0</v>
      </c>
      <c r="J1530">
        <v>0</v>
      </c>
      <c r="K1530" s="201">
        <v>-32</v>
      </c>
    </row>
    <row r="1531" spans="1:11" x14ac:dyDescent="0.25">
      <c r="A1531"/>
      <c r="B1531" s="201">
        <v>-55</v>
      </c>
      <c r="C1531">
        <v>0</v>
      </c>
      <c r="D1531" s="201">
        <v>530</v>
      </c>
      <c r="E1531" s="201">
        <v>-204</v>
      </c>
      <c r="F1531">
        <v>803</v>
      </c>
      <c r="G1531">
        <v>-427</v>
      </c>
      <c r="H1531">
        <v>-607</v>
      </c>
      <c r="I1531">
        <v>-4515</v>
      </c>
      <c r="J1531">
        <v>-1003</v>
      </c>
      <c r="K1531" s="201">
        <v>0</v>
      </c>
    </row>
    <row r="1532" spans="1:11" x14ac:dyDescent="0.25">
      <c r="A1532"/>
      <c r="B1532" s="201">
        <v>0</v>
      </c>
      <c r="C1532">
        <v>0</v>
      </c>
      <c r="D1532" s="201">
        <v>0</v>
      </c>
      <c r="E1532" s="201">
        <v>0</v>
      </c>
      <c r="F1532">
        <v>184</v>
      </c>
      <c r="G1532">
        <v>0</v>
      </c>
      <c r="H1532">
        <v>135</v>
      </c>
      <c r="I1532">
        <v>280</v>
      </c>
      <c r="J1532">
        <v>115</v>
      </c>
      <c r="K1532" s="201">
        <v>0</v>
      </c>
    </row>
    <row r="1533" spans="1:11" x14ac:dyDescent="0.25">
      <c r="A1533"/>
      <c r="B1533" s="201">
        <v>264</v>
      </c>
      <c r="C1533">
        <v>-209</v>
      </c>
      <c r="D1533" s="201">
        <v>-620</v>
      </c>
      <c r="E1533" s="201">
        <v>-2651</v>
      </c>
      <c r="F1533">
        <v>818</v>
      </c>
      <c r="G1533">
        <v>0</v>
      </c>
      <c r="H1533">
        <v>-1203</v>
      </c>
      <c r="I1533">
        <v>-1653</v>
      </c>
      <c r="J1533">
        <v>-589</v>
      </c>
      <c r="K1533" s="201">
        <v>129</v>
      </c>
    </row>
    <row r="1534" spans="1:11" x14ac:dyDescent="0.25">
      <c r="A1534"/>
      <c r="B1534" s="201">
        <v>0</v>
      </c>
      <c r="C1534">
        <v>-170</v>
      </c>
      <c r="D1534" s="201">
        <v>-372</v>
      </c>
      <c r="E1534" s="201">
        <v>0</v>
      </c>
      <c r="F1534">
        <v>0</v>
      </c>
      <c r="G1534">
        <v>0</v>
      </c>
      <c r="H1534">
        <v>522</v>
      </c>
      <c r="I1534">
        <v>-307</v>
      </c>
      <c r="J1534">
        <v>0</v>
      </c>
      <c r="K1534" s="201">
        <v>-217</v>
      </c>
    </row>
    <row r="1535" spans="1:11" x14ac:dyDescent="0.25">
      <c r="A1535"/>
      <c r="B1535" s="201">
        <v>-2496</v>
      </c>
      <c r="C1535">
        <v>-13454</v>
      </c>
      <c r="D1535" s="201">
        <v>-4386</v>
      </c>
      <c r="E1535" s="201">
        <v>0</v>
      </c>
      <c r="F1535">
        <v>0</v>
      </c>
      <c r="G1535">
        <v>0</v>
      </c>
      <c r="H1535">
        <v>0</v>
      </c>
      <c r="I1535">
        <v>0</v>
      </c>
      <c r="J1535">
        <v>463</v>
      </c>
      <c r="K1535" s="201">
        <v>0</v>
      </c>
    </row>
    <row r="1536" spans="1:11" x14ac:dyDescent="0.25">
      <c r="A1536"/>
      <c r="B1536" s="201">
        <v>1089</v>
      </c>
      <c r="C1536">
        <v>231</v>
      </c>
      <c r="D1536" s="201">
        <v>288</v>
      </c>
      <c r="E1536" s="201">
        <v>0</v>
      </c>
      <c r="F1536">
        <v>-991</v>
      </c>
      <c r="G1536">
        <v>-537</v>
      </c>
      <c r="H1536">
        <v>1134</v>
      </c>
      <c r="I1536">
        <v>15472</v>
      </c>
      <c r="J1536">
        <v>-5649</v>
      </c>
      <c r="K1536" s="201">
        <v>-7817</v>
      </c>
    </row>
    <row r="1537" spans="1:11" x14ac:dyDescent="0.25">
      <c r="A1537"/>
      <c r="B1537" s="201">
        <v>6050</v>
      </c>
      <c r="C1537">
        <v>7790</v>
      </c>
      <c r="D1537" s="201">
        <v>0</v>
      </c>
      <c r="E1537" s="201">
        <v>-300</v>
      </c>
      <c r="F1537">
        <v>0</v>
      </c>
      <c r="G1537">
        <v>0</v>
      </c>
      <c r="H1537">
        <v>1262</v>
      </c>
      <c r="I1537">
        <v>686</v>
      </c>
      <c r="J1537">
        <v>0</v>
      </c>
      <c r="K1537" s="201">
        <v>1784</v>
      </c>
    </row>
    <row r="1538" spans="1:11" x14ac:dyDescent="0.25">
      <c r="A1538"/>
      <c r="B1538" s="201">
        <v>0</v>
      </c>
      <c r="C1538">
        <v>0</v>
      </c>
      <c r="D1538" s="201">
        <v>-9215</v>
      </c>
      <c r="E1538" s="201">
        <v>0</v>
      </c>
      <c r="F1538">
        <v>18090</v>
      </c>
      <c r="G1538">
        <v>1351</v>
      </c>
      <c r="H1538">
        <v>90</v>
      </c>
      <c r="I1538">
        <v>62</v>
      </c>
      <c r="J1538">
        <v>134</v>
      </c>
      <c r="K1538" s="201">
        <v>125</v>
      </c>
    </row>
    <row r="1539" spans="1:11" x14ac:dyDescent="0.25">
      <c r="A1539"/>
      <c r="B1539" s="201">
        <v>0</v>
      </c>
      <c r="C1539">
        <v>0</v>
      </c>
      <c r="D1539" s="201">
        <v>117</v>
      </c>
      <c r="E1539" s="201">
        <v>0</v>
      </c>
      <c r="F1539">
        <v>0</v>
      </c>
      <c r="G1539">
        <v>0</v>
      </c>
      <c r="H1539">
        <v>-86</v>
      </c>
      <c r="I1539">
        <v>-253</v>
      </c>
      <c r="J1539">
        <v>0</v>
      </c>
      <c r="K1539" s="201">
        <v>0</v>
      </c>
    </row>
    <row r="1540" spans="1:11" x14ac:dyDescent="0.25">
      <c r="A1540"/>
      <c r="B1540" s="201">
        <v>0</v>
      </c>
      <c r="C1540">
        <v>0</v>
      </c>
      <c r="D1540" s="201">
        <v>0</v>
      </c>
      <c r="E1540" s="201">
        <v>0</v>
      </c>
      <c r="F1540">
        <v>-93</v>
      </c>
      <c r="G1540">
        <v>0</v>
      </c>
      <c r="H1540">
        <v>0</v>
      </c>
      <c r="I1540">
        <v>-23</v>
      </c>
      <c r="J1540">
        <v>0</v>
      </c>
      <c r="K1540" s="201">
        <v>-76</v>
      </c>
    </row>
    <row r="1541" spans="1:11" x14ac:dyDescent="0.25">
      <c r="A1541"/>
      <c r="B1541" s="201">
        <v>0</v>
      </c>
      <c r="C1541">
        <v>-76</v>
      </c>
      <c r="D1541" s="201">
        <v>-746</v>
      </c>
      <c r="E1541" s="201">
        <v>-240</v>
      </c>
      <c r="F1541">
        <v>0</v>
      </c>
      <c r="G1541">
        <v>-795</v>
      </c>
      <c r="H1541">
        <v>-163</v>
      </c>
      <c r="I1541">
        <v>-124</v>
      </c>
      <c r="J1541">
        <v>429</v>
      </c>
      <c r="K1541" s="201">
        <v>638</v>
      </c>
    </row>
    <row r="1542" spans="1:11" x14ac:dyDescent="0.25">
      <c r="A1542"/>
      <c r="B1542" s="201">
        <v>130</v>
      </c>
      <c r="C1542">
        <v>0</v>
      </c>
      <c r="D1542" s="201">
        <v>-41</v>
      </c>
      <c r="E1542" s="201">
        <v>0</v>
      </c>
      <c r="F1542">
        <v>0</v>
      </c>
      <c r="G1542">
        <v>0</v>
      </c>
      <c r="H1542">
        <v>0</v>
      </c>
      <c r="I1542">
        <v>0</v>
      </c>
      <c r="J1542">
        <v>19</v>
      </c>
      <c r="K1542" s="201">
        <v>0</v>
      </c>
    </row>
    <row r="1543" spans="1:11" x14ac:dyDescent="0.25">
      <c r="A1543"/>
      <c r="B1543" s="201">
        <v>0</v>
      </c>
      <c r="C1543">
        <v>0</v>
      </c>
      <c r="D1543" s="201">
        <v>837</v>
      </c>
      <c r="E1543" s="201">
        <v>0</v>
      </c>
      <c r="F1543">
        <v>1180</v>
      </c>
      <c r="G1543">
        <v>0</v>
      </c>
      <c r="H1543">
        <v>0</v>
      </c>
      <c r="I1543">
        <v>0</v>
      </c>
      <c r="J1543">
        <v>0</v>
      </c>
      <c r="K1543" s="201">
        <v>0</v>
      </c>
    </row>
    <row r="1544" spans="1:11" x14ac:dyDescent="0.25">
      <c r="A1544"/>
      <c r="B1544" s="201">
        <v>-341</v>
      </c>
      <c r="C1544">
        <v>0</v>
      </c>
      <c r="D1544" s="201">
        <v>-280</v>
      </c>
      <c r="E1544" s="201">
        <v>514</v>
      </c>
      <c r="F1544">
        <v>0</v>
      </c>
      <c r="G1544">
        <v>0</v>
      </c>
      <c r="H1544">
        <v>-189</v>
      </c>
      <c r="I1544">
        <v>101</v>
      </c>
      <c r="J1544">
        <v>0</v>
      </c>
      <c r="K1544" s="201">
        <v>-1703</v>
      </c>
    </row>
    <row r="1545" spans="1:11" x14ac:dyDescent="0.25">
      <c r="A1545"/>
      <c r="B1545" s="201">
        <v>0</v>
      </c>
      <c r="C1545">
        <v>0</v>
      </c>
      <c r="D1545" s="201">
        <v>0</v>
      </c>
      <c r="E1545" s="201">
        <v>0</v>
      </c>
      <c r="F1545">
        <v>-95</v>
      </c>
      <c r="G1545">
        <v>0</v>
      </c>
      <c r="H1545">
        <v>-24</v>
      </c>
      <c r="I1545">
        <v>0</v>
      </c>
      <c r="J1545">
        <v>0</v>
      </c>
      <c r="K1545" s="201">
        <v>-492</v>
      </c>
    </row>
    <row r="1546" spans="1:11" x14ac:dyDescent="0.25">
      <c r="A1546"/>
      <c r="B1546" s="201">
        <v>28</v>
      </c>
      <c r="C1546">
        <v>0</v>
      </c>
      <c r="D1546" s="201">
        <v>125</v>
      </c>
      <c r="E1546" s="201">
        <v>-1017</v>
      </c>
      <c r="F1546">
        <v>-52</v>
      </c>
      <c r="G1546">
        <v>-718</v>
      </c>
      <c r="H1546">
        <v>-700</v>
      </c>
      <c r="I1546">
        <v>-929</v>
      </c>
      <c r="J1546">
        <v>-4558</v>
      </c>
      <c r="K1546" s="201">
        <v>0</v>
      </c>
    </row>
    <row r="1547" spans="1:11" x14ac:dyDescent="0.25">
      <c r="A1547"/>
      <c r="B1547" s="201">
        <v>0</v>
      </c>
      <c r="C1547">
        <v>0</v>
      </c>
      <c r="D1547" s="201">
        <v>0</v>
      </c>
      <c r="E1547" s="201">
        <v>0</v>
      </c>
      <c r="F1547">
        <v>39</v>
      </c>
      <c r="G1547">
        <v>0</v>
      </c>
      <c r="H1547">
        <v>-49</v>
      </c>
      <c r="I1547">
        <v>919</v>
      </c>
      <c r="J1547">
        <v>246</v>
      </c>
      <c r="K1547" s="201">
        <v>0</v>
      </c>
    </row>
    <row r="1548" spans="1:11" x14ac:dyDescent="0.25">
      <c r="A1548"/>
      <c r="B1548" s="201">
        <v>1390</v>
      </c>
      <c r="C1548">
        <v>578</v>
      </c>
      <c r="D1548" s="201">
        <v>750</v>
      </c>
      <c r="E1548" s="201">
        <v>-3781</v>
      </c>
      <c r="F1548">
        <v>2884</v>
      </c>
      <c r="G1548">
        <v>0</v>
      </c>
      <c r="H1548">
        <v>-1410</v>
      </c>
      <c r="I1548">
        <v>-2217</v>
      </c>
      <c r="J1548">
        <v>-762</v>
      </c>
      <c r="K1548" s="201">
        <v>-375</v>
      </c>
    </row>
    <row r="1549" spans="1:11" x14ac:dyDescent="0.25">
      <c r="A1549"/>
      <c r="B1549" s="201">
        <v>0</v>
      </c>
      <c r="C1549">
        <v>256</v>
      </c>
      <c r="D1549" s="201">
        <v>978</v>
      </c>
      <c r="E1549" s="201">
        <v>0</v>
      </c>
      <c r="F1549">
        <v>0</v>
      </c>
      <c r="G1549">
        <v>0</v>
      </c>
      <c r="H1549">
        <v>-321</v>
      </c>
      <c r="I1549">
        <v>-1988</v>
      </c>
      <c r="J1549">
        <v>0</v>
      </c>
      <c r="K1549" s="201">
        <v>-1708</v>
      </c>
    </row>
    <row r="1550" spans="1:11" x14ac:dyDescent="0.25">
      <c r="A1550"/>
      <c r="B1550" s="201">
        <v>-3433</v>
      </c>
      <c r="C1550">
        <v>-4574</v>
      </c>
      <c r="D1550" s="201">
        <v>-17245</v>
      </c>
      <c r="E1550" s="201">
        <v>0</v>
      </c>
      <c r="F1550">
        <v>0</v>
      </c>
      <c r="G1550">
        <v>0</v>
      </c>
      <c r="H1550">
        <v>0</v>
      </c>
      <c r="I1550">
        <v>0</v>
      </c>
      <c r="J1550">
        <v>-283</v>
      </c>
      <c r="K1550" s="201">
        <v>0</v>
      </c>
    </row>
    <row r="1551" spans="1:11" x14ac:dyDescent="0.25">
      <c r="A1551"/>
      <c r="B1551" s="201">
        <v>534</v>
      </c>
      <c r="C1551">
        <v>-560</v>
      </c>
      <c r="D1551" s="201">
        <v>-289</v>
      </c>
      <c r="E1551" s="201">
        <v>0</v>
      </c>
      <c r="F1551">
        <v>-2935</v>
      </c>
      <c r="G1551">
        <v>-3059</v>
      </c>
      <c r="H1551">
        <v>-3483</v>
      </c>
      <c r="I1551">
        <v>22294</v>
      </c>
      <c r="J1551">
        <v>-19139</v>
      </c>
      <c r="K1551" s="201">
        <v>-1884</v>
      </c>
    </row>
    <row r="1552" spans="1:11" x14ac:dyDescent="0.25">
      <c r="A1552"/>
      <c r="B1552" s="201">
        <v>6632</v>
      </c>
      <c r="C1552">
        <v>10240</v>
      </c>
      <c r="D1552" s="201">
        <v>0</v>
      </c>
      <c r="E1552" s="201">
        <v>1896</v>
      </c>
      <c r="F1552">
        <v>0</v>
      </c>
      <c r="G1552">
        <v>0</v>
      </c>
      <c r="H1552">
        <v>-3706</v>
      </c>
      <c r="I1552">
        <v>2454</v>
      </c>
      <c r="J1552">
        <v>0</v>
      </c>
      <c r="K1552" s="201">
        <v>-13000</v>
      </c>
    </row>
    <row r="1553" spans="1:11" x14ac:dyDescent="0.25">
      <c r="A1553"/>
      <c r="B1553" s="201">
        <v>0</v>
      </c>
      <c r="C1553">
        <v>0</v>
      </c>
      <c r="D1553" s="201">
        <v>4800</v>
      </c>
      <c r="E1553" s="201">
        <v>0</v>
      </c>
      <c r="F1553">
        <v>21322</v>
      </c>
      <c r="G1553">
        <v>27268</v>
      </c>
      <c r="H1553">
        <v>0</v>
      </c>
      <c r="I1553">
        <v>0</v>
      </c>
      <c r="J1553">
        <v>0</v>
      </c>
      <c r="K1553" s="201">
        <v>0</v>
      </c>
    </row>
    <row r="1554" spans="1:11" x14ac:dyDescent="0.25">
      <c r="A1554"/>
      <c r="B1554" s="201">
        <v>0</v>
      </c>
      <c r="C1554">
        <v>0</v>
      </c>
      <c r="D1554" s="201">
        <v>0</v>
      </c>
      <c r="E1554" s="201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 s="201">
        <v>0</v>
      </c>
    </row>
    <row r="1555" spans="1:11" x14ac:dyDescent="0.25">
      <c r="A1555"/>
      <c r="B1555" s="201">
        <v>0</v>
      </c>
      <c r="C1555">
        <v>0</v>
      </c>
      <c r="D1555" s="201">
        <v>0</v>
      </c>
      <c r="E1555" s="201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 s="201">
        <v>0</v>
      </c>
    </row>
    <row r="1556" spans="1:11" x14ac:dyDescent="0.25">
      <c r="A1556"/>
      <c r="B1556" s="201">
        <v>0</v>
      </c>
      <c r="C1556">
        <v>0</v>
      </c>
      <c r="D1556" s="201">
        <v>0</v>
      </c>
      <c r="E1556" s="201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 s="201">
        <v>0</v>
      </c>
    </row>
    <row r="1557" spans="1:11" x14ac:dyDescent="0.25">
      <c r="A1557"/>
      <c r="B1557" s="201">
        <v>0</v>
      </c>
      <c r="C1557">
        <v>0</v>
      </c>
      <c r="D1557" s="201">
        <v>0</v>
      </c>
      <c r="E1557" s="201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 s="201">
        <v>0</v>
      </c>
    </row>
    <row r="1558" spans="1:11" x14ac:dyDescent="0.25">
      <c r="A1558"/>
      <c r="B1558" s="201">
        <v>0</v>
      </c>
      <c r="C1558">
        <v>0</v>
      </c>
      <c r="D1558" s="201">
        <v>0</v>
      </c>
      <c r="E1558" s="201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 s="201">
        <v>0</v>
      </c>
    </row>
    <row r="1559" spans="1:11" x14ac:dyDescent="0.25">
      <c r="A1559"/>
      <c r="B1559" s="201">
        <v>0</v>
      </c>
      <c r="C1559">
        <v>0</v>
      </c>
      <c r="D1559" s="201">
        <v>0</v>
      </c>
      <c r="E1559" s="201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 s="201">
        <v>0</v>
      </c>
    </row>
    <row r="1560" spans="1:11" x14ac:dyDescent="0.25">
      <c r="A1560"/>
      <c r="B1560" s="201">
        <v>0</v>
      </c>
      <c r="C1560">
        <v>0</v>
      </c>
      <c r="D1560" s="201">
        <v>0</v>
      </c>
      <c r="E1560" s="201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 s="201">
        <v>0</v>
      </c>
    </row>
    <row r="1561" spans="1:11" x14ac:dyDescent="0.25">
      <c r="A1561"/>
      <c r="B1561" s="201">
        <v>0</v>
      </c>
      <c r="C1561">
        <v>0</v>
      </c>
      <c r="D1561" s="201">
        <v>0</v>
      </c>
      <c r="E1561" s="20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 s="201">
        <v>0</v>
      </c>
    </row>
    <row r="1562" spans="1:11" x14ac:dyDescent="0.25">
      <c r="A1562"/>
      <c r="B1562" s="201">
        <v>0</v>
      </c>
      <c r="C1562">
        <v>0</v>
      </c>
      <c r="D1562" s="201">
        <v>0</v>
      </c>
      <c r="E1562" s="201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 s="201">
        <v>0</v>
      </c>
    </row>
    <row r="1563" spans="1:11" x14ac:dyDescent="0.25">
      <c r="A1563"/>
      <c r="B1563" s="201">
        <v>0</v>
      </c>
      <c r="C1563">
        <v>0</v>
      </c>
      <c r="D1563" s="201">
        <v>0</v>
      </c>
      <c r="E1563" s="201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 s="201">
        <v>0</v>
      </c>
    </row>
    <row r="1564" spans="1:11" x14ac:dyDescent="0.25">
      <c r="A1564"/>
      <c r="B1564" s="201">
        <v>0</v>
      </c>
      <c r="C1564">
        <v>0</v>
      </c>
      <c r="D1564" s="201">
        <v>0</v>
      </c>
      <c r="E1564" s="201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 s="201">
        <v>0</v>
      </c>
    </row>
    <row r="1565" spans="1:11" x14ac:dyDescent="0.25">
      <c r="A1565"/>
      <c r="B1565" s="201">
        <v>0</v>
      </c>
      <c r="C1565">
        <v>0</v>
      </c>
      <c r="D1565" s="201">
        <v>0</v>
      </c>
      <c r="E1565" s="201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 s="201">
        <v>0</v>
      </c>
    </row>
    <row r="1566" spans="1:11" x14ac:dyDescent="0.25">
      <c r="A1566"/>
      <c r="B1566" s="201">
        <v>0</v>
      </c>
      <c r="C1566">
        <v>0</v>
      </c>
      <c r="D1566" s="201">
        <v>0</v>
      </c>
      <c r="E1566" s="201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 s="201">
        <v>0</v>
      </c>
    </row>
    <row r="1567" spans="1:11" x14ac:dyDescent="0.25">
      <c r="A1567"/>
      <c r="B1567" s="201">
        <v>0</v>
      </c>
      <c r="C1567">
        <v>0</v>
      </c>
      <c r="D1567" s="201">
        <v>0</v>
      </c>
      <c r="E1567" s="201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 s="201">
        <v>0</v>
      </c>
    </row>
    <row r="1568" spans="1:11" x14ac:dyDescent="0.25">
      <c r="A1568"/>
      <c r="B1568" s="201">
        <v>0</v>
      </c>
      <c r="C1568">
        <v>0</v>
      </c>
      <c r="D1568" s="201">
        <v>0</v>
      </c>
      <c r="E1568" s="201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 s="201">
        <v>0</v>
      </c>
    </row>
    <row r="1569" spans="1:11" x14ac:dyDescent="0.25">
      <c r="A1569"/>
      <c r="B1569" s="201">
        <v>0</v>
      </c>
      <c r="C1569">
        <v>0</v>
      </c>
      <c r="D1569" s="201">
        <v>0</v>
      </c>
      <c r="E1569" s="201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 s="201">
        <v>0</v>
      </c>
    </row>
    <row r="1570" spans="1:11" x14ac:dyDescent="0.25">
      <c r="A1570"/>
      <c r="B1570" s="201">
        <v>0</v>
      </c>
      <c r="C1570">
        <v>0</v>
      </c>
      <c r="D1570" s="201">
        <v>0</v>
      </c>
      <c r="E1570" s="201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 s="201">
        <v>0</v>
      </c>
    </row>
    <row r="1571" spans="1:11" x14ac:dyDescent="0.25">
      <c r="A1571"/>
      <c r="B1571" s="201">
        <v>0</v>
      </c>
      <c r="C1571">
        <v>0</v>
      </c>
      <c r="D1571" s="201">
        <v>0</v>
      </c>
      <c r="E1571" s="20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 s="201">
        <v>0</v>
      </c>
    </row>
    <row r="1572" spans="1:11" x14ac:dyDescent="0.25">
      <c r="A1572"/>
      <c r="B1572" s="201">
        <v>0</v>
      </c>
      <c r="C1572">
        <v>0</v>
      </c>
      <c r="D1572" s="201">
        <v>0</v>
      </c>
      <c r="E1572" s="201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 s="201">
        <v>0</v>
      </c>
    </row>
    <row r="1573" spans="1:11" x14ac:dyDescent="0.25">
      <c r="A1573"/>
      <c r="B1573" s="201">
        <v>0</v>
      </c>
      <c r="C1573">
        <v>0</v>
      </c>
      <c r="D1573" s="201">
        <v>0</v>
      </c>
      <c r="E1573" s="201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 s="201">
        <v>0</v>
      </c>
    </row>
    <row r="1574" spans="1:11" x14ac:dyDescent="0.25">
      <c r="A1574"/>
      <c r="B1574" s="201">
        <v>0</v>
      </c>
      <c r="C1574">
        <v>0</v>
      </c>
      <c r="D1574" s="201">
        <v>0</v>
      </c>
      <c r="E1574" s="201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 s="201">
        <v>0</v>
      </c>
    </row>
    <row r="1575" spans="1:11" x14ac:dyDescent="0.25">
      <c r="A1575"/>
      <c r="B1575" s="201">
        <v>0</v>
      </c>
      <c r="C1575">
        <v>0</v>
      </c>
      <c r="D1575" s="201">
        <v>0</v>
      </c>
      <c r="E1575" s="201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 s="201">
        <v>0</v>
      </c>
    </row>
    <row r="1576" spans="1:11" x14ac:dyDescent="0.25">
      <c r="A1576"/>
      <c r="B1576" s="201">
        <v>0</v>
      </c>
      <c r="C1576">
        <v>0</v>
      </c>
      <c r="D1576" s="201">
        <v>0</v>
      </c>
      <c r="E1576" s="201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 s="201">
        <v>0</v>
      </c>
    </row>
    <row r="1577" spans="1:11" x14ac:dyDescent="0.25">
      <c r="A1577"/>
      <c r="B1577" s="201">
        <v>0</v>
      </c>
      <c r="C1577">
        <v>0</v>
      </c>
      <c r="D1577" s="201">
        <v>0</v>
      </c>
      <c r="E1577" s="201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 s="201">
        <v>0</v>
      </c>
    </row>
    <row r="1578" spans="1:11" x14ac:dyDescent="0.25">
      <c r="A1578"/>
      <c r="B1578" s="201">
        <v>0</v>
      </c>
      <c r="C1578">
        <v>0</v>
      </c>
      <c r="D1578" s="201">
        <v>0</v>
      </c>
      <c r="E1578" s="201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 s="201">
        <v>0</v>
      </c>
    </row>
    <row r="1579" spans="1:11" x14ac:dyDescent="0.25">
      <c r="A1579"/>
      <c r="B1579" s="201">
        <v>0</v>
      </c>
      <c r="C1579">
        <v>0</v>
      </c>
      <c r="D1579" s="201">
        <v>0</v>
      </c>
      <c r="E1579" s="201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 s="201">
        <v>0</v>
      </c>
    </row>
    <row r="1580" spans="1:11" x14ac:dyDescent="0.25">
      <c r="A1580"/>
      <c r="B1580" s="201">
        <v>0</v>
      </c>
      <c r="C1580">
        <v>0</v>
      </c>
      <c r="D1580" s="201">
        <v>0</v>
      </c>
      <c r="E1580" s="201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 s="201">
        <v>0</v>
      </c>
    </row>
    <row r="1581" spans="1:11" x14ac:dyDescent="0.25">
      <c r="A1581"/>
      <c r="B1581" s="201">
        <v>0</v>
      </c>
      <c r="C1581">
        <v>0</v>
      </c>
      <c r="D1581" s="201">
        <v>0</v>
      </c>
      <c r="E1581" s="20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 s="201">
        <v>0</v>
      </c>
    </row>
    <row r="1582" spans="1:11" x14ac:dyDescent="0.25">
      <c r="A1582"/>
      <c r="B1582" s="201">
        <v>0</v>
      </c>
      <c r="C1582">
        <v>0</v>
      </c>
      <c r="D1582" s="201">
        <v>0</v>
      </c>
      <c r="E1582" s="201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 s="201">
        <v>0</v>
      </c>
    </row>
    <row r="1583" spans="1:11" x14ac:dyDescent="0.25">
      <c r="A1583"/>
      <c r="B1583" s="201">
        <v>0</v>
      </c>
      <c r="C1583">
        <v>0</v>
      </c>
      <c r="D1583" s="201">
        <v>0</v>
      </c>
      <c r="E1583" s="201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 s="201">
        <v>0</v>
      </c>
    </row>
    <row r="1584" spans="1:11" x14ac:dyDescent="0.25">
      <c r="A1584"/>
      <c r="B1584" s="201">
        <v>0</v>
      </c>
      <c r="C1584">
        <v>0</v>
      </c>
      <c r="D1584" s="201">
        <v>0</v>
      </c>
      <c r="E1584" s="201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 s="201">
        <v>0</v>
      </c>
    </row>
    <row r="1585" spans="1:11" x14ac:dyDescent="0.25">
      <c r="A1585"/>
      <c r="B1585" s="201">
        <v>0</v>
      </c>
      <c r="C1585">
        <v>0</v>
      </c>
      <c r="D1585" s="201">
        <v>0</v>
      </c>
      <c r="E1585" s="201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 s="201">
        <v>0</v>
      </c>
    </row>
    <row r="1586" spans="1:11" x14ac:dyDescent="0.25">
      <c r="A1586"/>
      <c r="B1586" s="201">
        <v>0</v>
      </c>
      <c r="C1586">
        <v>0</v>
      </c>
      <c r="D1586" s="201">
        <v>0</v>
      </c>
      <c r="E1586" s="201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 s="201">
        <v>0</v>
      </c>
    </row>
    <row r="1587" spans="1:11" x14ac:dyDescent="0.25">
      <c r="A1587"/>
      <c r="B1587" s="201">
        <v>0</v>
      </c>
      <c r="C1587">
        <v>0</v>
      </c>
      <c r="D1587" s="201">
        <v>0</v>
      </c>
      <c r="E1587" s="201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 s="201">
        <v>0</v>
      </c>
    </row>
    <row r="1588" spans="1:11" x14ac:dyDescent="0.25">
      <c r="A1588"/>
      <c r="B1588" s="201">
        <v>0</v>
      </c>
      <c r="C1588">
        <v>0</v>
      </c>
      <c r="D1588" s="201">
        <v>0</v>
      </c>
      <c r="E1588" s="201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 s="201">
        <v>0</v>
      </c>
    </row>
    <row r="1589" spans="1:11" x14ac:dyDescent="0.25">
      <c r="A1589"/>
      <c r="B1589" s="201">
        <v>0</v>
      </c>
      <c r="C1589">
        <v>0</v>
      </c>
      <c r="D1589" s="201">
        <v>0</v>
      </c>
      <c r="E1589" s="201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 s="201">
        <v>0</v>
      </c>
    </row>
    <row r="1590" spans="1:11" x14ac:dyDescent="0.25">
      <c r="A1590"/>
      <c r="B1590" s="201">
        <v>0</v>
      </c>
      <c r="C1590">
        <v>0</v>
      </c>
      <c r="D1590" s="201">
        <v>0</v>
      </c>
      <c r="E1590" s="201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 s="201">
        <v>0</v>
      </c>
    </row>
    <row r="1591" spans="1:11" x14ac:dyDescent="0.25">
      <c r="A1591"/>
      <c r="B1591" s="201">
        <v>0</v>
      </c>
      <c r="C1591">
        <v>0</v>
      </c>
      <c r="D1591" s="201">
        <v>0</v>
      </c>
      <c r="E1591" s="20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 s="201">
        <v>0</v>
      </c>
    </row>
    <row r="1592" spans="1:11" x14ac:dyDescent="0.25">
      <c r="A1592"/>
      <c r="B1592" s="201">
        <v>0</v>
      </c>
      <c r="C1592">
        <v>0</v>
      </c>
      <c r="D1592" s="201">
        <v>0</v>
      </c>
      <c r="E1592" s="201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 s="201">
        <v>0</v>
      </c>
    </row>
    <row r="1593" spans="1:11" x14ac:dyDescent="0.25">
      <c r="A1593"/>
      <c r="B1593" s="201">
        <v>0</v>
      </c>
      <c r="C1593">
        <v>0</v>
      </c>
      <c r="D1593" s="201">
        <v>0</v>
      </c>
      <c r="E1593" s="201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 s="201">
        <v>0</v>
      </c>
    </row>
    <row r="1594" spans="1:11" x14ac:dyDescent="0.25">
      <c r="A1594"/>
      <c r="B1594" s="201">
        <v>0</v>
      </c>
      <c r="C1594">
        <v>0</v>
      </c>
      <c r="D1594" s="201">
        <v>0</v>
      </c>
      <c r="E1594" s="201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 s="201">
        <v>0</v>
      </c>
    </row>
    <row r="1595" spans="1:11" x14ac:dyDescent="0.25">
      <c r="A1595"/>
      <c r="B1595" s="201">
        <v>0</v>
      </c>
      <c r="C1595">
        <v>0</v>
      </c>
      <c r="D1595" s="201">
        <v>0</v>
      </c>
      <c r="E1595" s="201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 s="201">
        <v>0</v>
      </c>
    </row>
    <row r="1596" spans="1:11" x14ac:dyDescent="0.25">
      <c r="A1596"/>
      <c r="B1596" s="201">
        <v>0</v>
      </c>
      <c r="C1596">
        <v>0</v>
      </c>
      <c r="D1596" s="201">
        <v>0</v>
      </c>
      <c r="E1596" s="201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 s="201">
        <v>0</v>
      </c>
    </row>
    <row r="1597" spans="1:11" x14ac:dyDescent="0.25">
      <c r="A1597"/>
      <c r="B1597" s="201">
        <v>0</v>
      </c>
      <c r="C1597">
        <v>0</v>
      </c>
      <c r="D1597" s="201">
        <v>0</v>
      </c>
      <c r="E1597" s="201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 s="201">
        <v>0</v>
      </c>
    </row>
    <row r="1598" spans="1:11" x14ac:dyDescent="0.25">
      <c r="A1598"/>
      <c r="B1598" s="201">
        <v>0</v>
      </c>
      <c r="C1598">
        <v>0</v>
      </c>
      <c r="D1598" s="201">
        <v>0</v>
      </c>
      <c r="E1598" s="201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 s="201">
        <v>0</v>
      </c>
    </row>
    <row r="1599" spans="1:11" x14ac:dyDescent="0.25">
      <c r="A1599"/>
      <c r="B1599" s="201">
        <v>0</v>
      </c>
      <c r="C1599">
        <v>0</v>
      </c>
      <c r="D1599" s="201">
        <v>0</v>
      </c>
      <c r="E1599" s="201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 s="201">
        <v>0</v>
      </c>
    </row>
    <row r="1600" spans="1:11" x14ac:dyDescent="0.25">
      <c r="A1600"/>
      <c r="B1600" s="201">
        <v>0</v>
      </c>
      <c r="C1600">
        <v>0</v>
      </c>
      <c r="D1600" s="201">
        <v>0</v>
      </c>
      <c r="E1600" s="201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 s="201">
        <v>0</v>
      </c>
    </row>
    <row r="1601" spans="1:11" x14ac:dyDescent="0.25">
      <c r="A1601"/>
      <c r="B1601" s="201">
        <v>0</v>
      </c>
      <c r="C1601">
        <v>0</v>
      </c>
      <c r="D1601" s="201">
        <v>0</v>
      </c>
      <c r="E1601" s="2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 s="201">
        <v>0</v>
      </c>
    </row>
    <row r="1602" spans="1:11" x14ac:dyDescent="0.25">
      <c r="A1602"/>
      <c r="B1602" s="201">
        <v>0</v>
      </c>
      <c r="C1602">
        <v>0</v>
      </c>
      <c r="D1602" s="201">
        <v>0</v>
      </c>
      <c r="E1602" s="201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 s="201">
        <v>0</v>
      </c>
    </row>
    <row r="1603" spans="1:11" x14ac:dyDescent="0.25">
      <c r="A1603"/>
      <c r="B1603" s="201">
        <v>0</v>
      </c>
      <c r="C1603">
        <v>0</v>
      </c>
      <c r="D1603" s="201">
        <v>0</v>
      </c>
      <c r="E1603" s="201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 s="201">
        <v>0</v>
      </c>
    </row>
    <row r="1604" spans="1:11" x14ac:dyDescent="0.25">
      <c r="A1604"/>
      <c r="B1604" s="201">
        <v>0</v>
      </c>
      <c r="C1604">
        <v>0</v>
      </c>
      <c r="D1604" s="201">
        <v>0</v>
      </c>
      <c r="E1604" s="201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 s="201">
        <v>0</v>
      </c>
    </row>
    <row r="1605" spans="1:11" x14ac:dyDescent="0.25">
      <c r="A1605"/>
      <c r="B1605" s="201">
        <v>0</v>
      </c>
      <c r="C1605">
        <v>0</v>
      </c>
      <c r="D1605" s="201">
        <v>0</v>
      </c>
      <c r="E1605" s="201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 s="201">
        <v>0</v>
      </c>
    </row>
    <row r="1606" spans="1:11" x14ac:dyDescent="0.25">
      <c r="A1606"/>
      <c r="B1606" s="201">
        <v>0</v>
      </c>
      <c r="C1606">
        <v>0</v>
      </c>
      <c r="D1606" s="201">
        <v>0</v>
      </c>
      <c r="E1606" s="201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 s="201">
        <v>0</v>
      </c>
    </row>
    <row r="1607" spans="1:11" x14ac:dyDescent="0.25">
      <c r="A1607"/>
      <c r="B1607" s="201">
        <v>0</v>
      </c>
      <c r="C1607">
        <v>0</v>
      </c>
      <c r="D1607" s="201">
        <v>0</v>
      </c>
      <c r="E1607" s="201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 s="201">
        <v>0</v>
      </c>
    </row>
    <row r="1608" spans="1:11" x14ac:dyDescent="0.25">
      <c r="A1608"/>
      <c r="B1608" s="201">
        <v>0</v>
      </c>
      <c r="C1608">
        <v>0</v>
      </c>
      <c r="D1608" s="201">
        <v>0</v>
      </c>
      <c r="E1608" s="201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 s="201">
        <v>0</v>
      </c>
    </row>
    <row r="1609" spans="1:11" x14ac:dyDescent="0.25">
      <c r="A1609"/>
      <c r="B1609" s="201">
        <v>0</v>
      </c>
      <c r="C1609">
        <v>0</v>
      </c>
      <c r="D1609" s="201">
        <v>0</v>
      </c>
      <c r="E1609" s="201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 s="201">
        <v>0</v>
      </c>
    </row>
    <row r="1610" spans="1:11" x14ac:dyDescent="0.25">
      <c r="A1610"/>
      <c r="B1610" s="201">
        <v>0</v>
      </c>
      <c r="C1610">
        <v>0</v>
      </c>
      <c r="D1610" s="201">
        <v>0</v>
      </c>
      <c r="E1610" s="201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 s="201">
        <v>0</v>
      </c>
    </row>
    <row r="1611" spans="1:11" x14ac:dyDescent="0.25">
      <c r="A1611"/>
      <c r="B1611" s="201">
        <v>0</v>
      </c>
      <c r="C1611">
        <v>0</v>
      </c>
      <c r="D1611" s="201">
        <v>0</v>
      </c>
      <c r="E1611" s="20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 s="201">
        <v>0</v>
      </c>
    </row>
    <row r="1612" spans="1:11" x14ac:dyDescent="0.25">
      <c r="A1612"/>
      <c r="B1612" s="201">
        <v>0</v>
      </c>
      <c r="C1612">
        <v>0</v>
      </c>
      <c r="D1612" s="201">
        <v>0</v>
      </c>
      <c r="E1612" s="201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 s="201">
        <v>0</v>
      </c>
    </row>
    <row r="1613" spans="1:11" x14ac:dyDescent="0.25">
      <c r="A1613"/>
      <c r="B1613" s="201">
        <v>0</v>
      </c>
      <c r="C1613">
        <v>0</v>
      </c>
      <c r="D1613" s="201">
        <v>0</v>
      </c>
      <c r="E1613" s="201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 s="201">
        <v>0</v>
      </c>
    </row>
    <row r="1614" spans="1:11" x14ac:dyDescent="0.25">
      <c r="A1614"/>
      <c r="B1614" s="201">
        <v>0</v>
      </c>
      <c r="C1614">
        <v>0</v>
      </c>
      <c r="D1614" s="201">
        <v>0</v>
      </c>
      <c r="E1614" s="201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 s="201">
        <v>0</v>
      </c>
    </row>
    <row r="1615" spans="1:11" x14ac:dyDescent="0.25">
      <c r="A1615"/>
      <c r="B1615" s="201">
        <v>0</v>
      </c>
      <c r="C1615">
        <v>0</v>
      </c>
      <c r="D1615" s="201">
        <v>0</v>
      </c>
      <c r="E1615" s="201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 s="201">
        <v>0</v>
      </c>
    </row>
    <row r="1616" spans="1:11" x14ac:dyDescent="0.25">
      <c r="A1616"/>
      <c r="B1616" s="201">
        <v>0</v>
      </c>
      <c r="C1616">
        <v>0</v>
      </c>
      <c r="D1616" s="201">
        <v>0</v>
      </c>
      <c r="E1616" s="201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 s="201">
        <v>0</v>
      </c>
    </row>
    <row r="1617" spans="1:11" x14ac:dyDescent="0.25">
      <c r="A1617"/>
      <c r="B1617" s="201">
        <v>0</v>
      </c>
      <c r="C1617">
        <v>0</v>
      </c>
      <c r="D1617" s="201">
        <v>0</v>
      </c>
      <c r="E1617" s="201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 s="201">
        <v>0</v>
      </c>
    </row>
    <row r="1618" spans="1:11" x14ac:dyDescent="0.25">
      <c r="A1618"/>
      <c r="B1618" s="201">
        <v>0</v>
      </c>
      <c r="C1618">
        <v>0</v>
      </c>
      <c r="D1618" s="201">
        <v>0</v>
      </c>
      <c r="E1618" s="201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 s="201">
        <v>0</v>
      </c>
    </row>
    <row r="1619" spans="1:11" x14ac:dyDescent="0.25">
      <c r="A1619"/>
      <c r="B1619" s="201">
        <v>0</v>
      </c>
      <c r="C1619">
        <v>0</v>
      </c>
      <c r="D1619" s="201">
        <v>0</v>
      </c>
      <c r="E1619" s="201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 s="201">
        <v>0</v>
      </c>
    </row>
    <row r="1620" spans="1:11" x14ac:dyDescent="0.25">
      <c r="A1620"/>
      <c r="B1620" s="201">
        <v>0</v>
      </c>
      <c r="C1620">
        <v>0</v>
      </c>
      <c r="D1620" s="201">
        <v>0</v>
      </c>
      <c r="E1620" s="201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 s="201">
        <v>0</v>
      </c>
    </row>
    <row r="1621" spans="1:11" x14ac:dyDescent="0.25">
      <c r="A1621"/>
      <c r="B1621" s="201">
        <v>0</v>
      </c>
      <c r="C1621">
        <v>0</v>
      </c>
      <c r="D1621" s="201">
        <v>0</v>
      </c>
      <c r="E1621" s="20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 s="201">
        <v>0</v>
      </c>
    </row>
    <row r="1622" spans="1:11" x14ac:dyDescent="0.25">
      <c r="A1622"/>
      <c r="B1622" s="201">
        <v>0</v>
      </c>
      <c r="C1622">
        <v>0</v>
      </c>
      <c r="D1622" s="201">
        <v>0</v>
      </c>
      <c r="E1622" s="201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 s="201">
        <v>0</v>
      </c>
    </row>
    <row r="1623" spans="1:11" x14ac:dyDescent="0.25">
      <c r="A1623"/>
      <c r="B1623" s="201">
        <v>0</v>
      </c>
      <c r="C1623">
        <v>0</v>
      </c>
      <c r="D1623" s="201">
        <v>0</v>
      </c>
      <c r="E1623" s="201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 s="201">
        <v>0</v>
      </c>
    </row>
    <row r="1624" spans="1:11" x14ac:dyDescent="0.25">
      <c r="A1624"/>
      <c r="B1624" s="201">
        <v>0</v>
      </c>
      <c r="C1624">
        <v>0</v>
      </c>
      <c r="D1624" s="201">
        <v>0</v>
      </c>
      <c r="E1624" s="201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 s="201">
        <v>0</v>
      </c>
    </row>
    <row r="1625" spans="1:11" x14ac:dyDescent="0.25">
      <c r="A1625"/>
      <c r="B1625" s="201">
        <v>0</v>
      </c>
      <c r="C1625">
        <v>0</v>
      </c>
      <c r="D1625" s="201">
        <v>0</v>
      </c>
      <c r="E1625" s="201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 s="201">
        <v>0</v>
      </c>
    </row>
    <row r="1626" spans="1:11" x14ac:dyDescent="0.25">
      <c r="A1626"/>
      <c r="B1626" s="201">
        <v>0</v>
      </c>
      <c r="C1626">
        <v>0</v>
      </c>
      <c r="D1626" s="201">
        <v>0</v>
      </c>
      <c r="E1626" s="201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 s="201">
        <v>0</v>
      </c>
    </row>
    <row r="1627" spans="1:11" x14ac:dyDescent="0.25">
      <c r="A1627"/>
      <c r="B1627" s="201">
        <v>0</v>
      </c>
      <c r="C1627">
        <v>0</v>
      </c>
      <c r="D1627" s="201">
        <v>0</v>
      </c>
      <c r="E1627" s="201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 s="201">
        <v>0</v>
      </c>
    </row>
    <row r="1628" spans="1:11" x14ac:dyDescent="0.25">
      <c r="A1628"/>
      <c r="B1628" s="201">
        <v>0</v>
      </c>
      <c r="C1628">
        <v>0</v>
      </c>
      <c r="D1628" s="201">
        <v>0</v>
      </c>
      <c r="E1628" s="201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 s="201">
        <v>0</v>
      </c>
    </row>
    <row r="1629" spans="1:11" x14ac:dyDescent="0.25">
      <c r="A1629"/>
      <c r="B1629" s="201">
        <v>0</v>
      </c>
      <c r="C1629">
        <v>0</v>
      </c>
      <c r="D1629" s="201">
        <v>0</v>
      </c>
      <c r="E1629" s="201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 s="201">
        <v>0</v>
      </c>
    </row>
    <row r="1630" spans="1:11" x14ac:dyDescent="0.25">
      <c r="A1630"/>
      <c r="B1630" s="201">
        <v>0</v>
      </c>
      <c r="C1630">
        <v>0</v>
      </c>
      <c r="D1630" s="201">
        <v>0</v>
      </c>
      <c r="E1630" s="201">
        <v>0</v>
      </c>
      <c r="F1630">
        <v>0</v>
      </c>
      <c r="G1630">
        <v>0</v>
      </c>
      <c r="H1630">
        <v>2051</v>
      </c>
      <c r="I1630">
        <v>-605</v>
      </c>
      <c r="J1630">
        <v>-520</v>
      </c>
      <c r="K1630" s="201">
        <v>-439</v>
      </c>
    </row>
    <row r="1631" spans="1:11" x14ac:dyDescent="0.25">
      <c r="A1631"/>
      <c r="B1631" s="201">
        <v>-1050</v>
      </c>
      <c r="C1631">
        <v>0</v>
      </c>
      <c r="D1631" s="201">
        <v>0</v>
      </c>
      <c r="E1631" s="201">
        <v>59</v>
      </c>
      <c r="F1631">
        <v>0</v>
      </c>
      <c r="G1631">
        <v>0</v>
      </c>
      <c r="H1631">
        <v>0</v>
      </c>
      <c r="I1631">
        <v>161</v>
      </c>
      <c r="J1631">
        <v>-462</v>
      </c>
      <c r="K1631" s="201">
        <v>0</v>
      </c>
    </row>
    <row r="1632" spans="1:11" x14ac:dyDescent="0.25">
      <c r="A1632"/>
      <c r="B1632" s="201">
        <v>0</v>
      </c>
      <c r="C1632">
        <v>0</v>
      </c>
      <c r="D1632" s="201">
        <v>0</v>
      </c>
      <c r="E1632" s="201">
        <v>0</v>
      </c>
      <c r="F1632">
        <v>0</v>
      </c>
      <c r="G1632">
        <v>828</v>
      </c>
      <c r="H1632">
        <v>0</v>
      </c>
      <c r="I1632">
        <v>0</v>
      </c>
      <c r="J1632">
        <v>297</v>
      </c>
      <c r="K1632" s="201">
        <v>0</v>
      </c>
    </row>
    <row r="1633" spans="1:11" x14ac:dyDescent="0.25">
      <c r="A1633"/>
      <c r="B1633" s="201">
        <v>335</v>
      </c>
      <c r="C1633">
        <v>0</v>
      </c>
      <c r="D1633" s="201">
        <v>448</v>
      </c>
      <c r="E1633" s="201">
        <v>-1459</v>
      </c>
      <c r="F1633">
        <v>-772</v>
      </c>
      <c r="G1633">
        <v>0</v>
      </c>
      <c r="H1633">
        <v>1010</v>
      </c>
      <c r="I1633">
        <v>-88</v>
      </c>
      <c r="J1633">
        <v>-94</v>
      </c>
      <c r="K1633" s="201">
        <v>-626</v>
      </c>
    </row>
    <row r="1634" spans="1:11" x14ac:dyDescent="0.25">
      <c r="A1634"/>
      <c r="B1634" s="201">
        <v>-1848</v>
      </c>
      <c r="C1634">
        <v>-2455</v>
      </c>
      <c r="D1634" s="201">
        <v>0</v>
      </c>
      <c r="E1634" s="201">
        <v>326</v>
      </c>
      <c r="F1634">
        <v>0</v>
      </c>
      <c r="G1634">
        <v>0</v>
      </c>
      <c r="H1634">
        <v>0</v>
      </c>
      <c r="I1634">
        <v>0</v>
      </c>
      <c r="J1634">
        <v>0</v>
      </c>
      <c r="K1634" s="201">
        <v>-8</v>
      </c>
    </row>
    <row r="1635" spans="1:11" x14ac:dyDescent="0.25">
      <c r="A1635"/>
      <c r="B1635" s="201">
        <v>0</v>
      </c>
      <c r="C1635">
        <v>0</v>
      </c>
      <c r="D1635" s="201">
        <v>0</v>
      </c>
      <c r="E1635" s="201">
        <v>-432</v>
      </c>
      <c r="F1635">
        <v>0</v>
      </c>
      <c r="G1635">
        <v>-114</v>
      </c>
      <c r="H1635">
        <v>0</v>
      </c>
      <c r="I1635">
        <v>0</v>
      </c>
      <c r="J1635">
        <v>0</v>
      </c>
      <c r="K1635" s="201">
        <v>0</v>
      </c>
    </row>
    <row r="1636" spans="1:11" x14ac:dyDescent="0.25">
      <c r="A1636"/>
      <c r="B1636" s="201">
        <v>0</v>
      </c>
      <c r="C1636">
        <v>1074</v>
      </c>
      <c r="D1636" s="201">
        <v>0</v>
      </c>
      <c r="E1636" s="201">
        <v>-456</v>
      </c>
      <c r="F1636">
        <v>611</v>
      </c>
      <c r="G1636">
        <v>0</v>
      </c>
      <c r="H1636">
        <v>0</v>
      </c>
      <c r="I1636">
        <v>5960</v>
      </c>
      <c r="J1636">
        <v>-2607</v>
      </c>
      <c r="K1636" s="201">
        <v>0</v>
      </c>
    </row>
    <row r="1637" spans="1:11" x14ac:dyDescent="0.25">
      <c r="A1637"/>
      <c r="B1637" s="201">
        <v>1870</v>
      </c>
      <c r="C1637">
        <v>0</v>
      </c>
      <c r="D1637" s="201">
        <v>0</v>
      </c>
      <c r="E1637" s="201">
        <v>0</v>
      </c>
      <c r="F1637">
        <v>0</v>
      </c>
      <c r="G1637">
        <v>-2532</v>
      </c>
      <c r="H1637">
        <v>-738</v>
      </c>
      <c r="I1637">
        <v>-41</v>
      </c>
      <c r="J1637">
        <v>0</v>
      </c>
      <c r="K1637" s="201">
        <v>0</v>
      </c>
    </row>
    <row r="1638" spans="1:11" x14ac:dyDescent="0.25">
      <c r="A1638"/>
      <c r="B1638" s="201">
        <v>775</v>
      </c>
      <c r="C1638">
        <v>290</v>
      </c>
      <c r="D1638" s="201">
        <v>0</v>
      </c>
      <c r="E1638" s="201">
        <v>432</v>
      </c>
      <c r="F1638">
        <v>383</v>
      </c>
      <c r="G1638">
        <v>286</v>
      </c>
      <c r="H1638">
        <v>109</v>
      </c>
      <c r="I1638">
        <v>649</v>
      </c>
      <c r="J1638">
        <v>1018</v>
      </c>
      <c r="K1638" s="201">
        <v>1271</v>
      </c>
    </row>
    <row r="1639" spans="1:11" x14ac:dyDescent="0.25">
      <c r="A1639"/>
      <c r="B1639" s="201">
        <v>0</v>
      </c>
      <c r="C1639">
        <v>0</v>
      </c>
      <c r="D1639" s="201">
        <v>0</v>
      </c>
      <c r="E1639" s="201">
        <v>0</v>
      </c>
      <c r="F1639">
        <v>0</v>
      </c>
      <c r="G1639">
        <v>638</v>
      </c>
      <c r="H1639">
        <v>0</v>
      </c>
      <c r="I1639">
        <v>3391</v>
      </c>
      <c r="J1639">
        <v>230</v>
      </c>
      <c r="K1639" s="201">
        <v>-894</v>
      </c>
    </row>
    <row r="1640" spans="1:11" x14ac:dyDescent="0.25">
      <c r="A1640"/>
      <c r="B1640" s="201">
        <v>0</v>
      </c>
      <c r="C1640">
        <v>-4143</v>
      </c>
      <c r="D1640" s="201">
        <v>4086</v>
      </c>
      <c r="E1640" s="201">
        <v>-211</v>
      </c>
      <c r="F1640">
        <v>791</v>
      </c>
      <c r="G1640">
        <v>425</v>
      </c>
      <c r="H1640">
        <v>0</v>
      </c>
      <c r="I1640">
        <v>-161</v>
      </c>
      <c r="J1640">
        <v>-1674</v>
      </c>
      <c r="K1640" s="201">
        <v>-188</v>
      </c>
    </row>
    <row r="1641" spans="1:11" x14ac:dyDescent="0.25">
      <c r="A1641"/>
      <c r="B1641" s="201">
        <v>-137</v>
      </c>
      <c r="C1641">
        <v>0</v>
      </c>
      <c r="D1641" s="201">
        <v>150</v>
      </c>
      <c r="E1641" s="201">
        <v>-1505</v>
      </c>
      <c r="F1641">
        <v>0</v>
      </c>
      <c r="G1641">
        <v>0</v>
      </c>
      <c r="H1641">
        <v>0</v>
      </c>
      <c r="I1641">
        <v>10</v>
      </c>
      <c r="J1641">
        <v>-140</v>
      </c>
      <c r="K1641" s="201">
        <v>0</v>
      </c>
    </row>
    <row r="1642" spans="1:11" x14ac:dyDescent="0.25">
      <c r="A1642"/>
      <c r="B1642" s="201">
        <v>-285</v>
      </c>
      <c r="C1642">
        <v>316</v>
      </c>
      <c r="D1642" s="201">
        <v>700</v>
      </c>
      <c r="E1642" s="201">
        <v>309</v>
      </c>
      <c r="F1642">
        <v>0</v>
      </c>
      <c r="G1642">
        <v>0</v>
      </c>
      <c r="H1642">
        <v>0</v>
      </c>
      <c r="I1642">
        <v>0</v>
      </c>
      <c r="J1642">
        <v>0</v>
      </c>
      <c r="K1642" s="201">
        <v>11463</v>
      </c>
    </row>
    <row r="1643" spans="1:11" x14ac:dyDescent="0.25">
      <c r="A1643"/>
      <c r="B1643" s="201">
        <v>0</v>
      </c>
      <c r="C1643">
        <v>-5861</v>
      </c>
      <c r="D1643" s="201">
        <v>-61</v>
      </c>
      <c r="E1643" s="201">
        <v>-717</v>
      </c>
      <c r="F1643">
        <v>0</v>
      </c>
      <c r="G1643">
        <v>-90953</v>
      </c>
      <c r="H1643">
        <v>5695</v>
      </c>
      <c r="I1643">
        <v>-3023</v>
      </c>
      <c r="J1643">
        <v>-8503</v>
      </c>
      <c r="K1643" s="201">
        <v>-5299</v>
      </c>
    </row>
    <row r="1644" spans="1:11" x14ac:dyDescent="0.25">
      <c r="A1644"/>
      <c r="B1644" s="201">
        <v>-3104</v>
      </c>
      <c r="C1644">
        <v>-4573</v>
      </c>
      <c r="D1644" s="201">
        <v>12603</v>
      </c>
      <c r="E1644" s="201">
        <v>0</v>
      </c>
      <c r="F1644">
        <v>4289</v>
      </c>
      <c r="G1644">
        <v>0</v>
      </c>
      <c r="H1644">
        <v>0</v>
      </c>
      <c r="I1644">
        <v>-17271</v>
      </c>
      <c r="J1644">
        <v>1276</v>
      </c>
      <c r="K1644" s="201">
        <v>0</v>
      </c>
    </row>
    <row r="1645" spans="1:11" x14ac:dyDescent="0.25">
      <c r="A1645"/>
      <c r="B1645" s="201">
        <v>-1494</v>
      </c>
      <c r="C1645">
        <v>0</v>
      </c>
      <c r="D1645" s="201">
        <v>0</v>
      </c>
      <c r="E1645" s="201">
        <v>-1458</v>
      </c>
      <c r="F1645">
        <v>0</v>
      </c>
      <c r="G1645">
        <v>-2778</v>
      </c>
      <c r="H1645">
        <v>-3441</v>
      </c>
      <c r="I1645">
        <v>-2717</v>
      </c>
      <c r="J1645">
        <v>0</v>
      </c>
      <c r="K1645" s="201">
        <v>0</v>
      </c>
    </row>
    <row r="1646" spans="1:11" x14ac:dyDescent="0.25">
      <c r="A1646"/>
      <c r="B1646" s="201">
        <v>0</v>
      </c>
      <c r="C1646">
        <v>0</v>
      </c>
      <c r="D1646" s="201">
        <v>0</v>
      </c>
      <c r="E1646" s="201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 s="201">
        <v>0</v>
      </c>
    </row>
    <row r="1647" spans="1:11" x14ac:dyDescent="0.25">
      <c r="A1647"/>
      <c r="B1647" s="201">
        <v>0</v>
      </c>
      <c r="C1647">
        <v>0</v>
      </c>
      <c r="D1647" s="201">
        <v>0</v>
      </c>
      <c r="E1647" s="201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 s="201">
        <v>0</v>
      </c>
    </row>
    <row r="1648" spans="1:11" x14ac:dyDescent="0.25">
      <c r="A1648"/>
      <c r="B1648" s="201">
        <v>0</v>
      </c>
      <c r="C1648">
        <v>0</v>
      </c>
      <c r="D1648" s="201">
        <v>0</v>
      </c>
      <c r="E1648" s="201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 s="201">
        <v>0</v>
      </c>
    </row>
    <row r="1649" spans="1:11" x14ac:dyDescent="0.25">
      <c r="A1649"/>
      <c r="B1649" s="201">
        <v>0</v>
      </c>
      <c r="C1649">
        <v>0</v>
      </c>
      <c r="D1649" s="201">
        <v>0</v>
      </c>
      <c r="E1649" s="201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 s="201">
        <v>0</v>
      </c>
    </row>
    <row r="1650" spans="1:11" x14ac:dyDescent="0.25">
      <c r="A1650"/>
      <c r="B1650" s="201">
        <v>0</v>
      </c>
      <c r="C1650">
        <v>0</v>
      </c>
      <c r="D1650" s="201">
        <v>0</v>
      </c>
      <c r="E1650" s="201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 s="201">
        <v>0</v>
      </c>
    </row>
    <row r="1651" spans="1:11" x14ac:dyDescent="0.25">
      <c r="A1651"/>
      <c r="B1651" s="201">
        <v>0</v>
      </c>
      <c r="C1651">
        <v>0</v>
      </c>
      <c r="D1651" s="201">
        <v>0</v>
      </c>
      <c r="E1651" s="20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 s="201">
        <v>0</v>
      </c>
    </row>
    <row r="1652" spans="1:11" x14ac:dyDescent="0.25">
      <c r="A1652"/>
      <c r="B1652" s="201">
        <v>0</v>
      </c>
      <c r="C1652">
        <v>0</v>
      </c>
      <c r="D1652" s="201">
        <v>0</v>
      </c>
      <c r="E1652" s="201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 s="201">
        <v>0</v>
      </c>
    </row>
    <row r="1653" spans="1:11" x14ac:dyDescent="0.25">
      <c r="A1653"/>
      <c r="B1653" s="201">
        <v>0</v>
      </c>
      <c r="C1653">
        <v>0</v>
      </c>
      <c r="D1653" s="201">
        <v>0</v>
      </c>
      <c r="E1653" s="201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 s="201">
        <v>0</v>
      </c>
    </row>
    <row r="1654" spans="1:11" x14ac:dyDescent="0.25">
      <c r="A1654"/>
      <c r="B1654" s="201">
        <v>0</v>
      </c>
      <c r="C1654">
        <v>0</v>
      </c>
      <c r="D1654" s="201">
        <v>0</v>
      </c>
      <c r="E1654" s="201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 s="201">
        <v>0</v>
      </c>
    </row>
    <row r="1655" spans="1:11" x14ac:dyDescent="0.25">
      <c r="A1655"/>
      <c r="B1655" s="201">
        <v>0</v>
      </c>
      <c r="C1655">
        <v>0</v>
      </c>
      <c r="D1655" s="201">
        <v>0</v>
      </c>
      <c r="E1655" s="201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 s="201">
        <v>0</v>
      </c>
    </row>
    <row r="1656" spans="1:11" x14ac:dyDescent="0.25">
      <c r="A1656"/>
      <c r="B1656" s="201">
        <v>0</v>
      </c>
      <c r="C1656">
        <v>0</v>
      </c>
      <c r="D1656" s="201">
        <v>0</v>
      </c>
      <c r="E1656" s="201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 s="201">
        <v>0</v>
      </c>
    </row>
    <row r="1657" spans="1:11" x14ac:dyDescent="0.25">
      <c r="A1657"/>
      <c r="B1657" s="201">
        <v>0</v>
      </c>
      <c r="C1657">
        <v>0</v>
      </c>
      <c r="D1657" s="201">
        <v>0</v>
      </c>
      <c r="E1657" s="201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 s="201">
        <v>0</v>
      </c>
    </row>
    <row r="1658" spans="1:11" x14ac:dyDescent="0.25">
      <c r="A1658"/>
      <c r="B1658" s="201">
        <v>0</v>
      </c>
      <c r="C1658">
        <v>0</v>
      </c>
      <c r="D1658" s="201">
        <v>0</v>
      </c>
      <c r="E1658" s="201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 s="201">
        <v>0</v>
      </c>
    </row>
    <row r="1659" spans="1:11" x14ac:dyDescent="0.25">
      <c r="A1659"/>
      <c r="B1659" s="201">
        <v>0</v>
      </c>
      <c r="C1659">
        <v>0</v>
      </c>
      <c r="D1659" s="201">
        <v>0</v>
      </c>
      <c r="E1659" s="201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 s="201">
        <v>0</v>
      </c>
    </row>
    <row r="1660" spans="1:11" x14ac:dyDescent="0.25">
      <c r="A1660"/>
      <c r="B1660" s="201">
        <v>0</v>
      </c>
      <c r="C1660">
        <v>0</v>
      </c>
      <c r="D1660" s="201">
        <v>0</v>
      </c>
      <c r="E1660" s="201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 s="201">
        <v>0</v>
      </c>
    </row>
    <row r="1661" spans="1:11" x14ac:dyDescent="0.25">
      <c r="A1661"/>
      <c r="B1661" s="201">
        <v>0</v>
      </c>
      <c r="C1661">
        <v>0</v>
      </c>
      <c r="D1661" s="201">
        <v>0</v>
      </c>
      <c r="E1661" s="20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 s="201">
        <v>0</v>
      </c>
    </row>
    <row r="1662" spans="1:11" x14ac:dyDescent="0.25">
      <c r="A1662"/>
      <c r="B1662" s="201">
        <v>0</v>
      </c>
      <c r="C1662">
        <v>849</v>
      </c>
      <c r="D1662" s="201">
        <v>-5273</v>
      </c>
      <c r="E1662" s="201">
        <v>155</v>
      </c>
      <c r="F1662">
        <v>-409</v>
      </c>
      <c r="G1662">
        <v>-243</v>
      </c>
      <c r="H1662">
        <v>0</v>
      </c>
      <c r="I1662">
        <v>0</v>
      </c>
      <c r="J1662">
        <v>134</v>
      </c>
      <c r="K1662" s="201">
        <v>0</v>
      </c>
    </row>
    <row r="1663" spans="1:11" x14ac:dyDescent="0.25">
      <c r="A1663"/>
      <c r="B1663" s="201">
        <v>0</v>
      </c>
      <c r="C1663">
        <v>0</v>
      </c>
      <c r="D1663" s="201">
        <v>131</v>
      </c>
      <c r="E1663" s="201">
        <v>79</v>
      </c>
      <c r="F1663">
        <v>0</v>
      </c>
      <c r="G1663">
        <v>0</v>
      </c>
      <c r="H1663">
        <v>0</v>
      </c>
      <c r="I1663">
        <v>0</v>
      </c>
      <c r="J1663">
        <v>0</v>
      </c>
      <c r="K1663" s="201">
        <v>0</v>
      </c>
    </row>
    <row r="1664" spans="1:11" x14ac:dyDescent="0.25">
      <c r="A1664"/>
      <c r="B1664" s="201">
        <v>709</v>
      </c>
      <c r="C1664">
        <v>0</v>
      </c>
      <c r="D1664" s="201">
        <v>0</v>
      </c>
      <c r="E1664" s="201">
        <v>204</v>
      </c>
      <c r="F1664">
        <v>0</v>
      </c>
      <c r="G1664">
        <v>70</v>
      </c>
      <c r="H1664">
        <v>0</v>
      </c>
      <c r="I1664">
        <v>-493</v>
      </c>
      <c r="J1664">
        <v>-1212</v>
      </c>
      <c r="K1664" s="201">
        <v>-357</v>
      </c>
    </row>
    <row r="1665" spans="1:11" x14ac:dyDescent="0.25">
      <c r="A1665"/>
      <c r="B1665" s="201">
        <v>0</v>
      </c>
      <c r="C1665">
        <v>5</v>
      </c>
      <c r="D1665" s="201">
        <v>-4543</v>
      </c>
      <c r="E1665" s="201">
        <v>-788</v>
      </c>
      <c r="F1665">
        <v>-446</v>
      </c>
      <c r="G1665">
        <v>-186</v>
      </c>
      <c r="H1665">
        <v>-407</v>
      </c>
      <c r="I1665">
        <v>0</v>
      </c>
      <c r="J1665">
        <v>14</v>
      </c>
      <c r="K1665" s="201">
        <v>0</v>
      </c>
    </row>
    <row r="1666" spans="1:11" x14ac:dyDescent="0.25">
      <c r="A1666"/>
      <c r="B1666" s="201">
        <v>0</v>
      </c>
      <c r="C1666">
        <v>0</v>
      </c>
      <c r="D1666" s="201">
        <v>0</v>
      </c>
      <c r="E1666" s="201">
        <v>0</v>
      </c>
      <c r="F1666">
        <v>202</v>
      </c>
      <c r="G1666">
        <v>0</v>
      </c>
      <c r="H1666">
        <v>0</v>
      </c>
      <c r="I1666">
        <v>0</v>
      </c>
      <c r="J1666">
        <v>46</v>
      </c>
      <c r="K1666" s="201">
        <v>0</v>
      </c>
    </row>
    <row r="1667" spans="1:11" x14ac:dyDescent="0.25">
      <c r="A1667"/>
      <c r="B1667" s="201">
        <v>-251</v>
      </c>
      <c r="C1667">
        <v>0</v>
      </c>
      <c r="D1667" s="201">
        <v>0</v>
      </c>
      <c r="E1667" s="201">
        <v>0</v>
      </c>
      <c r="F1667">
        <v>0</v>
      </c>
      <c r="G1667">
        <v>0</v>
      </c>
      <c r="H1667">
        <v>765</v>
      </c>
      <c r="I1667">
        <v>0</v>
      </c>
      <c r="J1667">
        <v>556</v>
      </c>
      <c r="K1667" s="201">
        <v>579</v>
      </c>
    </row>
    <row r="1668" spans="1:11" x14ac:dyDescent="0.25">
      <c r="A1668"/>
      <c r="B1668" s="201">
        <v>0</v>
      </c>
      <c r="C1668">
        <v>0</v>
      </c>
      <c r="D1668" s="201">
        <v>470</v>
      </c>
      <c r="E1668" s="201">
        <v>-506</v>
      </c>
      <c r="F1668">
        <v>0</v>
      </c>
      <c r="G1668">
        <v>-270</v>
      </c>
      <c r="H1668">
        <v>0</v>
      </c>
      <c r="I1668">
        <v>0</v>
      </c>
      <c r="J1668">
        <v>0</v>
      </c>
      <c r="K1668" s="201">
        <v>0</v>
      </c>
    </row>
    <row r="1669" spans="1:11" x14ac:dyDescent="0.25">
      <c r="A1669"/>
      <c r="B1669" s="201">
        <v>2721</v>
      </c>
      <c r="C1669">
        <v>633</v>
      </c>
      <c r="D1669" s="201">
        <v>421</v>
      </c>
      <c r="E1669" s="201">
        <v>0</v>
      </c>
      <c r="F1669">
        <v>0</v>
      </c>
      <c r="G1669">
        <v>328</v>
      </c>
      <c r="H1669">
        <v>-265</v>
      </c>
      <c r="I1669">
        <v>0</v>
      </c>
      <c r="J1669">
        <v>-101</v>
      </c>
      <c r="K1669" s="201">
        <v>56</v>
      </c>
    </row>
    <row r="1670" spans="1:11" x14ac:dyDescent="0.25">
      <c r="A1670"/>
      <c r="B1670" s="201">
        <v>92</v>
      </c>
      <c r="C1670">
        <v>101</v>
      </c>
      <c r="D1670" s="201">
        <v>715</v>
      </c>
      <c r="E1670" s="201">
        <v>328</v>
      </c>
      <c r="F1670">
        <v>-7</v>
      </c>
      <c r="G1670">
        <v>0</v>
      </c>
      <c r="H1670">
        <v>0</v>
      </c>
      <c r="I1670">
        <v>0</v>
      </c>
      <c r="J1670">
        <v>0</v>
      </c>
      <c r="K1670" s="201">
        <v>0</v>
      </c>
    </row>
    <row r="1671" spans="1:11" x14ac:dyDescent="0.25">
      <c r="A1671"/>
      <c r="B1671" s="201">
        <v>196</v>
      </c>
      <c r="C1671">
        <v>0</v>
      </c>
      <c r="D1671" s="201">
        <v>-768</v>
      </c>
      <c r="E1671" s="201">
        <v>316</v>
      </c>
      <c r="F1671">
        <v>-109</v>
      </c>
      <c r="G1671">
        <v>0</v>
      </c>
      <c r="H1671">
        <v>5882</v>
      </c>
      <c r="I1671">
        <v>6576</v>
      </c>
      <c r="J1671">
        <v>-151</v>
      </c>
      <c r="K1671" s="201">
        <v>245</v>
      </c>
    </row>
    <row r="1672" spans="1:11" x14ac:dyDescent="0.25">
      <c r="A1672"/>
      <c r="B1672" s="201">
        <v>570</v>
      </c>
      <c r="C1672">
        <v>0</v>
      </c>
      <c r="D1672" s="201">
        <v>115</v>
      </c>
      <c r="E1672" s="201">
        <v>607</v>
      </c>
      <c r="F1672">
        <v>4276</v>
      </c>
      <c r="G1672">
        <v>13</v>
      </c>
      <c r="H1672">
        <v>0</v>
      </c>
      <c r="I1672">
        <v>102</v>
      </c>
      <c r="J1672">
        <v>-1720</v>
      </c>
      <c r="K1672" s="201">
        <v>0</v>
      </c>
    </row>
    <row r="1673" spans="1:11" x14ac:dyDescent="0.25">
      <c r="A1673"/>
      <c r="B1673" s="201">
        <v>0</v>
      </c>
      <c r="C1673">
        <v>0</v>
      </c>
      <c r="D1673" s="201">
        <v>-93</v>
      </c>
      <c r="E1673" s="201">
        <v>-461</v>
      </c>
      <c r="F1673">
        <v>0</v>
      </c>
      <c r="G1673">
        <v>-333</v>
      </c>
      <c r="H1673">
        <v>540</v>
      </c>
      <c r="I1673">
        <v>972</v>
      </c>
      <c r="J1673">
        <v>69</v>
      </c>
      <c r="K1673" s="201">
        <v>0</v>
      </c>
    </row>
    <row r="1674" spans="1:11" x14ac:dyDescent="0.25">
      <c r="A1674"/>
      <c r="B1674" s="201">
        <v>0</v>
      </c>
      <c r="C1674">
        <v>0</v>
      </c>
      <c r="D1674" s="201">
        <v>0</v>
      </c>
      <c r="E1674" s="201">
        <v>0</v>
      </c>
      <c r="F1674">
        <v>-4870</v>
      </c>
      <c r="G1674">
        <v>0</v>
      </c>
      <c r="H1674">
        <v>-10701</v>
      </c>
      <c r="I1674">
        <v>417</v>
      </c>
      <c r="J1674">
        <v>-1312</v>
      </c>
      <c r="K1674" s="201">
        <v>0</v>
      </c>
    </row>
    <row r="1675" spans="1:11" x14ac:dyDescent="0.25">
      <c r="A1675"/>
      <c r="B1675" s="201">
        <v>8488</v>
      </c>
      <c r="C1675">
        <v>-71850</v>
      </c>
      <c r="D1675" s="201">
        <v>-823</v>
      </c>
      <c r="E1675" s="201">
        <v>-6993</v>
      </c>
      <c r="F1675">
        <v>-4484</v>
      </c>
      <c r="G1675">
        <v>-6145</v>
      </c>
      <c r="H1675">
        <v>-6702</v>
      </c>
      <c r="I1675">
        <v>14699</v>
      </c>
      <c r="J1675">
        <v>0</v>
      </c>
      <c r="K1675" s="201">
        <v>3230</v>
      </c>
    </row>
    <row r="1676" spans="1:11" x14ac:dyDescent="0.25">
      <c r="A1676"/>
      <c r="B1676" s="201">
        <v>0</v>
      </c>
      <c r="C1676">
        <v>0</v>
      </c>
      <c r="D1676" s="201">
        <v>-16070</v>
      </c>
      <c r="E1676" s="201">
        <v>-1267</v>
      </c>
      <c r="F1676">
        <v>0</v>
      </c>
      <c r="G1676">
        <v>-1706</v>
      </c>
      <c r="H1676">
        <v>0</v>
      </c>
      <c r="I1676">
        <v>0</v>
      </c>
      <c r="J1676">
        <v>-1808</v>
      </c>
      <c r="K1676" s="201">
        <v>0</v>
      </c>
    </row>
    <row r="1677" spans="1:11" x14ac:dyDescent="0.25">
      <c r="A1677"/>
      <c r="B1677" s="201">
        <v>-2537</v>
      </c>
      <c r="C1677">
        <v>-4522</v>
      </c>
      <c r="D1677" s="201">
        <v>-1987</v>
      </c>
      <c r="E1677" s="201">
        <v>0</v>
      </c>
      <c r="F1677">
        <v>0</v>
      </c>
      <c r="G1677">
        <v>0</v>
      </c>
      <c r="H1677">
        <v>0</v>
      </c>
      <c r="I1677">
        <v>0</v>
      </c>
      <c r="J1677">
        <v>-4360</v>
      </c>
      <c r="K1677" s="201">
        <v>0</v>
      </c>
    </row>
    <row r="1678" spans="1:11" x14ac:dyDescent="0.25">
      <c r="A1678"/>
      <c r="B1678" s="201">
        <v>-2189</v>
      </c>
      <c r="C1678">
        <v>-432</v>
      </c>
      <c r="D1678" s="201">
        <v>-205</v>
      </c>
      <c r="E1678" s="201">
        <v>10</v>
      </c>
      <c r="F1678">
        <v>10</v>
      </c>
      <c r="G1678">
        <v>0</v>
      </c>
      <c r="H1678">
        <v>0</v>
      </c>
      <c r="I1678">
        <v>-17</v>
      </c>
      <c r="J1678">
        <v>0</v>
      </c>
      <c r="K1678" s="201">
        <v>0</v>
      </c>
    </row>
    <row r="1679" spans="1:11" x14ac:dyDescent="0.25">
      <c r="A1679"/>
      <c r="B1679" s="201">
        <v>0</v>
      </c>
      <c r="C1679">
        <v>-175</v>
      </c>
      <c r="D1679" s="201">
        <v>212</v>
      </c>
      <c r="E1679" s="201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 s="201">
        <v>-11</v>
      </c>
    </row>
    <row r="1680" spans="1:11" x14ac:dyDescent="0.25">
      <c r="A1680"/>
      <c r="B1680" s="201">
        <v>0</v>
      </c>
      <c r="C1680">
        <v>0</v>
      </c>
      <c r="D1680" s="201">
        <v>-41</v>
      </c>
      <c r="E1680" s="201">
        <v>0</v>
      </c>
      <c r="F1680">
        <v>19</v>
      </c>
      <c r="G1680">
        <v>0</v>
      </c>
      <c r="H1680">
        <v>57</v>
      </c>
      <c r="I1680">
        <v>1188</v>
      </c>
      <c r="J1680">
        <v>334</v>
      </c>
      <c r="K1680" s="201">
        <v>0</v>
      </c>
    </row>
    <row r="1681" spans="1:11" x14ac:dyDescent="0.25">
      <c r="A1681"/>
      <c r="B1681" s="201">
        <v>-885</v>
      </c>
      <c r="C1681">
        <v>-410</v>
      </c>
      <c r="D1681" s="201">
        <v>69</v>
      </c>
      <c r="E1681" s="201">
        <v>93</v>
      </c>
      <c r="F1681">
        <v>282</v>
      </c>
      <c r="G1681">
        <v>-67</v>
      </c>
      <c r="H1681">
        <v>0</v>
      </c>
      <c r="I1681">
        <v>22</v>
      </c>
      <c r="J1681">
        <v>0</v>
      </c>
      <c r="K1681" s="201">
        <v>0</v>
      </c>
    </row>
    <row r="1682" spans="1:11" x14ac:dyDescent="0.25">
      <c r="A1682"/>
      <c r="B1682" s="201">
        <v>0</v>
      </c>
      <c r="C1682">
        <v>0</v>
      </c>
      <c r="D1682" s="201">
        <v>0</v>
      </c>
      <c r="E1682" s="201">
        <v>96</v>
      </c>
      <c r="F1682">
        <v>0</v>
      </c>
      <c r="G1682">
        <v>0</v>
      </c>
      <c r="H1682">
        <v>0</v>
      </c>
      <c r="I1682">
        <v>-123</v>
      </c>
      <c r="J1682">
        <v>0</v>
      </c>
      <c r="K1682" s="201">
        <v>31</v>
      </c>
    </row>
    <row r="1683" spans="1:11" x14ac:dyDescent="0.25">
      <c r="A1683"/>
      <c r="B1683" s="201">
        <v>0</v>
      </c>
      <c r="C1683">
        <v>0</v>
      </c>
      <c r="D1683" s="201">
        <v>0</v>
      </c>
      <c r="E1683" s="201">
        <v>0</v>
      </c>
      <c r="F1683">
        <v>0</v>
      </c>
      <c r="G1683">
        <v>65</v>
      </c>
      <c r="H1683">
        <v>0</v>
      </c>
      <c r="I1683">
        <v>97</v>
      </c>
      <c r="J1683">
        <v>1610</v>
      </c>
      <c r="K1683" s="201">
        <v>0</v>
      </c>
    </row>
    <row r="1684" spans="1:11" x14ac:dyDescent="0.25">
      <c r="A1684"/>
      <c r="B1684" s="201">
        <v>0</v>
      </c>
      <c r="C1684">
        <v>-421</v>
      </c>
      <c r="D1684" s="201">
        <v>-469</v>
      </c>
      <c r="E1684" s="201">
        <v>0</v>
      </c>
      <c r="F1684">
        <v>-33</v>
      </c>
      <c r="G1684">
        <v>0</v>
      </c>
      <c r="H1684">
        <v>0</v>
      </c>
      <c r="I1684">
        <v>0</v>
      </c>
      <c r="J1684">
        <v>0</v>
      </c>
      <c r="K1684" s="201">
        <v>54</v>
      </c>
    </row>
    <row r="1685" spans="1:11" x14ac:dyDescent="0.25">
      <c r="A1685"/>
      <c r="B1685" s="201">
        <v>485</v>
      </c>
      <c r="C1685">
        <v>102</v>
      </c>
      <c r="D1685" s="201">
        <v>0</v>
      </c>
      <c r="E1685" s="201">
        <v>0</v>
      </c>
      <c r="F1685">
        <v>-34</v>
      </c>
      <c r="G1685">
        <v>131</v>
      </c>
      <c r="H1685">
        <v>0</v>
      </c>
      <c r="I1685">
        <v>192</v>
      </c>
      <c r="J1685">
        <v>59</v>
      </c>
      <c r="K1685" s="201">
        <v>189</v>
      </c>
    </row>
    <row r="1686" spans="1:11" x14ac:dyDescent="0.25">
      <c r="A1686"/>
      <c r="B1686" s="201">
        <v>28</v>
      </c>
      <c r="C1686">
        <v>153</v>
      </c>
      <c r="D1686" s="201">
        <v>284</v>
      </c>
      <c r="E1686" s="201">
        <v>-160</v>
      </c>
      <c r="F1686">
        <v>0</v>
      </c>
      <c r="G1686">
        <v>0</v>
      </c>
      <c r="H1686">
        <v>0</v>
      </c>
      <c r="I1686">
        <v>0</v>
      </c>
      <c r="J1686">
        <v>0</v>
      </c>
      <c r="K1686" s="201">
        <v>376</v>
      </c>
    </row>
    <row r="1687" spans="1:11" x14ac:dyDescent="0.25">
      <c r="A1687"/>
      <c r="B1687" s="201">
        <v>0</v>
      </c>
      <c r="C1687">
        <v>190</v>
      </c>
      <c r="D1687" s="201">
        <v>-4784</v>
      </c>
      <c r="E1687" s="201">
        <v>595</v>
      </c>
      <c r="F1687">
        <v>0</v>
      </c>
      <c r="G1687">
        <v>26</v>
      </c>
      <c r="H1687">
        <v>39</v>
      </c>
      <c r="I1687">
        <v>-150</v>
      </c>
      <c r="J1687">
        <v>95</v>
      </c>
      <c r="K1687" s="201">
        <v>-150</v>
      </c>
    </row>
    <row r="1688" spans="1:11" x14ac:dyDescent="0.25">
      <c r="A1688"/>
      <c r="B1688" s="201">
        <v>0</v>
      </c>
      <c r="C1688">
        <v>-187</v>
      </c>
      <c r="D1688" s="201">
        <v>-46</v>
      </c>
      <c r="E1688" s="201">
        <v>162</v>
      </c>
      <c r="F1688">
        <v>1629</v>
      </c>
      <c r="G1688">
        <v>0</v>
      </c>
      <c r="H1688">
        <v>-162</v>
      </c>
      <c r="I1688">
        <v>-1443</v>
      </c>
      <c r="J1688">
        <v>0</v>
      </c>
      <c r="K1688" s="201">
        <v>0</v>
      </c>
    </row>
    <row r="1689" spans="1:11" x14ac:dyDescent="0.25">
      <c r="A1689"/>
      <c r="B1689" s="201">
        <v>0</v>
      </c>
      <c r="C1689">
        <v>115</v>
      </c>
      <c r="D1689" s="201">
        <v>-185</v>
      </c>
      <c r="E1689" s="201">
        <v>0</v>
      </c>
      <c r="F1689">
        <v>-90</v>
      </c>
      <c r="G1689">
        <v>314</v>
      </c>
      <c r="H1689">
        <v>356</v>
      </c>
      <c r="I1689">
        <v>-407</v>
      </c>
      <c r="J1689">
        <v>0</v>
      </c>
      <c r="K1689" s="201">
        <v>0</v>
      </c>
    </row>
    <row r="1690" spans="1:11" x14ac:dyDescent="0.25">
      <c r="A1690"/>
      <c r="B1690" s="201">
        <v>0</v>
      </c>
      <c r="C1690">
        <v>0</v>
      </c>
      <c r="D1690" s="201">
        <v>0</v>
      </c>
      <c r="E1690" s="201">
        <v>275</v>
      </c>
      <c r="F1690">
        <v>0</v>
      </c>
      <c r="G1690">
        <v>101</v>
      </c>
      <c r="H1690">
        <v>-15110</v>
      </c>
      <c r="I1690">
        <v>2337</v>
      </c>
      <c r="J1690">
        <v>0</v>
      </c>
      <c r="K1690" s="201">
        <v>-5426</v>
      </c>
    </row>
    <row r="1691" spans="1:11" x14ac:dyDescent="0.25">
      <c r="A1691"/>
      <c r="B1691" s="201">
        <v>-3472</v>
      </c>
      <c r="C1691">
        <v>629</v>
      </c>
      <c r="D1691" s="201">
        <v>890</v>
      </c>
      <c r="E1691" s="201">
        <v>-979</v>
      </c>
      <c r="F1691">
        <v>2984</v>
      </c>
      <c r="G1691">
        <v>1432</v>
      </c>
      <c r="H1691">
        <v>2379</v>
      </c>
      <c r="I1691">
        <v>0</v>
      </c>
      <c r="J1691">
        <v>-7014</v>
      </c>
      <c r="K1691" s="201">
        <v>0</v>
      </c>
    </row>
    <row r="1692" spans="1:11" x14ac:dyDescent="0.25">
      <c r="A1692"/>
      <c r="B1692" s="201">
        <v>0</v>
      </c>
      <c r="C1692">
        <v>4198</v>
      </c>
      <c r="D1692" s="201">
        <v>-5202</v>
      </c>
      <c r="E1692" s="201">
        <v>0</v>
      </c>
      <c r="F1692">
        <v>-168</v>
      </c>
      <c r="G1692">
        <v>0</v>
      </c>
      <c r="H1692">
        <v>0</v>
      </c>
      <c r="I1692">
        <v>-820</v>
      </c>
      <c r="J1692">
        <v>0</v>
      </c>
      <c r="K1692" s="201">
        <v>-2176</v>
      </c>
    </row>
    <row r="1693" spans="1:11" x14ac:dyDescent="0.25">
      <c r="A1693"/>
      <c r="B1693" s="201">
        <v>283</v>
      </c>
      <c r="C1693">
        <v>2188</v>
      </c>
      <c r="D1693" s="201">
        <v>0</v>
      </c>
      <c r="E1693" s="201">
        <v>0</v>
      </c>
      <c r="F1693">
        <v>0</v>
      </c>
      <c r="G1693">
        <v>0</v>
      </c>
      <c r="H1693">
        <v>0</v>
      </c>
      <c r="I1693">
        <v>778</v>
      </c>
      <c r="J1693">
        <v>0</v>
      </c>
      <c r="K1693" s="201">
        <v>377</v>
      </c>
    </row>
    <row r="1694" spans="1:11" x14ac:dyDescent="0.25">
      <c r="A1694"/>
      <c r="B1694" s="201">
        <v>-1550</v>
      </c>
      <c r="C1694">
        <v>-204</v>
      </c>
      <c r="D1694" s="201">
        <v>-106</v>
      </c>
      <c r="E1694" s="201">
        <v>-24</v>
      </c>
      <c r="F1694">
        <v>-216</v>
      </c>
      <c r="G1694">
        <v>0</v>
      </c>
      <c r="H1694">
        <v>0</v>
      </c>
      <c r="I1694">
        <v>-175</v>
      </c>
      <c r="J1694">
        <v>0</v>
      </c>
      <c r="K1694" s="201">
        <v>0</v>
      </c>
    </row>
    <row r="1695" spans="1:11" x14ac:dyDescent="0.25">
      <c r="A1695"/>
      <c r="B1695" s="201">
        <v>0</v>
      </c>
      <c r="C1695">
        <v>91</v>
      </c>
      <c r="D1695" s="201">
        <v>-28</v>
      </c>
      <c r="E1695" s="201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 s="201">
        <v>-125</v>
      </c>
    </row>
    <row r="1696" spans="1:11" x14ac:dyDescent="0.25">
      <c r="A1696"/>
      <c r="B1696" s="201">
        <v>0</v>
      </c>
      <c r="C1696">
        <v>0</v>
      </c>
      <c r="D1696" s="201">
        <v>33</v>
      </c>
      <c r="E1696" s="201">
        <v>0</v>
      </c>
      <c r="F1696">
        <v>-84</v>
      </c>
      <c r="G1696">
        <v>0</v>
      </c>
      <c r="H1696">
        <v>-116</v>
      </c>
      <c r="I1696">
        <v>640</v>
      </c>
      <c r="J1696">
        <v>1685</v>
      </c>
      <c r="K1696" s="201">
        <v>0</v>
      </c>
    </row>
    <row r="1697" spans="1:11" x14ac:dyDescent="0.25">
      <c r="A1697"/>
      <c r="B1697" s="201">
        <v>-121</v>
      </c>
      <c r="C1697">
        <v>-129</v>
      </c>
      <c r="D1697" s="201">
        <v>141</v>
      </c>
      <c r="E1697" s="201">
        <v>-77</v>
      </c>
      <c r="F1697">
        <v>-32</v>
      </c>
      <c r="G1697">
        <v>317</v>
      </c>
      <c r="H1697">
        <v>0</v>
      </c>
      <c r="I1697">
        <v>-68</v>
      </c>
      <c r="J1697">
        <v>0</v>
      </c>
      <c r="K1697" s="201">
        <v>0</v>
      </c>
    </row>
    <row r="1698" spans="1:11" x14ac:dyDescent="0.25">
      <c r="A1698"/>
      <c r="B1698" s="201">
        <v>0</v>
      </c>
      <c r="C1698">
        <v>0</v>
      </c>
      <c r="D1698" s="201">
        <v>0</v>
      </c>
      <c r="E1698" s="201">
        <v>-181</v>
      </c>
      <c r="F1698">
        <v>0</v>
      </c>
      <c r="G1698">
        <v>0</v>
      </c>
      <c r="H1698">
        <v>0</v>
      </c>
      <c r="I1698">
        <v>-8</v>
      </c>
      <c r="J1698">
        <v>0</v>
      </c>
      <c r="K1698" s="201">
        <v>123</v>
      </c>
    </row>
    <row r="1699" spans="1:11" x14ac:dyDescent="0.25">
      <c r="A1699"/>
      <c r="B1699" s="201">
        <v>0</v>
      </c>
      <c r="C1699">
        <v>0</v>
      </c>
      <c r="D1699" s="201">
        <v>0</v>
      </c>
      <c r="E1699" s="201">
        <v>0</v>
      </c>
      <c r="F1699">
        <v>0</v>
      </c>
      <c r="G1699">
        <v>329</v>
      </c>
      <c r="H1699">
        <v>0</v>
      </c>
      <c r="I1699">
        <v>224</v>
      </c>
      <c r="J1699">
        <v>17</v>
      </c>
      <c r="K1699" s="201">
        <v>0</v>
      </c>
    </row>
    <row r="1700" spans="1:11" x14ac:dyDescent="0.25">
      <c r="A1700"/>
      <c r="B1700" s="201">
        <v>0</v>
      </c>
      <c r="C1700">
        <v>241</v>
      </c>
      <c r="D1700" s="201">
        <v>-2</v>
      </c>
      <c r="E1700" s="201">
        <v>0</v>
      </c>
      <c r="F1700">
        <v>-41</v>
      </c>
      <c r="G1700">
        <v>0</v>
      </c>
      <c r="H1700">
        <v>0</v>
      </c>
      <c r="I1700">
        <v>0</v>
      </c>
      <c r="J1700">
        <v>0</v>
      </c>
      <c r="K1700" s="201">
        <v>-108</v>
      </c>
    </row>
    <row r="1701" spans="1:11" x14ac:dyDescent="0.25">
      <c r="A1701"/>
      <c r="B1701" s="201">
        <v>22</v>
      </c>
      <c r="C1701">
        <v>-131</v>
      </c>
      <c r="D1701" s="201">
        <v>0</v>
      </c>
      <c r="E1701" s="201">
        <v>0</v>
      </c>
      <c r="F1701">
        <v>-1595</v>
      </c>
      <c r="G1701">
        <v>275</v>
      </c>
      <c r="H1701">
        <v>0</v>
      </c>
      <c r="I1701">
        <v>2</v>
      </c>
      <c r="J1701">
        <v>-462</v>
      </c>
      <c r="K1701" s="201">
        <v>192</v>
      </c>
    </row>
    <row r="1702" spans="1:11" x14ac:dyDescent="0.25">
      <c r="A1702"/>
      <c r="B1702" s="201">
        <v>29</v>
      </c>
      <c r="C1702">
        <v>161</v>
      </c>
      <c r="D1702" s="201">
        <v>150</v>
      </c>
      <c r="E1702" s="201">
        <v>-259</v>
      </c>
      <c r="F1702">
        <v>0</v>
      </c>
      <c r="G1702">
        <v>0</v>
      </c>
      <c r="H1702">
        <v>0</v>
      </c>
      <c r="I1702">
        <v>0</v>
      </c>
      <c r="J1702">
        <v>0</v>
      </c>
      <c r="K1702" s="201">
        <v>52</v>
      </c>
    </row>
    <row r="1703" spans="1:11" x14ac:dyDescent="0.25">
      <c r="A1703"/>
      <c r="B1703" s="201">
        <v>0</v>
      </c>
      <c r="C1703">
        <v>113</v>
      </c>
      <c r="D1703" s="201">
        <v>868</v>
      </c>
      <c r="E1703" s="201">
        <v>-4163</v>
      </c>
      <c r="F1703">
        <v>0</v>
      </c>
      <c r="G1703">
        <v>944</v>
      </c>
      <c r="H1703">
        <v>1415</v>
      </c>
      <c r="I1703">
        <v>-901</v>
      </c>
      <c r="J1703">
        <v>-596</v>
      </c>
      <c r="K1703" s="201">
        <v>-683</v>
      </c>
    </row>
    <row r="1704" spans="1:11" x14ac:dyDescent="0.25">
      <c r="A1704"/>
      <c r="B1704" s="201">
        <v>0</v>
      </c>
      <c r="C1704">
        <v>1107</v>
      </c>
      <c r="D1704" s="201">
        <v>2147</v>
      </c>
      <c r="E1704" s="201">
        <v>1161</v>
      </c>
      <c r="F1704">
        <v>-963</v>
      </c>
      <c r="G1704">
        <v>0</v>
      </c>
      <c r="H1704">
        <v>382</v>
      </c>
      <c r="I1704">
        <v>-1071</v>
      </c>
      <c r="J1704">
        <v>0</v>
      </c>
      <c r="K1704" s="201">
        <v>0</v>
      </c>
    </row>
    <row r="1705" spans="1:11" x14ac:dyDescent="0.25">
      <c r="A1705"/>
      <c r="B1705" s="201">
        <v>0</v>
      </c>
      <c r="C1705">
        <v>261</v>
      </c>
      <c r="D1705" s="201">
        <v>-398</v>
      </c>
      <c r="E1705" s="201">
        <v>0</v>
      </c>
      <c r="F1705">
        <v>674</v>
      </c>
      <c r="G1705">
        <v>1067</v>
      </c>
      <c r="H1705">
        <v>420</v>
      </c>
      <c r="I1705">
        <v>-99</v>
      </c>
      <c r="J1705">
        <v>0</v>
      </c>
      <c r="K1705" s="201">
        <v>0</v>
      </c>
    </row>
    <row r="1706" spans="1:11" x14ac:dyDescent="0.25">
      <c r="A1706"/>
      <c r="B1706" s="201">
        <v>0</v>
      </c>
      <c r="C1706">
        <v>0</v>
      </c>
      <c r="D1706" s="201">
        <v>0</v>
      </c>
      <c r="E1706" s="201">
        <v>77</v>
      </c>
      <c r="F1706">
        <v>0</v>
      </c>
      <c r="G1706">
        <v>-1145</v>
      </c>
      <c r="H1706">
        <v>2189</v>
      </c>
      <c r="I1706">
        <v>-16218</v>
      </c>
      <c r="J1706">
        <v>0</v>
      </c>
      <c r="K1706" s="201">
        <v>-10514</v>
      </c>
    </row>
    <row r="1707" spans="1:11" x14ac:dyDescent="0.25">
      <c r="A1707"/>
      <c r="B1707" s="201">
        <v>-9033</v>
      </c>
      <c r="C1707">
        <v>5462</v>
      </c>
      <c r="D1707" s="201">
        <v>5603</v>
      </c>
      <c r="E1707" s="201">
        <v>6498</v>
      </c>
      <c r="F1707">
        <v>2693</v>
      </c>
      <c r="G1707">
        <v>-4684</v>
      </c>
      <c r="H1707">
        <v>-6621</v>
      </c>
      <c r="I1707">
        <v>0</v>
      </c>
      <c r="J1707">
        <v>945</v>
      </c>
      <c r="K1707" s="201">
        <v>0</v>
      </c>
    </row>
    <row r="1708" spans="1:11" x14ac:dyDescent="0.25">
      <c r="A1708"/>
      <c r="B1708" s="201">
        <v>0</v>
      </c>
      <c r="C1708">
        <v>2185</v>
      </c>
      <c r="D1708" s="201">
        <v>28682</v>
      </c>
      <c r="E1708" s="201">
        <v>0</v>
      </c>
      <c r="F1708">
        <v>4017</v>
      </c>
      <c r="G1708">
        <v>0</v>
      </c>
      <c r="H1708">
        <v>0</v>
      </c>
      <c r="I1708">
        <v>-3385</v>
      </c>
      <c r="J1708">
        <v>0</v>
      </c>
      <c r="K1708" s="201">
        <v>-4585</v>
      </c>
    </row>
    <row r="1709" spans="1:11" x14ac:dyDescent="0.25">
      <c r="A1709"/>
      <c r="B1709" s="201">
        <v>281</v>
      </c>
      <c r="C1709">
        <v>1978</v>
      </c>
      <c r="D1709" s="201">
        <v>0</v>
      </c>
      <c r="E1709" s="201">
        <v>0</v>
      </c>
      <c r="F1709">
        <v>0</v>
      </c>
      <c r="G1709">
        <v>0</v>
      </c>
      <c r="H1709">
        <v>0</v>
      </c>
      <c r="I1709">
        <v>2679</v>
      </c>
      <c r="J1709">
        <v>0</v>
      </c>
      <c r="K1709" s="201">
        <v>3546</v>
      </c>
    </row>
    <row r="1710" spans="1:11" x14ac:dyDescent="0.25">
      <c r="B1710" s="201">
        <v>-9597</v>
      </c>
      <c r="C1710">
        <v>0</v>
      </c>
      <c r="D1710" s="201">
        <v>0</v>
      </c>
      <c r="E1710" s="201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 s="201">
        <v>0</v>
      </c>
    </row>
    <row r="1711" spans="1:11" x14ac:dyDescent="0.25">
      <c r="A1711"/>
      <c r="B1711" s="201">
        <v>0</v>
      </c>
      <c r="C1711">
        <v>0</v>
      </c>
      <c r="D1711" s="201">
        <v>0</v>
      </c>
      <c r="E1711" s="20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 s="201">
        <v>0</v>
      </c>
    </row>
    <row r="1712" spans="1:11" x14ac:dyDescent="0.25">
      <c r="A1712"/>
      <c r="B1712" s="201">
        <v>0</v>
      </c>
      <c r="C1712">
        <v>0</v>
      </c>
      <c r="D1712" s="201">
        <v>0</v>
      </c>
      <c r="E1712" s="201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 s="201">
        <v>0</v>
      </c>
    </row>
    <row r="1713" spans="1:11" x14ac:dyDescent="0.25">
      <c r="A1713"/>
      <c r="B1713" s="201">
        <v>0</v>
      </c>
      <c r="C1713">
        <v>0</v>
      </c>
      <c r="D1713" s="201">
        <v>0</v>
      </c>
      <c r="E1713" s="201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 s="201">
        <v>0</v>
      </c>
    </row>
    <row r="1714" spans="1:11" x14ac:dyDescent="0.25">
      <c r="A1714"/>
      <c r="B1714" s="201">
        <v>0</v>
      </c>
      <c r="C1714">
        <v>0</v>
      </c>
      <c r="D1714" s="201">
        <v>0</v>
      </c>
      <c r="E1714" s="201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 s="201">
        <v>0</v>
      </c>
    </row>
    <row r="1715" spans="1:11" x14ac:dyDescent="0.25">
      <c r="A1715"/>
      <c r="B1715" s="201">
        <v>0</v>
      </c>
      <c r="C1715">
        <v>0</v>
      </c>
      <c r="D1715" s="201">
        <v>0</v>
      </c>
      <c r="E1715" s="201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 s="201">
        <v>0</v>
      </c>
    </row>
    <row r="1716" spans="1:11" x14ac:dyDescent="0.25">
      <c r="A1716"/>
      <c r="B1716" s="201">
        <v>0</v>
      </c>
      <c r="C1716">
        <v>0</v>
      </c>
      <c r="D1716" s="201">
        <v>0</v>
      </c>
      <c r="E1716" s="201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 s="201">
        <v>0</v>
      </c>
    </row>
    <row r="1717" spans="1:11" x14ac:dyDescent="0.25">
      <c r="A1717"/>
      <c r="B1717" s="201">
        <v>0</v>
      </c>
      <c r="C1717">
        <v>0</v>
      </c>
      <c r="D1717" s="201">
        <v>0</v>
      </c>
      <c r="E1717" s="201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 s="201">
        <v>0</v>
      </c>
    </row>
    <row r="1718" spans="1:11" x14ac:dyDescent="0.25">
      <c r="A1718"/>
      <c r="B1718" s="201">
        <v>0</v>
      </c>
      <c r="C1718">
        <v>0</v>
      </c>
      <c r="D1718" s="201">
        <v>0</v>
      </c>
      <c r="E1718" s="201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 s="201">
        <v>0</v>
      </c>
    </row>
    <row r="1719" spans="1:11" x14ac:dyDescent="0.25">
      <c r="A1719"/>
      <c r="B1719" s="201">
        <v>0</v>
      </c>
      <c r="C1719">
        <v>0</v>
      </c>
      <c r="D1719" s="201">
        <v>0</v>
      </c>
      <c r="E1719" s="201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 s="201">
        <v>0</v>
      </c>
    </row>
    <row r="1720" spans="1:11" x14ac:dyDescent="0.25">
      <c r="A1720"/>
      <c r="B1720" s="201">
        <v>0</v>
      </c>
      <c r="C1720">
        <v>0</v>
      </c>
      <c r="D1720" s="201">
        <v>0</v>
      </c>
      <c r="E1720" s="201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 s="201">
        <v>0</v>
      </c>
    </row>
    <row r="1721" spans="1:11" x14ac:dyDescent="0.25">
      <c r="A1721"/>
      <c r="B1721" s="201">
        <v>0</v>
      </c>
      <c r="C1721">
        <v>0</v>
      </c>
      <c r="D1721" s="201">
        <v>0</v>
      </c>
      <c r="E1721" s="20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 s="201">
        <v>0</v>
      </c>
    </row>
    <row r="1722" spans="1:11" x14ac:dyDescent="0.25">
      <c r="A1722"/>
      <c r="B1722" s="201">
        <v>0</v>
      </c>
      <c r="C1722">
        <v>0</v>
      </c>
      <c r="D1722" s="201">
        <v>0</v>
      </c>
      <c r="E1722" s="201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 s="201">
        <v>0</v>
      </c>
    </row>
    <row r="1723" spans="1:11" x14ac:dyDescent="0.25">
      <c r="A1723"/>
      <c r="B1723" s="201">
        <v>0</v>
      </c>
      <c r="C1723">
        <v>0</v>
      </c>
      <c r="D1723" s="201">
        <v>0</v>
      </c>
      <c r="E1723" s="201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 s="201">
        <v>0</v>
      </c>
    </row>
    <row r="1724" spans="1:11" x14ac:dyDescent="0.25">
      <c r="A1724"/>
      <c r="B1724" s="201">
        <v>0</v>
      </c>
      <c r="C1724">
        <v>0</v>
      </c>
      <c r="D1724" s="201">
        <v>0</v>
      </c>
      <c r="E1724" s="201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 s="201">
        <v>0</v>
      </c>
    </row>
    <row r="1725" spans="1:11" x14ac:dyDescent="0.25">
      <c r="A1725"/>
      <c r="B1725" s="201">
        <v>0</v>
      </c>
      <c r="C1725">
        <v>0</v>
      </c>
      <c r="D1725" s="201">
        <v>0</v>
      </c>
      <c r="E1725" s="201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 s="201">
        <v>0</v>
      </c>
    </row>
    <row r="1726" spans="1:11" x14ac:dyDescent="0.25">
      <c r="A1726"/>
      <c r="B1726" s="201">
        <v>0</v>
      </c>
      <c r="C1726">
        <v>0</v>
      </c>
      <c r="D1726" s="201">
        <v>0</v>
      </c>
      <c r="E1726" s="201">
        <v>2896</v>
      </c>
      <c r="F1726">
        <v>525</v>
      </c>
      <c r="G1726">
        <v>1326</v>
      </c>
      <c r="H1726">
        <v>764</v>
      </c>
      <c r="I1726">
        <v>699</v>
      </c>
      <c r="J1726">
        <v>0</v>
      </c>
      <c r="K1726" s="201">
        <v>0</v>
      </c>
    </row>
    <row r="1727" spans="1:11" x14ac:dyDescent="0.25">
      <c r="A1727"/>
      <c r="B1727" s="201">
        <v>161</v>
      </c>
      <c r="C1727">
        <v>0</v>
      </c>
      <c r="D1727" s="201">
        <v>0</v>
      </c>
      <c r="E1727" s="201">
        <v>0</v>
      </c>
      <c r="F1727">
        <v>-77</v>
      </c>
      <c r="G1727">
        <v>-194</v>
      </c>
      <c r="H1727">
        <v>0</v>
      </c>
      <c r="I1727">
        <v>0</v>
      </c>
      <c r="J1727">
        <v>0</v>
      </c>
      <c r="K1727" s="201">
        <v>0</v>
      </c>
    </row>
    <row r="1728" spans="1:11" x14ac:dyDescent="0.25">
      <c r="A1728"/>
      <c r="B1728" s="201">
        <v>0</v>
      </c>
      <c r="C1728">
        <v>0</v>
      </c>
      <c r="D1728" s="201">
        <v>490</v>
      </c>
      <c r="E1728" s="201">
        <v>0</v>
      </c>
      <c r="F1728">
        <v>0</v>
      </c>
      <c r="G1728">
        <v>-175</v>
      </c>
      <c r="H1728">
        <v>0</v>
      </c>
      <c r="I1728">
        <v>-97</v>
      </c>
      <c r="J1728">
        <v>0</v>
      </c>
      <c r="K1728" s="201">
        <v>-268</v>
      </c>
    </row>
    <row r="1729" spans="1:11" x14ac:dyDescent="0.25">
      <c r="A1729"/>
      <c r="B1729" s="201">
        <v>-1297</v>
      </c>
      <c r="C1729">
        <v>565</v>
      </c>
      <c r="D1729" s="201">
        <v>0</v>
      </c>
      <c r="E1729" s="201">
        <v>930</v>
      </c>
      <c r="F1729">
        <v>474</v>
      </c>
      <c r="G1729">
        <v>186</v>
      </c>
      <c r="H1729">
        <v>146</v>
      </c>
      <c r="I1729">
        <v>587</v>
      </c>
      <c r="J1729">
        <v>535</v>
      </c>
      <c r="K1729" s="201">
        <v>0</v>
      </c>
    </row>
    <row r="1730" spans="1:11" x14ac:dyDescent="0.25">
      <c r="A1730"/>
      <c r="B1730" s="201">
        <v>-294</v>
      </c>
      <c r="C1730">
        <v>0</v>
      </c>
      <c r="D1730" s="201">
        <v>0</v>
      </c>
      <c r="E1730" s="201">
        <v>0</v>
      </c>
      <c r="F1730">
        <v>0</v>
      </c>
      <c r="G1730">
        <v>0</v>
      </c>
      <c r="H1730">
        <v>-71</v>
      </c>
      <c r="I1730">
        <v>0</v>
      </c>
      <c r="J1730">
        <v>0</v>
      </c>
      <c r="K1730" s="201">
        <v>0</v>
      </c>
    </row>
    <row r="1731" spans="1:11" x14ac:dyDescent="0.25">
      <c r="A1731"/>
      <c r="B1731" s="201">
        <v>403</v>
      </c>
      <c r="C1731">
        <v>0</v>
      </c>
      <c r="D1731" s="201">
        <v>-69</v>
      </c>
      <c r="E1731" s="201">
        <v>0</v>
      </c>
      <c r="F1731">
        <v>0</v>
      </c>
      <c r="G1731">
        <v>0</v>
      </c>
      <c r="H1731">
        <v>0</v>
      </c>
      <c r="I1731">
        <v>0</v>
      </c>
      <c r="J1731">
        <v>-486</v>
      </c>
      <c r="K1731" s="201">
        <v>0</v>
      </c>
    </row>
    <row r="1732" spans="1:11" x14ac:dyDescent="0.25">
      <c r="A1732"/>
      <c r="B1732" s="201">
        <v>75</v>
      </c>
      <c r="C1732">
        <v>-935</v>
      </c>
      <c r="D1732" s="201">
        <v>0</v>
      </c>
      <c r="E1732" s="201">
        <v>0</v>
      </c>
      <c r="F1732">
        <v>9336</v>
      </c>
      <c r="G1732">
        <v>-567</v>
      </c>
      <c r="H1732">
        <v>0</v>
      </c>
      <c r="I1732">
        <v>2456</v>
      </c>
      <c r="J1732">
        <v>0</v>
      </c>
      <c r="K1732" s="201">
        <v>0</v>
      </c>
    </row>
    <row r="1733" spans="1:11" x14ac:dyDescent="0.25">
      <c r="A1733"/>
      <c r="B1733" s="201">
        <v>0</v>
      </c>
      <c r="C1733">
        <v>0</v>
      </c>
      <c r="D1733" s="201">
        <v>-987</v>
      </c>
      <c r="E1733" s="201">
        <v>819</v>
      </c>
      <c r="F1733">
        <v>795</v>
      </c>
      <c r="G1733">
        <v>0</v>
      </c>
      <c r="H1733">
        <v>0</v>
      </c>
      <c r="I1733">
        <v>-305</v>
      </c>
      <c r="J1733">
        <v>-578</v>
      </c>
      <c r="K1733" s="201">
        <v>0</v>
      </c>
    </row>
    <row r="1734" spans="1:11" x14ac:dyDescent="0.25">
      <c r="A1734"/>
      <c r="B1734" s="201">
        <v>162</v>
      </c>
      <c r="C1734">
        <v>888</v>
      </c>
      <c r="D1734" s="201">
        <v>48</v>
      </c>
      <c r="E1734" s="201">
        <v>742</v>
      </c>
      <c r="F1734">
        <v>525</v>
      </c>
      <c r="G1734">
        <v>114</v>
      </c>
      <c r="H1734">
        <v>1030</v>
      </c>
      <c r="I1734">
        <v>0</v>
      </c>
      <c r="J1734">
        <v>0</v>
      </c>
      <c r="K1734" s="201">
        <v>0</v>
      </c>
    </row>
    <row r="1735" spans="1:11" x14ac:dyDescent="0.25">
      <c r="A1735"/>
      <c r="B1735" s="201">
        <v>0</v>
      </c>
      <c r="C1735">
        <v>0</v>
      </c>
      <c r="D1735" s="201">
        <v>798</v>
      </c>
      <c r="E1735" s="201">
        <v>0</v>
      </c>
      <c r="F1735">
        <v>488</v>
      </c>
      <c r="G1735">
        <v>-65</v>
      </c>
      <c r="H1735">
        <v>329</v>
      </c>
      <c r="I1735">
        <v>0</v>
      </c>
      <c r="J1735">
        <v>6475</v>
      </c>
      <c r="K1735" s="201">
        <v>-4303</v>
      </c>
    </row>
    <row r="1736" spans="1:11" x14ac:dyDescent="0.25">
      <c r="A1736"/>
      <c r="B1736" s="201">
        <v>918</v>
      </c>
      <c r="C1736">
        <v>1851</v>
      </c>
      <c r="D1736" s="201">
        <v>1886</v>
      </c>
      <c r="E1736" s="201">
        <v>0</v>
      </c>
      <c r="F1736">
        <v>-92</v>
      </c>
      <c r="G1736">
        <v>-1188</v>
      </c>
      <c r="H1736">
        <v>-979</v>
      </c>
      <c r="I1736">
        <v>655</v>
      </c>
      <c r="J1736">
        <v>0</v>
      </c>
      <c r="K1736" s="201">
        <v>-242</v>
      </c>
    </row>
    <row r="1737" spans="1:11" x14ac:dyDescent="0.25">
      <c r="A1737"/>
      <c r="B1737" s="201">
        <v>-1752</v>
      </c>
      <c r="C1737">
        <v>0</v>
      </c>
      <c r="D1737" s="201">
        <v>0</v>
      </c>
      <c r="E1737" s="201">
        <v>0</v>
      </c>
      <c r="F1737">
        <v>-142</v>
      </c>
      <c r="G1737">
        <v>100</v>
      </c>
      <c r="H1737">
        <v>0</v>
      </c>
      <c r="I1737">
        <v>348</v>
      </c>
      <c r="J1737">
        <v>135</v>
      </c>
      <c r="K1737" s="201">
        <v>-133</v>
      </c>
    </row>
    <row r="1738" spans="1:11" x14ac:dyDescent="0.25">
      <c r="A1738"/>
      <c r="B1738" s="201">
        <v>-29</v>
      </c>
      <c r="C1738">
        <v>0</v>
      </c>
      <c r="D1738" s="201">
        <v>0</v>
      </c>
      <c r="E1738" s="201">
        <v>0</v>
      </c>
      <c r="F1738">
        <v>0</v>
      </c>
      <c r="G1738">
        <v>0</v>
      </c>
      <c r="H1738">
        <v>4260</v>
      </c>
      <c r="I1738">
        <v>0</v>
      </c>
      <c r="J1738">
        <v>5695</v>
      </c>
      <c r="K1738" s="201">
        <v>-198</v>
      </c>
    </row>
    <row r="1739" spans="1:11" x14ac:dyDescent="0.25">
      <c r="A1739"/>
      <c r="B1739" s="201">
        <v>1147</v>
      </c>
      <c r="C1739">
        <v>0</v>
      </c>
      <c r="D1739" s="201">
        <v>8595</v>
      </c>
      <c r="E1739" s="201">
        <v>-3330</v>
      </c>
      <c r="F1739">
        <v>492</v>
      </c>
      <c r="G1739">
        <v>1728</v>
      </c>
      <c r="H1739">
        <v>1386</v>
      </c>
      <c r="I1739">
        <v>-76</v>
      </c>
      <c r="J1739">
        <v>-566</v>
      </c>
      <c r="K1739" s="201">
        <v>18</v>
      </c>
    </row>
    <row r="1740" spans="1:11" x14ac:dyDescent="0.25">
      <c r="A1740"/>
      <c r="B1740" s="201">
        <v>0</v>
      </c>
      <c r="C1740">
        <v>260</v>
      </c>
      <c r="D1740" s="201">
        <v>0</v>
      </c>
      <c r="E1740" s="201">
        <v>0</v>
      </c>
      <c r="F1740">
        <v>-2318</v>
      </c>
      <c r="G1740">
        <v>-235</v>
      </c>
      <c r="H1740">
        <v>0</v>
      </c>
      <c r="I1740">
        <v>357</v>
      </c>
      <c r="J1740">
        <v>0</v>
      </c>
      <c r="K1740" s="201">
        <v>0</v>
      </c>
    </row>
    <row r="1741" spans="1:11" x14ac:dyDescent="0.25">
      <c r="A1741"/>
      <c r="B1741" s="201">
        <v>-13</v>
      </c>
      <c r="C1741">
        <v>0</v>
      </c>
      <c r="D1741" s="201">
        <v>92</v>
      </c>
      <c r="E1741" s="201">
        <v>-131</v>
      </c>
      <c r="F1741">
        <v>-151</v>
      </c>
      <c r="G1741">
        <v>0</v>
      </c>
      <c r="H1741">
        <v>0</v>
      </c>
      <c r="I1741">
        <v>0</v>
      </c>
      <c r="J1741">
        <v>0</v>
      </c>
      <c r="K1741" s="201">
        <v>0</v>
      </c>
    </row>
    <row r="1742" spans="1:11" x14ac:dyDescent="0.25">
      <c r="A1742"/>
      <c r="B1742" s="201">
        <v>2002</v>
      </c>
      <c r="C1742">
        <v>0</v>
      </c>
      <c r="D1742" s="201">
        <v>4324</v>
      </c>
      <c r="E1742" s="201">
        <v>-380</v>
      </c>
      <c r="F1742">
        <v>544</v>
      </c>
      <c r="G1742">
        <v>0</v>
      </c>
      <c r="H1742">
        <v>-77</v>
      </c>
      <c r="I1742">
        <v>38990</v>
      </c>
      <c r="J1742">
        <v>-149</v>
      </c>
      <c r="K1742" s="201">
        <v>-53</v>
      </c>
    </row>
    <row r="1743" spans="1:11" x14ac:dyDescent="0.25">
      <c r="A1743"/>
      <c r="B1743" s="201">
        <v>-276</v>
      </c>
      <c r="C1743">
        <v>0</v>
      </c>
      <c r="D1743" s="201">
        <v>0</v>
      </c>
      <c r="E1743" s="201">
        <v>-242</v>
      </c>
      <c r="F1743">
        <v>0</v>
      </c>
      <c r="G1743">
        <v>0</v>
      </c>
      <c r="H1743">
        <v>0</v>
      </c>
      <c r="I1743">
        <v>244</v>
      </c>
      <c r="J1743">
        <v>-138</v>
      </c>
      <c r="K1743" s="201">
        <v>0</v>
      </c>
    </row>
    <row r="1744" spans="1:11" x14ac:dyDescent="0.25">
      <c r="A1744"/>
      <c r="B1744" s="201">
        <v>0</v>
      </c>
      <c r="C1744">
        <v>0</v>
      </c>
      <c r="D1744" s="201">
        <v>0</v>
      </c>
      <c r="E1744" s="201">
        <v>0</v>
      </c>
      <c r="F1744">
        <v>0</v>
      </c>
      <c r="G1744">
        <v>-125</v>
      </c>
      <c r="H1744">
        <v>0</v>
      </c>
      <c r="I1744">
        <v>0</v>
      </c>
      <c r="J1744">
        <v>-84</v>
      </c>
      <c r="K1744" s="201">
        <v>0</v>
      </c>
    </row>
    <row r="1745" spans="1:11" x14ac:dyDescent="0.25">
      <c r="A1745"/>
      <c r="B1745" s="201">
        <v>68</v>
      </c>
      <c r="C1745">
        <v>0</v>
      </c>
      <c r="D1745" s="201">
        <v>127</v>
      </c>
      <c r="E1745" s="201">
        <v>88</v>
      </c>
      <c r="F1745">
        <v>186</v>
      </c>
      <c r="G1745">
        <v>0</v>
      </c>
      <c r="H1745">
        <v>155</v>
      </c>
      <c r="I1745">
        <v>32888</v>
      </c>
      <c r="J1745">
        <v>-36</v>
      </c>
      <c r="K1745" s="201">
        <v>-15</v>
      </c>
    </row>
    <row r="1746" spans="1:11" x14ac:dyDescent="0.25">
      <c r="A1746"/>
      <c r="B1746" s="201">
        <v>136</v>
      </c>
      <c r="C1746">
        <v>454</v>
      </c>
      <c r="D1746" s="201">
        <v>0</v>
      </c>
      <c r="E1746" s="201">
        <v>-126</v>
      </c>
      <c r="F1746">
        <v>0</v>
      </c>
      <c r="G1746">
        <v>0</v>
      </c>
      <c r="H1746">
        <v>0</v>
      </c>
      <c r="I1746">
        <v>0</v>
      </c>
      <c r="J1746">
        <v>0</v>
      </c>
      <c r="K1746" s="201">
        <v>-31</v>
      </c>
    </row>
    <row r="1747" spans="1:11" x14ac:dyDescent="0.25">
      <c r="A1747"/>
      <c r="B1747" s="201">
        <v>0</v>
      </c>
      <c r="C1747">
        <v>0</v>
      </c>
      <c r="D1747" s="201">
        <v>0</v>
      </c>
      <c r="E1747" s="201">
        <v>64</v>
      </c>
      <c r="F1747">
        <v>0</v>
      </c>
      <c r="G1747">
        <v>-52</v>
      </c>
      <c r="H1747">
        <v>0</v>
      </c>
      <c r="I1747">
        <v>0</v>
      </c>
      <c r="J1747">
        <v>0</v>
      </c>
      <c r="K1747" s="201">
        <v>0</v>
      </c>
    </row>
    <row r="1748" spans="1:11" x14ac:dyDescent="0.25">
      <c r="A1748"/>
      <c r="B1748" s="201">
        <v>0</v>
      </c>
      <c r="C1748">
        <v>-409</v>
      </c>
      <c r="D1748" s="201">
        <v>0</v>
      </c>
      <c r="E1748" s="201">
        <v>410</v>
      </c>
      <c r="F1748">
        <v>-321</v>
      </c>
      <c r="G1748">
        <v>0</v>
      </c>
      <c r="H1748">
        <v>0</v>
      </c>
      <c r="I1748">
        <v>-1362</v>
      </c>
      <c r="J1748">
        <v>48636</v>
      </c>
      <c r="K1748" s="201">
        <v>0</v>
      </c>
    </row>
    <row r="1749" spans="1:11" x14ac:dyDescent="0.25">
      <c r="A1749"/>
      <c r="B1749" s="201">
        <v>-794</v>
      </c>
      <c r="C1749">
        <v>0</v>
      </c>
      <c r="D1749" s="201">
        <v>0</v>
      </c>
      <c r="E1749" s="201">
        <v>0</v>
      </c>
      <c r="F1749">
        <v>0</v>
      </c>
      <c r="G1749">
        <v>-46</v>
      </c>
      <c r="H1749">
        <v>677</v>
      </c>
      <c r="I1749">
        <v>549</v>
      </c>
      <c r="J1749">
        <v>0</v>
      </c>
      <c r="K1749" s="201">
        <v>0</v>
      </c>
    </row>
    <row r="1750" spans="1:11" x14ac:dyDescent="0.25">
      <c r="A1750"/>
      <c r="B1750" s="201">
        <v>299</v>
      </c>
      <c r="C1750">
        <v>-141</v>
      </c>
      <c r="D1750" s="201">
        <v>0</v>
      </c>
      <c r="E1750" s="201">
        <v>-29</v>
      </c>
      <c r="F1750">
        <v>385</v>
      </c>
      <c r="G1750">
        <v>-60</v>
      </c>
      <c r="H1750">
        <v>61</v>
      </c>
      <c r="I1750">
        <v>-83</v>
      </c>
      <c r="J1750">
        <v>2</v>
      </c>
      <c r="K1750" s="201">
        <v>292</v>
      </c>
    </row>
    <row r="1751" spans="1:11" x14ac:dyDescent="0.25">
      <c r="A1751"/>
      <c r="B1751" s="201">
        <v>0</v>
      </c>
      <c r="C1751">
        <v>0</v>
      </c>
      <c r="D1751" s="201">
        <v>0</v>
      </c>
      <c r="E1751" s="201">
        <v>0</v>
      </c>
      <c r="F1751">
        <v>0</v>
      </c>
      <c r="G1751">
        <v>1145</v>
      </c>
      <c r="H1751">
        <v>0</v>
      </c>
      <c r="I1751">
        <v>155</v>
      </c>
      <c r="J1751">
        <v>-152</v>
      </c>
      <c r="K1751" s="201">
        <v>474</v>
      </c>
    </row>
    <row r="1752" spans="1:11" x14ac:dyDescent="0.25">
      <c r="A1752"/>
      <c r="B1752" s="201">
        <v>0</v>
      </c>
      <c r="C1752">
        <v>-1207</v>
      </c>
      <c r="D1752" s="201">
        <v>51852</v>
      </c>
      <c r="E1752" s="201">
        <v>60</v>
      </c>
      <c r="F1752">
        <v>-317</v>
      </c>
      <c r="G1752">
        <v>903</v>
      </c>
      <c r="H1752">
        <v>0</v>
      </c>
      <c r="I1752">
        <v>116</v>
      </c>
      <c r="J1752">
        <v>401</v>
      </c>
      <c r="K1752" s="201">
        <v>482</v>
      </c>
    </row>
    <row r="1753" spans="1:11" x14ac:dyDescent="0.25">
      <c r="A1753"/>
      <c r="B1753" s="201">
        <v>623</v>
      </c>
      <c r="C1753">
        <v>0</v>
      </c>
      <c r="D1753" s="201">
        <v>-231</v>
      </c>
      <c r="E1753" s="201">
        <v>-1418</v>
      </c>
      <c r="F1753">
        <v>0</v>
      </c>
      <c r="G1753">
        <v>0</v>
      </c>
      <c r="H1753">
        <v>0</v>
      </c>
      <c r="I1753">
        <v>-60</v>
      </c>
      <c r="J1753">
        <v>254</v>
      </c>
      <c r="K1753" s="201">
        <v>0</v>
      </c>
    </row>
    <row r="1754" spans="1:11" x14ac:dyDescent="0.25">
      <c r="A1754"/>
      <c r="B1754" s="201">
        <v>72</v>
      </c>
      <c r="C1754">
        <v>-42</v>
      </c>
      <c r="D1754" s="201">
        <v>-64</v>
      </c>
      <c r="E1754" s="201">
        <v>83</v>
      </c>
      <c r="F1754">
        <v>0</v>
      </c>
      <c r="G1754">
        <v>0</v>
      </c>
      <c r="H1754">
        <v>0</v>
      </c>
      <c r="I1754">
        <v>0</v>
      </c>
      <c r="J1754">
        <v>0</v>
      </c>
      <c r="K1754" s="201">
        <v>1262</v>
      </c>
    </row>
    <row r="1755" spans="1:11" x14ac:dyDescent="0.25">
      <c r="A1755"/>
      <c r="B1755" s="201">
        <v>0</v>
      </c>
      <c r="C1755">
        <v>805</v>
      </c>
      <c r="D1755" s="201">
        <v>-145</v>
      </c>
      <c r="E1755" s="201">
        <v>664</v>
      </c>
      <c r="F1755">
        <v>0</v>
      </c>
      <c r="G1755">
        <v>1864</v>
      </c>
      <c r="H1755">
        <v>51433</v>
      </c>
      <c r="I1755">
        <v>-22</v>
      </c>
      <c r="J1755">
        <v>-542</v>
      </c>
      <c r="K1755" s="201">
        <v>789</v>
      </c>
    </row>
    <row r="1756" spans="1:11" x14ac:dyDescent="0.25">
      <c r="B1756" s="201">
        <v>-152</v>
      </c>
      <c r="C1756">
        <v>-168</v>
      </c>
      <c r="D1756" s="201">
        <v>-187</v>
      </c>
      <c r="E1756" s="201">
        <v>0</v>
      </c>
      <c r="F1756">
        <v>133</v>
      </c>
      <c r="G1756">
        <v>0</v>
      </c>
      <c r="H1756">
        <v>0</v>
      </c>
      <c r="I1756">
        <v>-1639</v>
      </c>
      <c r="J1756">
        <v>90</v>
      </c>
      <c r="K1756" s="201">
        <v>0</v>
      </c>
    </row>
    <row r="1757" spans="1:11" x14ac:dyDescent="0.25">
      <c r="A1757"/>
      <c r="B1757" s="201">
        <v>162</v>
      </c>
      <c r="C1757">
        <v>0</v>
      </c>
      <c r="D1757" s="201">
        <v>0</v>
      </c>
      <c r="E1757" s="201">
        <v>-24</v>
      </c>
      <c r="F1757">
        <v>0</v>
      </c>
      <c r="G1757">
        <v>-25</v>
      </c>
      <c r="H1757">
        <v>-34</v>
      </c>
      <c r="I1757">
        <v>-106</v>
      </c>
      <c r="J1757">
        <v>0</v>
      </c>
      <c r="K1757" s="201">
        <v>0</v>
      </c>
    </row>
    <row r="1758" spans="1:11" x14ac:dyDescent="0.25">
      <c r="A1758"/>
      <c r="B1758" s="201">
        <v>0</v>
      </c>
      <c r="C1758">
        <v>0</v>
      </c>
      <c r="D1758" s="201">
        <v>0</v>
      </c>
      <c r="E1758" s="201">
        <v>-1477</v>
      </c>
      <c r="F1758">
        <v>0</v>
      </c>
      <c r="G1758">
        <v>36</v>
      </c>
      <c r="H1758">
        <v>-554</v>
      </c>
      <c r="I1758">
        <v>285</v>
      </c>
      <c r="J1758">
        <v>0</v>
      </c>
      <c r="K1758" s="201">
        <v>6548</v>
      </c>
    </row>
    <row r="1759" spans="1:11" x14ac:dyDescent="0.25">
      <c r="A1759"/>
      <c r="B1759" s="201">
        <v>1294</v>
      </c>
      <c r="C1759">
        <v>-250</v>
      </c>
      <c r="D1759" s="201">
        <v>-2841</v>
      </c>
      <c r="E1759" s="201">
        <v>46</v>
      </c>
      <c r="F1759">
        <v>5</v>
      </c>
      <c r="G1759">
        <v>0</v>
      </c>
      <c r="H1759">
        <v>0</v>
      </c>
      <c r="I1759">
        <v>48</v>
      </c>
      <c r="J1759">
        <v>0</v>
      </c>
      <c r="K1759" s="201">
        <v>0</v>
      </c>
    </row>
    <row r="1760" spans="1:11" x14ac:dyDescent="0.25">
      <c r="A1760"/>
      <c r="B1760" s="201">
        <v>0</v>
      </c>
      <c r="C1760">
        <v>113</v>
      </c>
      <c r="D1760" s="201">
        <v>-3</v>
      </c>
      <c r="E1760" s="201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 s="201">
        <v>207</v>
      </c>
    </row>
    <row r="1761" spans="1:11" x14ac:dyDescent="0.25">
      <c r="A1761"/>
      <c r="B1761" s="201">
        <v>0</v>
      </c>
      <c r="C1761">
        <v>0</v>
      </c>
      <c r="D1761" s="201">
        <v>-129</v>
      </c>
      <c r="E1761" s="201">
        <v>0</v>
      </c>
      <c r="F1761">
        <v>181</v>
      </c>
      <c r="G1761">
        <v>0</v>
      </c>
      <c r="H1761">
        <v>-147</v>
      </c>
      <c r="I1761">
        <v>-683</v>
      </c>
      <c r="J1761">
        <v>-289</v>
      </c>
      <c r="K1761" s="201">
        <v>0</v>
      </c>
    </row>
    <row r="1762" spans="1:11" x14ac:dyDescent="0.25">
      <c r="B1762" s="201">
        <v>-221</v>
      </c>
      <c r="C1762">
        <v>-313</v>
      </c>
      <c r="D1762" s="201">
        <v>-199</v>
      </c>
      <c r="E1762" s="201">
        <v>-43</v>
      </c>
      <c r="F1762">
        <v>79</v>
      </c>
      <c r="G1762">
        <v>-4</v>
      </c>
      <c r="H1762">
        <v>0</v>
      </c>
      <c r="I1762">
        <v>28</v>
      </c>
      <c r="J1762">
        <v>0</v>
      </c>
      <c r="K1762" s="201">
        <v>0</v>
      </c>
    </row>
    <row r="1763" spans="1:11" x14ac:dyDescent="0.25">
      <c r="A1763"/>
      <c r="B1763" s="201">
        <v>0</v>
      </c>
      <c r="C1763">
        <v>0</v>
      </c>
      <c r="D1763" s="201">
        <v>0</v>
      </c>
      <c r="E1763" s="201">
        <v>-41</v>
      </c>
      <c r="F1763">
        <v>0</v>
      </c>
      <c r="G1763">
        <v>0</v>
      </c>
      <c r="H1763">
        <v>0</v>
      </c>
      <c r="I1763">
        <v>86</v>
      </c>
      <c r="J1763">
        <v>0</v>
      </c>
      <c r="K1763" s="201">
        <v>-19</v>
      </c>
    </row>
    <row r="1764" spans="1:11" x14ac:dyDescent="0.25">
      <c r="A1764"/>
      <c r="B1764" s="201">
        <v>0</v>
      </c>
      <c r="C1764">
        <v>0</v>
      </c>
      <c r="D1764" s="201">
        <v>0</v>
      </c>
      <c r="E1764" s="201">
        <v>0</v>
      </c>
      <c r="F1764">
        <v>0</v>
      </c>
      <c r="G1764">
        <v>66</v>
      </c>
      <c r="H1764">
        <v>0</v>
      </c>
      <c r="I1764">
        <v>-10</v>
      </c>
      <c r="J1764">
        <v>313</v>
      </c>
      <c r="K1764" s="201">
        <v>0</v>
      </c>
    </row>
    <row r="1765" spans="1:11" x14ac:dyDescent="0.25">
      <c r="A1765"/>
      <c r="B1765" s="201">
        <v>0</v>
      </c>
      <c r="C1765">
        <v>-33</v>
      </c>
      <c r="D1765" s="201">
        <v>-445</v>
      </c>
      <c r="E1765" s="201">
        <v>0</v>
      </c>
      <c r="F1765">
        <v>71</v>
      </c>
      <c r="G1765">
        <v>0</v>
      </c>
      <c r="H1765">
        <v>0</v>
      </c>
      <c r="I1765">
        <v>0</v>
      </c>
      <c r="J1765">
        <v>0</v>
      </c>
      <c r="K1765" s="201">
        <v>109</v>
      </c>
    </row>
    <row r="1766" spans="1:11" x14ac:dyDescent="0.25">
      <c r="A1766"/>
      <c r="B1766" s="201">
        <v>-157</v>
      </c>
      <c r="C1766">
        <v>-25</v>
      </c>
      <c r="D1766" s="201">
        <v>0</v>
      </c>
      <c r="E1766" s="201">
        <v>0</v>
      </c>
      <c r="F1766">
        <v>-364</v>
      </c>
      <c r="G1766">
        <v>794</v>
      </c>
      <c r="H1766">
        <v>0</v>
      </c>
      <c r="I1766">
        <v>-349</v>
      </c>
      <c r="J1766">
        <v>-165</v>
      </c>
      <c r="K1766" s="201">
        <v>-25</v>
      </c>
    </row>
    <row r="1767" spans="1:11" x14ac:dyDescent="0.25">
      <c r="A1767"/>
      <c r="B1767" s="201">
        <v>18</v>
      </c>
      <c r="C1767">
        <v>-5</v>
      </c>
      <c r="D1767" s="201">
        <v>-26</v>
      </c>
      <c r="E1767" s="201">
        <v>-342</v>
      </c>
      <c r="F1767">
        <v>0</v>
      </c>
      <c r="G1767">
        <v>0</v>
      </c>
      <c r="H1767">
        <v>0</v>
      </c>
      <c r="I1767">
        <v>0</v>
      </c>
      <c r="J1767">
        <v>0</v>
      </c>
      <c r="K1767" s="201">
        <v>-79</v>
      </c>
    </row>
    <row r="1768" spans="1:11" x14ac:dyDescent="0.25">
      <c r="A1768"/>
      <c r="B1768" s="201">
        <v>0</v>
      </c>
      <c r="C1768">
        <v>15</v>
      </c>
      <c r="D1768" s="201">
        <v>-130</v>
      </c>
      <c r="E1768" s="201">
        <v>-207</v>
      </c>
      <c r="F1768">
        <v>0</v>
      </c>
      <c r="G1768">
        <v>385</v>
      </c>
      <c r="H1768">
        <v>59</v>
      </c>
      <c r="I1768">
        <v>-2872</v>
      </c>
      <c r="J1768">
        <v>-56</v>
      </c>
      <c r="K1768" s="201">
        <v>-1442</v>
      </c>
    </row>
    <row r="1769" spans="1:11" x14ac:dyDescent="0.25">
      <c r="A1769"/>
      <c r="B1769" s="201">
        <v>0</v>
      </c>
      <c r="C1769">
        <v>-236</v>
      </c>
      <c r="D1769" s="201">
        <v>-130</v>
      </c>
      <c r="E1769" s="201">
        <v>-190</v>
      </c>
      <c r="F1769">
        <v>30</v>
      </c>
      <c r="G1769">
        <v>0</v>
      </c>
      <c r="H1769">
        <v>-74</v>
      </c>
      <c r="I1769">
        <v>-67</v>
      </c>
      <c r="J1769">
        <v>0</v>
      </c>
      <c r="K1769" s="201">
        <v>0</v>
      </c>
    </row>
    <row r="1770" spans="1:11" x14ac:dyDescent="0.25">
      <c r="A1770"/>
      <c r="B1770" s="201">
        <v>0</v>
      </c>
      <c r="C1770">
        <v>-49</v>
      </c>
      <c r="D1770" s="201">
        <v>289</v>
      </c>
      <c r="E1770" s="201">
        <v>0</v>
      </c>
      <c r="F1770">
        <v>-43</v>
      </c>
      <c r="G1770">
        <v>-139</v>
      </c>
      <c r="H1770">
        <v>-205</v>
      </c>
      <c r="I1770">
        <v>20</v>
      </c>
      <c r="J1770">
        <v>0</v>
      </c>
      <c r="K1770" s="201">
        <v>0</v>
      </c>
    </row>
    <row r="1771" spans="1:11" x14ac:dyDescent="0.25">
      <c r="A1771"/>
      <c r="B1771" s="201">
        <v>0</v>
      </c>
      <c r="C1771">
        <v>0</v>
      </c>
      <c r="D1771" s="201">
        <v>0</v>
      </c>
      <c r="E1771" s="201">
        <v>-449</v>
      </c>
      <c r="F1771">
        <v>0</v>
      </c>
      <c r="G1771">
        <v>-450</v>
      </c>
      <c r="H1771">
        <v>-114</v>
      </c>
      <c r="I1771">
        <v>-300</v>
      </c>
      <c r="J1771">
        <v>0</v>
      </c>
      <c r="K1771" s="201">
        <v>65</v>
      </c>
    </row>
    <row r="1772" spans="1:11" x14ac:dyDescent="0.25">
      <c r="A1772"/>
      <c r="B1772" s="201">
        <v>-229</v>
      </c>
      <c r="C1772">
        <v>920</v>
      </c>
      <c r="D1772" s="201">
        <v>-522</v>
      </c>
      <c r="E1772" s="201">
        <v>-1716</v>
      </c>
      <c r="F1772">
        <v>-190</v>
      </c>
      <c r="G1772">
        <v>-179</v>
      </c>
      <c r="H1772">
        <v>-158</v>
      </c>
      <c r="I1772">
        <v>0</v>
      </c>
      <c r="J1772">
        <v>8</v>
      </c>
      <c r="K1772" s="201">
        <v>0</v>
      </c>
    </row>
    <row r="1773" spans="1:11" x14ac:dyDescent="0.25">
      <c r="A1773"/>
      <c r="B1773" s="201">
        <v>0</v>
      </c>
      <c r="C1773">
        <v>-142</v>
      </c>
      <c r="D1773" s="201">
        <v>-104</v>
      </c>
      <c r="E1773" s="201">
        <v>0</v>
      </c>
      <c r="F1773">
        <v>43</v>
      </c>
      <c r="G1773">
        <v>0</v>
      </c>
      <c r="H1773">
        <v>0</v>
      </c>
      <c r="I1773">
        <v>93</v>
      </c>
      <c r="J1773">
        <v>0</v>
      </c>
      <c r="K1773" s="201">
        <v>-78</v>
      </c>
    </row>
    <row r="1774" spans="1:11" x14ac:dyDescent="0.25">
      <c r="A1774"/>
      <c r="B1774" s="201">
        <v>-170</v>
      </c>
      <c r="C1774">
        <v>81</v>
      </c>
      <c r="D1774" s="201">
        <v>0</v>
      </c>
      <c r="E1774" s="201">
        <v>0</v>
      </c>
      <c r="F1774">
        <v>0</v>
      </c>
      <c r="G1774">
        <v>0</v>
      </c>
      <c r="H1774">
        <v>0</v>
      </c>
      <c r="I1774">
        <v>-145</v>
      </c>
      <c r="J1774">
        <v>0</v>
      </c>
      <c r="K1774" s="201">
        <v>-67</v>
      </c>
    </row>
    <row r="1775" spans="1:11" x14ac:dyDescent="0.25">
      <c r="A1775"/>
      <c r="B1775" s="201">
        <v>3</v>
      </c>
      <c r="C1775">
        <v>-284</v>
      </c>
      <c r="D1775" s="201">
        <v>0</v>
      </c>
      <c r="E1775" s="201">
        <v>-3475</v>
      </c>
      <c r="F1775">
        <v>-2349</v>
      </c>
      <c r="G1775">
        <v>0</v>
      </c>
      <c r="H1775">
        <v>0</v>
      </c>
      <c r="I1775">
        <v>0</v>
      </c>
      <c r="J1775">
        <v>0</v>
      </c>
      <c r="K1775" s="201">
        <v>0</v>
      </c>
    </row>
    <row r="1776" spans="1:11" x14ac:dyDescent="0.25">
      <c r="A1776"/>
      <c r="B1776" s="201">
        <v>0</v>
      </c>
      <c r="C1776">
        <v>0</v>
      </c>
      <c r="D1776" s="201">
        <v>0</v>
      </c>
      <c r="E1776" s="201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 s="201">
        <v>0</v>
      </c>
    </row>
    <row r="1777" spans="1:11" x14ac:dyDescent="0.25">
      <c r="A1777"/>
      <c r="B1777" s="201">
        <v>0</v>
      </c>
      <c r="C1777">
        <v>0</v>
      </c>
      <c r="D1777" s="201">
        <v>0</v>
      </c>
      <c r="E1777" s="201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 s="201">
        <v>0</v>
      </c>
    </row>
    <row r="1778" spans="1:11" x14ac:dyDescent="0.25">
      <c r="A1778"/>
      <c r="B1778" s="201">
        <v>0</v>
      </c>
      <c r="C1778">
        <v>0</v>
      </c>
      <c r="D1778" s="201">
        <v>0</v>
      </c>
      <c r="E1778" s="201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 s="201">
        <v>0</v>
      </c>
    </row>
    <row r="1779" spans="1:11" x14ac:dyDescent="0.25">
      <c r="A1779"/>
      <c r="B1779" s="201">
        <v>0</v>
      </c>
      <c r="C1779">
        <v>0</v>
      </c>
      <c r="D1779" s="201">
        <v>0</v>
      </c>
      <c r="E1779" s="201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 s="201">
        <v>0</v>
      </c>
    </row>
    <row r="1780" spans="1:11" x14ac:dyDescent="0.25">
      <c r="A1780"/>
      <c r="B1780" s="201">
        <v>0</v>
      </c>
      <c r="C1780">
        <v>0</v>
      </c>
      <c r="D1780" s="201">
        <v>0</v>
      </c>
      <c r="E1780" s="201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 s="201">
        <v>0</v>
      </c>
    </row>
    <row r="1781" spans="1:11" x14ac:dyDescent="0.25">
      <c r="A1781"/>
      <c r="B1781" s="201">
        <v>0</v>
      </c>
      <c r="C1781">
        <v>0</v>
      </c>
      <c r="D1781" s="201">
        <v>0</v>
      </c>
      <c r="E1781" s="20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 s="201">
        <v>0</v>
      </c>
    </row>
    <row r="1782" spans="1:11" x14ac:dyDescent="0.25">
      <c r="A1782"/>
      <c r="B1782" s="201">
        <v>0</v>
      </c>
      <c r="C1782">
        <v>0</v>
      </c>
      <c r="D1782" s="201">
        <v>0</v>
      </c>
      <c r="E1782" s="201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 s="201">
        <v>0</v>
      </c>
    </row>
    <row r="1783" spans="1:11" x14ac:dyDescent="0.25">
      <c r="A1783"/>
      <c r="B1783" s="201">
        <v>0</v>
      </c>
      <c r="C1783">
        <v>0</v>
      </c>
      <c r="D1783" s="201">
        <v>0</v>
      </c>
      <c r="E1783" s="201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 s="201">
        <v>0</v>
      </c>
    </row>
    <row r="1784" spans="1:11" x14ac:dyDescent="0.25">
      <c r="A1784"/>
      <c r="B1784" s="201">
        <v>0</v>
      </c>
      <c r="C1784">
        <v>0</v>
      </c>
      <c r="D1784" s="201">
        <v>0</v>
      </c>
      <c r="E1784" s="201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 s="201">
        <v>0</v>
      </c>
    </row>
    <row r="1785" spans="1:11" x14ac:dyDescent="0.25">
      <c r="A1785"/>
      <c r="B1785" s="201">
        <v>0</v>
      </c>
      <c r="C1785">
        <v>0</v>
      </c>
      <c r="D1785" s="201">
        <v>0</v>
      </c>
      <c r="E1785" s="201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 s="201">
        <v>0</v>
      </c>
    </row>
    <row r="1786" spans="1:11" x14ac:dyDescent="0.25">
      <c r="A1786"/>
      <c r="B1786" s="201">
        <v>0</v>
      </c>
      <c r="C1786">
        <v>0</v>
      </c>
      <c r="D1786" s="201">
        <v>0</v>
      </c>
      <c r="E1786" s="201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 s="201">
        <v>0</v>
      </c>
    </row>
    <row r="1787" spans="1:11" x14ac:dyDescent="0.25">
      <c r="A1787"/>
      <c r="B1787" s="201">
        <v>0</v>
      </c>
      <c r="C1787">
        <v>0</v>
      </c>
      <c r="D1787" s="201">
        <v>0</v>
      </c>
      <c r="E1787" s="201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 s="201">
        <v>0</v>
      </c>
    </row>
    <row r="1788" spans="1:11" x14ac:dyDescent="0.25">
      <c r="A1788"/>
      <c r="B1788" s="201">
        <v>0</v>
      </c>
      <c r="C1788">
        <v>0</v>
      </c>
      <c r="D1788" s="201">
        <v>0</v>
      </c>
      <c r="E1788" s="201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 s="201">
        <v>0</v>
      </c>
    </row>
    <row r="1789" spans="1:11" x14ac:dyDescent="0.25">
      <c r="A1789"/>
      <c r="B1789" s="201">
        <v>0</v>
      </c>
      <c r="C1789">
        <v>0</v>
      </c>
      <c r="D1789" s="201">
        <v>0</v>
      </c>
      <c r="E1789" s="201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 s="201">
        <v>0</v>
      </c>
    </row>
    <row r="1790" spans="1:11" x14ac:dyDescent="0.25">
      <c r="A1790"/>
      <c r="B1790" s="201">
        <v>0</v>
      </c>
      <c r="C1790">
        <v>0</v>
      </c>
      <c r="D1790" s="201">
        <v>0</v>
      </c>
      <c r="E1790" s="201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 s="201">
        <v>0</v>
      </c>
    </row>
    <row r="1791" spans="1:11" x14ac:dyDescent="0.25">
      <c r="A1791"/>
      <c r="B1791" s="201">
        <v>0</v>
      </c>
      <c r="C1791">
        <v>0</v>
      </c>
      <c r="D1791" s="201">
        <v>0</v>
      </c>
      <c r="E1791" s="20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 s="201">
        <v>0</v>
      </c>
    </row>
    <row r="1792" spans="1:11" x14ac:dyDescent="0.25">
      <c r="A1792"/>
      <c r="B1792" s="201">
        <v>0</v>
      </c>
      <c r="C1792">
        <v>0</v>
      </c>
      <c r="D1792" s="201">
        <v>0</v>
      </c>
      <c r="E1792" s="201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 s="201">
        <v>0</v>
      </c>
    </row>
    <row r="1793" spans="1:11" x14ac:dyDescent="0.25">
      <c r="A1793"/>
      <c r="B1793" s="201">
        <v>0</v>
      </c>
      <c r="C1793">
        <v>0</v>
      </c>
      <c r="D1793" s="201">
        <v>0</v>
      </c>
      <c r="E1793" s="201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 s="201">
        <v>0</v>
      </c>
    </row>
    <row r="1794" spans="1:11" x14ac:dyDescent="0.25">
      <c r="A1794"/>
      <c r="B1794" s="201">
        <v>0</v>
      </c>
      <c r="C1794">
        <v>0</v>
      </c>
      <c r="D1794" s="201">
        <v>0</v>
      </c>
      <c r="E1794" s="201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 s="201">
        <v>0</v>
      </c>
    </row>
    <row r="1795" spans="1:11" x14ac:dyDescent="0.25">
      <c r="A1795"/>
      <c r="B1795" s="201">
        <v>0</v>
      </c>
      <c r="C1795">
        <v>0</v>
      </c>
      <c r="D1795" s="201">
        <v>0</v>
      </c>
      <c r="E1795" s="201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 s="201">
        <v>0</v>
      </c>
    </row>
    <row r="1796" spans="1:11" x14ac:dyDescent="0.25">
      <c r="A1796"/>
      <c r="B1796" s="201">
        <v>0</v>
      </c>
      <c r="C1796">
        <v>0</v>
      </c>
      <c r="D1796" s="201">
        <v>0</v>
      </c>
      <c r="E1796" s="201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 s="201">
        <v>0</v>
      </c>
    </row>
    <row r="1797" spans="1:11" x14ac:dyDescent="0.25">
      <c r="A1797"/>
      <c r="B1797" s="201">
        <v>0</v>
      </c>
      <c r="C1797">
        <v>0</v>
      </c>
      <c r="D1797" s="201">
        <v>0</v>
      </c>
      <c r="E1797" s="201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 s="201">
        <v>0</v>
      </c>
    </row>
    <row r="1798" spans="1:11" x14ac:dyDescent="0.25">
      <c r="A1798"/>
      <c r="B1798" s="201">
        <v>0</v>
      </c>
      <c r="C1798">
        <v>0</v>
      </c>
      <c r="D1798" s="201">
        <v>0</v>
      </c>
      <c r="E1798" s="201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 s="201">
        <v>0</v>
      </c>
    </row>
    <row r="1799" spans="1:11" x14ac:dyDescent="0.25">
      <c r="A1799"/>
      <c r="B1799" s="201">
        <v>0</v>
      </c>
      <c r="C1799">
        <v>0</v>
      </c>
      <c r="D1799" s="201">
        <v>0</v>
      </c>
      <c r="E1799" s="201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 s="201">
        <v>0</v>
      </c>
    </row>
    <row r="1800" spans="1:11" x14ac:dyDescent="0.25">
      <c r="A1800"/>
      <c r="B1800" s="201">
        <v>0</v>
      </c>
      <c r="C1800">
        <v>0</v>
      </c>
      <c r="D1800" s="201">
        <v>0</v>
      </c>
      <c r="E1800" s="201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 s="201">
        <v>0</v>
      </c>
    </row>
    <row r="1801" spans="1:11" x14ac:dyDescent="0.25">
      <c r="A1801"/>
      <c r="B1801" s="201">
        <v>0</v>
      </c>
      <c r="C1801">
        <v>0</v>
      </c>
      <c r="D1801" s="201">
        <v>0</v>
      </c>
      <c r="E1801" s="2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 s="201">
        <v>0</v>
      </c>
    </row>
    <row r="1802" spans="1:11" x14ac:dyDescent="0.25">
      <c r="A1802"/>
      <c r="B1802" s="201">
        <v>0</v>
      </c>
      <c r="C1802">
        <v>0</v>
      </c>
      <c r="D1802" s="201">
        <v>0</v>
      </c>
      <c r="E1802" s="201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 s="201">
        <v>0</v>
      </c>
    </row>
    <row r="1803" spans="1:11" x14ac:dyDescent="0.25">
      <c r="A1803"/>
      <c r="B1803" s="201">
        <v>0</v>
      </c>
      <c r="C1803">
        <v>0</v>
      </c>
      <c r="D1803" s="201">
        <v>0</v>
      </c>
      <c r="E1803" s="201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 s="201">
        <v>0</v>
      </c>
    </row>
    <row r="1804" spans="1:11" x14ac:dyDescent="0.25">
      <c r="A1804"/>
      <c r="B1804" s="201">
        <v>0</v>
      </c>
      <c r="C1804">
        <v>0</v>
      </c>
      <c r="D1804" s="201">
        <v>0</v>
      </c>
      <c r="E1804" s="201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 s="201">
        <v>0</v>
      </c>
    </row>
    <row r="1805" spans="1:11" x14ac:dyDescent="0.25">
      <c r="A1805"/>
      <c r="B1805" s="201">
        <v>0</v>
      </c>
      <c r="C1805">
        <v>0</v>
      </c>
      <c r="D1805" s="201">
        <v>0</v>
      </c>
      <c r="E1805" s="201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 s="201">
        <v>0</v>
      </c>
    </row>
    <row r="1806" spans="1:11" x14ac:dyDescent="0.25">
      <c r="A1806"/>
      <c r="B1806" s="201">
        <v>0</v>
      </c>
      <c r="C1806">
        <v>0</v>
      </c>
      <c r="D1806" s="201">
        <v>0</v>
      </c>
      <c r="E1806" s="201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 s="201">
        <v>0</v>
      </c>
    </row>
    <row r="1807" spans="1:11" x14ac:dyDescent="0.25">
      <c r="A1807"/>
      <c r="B1807" s="201">
        <v>0</v>
      </c>
      <c r="C1807">
        <v>0</v>
      </c>
      <c r="D1807" s="201">
        <v>0</v>
      </c>
      <c r="E1807" s="201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 s="201">
        <v>0</v>
      </c>
    </row>
    <row r="1808" spans="1:11" x14ac:dyDescent="0.25">
      <c r="A1808"/>
      <c r="B1808" s="201">
        <v>0</v>
      </c>
      <c r="C1808">
        <v>0</v>
      </c>
      <c r="D1808" s="201">
        <v>0</v>
      </c>
      <c r="E1808" s="201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 s="201">
        <v>0</v>
      </c>
    </row>
    <row r="1809" spans="1:11" x14ac:dyDescent="0.25">
      <c r="A1809"/>
      <c r="B1809" s="201">
        <v>0</v>
      </c>
      <c r="C1809">
        <v>0</v>
      </c>
      <c r="D1809" s="201">
        <v>0</v>
      </c>
      <c r="E1809" s="201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 s="201">
        <v>0</v>
      </c>
    </row>
    <row r="1810" spans="1:11" x14ac:dyDescent="0.25">
      <c r="A1810"/>
      <c r="B1810" s="201">
        <v>0</v>
      </c>
      <c r="C1810">
        <v>0</v>
      </c>
      <c r="D1810" s="201">
        <v>0</v>
      </c>
      <c r="E1810" s="201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 s="201">
        <v>0</v>
      </c>
    </row>
    <row r="1811" spans="1:11" x14ac:dyDescent="0.25">
      <c r="A1811"/>
      <c r="B1811" s="201">
        <v>0</v>
      </c>
      <c r="C1811">
        <v>0</v>
      </c>
      <c r="D1811" s="201">
        <v>0</v>
      </c>
      <c r="E1811" s="20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 s="201">
        <v>0</v>
      </c>
    </row>
    <row r="1812" spans="1:11" x14ac:dyDescent="0.25">
      <c r="A1812"/>
      <c r="B1812" s="201">
        <v>0</v>
      </c>
      <c r="C1812">
        <v>0</v>
      </c>
      <c r="D1812" s="201">
        <v>0</v>
      </c>
      <c r="E1812" s="201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 s="201">
        <v>0</v>
      </c>
    </row>
    <row r="1813" spans="1:11" x14ac:dyDescent="0.25">
      <c r="A1813"/>
      <c r="B1813" s="201">
        <v>0</v>
      </c>
      <c r="C1813">
        <v>0</v>
      </c>
      <c r="D1813" s="201">
        <v>0</v>
      </c>
      <c r="E1813" s="201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 s="201">
        <v>0</v>
      </c>
    </row>
    <row r="1814" spans="1:11" x14ac:dyDescent="0.25">
      <c r="A1814"/>
      <c r="B1814" s="201">
        <v>0</v>
      </c>
      <c r="C1814">
        <v>0</v>
      </c>
      <c r="D1814" s="201">
        <v>0</v>
      </c>
      <c r="E1814" s="201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 s="201">
        <v>0</v>
      </c>
    </row>
    <row r="1815" spans="1:11" x14ac:dyDescent="0.25">
      <c r="A1815"/>
      <c r="B1815" s="201">
        <v>0</v>
      </c>
      <c r="C1815">
        <v>0</v>
      </c>
      <c r="D1815" s="201">
        <v>0</v>
      </c>
      <c r="E1815" s="201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 s="201">
        <v>0</v>
      </c>
    </row>
    <row r="1816" spans="1:11" x14ac:dyDescent="0.25">
      <c r="A1816"/>
      <c r="B1816" s="201">
        <v>0</v>
      </c>
      <c r="C1816">
        <v>0</v>
      </c>
      <c r="D1816" s="201">
        <v>0</v>
      </c>
      <c r="E1816" s="201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 s="201">
        <v>0</v>
      </c>
    </row>
    <row r="1817" spans="1:11" x14ac:dyDescent="0.25">
      <c r="A1817"/>
      <c r="B1817" s="201">
        <v>0</v>
      </c>
      <c r="C1817">
        <v>0</v>
      </c>
      <c r="D1817" s="201">
        <v>0</v>
      </c>
      <c r="E1817" s="201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 s="201">
        <v>0</v>
      </c>
    </row>
    <row r="1818" spans="1:11" x14ac:dyDescent="0.25">
      <c r="A1818"/>
      <c r="B1818" s="201">
        <v>0</v>
      </c>
      <c r="C1818">
        <v>0</v>
      </c>
      <c r="D1818" s="201">
        <v>0</v>
      </c>
      <c r="E1818" s="201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 s="201">
        <v>0</v>
      </c>
    </row>
    <row r="1819" spans="1:11" x14ac:dyDescent="0.25">
      <c r="A1819"/>
      <c r="B1819" s="201">
        <v>0</v>
      </c>
      <c r="C1819">
        <v>0</v>
      </c>
      <c r="D1819" s="201">
        <v>0</v>
      </c>
      <c r="E1819" s="201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 s="201">
        <v>0</v>
      </c>
    </row>
    <row r="1820" spans="1:11" x14ac:dyDescent="0.25">
      <c r="A1820"/>
      <c r="B1820" s="201">
        <v>0</v>
      </c>
      <c r="C1820">
        <v>0</v>
      </c>
      <c r="D1820" s="201">
        <v>0</v>
      </c>
      <c r="E1820" s="201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 s="201">
        <v>0</v>
      </c>
    </row>
    <row r="1821" spans="1:11" x14ac:dyDescent="0.25">
      <c r="A1821"/>
      <c r="B1821" s="201">
        <v>0</v>
      </c>
      <c r="C1821">
        <v>0</v>
      </c>
      <c r="D1821" s="201">
        <v>0</v>
      </c>
      <c r="E1821" s="20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 s="201">
        <v>0</v>
      </c>
    </row>
    <row r="1822" spans="1:11" x14ac:dyDescent="0.25">
      <c r="A1822"/>
      <c r="B1822" s="201">
        <v>0</v>
      </c>
      <c r="C1822">
        <v>0</v>
      </c>
      <c r="D1822" s="201">
        <v>0</v>
      </c>
      <c r="E1822" s="201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 s="201">
        <v>0</v>
      </c>
    </row>
    <row r="1823" spans="1:11" x14ac:dyDescent="0.25">
      <c r="A1823"/>
      <c r="B1823" s="201">
        <v>0</v>
      </c>
      <c r="C1823">
        <v>0</v>
      </c>
      <c r="D1823" s="201">
        <v>0</v>
      </c>
      <c r="E1823" s="201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 s="201">
        <v>0</v>
      </c>
    </row>
    <row r="1824" spans="1:11" x14ac:dyDescent="0.25">
      <c r="A1824"/>
      <c r="B1824" s="201">
        <v>0</v>
      </c>
      <c r="C1824">
        <v>0</v>
      </c>
      <c r="D1824" s="201">
        <v>0</v>
      </c>
      <c r="E1824" s="201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 s="201">
        <v>0</v>
      </c>
    </row>
    <row r="1825" spans="1:11" x14ac:dyDescent="0.25">
      <c r="A1825"/>
      <c r="B1825" s="201">
        <v>0</v>
      </c>
      <c r="C1825">
        <v>0</v>
      </c>
      <c r="D1825" s="201">
        <v>0</v>
      </c>
      <c r="E1825" s="201">
        <v>0</v>
      </c>
      <c r="F1825">
        <v>0</v>
      </c>
      <c r="G1825">
        <v>0</v>
      </c>
      <c r="H1825">
        <v>-1265</v>
      </c>
      <c r="I1825">
        <v>-1687</v>
      </c>
      <c r="J1825">
        <v>46</v>
      </c>
      <c r="K1825" s="201">
        <v>-985</v>
      </c>
    </row>
    <row r="1826" spans="1:11" x14ac:dyDescent="0.25">
      <c r="A1826"/>
      <c r="B1826" s="201">
        <v>4010</v>
      </c>
      <c r="C1826">
        <v>0</v>
      </c>
      <c r="D1826" s="201">
        <v>0</v>
      </c>
      <c r="E1826" s="201">
        <v>-153</v>
      </c>
      <c r="F1826">
        <v>0</v>
      </c>
      <c r="G1826">
        <v>0</v>
      </c>
      <c r="H1826">
        <v>0</v>
      </c>
      <c r="I1826">
        <v>-234</v>
      </c>
      <c r="J1826">
        <v>231</v>
      </c>
      <c r="K1826" s="201">
        <v>0</v>
      </c>
    </row>
    <row r="1827" spans="1:11" x14ac:dyDescent="0.25">
      <c r="A1827"/>
      <c r="B1827" s="201">
        <v>0</v>
      </c>
      <c r="C1827">
        <v>0</v>
      </c>
      <c r="D1827" s="201">
        <v>0</v>
      </c>
      <c r="E1827" s="201">
        <v>0</v>
      </c>
      <c r="F1827">
        <v>0</v>
      </c>
      <c r="G1827">
        <v>-8</v>
      </c>
      <c r="H1827">
        <v>0</v>
      </c>
      <c r="I1827">
        <v>0</v>
      </c>
      <c r="J1827">
        <v>452</v>
      </c>
      <c r="K1827" s="201">
        <v>0</v>
      </c>
    </row>
    <row r="1828" spans="1:11" x14ac:dyDescent="0.25">
      <c r="A1828"/>
      <c r="B1828" s="201">
        <v>-393</v>
      </c>
      <c r="C1828">
        <v>0</v>
      </c>
      <c r="D1828" s="201">
        <v>266</v>
      </c>
      <c r="E1828" s="201">
        <v>606</v>
      </c>
      <c r="F1828">
        <v>683</v>
      </c>
      <c r="G1828">
        <v>0</v>
      </c>
      <c r="H1828">
        <v>384</v>
      </c>
      <c r="I1828">
        <v>-2167</v>
      </c>
      <c r="J1828">
        <v>350</v>
      </c>
      <c r="K1828" s="201">
        <v>7161</v>
      </c>
    </row>
    <row r="1829" spans="1:11" x14ac:dyDescent="0.25">
      <c r="A1829"/>
      <c r="B1829" s="201">
        <v>808</v>
      </c>
      <c r="C1829">
        <v>476</v>
      </c>
      <c r="D1829" s="201">
        <v>0</v>
      </c>
      <c r="E1829" s="201">
        <v>-446</v>
      </c>
      <c r="F1829">
        <v>0</v>
      </c>
      <c r="G1829">
        <v>0</v>
      </c>
      <c r="H1829">
        <v>0</v>
      </c>
      <c r="I1829">
        <v>0</v>
      </c>
      <c r="J1829">
        <v>0</v>
      </c>
      <c r="K1829" s="201">
        <v>-250</v>
      </c>
    </row>
    <row r="1830" spans="1:11" x14ac:dyDescent="0.25">
      <c r="A1830"/>
      <c r="B1830" s="201">
        <v>0</v>
      </c>
      <c r="C1830">
        <v>0</v>
      </c>
      <c r="D1830" s="201">
        <v>0</v>
      </c>
      <c r="E1830" s="201">
        <v>187</v>
      </c>
      <c r="F1830">
        <v>0</v>
      </c>
      <c r="G1830">
        <v>178</v>
      </c>
      <c r="H1830">
        <v>0</v>
      </c>
      <c r="I1830">
        <v>0</v>
      </c>
      <c r="J1830">
        <v>0</v>
      </c>
      <c r="K1830" s="201">
        <v>0</v>
      </c>
    </row>
    <row r="1831" spans="1:11" x14ac:dyDescent="0.25">
      <c r="A1831"/>
      <c r="B1831" s="201">
        <v>0</v>
      </c>
      <c r="C1831">
        <v>-190</v>
      </c>
      <c r="D1831" s="201">
        <v>0</v>
      </c>
      <c r="E1831" s="201">
        <v>201</v>
      </c>
      <c r="F1831">
        <v>-2436</v>
      </c>
      <c r="G1831">
        <v>0</v>
      </c>
      <c r="H1831">
        <v>0</v>
      </c>
      <c r="I1831">
        <v>166</v>
      </c>
      <c r="J1831">
        <v>0</v>
      </c>
      <c r="K1831" s="201">
        <v>0</v>
      </c>
    </row>
    <row r="1832" spans="1:11" x14ac:dyDescent="0.25">
      <c r="B1832" s="201">
        <v>-1797</v>
      </c>
      <c r="C1832">
        <v>0</v>
      </c>
      <c r="D1832" s="201">
        <v>0</v>
      </c>
      <c r="E1832" s="201">
        <v>0</v>
      </c>
      <c r="F1832">
        <v>0</v>
      </c>
      <c r="G1832">
        <v>-3550</v>
      </c>
      <c r="H1832">
        <v>181</v>
      </c>
      <c r="I1832">
        <v>210</v>
      </c>
      <c r="J1832">
        <v>0</v>
      </c>
      <c r="K1832" s="201">
        <v>0</v>
      </c>
    </row>
    <row r="1833" spans="1:11" x14ac:dyDescent="0.25">
      <c r="B1833" s="201">
        <v>-735</v>
      </c>
      <c r="C1833">
        <v>-76</v>
      </c>
      <c r="D1833" s="201">
        <v>0</v>
      </c>
      <c r="E1833" s="201">
        <v>-65</v>
      </c>
      <c r="F1833">
        <v>-1926</v>
      </c>
      <c r="G1833">
        <v>-207</v>
      </c>
      <c r="H1833">
        <v>-1513</v>
      </c>
      <c r="I1833">
        <v>-1235</v>
      </c>
      <c r="J1833">
        <v>-1016</v>
      </c>
      <c r="K1833" s="201">
        <v>-1740</v>
      </c>
    </row>
    <row r="1834" spans="1:11" x14ac:dyDescent="0.25">
      <c r="A1834"/>
      <c r="B1834" s="201">
        <v>0</v>
      </c>
      <c r="C1834">
        <v>0</v>
      </c>
      <c r="D1834" s="201">
        <v>0</v>
      </c>
      <c r="E1834" s="201">
        <v>0</v>
      </c>
      <c r="F1834">
        <v>0</v>
      </c>
      <c r="G1834">
        <v>-256</v>
      </c>
      <c r="H1834">
        <v>0</v>
      </c>
      <c r="I1834">
        <v>-1952</v>
      </c>
      <c r="J1834">
        <v>-232</v>
      </c>
      <c r="K1834" s="201">
        <v>1546</v>
      </c>
    </row>
    <row r="1835" spans="1:11" x14ac:dyDescent="0.25">
      <c r="A1835"/>
      <c r="B1835" s="201">
        <v>0</v>
      </c>
      <c r="C1835">
        <v>-287</v>
      </c>
      <c r="D1835" s="201">
        <v>-1063</v>
      </c>
      <c r="E1835" s="201">
        <v>137</v>
      </c>
      <c r="F1835">
        <v>524</v>
      </c>
      <c r="G1835">
        <v>425</v>
      </c>
      <c r="H1835">
        <v>0</v>
      </c>
      <c r="I1835">
        <v>13018</v>
      </c>
      <c r="J1835">
        <v>988</v>
      </c>
      <c r="K1835" s="201">
        <v>-1477</v>
      </c>
    </row>
    <row r="1836" spans="1:11" x14ac:dyDescent="0.25">
      <c r="B1836" s="201">
        <v>-340</v>
      </c>
      <c r="C1836">
        <v>0</v>
      </c>
      <c r="D1836" s="201">
        <v>-69</v>
      </c>
      <c r="E1836" s="201">
        <v>298</v>
      </c>
      <c r="F1836">
        <v>0</v>
      </c>
      <c r="G1836">
        <v>0</v>
      </c>
      <c r="H1836">
        <v>0</v>
      </c>
      <c r="I1836">
        <v>151</v>
      </c>
      <c r="J1836">
        <v>-537</v>
      </c>
      <c r="K1836" s="201">
        <v>0</v>
      </c>
    </row>
    <row r="1837" spans="1:11" x14ac:dyDescent="0.25">
      <c r="A1837"/>
      <c r="B1837" s="201">
        <v>-341</v>
      </c>
      <c r="C1837">
        <v>-590</v>
      </c>
      <c r="D1837" s="201">
        <v>8</v>
      </c>
      <c r="E1837" s="201">
        <v>261</v>
      </c>
      <c r="F1837">
        <v>0</v>
      </c>
      <c r="G1837">
        <v>0</v>
      </c>
      <c r="H1837">
        <v>0</v>
      </c>
      <c r="I1837">
        <v>0</v>
      </c>
      <c r="J1837">
        <v>0</v>
      </c>
      <c r="K1837" s="201">
        <v>-533</v>
      </c>
    </row>
    <row r="1838" spans="1:11" x14ac:dyDescent="0.25">
      <c r="A1838"/>
      <c r="B1838" s="201">
        <v>0</v>
      </c>
      <c r="C1838">
        <v>-893</v>
      </c>
      <c r="D1838" s="201">
        <v>-93</v>
      </c>
      <c r="E1838" s="201">
        <v>813</v>
      </c>
      <c r="F1838">
        <v>0</v>
      </c>
      <c r="G1838">
        <v>-129</v>
      </c>
      <c r="H1838">
        <v>-1544</v>
      </c>
      <c r="I1838">
        <v>192</v>
      </c>
      <c r="J1838">
        <v>313</v>
      </c>
      <c r="K1838" s="201">
        <v>330</v>
      </c>
    </row>
    <row r="1839" spans="1:11" x14ac:dyDescent="0.25">
      <c r="A1839"/>
      <c r="B1839" s="201">
        <v>-845</v>
      </c>
      <c r="C1839">
        <v>15761</v>
      </c>
      <c r="D1839" s="201">
        <v>2431</v>
      </c>
      <c r="E1839" s="201">
        <v>0</v>
      </c>
      <c r="F1839">
        <v>-84</v>
      </c>
      <c r="G1839">
        <v>0</v>
      </c>
      <c r="H1839">
        <v>0</v>
      </c>
      <c r="I1839">
        <v>564</v>
      </c>
      <c r="J1839">
        <v>-35</v>
      </c>
      <c r="K1839" s="201">
        <v>0</v>
      </c>
    </row>
    <row r="1840" spans="1:11" x14ac:dyDescent="0.25">
      <c r="A1840"/>
      <c r="B1840" s="201">
        <v>-323</v>
      </c>
      <c r="C1840">
        <v>0</v>
      </c>
      <c r="D1840" s="201">
        <v>0</v>
      </c>
      <c r="E1840" s="201">
        <v>63</v>
      </c>
      <c r="F1840">
        <v>0</v>
      </c>
      <c r="G1840">
        <v>11</v>
      </c>
      <c r="H1840">
        <v>177</v>
      </c>
      <c r="I1840">
        <v>409</v>
      </c>
      <c r="J1840">
        <v>0</v>
      </c>
      <c r="K1840" s="201">
        <v>0</v>
      </c>
    </row>
    <row r="1841" spans="1:11" x14ac:dyDescent="0.25">
      <c r="A1841"/>
      <c r="B1841" s="201">
        <v>0</v>
      </c>
      <c r="C1841">
        <v>0</v>
      </c>
      <c r="D1841" s="201">
        <v>0</v>
      </c>
      <c r="E1841" s="201">
        <v>-705</v>
      </c>
      <c r="F1841">
        <v>0</v>
      </c>
      <c r="G1841">
        <v>-150</v>
      </c>
      <c r="H1841">
        <v>-43</v>
      </c>
      <c r="I1841">
        <v>82</v>
      </c>
      <c r="J1841">
        <v>0</v>
      </c>
      <c r="K1841" s="201">
        <v>-7767</v>
      </c>
    </row>
    <row r="1842" spans="1:11" x14ac:dyDescent="0.25">
      <c r="A1842"/>
      <c r="B1842" s="201">
        <v>-6712</v>
      </c>
      <c r="C1842">
        <v>1807</v>
      </c>
      <c r="D1842" s="201">
        <v>0</v>
      </c>
      <c r="E1842" s="201">
        <v>0</v>
      </c>
      <c r="F1842">
        <v>0</v>
      </c>
      <c r="G1842">
        <v>-1644</v>
      </c>
      <c r="H1842">
        <v>-1427</v>
      </c>
      <c r="I1842">
        <v>57</v>
      </c>
      <c r="J1842">
        <v>-420</v>
      </c>
      <c r="K1842" s="201">
        <v>326</v>
      </c>
    </row>
    <row r="1843" spans="1:11" x14ac:dyDescent="0.25">
      <c r="A1843"/>
      <c r="B1843" s="201">
        <v>0</v>
      </c>
      <c r="C1843">
        <v>0</v>
      </c>
      <c r="D1843" s="201">
        <v>-184</v>
      </c>
      <c r="E1843" s="201">
        <v>0</v>
      </c>
      <c r="F1843">
        <v>0</v>
      </c>
      <c r="G1843">
        <v>0</v>
      </c>
      <c r="H1843">
        <v>-413</v>
      </c>
      <c r="I1843">
        <v>397</v>
      </c>
      <c r="J1843">
        <v>0</v>
      </c>
      <c r="K1843" s="201">
        <v>0</v>
      </c>
    </row>
    <row r="1844" spans="1:11" x14ac:dyDescent="0.25">
      <c r="A1844"/>
      <c r="B1844" s="201">
        <v>0</v>
      </c>
      <c r="C1844">
        <v>0</v>
      </c>
      <c r="D1844" s="201">
        <v>0</v>
      </c>
      <c r="E1844" s="201">
        <v>0</v>
      </c>
      <c r="F1844">
        <v>-44</v>
      </c>
      <c r="G1844">
        <v>0</v>
      </c>
      <c r="H1844">
        <v>0</v>
      </c>
      <c r="I1844">
        <v>-44</v>
      </c>
      <c r="J1844">
        <v>0</v>
      </c>
      <c r="K1844" s="201">
        <v>100</v>
      </c>
    </row>
    <row r="1845" spans="1:11" x14ac:dyDescent="0.25">
      <c r="A1845"/>
      <c r="B1845" s="201">
        <v>0</v>
      </c>
      <c r="C1845">
        <v>91</v>
      </c>
      <c r="D1845" s="201">
        <v>968</v>
      </c>
      <c r="E1845" s="201">
        <v>879</v>
      </c>
      <c r="F1845">
        <v>0</v>
      </c>
      <c r="G1845">
        <v>594</v>
      </c>
      <c r="H1845">
        <v>-1367</v>
      </c>
      <c r="I1845">
        <v>-292</v>
      </c>
      <c r="J1845">
        <v>1630</v>
      </c>
      <c r="K1845" s="201">
        <v>3840</v>
      </c>
    </row>
    <row r="1846" spans="1:11" x14ac:dyDescent="0.25">
      <c r="A1846"/>
      <c r="B1846" s="201">
        <v>-194</v>
      </c>
      <c r="C1846">
        <v>0</v>
      </c>
      <c r="D1846" s="201">
        <v>-635</v>
      </c>
      <c r="E1846" s="201">
        <v>0</v>
      </c>
      <c r="F1846">
        <v>0</v>
      </c>
      <c r="G1846">
        <v>0</v>
      </c>
      <c r="H1846">
        <v>0</v>
      </c>
      <c r="I1846">
        <v>0</v>
      </c>
      <c r="J1846">
        <v>-522</v>
      </c>
      <c r="K1846" s="201">
        <v>0</v>
      </c>
    </row>
    <row r="1847" spans="1:11" x14ac:dyDescent="0.25">
      <c r="A1847"/>
      <c r="B1847" s="201">
        <v>0</v>
      </c>
      <c r="C1847">
        <v>0</v>
      </c>
      <c r="D1847" s="201">
        <v>705</v>
      </c>
      <c r="E1847" s="201">
        <v>0</v>
      </c>
      <c r="F1847">
        <v>243</v>
      </c>
      <c r="G1847">
        <v>0</v>
      </c>
      <c r="H1847">
        <v>0</v>
      </c>
      <c r="I1847">
        <v>0</v>
      </c>
      <c r="J1847">
        <v>0</v>
      </c>
      <c r="K1847" s="201">
        <v>0</v>
      </c>
    </row>
    <row r="1848" spans="1:11" x14ac:dyDescent="0.25">
      <c r="A1848"/>
      <c r="B1848" s="201">
        <v>-594</v>
      </c>
      <c r="C1848">
        <v>0</v>
      </c>
      <c r="D1848" s="201">
        <v>-1175</v>
      </c>
      <c r="E1848" s="201">
        <v>-3317</v>
      </c>
      <c r="F1848">
        <v>0</v>
      </c>
      <c r="G1848">
        <v>0</v>
      </c>
      <c r="H1848">
        <v>-5009</v>
      </c>
      <c r="I1848">
        <v>-5815</v>
      </c>
      <c r="J1848">
        <v>0</v>
      </c>
      <c r="K1848" s="201">
        <v>-3906</v>
      </c>
    </row>
    <row r="1849" spans="1:11" x14ac:dyDescent="0.25">
      <c r="A1849"/>
      <c r="B1849" s="201">
        <v>0</v>
      </c>
      <c r="C1849">
        <v>0</v>
      </c>
      <c r="D1849" s="201">
        <v>0</v>
      </c>
      <c r="E1849" s="201">
        <v>0</v>
      </c>
      <c r="F1849">
        <v>-12054</v>
      </c>
      <c r="G1849">
        <v>-624</v>
      </c>
      <c r="H1849">
        <v>52</v>
      </c>
      <c r="I1849">
        <v>0</v>
      </c>
      <c r="J1849">
        <v>0</v>
      </c>
      <c r="K1849" s="201">
        <v>-585</v>
      </c>
    </row>
    <row r="1850" spans="1:11" x14ac:dyDescent="0.25">
      <c r="B1850" s="201">
        <v>-144</v>
      </c>
      <c r="C1850">
        <v>0</v>
      </c>
      <c r="D1850" s="201">
        <v>-33</v>
      </c>
      <c r="E1850" s="201">
        <v>-3273</v>
      </c>
      <c r="F1850">
        <v>-369</v>
      </c>
      <c r="G1850">
        <v>-2522</v>
      </c>
      <c r="H1850">
        <v>-5641</v>
      </c>
      <c r="I1850">
        <v>-2584</v>
      </c>
      <c r="J1850">
        <v>-3256</v>
      </c>
      <c r="K1850" s="201">
        <v>0</v>
      </c>
    </row>
    <row r="1851" spans="1:11" x14ac:dyDescent="0.25">
      <c r="A1851"/>
      <c r="B1851" s="201">
        <v>0</v>
      </c>
      <c r="C1851">
        <v>0</v>
      </c>
      <c r="D1851" s="201">
        <v>0</v>
      </c>
      <c r="E1851" s="201">
        <v>0</v>
      </c>
      <c r="F1851">
        <v>5316</v>
      </c>
      <c r="G1851">
        <v>0</v>
      </c>
      <c r="H1851">
        <v>6442</v>
      </c>
      <c r="I1851">
        <v>-441</v>
      </c>
      <c r="J1851">
        <v>3254</v>
      </c>
      <c r="K1851" s="201">
        <v>0</v>
      </c>
    </row>
    <row r="1852" spans="1:11" x14ac:dyDescent="0.25">
      <c r="A1852"/>
      <c r="B1852" s="201">
        <v>-779</v>
      </c>
      <c r="C1852">
        <v>-1677</v>
      </c>
      <c r="D1852" s="201">
        <v>305</v>
      </c>
      <c r="E1852" s="201">
        <v>638</v>
      </c>
      <c r="F1852">
        <v>305</v>
      </c>
      <c r="G1852">
        <v>0</v>
      </c>
      <c r="H1852">
        <v>121</v>
      </c>
      <c r="I1852">
        <v>16076</v>
      </c>
      <c r="J1852">
        <v>-2171</v>
      </c>
      <c r="K1852" s="201">
        <v>-290</v>
      </c>
    </row>
    <row r="1853" spans="1:11" x14ac:dyDescent="0.25">
      <c r="A1853"/>
      <c r="B1853" s="201">
        <v>0</v>
      </c>
      <c r="C1853">
        <v>-22</v>
      </c>
      <c r="D1853" s="201">
        <v>-1164</v>
      </c>
      <c r="E1853" s="201">
        <v>0</v>
      </c>
      <c r="F1853">
        <v>0</v>
      </c>
      <c r="G1853">
        <v>0</v>
      </c>
      <c r="H1853">
        <v>262</v>
      </c>
      <c r="I1853">
        <v>-369</v>
      </c>
      <c r="J1853">
        <v>0</v>
      </c>
      <c r="K1853" s="201">
        <v>-162</v>
      </c>
    </row>
    <row r="1854" spans="1:11" x14ac:dyDescent="0.25">
      <c r="A1854"/>
      <c r="B1854" s="201">
        <v>-1297</v>
      </c>
      <c r="C1854">
        <v>-22</v>
      </c>
      <c r="D1854" s="201">
        <v>433</v>
      </c>
      <c r="E1854" s="201">
        <v>0</v>
      </c>
      <c r="F1854">
        <v>0</v>
      </c>
      <c r="G1854">
        <v>0</v>
      </c>
      <c r="H1854">
        <v>0</v>
      </c>
      <c r="I1854">
        <v>0</v>
      </c>
      <c r="J1854">
        <v>-855</v>
      </c>
      <c r="K1854" s="201">
        <v>0</v>
      </c>
    </row>
    <row r="1855" spans="1:11" x14ac:dyDescent="0.25">
      <c r="B1855" s="201">
        <v>-1058</v>
      </c>
      <c r="C1855">
        <v>150</v>
      </c>
      <c r="D1855" s="201">
        <v>1443</v>
      </c>
      <c r="E1855" s="201">
        <v>0</v>
      </c>
      <c r="F1855">
        <v>605</v>
      </c>
      <c r="G1855">
        <v>-2018</v>
      </c>
      <c r="H1855">
        <v>298</v>
      </c>
      <c r="I1855">
        <v>382</v>
      </c>
      <c r="J1855">
        <v>258</v>
      </c>
      <c r="K1855" s="201">
        <v>-1622</v>
      </c>
    </row>
    <row r="1856" spans="1:11" x14ac:dyDescent="0.25">
      <c r="B1856" s="201">
        <v>2017</v>
      </c>
      <c r="C1856">
        <v>18257</v>
      </c>
      <c r="D1856" s="201">
        <v>0</v>
      </c>
      <c r="E1856" s="201">
        <v>-53</v>
      </c>
      <c r="F1856">
        <v>0</v>
      </c>
      <c r="G1856">
        <v>0</v>
      </c>
      <c r="H1856">
        <v>-1259</v>
      </c>
      <c r="I1856">
        <v>-70</v>
      </c>
      <c r="J1856">
        <v>0</v>
      </c>
      <c r="K1856" s="201">
        <v>-378</v>
      </c>
    </row>
    <row r="1857" spans="1:11" x14ac:dyDescent="0.25">
      <c r="A1857"/>
      <c r="B1857" s="201">
        <v>0</v>
      </c>
      <c r="C1857">
        <v>0</v>
      </c>
      <c r="D1857" s="201">
        <v>119</v>
      </c>
      <c r="E1857" s="201">
        <v>0</v>
      </c>
      <c r="F1857">
        <v>-189</v>
      </c>
      <c r="G1857">
        <v>355</v>
      </c>
      <c r="H1857">
        <v>603</v>
      </c>
      <c r="I1857">
        <v>0</v>
      </c>
      <c r="J1857">
        <v>0</v>
      </c>
      <c r="K1857" s="201">
        <v>0</v>
      </c>
    </row>
    <row r="1858" spans="1:11" x14ac:dyDescent="0.25">
      <c r="A1858"/>
      <c r="B1858" s="201">
        <v>0</v>
      </c>
      <c r="C1858">
        <v>0</v>
      </c>
      <c r="D1858" s="201">
        <v>-2142</v>
      </c>
      <c r="E1858" s="201">
        <v>0</v>
      </c>
      <c r="F1858">
        <v>-454</v>
      </c>
      <c r="G1858">
        <v>113</v>
      </c>
      <c r="H1858">
        <v>339</v>
      </c>
      <c r="I1858">
        <v>0</v>
      </c>
      <c r="J1858">
        <v>-8525</v>
      </c>
      <c r="K1858" s="201">
        <v>-8077</v>
      </c>
    </row>
    <row r="1859" spans="1:11" x14ac:dyDescent="0.25">
      <c r="A1859"/>
      <c r="B1859" s="201">
        <v>1244</v>
      </c>
      <c r="C1859">
        <v>0</v>
      </c>
      <c r="D1859" s="201">
        <v>0</v>
      </c>
      <c r="E1859" s="201">
        <v>0</v>
      </c>
      <c r="F1859">
        <v>31291</v>
      </c>
      <c r="G1859">
        <v>-2122</v>
      </c>
      <c r="H1859">
        <v>-761</v>
      </c>
      <c r="I1859">
        <v>-410</v>
      </c>
      <c r="J1859">
        <v>-631</v>
      </c>
      <c r="K1859" s="201">
        <v>-1327</v>
      </c>
    </row>
    <row r="1860" spans="1:11" x14ac:dyDescent="0.25">
      <c r="A1860"/>
      <c r="B1860" s="201">
        <v>0</v>
      </c>
      <c r="C1860">
        <v>0</v>
      </c>
      <c r="D1860" s="201">
        <v>-181</v>
      </c>
      <c r="E1860" s="201">
        <v>0</v>
      </c>
      <c r="F1860">
        <v>0</v>
      </c>
      <c r="G1860">
        <v>0</v>
      </c>
      <c r="H1860">
        <v>-81</v>
      </c>
      <c r="I1860">
        <v>93</v>
      </c>
      <c r="J1860">
        <v>0</v>
      </c>
      <c r="K1860" s="201">
        <v>0</v>
      </c>
    </row>
    <row r="1861" spans="1:11" x14ac:dyDescent="0.25">
      <c r="A1861"/>
      <c r="B1861" s="201">
        <v>0</v>
      </c>
      <c r="C1861">
        <v>0</v>
      </c>
      <c r="D1861" s="201">
        <v>0</v>
      </c>
      <c r="E1861" s="201">
        <v>0</v>
      </c>
      <c r="F1861">
        <v>-724</v>
      </c>
      <c r="G1861">
        <v>0</v>
      </c>
      <c r="H1861">
        <v>0</v>
      </c>
      <c r="I1861">
        <v>91</v>
      </c>
      <c r="J1861">
        <v>0</v>
      </c>
      <c r="K1861" s="201">
        <v>-66</v>
      </c>
    </row>
    <row r="1862" spans="1:11" x14ac:dyDescent="0.25">
      <c r="A1862"/>
      <c r="B1862" s="201">
        <v>0</v>
      </c>
      <c r="C1862">
        <v>149</v>
      </c>
      <c r="D1862" s="201">
        <v>1399</v>
      </c>
      <c r="E1862" s="201">
        <v>1235</v>
      </c>
      <c r="F1862">
        <v>0</v>
      </c>
      <c r="G1862">
        <v>692</v>
      </c>
      <c r="H1862">
        <v>-1014</v>
      </c>
      <c r="I1862">
        <v>-582</v>
      </c>
      <c r="J1862">
        <v>-36</v>
      </c>
      <c r="K1862" s="201">
        <v>-363</v>
      </c>
    </row>
    <row r="1863" spans="1:11" x14ac:dyDescent="0.25">
      <c r="A1863"/>
      <c r="B1863" s="201">
        <v>829</v>
      </c>
      <c r="C1863">
        <v>0</v>
      </c>
      <c r="D1863" s="201">
        <v>-145</v>
      </c>
      <c r="E1863" s="201">
        <v>0</v>
      </c>
      <c r="F1863">
        <v>0</v>
      </c>
      <c r="G1863">
        <v>0</v>
      </c>
      <c r="H1863">
        <v>0</v>
      </c>
      <c r="I1863">
        <v>0</v>
      </c>
      <c r="J1863">
        <v>-92</v>
      </c>
      <c r="K1863" s="201">
        <v>0</v>
      </c>
    </row>
    <row r="1864" spans="1:11" x14ac:dyDescent="0.25">
      <c r="A1864"/>
      <c r="B1864" s="201">
        <v>0</v>
      </c>
      <c r="C1864">
        <v>0</v>
      </c>
      <c r="D1864" s="201">
        <v>4</v>
      </c>
      <c r="E1864" s="201">
        <v>0</v>
      </c>
      <c r="F1864">
        <v>189</v>
      </c>
      <c r="G1864">
        <v>0</v>
      </c>
      <c r="H1864">
        <v>0</v>
      </c>
      <c r="I1864">
        <v>0</v>
      </c>
      <c r="J1864">
        <v>0</v>
      </c>
      <c r="K1864" s="201">
        <v>0</v>
      </c>
    </row>
    <row r="1865" spans="1:11" x14ac:dyDescent="0.25">
      <c r="A1865"/>
      <c r="B1865" s="201">
        <v>602</v>
      </c>
      <c r="C1865">
        <v>0</v>
      </c>
      <c r="D1865" s="201">
        <v>-1058</v>
      </c>
      <c r="E1865" s="201">
        <v>-958</v>
      </c>
      <c r="F1865">
        <v>0</v>
      </c>
      <c r="G1865">
        <v>0</v>
      </c>
      <c r="H1865">
        <v>93</v>
      </c>
      <c r="I1865">
        <v>-389</v>
      </c>
      <c r="J1865">
        <v>0</v>
      </c>
      <c r="K1865" s="201">
        <v>646</v>
      </c>
    </row>
    <row r="1866" spans="1:11" x14ac:dyDescent="0.25">
      <c r="A1866"/>
      <c r="B1866" s="201">
        <v>0</v>
      </c>
      <c r="C1866">
        <v>0</v>
      </c>
      <c r="D1866" s="201">
        <v>0</v>
      </c>
      <c r="E1866" s="201">
        <v>0</v>
      </c>
      <c r="F1866">
        <v>-5636</v>
      </c>
      <c r="G1866">
        <v>-342</v>
      </c>
      <c r="H1866">
        <v>-373</v>
      </c>
      <c r="I1866">
        <v>0</v>
      </c>
      <c r="J1866">
        <v>0</v>
      </c>
      <c r="K1866" s="201">
        <v>-134</v>
      </c>
    </row>
    <row r="1867" spans="1:11" x14ac:dyDescent="0.25">
      <c r="A1867"/>
      <c r="B1867" s="201">
        <v>701</v>
      </c>
      <c r="C1867">
        <v>0</v>
      </c>
      <c r="D1867" s="201">
        <v>151</v>
      </c>
      <c r="E1867" s="201">
        <v>-987</v>
      </c>
      <c r="F1867">
        <v>27</v>
      </c>
      <c r="G1867">
        <v>-525</v>
      </c>
      <c r="H1867">
        <v>-129</v>
      </c>
      <c r="I1867">
        <v>239</v>
      </c>
      <c r="J1867">
        <v>75</v>
      </c>
      <c r="K1867" s="201">
        <v>0</v>
      </c>
    </row>
    <row r="1868" spans="1:11" x14ac:dyDescent="0.25">
      <c r="A1868"/>
      <c r="B1868" s="201">
        <v>0</v>
      </c>
      <c r="C1868">
        <v>0</v>
      </c>
      <c r="D1868" s="201">
        <v>0</v>
      </c>
      <c r="E1868" s="201">
        <v>0</v>
      </c>
      <c r="F1868">
        <v>-1034</v>
      </c>
      <c r="G1868">
        <v>0</v>
      </c>
      <c r="H1868">
        <v>-1817</v>
      </c>
      <c r="I1868">
        <v>-309</v>
      </c>
      <c r="J1868">
        <v>794</v>
      </c>
      <c r="K1868" s="201">
        <v>0</v>
      </c>
    </row>
    <row r="1869" spans="1:11" x14ac:dyDescent="0.25">
      <c r="A1869"/>
      <c r="B1869" s="201">
        <v>-207</v>
      </c>
      <c r="C1869">
        <v>-773</v>
      </c>
      <c r="D1869" s="201">
        <v>-348</v>
      </c>
      <c r="E1869" s="201">
        <v>-494</v>
      </c>
      <c r="F1869">
        <v>-1852</v>
      </c>
      <c r="G1869">
        <v>0</v>
      </c>
      <c r="H1869">
        <v>-1687</v>
      </c>
      <c r="I1869">
        <v>-2228</v>
      </c>
      <c r="J1869">
        <v>-7412</v>
      </c>
      <c r="K1869" s="201">
        <v>-81</v>
      </c>
    </row>
    <row r="1870" spans="1:11" x14ac:dyDescent="0.25">
      <c r="A1870"/>
      <c r="B1870" s="201">
        <v>0</v>
      </c>
      <c r="C1870">
        <v>83</v>
      </c>
      <c r="D1870" s="201">
        <v>967</v>
      </c>
      <c r="E1870" s="201">
        <v>0</v>
      </c>
      <c r="F1870">
        <v>0</v>
      </c>
      <c r="G1870">
        <v>0</v>
      </c>
      <c r="H1870">
        <v>61</v>
      </c>
      <c r="I1870">
        <v>-393</v>
      </c>
      <c r="J1870">
        <v>0</v>
      </c>
      <c r="K1870" s="201">
        <v>-452</v>
      </c>
    </row>
    <row r="1871" spans="1:11" x14ac:dyDescent="0.25">
      <c r="A1871"/>
      <c r="B1871" s="201">
        <v>-782</v>
      </c>
      <c r="C1871">
        <v>-142</v>
      </c>
      <c r="D1871" s="201">
        <v>-122</v>
      </c>
      <c r="E1871" s="201">
        <v>0</v>
      </c>
      <c r="F1871">
        <v>0</v>
      </c>
      <c r="G1871">
        <v>0</v>
      </c>
      <c r="H1871">
        <v>0</v>
      </c>
      <c r="I1871">
        <v>0</v>
      </c>
      <c r="J1871">
        <v>-1019</v>
      </c>
      <c r="K1871" s="201">
        <v>0</v>
      </c>
    </row>
    <row r="1872" spans="1:11" x14ac:dyDescent="0.25">
      <c r="A1872"/>
      <c r="B1872" s="201">
        <v>-1248</v>
      </c>
      <c r="C1872">
        <v>302</v>
      </c>
      <c r="D1872" s="201">
        <v>1957</v>
      </c>
      <c r="E1872" s="201">
        <v>0</v>
      </c>
      <c r="F1872">
        <v>1011</v>
      </c>
      <c r="G1872">
        <v>-3346</v>
      </c>
      <c r="H1872">
        <v>340</v>
      </c>
      <c r="I1872">
        <v>1103</v>
      </c>
      <c r="J1872">
        <v>-789</v>
      </c>
      <c r="K1872" s="201">
        <v>-379</v>
      </c>
    </row>
    <row r="1873" spans="1:11" x14ac:dyDescent="0.25">
      <c r="A1873"/>
      <c r="B1873" s="201">
        <v>-96</v>
      </c>
      <c r="C1873">
        <v>-117</v>
      </c>
      <c r="D1873" s="201">
        <v>0</v>
      </c>
      <c r="E1873" s="201">
        <v>-236</v>
      </c>
      <c r="F1873">
        <v>0</v>
      </c>
      <c r="G1873">
        <v>0</v>
      </c>
      <c r="H1873">
        <v>711</v>
      </c>
      <c r="I1873">
        <v>111</v>
      </c>
      <c r="J1873">
        <v>0</v>
      </c>
      <c r="K1873" s="201">
        <v>-421</v>
      </c>
    </row>
    <row r="1874" spans="1:11" x14ac:dyDescent="0.25">
      <c r="A1874"/>
      <c r="B1874" s="201">
        <v>0</v>
      </c>
      <c r="C1874">
        <v>0</v>
      </c>
      <c r="D1874" s="201">
        <v>123</v>
      </c>
      <c r="E1874" s="201">
        <v>0</v>
      </c>
      <c r="F1874">
        <v>237</v>
      </c>
      <c r="G1874">
        <v>518</v>
      </c>
      <c r="H1874">
        <v>896</v>
      </c>
      <c r="I1874">
        <v>0</v>
      </c>
      <c r="J1874">
        <v>0</v>
      </c>
      <c r="K1874" s="201">
        <v>0</v>
      </c>
    </row>
    <row r="1875" spans="1:11" x14ac:dyDescent="0.25">
      <c r="A1875"/>
      <c r="B1875" s="201">
        <v>0</v>
      </c>
      <c r="C1875">
        <v>0</v>
      </c>
      <c r="D1875" s="201">
        <v>-2437</v>
      </c>
      <c r="E1875" s="201">
        <v>0</v>
      </c>
      <c r="F1875">
        <v>1983</v>
      </c>
      <c r="G1875">
        <v>75</v>
      </c>
      <c r="H1875">
        <v>230</v>
      </c>
      <c r="I1875">
        <v>0</v>
      </c>
      <c r="J1875">
        <v>-6870</v>
      </c>
      <c r="K1875" s="201">
        <v>-6124</v>
      </c>
    </row>
    <row r="1876" spans="1:11" x14ac:dyDescent="0.25">
      <c r="A1876"/>
      <c r="B1876" s="201">
        <v>2491</v>
      </c>
      <c r="C1876">
        <v>0</v>
      </c>
      <c r="D1876" s="201">
        <v>0</v>
      </c>
      <c r="E1876" s="201">
        <v>0</v>
      </c>
      <c r="F1876">
        <v>15707</v>
      </c>
      <c r="G1876">
        <v>22459</v>
      </c>
      <c r="H1876">
        <v>-1054</v>
      </c>
      <c r="I1876">
        <v>809</v>
      </c>
      <c r="J1876">
        <v>173</v>
      </c>
      <c r="K1876" s="201">
        <v>-455</v>
      </c>
    </row>
    <row r="1877" spans="1:11" x14ac:dyDescent="0.25">
      <c r="A1877"/>
      <c r="B1877" s="201">
        <v>-231</v>
      </c>
      <c r="C1877">
        <v>0</v>
      </c>
      <c r="D1877" s="201">
        <v>0</v>
      </c>
      <c r="E1877" s="201">
        <v>1009</v>
      </c>
      <c r="F1877">
        <v>0</v>
      </c>
      <c r="G1877">
        <v>0</v>
      </c>
      <c r="H1877">
        <v>0</v>
      </c>
      <c r="I1877">
        <v>21</v>
      </c>
      <c r="J1877">
        <v>-70</v>
      </c>
      <c r="K1877" s="201">
        <v>0</v>
      </c>
    </row>
    <row r="1878" spans="1:11" x14ac:dyDescent="0.25">
      <c r="A1878"/>
      <c r="B1878" s="201">
        <v>0</v>
      </c>
      <c r="C1878">
        <v>0</v>
      </c>
      <c r="D1878" s="201">
        <v>0</v>
      </c>
      <c r="E1878" s="201">
        <v>0</v>
      </c>
      <c r="F1878">
        <v>0</v>
      </c>
      <c r="G1878">
        <v>-113</v>
      </c>
      <c r="H1878">
        <v>0</v>
      </c>
      <c r="I1878">
        <v>0</v>
      </c>
      <c r="J1878">
        <v>177</v>
      </c>
      <c r="K1878" s="201">
        <v>0</v>
      </c>
    </row>
    <row r="1879" spans="1:11" x14ac:dyDescent="0.25">
      <c r="A1879"/>
      <c r="B1879" s="201">
        <v>-247</v>
      </c>
      <c r="C1879">
        <v>0</v>
      </c>
      <c r="D1879" s="201">
        <v>71</v>
      </c>
      <c r="E1879" s="201">
        <v>924</v>
      </c>
      <c r="F1879">
        <v>84</v>
      </c>
      <c r="G1879">
        <v>0</v>
      </c>
      <c r="H1879">
        <v>42</v>
      </c>
      <c r="I1879">
        <v>627</v>
      </c>
      <c r="J1879">
        <v>229</v>
      </c>
      <c r="K1879" s="201">
        <v>108</v>
      </c>
    </row>
    <row r="1880" spans="1:11" x14ac:dyDescent="0.25">
      <c r="A1880"/>
      <c r="B1880" s="201">
        <v>97</v>
      </c>
      <c r="C1880">
        <v>86</v>
      </c>
      <c r="D1880" s="201">
        <v>0</v>
      </c>
      <c r="E1880" s="201">
        <v>11</v>
      </c>
      <c r="F1880">
        <v>0</v>
      </c>
      <c r="G1880">
        <v>0</v>
      </c>
      <c r="H1880">
        <v>0</v>
      </c>
      <c r="I1880">
        <v>0</v>
      </c>
      <c r="J1880">
        <v>0</v>
      </c>
      <c r="K1880" s="201">
        <v>19</v>
      </c>
    </row>
    <row r="1881" spans="1:11" x14ac:dyDescent="0.25">
      <c r="A1881"/>
      <c r="B1881" s="201">
        <v>0</v>
      </c>
      <c r="C1881">
        <v>0</v>
      </c>
      <c r="D1881" s="201">
        <v>0</v>
      </c>
      <c r="E1881" s="201">
        <v>178</v>
      </c>
      <c r="F1881">
        <v>0</v>
      </c>
      <c r="G1881">
        <v>24</v>
      </c>
      <c r="H1881">
        <v>0</v>
      </c>
      <c r="I1881">
        <v>0</v>
      </c>
      <c r="J1881">
        <v>0</v>
      </c>
      <c r="K1881" s="201">
        <v>0</v>
      </c>
    </row>
    <row r="1882" spans="1:11" x14ac:dyDescent="0.25">
      <c r="A1882"/>
      <c r="B1882" s="201">
        <v>0</v>
      </c>
      <c r="C1882">
        <v>-526</v>
      </c>
      <c r="D1882" s="201">
        <v>0</v>
      </c>
      <c r="E1882" s="201">
        <v>614</v>
      </c>
      <c r="F1882">
        <v>-149</v>
      </c>
      <c r="G1882">
        <v>0</v>
      </c>
      <c r="H1882">
        <v>0</v>
      </c>
      <c r="I1882">
        <v>54</v>
      </c>
      <c r="J1882">
        <v>1010</v>
      </c>
      <c r="K1882" s="201">
        <v>0</v>
      </c>
    </row>
    <row r="1883" spans="1:11" x14ac:dyDescent="0.25">
      <c r="A1883"/>
      <c r="B1883" s="201">
        <v>559</v>
      </c>
      <c r="C1883">
        <v>0</v>
      </c>
      <c r="D1883" s="201">
        <v>0</v>
      </c>
      <c r="E1883" s="201">
        <v>0</v>
      </c>
      <c r="F1883">
        <v>0</v>
      </c>
      <c r="G1883">
        <v>-181</v>
      </c>
      <c r="H1883">
        <v>-5904</v>
      </c>
      <c r="I1883">
        <v>-1613</v>
      </c>
      <c r="J1883">
        <v>0</v>
      </c>
      <c r="K1883" s="201">
        <v>0</v>
      </c>
    </row>
    <row r="1884" spans="1:11" x14ac:dyDescent="0.25">
      <c r="A1884"/>
      <c r="B1884" s="201">
        <v>78</v>
      </c>
      <c r="C1884">
        <v>-105</v>
      </c>
      <c r="D1884" s="201">
        <v>0</v>
      </c>
      <c r="E1884" s="201">
        <v>86</v>
      </c>
      <c r="F1884">
        <v>-151</v>
      </c>
      <c r="G1884">
        <v>51</v>
      </c>
      <c r="H1884">
        <v>-273</v>
      </c>
      <c r="I1884">
        <v>278</v>
      </c>
      <c r="J1884">
        <v>52</v>
      </c>
      <c r="K1884" s="201">
        <v>51</v>
      </c>
    </row>
    <row r="1885" spans="1:11" x14ac:dyDescent="0.25">
      <c r="A1885"/>
      <c r="B1885" s="201">
        <v>0</v>
      </c>
      <c r="C1885">
        <v>0</v>
      </c>
      <c r="D1885" s="201">
        <v>0</v>
      </c>
      <c r="E1885" s="201">
        <v>0</v>
      </c>
      <c r="F1885">
        <v>0</v>
      </c>
      <c r="G1885">
        <v>388</v>
      </c>
      <c r="H1885">
        <v>0</v>
      </c>
      <c r="I1885">
        <v>248</v>
      </c>
      <c r="J1885">
        <v>810</v>
      </c>
      <c r="K1885" s="201">
        <v>-384</v>
      </c>
    </row>
    <row r="1886" spans="1:11" x14ac:dyDescent="0.25">
      <c r="A1886"/>
      <c r="B1886" s="201">
        <v>0</v>
      </c>
      <c r="C1886">
        <v>737</v>
      </c>
      <c r="D1886" s="201">
        <v>1221</v>
      </c>
      <c r="E1886" s="201">
        <v>130</v>
      </c>
      <c r="F1886">
        <v>259</v>
      </c>
      <c r="G1886">
        <v>82</v>
      </c>
      <c r="H1886">
        <v>0</v>
      </c>
      <c r="I1886">
        <v>-223</v>
      </c>
      <c r="J1886">
        <v>-127</v>
      </c>
      <c r="K1886" s="201">
        <v>-99</v>
      </c>
    </row>
    <row r="1887" spans="1:11" x14ac:dyDescent="0.25">
      <c r="A1887"/>
      <c r="B1887" s="201">
        <v>-9937</v>
      </c>
      <c r="C1887">
        <v>0</v>
      </c>
      <c r="D1887" s="201">
        <v>386</v>
      </c>
      <c r="E1887" s="201">
        <v>-1234</v>
      </c>
      <c r="F1887">
        <v>0</v>
      </c>
      <c r="G1887">
        <v>0</v>
      </c>
      <c r="H1887">
        <v>0</v>
      </c>
      <c r="I1887">
        <v>44</v>
      </c>
      <c r="J1887">
        <v>-446</v>
      </c>
      <c r="K1887" s="201">
        <v>0</v>
      </c>
    </row>
    <row r="1888" spans="1:11" x14ac:dyDescent="0.25">
      <c r="A1888"/>
      <c r="B1888" s="201">
        <v>-421</v>
      </c>
      <c r="C1888">
        <v>393</v>
      </c>
      <c r="D1888" s="201">
        <v>27</v>
      </c>
      <c r="E1888" s="201">
        <v>51</v>
      </c>
      <c r="F1888">
        <v>0</v>
      </c>
      <c r="G1888">
        <v>0</v>
      </c>
      <c r="H1888">
        <v>0</v>
      </c>
      <c r="I1888">
        <v>0</v>
      </c>
      <c r="J1888">
        <v>0</v>
      </c>
      <c r="K1888" s="201">
        <v>-20</v>
      </c>
    </row>
    <row r="1889" spans="1:11" x14ac:dyDescent="0.25">
      <c r="A1889"/>
      <c r="B1889" s="201">
        <v>0</v>
      </c>
      <c r="C1889">
        <v>314</v>
      </c>
      <c r="D1889" s="201">
        <v>911</v>
      </c>
      <c r="E1889" s="201">
        <v>-535</v>
      </c>
      <c r="F1889">
        <v>0</v>
      </c>
      <c r="G1889">
        <v>773</v>
      </c>
      <c r="H1889">
        <v>950</v>
      </c>
      <c r="I1889">
        <v>42</v>
      </c>
      <c r="J1889">
        <v>462</v>
      </c>
      <c r="K1889" s="201">
        <v>89</v>
      </c>
    </row>
    <row r="1890" spans="1:11" x14ac:dyDescent="0.25">
      <c r="A1890"/>
      <c r="B1890" s="201">
        <v>366</v>
      </c>
      <c r="C1890">
        <v>73</v>
      </c>
      <c r="D1890" s="201">
        <v>213</v>
      </c>
      <c r="E1890" s="201">
        <v>0</v>
      </c>
      <c r="F1890">
        <v>-5094</v>
      </c>
      <c r="G1890">
        <v>0</v>
      </c>
      <c r="H1890">
        <v>0</v>
      </c>
      <c r="I1890">
        <v>-455</v>
      </c>
      <c r="J1890">
        <v>-61</v>
      </c>
      <c r="K1890" s="201">
        <v>0</v>
      </c>
    </row>
    <row r="1891" spans="1:11" x14ac:dyDescent="0.25">
      <c r="A1891"/>
      <c r="B1891" s="201">
        <v>365</v>
      </c>
      <c r="C1891">
        <v>0</v>
      </c>
      <c r="D1891" s="201">
        <v>0</v>
      </c>
      <c r="E1891" s="201">
        <v>40</v>
      </c>
      <c r="F1891">
        <v>0</v>
      </c>
      <c r="G1891">
        <v>249</v>
      </c>
      <c r="H1891">
        <v>40</v>
      </c>
      <c r="I1891">
        <v>51</v>
      </c>
      <c r="J1891">
        <v>0</v>
      </c>
      <c r="K1891" s="201">
        <v>0</v>
      </c>
    </row>
    <row r="1892" spans="1:11" x14ac:dyDescent="0.25">
      <c r="A1892"/>
      <c r="B1892" s="201">
        <v>0</v>
      </c>
      <c r="C1892">
        <v>0</v>
      </c>
      <c r="D1892" s="201">
        <v>0</v>
      </c>
      <c r="E1892" s="201">
        <v>-426</v>
      </c>
      <c r="F1892">
        <v>0</v>
      </c>
      <c r="G1892">
        <v>281</v>
      </c>
      <c r="H1892">
        <v>487</v>
      </c>
      <c r="I1892">
        <v>-251</v>
      </c>
      <c r="J1892">
        <v>0</v>
      </c>
      <c r="K1892" s="201">
        <v>-11856</v>
      </c>
    </row>
    <row r="1893" spans="1:11" x14ac:dyDescent="0.25">
      <c r="A1893"/>
      <c r="B1893" s="201">
        <v>-6753</v>
      </c>
      <c r="C1893">
        <v>-1201</v>
      </c>
      <c r="D1893" s="201">
        <v>0</v>
      </c>
      <c r="E1893" s="201">
        <v>0</v>
      </c>
      <c r="F1893">
        <v>0</v>
      </c>
      <c r="G1893">
        <v>3270</v>
      </c>
      <c r="H1893">
        <v>3908</v>
      </c>
      <c r="I1893">
        <v>-312</v>
      </c>
      <c r="J1893">
        <v>-930</v>
      </c>
      <c r="K1893" s="201">
        <v>766</v>
      </c>
    </row>
    <row r="1894" spans="1:11" x14ac:dyDescent="0.25">
      <c r="A1894"/>
      <c r="B1894" s="201">
        <v>182</v>
      </c>
      <c r="C1894">
        <v>-13</v>
      </c>
      <c r="D1894" s="201">
        <v>-62</v>
      </c>
      <c r="E1894" s="201">
        <v>0</v>
      </c>
      <c r="F1894">
        <v>0</v>
      </c>
      <c r="G1894">
        <v>1119</v>
      </c>
      <c r="H1894">
        <v>0</v>
      </c>
      <c r="I1894">
        <v>0</v>
      </c>
      <c r="J1894">
        <v>0</v>
      </c>
      <c r="K1894" s="201">
        <v>7</v>
      </c>
    </row>
    <row r="1895" spans="1:11" x14ac:dyDescent="0.25">
      <c r="A1895"/>
      <c r="B1895" s="201">
        <v>-60</v>
      </c>
      <c r="C1895">
        <v>0</v>
      </c>
      <c r="D1895" s="201">
        <v>0</v>
      </c>
      <c r="E1895" s="201">
        <v>0</v>
      </c>
      <c r="F1895">
        <v>0</v>
      </c>
      <c r="G1895">
        <v>0</v>
      </c>
      <c r="H1895">
        <v>0</v>
      </c>
      <c r="I1895">
        <v>79</v>
      </c>
      <c r="J1895">
        <v>0</v>
      </c>
      <c r="K1895" s="201">
        <v>0</v>
      </c>
    </row>
    <row r="1896" spans="1:11" x14ac:dyDescent="0.25">
      <c r="A1896"/>
      <c r="B1896" s="201">
        <v>25</v>
      </c>
      <c r="C1896">
        <v>0</v>
      </c>
      <c r="D1896" s="201">
        <v>-36</v>
      </c>
      <c r="E1896" s="201">
        <v>0</v>
      </c>
      <c r="F1896">
        <v>41</v>
      </c>
      <c r="G1896">
        <v>542</v>
      </c>
      <c r="H1896">
        <v>108</v>
      </c>
      <c r="I1896">
        <v>0</v>
      </c>
      <c r="J1896">
        <v>-89</v>
      </c>
      <c r="K1896" s="201">
        <v>606</v>
      </c>
    </row>
    <row r="1897" spans="1:11" x14ac:dyDescent="0.25">
      <c r="A1897"/>
      <c r="B1897" s="201">
        <v>107</v>
      </c>
      <c r="C1897">
        <v>67</v>
      </c>
      <c r="D1897" s="201">
        <v>45</v>
      </c>
      <c r="E1897" s="201">
        <v>66</v>
      </c>
      <c r="F1897">
        <v>0</v>
      </c>
      <c r="G1897">
        <v>973</v>
      </c>
      <c r="H1897">
        <v>0</v>
      </c>
      <c r="I1897">
        <v>0</v>
      </c>
      <c r="J1897">
        <v>0</v>
      </c>
      <c r="K1897" s="201">
        <v>0</v>
      </c>
    </row>
    <row r="1898" spans="1:11" x14ac:dyDescent="0.25">
      <c r="A1898"/>
      <c r="B1898" s="201">
        <v>0</v>
      </c>
      <c r="C1898">
        <v>33</v>
      </c>
      <c r="D1898" s="201">
        <v>0</v>
      </c>
      <c r="E1898" s="201">
        <v>0</v>
      </c>
      <c r="F1898">
        <v>0</v>
      </c>
      <c r="G1898">
        <v>26</v>
      </c>
      <c r="H1898">
        <v>0</v>
      </c>
      <c r="I1898">
        <v>29</v>
      </c>
      <c r="J1898">
        <v>0</v>
      </c>
      <c r="K1898" s="201">
        <v>0</v>
      </c>
    </row>
    <row r="1899" spans="1:11" x14ac:dyDescent="0.25">
      <c r="A1899"/>
      <c r="B1899" s="201">
        <v>0</v>
      </c>
      <c r="C1899">
        <v>0</v>
      </c>
      <c r="D1899" s="201">
        <v>0</v>
      </c>
      <c r="E1899" s="201">
        <v>-517</v>
      </c>
      <c r="F1899">
        <v>0</v>
      </c>
      <c r="G1899">
        <v>368</v>
      </c>
      <c r="H1899">
        <v>-54</v>
      </c>
      <c r="I1899">
        <v>0</v>
      </c>
      <c r="J1899">
        <v>0</v>
      </c>
      <c r="K1899" s="201">
        <v>315</v>
      </c>
    </row>
    <row r="1900" spans="1:11" x14ac:dyDescent="0.25">
      <c r="A1900"/>
      <c r="B1900" s="201">
        <v>1002</v>
      </c>
      <c r="C1900">
        <v>0</v>
      </c>
      <c r="D1900" s="201">
        <v>471</v>
      </c>
      <c r="E1900" s="201">
        <v>0</v>
      </c>
      <c r="F1900">
        <v>0</v>
      </c>
      <c r="G1900">
        <v>0</v>
      </c>
      <c r="H1900">
        <v>0</v>
      </c>
      <c r="I1900">
        <v>-47</v>
      </c>
      <c r="J1900">
        <v>-1578</v>
      </c>
      <c r="K1900" s="201">
        <v>-7242</v>
      </c>
    </row>
    <row r="1901" spans="1:11" x14ac:dyDescent="0.25">
      <c r="A1901"/>
      <c r="B1901" s="201">
        <v>0</v>
      </c>
      <c r="C1901">
        <v>0</v>
      </c>
      <c r="D1901" s="201">
        <v>127</v>
      </c>
      <c r="E1901" s="201">
        <v>-60</v>
      </c>
      <c r="F1901">
        <v>0</v>
      </c>
      <c r="G1901">
        <v>50</v>
      </c>
      <c r="H1901">
        <v>151</v>
      </c>
      <c r="I1901">
        <v>180</v>
      </c>
      <c r="J1901">
        <v>-67</v>
      </c>
      <c r="K1901" s="201">
        <v>34</v>
      </c>
    </row>
    <row r="1902" spans="1:11" x14ac:dyDescent="0.25">
      <c r="A1902"/>
      <c r="B1902" s="201">
        <v>35</v>
      </c>
      <c r="C1902">
        <v>-63</v>
      </c>
      <c r="D1902" s="201">
        <v>0</v>
      </c>
      <c r="E1902" s="201">
        <v>0</v>
      </c>
      <c r="F1902">
        <v>0</v>
      </c>
      <c r="G1902">
        <v>0</v>
      </c>
      <c r="H1902">
        <v>0</v>
      </c>
      <c r="I1902">
        <v>201</v>
      </c>
      <c r="J1902">
        <v>0</v>
      </c>
      <c r="K1902" s="201">
        <v>210</v>
      </c>
    </row>
    <row r="1903" spans="1:11" x14ac:dyDescent="0.25">
      <c r="A1903"/>
      <c r="B1903" s="201">
        <v>470</v>
      </c>
      <c r="C1903">
        <v>-259</v>
      </c>
      <c r="D1903" s="201">
        <v>0</v>
      </c>
      <c r="E1903" s="201">
        <v>108</v>
      </c>
      <c r="F1903">
        <v>873</v>
      </c>
      <c r="G1903">
        <v>-118</v>
      </c>
      <c r="H1903">
        <v>-635</v>
      </c>
      <c r="I1903">
        <v>-423</v>
      </c>
      <c r="J1903">
        <v>0</v>
      </c>
      <c r="K1903" s="201">
        <v>-215</v>
      </c>
    </row>
    <row r="1904" spans="1:11" x14ac:dyDescent="0.25">
      <c r="A1904"/>
      <c r="B1904" s="201">
        <v>-147</v>
      </c>
      <c r="C1904">
        <v>-370</v>
      </c>
      <c r="D1904" s="201">
        <v>931</v>
      </c>
      <c r="E1904" s="201">
        <v>0</v>
      </c>
      <c r="F1904">
        <v>2748</v>
      </c>
      <c r="G1904">
        <v>17</v>
      </c>
      <c r="H1904">
        <v>0</v>
      </c>
      <c r="I1904">
        <v>0</v>
      </c>
      <c r="J1904">
        <v>0</v>
      </c>
      <c r="K1904" s="201">
        <v>-38</v>
      </c>
    </row>
    <row r="1905" spans="1:11" x14ac:dyDescent="0.25">
      <c r="A1905"/>
      <c r="B1905" s="201">
        <v>-118</v>
      </c>
      <c r="C1905">
        <v>0</v>
      </c>
      <c r="D1905" s="201">
        <v>-157</v>
      </c>
      <c r="E1905" s="201">
        <v>-191</v>
      </c>
      <c r="F1905">
        <v>-150</v>
      </c>
      <c r="G1905">
        <v>-2</v>
      </c>
      <c r="H1905">
        <v>0</v>
      </c>
      <c r="I1905">
        <v>0</v>
      </c>
      <c r="J1905">
        <v>0</v>
      </c>
      <c r="K1905" s="201">
        <v>0</v>
      </c>
    </row>
    <row r="1906" spans="1:11" x14ac:dyDescent="0.25">
      <c r="A1906"/>
      <c r="B1906" s="201">
        <v>0</v>
      </c>
      <c r="C1906">
        <v>96</v>
      </c>
      <c r="D1906" s="201">
        <v>0</v>
      </c>
      <c r="E1906" s="201">
        <v>99</v>
      </c>
      <c r="F1906">
        <v>125</v>
      </c>
      <c r="G1906">
        <v>-91</v>
      </c>
      <c r="H1906">
        <v>0</v>
      </c>
      <c r="I1906">
        <v>225</v>
      </c>
      <c r="J1906">
        <v>781</v>
      </c>
      <c r="K1906" s="201">
        <v>-130</v>
      </c>
    </row>
    <row r="1907" spans="1:11" x14ac:dyDescent="0.25">
      <c r="A1907"/>
      <c r="B1907" s="201">
        <v>-130</v>
      </c>
      <c r="C1907">
        <v>-314</v>
      </c>
      <c r="D1907" s="201">
        <v>-4</v>
      </c>
      <c r="E1907" s="201">
        <v>-74</v>
      </c>
      <c r="F1907">
        <v>68</v>
      </c>
      <c r="G1907">
        <v>0</v>
      </c>
      <c r="H1907">
        <v>316</v>
      </c>
      <c r="I1907">
        <v>0</v>
      </c>
      <c r="J1907">
        <v>0</v>
      </c>
      <c r="K1907" s="201">
        <v>237</v>
      </c>
    </row>
    <row r="1908" spans="1:11" x14ac:dyDescent="0.25">
      <c r="A1908"/>
      <c r="B1908" s="201">
        <v>-514</v>
      </c>
      <c r="C1908">
        <v>0</v>
      </c>
      <c r="D1908" s="201">
        <v>25</v>
      </c>
      <c r="E1908" s="201">
        <v>0</v>
      </c>
      <c r="F1908">
        <v>0</v>
      </c>
      <c r="G1908">
        <v>-1</v>
      </c>
      <c r="H1908">
        <v>0</v>
      </c>
      <c r="I1908">
        <v>-86</v>
      </c>
      <c r="J1908">
        <v>-103</v>
      </c>
      <c r="K1908" s="201">
        <v>60</v>
      </c>
    </row>
    <row r="1909" spans="1:11" x14ac:dyDescent="0.25">
      <c r="A1909"/>
      <c r="B1909" s="201">
        <v>0</v>
      </c>
      <c r="C1909">
        <v>0</v>
      </c>
      <c r="D1909" s="201">
        <v>0</v>
      </c>
      <c r="E1909" s="201">
        <v>0</v>
      </c>
      <c r="F1909">
        <v>0</v>
      </c>
      <c r="G1909">
        <v>-6</v>
      </c>
      <c r="H1909">
        <v>0</v>
      </c>
      <c r="I1909">
        <v>246</v>
      </c>
      <c r="J1909">
        <v>36</v>
      </c>
      <c r="K1909" s="201">
        <v>-190</v>
      </c>
    </row>
    <row r="1910" spans="1:11" x14ac:dyDescent="0.25">
      <c r="A1910"/>
      <c r="B1910" s="201">
        <v>0</v>
      </c>
      <c r="C1910">
        <v>-8825</v>
      </c>
      <c r="D1910" s="201">
        <v>-5074</v>
      </c>
      <c r="E1910" s="201">
        <v>-1968</v>
      </c>
      <c r="F1910">
        <v>0</v>
      </c>
      <c r="G1910">
        <v>0</v>
      </c>
      <c r="H1910">
        <v>0</v>
      </c>
      <c r="I1910">
        <v>619</v>
      </c>
      <c r="J1910">
        <v>957</v>
      </c>
      <c r="K1910" s="201">
        <v>-1468</v>
      </c>
    </row>
    <row r="1911" spans="1:11" x14ac:dyDescent="0.25">
      <c r="A1911"/>
      <c r="B1911" s="201">
        <v>22297</v>
      </c>
      <c r="C1911">
        <v>0</v>
      </c>
      <c r="D1911" s="201">
        <v>0</v>
      </c>
      <c r="E1911" s="20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 s="201">
        <v>0</v>
      </c>
    </row>
    <row r="1912" spans="1:11" x14ac:dyDescent="0.25">
      <c r="A1912"/>
      <c r="B1912" s="201">
        <v>0</v>
      </c>
      <c r="C1912">
        <v>0</v>
      </c>
      <c r="D1912" s="201">
        <v>0</v>
      </c>
      <c r="E1912" s="201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 s="201">
        <v>0</v>
      </c>
    </row>
    <row r="1913" spans="1:11" x14ac:dyDescent="0.25">
      <c r="A1913"/>
      <c r="B1913" s="201">
        <v>0</v>
      </c>
      <c r="C1913">
        <v>0</v>
      </c>
      <c r="D1913" s="201">
        <v>0</v>
      </c>
      <c r="E1913" s="201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 s="201">
        <v>0</v>
      </c>
    </row>
    <row r="1914" spans="1:11" x14ac:dyDescent="0.25">
      <c r="A1914"/>
      <c r="B1914" s="201">
        <v>0</v>
      </c>
      <c r="C1914">
        <v>0</v>
      </c>
      <c r="D1914" s="201">
        <v>0</v>
      </c>
      <c r="E1914" s="201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 s="201">
        <v>0</v>
      </c>
    </row>
    <row r="1915" spans="1:11" x14ac:dyDescent="0.25">
      <c r="A1915"/>
      <c r="B1915" s="201">
        <v>0</v>
      </c>
      <c r="C1915">
        <v>0</v>
      </c>
      <c r="D1915" s="201">
        <v>0</v>
      </c>
      <c r="E1915" s="201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 s="201">
        <v>0</v>
      </c>
    </row>
    <row r="1916" spans="1:11" x14ac:dyDescent="0.25">
      <c r="A1916"/>
      <c r="B1916" s="201">
        <v>0</v>
      </c>
      <c r="C1916">
        <v>0</v>
      </c>
      <c r="D1916" s="201">
        <v>0</v>
      </c>
      <c r="E1916" s="201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 s="201">
        <v>0</v>
      </c>
    </row>
    <row r="1917" spans="1:11" x14ac:dyDescent="0.25">
      <c r="A1917"/>
      <c r="B1917" s="201">
        <v>0</v>
      </c>
      <c r="C1917">
        <v>0</v>
      </c>
      <c r="D1917" s="201">
        <v>0</v>
      </c>
      <c r="E1917" s="201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 s="201">
        <v>0</v>
      </c>
    </row>
    <row r="1918" spans="1:11" x14ac:dyDescent="0.25">
      <c r="A1918"/>
      <c r="B1918" s="201">
        <v>0</v>
      </c>
      <c r="C1918">
        <v>0</v>
      </c>
      <c r="D1918" s="201">
        <v>0</v>
      </c>
      <c r="E1918" s="201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 s="201">
        <v>0</v>
      </c>
    </row>
    <row r="1919" spans="1:11" x14ac:dyDescent="0.25">
      <c r="A1919"/>
      <c r="B1919" s="201">
        <v>0</v>
      </c>
      <c r="C1919">
        <v>0</v>
      </c>
      <c r="D1919" s="201">
        <v>0</v>
      </c>
      <c r="E1919" s="201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 s="201">
        <v>0</v>
      </c>
    </row>
    <row r="1920" spans="1:11" x14ac:dyDescent="0.25">
      <c r="A1920"/>
      <c r="B1920" s="201">
        <v>0</v>
      </c>
      <c r="C1920">
        <v>0</v>
      </c>
      <c r="D1920" s="201">
        <v>0</v>
      </c>
      <c r="E1920" s="201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 s="201">
        <v>0</v>
      </c>
    </row>
    <row r="1921" spans="1:11" x14ac:dyDescent="0.25">
      <c r="A1921"/>
      <c r="B1921" s="201">
        <v>0</v>
      </c>
      <c r="C1921">
        <v>0</v>
      </c>
      <c r="D1921" s="201">
        <v>0</v>
      </c>
      <c r="E1921" s="20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 s="201">
        <v>0</v>
      </c>
    </row>
    <row r="1922" spans="1:11" x14ac:dyDescent="0.25">
      <c r="A1922"/>
      <c r="B1922" s="201">
        <v>0</v>
      </c>
      <c r="C1922">
        <v>0</v>
      </c>
      <c r="D1922" s="201">
        <v>0</v>
      </c>
      <c r="E1922" s="201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 s="201">
        <v>0</v>
      </c>
    </row>
    <row r="1923" spans="1:11" x14ac:dyDescent="0.25">
      <c r="A1923"/>
      <c r="B1923" s="201">
        <v>0</v>
      </c>
      <c r="C1923">
        <v>0</v>
      </c>
      <c r="D1923" s="201">
        <v>0</v>
      </c>
      <c r="E1923" s="201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 s="201">
        <v>0</v>
      </c>
    </row>
    <row r="1924" spans="1:11" x14ac:dyDescent="0.25">
      <c r="A1924"/>
      <c r="B1924" s="201">
        <v>0</v>
      </c>
      <c r="C1924">
        <v>0</v>
      </c>
      <c r="D1924" s="201">
        <v>0</v>
      </c>
      <c r="E1924" s="201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 s="201">
        <v>0</v>
      </c>
    </row>
    <row r="1925" spans="1:11" x14ac:dyDescent="0.25">
      <c r="A1925"/>
      <c r="B1925" s="201">
        <v>0</v>
      </c>
      <c r="C1925">
        <v>0</v>
      </c>
      <c r="D1925" s="201">
        <v>0</v>
      </c>
      <c r="E1925" s="201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 s="201">
        <v>0</v>
      </c>
    </row>
    <row r="1926" spans="1:11" x14ac:dyDescent="0.25">
      <c r="A1926"/>
      <c r="B1926" s="201">
        <v>0</v>
      </c>
      <c r="C1926">
        <v>0</v>
      </c>
      <c r="D1926" s="201">
        <v>0</v>
      </c>
      <c r="E1926" s="201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 s="201">
        <v>0</v>
      </c>
    </row>
    <row r="1927" spans="1:11" x14ac:dyDescent="0.25">
      <c r="A1927"/>
      <c r="B1927" s="201">
        <v>0</v>
      </c>
      <c r="C1927">
        <v>0</v>
      </c>
      <c r="D1927" s="201">
        <v>0</v>
      </c>
      <c r="E1927" s="201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 s="201">
        <v>0</v>
      </c>
    </row>
    <row r="1928" spans="1:11" x14ac:dyDescent="0.25">
      <c r="A1928"/>
      <c r="B1928" s="201">
        <v>0</v>
      </c>
      <c r="C1928">
        <v>0</v>
      </c>
      <c r="D1928" s="201">
        <v>0</v>
      </c>
      <c r="E1928" s="201">
        <v>0</v>
      </c>
      <c r="F1928">
        <v>0</v>
      </c>
      <c r="G1928">
        <v>234</v>
      </c>
      <c r="H1928">
        <v>-262</v>
      </c>
      <c r="I1928">
        <v>-75</v>
      </c>
      <c r="J1928">
        <v>-71</v>
      </c>
      <c r="K1928" s="201">
        <v>-137</v>
      </c>
    </row>
    <row r="1929" spans="1:11" x14ac:dyDescent="0.25">
      <c r="A1929"/>
      <c r="B1929" s="201">
        <v>0</v>
      </c>
      <c r="C1929">
        <v>0</v>
      </c>
      <c r="D1929" s="201">
        <v>16</v>
      </c>
      <c r="E1929" s="201">
        <v>0</v>
      </c>
      <c r="F1929">
        <v>0</v>
      </c>
      <c r="G1929">
        <v>0</v>
      </c>
      <c r="H1929">
        <v>-38</v>
      </c>
      <c r="I1929">
        <v>-133</v>
      </c>
      <c r="J1929">
        <v>0</v>
      </c>
      <c r="K1929" s="201">
        <v>0</v>
      </c>
    </row>
    <row r="1930" spans="1:11" x14ac:dyDescent="0.25">
      <c r="A1930"/>
      <c r="B1930" s="201">
        <v>0</v>
      </c>
      <c r="C1930">
        <v>0</v>
      </c>
      <c r="D1930" s="201">
        <v>0</v>
      </c>
      <c r="E1930" s="201">
        <v>0</v>
      </c>
      <c r="F1930">
        <v>108</v>
      </c>
      <c r="G1930">
        <v>0</v>
      </c>
      <c r="H1930">
        <v>0</v>
      </c>
      <c r="I1930">
        <v>29</v>
      </c>
      <c r="J1930">
        <v>0</v>
      </c>
      <c r="K1930" s="201">
        <v>-50</v>
      </c>
    </row>
    <row r="1931" spans="1:11" x14ac:dyDescent="0.25">
      <c r="A1931"/>
      <c r="B1931" s="201">
        <v>0</v>
      </c>
      <c r="C1931">
        <v>-172</v>
      </c>
      <c r="D1931" s="201">
        <v>-296</v>
      </c>
      <c r="E1931" s="201">
        <v>-173</v>
      </c>
      <c r="F1931">
        <v>0</v>
      </c>
      <c r="G1931">
        <v>59</v>
      </c>
      <c r="H1931">
        <v>-226</v>
      </c>
      <c r="I1931">
        <v>1</v>
      </c>
      <c r="J1931">
        <v>168</v>
      </c>
      <c r="K1931" s="201">
        <v>-333</v>
      </c>
    </row>
    <row r="1932" spans="1:11" x14ac:dyDescent="0.25">
      <c r="A1932"/>
      <c r="B1932" s="201">
        <v>27</v>
      </c>
      <c r="C1932">
        <v>0</v>
      </c>
      <c r="D1932" s="201">
        <v>-85</v>
      </c>
      <c r="E1932" s="201">
        <v>0</v>
      </c>
      <c r="F1932">
        <v>0</v>
      </c>
      <c r="G1932">
        <v>0</v>
      </c>
      <c r="H1932">
        <v>0</v>
      </c>
      <c r="I1932">
        <v>0</v>
      </c>
      <c r="J1932">
        <v>-13</v>
      </c>
      <c r="K1932" s="201">
        <v>0</v>
      </c>
    </row>
    <row r="1933" spans="1:11" x14ac:dyDescent="0.25">
      <c r="A1933"/>
      <c r="B1933" s="201">
        <v>0</v>
      </c>
      <c r="C1933">
        <v>0</v>
      </c>
      <c r="D1933" s="201">
        <v>-161</v>
      </c>
      <c r="E1933" s="201">
        <v>0</v>
      </c>
      <c r="F1933">
        <v>87</v>
      </c>
      <c r="G1933">
        <v>0</v>
      </c>
      <c r="H1933">
        <v>0</v>
      </c>
      <c r="I1933">
        <v>0</v>
      </c>
      <c r="J1933">
        <v>0</v>
      </c>
      <c r="K1933" s="201">
        <v>0</v>
      </c>
    </row>
    <row r="1934" spans="1:11" x14ac:dyDescent="0.25">
      <c r="A1934"/>
      <c r="B1934" s="201">
        <v>186</v>
      </c>
      <c r="C1934">
        <v>0</v>
      </c>
      <c r="D1934" s="201">
        <v>-423</v>
      </c>
      <c r="E1934" s="201">
        <v>-11</v>
      </c>
      <c r="F1934">
        <v>0</v>
      </c>
      <c r="G1934">
        <v>0</v>
      </c>
      <c r="H1934">
        <v>4856</v>
      </c>
      <c r="I1934">
        <v>3383</v>
      </c>
      <c r="J1934">
        <v>0</v>
      </c>
      <c r="K1934" s="201">
        <v>-667</v>
      </c>
    </row>
    <row r="1935" spans="1:11" x14ac:dyDescent="0.25">
      <c r="A1935"/>
      <c r="B1935" s="201">
        <v>0</v>
      </c>
      <c r="C1935">
        <v>0</v>
      </c>
      <c r="D1935" s="201">
        <v>0</v>
      </c>
      <c r="E1935" s="201">
        <v>0</v>
      </c>
      <c r="F1935">
        <v>3689</v>
      </c>
      <c r="G1935">
        <v>-2756</v>
      </c>
      <c r="H1935">
        <v>-2051</v>
      </c>
      <c r="I1935">
        <v>0</v>
      </c>
      <c r="J1935">
        <v>0</v>
      </c>
      <c r="K1935" s="201">
        <v>609</v>
      </c>
    </row>
    <row r="1936" spans="1:11" x14ac:dyDescent="0.25">
      <c r="A1936"/>
      <c r="B1936" s="201">
        <v>-73</v>
      </c>
      <c r="C1936">
        <v>0</v>
      </c>
      <c r="D1936" s="201">
        <v>-317</v>
      </c>
      <c r="E1936" s="201">
        <v>-731</v>
      </c>
      <c r="F1936">
        <v>-130</v>
      </c>
      <c r="G1936">
        <v>-311</v>
      </c>
      <c r="H1936">
        <v>-1241</v>
      </c>
      <c r="I1936">
        <v>-260</v>
      </c>
      <c r="J1936">
        <v>-670</v>
      </c>
      <c r="K1936" s="201">
        <v>0</v>
      </c>
    </row>
    <row r="1937" spans="1:11" x14ac:dyDescent="0.25">
      <c r="A1937"/>
      <c r="B1937" s="201">
        <v>0</v>
      </c>
      <c r="C1937">
        <v>0</v>
      </c>
      <c r="D1937" s="201">
        <v>0</v>
      </c>
      <c r="E1937" s="201">
        <v>0</v>
      </c>
      <c r="F1937">
        <v>-4996</v>
      </c>
      <c r="G1937">
        <v>0</v>
      </c>
      <c r="H1937">
        <v>-4828</v>
      </c>
      <c r="I1937">
        <v>-1232</v>
      </c>
      <c r="J1937">
        <v>-560</v>
      </c>
      <c r="K1937" s="201">
        <v>0</v>
      </c>
    </row>
    <row r="1938" spans="1:11" x14ac:dyDescent="0.25">
      <c r="A1938"/>
      <c r="B1938" s="201">
        <v>-315</v>
      </c>
      <c r="C1938">
        <v>-680</v>
      </c>
      <c r="D1938" s="201">
        <v>-39</v>
      </c>
      <c r="E1938" s="201">
        <v>-61</v>
      </c>
      <c r="F1938">
        <v>-247</v>
      </c>
      <c r="G1938">
        <v>0</v>
      </c>
      <c r="H1938">
        <v>216</v>
      </c>
      <c r="I1938">
        <v>-765</v>
      </c>
      <c r="J1938">
        <v>906</v>
      </c>
      <c r="K1938" s="201">
        <v>-1562</v>
      </c>
    </row>
    <row r="1939" spans="1:11" x14ac:dyDescent="0.25">
      <c r="A1939"/>
      <c r="B1939" s="201">
        <v>0</v>
      </c>
      <c r="C1939">
        <v>128</v>
      </c>
      <c r="D1939" s="201">
        <v>12745</v>
      </c>
      <c r="E1939" s="201">
        <v>0</v>
      </c>
      <c r="F1939">
        <v>0</v>
      </c>
      <c r="G1939">
        <v>0</v>
      </c>
      <c r="H1939">
        <v>6</v>
      </c>
      <c r="I1939">
        <v>-175</v>
      </c>
      <c r="J1939">
        <v>0</v>
      </c>
      <c r="K1939" s="201">
        <v>-73</v>
      </c>
    </row>
    <row r="1940" spans="1:11" x14ac:dyDescent="0.25">
      <c r="A1940"/>
      <c r="B1940" s="201">
        <v>-22</v>
      </c>
      <c r="C1940">
        <v>-36</v>
      </c>
      <c r="D1940" s="201">
        <v>91</v>
      </c>
      <c r="E1940" s="201">
        <v>0</v>
      </c>
      <c r="F1940">
        <v>0</v>
      </c>
      <c r="G1940">
        <v>0</v>
      </c>
      <c r="H1940">
        <v>0</v>
      </c>
      <c r="I1940">
        <v>0</v>
      </c>
      <c r="J1940">
        <v>-1376</v>
      </c>
      <c r="K1940" s="201">
        <v>0</v>
      </c>
    </row>
    <row r="1941" spans="1:11" x14ac:dyDescent="0.25">
      <c r="B1941" s="201">
        <v>-1424</v>
      </c>
      <c r="C1941">
        <v>-836</v>
      </c>
      <c r="D1941" s="201">
        <v>-696</v>
      </c>
      <c r="E1941" s="201">
        <v>0</v>
      </c>
      <c r="F1941">
        <v>-1841</v>
      </c>
      <c r="G1941">
        <v>-496</v>
      </c>
      <c r="H1941">
        <v>-64</v>
      </c>
      <c r="I1941">
        <v>-54</v>
      </c>
      <c r="J1941">
        <v>-314</v>
      </c>
      <c r="K1941" s="201">
        <v>119</v>
      </c>
    </row>
    <row r="1942" spans="1:11" x14ac:dyDescent="0.25">
      <c r="A1942"/>
      <c r="B1942" s="201">
        <v>637</v>
      </c>
      <c r="C1942">
        <v>-1609</v>
      </c>
      <c r="D1942" s="201">
        <v>0</v>
      </c>
      <c r="E1942" s="201">
        <v>-822</v>
      </c>
      <c r="F1942">
        <v>0</v>
      </c>
      <c r="G1942">
        <v>0</v>
      </c>
      <c r="H1942">
        <v>16080</v>
      </c>
      <c r="I1942">
        <v>-284</v>
      </c>
      <c r="J1942">
        <v>0</v>
      </c>
      <c r="K1942" s="201">
        <v>-23</v>
      </c>
    </row>
    <row r="1943" spans="1:11" x14ac:dyDescent="0.25">
      <c r="A1943"/>
      <c r="B1943" s="201">
        <v>0</v>
      </c>
      <c r="C1943">
        <v>0</v>
      </c>
      <c r="D1943" s="201">
        <v>-73</v>
      </c>
      <c r="E1943" s="201">
        <v>0</v>
      </c>
      <c r="F1943">
        <v>-246</v>
      </c>
      <c r="G1943">
        <v>-139</v>
      </c>
      <c r="H1943">
        <v>109</v>
      </c>
      <c r="I1943">
        <v>0</v>
      </c>
      <c r="J1943">
        <v>0</v>
      </c>
      <c r="K1943" s="201">
        <v>0</v>
      </c>
    </row>
    <row r="1944" spans="1:11" x14ac:dyDescent="0.25">
      <c r="A1944"/>
      <c r="B1944" s="201">
        <v>0</v>
      </c>
      <c r="C1944">
        <v>0</v>
      </c>
      <c r="D1944" s="201">
        <v>-288</v>
      </c>
      <c r="E1944" s="201">
        <v>0</v>
      </c>
      <c r="F1944">
        <v>-2123</v>
      </c>
      <c r="G1944">
        <v>-683</v>
      </c>
      <c r="H1944">
        <v>-342</v>
      </c>
      <c r="I1944">
        <v>0</v>
      </c>
      <c r="J1944">
        <v>-16051</v>
      </c>
      <c r="K1944" s="201">
        <v>-15298</v>
      </c>
    </row>
    <row r="1945" spans="1:11" x14ac:dyDescent="0.25">
      <c r="A1945"/>
      <c r="B1945" s="201">
        <v>223</v>
      </c>
      <c r="C1945">
        <v>0</v>
      </c>
      <c r="D1945" s="201">
        <v>0</v>
      </c>
      <c r="E1945" s="201">
        <v>0</v>
      </c>
      <c r="F1945">
        <v>8062</v>
      </c>
      <c r="G1945">
        <v>-4122</v>
      </c>
      <c r="H1945">
        <v>-2612</v>
      </c>
      <c r="I1945">
        <v>16257</v>
      </c>
      <c r="J1945">
        <v>7657</v>
      </c>
      <c r="K1945" s="201">
        <v>0</v>
      </c>
    </row>
    <row r="1946" spans="1:11" x14ac:dyDescent="0.25">
      <c r="A1946"/>
      <c r="B1946" s="201">
        <v>0</v>
      </c>
      <c r="C1946">
        <v>0</v>
      </c>
      <c r="D1946" s="201">
        <v>0</v>
      </c>
      <c r="E1946" s="201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 s="201">
        <v>0</v>
      </c>
    </row>
    <row r="1947" spans="1:11" x14ac:dyDescent="0.25">
      <c r="A1947"/>
      <c r="B1947" s="201">
        <v>0</v>
      </c>
      <c r="C1947">
        <v>0</v>
      </c>
      <c r="D1947" s="201">
        <v>0</v>
      </c>
      <c r="E1947" s="201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 s="201">
        <v>0</v>
      </c>
    </row>
    <row r="1948" spans="1:11" x14ac:dyDescent="0.25">
      <c r="A1948"/>
      <c r="B1948" s="201">
        <v>0</v>
      </c>
      <c r="C1948">
        <v>0</v>
      </c>
      <c r="D1948" s="201">
        <v>0</v>
      </c>
      <c r="E1948" s="201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 s="201">
        <v>0</v>
      </c>
    </row>
    <row r="1949" spans="1:11" x14ac:dyDescent="0.25">
      <c r="A1949"/>
      <c r="B1949" s="201">
        <v>0</v>
      </c>
      <c r="C1949">
        <v>0</v>
      </c>
      <c r="D1949" s="201">
        <v>0</v>
      </c>
      <c r="E1949" s="201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 s="201">
        <v>0</v>
      </c>
    </row>
    <row r="1950" spans="1:11" x14ac:dyDescent="0.25">
      <c r="A1950"/>
      <c r="B1950" s="201">
        <v>0</v>
      </c>
      <c r="C1950">
        <v>0</v>
      </c>
      <c r="D1950" s="201">
        <v>0</v>
      </c>
      <c r="E1950" s="201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 s="201">
        <v>0</v>
      </c>
    </row>
    <row r="1951" spans="1:11" x14ac:dyDescent="0.25">
      <c r="A1951"/>
      <c r="B1951" s="201">
        <v>0</v>
      </c>
      <c r="C1951">
        <v>0</v>
      </c>
      <c r="D1951" s="201">
        <v>0</v>
      </c>
      <c r="E1951" s="20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 s="201">
        <v>0</v>
      </c>
    </row>
    <row r="1952" spans="1:11" x14ac:dyDescent="0.25">
      <c r="A1952"/>
      <c r="B1952" s="201">
        <v>0</v>
      </c>
      <c r="C1952">
        <v>0</v>
      </c>
      <c r="D1952" s="201">
        <v>0</v>
      </c>
      <c r="E1952" s="201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 s="201">
        <v>0</v>
      </c>
    </row>
    <row r="1953" spans="1:11" x14ac:dyDescent="0.25">
      <c r="A1953"/>
      <c r="B1953" s="201">
        <v>0</v>
      </c>
      <c r="C1953">
        <v>0</v>
      </c>
      <c r="D1953" s="201">
        <v>0</v>
      </c>
      <c r="E1953" s="201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 s="201">
        <v>0</v>
      </c>
    </row>
    <row r="1954" spans="1:11" x14ac:dyDescent="0.25">
      <c r="A1954"/>
      <c r="B1954" s="201">
        <v>0</v>
      </c>
      <c r="C1954">
        <v>0</v>
      </c>
      <c r="D1954" s="201">
        <v>0</v>
      </c>
      <c r="E1954" s="201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 s="201">
        <v>0</v>
      </c>
    </row>
    <row r="1955" spans="1:11" x14ac:dyDescent="0.25">
      <c r="A1955"/>
      <c r="B1955" s="201">
        <v>0</v>
      </c>
      <c r="C1955">
        <v>0</v>
      </c>
      <c r="D1955" s="201">
        <v>0</v>
      </c>
      <c r="E1955" s="201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 s="201">
        <v>0</v>
      </c>
    </row>
    <row r="1956" spans="1:11" x14ac:dyDescent="0.25">
      <c r="A1956"/>
      <c r="B1956" s="201">
        <v>0</v>
      </c>
      <c r="C1956">
        <v>0</v>
      </c>
      <c r="D1956" s="201">
        <v>0</v>
      </c>
      <c r="E1956" s="201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 s="201">
        <v>0</v>
      </c>
    </row>
    <row r="1957" spans="1:11" x14ac:dyDescent="0.25">
      <c r="A1957"/>
      <c r="B1957" s="201">
        <v>0</v>
      </c>
      <c r="C1957">
        <v>0</v>
      </c>
      <c r="D1957" s="201">
        <v>0</v>
      </c>
      <c r="E1957" s="201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 s="201">
        <v>0</v>
      </c>
    </row>
    <row r="1958" spans="1:11" x14ac:dyDescent="0.25">
      <c r="A1958"/>
      <c r="B1958" s="201">
        <v>0</v>
      </c>
      <c r="C1958">
        <v>0</v>
      </c>
      <c r="D1958" s="201">
        <v>0</v>
      </c>
      <c r="E1958" s="201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 s="201">
        <v>0</v>
      </c>
    </row>
    <row r="1959" spans="1:11" x14ac:dyDescent="0.25">
      <c r="A1959"/>
      <c r="B1959" s="201">
        <v>0</v>
      </c>
      <c r="C1959">
        <v>0</v>
      </c>
      <c r="D1959" s="201">
        <v>0</v>
      </c>
      <c r="E1959" s="201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 s="201">
        <v>0</v>
      </c>
    </row>
    <row r="1960" spans="1:11" x14ac:dyDescent="0.25">
      <c r="A1960"/>
      <c r="B1960" s="201">
        <v>0</v>
      </c>
      <c r="C1960">
        <v>0</v>
      </c>
      <c r="D1960" s="201">
        <v>0</v>
      </c>
      <c r="E1960" s="201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 s="201">
        <v>0</v>
      </c>
    </row>
    <row r="1961" spans="1:11" x14ac:dyDescent="0.25">
      <c r="A1961"/>
      <c r="B1961" s="201">
        <v>0</v>
      </c>
      <c r="C1961">
        <v>0</v>
      </c>
      <c r="D1961" s="201">
        <v>0</v>
      </c>
      <c r="E1961" s="20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 s="201">
        <v>0</v>
      </c>
    </row>
    <row r="1962" spans="1:11" x14ac:dyDescent="0.25">
      <c r="A1962"/>
      <c r="B1962" s="201">
        <v>0</v>
      </c>
      <c r="C1962">
        <v>0</v>
      </c>
      <c r="D1962" s="201">
        <v>0</v>
      </c>
      <c r="E1962" s="201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 s="201">
        <v>0</v>
      </c>
    </row>
    <row r="1963" spans="1:11" x14ac:dyDescent="0.25">
      <c r="A1963"/>
      <c r="B1963" s="201">
        <v>0</v>
      </c>
      <c r="C1963">
        <v>0</v>
      </c>
      <c r="D1963" s="201">
        <v>0</v>
      </c>
      <c r="E1963" s="201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 s="201">
        <v>0</v>
      </c>
    </row>
    <row r="1964" spans="1:11" x14ac:dyDescent="0.25">
      <c r="A1964"/>
      <c r="B1964" s="201">
        <v>0</v>
      </c>
      <c r="C1964">
        <v>0</v>
      </c>
      <c r="D1964" s="201">
        <v>0</v>
      </c>
      <c r="E1964" s="201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 s="201">
        <v>0</v>
      </c>
    </row>
    <row r="1965" spans="1:11" x14ac:dyDescent="0.25">
      <c r="A1965"/>
      <c r="B1965" s="201">
        <v>0</v>
      </c>
      <c r="C1965">
        <v>0</v>
      </c>
      <c r="D1965" s="201">
        <v>0</v>
      </c>
      <c r="E1965" s="201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 s="201">
        <v>0</v>
      </c>
    </row>
    <row r="1966" spans="1:11" x14ac:dyDescent="0.25">
      <c r="A1966"/>
      <c r="B1966" s="201">
        <v>0</v>
      </c>
      <c r="C1966">
        <v>0</v>
      </c>
      <c r="D1966" s="201">
        <v>0</v>
      </c>
      <c r="E1966" s="201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 s="201">
        <v>0</v>
      </c>
    </row>
    <row r="1967" spans="1:11" x14ac:dyDescent="0.25">
      <c r="A1967"/>
      <c r="B1967" s="201">
        <v>0</v>
      </c>
      <c r="C1967">
        <v>0</v>
      </c>
      <c r="D1967" s="201">
        <v>0</v>
      </c>
      <c r="E1967" s="201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 s="201">
        <v>0</v>
      </c>
    </row>
    <row r="1968" spans="1:11" x14ac:dyDescent="0.25">
      <c r="A1968"/>
      <c r="B1968" s="201">
        <v>0</v>
      </c>
      <c r="C1968">
        <v>0</v>
      </c>
      <c r="D1968" s="201">
        <v>0</v>
      </c>
      <c r="E1968" s="201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 s="201">
        <v>0</v>
      </c>
    </row>
    <row r="1969" spans="1:11" x14ac:dyDescent="0.25">
      <c r="A1969"/>
      <c r="B1969" s="201">
        <v>0</v>
      </c>
      <c r="C1969">
        <v>0</v>
      </c>
      <c r="D1969" s="201">
        <v>0</v>
      </c>
      <c r="E1969" s="201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 s="201">
        <v>0</v>
      </c>
    </row>
    <row r="1970" spans="1:11" x14ac:dyDescent="0.25">
      <c r="A1970"/>
      <c r="B1970" s="201">
        <v>0</v>
      </c>
      <c r="C1970">
        <v>0</v>
      </c>
      <c r="D1970" s="201">
        <v>0</v>
      </c>
      <c r="E1970" s="201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 s="201">
        <v>0</v>
      </c>
    </row>
    <row r="1971" spans="1:11" x14ac:dyDescent="0.25">
      <c r="A1971"/>
      <c r="B1971" s="201">
        <v>0</v>
      </c>
      <c r="C1971">
        <v>0</v>
      </c>
      <c r="D1971" s="201">
        <v>0</v>
      </c>
      <c r="E1971" s="20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 s="201">
        <v>0</v>
      </c>
    </row>
    <row r="1972" spans="1:11" x14ac:dyDescent="0.25">
      <c r="A1972"/>
      <c r="B1972" s="201">
        <v>0</v>
      </c>
      <c r="C1972">
        <v>0</v>
      </c>
      <c r="D1972" s="201">
        <v>0</v>
      </c>
      <c r="E1972" s="201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 s="201">
        <v>0</v>
      </c>
    </row>
    <row r="1973" spans="1:11" x14ac:dyDescent="0.25">
      <c r="A1973"/>
      <c r="B1973" s="201">
        <v>0</v>
      </c>
      <c r="C1973">
        <v>0</v>
      </c>
      <c r="D1973" s="201">
        <v>0</v>
      </c>
      <c r="E1973" s="201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 s="201">
        <v>0</v>
      </c>
    </row>
    <row r="1974" spans="1:11" x14ac:dyDescent="0.25">
      <c r="A1974"/>
      <c r="B1974" s="201">
        <v>0</v>
      </c>
      <c r="C1974">
        <v>0</v>
      </c>
      <c r="D1974" s="201">
        <v>0</v>
      </c>
      <c r="E1974" s="201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 s="201">
        <v>0</v>
      </c>
    </row>
    <row r="1975" spans="1:11" x14ac:dyDescent="0.25">
      <c r="A1975"/>
      <c r="B1975" s="201">
        <v>0</v>
      </c>
      <c r="C1975">
        <v>0</v>
      </c>
      <c r="D1975" s="201">
        <v>0</v>
      </c>
      <c r="E1975" s="201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 s="201">
        <v>0</v>
      </c>
    </row>
    <row r="1976" spans="1:11" x14ac:dyDescent="0.25">
      <c r="A1976"/>
      <c r="B1976" s="201">
        <v>0</v>
      </c>
      <c r="C1976">
        <v>0</v>
      </c>
      <c r="D1976" s="201">
        <v>0</v>
      </c>
      <c r="E1976" s="201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 s="201">
        <v>0</v>
      </c>
    </row>
    <row r="1977" spans="1:11" x14ac:dyDescent="0.25">
      <c r="A1977"/>
      <c r="B1977" s="201">
        <v>0</v>
      </c>
      <c r="C1977">
        <v>0</v>
      </c>
      <c r="D1977" s="201">
        <v>0</v>
      </c>
      <c r="E1977" s="201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 s="201">
        <v>0</v>
      </c>
    </row>
    <row r="1978" spans="1:11" x14ac:dyDescent="0.25">
      <c r="A1978"/>
      <c r="B1978" s="201">
        <v>0</v>
      </c>
      <c r="C1978">
        <v>0</v>
      </c>
      <c r="D1978" s="201">
        <v>0</v>
      </c>
      <c r="E1978" s="201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 s="201">
        <v>0</v>
      </c>
    </row>
    <row r="1979" spans="1:11" x14ac:dyDescent="0.25">
      <c r="A1979"/>
      <c r="B1979" s="201">
        <v>0</v>
      </c>
      <c r="C1979">
        <v>0</v>
      </c>
      <c r="D1979" s="201">
        <v>0</v>
      </c>
      <c r="E1979" s="201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 s="201">
        <v>0</v>
      </c>
    </row>
    <row r="1980" spans="1:11" x14ac:dyDescent="0.25">
      <c r="A1980"/>
      <c r="B1980" s="201">
        <v>0</v>
      </c>
      <c r="C1980">
        <v>0</v>
      </c>
      <c r="D1980" s="201">
        <v>0</v>
      </c>
      <c r="E1980" s="201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 s="201">
        <v>0</v>
      </c>
    </row>
    <row r="1981" spans="1:11" x14ac:dyDescent="0.25">
      <c r="A1981"/>
      <c r="B1981" s="201">
        <v>0</v>
      </c>
      <c r="C1981">
        <v>0</v>
      </c>
      <c r="D1981" s="201">
        <v>0</v>
      </c>
      <c r="E1981" s="201">
        <v>-135</v>
      </c>
      <c r="F1981">
        <v>89</v>
      </c>
      <c r="G1981">
        <v>-5</v>
      </c>
      <c r="H1981">
        <v>-222</v>
      </c>
      <c r="I1981">
        <v>-376</v>
      </c>
      <c r="J1981">
        <v>0</v>
      </c>
      <c r="K1981" s="201">
        <v>0</v>
      </c>
    </row>
    <row r="1982" spans="1:11" x14ac:dyDescent="0.25">
      <c r="A1982"/>
      <c r="B1982" s="201">
        <v>-86</v>
      </c>
      <c r="C1982">
        <v>0</v>
      </c>
      <c r="D1982" s="201">
        <v>0</v>
      </c>
      <c r="E1982" s="201">
        <v>0</v>
      </c>
      <c r="F1982">
        <v>-2109</v>
      </c>
      <c r="G1982">
        <v>255</v>
      </c>
      <c r="H1982">
        <v>0</v>
      </c>
      <c r="I1982">
        <v>0</v>
      </c>
      <c r="J1982">
        <v>0</v>
      </c>
      <c r="K1982" s="201">
        <v>0</v>
      </c>
    </row>
    <row r="1983" spans="1:11" x14ac:dyDescent="0.25">
      <c r="A1983"/>
      <c r="B1983" s="201">
        <v>0</v>
      </c>
      <c r="C1983">
        <v>0</v>
      </c>
      <c r="D1983" s="201">
        <v>-239</v>
      </c>
      <c r="E1983" s="201">
        <v>0</v>
      </c>
      <c r="F1983">
        <v>0</v>
      </c>
      <c r="G1983">
        <v>7</v>
      </c>
      <c r="H1983">
        <v>0</v>
      </c>
      <c r="I1983">
        <v>83</v>
      </c>
      <c r="J1983">
        <v>0</v>
      </c>
      <c r="K1983" s="201">
        <v>142</v>
      </c>
    </row>
    <row r="1984" spans="1:11" x14ac:dyDescent="0.25">
      <c r="A1984"/>
      <c r="B1984" s="201">
        <v>306</v>
      </c>
      <c r="C1984">
        <v>-9</v>
      </c>
      <c r="D1984" s="201">
        <v>0</v>
      </c>
      <c r="E1984" s="201">
        <v>264</v>
      </c>
      <c r="F1984">
        <v>46</v>
      </c>
      <c r="G1984">
        <v>13</v>
      </c>
      <c r="H1984">
        <v>-86</v>
      </c>
      <c r="I1984">
        <v>-159</v>
      </c>
      <c r="J1984">
        <v>-343</v>
      </c>
      <c r="K1984" s="201">
        <v>0</v>
      </c>
    </row>
    <row r="1985" spans="1:11" x14ac:dyDescent="0.25">
      <c r="B1985" s="201">
        <v>-132</v>
      </c>
      <c r="C1985">
        <v>0</v>
      </c>
      <c r="D1985" s="201">
        <v>0</v>
      </c>
      <c r="E1985" s="201">
        <v>0</v>
      </c>
      <c r="F1985">
        <v>0</v>
      </c>
      <c r="G1985">
        <v>0</v>
      </c>
      <c r="H1985">
        <v>-268</v>
      </c>
      <c r="I1985">
        <v>0</v>
      </c>
      <c r="J1985">
        <v>0</v>
      </c>
      <c r="K1985" s="201">
        <v>0</v>
      </c>
    </row>
    <row r="1986" spans="1:11" x14ac:dyDescent="0.25">
      <c r="B1986" s="201">
        <v>-205</v>
      </c>
      <c r="C1986">
        <v>0</v>
      </c>
      <c r="D1986" s="201">
        <v>45</v>
      </c>
      <c r="E1986" s="201">
        <v>0</v>
      </c>
      <c r="F1986">
        <v>0</v>
      </c>
      <c r="G1986">
        <v>0</v>
      </c>
      <c r="H1986">
        <v>0</v>
      </c>
      <c r="I1986">
        <v>0</v>
      </c>
      <c r="J1986">
        <v>119</v>
      </c>
      <c r="K1986" s="201">
        <v>0</v>
      </c>
    </row>
    <row r="1987" spans="1:11" x14ac:dyDescent="0.25">
      <c r="A1987"/>
      <c r="B1987" s="201">
        <v>-227</v>
      </c>
      <c r="C1987">
        <v>-206</v>
      </c>
      <c r="D1987" s="201">
        <v>0</v>
      </c>
      <c r="E1987" s="201">
        <v>0</v>
      </c>
      <c r="F1987">
        <v>528</v>
      </c>
      <c r="G1987">
        <v>-59</v>
      </c>
      <c r="H1987">
        <v>0</v>
      </c>
      <c r="I1987">
        <v>-227</v>
      </c>
      <c r="J1987">
        <v>0</v>
      </c>
      <c r="K1987" s="201">
        <v>0</v>
      </c>
    </row>
    <row r="1988" spans="1:11" x14ac:dyDescent="0.25">
      <c r="A1988"/>
      <c r="B1988" s="201">
        <v>0</v>
      </c>
      <c r="C1988">
        <v>0</v>
      </c>
      <c r="D1988" s="201">
        <v>-529</v>
      </c>
      <c r="E1988" s="201">
        <v>232</v>
      </c>
      <c r="F1988">
        <v>-18</v>
      </c>
      <c r="G1988">
        <v>0</v>
      </c>
      <c r="H1988">
        <v>0</v>
      </c>
      <c r="I1988">
        <v>-41</v>
      </c>
      <c r="J1988">
        <v>219</v>
      </c>
      <c r="K1988" s="201">
        <v>0</v>
      </c>
    </row>
    <row r="1989" spans="1:11" x14ac:dyDescent="0.25">
      <c r="A1989"/>
      <c r="B1989" s="201">
        <v>753</v>
      </c>
      <c r="C1989">
        <v>-99</v>
      </c>
      <c r="D1989" s="201">
        <v>389</v>
      </c>
      <c r="E1989" s="201">
        <v>-88</v>
      </c>
      <c r="F1989">
        <v>37</v>
      </c>
      <c r="G1989">
        <v>81</v>
      </c>
      <c r="H1989">
        <v>-68</v>
      </c>
      <c r="I1989">
        <v>0</v>
      </c>
      <c r="J1989">
        <v>0</v>
      </c>
      <c r="K1989" s="201">
        <v>0</v>
      </c>
    </row>
    <row r="1990" spans="1:11" x14ac:dyDescent="0.25">
      <c r="A1990"/>
      <c r="B1990" s="201">
        <v>0</v>
      </c>
      <c r="C1990">
        <v>0</v>
      </c>
      <c r="D1990" s="201">
        <v>-447</v>
      </c>
      <c r="E1990" s="201">
        <v>0</v>
      </c>
      <c r="F1990">
        <v>95</v>
      </c>
      <c r="G1990">
        <v>-71</v>
      </c>
      <c r="H1990">
        <v>-204</v>
      </c>
      <c r="I1990">
        <v>0</v>
      </c>
      <c r="J1990">
        <v>766</v>
      </c>
      <c r="K1990" s="201">
        <v>38</v>
      </c>
    </row>
    <row r="1991" spans="1:11" x14ac:dyDescent="0.25">
      <c r="A1991"/>
      <c r="B1991" s="201">
        <v>-372</v>
      </c>
      <c r="C1991">
        <v>-596</v>
      </c>
      <c r="D1991" s="201">
        <v>-244</v>
      </c>
      <c r="E1991" s="201">
        <v>0</v>
      </c>
      <c r="F1991">
        <v>-165</v>
      </c>
      <c r="G1991">
        <v>-286</v>
      </c>
      <c r="H1991">
        <v>-853</v>
      </c>
      <c r="I1991">
        <v>98</v>
      </c>
      <c r="J1991">
        <v>0</v>
      </c>
      <c r="K1991" s="201">
        <v>-97</v>
      </c>
    </row>
    <row r="1992" spans="1:11" x14ac:dyDescent="0.25">
      <c r="A1992"/>
      <c r="B1992" s="201">
        <v>182</v>
      </c>
      <c r="C1992">
        <v>0</v>
      </c>
      <c r="D1992" s="201">
        <v>0</v>
      </c>
      <c r="E1992" s="201">
        <v>0</v>
      </c>
      <c r="F1992">
        <v>738</v>
      </c>
      <c r="G1992">
        <v>-232</v>
      </c>
      <c r="H1992">
        <v>0</v>
      </c>
      <c r="I1992">
        <v>-110</v>
      </c>
      <c r="J1992">
        <v>-38</v>
      </c>
      <c r="K1992" s="201">
        <v>123</v>
      </c>
    </row>
    <row r="1993" spans="1:11" x14ac:dyDescent="0.25">
      <c r="B1993" s="201">
        <v>-253</v>
      </c>
      <c r="C1993">
        <v>0</v>
      </c>
      <c r="D1993" s="201">
        <v>0</v>
      </c>
      <c r="E1993" s="201">
        <v>0</v>
      </c>
      <c r="F1993">
        <v>0</v>
      </c>
      <c r="G1993">
        <v>0</v>
      </c>
      <c r="H1993">
        <v>-550</v>
      </c>
      <c r="I1993">
        <v>0</v>
      </c>
      <c r="J1993">
        <v>-79</v>
      </c>
      <c r="K1993" s="201">
        <v>-158</v>
      </c>
    </row>
    <row r="1994" spans="1:11" x14ac:dyDescent="0.25">
      <c r="A1994"/>
      <c r="B1994" s="201">
        <v>-47</v>
      </c>
      <c r="C1994">
        <v>0</v>
      </c>
      <c r="D1994" s="201">
        <v>380</v>
      </c>
      <c r="E1994" s="201">
        <v>-1</v>
      </c>
      <c r="F1994">
        <v>-44</v>
      </c>
      <c r="G1994">
        <v>468</v>
      </c>
      <c r="H1994">
        <v>453</v>
      </c>
      <c r="I1994">
        <v>63</v>
      </c>
      <c r="J1994">
        <v>-121</v>
      </c>
      <c r="K1994" s="201">
        <v>-234</v>
      </c>
    </row>
    <row r="1995" spans="1:11" x14ac:dyDescent="0.25">
      <c r="A1995"/>
      <c r="B1995" s="201">
        <v>0</v>
      </c>
      <c r="C1995">
        <v>266</v>
      </c>
      <c r="D1995" s="201">
        <v>0</v>
      </c>
      <c r="E1995" s="201">
        <v>0</v>
      </c>
      <c r="F1995">
        <v>141</v>
      </c>
      <c r="G1995">
        <v>8</v>
      </c>
      <c r="H1995">
        <v>0</v>
      </c>
      <c r="I1995">
        <v>-3045</v>
      </c>
      <c r="J1995">
        <v>0</v>
      </c>
      <c r="K1995" s="201">
        <v>0</v>
      </c>
    </row>
    <row r="1996" spans="1:11" x14ac:dyDescent="0.25">
      <c r="A1996"/>
      <c r="B1996" s="201">
        <v>-58</v>
      </c>
      <c r="C1996">
        <v>0</v>
      </c>
      <c r="D1996" s="201">
        <v>231</v>
      </c>
      <c r="E1996" s="201">
        <v>170</v>
      </c>
      <c r="F1996">
        <v>452</v>
      </c>
      <c r="G1996">
        <v>0</v>
      </c>
      <c r="H1996">
        <v>0</v>
      </c>
      <c r="I1996">
        <v>0</v>
      </c>
      <c r="J1996">
        <v>0</v>
      </c>
      <c r="K1996" s="201">
        <v>0</v>
      </c>
    </row>
    <row r="1997" spans="1:11" x14ac:dyDescent="0.25">
      <c r="A1997"/>
      <c r="B1997" s="201">
        <v>-91</v>
      </c>
      <c r="C1997">
        <v>0</v>
      </c>
      <c r="D1997" s="201">
        <v>14</v>
      </c>
      <c r="E1997" s="201">
        <v>-335</v>
      </c>
      <c r="F1997">
        <v>-418</v>
      </c>
      <c r="G1997">
        <v>0</v>
      </c>
      <c r="H1997">
        <v>-12434</v>
      </c>
      <c r="I1997">
        <v>-9825</v>
      </c>
      <c r="J1997">
        <v>-5609</v>
      </c>
      <c r="K1997" s="201">
        <v>0</v>
      </c>
    </row>
    <row r="1998" spans="1:11" x14ac:dyDescent="0.25">
      <c r="A1998"/>
      <c r="B1998" s="201">
        <v>0</v>
      </c>
      <c r="C1998">
        <v>0</v>
      </c>
      <c r="D1998" s="201">
        <v>13868</v>
      </c>
      <c r="E1998" s="201">
        <v>17489</v>
      </c>
      <c r="F1998">
        <v>16747</v>
      </c>
      <c r="G1998">
        <v>-4277</v>
      </c>
      <c r="H1998">
        <v>-277</v>
      </c>
      <c r="I1998">
        <v>0</v>
      </c>
      <c r="J1998">
        <v>-712</v>
      </c>
      <c r="K1998" s="201">
        <v>0</v>
      </c>
    </row>
    <row r="1999" spans="1:11" x14ac:dyDescent="0.25">
      <c r="A1999"/>
      <c r="B1999" s="201">
        <v>0</v>
      </c>
      <c r="C1999">
        <v>0</v>
      </c>
      <c r="D1999" s="201">
        <v>0</v>
      </c>
      <c r="E1999" s="201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 s="201">
        <v>0</v>
      </c>
    </row>
    <row r="2000" spans="1:11" x14ac:dyDescent="0.25">
      <c r="A2000"/>
      <c r="B2000" s="201">
        <v>0</v>
      </c>
      <c r="C2000">
        <v>0</v>
      </c>
      <c r="D2000" s="201">
        <v>0</v>
      </c>
      <c r="E2000" s="201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 s="201">
        <v>0</v>
      </c>
    </row>
    <row r="2001" spans="1:11" x14ac:dyDescent="0.25">
      <c r="A2001"/>
      <c r="B2001" s="201">
        <v>0</v>
      </c>
      <c r="C2001">
        <v>0</v>
      </c>
      <c r="D2001" s="201">
        <v>0</v>
      </c>
      <c r="E2001" s="2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 s="201">
        <v>0</v>
      </c>
    </row>
    <row r="2002" spans="1:11" x14ac:dyDescent="0.25">
      <c r="A2002"/>
      <c r="B2002" s="201">
        <v>0</v>
      </c>
      <c r="C2002">
        <v>0</v>
      </c>
      <c r="D2002" s="201">
        <v>0</v>
      </c>
      <c r="E2002" s="201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 s="201">
        <v>0</v>
      </c>
    </row>
    <row r="2003" spans="1:11" x14ac:dyDescent="0.25">
      <c r="A2003"/>
      <c r="B2003" s="201">
        <v>0</v>
      </c>
      <c r="C2003">
        <v>0</v>
      </c>
      <c r="D2003" s="201">
        <v>0</v>
      </c>
      <c r="E2003" s="201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 s="201">
        <v>0</v>
      </c>
    </row>
    <row r="2004" spans="1:11" x14ac:dyDescent="0.25">
      <c r="A2004"/>
      <c r="B2004" s="201">
        <v>0</v>
      </c>
      <c r="C2004">
        <v>0</v>
      </c>
      <c r="D2004" s="201">
        <v>0</v>
      </c>
      <c r="E2004" s="201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 s="201">
        <v>0</v>
      </c>
    </row>
    <row r="2005" spans="1:11" x14ac:dyDescent="0.25">
      <c r="A2005"/>
      <c r="B2005" s="201">
        <v>0</v>
      </c>
      <c r="C2005">
        <v>0</v>
      </c>
      <c r="D2005" s="201">
        <v>0</v>
      </c>
      <c r="E2005" s="201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 s="201">
        <v>0</v>
      </c>
    </row>
    <row r="2006" spans="1:11" x14ac:dyDescent="0.25">
      <c r="A2006"/>
      <c r="B2006" s="201">
        <v>0</v>
      </c>
      <c r="C2006">
        <v>0</v>
      </c>
      <c r="D2006" s="201">
        <v>0</v>
      </c>
      <c r="E2006" s="201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 s="201">
        <v>0</v>
      </c>
    </row>
    <row r="2007" spans="1:11" x14ac:dyDescent="0.25">
      <c r="A2007"/>
      <c r="B2007" s="201">
        <v>0</v>
      </c>
      <c r="C2007">
        <v>0</v>
      </c>
      <c r="D2007" s="201">
        <v>0</v>
      </c>
      <c r="E2007" s="201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 s="201">
        <v>0</v>
      </c>
    </row>
    <row r="2008" spans="1:11" x14ac:dyDescent="0.25">
      <c r="A2008"/>
      <c r="B2008" s="201">
        <v>0</v>
      </c>
      <c r="C2008">
        <v>0</v>
      </c>
      <c r="D2008" s="201">
        <v>0</v>
      </c>
      <c r="E2008" s="201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 s="201">
        <v>0</v>
      </c>
    </row>
    <row r="2009" spans="1:11" x14ac:dyDescent="0.25">
      <c r="A2009"/>
      <c r="B2009" s="201">
        <v>0</v>
      </c>
      <c r="C2009">
        <v>0</v>
      </c>
      <c r="D2009" s="201">
        <v>0</v>
      </c>
      <c r="E2009" s="201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 s="201">
        <v>0</v>
      </c>
    </row>
    <row r="2010" spans="1:11" x14ac:dyDescent="0.25">
      <c r="A2010"/>
      <c r="B2010" s="201">
        <v>0</v>
      </c>
      <c r="C2010">
        <v>0</v>
      </c>
      <c r="D2010" s="201">
        <v>0</v>
      </c>
      <c r="E2010" s="201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 s="201">
        <v>0</v>
      </c>
    </row>
    <row r="2011" spans="1:11" x14ac:dyDescent="0.25">
      <c r="A2011"/>
      <c r="B2011" s="201">
        <v>0</v>
      </c>
      <c r="C2011">
        <v>0</v>
      </c>
      <c r="D2011" s="201">
        <v>0</v>
      </c>
      <c r="E2011" s="20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 s="201">
        <v>0</v>
      </c>
    </row>
    <row r="2012" spans="1:11" x14ac:dyDescent="0.25">
      <c r="A2012"/>
      <c r="B2012" s="201">
        <v>0</v>
      </c>
      <c r="C2012">
        <v>0</v>
      </c>
      <c r="D2012" s="201">
        <v>0</v>
      </c>
      <c r="E2012" s="201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 s="201">
        <v>0</v>
      </c>
    </row>
    <row r="2013" spans="1:11" x14ac:dyDescent="0.25">
      <c r="A2013"/>
      <c r="B2013" s="201">
        <v>0</v>
      </c>
      <c r="C2013">
        <v>0</v>
      </c>
      <c r="D2013" s="201">
        <v>0</v>
      </c>
      <c r="E2013" s="201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 s="201">
        <v>0</v>
      </c>
    </row>
    <row r="2014" spans="1:11" x14ac:dyDescent="0.25">
      <c r="A2014"/>
      <c r="B2014" s="201">
        <v>0</v>
      </c>
      <c r="C2014">
        <v>0</v>
      </c>
      <c r="D2014" s="201">
        <v>0</v>
      </c>
      <c r="E2014" s="201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 s="201">
        <v>0</v>
      </c>
    </row>
    <row r="2015" spans="1:11" x14ac:dyDescent="0.25">
      <c r="A2015"/>
      <c r="B2015" s="201">
        <v>0</v>
      </c>
      <c r="C2015">
        <v>0</v>
      </c>
      <c r="D2015" s="201">
        <v>0</v>
      </c>
      <c r="E2015" s="201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 s="201">
        <v>0</v>
      </c>
    </row>
    <row r="2016" spans="1:11" x14ac:dyDescent="0.25">
      <c r="A2016"/>
      <c r="B2016" s="201">
        <v>0</v>
      </c>
      <c r="C2016">
        <v>0</v>
      </c>
      <c r="D2016" s="201">
        <v>0</v>
      </c>
      <c r="E2016" s="201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 s="201">
        <v>0</v>
      </c>
    </row>
    <row r="2017" spans="1:11" x14ac:dyDescent="0.25">
      <c r="A2017"/>
      <c r="B2017" s="201">
        <v>-424</v>
      </c>
      <c r="C2017">
        <v>723</v>
      </c>
      <c r="D2017" s="201">
        <v>-43</v>
      </c>
      <c r="E2017" s="201">
        <v>-19</v>
      </c>
      <c r="F2017">
        <v>-66</v>
      </c>
      <c r="G2017">
        <v>0</v>
      </c>
      <c r="H2017">
        <v>0</v>
      </c>
      <c r="I2017">
        <v>-15</v>
      </c>
      <c r="J2017">
        <v>0</v>
      </c>
      <c r="K2017" s="201">
        <v>0</v>
      </c>
    </row>
    <row r="2018" spans="1:11" x14ac:dyDescent="0.25">
      <c r="A2018"/>
      <c r="B2018" s="201">
        <v>0</v>
      </c>
      <c r="C2018">
        <v>-63</v>
      </c>
      <c r="D2018" s="201">
        <v>-75</v>
      </c>
      <c r="E2018" s="201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 s="201">
        <v>-48</v>
      </c>
    </row>
    <row r="2019" spans="1:11" x14ac:dyDescent="0.25">
      <c r="A2019"/>
      <c r="B2019" s="201">
        <v>0</v>
      </c>
      <c r="C2019">
        <v>0</v>
      </c>
      <c r="D2019" s="201">
        <v>-154</v>
      </c>
      <c r="E2019" s="201">
        <v>0</v>
      </c>
      <c r="F2019">
        <v>289</v>
      </c>
      <c r="G2019">
        <v>0</v>
      </c>
      <c r="H2019">
        <v>391</v>
      </c>
      <c r="I2019">
        <v>47</v>
      </c>
      <c r="J2019">
        <v>-42</v>
      </c>
      <c r="K2019" s="201">
        <v>0</v>
      </c>
    </row>
    <row r="2020" spans="1:11" x14ac:dyDescent="0.25">
      <c r="A2020"/>
      <c r="B2020" s="201">
        <v>383</v>
      </c>
      <c r="C2020">
        <v>681</v>
      </c>
      <c r="D2020" s="201">
        <v>40</v>
      </c>
      <c r="E2020" s="201">
        <v>-161</v>
      </c>
      <c r="F2020">
        <v>-205</v>
      </c>
      <c r="G2020">
        <v>-305</v>
      </c>
      <c r="H2020">
        <v>0</v>
      </c>
      <c r="I2020">
        <v>-72</v>
      </c>
      <c r="J2020">
        <v>0</v>
      </c>
      <c r="K2020" s="201">
        <v>0</v>
      </c>
    </row>
    <row r="2021" spans="1:11" x14ac:dyDescent="0.25">
      <c r="A2021"/>
      <c r="B2021" s="201">
        <v>0</v>
      </c>
      <c r="C2021">
        <v>0</v>
      </c>
      <c r="D2021" s="201">
        <v>0</v>
      </c>
      <c r="E2021" s="201">
        <v>207</v>
      </c>
      <c r="F2021">
        <v>0</v>
      </c>
      <c r="G2021">
        <v>0</v>
      </c>
      <c r="H2021">
        <v>0</v>
      </c>
      <c r="I2021">
        <v>-368</v>
      </c>
      <c r="J2021">
        <v>0</v>
      </c>
      <c r="K2021" s="201">
        <v>-125</v>
      </c>
    </row>
    <row r="2022" spans="1:11" x14ac:dyDescent="0.25">
      <c r="A2022"/>
      <c r="B2022" s="201">
        <v>0</v>
      </c>
      <c r="C2022">
        <v>0</v>
      </c>
      <c r="D2022" s="201">
        <v>0</v>
      </c>
      <c r="E2022" s="201">
        <v>0</v>
      </c>
      <c r="F2022">
        <v>0</v>
      </c>
      <c r="G2022">
        <v>-81</v>
      </c>
      <c r="H2022">
        <v>0</v>
      </c>
      <c r="I2022">
        <v>46</v>
      </c>
      <c r="J2022">
        <v>-168</v>
      </c>
      <c r="K2022" s="201">
        <v>0</v>
      </c>
    </row>
    <row r="2023" spans="1:11" x14ac:dyDescent="0.25">
      <c r="A2023"/>
      <c r="B2023" s="201">
        <v>0</v>
      </c>
      <c r="C2023">
        <v>1955</v>
      </c>
      <c r="D2023" s="201">
        <v>1646</v>
      </c>
      <c r="E2023" s="201">
        <v>0</v>
      </c>
      <c r="F2023">
        <v>-616</v>
      </c>
      <c r="G2023">
        <v>0</v>
      </c>
      <c r="H2023">
        <v>0</v>
      </c>
      <c r="I2023">
        <v>0</v>
      </c>
      <c r="J2023">
        <v>0</v>
      </c>
      <c r="K2023" s="201">
        <v>-596</v>
      </c>
    </row>
    <row r="2024" spans="1:11" x14ac:dyDescent="0.25">
      <c r="A2024"/>
      <c r="B2024" s="201">
        <v>-484</v>
      </c>
      <c r="C2024">
        <v>-428</v>
      </c>
      <c r="D2024" s="201">
        <v>0</v>
      </c>
      <c r="E2024" s="201">
        <v>0</v>
      </c>
      <c r="F2024">
        <v>-162</v>
      </c>
      <c r="G2024">
        <v>221</v>
      </c>
      <c r="H2024">
        <v>0</v>
      </c>
      <c r="I2024">
        <v>140</v>
      </c>
      <c r="J2024">
        <v>-4803</v>
      </c>
      <c r="K2024" s="201">
        <v>235</v>
      </c>
    </row>
    <row r="2025" spans="1:11" x14ac:dyDescent="0.25">
      <c r="A2025"/>
      <c r="B2025" s="201">
        <v>-1599</v>
      </c>
      <c r="C2025">
        <v>221</v>
      </c>
      <c r="D2025" s="201">
        <v>155</v>
      </c>
      <c r="E2025" s="201">
        <v>479</v>
      </c>
      <c r="F2025">
        <v>0</v>
      </c>
      <c r="G2025">
        <v>0</v>
      </c>
      <c r="H2025">
        <v>0</v>
      </c>
      <c r="I2025">
        <v>0</v>
      </c>
      <c r="J2025">
        <v>0</v>
      </c>
      <c r="K2025" s="201">
        <v>-1041</v>
      </c>
    </row>
    <row r="2026" spans="1:11" x14ac:dyDescent="0.25">
      <c r="A2026"/>
      <c r="B2026" s="201">
        <v>0</v>
      </c>
      <c r="C2026">
        <v>-306</v>
      </c>
      <c r="D2026" s="201">
        <v>-1627</v>
      </c>
      <c r="E2026" s="201">
        <v>-677</v>
      </c>
      <c r="F2026">
        <v>0</v>
      </c>
      <c r="G2026">
        <v>312</v>
      </c>
      <c r="H2026">
        <v>1248</v>
      </c>
      <c r="I2026">
        <v>253</v>
      </c>
      <c r="J2026">
        <v>50</v>
      </c>
      <c r="K2026" s="201">
        <v>1295</v>
      </c>
    </row>
    <row r="2027" spans="1:11" x14ac:dyDescent="0.25">
      <c r="A2027"/>
      <c r="B2027" s="201">
        <v>0</v>
      </c>
      <c r="C2027">
        <v>-352</v>
      </c>
      <c r="D2027" s="201">
        <v>33</v>
      </c>
      <c r="E2027" s="201">
        <v>-787</v>
      </c>
      <c r="F2027">
        <v>-393</v>
      </c>
      <c r="G2027">
        <v>0</v>
      </c>
      <c r="H2027">
        <v>-6</v>
      </c>
      <c r="I2027">
        <v>2</v>
      </c>
      <c r="J2027">
        <v>0</v>
      </c>
      <c r="K2027" s="201">
        <v>0</v>
      </c>
    </row>
    <row r="2028" spans="1:11" x14ac:dyDescent="0.25">
      <c r="A2028"/>
      <c r="B2028" s="201">
        <v>0</v>
      </c>
      <c r="C2028" s="201">
        <v>196</v>
      </c>
      <c r="D2028" s="201">
        <v>-1217</v>
      </c>
      <c r="E2028" s="201">
        <v>0</v>
      </c>
      <c r="F2028">
        <v>-524</v>
      </c>
      <c r="G2028">
        <v>-111</v>
      </c>
      <c r="H2028">
        <v>-80</v>
      </c>
      <c r="I2028">
        <v>-18</v>
      </c>
      <c r="J2028">
        <v>0</v>
      </c>
      <c r="K2028" s="201">
        <v>0</v>
      </c>
    </row>
    <row r="2029" spans="1:11" x14ac:dyDescent="0.25">
      <c r="A2029"/>
      <c r="B2029" s="201">
        <v>0</v>
      </c>
      <c r="C2029">
        <v>0</v>
      </c>
      <c r="D2029" s="201">
        <v>0</v>
      </c>
      <c r="E2029" s="201">
        <v>-444</v>
      </c>
      <c r="F2029">
        <v>0</v>
      </c>
      <c r="G2029">
        <v>-341</v>
      </c>
      <c r="H2029">
        <v>140</v>
      </c>
      <c r="I2029">
        <v>-240</v>
      </c>
      <c r="J2029">
        <v>0</v>
      </c>
      <c r="K2029" s="201">
        <v>-9</v>
      </c>
    </row>
    <row r="2030" spans="1:11" x14ac:dyDescent="0.25">
      <c r="A2030"/>
      <c r="B2030" s="201">
        <v>1060</v>
      </c>
      <c r="C2030">
        <v>237</v>
      </c>
      <c r="D2030" s="201">
        <v>96</v>
      </c>
      <c r="E2030" s="201">
        <v>1756</v>
      </c>
      <c r="F2030">
        <v>115</v>
      </c>
      <c r="G2030">
        <v>-119</v>
      </c>
      <c r="H2030">
        <v>175</v>
      </c>
      <c r="I2030">
        <v>0</v>
      </c>
      <c r="J2030">
        <v>-230</v>
      </c>
      <c r="K2030" s="201">
        <v>0</v>
      </c>
    </row>
    <row r="2031" spans="1:11" x14ac:dyDescent="0.25">
      <c r="A2031"/>
      <c r="B2031" s="201">
        <v>0</v>
      </c>
      <c r="C2031">
        <v>50</v>
      </c>
      <c r="D2031" s="201">
        <v>-134</v>
      </c>
      <c r="E2031" s="201">
        <v>0</v>
      </c>
      <c r="F2031">
        <v>-916</v>
      </c>
      <c r="G2031">
        <v>0</v>
      </c>
      <c r="H2031">
        <v>0</v>
      </c>
      <c r="I2031">
        <v>-144</v>
      </c>
      <c r="J2031">
        <v>0</v>
      </c>
      <c r="K2031" s="201">
        <v>-97</v>
      </c>
    </row>
    <row r="2032" spans="1:11" x14ac:dyDescent="0.25">
      <c r="A2032"/>
      <c r="B2032" s="201">
        <v>-19</v>
      </c>
      <c r="C2032">
        <v>-69</v>
      </c>
      <c r="D2032" s="201">
        <v>0</v>
      </c>
      <c r="E2032" s="201">
        <v>0</v>
      </c>
      <c r="F2032">
        <v>0</v>
      </c>
      <c r="G2032">
        <v>0</v>
      </c>
      <c r="H2032">
        <v>0</v>
      </c>
      <c r="I2032">
        <v>-82</v>
      </c>
      <c r="J2032">
        <v>0</v>
      </c>
      <c r="K2032" s="201">
        <v>-92</v>
      </c>
    </row>
    <row r="2033" spans="1:11" x14ac:dyDescent="0.25">
      <c r="A2033"/>
      <c r="B2033" s="201">
        <v>-90</v>
      </c>
      <c r="C2033">
        <v>-441</v>
      </c>
      <c r="D2033" s="201">
        <v>0</v>
      </c>
      <c r="E2033" s="201">
        <v>-7437</v>
      </c>
      <c r="F2033">
        <v>-3647</v>
      </c>
      <c r="G2033">
        <v>-7839</v>
      </c>
      <c r="H2033">
        <v>0</v>
      </c>
      <c r="I2033">
        <v>0</v>
      </c>
      <c r="J2033">
        <v>0</v>
      </c>
      <c r="K2033" s="201">
        <v>8582</v>
      </c>
    </row>
    <row r="2034" spans="1:11" x14ac:dyDescent="0.25">
      <c r="B2034" s="201">
        <v>10599</v>
      </c>
      <c r="C2034">
        <v>10172</v>
      </c>
      <c r="D2034" s="201">
        <v>3242</v>
      </c>
      <c r="E2034" s="201">
        <v>180</v>
      </c>
      <c r="F2034">
        <v>0</v>
      </c>
      <c r="G2034">
        <v>930</v>
      </c>
      <c r="H2034">
        <v>0</v>
      </c>
      <c r="I2034">
        <v>0</v>
      </c>
      <c r="J2034">
        <v>25157</v>
      </c>
      <c r="K2034" s="201">
        <v>0</v>
      </c>
    </row>
    <row r="2035" spans="1:11" x14ac:dyDescent="0.25">
      <c r="A2035"/>
      <c r="B2035" s="201">
        <v>0</v>
      </c>
      <c r="C2035">
        <v>0</v>
      </c>
      <c r="D2035" s="201">
        <v>0</v>
      </c>
      <c r="E2035" s="201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 s="201">
        <v>0</v>
      </c>
    </row>
    <row r="2036" spans="1:11" x14ac:dyDescent="0.25">
      <c r="A2036"/>
      <c r="B2036" s="201">
        <v>0</v>
      </c>
      <c r="C2036">
        <v>0</v>
      </c>
      <c r="D2036" s="201">
        <v>0</v>
      </c>
      <c r="E2036" s="201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 s="201">
        <v>0</v>
      </c>
    </row>
    <row r="2037" spans="1:11" x14ac:dyDescent="0.25">
      <c r="A2037"/>
      <c r="B2037" s="201">
        <v>0</v>
      </c>
      <c r="C2037">
        <v>0</v>
      </c>
      <c r="D2037" s="201">
        <v>0</v>
      </c>
      <c r="E2037" s="201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 s="201">
        <v>0</v>
      </c>
    </row>
    <row r="2038" spans="1:11" x14ac:dyDescent="0.25">
      <c r="A2038"/>
      <c r="B2038" s="201">
        <v>0</v>
      </c>
      <c r="C2038">
        <v>0</v>
      </c>
      <c r="D2038" s="201">
        <v>0</v>
      </c>
      <c r="E2038" s="201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 s="201">
        <v>0</v>
      </c>
    </row>
    <row r="2039" spans="1:11" x14ac:dyDescent="0.25">
      <c r="A2039"/>
      <c r="B2039" s="201">
        <v>0</v>
      </c>
      <c r="C2039">
        <v>0</v>
      </c>
      <c r="D2039" s="201">
        <v>0</v>
      </c>
      <c r="E2039" s="201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 s="201">
        <v>0</v>
      </c>
    </row>
    <row r="2040" spans="1:11" x14ac:dyDescent="0.25">
      <c r="A2040"/>
      <c r="B2040" s="201">
        <v>0</v>
      </c>
      <c r="C2040">
        <v>0</v>
      </c>
      <c r="D2040" s="201">
        <v>0</v>
      </c>
      <c r="E2040" s="201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 s="201">
        <v>0</v>
      </c>
    </row>
    <row r="2041" spans="1:11" x14ac:dyDescent="0.25">
      <c r="A2041"/>
      <c r="B2041" s="201">
        <v>0</v>
      </c>
      <c r="C2041">
        <v>0</v>
      </c>
      <c r="D2041" s="201">
        <v>0</v>
      </c>
      <c r="E2041" s="20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 s="201">
        <v>0</v>
      </c>
    </row>
    <row r="2042" spans="1:11" x14ac:dyDescent="0.25">
      <c r="A2042"/>
      <c r="B2042" s="201">
        <v>0</v>
      </c>
      <c r="C2042">
        <v>0</v>
      </c>
      <c r="D2042" s="201">
        <v>0</v>
      </c>
      <c r="E2042" s="201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 s="201">
        <v>0</v>
      </c>
    </row>
    <row r="2043" spans="1:11" x14ac:dyDescent="0.25">
      <c r="A2043"/>
      <c r="B2043" s="201">
        <v>0</v>
      </c>
      <c r="C2043">
        <v>0</v>
      </c>
      <c r="D2043" s="201">
        <v>0</v>
      </c>
      <c r="E2043" s="201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 s="201">
        <v>0</v>
      </c>
    </row>
    <row r="2044" spans="1:11" x14ac:dyDescent="0.25">
      <c r="A2044"/>
      <c r="B2044" s="201">
        <v>0</v>
      </c>
      <c r="C2044">
        <v>0</v>
      </c>
      <c r="D2044" s="201">
        <v>0</v>
      </c>
      <c r="E2044" s="201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 s="201">
        <v>0</v>
      </c>
    </row>
    <row r="2045" spans="1:11" x14ac:dyDescent="0.25">
      <c r="A2045"/>
      <c r="B2045" s="201">
        <v>0</v>
      </c>
      <c r="C2045">
        <v>0</v>
      </c>
      <c r="D2045" s="201">
        <v>0</v>
      </c>
      <c r="E2045" s="201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 s="201">
        <v>0</v>
      </c>
    </row>
    <row r="2046" spans="1:11" x14ac:dyDescent="0.25">
      <c r="A2046"/>
      <c r="B2046" s="201">
        <v>0</v>
      </c>
      <c r="C2046">
        <v>0</v>
      </c>
      <c r="D2046" s="201">
        <v>0</v>
      </c>
      <c r="E2046" s="201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 s="201">
        <v>0</v>
      </c>
    </row>
    <row r="2047" spans="1:11" x14ac:dyDescent="0.25">
      <c r="A2047"/>
      <c r="B2047" s="201">
        <v>0</v>
      </c>
      <c r="C2047">
        <v>0</v>
      </c>
      <c r="D2047" s="201">
        <v>0</v>
      </c>
      <c r="E2047" s="201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 s="201">
        <v>0</v>
      </c>
    </row>
    <row r="2048" spans="1:11" x14ac:dyDescent="0.25">
      <c r="A2048"/>
      <c r="B2048" s="201">
        <v>0</v>
      </c>
      <c r="C2048">
        <v>0</v>
      </c>
      <c r="D2048" s="201">
        <v>0</v>
      </c>
      <c r="E2048" s="201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 s="201">
        <v>0</v>
      </c>
    </row>
    <row r="2049" spans="1:11" x14ac:dyDescent="0.25">
      <c r="A2049"/>
      <c r="B2049" s="201">
        <v>0</v>
      </c>
      <c r="C2049">
        <v>0</v>
      </c>
      <c r="D2049" s="201">
        <v>0</v>
      </c>
      <c r="E2049" s="201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 s="201">
        <v>0</v>
      </c>
    </row>
    <row r="2050" spans="1:11" x14ac:dyDescent="0.25">
      <c r="A2050"/>
      <c r="B2050" s="201">
        <v>0</v>
      </c>
      <c r="C2050">
        <v>0</v>
      </c>
      <c r="D2050" s="201">
        <v>0</v>
      </c>
      <c r="E2050" s="201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 s="201">
        <v>0</v>
      </c>
    </row>
    <row r="2051" spans="1:11" x14ac:dyDescent="0.25">
      <c r="A2051"/>
      <c r="B2051" s="201">
        <v>0</v>
      </c>
      <c r="C2051">
        <v>0</v>
      </c>
      <c r="D2051" s="201">
        <v>0</v>
      </c>
      <c r="E2051" s="20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 s="201">
        <v>0</v>
      </c>
    </row>
    <row r="2052" spans="1:11" x14ac:dyDescent="0.25">
      <c r="A2052"/>
      <c r="B2052" s="201">
        <v>0</v>
      </c>
      <c r="C2052">
        <v>0</v>
      </c>
      <c r="D2052" s="201">
        <v>0</v>
      </c>
      <c r="E2052" s="201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 s="201">
        <v>0</v>
      </c>
    </row>
    <row r="2053" spans="1:11" x14ac:dyDescent="0.25">
      <c r="A2053"/>
      <c r="B2053" s="201">
        <v>0</v>
      </c>
      <c r="C2053">
        <v>234</v>
      </c>
      <c r="D2053" s="201">
        <v>915</v>
      </c>
      <c r="E2053" s="201">
        <v>-298</v>
      </c>
      <c r="F2053">
        <v>107</v>
      </c>
      <c r="G2053">
        <v>126</v>
      </c>
      <c r="H2053">
        <v>0</v>
      </c>
      <c r="I2053">
        <v>0</v>
      </c>
      <c r="J2053">
        <v>78</v>
      </c>
      <c r="K2053" s="201">
        <v>0</v>
      </c>
    </row>
    <row r="2054" spans="1:11" x14ac:dyDescent="0.25">
      <c r="A2054"/>
      <c r="B2054" s="201">
        <v>0</v>
      </c>
      <c r="C2054">
        <v>0</v>
      </c>
      <c r="D2054" s="201">
        <v>307</v>
      </c>
      <c r="E2054" s="201">
        <v>413</v>
      </c>
      <c r="F2054">
        <v>0</v>
      </c>
      <c r="G2054">
        <v>0</v>
      </c>
      <c r="H2054">
        <v>0</v>
      </c>
      <c r="I2054">
        <v>0</v>
      </c>
      <c r="J2054">
        <v>0</v>
      </c>
      <c r="K2054" s="201">
        <v>0</v>
      </c>
    </row>
    <row r="2055" spans="1:11" x14ac:dyDescent="0.25">
      <c r="A2055"/>
      <c r="B2055" s="201">
        <v>38</v>
      </c>
      <c r="C2055">
        <v>0</v>
      </c>
      <c r="D2055" s="201">
        <v>0</v>
      </c>
      <c r="E2055" s="201">
        <v>-193</v>
      </c>
      <c r="F2055">
        <v>0</v>
      </c>
      <c r="G2055">
        <v>321</v>
      </c>
      <c r="H2055">
        <v>0</v>
      </c>
      <c r="I2055">
        <v>260</v>
      </c>
      <c r="J2055">
        <v>-514</v>
      </c>
      <c r="K2055" s="201">
        <v>66</v>
      </c>
    </row>
    <row r="2056" spans="1:11" x14ac:dyDescent="0.25">
      <c r="A2056"/>
      <c r="B2056" s="201">
        <v>0</v>
      </c>
      <c r="C2056">
        <v>323</v>
      </c>
      <c r="D2056" s="201">
        <v>895</v>
      </c>
      <c r="E2056" s="201">
        <v>-239</v>
      </c>
      <c r="F2056">
        <v>-237</v>
      </c>
      <c r="G2056">
        <v>-257</v>
      </c>
      <c r="H2056">
        <v>-332</v>
      </c>
      <c r="I2056">
        <v>0</v>
      </c>
      <c r="J2056">
        <v>-67</v>
      </c>
      <c r="K2056" s="201">
        <v>0</v>
      </c>
    </row>
    <row r="2057" spans="1:11" x14ac:dyDescent="0.25">
      <c r="A2057"/>
      <c r="B2057" s="201">
        <v>0</v>
      </c>
      <c r="C2057">
        <v>0</v>
      </c>
      <c r="D2057" s="201">
        <v>0</v>
      </c>
      <c r="E2057" s="201">
        <v>0</v>
      </c>
      <c r="F2057">
        <v>-103</v>
      </c>
      <c r="G2057">
        <v>0</v>
      </c>
      <c r="H2057">
        <v>0</v>
      </c>
      <c r="I2057">
        <v>0</v>
      </c>
      <c r="J2057">
        <v>-172</v>
      </c>
      <c r="K2057" s="201">
        <v>0</v>
      </c>
    </row>
    <row r="2058" spans="1:11" x14ac:dyDescent="0.25">
      <c r="A2058"/>
      <c r="B2058" s="201">
        <v>-73</v>
      </c>
      <c r="C2058">
        <v>0</v>
      </c>
      <c r="D2058" s="201">
        <v>0</v>
      </c>
      <c r="E2058" s="201">
        <v>0</v>
      </c>
      <c r="F2058">
        <v>0</v>
      </c>
      <c r="G2058">
        <v>0</v>
      </c>
      <c r="H2058">
        <v>-80</v>
      </c>
      <c r="I2058">
        <v>0</v>
      </c>
      <c r="J2058">
        <v>20</v>
      </c>
      <c r="K2058" s="201">
        <v>40</v>
      </c>
    </row>
    <row r="2059" spans="1:11" x14ac:dyDescent="0.25">
      <c r="A2059"/>
      <c r="B2059" s="201">
        <v>0</v>
      </c>
      <c r="C2059">
        <v>0</v>
      </c>
      <c r="D2059" s="201">
        <v>1152</v>
      </c>
      <c r="E2059" s="201">
        <v>1687</v>
      </c>
      <c r="F2059">
        <v>0</v>
      </c>
      <c r="G2059">
        <v>-245</v>
      </c>
      <c r="H2059">
        <v>0</v>
      </c>
      <c r="I2059">
        <v>0</v>
      </c>
      <c r="J2059">
        <v>0</v>
      </c>
      <c r="K2059" s="201">
        <v>0</v>
      </c>
    </row>
    <row r="2060" spans="1:11" x14ac:dyDescent="0.25">
      <c r="A2060"/>
      <c r="B2060" s="201">
        <v>-428</v>
      </c>
      <c r="C2060">
        <v>-452</v>
      </c>
      <c r="D2060" s="201">
        <v>-333</v>
      </c>
      <c r="E2060" s="201">
        <v>0</v>
      </c>
      <c r="F2060">
        <v>0</v>
      </c>
      <c r="G2060">
        <v>-138</v>
      </c>
      <c r="H2060">
        <v>271</v>
      </c>
      <c r="I2060">
        <v>0</v>
      </c>
      <c r="J2060">
        <v>328</v>
      </c>
      <c r="K2060" s="201">
        <v>-1669</v>
      </c>
    </row>
    <row r="2061" spans="1:11" x14ac:dyDescent="0.25">
      <c r="A2061"/>
      <c r="B2061" s="201">
        <v>180</v>
      </c>
      <c r="C2061">
        <v>-3853</v>
      </c>
      <c r="D2061" s="201">
        <v>86</v>
      </c>
      <c r="E2061" s="201">
        <v>98</v>
      </c>
      <c r="F2061">
        <v>66</v>
      </c>
      <c r="G2061">
        <v>0</v>
      </c>
      <c r="H2061">
        <v>0</v>
      </c>
      <c r="I2061">
        <v>0</v>
      </c>
      <c r="J2061">
        <v>0</v>
      </c>
      <c r="K2061" s="201">
        <v>0</v>
      </c>
    </row>
    <row r="2062" spans="1:11" x14ac:dyDescent="0.25">
      <c r="A2062"/>
      <c r="B2062" s="201">
        <v>-689</v>
      </c>
      <c r="C2062">
        <v>0</v>
      </c>
      <c r="D2062" s="201">
        <v>-252</v>
      </c>
      <c r="E2062" s="201">
        <v>-894</v>
      </c>
      <c r="F2062">
        <v>-12</v>
      </c>
      <c r="G2062">
        <v>0</v>
      </c>
      <c r="H2062">
        <v>470</v>
      </c>
      <c r="I2062">
        <v>1451</v>
      </c>
      <c r="J2062">
        <v>-68</v>
      </c>
      <c r="K2062" s="201">
        <v>-41</v>
      </c>
    </row>
    <row r="2063" spans="1:11" x14ac:dyDescent="0.25">
      <c r="A2063"/>
      <c r="B2063" s="201">
        <v>-179</v>
      </c>
      <c r="C2063">
        <v>0</v>
      </c>
      <c r="D2063" s="201">
        <v>-385</v>
      </c>
      <c r="E2063" s="201">
        <v>-128</v>
      </c>
      <c r="F2063">
        <v>-726</v>
      </c>
      <c r="G2063">
        <v>-406</v>
      </c>
      <c r="H2063">
        <v>0</v>
      </c>
      <c r="I2063">
        <v>-18</v>
      </c>
      <c r="J2063">
        <v>36</v>
      </c>
      <c r="K2063" s="201">
        <v>0</v>
      </c>
    </row>
    <row r="2064" spans="1:11" x14ac:dyDescent="0.25">
      <c r="A2064"/>
      <c r="B2064" s="201">
        <v>0</v>
      </c>
      <c r="C2064">
        <v>0</v>
      </c>
      <c r="D2064" s="201">
        <v>222</v>
      </c>
      <c r="E2064" s="201">
        <v>-280</v>
      </c>
      <c r="F2064">
        <v>0</v>
      </c>
      <c r="G2064">
        <v>-1645</v>
      </c>
      <c r="H2064">
        <v>-188</v>
      </c>
      <c r="I2064">
        <v>-78</v>
      </c>
      <c r="J2064">
        <v>-87</v>
      </c>
      <c r="K2064" s="201">
        <v>0</v>
      </c>
    </row>
    <row r="2065" spans="1:11" x14ac:dyDescent="0.25">
      <c r="A2065"/>
      <c r="B2065" s="201">
        <v>0</v>
      </c>
      <c r="C2065">
        <v>0</v>
      </c>
      <c r="D2065" s="201">
        <v>0</v>
      </c>
      <c r="E2065" s="201">
        <v>0</v>
      </c>
      <c r="F2065">
        <v>-557</v>
      </c>
      <c r="G2065">
        <v>0</v>
      </c>
      <c r="H2065">
        <v>-327</v>
      </c>
      <c r="I2065">
        <v>130</v>
      </c>
      <c r="J2065">
        <v>573</v>
      </c>
      <c r="K2065" s="201">
        <v>0</v>
      </c>
    </row>
    <row r="2066" spans="1:11" x14ac:dyDescent="0.25">
      <c r="A2066"/>
      <c r="B2066" s="201">
        <v>128</v>
      </c>
      <c r="C2066">
        <v>1297</v>
      </c>
      <c r="D2066" s="201">
        <v>122</v>
      </c>
      <c r="E2066" s="201">
        <v>-15</v>
      </c>
      <c r="F2066">
        <v>-75</v>
      </c>
      <c r="G2066">
        <v>32</v>
      </c>
      <c r="H2066">
        <v>-143</v>
      </c>
      <c r="I2066">
        <v>-11</v>
      </c>
      <c r="J2066">
        <v>0</v>
      </c>
      <c r="K2066" s="201">
        <v>-192</v>
      </c>
    </row>
    <row r="2067" spans="1:11" x14ac:dyDescent="0.25">
      <c r="A2067"/>
      <c r="B2067" s="201">
        <v>0</v>
      </c>
      <c r="C2067">
        <v>0</v>
      </c>
      <c r="D2067" s="201">
        <v>43</v>
      </c>
      <c r="E2067" s="201">
        <v>-106</v>
      </c>
      <c r="F2067">
        <v>0</v>
      </c>
      <c r="G2067">
        <v>-746</v>
      </c>
      <c r="H2067">
        <v>0</v>
      </c>
      <c r="I2067">
        <v>0</v>
      </c>
      <c r="J2067">
        <v>275</v>
      </c>
      <c r="K2067" s="201">
        <v>0</v>
      </c>
    </row>
    <row r="2068" spans="1:11" x14ac:dyDescent="0.25">
      <c r="A2068"/>
      <c r="B2068" s="201">
        <v>-130</v>
      </c>
      <c r="C2068">
        <v>-67</v>
      </c>
      <c r="D2068" s="201">
        <v>50</v>
      </c>
      <c r="E2068" s="201">
        <v>0</v>
      </c>
      <c r="F2068">
        <v>0</v>
      </c>
      <c r="G2068">
        <v>0</v>
      </c>
      <c r="H2068">
        <v>0</v>
      </c>
      <c r="I2068">
        <v>0</v>
      </c>
      <c r="J2068">
        <v>-140</v>
      </c>
      <c r="K2068" s="201">
        <v>0</v>
      </c>
    </row>
    <row r="2069" spans="1:11" x14ac:dyDescent="0.25">
      <c r="A2069"/>
      <c r="B2069" s="201">
        <v>-102</v>
      </c>
      <c r="C2069">
        <v>-63</v>
      </c>
      <c r="D2069" s="201">
        <v>90</v>
      </c>
      <c r="E2069" s="201">
        <v>0</v>
      </c>
      <c r="F2069">
        <v>-7093</v>
      </c>
      <c r="G2069">
        <v>-3431</v>
      </c>
      <c r="H2069">
        <v>4614</v>
      </c>
      <c r="I2069">
        <v>0</v>
      </c>
      <c r="J2069">
        <v>0</v>
      </c>
      <c r="K2069" s="201">
        <v>0</v>
      </c>
    </row>
    <row r="2070" spans="1:11" x14ac:dyDescent="0.25">
      <c r="A2070"/>
      <c r="B2070" s="201">
        <v>8208</v>
      </c>
      <c r="C2070">
        <v>9658</v>
      </c>
      <c r="D2070" s="201">
        <v>9826</v>
      </c>
      <c r="E2070" s="201">
        <v>3620</v>
      </c>
      <c r="F2070">
        <v>978</v>
      </c>
      <c r="G2070">
        <v>0</v>
      </c>
      <c r="H2070">
        <v>272</v>
      </c>
      <c r="I2070">
        <v>0</v>
      </c>
      <c r="J2070">
        <v>0</v>
      </c>
      <c r="K2070" s="201">
        <v>23816</v>
      </c>
    </row>
    <row r="2071" spans="1:11" x14ac:dyDescent="0.25">
      <c r="A2071"/>
      <c r="B2071" s="201">
        <v>0</v>
      </c>
      <c r="C2071">
        <v>19068</v>
      </c>
      <c r="D2071" s="201">
        <v>0</v>
      </c>
      <c r="E2071" s="20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 s="201">
        <v>0</v>
      </c>
    </row>
    <row r="2072" spans="1:11" x14ac:dyDescent="0.25">
      <c r="A2072"/>
      <c r="B2072" s="201">
        <v>0</v>
      </c>
      <c r="C2072">
        <v>0</v>
      </c>
      <c r="D2072" s="201">
        <v>0</v>
      </c>
      <c r="E2072" s="201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 s="201">
        <v>0</v>
      </c>
    </row>
    <row r="2073" spans="1:11" x14ac:dyDescent="0.25">
      <c r="A2073"/>
      <c r="B2073" s="201">
        <v>0</v>
      </c>
      <c r="C2073">
        <v>0</v>
      </c>
      <c r="D2073" s="201">
        <v>0</v>
      </c>
      <c r="E2073" s="201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 s="201">
        <v>0</v>
      </c>
    </row>
    <row r="2074" spans="1:11" x14ac:dyDescent="0.25">
      <c r="A2074"/>
      <c r="B2074" s="201">
        <v>0</v>
      </c>
      <c r="C2074">
        <v>0</v>
      </c>
      <c r="D2074" s="201">
        <v>0</v>
      </c>
      <c r="E2074" s="201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 s="201">
        <v>0</v>
      </c>
    </row>
    <row r="2075" spans="1:11" x14ac:dyDescent="0.25">
      <c r="A2075"/>
      <c r="B2075" s="201">
        <v>0</v>
      </c>
      <c r="C2075">
        <v>0</v>
      </c>
      <c r="D2075" s="201">
        <v>0</v>
      </c>
      <c r="E2075" s="201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 s="201">
        <v>0</v>
      </c>
    </row>
    <row r="2076" spans="1:11" x14ac:dyDescent="0.25">
      <c r="A2076"/>
      <c r="B2076" s="201">
        <v>0</v>
      </c>
      <c r="C2076">
        <v>0</v>
      </c>
      <c r="D2076" s="201">
        <v>0</v>
      </c>
      <c r="E2076" s="201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 s="201">
        <v>0</v>
      </c>
    </row>
    <row r="2077" spans="1:11" x14ac:dyDescent="0.25">
      <c r="A2077"/>
      <c r="B2077" s="201">
        <v>0</v>
      </c>
      <c r="C2077">
        <v>0</v>
      </c>
      <c r="D2077" s="201">
        <v>0</v>
      </c>
      <c r="E2077" s="201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 s="201">
        <v>0</v>
      </c>
    </row>
    <row r="2078" spans="1:11" x14ac:dyDescent="0.25">
      <c r="A2078"/>
      <c r="B2078" s="201">
        <v>0</v>
      </c>
      <c r="C2078">
        <v>0</v>
      </c>
      <c r="D2078" s="201">
        <v>0</v>
      </c>
      <c r="E2078" s="201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 s="201">
        <v>0</v>
      </c>
    </row>
    <row r="2079" spans="1:11" x14ac:dyDescent="0.25">
      <c r="A2079"/>
      <c r="B2079" s="201">
        <v>0</v>
      </c>
      <c r="C2079">
        <v>0</v>
      </c>
      <c r="D2079" s="201">
        <v>0</v>
      </c>
      <c r="E2079" s="201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 s="201">
        <v>0</v>
      </c>
    </row>
    <row r="2080" spans="1:11" x14ac:dyDescent="0.25">
      <c r="A2080"/>
      <c r="B2080" s="201">
        <v>0</v>
      </c>
      <c r="C2080">
        <v>0</v>
      </c>
      <c r="D2080" s="201">
        <v>0</v>
      </c>
      <c r="E2080" s="201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 s="201">
        <v>0</v>
      </c>
    </row>
    <row r="2081" spans="1:11" x14ac:dyDescent="0.25">
      <c r="A2081"/>
      <c r="B2081" s="201">
        <v>0</v>
      </c>
      <c r="C2081">
        <v>0</v>
      </c>
      <c r="D2081" s="201">
        <v>0</v>
      </c>
      <c r="E2081" s="20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 s="201">
        <v>0</v>
      </c>
    </row>
    <row r="2082" spans="1:11" x14ac:dyDescent="0.25">
      <c r="A2082"/>
      <c r="B2082" s="201">
        <v>0</v>
      </c>
      <c r="C2082">
        <v>0</v>
      </c>
      <c r="D2082" s="201">
        <v>0</v>
      </c>
      <c r="E2082" s="201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 s="201">
        <v>0</v>
      </c>
    </row>
    <row r="2083" spans="1:11" x14ac:dyDescent="0.25">
      <c r="A2083"/>
      <c r="B2083" s="201">
        <v>0</v>
      </c>
      <c r="C2083">
        <v>0</v>
      </c>
      <c r="D2083" s="201">
        <v>0</v>
      </c>
      <c r="E2083" s="201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 s="201">
        <v>0</v>
      </c>
    </row>
    <row r="2084" spans="1:11" x14ac:dyDescent="0.25">
      <c r="A2084"/>
      <c r="B2084" s="201">
        <v>0</v>
      </c>
      <c r="C2084">
        <v>0</v>
      </c>
      <c r="D2084" s="201">
        <v>0</v>
      </c>
      <c r="E2084" s="201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 s="201">
        <v>0</v>
      </c>
    </row>
    <row r="2085" spans="1:11" x14ac:dyDescent="0.25">
      <c r="A2085"/>
      <c r="B2085" s="201">
        <v>0</v>
      </c>
      <c r="C2085">
        <v>0</v>
      </c>
      <c r="D2085" s="201">
        <v>0</v>
      </c>
      <c r="E2085" s="201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 s="201">
        <v>0</v>
      </c>
    </row>
    <row r="2086" spans="1:11" x14ac:dyDescent="0.25">
      <c r="A2086"/>
      <c r="B2086" s="201">
        <v>0</v>
      </c>
      <c r="C2086">
        <v>0</v>
      </c>
      <c r="D2086" s="201">
        <v>0</v>
      </c>
      <c r="E2086" s="201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 s="201">
        <v>0</v>
      </c>
    </row>
    <row r="2087" spans="1:11" x14ac:dyDescent="0.25">
      <c r="A2087"/>
      <c r="B2087" s="201">
        <v>0</v>
      </c>
      <c r="C2087">
        <v>0</v>
      </c>
      <c r="D2087" s="201">
        <v>0</v>
      </c>
      <c r="E2087" s="201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 s="201">
        <v>0</v>
      </c>
    </row>
    <row r="2088" spans="1:11" x14ac:dyDescent="0.25">
      <c r="A2088"/>
      <c r="B2088" s="201">
        <v>0</v>
      </c>
      <c r="C2088">
        <v>0</v>
      </c>
      <c r="D2088" s="201">
        <v>0</v>
      </c>
      <c r="E2088" s="201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 s="201">
        <v>0</v>
      </c>
    </row>
    <row r="2089" spans="1:11" x14ac:dyDescent="0.25">
      <c r="A2089"/>
      <c r="B2089" s="201">
        <v>0</v>
      </c>
      <c r="C2089">
        <v>0</v>
      </c>
      <c r="D2089" s="201">
        <v>0</v>
      </c>
      <c r="E2089" s="201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 s="201">
        <v>0</v>
      </c>
    </row>
    <row r="2090" spans="1:11" x14ac:dyDescent="0.25">
      <c r="A2090"/>
      <c r="B2090" s="201">
        <v>0</v>
      </c>
      <c r="C2090">
        <v>0</v>
      </c>
      <c r="D2090" s="201">
        <v>0</v>
      </c>
      <c r="E2090" s="201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 s="201">
        <v>0</v>
      </c>
    </row>
    <row r="2091" spans="1:11" x14ac:dyDescent="0.25">
      <c r="A2091"/>
      <c r="B2091" s="201">
        <v>0</v>
      </c>
      <c r="C2091">
        <v>0</v>
      </c>
      <c r="D2091" s="201">
        <v>0</v>
      </c>
      <c r="E2091" s="20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 s="201">
        <v>0</v>
      </c>
    </row>
    <row r="2092" spans="1:11" x14ac:dyDescent="0.25">
      <c r="A2092"/>
      <c r="B2092" s="201">
        <v>0</v>
      </c>
      <c r="C2092">
        <v>0</v>
      </c>
      <c r="D2092" s="201">
        <v>0</v>
      </c>
      <c r="E2092" s="201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 s="201">
        <v>0</v>
      </c>
    </row>
    <row r="2093" spans="1:11" x14ac:dyDescent="0.25">
      <c r="A2093"/>
      <c r="B2093" s="201">
        <v>0</v>
      </c>
      <c r="C2093">
        <v>0</v>
      </c>
      <c r="D2093" s="201">
        <v>0</v>
      </c>
      <c r="E2093" s="201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 s="201">
        <v>0</v>
      </c>
    </row>
    <row r="2094" spans="1:11" x14ac:dyDescent="0.25">
      <c r="A2094"/>
      <c r="B2094" s="201">
        <v>0</v>
      </c>
      <c r="C2094">
        <v>0</v>
      </c>
      <c r="D2094" s="201">
        <v>0</v>
      </c>
      <c r="E2094" s="201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 s="201">
        <v>0</v>
      </c>
    </row>
    <row r="2095" spans="1:11" x14ac:dyDescent="0.25">
      <c r="A2095"/>
      <c r="B2095" s="201">
        <v>0</v>
      </c>
      <c r="C2095">
        <v>0</v>
      </c>
      <c r="D2095" s="201">
        <v>0</v>
      </c>
      <c r="E2095" s="201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 s="201">
        <v>0</v>
      </c>
    </row>
    <row r="2096" spans="1:11" x14ac:dyDescent="0.25">
      <c r="A2096"/>
      <c r="B2096" s="201">
        <v>0</v>
      </c>
      <c r="C2096">
        <v>0</v>
      </c>
      <c r="D2096" s="201">
        <v>0</v>
      </c>
      <c r="E2096" s="201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 s="201">
        <v>0</v>
      </c>
    </row>
    <row r="2097" spans="1:11" x14ac:dyDescent="0.25">
      <c r="A2097"/>
      <c r="B2097" s="201">
        <v>0</v>
      </c>
      <c r="C2097">
        <v>0</v>
      </c>
      <c r="D2097" s="201">
        <v>0</v>
      </c>
      <c r="E2097" s="201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 s="201">
        <v>0</v>
      </c>
    </row>
    <row r="2098" spans="1:11" x14ac:dyDescent="0.25">
      <c r="A2098"/>
      <c r="B2098" s="201">
        <v>0</v>
      </c>
      <c r="C2098">
        <v>0</v>
      </c>
      <c r="D2098" s="201">
        <v>0</v>
      </c>
      <c r="E2098" s="201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 s="201">
        <v>0</v>
      </c>
    </row>
    <row r="2099" spans="1:11" x14ac:dyDescent="0.25">
      <c r="A2099"/>
      <c r="B2099" s="201">
        <v>0</v>
      </c>
      <c r="C2099">
        <v>0</v>
      </c>
      <c r="D2099" s="201">
        <v>0</v>
      </c>
      <c r="E2099" s="201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 s="201">
        <v>0</v>
      </c>
    </row>
    <row r="2100" spans="1:11" x14ac:dyDescent="0.25">
      <c r="A2100"/>
      <c r="B2100" s="201">
        <v>0</v>
      </c>
      <c r="C2100">
        <v>0</v>
      </c>
      <c r="D2100" s="201">
        <v>0</v>
      </c>
      <c r="E2100" s="201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 s="201">
        <v>0</v>
      </c>
    </row>
    <row r="2101" spans="1:11" x14ac:dyDescent="0.25">
      <c r="A2101"/>
      <c r="B2101" s="201">
        <v>0</v>
      </c>
      <c r="C2101">
        <v>0</v>
      </c>
      <c r="D2101" s="201">
        <v>0</v>
      </c>
      <c r="E2101" s="2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 s="201">
        <v>0</v>
      </c>
    </row>
    <row r="2102" spans="1:11" x14ac:dyDescent="0.25">
      <c r="A2102"/>
      <c r="B2102" s="201">
        <v>0</v>
      </c>
      <c r="C2102">
        <v>0</v>
      </c>
      <c r="D2102" s="201">
        <v>0</v>
      </c>
      <c r="E2102" s="201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 s="201">
        <v>0</v>
      </c>
    </row>
    <row r="2103" spans="1:11" x14ac:dyDescent="0.25">
      <c r="A2103"/>
      <c r="B2103" s="201">
        <v>0</v>
      </c>
      <c r="C2103">
        <v>0</v>
      </c>
      <c r="D2103" s="201">
        <v>0</v>
      </c>
      <c r="E2103" s="201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 s="201">
        <v>0</v>
      </c>
    </row>
    <row r="2104" spans="1:11" x14ac:dyDescent="0.25">
      <c r="A2104"/>
      <c r="B2104" s="201">
        <v>0</v>
      </c>
      <c r="C2104">
        <v>0</v>
      </c>
      <c r="D2104" s="201">
        <v>0</v>
      </c>
      <c r="E2104" s="201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 s="201">
        <v>0</v>
      </c>
    </row>
    <row r="2105" spans="1:11" x14ac:dyDescent="0.25">
      <c r="A2105"/>
      <c r="B2105" s="201">
        <v>0</v>
      </c>
      <c r="C2105">
        <v>0</v>
      </c>
      <c r="D2105" s="201">
        <v>0</v>
      </c>
      <c r="E2105" s="201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 s="201">
        <v>0</v>
      </c>
    </row>
    <row r="2106" spans="1:11" x14ac:dyDescent="0.25">
      <c r="A2106"/>
      <c r="B2106" s="201">
        <v>0</v>
      </c>
      <c r="C2106">
        <v>0</v>
      </c>
      <c r="D2106" s="201">
        <v>0</v>
      </c>
      <c r="E2106" s="201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 s="201">
        <v>0</v>
      </c>
    </row>
    <row r="2107" spans="1:11" x14ac:dyDescent="0.25">
      <c r="A2107"/>
      <c r="B2107" s="201">
        <v>0</v>
      </c>
      <c r="C2107">
        <v>0</v>
      </c>
      <c r="D2107" s="201">
        <v>0</v>
      </c>
      <c r="E2107" s="201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 s="201">
        <v>0</v>
      </c>
    </row>
    <row r="2108" spans="1:11" x14ac:dyDescent="0.25">
      <c r="A2108"/>
      <c r="B2108" s="201">
        <v>0</v>
      </c>
      <c r="C2108">
        <v>0</v>
      </c>
      <c r="D2108" s="201">
        <v>0</v>
      </c>
      <c r="E2108" s="201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 s="201">
        <v>0</v>
      </c>
    </row>
    <row r="2109" spans="1:11" x14ac:dyDescent="0.25">
      <c r="A2109"/>
      <c r="B2109" s="201">
        <v>0</v>
      </c>
      <c r="C2109">
        <v>0</v>
      </c>
      <c r="D2109" s="201">
        <v>0</v>
      </c>
      <c r="E2109" s="201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 s="201">
        <v>0</v>
      </c>
    </row>
    <row r="2110" spans="1:11" x14ac:dyDescent="0.25">
      <c r="A2110"/>
      <c r="B2110" s="201">
        <v>0</v>
      </c>
      <c r="C2110">
        <v>0</v>
      </c>
      <c r="D2110" s="201">
        <v>0</v>
      </c>
      <c r="E2110" s="201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 s="201">
        <v>0</v>
      </c>
    </row>
    <row r="2111" spans="1:11" x14ac:dyDescent="0.25">
      <c r="A2111"/>
      <c r="B2111" s="201">
        <v>0</v>
      </c>
      <c r="C2111">
        <v>0</v>
      </c>
      <c r="D2111" s="201">
        <v>0</v>
      </c>
      <c r="E2111" s="20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 s="201">
        <v>0</v>
      </c>
    </row>
    <row r="2112" spans="1:11" x14ac:dyDescent="0.25">
      <c r="A2112"/>
      <c r="B2112" s="201">
        <v>0</v>
      </c>
      <c r="C2112">
        <v>0</v>
      </c>
      <c r="D2112" s="201">
        <v>0</v>
      </c>
      <c r="E2112" s="201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 s="201">
        <v>0</v>
      </c>
    </row>
    <row r="2113" spans="1:11" x14ac:dyDescent="0.25">
      <c r="A2113"/>
      <c r="B2113" s="201">
        <v>0</v>
      </c>
      <c r="C2113">
        <v>0</v>
      </c>
      <c r="D2113" s="201">
        <v>0</v>
      </c>
      <c r="E2113" s="201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 s="201">
        <v>0</v>
      </c>
    </row>
    <row r="2114" spans="1:11" x14ac:dyDescent="0.25">
      <c r="A2114"/>
      <c r="B2114" s="201">
        <v>0</v>
      </c>
      <c r="C2114">
        <v>0</v>
      </c>
      <c r="D2114" s="201">
        <v>0</v>
      </c>
      <c r="E2114" s="201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 s="201">
        <v>0</v>
      </c>
    </row>
    <row r="2115" spans="1:11" x14ac:dyDescent="0.25">
      <c r="A2115"/>
      <c r="B2115" s="201">
        <v>0</v>
      </c>
      <c r="C2115">
        <v>0</v>
      </c>
      <c r="D2115" s="201">
        <v>0</v>
      </c>
      <c r="E2115" s="201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 s="201">
        <v>0</v>
      </c>
    </row>
    <row r="2116" spans="1:11" x14ac:dyDescent="0.25">
      <c r="A2116"/>
      <c r="B2116" s="201">
        <v>0</v>
      </c>
      <c r="C2116">
        <v>0</v>
      </c>
      <c r="D2116" s="201">
        <v>0</v>
      </c>
      <c r="E2116" s="201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 s="201">
        <v>0</v>
      </c>
    </row>
    <row r="2117" spans="1:11" x14ac:dyDescent="0.25">
      <c r="A2117"/>
      <c r="B2117" s="201">
        <v>0</v>
      </c>
      <c r="C2117">
        <v>0</v>
      </c>
      <c r="D2117" s="201">
        <v>0</v>
      </c>
      <c r="E2117" s="201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 s="201">
        <v>0</v>
      </c>
    </row>
    <row r="2118" spans="1:11" x14ac:dyDescent="0.25">
      <c r="A2118"/>
      <c r="B2118" s="201">
        <v>0</v>
      </c>
      <c r="C2118">
        <v>0</v>
      </c>
      <c r="D2118" s="201">
        <v>0</v>
      </c>
      <c r="E2118" s="201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 s="201">
        <v>0</v>
      </c>
    </row>
    <row r="2119" spans="1:11" x14ac:dyDescent="0.25">
      <c r="A2119"/>
      <c r="B2119" s="201">
        <v>0</v>
      </c>
      <c r="C2119">
        <v>0</v>
      </c>
      <c r="D2119" s="201">
        <v>0</v>
      </c>
      <c r="E2119" s="201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 s="201">
        <v>0</v>
      </c>
    </row>
    <row r="2120" spans="1:11" x14ac:dyDescent="0.25">
      <c r="A2120"/>
      <c r="B2120" s="201">
        <v>0</v>
      </c>
      <c r="C2120">
        <v>0</v>
      </c>
      <c r="D2120" s="201">
        <v>0</v>
      </c>
      <c r="E2120" s="201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 s="201">
        <v>0</v>
      </c>
    </row>
    <row r="2121" spans="1:11" x14ac:dyDescent="0.25">
      <c r="A2121"/>
      <c r="B2121" s="201">
        <v>0</v>
      </c>
      <c r="C2121">
        <v>0</v>
      </c>
      <c r="D2121" s="201">
        <v>0</v>
      </c>
      <c r="E2121" s="20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 s="201">
        <v>0</v>
      </c>
    </row>
    <row r="2122" spans="1:11" x14ac:dyDescent="0.25">
      <c r="A2122"/>
      <c r="B2122" s="201">
        <v>0</v>
      </c>
      <c r="C2122">
        <v>0</v>
      </c>
      <c r="D2122" s="201">
        <v>0</v>
      </c>
      <c r="E2122" s="201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 s="201">
        <v>0</v>
      </c>
    </row>
    <row r="2123" spans="1:11" x14ac:dyDescent="0.25">
      <c r="A2123"/>
      <c r="B2123" s="201">
        <v>0</v>
      </c>
      <c r="C2123">
        <v>0</v>
      </c>
      <c r="D2123" s="201">
        <v>0</v>
      </c>
      <c r="E2123" s="201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 s="201">
        <v>0</v>
      </c>
    </row>
    <row r="2124" spans="1:11" x14ac:dyDescent="0.25">
      <c r="A2124"/>
      <c r="B2124" s="201">
        <v>0</v>
      </c>
      <c r="C2124">
        <v>0</v>
      </c>
      <c r="D2124" s="201">
        <v>0</v>
      </c>
      <c r="E2124" s="201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 s="201">
        <v>0</v>
      </c>
    </row>
    <row r="2125" spans="1:11" x14ac:dyDescent="0.25">
      <c r="A2125"/>
      <c r="B2125" s="201">
        <v>0</v>
      </c>
      <c r="C2125">
        <v>0</v>
      </c>
      <c r="D2125" s="201">
        <v>0</v>
      </c>
      <c r="E2125" s="201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 s="201">
        <v>0</v>
      </c>
    </row>
    <row r="2126" spans="1:11" x14ac:dyDescent="0.25">
      <c r="A2126"/>
      <c r="B2126" s="201">
        <v>0</v>
      </c>
      <c r="C2126">
        <v>0</v>
      </c>
      <c r="D2126" s="201">
        <v>0</v>
      </c>
      <c r="E2126" s="201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 s="201">
        <v>0</v>
      </c>
    </row>
    <row r="2127" spans="1:11" x14ac:dyDescent="0.25">
      <c r="A2127"/>
      <c r="B2127" s="201">
        <v>0</v>
      </c>
      <c r="C2127">
        <v>0</v>
      </c>
      <c r="D2127" s="201">
        <v>0</v>
      </c>
      <c r="E2127" s="201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 s="201">
        <v>0</v>
      </c>
    </row>
    <row r="2128" spans="1:11" x14ac:dyDescent="0.25">
      <c r="A2128"/>
      <c r="B2128" s="201">
        <v>0</v>
      </c>
      <c r="C2128">
        <v>0</v>
      </c>
      <c r="D2128" s="201">
        <v>0</v>
      </c>
      <c r="E2128" s="201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 s="201">
        <v>0</v>
      </c>
    </row>
    <row r="2129" spans="1:11" x14ac:dyDescent="0.25">
      <c r="A2129"/>
      <c r="B2129" s="201">
        <v>0</v>
      </c>
      <c r="C2129">
        <v>0</v>
      </c>
      <c r="D2129" s="201">
        <v>0</v>
      </c>
      <c r="E2129" s="201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 s="201">
        <v>0</v>
      </c>
    </row>
    <row r="2130" spans="1:11" x14ac:dyDescent="0.25">
      <c r="A2130"/>
      <c r="B2130" s="201">
        <v>0</v>
      </c>
      <c r="C2130">
        <v>0</v>
      </c>
      <c r="D2130" s="201">
        <v>0</v>
      </c>
      <c r="E2130" s="201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 s="201">
        <v>0</v>
      </c>
    </row>
    <row r="2131" spans="1:11" x14ac:dyDescent="0.25">
      <c r="A2131"/>
      <c r="B2131" s="201">
        <v>0</v>
      </c>
      <c r="C2131">
        <v>0</v>
      </c>
      <c r="D2131" s="201">
        <v>0</v>
      </c>
      <c r="E2131" s="20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 s="201">
        <v>0</v>
      </c>
    </row>
    <row r="2132" spans="1:11" x14ac:dyDescent="0.25">
      <c r="A2132"/>
      <c r="B2132" s="201">
        <v>0</v>
      </c>
      <c r="C2132">
        <v>0</v>
      </c>
      <c r="D2132" s="201">
        <v>0</v>
      </c>
      <c r="E2132" s="201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 s="201">
        <v>0</v>
      </c>
    </row>
    <row r="2133" spans="1:11" x14ac:dyDescent="0.25">
      <c r="A2133"/>
      <c r="B2133" s="201">
        <v>0</v>
      </c>
      <c r="C2133">
        <v>0</v>
      </c>
      <c r="D2133" s="201">
        <v>0</v>
      </c>
      <c r="E2133" s="201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 s="201">
        <v>0</v>
      </c>
    </row>
    <row r="2134" spans="1:11" x14ac:dyDescent="0.25">
      <c r="A2134"/>
      <c r="B2134" s="201">
        <v>0</v>
      </c>
      <c r="C2134">
        <v>0</v>
      </c>
      <c r="D2134" s="201">
        <v>0</v>
      </c>
      <c r="E2134" s="201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 s="201">
        <v>0</v>
      </c>
    </row>
    <row r="2135" spans="1:11" x14ac:dyDescent="0.25">
      <c r="A2135"/>
      <c r="B2135" s="201">
        <v>0</v>
      </c>
      <c r="C2135">
        <v>0</v>
      </c>
      <c r="D2135" s="201">
        <v>0</v>
      </c>
      <c r="E2135" s="201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 s="201">
        <v>0</v>
      </c>
    </row>
    <row r="2136" spans="1:11" x14ac:dyDescent="0.25">
      <c r="A2136"/>
      <c r="B2136" s="201">
        <v>0</v>
      </c>
      <c r="C2136">
        <v>0</v>
      </c>
      <c r="D2136" s="201">
        <v>0</v>
      </c>
      <c r="E2136" s="201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 s="201">
        <v>0</v>
      </c>
    </row>
    <row r="2137" spans="1:11" x14ac:dyDescent="0.25">
      <c r="A2137"/>
      <c r="B2137" s="201">
        <v>0</v>
      </c>
      <c r="C2137">
        <v>0</v>
      </c>
      <c r="D2137" s="201">
        <v>0</v>
      </c>
      <c r="E2137" s="201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 s="201">
        <v>0</v>
      </c>
    </row>
    <row r="2138" spans="1:11" x14ac:dyDescent="0.25">
      <c r="A2138"/>
      <c r="B2138" s="201">
        <v>0</v>
      </c>
      <c r="C2138">
        <v>0</v>
      </c>
      <c r="D2138" s="201">
        <v>0</v>
      </c>
      <c r="E2138" s="201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 s="201">
        <v>0</v>
      </c>
    </row>
    <row r="2139" spans="1:11" x14ac:dyDescent="0.25">
      <c r="A2139"/>
      <c r="B2139" s="201">
        <v>0</v>
      </c>
      <c r="C2139">
        <v>0</v>
      </c>
      <c r="D2139" s="201">
        <v>0</v>
      </c>
      <c r="E2139" s="201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 s="201">
        <v>0</v>
      </c>
    </row>
    <row r="2140" spans="1:11" x14ac:dyDescent="0.25">
      <c r="A2140"/>
      <c r="B2140" s="201">
        <v>0</v>
      </c>
      <c r="C2140">
        <v>0</v>
      </c>
      <c r="D2140" s="201">
        <v>0</v>
      </c>
      <c r="E2140" s="201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 s="201">
        <v>0</v>
      </c>
    </row>
    <row r="2141" spans="1:11" x14ac:dyDescent="0.25">
      <c r="A2141"/>
      <c r="B2141" s="201">
        <v>0</v>
      </c>
      <c r="C2141">
        <v>0</v>
      </c>
      <c r="D2141" s="201">
        <v>0</v>
      </c>
      <c r="E2141" s="20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 s="201">
        <v>0</v>
      </c>
    </row>
    <row r="2142" spans="1:11" x14ac:dyDescent="0.25">
      <c r="A2142"/>
      <c r="B2142" s="201">
        <v>0</v>
      </c>
      <c r="C2142">
        <v>0</v>
      </c>
      <c r="D2142" s="201">
        <v>0</v>
      </c>
      <c r="E2142" s="201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 s="201">
        <v>0</v>
      </c>
    </row>
    <row r="2143" spans="1:11" x14ac:dyDescent="0.25">
      <c r="A2143"/>
      <c r="B2143" s="201">
        <v>0</v>
      </c>
      <c r="C2143">
        <v>0</v>
      </c>
      <c r="D2143" s="201">
        <v>0</v>
      </c>
      <c r="E2143" s="201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 s="201">
        <v>0</v>
      </c>
    </row>
    <row r="2144" spans="1:11" x14ac:dyDescent="0.25">
      <c r="A2144"/>
      <c r="B2144" s="201">
        <v>0</v>
      </c>
      <c r="C2144">
        <v>0</v>
      </c>
      <c r="D2144" s="201">
        <v>0</v>
      </c>
      <c r="E2144" s="201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 s="201">
        <v>0</v>
      </c>
    </row>
    <row r="2145" spans="1:11" x14ac:dyDescent="0.25">
      <c r="A2145"/>
      <c r="B2145" s="201">
        <v>0</v>
      </c>
      <c r="C2145">
        <v>0</v>
      </c>
      <c r="D2145" s="201">
        <v>0</v>
      </c>
      <c r="E2145" s="201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 s="201">
        <v>0</v>
      </c>
    </row>
    <row r="2146" spans="1:11" x14ac:dyDescent="0.25">
      <c r="A2146"/>
      <c r="B2146" s="201">
        <v>0</v>
      </c>
      <c r="C2146">
        <v>0</v>
      </c>
      <c r="D2146" s="201">
        <v>0</v>
      </c>
      <c r="E2146" s="201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 s="201">
        <v>0</v>
      </c>
    </row>
    <row r="2147" spans="1:11" x14ac:dyDescent="0.25">
      <c r="A2147"/>
      <c r="B2147" s="201">
        <v>0</v>
      </c>
      <c r="C2147">
        <v>0</v>
      </c>
      <c r="D2147" s="201">
        <v>0</v>
      </c>
      <c r="E2147" s="201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 s="201">
        <v>0</v>
      </c>
    </row>
    <row r="2148" spans="1:11" x14ac:dyDescent="0.25">
      <c r="A2148"/>
      <c r="B2148" s="201">
        <v>0</v>
      </c>
      <c r="C2148">
        <v>0</v>
      </c>
      <c r="D2148" s="201">
        <v>0</v>
      </c>
      <c r="E2148" s="201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 s="201">
        <v>0</v>
      </c>
    </row>
    <row r="2149" spans="1:11" x14ac:dyDescent="0.25">
      <c r="A2149"/>
      <c r="B2149" s="201">
        <v>0</v>
      </c>
      <c r="C2149">
        <v>0</v>
      </c>
      <c r="D2149" s="201">
        <v>0</v>
      </c>
      <c r="E2149" s="201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 s="201">
        <v>0</v>
      </c>
    </row>
    <row r="2150" spans="1:11" x14ac:dyDescent="0.25">
      <c r="A2150"/>
      <c r="B2150" s="201">
        <v>0</v>
      </c>
      <c r="C2150">
        <v>0</v>
      </c>
      <c r="D2150" s="201">
        <v>0</v>
      </c>
      <c r="E2150" s="201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 s="201">
        <v>0</v>
      </c>
    </row>
    <row r="2151" spans="1:11" x14ac:dyDescent="0.25">
      <c r="A2151"/>
      <c r="B2151" s="201">
        <v>0</v>
      </c>
      <c r="C2151">
        <v>0</v>
      </c>
      <c r="D2151" s="201">
        <v>0</v>
      </c>
      <c r="E2151" s="20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 s="201">
        <v>0</v>
      </c>
    </row>
    <row r="2152" spans="1:11" x14ac:dyDescent="0.25">
      <c r="A2152"/>
      <c r="B2152" s="201">
        <v>0</v>
      </c>
      <c r="C2152">
        <v>0</v>
      </c>
      <c r="D2152" s="201">
        <v>0</v>
      </c>
      <c r="E2152" s="201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 s="201">
        <v>0</v>
      </c>
    </row>
    <row r="2153" spans="1:11" x14ac:dyDescent="0.25">
      <c r="A2153"/>
      <c r="B2153" s="201">
        <v>0</v>
      </c>
      <c r="C2153">
        <v>0</v>
      </c>
      <c r="D2153" s="201">
        <v>0</v>
      </c>
      <c r="E2153" s="201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 s="201">
        <v>0</v>
      </c>
    </row>
    <row r="2154" spans="1:11" x14ac:dyDescent="0.25">
      <c r="A2154"/>
      <c r="B2154" s="201">
        <v>0</v>
      </c>
      <c r="C2154">
        <v>0</v>
      </c>
      <c r="D2154" s="201">
        <v>0</v>
      </c>
      <c r="E2154" s="201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 s="201">
        <v>0</v>
      </c>
    </row>
    <row r="2155" spans="1:11" x14ac:dyDescent="0.25">
      <c r="A2155"/>
      <c r="B2155" s="201">
        <v>0</v>
      </c>
      <c r="C2155">
        <v>0</v>
      </c>
      <c r="D2155" s="201">
        <v>0</v>
      </c>
      <c r="E2155" s="201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 s="201">
        <v>0</v>
      </c>
    </row>
    <row r="2156" spans="1:11" x14ac:dyDescent="0.25">
      <c r="A2156"/>
      <c r="B2156" s="201">
        <v>0</v>
      </c>
      <c r="C2156">
        <v>0</v>
      </c>
      <c r="D2156" s="201">
        <v>0</v>
      </c>
      <c r="E2156" s="201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 s="201">
        <v>0</v>
      </c>
    </row>
    <row r="2157" spans="1:11" x14ac:dyDescent="0.25">
      <c r="A2157"/>
      <c r="B2157" s="201">
        <v>0</v>
      </c>
      <c r="C2157">
        <v>0</v>
      </c>
      <c r="D2157" s="201">
        <v>0</v>
      </c>
      <c r="E2157" s="201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 s="201">
        <v>0</v>
      </c>
    </row>
    <row r="2158" spans="1:11" x14ac:dyDescent="0.25">
      <c r="A2158"/>
      <c r="B2158" s="201">
        <v>0</v>
      </c>
      <c r="C2158">
        <v>0</v>
      </c>
      <c r="D2158" s="201">
        <v>0</v>
      </c>
      <c r="E2158" s="201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 s="201">
        <v>0</v>
      </c>
    </row>
    <row r="2159" spans="1:11" x14ac:dyDescent="0.25">
      <c r="A2159"/>
      <c r="B2159" s="201">
        <v>0</v>
      </c>
      <c r="C2159">
        <v>0</v>
      </c>
      <c r="D2159" s="201">
        <v>0</v>
      </c>
      <c r="E2159" s="201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 s="201">
        <v>0</v>
      </c>
    </row>
    <row r="2160" spans="1:11" x14ac:dyDescent="0.25">
      <c r="A2160"/>
      <c r="B2160" s="201">
        <v>0</v>
      </c>
      <c r="C2160">
        <v>0</v>
      </c>
      <c r="D2160" s="201">
        <v>0</v>
      </c>
      <c r="E2160" s="201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 s="201">
        <v>0</v>
      </c>
    </row>
    <row r="2161" spans="1:11" x14ac:dyDescent="0.25">
      <c r="A2161"/>
      <c r="B2161" s="201">
        <v>0</v>
      </c>
      <c r="C2161">
        <v>0</v>
      </c>
      <c r="D2161" s="201">
        <v>0</v>
      </c>
      <c r="E2161" s="20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 s="201">
        <v>0</v>
      </c>
    </row>
    <row r="2162" spans="1:11" x14ac:dyDescent="0.25">
      <c r="A2162"/>
      <c r="B2162" s="201">
        <v>0</v>
      </c>
      <c r="C2162">
        <v>0</v>
      </c>
      <c r="D2162" s="201">
        <v>0</v>
      </c>
      <c r="E2162" s="201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 s="201">
        <v>0</v>
      </c>
    </row>
    <row r="2163" spans="1:11" x14ac:dyDescent="0.25">
      <c r="A2163"/>
      <c r="B2163" s="201">
        <v>0</v>
      </c>
      <c r="C2163">
        <v>0</v>
      </c>
      <c r="D2163" s="201">
        <v>0</v>
      </c>
      <c r="E2163" s="201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 s="201">
        <v>0</v>
      </c>
    </row>
    <row r="2164" spans="1:11" x14ac:dyDescent="0.25">
      <c r="A2164"/>
      <c r="B2164" s="201">
        <v>0</v>
      </c>
      <c r="C2164">
        <v>0</v>
      </c>
      <c r="D2164" s="201">
        <v>0</v>
      </c>
      <c r="E2164" s="201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 s="201">
        <v>0</v>
      </c>
    </row>
    <row r="2165" spans="1:11" x14ac:dyDescent="0.25">
      <c r="A2165"/>
      <c r="B2165" s="201">
        <v>0</v>
      </c>
      <c r="C2165">
        <v>0</v>
      </c>
      <c r="D2165" s="201">
        <v>0</v>
      </c>
      <c r="E2165" s="201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 s="201">
        <v>0</v>
      </c>
    </row>
    <row r="2166" spans="1:11" x14ac:dyDescent="0.25">
      <c r="A2166"/>
      <c r="B2166" s="201">
        <v>0</v>
      </c>
      <c r="C2166">
        <v>0</v>
      </c>
      <c r="D2166" s="201">
        <v>0</v>
      </c>
      <c r="E2166" s="201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 s="201">
        <v>0</v>
      </c>
    </row>
    <row r="2167" spans="1:11" x14ac:dyDescent="0.25">
      <c r="A2167"/>
      <c r="B2167" s="201">
        <v>0</v>
      </c>
      <c r="C2167">
        <v>0</v>
      </c>
      <c r="D2167" s="201">
        <v>0</v>
      </c>
      <c r="E2167" s="201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 s="201">
        <v>0</v>
      </c>
    </row>
    <row r="2168" spans="1:11" x14ac:dyDescent="0.25">
      <c r="A2168"/>
      <c r="B2168" s="201">
        <v>0</v>
      </c>
      <c r="C2168">
        <v>0</v>
      </c>
      <c r="D2168" s="201">
        <v>0</v>
      </c>
      <c r="E2168" s="201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 s="201">
        <v>0</v>
      </c>
    </row>
    <row r="2169" spans="1:11" x14ac:dyDescent="0.25">
      <c r="A2169"/>
      <c r="B2169" s="201">
        <v>0</v>
      </c>
      <c r="C2169">
        <v>0</v>
      </c>
      <c r="D2169" s="201">
        <v>0</v>
      </c>
      <c r="E2169" s="201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 s="201">
        <v>0</v>
      </c>
    </row>
    <row r="2170" spans="1:11" x14ac:dyDescent="0.25">
      <c r="A2170"/>
      <c r="B2170" s="201">
        <v>0</v>
      </c>
      <c r="C2170">
        <v>0</v>
      </c>
      <c r="D2170" s="201">
        <v>0</v>
      </c>
      <c r="E2170" s="201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 s="201">
        <v>0</v>
      </c>
    </row>
    <row r="2171" spans="1:11" x14ac:dyDescent="0.25">
      <c r="A2171"/>
      <c r="B2171" s="201">
        <v>0</v>
      </c>
      <c r="C2171">
        <v>0</v>
      </c>
      <c r="D2171" s="201">
        <v>0</v>
      </c>
      <c r="E2171" s="20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 s="201">
        <v>0</v>
      </c>
    </row>
    <row r="2172" spans="1:11" x14ac:dyDescent="0.25">
      <c r="A2172"/>
      <c r="B2172" s="201">
        <v>0</v>
      </c>
      <c r="C2172">
        <v>0</v>
      </c>
      <c r="D2172" s="201">
        <v>0</v>
      </c>
      <c r="E2172" s="201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 s="201">
        <v>0</v>
      </c>
    </row>
    <row r="2173" spans="1:11" x14ac:dyDescent="0.25">
      <c r="A2173"/>
      <c r="B2173" s="201">
        <v>0</v>
      </c>
      <c r="C2173">
        <v>0</v>
      </c>
      <c r="D2173" s="201">
        <v>0</v>
      </c>
      <c r="E2173" s="201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 s="201">
        <v>0</v>
      </c>
    </row>
    <row r="2174" spans="1:11" x14ac:dyDescent="0.25">
      <c r="A2174"/>
      <c r="B2174" s="201">
        <v>0</v>
      </c>
      <c r="C2174">
        <v>0</v>
      </c>
      <c r="D2174" s="201">
        <v>0</v>
      </c>
      <c r="E2174" s="201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 s="201">
        <v>0</v>
      </c>
    </row>
    <row r="2175" spans="1:11" x14ac:dyDescent="0.25">
      <c r="A2175"/>
      <c r="B2175" s="201">
        <v>0</v>
      </c>
      <c r="C2175">
        <v>0</v>
      </c>
      <c r="D2175" s="201">
        <v>0</v>
      </c>
      <c r="E2175" s="201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 s="201">
        <v>0</v>
      </c>
    </row>
    <row r="2176" spans="1:11" x14ac:dyDescent="0.25">
      <c r="A2176"/>
      <c r="B2176" s="201">
        <v>0</v>
      </c>
      <c r="C2176">
        <v>0</v>
      </c>
      <c r="D2176" s="201">
        <v>0</v>
      </c>
      <c r="E2176" s="201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 s="201">
        <v>0</v>
      </c>
    </row>
    <row r="2177" spans="1:11" x14ac:dyDescent="0.25">
      <c r="A2177"/>
      <c r="B2177" s="201">
        <v>0</v>
      </c>
      <c r="C2177">
        <v>0</v>
      </c>
      <c r="D2177" s="201">
        <v>0</v>
      </c>
      <c r="E2177" s="201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 s="201">
        <v>0</v>
      </c>
    </row>
    <row r="2178" spans="1:11" x14ac:dyDescent="0.25">
      <c r="A2178"/>
      <c r="B2178" s="201">
        <v>0</v>
      </c>
      <c r="C2178">
        <v>0</v>
      </c>
      <c r="D2178" s="201">
        <v>0</v>
      </c>
      <c r="E2178" s="201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 s="201">
        <v>0</v>
      </c>
    </row>
    <row r="2179" spans="1:11" x14ac:dyDescent="0.25">
      <c r="A2179"/>
      <c r="B2179" s="201">
        <v>0</v>
      </c>
      <c r="C2179">
        <v>0</v>
      </c>
      <c r="D2179" s="201">
        <v>0</v>
      </c>
      <c r="E2179" s="201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 s="201">
        <v>0</v>
      </c>
    </row>
    <row r="2180" spans="1:11" x14ac:dyDescent="0.25">
      <c r="A2180"/>
      <c r="B2180" s="201">
        <v>0</v>
      </c>
      <c r="C2180">
        <v>0</v>
      </c>
      <c r="D2180" s="201">
        <v>0</v>
      </c>
      <c r="E2180" s="201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 s="201">
        <v>0</v>
      </c>
    </row>
    <row r="2181" spans="1:11" x14ac:dyDescent="0.25">
      <c r="A2181"/>
      <c r="B2181" s="201">
        <v>0</v>
      </c>
      <c r="C2181">
        <v>0</v>
      </c>
      <c r="D2181" s="201">
        <v>0</v>
      </c>
      <c r="E2181" s="20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 s="201">
        <v>0</v>
      </c>
    </row>
    <row r="2182" spans="1:11" x14ac:dyDescent="0.25">
      <c r="A2182"/>
      <c r="B2182" s="201">
        <v>0</v>
      </c>
      <c r="C2182">
        <v>0</v>
      </c>
      <c r="D2182" s="201">
        <v>0</v>
      </c>
      <c r="E2182" s="201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 s="201">
        <v>0</v>
      </c>
    </row>
    <row r="2183" spans="1:11" x14ac:dyDescent="0.25">
      <c r="A2183"/>
      <c r="B2183" s="201">
        <v>0</v>
      </c>
      <c r="C2183">
        <v>0</v>
      </c>
      <c r="D2183" s="201">
        <v>0</v>
      </c>
      <c r="E2183" s="201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 s="201">
        <v>0</v>
      </c>
    </row>
    <row r="2184" spans="1:11" x14ac:dyDescent="0.25">
      <c r="A2184"/>
      <c r="B2184" s="201">
        <v>0</v>
      </c>
      <c r="C2184">
        <v>0</v>
      </c>
      <c r="D2184" s="201">
        <v>0</v>
      </c>
      <c r="E2184" s="201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 s="201">
        <v>0</v>
      </c>
    </row>
    <row r="2185" spans="1:11" x14ac:dyDescent="0.25">
      <c r="A2185"/>
      <c r="B2185" s="201">
        <v>0</v>
      </c>
      <c r="C2185">
        <v>0</v>
      </c>
      <c r="D2185" s="201">
        <v>0</v>
      </c>
      <c r="E2185" s="201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 s="201">
        <v>0</v>
      </c>
    </row>
    <row r="2186" spans="1:11" x14ac:dyDescent="0.25">
      <c r="A2186"/>
      <c r="B2186" s="201">
        <v>0</v>
      </c>
      <c r="C2186">
        <v>0</v>
      </c>
      <c r="D2186" s="201">
        <v>0</v>
      </c>
      <c r="E2186" s="201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 s="201">
        <v>0</v>
      </c>
    </row>
    <row r="2187" spans="1:11" x14ac:dyDescent="0.25">
      <c r="A2187"/>
      <c r="B2187" s="201">
        <v>0</v>
      </c>
      <c r="C2187">
        <v>0</v>
      </c>
      <c r="D2187" s="201">
        <v>0</v>
      </c>
      <c r="E2187" s="201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 s="201">
        <v>0</v>
      </c>
    </row>
    <row r="2188" spans="1:11" x14ac:dyDescent="0.25">
      <c r="A2188"/>
      <c r="B2188" s="201">
        <v>0</v>
      </c>
      <c r="C2188">
        <v>0</v>
      </c>
      <c r="D2188" s="201">
        <v>0</v>
      </c>
      <c r="E2188" s="201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 s="201">
        <v>0</v>
      </c>
    </row>
    <row r="2189" spans="1:11" x14ac:dyDescent="0.25">
      <c r="A2189"/>
      <c r="B2189" s="201">
        <v>0</v>
      </c>
      <c r="C2189">
        <v>0</v>
      </c>
      <c r="D2189" s="201">
        <v>0</v>
      </c>
      <c r="E2189" s="201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 s="201">
        <v>0</v>
      </c>
    </row>
    <row r="2190" spans="1:11" x14ac:dyDescent="0.25">
      <c r="A2190"/>
      <c r="B2190" s="201">
        <v>0</v>
      </c>
      <c r="C2190">
        <v>0</v>
      </c>
      <c r="D2190" s="201">
        <v>0</v>
      </c>
      <c r="E2190" s="201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 s="201">
        <v>0</v>
      </c>
    </row>
    <row r="2191" spans="1:11" x14ac:dyDescent="0.25">
      <c r="A2191"/>
      <c r="B2191" s="201">
        <v>0</v>
      </c>
      <c r="C2191">
        <v>0</v>
      </c>
      <c r="D2191" s="201">
        <v>0</v>
      </c>
      <c r="E2191" s="20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 s="201">
        <v>0</v>
      </c>
    </row>
    <row r="2192" spans="1:11" x14ac:dyDescent="0.25">
      <c r="A2192"/>
      <c r="B2192" s="201">
        <v>0</v>
      </c>
      <c r="C2192">
        <v>0</v>
      </c>
      <c r="D2192" s="201">
        <v>0</v>
      </c>
      <c r="E2192" s="201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 s="201">
        <v>0</v>
      </c>
    </row>
    <row r="2193" spans="1:11" x14ac:dyDescent="0.25">
      <c r="A2193"/>
      <c r="B2193" s="201">
        <v>0</v>
      </c>
      <c r="C2193">
        <v>0</v>
      </c>
      <c r="D2193" s="201">
        <v>0</v>
      </c>
      <c r="E2193" s="201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 s="201">
        <v>0</v>
      </c>
    </row>
    <row r="2194" spans="1:11" x14ac:dyDescent="0.25">
      <c r="A2194"/>
      <c r="B2194" s="201">
        <v>0</v>
      </c>
      <c r="C2194">
        <v>0</v>
      </c>
      <c r="D2194" s="201">
        <v>0</v>
      </c>
      <c r="E2194" s="201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 s="201">
        <v>0</v>
      </c>
    </row>
    <row r="2195" spans="1:11" x14ac:dyDescent="0.25">
      <c r="A2195"/>
      <c r="B2195" s="201">
        <v>0</v>
      </c>
      <c r="C2195">
        <v>0</v>
      </c>
      <c r="D2195" s="201">
        <v>0</v>
      </c>
      <c r="E2195" s="201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 s="201">
        <v>0</v>
      </c>
    </row>
    <row r="2196" spans="1:11" x14ac:dyDescent="0.25">
      <c r="A2196"/>
      <c r="B2196" s="201">
        <v>0</v>
      </c>
      <c r="C2196">
        <v>0</v>
      </c>
      <c r="D2196" s="201">
        <v>0</v>
      </c>
      <c r="E2196" s="201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 s="201">
        <v>0</v>
      </c>
    </row>
    <row r="2197" spans="1:11" x14ac:dyDescent="0.25">
      <c r="A2197"/>
      <c r="B2197" s="201">
        <v>0</v>
      </c>
      <c r="C2197">
        <v>0</v>
      </c>
      <c r="D2197" s="201">
        <v>0</v>
      </c>
      <c r="E2197" s="201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 s="201">
        <v>0</v>
      </c>
    </row>
    <row r="2198" spans="1:11" x14ac:dyDescent="0.25">
      <c r="A2198"/>
      <c r="B2198" s="201">
        <v>0</v>
      </c>
      <c r="C2198">
        <v>0</v>
      </c>
      <c r="D2198" s="201">
        <v>0</v>
      </c>
      <c r="E2198" s="201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 s="201">
        <v>0</v>
      </c>
    </row>
    <row r="2199" spans="1:11" x14ac:dyDescent="0.25">
      <c r="A2199"/>
      <c r="B2199" s="201">
        <v>0</v>
      </c>
      <c r="C2199">
        <v>0</v>
      </c>
      <c r="D2199" s="201">
        <v>0</v>
      </c>
      <c r="E2199" s="201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 s="201">
        <v>0</v>
      </c>
    </row>
    <row r="2200" spans="1:11" x14ac:dyDescent="0.25">
      <c r="A2200"/>
      <c r="B2200" s="201">
        <v>0</v>
      </c>
      <c r="C2200">
        <v>0</v>
      </c>
      <c r="D2200" s="201">
        <v>0</v>
      </c>
      <c r="E2200" s="201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 s="201">
        <v>0</v>
      </c>
    </row>
    <row r="2201" spans="1:11" x14ac:dyDescent="0.25">
      <c r="A2201"/>
      <c r="B2201" s="201">
        <v>0</v>
      </c>
      <c r="C2201">
        <v>0</v>
      </c>
      <c r="D2201" s="201">
        <v>0</v>
      </c>
      <c r="E2201" s="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 s="201">
        <v>0</v>
      </c>
    </row>
    <row r="2202" spans="1:11" x14ac:dyDescent="0.25">
      <c r="A2202"/>
      <c r="B2202" s="201">
        <v>0</v>
      </c>
      <c r="C2202">
        <v>0</v>
      </c>
      <c r="D2202" s="201">
        <v>0</v>
      </c>
      <c r="E2202" s="201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 s="201">
        <v>0</v>
      </c>
    </row>
    <row r="2203" spans="1:11" x14ac:dyDescent="0.25">
      <c r="A2203"/>
      <c r="B2203" s="201">
        <v>0</v>
      </c>
      <c r="C2203">
        <v>0</v>
      </c>
      <c r="D2203" s="201">
        <v>0</v>
      </c>
      <c r="E2203" s="201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 s="201">
        <v>0</v>
      </c>
    </row>
    <row r="2204" spans="1:11" x14ac:dyDescent="0.25">
      <c r="A2204"/>
      <c r="B2204" s="201">
        <v>0</v>
      </c>
      <c r="C2204">
        <v>0</v>
      </c>
      <c r="D2204" s="201">
        <v>0</v>
      </c>
      <c r="E2204" s="201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 s="201">
        <v>0</v>
      </c>
    </row>
    <row r="2205" spans="1:11" x14ac:dyDescent="0.25">
      <c r="A2205"/>
      <c r="B2205" s="201">
        <v>0</v>
      </c>
      <c r="C2205">
        <v>0</v>
      </c>
      <c r="D2205" s="201">
        <v>0</v>
      </c>
      <c r="E2205" s="201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 s="201">
        <v>0</v>
      </c>
    </row>
    <row r="2206" spans="1:11" x14ac:dyDescent="0.25">
      <c r="A2206"/>
      <c r="B2206" s="201">
        <v>0</v>
      </c>
      <c r="C2206">
        <v>0</v>
      </c>
      <c r="D2206" s="201">
        <v>0</v>
      </c>
      <c r="E2206" s="201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 s="201">
        <v>0</v>
      </c>
    </row>
    <row r="2207" spans="1:11" x14ac:dyDescent="0.25">
      <c r="A2207"/>
      <c r="B2207" s="201">
        <v>0</v>
      </c>
      <c r="C2207">
        <v>0</v>
      </c>
      <c r="D2207" s="201">
        <v>0</v>
      </c>
      <c r="E2207" s="201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 s="201">
        <v>0</v>
      </c>
    </row>
    <row r="2208" spans="1:11" x14ac:dyDescent="0.25">
      <c r="A2208"/>
      <c r="B2208" s="201">
        <v>0</v>
      </c>
      <c r="C2208">
        <v>0</v>
      </c>
      <c r="D2208" s="201">
        <v>0</v>
      </c>
      <c r="E2208" s="201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 s="201">
        <v>0</v>
      </c>
    </row>
    <row r="2209" spans="1:11" x14ac:dyDescent="0.25">
      <c r="A2209"/>
      <c r="B2209" s="201">
        <v>0</v>
      </c>
      <c r="C2209">
        <v>0</v>
      </c>
      <c r="D2209" s="201">
        <v>0</v>
      </c>
      <c r="E2209" s="201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 s="201">
        <v>0</v>
      </c>
    </row>
    <row r="2210" spans="1:11" x14ac:dyDescent="0.25">
      <c r="A2210"/>
      <c r="B2210" s="201">
        <v>0</v>
      </c>
      <c r="C2210">
        <v>0</v>
      </c>
      <c r="D2210" s="201">
        <v>0</v>
      </c>
      <c r="E2210" s="201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 s="201">
        <v>0</v>
      </c>
    </row>
    <row r="2211" spans="1:11" x14ac:dyDescent="0.25">
      <c r="A2211"/>
      <c r="B2211" s="201">
        <v>0</v>
      </c>
      <c r="C2211">
        <v>0</v>
      </c>
      <c r="D2211" s="201">
        <v>0</v>
      </c>
      <c r="E2211" s="20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 s="201">
        <v>0</v>
      </c>
    </row>
    <row r="2212" spans="1:11" x14ac:dyDescent="0.25">
      <c r="A2212"/>
      <c r="B2212" s="201">
        <v>0</v>
      </c>
      <c r="C2212">
        <v>0</v>
      </c>
      <c r="D2212" s="201">
        <v>0</v>
      </c>
      <c r="E2212" s="201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 s="201">
        <v>0</v>
      </c>
    </row>
    <row r="2213" spans="1:11" x14ac:dyDescent="0.25">
      <c r="A2213"/>
      <c r="B2213" s="201">
        <v>0</v>
      </c>
      <c r="C2213">
        <v>0</v>
      </c>
      <c r="D2213" s="201">
        <v>0</v>
      </c>
      <c r="E2213" s="201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 s="201">
        <v>0</v>
      </c>
    </row>
    <row r="2214" spans="1:11" x14ac:dyDescent="0.25">
      <c r="A2214"/>
      <c r="B2214" s="201">
        <v>0</v>
      </c>
      <c r="C2214">
        <v>0</v>
      </c>
      <c r="D2214" s="201">
        <v>0</v>
      </c>
      <c r="E2214" s="201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 s="201">
        <v>0</v>
      </c>
    </row>
    <row r="2215" spans="1:11" x14ac:dyDescent="0.25">
      <c r="A2215"/>
      <c r="B2215" s="201">
        <v>0</v>
      </c>
      <c r="C2215">
        <v>0</v>
      </c>
      <c r="D2215" s="201">
        <v>0</v>
      </c>
      <c r="E2215" s="201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 s="201">
        <v>0</v>
      </c>
    </row>
    <row r="2216" spans="1:11" x14ac:dyDescent="0.25">
      <c r="A2216"/>
      <c r="B2216" s="201">
        <v>0</v>
      </c>
      <c r="C2216">
        <v>0</v>
      </c>
      <c r="D2216" s="201">
        <v>0</v>
      </c>
      <c r="E2216" s="201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 s="201">
        <v>0</v>
      </c>
    </row>
    <row r="2217" spans="1:11" x14ac:dyDescent="0.25">
      <c r="A2217"/>
      <c r="B2217" s="201">
        <v>0</v>
      </c>
      <c r="C2217">
        <v>0</v>
      </c>
      <c r="D2217" s="201">
        <v>0</v>
      </c>
      <c r="E2217" s="201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 s="201">
        <v>0</v>
      </c>
    </row>
    <row r="2218" spans="1:11" x14ac:dyDescent="0.25">
      <c r="A2218"/>
      <c r="B2218" s="201">
        <v>0</v>
      </c>
      <c r="C2218">
        <v>0</v>
      </c>
      <c r="D2218" s="201">
        <v>0</v>
      </c>
      <c r="E2218" s="201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 s="201">
        <v>0</v>
      </c>
    </row>
    <row r="2219" spans="1:11" x14ac:dyDescent="0.25">
      <c r="A2219"/>
      <c r="B2219" s="201">
        <v>0</v>
      </c>
      <c r="C2219">
        <v>0</v>
      </c>
      <c r="D2219" s="201">
        <v>0</v>
      </c>
      <c r="E2219" s="201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 s="201">
        <v>0</v>
      </c>
    </row>
    <row r="2220" spans="1:11" x14ac:dyDescent="0.25">
      <c r="A2220"/>
      <c r="B2220" s="201">
        <v>0</v>
      </c>
      <c r="C2220">
        <v>0</v>
      </c>
      <c r="D2220" s="201">
        <v>0</v>
      </c>
      <c r="E2220" s="201">
        <v>0</v>
      </c>
      <c r="F2220">
        <v>0</v>
      </c>
      <c r="G2220">
        <v>499</v>
      </c>
      <c r="H2220">
        <v>-320</v>
      </c>
      <c r="I2220">
        <v>-721</v>
      </c>
      <c r="J2220">
        <v>-477</v>
      </c>
      <c r="K2220" s="201">
        <v>-764</v>
      </c>
    </row>
    <row r="2221" spans="1:11" x14ac:dyDescent="0.25">
      <c r="A2221"/>
      <c r="B2221" s="201">
        <v>0</v>
      </c>
      <c r="C2221">
        <v>0</v>
      </c>
      <c r="D2221" s="201">
        <v>-177</v>
      </c>
      <c r="E2221" s="201">
        <v>0</v>
      </c>
      <c r="F2221">
        <v>0</v>
      </c>
      <c r="G2221">
        <v>0</v>
      </c>
      <c r="H2221">
        <v>111</v>
      </c>
      <c r="I2221">
        <v>-215</v>
      </c>
      <c r="J2221">
        <v>0</v>
      </c>
      <c r="K2221" s="201">
        <v>0</v>
      </c>
    </row>
    <row r="2222" spans="1:11" x14ac:dyDescent="0.25">
      <c r="A2222"/>
      <c r="B2222" s="201">
        <v>0</v>
      </c>
      <c r="C2222">
        <v>0</v>
      </c>
      <c r="D2222" s="201">
        <v>0</v>
      </c>
      <c r="E2222" s="201">
        <v>0</v>
      </c>
      <c r="F2222">
        <v>81</v>
      </c>
      <c r="G2222">
        <v>0</v>
      </c>
      <c r="H2222">
        <v>0</v>
      </c>
      <c r="I2222">
        <v>262</v>
      </c>
      <c r="J2222">
        <v>0</v>
      </c>
      <c r="K2222" s="201">
        <v>75</v>
      </c>
    </row>
    <row r="2223" spans="1:11" x14ac:dyDescent="0.25">
      <c r="A2223"/>
      <c r="B2223" s="201">
        <v>0</v>
      </c>
      <c r="C2223">
        <v>297</v>
      </c>
      <c r="D2223" s="201">
        <v>60</v>
      </c>
      <c r="E2223" s="201">
        <v>-480</v>
      </c>
      <c r="F2223">
        <v>0</v>
      </c>
      <c r="G2223">
        <v>753</v>
      </c>
      <c r="H2223">
        <v>-97</v>
      </c>
      <c r="I2223">
        <v>-233</v>
      </c>
      <c r="J2223">
        <v>-532</v>
      </c>
      <c r="K2223" s="201">
        <v>-464</v>
      </c>
    </row>
    <row r="2224" spans="1:11" x14ac:dyDescent="0.25">
      <c r="A2224"/>
      <c r="B2224" s="201">
        <v>-612</v>
      </c>
      <c r="C2224">
        <v>0</v>
      </c>
      <c r="D2224" s="201">
        <v>224</v>
      </c>
      <c r="E2224" s="201">
        <v>0</v>
      </c>
      <c r="F2224">
        <v>0</v>
      </c>
      <c r="G2224">
        <v>0</v>
      </c>
      <c r="H2224">
        <v>0</v>
      </c>
      <c r="I2224">
        <v>0</v>
      </c>
      <c r="J2224">
        <v>-43</v>
      </c>
      <c r="K2224" s="201">
        <v>0</v>
      </c>
    </row>
    <row r="2225" spans="1:11" x14ac:dyDescent="0.25">
      <c r="A2225"/>
      <c r="B2225" s="201">
        <v>0</v>
      </c>
      <c r="C2225">
        <v>0</v>
      </c>
      <c r="D2225" s="201">
        <v>-318</v>
      </c>
      <c r="E2225" s="201">
        <v>0</v>
      </c>
      <c r="F2225">
        <v>-68</v>
      </c>
      <c r="G2225">
        <v>0</v>
      </c>
      <c r="H2225">
        <v>0</v>
      </c>
      <c r="I2225">
        <v>0</v>
      </c>
      <c r="J2225">
        <v>0</v>
      </c>
      <c r="K2225" s="201">
        <v>0</v>
      </c>
    </row>
    <row r="2226" spans="1:11" x14ac:dyDescent="0.25">
      <c r="A2226"/>
      <c r="B2226" s="201">
        <v>659</v>
      </c>
      <c r="C2226">
        <v>0</v>
      </c>
      <c r="D2226" s="201">
        <v>19</v>
      </c>
      <c r="E2226" s="201">
        <v>-71</v>
      </c>
      <c r="F2226">
        <v>0</v>
      </c>
      <c r="G2226">
        <v>0</v>
      </c>
      <c r="H2226">
        <v>1568</v>
      </c>
      <c r="I2226">
        <v>-947</v>
      </c>
      <c r="J2226">
        <v>0</v>
      </c>
      <c r="K2226" s="201">
        <v>606</v>
      </c>
    </row>
    <row r="2227" spans="1:11" x14ac:dyDescent="0.25">
      <c r="A2227"/>
      <c r="B2227" s="201">
        <v>0</v>
      </c>
      <c r="C2227">
        <v>0</v>
      </c>
      <c r="D2227" s="201">
        <v>0</v>
      </c>
      <c r="E2227" s="201">
        <v>0</v>
      </c>
      <c r="F2227">
        <v>-1365</v>
      </c>
      <c r="G2227">
        <v>-228</v>
      </c>
      <c r="H2227">
        <v>50</v>
      </c>
      <c r="I2227">
        <v>0</v>
      </c>
      <c r="J2227">
        <v>0</v>
      </c>
      <c r="K2227" s="201">
        <v>865</v>
      </c>
    </row>
    <row r="2228" spans="1:11" x14ac:dyDescent="0.25">
      <c r="A2228"/>
      <c r="B2228" s="201">
        <v>419</v>
      </c>
      <c r="C2228">
        <v>0</v>
      </c>
      <c r="D2228" s="201">
        <v>211</v>
      </c>
      <c r="E2228" s="201">
        <v>-265</v>
      </c>
      <c r="F2228">
        <v>234</v>
      </c>
      <c r="G2228">
        <v>-431</v>
      </c>
      <c r="H2228">
        <v>121</v>
      </c>
      <c r="I2228">
        <v>674</v>
      </c>
      <c r="J2228">
        <v>527</v>
      </c>
      <c r="K2228" s="201">
        <v>0</v>
      </c>
    </row>
    <row r="2229" spans="1:11" x14ac:dyDescent="0.25">
      <c r="A2229"/>
      <c r="B2229" s="201">
        <v>0</v>
      </c>
      <c r="C2229">
        <v>0</v>
      </c>
      <c r="D2229" s="201">
        <v>0</v>
      </c>
      <c r="E2229" s="201">
        <v>0</v>
      </c>
      <c r="F2229">
        <v>2502</v>
      </c>
      <c r="G2229">
        <v>0</v>
      </c>
      <c r="H2229">
        <v>1226</v>
      </c>
      <c r="I2229">
        <v>375</v>
      </c>
      <c r="J2229">
        <v>-496</v>
      </c>
      <c r="K2229" s="201">
        <v>0</v>
      </c>
    </row>
    <row r="2230" spans="1:11" x14ac:dyDescent="0.25">
      <c r="A2230"/>
      <c r="B2230" s="201">
        <v>-2530</v>
      </c>
      <c r="C2230">
        <v>3481</v>
      </c>
      <c r="D2230" s="201">
        <v>-579</v>
      </c>
      <c r="E2230" s="201">
        <v>-501</v>
      </c>
      <c r="F2230">
        <v>-440</v>
      </c>
      <c r="G2230">
        <v>0</v>
      </c>
      <c r="H2230">
        <v>-547</v>
      </c>
      <c r="I2230">
        <v>-1039</v>
      </c>
      <c r="J2230">
        <v>-836</v>
      </c>
      <c r="K2230" s="201">
        <v>327</v>
      </c>
    </row>
    <row r="2231" spans="1:11" x14ac:dyDescent="0.25">
      <c r="A2231"/>
      <c r="B2231" s="201">
        <v>0</v>
      </c>
      <c r="C2231">
        <v>107</v>
      </c>
      <c r="D2231" s="201">
        <v>-1753</v>
      </c>
      <c r="E2231" s="201">
        <v>0</v>
      </c>
      <c r="F2231">
        <v>0</v>
      </c>
      <c r="G2231">
        <v>0</v>
      </c>
      <c r="H2231">
        <v>57</v>
      </c>
      <c r="I2231">
        <v>-389</v>
      </c>
      <c r="J2231">
        <v>0</v>
      </c>
      <c r="K2231" s="201">
        <v>-611</v>
      </c>
    </row>
    <row r="2232" spans="1:11" x14ac:dyDescent="0.25">
      <c r="A2232"/>
      <c r="B2232" s="201">
        <v>-406</v>
      </c>
      <c r="C2232">
        <v>155</v>
      </c>
      <c r="D2232" s="201">
        <v>-104</v>
      </c>
      <c r="E2232" s="201">
        <v>0</v>
      </c>
      <c r="F2232">
        <v>0</v>
      </c>
      <c r="G2232">
        <v>0</v>
      </c>
      <c r="H2232">
        <v>0</v>
      </c>
      <c r="I2232">
        <v>0</v>
      </c>
      <c r="J2232">
        <v>7081</v>
      </c>
      <c r="K2232" s="201">
        <v>0</v>
      </c>
    </row>
    <row r="2233" spans="1:11" x14ac:dyDescent="0.25">
      <c r="A2233"/>
      <c r="B2233" s="201">
        <v>-4631</v>
      </c>
      <c r="C2233">
        <v>200</v>
      </c>
      <c r="D2233" s="201">
        <v>-183</v>
      </c>
      <c r="E2233" s="201">
        <v>0</v>
      </c>
      <c r="F2233">
        <v>-4901</v>
      </c>
      <c r="G2233">
        <v>2679</v>
      </c>
      <c r="H2233">
        <v>-684</v>
      </c>
      <c r="I2233">
        <v>-804</v>
      </c>
      <c r="J2233">
        <v>-748</v>
      </c>
      <c r="K2233" s="201">
        <v>-354</v>
      </c>
    </row>
    <row r="2234" spans="1:11" x14ac:dyDescent="0.25">
      <c r="A2234"/>
      <c r="B2234" s="201">
        <v>-575</v>
      </c>
      <c r="C2234">
        <v>186</v>
      </c>
      <c r="D2234" s="201">
        <v>0</v>
      </c>
      <c r="E2234" s="201">
        <v>413</v>
      </c>
      <c r="F2234">
        <v>0</v>
      </c>
      <c r="G2234">
        <v>0</v>
      </c>
      <c r="H2234">
        <v>-2331</v>
      </c>
      <c r="I2234">
        <v>580</v>
      </c>
      <c r="J2234">
        <v>0</v>
      </c>
      <c r="K2234" s="201">
        <v>-214</v>
      </c>
    </row>
    <row r="2235" spans="1:11" x14ac:dyDescent="0.25">
      <c r="A2235"/>
      <c r="B2235" s="201">
        <v>0</v>
      </c>
      <c r="C2235">
        <v>0</v>
      </c>
      <c r="D2235" s="201">
        <v>-116</v>
      </c>
      <c r="E2235" s="201">
        <v>0</v>
      </c>
      <c r="F2235">
        <v>-256</v>
      </c>
      <c r="G2235">
        <v>153</v>
      </c>
      <c r="H2235">
        <v>-84</v>
      </c>
      <c r="I2235">
        <v>0</v>
      </c>
      <c r="J2235">
        <v>0</v>
      </c>
      <c r="K2235" s="201">
        <v>0</v>
      </c>
    </row>
    <row r="2236" spans="1:11" x14ac:dyDescent="0.25">
      <c r="A2236"/>
      <c r="B2236" s="201">
        <v>0</v>
      </c>
      <c r="C2236">
        <v>0</v>
      </c>
      <c r="D2236" s="201">
        <v>9221</v>
      </c>
      <c r="E2236" s="201">
        <v>0</v>
      </c>
      <c r="F2236">
        <v>-3284</v>
      </c>
      <c r="G2236">
        <v>237</v>
      </c>
      <c r="H2236">
        <v>45</v>
      </c>
      <c r="I2236">
        <v>0</v>
      </c>
      <c r="J2236">
        <v>-77928</v>
      </c>
      <c r="K2236" s="201">
        <v>699</v>
      </c>
    </row>
    <row r="2237" spans="1:11" x14ac:dyDescent="0.25">
      <c r="A2237"/>
      <c r="B2237" s="201">
        <v>1265</v>
      </c>
      <c r="C2237">
        <v>0</v>
      </c>
      <c r="D2237" s="201">
        <v>0</v>
      </c>
      <c r="E2237" s="201">
        <v>0</v>
      </c>
      <c r="F2237">
        <v>1803</v>
      </c>
      <c r="G2237">
        <v>2986</v>
      </c>
      <c r="H2237">
        <v>1190</v>
      </c>
      <c r="I2237">
        <v>-1028</v>
      </c>
      <c r="J2237">
        <v>-989</v>
      </c>
      <c r="K2237" s="201">
        <v>0</v>
      </c>
    </row>
    <row r="2238" spans="1:11" x14ac:dyDescent="0.25">
      <c r="A2238"/>
      <c r="B2238" s="201">
        <v>-10942</v>
      </c>
      <c r="C2238">
        <v>0</v>
      </c>
      <c r="D2238" s="201">
        <v>0</v>
      </c>
      <c r="E2238" s="201">
        <v>413</v>
      </c>
      <c r="F2238">
        <v>0</v>
      </c>
      <c r="G2238">
        <v>1681</v>
      </c>
      <c r="H2238">
        <v>0</v>
      </c>
      <c r="I2238">
        <v>2064</v>
      </c>
      <c r="J2238">
        <v>0</v>
      </c>
      <c r="K2238" s="201">
        <v>0</v>
      </c>
    </row>
    <row r="2239" spans="1:11" x14ac:dyDescent="0.25">
      <c r="A2239"/>
      <c r="B2239" s="201">
        <v>0</v>
      </c>
      <c r="C2239">
        <v>0</v>
      </c>
      <c r="D2239" s="201">
        <v>0</v>
      </c>
      <c r="E2239" s="201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 s="201">
        <v>0</v>
      </c>
    </row>
    <row r="2240" spans="1:11" x14ac:dyDescent="0.25">
      <c r="A2240"/>
      <c r="B2240" s="201">
        <v>0</v>
      </c>
      <c r="C2240">
        <v>0</v>
      </c>
      <c r="D2240" s="201">
        <v>0</v>
      </c>
      <c r="E2240" s="201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 s="201">
        <v>0</v>
      </c>
    </row>
    <row r="2241" spans="1:11" x14ac:dyDescent="0.25">
      <c r="A2241"/>
      <c r="B2241" s="201">
        <v>0</v>
      </c>
      <c r="C2241">
        <v>0</v>
      </c>
      <c r="D2241" s="201">
        <v>0</v>
      </c>
      <c r="E2241" s="20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 s="201">
        <v>0</v>
      </c>
    </row>
    <row r="2242" spans="1:11" x14ac:dyDescent="0.25">
      <c r="A2242"/>
      <c r="B2242" s="201">
        <v>0</v>
      </c>
      <c r="C2242">
        <v>0</v>
      </c>
      <c r="D2242" s="201">
        <v>0</v>
      </c>
      <c r="E2242" s="201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 s="201">
        <v>0</v>
      </c>
    </row>
    <row r="2243" spans="1:11" x14ac:dyDescent="0.25">
      <c r="A2243"/>
      <c r="B2243" s="201">
        <v>0</v>
      </c>
      <c r="C2243">
        <v>0</v>
      </c>
      <c r="D2243" s="201">
        <v>0</v>
      </c>
      <c r="E2243" s="201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 s="201">
        <v>0</v>
      </c>
    </row>
    <row r="2244" spans="1:11" x14ac:dyDescent="0.25">
      <c r="A2244"/>
      <c r="B2244" s="201">
        <v>0</v>
      </c>
      <c r="C2244">
        <v>0</v>
      </c>
      <c r="D2244" s="201">
        <v>0</v>
      </c>
      <c r="E2244" s="201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 s="201">
        <v>0</v>
      </c>
    </row>
    <row r="2245" spans="1:11" x14ac:dyDescent="0.25">
      <c r="A2245"/>
      <c r="B2245" s="201">
        <v>0</v>
      </c>
      <c r="C2245">
        <v>0</v>
      </c>
      <c r="D2245" s="201">
        <v>0</v>
      </c>
      <c r="E2245" s="201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 s="201">
        <v>0</v>
      </c>
    </row>
    <row r="2246" spans="1:11" x14ac:dyDescent="0.25">
      <c r="A2246"/>
      <c r="B2246" s="201">
        <v>0</v>
      </c>
      <c r="C2246">
        <v>0</v>
      </c>
      <c r="D2246" s="201">
        <v>0</v>
      </c>
      <c r="E2246" s="201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 s="201">
        <v>0</v>
      </c>
    </row>
    <row r="2247" spans="1:11" x14ac:dyDescent="0.25">
      <c r="A2247"/>
      <c r="B2247" s="201">
        <v>0</v>
      </c>
      <c r="C2247">
        <v>0</v>
      </c>
      <c r="D2247" s="201">
        <v>0</v>
      </c>
      <c r="E2247" s="201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 s="201">
        <v>0</v>
      </c>
    </row>
    <row r="2248" spans="1:11" x14ac:dyDescent="0.25">
      <c r="A2248"/>
      <c r="B2248" s="201">
        <v>0</v>
      </c>
      <c r="C2248">
        <v>0</v>
      </c>
      <c r="D2248" s="201">
        <v>0</v>
      </c>
      <c r="E2248" s="201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 s="201">
        <v>0</v>
      </c>
    </row>
    <row r="2249" spans="1:11" x14ac:dyDescent="0.25">
      <c r="A2249"/>
      <c r="B2249" s="201">
        <v>0</v>
      </c>
      <c r="C2249">
        <v>0</v>
      </c>
      <c r="D2249" s="201">
        <v>0</v>
      </c>
      <c r="E2249" s="201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 s="201">
        <v>0</v>
      </c>
    </row>
    <row r="2250" spans="1:11" x14ac:dyDescent="0.25">
      <c r="A2250"/>
      <c r="B2250" s="201">
        <v>0</v>
      </c>
      <c r="C2250">
        <v>0</v>
      </c>
      <c r="D2250" s="201">
        <v>0</v>
      </c>
      <c r="E2250" s="201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 s="201">
        <v>0</v>
      </c>
    </row>
    <row r="2251" spans="1:11" x14ac:dyDescent="0.25">
      <c r="A2251"/>
      <c r="B2251" s="201">
        <v>0</v>
      </c>
      <c r="C2251">
        <v>0</v>
      </c>
      <c r="D2251" s="201">
        <v>0</v>
      </c>
      <c r="E2251" s="20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 s="201">
        <v>0</v>
      </c>
    </row>
    <row r="2252" spans="1:11" x14ac:dyDescent="0.25">
      <c r="A2252"/>
      <c r="B2252" s="201">
        <v>0</v>
      </c>
      <c r="C2252">
        <v>0</v>
      </c>
      <c r="D2252" s="201">
        <v>0</v>
      </c>
      <c r="E2252" s="201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 s="201">
        <v>0</v>
      </c>
    </row>
    <row r="2253" spans="1:11" x14ac:dyDescent="0.25">
      <c r="A2253"/>
      <c r="B2253" s="201">
        <v>0</v>
      </c>
      <c r="C2253">
        <v>0</v>
      </c>
      <c r="D2253" s="201">
        <v>0</v>
      </c>
      <c r="E2253" s="201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 s="201">
        <v>0</v>
      </c>
    </row>
    <row r="2254" spans="1:11" x14ac:dyDescent="0.25">
      <c r="A2254"/>
      <c r="B2254" s="201">
        <v>0</v>
      </c>
      <c r="C2254">
        <v>0</v>
      </c>
      <c r="D2254" s="201">
        <v>0</v>
      </c>
      <c r="E2254" s="201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 s="201">
        <v>0</v>
      </c>
    </row>
    <row r="2255" spans="1:11" x14ac:dyDescent="0.25">
      <c r="A2255"/>
      <c r="B2255" s="201">
        <v>0</v>
      </c>
      <c r="C2255">
        <v>0</v>
      </c>
      <c r="D2255" s="201">
        <v>0</v>
      </c>
      <c r="E2255" s="201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 s="201">
        <v>0</v>
      </c>
    </row>
    <row r="2256" spans="1:11" x14ac:dyDescent="0.25">
      <c r="A2256"/>
      <c r="B2256" s="201">
        <v>0</v>
      </c>
      <c r="C2256">
        <v>0</v>
      </c>
      <c r="D2256" s="201">
        <v>0</v>
      </c>
      <c r="E2256" s="201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 s="201">
        <v>0</v>
      </c>
    </row>
    <row r="2257" spans="1:11" x14ac:dyDescent="0.25">
      <c r="A2257"/>
      <c r="B2257" s="201">
        <v>0</v>
      </c>
      <c r="C2257">
        <v>0</v>
      </c>
      <c r="D2257" s="201">
        <v>0</v>
      </c>
      <c r="E2257" s="201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 s="201">
        <v>0</v>
      </c>
    </row>
    <row r="2258" spans="1:11" x14ac:dyDescent="0.25">
      <c r="A2258"/>
      <c r="B2258" s="201">
        <v>0</v>
      </c>
      <c r="C2258">
        <v>0</v>
      </c>
      <c r="D2258" s="201">
        <v>0</v>
      </c>
      <c r="E2258" s="201">
        <v>0</v>
      </c>
      <c r="F2258">
        <v>0</v>
      </c>
      <c r="G2258">
        <v>0</v>
      </c>
      <c r="H2258">
        <v>0</v>
      </c>
      <c r="I2258">
        <v>0</v>
      </c>
      <c r="J2258">
        <v>312</v>
      </c>
      <c r="K2258" s="201">
        <v>-1703</v>
      </c>
    </row>
    <row r="2259" spans="1:11" x14ac:dyDescent="0.25">
      <c r="A2259"/>
      <c r="B2259" s="201">
        <v>279</v>
      </c>
      <c r="C2259">
        <v>323</v>
      </c>
      <c r="D2259" s="201">
        <v>625</v>
      </c>
      <c r="E2259" s="201">
        <v>0</v>
      </c>
      <c r="F2259">
        <v>0</v>
      </c>
      <c r="G2259">
        <v>259</v>
      </c>
      <c r="H2259">
        <v>0</v>
      </c>
      <c r="I2259">
        <v>0</v>
      </c>
      <c r="J2259">
        <v>0</v>
      </c>
      <c r="K2259" s="201">
        <v>-13</v>
      </c>
    </row>
    <row r="2260" spans="1:11" x14ac:dyDescent="0.25">
      <c r="A2260"/>
      <c r="B2260" s="201">
        <v>201</v>
      </c>
      <c r="C2260">
        <v>0</v>
      </c>
      <c r="D2260" s="201">
        <v>0</v>
      </c>
      <c r="E2260" s="201">
        <v>0</v>
      </c>
      <c r="F2260">
        <v>0</v>
      </c>
      <c r="G2260">
        <v>0</v>
      </c>
      <c r="H2260">
        <v>0</v>
      </c>
      <c r="I2260">
        <v>471</v>
      </c>
      <c r="J2260">
        <v>0</v>
      </c>
      <c r="K2260" s="201">
        <v>0</v>
      </c>
    </row>
    <row r="2261" spans="1:11" x14ac:dyDescent="0.25">
      <c r="A2261"/>
      <c r="B2261" s="201">
        <v>-18</v>
      </c>
      <c r="C2261">
        <v>0</v>
      </c>
      <c r="D2261" s="201">
        <v>26</v>
      </c>
      <c r="E2261" s="201">
        <v>0</v>
      </c>
      <c r="F2261">
        <v>-822</v>
      </c>
      <c r="G2261">
        <v>-494</v>
      </c>
      <c r="H2261">
        <v>329</v>
      </c>
      <c r="I2261">
        <v>0</v>
      </c>
      <c r="J2261">
        <v>34</v>
      </c>
      <c r="K2261" s="201">
        <v>-1145</v>
      </c>
    </row>
    <row r="2262" spans="1:11" x14ac:dyDescent="0.25">
      <c r="A2262"/>
      <c r="B2262" s="201">
        <v>10</v>
      </c>
      <c r="C2262">
        <v>24</v>
      </c>
      <c r="D2262" s="201">
        <v>-45</v>
      </c>
      <c r="E2262" s="201">
        <v>-393</v>
      </c>
      <c r="F2262">
        <v>0</v>
      </c>
      <c r="G2262">
        <v>37</v>
      </c>
      <c r="H2262">
        <v>0</v>
      </c>
      <c r="I2262">
        <v>0</v>
      </c>
      <c r="J2262">
        <v>0</v>
      </c>
      <c r="K2262" s="201">
        <v>0</v>
      </c>
    </row>
    <row r="2263" spans="1:11" x14ac:dyDescent="0.25">
      <c r="A2263"/>
      <c r="B2263" s="201">
        <v>0</v>
      </c>
      <c r="C2263">
        <v>5</v>
      </c>
      <c r="D2263" s="201">
        <v>0</v>
      </c>
      <c r="E2263" s="201">
        <v>0</v>
      </c>
      <c r="F2263">
        <v>0</v>
      </c>
      <c r="G2263">
        <v>-2</v>
      </c>
      <c r="H2263">
        <v>0</v>
      </c>
      <c r="I2263">
        <v>9</v>
      </c>
      <c r="J2263">
        <v>0</v>
      </c>
      <c r="K2263" s="201">
        <v>0</v>
      </c>
    </row>
    <row r="2264" spans="1:11" x14ac:dyDescent="0.25">
      <c r="A2264"/>
      <c r="B2264" s="201">
        <v>0</v>
      </c>
      <c r="C2264">
        <v>0</v>
      </c>
      <c r="D2264" s="201">
        <v>0</v>
      </c>
      <c r="E2264" s="201">
        <v>655</v>
      </c>
      <c r="F2264">
        <v>0</v>
      </c>
      <c r="G2264">
        <v>-1017</v>
      </c>
      <c r="H2264">
        <v>-116</v>
      </c>
      <c r="I2264">
        <v>0</v>
      </c>
      <c r="J2264">
        <v>0</v>
      </c>
      <c r="K2264" s="201">
        <v>1117</v>
      </c>
    </row>
    <row r="2265" spans="1:11" x14ac:dyDescent="0.25">
      <c r="A2265"/>
      <c r="B2265" s="201">
        <v>1177</v>
      </c>
      <c r="C2265">
        <v>0</v>
      </c>
      <c r="D2265" s="201">
        <v>529</v>
      </c>
      <c r="E2265" s="201">
        <v>0</v>
      </c>
      <c r="F2265">
        <v>0</v>
      </c>
      <c r="G2265">
        <v>0</v>
      </c>
      <c r="H2265">
        <v>0</v>
      </c>
      <c r="I2265">
        <v>-421</v>
      </c>
      <c r="J2265">
        <v>484</v>
      </c>
      <c r="K2265" s="201">
        <v>334</v>
      </c>
    </row>
    <row r="2266" spans="1:11" x14ac:dyDescent="0.25">
      <c r="A2266"/>
      <c r="B2266" s="201">
        <v>0</v>
      </c>
      <c r="C2266">
        <v>0</v>
      </c>
      <c r="D2266" s="201">
        <v>-917</v>
      </c>
      <c r="E2266" s="201">
        <v>-36</v>
      </c>
      <c r="F2266">
        <v>0</v>
      </c>
      <c r="G2266">
        <v>110</v>
      </c>
      <c r="H2266">
        <v>291</v>
      </c>
      <c r="I2266">
        <v>-14</v>
      </c>
      <c r="J2266">
        <v>269</v>
      </c>
      <c r="K2266" s="201">
        <v>400</v>
      </c>
    </row>
    <row r="2267" spans="1:11" x14ac:dyDescent="0.25">
      <c r="A2267"/>
      <c r="B2267" s="201">
        <v>-91</v>
      </c>
      <c r="C2267">
        <v>218</v>
      </c>
      <c r="D2267" s="201">
        <v>0</v>
      </c>
      <c r="E2267" s="201">
        <v>0</v>
      </c>
      <c r="F2267">
        <v>0</v>
      </c>
      <c r="G2267">
        <v>0</v>
      </c>
      <c r="H2267">
        <v>0</v>
      </c>
      <c r="I2267">
        <v>-894</v>
      </c>
      <c r="J2267">
        <v>0</v>
      </c>
      <c r="K2267" s="201">
        <v>329</v>
      </c>
    </row>
    <row r="2268" spans="1:11" x14ac:dyDescent="0.25">
      <c r="A2268"/>
      <c r="B2268" s="201">
        <v>282</v>
      </c>
      <c r="C2268">
        <v>-111</v>
      </c>
      <c r="D2268" s="201">
        <v>0</v>
      </c>
      <c r="E2268" s="201">
        <v>2698</v>
      </c>
      <c r="F2268">
        <v>5036</v>
      </c>
      <c r="G2268">
        <v>-172</v>
      </c>
      <c r="H2268">
        <v>234</v>
      </c>
      <c r="I2268">
        <v>-82</v>
      </c>
      <c r="J2268">
        <v>0</v>
      </c>
      <c r="K2268" s="201">
        <v>-370</v>
      </c>
    </row>
    <row r="2269" spans="1:11" x14ac:dyDescent="0.25">
      <c r="A2269"/>
      <c r="B2269" s="201">
        <v>-697</v>
      </c>
      <c r="C2269">
        <v>-665</v>
      </c>
      <c r="D2269" s="201">
        <v>-65</v>
      </c>
      <c r="E2269" s="201">
        <v>0</v>
      </c>
      <c r="F2269">
        <v>122</v>
      </c>
      <c r="G2269">
        <v>-883</v>
      </c>
      <c r="H2269">
        <v>0</v>
      </c>
      <c r="I2269">
        <v>0</v>
      </c>
      <c r="J2269">
        <v>0</v>
      </c>
      <c r="K2269" s="201">
        <v>121</v>
      </c>
    </row>
    <row r="2270" spans="1:11" x14ac:dyDescent="0.25">
      <c r="A2270"/>
      <c r="B2270" s="201">
        <v>-171</v>
      </c>
      <c r="C2270">
        <v>0</v>
      </c>
      <c r="D2270" s="201">
        <v>-141</v>
      </c>
      <c r="E2270" s="201">
        <v>31</v>
      </c>
      <c r="F2270">
        <v>99</v>
      </c>
      <c r="G2270">
        <v>-62</v>
      </c>
      <c r="H2270">
        <v>0</v>
      </c>
      <c r="I2270">
        <v>0</v>
      </c>
      <c r="J2270">
        <v>0</v>
      </c>
      <c r="K2270" s="201">
        <v>0</v>
      </c>
    </row>
    <row r="2271" spans="1:11" x14ac:dyDescent="0.25">
      <c r="A2271"/>
      <c r="B2271" s="201">
        <v>0</v>
      </c>
      <c r="C2271">
        <v>-2134</v>
      </c>
      <c r="D2271" s="201">
        <v>0</v>
      </c>
      <c r="E2271" s="201">
        <v>-4943</v>
      </c>
      <c r="F2271">
        <v>202</v>
      </c>
      <c r="G2271">
        <v>-161</v>
      </c>
      <c r="H2271">
        <v>0</v>
      </c>
      <c r="I2271">
        <v>-2584</v>
      </c>
      <c r="J2271">
        <v>3313</v>
      </c>
      <c r="K2271" s="201">
        <v>-16</v>
      </c>
    </row>
    <row r="2272" spans="1:11" x14ac:dyDescent="0.25">
      <c r="A2272"/>
      <c r="B2272" s="201">
        <v>413</v>
      </c>
      <c r="C2272">
        <v>28</v>
      </c>
      <c r="D2272" s="201">
        <v>278</v>
      </c>
      <c r="E2272" s="201">
        <v>-41</v>
      </c>
      <c r="F2272">
        <v>-153</v>
      </c>
      <c r="G2272">
        <v>0</v>
      </c>
      <c r="H2272">
        <v>20</v>
      </c>
      <c r="I2272">
        <v>0</v>
      </c>
      <c r="J2272">
        <v>0</v>
      </c>
      <c r="K2272" s="201">
        <v>-1912</v>
      </c>
    </row>
    <row r="2273" spans="1:11" x14ac:dyDescent="0.25">
      <c r="A2273"/>
      <c r="B2273" s="201">
        <v>-219</v>
      </c>
      <c r="C2273">
        <v>0</v>
      </c>
      <c r="D2273" s="201">
        <v>94</v>
      </c>
      <c r="E2273" s="201">
        <v>0</v>
      </c>
      <c r="F2273">
        <v>0</v>
      </c>
      <c r="G2273">
        <v>103</v>
      </c>
      <c r="H2273">
        <v>0</v>
      </c>
      <c r="I2273">
        <v>86</v>
      </c>
      <c r="J2273">
        <v>109</v>
      </c>
      <c r="K2273" s="201">
        <v>62</v>
      </c>
    </row>
    <row r="2274" spans="1:11" x14ac:dyDescent="0.25">
      <c r="A2274"/>
      <c r="B2274" s="201">
        <v>0</v>
      </c>
      <c r="C2274">
        <v>0</v>
      </c>
      <c r="D2274" s="201">
        <v>0</v>
      </c>
      <c r="E2274" s="201">
        <v>0</v>
      </c>
      <c r="F2274">
        <v>0</v>
      </c>
      <c r="G2274">
        <v>3191</v>
      </c>
      <c r="H2274">
        <v>0</v>
      </c>
      <c r="I2274">
        <v>-2260</v>
      </c>
      <c r="J2274">
        <v>154</v>
      </c>
      <c r="K2274" s="201">
        <v>-264</v>
      </c>
    </row>
    <row r="2275" spans="1:11" x14ac:dyDescent="0.25">
      <c r="A2275"/>
      <c r="B2275" s="201">
        <v>0</v>
      </c>
      <c r="C2275">
        <v>673</v>
      </c>
      <c r="D2275" s="201">
        <v>-41597</v>
      </c>
      <c r="E2275" s="201">
        <v>3211</v>
      </c>
      <c r="F2275">
        <v>0</v>
      </c>
      <c r="G2275">
        <v>0</v>
      </c>
      <c r="H2275">
        <v>0</v>
      </c>
      <c r="I2275">
        <v>2466</v>
      </c>
      <c r="J2275">
        <v>2616</v>
      </c>
      <c r="K2275" s="201">
        <v>476</v>
      </c>
    </row>
    <row r="2276" spans="1:11" x14ac:dyDescent="0.25">
      <c r="A2276"/>
      <c r="B2276" s="201">
        <v>-2003</v>
      </c>
      <c r="C2276">
        <v>-2064</v>
      </c>
      <c r="D2276" s="201">
        <v>0</v>
      </c>
      <c r="E2276" s="201">
        <v>-10234</v>
      </c>
      <c r="F2276">
        <v>0</v>
      </c>
      <c r="G2276">
        <v>0</v>
      </c>
      <c r="H2276">
        <v>1520</v>
      </c>
      <c r="I2276">
        <v>0</v>
      </c>
      <c r="J2276">
        <v>2765</v>
      </c>
      <c r="K2276" s="201">
        <v>0</v>
      </c>
    </row>
    <row r="2277" spans="1:11" x14ac:dyDescent="0.25">
      <c r="A2277"/>
      <c r="B2277" s="201">
        <v>3897</v>
      </c>
      <c r="C2277">
        <v>0</v>
      </c>
      <c r="D2277" s="201">
        <v>0</v>
      </c>
      <c r="E2277" s="201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 s="201">
        <v>2217</v>
      </c>
    </row>
    <row r="2278" spans="1:11" x14ac:dyDescent="0.25">
      <c r="A2278"/>
      <c r="B2278" s="201">
        <v>0</v>
      </c>
      <c r="C2278">
        <v>158</v>
      </c>
      <c r="D2278" s="201">
        <v>1575</v>
      </c>
      <c r="E2278" s="201">
        <v>213</v>
      </c>
      <c r="F2278">
        <v>-4</v>
      </c>
      <c r="G2278">
        <v>-84</v>
      </c>
      <c r="H2278">
        <v>0</v>
      </c>
      <c r="I2278">
        <v>0</v>
      </c>
      <c r="J2278">
        <v>-277</v>
      </c>
      <c r="K2278" s="201">
        <v>0</v>
      </c>
    </row>
    <row r="2279" spans="1:11" x14ac:dyDescent="0.25">
      <c r="A2279"/>
      <c r="B2279" s="201">
        <v>0</v>
      </c>
      <c r="C2279">
        <v>0</v>
      </c>
      <c r="D2279" s="201">
        <v>-22</v>
      </c>
      <c r="E2279" s="201">
        <v>187</v>
      </c>
      <c r="F2279">
        <v>0</v>
      </c>
      <c r="G2279">
        <v>0</v>
      </c>
      <c r="H2279">
        <v>0</v>
      </c>
      <c r="I2279">
        <v>0</v>
      </c>
      <c r="J2279">
        <v>0</v>
      </c>
      <c r="K2279" s="201">
        <v>0</v>
      </c>
    </row>
    <row r="2280" spans="1:11" x14ac:dyDescent="0.25">
      <c r="A2280"/>
      <c r="B2280" s="201">
        <v>83</v>
      </c>
      <c r="C2280">
        <v>0</v>
      </c>
      <c r="D2280" s="201">
        <v>0</v>
      </c>
      <c r="E2280" s="201">
        <v>-91</v>
      </c>
      <c r="F2280">
        <v>0</v>
      </c>
      <c r="G2280">
        <v>38</v>
      </c>
      <c r="H2280">
        <v>0</v>
      </c>
      <c r="I2280">
        <v>22</v>
      </c>
      <c r="J2280">
        <v>-4548</v>
      </c>
      <c r="K2280" s="201">
        <v>604</v>
      </c>
    </row>
    <row r="2281" spans="1:11" x14ac:dyDescent="0.25">
      <c r="A2281"/>
      <c r="B2281" s="201">
        <v>0</v>
      </c>
      <c r="C2281">
        <v>-331</v>
      </c>
      <c r="D2281" s="201">
        <v>1342</v>
      </c>
      <c r="E2281" s="201">
        <v>-92</v>
      </c>
      <c r="F2281">
        <v>-28</v>
      </c>
      <c r="G2281">
        <v>176</v>
      </c>
      <c r="H2281">
        <v>28</v>
      </c>
      <c r="I2281">
        <v>0</v>
      </c>
      <c r="J2281">
        <v>-1</v>
      </c>
      <c r="K2281" s="201">
        <v>0</v>
      </c>
    </row>
    <row r="2282" spans="1:11" x14ac:dyDescent="0.25">
      <c r="A2282"/>
      <c r="B2282" s="201">
        <v>0</v>
      </c>
      <c r="C2282">
        <v>0</v>
      </c>
      <c r="D2282" s="201">
        <v>0</v>
      </c>
      <c r="E2282" s="201">
        <v>0</v>
      </c>
      <c r="F2282">
        <v>62</v>
      </c>
      <c r="G2282">
        <v>0</v>
      </c>
      <c r="H2282">
        <v>0</v>
      </c>
      <c r="I2282">
        <v>0</v>
      </c>
      <c r="J2282">
        <v>50</v>
      </c>
      <c r="K2282" s="201">
        <v>0</v>
      </c>
    </row>
    <row r="2283" spans="1:11" x14ac:dyDescent="0.25">
      <c r="A2283"/>
      <c r="B2283" s="201">
        <v>18</v>
      </c>
      <c r="C2283">
        <v>0</v>
      </c>
      <c r="D2283" s="201">
        <v>0</v>
      </c>
      <c r="E2283" s="201">
        <v>0</v>
      </c>
      <c r="F2283">
        <v>0</v>
      </c>
      <c r="G2283">
        <v>0</v>
      </c>
      <c r="H2283">
        <v>2</v>
      </c>
      <c r="I2283">
        <v>0</v>
      </c>
      <c r="J2283">
        <v>-168</v>
      </c>
      <c r="K2283" s="201">
        <v>134</v>
      </c>
    </row>
    <row r="2284" spans="1:11" x14ac:dyDescent="0.25">
      <c r="A2284"/>
      <c r="B2284" s="201">
        <v>0</v>
      </c>
      <c r="C2284">
        <v>0</v>
      </c>
      <c r="D2284" s="201">
        <v>359</v>
      </c>
      <c r="E2284" s="201">
        <v>1955</v>
      </c>
      <c r="F2284">
        <v>0</v>
      </c>
      <c r="G2284">
        <v>43</v>
      </c>
      <c r="H2284">
        <v>0</v>
      </c>
      <c r="I2284">
        <v>0</v>
      </c>
      <c r="J2284">
        <v>0</v>
      </c>
      <c r="K2284" s="201">
        <v>0</v>
      </c>
    </row>
    <row r="2285" spans="1:11" x14ac:dyDescent="0.25">
      <c r="A2285"/>
      <c r="B2285" s="201">
        <v>8</v>
      </c>
      <c r="C2285">
        <v>640</v>
      </c>
      <c r="D2285" s="201">
        <v>383</v>
      </c>
      <c r="E2285" s="201">
        <v>0</v>
      </c>
      <c r="F2285">
        <v>0</v>
      </c>
      <c r="G2285">
        <v>-44</v>
      </c>
      <c r="H2285">
        <v>44</v>
      </c>
      <c r="I2285">
        <v>0</v>
      </c>
      <c r="J2285">
        <v>215</v>
      </c>
      <c r="K2285" s="201">
        <v>311</v>
      </c>
    </row>
    <row r="2286" spans="1:11" x14ac:dyDescent="0.25">
      <c r="A2286"/>
      <c r="B2286" s="201">
        <v>92</v>
      </c>
      <c r="C2286">
        <v>153</v>
      </c>
      <c r="D2286" s="201">
        <v>88</v>
      </c>
      <c r="E2286" s="201">
        <v>93</v>
      </c>
      <c r="F2286">
        <v>59</v>
      </c>
      <c r="G2286">
        <v>0</v>
      </c>
      <c r="H2286">
        <v>0</v>
      </c>
      <c r="I2286">
        <v>0</v>
      </c>
      <c r="J2286">
        <v>0</v>
      </c>
      <c r="K2286" s="201">
        <v>0</v>
      </c>
    </row>
    <row r="2287" spans="1:11" x14ac:dyDescent="0.25">
      <c r="A2287"/>
      <c r="B2287" s="201">
        <v>306</v>
      </c>
      <c r="C2287">
        <v>0</v>
      </c>
      <c r="D2287" s="201">
        <v>213</v>
      </c>
      <c r="E2287" s="201">
        <v>-5578</v>
      </c>
      <c r="F2287">
        <v>656</v>
      </c>
      <c r="G2287">
        <v>0</v>
      </c>
      <c r="H2287">
        <v>429</v>
      </c>
      <c r="I2287">
        <v>1944</v>
      </c>
      <c r="J2287">
        <v>179</v>
      </c>
      <c r="K2287" s="201">
        <v>248</v>
      </c>
    </row>
    <row r="2288" spans="1:11" x14ac:dyDescent="0.25">
      <c r="A2288"/>
      <c r="B2288" s="201">
        <v>112</v>
      </c>
      <c r="C2288">
        <v>0</v>
      </c>
      <c r="D2288" s="201">
        <v>-82</v>
      </c>
      <c r="E2288" s="201">
        <v>200</v>
      </c>
      <c r="F2288">
        <v>160</v>
      </c>
      <c r="G2288">
        <v>764</v>
      </c>
      <c r="H2288">
        <v>0</v>
      </c>
      <c r="I2288">
        <v>-260</v>
      </c>
      <c r="J2288">
        <v>-785</v>
      </c>
      <c r="K2288" s="201">
        <v>0</v>
      </c>
    </row>
    <row r="2289" spans="1:11" x14ac:dyDescent="0.25">
      <c r="A2289"/>
      <c r="B2289" s="201">
        <v>0</v>
      </c>
      <c r="C2289">
        <v>0</v>
      </c>
      <c r="D2289" s="201">
        <v>35</v>
      </c>
      <c r="E2289" s="201">
        <v>401</v>
      </c>
      <c r="F2289">
        <v>0</v>
      </c>
      <c r="G2289">
        <v>208</v>
      </c>
      <c r="H2289">
        <v>99</v>
      </c>
      <c r="I2289">
        <v>75</v>
      </c>
      <c r="J2289">
        <v>68</v>
      </c>
      <c r="K2289" s="201">
        <v>0</v>
      </c>
    </row>
    <row r="2290" spans="1:11" x14ac:dyDescent="0.25">
      <c r="A2290"/>
      <c r="B2290" s="201">
        <v>0</v>
      </c>
      <c r="C2290">
        <v>0</v>
      </c>
      <c r="D2290" s="201">
        <v>0</v>
      </c>
      <c r="E2290" s="201">
        <v>0</v>
      </c>
      <c r="F2290">
        <v>326</v>
      </c>
      <c r="G2290">
        <v>0</v>
      </c>
      <c r="H2290">
        <v>600</v>
      </c>
      <c r="I2290">
        <v>-7988</v>
      </c>
      <c r="J2290">
        <v>1096</v>
      </c>
      <c r="K2290" s="201">
        <v>0</v>
      </c>
    </row>
    <row r="2291" spans="1:11" x14ac:dyDescent="0.25">
      <c r="A2291"/>
      <c r="B2291" s="201">
        <v>544</v>
      </c>
      <c r="C2291">
        <v>1908</v>
      </c>
      <c r="D2291" s="201">
        <v>143</v>
      </c>
      <c r="E2291" s="201">
        <v>-95</v>
      </c>
      <c r="F2291">
        <v>46</v>
      </c>
      <c r="G2291">
        <v>-189</v>
      </c>
      <c r="H2291">
        <v>-163</v>
      </c>
      <c r="I2291">
        <v>202</v>
      </c>
      <c r="J2291">
        <v>0</v>
      </c>
      <c r="K2291" s="201">
        <v>464</v>
      </c>
    </row>
    <row r="2292" spans="1:11" x14ac:dyDescent="0.25">
      <c r="A2292"/>
      <c r="B2292" s="201">
        <v>0</v>
      </c>
      <c r="C2292">
        <v>0</v>
      </c>
      <c r="D2292" s="201">
        <v>-530</v>
      </c>
      <c r="E2292" s="201">
        <v>-12</v>
      </c>
      <c r="F2292">
        <v>0</v>
      </c>
      <c r="G2292">
        <v>82</v>
      </c>
      <c r="H2292">
        <v>0</v>
      </c>
      <c r="I2292">
        <v>0</v>
      </c>
      <c r="J2292">
        <v>42</v>
      </c>
      <c r="K2292" s="201">
        <v>0</v>
      </c>
    </row>
    <row r="2293" spans="1:11" x14ac:dyDescent="0.25">
      <c r="A2293"/>
      <c r="B2293" s="201">
        <v>81</v>
      </c>
      <c r="C2293">
        <v>57</v>
      </c>
      <c r="D2293" s="201">
        <v>-120</v>
      </c>
      <c r="E2293" s="201">
        <v>0</v>
      </c>
      <c r="F2293">
        <v>0</v>
      </c>
      <c r="G2293">
        <v>0</v>
      </c>
      <c r="H2293">
        <v>0</v>
      </c>
      <c r="I2293">
        <v>0</v>
      </c>
      <c r="J2293">
        <v>38</v>
      </c>
      <c r="K2293" s="201">
        <v>0</v>
      </c>
    </row>
    <row r="2294" spans="1:11" x14ac:dyDescent="0.25">
      <c r="A2294"/>
      <c r="B2294" s="201">
        <v>448</v>
      </c>
      <c r="C2294">
        <v>-3915</v>
      </c>
      <c r="D2294" s="201">
        <v>596</v>
      </c>
      <c r="E2294" s="201">
        <v>0</v>
      </c>
      <c r="F2294">
        <v>-6099</v>
      </c>
      <c r="G2294">
        <v>-1425</v>
      </c>
      <c r="H2294">
        <v>345</v>
      </c>
      <c r="I2294">
        <v>0</v>
      </c>
      <c r="J2294">
        <v>0</v>
      </c>
      <c r="K2294" s="201">
        <v>0</v>
      </c>
    </row>
    <row r="2295" spans="1:11" x14ac:dyDescent="0.25">
      <c r="A2295"/>
      <c r="B2295" s="201">
        <v>641</v>
      </c>
      <c r="C2295">
        <v>1499</v>
      </c>
      <c r="D2295" s="201">
        <v>-350</v>
      </c>
      <c r="E2295" s="201">
        <v>-7237</v>
      </c>
      <c r="F2295">
        <v>-2587</v>
      </c>
      <c r="G2295">
        <v>0</v>
      </c>
      <c r="H2295">
        <v>4528</v>
      </c>
      <c r="I2295">
        <v>0</v>
      </c>
      <c r="J2295">
        <v>0</v>
      </c>
      <c r="K2295" s="201">
        <v>1151</v>
      </c>
    </row>
    <row r="2296" spans="1:11" x14ac:dyDescent="0.25">
      <c r="A2296"/>
      <c r="B2296" s="201">
        <v>0</v>
      </c>
      <c r="C2296">
        <v>-232</v>
      </c>
      <c r="D2296" s="201">
        <v>0</v>
      </c>
      <c r="E2296" s="201">
        <v>720</v>
      </c>
      <c r="F2296">
        <v>0</v>
      </c>
      <c r="G2296">
        <v>0</v>
      </c>
      <c r="H2296">
        <v>0</v>
      </c>
      <c r="I2296">
        <v>0</v>
      </c>
      <c r="J2296">
        <v>0</v>
      </c>
      <c r="K2296" s="201">
        <v>0</v>
      </c>
    </row>
    <row r="2297" spans="1:11" x14ac:dyDescent="0.25">
      <c r="A2297"/>
      <c r="B2297" s="201">
        <v>0</v>
      </c>
      <c r="C2297">
        <v>0</v>
      </c>
      <c r="D2297" s="201">
        <v>-2247</v>
      </c>
      <c r="E2297" s="201">
        <v>0</v>
      </c>
      <c r="F2297">
        <v>-2316</v>
      </c>
      <c r="G2297">
        <v>1750</v>
      </c>
      <c r="H2297">
        <v>679</v>
      </c>
      <c r="I2297">
        <v>-233</v>
      </c>
      <c r="J2297">
        <v>-37</v>
      </c>
      <c r="K2297" s="201">
        <v>218</v>
      </c>
    </row>
    <row r="2298" spans="1:11" x14ac:dyDescent="0.25">
      <c r="A2298"/>
      <c r="B2298" s="201">
        <v>0</v>
      </c>
      <c r="C2298">
        <v>0</v>
      </c>
      <c r="D2298" s="201">
        <v>71</v>
      </c>
      <c r="E2298" s="201">
        <v>0</v>
      </c>
      <c r="F2298">
        <v>0</v>
      </c>
      <c r="G2298">
        <v>0</v>
      </c>
      <c r="H2298">
        <v>-128</v>
      </c>
      <c r="I2298">
        <v>-14</v>
      </c>
      <c r="J2298">
        <v>0</v>
      </c>
      <c r="K2298" s="201">
        <v>0</v>
      </c>
    </row>
    <row r="2299" spans="1:11" x14ac:dyDescent="0.25">
      <c r="A2299"/>
      <c r="B2299" s="201">
        <v>0</v>
      </c>
      <c r="C2299">
        <v>0</v>
      </c>
      <c r="D2299" s="201">
        <v>0</v>
      </c>
      <c r="E2299" s="201">
        <v>0</v>
      </c>
      <c r="F2299">
        <v>-5</v>
      </c>
      <c r="G2299">
        <v>0</v>
      </c>
      <c r="H2299">
        <v>0</v>
      </c>
      <c r="I2299">
        <v>108</v>
      </c>
      <c r="J2299">
        <v>0</v>
      </c>
      <c r="K2299" s="201">
        <v>-138</v>
      </c>
    </row>
    <row r="2300" spans="1:11" x14ac:dyDescent="0.25">
      <c r="A2300"/>
      <c r="B2300" s="201">
        <v>0</v>
      </c>
      <c r="C2300">
        <v>-31</v>
      </c>
      <c r="D2300" s="201">
        <v>575</v>
      </c>
      <c r="E2300" s="201">
        <v>-4799</v>
      </c>
      <c r="F2300">
        <v>0</v>
      </c>
      <c r="G2300">
        <v>33</v>
      </c>
      <c r="H2300">
        <v>337</v>
      </c>
      <c r="I2300">
        <v>9</v>
      </c>
      <c r="J2300">
        <v>-163</v>
      </c>
      <c r="K2300" s="201">
        <v>-82</v>
      </c>
    </row>
    <row r="2301" spans="1:11" x14ac:dyDescent="0.25">
      <c r="A2301"/>
      <c r="B2301" s="201">
        <v>-32</v>
      </c>
      <c r="C2301">
        <v>0</v>
      </c>
      <c r="D2301" s="201">
        <v>-15</v>
      </c>
      <c r="E2301" s="201">
        <v>0</v>
      </c>
      <c r="F2301">
        <v>0</v>
      </c>
      <c r="G2301">
        <v>0</v>
      </c>
      <c r="H2301">
        <v>0</v>
      </c>
      <c r="I2301">
        <v>0</v>
      </c>
      <c r="J2301">
        <v>-68</v>
      </c>
      <c r="K2301" s="201">
        <v>0</v>
      </c>
    </row>
    <row r="2302" spans="1:11" x14ac:dyDescent="0.25">
      <c r="A2302"/>
      <c r="B2302" s="201">
        <v>0</v>
      </c>
      <c r="C2302">
        <v>0</v>
      </c>
      <c r="D2302" s="201">
        <v>249</v>
      </c>
      <c r="E2302" s="201">
        <v>0</v>
      </c>
      <c r="F2302">
        <v>3</v>
      </c>
      <c r="G2302">
        <v>0</v>
      </c>
      <c r="H2302">
        <v>0</v>
      </c>
      <c r="I2302">
        <v>0</v>
      </c>
      <c r="J2302">
        <v>0</v>
      </c>
      <c r="K2302" s="201">
        <v>0</v>
      </c>
    </row>
    <row r="2303" spans="1:11" x14ac:dyDescent="0.25">
      <c r="A2303"/>
      <c r="B2303" s="201">
        <v>44</v>
      </c>
      <c r="C2303">
        <v>0</v>
      </c>
      <c r="D2303" s="201">
        <v>57</v>
      </c>
      <c r="E2303" s="201">
        <v>-48</v>
      </c>
      <c r="F2303">
        <v>0</v>
      </c>
      <c r="G2303">
        <v>0</v>
      </c>
      <c r="H2303">
        <v>196</v>
      </c>
      <c r="I2303">
        <v>785</v>
      </c>
      <c r="J2303">
        <v>0</v>
      </c>
      <c r="K2303" s="201">
        <v>-161</v>
      </c>
    </row>
    <row r="2304" spans="1:11" x14ac:dyDescent="0.25">
      <c r="A2304"/>
      <c r="B2304" s="201">
        <v>0</v>
      </c>
      <c r="C2304">
        <v>0</v>
      </c>
      <c r="D2304" s="201">
        <v>0</v>
      </c>
      <c r="E2304" s="201">
        <v>0</v>
      </c>
      <c r="F2304">
        <v>859</v>
      </c>
      <c r="G2304">
        <v>-422</v>
      </c>
      <c r="H2304">
        <v>-272</v>
      </c>
      <c r="I2304">
        <v>0</v>
      </c>
      <c r="J2304">
        <v>0</v>
      </c>
      <c r="K2304" s="201">
        <v>-107</v>
      </c>
    </row>
    <row r="2305" spans="1:11" x14ac:dyDescent="0.25">
      <c r="A2305"/>
      <c r="B2305" s="201">
        <v>-47</v>
      </c>
      <c r="C2305">
        <v>0</v>
      </c>
      <c r="D2305" s="201">
        <v>51</v>
      </c>
      <c r="E2305" s="201">
        <v>-249</v>
      </c>
      <c r="F2305">
        <v>107</v>
      </c>
      <c r="G2305">
        <v>334</v>
      </c>
      <c r="H2305">
        <v>62</v>
      </c>
      <c r="I2305">
        <v>-190</v>
      </c>
      <c r="J2305">
        <v>-241</v>
      </c>
      <c r="K2305" s="201">
        <v>0</v>
      </c>
    </row>
    <row r="2306" spans="1:11" x14ac:dyDescent="0.25">
      <c r="A2306"/>
      <c r="B2306" s="201">
        <v>0</v>
      </c>
      <c r="C2306">
        <v>0</v>
      </c>
      <c r="D2306" s="201">
        <v>0</v>
      </c>
      <c r="E2306" s="201">
        <v>0</v>
      </c>
      <c r="F2306">
        <v>436</v>
      </c>
      <c r="G2306">
        <v>0</v>
      </c>
      <c r="H2306">
        <v>277</v>
      </c>
      <c r="I2306">
        <v>867</v>
      </c>
      <c r="J2306">
        <v>-6021</v>
      </c>
      <c r="K2306" s="201">
        <v>0</v>
      </c>
    </row>
    <row r="2307" spans="1:11" x14ac:dyDescent="0.25">
      <c r="A2307"/>
      <c r="B2307" s="201">
        <v>555</v>
      </c>
      <c r="C2307">
        <v>1233</v>
      </c>
      <c r="D2307" s="201">
        <v>-184</v>
      </c>
      <c r="E2307" s="201">
        <v>142</v>
      </c>
      <c r="F2307">
        <v>1</v>
      </c>
      <c r="G2307">
        <v>0</v>
      </c>
      <c r="H2307">
        <v>614</v>
      </c>
      <c r="I2307">
        <v>1487</v>
      </c>
      <c r="J2307">
        <v>1890</v>
      </c>
      <c r="K2307" s="201">
        <v>-500</v>
      </c>
    </row>
    <row r="2308" spans="1:11" x14ac:dyDescent="0.25">
      <c r="A2308"/>
      <c r="B2308" s="201">
        <v>0</v>
      </c>
      <c r="C2308">
        <v>38</v>
      </c>
      <c r="D2308" s="201">
        <v>-574</v>
      </c>
      <c r="E2308" s="201">
        <v>0</v>
      </c>
      <c r="F2308">
        <v>0</v>
      </c>
      <c r="G2308">
        <v>0</v>
      </c>
      <c r="H2308">
        <v>57</v>
      </c>
      <c r="I2308">
        <v>-49</v>
      </c>
      <c r="J2308">
        <v>0</v>
      </c>
      <c r="K2308" s="201">
        <v>649</v>
      </c>
    </row>
    <row r="2309" spans="1:11" x14ac:dyDescent="0.25">
      <c r="A2309"/>
      <c r="B2309" s="201">
        <v>455</v>
      </c>
      <c r="C2309">
        <v>154</v>
      </c>
      <c r="D2309" s="201">
        <v>137</v>
      </c>
      <c r="E2309" s="201">
        <v>0</v>
      </c>
      <c r="F2309">
        <v>0</v>
      </c>
      <c r="G2309">
        <v>0</v>
      </c>
      <c r="H2309">
        <v>0</v>
      </c>
      <c r="I2309">
        <v>0</v>
      </c>
      <c r="J2309">
        <v>74</v>
      </c>
      <c r="K2309" s="201">
        <v>0</v>
      </c>
    </row>
    <row r="2310" spans="1:11" x14ac:dyDescent="0.25">
      <c r="A2310"/>
      <c r="B2310" s="201">
        <v>-296</v>
      </c>
      <c r="C2310">
        <v>1260</v>
      </c>
      <c r="D2310" s="201">
        <v>-9446</v>
      </c>
      <c r="E2310" s="201">
        <v>0</v>
      </c>
      <c r="F2310">
        <v>229</v>
      </c>
      <c r="G2310">
        <v>1191</v>
      </c>
      <c r="H2310">
        <v>-222</v>
      </c>
      <c r="I2310">
        <v>-241</v>
      </c>
      <c r="J2310">
        <v>-182</v>
      </c>
      <c r="K2310" s="201">
        <v>-94</v>
      </c>
    </row>
    <row r="2311" spans="1:11" x14ac:dyDescent="0.25">
      <c r="A2311"/>
      <c r="B2311" s="201">
        <v>-106</v>
      </c>
      <c r="C2311">
        <v>339</v>
      </c>
      <c r="D2311" s="201">
        <v>0</v>
      </c>
      <c r="E2311" s="201">
        <v>-227</v>
      </c>
      <c r="F2311">
        <v>0</v>
      </c>
      <c r="G2311">
        <v>0</v>
      </c>
      <c r="H2311">
        <v>-264</v>
      </c>
      <c r="I2311">
        <v>87</v>
      </c>
      <c r="J2311">
        <v>0</v>
      </c>
      <c r="K2311" s="201">
        <v>-217</v>
      </c>
    </row>
    <row r="2312" spans="1:11" x14ac:dyDescent="0.25">
      <c r="A2312"/>
      <c r="B2312" s="201">
        <v>0</v>
      </c>
      <c r="C2312">
        <v>0</v>
      </c>
      <c r="D2312" s="201">
        <v>191</v>
      </c>
      <c r="E2312" s="201">
        <v>0</v>
      </c>
      <c r="F2312">
        <v>234</v>
      </c>
      <c r="G2312">
        <v>-85</v>
      </c>
      <c r="H2312">
        <v>-139</v>
      </c>
      <c r="I2312">
        <v>0</v>
      </c>
      <c r="J2312">
        <v>0</v>
      </c>
      <c r="K2312" s="201">
        <v>0</v>
      </c>
    </row>
    <row r="2313" spans="1:11" x14ac:dyDescent="0.25">
      <c r="A2313"/>
      <c r="B2313" s="201">
        <v>0</v>
      </c>
      <c r="C2313">
        <v>0</v>
      </c>
      <c r="D2313" s="201">
        <v>194</v>
      </c>
      <c r="E2313" s="201">
        <v>0</v>
      </c>
      <c r="F2313">
        <v>-454</v>
      </c>
      <c r="G2313">
        <v>788</v>
      </c>
      <c r="H2313">
        <v>-4438</v>
      </c>
      <c r="I2313">
        <v>0</v>
      </c>
      <c r="J2313">
        <v>-13170</v>
      </c>
      <c r="K2313" s="201">
        <v>-9615</v>
      </c>
    </row>
    <row r="2314" spans="1:11" x14ac:dyDescent="0.25">
      <c r="A2314"/>
      <c r="B2314" s="201">
        <v>1678</v>
      </c>
      <c r="C2314">
        <v>0</v>
      </c>
      <c r="D2314" s="201">
        <v>0</v>
      </c>
      <c r="E2314" s="201">
        <v>0</v>
      </c>
      <c r="F2314">
        <v>-8911</v>
      </c>
      <c r="G2314">
        <v>-13516</v>
      </c>
      <c r="H2314">
        <v>-17328</v>
      </c>
      <c r="I2314">
        <v>6916</v>
      </c>
      <c r="J2314">
        <v>4837</v>
      </c>
      <c r="K2314" s="201">
        <v>0</v>
      </c>
    </row>
    <row r="2315" spans="1:11" x14ac:dyDescent="0.25">
      <c r="A2315"/>
      <c r="B2315" s="201">
        <v>7401</v>
      </c>
      <c r="C2315">
        <v>0</v>
      </c>
      <c r="D2315" s="201">
        <v>0</v>
      </c>
      <c r="E2315" s="201">
        <v>4469</v>
      </c>
      <c r="F2315">
        <v>0</v>
      </c>
      <c r="G2315">
        <v>4299</v>
      </c>
      <c r="H2315">
        <v>0</v>
      </c>
      <c r="I2315">
        <v>-4681</v>
      </c>
      <c r="J2315">
        <v>0</v>
      </c>
      <c r="K2315" s="201">
        <v>0</v>
      </c>
    </row>
    <row r="2316" spans="1:11" x14ac:dyDescent="0.25">
      <c r="A2316"/>
      <c r="B2316" s="201">
        <v>0</v>
      </c>
      <c r="C2316">
        <v>0</v>
      </c>
      <c r="D2316" s="201">
        <v>0</v>
      </c>
      <c r="E2316" s="201">
        <v>0</v>
      </c>
      <c r="F2316">
        <v>0</v>
      </c>
      <c r="G2316">
        <v>0</v>
      </c>
      <c r="H2316">
        <v>1798</v>
      </c>
      <c r="I2316">
        <v>0</v>
      </c>
      <c r="J2316">
        <v>3413</v>
      </c>
      <c r="K2316" s="201">
        <v>-8964</v>
      </c>
    </row>
    <row r="2317" spans="1:11" x14ac:dyDescent="0.25">
      <c r="A2317"/>
      <c r="B2317" s="201">
        <v>0</v>
      </c>
      <c r="C2317">
        <v>0</v>
      </c>
      <c r="D2317" s="201">
        <v>0</v>
      </c>
      <c r="E2317" s="201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 s="201">
        <v>0</v>
      </c>
    </row>
    <row r="2318" spans="1:11" x14ac:dyDescent="0.25">
      <c r="A2318"/>
      <c r="B2318" s="201">
        <v>0</v>
      </c>
      <c r="C2318">
        <v>0</v>
      </c>
      <c r="D2318" s="201">
        <v>0</v>
      </c>
      <c r="E2318" s="201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 s="201">
        <v>0</v>
      </c>
    </row>
    <row r="2319" spans="1:11" x14ac:dyDescent="0.25">
      <c r="A2319"/>
      <c r="B2319" s="201">
        <v>0</v>
      </c>
      <c r="C2319">
        <v>0</v>
      </c>
      <c r="D2319" s="201">
        <v>0</v>
      </c>
      <c r="E2319" s="201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 s="201">
        <v>0</v>
      </c>
    </row>
    <row r="2320" spans="1:11" x14ac:dyDescent="0.25">
      <c r="A2320"/>
      <c r="B2320" s="201">
        <v>0</v>
      </c>
      <c r="C2320">
        <v>0</v>
      </c>
      <c r="D2320" s="201">
        <v>0</v>
      </c>
      <c r="E2320" s="201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 s="201">
        <v>0</v>
      </c>
    </row>
    <row r="2321" spans="1:11" x14ac:dyDescent="0.25">
      <c r="A2321"/>
      <c r="B2321" s="201">
        <v>0</v>
      </c>
      <c r="C2321">
        <v>0</v>
      </c>
      <c r="D2321" s="201">
        <v>0</v>
      </c>
      <c r="E2321" s="20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 s="201">
        <v>0</v>
      </c>
    </row>
    <row r="2322" spans="1:11" x14ac:dyDescent="0.25">
      <c r="A2322"/>
      <c r="B2322" s="201">
        <v>0</v>
      </c>
      <c r="C2322">
        <v>0</v>
      </c>
      <c r="D2322" s="201">
        <v>0</v>
      </c>
      <c r="E2322" s="201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 s="201">
        <v>0</v>
      </c>
    </row>
    <row r="2323" spans="1:11" x14ac:dyDescent="0.25">
      <c r="A2323"/>
      <c r="B2323" s="201">
        <v>0</v>
      </c>
      <c r="C2323">
        <v>0</v>
      </c>
      <c r="D2323" s="201">
        <v>0</v>
      </c>
      <c r="E2323" s="201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 s="201">
        <v>0</v>
      </c>
    </row>
    <row r="2324" spans="1:11" x14ac:dyDescent="0.25">
      <c r="A2324"/>
      <c r="B2324" s="201">
        <v>0</v>
      </c>
      <c r="C2324">
        <v>0</v>
      </c>
      <c r="D2324" s="201">
        <v>0</v>
      </c>
      <c r="E2324" s="201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 s="201">
        <v>0</v>
      </c>
    </row>
    <row r="2325" spans="1:11" x14ac:dyDescent="0.25">
      <c r="A2325"/>
      <c r="B2325" s="201">
        <v>0</v>
      </c>
      <c r="C2325">
        <v>0</v>
      </c>
      <c r="D2325" s="201">
        <v>0</v>
      </c>
      <c r="E2325" s="201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 s="201">
        <v>0</v>
      </c>
    </row>
    <row r="2326" spans="1:11" x14ac:dyDescent="0.25">
      <c r="A2326"/>
      <c r="B2326" s="201">
        <v>0</v>
      </c>
      <c r="C2326">
        <v>0</v>
      </c>
      <c r="D2326" s="201">
        <v>0</v>
      </c>
      <c r="E2326" s="201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 s="201">
        <v>0</v>
      </c>
    </row>
    <row r="2327" spans="1:11" x14ac:dyDescent="0.25">
      <c r="A2327"/>
      <c r="B2327" s="201">
        <v>0</v>
      </c>
      <c r="C2327">
        <v>0</v>
      </c>
      <c r="D2327" s="201">
        <v>0</v>
      </c>
      <c r="E2327" s="201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 s="201">
        <v>0</v>
      </c>
    </row>
    <row r="2328" spans="1:11" x14ac:dyDescent="0.25">
      <c r="A2328"/>
      <c r="B2328" s="201">
        <v>0</v>
      </c>
      <c r="C2328">
        <v>0</v>
      </c>
      <c r="D2328" s="201">
        <v>0</v>
      </c>
      <c r="E2328" s="201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 s="201">
        <v>0</v>
      </c>
    </row>
    <row r="2329" spans="1:11" x14ac:dyDescent="0.25">
      <c r="A2329"/>
      <c r="B2329" s="201">
        <v>0</v>
      </c>
      <c r="C2329">
        <v>0</v>
      </c>
      <c r="D2329" s="201">
        <v>0</v>
      </c>
      <c r="E2329" s="201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 s="201">
        <v>0</v>
      </c>
    </row>
    <row r="2330" spans="1:11" x14ac:dyDescent="0.25">
      <c r="A2330"/>
      <c r="B2330" s="201">
        <v>0</v>
      </c>
      <c r="C2330">
        <v>0</v>
      </c>
      <c r="D2330" s="201">
        <v>0</v>
      </c>
      <c r="E2330" s="201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 s="201">
        <v>0</v>
      </c>
    </row>
    <row r="2331" spans="1:11" x14ac:dyDescent="0.25">
      <c r="A2331"/>
      <c r="B2331" s="201">
        <v>0</v>
      </c>
      <c r="C2331">
        <v>0</v>
      </c>
      <c r="D2331" s="201">
        <v>0</v>
      </c>
      <c r="E2331" s="20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 s="201">
        <v>0</v>
      </c>
    </row>
    <row r="2332" spans="1:11" x14ac:dyDescent="0.25">
      <c r="A2332"/>
      <c r="B2332" s="201">
        <v>0</v>
      </c>
      <c r="C2332">
        <v>0</v>
      </c>
      <c r="D2332" s="201">
        <v>0</v>
      </c>
      <c r="E2332" s="201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 s="201">
        <v>0</v>
      </c>
    </row>
    <row r="2333" spans="1:11" x14ac:dyDescent="0.25">
      <c r="A2333"/>
      <c r="B2333" s="201">
        <v>0</v>
      </c>
      <c r="C2333">
        <v>0</v>
      </c>
      <c r="D2333" s="201">
        <v>0</v>
      </c>
      <c r="E2333" s="201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 s="201">
        <v>0</v>
      </c>
    </row>
    <row r="2334" spans="1:11" x14ac:dyDescent="0.25">
      <c r="A2334"/>
      <c r="B2334" s="201">
        <v>0</v>
      </c>
      <c r="C2334">
        <v>0</v>
      </c>
      <c r="D2334" s="201">
        <v>0</v>
      </c>
      <c r="E2334" s="201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 s="201">
        <v>0</v>
      </c>
    </row>
    <row r="2335" spans="1:11" x14ac:dyDescent="0.25">
      <c r="A2335"/>
      <c r="B2335" s="201">
        <v>0</v>
      </c>
      <c r="C2335">
        <v>0</v>
      </c>
      <c r="D2335" s="201">
        <v>0</v>
      </c>
      <c r="E2335" s="201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 s="201">
        <v>0</v>
      </c>
    </row>
    <row r="2336" spans="1:11" x14ac:dyDescent="0.25">
      <c r="A2336"/>
      <c r="B2336" s="201">
        <v>0</v>
      </c>
      <c r="C2336">
        <v>0</v>
      </c>
      <c r="D2336" s="201">
        <v>0</v>
      </c>
      <c r="E2336" s="201">
        <v>0</v>
      </c>
      <c r="F2336">
        <v>0</v>
      </c>
      <c r="G2336">
        <v>0</v>
      </c>
      <c r="H2336">
        <v>1067</v>
      </c>
      <c r="I2336">
        <v>-226</v>
      </c>
      <c r="J2336">
        <v>1383</v>
      </c>
      <c r="K2336" s="201">
        <v>755</v>
      </c>
    </row>
    <row r="2337" spans="1:11" x14ac:dyDescent="0.25">
      <c r="A2337"/>
      <c r="B2337" s="201">
        <v>976</v>
      </c>
      <c r="C2337">
        <v>0</v>
      </c>
      <c r="D2337" s="201">
        <v>0</v>
      </c>
      <c r="E2337" s="201">
        <v>64</v>
      </c>
      <c r="F2337">
        <v>0</v>
      </c>
      <c r="G2337">
        <v>0</v>
      </c>
      <c r="H2337">
        <v>0</v>
      </c>
      <c r="I2337">
        <v>-226</v>
      </c>
      <c r="J2337">
        <v>31</v>
      </c>
      <c r="K2337" s="201">
        <v>0</v>
      </c>
    </row>
    <row r="2338" spans="1:11" x14ac:dyDescent="0.25">
      <c r="A2338"/>
      <c r="B2338" s="201">
        <v>0</v>
      </c>
      <c r="C2338">
        <v>0</v>
      </c>
      <c r="D2338" s="201">
        <v>0</v>
      </c>
      <c r="E2338" s="201">
        <v>0</v>
      </c>
      <c r="F2338">
        <v>0</v>
      </c>
      <c r="G2338">
        <v>470</v>
      </c>
      <c r="H2338">
        <v>0</v>
      </c>
      <c r="I2338">
        <v>0</v>
      </c>
      <c r="J2338">
        <v>-195</v>
      </c>
      <c r="K2338" s="201">
        <v>0</v>
      </c>
    </row>
    <row r="2339" spans="1:11" x14ac:dyDescent="0.25">
      <c r="B2339" s="201">
        <v>-180</v>
      </c>
      <c r="C2339">
        <v>0</v>
      </c>
      <c r="D2339" s="201">
        <v>-335</v>
      </c>
      <c r="E2339" s="201">
        <v>-645</v>
      </c>
      <c r="F2339">
        <v>183</v>
      </c>
      <c r="G2339">
        <v>0</v>
      </c>
      <c r="H2339">
        <v>152</v>
      </c>
      <c r="I2339">
        <v>-842</v>
      </c>
      <c r="J2339">
        <v>165</v>
      </c>
      <c r="K2339" s="201">
        <v>1064</v>
      </c>
    </row>
    <row r="2340" spans="1:11" x14ac:dyDescent="0.25">
      <c r="A2340"/>
      <c r="B2340" s="201">
        <v>2850</v>
      </c>
      <c r="C2340">
        <v>2419</v>
      </c>
      <c r="D2340" s="201">
        <v>0</v>
      </c>
      <c r="E2340" s="201">
        <v>-748</v>
      </c>
      <c r="F2340">
        <v>0</v>
      </c>
      <c r="G2340">
        <v>0</v>
      </c>
      <c r="H2340">
        <v>0</v>
      </c>
      <c r="I2340">
        <v>0</v>
      </c>
      <c r="J2340">
        <v>0</v>
      </c>
      <c r="K2340" s="201">
        <v>-58</v>
      </c>
    </row>
    <row r="2341" spans="1:11" x14ac:dyDescent="0.25">
      <c r="A2341"/>
      <c r="B2341" s="201">
        <v>0</v>
      </c>
      <c r="C2341">
        <v>0</v>
      </c>
      <c r="D2341" s="201">
        <v>0</v>
      </c>
      <c r="E2341" s="201">
        <v>540</v>
      </c>
      <c r="F2341">
        <v>0</v>
      </c>
      <c r="G2341">
        <v>-132</v>
      </c>
      <c r="H2341">
        <v>0</v>
      </c>
      <c r="I2341">
        <v>0</v>
      </c>
      <c r="J2341">
        <v>0</v>
      </c>
      <c r="K2341" s="201">
        <v>0</v>
      </c>
    </row>
    <row r="2342" spans="1:11" x14ac:dyDescent="0.25">
      <c r="A2342"/>
      <c r="B2342" s="201">
        <v>0</v>
      </c>
      <c r="C2342">
        <v>-1310</v>
      </c>
      <c r="D2342" s="201">
        <v>0</v>
      </c>
      <c r="E2342" s="201">
        <v>584</v>
      </c>
      <c r="F2342">
        <v>-1872</v>
      </c>
      <c r="G2342">
        <v>0</v>
      </c>
      <c r="H2342">
        <v>0</v>
      </c>
      <c r="I2342">
        <v>5623</v>
      </c>
      <c r="J2342">
        <v>246</v>
      </c>
      <c r="K2342" s="201">
        <v>0</v>
      </c>
    </row>
    <row r="2343" spans="1:11" x14ac:dyDescent="0.25">
      <c r="A2343"/>
      <c r="B2343" s="201">
        <v>1576</v>
      </c>
      <c r="C2343">
        <v>0</v>
      </c>
      <c r="D2343" s="201">
        <v>0</v>
      </c>
      <c r="E2343" s="201">
        <v>0</v>
      </c>
      <c r="F2343">
        <v>0</v>
      </c>
      <c r="G2343">
        <v>1719</v>
      </c>
      <c r="H2343">
        <v>70</v>
      </c>
      <c r="I2343">
        <v>77</v>
      </c>
      <c r="J2343">
        <v>0</v>
      </c>
      <c r="K2343" s="201">
        <v>0</v>
      </c>
    </row>
    <row r="2344" spans="1:11" x14ac:dyDescent="0.25">
      <c r="A2344"/>
      <c r="B2344" s="201">
        <v>-623</v>
      </c>
      <c r="C2344">
        <v>-577</v>
      </c>
      <c r="D2344" s="201">
        <v>0</v>
      </c>
      <c r="E2344" s="201">
        <v>125</v>
      </c>
      <c r="F2344">
        <v>436</v>
      </c>
      <c r="G2344">
        <v>-29</v>
      </c>
      <c r="H2344">
        <v>353</v>
      </c>
      <c r="I2344">
        <v>-57</v>
      </c>
      <c r="J2344">
        <v>-372</v>
      </c>
      <c r="K2344" s="201">
        <v>312</v>
      </c>
    </row>
    <row r="2345" spans="1:11" x14ac:dyDescent="0.25">
      <c r="A2345"/>
      <c r="B2345" s="201">
        <v>0</v>
      </c>
      <c r="C2345">
        <v>0</v>
      </c>
      <c r="D2345" s="201">
        <v>0</v>
      </c>
      <c r="E2345" s="201">
        <v>0</v>
      </c>
      <c r="F2345">
        <v>0</v>
      </c>
      <c r="G2345">
        <v>-385</v>
      </c>
      <c r="H2345">
        <v>0</v>
      </c>
      <c r="I2345">
        <v>-2382</v>
      </c>
      <c r="J2345">
        <v>-583</v>
      </c>
      <c r="K2345" s="201">
        <v>173</v>
      </c>
    </row>
    <row r="2346" spans="1:11" x14ac:dyDescent="0.25">
      <c r="A2346"/>
      <c r="B2346" s="201">
        <v>0</v>
      </c>
      <c r="C2346">
        <v>9997</v>
      </c>
      <c r="D2346" s="201">
        <v>-3913</v>
      </c>
      <c r="E2346" s="201">
        <v>1092</v>
      </c>
      <c r="F2346">
        <v>2099</v>
      </c>
      <c r="G2346">
        <v>1806</v>
      </c>
      <c r="H2346">
        <v>0</v>
      </c>
      <c r="I2346">
        <v>343</v>
      </c>
      <c r="J2346">
        <v>-143</v>
      </c>
      <c r="K2346" s="201">
        <v>969</v>
      </c>
    </row>
    <row r="2347" spans="1:11" x14ac:dyDescent="0.25">
      <c r="A2347"/>
      <c r="B2347" s="201">
        <v>-499</v>
      </c>
      <c r="C2347">
        <v>0</v>
      </c>
      <c r="D2347" s="201">
        <v>192</v>
      </c>
      <c r="E2347" s="201">
        <v>1764</v>
      </c>
      <c r="F2347">
        <v>0</v>
      </c>
      <c r="G2347">
        <v>0</v>
      </c>
      <c r="H2347">
        <v>0</v>
      </c>
      <c r="I2347">
        <v>53</v>
      </c>
      <c r="J2347">
        <v>117</v>
      </c>
      <c r="K2347" s="201">
        <v>0</v>
      </c>
    </row>
    <row r="2348" spans="1:11" x14ac:dyDescent="0.25">
      <c r="A2348"/>
      <c r="B2348" s="201">
        <v>208</v>
      </c>
      <c r="C2348">
        <v>207</v>
      </c>
      <c r="D2348" s="201">
        <v>-206</v>
      </c>
      <c r="E2348" s="201">
        <v>1</v>
      </c>
      <c r="F2348">
        <v>0</v>
      </c>
      <c r="G2348">
        <v>0</v>
      </c>
      <c r="H2348">
        <v>0</v>
      </c>
      <c r="I2348">
        <v>0</v>
      </c>
      <c r="J2348">
        <v>0</v>
      </c>
      <c r="K2348" s="201">
        <v>-4969</v>
      </c>
    </row>
    <row r="2349" spans="1:11" x14ac:dyDescent="0.25">
      <c r="A2349"/>
      <c r="B2349" s="201">
        <v>0</v>
      </c>
      <c r="C2349">
        <v>2791</v>
      </c>
      <c r="D2349" s="201">
        <v>-600</v>
      </c>
      <c r="E2349" s="201">
        <v>182</v>
      </c>
      <c r="F2349">
        <v>0</v>
      </c>
      <c r="G2349">
        <v>7866</v>
      </c>
      <c r="H2349">
        <v>-5335</v>
      </c>
      <c r="I2349">
        <v>847</v>
      </c>
      <c r="J2349">
        <v>1650</v>
      </c>
      <c r="K2349" s="201">
        <v>1371</v>
      </c>
    </row>
    <row r="2350" spans="1:11" x14ac:dyDescent="0.25">
      <c r="A2350"/>
      <c r="B2350" s="201">
        <v>-355</v>
      </c>
      <c r="C2350">
        <v>-83</v>
      </c>
      <c r="D2350" s="201">
        <v>-638</v>
      </c>
      <c r="E2350" s="201">
        <v>0</v>
      </c>
      <c r="F2350">
        <v>-82</v>
      </c>
      <c r="G2350">
        <v>0</v>
      </c>
      <c r="H2350">
        <v>0</v>
      </c>
      <c r="I2350">
        <v>1469</v>
      </c>
      <c r="J2350">
        <v>-437</v>
      </c>
      <c r="K2350" s="201">
        <v>0</v>
      </c>
    </row>
    <row r="2351" spans="1:11" x14ac:dyDescent="0.25">
      <c r="A2351"/>
      <c r="B2351" s="201">
        <v>153</v>
      </c>
      <c r="C2351">
        <v>0</v>
      </c>
      <c r="D2351" s="201">
        <v>0</v>
      </c>
      <c r="E2351" s="201">
        <v>-7</v>
      </c>
      <c r="F2351">
        <v>0</v>
      </c>
      <c r="G2351">
        <v>36</v>
      </c>
      <c r="H2351">
        <v>-299</v>
      </c>
      <c r="I2351">
        <v>-35</v>
      </c>
      <c r="J2351">
        <v>0</v>
      </c>
      <c r="K2351" s="201">
        <v>0</v>
      </c>
    </row>
    <row r="2352" spans="1:11" x14ac:dyDescent="0.25">
      <c r="A2352"/>
      <c r="B2352" s="201">
        <v>0</v>
      </c>
      <c r="C2352">
        <v>0</v>
      </c>
      <c r="D2352" s="201">
        <v>0</v>
      </c>
      <c r="E2352" s="201">
        <v>-2857</v>
      </c>
      <c r="F2352">
        <v>0</v>
      </c>
      <c r="G2352">
        <v>4833</v>
      </c>
      <c r="H2352">
        <v>-382</v>
      </c>
      <c r="I2352">
        <v>352</v>
      </c>
      <c r="J2352">
        <v>0</v>
      </c>
      <c r="K2352" s="201">
        <v>9323</v>
      </c>
    </row>
    <row r="2353" spans="1:11" x14ac:dyDescent="0.25">
      <c r="A2353"/>
      <c r="B2353" s="201">
        <v>-4410</v>
      </c>
      <c r="C2353">
        <v>71</v>
      </c>
      <c r="D2353" s="201">
        <v>0</v>
      </c>
      <c r="E2353" s="201">
        <v>0</v>
      </c>
      <c r="F2353">
        <v>0</v>
      </c>
      <c r="G2353">
        <v>-530</v>
      </c>
      <c r="H2353">
        <v>-1640</v>
      </c>
      <c r="I2353">
        <v>251</v>
      </c>
      <c r="J2353">
        <v>317</v>
      </c>
      <c r="K2353" s="201">
        <v>344</v>
      </c>
    </row>
    <row r="2354" spans="1:11" x14ac:dyDescent="0.25">
      <c r="A2354"/>
      <c r="B2354" s="201">
        <v>0</v>
      </c>
      <c r="C2354">
        <v>1010</v>
      </c>
      <c r="D2354" s="201">
        <v>0</v>
      </c>
      <c r="E2354" s="201">
        <v>0</v>
      </c>
      <c r="F2354">
        <v>526</v>
      </c>
      <c r="G2354">
        <v>0</v>
      </c>
      <c r="H2354">
        <v>271</v>
      </c>
      <c r="I2354">
        <v>0</v>
      </c>
      <c r="J2354">
        <v>341</v>
      </c>
      <c r="K2354" s="201">
        <v>0</v>
      </c>
    </row>
    <row r="2355" spans="1:11" x14ac:dyDescent="0.25">
      <c r="A2355"/>
      <c r="B2355" s="201">
        <v>0</v>
      </c>
      <c r="C2355">
        <v>0</v>
      </c>
      <c r="D2355" s="201">
        <v>0</v>
      </c>
      <c r="E2355" s="201">
        <v>0</v>
      </c>
      <c r="F2355">
        <v>0</v>
      </c>
      <c r="G2355">
        <v>0</v>
      </c>
      <c r="H2355">
        <v>0</v>
      </c>
      <c r="I2355">
        <v>-3634</v>
      </c>
      <c r="J2355">
        <v>0</v>
      </c>
      <c r="K2355" s="201">
        <v>4365</v>
      </c>
    </row>
    <row r="2356" spans="1:11" x14ac:dyDescent="0.25">
      <c r="A2356"/>
      <c r="B2356" s="201">
        <v>420</v>
      </c>
      <c r="C2356">
        <v>697</v>
      </c>
      <c r="D2356" s="201">
        <v>0</v>
      </c>
      <c r="E2356" s="201">
        <v>84</v>
      </c>
      <c r="F2356">
        <v>34083</v>
      </c>
      <c r="G2356">
        <v>333</v>
      </c>
      <c r="H2356">
        <v>59</v>
      </c>
      <c r="I2356">
        <v>966</v>
      </c>
      <c r="J2356">
        <v>0</v>
      </c>
      <c r="K2356" s="201">
        <v>0</v>
      </c>
    </row>
    <row r="2357" spans="1:11" x14ac:dyDescent="0.25">
      <c r="A2357"/>
      <c r="B2357" s="201">
        <v>88</v>
      </c>
      <c r="C2357">
        <v>0</v>
      </c>
      <c r="D2357" s="201">
        <v>0</v>
      </c>
      <c r="E2357" s="201">
        <v>0</v>
      </c>
      <c r="F2357">
        <v>-78</v>
      </c>
      <c r="G2357">
        <v>-91</v>
      </c>
      <c r="H2357">
        <v>0</v>
      </c>
      <c r="I2357">
        <v>0</v>
      </c>
      <c r="J2357">
        <v>0</v>
      </c>
      <c r="K2357" s="201">
        <v>0</v>
      </c>
    </row>
    <row r="2358" spans="1:11" x14ac:dyDescent="0.25">
      <c r="A2358"/>
      <c r="B2358" s="201">
        <v>0</v>
      </c>
      <c r="C2358">
        <v>0</v>
      </c>
      <c r="D2358" s="201">
        <v>111</v>
      </c>
      <c r="E2358" s="201">
        <v>0</v>
      </c>
      <c r="F2358">
        <v>0</v>
      </c>
      <c r="G2358">
        <v>-53</v>
      </c>
      <c r="H2358">
        <v>0</v>
      </c>
      <c r="I2358">
        <v>33</v>
      </c>
      <c r="J2358">
        <v>0</v>
      </c>
      <c r="K2358" s="201">
        <v>-257</v>
      </c>
    </row>
    <row r="2359" spans="1:11" x14ac:dyDescent="0.25">
      <c r="A2359"/>
      <c r="B2359" s="201">
        <v>-126</v>
      </c>
      <c r="C2359">
        <v>-109</v>
      </c>
      <c r="D2359" s="201">
        <v>0</v>
      </c>
      <c r="E2359" s="201">
        <v>-71</v>
      </c>
      <c r="F2359">
        <v>29531</v>
      </c>
      <c r="G2359">
        <v>326</v>
      </c>
      <c r="H2359">
        <v>459</v>
      </c>
      <c r="I2359">
        <v>-477</v>
      </c>
      <c r="J2359">
        <v>-1020</v>
      </c>
      <c r="K2359" s="201">
        <v>0</v>
      </c>
    </row>
    <row r="2360" spans="1:11" x14ac:dyDescent="0.25">
      <c r="A2360"/>
      <c r="B2360" s="201">
        <v>134</v>
      </c>
      <c r="C2360">
        <v>0</v>
      </c>
      <c r="D2360" s="201">
        <v>0</v>
      </c>
      <c r="E2360" s="201">
        <v>0</v>
      </c>
      <c r="F2360">
        <v>0</v>
      </c>
      <c r="G2360">
        <v>0</v>
      </c>
      <c r="H2360">
        <v>-69</v>
      </c>
      <c r="I2360">
        <v>0</v>
      </c>
      <c r="J2360">
        <v>0</v>
      </c>
      <c r="K2360" s="201">
        <v>0</v>
      </c>
    </row>
    <row r="2361" spans="1:11" x14ac:dyDescent="0.25">
      <c r="A2361"/>
      <c r="B2361" s="201">
        <v>48</v>
      </c>
      <c r="C2361">
        <v>0</v>
      </c>
      <c r="D2361" s="201">
        <v>-92</v>
      </c>
      <c r="E2361" s="201">
        <v>0</v>
      </c>
      <c r="F2361">
        <v>0</v>
      </c>
      <c r="G2361">
        <v>0</v>
      </c>
      <c r="H2361">
        <v>0</v>
      </c>
      <c r="I2361">
        <v>0</v>
      </c>
      <c r="J2361">
        <v>-627</v>
      </c>
      <c r="K2361" s="201">
        <v>0</v>
      </c>
    </row>
    <row r="2362" spans="1:11" x14ac:dyDescent="0.25">
      <c r="A2362"/>
      <c r="B2362" s="201">
        <v>-487</v>
      </c>
      <c r="C2362">
        <v>381</v>
      </c>
      <c r="D2362" s="201">
        <v>0</v>
      </c>
      <c r="E2362" s="201">
        <v>0</v>
      </c>
      <c r="F2362">
        <v>326</v>
      </c>
      <c r="G2362">
        <v>36762</v>
      </c>
      <c r="H2362">
        <v>0</v>
      </c>
      <c r="I2362">
        <v>-373</v>
      </c>
      <c r="J2362">
        <v>0</v>
      </c>
      <c r="K2362" s="201">
        <v>0</v>
      </c>
    </row>
    <row r="2363" spans="1:11" x14ac:dyDescent="0.25">
      <c r="A2363"/>
      <c r="B2363" s="201">
        <v>0</v>
      </c>
      <c r="C2363">
        <v>0</v>
      </c>
      <c r="D2363" s="201">
        <v>-2128</v>
      </c>
      <c r="E2363" s="201">
        <v>98</v>
      </c>
      <c r="F2363">
        <v>33</v>
      </c>
      <c r="G2363">
        <v>0</v>
      </c>
      <c r="H2363">
        <v>0</v>
      </c>
      <c r="I2363">
        <v>147</v>
      </c>
      <c r="J2363">
        <v>-340</v>
      </c>
      <c r="K2363" s="201">
        <v>0</v>
      </c>
    </row>
    <row r="2364" spans="1:11" x14ac:dyDescent="0.25">
      <c r="A2364"/>
      <c r="B2364" s="201">
        <v>-18</v>
      </c>
      <c r="C2364">
        <v>-230</v>
      </c>
      <c r="D2364" s="201">
        <v>-85</v>
      </c>
      <c r="E2364" s="201">
        <v>-317</v>
      </c>
      <c r="F2364">
        <v>-618</v>
      </c>
      <c r="G2364">
        <v>-419</v>
      </c>
      <c r="H2364">
        <v>-168</v>
      </c>
      <c r="I2364">
        <v>0</v>
      </c>
      <c r="J2364">
        <v>0</v>
      </c>
      <c r="K2364" s="201">
        <v>0</v>
      </c>
    </row>
    <row r="2365" spans="1:11" x14ac:dyDescent="0.25">
      <c r="A2365"/>
      <c r="B2365" s="201">
        <v>0</v>
      </c>
      <c r="C2365">
        <v>0</v>
      </c>
      <c r="D2365" s="201">
        <v>-196</v>
      </c>
      <c r="E2365" s="201">
        <v>0</v>
      </c>
      <c r="F2365">
        <v>2945</v>
      </c>
      <c r="G2365">
        <v>-486</v>
      </c>
      <c r="H2365">
        <v>204</v>
      </c>
      <c r="I2365">
        <v>0</v>
      </c>
      <c r="J2365">
        <v>-296</v>
      </c>
      <c r="K2365" s="201">
        <v>42548</v>
      </c>
    </row>
    <row r="2366" spans="1:11" x14ac:dyDescent="0.25">
      <c r="A2366"/>
      <c r="B2366" s="201">
        <v>416</v>
      </c>
      <c r="C2366">
        <v>607</v>
      </c>
      <c r="D2366" s="201">
        <v>713</v>
      </c>
      <c r="E2366" s="201">
        <v>0</v>
      </c>
      <c r="F2366">
        <v>1999</v>
      </c>
      <c r="G2366">
        <v>2239</v>
      </c>
      <c r="H2366">
        <v>237</v>
      </c>
      <c r="I2366">
        <v>65</v>
      </c>
      <c r="J2366">
        <v>0</v>
      </c>
      <c r="K2366" s="201">
        <v>170</v>
      </c>
    </row>
    <row r="2367" spans="1:11" x14ac:dyDescent="0.25">
      <c r="A2367"/>
      <c r="B2367" s="201">
        <v>409</v>
      </c>
      <c r="C2367">
        <v>0</v>
      </c>
      <c r="D2367" s="201">
        <v>0</v>
      </c>
      <c r="E2367" s="201">
        <v>0</v>
      </c>
      <c r="F2367">
        <v>82</v>
      </c>
      <c r="G2367">
        <v>323</v>
      </c>
      <c r="H2367">
        <v>0</v>
      </c>
      <c r="I2367">
        <v>213</v>
      </c>
      <c r="J2367">
        <v>146</v>
      </c>
      <c r="K2367" s="201">
        <v>-76</v>
      </c>
    </row>
    <row r="2368" spans="1:11" x14ac:dyDescent="0.25">
      <c r="A2368"/>
      <c r="B2368" s="201">
        <v>160</v>
      </c>
      <c r="C2368">
        <v>0</v>
      </c>
      <c r="D2368" s="201">
        <v>0</v>
      </c>
      <c r="E2368" s="201">
        <v>0</v>
      </c>
      <c r="F2368">
        <v>0</v>
      </c>
      <c r="G2368">
        <v>0</v>
      </c>
      <c r="H2368">
        <v>82</v>
      </c>
      <c r="I2368">
        <v>0</v>
      </c>
      <c r="J2368">
        <v>-1697</v>
      </c>
      <c r="K2368" s="201">
        <v>-420</v>
      </c>
    </row>
    <row r="2369" spans="1:11" x14ac:dyDescent="0.25">
      <c r="A2369"/>
      <c r="B2369" s="201">
        <v>-67</v>
      </c>
      <c r="C2369">
        <v>0</v>
      </c>
      <c r="D2369" s="201">
        <v>-1378</v>
      </c>
      <c r="E2369" s="201">
        <v>42299</v>
      </c>
      <c r="F2369">
        <v>261</v>
      </c>
      <c r="G2369">
        <v>69</v>
      </c>
      <c r="H2369">
        <v>464</v>
      </c>
      <c r="I2369">
        <v>58</v>
      </c>
      <c r="J2369">
        <v>1738</v>
      </c>
      <c r="K2369" s="201">
        <v>2108</v>
      </c>
    </row>
    <row r="2370" spans="1:11" x14ac:dyDescent="0.25">
      <c r="A2370"/>
      <c r="B2370" s="201">
        <v>0</v>
      </c>
      <c r="C2370">
        <v>101</v>
      </c>
      <c r="D2370" s="201">
        <v>0</v>
      </c>
      <c r="E2370" s="201">
        <v>0</v>
      </c>
      <c r="F2370">
        <v>245</v>
      </c>
      <c r="G2370">
        <v>49</v>
      </c>
      <c r="H2370">
        <v>0</v>
      </c>
      <c r="I2370">
        <v>-42</v>
      </c>
      <c r="J2370">
        <v>0</v>
      </c>
      <c r="K2370" s="201">
        <v>0</v>
      </c>
    </row>
    <row r="2371" spans="1:11" x14ac:dyDescent="0.25">
      <c r="A2371"/>
      <c r="B2371" s="201">
        <v>44</v>
      </c>
      <c r="C2371">
        <v>0</v>
      </c>
      <c r="D2371" s="201">
        <v>42</v>
      </c>
      <c r="E2371" s="201">
        <v>-134</v>
      </c>
      <c r="F2371">
        <v>-46</v>
      </c>
      <c r="G2371">
        <v>0</v>
      </c>
      <c r="H2371">
        <v>0</v>
      </c>
      <c r="I2371">
        <v>0</v>
      </c>
      <c r="J2371">
        <v>0</v>
      </c>
      <c r="K2371" s="201">
        <v>0</v>
      </c>
    </row>
    <row r="2372" spans="1:11" x14ac:dyDescent="0.25">
      <c r="B2372" s="201">
        <v>1284</v>
      </c>
      <c r="C2372">
        <v>0</v>
      </c>
      <c r="D2372" s="201">
        <v>-2336</v>
      </c>
      <c r="E2372" s="201">
        <v>-469</v>
      </c>
      <c r="F2372">
        <v>179</v>
      </c>
      <c r="G2372">
        <v>0</v>
      </c>
      <c r="H2372">
        <v>-505</v>
      </c>
      <c r="I2372">
        <v>46814</v>
      </c>
      <c r="J2372">
        <v>-269</v>
      </c>
      <c r="K2372" s="201">
        <v>0</v>
      </c>
    </row>
    <row r="2373" spans="1:11" x14ac:dyDescent="0.25">
      <c r="A2373"/>
      <c r="B2373" s="201">
        <v>0</v>
      </c>
      <c r="C2373">
        <v>0</v>
      </c>
      <c r="D2373" s="201">
        <v>315</v>
      </c>
      <c r="E2373" s="201">
        <v>-323</v>
      </c>
      <c r="F2373">
        <v>-2413</v>
      </c>
      <c r="G2373">
        <v>1476</v>
      </c>
      <c r="H2373">
        <v>1209</v>
      </c>
      <c r="I2373">
        <v>0</v>
      </c>
      <c r="J2373">
        <v>576</v>
      </c>
      <c r="K2373" s="201">
        <v>0</v>
      </c>
    </row>
    <row r="2374" spans="1:11" x14ac:dyDescent="0.25">
      <c r="A2374"/>
      <c r="B2374" s="201">
        <v>0</v>
      </c>
      <c r="C2374">
        <v>147</v>
      </c>
      <c r="D2374" s="201">
        <v>0</v>
      </c>
      <c r="E2374" s="201">
        <v>1283</v>
      </c>
      <c r="F2374">
        <v>0</v>
      </c>
      <c r="G2374">
        <v>1520</v>
      </c>
      <c r="H2374">
        <v>0</v>
      </c>
      <c r="I2374">
        <v>0</v>
      </c>
      <c r="J2374">
        <v>0</v>
      </c>
      <c r="K2374" s="201">
        <v>0</v>
      </c>
    </row>
    <row r="2375" spans="1:11" x14ac:dyDescent="0.25">
      <c r="A2375"/>
      <c r="B2375" s="201">
        <v>0</v>
      </c>
      <c r="C2375">
        <v>0</v>
      </c>
      <c r="D2375" s="201">
        <v>0</v>
      </c>
      <c r="E2375" s="201">
        <v>0</v>
      </c>
      <c r="F2375">
        <v>-39</v>
      </c>
      <c r="G2375">
        <v>0</v>
      </c>
      <c r="H2375">
        <v>6908</v>
      </c>
      <c r="I2375">
        <v>2135</v>
      </c>
      <c r="J2375">
        <v>1207</v>
      </c>
      <c r="K2375" s="201">
        <v>0</v>
      </c>
    </row>
    <row r="2376" spans="1:11" x14ac:dyDescent="0.25">
      <c r="A2376"/>
      <c r="B2376" s="201">
        <v>5289</v>
      </c>
      <c r="C2376">
        <v>0</v>
      </c>
      <c r="D2376" s="201">
        <v>0</v>
      </c>
      <c r="E2376" s="201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 s="201">
        <v>0</v>
      </c>
    </row>
    <row r="2377" spans="1:11" x14ac:dyDescent="0.25">
      <c r="A2377"/>
      <c r="B2377" s="201">
        <v>0</v>
      </c>
      <c r="C2377">
        <v>0</v>
      </c>
      <c r="D2377" s="201">
        <v>0</v>
      </c>
      <c r="E2377" s="201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 s="201">
        <v>0</v>
      </c>
    </row>
    <row r="2378" spans="1:11" x14ac:dyDescent="0.25">
      <c r="A2378"/>
      <c r="B2378" s="201">
        <v>0</v>
      </c>
      <c r="C2378">
        <v>0</v>
      </c>
      <c r="D2378" s="201">
        <v>0</v>
      </c>
      <c r="E2378" s="201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 s="201">
        <v>0</v>
      </c>
    </row>
    <row r="2379" spans="1:11" x14ac:dyDescent="0.25">
      <c r="A2379"/>
      <c r="B2379" s="201">
        <v>0</v>
      </c>
      <c r="C2379">
        <v>0</v>
      </c>
      <c r="D2379" s="201">
        <v>0</v>
      </c>
      <c r="E2379" s="201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 s="201">
        <v>0</v>
      </c>
    </row>
    <row r="2380" spans="1:11" x14ac:dyDescent="0.25">
      <c r="A2380"/>
      <c r="B2380" s="201">
        <v>0</v>
      </c>
      <c r="C2380">
        <v>0</v>
      </c>
      <c r="D2380" s="201">
        <v>0</v>
      </c>
      <c r="E2380" s="201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 s="201">
        <v>0</v>
      </c>
    </row>
    <row r="2381" spans="1:11" x14ac:dyDescent="0.25">
      <c r="A2381"/>
      <c r="B2381" s="201">
        <v>0</v>
      </c>
      <c r="C2381">
        <v>0</v>
      </c>
      <c r="D2381" s="201">
        <v>0</v>
      </c>
      <c r="E2381" s="20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 s="201">
        <v>0</v>
      </c>
    </row>
    <row r="2382" spans="1:11" x14ac:dyDescent="0.25">
      <c r="A2382"/>
      <c r="B2382" s="201">
        <v>0</v>
      </c>
      <c r="C2382">
        <v>0</v>
      </c>
      <c r="D2382" s="201">
        <v>0</v>
      </c>
      <c r="E2382" s="201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 s="201">
        <v>0</v>
      </c>
    </row>
    <row r="2383" spans="1:11" x14ac:dyDescent="0.25">
      <c r="A2383"/>
      <c r="B2383" s="201">
        <v>0</v>
      </c>
      <c r="C2383">
        <v>0</v>
      </c>
      <c r="D2383" s="201">
        <v>0</v>
      </c>
      <c r="E2383" s="201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 s="201">
        <v>0</v>
      </c>
    </row>
    <row r="2384" spans="1:11" x14ac:dyDescent="0.25">
      <c r="A2384"/>
      <c r="B2384" s="201">
        <v>0</v>
      </c>
      <c r="C2384">
        <v>0</v>
      </c>
      <c r="D2384" s="201">
        <v>0</v>
      </c>
      <c r="E2384" s="201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 s="201">
        <v>0</v>
      </c>
    </row>
    <row r="2385" spans="1:11" x14ac:dyDescent="0.25">
      <c r="A2385"/>
      <c r="B2385" s="201">
        <v>0</v>
      </c>
      <c r="C2385">
        <v>0</v>
      </c>
      <c r="D2385" s="201">
        <v>0</v>
      </c>
      <c r="E2385" s="201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 s="201">
        <v>0</v>
      </c>
    </row>
    <row r="2386" spans="1:11" x14ac:dyDescent="0.25">
      <c r="A2386"/>
      <c r="B2386" s="201">
        <v>0</v>
      </c>
      <c r="C2386">
        <v>0</v>
      </c>
      <c r="D2386" s="201">
        <v>0</v>
      </c>
      <c r="E2386" s="201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 s="201">
        <v>0</v>
      </c>
    </row>
    <row r="2387" spans="1:11" x14ac:dyDescent="0.25">
      <c r="A2387"/>
      <c r="B2387" s="201">
        <v>0</v>
      </c>
      <c r="C2387">
        <v>0</v>
      </c>
      <c r="D2387" s="201">
        <v>0</v>
      </c>
      <c r="E2387" s="201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 s="201">
        <v>0</v>
      </c>
    </row>
    <row r="2388" spans="1:11" x14ac:dyDescent="0.25">
      <c r="A2388"/>
      <c r="B2388" s="201">
        <v>0</v>
      </c>
      <c r="C2388">
        <v>0</v>
      </c>
      <c r="D2388" s="201">
        <v>0</v>
      </c>
      <c r="E2388" s="201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 s="201">
        <v>0</v>
      </c>
    </row>
    <row r="2389" spans="1:11" x14ac:dyDescent="0.25">
      <c r="A2389"/>
      <c r="B2389" s="201">
        <v>0</v>
      </c>
      <c r="C2389">
        <v>0</v>
      </c>
      <c r="D2389" s="201">
        <v>0</v>
      </c>
      <c r="E2389" s="201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 s="201">
        <v>0</v>
      </c>
    </row>
    <row r="2390" spans="1:11" x14ac:dyDescent="0.25">
      <c r="A2390"/>
      <c r="B2390" s="201">
        <v>0</v>
      </c>
      <c r="C2390">
        <v>0</v>
      </c>
      <c r="D2390" s="201">
        <v>0</v>
      </c>
      <c r="E2390" s="201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 s="201">
        <v>0</v>
      </c>
    </row>
    <row r="2391" spans="1:11" x14ac:dyDescent="0.25">
      <c r="A2391"/>
      <c r="B2391" s="201">
        <v>0</v>
      </c>
      <c r="C2391">
        <v>0</v>
      </c>
      <c r="D2391" s="201">
        <v>0</v>
      </c>
      <c r="E2391" s="20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 s="201">
        <v>0</v>
      </c>
    </row>
    <row r="2392" spans="1:11" x14ac:dyDescent="0.25">
      <c r="A2392"/>
      <c r="B2392" s="201">
        <v>0</v>
      </c>
      <c r="C2392">
        <v>0</v>
      </c>
      <c r="D2392" s="201">
        <v>0</v>
      </c>
      <c r="E2392" s="201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 s="201">
        <v>0</v>
      </c>
    </row>
    <row r="2393" spans="1:11" x14ac:dyDescent="0.25">
      <c r="A2393"/>
      <c r="B2393" s="201">
        <v>0</v>
      </c>
      <c r="C2393">
        <v>0</v>
      </c>
      <c r="D2393" s="201">
        <v>0</v>
      </c>
      <c r="E2393" s="201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 s="201">
        <v>0</v>
      </c>
    </row>
    <row r="2394" spans="1:11" x14ac:dyDescent="0.25">
      <c r="A2394"/>
      <c r="B2394" s="201">
        <v>0</v>
      </c>
      <c r="C2394">
        <v>0</v>
      </c>
      <c r="D2394" s="201">
        <v>0</v>
      </c>
      <c r="E2394" s="201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 s="201">
        <v>0</v>
      </c>
    </row>
    <row r="2395" spans="1:11" x14ac:dyDescent="0.25">
      <c r="A2395"/>
      <c r="B2395" s="201">
        <v>0</v>
      </c>
      <c r="C2395">
        <v>0</v>
      </c>
      <c r="D2395" s="201">
        <v>0</v>
      </c>
      <c r="E2395" s="201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 s="201">
        <v>0</v>
      </c>
    </row>
    <row r="2396" spans="1:11" x14ac:dyDescent="0.25">
      <c r="A2396"/>
      <c r="B2396" s="201">
        <v>0</v>
      </c>
      <c r="C2396">
        <v>0</v>
      </c>
      <c r="D2396" s="201">
        <v>0</v>
      </c>
      <c r="E2396" s="201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 s="201">
        <v>0</v>
      </c>
    </row>
    <row r="2397" spans="1:11" x14ac:dyDescent="0.25">
      <c r="A2397"/>
      <c r="B2397" s="201">
        <v>0</v>
      </c>
      <c r="C2397">
        <v>0</v>
      </c>
      <c r="D2397" s="201">
        <v>0</v>
      </c>
      <c r="E2397" s="201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 s="201">
        <v>0</v>
      </c>
    </row>
    <row r="2398" spans="1:11" x14ac:dyDescent="0.25">
      <c r="A2398"/>
      <c r="B2398" s="201">
        <v>0</v>
      </c>
      <c r="C2398">
        <v>0</v>
      </c>
      <c r="D2398" s="201">
        <v>0</v>
      </c>
      <c r="E2398" s="201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 s="201">
        <v>0</v>
      </c>
    </row>
    <row r="2399" spans="1:11" x14ac:dyDescent="0.25">
      <c r="A2399"/>
      <c r="B2399" s="201">
        <v>0</v>
      </c>
      <c r="C2399">
        <v>0</v>
      </c>
      <c r="D2399" s="201">
        <v>0</v>
      </c>
      <c r="E2399" s="201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 s="201">
        <v>0</v>
      </c>
    </row>
    <row r="2400" spans="1:11" x14ac:dyDescent="0.25">
      <c r="A2400"/>
      <c r="B2400" s="201">
        <v>0</v>
      </c>
      <c r="C2400">
        <v>0</v>
      </c>
      <c r="D2400" s="201">
        <v>0</v>
      </c>
      <c r="E2400" s="201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 s="201">
        <v>0</v>
      </c>
    </row>
    <row r="2401" spans="1:11" x14ac:dyDescent="0.25">
      <c r="A2401"/>
      <c r="B2401" s="201">
        <v>0</v>
      </c>
      <c r="C2401">
        <v>0</v>
      </c>
      <c r="D2401" s="201">
        <v>0</v>
      </c>
      <c r="E2401" s="2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 s="201">
        <v>0</v>
      </c>
    </row>
    <row r="2402" spans="1:11" x14ac:dyDescent="0.25">
      <c r="A2402"/>
      <c r="B2402" s="201">
        <v>0</v>
      </c>
      <c r="C2402">
        <v>0</v>
      </c>
      <c r="D2402" s="201">
        <v>0</v>
      </c>
      <c r="E2402" s="201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 s="201">
        <v>0</v>
      </c>
    </row>
    <row r="2403" spans="1:11" x14ac:dyDescent="0.25">
      <c r="A2403"/>
      <c r="B2403" s="201">
        <v>0</v>
      </c>
      <c r="C2403">
        <v>0</v>
      </c>
      <c r="D2403" s="201">
        <v>0</v>
      </c>
      <c r="E2403" s="201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 s="201">
        <v>0</v>
      </c>
    </row>
    <row r="2404" spans="1:11" x14ac:dyDescent="0.25">
      <c r="A2404"/>
      <c r="B2404" s="201">
        <v>0</v>
      </c>
      <c r="C2404">
        <v>0</v>
      </c>
      <c r="D2404" s="201">
        <v>0</v>
      </c>
      <c r="E2404" s="201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 s="201">
        <v>0</v>
      </c>
    </row>
    <row r="2405" spans="1:11" x14ac:dyDescent="0.25">
      <c r="A2405"/>
      <c r="B2405" s="201">
        <v>0</v>
      </c>
      <c r="C2405">
        <v>0</v>
      </c>
      <c r="D2405" s="201">
        <v>0</v>
      </c>
      <c r="E2405" s="201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 s="201">
        <v>0</v>
      </c>
    </row>
    <row r="2406" spans="1:11" x14ac:dyDescent="0.25">
      <c r="A2406"/>
      <c r="B2406" s="201">
        <v>0</v>
      </c>
      <c r="C2406">
        <v>0</v>
      </c>
      <c r="D2406" s="201">
        <v>0</v>
      </c>
      <c r="E2406" s="201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 s="201">
        <v>0</v>
      </c>
    </row>
    <row r="2407" spans="1:11" x14ac:dyDescent="0.25">
      <c r="A2407"/>
      <c r="B2407" s="201">
        <v>0</v>
      </c>
      <c r="C2407">
        <v>0</v>
      </c>
      <c r="D2407" s="201">
        <v>0</v>
      </c>
      <c r="E2407" s="201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 s="201">
        <v>0</v>
      </c>
    </row>
    <row r="2408" spans="1:11" x14ac:dyDescent="0.25">
      <c r="A2408"/>
      <c r="B2408" s="201">
        <v>0</v>
      </c>
      <c r="C2408">
        <v>0</v>
      </c>
      <c r="D2408" s="201">
        <v>0</v>
      </c>
      <c r="E2408" s="201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 s="201">
        <v>0</v>
      </c>
    </row>
    <row r="2409" spans="1:11" x14ac:dyDescent="0.25">
      <c r="A2409"/>
      <c r="B2409" s="201">
        <v>0</v>
      </c>
      <c r="C2409">
        <v>0</v>
      </c>
      <c r="D2409" s="201">
        <v>0</v>
      </c>
      <c r="E2409" s="201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 s="201">
        <v>0</v>
      </c>
    </row>
    <row r="2410" spans="1:11" x14ac:dyDescent="0.25">
      <c r="A2410"/>
      <c r="B2410" s="201">
        <v>0</v>
      </c>
      <c r="C2410">
        <v>0</v>
      </c>
      <c r="D2410" s="201">
        <v>0</v>
      </c>
      <c r="E2410" s="201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 s="201">
        <v>0</v>
      </c>
    </row>
    <row r="2411" spans="1:11" x14ac:dyDescent="0.25">
      <c r="A2411"/>
      <c r="B2411" s="201">
        <v>0</v>
      </c>
      <c r="C2411">
        <v>0</v>
      </c>
      <c r="D2411" s="201">
        <v>0</v>
      </c>
      <c r="E2411" s="20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 s="201">
        <v>0</v>
      </c>
    </row>
    <row r="2412" spans="1:11" x14ac:dyDescent="0.25">
      <c r="A2412"/>
      <c r="B2412" s="201">
        <v>0</v>
      </c>
      <c r="C2412">
        <v>0</v>
      </c>
      <c r="D2412" s="201">
        <v>0</v>
      </c>
      <c r="E2412" s="201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 s="201">
        <v>0</v>
      </c>
    </row>
    <row r="2413" spans="1:11" x14ac:dyDescent="0.25">
      <c r="A2413"/>
      <c r="B2413" s="201">
        <v>0</v>
      </c>
      <c r="C2413">
        <v>0</v>
      </c>
      <c r="D2413" s="201">
        <v>0</v>
      </c>
      <c r="E2413" s="201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 s="201">
        <v>0</v>
      </c>
    </row>
    <row r="2414" spans="1:11" x14ac:dyDescent="0.25">
      <c r="A2414"/>
      <c r="B2414" s="201">
        <v>0</v>
      </c>
      <c r="C2414">
        <v>0</v>
      </c>
      <c r="D2414" s="201">
        <v>0</v>
      </c>
      <c r="E2414" s="201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 s="201">
        <v>0</v>
      </c>
    </row>
    <row r="2415" spans="1:11" x14ac:dyDescent="0.25">
      <c r="A2415"/>
      <c r="B2415" s="201">
        <v>0</v>
      </c>
      <c r="C2415">
        <v>0</v>
      </c>
      <c r="D2415" s="201">
        <v>0</v>
      </c>
      <c r="E2415" s="201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 s="201">
        <v>0</v>
      </c>
    </row>
    <row r="2416" spans="1:11" x14ac:dyDescent="0.25">
      <c r="A2416"/>
      <c r="B2416" s="201">
        <v>0</v>
      </c>
      <c r="C2416">
        <v>0</v>
      </c>
      <c r="D2416" s="201">
        <v>0</v>
      </c>
      <c r="E2416" s="201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 s="201">
        <v>0</v>
      </c>
    </row>
    <row r="2417" spans="1:11" x14ac:dyDescent="0.25">
      <c r="A2417"/>
      <c r="B2417" s="201">
        <v>0</v>
      </c>
      <c r="C2417">
        <v>0</v>
      </c>
      <c r="D2417" s="201">
        <v>0</v>
      </c>
      <c r="E2417" s="201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 s="201">
        <v>0</v>
      </c>
    </row>
    <row r="2418" spans="1:11" x14ac:dyDescent="0.25">
      <c r="A2418"/>
      <c r="B2418" s="201">
        <v>0</v>
      </c>
      <c r="C2418">
        <v>0</v>
      </c>
      <c r="D2418" s="201">
        <v>0</v>
      </c>
      <c r="E2418" s="201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 s="201">
        <v>0</v>
      </c>
    </row>
    <row r="2419" spans="1:11" x14ac:dyDescent="0.25">
      <c r="A2419"/>
      <c r="B2419" s="201">
        <v>0</v>
      </c>
      <c r="C2419">
        <v>0</v>
      </c>
      <c r="D2419" s="201">
        <v>0</v>
      </c>
      <c r="E2419" s="201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 s="201">
        <v>0</v>
      </c>
    </row>
    <row r="2420" spans="1:11" x14ac:dyDescent="0.25">
      <c r="A2420"/>
      <c r="B2420" s="201">
        <v>0</v>
      </c>
      <c r="C2420">
        <v>0</v>
      </c>
      <c r="D2420" s="201">
        <v>0</v>
      </c>
      <c r="E2420" s="201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 s="201">
        <v>0</v>
      </c>
    </row>
    <row r="2421" spans="1:11" x14ac:dyDescent="0.25">
      <c r="A2421"/>
      <c r="B2421" s="201">
        <v>0</v>
      </c>
      <c r="C2421">
        <v>0</v>
      </c>
      <c r="D2421" s="201">
        <v>0</v>
      </c>
      <c r="E2421" s="20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 s="201">
        <v>0</v>
      </c>
    </row>
    <row r="2422" spans="1:11" x14ac:dyDescent="0.25">
      <c r="A2422"/>
      <c r="B2422" s="201">
        <v>0</v>
      </c>
      <c r="C2422">
        <v>0</v>
      </c>
      <c r="D2422" s="201">
        <v>0</v>
      </c>
      <c r="E2422" s="201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 s="201">
        <v>0</v>
      </c>
    </row>
    <row r="2423" spans="1:11" x14ac:dyDescent="0.25">
      <c r="A2423"/>
      <c r="B2423" s="201">
        <v>0</v>
      </c>
      <c r="C2423">
        <v>0</v>
      </c>
      <c r="D2423" s="201">
        <v>0</v>
      </c>
      <c r="E2423" s="201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 s="201">
        <v>0</v>
      </c>
    </row>
    <row r="2424" spans="1:11" x14ac:dyDescent="0.25">
      <c r="A2424"/>
      <c r="B2424" s="201">
        <v>0</v>
      </c>
      <c r="C2424">
        <v>0</v>
      </c>
      <c r="D2424" s="201">
        <v>0</v>
      </c>
      <c r="E2424" s="201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 s="201">
        <v>0</v>
      </c>
    </row>
    <row r="2425" spans="1:11" x14ac:dyDescent="0.25">
      <c r="A2425"/>
      <c r="B2425" s="201">
        <v>0</v>
      </c>
      <c r="C2425">
        <v>0</v>
      </c>
      <c r="D2425" s="201">
        <v>0</v>
      </c>
      <c r="E2425" s="201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 s="201">
        <v>0</v>
      </c>
    </row>
    <row r="2426" spans="1:11" x14ac:dyDescent="0.25">
      <c r="A2426"/>
      <c r="B2426" s="201">
        <v>0</v>
      </c>
      <c r="C2426">
        <v>0</v>
      </c>
      <c r="D2426" s="201">
        <v>0</v>
      </c>
      <c r="E2426" s="201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 s="201">
        <v>0</v>
      </c>
    </row>
    <row r="2427" spans="1:11" x14ac:dyDescent="0.25">
      <c r="A2427"/>
      <c r="B2427" s="201">
        <v>0</v>
      </c>
      <c r="C2427">
        <v>0</v>
      </c>
      <c r="D2427" s="201">
        <v>0</v>
      </c>
      <c r="E2427" s="201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 s="201">
        <v>0</v>
      </c>
    </row>
    <row r="2428" spans="1:11" x14ac:dyDescent="0.25">
      <c r="A2428"/>
      <c r="B2428" s="201">
        <v>0</v>
      </c>
      <c r="C2428">
        <v>0</v>
      </c>
      <c r="D2428" s="201">
        <v>0</v>
      </c>
      <c r="E2428" s="201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 s="201">
        <v>0</v>
      </c>
    </row>
    <row r="2429" spans="1:11" x14ac:dyDescent="0.25">
      <c r="A2429"/>
      <c r="B2429" s="201">
        <v>0</v>
      </c>
      <c r="C2429">
        <v>0</v>
      </c>
      <c r="D2429" s="201">
        <v>0</v>
      </c>
      <c r="E2429" s="201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 s="201">
        <v>0</v>
      </c>
    </row>
    <row r="2430" spans="1:11" x14ac:dyDescent="0.25">
      <c r="A2430"/>
      <c r="B2430" s="201">
        <v>0</v>
      </c>
      <c r="C2430">
        <v>0</v>
      </c>
      <c r="D2430" s="201">
        <v>0</v>
      </c>
      <c r="E2430" s="201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 s="201">
        <v>0</v>
      </c>
    </row>
    <row r="2431" spans="1:11" x14ac:dyDescent="0.25">
      <c r="A2431"/>
      <c r="B2431" s="201">
        <v>0</v>
      </c>
      <c r="C2431">
        <v>0</v>
      </c>
      <c r="D2431" s="201">
        <v>0</v>
      </c>
      <c r="E2431" s="20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 s="201">
        <v>0</v>
      </c>
    </row>
    <row r="2432" spans="1:11" x14ac:dyDescent="0.25">
      <c r="A2432"/>
      <c r="B2432" s="201">
        <v>0</v>
      </c>
      <c r="C2432">
        <v>0</v>
      </c>
      <c r="D2432" s="201">
        <v>0</v>
      </c>
      <c r="E2432" s="201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 s="201">
        <v>0</v>
      </c>
    </row>
    <row r="2433" spans="1:11" x14ac:dyDescent="0.25">
      <c r="A2433"/>
      <c r="B2433" s="201">
        <v>0</v>
      </c>
      <c r="C2433">
        <v>0</v>
      </c>
      <c r="D2433" s="201">
        <v>0</v>
      </c>
      <c r="E2433" s="201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 s="201">
        <v>0</v>
      </c>
    </row>
    <row r="2434" spans="1:11" x14ac:dyDescent="0.25">
      <c r="A2434"/>
      <c r="B2434" s="201">
        <v>0</v>
      </c>
      <c r="C2434">
        <v>0</v>
      </c>
      <c r="D2434" s="201">
        <v>0</v>
      </c>
      <c r="E2434" s="201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 s="201">
        <v>0</v>
      </c>
    </row>
    <row r="2435" spans="1:11" x14ac:dyDescent="0.25">
      <c r="A2435"/>
      <c r="B2435" s="201">
        <v>0</v>
      </c>
      <c r="C2435">
        <v>0</v>
      </c>
      <c r="D2435" s="201">
        <v>0</v>
      </c>
      <c r="E2435" s="201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 s="201">
        <v>0</v>
      </c>
    </row>
    <row r="2436" spans="1:11" x14ac:dyDescent="0.25">
      <c r="A2436"/>
      <c r="B2436" s="201">
        <v>0</v>
      </c>
      <c r="C2436">
        <v>0</v>
      </c>
      <c r="D2436" s="201">
        <v>0</v>
      </c>
      <c r="E2436" s="201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 s="201">
        <v>0</v>
      </c>
    </row>
    <row r="2437" spans="1:11" x14ac:dyDescent="0.25">
      <c r="A2437"/>
      <c r="B2437" s="201">
        <v>0</v>
      </c>
      <c r="C2437">
        <v>0</v>
      </c>
      <c r="D2437" s="201">
        <v>0</v>
      </c>
      <c r="E2437" s="201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 s="201">
        <v>0</v>
      </c>
    </row>
    <row r="2438" spans="1:11" x14ac:dyDescent="0.25">
      <c r="A2438"/>
      <c r="B2438" s="201">
        <v>0</v>
      </c>
      <c r="C2438">
        <v>0</v>
      </c>
      <c r="D2438" s="201">
        <v>0</v>
      </c>
      <c r="E2438" s="201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 s="201">
        <v>0</v>
      </c>
    </row>
    <row r="2439" spans="1:11" x14ac:dyDescent="0.25">
      <c r="A2439"/>
      <c r="B2439" s="201">
        <v>0</v>
      </c>
      <c r="C2439">
        <v>0</v>
      </c>
      <c r="D2439" s="201">
        <v>0</v>
      </c>
      <c r="E2439" s="201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 s="201">
        <v>0</v>
      </c>
    </row>
    <row r="2440" spans="1:11" x14ac:dyDescent="0.25">
      <c r="A2440"/>
      <c r="B2440" s="201">
        <v>0</v>
      </c>
      <c r="C2440">
        <v>0</v>
      </c>
      <c r="D2440" s="201">
        <v>0</v>
      </c>
      <c r="E2440" s="201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 s="201">
        <v>0</v>
      </c>
    </row>
    <row r="2441" spans="1:11" x14ac:dyDescent="0.25">
      <c r="A2441"/>
      <c r="B2441" s="201">
        <v>0</v>
      </c>
      <c r="C2441">
        <v>0</v>
      </c>
      <c r="D2441" s="201">
        <v>0</v>
      </c>
      <c r="E2441" s="20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 s="201">
        <v>0</v>
      </c>
    </row>
    <row r="2442" spans="1:11" x14ac:dyDescent="0.25">
      <c r="A2442"/>
      <c r="B2442" s="201">
        <v>0</v>
      </c>
      <c r="C2442">
        <v>0</v>
      </c>
      <c r="D2442" s="201">
        <v>0</v>
      </c>
      <c r="E2442" s="201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 s="201">
        <v>0</v>
      </c>
    </row>
    <row r="2443" spans="1:11" x14ac:dyDescent="0.25">
      <c r="A2443"/>
      <c r="B2443" s="201">
        <v>0</v>
      </c>
      <c r="C2443">
        <v>0</v>
      </c>
      <c r="D2443" s="201">
        <v>0</v>
      </c>
      <c r="E2443" s="201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 s="201">
        <v>0</v>
      </c>
    </row>
    <row r="2444" spans="1:11" x14ac:dyDescent="0.25">
      <c r="A2444"/>
      <c r="B2444" s="201">
        <v>0</v>
      </c>
      <c r="C2444">
        <v>0</v>
      </c>
      <c r="D2444" s="201">
        <v>0</v>
      </c>
      <c r="E2444" s="201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 s="201">
        <v>0</v>
      </c>
    </row>
    <row r="2445" spans="1:11" x14ac:dyDescent="0.25">
      <c r="A2445"/>
      <c r="B2445" s="201">
        <v>0</v>
      </c>
      <c r="C2445">
        <v>0</v>
      </c>
      <c r="D2445" s="201">
        <v>0</v>
      </c>
      <c r="E2445" s="201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 s="201">
        <v>0</v>
      </c>
    </row>
    <row r="2446" spans="1:11" x14ac:dyDescent="0.25">
      <c r="A2446"/>
      <c r="B2446" s="201">
        <v>0</v>
      </c>
      <c r="C2446">
        <v>0</v>
      </c>
      <c r="D2446" s="201">
        <v>0</v>
      </c>
      <c r="E2446" s="201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 s="201">
        <v>0</v>
      </c>
    </row>
    <row r="2447" spans="1:11" x14ac:dyDescent="0.25">
      <c r="A2447"/>
      <c r="B2447" s="201">
        <v>0</v>
      </c>
      <c r="C2447">
        <v>0</v>
      </c>
      <c r="D2447" s="201">
        <v>0</v>
      </c>
      <c r="E2447" s="201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 s="201">
        <v>0</v>
      </c>
    </row>
    <row r="2448" spans="1:11" x14ac:dyDescent="0.25">
      <c r="A2448"/>
      <c r="B2448" s="201">
        <v>0</v>
      </c>
      <c r="C2448">
        <v>0</v>
      </c>
      <c r="D2448" s="201">
        <v>0</v>
      </c>
      <c r="E2448" s="201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 s="201">
        <v>0</v>
      </c>
    </row>
    <row r="2449" spans="1:11" x14ac:dyDescent="0.25">
      <c r="A2449"/>
      <c r="B2449" s="201">
        <v>0</v>
      </c>
      <c r="C2449">
        <v>0</v>
      </c>
      <c r="D2449" s="201">
        <v>0</v>
      </c>
      <c r="E2449" s="201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 s="201">
        <v>0</v>
      </c>
    </row>
    <row r="2450" spans="1:11" x14ac:dyDescent="0.25">
      <c r="A2450"/>
      <c r="B2450" s="201">
        <v>0</v>
      </c>
      <c r="C2450">
        <v>0</v>
      </c>
      <c r="D2450" s="201">
        <v>0</v>
      </c>
      <c r="E2450" s="201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 s="201">
        <v>0</v>
      </c>
    </row>
    <row r="2451" spans="1:11" x14ac:dyDescent="0.25">
      <c r="A2451"/>
      <c r="B2451" s="201">
        <v>0</v>
      </c>
      <c r="C2451">
        <v>0</v>
      </c>
      <c r="D2451" s="201">
        <v>0</v>
      </c>
      <c r="E2451" s="20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 s="201">
        <v>0</v>
      </c>
    </row>
    <row r="2452" spans="1:11" x14ac:dyDescent="0.25">
      <c r="A2452"/>
      <c r="B2452" s="201">
        <v>0</v>
      </c>
      <c r="C2452">
        <v>0</v>
      </c>
      <c r="D2452" s="201">
        <v>0</v>
      </c>
      <c r="E2452" s="201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 s="201">
        <v>0</v>
      </c>
    </row>
    <row r="2453" spans="1:11" x14ac:dyDescent="0.25">
      <c r="A2453"/>
      <c r="B2453" s="201">
        <v>0</v>
      </c>
      <c r="C2453">
        <v>0</v>
      </c>
      <c r="D2453" s="201">
        <v>0</v>
      </c>
      <c r="E2453" s="201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 s="201">
        <v>0</v>
      </c>
    </row>
    <row r="2454" spans="1:11" x14ac:dyDescent="0.25">
      <c r="A2454"/>
      <c r="B2454" s="201">
        <v>0</v>
      </c>
      <c r="C2454">
        <v>0</v>
      </c>
      <c r="D2454" s="201">
        <v>0</v>
      </c>
      <c r="E2454" s="201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 s="201">
        <v>0</v>
      </c>
    </row>
    <row r="2455" spans="1:11" x14ac:dyDescent="0.25">
      <c r="A2455"/>
      <c r="B2455" s="201">
        <v>0</v>
      </c>
      <c r="C2455">
        <v>0</v>
      </c>
      <c r="D2455" s="201">
        <v>0</v>
      </c>
      <c r="E2455" s="201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 s="201">
        <v>0</v>
      </c>
    </row>
    <row r="2456" spans="1:11" x14ac:dyDescent="0.25">
      <c r="A2456"/>
      <c r="B2456" s="201">
        <v>0</v>
      </c>
      <c r="C2456">
        <v>0</v>
      </c>
      <c r="D2456" s="201">
        <v>0</v>
      </c>
      <c r="E2456" s="201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 s="201">
        <v>0</v>
      </c>
    </row>
    <row r="2457" spans="1:11" x14ac:dyDescent="0.25">
      <c r="A2457"/>
      <c r="B2457" s="201">
        <v>0</v>
      </c>
      <c r="C2457">
        <v>0</v>
      </c>
      <c r="D2457" s="201">
        <v>0</v>
      </c>
      <c r="E2457" s="201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 s="201">
        <v>0</v>
      </c>
    </row>
    <row r="2458" spans="1:11" x14ac:dyDescent="0.25">
      <c r="A2458"/>
      <c r="B2458" s="201">
        <v>0</v>
      </c>
      <c r="C2458">
        <v>0</v>
      </c>
      <c r="D2458" s="201">
        <v>0</v>
      </c>
      <c r="E2458" s="201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 s="201">
        <v>0</v>
      </c>
    </row>
    <row r="2459" spans="1:11" x14ac:dyDescent="0.25">
      <c r="A2459"/>
      <c r="B2459" s="201">
        <v>0</v>
      </c>
      <c r="C2459">
        <v>0</v>
      </c>
      <c r="D2459" s="201">
        <v>0</v>
      </c>
      <c r="E2459" s="201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 s="201">
        <v>0</v>
      </c>
    </row>
    <row r="2460" spans="1:11" x14ac:dyDescent="0.25">
      <c r="A2460"/>
      <c r="B2460" s="201">
        <v>0</v>
      </c>
      <c r="C2460">
        <v>0</v>
      </c>
      <c r="D2460" s="201">
        <v>0</v>
      </c>
      <c r="E2460" s="201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 s="201">
        <v>0</v>
      </c>
    </row>
    <row r="2461" spans="1:11" x14ac:dyDescent="0.25">
      <c r="A2461"/>
      <c r="B2461" s="201">
        <v>0</v>
      </c>
      <c r="C2461">
        <v>0</v>
      </c>
      <c r="D2461" s="201">
        <v>0</v>
      </c>
      <c r="E2461" s="20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 s="201">
        <v>0</v>
      </c>
    </row>
    <row r="2462" spans="1:11" x14ac:dyDescent="0.25">
      <c r="A2462"/>
      <c r="B2462" s="201">
        <v>0</v>
      </c>
      <c r="C2462">
        <v>0</v>
      </c>
      <c r="D2462" s="201">
        <v>0</v>
      </c>
      <c r="E2462" s="201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 s="201">
        <v>0</v>
      </c>
    </row>
    <row r="2463" spans="1:11" x14ac:dyDescent="0.25">
      <c r="A2463"/>
      <c r="B2463" s="201">
        <v>0</v>
      </c>
      <c r="C2463">
        <v>0</v>
      </c>
      <c r="D2463" s="201">
        <v>0</v>
      </c>
      <c r="E2463" s="201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 s="201">
        <v>0</v>
      </c>
    </row>
    <row r="2464" spans="1:11" x14ac:dyDescent="0.25">
      <c r="A2464"/>
      <c r="B2464" s="201">
        <v>0</v>
      </c>
      <c r="C2464">
        <v>0</v>
      </c>
      <c r="D2464" s="201">
        <v>0</v>
      </c>
      <c r="E2464" s="201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 s="201">
        <v>0</v>
      </c>
    </row>
    <row r="2465" spans="1:11" x14ac:dyDescent="0.25">
      <c r="A2465"/>
      <c r="B2465" s="201">
        <v>0</v>
      </c>
      <c r="C2465">
        <v>0</v>
      </c>
      <c r="D2465" s="201">
        <v>0</v>
      </c>
      <c r="E2465" s="201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 s="201">
        <v>0</v>
      </c>
    </row>
    <row r="2466" spans="1:11" x14ac:dyDescent="0.25">
      <c r="A2466"/>
      <c r="B2466" s="201">
        <v>0</v>
      </c>
      <c r="C2466">
        <v>0</v>
      </c>
      <c r="D2466" s="201">
        <v>0</v>
      </c>
      <c r="E2466" s="201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 s="201">
        <v>0</v>
      </c>
    </row>
    <row r="2467" spans="1:11" x14ac:dyDescent="0.25">
      <c r="A2467"/>
      <c r="B2467" s="201">
        <v>0</v>
      </c>
      <c r="C2467">
        <v>0</v>
      </c>
      <c r="D2467" s="201">
        <v>0</v>
      </c>
      <c r="E2467" s="201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 s="201">
        <v>0</v>
      </c>
    </row>
    <row r="2468" spans="1:11" x14ac:dyDescent="0.25">
      <c r="A2468"/>
      <c r="B2468" s="201">
        <v>0</v>
      </c>
      <c r="C2468">
        <v>0</v>
      </c>
      <c r="D2468" s="201">
        <v>0</v>
      </c>
      <c r="E2468" s="201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 s="201">
        <v>0</v>
      </c>
    </row>
    <row r="2469" spans="1:11" x14ac:dyDescent="0.25">
      <c r="A2469"/>
      <c r="B2469" s="201">
        <v>0</v>
      </c>
      <c r="C2469">
        <v>0</v>
      </c>
      <c r="D2469" s="201">
        <v>0</v>
      </c>
      <c r="E2469" s="201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 s="201">
        <v>0</v>
      </c>
    </row>
    <row r="2470" spans="1:11" x14ac:dyDescent="0.25">
      <c r="A2470"/>
      <c r="B2470" s="201">
        <v>0</v>
      </c>
      <c r="C2470">
        <v>0</v>
      </c>
      <c r="D2470" s="201">
        <v>0</v>
      </c>
      <c r="E2470" s="201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 s="201">
        <v>0</v>
      </c>
    </row>
    <row r="2471" spans="1:11" x14ac:dyDescent="0.25">
      <c r="A2471"/>
      <c r="B2471" s="201">
        <v>0</v>
      </c>
      <c r="C2471">
        <v>0</v>
      </c>
      <c r="D2471" s="201">
        <v>0</v>
      </c>
      <c r="E2471" s="20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 s="201">
        <v>0</v>
      </c>
    </row>
    <row r="2472" spans="1:11" x14ac:dyDescent="0.25">
      <c r="A2472"/>
      <c r="B2472" s="201">
        <v>0</v>
      </c>
      <c r="C2472">
        <v>0</v>
      </c>
      <c r="D2472" s="201">
        <v>0</v>
      </c>
      <c r="E2472" s="201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 s="201">
        <v>0</v>
      </c>
    </row>
    <row r="2473" spans="1:11" x14ac:dyDescent="0.25">
      <c r="A2473"/>
      <c r="B2473" s="201">
        <v>0</v>
      </c>
      <c r="C2473">
        <v>0</v>
      </c>
      <c r="D2473" s="201">
        <v>0</v>
      </c>
      <c r="E2473" s="201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 s="201">
        <v>0</v>
      </c>
    </row>
    <row r="2474" spans="1:11" x14ac:dyDescent="0.25">
      <c r="A2474"/>
      <c r="B2474" s="201">
        <v>0</v>
      </c>
      <c r="C2474">
        <v>0</v>
      </c>
      <c r="D2474" s="201">
        <v>0</v>
      </c>
      <c r="E2474" s="201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 s="201">
        <v>0</v>
      </c>
    </row>
    <row r="2475" spans="1:11" x14ac:dyDescent="0.25">
      <c r="A2475"/>
      <c r="B2475" s="201">
        <v>0</v>
      </c>
      <c r="C2475">
        <v>0</v>
      </c>
      <c r="D2475" s="201">
        <v>0</v>
      </c>
      <c r="E2475" s="201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 s="201">
        <v>0</v>
      </c>
    </row>
    <row r="2476" spans="1:11" x14ac:dyDescent="0.25">
      <c r="A2476"/>
      <c r="B2476" s="201">
        <v>0</v>
      </c>
      <c r="C2476">
        <v>0</v>
      </c>
      <c r="D2476" s="201">
        <v>0</v>
      </c>
      <c r="E2476" s="201">
        <v>0</v>
      </c>
      <c r="F2476">
        <v>0</v>
      </c>
      <c r="G2476">
        <v>0</v>
      </c>
      <c r="H2476">
        <v>634</v>
      </c>
      <c r="I2476">
        <v>2002</v>
      </c>
      <c r="J2476">
        <v>-843</v>
      </c>
      <c r="K2476" s="201">
        <v>-507</v>
      </c>
    </row>
    <row r="2477" spans="1:11" x14ac:dyDescent="0.25">
      <c r="A2477"/>
      <c r="B2477" s="201">
        <v>-369</v>
      </c>
      <c r="C2477">
        <v>0</v>
      </c>
      <c r="D2477" s="201">
        <v>0</v>
      </c>
      <c r="E2477" s="201">
        <v>-157</v>
      </c>
      <c r="F2477">
        <v>0</v>
      </c>
      <c r="G2477">
        <v>0</v>
      </c>
      <c r="H2477">
        <v>0</v>
      </c>
      <c r="I2477">
        <v>-241</v>
      </c>
      <c r="J2477">
        <v>353</v>
      </c>
      <c r="K2477" s="201">
        <v>0</v>
      </c>
    </row>
    <row r="2478" spans="1:11" x14ac:dyDescent="0.25">
      <c r="A2478"/>
      <c r="B2478" s="201">
        <v>0</v>
      </c>
      <c r="C2478">
        <v>0</v>
      </c>
      <c r="D2478" s="201">
        <v>0</v>
      </c>
      <c r="E2478" s="201">
        <v>0</v>
      </c>
      <c r="F2478">
        <v>0</v>
      </c>
      <c r="G2478">
        <v>88</v>
      </c>
      <c r="H2478">
        <v>0</v>
      </c>
      <c r="I2478">
        <v>0</v>
      </c>
      <c r="J2478">
        <v>103</v>
      </c>
      <c r="K2478" s="201">
        <v>0</v>
      </c>
    </row>
    <row r="2479" spans="1:11" x14ac:dyDescent="0.25">
      <c r="A2479"/>
      <c r="B2479" s="201">
        <v>-3</v>
      </c>
      <c r="C2479">
        <v>0</v>
      </c>
      <c r="D2479" s="201">
        <v>-4</v>
      </c>
      <c r="E2479" s="201">
        <v>89</v>
      </c>
      <c r="F2479">
        <v>-356</v>
      </c>
      <c r="G2479">
        <v>0</v>
      </c>
      <c r="H2479">
        <v>994</v>
      </c>
      <c r="I2479">
        <v>4169</v>
      </c>
      <c r="J2479">
        <v>-745</v>
      </c>
      <c r="K2479" s="201">
        <v>-916</v>
      </c>
    </row>
    <row r="2480" spans="1:11" x14ac:dyDescent="0.25">
      <c r="A2480"/>
      <c r="B2480" s="201">
        <v>3855</v>
      </c>
      <c r="C2480">
        <v>-44</v>
      </c>
      <c r="D2480" s="201">
        <v>0</v>
      </c>
      <c r="E2480" s="201">
        <v>-401</v>
      </c>
      <c r="F2480">
        <v>0</v>
      </c>
      <c r="G2480">
        <v>0</v>
      </c>
      <c r="H2480">
        <v>0</v>
      </c>
      <c r="I2480">
        <v>0</v>
      </c>
      <c r="J2480">
        <v>0</v>
      </c>
      <c r="K2480" s="201">
        <v>-409</v>
      </c>
    </row>
    <row r="2481" spans="1:11" x14ac:dyDescent="0.25">
      <c r="A2481"/>
      <c r="B2481" s="201">
        <v>0</v>
      </c>
      <c r="C2481">
        <v>0</v>
      </c>
      <c r="D2481" s="201">
        <v>0</v>
      </c>
      <c r="E2481" s="201">
        <v>455</v>
      </c>
      <c r="F2481">
        <v>0</v>
      </c>
      <c r="G2481">
        <v>-46</v>
      </c>
      <c r="H2481">
        <v>0</v>
      </c>
      <c r="I2481">
        <v>0</v>
      </c>
      <c r="J2481">
        <v>0</v>
      </c>
      <c r="K2481" s="201">
        <v>0</v>
      </c>
    </row>
    <row r="2482" spans="1:11" x14ac:dyDescent="0.25">
      <c r="A2482"/>
      <c r="B2482" s="201">
        <v>0</v>
      </c>
      <c r="C2482">
        <v>-432</v>
      </c>
      <c r="D2482" s="201">
        <v>0</v>
      </c>
      <c r="E2482" s="201">
        <v>-3177</v>
      </c>
      <c r="F2482">
        <v>-1931</v>
      </c>
      <c r="G2482">
        <v>0</v>
      </c>
      <c r="H2482">
        <v>0</v>
      </c>
      <c r="I2482">
        <v>-8480</v>
      </c>
      <c r="J2482">
        <v>-1792</v>
      </c>
      <c r="K2482" s="201">
        <v>0</v>
      </c>
    </row>
    <row r="2483" spans="1:11" x14ac:dyDescent="0.25">
      <c r="B2483" s="201">
        <v>-5776</v>
      </c>
      <c r="C2483">
        <v>0</v>
      </c>
      <c r="D2483" s="201">
        <v>0</v>
      </c>
      <c r="E2483" s="201">
        <v>0</v>
      </c>
      <c r="F2483">
        <v>0</v>
      </c>
      <c r="G2483">
        <v>-15804</v>
      </c>
      <c r="H2483">
        <v>-729</v>
      </c>
      <c r="I2483">
        <v>320</v>
      </c>
      <c r="J2483">
        <v>0</v>
      </c>
      <c r="K2483" s="201">
        <v>0</v>
      </c>
    </row>
    <row r="2484" spans="1:11" x14ac:dyDescent="0.25">
      <c r="B2484" s="201">
        <v>-478</v>
      </c>
      <c r="C2484">
        <v>-290</v>
      </c>
      <c r="D2484" s="201">
        <v>0</v>
      </c>
      <c r="E2484" s="201">
        <v>-511</v>
      </c>
      <c r="F2484">
        <v>-3384</v>
      </c>
      <c r="G2484">
        <v>-768</v>
      </c>
      <c r="H2484">
        <v>-2863</v>
      </c>
      <c r="I2484">
        <v>-7450</v>
      </c>
      <c r="J2484">
        <v>-3394</v>
      </c>
      <c r="K2484" s="201">
        <v>-4617</v>
      </c>
    </row>
    <row r="2485" spans="1:11" x14ac:dyDescent="0.25">
      <c r="A2485"/>
      <c r="B2485" s="201">
        <v>0</v>
      </c>
      <c r="C2485">
        <v>0</v>
      </c>
      <c r="D2485" s="201">
        <v>0</v>
      </c>
      <c r="E2485" s="201">
        <v>0</v>
      </c>
      <c r="F2485">
        <v>0</v>
      </c>
      <c r="G2485">
        <v>11031</v>
      </c>
      <c r="H2485">
        <v>0</v>
      </c>
      <c r="I2485">
        <v>9367</v>
      </c>
      <c r="J2485">
        <v>-106</v>
      </c>
      <c r="K2485" s="201">
        <v>3684</v>
      </c>
    </row>
    <row r="2486" spans="1:11" x14ac:dyDescent="0.25">
      <c r="A2486"/>
      <c r="B2486" s="201">
        <v>0</v>
      </c>
      <c r="C2486">
        <v>-1605</v>
      </c>
      <c r="D2486" s="201">
        <v>4100</v>
      </c>
      <c r="E2486" s="201">
        <v>-276</v>
      </c>
      <c r="F2486">
        <v>-2</v>
      </c>
      <c r="G2486">
        <v>24</v>
      </c>
      <c r="H2486">
        <v>0</v>
      </c>
      <c r="I2486">
        <v>-2939</v>
      </c>
      <c r="J2486">
        <v>24650</v>
      </c>
      <c r="K2486" s="201">
        <v>-1311</v>
      </c>
    </row>
    <row r="2487" spans="1:11" x14ac:dyDescent="0.25">
      <c r="A2487"/>
      <c r="B2487" s="201">
        <v>232</v>
      </c>
      <c r="C2487">
        <v>0</v>
      </c>
      <c r="D2487" s="201">
        <v>32</v>
      </c>
      <c r="E2487" s="201">
        <v>-4607</v>
      </c>
      <c r="F2487">
        <v>0</v>
      </c>
      <c r="G2487">
        <v>0</v>
      </c>
      <c r="H2487">
        <v>0</v>
      </c>
      <c r="I2487">
        <v>179</v>
      </c>
      <c r="J2487">
        <v>358</v>
      </c>
      <c r="K2487" s="201">
        <v>0</v>
      </c>
    </row>
    <row r="2488" spans="1:11" x14ac:dyDescent="0.25">
      <c r="A2488"/>
      <c r="B2488" s="201">
        <v>357</v>
      </c>
      <c r="C2488">
        <v>-1798</v>
      </c>
      <c r="D2488" s="201">
        <v>-3</v>
      </c>
      <c r="E2488" s="201">
        <v>198</v>
      </c>
      <c r="F2488">
        <v>0</v>
      </c>
      <c r="G2488">
        <v>0</v>
      </c>
      <c r="H2488">
        <v>0</v>
      </c>
      <c r="I2488">
        <v>0</v>
      </c>
      <c r="J2488">
        <v>0</v>
      </c>
      <c r="K2488" s="201">
        <v>1990</v>
      </c>
    </row>
    <row r="2489" spans="1:11" x14ac:dyDescent="0.25">
      <c r="A2489"/>
      <c r="B2489" s="201">
        <v>0</v>
      </c>
      <c r="C2489">
        <v>-568</v>
      </c>
      <c r="D2489" s="201">
        <v>485</v>
      </c>
      <c r="E2489" s="201">
        <v>720</v>
      </c>
      <c r="F2489">
        <v>0</v>
      </c>
      <c r="G2489">
        <v>457</v>
      </c>
      <c r="H2489">
        <v>4015</v>
      </c>
      <c r="I2489">
        <v>-81</v>
      </c>
      <c r="J2489">
        <v>71</v>
      </c>
      <c r="K2489" s="201">
        <v>232</v>
      </c>
    </row>
    <row r="2490" spans="1:11" x14ac:dyDescent="0.25">
      <c r="B2490" s="201">
        <v>-1690</v>
      </c>
      <c r="C2490">
        <v>-2063</v>
      </c>
      <c r="D2490" s="201">
        <v>22825</v>
      </c>
      <c r="E2490" s="201">
        <v>0</v>
      </c>
      <c r="F2490">
        <v>81</v>
      </c>
      <c r="G2490">
        <v>0</v>
      </c>
      <c r="H2490">
        <v>0</v>
      </c>
      <c r="I2490">
        <v>-4105</v>
      </c>
      <c r="J2490">
        <v>-69</v>
      </c>
      <c r="K2490" s="201">
        <v>0</v>
      </c>
    </row>
    <row r="2491" spans="1:11" x14ac:dyDescent="0.25">
      <c r="A2491"/>
      <c r="B2491" s="201">
        <v>19</v>
      </c>
      <c r="C2491">
        <v>0</v>
      </c>
      <c r="D2491" s="201">
        <v>0</v>
      </c>
      <c r="E2491" s="201">
        <v>21</v>
      </c>
      <c r="F2491">
        <v>0</v>
      </c>
      <c r="G2491">
        <v>-665</v>
      </c>
      <c r="H2491">
        <v>373</v>
      </c>
      <c r="I2491">
        <v>19</v>
      </c>
      <c r="J2491">
        <v>0</v>
      </c>
      <c r="K2491" s="201">
        <v>0</v>
      </c>
    </row>
    <row r="2492" spans="1:11" x14ac:dyDescent="0.25">
      <c r="A2492"/>
      <c r="B2492" s="201">
        <v>0</v>
      </c>
      <c r="C2492">
        <v>0</v>
      </c>
      <c r="D2492" s="201">
        <v>0</v>
      </c>
      <c r="E2492" s="201">
        <v>-118</v>
      </c>
      <c r="F2492">
        <v>0</v>
      </c>
      <c r="G2492">
        <v>-565</v>
      </c>
      <c r="H2492">
        <v>324</v>
      </c>
      <c r="I2492">
        <v>741</v>
      </c>
      <c r="J2492">
        <v>0</v>
      </c>
      <c r="K2492" s="201">
        <v>-974</v>
      </c>
    </row>
    <row r="2493" spans="1:11" x14ac:dyDescent="0.25">
      <c r="A2493"/>
      <c r="B2493" s="201">
        <v>5895</v>
      </c>
      <c r="C2493">
        <v>197</v>
      </c>
      <c r="D2493" s="201">
        <v>0</v>
      </c>
      <c r="E2493" s="201">
        <v>0</v>
      </c>
      <c r="F2493">
        <v>0</v>
      </c>
      <c r="G2493">
        <v>-586</v>
      </c>
      <c r="H2493">
        <v>19119</v>
      </c>
      <c r="I2493">
        <v>-1341</v>
      </c>
      <c r="J2493">
        <v>157</v>
      </c>
      <c r="K2493" s="201">
        <v>355</v>
      </c>
    </row>
    <row r="2494" spans="1:11" x14ac:dyDescent="0.25">
      <c r="A2494"/>
      <c r="B2494" s="201">
        <v>0</v>
      </c>
      <c r="C2494">
        <v>-1927</v>
      </c>
      <c r="D2494" s="201">
        <v>0</v>
      </c>
      <c r="E2494" s="201">
        <v>0</v>
      </c>
      <c r="F2494">
        <v>-113</v>
      </c>
      <c r="G2494">
        <v>0</v>
      </c>
      <c r="H2494">
        <v>147</v>
      </c>
      <c r="I2494">
        <v>0</v>
      </c>
      <c r="J2494">
        <v>-30</v>
      </c>
      <c r="K2494" s="201">
        <v>0</v>
      </c>
    </row>
    <row r="2495" spans="1:11" x14ac:dyDescent="0.25">
      <c r="A2495"/>
      <c r="B2495" s="201">
        <v>0</v>
      </c>
      <c r="C2495">
        <v>0</v>
      </c>
      <c r="D2495" s="201">
        <v>0</v>
      </c>
      <c r="E2495" s="201">
        <v>0</v>
      </c>
      <c r="F2495">
        <v>0</v>
      </c>
      <c r="G2495">
        <v>0</v>
      </c>
      <c r="H2495">
        <v>0</v>
      </c>
      <c r="I2495">
        <v>1135</v>
      </c>
      <c r="J2495">
        <v>0</v>
      </c>
      <c r="K2495" s="201">
        <v>-2735</v>
      </c>
    </row>
    <row r="2496" spans="1:11" x14ac:dyDescent="0.25">
      <c r="A2496"/>
      <c r="B2496" s="201">
        <v>377</v>
      </c>
      <c r="C2496">
        <v>1450</v>
      </c>
      <c r="D2496" s="201">
        <v>0</v>
      </c>
      <c r="E2496" s="201">
        <v>-20906</v>
      </c>
      <c r="F2496">
        <v>-15379</v>
      </c>
      <c r="G2496">
        <v>0</v>
      </c>
      <c r="H2496">
        <v>0</v>
      </c>
      <c r="I2496">
        <v>0</v>
      </c>
      <c r="J2496">
        <v>0</v>
      </c>
      <c r="K2496" s="201">
        <v>0</v>
      </c>
    </row>
    <row r="2497" spans="1:11" x14ac:dyDescent="0.25">
      <c r="B2497" s="201">
        <v>-1066</v>
      </c>
      <c r="C2497">
        <v>955</v>
      </c>
      <c r="D2497" s="201">
        <v>-1865</v>
      </c>
      <c r="E2497" s="201">
        <v>-1498</v>
      </c>
      <c r="F2497">
        <v>-2826</v>
      </c>
      <c r="G2497">
        <v>0</v>
      </c>
      <c r="H2497">
        <v>0</v>
      </c>
      <c r="I2497">
        <v>-202</v>
      </c>
      <c r="J2497">
        <v>0</v>
      </c>
      <c r="K2497" s="201">
        <v>0</v>
      </c>
    </row>
    <row r="2498" spans="1:11" x14ac:dyDescent="0.25">
      <c r="A2498"/>
      <c r="B2498" s="201">
        <v>0</v>
      </c>
      <c r="C2498">
        <v>237</v>
      </c>
      <c r="D2498" s="201">
        <v>-23</v>
      </c>
      <c r="E2498" s="201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 s="201">
        <v>-771</v>
      </c>
    </row>
    <row r="2499" spans="1:11" x14ac:dyDescent="0.25">
      <c r="A2499"/>
      <c r="B2499" s="201">
        <v>0</v>
      </c>
      <c r="C2499">
        <v>0</v>
      </c>
      <c r="D2499" s="201">
        <v>503</v>
      </c>
      <c r="E2499" s="201">
        <v>0</v>
      </c>
      <c r="F2499">
        <v>-454</v>
      </c>
      <c r="G2499">
        <v>0</v>
      </c>
      <c r="H2499">
        <v>23</v>
      </c>
      <c r="I2499">
        <v>1129</v>
      </c>
      <c r="J2499">
        <v>-26</v>
      </c>
      <c r="K2499" s="201">
        <v>0</v>
      </c>
    </row>
    <row r="2500" spans="1:11" x14ac:dyDescent="0.25">
      <c r="A2500"/>
      <c r="B2500" s="201">
        <v>1331</v>
      </c>
      <c r="C2500">
        <v>1359</v>
      </c>
      <c r="D2500" s="201">
        <v>-1497</v>
      </c>
      <c r="E2500" s="201">
        <v>-2380</v>
      </c>
      <c r="F2500">
        <v>-1553</v>
      </c>
      <c r="G2500">
        <v>-767</v>
      </c>
      <c r="H2500">
        <v>0</v>
      </c>
      <c r="I2500">
        <v>165</v>
      </c>
      <c r="J2500">
        <v>0</v>
      </c>
      <c r="K2500" s="201">
        <v>0</v>
      </c>
    </row>
    <row r="2501" spans="1:11" x14ac:dyDescent="0.25">
      <c r="A2501"/>
      <c r="B2501" s="201">
        <v>0</v>
      </c>
      <c r="C2501">
        <v>0</v>
      </c>
      <c r="D2501" s="201">
        <v>0</v>
      </c>
      <c r="E2501" s="201">
        <v>-17</v>
      </c>
      <c r="F2501">
        <v>0</v>
      </c>
      <c r="G2501">
        <v>0</v>
      </c>
      <c r="H2501">
        <v>0</v>
      </c>
      <c r="I2501">
        <v>-399</v>
      </c>
      <c r="J2501">
        <v>0</v>
      </c>
      <c r="K2501" s="201">
        <v>168</v>
      </c>
    </row>
    <row r="2502" spans="1:11" x14ac:dyDescent="0.25">
      <c r="A2502"/>
      <c r="B2502" s="201">
        <v>0</v>
      </c>
      <c r="C2502">
        <v>0</v>
      </c>
      <c r="D2502" s="201">
        <v>0</v>
      </c>
      <c r="E2502" s="201">
        <v>0</v>
      </c>
      <c r="F2502">
        <v>0</v>
      </c>
      <c r="G2502">
        <v>1920</v>
      </c>
      <c r="H2502">
        <v>0</v>
      </c>
      <c r="I2502">
        <v>-111</v>
      </c>
      <c r="J2502">
        <v>-33</v>
      </c>
      <c r="K2502" s="201">
        <v>0</v>
      </c>
    </row>
    <row r="2503" spans="1:11" x14ac:dyDescent="0.25">
      <c r="A2503"/>
      <c r="B2503" s="201">
        <v>0</v>
      </c>
      <c r="C2503">
        <v>-1060</v>
      </c>
      <c r="D2503" s="201">
        <v>2099</v>
      </c>
      <c r="E2503" s="201">
        <v>0</v>
      </c>
      <c r="F2503">
        <v>-604</v>
      </c>
      <c r="G2503">
        <v>0</v>
      </c>
      <c r="H2503">
        <v>0</v>
      </c>
      <c r="I2503">
        <v>0</v>
      </c>
      <c r="J2503">
        <v>0</v>
      </c>
      <c r="K2503" s="201">
        <v>-2162</v>
      </c>
    </row>
    <row r="2504" spans="1:11" x14ac:dyDescent="0.25">
      <c r="A2504"/>
      <c r="B2504" s="201">
        <v>-701</v>
      </c>
      <c r="C2504">
        <v>-564</v>
      </c>
      <c r="D2504" s="201">
        <v>0</v>
      </c>
      <c r="E2504" s="201">
        <v>0</v>
      </c>
      <c r="F2504">
        <v>158</v>
      </c>
      <c r="G2504">
        <v>960</v>
      </c>
      <c r="H2504">
        <v>0</v>
      </c>
      <c r="I2504">
        <v>-146</v>
      </c>
      <c r="J2504">
        <v>135</v>
      </c>
      <c r="K2504" s="201">
        <v>-224</v>
      </c>
    </row>
    <row r="2505" spans="1:11" x14ac:dyDescent="0.25">
      <c r="A2505"/>
      <c r="B2505" s="201">
        <v>117</v>
      </c>
      <c r="C2505">
        <v>-287</v>
      </c>
      <c r="D2505" s="201">
        <v>497</v>
      </c>
      <c r="E2505" s="201">
        <v>-106</v>
      </c>
      <c r="F2505">
        <v>0</v>
      </c>
      <c r="G2505">
        <v>0</v>
      </c>
      <c r="H2505">
        <v>0</v>
      </c>
      <c r="I2505">
        <v>0</v>
      </c>
      <c r="J2505">
        <v>0</v>
      </c>
      <c r="K2505" s="201">
        <v>990</v>
      </c>
    </row>
    <row r="2506" spans="1:11" x14ac:dyDescent="0.25">
      <c r="A2506"/>
      <c r="B2506" s="201">
        <v>0</v>
      </c>
      <c r="C2506">
        <v>-968</v>
      </c>
      <c r="D2506" s="201">
        <v>-62</v>
      </c>
      <c r="E2506" s="201">
        <v>43</v>
      </c>
      <c r="F2506">
        <v>0</v>
      </c>
      <c r="G2506">
        <v>-1917</v>
      </c>
      <c r="H2506">
        <v>3000</v>
      </c>
      <c r="I2506">
        <v>-1169</v>
      </c>
      <c r="J2506">
        <v>-2101</v>
      </c>
      <c r="K2506" s="201">
        <v>-2360</v>
      </c>
    </row>
    <row r="2507" spans="1:11" x14ac:dyDescent="0.25">
      <c r="A2507"/>
      <c r="B2507" s="201">
        <v>0</v>
      </c>
      <c r="C2507">
        <v>-4711</v>
      </c>
      <c r="D2507" s="201">
        <v>-3096</v>
      </c>
      <c r="E2507" s="201">
        <v>-3520</v>
      </c>
      <c r="F2507">
        <v>151</v>
      </c>
      <c r="G2507">
        <v>0</v>
      </c>
      <c r="H2507">
        <v>162</v>
      </c>
      <c r="I2507">
        <v>-718</v>
      </c>
      <c r="J2507">
        <v>0</v>
      </c>
      <c r="K2507" s="201">
        <v>0</v>
      </c>
    </row>
    <row r="2508" spans="1:11" x14ac:dyDescent="0.25">
      <c r="A2508"/>
      <c r="B2508" s="201">
        <v>0</v>
      </c>
      <c r="C2508">
        <v>-194</v>
      </c>
      <c r="D2508" s="201">
        <v>-179</v>
      </c>
      <c r="E2508" s="201">
        <v>0</v>
      </c>
      <c r="F2508">
        <v>-341</v>
      </c>
      <c r="G2508">
        <v>-1523</v>
      </c>
      <c r="H2508">
        <v>-234</v>
      </c>
      <c r="I2508">
        <v>-471</v>
      </c>
      <c r="J2508">
        <v>0</v>
      </c>
      <c r="K2508" s="201">
        <v>0</v>
      </c>
    </row>
    <row r="2509" spans="1:11" x14ac:dyDescent="0.25">
      <c r="A2509"/>
      <c r="B2509" s="201">
        <v>0</v>
      </c>
      <c r="C2509">
        <v>0</v>
      </c>
      <c r="D2509" s="201">
        <v>0</v>
      </c>
      <c r="E2509" s="201">
        <v>2006</v>
      </c>
      <c r="F2509">
        <v>0</v>
      </c>
      <c r="G2509">
        <v>-1448</v>
      </c>
      <c r="H2509">
        <v>640</v>
      </c>
      <c r="I2509">
        <v>999</v>
      </c>
      <c r="J2509">
        <v>0</v>
      </c>
      <c r="K2509" s="201">
        <v>-1286</v>
      </c>
    </row>
    <row r="2510" spans="1:11" x14ac:dyDescent="0.25">
      <c r="A2510"/>
      <c r="B2510" s="201">
        <v>284</v>
      </c>
      <c r="C2510">
        <v>99</v>
      </c>
      <c r="D2510" s="201">
        <v>808</v>
      </c>
      <c r="E2510" s="201">
        <v>-412</v>
      </c>
      <c r="F2510">
        <v>-651</v>
      </c>
      <c r="G2510">
        <v>-3227</v>
      </c>
      <c r="H2510">
        <v>-841</v>
      </c>
      <c r="I2510">
        <v>0</v>
      </c>
      <c r="J2510">
        <v>-306</v>
      </c>
      <c r="K2510" s="201">
        <v>0</v>
      </c>
    </row>
    <row r="2511" spans="1:11" x14ac:dyDescent="0.25">
      <c r="A2511"/>
      <c r="B2511" s="201">
        <v>0</v>
      </c>
      <c r="C2511">
        <v>-716</v>
      </c>
      <c r="D2511" s="201">
        <v>393</v>
      </c>
      <c r="E2511" s="201">
        <v>0</v>
      </c>
      <c r="F2511">
        <v>-8</v>
      </c>
      <c r="G2511">
        <v>0</v>
      </c>
      <c r="H2511">
        <v>0</v>
      </c>
      <c r="I2511">
        <v>-3</v>
      </c>
      <c r="J2511">
        <v>0</v>
      </c>
      <c r="K2511" s="201">
        <v>49</v>
      </c>
    </row>
    <row r="2512" spans="1:11" x14ac:dyDescent="0.25">
      <c r="A2512"/>
      <c r="B2512" s="201">
        <v>784</v>
      </c>
      <c r="C2512">
        <v>657</v>
      </c>
      <c r="D2512" s="201">
        <v>0</v>
      </c>
      <c r="E2512" s="201">
        <v>0</v>
      </c>
      <c r="F2512">
        <v>0</v>
      </c>
      <c r="G2512">
        <v>0</v>
      </c>
      <c r="H2512">
        <v>0</v>
      </c>
      <c r="I2512">
        <v>849</v>
      </c>
      <c r="J2512">
        <v>0</v>
      </c>
      <c r="K2512" s="201">
        <v>1591</v>
      </c>
    </row>
    <row r="2513" spans="1:11" x14ac:dyDescent="0.25">
      <c r="A2513"/>
      <c r="B2513" s="201">
        <v>419</v>
      </c>
      <c r="C2513">
        <v>266</v>
      </c>
      <c r="D2513" s="201">
        <v>0</v>
      </c>
      <c r="E2513" s="201">
        <v>-1528</v>
      </c>
      <c r="F2513">
        <v>3080</v>
      </c>
      <c r="G2513">
        <v>227</v>
      </c>
      <c r="H2513">
        <v>0</v>
      </c>
      <c r="I2513">
        <v>0</v>
      </c>
      <c r="J2513">
        <v>0</v>
      </c>
      <c r="K2513" s="201">
        <v>-3280</v>
      </c>
    </row>
    <row r="2514" spans="1:11" x14ac:dyDescent="0.25">
      <c r="A2514"/>
      <c r="B2514" s="201">
        <v>-2086</v>
      </c>
      <c r="C2514">
        <v>-8345</v>
      </c>
      <c r="D2514" s="201">
        <v>-13</v>
      </c>
      <c r="E2514" s="201">
        <v>119</v>
      </c>
      <c r="F2514">
        <v>0</v>
      </c>
      <c r="G2514">
        <v>210</v>
      </c>
      <c r="H2514">
        <v>0</v>
      </c>
      <c r="I2514">
        <v>0</v>
      </c>
      <c r="J2514">
        <v>-832</v>
      </c>
      <c r="K2514" s="201">
        <v>0</v>
      </c>
    </row>
    <row r="2515" spans="1:11" x14ac:dyDescent="0.25">
      <c r="A2515"/>
      <c r="B2515" s="201">
        <v>-789</v>
      </c>
      <c r="C2515">
        <v>0</v>
      </c>
      <c r="D2515" s="201">
        <v>-702</v>
      </c>
      <c r="E2515" s="201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 s="201">
        <v>0</v>
      </c>
    </row>
    <row r="2516" spans="1:11" x14ac:dyDescent="0.25">
      <c r="A2516"/>
      <c r="B2516" s="201">
        <v>0</v>
      </c>
      <c r="C2516">
        <v>1359</v>
      </c>
      <c r="D2516" s="201">
        <v>0</v>
      </c>
      <c r="E2516" s="201">
        <v>-2286</v>
      </c>
      <c r="F2516">
        <v>312</v>
      </c>
      <c r="G2516">
        <v>1887</v>
      </c>
      <c r="H2516">
        <v>0</v>
      </c>
      <c r="I2516">
        <v>-21074</v>
      </c>
      <c r="J2516">
        <v>-11160</v>
      </c>
      <c r="K2516" s="201">
        <v>0</v>
      </c>
    </row>
    <row r="2517" spans="1:11" x14ac:dyDescent="0.25">
      <c r="A2517"/>
      <c r="B2517" s="201">
        <v>0</v>
      </c>
      <c r="C2517">
        <v>0</v>
      </c>
      <c r="D2517" s="201">
        <v>0</v>
      </c>
      <c r="E2517" s="201">
        <v>0</v>
      </c>
      <c r="F2517">
        <v>24446</v>
      </c>
      <c r="G2517">
        <v>-419</v>
      </c>
      <c r="H2517">
        <v>591</v>
      </c>
      <c r="I2517">
        <v>-111</v>
      </c>
      <c r="J2517">
        <v>435</v>
      </c>
      <c r="K2517" s="201">
        <v>-419</v>
      </c>
    </row>
    <row r="2518" spans="1:11" x14ac:dyDescent="0.25">
      <c r="A2518"/>
      <c r="B2518" s="201">
        <v>0</v>
      </c>
      <c r="C2518">
        <v>0</v>
      </c>
      <c r="D2518" s="201">
        <v>-113</v>
      </c>
      <c r="E2518" s="201">
        <v>0</v>
      </c>
      <c r="F2518">
        <v>0</v>
      </c>
      <c r="G2518">
        <v>0</v>
      </c>
      <c r="H2518">
        <v>114</v>
      </c>
      <c r="I2518">
        <v>73</v>
      </c>
      <c r="J2518">
        <v>0</v>
      </c>
      <c r="K2518" s="201">
        <v>0</v>
      </c>
    </row>
    <row r="2519" spans="1:11" x14ac:dyDescent="0.25">
      <c r="A2519"/>
      <c r="B2519" s="201">
        <v>0</v>
      </c>
      <c r="C2519">
        <v>0</v>
      </c>
      <c r="D2519" s="201">
        <v>0</v>
      </c>
      <c r="E2519" s="201">
        <v>0</v>
      </c>
      <c r="F2519">
        <v>135</v>
      </c>
      <c r="G2519">
        <v>0</v>
      </c>
      <c r="H2519">
        <v>0</v>
      </c>
      <c r="I2519">
        <v>-1</v>
      </c>
      <c r="J2519">
        <v>0</v>
      </c>
      <c r="K2519" s="201">
        <v>-67</v>
      </c>
    </row>
    <row r="2520" spans="1:11" x14ac:dyDescent="0.25">
      <c r="A2520"/>
      <c r="B2520" s="201">
        <v>0</v>
      </c>
      <c r="C2520">
        <v>-98</v>
      </c>
      <c r="D2520" s="201">
        <v>332</v>
      </c>
      <c r="E2520" s="201">
        <v>79</v>
      </c>
      <c r="F2520">
        <v>0</v>
      </c>
      <c r="G2520">
        <v>-120</v>
      </c>
      <c r="H2520">
        <v>524</v>
      </c>
      <c r="I2520">
        <v>291</v>
      </c>
      <c r="J2520">
        <v>-293</v>
      </c>
      <c r="K2520" s="201">
        <v>-170</v>
      </c>
    </row>
    <row r="2521" spans="1:11" x14ac:dyDescent="0.25">
      <c r="A2521"/>
      <c r="B2521" s="201">
        <v>-77</v>
      </c>
      <c r="C2521">
        <v>0</v>
      </c>
      <c r="D2521" s="201">
        <v>68</v>
      </c>
      <c r="E2521" s="201">
        <v>0</v>
      </c>
      <c r="F2521">
        <v>0</v>
      </c>
      <c r="G2521">
        <v>0</v>
      </c>
      <c r="H2521">
        <v>0</v>
      </c>
      <c r="I2521">
        <v>0</v>
      </c>
      <c r="J2521">
        <v>35</v>
      </c>
      <c r="K2521" s="201">
        <v>0</v>
      </c>
    </row>
    <row r="2522" spans="1:11" x14ac:dyDescent="0.25">
      <c r="A2522"/>
      <c r="B2522" s="201">
        <v>0</v>
      </c>
      <c r="C2522">
        <v>0</v>
      </c>
      <c r="D2522" s="201">
        <v>257</v>
      </c>
      <c r="E2522" s="201">
        <v>0</v>
      </c>
      <c r="F2522">
        <v>-17</v>
      </c>
      <c r="G2522">
        <v>0</v>
      </c>
      <c r="H2522">
        <v>0</v>
      </c>
      <c r="I2522">
        <v>0</v>
      </c>
      <c r="J2522">
        <v>0</v>
      </c>
      <c r="K2522" s="201">
        <v>0</v>
      </c>
    </row>
    <row r="2523" spans="1:11" x14ac:dyDescent="0.25">
      <c r="A2523"/>
      <c r="B2523" s="201">
        <v>-690</v>
      </c>
      <c r="C2523">
        <v>0</v>
      </c>
      <c r="D2523" s="201">
        <v>89</v>
      </c>
      <c r="E2523" s="201">
        <v>282</v>
      </c>
      <c r="F2523">
        <v>0</v>
      </c>
      <c r="G2523">
        <v>0</v>
      </c>
      <c r="H2523">
        <v>-1574</v>
      </c>
      <c r="I2523">
        <v>746</v>
      </c>
      <c r="J2523">
        <v>0</v>
      </c>
      <c r="K2523" s="201">
        <v>950</v>
      </c>
    </row>
    <row r="2524" spans="1:11" x14ac:dyDescent="0.25">
      <c r="A2524"/>
      <c r="B2524" s="201">
        <v>0</v>
      </c>
      <c r="C2524">
        <v>0</v>
      </c>
      <c r="D2524" s="201">
        <v>0</v>
      </c>
      <c r="E2524" s="201">
        <v>0</v>
      </c>
      <c r="F2524">
        <v>-486</v>
      </c>
      <c r="G2524">
        <v>-1867</v>
      </c>
      <c r="H2524">
        <v>-313</v>
      </c>
      <c r="I2524">
        <v>0</v>
      </c>
      <c r="J2524">
        <v>0</v>
      </c>
      <c r="K2524" s="201">
        <v>304</v>
      </c>
    </row>
    <row r="2525" spans="1:11" x14ac:dyDescent="0.25">
      <c r="A2525"/>
      <c r="B2525" s="201">
        <v>-40</v>
      </c>
      <c r="C2525">
        <v>0</v>
      </c>
      <c r="D2525" s="201">
        <v>183</v>
      </c>
      <c r="E2525" s="201">
        <v>176</v>
      </c>
      <c r="F2525">
        <v>174</v>
      </c>
      <c r="G2525">
        <v>115</v>
      </c>
      <c r="H2525">
        <v>965</v>
      </c>
      <c r="I2525">
        <v>280</v>
      </c>
      <c r="J2525">
        <v>327</v>
      </c>
      <c r="K2525" s="201">
        <v>0</v>
      </c>
    </row>
    <row r="2526" spans="1:11" x14ac:dyDescent="0.25">
      <c r="A2526"/>
      <c r="B2526" s="201">
        <v>0</v>
      </c>
      <c r="C2526">
        <v>0</v>
      </c>
      <c r="D2526" s="201">
        <v>0</v>
      </c>
      <c r="E2526" s="201">
        <v>0</v>
      </c>
      <c r="F2526">
        <v>1257</v>
      </c>
      <c r="G2526">
        <v>0</v>
      </c>
      <c r="H2526">
        <v>645</v>
      </c>
      <c r="I2526">
        <v>864</v>
      </c>
      <c r="J2526">
        <v>-45</v>
      </c>
      <c r="K2526" s="201">
        <v>0</v>
      </c>
    </row>
    <row r="2527" spans="1:11" x14ac:dyDescent="0.25">
      <c r="A2527"/>
      <c r="B2527" s="201">
        <v>318</v>
      </c>
      <c r="C2527">
        <v>1259</v>
      </c>
      <c r="D2527" s="201">
        <v>-68</v>
      </c>
      <c r="E2527" s="201">
        <v>378</v>
      </c>
      <c r="F2527">
        <v>-29</v>
      </c>
      <c r="G2527">
        <v>0</v>
      </c>
      <c r="H2527">
        <v>-642</v>
      </c>
      <c r="I2527">
        <v>-509</v>
      </c>
      <c r="J2527">
        <v>-235</v>
      </c>
      <c r="K2527" s="201">
        <v>-3589</v>
      </c>
    </row>
    <row r="2528" spans="1:11" x14ac:dyDescent="0.25">
      <c r="A2528"/>
      <c r="B2528" s="201">
        <v>0</v>
      </c>
      <c r="C2528">
        <v>-913</v>
      </c>
      <c r="D2528" s="201">
        <v>-3324</v>
      </c>
      <c r="E2528" s="201">
        <v>0</v>
      </c>
      <c r="F2528">
        <v>0</v>
      </c>
      <c r="G2528">
        <v>0</v>
      </c>
      <c r="H2528">
        <v>52</v>
      </c>
      <c r="I2528">
        <v>-288</v>
      </c>
      <c r="J2528">
        <v>0</v>
      </c>
      <c r="K2528" s="201">
        <v>-203</v>
      </c>
    </row>
    <row r="2529" spans="1:11" x14ac:dyDescent="0.25">
      <c r="A2529"/>
      <c r="B2529" s="201">
        <v>746</v>
      </c>
      <c r="C2529">
        <v>64</v>
      </c>
      <c r="D2529" s="201">
        <v>27</v>
      </c>
      <c r="E2529" s="201">
        <v>0</v>
      </c>
      <c r="F2529">
        <v>0</v>
      </c>
      <c r="G2529">
        <v>0</v>
      </c>
      <c r="H2529">
        <v>0</v>
      </c>
      <c r="I2529">
        <v>0</v>
      </c>
      <c r="J2529">
        <v>-11</v>
      </c>
      <c r="K2529" s="201">
        <v>0</v>
      </c>
    </row>
    <row r="2530" spans="1:11" x14ac:dyDescent="0.25">
      <c r="A2530"/>
      <c r="B2530" s="201">
        <v>806</v>
      </c>
      <c r="C2530">
        <v>671</v>
      </c>
      <c r="D2530" s="201">
        <v>-16</v>
      </c>
      <c r="E2530" s="201">
        <v>0</v>
      </c>
      <c r="F2530">
        <v>303</v>
      </c>
      <c r="G2530">
        <v>1297</v>
      </c>
      <c r="H2530">
        <v>153</v>
      </c>
      <c r="I2530">
        <v>643</v>
      </c>
      <c r="J2530">
        <v>219</v>
      </c>
      <c r="K2530" s="201">
        <v>764</v>
      </c>
    </row>
    <row r="2531" spans="1:11" x14ac:dyDescent="0.25">
      <c r="A2531"/>
      <c r="B2531" s="201">
        <v>-429</v>
      </c>
      <c r="C2531">
        <v>-95</v>
      </c>
      <c r="D2531" s="201">
        <v>0</v>
      </c>
      <c r="E2531" s="201">
        <v>-5977</v>
      </c>
      <c r="F2531">
        <v>0</v>
      </c>
      <c r="G2531">
        <v>0</v>
      </c>
      <c r="H2531">
        <v>-3254</v>
      </c>
      <c r="I2531">
        <v>91</v>
      </c>
      <c r="J2531">
        <v>0</v>
      </c>
      <c r="K2531" s="201">
        <v>369</v>
      </c>
    </row>
    <row r="2532" spans="1:11" x14ac:dyDescent="0.25">
      <c r="A2532"/>
      <c r="B2532" s="201">
        <v>0</v>
      </c>
      <c r="C2532">
        <v>0</v>
      </c>
      <c r="D2532" s="201">
        <v>107</v>
      </c>
      <c r="E2532" s="201">
        <v>0</v>
      </c>
      <c r="F2532">
        <v>553</v>
      </c>
      <c r="G2532">
        <v>92</v>
      </c>
      <c r="H2532">
        <v>4</v>
      </c>
      <c r="I2532">
        <v>0</v>
      </c>
      <c r="J2532">
        <v>0</v>
      </c>
      <c r="K2532" s="201">
        <v>0</v>
      </c>
    </row>
    <row r="2533" spans="1:11" x14ac:dyDescent="0.25">
      <c r="A2533"/>
      <c r="B2533" s="201">
        <v>0</v>
      </c>
      <c r="C2533">
        <v>0</v>
      </c>
      <c r="D2533" s="201">
        <v>-25</v>
      </c>
      <c r="E2533" s="201">
        <v>0</v>
      </c>
      <c r="F2533">
        <v>606</v>
      </c>
      <c r="G2533">
        <v>974</v>
      </c>
      <c r="H2533">
        <v>20</v>
      </c>
      <c r="I2533">
        <v>0</v>
      </c>
      <c r="J2533">
        <v>509</v>
      </c>
      <c r="K2533" s="201">
        <v>2303</v>
      </c>
    </row>
    <row r="2534" spans="1:11" x14ac:dyDescent="0.25">
      <c r="A2534"/>
      <c r="B2534" s="201">
        <v>124</v>
      </c>
      <c r="C2534">
        <v>0</v>
      </c>
      <c r="D2534" s="201">
        <v>0</v>
      </c>
      <c r="E2534" s="201">
        <v>0</v>
      </c>
      <c r="F2534">
        <v>-592</v>
      </c>
      <c r="G2534">
        <v>-711</v>
      </c>
      <c r="H2534">
        <v>-158</v>
      </c>
      <c r="I2534">
        <v>-7425</v>
      </c>
      <c r="J2534">
        <v>-1659</v>
      </c>
      <c r="K2534" s="201">
        <v>0</v>
      </c>
    </row>
    <row r="2535" spans="1:11" x14ac:dyDescent="0.25">
      <c r="A2535"/>
      <c r="B2535" s="201">
        <v>-2622</v>
      </c>
      <c r="C2535">
        <v>0</v>
      </c>
      <c r="D2535" s="201">
        <v>0</v>
      </c>
      <c r="E2535" s="201">
        <v>244</v>
      </c>
      <c r="F2535">
        <v>0</v>
      </c>
      <c r="G2535">
        <v>-227</v>
      </c>
      <c r="H2535">
        <v>0</v>
      </c>
      <c r="I2535">
        <v>-219</v>
      </c>
      <c r="J2535">
        <v>0</v>
      </c>
      <c r="K2535" s="201">
        <v>0</v>
      </c>
    </row>
    <row r="2536" spans="1:11" x14ac:dyDescent="0.25">
      <c r="A2536"/>
      <c r="B2536" s="201">
        <v>0</v>
      </c>
      <c r="C2536">
        <v>0</v>
      </c>
      <c r="D2536" s="201">
        <v>0</v>
      </c>
      <c r="E2536" s="201">
        <v>0</v>
      </c>
      <c r="F2536">
        <v>0</v>
      </c>
      <c r="G2536">
        <v>0</v>
      </c>
      <c r="H2536">
        <v>316</v>
      </c>
      <c r="I2536">
        <v>0</v>
      </c>
      <c r="J2536">
        <v>641</v>
      </c>
      <c r="K2536" s="201">
        <v>1071</v>
      </c>
    </row>
    <row r="2537" spans="1:11" x14ac:dyDescent="0.25">
      <c r="A2537"/>
      <c r="B2537" s="201">
        <v>-141</v>
      </c>
      <c r="C2537">
        <v>0</v>
      </c>
      <c r="D2537" s="201">
        <v>-5258</v>
      </c>
      <c r="E2537" s="201">
        <v>-1966</v>
      </c>
      <c r="F2537">
        <v>0</v>
      </c>
      <c r="G2537">
        <v>0</v>
      </c>
      <c r="H2537">
        <v>0</v>
      </c>
      <c r="I2537">
        <v>0</v>
      </c>
      <c r="J2537">
        <v>0</v>
      </c>
      <c r="K2537" s="201">
        <v>699</v>
      </c>
    </row>
    <row r="2538" spans="1:11" x14ac:dyDescent="0.25">
      <c r="A2538"/>
      <c r="B2538" s="201">
        <v>-1504</v>
      </c>
      <c r="C2538">
        <v>-364</v>
      </c>
      <c r="D2538" s="201">
        <v>626</v>
      </c>
      <c r="E2538" s="201">
        <v>-1</v>
      </c>
      <c r="F2538">
        <v>22</v>
      </c>
      <c r="G2538">
        <v>67</v>
      </c>
      <c r="H2538">
        <v>0</v>
      </c>
      <c r="I2538">
        <v>0</v>
      </c>
      <c r="J2538">
        <v>-173</v>
      </c>
      <c r="K2538" s="201">
        <v>0</v>
      </c>
    </row>
    <row r="2539" spans="1:11" x14ac:dyDescent="0.25">
      <c r="A2539"/>
      <c r="B2539" s="201">
        <v>0</v>
      </c>
      <c r="C2539">
        <v>0</v>
      </c>
      <c r="D2539" s="201">
        <v>5</v>
      </c>
      <c r="E2539" s="201">
        <v>53</v>
      </c>
      <c r="F2539">
        <v>0</v>
      </c>
      <c r="G2539">
        <v>0</v>
      </c>
      <c r="H2539">
        <v>0</v>
      </c>
      <c r="I2539">
        <v>0</v>
      </c>
      <c r="J2539">
        <v>0</v>
      </c>
      <c r="K2539" s="201">
        <v>0</v>
      </c>
    </row>
    <row r="2540" spans="1:11" x14ac:dyDescent="0.25">
      <c r="A2540"/>
      <c r="B2540" s="201">
        <v>148</v>
      </c>
      <c r="C2540">
        <v>0</v>
      </c>
      <c r="D2540" s="201">
        <v>0</v>
      </c>
      <c r="E2540" s="201">
        <v>-55</v>
      </c>
      <c r="F2540">
        <v>0</v>
      </c>
      <c r="G2540">
        <v>60</v>
      </c>
      <c r="H2540">
        <v>0</v>
      </c>
      <c r="I2540">
        <v>32</v>
      </c>
      <c r="J2540">
        <v>276</v>
      </c>
      <c r="K2540" s="201">
        <v>-26</v>
      </c>
    </row>
    <row r="2541" spans="1:11" x14ac:dyDescent="0.25">
      <c r="A2541"/>
      <c r="B2541" s="201">
        <v>0</v>
      </c>
      <c r="C2541">
        <v>-14</v>
      </c>
      <c r="D2541" s="201">
        <v>497</v>
      </c>
      <c r="E2541" s="201">
        <v>52</v>
      </c>
      <c r="F2541">
        <v>70</v>
      </c>
      <c r="G2541">
        <v>-148</v>
      </c>
      <c r="H2541">
        <v>-17</v>
      </c>
      <c r="I2541">
        <v>0</v>
      </c>
      <c r="J2541">
        <v>257</v>
      </c>
      <c r="K2541" s="201">
        <v>0</v>
      </c>
    </row>
    <row r="2542" spans="1:11" x14ac:dyDescent="0.25">
      <c r="A2542"/>
      <c r="B2542" s="201">
        <v>0</v>
      </c>
      <c r="C2542">
        <v>0</v>
      </c>
      <c r="D2542" s="201">
        <v>0</v>
      </c>
      <c r="E2542" s="201">
        <v>0</v>
      </c>
      <c r="F2542">
        <v>73</v>
      </c>
      <c r="G2542">
        <v>0</v>
      </c>
      <c r="H2542">
        <v>0</v>
      </c>
      <c r="I2542">
        <v>0</v>
      </c>
      <c r="J2542">
        <v>0</v>
      </c>
      <c r="K2542" s="201">
        <v>0</v>
      </c>
    </row>
    <row r="2543" spans="1:11" x14ac:dyDescent="0.25">
      <c r="A2543"/>
      <c r="B2543" s="201">
        <v>38</v>
      </c>
      <c r="C2543">
        <v>0</v>
      </c>
      <c r="D2543" s="201">
        <v>0</v>
      </c>
      <c r="E2543" s="201">
        <v>0</v>
      </c>
      <c r="F2543">
        <v>0</v>
      </c>
      <c r="G2543">
        <v>0</v>
      </c>
      <c r="H2543">
        <v>-791</v>
      </c>
      <c r="I2543">
        <v>0</v>
      </c>
      <c r="J2543">
        <v>48</v>
      </c>
      <c r="K2543" s="201">
        <v>132</v>
      </c>
    </row>
    <row r="2544" spans="1:11" x14ac:dyDescent="0.25">
      <c r="A2544"/>
      <c r="B2544" s="201">
        <v>0</v>
      </c>
      <c r="C2544">
        <v>0</v>
      </c>
      <c r="D2544" s="201">
        <v>-880</v>
      </c>
      <c r="E2544" s="201">
        <v>831</v>
      </c>
      <c r="F2544">
        <v>0</v>
      </c>
      <c r="G2544">
        <v>929</v>
      </c>
      <c r="H2544">
        <v>0</v>
      </c>
      <c r="I2544">
        <v>0</v>
      </c>
      <c r="J2544">
        <v>0</v>
      </c>
      <c r="K2544" s="201">
        <v>0</v>
      </c>
    </row>
    <row r="2545" spans="1:11" x14ac:dyDescent="0.25">
      <c r="A2545"/>
      <c r="B2545" s="201">
        <v>-478</v>
      </c>
      <c r="C2545">
        <v>-245</v>
      </c>
      <c r="D2545" s="201">
        <v>-2986</v>
      </c>
      <c r="E2545" s="201">
        <v>0</v>
      </c>
      <c r="F2545">
        <v>0</v>
      </c>
      <c r="G2545">
        <v>174</v>
      </c>
      <c r="H2545">
        <v>119</v>
      </c>
      <c r="I2545">
        <v>0</v>
      </c>
      <c r="J2545">
        <v>211</v>
      </c>
      <c r="K2545" s="201">
        <v>225</v>
      </c>
    </row>
    <row r="2546" spans="1:11" x14ac:dyDescent="0.25">
      <c r="A2546"/>
      <c r="B2546" s="201">
        <v>305</v>
      </c>
      <c r="C2546">
        <v>45</v>
      </c>
      <c r="D2546" s="201">
        <v>403</v>
      </c>
      <c r="E2546" s="201">
        <v>248</v>
      </c>
      <c r="F2546">
        <v>168</v>
      </c>
      <c r="G2546">
        <v>0</v>
      </c>
      <c r="H2546">
        <v>0</v>
      </c>
      <c r="I2546">
        <v>0</v>
      </c>
      <c r="J2546">
        <v>0</v>
      </c>
      <c r="K2546" s="201">
        <v>0</v>
      </c>
    </row>
    <row r="2547" spans="1:11" x14ac:dyDescent="0.25">
      <c r="A2547"/>
      <c r="B2547" s="201">
        <v>1007</v>
      </c>
      <c r="C2547">
        <v>0</v>
      </c>
      <c r="D2547" s="201">
        <v>511</v>
      </c>
      <c r="E2547" s="201">
        <v>589</v>
      </c>
      <c r="F2547">
        <v>46</v>
      </c>
      <c r="G2547">
        <v>0</v>
      </c>
      <c r="H2547">
        <v>3</v>
      </c>
      <c r="I2547">
        <v>1209</v>
      </c>
      <c r="J2547">
        <v>2</v>
      </c>
      <c r="K2547" s="201">
        <v>96</v>
      </c>
    </row>
    <row r="2548" spans="1:11" x14ac:dyDescent="0.25">
      <c r="A2548"/>
      <c r="B2548" s="201">
        <v>-140</v>
      </c>
      <c r="C2548">
        <v>0</v>
      </c>
      <c r="D2548" s="201">
        <v>217</v>
      </c>
      <c r="E2548" s="201">
        <v>-355</v>
      </c>
      <c r="F2548">
        <v>-330</v>
      </c>
      <c r="G2548">
        <v>387</v>
      </c>
      <c r="H2548">
        <v>0</v>
      </c>
      <c r="I2548">
        <v>3</v>
      </c>
      <c r="J2548">
        <v>-2415</v>
      </c>
      <c r="K2548" s="201">
        <v>0</v>
      </c>
    </row>
    <row r="2549" spans="1:11" x14ac:dyDescent="0.25">
      <c r="A2549"/>
      <c r="B2549" s="201">
        <v>0</v>
      </c>
      <c r="C2549">
        <v>0</v>
      </c>
      <c r="D2549" s="201">
        <v>51</v>
      </c>
      <c r="E2549" s="201">
        <v>-146</v>
      </c>
      <c r="F2549">
        <v>0</v>
      </c>
      <c r="G2549">
        <v>-130</v>
      </c>
      <c r="H2549">
        <v>-18</v>
      </c>
      <c r="I2549">
        <v>51</v>
      </c>
      <c r="J2549">
        <v>-44</v>
      </c>
      <c r="K2549" s="201">
        <v>0</v>
      </c>
    </row>
    <row r="2550" spans="1:11" x14ac:dyDescent="0.25">
      <c r="A2550"/>
      <c r="B2550" s="201">
        <v>0</v>
      </c>
      <c r="C2550">
        <v>0</v>
      </c>
      <c r="D2550" s="201">
        <v>0</v>
      </c>
      <c r="E2550" s="201">
        <v>0</v>
      </c>
      <c r="F2550">
        <v>439</v>
      </c>
      <c r="G2550">
        <v>0</v>
      </c>
      <c r="H2550">
        <v>513</v>
      </c>
      <c r="I2550">
        <v>282</v>
      </c>
      <c r="J2550">
        <v>89</v>
      </c>
      <c r="K2550" s="201">
        <v>0</v>
      </c>
    </row>
    <row r="2551" spans="1:11" x14ac:dyDescent="0.25">
      <c r="A2551"/>
      <c r="B2551" s="201">
        <v>-80</v>
      </c>
      <c r="C2551">
        <v>1144</v>
      </c>
      <c r="D2551" s="201">
        <v>-15</v>
      </c>
      <c r="E2551" s="201">
        <v>-48</v>
      </c>
      <c r="F2551">
        <v>-157</v>
      </c>
      <c r="G2551">
        <v>73</v>
      </c>
      <c r="H2551">
        <v>201</v>
      </c>
      <c r="I2551">
        <v>-59</v>
      </c>
      <c r="J2551">
        <v>0</v>
      </c>
      <c r="K2551" s="201">
        <v>569</v>
      </c>
    </row>
    <row r="2552" spans="1:11" x14ac:dyDescent="0.25">
      <c r="A2552"/>
      <c r="B2552" s="201">
        <v>0</v>
      </c>
      <c r="C2552">
        <v>0</v>
      </c>
      <c r="D2552" s="201">
        <v>-2135</v>
      </c>
      <c r="E2552" s="201">
        <v>-251</v>
      </c>
      <c r="F2552">
        <v>0</v>
      </c>
      <c r="G2552">
        <v>52</v>
      </c>
      <c r="H2552">
        <v>0</v>
      </c>
      <c r="I2552">
        <v>0</v>
      </c>
      <c r="J2552">
        <v>110</v>
      </c>
      <c r="K2552" s="201">
        <v>0</v>
      </c>
    </row>
    <row r="2553" spans="1:11" x14ac:dyDescent="0.25">
      <c r="A2553"/>
      <c r="B2553" s="201">
        <v>-45</v>
      </c>
      <c r="C2553">
        <v>-25</v>
      </c>
      <c r="D2553" s="201">
        <v>19</v>
      </c>
      <c r="E2553" s="201">
        <v>0</v>
      </c>
      <c r="F2553">
        <v>0</v>
      </c>
      <c r="G2553">
        <v>0</v>
      </c>
      <c r="H2553">
        <v>0</v>
      </c>
      <c r="I2553">
        <v>0</v>
      </c>
      <c r="J2553">
        <v>455</v>
      </c>
      <c r="K2553" s="201">
        <v>0</v>
      </c>
    </row>
    <row r="2554" spans="1:11" x14ac:dyDescent="0.25">
      <c r="A2554"/>
      <c r="B2554" s="201">
        <v>486</v>
      </c>
      <c r="C2554">
        <v>368</v>
      </c>
      <c r="D2554" s="201">
        <v>95</v>
      </c>
      <c r="E2554" s="201">
        <v>0</v>
      </c>
      <c r="F2554">
        <v>722</v>
      </c>
      <c r="G2554">
        <v>2198</v>
      </c>
      <c r="H2554">
        <v>106</v>
      </c>
      <c r="I2554">
        <v>0</v>
      </c>
      <c r="J2554">
        <v>0</v>
      </c>
      <c r="K2554" s="201">
        <v>0</v>
      </c>
    </row>
    <row r="2555" spans="1:11" x14ac:dyDescent="0.25">
      <c r="A2555"/>
      <c r="B2555" s="201">
        <v>140</v>
      </c>
      <c r="C2555">
        <v>-370</v>
      </c>
      <c r="D2555" s="201">
        <v>-116</v>
      </c>
      <c r="E2555" s="201">
        <v>-1594</v>
      </c>
      <c r="F2555">
        <v>-8259</v>
      </c>
      <c r="G2555">
        <v>0</v>
      </c>
      <c r="H2555">
        <v>-1769</v>
      </c>
      <c r="I2555">
        <v>0</v>
      </c>
      <c r="J2555">
        <v>0</v>
      </c>
      <c r="K2555" s="201">
        <v>4</v>
      </c>
    </row>
    <row r="2556" spans="1:11" x14ac:dyDescent="0.25">
      <c r="A2556"/>
      <c r="B2556" s="201">
        <v>0</v>
      </c>
      <c r="C2556">
        <v>42</v>
      </c>
      <c r="D2556" s="201">
        <v>0</v>
      </c>
      <c r="E2556" s="201">
        <v>-7</v>
      </c>
      <c r="F2556">
        <v>0</v>
      </c>
      <c r="G2556">
        <v>0</v>
      </c>
      <c r="H2556">
        <v>0</v>
      </c>
      <c r="I2556">
        <v>0</v>
      </c>
      <c r="J2556">
        <v>0</v>
      </c>
      <c r="K2556" s="201">
        <v>0</v>
      </c>
    </row>
    <row r="2557" spans="1:11" x14ac:dyDescent="0.25">
      <c r="A2557"/>
      <c r="B2557" s="201">
        <v>0</v>
      </c>
      <c r="C2557">
        <v>0</v>
      </c>
      <c r="D2557" s="201">
        <v>428</v>
      </c>
      <c r="E2557" s="201">
        <v>0</v>
      </c>
      <c r="F2557">
        <v>424</v>
      </c>
      <c r="G2557">
        <v>635</v>
      </c>
      <c r="H2557">
        <v>5</v>
      </c>
      <c r="I2557">
        <v>0</v>
      </c>
      <c r="J2557">
        <v>-5242</v>
      </c>
      <c r="K2557" s="201">
        <v>-1944</v>
      </c>
    </row>
    <row r="2558" spans="1:11" x14ac:dyDescent="0.25">
      <c r="A2558"/>
      <c r="B2558" s="201">
        <v>0</v>
      </c>
      <c r="C2558">
        <v>0</v>
      </c>
      <c r="D2558" s="201">
        <v>0</v>
      </c>
      <c r="E2558" s="201">
        <v>0</v>
      </c>
      <c r="F2558">
        <v>0</v>
      </c>
      <c r="G2558">
        <v>-1757</v>
      </c>
      <c r="H2558">
        <v>-2483</v>
      </c>
      <c r="I2558">
        <v>26029</v>
      </c>
      <c r="J2558">
        <v>-385</v>
      </c>
      <c r="K2558" s="201">
        <v>76</v>
      </c>
    </row>
    <row r="2559" spans="1:11" x14ac:dyDescent="0.25">
      <c r="A2559"/>
      <c r="B2559" s="201">
        <v>264</v>
      </c>
      <c r="C2559">
        <v>118</v>
      </c>
      <c r="D2559" s="201">
        <v>706</v>
      </c>
      <c r="E2559" s="201">
        <v>0</v>
      </c>
      <c r="F2559">
        <v>0</v>
      </c>
      <c r="G2559">
        <v>1374</v>
      </c>
      <c r="H2559">
        <v>0</v>
      </c>
      <c r="I2559">
        <v>0</v>
      </c>
      <c r="J2559">
        <v>0</v>
      </c>
      <c r="K2559" s="201">
        <v>60</v>
      </c>
    </row>
    <row r="2560" spans="1:11" x14ac:dyDescent="0.25">
      <c r="A2560"/>
      <c r="B2560" s="201">
        <v>-7</v>
      </c>
      <c r="C2560">
        <v>0</v>
      </c>
      <c r="D2560" s="201">
        <v>0</v>
      </c>
      <c r="E2560" s="201">
        <v>0</v>
      </c>
      <c r="F2560">
        <v>0</v>
      </c>
      <c r="G2560">
        <v>0</v>
      </c>
      <c r="H2560">
        <v>0</v>
      </c>
      <c r="I2560">
        <v>-177</v>
      </c>
      <c r="J2560">
        <v>0</v>
      </c>
      <c r="K2560" s="201">
        <v>0</v>
      </c>
    </row>
    <row r="2561" spans="1:11" x14ac:dyDescent="0.25">
      <c r="A2561"/>
      <c r="B2561" s="201">
        <v>-88</v>
      </c>
      <c r="C2561">
        <v>0</v>
      </c>
      <c r="D2561" s="201">
        <v>129</v>
      </c>
      <c r="E2561" s="201">
        <v>0</v>
      </c>
      <c r="F2561">
        <v>210</v>
      </c>
      <c r="G2561">
        <v>54</v>
      </c>
      <c r="H2561">
        <v>-69</v>
      </c>
      <c r="I2561">
        <v>0</v>
      </c>
      <c r="J2561">
        <v>-83</v>
      </c>
      <c r="K2561" s="201">
        <v>192</v>
      </c>
    </row>
    <row r="2562" spans="1:11" x14ac:dyDescent="0.25">
      <c r="A2562"/>
      <c r="B2562" s="201">
        <v>161</v>
      </c>
      <c r="C2562">
        <v>487</v>
      </c>
      <c r="D2562" s="201">
        <v>2</v>
      </c>
      <c r="E2562" s="201">
        <v>148</v>
      </c>
      <c r="F2562">
        <v>0</v>
      </c>
      <c r="G2562">
        <v>-7</v>
      </c>
      <c r="H2562">
        <v>0</v>
      </c>
      <c r="I2562">
        <v>0</v>
      </c>
      <c r="J2562">
        <v>0</v>
      </c>
      <c r="K2562" s="201">
        <v>0</v>
      </c>
    </row>
    <row r="2563" spans="1:11" x14ac:dyDescent="0.25">
      <c r="A2563"/>
      <c r="B2563" s="201">
        <v>0</v>
      </c>
      <c r="C2563">
        <v>-42</v>
      </c>
      <c r="D2563" s="201">
        <v>0</v>
      </c>
      <c r="E2563" s="201">
        <v>0</v>
      </c>
      <c r="F2563">
        <v>0</v>
      </c>
      <c r="G2563">
        <v>48</v>
      </c>
      <c r="H2563">
        <v>0</v>
      </c>
      <c r="I2563">
        <v>2</v>
      </c>
      <c r="J2563">
        <v>0</v>
      </c>
      <c r="K2563" s="201">
        <v>0</v>
      </c>
    </row>
    <row r="2564" spans="1:11" x14ac:dyDescent="0.25">
      <c r="A2564"/>
      <c r="B2564" s="201">
        <v>0</v>
      </c>
      <c r="C2564">
        <v>0</v>
      </c>
      <c r="D2564" s="201">
        <v>0</v>
      </c>
      <c r="E2564" s="201">
        <v>69</v>
      </c>
      <c r="F2564">
        <v>0</v>
      </c>
      <c r="G2564">
        <v>-166</v>
      </c>
      <c r="H2564">
        <v>-17</v>
      </c>
      <c r="I2564">
        <v>0</v>
      </c>
      <c r="J2564">
        <v>0</v>
      </c>
      <c r="K2564" s="201">
        <v>-595</v>
      </c>
    </row>
    <row r="2565" spans="1:11" x14ac:dyDescent="0.25">
      <c r="A2565"/>
      <c r="B2565" s="201">
        <v>320</v>
      </c>
      <c r="C2565">
        <v>0</v>
      </c>
      <c r="D2565" s="201">
        <v>119</v>
      </c>
      <c r="E2565" s="201">
        <v>0</v>
      </c>
      <c r="F2565">
        <v>0</v>
      </c>
      <c r="G2565">
        <v>0</v>
      </c>
      <c r="H2565">
        <v>0</v>
      </c>
      <c r="I2565">
        <v>-192</v>
      </c>
      <c r="J2565">
        <v>291</v>
      </c>
      <c r="K2565" s="201">
        <v>102</v>
      </c>
    </row>
    <row r="2566" spans="1:11" x14ac:dyDescent="0.25">
      <c r="A2566"/>
      <c r="B2566" s="201">
        <v>0</v>
      </c>
      <c r="C2566">
        <v>0</v>
      </c>
      <c r="D2566" s="201">
        <v>-62</v>
      </c>
      <c r="E2566" s="201">
        <v>100</v>
      </c>
      <c r="F2566">
        <v>0</v>
      </c>
      <c r="G2566">
        <v>-12</v>
      </c>
      <c r="H2566">
        <v>96</v>
      </c>
      <c r="I2566">
        <v>-44</v>
      </c>
      <c r="J2566">
        <v>15</v>
      </c>
      <c r="K2566" s="201">
        <v>280</v>
      </c>
    </row>
    <row r="2567" spans="1:11" x14ac:dyDescent="0.25">
      <c r="A2567"/>
      <c r="B2567" s="201">
        <v>195</v>
      </c>
      <c r="C2567">
        <v>48</v>
      </c>
      <c r="D2567" s="201">
        <v>0</v>
      </c>
      <c r="E2567" s="201">
        <v>0</v>
      </c>
      <c r="F2567">
        <v>0</v>
      </c>
      <c r="G2567">
        <v>0</v>
      </c>
      <c r="H2567">
        <v>0</v>
      </c>
      <c r="I2567">
        <v>455</v>
      </c>
      <c r="J2567">
        <v>0</v>
      </c>
      <c r="K2567" s="201">
        <v>213</v>
      </c>
    </row>
    <row r="2568" spans="1:11" x14ac:dyDescent="0.25">
      <c r="A2568"/>
      <c r="B2568" s="201">
        <v>169</v>
      </c>
      <c r="C2568">
        <v>247</v>
      </c>
      <c r="D2568" s="201">
        <v>0</v>
      </c>
      <c r="E2568" s="201">
        <v>226</v>
      </c>
      <c r="F2568">
        <v>455</v>
      </c>
      <c r="G2568">
        <v>90</v>
      </c>
      <c r="H2568">
        <v>-91</v>
      </c>
      <c r="I2568">
        <v>-140</v>
      </c>
      <c r="J2568">
        <v>0</v>
      </c>
      <c r="K2568" s="201">
        <v>1271</v>
      </c>
    </row>
    <row r="2569" spans="1:11" x14ac:dyDescent="0.25">
      <c r="A2569"/>
      <c r="B2569" s="201">
        <v>-376</v>
      </c>
      <c r="C2569">
        <v>24</v>
      </c>
      <c r="D2569" s="201">
        <v>-763</v>
      </c>
      <c r="E2569" s="201">
        <v>0</v>
      </c>
      <c r="F2569">
        <v>-3931</v>
      </c>
      <c r="G2569">
        <v>-1354</v>
      </c>
      <c r="H2569">
        <v>0</v>
      </c>
      <c r="I2569">
        <v>0</v>
      </c>
      <c r="J2569">
        <v>0</v>
      </c>
      <c r="K2569" s="201">
        <v>-85</v>
      </c>
    </row>
    <row r="2570" spans="1:11" x14ac:dyDescent="0.25">
      <c r="A2570"/>
      <c r="B2570" s="201">
        <v>40</v>
      </c>
      <c r="C2570">
        <v>0</v>
      </c>
      <c r="D2570" s="201">
        <v>43</v>
      </c>
      <c r="E2570" s="201">
        <v>9</v>
      </c>
      <c r="F2570">
        <v>-174</v>
      </c>
      <c r="G2570">
        <v>260</v>
      </c>
      <c r="H2570">
        <v>0</v>
      </c>
      <c r="I2570">
        <v>0</v>
      </c>
      <c r="J2570">
        <v>0</v>
      </c>
      <c r="K2570" s="201">
        <v>0</v>
      </c>
    </row>
    <row r="2571" spans="1:11" x14ac:dyDescent="0.25">
      <c r="A2571"/>
      <c r="B2571" s="201">
        <v>0</v>
      </c>
      <c r="C2571">
        <v>27</v>
      </c>
      <c r="D2571" s="201">
        <v>0</v>
      </c>
      <c r="E2571" s="201">
        <v>461</v>
      </c>
      <c r="F2571">
        <v>-67</v>
      </c>
      <c r="G2571">
        <v>124</v>
      </c>
      <c r="H2571">
        <v>0</v>
      </c>
      <c r="I2571">
        <v>-66</v>
      </c>
      <c r="J2571">
        <v>348</v>
      </c>
      <c r="K2571" s="201">
        <v>79</v>
      </c>
    </row>
    <row r="2572" spans="1:11" x14ac:dyDescent="0.25">
      <c r="A2572"/>
      <c r="B2572" s="201">
        <v>31</v>
      </c>
      <c r="C2572">
        <v>-142</v>
      </c>
      <c r="D2572" s="201">
        <v>0</v>
      </c>
      <c r="E2572" s="201">
        <v>968</v>
      </c>
      <c r="F2572">
        <v>-344</v>
      </c>
      <c r="G2572">
        <v>0</v>
      </c>
      <c r="H2572">
        <v>43</v>
      </c>
      <c r="I2572">
        <v>0</v>
      </c>
      <c r="J2572">
        <v>0</v>
      </c>
      <c r="K2572" s="201">
        <v>-1307</v>
      </c>
    </row>
    <row r="2573" spans="1:11" x14ac:dyDescent="0.25">
      <c r="A2573"/>
      <c r="B2573" s="201">
        <v>34</v>
      </c>
      <c r="C2573">
        <v>0</v>
      </c>
      <c r="D2573" s="201">
        <v>-71</v>
      </c>
      <c r="E2573" s="201">
        <v>0</v>
      </c>
      <c r="F2573">
        <v>0</v>
      </c>
      <c r="G2573">
        <v>-11</v>
      </c>
      <c r="H2573">
        <v>0</v>
      </c>
      <c r="I2573">
        <v>28</v>
      </c>
      <c r="J2573">
        <v>106</v>
      </c>
      <c r="K2573" s="201">
        <v>263</v>
      </c>
    </row>
    <row r="2574" spans="1:11" x14ac:dyDescent="0.25">
      <c r="A2574"/>
      <c r="B2574" s="201">
        <v>0</v>
      </c>
      <c r="C2574">
        <v>0</v>
      </c>
      <c r="D2574" s="201">
        <v>0</v>
      </c>
      <c r="E2574" s="201">
        <v>0</v>
      </c>
      <c r="F2574">
        <v>0</v>
      </c>
      <c r="G2574">
        <v>123</v>
      </c>
      <c r="H2574">
        <v>0</v>
      </c>
      <c r="I2574">
        <v>317</v>
      </c>
      <c r="J2574">
        <v>110</v>
      </c>
      <c r="K2574" s="201">
        <v>230</v>
      </c>
    </row>
    <row r="2575" spans="1:11" x14ac:dyDescent="0.25">
      <c r="A2575"/>
      <c r="B2575" s="201">
        <v>0</v>
      </c>
      <c r="C2575">
        <v>-63</v>
      </c>
      <c r="D2575" s="201">
        <v>575</v>
      </c>
      <c r="E2575" s="201">
        <v>-38</v>
      </c>
      <c r="F2575">
        <v>0</v>
      </c>
      <c r="G2575">
        <v>0</v>
      </c>
      <c r="H2575">
        <v>0</v>
      </c>
      <c r="I2575">
        <v>883</v>
      </c>
      <c r="J2575">
        <v>-337</v>
      </c>
      <c r="K2575" s="201">
        <v>-45</v>
      </c>
    </row>
    <row r="2576" spans="1:11" x14ac:dyDescent="0.25">
      <c r="A2576"/>
      <c r="B2576" s="201">
        <v>197</v>
      </c>
      <c r="C2576">
        <v>8</v>
      </c>
      <c r="D2576" s="201">
        <v>0</v>
      </c>
      <c r="E2576" s="201">
        <v>-639</v>
      </c>
      <c r="F2576">
        <v>0</v>
      </c>
      <c r="G2576">
        <v>0</v>
      </c>
      <c r="H2576">
        <v>-92</v>
      </c>
      <c r="I2576">
        <v>0</v>
      </c>
      <c r="J2576">
        <v>4</v>
      </c>
      <c r="K2576" s="201">
        <v>0</v>
      </c>
    </row>
    <row r="2577" spans="1:11" x14ac:dyDescent="0.25">
      <c r="A2577"/>
      <c r="B2577" s="201">
        <v>12</v>
      </c>
      <c r="C2577">
        <v>0</v>
      </c>
      <c r="D2577" s="201">
        <v>0</v>
      </c>
      <c r="E2577" s="201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 s="201">
        <v>-14</v>
      </c>
    </row>
    <row r="2578" spans="1:11" x14ac:dyDescent="0.25">
      <c r="A2578"/>
      <c r="B2578" s="201">
        <v>0</v>
      </c>
      <c r="C2578">
        <v>421</v>
      </c>
      <c r="D2578" s="201">
        <v>120</v>
      </c>
      <c r="E2578" s="201">
        <v>228</v>
      </c>
      <c r="F2578">
        <v>0</v>
      </c>
      <c r="G2578">
        <v>-2111</v>
      </c>
      <c r="H2578">
        <v>-846</v>
      </c>
      <c r="I2578">
        <v>0</v>
      </c>
      <c r="J2578">
        <v>0</v>
      </c>
      <c r="K2578" s="201">
        <v>0</v>
      </c>
    </row>
    <row r="2579" spans="1:11" x14ac:dyDescent="0.25">
      <c r="A2579"/>
      <c r="B2579" s="201">
        <v>0</v>
      </c>
      <c r="C2579">
        <v>0</v>
      </c>
      <c r="D2579" s="201">
        <v>-5720</v>
      </c>
      <c r="E2579" s="201">
        <v>-2650</v>
      </c>
      <c r="F2579">
        <v>24103</v>
      </c>
      <c r="G2579">
        <v>27710</v>
      </c>
      <c r="H2579">
        <v>-1196</v>
      </c>
      <c r="I2579">
        <v>501</v>
      </c>
      <c r="J2579">
        <v>775</v>
      </c>
      <c r="K2579" s="201">
        <v>362</v>
      </c>
    </row>
    <row r="2580" spans="1:11" x14ac:dyDescent="0.25">
      <c r="A2580"/>
      <c r="B2580" s="201">
        <v>-300</v>
      </c>
      <c r="C2580">
        <v>0</v>
      </c>
      <c r="D2580" s="201">
        <v>0</v>
      </c>
      <c r="E2580" s="201">
        <v>-322</v>
      </c>
      <c r="F2580">
        <v>0</v>
      </c>
      <c r="G2580">
        <v>0</v>
      </c>
      <c r="H2580">
        <v>0</v>
      </c>
      <c r="I2580">
        <v>-23</v>
      </c>
      <c r="J2580">
        <v>-112</v>
      </c>
      <c r="K2580" s="201">
        <v>0</v>
      </c>
    </row>
    <row r="2581" spans="1:11" x14ac:dyDescent="0.25">
      <c r="A2581"/>
      <c r="B2581" s="201">
        <v>0</v>
      </c>
      <c r="C2581">
        <v>0</v>
      </c>
      <c r="D2581" s="201">
        <v>0</v>
      </c>
      <c r="E2581" s="201">
        <v>0</v>
      </c>
      <c r="F2581">
        <v>0</v>
      </c>
      <c r="G2581">
        <v>247</v>
      </c>
      <c r="H2581">
        <v>0</v>
      </c>
      <c r="I2581">
        <v>0</v>
      </c>
      <c r="J2581">
        <v>-51</v>
      </c>
      <c r="K2581" s="201">
        <v>0</v>
      </c>
    </row>
    <row r="2582" spans="1:11" x14ac:dyDescent="0.25">
      <c r="A2582"/>
      <c r="B2582" s="201">
        <v>32</v>
      </c>
      <c r="C2582">
        <v>0</v>
      </c>
      <c r="D2582" s="201">
        <v>-136</v>
      </c>
      <c r="E2582" s="201">
        <v>652</v>
      </c>
      <c r="F2582">
        <v>196</v>
      </c>
      <c r="G2582">
        <v>0</v>
      </c>
      <c r="H2582">
        <v>-300</v>
      </c>
      <c r="I2582">
        <v>274</v>
      </c>
      <c r="J2582">
        <v>475</v>
      </c>
      <c r="K2582" s="201">
        <v>114</v>
      </c>
    </row>
    <row r="2583" spans="1:11" x14ac:dyDescent="0.25">
      <c r="A2583"/>
      <c r="B2583" s="201">
        <v>-655</v>
      </c>
      <c r="C2583">
        <v>-438</v>
      </c>
      <c r="D2583" s="201">
        <v>0</v>
      </c>
      <c r="E2583" s="201">
        <v>145</v>
      </c>
      <c r="F2583">
        <v>0</v>
      </c>
      <c r="G2583">
        <v>0</v>
      </c>
      <c r="H2583">
        <v>0</v>
      </c>
      <c r="I2583">
        <v>0</v>
      </c>
      <c r="J2583">
        <v>0</v>
      </c>
      <c r="K2583" s="201">
        <v>0</v>
      </c>
    </row>
    <row r="2584" spans="1:11" x14ac:dyDescent="0.25">
      <c r="A2584"/>
      <c r="B2584" s="201">
        <v>0</v>
      </c>
      <c r="C2584">
        <v>0</v>
      </c>
      <c r="D2584" s="201">
        <v>0</v>
      </c>
      <c r="E2584" s="201">
        <v>-102</v>
      </c>
      <c r="F2584">
        <v>0</v>
      </c>
      <c r="G2584">
        <v>37</v>
      </c>
      <c r="H2584">
        <v>0</v>
      </c>
      <c r="I2584">
        <v>0</v>
      </c>
      <c r="J2584">
        <v>0</v>
      </c>
      <c r="K2584" s="201">
        <v>0</v>
      </c>
    </row>
    <row r="2585" spans="1:11" x14ac:dyDescent="0.25">
      <c r="A2585"/>
      <c r="B2585" s="201">
        <v>0</v>
      </c>
      <c r="C2585">
        <v>148</v>
      </c>
      <c r="D2585" s="201">
        <v>0</v>
      </c>
      <c r="E2585" s="201">
        <v>244</v>
      </c>
      <c r="F2585">
        <v>470</v>
      </c>
      <c r="G2585">
        <v>0</v>
      </c>
      <c r="H2585">
        <v>0</v>
      </c>
      <c r="I2585">
        <v>9472</v>
      </c>
      <c r="J2585">
        <v>5284</v>
      </c>
      <c r="K2585" s="201">
        <v>0</v>
      </c>
    </row>
    <row r="2586" spans="1:11" x14ac:dyDescent="0.25">
      <c r="A2586"/>
      <c r="B2586" s="201">
        <v>-115</v>
      </c>
      <c r="C2586">
        <v>0</v>
      </c>
      <c r="D2586" s="201">
        <v>0</v>
      </c>
      <c r="E2586" s="201">
        <v>0</v>
      </c>
      <c r="F2586">
        <v>0</v>
      </c>
      <c r="G2586">
        <v>6660</v>
      </c>
      <c r="H2586">
        <v>-2444</v>
      </c>
      <c r="I2586">
        <v>-1711</v>
      </c>
      <c r="J2586">
        <v>0</v>
      </c>
      <c r="K2586" s="201">
        <v>0</v>
      </c>
    </row>
    <row r="2587" spans="1:11" x14ac:dyDescent="0.25">
      <c r="A2587"/>
      <c r="B2587" s="201">
        <v>1111</v>
      </c>
      <c r="C2587">
        <v>-318</v>
      </c>
      <c r="D2587" s="201">
        <v>0</v>
      </c>
      <c r="E2587" s="201">
        <v>-321</v>
      </c>
      <c r="F2587">
        <v>-829</v>
      </c>
      <c r="G2587">
        <v>-31</v>
      </c>
      <c r="H2587">
        <v>-355</v>
      </c>
      <c r="I2587">
        <v>-904</v>
      </c>
      <c r="J2587">
        <v>-152</v>
      </c>
      <c r="K2587" s="201">
        <v>-335</v>
      </c>
    </row>
    <row r="2588" spans="1:11" x14ac:dyDescent="0.25">
      <c r="A2588"/>
      <c r="B2588" s="201">
        <v>0</v>
      </c>
      <c r="C2588">
        <v>0</v>
      </c>
      <c r="D2588" s="201">
        <v>0</v>
      </c>
      <c r="E2588" s="201">
        <v>0</v>
      </c>
      <c r="F2588">
        <v>0</v>
      </c>
      <c r="G2588">
        <v>-10978</v>
      </c>
      <c r="H2588">
        <v>0</v>
      </c>
      <c r="I2588">
        <v>-5520</v>
      </c>
      <c r="J2588">
        <v>-1145</v>
      </c>
      <c r="K2588" s="201">
        <v>-199</v>
      </c>
    </row>
    <row r="2589" spans="1:11" x14ac:dyDescent="0.25">
      <c r="A2589"/>
      <c r="B2589" s="201">
        <v>0</v>
      </c>
      <c r="C2589">
        <v>-1258</v>
      </c>
      <c r="D2589" s="201">
        <v>120</v>
      </c>
      <c r="E2589" s="201">
        <v>639</v>
      </c>
      <c r="F2589">
        <v>460</v>
      </c>
      <c r="G2589">
        <v>-382</v>
      </c>
      <c r="H2589">
        <v>0</v>
      </c>
      <c r="I2589">
        <v>135</v>
      </c>
      <c r="J2589">
        <v>-2711</v>
      </c>
      <c r="K2589" s="201">
        <v>1133</v>
      </c>
    </row>
    <row r="2590" spans="1:11" x14ac:dyDescent="0.25">
      <c r="A2590"/>
      <c r="B2590" s="201">
        <v>-350</v>
      </c>
      <c r="C2590">
        <v>0</v>
      </c>
      <c r="D2590" s="201">
        <v>59</v>
      </c>
      <c r="E2590" s="201">
        <v>21543</v>
      </c>
      <c r="F2590">
        <v>0</v>
      </c>
      <c r="G2590">
        <v>0</v>
      </c>
      <c r="H2590">
        <v>0</v>
      </c>
      <c r="I2590">
        <v>35</v>
      </c>
      <c r="J2590">
        <v>-171</v>
      </c>
      <c r="K2590" s="201">
        <v>0</v>
      </c>
    </row>
    <row r="2591" spans="1:11" x14ac:dyDescent="0.25">
      <c r="A2591"/>
      <c r="B2591" s="201">
        <v>-89</v>
      </c>
      <c r="C2591">
        <v>438</v>
      </c>
      <c r="D2591" s="201">
        <v>27</v>
      </c>
      <c r="E2591" s="201">
        <v>494</v>
      </c>
      <c r="F2591">
        <v>0</v>
      </c>
      <c r="G2591">
        <v>0</v>
      </c>
      <c r="H2591">
        <v>0</v>
      </c>
      <c r="I2591">
        <v>0</v>
      </c>
      <c r="J2591">
        <v>0</v>
      </c>
      <c r="K2591" s="201">
        <v>-2452</v>
      </c>
    </row>
    <row r="2592" spans="1:11" x14ac:dyDescent="0.25">
      <c r="A2592"/>
      <c r="B2592" s="201">
        <v>0</v>
      </c>
      <c r="C2592">
        <v>-2077</v>
      </c>
      <c r="D2592" s="201">
        <v>-362</v>
      </c>
      <c r="E2592" s="201">
        <v>0</v>
      </c>
      <c r="F2592">
        <v>0</v>
      </c>
      <c r="G2592">
        <v>-2020</v>
      </c>
      <c r="H2592">
        <v>437</v>
      </c>
      <c r="I2592">
        <v>333</v>
      </c>
      <c r="J2592">
        <v>148</v>
      </c>
      <c r="K2592" s="201">
        <v>-617</v>
      </c>
    </row>
    <row r="2593" spans="1:11" x14ac:dyDescent="0.25">
      <c r="A2593"/>
      <c r="B2593" s="201">
        <v>613</v>
      </c>
      <c r="C2593">
        <v>70</v>
      </c>
      <c r="D2593" s="201">
        <v>-3492</v>
      </c>
      <c r="E2593" s="201">
        <v>0</v>
      </c>
      <c r="F2593">
        <v>-540</v>
      </c>
      <c r="G2593">
        <v>0</v>
      </c>
      <c r="H2593">
        <v>0</v>
      </c>
      <c r="I2593">
        <v>19002</v>
      </c>
      <c r="J2593">
        <v>-208</v>
      </c>
      <c r="K2593" s="201">
        <v>0</v>
      </c>
    </row>
    <row r="2594" spans="1:11" x14ac:dyDescent="0.25">
      <c r="A2594"/>
      <c r="B2594" s="201">
        <v>-19</v>
      </c>
      <c r="C2594">
        <v>0</v>
      </c>
      <c r="D2594" s="201">
        <v>0</v>
      </c>
      <c r="E2594" s="201">
        <v>-26</v>
      </c>
      <c r="F2594">
        <v>0</v>
      </c>
      <c r="G2594">
        <v>-112</v>
      </c>
      <c r="H2594">
        <v>-185</v>
      </c>
      <c r="I2594">
        <v>677</v>
      </c>
      <c r="J2594">
        <v>0</v>
      </c>
      <c r="K2594" s="201">
        <v>0</v>
      </c>
    </row>
    <row r="2595" spans="1:11" x14ac:dyDescent="0.25">
      <c r="A2595"/>
      <c r="B2595" s="201">
        <v>0</v>
      </c>
      <c r="C2595">
        <v>0</v>
      </c>
      <c r="D2595" s="201">
        <v>0</v>
      </c>
      <c r="E2595" s="201">
        <v>-1119</v>
      </c>
      <c r="F2595">
        <v>0</v>
      </c>
      <c r="G2595">
        <v>-1897</v>
      </c>
      <c r="H2595">
        <v>-466</v>
      </c>
      <c r="I2595">
        <v>115</v>
      </c>
      <c r="J2595">
        <v>0</v>
      </c>
      <c r="K2595" s="201">
        <v>-1578</v>
      </c>
    </row>
    <row r="2596" spans="1:11" x14ac:dyDescent="0.25">
      <c r="A2596"/>
      <c r="B2596" s="201">
        <v>328</v>
      </c>
      <c r="C2596">
        <v>-233</v>
      </c>
      <c r="D2596" s="201">
        <v>0</v>
      </c>
      <c r="E2596" s="201">
        <v>0</v>
      </c>
      <c r="F2596">
        <v>0</v>
      </c>
      <c r="G2596">
        <v>-548</v>
      </c>
      <c r="H2596">
        <v>-2158</v>
      </c>
      <c r="I2596">
        <v>810</v>
      </c>
      <c r="J2596">
        <v>-586</v>
      </c>
      <c r="K2596" s="201">
        <v>66</v>
      </c>
    </row>
    <row r="2597" spans="1:11" x14ac:dyDescent="0.25">
      <c r="A2597"/>
      <c r="B2597" s="201">
        <v>0</v>
      </c>
      <c r="C2597">
        <v>9312</v>
      </c>
      <c r="D2597" s="201">
        <v>0</v>
      </c>
      <c r="E2597" s="201">
        <v>0</v>
      </c>
      <c r="F2597">
        <v>84</v>
      </c>
      <c r="G2597">
        <v>0</v>
      </c>
      <c r="H2597">
        <v>51</v>
      </c>
      <c r="I2597">
        <v>0</v>
      </c>
      <c r="J2597">
        <v>152</v>
      </c>
      <c r="K2597" s="201">
        <v>0</v>
      </c>
    </row>
    <row r="2598" spans="1:11" x14ac:dyDescent="0.25">
      <c r="A2598"/>
      <c r="B2598" s="201">
        <v>0</v>
      </c>
      <c r="C2598">
        <v>0</v>
      </c>
      <c r="D2598" s="201">
        <v>0</v>
      </c>
      <c r="E2598" s="201">
        <v>0</v>
      </c>
      <c r="F2598">
        <v>0</v>
      </c>
      <c r="G2598">
        <v>0</v>
      </c>
      <c r="H2598">
        <v>0</v>
      </c>
      <c r="I2598">
        <v>-1425</v>
      </c>
      <c r="J2598">
        <v>0</v>
      </c>
      <c r="K2598" s="201">
        <v>-88</v>
      </c>
    </row>
    <row r="2599" spans="1:11" x14ac:dyDescent="0.25">
      <c r="A2599"/>
      <c r="B2599" s="201">
        <v>-300</v>
      </c>
      <c r="C2599">
        <v>96</v>
      </c>
      <c r="D2599" s="201">
        <v>0</v>
      </c>
      <c r="E2599" s="201">
        <v>7689</v>
      </c>
      <c r="F2599">
        <v>1451</v>
      </c>
      <c r="G2599">
        <v>0</v>
      </c>
      <c r="H2599">
        <v>0</v>
      </c>
      <c r="I2599">
        <v>0</v>
      </c>
      <c r="J2599">
        <v>0</v>
      </c>
      <c r="K2599" s="201">
        <v>0</v>
      </c>
    </row>
    <row r="2600" spans="1:11" x14ac:dyDescent="0.25">
      <c r="A2600"/>
      <c r="B2600" s="201">
        <v>-22064</v>
      </c>
      <c r="C2600">
        <v>-12935</v>
      </c>
      <c r="D2600" s="201">
        <v>3186</v>
      </c>
      <c r="E2600" s="201">
        <v>-3161</v>
      </c>
      <c r="F2600">
        <v>-7835</v>
      </c>
      <c r="G2600">
        <v>0</v>
      </c>
      <c r="H2600">
        <v>0</v>
      </c>
      <c r="I2600">
        <v>0</v>
      </c>
      <c r="J2600">
        <v>0</v>
      </c>
      <c r="K2600" s="201">
        <v>0</v>
      </c>
    </row>
    <row r="2601" spans="1:11" x14ac:dyDescent="0.25">
      <c r="A2601"/>
      <c r="B2601" s="201">
        <v>0</v>
      </c>
      <c r="C2601">
        <v>0</v>
      </c>
      <c r="D2601" s="201">
        <v>0</v>
      </c>
      <c r="E2601" s="2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 s="201">
        <v>0</v>
      </c>
    </row>
    <row r="2602" spans="1:11" x14ac:dyDescent="0.25">
      <c r="A2602"/>
      <c r="B2602" s="201">
        <v>0</v>
      </c>
      <c r="C2602">
        <v>0</v>
      </c>
      <c r="D2602" s="201">
        <v>0</v>
      </c>
      <c r="E2602" s="201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 s="201">
        <v>0</v>
      </c>
    </row>
    <row r="2603" spans="1:11" x14ac:dyDescent="0.25">
      <c r="A2603"/>
      <c r="B2603" s="201">
        <v>0</v>
      </c>
      <c r="C2603">
        <v>0</v>
      </c>
      <c r="D2603" s="201">
        <v>0</v>
      </c>
      <c r="E2603" s="201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 s="201">
        <v>0</v>
      </c>
    </row>
    <row r="2604" spans="1:11" x14ac:dyDescent="0.25">
      <c r="A2604"/>
      <c r="B2604" s="201">
        <v>0</v>
      </c>
      <c r="C2604">
        <v>0</v>
      </c>
      <c r="D2604" s="201">
        <v>0</v>
      </c>
      <c r="E2604" s="201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 s="201">
        <v>0</v>
      </c>
    </row>
    <row r="2605" spans="1:11" x14ac:dyDescent="0.25">
      <c r="A2605"/>
      <c r="B2605" s="201">
        <v>0</v>
      </c>
      <c r="C2605">
        <v>0</v>
      </c>
      <c r="D2605" s="201">
        <v>0</v>
      </c>
      <c r="E2605" s="201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 s="201">
        <v>0</v>
      </c>
    </row>
    <row r="2606" spans="1:11" x14ac:dyDescent="0.25">
      <c r="A2606"/>
      <c r="B2606" s="201">
        <v>0</v>
      </c>
      <c r="C2606">
        <v>0</v>
      </c>
      <c r="D2606" s="201">
        <v>0</v>
      </c>
      <c r="E2606" s="201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 s="201">
        <v>0</v>
      </c>
    </row>
    <row r="2607" spans="1:11" x14ac:dyDescent="0.25">
      <c r="A2607"/>
      <c r="B2607" s="201">
        <v>0</v>
      </c>
      <c r="C2607">
        <v>0</v>
      </c>
      <c r="D2607" s="201">
        <v>0</v>
      </c>
      <c r="E2607" s="201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 s="201">
        <v>0</v>
      </c>
    </row>
    <row r="2608" spans="1:11" x14ac:dyDescent="0.25">
      <c r="A2608"/>
      <c r="B2608" s="201">
        <v>0</v>
      </c>
      <c r="C2608">
        <v>0</v>
      </c>
      <c r="D2608" s="201">
        <v>0</v>
      </c>
      <c r="E2608" s="201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 s="201">
        <v>0</v>
      </c>
    </row>
    <row r="2609" spans="1:11" x14ac:dyDescent="0.25">
      <c r="A2609"/>
      <c r="B2609" s="201">
        <v>0</v>
      </c>
      <c r="C2609">
        <v>0</v>
      </c>
      <c r="D2609" s="201">
        <v>0</v>
      </c>
      <c r="E2609" s="201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 s="201">
        <v>0</v>
      </c>
    </row>
    <row r="2610" spans="1:11" x14ac:dyDescent="0.25">
      <c r="A2610"/>
      <c r="B2610" s="201">
        <v>0</v>
      </c>
      <c r="C2610">
        <v>0</v>
      </c>
      <c r="D2610" s="201">
        <v>0</v>
      </c>
      <c r="E2610" s="201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 s="201">
        <v>0</v>
      </c>
    </row>
    <row r="2611" spans="1:11" x14ac:dyDescent="0.25">
      <c r="A2611"/>
      <c r="B2611" s="201">
        <v>0</v>
      </c>
      <c r="C2611">
        <v>0</v>
      </c>
      <c r="D2611" s="201">
        <v>0</v>
      </c>
      <c r="E2611" s="20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 s="201">
        <v>0</v>
      </c>
    </row>
    <row r="2612" spans="1:11" x14ac:dyDescent="0.25">
      <c r="A2612"/>
      <c r="B2612" s="201">
        <v>0</v>
      </c>
      <c r="C2612">
        <v>0</v>
      </c>
      <c r="D2612" s="201">
        <v>0</v>
      </c>
      <c r="E2612" s="201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 s="201">
        <v>0</v>
      </c>
    </row>
    <row r="2613" spans="1:11" x14ac:dyDescent="0.25">
      <c r="A2613"/>
      <c r="B2613" s="201">
        <v>0</v>
      </c>
      <c r="C2613">
        <v>0</v>
      </c>
      <c r="D2613" s="201">
        <v>0</v>
      </c>
      <c r="E2613" s="201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 s="201">
        <v>0</v>
      </c>
    </row>
    <row r="2614" spans="1:11" x14ac:dyDescent="0.25">
      <c r="A2614"/>
      <c r="B2614" s="201">
        <v>0</v>
      </c>
      <c r="C2614">
        <v>0</v>
      </c>
      <c r="D2614" s="201">
        <v>0</v>
      </c>
      <c r="E2614" s="201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 s="201">
        <v>0</v>
      </c>
    </row>
    <row r="2615" spans="1:11" x14ac:dyDescent="0.25">
      <c r="A2615"/>
      <c r="B2615" s="201">
        <v>0</v>
      </c>
      <c r="C2615">
        <v>0</v>
      </c>
      <c r="D2615" s="201">
        <v>0</v>
      </c>
      <c r="E2615" s="201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 s="201">
        <v>0</v>
      </c>
    </row>
    <row r="2616" spans="1:11" x14ac:dyDescent="0.25">
      <c r="A2616"/>
      <c r="B2616" s="201">
        <v>0</v>
      </c>
      <c r="C2616">
        <v>0</v>
      </c>
      <c r="D2616" s="201">
        <v>0</v>
      </c>
      <c r="E2616" s="201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 s="201">
        <v>0</v>
      </c>
    </row>
    <row r="2617" spans="1:11" x14ac:dyDescent="0.25">
      <c r="A2617"/>
      <c r="B2617" s="201">
        <v>0</v>
      </c>
      <c r="C2617">
        <v>0</v>
      </c>
      <c r="D2617" s="201">
        <v>0</v>
      </c>
      <c r="E2617" s="201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 s="201">
        <v>0</v>
      </c>
    </row>
    <row r="2618" spans="1:11" x14ac:dyDescent="0.25">
      <c r="A2618"/>
      <c r="B2618" s="201">
        <v>0</v>
      </c>
      <c r="C2618">
        <v>0</v>
      </c>
      <c r="D2618" s="201">
        <v>0</v>
      </c>
      <c r="E2618" s="201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 s="201">
        <v>0</v>
      </c>
    </row>
    <row r="2619" spans="1:11" x14ac:dyDescent="0.25">
      <c r="A2619"/>
      <c r="B2619" s="201">
        <v>0</v>
      </c>
      <c r="C2619">
        <v>0</v>
      </c>
      <c r="D2619" s="201">
        <v>0</v>
      </c>
      <c r="E2619" s="201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 s="201">
        <v>0</v>
      </c>
    </row>
    <row r="2620" spans="1:11" x14ac:dyDescent="0.25">
      <c r="A2620"/>
      <c r="B2620" s="201">
        <v>0</v>
      </c>
      <c r="C2620">
        <v>0</v>
      </c>
      <c r="D2620" s="201">
        <v>0</v>
      </c>
      <c r="E2620" s="201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 s="201">
        <v>0</v>
      </c>
    </row>
    <row r="2621" spans="1:11" x14ac:dyDescent="0.25">
      <c r="A2621"/>
      <c r="B2621" s="201">
        <v>0</v>
      </c>
      <c r="C2621">
        <v>0</v>
      </c>
      <c r="D2621" s="201">
        <v>0</v>
      </c>
      <c r="E2621" s="20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 s="201">
        <v>0</v>
      </c>
    </row>
    <row r="2622" spans="1:11" x14ac:dyDescent="0.25">
      <c r="A2622"/>
      <c r="B2622" s="201">
        <v>0</v>
      </c>
      <c r="C2622">
        <v>0</v>
      </c>
      <c r="D2622" s="201">
        <v>0</v>
      </c>
      <c r="E2622" s="201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 s="201">
        <v>0</v>
      </c>
    </row>
    <row r="2623" spans="1:11" x14ac:dyDescent="0.25">
      <c r="A2623"/>
      <c r="B2623" s="201">
        <v>0</v>
      </c>
      <c r="C2623">
        <v>0</v>
      </c>
      <c r="D2623" s="201">
        <v>0</v>
      </c>
      <c r="E2623" s="201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 s="201">
        <v>0</v>
      </c>
    </row>
    <row r="2624" spans="1:11" x14ac:dyDescent="0.25">
      <c r="A2624"/>
      <c r="B2624" s="201">
        <v>0</v>
      </c>
      <c r="C2624">
        <v>0</v>
      </c>
      <c r="D2624" s="201">
        <v>0</v>
      </c>
      <c r="E2624" s="201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 s="201">
        <v>0</v>
      </c>
    </row>
    <row r="2625" spans="1:11" x14ac:dyDescent="0.25">
      <c r="A2625"/>
      <c r="B2625" s="201">
        <v>0</v>
      </c>
      <c r="C2625">
        <v>0</v>
      </c>
      <c r="D2625" s="201">
        <v>0</v>
      </c>
      <c r="E2625" s="201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 s="201">
        <v>0</v>
      </c>
    </row>
    <row r="2626" spans="1:11" x14ac:dyDescent="0.25">
      <c r="A2626"/>
      <c r="B2626" s="201">
        <v>0</v>
      </c>
      <c r="C2626">
        <v>0</v>
      </c>
      <c r="D2626" s="201">
        <v>0</v>
      </c>
      <c r="E2626" s="201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 s="201">
        <v>0</v>
      </c>
    </row>
    <row r="2627" spans="1:11" x14ac:dyDescent="0.25">
      <c r="A2627"/>
      <c r="B2627" s="201">
        <v>0</v>
      </c>
      <c r="C2627">
        <v>0</v>
      </c>
      <c r="D2627" s="201">
        <v>0</v>
      </c>
      <c r="E2627" s="201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 s="201">
        <v>0</v>
      </c>
    </row>
    <row r="2628" spans="1:11" x14ac:dyDescent="0.25">
      <c r="A2628"/>
      <c r="B2628" s="201">
        <v>0</v>
      </c>
      <c r="C2628">
        <v>0</v>
      </c>
      <c r="D2628" s="201">
        <v>0</v>
      </c>
      <c r="E2628" s="201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 s="201">
        <v>0</v>
      </c>
    </row>
    <row r="2629" spans="1:11" x14ac:dyDescent="0.25">
      <c r="A2629"/>
      <c r="B2629" s="201">
        <v>0</v>
      </c>
      <c r="C2629">
        <v>0</v>
      </c>
      <c r="D2629" s="201">
        <v>0</v>
      </c>
      <c r="E2629" s="201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 s="201">
        <v>0</v>
      </c>
    </row>
    <row r="2630" spans="1:11" x14ac:dyDescent="0.25">
      <c r="A2630"/>
      <c r="B2630" s="201">
        <v>0</v>
      </c>
      <c r="C2630">
        <v>0</v>
      </c>
      <c r="D2630" s="201">
        <v>0</v>
      </c>
      <c r="E2630" s="201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 s="201">
        <v>0</v>
      </c>
    </row>
    <row r="2631" spans="1:11" x14ac:dyDescent="0.25">
      <c r="A2631"/>
      <c r="B2631" s="201">
        <v>0</v>
      </c>
      <c r="C2631">
        <v>0</v>
      </c>
      <c r="D2631" s="201">
        <v>0</v>
      </c>
      <c r="E2631" s="20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 s="201">
        <v>0</v>
      </c>
    </row>
    <row r="2632" spans="1:11" x14ac:dyDescent="0.25">
      <c r="A2632"/>
      <c r="B2632" s="201">
        <v>0</v>
      </c>
      <c r="C2632">
        <v>0</v>
      </c>
      <c r="D2632" s="201">
        <v>0</v>
      </c>
      <c r="E2632" s="201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 s="201">
        <v>0</v>
      </c>
    </row>
    <row r="2633" spans="1:11" x14ac:dyDescent="0.25">
      <c r="A2633"/>
      <c r="B2633" s="201">
        <v>0</v>
      </c>
      <c r="C2633">
        <v>0</v>
      </c>
      <c r="D2633" s="201">
        <v>0</v>
      </c>
      <c r="E2633" s="201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 s="201">
        <v>0</v>
      </c>
    </row>
    <row r="2634" spans="1:11" x14ac:dyDescent="0.25">
      <c r="A2634"/>
      <c r="B2634" s="201">
        <v>0</v>
      </c>
      <c r="C2634">
        <v>0</v>
      </c>
      <c r="D2634" s="201">
        <v>0</v>
      </c>
      <c r="E2634" s="201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 s="201">
        <v>0</v>
      </c>
    </row>
    <row r="2635" spans="1:11" x14ac:dyDescent="0.25">
      <c r="A2635"/>
      <c r="B2635" s="201">
        <v>0</v>
      </c>
      <c r="C2635">
        <v>0</v>
      </c>
      <c r="D2635" s="201">
        <v>0</v>
      </c>
      <c r="E2635" s="201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 s="201">
        <v>0</v>
      </c>
    </row>
    <row r="2636" spans="1:11" x14ac:dyDescent="0.25">
      <c r="A2636"/>
      <c r="B2636" s="201">
        <v>0</v>
      </c>
      <c r="C2636">
        <v>0</v>
      </c>
      <c r="D2636" s="201">
        <v>0</v>
      </c>
      <c r="E2636" s="201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 s="201">
        <v>0</v>
      </c>
    </row>
    <row r="2637" spans="1:11" x14ac:dyDescent="0.25">
      <c r="A2637"/>
      <c r="B2637" s="201">
        <v>0</v>
      </c>
      <c r="C2637">
        <v>0</v>
      </c>
      <c r="D2637" s="201">
        <v>0</v>
      </c>
      <c r="E2637" s="201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 s="201">
        <v>0</v>
      </c>
    </row>
    <row r="2638" spans="1:11" x14ac:dyDescent="0.25">
      <c r="A2638"/>
      <c r="B2638" s="201">
        <v>0</v>
      </c>
      <c r="C2638">
        <v>0</v>
      </c>
      <c r="D2638" s="201">
        <v>0</v>
      </c>
      <c r="E2638" s="201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 s="201">
        <v>0</v>
      </c>
    </row>
    <row r="2639" spans="1:11" x14ac:dyDescent="0.25">
      <c r="A2639"/>
      <c r="B2639" s="201">
        <v>0</v>
      </c>
      <c r="C2639">
        <v>0</v>
      </c>
      <c r="D2639" s="201">
        <v>0</v>
      </c>
      <c r="E2639" s="201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 s="201">
        <v>0</v>
      </c>
    </row>
    <row r="2640" spans="1:11" x14ac:dyDescent="0.25">
      <c r="A2640"/>
      <c r="B2640" s="201">
        <v>0</v>
      </c>
      <c r="C2640">
        <v>0</v>
      </c>
      <c r="D2640" s="201">
        <v>0</v>
      </c>
      <c r="E2640" s="201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 s="201">
        <v>0</v>
      </c>
    </row>
    <row r="2641" spans="1:11" x14ac:dyDescent="0.25">
      <c r="A2641"/>
      <c r="B2641" s="201">
        <v>0</v>
      </c>
      <c r="C2641">
        <v>0</v>
      </c>
      <c r="D2641" s="201">
        <v>0</v>
      </c>
      <c r="E2641" s="20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 s="201">
        <v>0</v>
      </c>
    </row>
    <row r="2642" spans="1:11" x14ac:dyDescent="0.25">
      <c r="A2642"/>
      <c r="B2642" s="201">
        <v>0</v>
      </c>
      <c r="C2642">
        <v>0</v>
      </c>
      <c r="D2642" s="201">
        <v>0</v>
      </c>
      <c r="E2642" s="201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 s="201">
        <v>0</v>
      </c>
    </row>
    <row r="2643" spans="1:11" x14ac:dyDescent="0.25">
      <c r="A2643"/>
      <c r="B2643" s="201">
        <v>0</v>
      </c>
      <c r="C2643">
        <v>0</v>
      </c>
      <c r="D2643" s="201">
        <v>0</v>
      </c>
      <c r="E2643" s="201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 s="201">
        <v>0</v>
      </c>
    </row>
    <row r="2644" spans="1:11" x14ac:dyDescent="0.25">
      <c r="A2644"/>
      <c r="B2644" s="201">
        <v>0</v>
      </c>
      <c r="C2644">
        <v>0</v>
      </c>
      <c r="D2644" s="201">
        <v>0</v>
      </c>
      <c r="E2644" s="201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 s="201">
        <v>0</v>
      </c>
    </row>
    <row r="2645" spans="1:11" x14ac:dyDescent="0.25">
      <c r="A2645"/>
      <c r="B2645" s="201">
        <v>0</v>
      </c>
      <c r="C2645">
        <v>0</v>
      </c>
      <c r="D2645" s="201">
        <v>0</v>
      </c>
      <c r="E2645" s="201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 s="201">
        <v>0</v>
      </c>
    </row>
    <row r="2646" spans="1:11" x14ac:dyDescent="0.25">
      <c r="A2646"/>
      <c r="B2646" s="201">
        <v>0</v>
      </c>
      <c r="C2646">
        <v>0</v>
      </c>
      <c r="D2646" s="201">
        <v>0</v>
      </c>
      <c r="E2646" s="201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 s="201">
        <v>0</v>
      </c>
    </row>
    <row r="2647" spans="1:11" x14ac:dyDescent="0.25">
      <c r="A2647"/>
      <c r="B2647" s="201">
        <v>0</v>
      </c>
      <c r="C2647">
        <v>0</v>
      </c>
      <c r="D2647" s="201">
        <v>0</v>
      </c>
      <c r="E2647" s="201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 s="201">
        <v>0</v>
      </c>
    </row>
    <row r="2648" spans="1:11" x14ac:dyDescent="0.25">
      <c r="A2648"/>
      <c r="B2648" s="201">
        <v>0</v>
      </c>
      <c r="C2648">
        <v>0</v>
      </c>
      <c r="D2648" s="201">
        <v>0</v>
      </c>
      <c r="E2648" s="201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 s="201">
        <v>0</v>
      </c>
    </row>
    <row r="2649" spans="1:11" x14ac:dyDescent="0.25">
      <c r="A2649"/>
      <c r="B2649" s="201">
        <v>0</v>
      </c>
      <c r="C2649">
        <v>0</v>
      </c>
      <c r="D2649" s="201">
        <v>0</v>
      </c>
      <c r="E2649" s="201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 s="201">
        <v>0</v>
      </c>
    </row>
    <row r="2650" spans="1:11" x14ac:dyDescent="0.25">
      <c r="A2650"/>
      <c r="B2650" s="201">
        <v>0</v>
      </c>
      <c r="C2650">
        <v>0</v>
      </c>
      <c r="D2650" s="201">
        <v>0</v>
      </c>
      <c r="E2650" s="201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 s="201">
        <v>0</v>
      </c>
    </row>
    <row r="2651" spans="1:11" x14ac:dyDescent="0.25">
      <c r="A2651"/>
      <c r="B2651" s="201">
        <v>0</v>
      </c>
      <c r="C2651">
        <v>0</v>
      </c>
      <c r="D2651" s="201">
        <v>0</v>
      </c>
      <c r="E2651" s="20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 s="201">
        <v>0</v>
      </c>
    </row>
    <row r="2652" spans="1:11" x14ac:dyDescent="0.25">
      <c r="A2652"/>
      <c r="B2652" s="201">
        <v>0</v>
      </c>
      <c r="C2652">
        <v>0</v>
      </c>
      <c r="D2652" s="201">
        <v>0</v>
      </c>
      <c r="E2652" s="201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 s="201">
        <v>0</v>
      </c>
    </row>
    <row r="2653" spans="1:11" x14ac:dyDescent="0.25">
      <c r="A2653"/>
      <c r="B2653" s="201">
        <v>0</v>
      </c>
      <c r="C2653">
        <v>0</v>
      </c>
      <c r="D2653" s="201">
        <v>0</v>
      </c>
      <c r="E2653" s="201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 s="201">
        <v>0</v>
      </c>
    </row>
    <row r="2654" spans="1:11" x14ac:dyDescent="0.25">
      <c r="A2654"/>
      <c r="B2654" s="201">
        <v>0</v>
      </c>
      <c r="C2654">
        <v>0</v>
      </c>
      <c r="D2654" s="201">
        <v>0</v>
      </c>
      <c r="E2654" s="201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 s="201">
        <v>0</v>
      </c>
    </row>
    <row r="2655" spans="1:11" x14ac:dyDescent="0.25">
      <c r="A2655"/>
      <c r="B2655" s="201">
        <v>0</v>
      </c>
      <c r="C2655">
        <v>0</v>
      </c>
      <c r="D2655" s="201">
        <v>0</v>
      </c>
      <c r="E2655" s="201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 s="201">
        <v>0</v>
      </c>
    </row>
    <row r="2656" spans="1:11" x14ac:dyDescent="0.25">
      <c r="A2656"/>
      <c r="B2656" s="201">
        <v>0</v>
      </c>
      <c r="C2656">
        <v>0</v>
      </c>
      <c r="D2656" s="201">
        <v>0</v>
      </c>
      <c r="E2656" s="201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 s="201">
        <v>0</v>
      </c>
    </row>
    <row r="2657" spans="1:11" x14ac:dyDescent="0.25">
      <c r="A2657"/>
      <c r="B2657" s="201">
        <v>0</v>
      </c>
      <c r="C2657">
        <v>0</v>
      </c>
      <c r="D2657" s="201">
        <v>0</v>
      </c>
      <c r="E2657" s="201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 s="201">
        <v>0</v>
      </c>
    </row>
    <row r="2658" spans="1:11" x14ac:dyDescent="0.25">
      <c r="A2658"/>
      <c r="B2658" s="201">
        <v>0</v>
      </c>
      <c r="C2658">
        <v>0</v>
      </c>
      <c r="D2658" s="201">
        <v>0</v>
      </c>
      <c r="E2658" s="201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 s="201">
        <v>0</v>
      </c>
    </row>
    <row r="2659" spans="1:11" x14ac:dyDescent="0.25">
      <c r="A2659"/>
      <c r="B2659" s="201">
        <v>0</v>
      </c>
      <c r="C2659">
        <v>0</v>
      </c>
      <c r="D2659" s="201">
        <v>0</v>
      </c>
      <c r="E2659" s="201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 s="201">
        <v>0</v>
      </c>
    </row>
    <row r="2660" spans="1:11" x14ac:dyDescent="0.25">
      <c r="A2660"/>
      <c r="B2660" s="201">
        <v>0</v>
      </c>
      <c r="C2660">
        <v>0</v>
      </c>
      <c r="D2660" s="201">
        <v>0</v>
      </c>
      <c r="E2660" s="201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 s="201">
        <v>0</v>
      </c>
    </row>
    <row r="2661" spans="1:11" x14ac:dyDescent="0.25">
      <c r="A2661"/>
      <c r="B2661" s="201">
        <v>0</v>
      </c>
      <c r="C2661">
        <v>0</v>
      </c>
      <c r="D2661" s="201">
        <v>0</v>
      </c>
      <c r="E2661" s="20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 s="201">
        <v>0</v>
      </c>
    </row>
    <row r="2662" spans="1:11" x14ac:dyDescent="0.25">
      <c r="A2662"/>
      <c r="B2662" s="201">
        <v>0</v>
      </c>
      <c r="C2662">
        <v>0</v>
      </c>
      <c r="D2662" s="201">
        <v>0</v>
      </c>
      <c r="E2662" s="201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 s="201">
        <v>0</v>
      </c>
    </row>
    <row r="2663" spans="1:11" x14ac:dyDescent="0.25">
      <c r="A2663"/>
      <c r="B2663" s="201">
        <v>0</v>
      </c>
      <c r="C2663">
        <v>0</v>
      </c>
      <c r="D2663" s="201">
        <v>0</v>
      </c>
      <c r="E2663" s="201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 s="201">
        <v>0</v>
      </c>
    </row>
    <row r="2664" spans="1:11" x14ac:dyDescent="0.25">
      <c r="A2664"/>
      <c r="B2664" s="201">
        <v>0</v>
      </c>
      <c r="C2664">
        <v>0</v>
      </c>
      <c r="D2664" s="201">
        <v>0</v>
      </c>
      <c r="E2664" s="201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 s="201">
        <v>0</v>
      </c>
    </row>
    <row r="2665" spans="1:11" x14ac:dyDescent="0.25">
      <c r="A2665"/>
      <c r="B2665" s="201">
        <v>0</v>
      </c>
      <c r="C2665">
        <v>0</v>
      </c>
      <c r="D2665" s="201">
        <v>0</v>
      </c>
      <c r="E2665" s="201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 s="201">
        <v>0</v>
      </c>
    </row>
    <row r="2666" spans="1:11" x14ac:dyDescent="0.25">
      <c r="A2666"/>
      <c r="B2666" s="201">
        <v>0</v>
      </c>
      <c r="C2666">
        <v>0</v>
      </c>
      <c r="D2666" s="201">
        <v>0</v>
      </c>
      <c r="E2666" s="201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 s="201">
        <v>0</v>
      </c>
    </row>
    <row r="2667" spans="1:11" x14ac:dyDescent="0.25">
      <c r="A2667"/>
      <c r="B2667" s="201">
        <v>0</v>
      </c>
      <c r="C2667">
        <v>0</v>
      </c>
      <c r="D2667" s="201">
        <v>0</v>
      </c>
      <c r="E2667" s="201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 s="201">
        <v>0</v>
      </c>
    </row>
    <row r="2668" spans="1:11" x14ac:dyDescent="0.25">
      <c r="A2668"/>
      <c r="B2668" s="201">
        <v>0</v>
      </c>
      <c r="C2668">
        <v>0</v>
      </c>
      <c r="D2668" s="201">
        <v>0</v>
      </c>
      <c r="E2668" s="201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 s="201">
        <v>0</v>
      </c>
    </row>
    <row r="2669" spans="1:11" x14ac:dyDescent="0.25">
      <c r="A2669"/>
      <c r="B2669" s="201">
        <v>0</v>
      </c>
      <c r="C2669">
        <v>0</v>
      </c>
      <c r="D2669" s="201">
        <v>0</v>
      </c>
      <c r="E2669" s="201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 s="201">
        <v>0</v>
      </c>
    </row>
    <row r="2670" spans="1:11" x14ac:dyDescent="0.25">
      <c r="A2670"/>
      <c r="B2670" s="201">
        <v>0</v>
      </c>
      <c r="C2670">
        <v>0</v>
      </c>
      <c r="D2670" s="201">
        <v>0</v>
      </c>
      <c r="E2670" s="201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 s="201">
        <v>0</v>
      </c>
    </row>
    <row r="2671" spans="1:11" x14ac:dyDescent="0.25">
      <c r="A2671"/>
      <c r="B2671" s="201">
        <v>0</v>
      </c>
      <c r="C2671">
        <v>0</v>
      </c>
      <c r="D2671" s="201">
        <v>0</v>
      </c>
      <c r="E2671" s="20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 s="201">
        <v>0</v>
      </c>
    </row>
    <row r="2672" spans="1:11" x14ac:dyDescent="0.25">
      <c r="A2672"/>
      <c r="B2672" s="201">
        <v>0</v>
      </c>
      <c r="C2672">
        <v>0</v>
      </c>
      <c r="D2672" s="201">
        <v>0</v>
      </c>
      <c r="E2672" s="201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 s="201">
        <v>0</v>
      </c>
    </row>
    <row r="2673" spans="1:11" x14ac:dyDescent="0.25">
      <c r="A2673"/>
      <c r="B2673" s="201">
        <v>0</v>
      </c>
      <c r="C2673">
        <v>0</v>
      </c>
      <c r="D2673" s="201">
        <v>0</v>
      </c>
      <c r="E2673" s="201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 s="201">
        <v>0</v>
      </c>
    </row>
    <row r="2674" spans="1:11" x14ac:dyDescent="0.25">
      <c r="A2674"/>
      <c r="B2674" s="201">
        <v>0</v>
      </c>
      <c r="C2674">
        <v>0</v>
      </c>
      <c r="D2674" s="201">
        <v>0</v>
      </c>
      <c r="E2674" s="201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 s="201">
        <v>0</v>
      </c>
    </row>
    <row r="2675" spans="1:11" x14ac:dyDescent="0.25">
      <c r="A2675"/>
      <c r="B2675" s="201">
        <v>0</v>
      </c>
      <c r="C2675">
        <v>0</v>
      </c>
      <c r="D2675" s="201">
        <v>0</v>
      </c>
      <c r="E2675" s="201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 s="201">
        <v>0</v>
      </c>
    </row>
    <row r="2676" spans="1:11" x14ac:dyDescent="0.25">
      <c r="A2676"/>
      <c r="B2676" s="201">
        <v>0</v>
      </c>
      <c r="C2676">
        <v>0</v>
      </c>
      <c r="D2676" s="201">
        <v>0</v>
      </c>
      <c r="E2676" s="201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 s="201">
        <v>0</v>
      </c>
    </row>
    <row r="2677" spans="1:11" x14ac:dyDescent="0.25">
      <c r="A2677"/>
      <c r="B2677" s="201">
        <v>0</v>
      </c>
      <c r="C2677">
        <v>0</v>
      </c>
      <c r="D2677" s="201">
        <v>0</v>
      </c>
      <c r="E2677" s="201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 s="201">
        <v>0</v>
      </c>
    </row>
    <row r="2678" spans="1:11" x14ac:dyDescent="0.25">
      <c r="A2678"/>
      <c r="B2678" s="201">
        <v>0</v>
      </c>
      <c r="C2678">
        <v>0</v>
      </c>
      <c r="D2678" s="201">
        <v>0</v>
      </c>
      <c r="E2678" s="201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 s="201">
        <v>0</v>
      </c>
    </row>
    <row r="2679" spans="1:11" x14ac:dyDescent="0.25">
      <c r="A2679"/>
      <c r="B2679" s="201">
        <v>0</v>
      </c>
      <c r="C2679">
        <v>0</v>
      </c>
      <c r="D2679" s="201">
        <v>0</v>
      </c>
      <c r="E2679" s="201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 s="201">
        <v>0</v>
      </c>
    </row>
    <row r="2680" spans="1:11" x14ac:dyDescent="0.25">
      <c r="A2680"/>
      <c r="B2680" s="201">
        <v>0</v>
      </c>
      <c r="C2680">
        <v>0</v>
      </c>
      <c r="D2680" s="201">
        <v>0</v>
      </c>
      <c r="E2680" s="201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 s="201">
        <v>0</v>
      </c>
    </row>
    <row r="2681" spans="1:11" x14ac:dyDescent="0.25">
      <c r="A2681"/>
      <c r="B2681" s="201">
        <v>0</v>
      </c>
      <c r="C2681">
        <v>0</v>
      </c>
      <c r="D2681" s="201">
        <v>0</v>
      </c>
      <c r="E2681" s="20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 s="201">
        <v>0</v>
      </c>
    </row>
    <row r="2682" spans="1:11" x14ac:dyDescent="0.25">
      <c r="A2682"/>
      <c r="B2682" s="201">
        <v>0</v>
      </c>
      <c r="C2682">
        <v>0</v>
      </c>
      <c r="D2682" s="201">
        <v>0</v>
      </c>
      <c r="E2682" s="201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 s="201">
        <v>0</v>
      </c>
    </row>
    <row r="2683" spans="1:11" x14ac:dyDescent="0.25">
      <c r="A2683"/>
      <c r="B2683" s="201">
        <v>0</v>
      </c>
      <c r="C2683">
        <v>0</v>
      </c>
      <c r="D2683" s="201">
        <v>0</v>
      </c>
      <c r="E2683" s="201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 s="201">
        <v>0</v>
      </c>
    </row>
    <row r="2684" spans="1:11" x14ac:dyDescent="0.25">
      <c r="A2684"/>
      <c r="B2684" s="201">
        <v>0</v>
      </c>
      <c r="C2684">
        <v>0</v>
      </c>
      <c r="D2684" s="201">
        <v>0</v>
      </c>
      <c r="E2684" s="201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 s="201">
        <v>0</v>
      </c>
    </row>
    <row r="2685" spans="1:11" x14ac:dyDescent="0.25">
      <c r="A2685"/>
      <c r="B2685" s="201">
        <v>0</v>
      </c>
      <c r="C2685">
        <v>231</v>
      </c>
      <c r="D2685" s="201">
        <v>1834</v>
      </c>
      <c r="E2685" s="201">
        <v>815</v>
      </c>
      <c r="F2685">
        <v>160</v>
      </c>
      <c r="G2685">
        <v>-1528</v>
      </c>
      <c r="H2685">
        <v>0</v>
      </c>
      <c r="I2685">
        <v>0</v>
      </c>
      <c r="J2685">
        <v>153</v>
      </c>
      <c r="K2685" s="201">
        <v>0</v>
      </c>
    </row>
    <row r="2686" spans="1:11" x14ac:dyDescent="0.25">
      <c r="A2686"/>
      <c r="B2686" s="201">
        <v>0</v>
      </c>
      <c r="C2686">
        <v>0</v>
      </c>
      <c r="D2686" s="201">
        <v>-1409</v>
      </c>
      <c r="E2686" s="201">
        <v>655</v>
      </c>
      <c r="F2686">
        <v>0</v>
      </c>
      <c r="G2686">
        <v>0</v>
      </c>
      <c r="H2686">
        <v>0</v>
      </c>
      <c r="I2686">
        <v>0</v>
      </c>
      <c r="J2686">
        <v>0</v>
      </c>
      <c r="K2686" s="201">
        <v>0</v>
      </c>
    </row>
    <row r="2687" spans="1:11" x14ac:dyDescent="0.25">
      <c r="A2687"/>
      <c r="B2687" s="201">
        <v>-152</v>
      </c>
      <c r="C2687">
        <v>0</v>
      </c>
      <c r="D2687" s="201">
        <v>0</v>
      </c>
      <c r="E2687" s="201">
        <v>-145</v>
      </c>
      <c r="F2687">
        <v>0</v>
      </c>
      <c r="G2687">
        <v>335</v>
      </c>
      <c r="H2687">
        <v>0</v>
      </c>
      <c r="I2687">
        <v>542</v>
      </c>
      <c r="J2687">
        <v>-170</v>
      </c>
      <c r="K2687" s="201">
        <v>-297</v>
      </c>
    </row>
    <row r="2688" spans="1:11" x14ac:dyDescent="0.25">
      <c r="A2688"/>
      <c r="B2688" s="201">
        <v>0</v>
      </c>
      <c r="C2688">
        <v>455</v>
      </c>
      <c r="D2688" s="201">
        <v>1322</v>
      </c>
      <c r="E2688" s="201">
        <v>59</v>
      </c>
      <c r="F2688">
        <v>-1047</v>
      </c>
      <c r="G2688">
        <v>-772</v>
      </c>
      <c r="H2688">
        <v>-393</v>
      </c>
      <c r="I2688">
        <v>0</v>
      </c>
      <c r="J2688">
        <v>54</v>
      </c>
      <c r="K2688" s="201">
        <v>0</v>
      </c>
    </row>
    <row r="2689" spans="1:11" x14ac:dyDescent="0.25">
      <c r="A2689"/>
      <c r="B2689" s="201">
        <v>0</v>
      </c>
      <c r="C2689">
        <v>0</v>
      </c>
      <c r="D2689" s="201">
        <v>0</v>
      </c>
      <c r="E2689" s="201">
        <v>0</v>
      </c>
      <c r="F2689">
        <v>325</v>
      </c>
      <c r="G2689">
        <v>0</v>
      </c>
      <c r="H2689">
        <v>0</v>
      </c>
      <c r="I2689">
        <v>0</v>
      </c>
      <c r="J2689">
        <v>-620</v>
      </c>
      <c r="K2689" s="201">
        <v>0</v>
      </c>
    </row>
    <row r="2690" spans="1:11" x14ac:dyDescent="0.25">
      <c r="A2690"/>
      <c r="B2690" s="201">
        <v>-173</v>
      </c>
      <c r="C2690">
        <v>0</v>
      </c>
      <c r="D2690" s="201">
        <v>0</v>
      </c>
      <c r="E2690" s="201">
        <v>0</v>
      </c>
      <c r="F2690">
        <v>0</v>
      </c>
      <c r="G2690">
        <v>0</v>
      </c>
      <c r="H2690">
        <v>-137</v>
      </c>
      <c r="I2690">
        <v>0</v>
      </c>
      <c r="J2690">
        <v>440</v>
      </c>
      <c r="K2690" s="201">
        <v>137</v>
      </c>
    </row>
    <row r="2691" spans="1:11" x14ac:dyDescent="0.25">
      <c r="A2691"/>
      <c r="B2691" s="201">
        <v>0</v>
      </c>
      <c r="C2691">
        <v>0</v>
      </c>
      <c r="D2691" s="201">
        <v>751</v>
      </c>
      <c r="E2691" s="201">
        <v>1727</v>
      </c>
      <c r="F2691">
        <v>0</v>
      </c>
      <c r="G2691">
        <v>-943</v>
      </c>
      <c r="H2691">
        <v>0</v>
      </c>
      <c r="I2691">
        <v>0</v>
      </c>
      <c r="J2691">
        <v>0</v>
      </c>
      <c r="K2691" s="201">
        <v>0</v>
      </c>
    </row>
    <row r="2692" spans="1:11" x14ac:dyDescent="0.25">
      <c r="A2692"/>
      <c r="B2692" s="201">
        <v>785</v>
      </c>
      <c r="C2692">
        <v>-628</v>
      </c>
      <c r="D2692" s="201">
        <v>-491</v>
      </c>
      <c r="E2692" s="201">
        <v>0</v>
      </c>
      <c r="F2692">
        <v>0</v>
      </c>
      <c r="G2692">
        <v>-91</v>
      </c>
      <c r="H2692">
        <v>-552</v>
      </c>
      <c r="I2692">
        <v>0</v>
      </c>
      <c r="J2692">
        <v>-643</v>
      </c>
      <c r="K2692" s="201">
        <v>4230</v>
      </c>
    </row>
    <row r="2693" spans="1:11" x14ac:dyDescent="0.25">
      <c r="A2693"/>
      <c r="B2693" s="201">
        <v>172</v>
      </c>
      <c r="C2693">
        <v>-338</v>
      </c>
      <c r="D2693" s="201">
        <v>-120</v>
      </c>
      <c r="E2693" s="201">
        <v>-87</v>
      </c>
      <c r="F2693">
        <v>-636</v>
      </c>
      <c r="G2693">
        <v>0</v>
      </c>
      <c r="H2693">
        <v>0</v>
      </c>
      <c r="I2693">
        <v>0</v>
      </c>
      <c r="J2693">
        <v>0</v>
      </c>
      <c r="K2693" s="201">
        <v>0</v>
      </c>
    </row>
    <row r="2694" spans="1:11" x14ac:dyDescent="0.25">
      <c r="A2694"/>
      <c r="B2694" s="201">
        <v>80</v>
      </c>
      <c r="C2694">
        <v>0</v>
      </c>
      <c r="D2694" s="201">
        <v>564</v>
      </c>
      <c r="E2694" s="201">
        <v>-1324</v>
      </c>
      <c r="F2694">
        <v>-450</v>
      </c>
      <c r="G2694">
        <v>0</v>
      </c>
      <c r="H2694">
        <v>456</v>
      </c>
      <c r="I2694">
        <v>2123</v>
      </c>
      <c r="J2694">
        <v>231</v>
      </c>
      <c r="K2694" s="201">
        <v>-35</v>
      </c>
    </row>
    <row r="2695" spans="1:11" x14ac:dyDescent="0.25">
      <c r="A2695"/>
      <c r="B2695" s="201">
        <v>1740</v>
      </c>
      <c r="C2695">
        <v>0</v>
      </c>
      <c r="D2695" s="201">
        <v>-2095</v>
      </c>
      <c r="E2695" s="201">
        <v>-824</v>
      </c>
      <c r="F2695">
        <v>-439</v>
      </c>
      <c r="G2695">
        <v>-16</v>
      </c>
      <c r="H2695">
        <v>0</v>
      </c>
      <c r="I2695">
        <v>266</v>
      </c>
      <c r="J2695">
        <v>-1330</v>
      </c>
      <c r="K2695" s="201">
        <v>0</v>
      </c>
    </row>
    <row r="2696" spans="1:11" x14ac:dyDescent="0.25">
      <c r="A2696"/>
      <c r="B2696" s="201">
        <v>0</v>
      </c>
      <c r="C2696">
        <v>0</v>
      </c>
      <c r="D2696" s="201">
        <v>-217</v>
      </c>
      <c r="E2696" s="201">
        <v>7139</v>
      </c>
      <c r="F2696">
        <v>0</v>
      </c>
      <c r="G2696">
        <v>788</v>
      </c>
      <c r="H2696">
        <v>-220</v>
      </c>
      <c r="I2696">
        <v>-51</v>
      </c>
      <c r="J2696">
        <v>-267</v>
      </c>
      <c r="K2696" s="201">
        <v>0</v>
      </c>
    </row>
    <row r="2697" spans="1:11" x14ac:dyDescent="0.25">
      <c r="A2697"/>
      <c r="B2697" s="201">
        <v>0</v>
      </c>
      <c r="C2697">
        <v>0</v>
      </c>
      <c r="D2697" s="201">
        <v>0</v>
      </c>
      <c r="E2697" s="201">
        <v>0</v>
      </c>
      <c r="F2697">
        <v>-220</v>
      </c>
      <c r="G2697">
        <v>0</v>
      </c>
      <c r="H2697">
        <v>186</v>
      </c>
      <c r="I2697">
        <v>165</v>
      </c>
      <c r="J2697">
        <v>12</v>
      </c>
      <c r="K2697" s="201">
        <v>0</v>
      </c>
    </row>
    <row r="2698" spans="1:11" x14ac:dyDescent="0.25">
      <c r="A2698"/>
      <c r="B2698" s="201">
        <v>338</v>
      </c>
      <c r="C2698">
        <v>2066</v>
      </c>
      <c r="D2698" s="201">
        <v>757</v>
      </c>
      <c r="E2698" s="201">
        <v>37</v>
      </c>
      <c r="F2698">
        <v>2103</v>
      </c>
      <c r="G2698">
        <v>454</v>
      </c>
      <c r="H2698">
        <v>-2100</v>
      </c>
      <c r="I2698">
        <v>-979</v>
      </c>
      <c r="J2698">
        <v>0</v>
      </c>
      <c r="K2698" s="201">
        <v>-343</v>
      </c>
    </row>
    <row r="2699" spans="1:11" x14ac:dyDescent="0.25">
      <c r="A2699"/>
      <c r="B2699" s="201">
        <v>0</v>
      </c>
      <c r="C2699">
        <v>0</v>
      </c>
      <c r="D2699" s="201">
        <v>-1224</v>
      </c>
      <c r="E2699" s="201">
        <v>-182</v>
      </c>
      <c r="F2699">
        <v>0</v>
      </c>
      <c r="G2699">
        <v>-817</v>
      </c>
      <c r="H2699">
        <v>0</v>
      </c>
      <c r="I2699">
        <v>0</v>
      </c>
      <c r="J2699">
        <v>-385</v>
      </c>
      <c r="K2699" s="201">
        <v>0</v>
      </c>
    </row>
    <row r="2700" spans="1:11" x14ac:dyDescent="0.25">
      <c r="B2700" s="201">
        <v>-519</v>
      </c>
      <c r="C2700">
        <v>-58</v>
      </c>
      <c r="D2700" s="201">
        <v>-1215</v>
      </c>
      <c r="E2700" s="201">
        <v>0</v>
      </c>
      <c r="F2700">
        <v>0</v>
      </c>
      <c r="G2700">
        <v>0</v>
      </c>
      <c r="H2700">
        <v>0</v>
      </c>
      <c r="I2700">
        <v>0</v>
      </c>
      <c r="J2700">
        <v>128</v>
      </c>
      <c r="K2700" s="201">
        <v>0</v>
      </c>
    </row>
    <row r="2701" spans="1:11" x14ac:dyDescent="0.25">
      <c r="A2701"/>
      <c r="B2701" s="201">
        <v>352</v>
      </c>
      <c r="C2701">
        <v>82</v>
      </c>
      <c r="D2701" s="201">
        <v>-450</v>
      </c>
      <c r="E2701" s="201">
        <v>0</v>
      </c>
      <c r="F2701">
        <v>792</v>
      </c>
      <c r="G2701">
        <v>3027</v>
      </c>
      <c r="H2701">
        <v>-184</v>
      </c>
      <c r="I2701">
        <v>0</v>
      </c>
      <c r="J2701">
        <v>0</v>
      </c>
      <c r="K2701" s="201">
        <v>0</v>
      </c>
    </row>
    <row r="2702" spans="1:11" x14ac:dyDescent="0.25">
      <c r="B2702" s="201">
        <v>-2074</v>
      </c>
      <c r="C2702">
        <v>-1577</v>
      </c>
      <c r="D2702" s="201">
        <v>-824</v>
      </c>
      <c r="E2702" s="201">
        <v>-163</v>
      </c>
      <c r="F2702">
        <v>191</v>
      </c>
      <c r="G2702">
        <v>0</v>
      </c>
      <c r="H2702">
        <v>-714</v>
      </c>
      <c r="I2702">
        <v>0</v>
      </c>
      <c r="J2702">
        <v>0</v>
      </c>
      <c r="K2702" s="201">
        <v>74</v>
      </c>
    </row>
    <row r="2703" spans="1:11" x14ac:dyDescent="0.25">
      <c r="A2703"/>
      <c r="B2703" s="201">
        <v>0</v>
      </c>
      <c r="C2703">
        <v>-1174</v>
      </c>
      <c r="D2703" s="201">
        <v>0</v>
      </c>
      <c r="E2703" s="201">
        <v>-32</v>
      </c>
      <c r="F2703">
        <v>0</v>
      </c>
      <c r="G2703">
        <v>0</v>
      </c>
      <c r="H2703">
        <v>0</v>
      </c>
      <c r="I2703">
        <v>0</v>
      </c>
      <c r="J2703">
        <v>0</v>
      </c>
      <c r="K2703" s="201">
        <v>0</v>
      </c>
    </row>
    <row r="2704" spans="1:11" x14ac:dyDescent="0.25">
      <c r="A2704"/>
      <c r="B2704" s="201">
        <v>0</v>
      </c>
      <c r="C2704">
        <v>0</v>
      </c>
      <c r="D2704" s="201">
        <v>-331</v>
      </c>
      <c r="E2704" s="201">
        <v>0</v>
      </c>
      <c r="F2704">
        <v>178</v>
      </c>
      <c r="G2704">
        <v>307</v>
      </c>
      <c r="H2704">
        <v>-80</v>
      </c>
      <c r="I2704">
        <v>0</v>
      </c>
      <c r="J2704">
        <v>-4040</v>
      </c>
      <c r="K2704" s="201">
        <v>14</v>
      </c>
    </row>
    <row r="2705" spans="1:11" x14ac:dyDescent="0.25">
      <c r="A2705"/>
      <c r="B2705" s="201">
        <v>0</v>
      </c>
      <c r="C2705">
        <v>0</v>
      </c>
      <c r="D2705" s="201">
        <v>0</v>
      </c>
      <c r="E2705" s="201">
        <v>0</v>
      </c>
      <c r="F2705">
        <v>0</v>
      </c>
      <c r="G2705">
        <v>9039</v>
      </c>
      <c r="H2705">
        <v>9189</v>
      </c>
      <c r="I2705">
        <v>1446</v>
      </c>
      <c r="J2705">
        <v>-2284</v>
      </c>
      <c r="K2705" s="201">
        <v>-5063</v>
      </c>
    </row>
    <row r="2706" spans="1:11" x14ac:dyDescent="0.25">
      <c r="B2706" s="201">
        <v>-6305</v>
      </c>
      <c r="C2706">
        <v>0</v>
      </c>
      <c r="D2706" s="201">
        <v>0</v>
      </c>
      <c r="E2706" s="201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 s="201">
        <v>0</v>
      </c>
    </row>
    <row r="2707" spans="1:11" x14ac:dyDescent="0.25">
      <c r="A2707"/>
      <c r="B2707" s="201">
        <v>0</v>
      </c>
      <c r="C2707">
        <v>0</v>
      </c>
      <c r="D2707" s="201">
        <v>0</v>
      </c>
      <c r="E2707" s="201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 s="201">
        <v>0</v>
      </c>
    </row>
    <row r="2708" spans="1:11" x14ac:dyDescent="0.25">
      <c r="A2708"/>
      <c r="B2708" s="201">
        <v>0</v>
      </c>
      <c r="C2708">
        <v>0</v>
      </c>
      <c r="D2708" s="201">
        <v>0</v>
      </c>
      <c r="E2708" s="201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 s="201">
        <v>0</v>
      </c>
    </row>
    <row r="2709" spans="1:11" x14ac:dyDescent="0.25">
      <c r="A2709"/>
      <c r="B2709" s="201">
        <v>0</v>
      </c>
      <c r="C2709">
        <v>0</v>
      </c>
      <c r="D2709" s="201">
        <v>0</v>
      </c>
      <c r="E2709" s="201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 s="201">
        <v>0</v>
      </c>
    </row>
    <row r="2710" spans="1:11" x14ac:dyDescent="0.25">
      <c r="A2710"/>
      <c r="B2710" s="201">
        <v>0</v>
      </c>
      <c r="C2710">
        <v>0</v>
      </c>
      <c r="D2710" s="201">
        <v>0</v>
      </c>
      <c r="E2710" s="201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 s="201">
        <v>0</v>
      </c>
    </row>
    <row r="2711" spans="1:11" x14ac:dyDescent="0.25">
      <c r="A2711"/>
      <c r="B2711" s="201">
        <v>0</v>
      </c>
      <c r="C2711">
        <v>0</v>
      </c>
      <c r="D2711" s="201">
        <v>0</v>
      </c>
      <c r="E2711" s="20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 s="201">
        <v>0</v>
      </c>
    </row>
    <row r="2712" spans="1:11" x14ac:dyDescent="0.25">
      <c r="A2712"/>
      <c r="B2712" s="201">
        <v>0</v>
      </c>
      <c r="C2712">
        <v>0</v>
      </c>
      <c r="D2712" s="201">
        <v>0</v>
      </c>
      <c r="E2712" s="201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 s="201">
        <v>0</v>
      </c>
    </row>
    <row r="2713" spans="1:11" x14ac:dyDescent="0.25">
      <c r="A2713"/>
      <c r="B2713" s="201">
        <v>0</v>
      </c>
      <c r="C2713">
        <v>0</v>
      </c>
      <c r="D2713" s="201">
        <v>0</v>
      </c>
      <c r="E2713" s="201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 s="201">
        <v>0</v>
      </c>
    </row>
    <row r="2714" spans="1:11" x14ac:dyDescent="0.25">
      <c r="A2714"/>
      <c r="B2714" s="201">
        <v>0</v>
      </c>
      <c r="C2714">
        <v>0</v>
      </c>
      <c r="D2714" s="201">
        <v>0</v>
      </c>
      <c r="E2714" s="201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 s="201">
        <v>0</v>
      </c>
    </row>
    <row r="2715" spans="1:11" x14ac:dyDescent="0.25">
      <c r="A2715"/>
      <c r="B2715" s="201">
        <v>0</v>
      </c>
      <c r="C2715">
        <v>0</v>
      </c>
      <c r="D2715" s="201">
        <v>0</v>
      </c>
      <c r="E2715" s="201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 s="201">
        <v>0</v>
      </c>
    </row>
    <row r="2716" spans="1:11" x14ac:dyDescent="0.25">
      <c r="A2716"/>
      <c r="B2716" s="201">
        <v>0</v>
      </c>
      <c r="C2716">
        <v>0</v>
      </c>
      <c r="D2716" s="201">
        <v>0</v>
      </c>
      <c r="E2716" s="201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 s="201">
        <v>0</v>
      </c>
    </row>
    <row r="2717" spans="1:11" x14ac:dyDescent="0.25">
      <c r="A2717"/>
      <c r="B2717" s="201">
        <v>0</v>
      </c>
      <c r="C2717">
        <v>0</v>
      </c>
      <c r="D2717" s="201">
        <v>0</v>
      </c>
      <c r="E2717" s="201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 s="201">
        <v>0</v>
      </c>
    </row>
    <row r="2718" spans="1:11" x14ac:dyDescent="0.25">
      <c r="A2718"/>
      <c r="B2718" s="201">
        <v>0</v>
      </c>
      <c r="C2718">
        <v>0</v>
      </c>
      <c r="D2718" s="201">
        <v>0</v>
      </c>
      <c r="E2718" s="201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 s="201">
        <v>0</v>
      </c>
    </row>
    <row r="2719" spans="1:11" x14ac:dyDescent="0.25">
      <c r="A2719"/>
      <c r="B2719" s="201">
        <v>0</v>
      </c>
      <c r="C2719">
        <v>0</v>
      </c>
      <c r="D2719" s="201">
        <v>0</v>
      </c>
      <c r="E2719" s="201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 s="201">
        <v>0</v>
      </c>
    </row>
    <row r="2720" spans="1:11" x14ac:dyDescent="0.25">
      <c r="A2720"/>
      <c r="B2720" s="201">
        <v>0</v>
      </c>
      <c r="C2720">
        <v>0</v>
      </c>
      <c r="D2720" s="201">
        <v>0</v>
      </c>
      <c r="E2720" s="201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 s="201">
        <v>0</v>
      </c>
    </row>
    <row r="2721" spans="1:11" x14ac:dyDescent="0.25">
      <c r="A2721"/>
      <c r="B2721" s="201">
        <v>0</v>
      </c>
      <c r="C2721">
        <v>0</v>
      </c>
      <c r="D2721" s="201">
        <v>0</v>
      </c>
      <c r="E2721" s="20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 s="201">
        <v>0</v>
      </c>
    </row>
    <row r="2722" spans="1:11" x14ac:dyDescent="0.25">
      <c r="A2722"/>
      <c r="B2722" s="201">
        <v>0</v>
      </c>
      <c r="C2722">
        <v>0</v>
      </c>
      <c r="D2722" s="201">
        <v>0</v>
      </c>
      <c r="E2722" s="201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 s="201">
        <v>0</v>
      </c>
    </row>
    <row r="2723" spans="1:11" x14ac:dyDescent="0.25">
      <c r="A2723"/>
      <c r="B2723" s="201">
        <v>0</v>
      </c>
      <c r="C2723">
        <v>0</v>
      </c>
      <c r="D2723" s="201">
        <v>0</v>
      </c>
      <c r="E2723" s="201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 s="201">
        <v>0</v>
      </c>
    </row>
    <row r="2724" spans="1:11" x14ac:dyDescent="0.25">
      <c r="A2724"/>
      <c r="B2724" s="201">
        <v>0</v>
      </c>
      <c r="C2724">
        <v>0</v>
      </c>
      <c r="D2724" s="201">
        <v>0</v>
      </c>
      <c r="E2724" s="201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 s="201">
        <v>0</v>
      </c>
    </row>
    <row r="2725" spans="1:11" x14ac:dyDescent="0.25">
      <c r="A2725"/>
      <c r="B2725" s="201">
        <v>0</v>
      </c>
      <c r="C2725">
        <v>0</v>
      </c>
      <c r="D2725" s="201">
        <v>0</v>
      </c>
      <c r="E2725" s="201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 s="201">
        <v>0</v>
      </c>
    </row>
    <row r="2726" spans="1:11" x14ac:dyDescent="0.25">
      <c r="A2726"/>
      <c r="B2726" s="201">
        <v>0</v>
      </c>
      <c r="C2726">
        <v>0</v>
      </c>
      <c r="D2726" s="201">
        <v>0</v>
      </c>
      <c r="E2726" s="201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 s="201">
        <v>0</v>
      </c>
    </row>
    <row r="2727" spans="1:11" x14ac:dyDescent="0.25">
      <c r="A2727"/>
      <c r="B2727" s="201">
        <v>0</v>
      </c>
      <c r="C2727">
        <v>0</v>
      </c>
      <c r="D2727" s="201">
        <v>0</v>
      </c>
      <c r="E2727" s="201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 s="201">
        <v>0</v>
      </c>
    </row>
    <row r="2728" spans="1:11" x14ac:dyDescent="0.25">
      <c r="A2728"/>
      <c r="B2728" s="201">
        <v>-64</v>
      </c>
      <c r="C2728">
        <v>1174</v>
      </c>
      <c r="D2728" s="201">
        <v>500</v>
      </c>
      <c r="E2728" s="201">
        <v>150</v>
      </c>
      <c r="F2728">
        <v>-1144</v>
      </c>
      <c r="G2728">
        <v>0</v>
      </c>
      <c r="H2728">
        <v>0</v>
      </c>
      <c r="I2728">
        <v>67</v>
      </c>
      <c r="J2728">
        <v>0</v>
      </c>
      <c r="K2728" s="201">
        <v>0</v>
      </c>
    </row>
    <row r="2729" spans="1:11" x14ac:dyDescent="0.25">
      <c r="A2729"/>
      <c r="B2729" s="201">
        <v>0</v>
      </c>
      <c r="C2729">
        <v>-1491</v>
      </c>
      <c r="D2729" s="201">
        <v>-471</v>
      </c>
      <c r="E2729" s="201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 s="201">
        <v>-75</v>
      </c>
    </row>
    <row r="2730" spans="1:11" x14ac:dyDescent="0.25">
      <c r="A2730"/>
      <c r="B2730" s="201">
        <v>0</v>
      </c>
      <c r="C2730">
        <v>0</v>
      </c>
      <c r="D2730" s="201">
        <v>-105</v>
      </c>
      <c r="E2730" s="201">
        <v>0</v>
      </c>
      <c r="F2730">
        <v>270</v>
      </c>
      <c r="G2730">
        <v>0</v>
      </c>
      <c r="H2730">
        <v>434</v>
      </c>
      <c r="I2730">
        <v>-104</v>
      </c>
      <c r="J2730">
        <v>315</v>
      </c>
      <c r="K2730" s="201">
        <v>0</v>
      </c>
    </row>
    <row r="2731" spans="1:11" x14ac:dyDescent="0.25">
      <c r="A2731"/>
      <c r="B2731" s="201">
        <v>230</v>
      </c>
      <c r="C2731">
        <v>836</v>
      </c>
      <c r="D2731" s="201">
        <v>21</v>
      </c>
      <c r="E2731" s="201">
        <v>-634</v>
      </c>
      <c r="F2731">
        <v>-407</v>
      </c>
      <c r="G2731">
        <v>-291</v>
      </c>
      <c r="H2731">
        <v>0</v>
      </c>
      <c r="I2731">
        <v>-44</v>
      </c>
      <c r="J2731">
        <v>0</v>
      </c>
      <c r="K2731" s="201">
        <v>0</v>
      </c>
    </row>
    <row r="2732" spans="1:11" x14ac:dyDescent="0.25">
      <c r="A2732"/>
      <c r="B2732" s="201">
        <v>0</v>
      </c>
      <c r="C2732">
        <v>0</v>
      </c>
      <c r="D2732" s="201">
        <v>0</v>
      </c>
      <c r="E2732" s="201">
        <v>-130</v>
      </c>
      <c r="F2732">
        <v>0</v>
      </c>
      <c r="G2732">
        <v>0</v>
      </c>
      <c r="H2732">
        <v>0</v>
      </c>
      <c r="I2732">
        <v>-246</v>
      </c>
      <c r="J2732">
        <v>0</v>
      </c>
      <c r="K2732" s="201">
        <v>-76</v>
      </c>
    </row>
    <row r="2733" spans="1:11" x14ac:dyDescent="0.25">
      <c r="A2733"/>
      <c r="B2733" s="201">
        <v>0</v>
      </c>
      <c r="C2733">
        <v>0</v>
      </c>
      <c r="D2733" s="201">
        <v>0</v>
      </c>
      <c r="E2733" s="201">
        <v>0</v>
      </c>
      <c r="F2733">
        <v>0</v>
      </c>
      <c r="G2733">
        <v>-150</v>
      </c>
      <c r="H2733">
        <v>0</v>
      </c>
      <c r="I2733">
        <v>293</v>
      </c>
      <c r="J2733">
        <v>135</v>
      </c>
      <c r="K2733" s="201">
        <v>0</v>
      </c>
    </row>
    <row r="2734" spans="1:11" x14ac:dyDescent="0.25">
      <c r="A2734"/>
      <c r="B2734" s="201">
        <v>0</v>
      </c>
      <c r="C2734">
        <v>328</v>
      </c>
      <c r="D2734" s="201">
        <v>1045</v>
      </c>
      <c r="E2734" s="201">
        <v>0</v>
      </c>
      <c r="F2734">
        <v>-136</v>
      </c>
      <c r="G2734">
        <v>0</v>
      </c>
      <c r="H2734">
        <v>0</v>
      </c>
      <c r="I2734">
        <v>0</v>
      </c>
      <c r="J2734">
        <v>0</v>
      </c>
      <c r="K2734" s="201">
        <v>333</v>
      </c>
    </row>
    <row r="2735" spans="1:11" x14ac:dyDescent="0.25">
      <c r="A2735"/>
      <c r="B2735" s="201">
        <v>-245</v>
      </c>
      <c r="C2735">
        <v>-215</v>
      </c>
      <c r="D2735" s="201">
        <v>0</v>
      </c>
      <c r="E2735" s="201">
        <v>0</v>
      </c>
      <c r="F2735">
        <v>58</v>
      </c>
      <c r="G2735">
        <v>-543</v>
      </c>
      <c r="H2735">
        <v>0</v>
      </c>
      <c r="I2735">
        <v>433</v>
      </c>
      <c r="J2735">
        <v>272</v>
      </c>
      <c r="K2735" s="201">
        <v>-456</v>
      </c>
    </row>
    <row r="2736" spans="1:11" x14ac:dyDescent="0.25">
      <c r="A2736"/>
      <c r="B2736" s="201">
        <v>4534</v>
      </c>
      <c r="C2736">
        <v>-188</v>
      </c>
      <c r="D2736" s="201">
        <v>-24</v>
      </c>
      <c r="E2736" s="201">
        <v>-297</v>
      </c>
      <c r="F2736">
        <v>0</v>
      </c>
      <c r="G2736">
        <v>0</v>
      </c>
      <c r="H2736">
        <v>0</v>
      </c>
      <c r="I2736">
        <v>0</v>
      </c>
      <c r="J2736">
        <v>0</v>
      </c>
      <c r="K2736" s="201">
        <v>-189</v>
      </c>
    </row>
    <row r="2737" spans="1:11" x14ac:dyDescent="0.25">
      <c r="A2737"/>
      <c r="B2737" s="201">
        <v>0</v>
      </c>
      <c r="C2737">
        <v>250</v>
      </c>
      <c r="D2737" s="201">
        <v>-672</v>
      </c>
      <c r="E2737" s="201">
        <v>-2</v>
      </c>
      <c r="F2737">
        <v>0</v>
      </c>
      <c r="G2737">
        <v>585</v>
      </c>
      <c r="H2737">
        <v>1113</v>
      </c>
      <c r="I2737">
        <v>771</v>
      </c>
      <c r="J2737">
        <v>93</v>
      </c>
      <c r="K2737" s="201">
        <v>690</v>
      </c>
    </row>
    <row r="2738" spans="1:11" x14ac:dyDescent="0.25">
      <c r="A2738"/>
      <c r="B2738" s="201">
        <v>0</v>
      </c>
      <c r="C2738">
        <v>-1322</v>
      </c>
      <c r="D2738" s="201">
        <v>-517</v>
      </c>
      <c r="E2738" s="201">
        <v>-502</v>
      </c>
      <c r="F2738">
        <v>36</v>
      </c>
      <c r="G2738">
        <v>0</v>
      </c>
      <c r="H2738">
        <v>108</v>
      </c>
      <c r="I2738">
        <v>-499</v>
      </c>
      <c r="J2738">
        <v>0</v>
      </c>
      <c r="K2738" s="201">
        <v>0</v>
      </c>
    </row>
    <row r="2739" spans="1:11" x14ac:dyDescent="0.25">
      <c r="A2739"/>
      <c r="B2739" s="201">
        <v>0</v>
      </c>
      <c r="C2739">
        <v>-8</v>
      </c>
      <c r="D2739" s="201">
        <v>847</v>
      </c>
      <c r="E2739" s="201">
        <v>0</v>
      </c>
      <c r="F2739">
        <v>7074</v>
      </c>
      <c r="G2739">
        <v>-162</v>
      </c>
      <c r="H2739">
        <v>-45</v>
      </c>
      <c r="I2739">
        <v>-225</v>
      </c>
      <c r="J2739">
        <v>0</v>
      </c>
      <c r="K2739" s="201">
        <v>0</v>
      </c>
    </row>
    <row r="2740" spans="1:11" x14ac:dyDescent="0.25">
      <c r="A2740"/>
      <c r="B2740" s="201">
        <v>0</v>
      </c>
      <c r="C2740">
        <v>0</v>
      </c>
      <c r="D2740" s="201">
        <v>0</v>
      </c>
      <c r="E2740" s="201">
        <v>-677</v>
      </c>
      <c r="F2740">
        <v>0</v>
      </c>
      <c r="G2740">
        <v>163</v>
      </c>
      <c r="H2740">
        <v>108</v>
      </c>
      <c r="I2740">
        <v>233</v>
      </c>
      <c r="J2740">
        <v>0</v>
      </c>
      <c r="K2740" s="201">
        <v>435</v>
      </c>
    </row>
    <row r="2741" spans="1:11" x14ac:dyDescent="0.25">
      <c r="A2741"/>
      <c r="B2741" s="201">
        <v>1191</v>
      </c>
      <c r="C2741">
        <v>269</v>
      </c>
      <c r="D2741" s="201">
        <v>-62</v>
      </c>
      <c r="E2741" s="201">
        <v>546</v>
      </c>
      <c r="F2741">
        <v>348</v>
      </c>
      <c r="G2741">
        <v>-1388</v>
      </c>
      <c r="H2741">
        <v>-761</v>
      </c>
      <c r="I2741">
        <v>0</v>
      </c>
      <c r="J2741">
        <v>-259</v>
      </c>
      <c r="K2741" s="201">
        <v>0</v>
      </c>
    </row>
    <row r="2742" spans="1:11" x14ac:dyDescent="0.25">
      <c r="A2742"/>
      <c r="B2742" s="201">
        <v>0</v>
      </c>
      <c r="C2742">
        <v>-510</v>
      </c>
      <c r="D2742" s="201">
        <v>-220</v>
      </c>
      <c r="E2742" s="201">
        <v>0</v>
      </c>
      <c r="F2742">
        <v>-700</v>
      </c>
      <c r="G2742">
        <v>0</v>
      </c>
      <c r="H2742">
        <v>0</v>
      </c>
      <c r="I2742">
        <v>788</v>
      </c>
      <c r="J2742">
        <v>0</v>
      </c>
      <c r="K2742" s="201">
        <v>-535</v>
      </c>
    </row>
    <row r="2743" spans="1:11" x14ac:dyDescent="0.25">
      <c r="A2743"/>
      <c r="B2743" s="201">
        <v>-269</v>
      </c>
      <c r="C2743">
        <v>-847</v>
      </c>
      <c r="D2743" s="201">
        <v>0</v>
      </c>
      <c r="E2743" s="201">
        <v>0</v>
      </c>
      <c r="F2743">
        <v>0</v>
      </c>
      <c r="G2743">
        <v>0</v>
      </c>
      <c r="H2743">
        <v>0</v>
      </c>
      <c r="I2743">
        <v>-268</v>
      </c>
      <c r="J2743">
        <v>0</v>
      </c>
      <c r="K2743" s="201">
        <v>215</v>
      </c>
    </row>
    <row r="2744" spans="1:11" x14ac:dyDescent="0.25">
      <c r="A2744"/>
      <c r="B2744" s="201">
        <v>-70</v>
      </c>
      <c r="C2744">
        <v>296</v>
      </c>
      <c r="D2744" s="201">
        <v>0</v>
      </c>
      <c r="E2744" s="201">
        <v>719</v>
      </c>
      <c r="F2744">
        <v>1655</v>
      </c>
      <c r="G2744">
        <v>-279</v>
      </c>
      <c r="H2744">
        <v>0</v>
      </c>
      <c r="I2744">
        <v>0</v>
      </c>
      <c r="J2744">
        <v>0</v>
      </c>
      <c r="K2744" s="201">
        <v>-1400</v>
      </c>
    </row>
    <row r="2745" spans="1:11" x14ac:dyDescent="0.25">
      <c r="A2745"/>
      <c r="B2745" s="201">
        <v>-1023</v>
      </c>
      <c r="C2745">
        <v>-709</v>
      </c>
      <c r="D2745" s="201">
        <v>-205</v>
      </c>
      <c r="E2745" s="201">
        <v>68</v>
      </c>
      <c r="F2745">
        <v>0</v>
      </c>
      <c r="G2745">
        <v>-279</v>
      </c>
      <c r="H2745">
        <v>0</v>
      </c>
      <c r="I2745">
        <v>0</v>
      </c>
      <c r="J2745">
        <v>-13</v>
      </c>
      <c r="K2745" s="201">
        <v>0</v>
      </c>
    </row>
    <row r="2746" spans="1:11" x14ac:dyDescent="0.25">
      <c r="A2746"/>
      <c r="B2746" s="201">
        <v>-104</v>
      </c>
      <c r="C2746">
        <v>0</v>
      </c>
      <c r="D2746" s="201">
        <v>-1888</v>
      </c>
      <c r="E2746" s="201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 s="201">
        <v>0</v>
      </c>
    </row>
    <row r="2747" spans="1:11" x14ac:dyDescent="0.25">
      <c r="A2747"/>
      <c r="B2747" s="201">
        <v>0</v>
      </c>
      <c r="C2747">
        <v>-744</v>
      </c>
      <c r="D2747" s="201">
        <v>0</v>
      </c>
      <c r="E2747" s="201">
        <v>183</v>
      </c>
      <c r="F2747">
        <v>97</v>
      </c>
      <c r="G2747">
        <v>497</v>
      </c>
      <c r="H2747">
        <v>0</v>
      </c>
      <c r="I2747">
        <v>-2917</v>
      </c>
      <c r="J2747">
        <v>-355</v>
      </c>
      <c r="K2747" s="201">
        <v>0</v>
      </c>
    </row>
    <row r="2748" spans="1:11" x14ac:dyDescent="0.25">
      <c r="A2748"/>
      <c r="B2748" s="201">
        <v>0</v>
      </c>
      <c r="C2748">
        <v>0</v>
      </c>
      <c r="D2748" s="201">
        <v>0</v>
      </c>
      <c r="E2748" s="201">
        <v>0</v>
      </c>
      <c r="F2748">
        <v>6068</v>
      </c>
      <c r="G2748">
        <v>5952</v>
      </c>
      <c r="H2748">
        <v>1260</v>
      </c>
      <c r="I2748">
        <v>-1028</v>
      </c>
      <c r="J2748">
        <v>-2670</v>
      </c>
      <c r="K2748" s="201">
        <v>-2325</v>
      </c>
    </row>
    <row r="2749" spans="1:11" x14ac:dyDescent="0.25">
      <c r="A2749"/>
      <c r="B2749" s="201">
        <v>0</v>
      </c>
      <c r="C2749">
        <v>0</v>
      </c>
      <c r="D2749" s="201">
        <v>0</v>
      </c>
      <c r="E2749" s="201">
        <v>0</v>
      </c>
      <c r="F2749">
        <v>14457</v>
      </c>
      <c r="G2749">
        <v>0</v>
      </c>
      <c r="H2749">
        <v>0</v>
      </c>
      <c r="I2749">
        <v>0</v>
      </c>
      <c r="J2749">
        <v>0</v>
      </c>
      <c r="K2749" s="201">
        <v>0</v>
      </c>
    </row>
    <row r="2750" spans="1:11" x14ac:dyDescent="0.25">
      <c r="A2750"/>
      <c r="B2750" s="201">
        <v>0</v>
      </c>
      <c r="C2750">
        <v>0</v>
      </c>
      <c r="D2750" s="201">
        <v>0</v>
      </c>
      <c r="E2750" s="201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 s="201">
        <v>0</v>
      </c>
    </row>
    <row r="2751" spans="1:11" x14ac:dyDescent="0.25">
      <c r="A2751"/>
      <c r="B2751" s="201">
        <v>0</v>
      </c>
      <c r="C2751">
        <v>0</v>
      </c>
      <c r="D2751" s="201">
        <v>0</v>
      </c>
      <c r="E2751" s="20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 s="201">
        <v>0</v>
      </c>
    </row>
    <row r="2752" spans="1:11" x14ac:dyDescent="0.25">
      <c r="A2752"/>
      <c r="B2752" s="201">
        <v>0</v>
      </c>
      <c r="C2752">
        <v>0</v>
      </c>
      <c r="D2752" s="201">
        <v>0</v>
      </c>
      <c r="E2752" s="201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 s="201">
        <v>0</v>
      </c>
    </row>
    <row r="2753" spans="1:11" x14ac:dyDescent="0.25">
      <c r="A2753"/>
      <c r="B2753" s="201">
        <v>0</v>
      </c>
      <c r="C2753">
        <v>0</v>
      </c>
      <c r="D2753" s="201">
        <v>0</v>
      </c>
      <c r="E2753" s="201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 s="201">
        <v>0</v>
      </c>
    </row>
    <row r="2754" spans="1:11" x14ac:dyDescent="0.25">
      <c r="A2754"/>
      <c r="B2754" s="201">
        <v>0</v>
      </c>
      <c r="C2754">
        <v>0</v>
      </c>
      <c r="D2754" s="201">
        <v>0</v>
      </c>
      <c r="E2754" s="201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 s="201">
        <v>0</v>
      </c>
    </row>
    <row r="2755" spans="1:11" x14ac:dyDescent="0.25">
      <c r="A2755"/>
      <c r="B2755" s="201">
        <v>0</v>
      </c>
      <c r="C2755">
        <v>0</v>
      </c>
      <c r="D2755" s="201">
        <v>0</v>
      </c>
      <c r="E2755" s="201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 s="201">
        <v>0</v>
      </c>
    </row>
    <row r="2756" spans="1:11" x14ac:dyDescent="0.25">
      <c r="A2756"/>
      <c r="B2756" s="201">
        <v>0</v>
      </c>
      <c r="C2756">
        <v>0</v>
      </c>
      <c r="D2756" s="201">
        <v>0</v>
      </c>
      <c r="E2756" s="201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 s="201">
        <v>0</v>
      </c>
    </row>
    <row r="2757" spans="1:11" x14ac:dyDescent="0.25">
      <c r="A2757"/>
      <c r="B2757" s="201">
        <v>0</v>
      </c>
      <c r="C2757">
        <v>0</v>
      </c>
      <c r="D2757" s="201">
        <v>0</v>
      </c>
      <c r="E2757" s="201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 s="201">
        <v>0</v>
      </c>
    </row>
    <row r="2758" spans="1:11" x14ac:dyDescent="0.25">
      <c r="A2758"/>
      <c r="B2758" s="201">
        <v>0</v>
      </c>
      <c r="C2758">
        <v>0</v>
      </c>
      <c r="D2758" s="201">
        <v>0</v>
      </c>
      <c r="E2758" s="201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 s="201">
        <v>0</v>
      </c>
    </row>
    <row r="2759" spans="1:11" x14ac:dyDescent="0.25">
      <c r="A2759"/>
      <c r="B2759" s="201">
        <v>0</v>
      </c>
      <c r="C2759">
        <v>0</v>
      </c>
      <c r="D2759" s="201">
        <v>0</v>
      </c>
      <c r="E2759" s="201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 s="201">
        <v>0</v>
      </c>
    </row>
    <row r="2760" spans="1:11" x14ac:dyDescent="0.25">
      <c r="A2760"/>
      <c r="B2760" s="201">
        <v>0</v>
      </c>
      <c r="C2760">
        <v>0</v>
      </c>
      <c r="D2760" s="201">
        <v>0</v>
      </c>
      <c r="E2760" s="201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 s="201">
        <v>0</v>
      </c>
    </row>
    <row r="2761" spans="1:11" x14ac:dyDescent="0.25">
      <c r="A2761"/>
      <c r="B2761" s="201">
        <v>0</v>
      </c>
      <c r="C2761">
        <v>0</v>
      </c>
      <c r="D2761" s="201">
        <v>0</v>
      </c>
      <c r="E2761" s="20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 s="201">
        <v>0</v>
      </c>
    </row>
    <row r="2762" spans="1:11" x14ac:dyDescent="0.25">
      <c r="A2762"/>
      <c r="B2762" s="201">
        <v>0</v>
      </c>
      <c r="C2762">
        <v>0</v>
      </c>
      <c r="D2762" s="201">
        <v>0</v>
      </c>
      <c r="E2762" s="201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 s="201">
        <v>0</v>
      </c>
    </row>
    <row r="2763" spans="1:11" x14ac:dyDescent="0.25">
      <c r="A2763"/>
      <c r="B2763" s="201">
        <v>0</v>
      </c>
      <c r="C2763">
        <v>0</v>
      </c>
      <c r="D2763" s="201">
        <v>0</v>
      </c>
      <c r="E2763" s="201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 s="201">
        <v>0</v>
      </c>
    </row>
    <row r="2764" spans="1:11" x14ac:dyDescent="0.25">
      <c r="A2764"/>
      <c r="B2764" s="201">
        <v>0</v>
      </c>
      <c r="C2764">
        <v>0</v>
      </c>
      <c r="D2764" s="201">
        <v>0</v>
      </c>
      <c r="E2764" s="201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 s="201">
        <v>0</v>
      </c>
    </row>
    <row r="2765" spans="1:11" x14ac:dyDescent="0.25">
      <c r="A2765"/>
      <c r="B2765" s="201">
        <v>0</v>
      </c>
      <c r="C2765">
        <v>0</v>
      </c>
      <c r="D2765" s="201">
        <v>0</v>
      </c>
      <c r="E2765" s="201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 s="201">
        <v>0</v>
      </c>
    </row>
    <row r="2766" spans="1:11" x14ac:dyDescent="0.25">
      <c r="A2766"/>
      <c r="B2766" s="201">
        <v>0</v>
      </c>
      <c r="C2766">
        <v>0</v>
      </c>
      <c r="D2766" s="201">
        <v>0</v>
      </c>
      <c r="E2766" s="201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 s="201">
        <v>0</v>
      </c>
    </row>
    <row r="2767" spans="1:11" x14ac:dyDescent="0.25">
      <c r="A2767"/>
      <c r="B2767" s="201">
        <v>0</v>
      </c>
      <c r="C2767">
        <v>0</v>
      </c>
      <c r="D2767" s="201">
        <v>0</v>
      </c>
      <c r="E2767" s="201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 s="201">
        <v>0</v>
      </c>
    </row>
    <row r="2768" spans="1:11" x14ac:dyDescent="0.25">
      <c r="A2768"/>
      <c r="B2768" s="201">
        <v>0</v>
      </c>
      <c r="C2768">
        <v>0</v>
      </c>
      <c r="D2768" s="201">
        <v>0</v>
      </c>
      <c r="E2768" s="201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 s="201">
        <v>0</v>
      </c>
    </row>
    <row r="2769" spans="1:11" x14ac:dyDescent="0.25">
      <c r="A2769"/>
      <c r="B2769" s="201">
        <v>0</v>
      </c>
      <c r="C2769">
        <v>0</v>
      </c>
      <c r="D2769" s="201">
        <v>0</v>
      </c>
      <c r="E2769" s="201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 s="201">
        <v>0</v>
      </c>
    </row>
    <row r="2770" spans="1:11" x14ac:dyDescent="0.25">
      <c r="A2770"/>
      <c r="B2770" s="201">
        <v>0</v>
      </c>
      <c r="C2770">
        <v>0</v>
      </c>
      <c r="D2770" s="201">
        <v>0</v>
      </c>
      <c r="E2770" s="201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 s="201">
        <v>0</v>
      </c>
    </row>
    <row r="2771" spans="1:11" x14ac:dyDescent="0.25">
      <c r="A2771"/>
      <c r="B2771" s="201">
        <v>0</v>
      </c>
      <c r="C2771">
        <v>0</v>
      </c>
      <c r="D2771" s="201">
        <v>0</v>
      </c>
      <c r="E2771" s="20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 s="201">
        <v>0</v>
      </c>
    </row>
    <row r="2772" spans="1:11" x14ac:dyDescent="0.25">
      <c r="A2772"/>
      <c r="B2772" s="201">
        <v>0</v>
      </c>
      <c r="C2772">
        <v>0</v>
      </c>
      <c r="D2772" s="201">
        <v>0</v>
      </c>
      <c r="E2772" s="201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 s="201">
        <v>0</v>
      </c>
    </row>
    <row r="2773" spans="1:11" x14ac:dyDescent="0.25">
      <c r="A2773"/>
      <c r="B2773" s="201">
        <v>0</v>
      </c>
      <c r="C2773">
        <v>0</v>
      </c>
      <c r="D2773" s="201">
        <v>0</v>
      </c>
      <c r="E2773" s="201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 s="201">
        <v>0</v>
      </c>
    </row>
    <row r="2774" spans="1:11" x14ac:dyDescent="0.25">
      <c r="A2774"/>
      <c r="B2774" s="201">
        <v>0</v>
      </c>
      <c r="C2774">
        <v>0</v>
      </c>
      <c r="D2774" s="201">
        <v>0</v>
      </c>
      <c r="E2774" s="201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 s="201">
        <v>0</v>
      </c>
    </row>
    <row r="2775" spans="1:11" x14ac:dyDescent="0.25">
      <c r="A2775"/>
      <c r="B2775" s="201">
        <v>0</v>
      </c>
      <c r="C2775">
        <v>0</v>
      </c>
      <c r="D2775" s="201">
        <v>0</v>
      </c>
      <c r="E2775" s="201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 s="201">
        <v>0</v>
      </c>
    </row>
    <row r="2776" spans="1:11" x14ac:dyDescent="0.25">
      <c r="A2776"/>
      <c r="B2776" s="201">
        <v>0</v>
      </c>
      <c r="C2776">
        <v>0</v>
      </c>
      <c r="D2776" s="201">
        <v>0</v>
      </c>
      <c r="E2776" s="201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 s="201">
        <v>0</v>
      </c>
    </row>
    <row r="2777" spans="1:11" x14ac:dyDescent="0.25">
      <c r="A2777"/>
      <c r="B2777" s="201">
        <v>0</v>
      </c>
      <c r="C2777">
        <v>0</v>
      </c>
      <c r="D2777" s="201">
        <v>0</v>
      </c>
      <c r="E2777" s="201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 s="201">
        <v>0</v>
      </c>
    </row>
    <row r="2778" spans="1:11" x14ac:dyDescent="0.25">
      <c r="A2778"/>
      <c r="B2778" s="201">
        <v>0</v>
      </c>
      <c r="C2778">
        <v>0</v>
      </c>
      <c r="D2778" s="201">
        <v>0</v>
      </c>
      <c r="E2778" s="201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 s="201">
        <v>0</v>
      </c>
    </row>
    <row r="2779" spans="1:11" x14ac:dyDescent="0.25">
      <c r="A2779"/>
      <c r="B2779" s="201">
        <v>0</v>
      </c>
      <c r="C2779">
        <v>0</v>
      </c>
      <c r="D2779" s="201">
        <v>0</v>
      </c>
      <c r="E2779" s="201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 s="201">
        <v>0</v>
      </c>
    </row>
    <row r="2780" spans="1:11" x14ac:dyDescent="0.25">
      <c r="A2780"/>
      <c r="B2780" s="201">
        <v>0</v>
      </c>
      <c r="C2780">
        <v>0</v>
      </c>
      <c r="D2780" s="201">
        <v>0</v>
      </c>
      <c r="E2780" s="201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 s="201">
        <v>0</v>
      </c>
    </row>
    <row r="2781" spans="1:11" x14ac:dyDescent="0.25">
      <c r="A2781"/>
      <c r="B2781" s="201">
        <v>0</v>
      </c>
      <c r="C2781">
        <v>0</v>
      </c>
      <c r="D2781" s="201">
        <v>0</v>
      </c>
      <c r="E2781" s="20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 s="201">
        <v>0</v>
      </c>
    </row>
    <row r="2782" spans="1:11" x14ac:dyDescent="0.25">
      <c r="A2782"/>
      <c r="B2782" s="201">
        <v>0</v>
      </c>
      <c r="C2782">
        <v>0</v>
      </c>
      <c r="D2782" s="201">
        <v>0</v>
      </c>
      <c r="E2782" s="201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 s="201">
        <v>0</v>
      </c>
    </row>
    <row r="2783" spans="1:11" x14ac:dyDescent="0.25">
      <c r="A2783"/>
      <c r="B2783" s="201">
        <v>0</v>
      </c>
      <c r="C2783">
        <v>0</v>
      </c>
      <c r="D2783" s="201">
        <v>0</v>
      </c>
      <c r="E2783" s="201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 s="201">
        <v>0</v>
      </c>
    </row>
    <row r="2784" spans="1:11" x14ac:dyDescent="0.25">
      <c r="A2784"/>
      <c r="B2784" s="201">
        <v>0</v>
      </c>
      <c r="C2784">
        <v>0</v>
      </c>
      <c r="D2784" s="201">
        <v>0</v>
      </c>
      <c r="E2784" s="201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 s="201">
        <v>0</v>
      </c>
    </row>
    <row r="2785" spans="1:11" x14ac:dyDescent="0.25">
      <c r="A2785"/>
      <c r="B2785" s="201">
        <v>0</v>
      </c>
      <c r="C2785">
        <v>0</v>
      </c>
      <c r="D2785" s="201">
        <v>0</v>
      </c>
      <c r="E2785" s="201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 s="201">
        <v>0</v>
      </c>
    </row>
    <row r="2786" spans="1:11" x14ac:dyDescent="0.25">
      <c r="A2786"/>
      <c r="B2786" s="201">
        <v>0</v>
      </c>
      <c r="C2786">
        <v>0</v>
      </c>
      <c r="D2786" s="201">
        <v>0</v>
      </c>
      <c r="E2786" s="201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 s="201">
        <v>0</v>
      </c>
    </row>
    <row r="2787" spans="1:11" x14ac:dyDescent="0.25">
      <c r="A2787"/>
      <c r="B2787" s="201">
        <v>0</v>
      </c>
      <c r="C2787">
        <v>0</v>
      </c>
      <c r="D2787" s="201">
        <v>0</v>
      </c>
      <c r="E2787" s="201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 s="201">
        <v>0</v>
      </c>
    </row>
    <row r="2788" spans="1:11" x14ac:dyDescent="0.25">
      <c r="A2788"/>
      <c r="B2788" s="201">
        <v>0</v>
      </c>
      <c r="C2788">
        <v>0</v>
      </c>
      <c r="D2788" s="201">
        <v>0</v>
      </c>
      <c r="E2788" s="201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 s="201">
        <v>0</v>
      </c>
    </row>
    <row r="2789" spans="1:11" x14ac:dyDescent="0.25">
      <c r="A2789"/>
      <c r="B2789" s="201">
        <v>0</v>
      </c>
      <c r="C2789">
        <v>0</v>
      </c>
      <c r="D2789" s="201">
        <v>0</v>
      </c>
      <c r="E2789" s="201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 s="201">
        <v>0</v>
      </c>
    </row>
    <row r="2790" spans="1:11" x14ac:dyDescent="0.25">
      <c r="A2790"/>
      <c r="B2790" s="201">
        <v>0</v>
      </c>
      <c r="C2790">
        <v>0</v>
      </c>
      <c r="D2790" s="201">
        <v>0</v>
      </c>
      <c r="E2790" s="201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 s="201">
        <v>0</v>
      </c>
    </row>
    <row r="2791" spans="1:11" x14ac:dyDescent="0.25">
      <c r="A2791"/>
      <c r="B2791" s="201">
        <v>0</v>
      </c>
      <c r="C2791">
        <v>0</v>
      </c>
      <c r="D2791" s="201">
        <v>0</v>
      </c>
      <c r="E2791" s="20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 s="201">
        <v>0</v>
      </c>
    </row>
    <row r="2792" spans="1:11" x14ac:dyDescent="0.25">
      <c r="A2792"/>
      <c r="B2792" s="201">
        <v>0</v>
      </c>
      <c r="C2792">
        <v>0</v>
      </c>
      <c r="D2792" s="201">
        <v>0</v>
      </c>
      <c r="E2792" s="201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 s="201">
        <v>0</v>
      </c>
    </row>
    <row r="2793" spans="1:11" x14ac:dyDescent="0.25">
      <c r="A2793"/>
      <c r="B2793" s="201">
        <v>0</v>
      </c>
      <c r="C2793">
        <v>332</v>
      </c>
      <c r="D2793" s="201">
        <v>183</v>
      </c>
      <c r="E2793" s="201">
        <v>757</v>
      </c>
      <c r="F2793">
        <v>-187</v>
      </c>
      <c r="G2793">
        <v>-946</v>
      </c>
      <c r="H2793">
        <v>0</v>
      </c>
      <c r="I2793">
        <v>0</v>
      </c>
      <c r="J2793">
        <v>150</v>
      </c>
      <c r="K2793" s="201">
        <v>0</v>
      </c>
    </row>
    <row r="2794" spans="1:11" x14ac:dyDescent="0.25">
      <c r="A2794"/>
      <c r="B2794" s="201">
        <v>0</v>
      </c>
      <c r="C2794">
        <v>0</v>
      </c>
      <c r="D2794" s="201">
        <v>68</v>
      </c>
      <c r="E2794" s="201">
        <v>-233</v>
      </c>
      <c r="F2794">
        <v>0</v>
      </c>
      <c r="G2794">
        <v>0</v>
      </c>
      <c r="H2794">
        <v>0</v>
      </c>
      <c r="I2794">
        <v>0</v>
      </c>
      <c r="J2794">
        <v>0</v>
      </c>
      <c r="K2794" s="201">
        <v>0</v>
      </c>
    </row>
    <row r="2795" spans="1:11" x14ac:dyDescent="0.25">
      <c r="A2795"/>
      <c r="B2795" s="201">
        <v>-159</v>
      </c>
      <c r="C2795">
        <v>0</v>
      </c>
      <c r="D2795" s="201">
        <v>0</v>
      </c>
      <c r="E2795" s="201">
        <v>-37</v>
      </c>
      <c r="F2795">
        <v>0</v>
      </c>
      <c r="G2795">
        <v>54</v>
      </c>
      <c r="H2795">
        <v>0</v>
      </c>
      <c r="I2795">
        <v>-57</v>
      </c>
      <c r="J2795">
        <v>-280</v>
      </c>
      <c r="K2795" s="201">
        <v>-231</v>
      </c>
    </row>
    <row r="2796" spans="1:11" x14ac:dyDescent="0.25">
      <c r="A2796"/>
      <c r="B2796" s="201">
        <v>0</v>
      </c>
      <c r="C2796">
        <v>-135</v>
      </c>
      <c r="D2796" s="201">
        <v>-69</v>
      </c>
      <c r="E2796" s="201">
        <v>-90</v>
      </c>
      <c r="F2796">
        <v>-809</v>
      </c>
      <c r="G2796">
        <v>-271</v>
      </c>
      <c r="H2796">
        <v>-198</v>
      </c>
      <c r="I2796">
        <v>0</v>
      </c>
      <c r="J2796">
        <v>76</v>
      </c>
      <c r="K2796" s="201">
        <v>0</v>
      </c>
    </row>
    <row r="2797" spans="1:11" x14ac:dyDescent="0.25">
      <c r="A2797"/>
      <c r="B2797" s="201">
        <v>0</v>
      </c>
      <c r="C2797">
        <v>0</v>
      </c>
      <c r="D2797" s="201">
        <v>0</v>
      </c>
      <c r="E2797" s="201">
        <v>0</v>
      </c>
      <c r="F2797">
        <v>-92</v>
      </c>
      <c r="G2797">
        <v>0</v>
      </c>
      <c r="H2797">
        <v>0</v>
      </c>
      <c r="I2797">
        <v>0</v>
      </c>
      <c r="J2797">
        <v>-912</v>
      </c>
      <c r="K2797" s="201">
        <v>0</v>
      </c>
    </row>
    <row r="2798" spans="1:11" x14ac:dyDescent="0.25">
      <c r="A2798"/>
      <c r="B2798" s="201">
        <v>277</v>
      </c>
      <c r="C2798">
        <v>0</v>
      </c>
      <c r="D2798" s="201">
        <v>0</v>
      </c>
      <c r="E2798" s="201">
        <v>0</v>
      </c>
      <c r="F2798">
        <v>0</v>
      </c>
      <c r="G2798">
        <v>0</v>
      </c>
      <c r="H2798">
        <v>-84</v>
      </c>
      <c r="I2798">
        <v>0</v>
      </c>
      <c r="J2798">
        <v>60</v>
      </c>
      <c r="K2798" s="201">
        <v>445</v>
      </c>
    </row>
    <row r="2799" spans="1:11" x14ac:dyDescent="0.25">
      <c r="A2799"/>
      <c r="B2799" s="201">
        <v>0</v>
      </c>
      <c r="C2799">
        <v>0</v>
      </c>
      <c r="D2799" s="201">
        <v>-152</v>
      </c>
      <c r="E2799" s="201">
        <v>590</v>
      </c>
      <c r="F2799">
        <v>0</v>
      </c>
      <c r="G2799">
        <v>-3353</v>
      </c>
      <c r="H2799">
        <v>0</v>
      </c>
      <c r="I2799">
        <v>0</v>
      </c>
      <c r="J2799">
        <v>0</v>
      </c>
      <c r="K2799" s="201">
        <v>0</v>
      </c>
    </row>
    <row r="2800" spans="1:11" x14ac:dyDescent="0.25">
      <c r="A2800"/>
      <c r="B2800" s="201">
        <v>-1034</v>
      </c>
      <c r="C2800">
        <v>399</v>
      </c>
      <c r="D2800" s="201">
        <v>175</v>
      </c>
      <c r="E2800" s="201">
        <v>0</v>
      </c>
      <c r="F2800">
        <v>0</v>
      </c>
      <c r="G2800">
        <v>115</v>
      </c>
      <c r="H2800">
        <v>-646</v>
      </c>
      <c r="I2800">
        <v>0</v>
      </c>
      <c r="J2800">
        <v>-74</v>
      </c>
      <c r="K2800" s="201">
        <v>-172</v>
      </c>
    </row>
    <row r="2801" spans="1:11" x14ac:dyDescent="0.25">
      <c r="A2801"/>
      <c r="B2801" s="201">
        <v>-395</v>
      </c>
      <c r="C2801">
        <v>-113</v>
      </c>
      <c r="D2801" s="201">
        <v>-943</v>
      </c>
      <c r="E2801" s="201">
        <v>500</v>
      </c>
      <c r="F2801">
        <v>-128</v>
      </c>
      <c r="G2801">
        <v>0</v>
      </c>
      <c r="H2801">
        <v>0</v>
      </c>
      <c r="I2801">
        <v>0</v>
      </c>
      <c r="J2801">
        <v>0</v>
      </c>
      <c r="K2801" s="201">
        <v>0</v>
      </c>
    </row>
    <row r="2802" spans="1:11" x14ac:dyDescent="0.25">
      <c r="A2802"/>
      <c r="B2802" s="201">
        <v>429</v>
      </c>
      <c r="C2802">
        <v>0</v>
      </c>
      <c r="D2802" s="201">
        <v>-51</v>
      </c>
      <c r="E2802" s="201">
        <v>223</v>
      </c>
      <c r="F2802">
        <v>-365</v>
      </c>
      <c r="G2802">
        <v>0</v>
      </c>
      <c r="H2802">
        <v>240</v>
      </c>
      <c r="I2802">
        <v>717</v>
      </c>
      <c r="J2802">
        <v>832</v>
      </c>
      <c r="K2802" s="201">
        <v>-566</v>
      </c>
    </row>
    <row r="2803" spans="1:11" x14ac:dyDescent="0.25">
      <c r="A2803"/>
      <c r="B2803" s="201">
        <v>4019</v>
      </c>
      <c r="C2803">
        <v>0</v>
      </c>
      <c r="D2803" s="201">
        <v>-1936</v>
      </c>
      <c r="E2803" s="201">
        <v>-2</v>
      </c>
      <c r="F2803">
        <v>-356</v>
      </c>
      <c r="G2803">
        <v>-70</v>
      </c>
      <c r="H2803">
        <v>0</v>
      </c>
      <c r="I2803">
        <v>579</v>
      </c>
      <c r="J2803">
        <v>-1240</v>
      </c>
      <c r="K2803" s="201">
        <v>0</v>
      </c>
    </row>
    <row r="2804" spans="1:11" x14ac:dyDescent="0.25">
      <c r="A2804"/>
      <c r="B2804" s="201">
        <v>0</v>
      </c>
      <c r="C2804">
        <v>0</v>
      </c>
      <c r="D2804" s="201">
        <v>-457</v>
      </c>
      <c r="E2804" s="201">
        <v>-825</v>
      </c>
      <c r="F2804">
        <v>0</v>
      </c>
      <c r="G2804">
        <v>-742</v>
      </c>
      <c r="H2804">
        <v>-1360</v>
      </c>
      <c r="I2804">
        <v>-98</v>
      </c>
      <c r="J2804">
        <v>-2815</v>
      </c>
      <c r="K2804" s="201">
        <v>0</v>
      </c>
    </row>
    <row r="2805" spans="1:11" x14ac:dyDescent="0.25">
      <c r="A2805"/>
      <c r="B2805" s="201">
        <v>0</v>
      </c>
      <c r="C2805">
        <v>0</v>
      </c>
      <c r="D2805" s="201">
        <v>0</v>
      </c>
      <c r="E2805" s="201">
        <v>0</v>
      </c>
      <c r="F2805">
        <v>-7</v>
      </c>
      <c r="G2805">
        <v>0</v>
      </c>
      <c r="H2805">
        <v>-10</v>
      </c>
      <c r="I2805">
        <v>-131</v>
      </c>
      <c r="J2805">
        <v>72</v>
      </c>
      <c r="K2805" s="201">
        <v>0</v>
      </c>
    </row>
    <row r="2806" spans="1:11" x14ac:dyDescent="0.25">
      <c r="A2806"/>
      <c r="B2806" s="201">
        <v>366</v>
      </c>
      <c r="C2806">
        <v>435</v>
      </c>
      <c r="D2806" s="201">
        <v>566</v>
      </c>
      <c r="E2806" s="201">
        <v>-669</v>
      </c>
      <c r="F2806">
        <v>3169</v>
      </c>
      <c r="G2806">
        <v>-11</v>
      </c>
      <c r="H2806">
        <v>-1560</v>
      </c>
      <c r="I2806">
        <v>217</v>
      </c>
      <c r="J2806">
        <v>0</v>
      </c>
      <c r="K2806" s="201">
        <v>-227</v>
      </c>
    </row>
    <row r="2807" spans="1:11" x14ac:dyDescent="0.25">
      <c r="A2807"/>
      <c r="B2807" s="201">
        <v>0</v>
      </c>
      <c r="C2807">
        <v>0</v>
      </c>
      <c r="D2807" s="201">
        <v>-934</v>
      </c>
      <c r="E2807" s="201">
        <v>34</v>
      </c>
      <c r="F2807">
        <v>0</v>
      </c>
      <c r="G2807">
        <v>568</v>
      </c>
      <c r="H2807">
        <v>0</v>
      </c>
      <c r="I2807">
        <v>0</v>
      </c>
      <c r="J2807">
        <v>-666</v>
      </c>
      <c r="K2807" s="201">
        <v>0</v>
      </c>
    </row>
    <row r="2808" spans="1:11" x14ac:dyDescent="0.25">
      <c r="A2808"/>
      <c r="B2808" s="201">
        <v>-1109</v>
      </c>
      <c r="C2808">
        <v>-48</v>
      </c>
      <c r="D2808" s="201">
        <v>-4738</v>
      </c>
      <c r="E2808" s="201">
        <v>0</v>
      </c>
      <c r="F2808">
        <v>0</v>
      </c>
      <c r="G2808">
        <v>0</v>
      </c>
      <c r="H2808">
        <v>0</v>
      </c>
      <c r="I2808">
        <v>0</v>
      </c>
      <c r="J2808">
        <v>-69</v>
      </c>
      <c r="K2808" s="201">
        <v>0</v>
      </c>
    </row>
    <row r="2809" spans="1:11" x14ac:dyDescent="0.25">
      <c r="A2809"/>
      <c r="B2809" s="201">
        <v>311</v>
      </c>
      <c r="C2809">
        <v>-210</v>
      </c>
      <c r="D2809" s="201">
        <v>41</v>
      </c>
      <c r="E2809" s="201">
        <v>0</v>
      </c>
      <c r="F2809">
        <v>239</v>
      </c>
      <c r="G2809">
        <v>751</v>
      </c>
      <c r="H2809">
        <v>-567</v>
      </c>
      <c r="I2809">
        <v>0</v>
      </c>
      <c r="J2809">
        <v>0</v>
      </c>
      <c r="K2809" s="201">
        <v>0</v>
      </c>
    </row>
    <row r="2810" spans="1:11" x14ac:dyDescent="0.25">
      <c r="A2810"/>
      <c r="B2810" s="201">
        <v>-1365</v>
      </c>
      <c r="C2810">
        <v>-44</v>
      </c>
      <c r="D2810" s="201">
        <v>-338</v>
      </c>
      <c r="E2810" s="201">
        <v>49</v>
      </c>
      <c r="F2810">
        <v>-18</v>
      </c>
      <c r="G2810">
        <v>0</v>
      </c>
      <c r="H2810">
        <v>-606</v>
      </c>
      <c r="I2810">
        <v>0</v>
      </c>
      <c r="J2810">
        <v>0</v>
      </c>
      <c r="K2810" s="201">
        <v>-134</v>
      </c>
    </row>
    <row r="2811" spans="1:11" x14ac:dyDescent="0.25">
      <c r="A2811"/>
      <c r="B2811" s="201">
        <v>0</v>
      </c>
      <c r="C2811">
        <v>580</v>
      </c>
      <c r="D2811" s="201">
        <v>0</v>
      </c>
      <c r="E2811" s="201">
        <v>18</v>
      </c>
      <c r="F2811">
        <v>0</v>
      </c>
      <c r="G2811">
        <v>0</v>
      </c>
      <c r="H2811">
        <v>0</v>
      </c>
      <c r="I2811">
        <v>0</v>
      </c>
      <c r="J2811">
        <v>0</v>
      </c>
      <c r="K2811" s="201">
        <v>0</v>
      </c>
    </row>
    <row r="2812" spans="1:11" x14ac:dyDescent="0.25">
      <c r="A2812"/>
      <c r="B2812" s="201">
        <v>0</v>
      </c>
      <c r="C2812">
        <v>0</v>
      </c>
      <c r="D2812" s="201">
        <v>-73</v>
      </c>
      <c r="E2812" s="201">
        <v>0</v>
      </c>
      <c r="F2812">
        <v>212</v>
      </c>
      <c r="G2812">
        <v>114</v>
      </c>
      <c r="H2812">
        <v>89</v>
      </c>
      <c r="I2812">
        <v>0</v>
      </c>
      <c r="J2812">
        <v>-5835</v>
      </c>
      <c r="K2812" s="201">
        <v>-3291</v>
      </c>
    </row>
    <row r="2813" spans="1:11" x14ac:dyDescent="0.25">
      <c r="A2813"/>
      <c r="B2813" s="201">
        <v>0</v>
      </c>
      <c r="C2813">
        <v>0</v>
      </c>
      <c r="D2813" s="201">
        <v>0</v>
      </c>
      <c r="E2813" s="201">
        <v>0</v>
      </c>
      <c r="F2813">
        <v>0</v>
      </c>
      <c r="G2813">
        <v>11591</v>
      </c>
      <c r="H2813">
        <v>11695</v>
      </c>
      <c r="I2813">
        <v>1043</v>
      </c>
      <c r="J2813">
        <v>223</v>
      </c>
      <c r="K2813" s="201">
        <v>-5942</v>
      </c>
    </row>
    <row r="2814" spans="1:11" x14ac:dyDescent="0.25">
      <c r="A2814"/>
      <c r="B2814" s="201">
        <v>-12894</v>
      </c>
      <c r="C2814">
        <v>0</v>
      </c>
      <c r="D2814" s="201">
        <v>0</v>
      </c>
      <c r="E2814" s="201">
        <v>0</v>
      </c>
      <c r="F2814">
        <v>0</v>
      </c>
      <c r="G2814">
        <v>12530</v>
      </c>
      <c r="H2814">
        <v>0</v>
      </c>
      <c r="I2814">
        <v>9722</v>
      </c>
      <c r="J2814">
        <v>0</v>
      </c>
      <c r="K2814" s="201">
        <v>0</v>
      </c>
    </row>
    <row r="2815" spans="1:11" x14ac:dyDescent="0.25">
      <c r="A2815"/>
      <c r="B2815" s="201">
        <v>486</v>
      </c>
      <c r="C2815">
        <v>30</v>
      </c>
      <c r="D2815" s="201">
        <v>936</v>
      </c>
      <c r="E2815" s="201">
        <v>-60</v>
      </c>
      <c r="F2815">
        <v>-3</v>
      </c>
      <c r="G2815">
        <v>0</v>
      </c>
      <c r="H2815">
        <v>0</v>
      </c>
      <c r="I2815">
        <v>-72</v>
      </c>
      <c r="J2815">
        <v>0</v>
      </c>
      <c r="K2815" s="201">
        <v>0</v>
      </c>
    </row>
    <row r="2816" spans="1:11" x14ac:dyDescent="0.25">
      <c r="A2816"/>
      <c r="B2816" s="201">
        <v>0</v>
      </c>
      <c r="C2816">
        <v>-90</v>
      </c>
      <c r="D2816" s="201">
        <v>106</v>
      </c>
      <c r="E2816" s="201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 s="201">
        <v>3786</v>
      </c>
    </row>
    <row r="2817" spans="1:11" x14ac:dyDescent="0.25">
      <c r="A2817"/>
      <c r="B2817" s="201">
        <v>0</v>
      </c>
      <c r="C2817">
        <v>0</v>
      </c>
      <c r="D2817" s="201">
        <v>242</v>
      </c>
      <c r="E2817" s="201">
        <v>0</v>
      </c>
      <c r="F2817">
        <v>-217</v>
      </c>
      <c r="G2817">
        <v>0</v>
      </c>
      <c r="H2817">
        <v>-1003</v>
      </c>
      <c r="I2817">
        <v>-714</v>
      </c>
      <c r="J2817">
        <v>-341</v>
      </c>
      <c r="K2817" s="201">
        <v>0</v>
      </c>
    </row>
    <row r="2818" spans="1:11" x14ac:dyDescent="0.25">
      <c r="A2818"/>
      <c r="B2818" s="201">
        <v>296</v>
      </c>
      <c r="C2818">
        <v>118</v>
      </c>
      <c r="D2818" s="201">
        <v>93</v>
      </c>
      <c r="E2818" s="201">
        <v>-193</v>
      </c>
      <c r="F2818">
        <v>-384</v>
      </c>
      <c r="G2818">
        <v>-198</v>
      </c>
      <c r="H2818">
        <v>0</v>
      </c>
      <c r="I2818">
        <v>128</v>
      </c>
      <c r="J2818">
        <v>0</v>
      </c>
      <c r="K2818" s="201">
        <v>0</v>
      </c>
    </row>
    <row r="2819" spans="1:11" x14ac:dyDescent="0.25">
      <c r="A2819"/>
      <c r="B2819" s="201">
        <v>0</v>
      </c>
      <c r="C2819">
        <v>0</v>
      </c>
      <c r="D2819" s="201">
        <v>0</v>
      </c>
      <c r="E2819" s="201">
        <v>23</v>
      </c>
      <c r="F2819">
        <v>0</v>
      </c>
      <c r="G2819">
        <v>0</v>
      </c>
      <c r="H2819">
        <v>0</v>
      </c>
      <c r="I2819">
        <v>-261</v>
      </c>
      <c r="J2819">
        <v>0</v>
      </c>
      <c r="K2819" s="201">
        <v>33</v>
      </c>
    </row>
    <row r="2820" spans="1:11" x14ac:dyDescent="0.25">
      <c r="A2820"/>
      <c r="B2820" s="201">
        <v>0</v>
      </c>
      <c r="C2820">
        <v>0</v>
      </c>
      <c r="D2820" s="201">
        <v>0</v>
      </c>
      <c r="E2820" s="201">
        <v>0</v>
      </c>
      <c r="F2820">
        <v>0</v>
      </c>
      <c r="G2820">
        <v>-42</v>
      </c>
      <c r="H2820">
        <v>0</v>
      </c>
      <c r="I2820">
        <v>-129</v>
      </c>
      <c r="J2820">
        <v>-27</v>
      </c>
      <c r="K2820" s="201">
        <v>0</v>
      </c>
    </row>
    <row r="2821" spans="1:11" x14ac:dyDescent="0.25">
      <c r="A2821"/>
      <c r="B2821" s="201">
        <v>0</v>
      </c>
      <c r="C2821">
        <v>678</v>
      </c>
      <c r="D2821" s="201">
        <v>407</v>
      </c>
      <c r="E2821" s="201">
        <v>0</v>
      </c>
      <c r="F2821">
        <v>-3053</v>
      </c>
      <c r="G2821">
        <v>0</v>
      </c>
      <c r="H2821">
        <v>0</v>
      </c>
      <c r="I2821">
        <v>0</v>
      </c>
      <c r="J2821">
        <v>0</v>
      </c>
      <c r="K2821" s="201">
        <v>-1069</v>
      </c>
    </row>
    <row r="2822" spans="1:11" x14ac:dyDescent="0.25">
      <c r="A2822"/>
      <c r="B2822" s="201">
        <v>-181</v>
      </c>
      <c r="C2822">
        <v>301</v>
      </c>
      <c r="D2822" s="201">
        <v>0</v>
      </c>
      <c r="E2822" s="201">
        <v>0</v>
      </c>
      <c r="F2822">
        <v>-362</v>
      </c>
      <c r="G2822">
        <v>260</v>
      </c>
      <c r="H2822">
        <v>0</v>
      </c>
      <c r="I2822">
        <v>-338</v>
      </c>
      <c r="J2822">
        <v>-475</v>
      </c>
      <c r="K2822" s="201">
        <v>-84</v>
      </c>
    </row>
    <row r="2823" spans="1:11" x14ac:dyDescent="0.25">
      <c r="A2823"/>
      <c r="B2823" s="201">
        <v>157</v>
      </c>
      <c r="C2823">
        <v>-439</v>
      </c>
      <c r="D2823" s="201">
        <v>-472</v>
      </c>
      <c r="E2823" s="201">
        <v>-394</v>
      </c>
      <c r="F2823">
        <v>0</v>
      </c>
      <c r="G2823">
        <v>0</v>
      </c>
      <c r="H2823">
        <v>0</v>
      </c>
      <c r="I2823">
        <v>0</v>
      </c>
      <c r="J2823">
        <v>0</v>
      </c>
      <c r="K2823" s="201">
        <v>-308</v>
      </c>
    </row>
    <row r="2824" spans="1:11" x14ac:dyDescent="0.25">
      <c r="A2824"/>
      <c r="B2824" s="201">
        <v>0</v>
      </c>
      <c r="C2824">
        <v>-149</v>
      </c>
      <c r="D2824" s="201">
        <v>299</v>
      </c>
      <c r="E2824" s="201">
        <v>-724</v>
      </c>
      <c r="F2824">
        <v>0</v>
      </c>
      <c r="G2824">
        <v>908</v>
      </c>
      <c r="H2824">
        <v>1062</v>
      </c>
      <c r="I2824">
        <v>2406</v>
      </c>
      <c r="J2824">
        <v>-4192</v>
      </c>
      <c r="K2824" s="201">
        <v>-3922</v>
      </c>
    </row>
    <row r="2825" spans="1:11" x14ac:dyDescent="0.25">
      <c r="A2825"/>
      <c r="B2825" s="201">
        <v>0</v>
      </c>
      <c r="C2825">
        <v>-1090</v>
      </c>
      <c r="D2825" s="201">
        <v>-1273</v>
      </c>
      <c r="E2825" s="201">
        <v>-2253</v>
      </c>
      <c r="F2825">
        <v>-130</v>
      </c>
      <c r="G2825">
        <v>0</v>
      </c>
      <c r="H2825">
        <v>-27</v>
      </c>
      <c r="I2825">
        <v>-204</v>
      </c>
      <c r="J2825">
        <v>0</v>
      </c>
      <c r="K2825" s="201">
        <v>0</v>
      </c>
    </row>
    <row r="2826" spans="1:11" x14ac:dyDescent="0.25">
      <c r="A2826"/>
      <c r="B2826" s="201">
        <v>0</v>
      </c>
      <c r="C2826">
        <v>76</v>
      </c>
      <c r="D2826" s="201">
        <v>-460</v>
      </c>
      <c r="E2826" s="201">
        <v>0</v>
      </c>
      <c r="F2826">
        <v>326</v>
      </c>
      <c r="G2826">
        <v>-891</v>
      </c>
      <c r="H2826">
        <v>-588</v>
      </c>
      <c r="I2826">
        <v>188</v>
      </c>
      <c r="J2826">
        <v>0</v>
      </c>
      <c r="K2826" s="201">
        <v>0</v>
      </c>
    </row>
    <row r="2827" spans="1:11" x14ac:dyDescent="0.25">
      <c r="A2827"/>
      <c r="B2827" s="201">
        <v>0</v>
      </c>
      <c r="C2827">
        <v>0</v>
      </c>
      <c r="D2827" s="201">
        <v>0</v>
      </c>
      <c r="E2827" s="201">
        <v>-203</v>
      </c>
      <c r="F2827">
        <v>0</v>
      </c>
      <c r="G2827">
        <v>-344</v>
      </c>
      <c r="H2827">
        <v>230</v>
      </c>
      <c r="I2827">
        <v>-516</v>
      </c>
      <c r="J2827">
        <v>0</v>
      </c>
      <c r="K2827" s="201">
        <v>-39</v>
      </c>
    </row>
    <row r="2828" spans="1:11" x14ac:dyDescent="0.25">
      <c r="A2828"/>
      <c r="B2828" s="201">
        <v>382</v>
      </c>
      <c r="C2828">
        <v>1898</v>
      </c>
      <c r="D2828" s="201">
        <v>-2830</v>
      </c>
      <c r="E2828" s="201">
        <v>-2639</v>
      </c>
      <c r="F2828">
        <v>-568</v>
      </c>
      <c r="G2828">
        <v>-583</v>
      </c>
      <c r="H2828">
        <v>-330</v>
      </c>
      <c r="I2828">
        <v>0</v>
      </c>
      <c r="J2828">
        <v>-103</v>
      </c>
      <c r="K2828" s="201">
        <v>0</v>
      </c>
    </row>
    <row r="2829" spans="1:11" x14ac:dyDescent="0.25">
      <c r="A2829"/>
      <c r="B2829" s="201">
        <v>0</v>
      </c>
      <c r="C2829">
        <v>-344</v>
      </c>
      <c r="D2829" s="201">
        <v>-240</v>
      </c>
      <c r="E2829" s="201">
        <v>0</v>
      </c>
      <c r="F2829">
        <v>-230</v>
      </c>
      <c r="G2829">
        <v>0</v>
      </c>
      <c r="H2829">
        <v>0</v>
      </c>
      <c r="I2829">
        <v>193</v>
      </c>
      <c r="J2829">
        <v>0</v>
      </c>
      <c r="K2829" s="201">
        <v>-150</v>
      </c>
    </row>
    <row r="2830" spans="1:11" x14ac:dyDescent="0.25">
      <c r="B2830" s="201">
        <v>-172</v>
      </c>
      <c r="C2830">
        <v>672</v>
      </c>
      <c r="D2830" s="201">
        <v>0</v>
      </c>
      <c r="E2830" s="201">
        <v>0</v>
      </c>
      <c r="F2830">
        <v>0</v>
      </c>
      <c r="G2830">
        <v>0</v>
      </c>
      <c r="H2830">
        <v>0</v>
      </c>
      <c r="I2830">
        <v>454</v>
      </c>
      <c r="J2830">
        <v>0</v>
      </c>
      <c r="K2830" s="201">
        <v>291</v>
      </c>
    </row>
    <row r="2831" spans="1:11" x14ac:dyDescent="0.25">
      <c r="A2831"/>
      <c r="B2831" s="201">
        <v>180</v>
      </c>
      <c r="C2831">
        <v>-862</v>
      </c>
      <c r="D2831" s="201">
        <v>0</v>
      </c>
      <c r="E2831" s="201">
        <v>114</v>
      </c>
      <c r="F2831">
        <v>211</v>
      </c>
      <c r="G2831">
        <v>1462</v>
      </c>
      <c r="H2831">
        <v>0</v>
      </c>
      <c r="I2831">
        <v>0</v>
      </c>
      <c r="J2831">
        <v>0</v>
      </c>
      <c r="K2831" s="201">
        <v>-97</v>
      </c>
    </row>
    <row r="2832" spans="1:11" x14ac:dyDescent="0.25">
      <c r="A2832"/>
      <c r="B2832" s="201">
        <v>121</v>
      </c>
      <c r="C2832">
        <v>-434</v>
      </c>
      <c r="D2832" s="201">
        <v>-352</v>
      </c>
      <c r="E2832" s="201">
        <v>-63</v>
      </c>
      <c r="F2832">
        <v>0</v>
      </c>
      <c r="G2832">
        <v>26</v>
      </c>
      <c r="H2832">
        <v>0</v>
      </c>
      <c r="I2832">
        <v>0</v>
      </c>
      <c r="J2832">
        <v>-380</v>
      </c>
      <c r="K2832" s="201">
        <v>0</v>
      </c>
    </row>
    <row r="2833" spans="1:11" x14ac:dyDescent="0.25">
      <c r="B2833" s="201">
        <v>-105</v>
      </c>
      <c r="C2833">
        <v>0</v>
      </c>
      <c r="D2833" s="201">
        <v>407</v>
      </c>
      <c r="E2833" s="201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 s="201">
        <v>0</v>
      </c>
    </row>
    <row r="2834" spans="1:11" x14ac:dyDescent="0.25">
      <c r="A2834"/>
      <c r="B2834" s="201">
        <v>0</v>
      </c>
      <c r="C2834">
        <v>-236</v>
      </c>
      <c r="D2834" s="201">
        <v>0</v>
      </c>
      <c r="E2834" s="201">
        <v>-167</v>
      </c>
      <c r="F2834">
        <v>157</v>
      </c>
      <c r="G2834">
        <v>-380</v>
      </c>
      <c r="H2834">
        <v>0</v>
      </c>
      <c r="I2834">
        <v>-1159</v>
      </c>
      <c r="J2834">
        <v>-921</v>
      </c>
      <c r="K2834" s="201">
        <v>0</v>
      </c>
    </row>
    <row r="2835" spans="1:11" x14ac:dyDescent="0.25">
      <c r="A2835"/>
      <c r="B2835" s="201">
        <v>0</v>
      </c>
      <c r="C2835">
        <v>0</v>
      </c>
      <c r="D2835" s="201">
        <v>0</v>
      </c>
      <c r="E2835" s="201">
        <v>0</v>
      </c>
      <c r="F2835">
        <v>2006</v>
      </c>
      <c r="G2835">
        <v>2055</v>
      </c>
      <c r="H2835">
        <v>729</v>
      </c>
      <c r="I2835">
        <v>-929</v>
      </c>
      <c r="J2835">
        <v>-913</v>
      </c>
      <c r="K2835" s="201">
        <v>-1058</v>
      </c>
    </row>
    <row r="2836" spans="1:11" x14ac:dyDescent="0.25">
      <c r="A2836"/>
      <c r="B2836" s="201">
        <v>0</v>
      </c>
      <c r="C2836">
        <v>0</v>
      </c>
      <c r="D2836" s="201">
        <v>0</v>
      </c>
      <c r="E2836" s="201">
        <v>0</v>
      </c>
      <c r="F2836">
        <v>-1161</v>
      </c>
      <c r="G2836">
        <v>0</v>
      </c>
      <c r="H2836">
        <v>-3193</v>
      </c>
      <c r="I2836">
        <v>0</v>
      </c>
      <c r="J2836">
        <v>0</v>
      </c>
      <c r="K2836" s="201">
        <v>-4231</v>
      </c>
    </row>
    <row r="2837" spans="1:11" x14ac:dyDescent="0.25">
      <c r="A2837"/>
      <c r="B2837" s="201">
        <v>0</v>
      </c>
      <c r="C2837">
        <v>0</v>
      </c>
      <c r="D2837" s="201">
        <v>0</v>
      </c>
      <c r="E2837" s="201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 s="201">
        <v>0</v>
      </c>
    </row>
    <row r="2838" spans="1:11" x14ac:dyDescent="0.25">
      <c r="A2838"/>
      <c r="B2838" s="201">
        <v>0</v>
      </c>
      <c r="C2838">
        <v>0</v>
      </c>
      <c r="D2838" s="201">
        <v>0</v>
      </c>
      <c r="E2838" s="201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 s="201">
        <v>0</v>
      </c>
    </row>
    <row r="2839" spans="1:11" x14ac:dyDescent="0.25">
      <c r="A2839"/>
      <c r="B2839" s="201">
        <v>0</v>
      </c>
      <c r="C2839">
        <v>0</v>
      </c>
      <c r="D2839" s="201">
        <v>0</v>
      </c>
      <c r="E2839" s="201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 s="201">
        <v>0</v>
      </c>
    </row>
    <row r="2840" spans="1:11" x14ac:dyDescent="0.25">
      <c r="A2840"/>
      <c r="B2840" s="201">
        <v>0</v>
      </c>
      <c r="C2840">
        <v>0</v>
      </c>
      <c r="D2840" s="201">
        <v>0</v>
      </c>
      <c r="E2840" s="201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 s="201">
        <v>0</v>
      </c>
    </row>
    <row r="2841" spans="1:11" x14ac:dyDescent="0.25">
      <c r="A2841"/>
      <c r="B2841" s="201">
        <v>0</v>
      </c>
      <c r="C2841">
        <v>0</v>
      </c>
      <c r="D2841" s="201">
        <v>0</v>
      </c>
      <c r="E2841" s="20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 s="201">
        <v>0</v>
      </c>
    </row>
    <row r="2842" spans="1:11" x14ac:dyDescent="0.25">
      <c r="A2842"/>
      <c r="B2842" s="201">
        <v>0</v>
      </c>
      <c r="C2842">
        <v>0</v>
      </c>
      <c r="D2842" s="201">
        <v>0</v>
      </c>
      <c r="E2842" s="201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 s="201">
        <v>0</v>
      </c>
    </row>
    <row r="2843" spans="1:11" x14ac:dyDescent="0.25">
      <c r="A2843"/>
      <c r="B2843" s="201">
        <v>0</v>
      </c>
      <c r="C2843">
        <v>0</v>
      </c>
      <c r="D2843" s="201">
        <v>0</v>
      </c>
      <c r="E2843" s="201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 s="201">
        <v>0</v>
      </c>
    </row>
    <row r="2844" spans="1:11" x14ac:dyDescent="0.25">
      <c r="A2844"/>
      <c r="B2844" s="201">
        <v>0</v>
      </c>
      <c r="C2844">
        <v>0</v>
      </c>
      <c r="D2844" s="201">
        <v>0</v>
      </c>
      <c r="E2844" s="201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 s="201">
        <v>0</v>
      </c>
    </row>
    <row r="2845" spans="1:11" x14ac:dyDescent="0.25">
      <c r="A2845"/>
      <c r="B2845" s="201">
        <v>0</v>
      </c>
      <c r="C2845">
        <v>0</v>
      </c>
      <c r="D2845" s="201">
        <v>0</v>
      </c>
      <c r="E2845" s="201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 s="201">
        <v>0</v>
      </c>
    </row>
    <row r="2846" spans="1:11" x14ac:dyDescent="0.25">
      <c r="A2846"/>
      <c r="B2846" s="201">
        <v>0</v>
      </c>
      <c r="C2846">
        <v>0</v>
      </c>
      <c r="D2846" s="201">
        <v>0</v>
      </c>
      <c r="E2846" s="201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 s="201">
        <v>0</v>
      </c>
    </row>
    <row r="2847" spans="1:11" x14ac:dyDescent="0.25">
      <c r="A2847"/>
      <c r="B2847" s="201">
        <v>0</v>
      </c>
      <c r="C2847">
        <v>0</v>
      </c>
      <c r="D2847" s="201">
        <v>0</v>
      </c>
      <c r="E2847" s="201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 s="201">
        <v>0</v>
      </c>
    </row>
    <row r="2848" spans="1:11" x14ac:dyDescent="0.25">
      <c r="A2848"/>
      <c r="B2848" s="201">
        <v>0</v>
      </c>
      <c r="C2848">
        <v>0</v>
      </c>
      <c r="D2848" s="201">
        <v>0</v>
      </c>
      <c r="E2848" s="201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 s="201">
        <v>0</v>
      </c>
    </row>
    <row r="2849" spans="1:11" x14ac:dyDescent="0.25">
      <c r="A2849"/>
      <c r="B2849" s="201">
        <v>0</v>
      </c>
      <c r="C2849">
        <v>0</v>
      </c>
      <c r="D2849" s="201">
        <v>0</v>
      </c>
      <c r="E2849" s="201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 s="201">
        <v>0</v>
      </c>
    </row>
    <row r="2850" spans="1:11" x14ac:dyDescent="0.25">
      <c r="A2850"/>
      <c r="B2850" s="201">
        <v>0</v>
      </c>
      <c r="C2850">
        <v>0</v>
      </c>
      <c r="D2850" s="201">
        <v>0</v>
      </c>
      <c r="E2850" s="201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 s="201">
        <v>0</v>
      </c>
    </row>
    <row r="2851" spans="1:11" x14ac:dyDescent="0.25">
      <c r="A2851"/>
      <c r="B2851" s="201">
        <v>0</v>
      </c>
      <c r="C2851">
        <v>0</v>
      </c>
      <c r="D2851" s="201">
        <v>0</v>
      </c>
      <c r="E2851" s="20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 s="201">
        <v>0</v>
      </c>
    </row>
    <row r="2852" spans="1:11" x14ac:dyDescent="0.25">
      <c r="A2852"/>
      <c r="B2852" s="201">
        <v>0</v>
      </c>
      <c r="C2852">
        <v>0</v>
      </c>
      <c r="D2852" s="201">
        <v>0</v>
      </c>
      <c r="E2852" s="201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 s="201">
        <v>0</v>
      </c>
    </row>
    <row r="2853" spans="1:11" x14ac:dyDescent="0.25">
      <c r="A2853"/>
      <c r="B2853" s="201">
        <v>0</v>
      </c>
      <c r="C2853">
        <v>0</v>
      </c>
      <c r="D2853" s="201">
        <v>0</v>
      </c>
      <c r="E2853" s="201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 s="201">
        <v>0</v>
      </c>
    </row>
    <row r="2854" spans="1:11" x14ac:dyDescent="0.25">
      <c r="A2854"/>
      <c r="B2854" s="201">
        <v>0</v>
      </c>
      <c r="C2854">
        <v>0</v>
      </c>
      <c r="D2854" s="201">
        <v>0</v>
      </c>
      <c r="E2854" s="201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 s="201">
        <v>0</v>
      </c>
    </row>
    <row r="2855" spans="1:11" x14ac:dyDescent="0.25">
      <c r="A2855"/>
      <c r="B2855" s="201">
        <v>0</v>
      </c>
      <c r="C2855">
        <v>0</v>
      </c>
      <c r="D2855" s="201">
        <v>0</v>
      </c>
      <c r="E2855" s="201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 s="201">
        <v>0</v>
      </c>
    </row>
    <row r="2856" spans="1:11" x14ac:dyDescent="0.25">
      <c r="A2856"/>
      <c r="B2856" s="201">
        <v>0</v>
      </c>
      <c r="C2856">
        <v>0</v>
      </c>
      <c r="D2856" s="201">
        <v>0</v>
      </c>
      <c r="E2856" s="201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 s="201">
        <v>0</v>
      </c>
    </row>
    <row r="2857" spans="1:11" x14ac:dyDescent="0.25">
      <c r="A2857"/>
      <c r="B2857" s="201">
        <v>0</v>
      </c>
      <c r="C2857">
        <v>0</v>
      </c>
      <c r="D2857" s="201">
        <v>0</v>
      </c>
      <c r="E2857" s="201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 s="201">
        <v>0</v>
      </c>
    </row>
    <row r="2858" spans="1:11" x14ac:dyDescent="0.25">
      <c r="A2858"/>
      <c r="B2858" s="201">
        <v>0</v>
      </c>
      <c r="C2858">
        <v>0</v>
      </c>
      <c r="D2858" s="201">
        <v>0</v>
      </c>
      <c r="E2858" s="201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 s="201">
        <v>0</v>
      </c>
    </row>
    <row r="2859" spans="1:11" x14ac:dyDescent="0.25">
      <c r="A2859"/>
      <c r="B2859" s="201">
        <v>0</v>
      </c>
      <c r="C2859">
        <v>0</v>
      </c>
      <c r="D2859" s="201">
        <v>0</v>
      </c>
      <c r="E2859" s="201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 s="201">
        <v>0</v>
      </c>
    </row>
    <row r="2860" spans="1:11" x14ac:dyDescent="0.25">
      <c r="A2860"/>
      <c r="B2860" s="201">
        <v>0</v>
      </c>
      <c r="C2860">
        <v>0</v>
      </c>
      <c r="D2860" s="201">
        <v>0</v>
      </c>
      <c r="E2860" s="201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 s="201">
        <v>0</v>
      </c>
    </row>
    <row r="2861" spans="1:11" x14ac:dyDescent="0.25">
      <c r="A2861"/>
      <c r="B2861" s="201">
        <v>0</v>
      </c>
      <c r="C2861">
        <v>0</v>
      </c>
      <c r="D2861" s="201">
        <v>0</v>
      </c>
      <c r="E2861" s="20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 s="201">
        <v>0</v>
      </c>
    </row>
    <row r="2862" spans="1:11" x14ac:dyDescent="0.25">
      <c r="A2862"/>
      <c r="B2862" s="201">
        <v>0</v>
      </c>
      <c r="C2862">
        <v>0</v>
      </c>
      <c r="D2862" s="201">
        <v>0</v>
      </c>
      <c r="E2862" s="201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 s="201">
        <v>0</v>
      </c>
    </row>
    <row r="2863" spans="1:11" x14ac:dyDescent="0.25">
      <c r="A2863"/>
      <c r="B2863" s="201">
        <v>0</v>
      </c>
      <c r="C2863">
        <v>0</v>
      </c>
      <c r="D2863" s="201">
        <v>0</v>
      </c>
      <c r="E2863" s="201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 s="201">
        <v>0</v>
      </c>
    </row>
    <row r="2864" spans="1:11" x14ac:dyDescent="0.25">
      <c r="A2864"/>
      <c r="B2864" s="201">
        <v>0</v>
      </c>
      <c r="C2864">
        <v>0</v>
      </c>
      <c r="D2864" s="201">
        <v>0</v>
      </c>
      <c r="E2864" s="201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 s="201">
        <v>0</v>
      </c>
    </row>
    <row r="2865" spans="1:11" x14ac:dyDescent="0.25">
      <c r="A2865"/>
      <c r="B2865" s="201">
        <v>0</v>
      </c>
      <c r="C2865">
        <v>0</v>
      </c>
      <c r="D2865" s="201">
        <v>0</v>
      </c>
      <c r="E2865" s="201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 s="201">
        <v>0</v>
      </c>
    </row>
    <row r="2866" spans="1:11" x14ac:dyDescent="0.25">
      <c r="A2866"/>
      <c r="B2866" s="201">
        <v>0</v>
      </c>
      <c r="C2866">
        <v>0</v>
      </c>
      <c r="D2866" s="201">
        <v>0</v>
      </c>
      <c r="E2866" s="201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 s="201">
        <v>0</v>
      </c>
    </row>
    <row r="2867" spans="1:11" x14ac:dyDescent="0.25">
      <c r="A2867"/>
      <c r="B2867" s="201">
        <v>0</v>
      </c>
      <c r="C2867">
        <v>0</v>
      </c>
      <c r="D2867" s="201">
        <v>0</v>
      </c>
      <c r="E2867" s="201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 s="201">
        <v>0</v>
      </c>
    </row>
    <row r="2868" spans="1:11" x14ac:dyDescent="0.25">
      <c r="A2868"/>
      <c r="B2868" s="201">
        <v>0</v>
      </c>
      <c r="C2868">
        <v>0</v>
      </c>
      <c r="D2868" s="201">
        <v>0</v>
      </c>
      <c r="E2868" s="201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 s="201">
        <v>0</v>
      </c>
    </row>
    <row r="2869" spans="1:11" x14ac:dyDescent="0.25">
      <c r="A2869"/>
      <c r="B2869" s="201">
        <v>0</v>
      </c>
      <c r="C2869">
        <v>0</v>
      </c>
      <c r="D2869" s="201">
        <v>0</v>
      </c>
      <c r="E2869" s="201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 s="201">
        <v>0</v>
      </c>
    </row>
    <row r="2870" spans="1:11" x14ac:dyDescent="0.25">
      <c r="A2870"/>
      <c r="B2870" s="201">
        <v>0</v>
      </c>
      <c r="C2870">
        <v>0</v>
      </c>
      <c r="D2870" s="201">
        <v>0</v>
      </c>
      <c r="E2870" s="201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 s="201">
        <v>0</v>
      </c>
    </row>
    <row r="2871" spans="1:11" x14ac:dyDescent="0.25">
      <c r="A2871"/>
      <c r="B2871" s="201">
        <v>0</v>
      </c>
      <c r="C2871">
        <v>0</v>
      </c>
      <c r="D2871" s="201">
        <v>0</v>
      </c>
      <c r="E2871" s="20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 s="201">
        <v>0</v>
      </c>
    </row>
    <row r="2872" spans="1:11" x14ac:dyDescent="0.25">
      <c r="A2872"/>
      <c r="B2872" s="201">
        <v>0</v>
      </c>
      <c r="C2872">
        <v>0</v>
      </c>
      <c r="D2872" s="201">
        <v>0</v>
      </c>
      <c r="E2872" s="201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 s="201">
        <v>0</v>
      </c>
    </row>
    <row r="2873" spans="1:11" x14ac:dyDescent="0.25">
      <c r="A2873"/>
      <c r="B2873" s="201">
        <v>0</v>
      </c>
      <c r="C2873">
        <v>0</v>
      </c>
      <c r="D2873" s="201">
        <v>0</v>
      </c>
      <c r="E2873" s="201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 s="201">
        <v>0</v>
      </c>
    </row>
    <row r="2874" spans="1:11" x14ac:dyDescent="0.25">
      <c r="A2874"/>
      <c r="B2874" s="201">
        <v>0</v>
      </c>
      <c r="C2874">
        <v>0</v>
      </c>
      <c r="D2874" s="201">
        <v>0</v>
      </c>
      <c r="E2874" s="201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 s="201">
        <v>0</v>
      </c>
    </row>
    <row r="2875" spans="1:11" x14ac:dyDescent="0.25">
      <c r="A2875"/>
      <c r="B2875" s="201">
        <v>0</v>
      </c>
      <c r="C2875">
        <v>0</v>
      </c>
      <c r="D2875" s="201">
        <v>0</v>
      </c>
      <c r="E2875" s="201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 s="201">
        <v>0</v>
      </c>
    </row>
    <row r="2876" spans="1:11" x14ac:dyDescent="0.25">
      <c r="A2876"/>
      <c r="B2876" s="201">
        <v>0</v>
      </c>
      <c r="C2876">
        <v>0</v>
      </c>
      <c r="D2876" s="201">
        <v>0</v>
      </c>
      <c r="E2876" s="201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 s="201">
        <v>0</v>
      </c>
    </row>
    <row r="2877" spans="1:11" x14ac:dyDescent="0.25">
      <c r="A2877"/>
      <c r="B2877" s="201">
        <v>0</v>
      </c>
      <c r="C2877">
        <v>0</v>
      </c>
      <c r="D2877" s="201">
        <v>0</v>
      </c>
      <c r="E2877" s="201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 s="201">
        <v>0</v>
      </c>
    </row>
    <row r="2878" spans="1:11" x14ac:dyDescent="0.25">
      <c r="A2878"/>
      <c r="B2878" s="201">
        <v>0</v>
      </c>
      <c r="C2878">
        <v>0</v>
      </c>
      <c r="D2878" s="201">
        <v>0</v>
      </c>
      <c r="E2878" s="201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 s="201">
        <v>0</v>
      </c>
    </row>
    <row r="2879" spans="1:11" x14ac:dyDescent="0.25">
      <c r="A2879"/>
      <c r="B2879" s="201">
        <v>0</v>
      </c>
      <c r="C2879">
        <v>0</v>
      </c>
      <c r="D2879" s="201">
        <v>0</v>
      </c>
      <c r="E2879" s="201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 s="201">
        <v>0</v>
      </c>
    </row>
    <row r="2880" spans="1:11" x14ac:dyDescent="0.25">
      <c r="A2880"/>
      <c r="B2880" s="201">
        <v>0</v>
      </c>
      <c r="C2880">
        <v>0</v>
      </c>
      <c r="D2880" s="201">
        <v>0</v>
      </c>
      <c r="E2880" s="201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 s="201">
        <v>0</v>
      </c>
    </row>
    <row r="2881" spans="1:11" x14ac:dyDescent="0.25">
      <c r="A2881"/>
      <c r="B2881" s="201">
        <v>0</v>
      </c>
      <c r="C2881">
        <v>0</v>
      </c>
      <c r="D2881" s="201">
        <v>0</v>
      </c>
      <c r="E2881" s="20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 s="201">
        <v>0</v>
      </c>
    </row>
    <row r="2882" spans="1:11" x14ac:dyDescent="0.25">
      <c r="A2882"/>
      <c r="B2882" s="201">
        <v>0</v>
      </c>
      <c r="C2882">
        <v>0</v>
      </c>
      <c r="D2882" s="201">
        <v>0</v>
      </c>
      <c r="E2882" s="201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 s="201">
        <v>0</v>
      </c>
    </row>
    <row r="2883" spans="1:11" x14ac:dyDescent="0.25">
      <c r="A2883"/>
      <c r="B2883" s="201">
        <v>0</v>
      </c>
      <c r="C2883">
        <v>0</v>
      </c>
      <c r="D2883" s="201">
        <v>0</v>
      </c>
      <c r="E2883" s="201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 s="201">
        <v>0</v>
      </c>
    </row>
    <row r="2884" spans="1:11" x14ac:dyDescent="0.25">
      <c r="A2884"/>
      <c r="B2884" s="201">
        <v>0</v>
      </c>
      <c r="C2884">
        <v>0</v>
      </c>
      <c r="D2884" s="201">
        <v>0</v>
      </c>
      <c r="E2884" s="201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 s="201">
        <v>0</v>
      </c>
    </row>
    <row r="2885" spans="1:11" x14ac:dyDescent="0.25">
      <c r="A2885"/>
      <c r="B2885" s="201">
        <v>0</v>
      </c>
      <c r="C2885">
        <v>0</v>
      </c>
      <c r="D2885" s="201">
        <v>0</v>
      </c>
      <c r="E2885" s="201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 s="201">
        <v>0</v>
      </c>
    </row>
    <row r="2886" spans="1:11" x14ac:dyDescent="0.25">
      <c r="A2886"/>
      <c r="B2886" s="201">
        <v>0</v>
      </c>
      <c r="C2886">
        <v>0</v>
      </c>
      <c r="D2886" s="201">
        <v>0</v>
      </c>
      <c r="E2886" s="201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 s="201">
        <v>0</v>
      </c>
    </row>
    <row r="2887" spans="1:11" x14ac:dyDescent="0.25">
      <c r="A2887"/>
      <c r="B2887" s="201">
        <v>0</v>
      </c>
      <c r="C2887">
        <v>0</v>
      </c>
      <c r="D2887" s="201">
        <v>0</v>
      </c>
      <c r="E2887" s="201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 s="201">
        <v>0</v>
      </c>
    </row>
    <row r="2888" spans="1:11" x14ac:dyDescent="0.25">
      <c r="A2888"/>
      <c r="B2888" s="201">
        <v>0</v>
      </c>
      <c r="C2888">
        <v>0</v>
      </c>
      <c r="D2888" s="201">
        <v>0</v>
      </c>
      <c r="E2888" s="201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 s="201">
        <v>0</v>
      </c>
    </row>
    <row r="2889" spans="1:11" x14ac:dyDescent="0.25">
      <c r="A2889"/>
      <c r="B2889" s="201">
        <v>0</v>
      </c>
      <c r="C2889">
        <v>0</v>
      </c>
      <c r="D2889" s="201">
        <v>0</v>
      </c>
      <c r="E2889" s="201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 s="201">
        <v>0</v>
      </c>
    </row>
    <row r="2890" spans="1:11" x14ac:dyDescent="0.25">
      <c r="A2890"/>
      <c r="B2890" s="201">
        <v>0</v>
      </c>
      <c r="C2890">
        <v>0</v>
      </c>
      <c r="D2890" s="201">
        <v>0</v>
      </c>
      <c r="E2890" s="201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 s="201">
        <v>0</v>
      </c>
    </row>
    <row r="2891" spans="1:11" x14ac:dyDescent="0.25">
      <c r="A2891"/>
      <c r="B2891" s="201">
        <v>0</v>
      </c>
      <c r="C2891">
        <v>0</v>
      </c>
      <c r="D2891" s="201">
        <v>0</v>
      </c>
      <c r="E2891" s="20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 s="201">
        <v>0</v>
      </c>
    </row>
    <row r="2892" spans="1:11" x14ac:dyDescent="0.25">
      <c r="A2892"/>
      <c r="B2892" s="201">
        <v>0</v>
      </c>
      <c r="C2892">
        <v>0</v>
      </c>
      <c r="D2892" s="201">
        <v>0</v>
      </c>
      <c r="E2892" s="201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 s="201">
        <v>0</v>
      </c>
    </row>
    <row r="2893" spans="1:11" x14ac:dyDescent="0.25">
      <c r="A2893"/>
      <c r="B2893" s="201">
        <v>0</v>
      </c>
      <c r="C2893">
        <v>0</v>
      </c>
      <c r="D2893" s="201">
        <v>0</v>
      </c>
      <c r="E2893" s="201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 s="201">
        <v>0</v>
      </c>
    </row>
    <row r="2894" spans="1:11" x14ac:dyDescent="0.25">
      <c r="A2894"/>
      <c r="B2894" s="201">
        <v>0</v>
      </c>
      <c r="C2894">
        <v>0</v>
      </c>
      <c r="D2894" s="201">
        <v>0</v>
      </c>
      <c r="E2894" s="201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 s="201">
        <v>0</v>
      </c>
    </row>
    <row r="2895" spans="1:11" x14ac:dyDescent="0.25">
      <c r="A2895"/>
      <c r="B2895" s="201">
        <v>0</v>
      </c>
      <c r="C2895">
        <v>0</v>
      </c>
      <c r="D2895" s="201">
        <v>0</v>
      </c>
      <c r="E2895" s="201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 s="201">
        <v>0</v>
      </c>
    </row>
    <row r="2896" spans="1:11" x14ac:dyDescent="0.25">
      <c r="A2896"/>
      <c r="B2896" s="201">
        <v>0</v>
      </c>
      <c r="C2896">
        <v>0</v>
      </c>
      <c r="D2896" s="201">
        <v>0</v>
      </c>
      <c r="E2896" s="201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 s="201">
        <v>0</v>
      </c>
    </row>
    <row r="2897" spans="1:11" x14ac:dyDescent="0.25">
      <c r="A2897"/>
      <c r="B2897" s="201">
        <v>0</v>
      </c>
      <c r="C2897">
        <v>0</v>
      </c>
      <c r="D2897" s="201">
        <v>0</v>
      </c>
      <c r="E2897" s="201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 s="201">
        <v>0</v>
      </c>
    </row>
    <row r="2898" spans="1:11" x14ac:dyDescent="0.25">
      <c r="A2898"/>
      <c r="B2898" s="201">
        <v>0</v>
      </c>
      <c r="C2898">
        <v>0</v>
      </c>
      <c r="D2898" s="201">
        <v>0</v>
      </c>
      <c r="E2898" s="201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 s="201">
        <v>0</v>
      </c>
    </row>
    <row r="2899" spans="1:11" x14ac:dyDescent="0.25">
      <c r="A2899"/>
      <c r="B2899" s="201">
        <v>0</v>
      </c>
      <c r="C2899">
        <v>0</v>
      </c>
      <c r="D2899" s="201">
        <v>0</v>
      </c>
      <c r="E2899" s="201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 s="201">
        <v>0</v>
      </c>
    </row>
    <row r="2900" spans="1:11" x14ac:dyDescent="0.25">
      <c r="A2900"/>
      <c r="B2900" s="201">
        <v>0</v>
      </c>
      <c r="C2900">
        <v>0</v>
      </c>
      <c r="D2900" s="201">
        <v>0</v>
      </c>
      <c r="E2900" s="201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 s="201">
        <v>0</v>
      </c>
    </row>
    <row r="2901" spans="1:11" x14ac:dyDescent="0.25">
      <c r="A2901"/>
      <c r="B2901" s="201">
        <v>0</v>
      </c>
      <c r="C2901">
        <v>0</v>
      </c>
      <c r="D2901" s="201">
        <v>0</v>
      </c>
      <c r="E2901" s="2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 s="201">
        <v>0</v>
      </c>
    </row>
    <row r="2902" spans="1:11" x14ac:dyDescent="0.25">
      <c r="A2902"/>
      <c r="B2902" s="201">
        <v>0</v>
      </c>
      <c r="C2902">
        <v>0</v>
      </c>
      <c r="D2902" s="201">
        <v>0</v>
      </c>
      <c r="E2902" s="201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 s="201">
        <v>0</v>
      </c>
    </row>
    <row r="2903" spans="1:11" x14ac:dyDescent="0.25">
      <c r="A2903"/>
      <c r="B2903" s="201">
        <v>0</v>
      </c>
      <c r="C2903">
        <v>0</v>
      </c>
      <c r="D2903" s="201">
        <v>0</v>
      </c>
      <c r="E2903" s="201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 s="201">
        <v>0</v>
      </c>
    </row>
    <row r="2904" spans="1:11" x14ac:dyDescent="0.25">
      <c r="A2904"/>
      <c r="B2904" s="201">
        <v>0</v>
      </c>
      <c r="C2904">
        <v>0</v>
      </c>
      <c r="D2904" s="201">
        <v>0</v>
      </c>
      <c r="E2904" s="201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 s="201">
        <v>0</v>
      </c>
    </row>
    <row r="2905" spans="1:11" x14ac:dyDescent="0.25">
      <c r="A2905"/>
      <c r="B2905" s="201">
        <v>0</v>
      </c>
      <c r="C2905">
        <v>0</v>
      </c>
      <c r="D2905" s="201">
        <v>0</v>
      </c>
      <c r="E2905" s="201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 s="201">
        <v>0</v>
      </c>
    </row>
    <row r="2906" spans="1:11" x14ac:dyDescent="0.25">
      <c r="A2906"/>
      <c r="B2906" s="201">
        <v>0</v>
      </c>
      <c r="C2906">
        <v>0</v>
      </c>
      <c r="D2906" s="201">
        <v>0</v>
      </c>
      <c r="E2906" s="201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 s="201">
        <v>0</v>
      </c>
    </row>
    <row r="2907" spans="1:11" x14ac:dyDescent="0.25">
      <c r="A2907"/>
      <c r="B2907" s="201">
        <v>0</v>
      </c>
      <c r="C2907">
        <v>0</v>
      </c>
      <c r="D2907" s="201">
        <v>0</v>
      </c>
      <c r="E2907" s="201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 s="201">
        <v>0</v>
      </c>
    </row>
    <row r="2908" spans="1:11" x14ac:dyDescent="0.25">
      <c r="A2908"/>
      <c r="B2908" s="201">
        <v>0</v>
      </c>
      <c r="C2908">
        <v>0</v>
      </c>
      <c r="D2908" s="201">
        <v>0</v>
      </c>
      <c r="E2908" s="201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 s="201">
        <v>0</v>
      </c>
    </row>
    <row r="2909" spans="1:11" x14ac:dyDescent="0.25">
      <c r="A2909"/>
      <c r="B2909" s="201">
        <v>0</v>
      </c>
      <c r="C2909">
        <v>0</v>
      </c>
      <c r="D2909" s="201">
        <v>0</v>
      </c>
      <c r="E2909" s="201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 s="201">
        <v>0</v>
      </c>
    </row>
    <row r="2910" spans="1:11" x14ac:dyDescent="0.25">
      <c r="A2910"/>
      <c r="B2910" s="201">
        <v>0</v>
      </c>
      <c r="C2910">
        <v>0</v>
      </c>
      <c r="D2910" s="201">
        <v>0</v>
      </c>
      <c r="E2910" s="201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 s="201">
        <v>0</v>
      </c>
    </row>
    <row r="2911" spans="1:11" x14ac:dyDescent="0.25">
      <c r="A2911"/>
      <c r="B2911" s="201">
        <v>0</v>
      </c>
      <c r="C2911">
        <v>0</v>
      </c>
      <c r="D2911" s="201">
        <v>0</v>
      </c>
      <c r="E2911" s="20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 s="201">
        <v>0</v>
      </c>
    </row>
    <row r="2912" spans="1:11" x14ac:dyDescent="0.25">
      <c r="A2912"/>
      <c r="B2912" s="201">
        <v>0</v>
      </c>
      <c r="C2912">
        <v>0</v>
      </c>
      <c r="D2912" s="201">
        <v>0</v>
      </c>
      <c r="E2912" s="201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 s="201">
        <v>0</v>
      </c>
    </row>
    <row r="2913" spans="1:11" x14ac:dyDescent="0.25">
      <c r="A2913"/>
      <c r="B2913" s="201">
        <v>0</v>
      </c>
      <c r="C2913">
        <v>0</v>
      </c>
      <c r="D2913" s="201">
        <v>0</v>
      </c>
      <c r="E2913" s="201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 s="201">
        <v>0</v>
      </c>
    </row>
    <row r="2914" spans="1:11" x14ac:dyDescent="0.25">
      <c r="A2914"/>
      <c r="B2914" s="201">
        <v>0</v>
      </c>
      <c r="C2914">
        <v>0</v>
      </c>
      <c r="D2914" s="201">
        <v>0</v>
      </c>
      <c r="E2914" s="201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 s="201">
        <v>0</v>
      </c>
    </row>
    <row r="2915" spans="1:11" x14ac:dyDescent="0.25">
      <c r="A2915"/>
      <c r="B2915" s="201">
        <v>0</v>
      </c>
      <c r="C2915">
        <v>0</v>
      </c>
      <c r="D2915" s="201">
        <v>0</v>
      </c>
      <c r="E2915" s="201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 s="201">
        <v>0</v>
      </c>
    </row>
    <row r="2916" spans="1:11" x14ac:dyDescent="0.25">
      <c r="A2916"/>
      <c r="B2916" s="201">
        <v>0</v>
      </c>
      <c r="C2916">
        <v>0</v>
      </c>
      <c r="D2916" s="201">
        <v>0</v>
      </c>
      <c r="E2916" s="201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 s="201">
        <v>0</v>
      </c>
    </row>
    <row r="2917" spans="1:11" x14ac:dyDescent="0.25">
      <c r="A2917"/>
      <c r="B2917" s="201">
        <v>0</v>
      </c>
      <c r="C2917">
        <v>0</v>
      </c>
      <c r="D2917" s="201">
        <v>0</v>
      </c>
      <c r="E2917" s="201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 s="201">
        <v>0</v>
      </c>
    </row>
    <row r="2918" spans="1:11" x14ac:dyDescent="0.25">
      <c r="A2918"/>
      <c r="B2918" s="201">
        <v>0</v>
      </c>
      <c r="C2918">
        <v>0</v>
      </c>
      <c r="D2918" s="201">
        <v>0</v>
      </c>
      <c r="E2918" s="201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 s="201">
        <v>0</v>
      </c>
    </row>
    <row r="2919" spans="1:11" x14ac:dyDescent="0.25">
      <c r="A2919"/>
      <c r="B2919" s="201">
        <v>0</v>
      </c>
      <c r="C2919">
        <v>0</v>
      </c>
      <c r="D2919" s="201">
        <v>0</v>
      </c>
      <c r="E2919" s="201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 s="201">
        <v>0</v>
      </c>
    </row>
    <row r="2920" spans="1:11" x14ac:dyDescent="0.25">
      <c r="A2920"/>
      <c r="B2920" s="201">
        <v>0</v>
      </c>
      <c r="C2920">
        <v>0</v>
      </c>
      <c r="D2920" s="201">
        <v>0</v>
      </c>
      <c r="E2920" s="201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 s="201">
        <v>0</v>
      </c>
    </row>
    <row r="2921" spans="1:11" x14ac:dyDescent="0.25">
      <c r="A2921"/>
      <c r="B2921" s="201">
        <v>0</v>
      </c>
      <c r="C2921">
        <v>0</v>
      </c>
      <c r="D2921" s="201">
        <v>0</v>
      </c>
      <c r="E2921" s="20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 s="201">
        <v>0</v>
      </c>
    </row>
    <row r="2922" spans="1:11" x14ac:dyDescent="0.25">
      <c r="A2922"/>
      <c r="B2922" s="201">
        <v>0</v>
      </c>
      <c r="C2922">
        <v>0</v>
      </c>
      <c r="D2922" s="201">
        <v>0</v>
      </c>
      <c r="E2922" s="201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 s="201">
        <v>0</v>
      </c>
    </row>
    <row r="2923" spans="1:11" x14ac:dyDescent="0.25">
      <c r="A2923"/>
      <c r="B2923" s="201">
        <v>0</v>
      </c>
      <c r="C2923">
        <v>0</v>
      </c>
      <c r="D2923" s="201">
        <v>0</v>
      </c>
      <c r="E2923" s="201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 s="201">
        <v>0</v>
      </c>
    </row>
    <row r="2924" spans="1:11" x14ac:dyDescent="0.25">
      <c r="A2924"/>
      <c r="B2924" s="201">
        <v>0</v>
      </c>
      <c r="C2924">
        <v>0</v>
      </c>
      <c r="D2924" s="201">
        <v>0</v>
      </c>
      <c r="E2924" s="201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 s="201">
        <v>0</v>
      </c>
    </row>
    <row r="2925" spans="1:11" x14ac:dyDescent="0.25">
      <c r="A2925"/>
      <c r="B2925" s="201">
        <v>0</v>
      </c>
      <c r="C2925">
        <v>0</v>
      </c>
      <c r="D2925" s="201">
        <v>0</v>
      </c>
      <c r="E2925" s="201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 s="201">
        <v>0</v>
      </c>
    </row>
    <row r="2926" spans="1:11" x14ac:dyDescent="0.25">
      <c r="A2926"/>
      <c r="B2926" s="201">
        <v>1653</v>
      </c>
      <c r="C2926">
        <v>293</v>
      </c>
      <c r="D2926" s="201">
        <v>-471</v>
      </c>
      <c r="E2926" s="201">
        <v>-407</v>
      </c>
      <c r="F2926">
        <v>-700</v>
      </c>
      <c r="G2926">
        <v>0</v>
      </c>
      <c r="H2926">
        <v>0</v>
      </c>
      <c r="I2926">
        <v>232</v>
      </c>
      <c r="J2926">
        <v>0</v>
      </c>
      <c r="K2926" s="201">
        <v>0</v>
      </c>
    </row>
    <row r="2927" spans="1:11" x14ac:dyDescent="0.25">
      <c r="A2927"/>
      <c r="B2927" s="201">
        <v>0</v>
      </c>
      <c r="C2927">
        <v>80</v>
      </c>
      <c r="D2927" s="201">
        <v>-304</v>
      </c>
      <c r="E2927" s="201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 s="201">
        <v>27</v>
      </c>
    </row>
    <row r="2928" spans="1:11" x14ac:dyDescent="0.25">
      <c r="A2928"/>
      <c r="B2928" s="201">
        <v>0</v>
      </c>
      <c r="C2928">
        <v>0</v>
      </c>
      <c r="D2928" s="201">
        <v>219</v>
      </c>
      <c r="E2928" s="201">
        <v>0</v>
      </c>
      <c r="F2928">
        <v>163</v>
      </c>
      <c r="G2928">
        <v>0</v>
      </c>
      <c r="H2928">
        <v>331</v>
      </c>
      <c r="I2928">
        <v>-641</v>
      </c>
      <c r="J2928">
        <v>-496</v>
      </c>
      <c r="K2928" s="201">
        <v>0</v>
      </c>
    </row>
    <row r="2929" spans="1:11" x14ac:dyDescent="0.25">
      <c r="A2929"/>
      <c r="B2929" s="201">
        <v>1174</v>
      </c>
      <c r="C2929">
        <v>972</v>
      </c>
      <c r="D2929" s="201">
        <v>-105</v>
      </c>
      <c r="E2929" s="201">
        <v>-940</v>
      </c>
      <c r="F2929">
        <v>-2329</v>
      </c>
      <c r="G2929">
        <v>-2014</v>
      </c>
      <c r="H2929">
        <v>0</v>
      </c>
      <c r="I2929">
        <v>571</v>
      </c>
      <c r="J2929">
        <v>0</v>
      </c>
      <c r="K2929" s="201">
        <v>0</v>
      </c>
    </row>
    <row r="2930" spans="1:11" x14ac:dyDescent="0.25">
      <c r="A2930"/>
      <c r="B2930" s="201">
        <v>0</v>
      </c>
      <c r="C2930">
        <v>0</v>
      </c>
      <c r="D2930" s="201">
        <v>0</v>
      </c>
      <c r="E2930" s="201">
        <v>-70</v>
      </c>
      <c r="F2930">
        <v>0</v>
      </c>
      <c r="G2930">
        <v>0</v>
      </c>
      <c r="H2930">
        <v>0</v>
      </c>
      <c r="I2930">
        <v>-435</v>
      </c>
      <c r="J2930">
        <v>0</v>
      </c>
      <c r="K2930" s="201">
        <v>-8</v>
      </c>
    </row>
    <row r="2931" spans="1:11" x14ac:dyDescent="0.25">
      <c r="A2931"/>
      <c r="B2931" s="201">
        <v>0</v>
      </c>
      <c r="C2931">
        <v>0</v>
      </c>
      <c r="D2931" s="201">
        <v>0</v>
      </c>
      <c r="E2931" s="201">
        <v>0</v>
      </c>
      <c r="F2931">
        <v>0</v>
      </c>
      <c r="G2931">
        <v>1330</v>
      </c>
      <c r="H2931">
        <v>0</v>
      </c>
      <c r="I2931">
        <v>-589</v>
      </c>
      <c r="J2931">
        <v>788</v>
      </c>
      <c r="K2931" s="201">
        <v>0</v>
      </c>
    </row>
    <row r="2932" spans="1:11" x14ac:dyDescent="0.25">
      <c r="A2932"/>
      <c r="B2932" s="201">
        <v>0</v>
      </c>
      <c r="C2932">
        <v>3901</v>
      </c>
      <c r="D2932" s="201">
        <v>-1445</v>
      </c>
      <c r="E2932" s="201">
        <v>0</v>
      </c>
      <c r="F2932">
        <v>956</v>
      </c>
      <c r="G2932">
        <v>0</v>
      </c>
      <c r="H2932">
        <v>0</v>
      </c>
      <c r="I2932">
        <v>0</v>
      </c>
      <c r="J2932">
        <v>0</v>
      </c>
      <c r="K2932" s="201">
        <v>-3752</v>
      </c>
    </row>
    <row r="2933" spans="1:11" x14ac:dyDescent="0.25">
      <c r="A2933"/>
      <c r="B2933" s="201">
        <v>-176</v>
      </c>
      <c r="C2933">
        <v>65</v>
      </c>
      <c r="D2933" s="201">
        <v>0</v>
      </c>
      <c r="E2933" s="201">
        <v>0</v>
      </c>
      <c r="F2933">
        <v>975</v>
      </c>
      <c r="G2933">
        <v>348</v>
      </c>
      <c r="H2933">
        <v>0</v>
      </c>
      <c r="I2933">
        <v>293</v>
      </c>
      <c r="J2933">
        <v>-40</v>
      </c>
      <c r="K2933" s="201">
        <v>253</v>
      </c>
    </row>
    <row r="2934" spans="1:11" x14ac:dyDescent="0.25">
      <c r="A2934"/>
      <c r="B2934" s="201">
        <v>-219</v>
      </c>
      <c r="C2934">
        <v>419</v>
      </c>
      <c r="D2934" s="201">
        <v>862</v>
      </c>
      <c r="E2934" s="201">
        <v>785</v>
      </c>
      <c r="F2934">
        <v>0</v>
      </c>
      <c r="G2934">
        <v>0</v>
      </c>
      <c r="H2934">
        <v>0</v>
      </c>
      <c r="I2934">
        <v>0</v>
      </c>
      <c r="J2934">
        <v>0</v>
      </c>
      <c r="K2934" s="201">
        <v>3302</v>
      </c>
    </row>
    <row r="2935" spans="1:11" x14ac:dyDescent="0.25">
      <c r="A2935"/>
      <c r="B2935" s="201">
        <v>0</v>
      </c>
      <c r="C2935">
        <v>3375</v>
      </c>
      <c r="D2935" s="201">
        <v>483</v>
      </c>
      <c r="E2935" s="201">
        <v>-670</v>
      </c>
      <c r="F2935">
        <v>0</v>
      </c>
      <c r="G2935">
        <v>-5517</v>
      </c>
      <c r="H2935">
        <v>2557</v>
      </c>
      <c r="I2935">
        <v>-613</v>
      </c>
      <c r="J2935">
        <v>-587</v>
      </c>
      <c r="K2935" s="201">
        <v>-255</v>
      </c>
    </row>
    <row r="2936" spans="1:11" x14ac:dyDescent="0.25">
      <c r="A2936"/>
      <c r="B2936" s="201">
        <v>0</v>
      </c>
      <c r="C2936">
        <v>-360</v>
      </c>
      <c r="D2936" s="201">
        <v>-949</v>
      </c>
      <c r="E2936" s="201">
        <v>-2183</v>
      </c>
      <c r="F2936">
        <v>525</v>
      </c>
      <c r="G2936">
        <v>0</v>
      </c>
      <c r="H2936">
        <v>232</v>
      </c>
      <c r="I2936">
        <v>-4462</v>
      </c>
      <c r="J2936">
        <v>0</v>
      </c>
      <c r="K2936" s="201">
        <v>0</v>
      </c>
    </row>
    <row r="2937" spans="1:11" x14ac:dyDescent="0.25">
      <c r="A2937"/>
      <c r="B2937" s="201">
        <v>0</v>
      </c>
      <c r="C2937">
        <v>-59</v>
      </c>
      <c r="D2937" s="201">
        <v>-265</v>
      </c>
      <c r="E2937" s="201">
        <v>0</v>
      </c>
      <c r="F2937">
        <v>-398</v>
      </c>
      <c r="G2937">
        <v>-338</v>
      </c>
      <c r="H2937">
        <v>229</v>
      </c>
      <c r="I2937">
        <v>-240</v>
      </c>
      <c r="J2937">
        <v>0</v>
      </c>
      <c r="K2937" s="201">
        <v>0</v>
      </c>
    </row>
    <row r="2938" spans="1:11" x14ac:dyDescent="0.25">
      <c r="A2938"/>
      <c r="B2938" s="201">
        <v>0</v>
      </c>
      <c r="C2938">
        <v>0</v>
      </c>
      <c r="D2938" s="201">
        <v>0</v>
      </c>
      <c r="E2938" s="201">
        <v>13781</v>
      </c>
      <c r="F2938">
        <v>0</v>
      </c>
      <c r="G2938">
        <v>-1423</v>
      </c>
      <c r="H2938">
        <v>30</v>
      </c>
      <c r="I2938">
        <v>-84</v>
      </c>
      <c r="J2938">
        <v>0</v>
      </c>
      <c r="K2938" s="201">
        <v>-3539</v>
      </c>
    </row>
    <row r="2939" spans="1:11" x14ac:dyDescent="0.25">
      <c r="A2939"/>
      <c r="B2939" s="201">
        <v>4161</v>
      </c>
      <c r="C2939">
        <v>-772</v>
      </c>
      <c r="D2939" s="201">
        <v>-727</v>
      </c>
      <c r="E2939" s="201">
        <v>-558</v>
      </c>
      <c r="F2939">
        <v>59</v>
      </c>
      <c r="G2939">
        <v>-300</v>
      </c>
      <c r="H2939">
        <v>1309</v>
      </c>
      <c r="I2939">
        <v>0</v>
      </c>
      <c r="J2939">
        <v>407</v>
      </c>
      <c r="K2939" s="201">
        <v>0</v>
      </c>
    </row>
    <row r="2940" spans="1:11" x14ac:dyDescent="0.25">
      <c r="A2940"/>
      <c r="B2940" s="201">
        <v>0</v>
      </c>
      <c r="C2940">
        <v>-4014</v>
      </c>
      <c r="D2940" s="201">
        <v>554</v>
      </c>
      <c r="E2940" s="201">
        <v>0</v>
      </c>
      <c r="F2940">
        <v>-208</v>
      </c>
      <c r="G2940">
        <v>0</v>
      </c>
      <c r="H2940">
        <v>0</v>
      </c>
      <c r="I2940">
        <v>-127</v>
      </c>
      <c r="J2940">
        <v>0</v>
      </c>
      <c r="K2940" s="201">
        <v>-199</v>
      </c>
    </row>
    <row r="2941" spans="1:11" x14ac:dyDescent="0.25">
      <c r="A2941"/>
      <c r="B2941" s="201">
        <v>260</v>
      </c>
      <c r="C2941">
        <v>-271</v>
      </c>
      <c r="D2941" s="201">
        <v>0</v>
      </c>
      <c r="E2941" s="201">
        <v>0</v>
      </c>
      <c r="F2941">
        <v>0</v>
      </c>
      <c r="G2941">
        <v>0</v>
      </c>
      <c r="H2941">
        <v>0</v>
      </c>
      <c r="I2941">
        <v>11219</v>
      </c>
      <c r="J2941">
        <v>0</v>
      </c>
      <c r="K2941" s="201">
        <v>-3782</v>
      </c>
    </row>
    <row r="2942" spans="1:11" x14ac:dyDescent="0.25">
      <c r="A2942"/>
      <c r="B2942" s="201">
        <v>169</v>
      </c>
      <c r="C2942">
        <v>-24</v>
      </c>
      <c r="D2942" s="201">
        <v>0</v>
      </c>
      <c r="E2942" s="201">
        <v>3069</v>
      </c>
      <c r="F2942">
        <v>3295</v>
      </c>
      <c r="G2942">
        <v>-392</v>
      </c>
      <c r="H2942">
        <v>0</v>
      </c>
      <c r="I2942">
        <v>0</v>
      </c>
      <c r="J2942">
        <v>0</v>
      </c>
      <c r="K2942" s="201">
        <v>35</v>
      </c>
    </row>
    <row r="2943" spans="1:11" x14ac:dyDescent="0.25">
      <c r="A2943"/>
      <c r="B2943" s="201">
        <v>138</v>
      </c>
      <c r="C2943">
        <v>-1580</v>
      </c>
      <c r="D2943" s="201">
        <v>313</v>
      </c>
      <c r="E2943" s="201">
        <v>229</v>
      </c>
      <c r="F2943">
        <v>0</v>
      </c>
      <c r="G2943">
        <v>-1796</v>
      </c>
      <c r="H2943">
        <v>0</v>
      </c>
      <c r="I2943">
        <v>0</v>
      </c>
      <c r="J2943">
        <v>-373</v>
      </c>
      <c r="K2943" s="201">
        <v>0</v>
      </c>
    </row>
    <row r="2944" spans="1:11" x14ac:dyDescent="0.25">
      <c r="A2944"/>
      <c r="B2944" s="201">
        <v>-336</v>
      </c>
      <c r="C2944">
        <v>0</v>
      </c>
      <c r="D2944" s="201">
        <v>-491</v>
      </c>
      <c r="E2944" s="201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 s="201">
        <v>0</v>
      </c>
    </row>
    <row r="2945" spans="1:11" x14ac:dyDescent="0.25">
      <c r="A2945"/>
      <c r="B2945" s="201">
        <v>0</v>
      </c>
      <c r="C2945">
        <v>8616</v>
      </c>
      <c r="D2945" s="201">
        <v>0</v>
      </c>
      <c r="E2945" s="201">
        <v>-3877</v>
      </c>
      <c r="F2945">
        <v>419</v>
      </c>
      <c r="G2945">
        <v>-48</v>
      </c>
      <c r="H2945">
        <v>0</v>
      </c>
      <c r="I2945">
        <v>-89024</v>
      </c>
      <c r="J2945">
        <v>-3923</v>
      </c>
      <c r="K2945" s="201">
        <v>0</v>
      </c>
    </row>
    <row r="2946" spans="1:11" x14ac:dyDescent="0.25">
      <c r="A2946"/>
      <c r="B2946" s="201">
        <v>0</v>
      </c>
      <c r="C2946">
        <v>0</v>
      </c>
      <c r="D2946" s="201">
        <v>0</v>
      </c>
      <c r="E2946" s="201">
        <v>0</v>
      </c>
      <c r="F2946">
        <v>21614</v>
      </c>
      <c r="G2946">
        <v>19309</v>
      </c>
      <c r="H2946">
        <v>-2724</v>
      </c>
      <c r="I2946">
        <v>-562</v>
      </c>
      <c r="J2946">
        <v>-1376</v>
      </c>
      <c r="K2946" s="201">
        <v>-20417</v>
      </c>
    </row>
    <row r="2947" spans="1:11" x14ac:dyDescent="0.25">
      <c r="A2947"/>
      <c r="B2947" s="201">
        <v>0</v>
      </c>
      <c r="C2947">
        <v>0</v>
      </c>
      <c r="D2947" s="201">
        <v>0</v>
      </c>
      <c r="E2947" s="201">
        <v>0</v>
      </c>
      <c r="F2947">
        <v>2945</v>
      </c>
      <c r="G2947">
        <v>0</v>
      </c>
      <c r="H2947">
        <v>2337</v>
      </c>
      <c r="I2947">
        <v>0</v>
      </c>
      <c r="J2947">
        <v>0</v>
      </c>
      <c r="K2947" s="201">
        <v>3051</v>
      </c>
    </row>
    <row r="2948" spans="1:11" x14ac:dyDescent="0.25">
      <c r="B2948" s="201">
        <v>-353</v>
      </c>
      <c r="C2948">
        <v>0</v>
      </c>
      <c r="D2948" s="201">
        <v>0</v>
      </c>
      <c r="E2948" s="201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 s="201">
        <v>0</v>
      </c>
    </row>
    <row r="2949" spans="1:11" x14ac:dyDescent="0.25">
      <c r="A2949"/>
      <c r="B2949" s="201">
        <v>0</v>
      </c>
      <c r="C2949">
        <v>0</v>
      </c>
      <c r="D2949" s="201">
        <v>0</v>
      </c>
      <c r="E2949" s="201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 s="201">
        <v>0</v>
      </c>
    </row>
    <row r="2950" spans="1:11" x14ac:dyDescent="0.25">
      <c r="A2950"/>
      <c r="B2950" s="201">
        <v>0</v>
      </c>
      <c r="C2950">
        <v>0</v>
      </c>
      <c r="D2950" s="201">
        <v>0</v>
      </c>
      <c r="E2950" s="201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 s="201">
        <v>0</v>
      </c>
    </row>
    <row r="2951" spans="1:11" x14ac:dyDescent="0.25">
      <c r="A2951"/>
      <c r="B2951" s="201">
        <v>0</v>
      </c>
      <c r="C2951">
        <v>0</v>
      </c>
      <c r="D2951" s="201">
        <v>0</v>
      </c>
      <c r="E2951" s="20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 s="201">
        <v>0</v>
      </c>
    </row>
    <row r="2952" spans="1:11" x14ac:dyDescent="0.25">
      <c r="A2952"/>
      <c r="B2952" s="201">
        <v>0</v>
      </c>
      <c r="C2952">
        <v>0</v>
      </c>
      <c r="D2952" s="201">
        <v>0</v>
      </c>
      <c r="E2952" s="201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 s="201">
        <v>0</v>
      </c>
    </row>
    <row r="2953" spans="1:11" x14ac:dyDescent="0.25">
      <c r="A2953"/>
      <c r="B2953" s="201">
        <v>0</v>
      </c>
      <c r="C2953">
        <v>0</v>
      </c>
      <c r="D2953" s="201">
        <v>0</v>
      </c>
      <c r="E2953" s="201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 s="201">
        <v>0</v>
      </c>
    </row>
    <row r="2954" spans="1:11" x14ac:dyDescent="0.25">
      <c r="A2954"/>
      <c r="B2954" s="201">
        <v>0</v>
      </c>
      <c r="C2954">
        <v>0</v>
      </c>
      <c r="D2954" s="201">
        <v>0</v>
      </c>
      <c r="E2954" s="201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 s="201">
        <v>0</v>
      </c>
    </row>
    <row r="2955" spans="1:11" x14ac:dyDescent="0.25">
      <c r="A2955"/>
      <c r="B2955" s="201">
        <v>0</v>
      </c>
      <c r="C2955">
        <v>0</v>
      </c>
      <c r="D2955" s="201">
        <v>0</v>
      </c>
      <c r="E2955" s="201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 s="201">
        <v>0</v>
      </c>
    </row>
    <row r="2956" spans="1:11" x14ac:dyDescent="0.25">
      <c r="A2956"/>
      <c r="B2956" s="201">
        <v>0</v>
      </c>
      <c r="C2956">
        <v>0</v>
      </c>
      <c r="D2956" s="201">
        <v>0</v>
      </c>
      <c r="E2956" s="201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 s="201">
        <v>0</v>
      </c>
    </row>
    <row r="2957" spans="1:11" x14ac:dyDescent="0.25">
      <c r="A2957"/>
      <c r="B2957" s="201">
        <v>0</v>
      </c>
      <c r="C2957">
        <v>0</v>
      </c>
      <c r="D2957" s="201">
        <v>0</v>
      </c>
      <c r="E2957" s="201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 s="201">
        <v>0</v>
      </c>
    </row>
    <row r="2958" spans="1:11" x14ac:dyDescent="0.25">
      <c r="A2958"/>
      <c r="B2958" s="201">
        <v>0</v>
      </c>
      <c r="C2958">
        <v>0</v>
      </c>
      <c r="D2958" s="201">
        <v>0</v>
      </c>
      <c r="E2958" s="201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 s="201">
        <v>0</v>
      </c>
    </row>
    <row r="2959" spans="1:11" x14ac:dyDescent="0.25">
      <c r="A2959"/>
      <c r="B2959" s="201">
        <v>0</v>
      </c>
      <c r="C2959">
        <v>0</v>
      </c>
      <c r="D2959" s="201">
        <v>0</v>
      </c>
      <c r="E2959" s="201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 s="201">
        <v>0</v>
      </c>
    </row>
    <row r="2960" spans="1:11" x14ac:dyDescent="0.25">
      <c r="A2960"/>
      <c r="B2960" s="201">
        <v>0</v>
      </c>
      <c r="C2960">
        <v>0</v>
      </c>
      <c r="D2960" s="201">
        <v>0</v>
      </c>
      <c r="E2960" s="201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 s="201">
        <v>0</v>
      </c>
    </row>
    <row r="2961" spans="1:11" x14ac:dyDescent="0.25">
      <c r="A2961"/>
      <c r="B2961" s="201">
        <v>0</v>
      </c>
      <c r="C2961">
        <v>0</v>
      </c>
      <c r="D2961" s="88">
        <v>0</v>
      </c>
      <c r="E2961" s="20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 s="201">
        <v>0</v>
      </c>
    </row>
    <row r="2962" spans="1:11" x14ac:dyDescent="0.25">
      <c r="A2962"/>
      <c r="B2962" s="201">
        <v>0</v>
      </c>
      <c r="C2962">
        <v>0</v>
      </c>
      <c r="D2962" s="201">
        <v>0</v>
      </c>
      <c r="E2962" s="201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 s="201">
        <v>0</v>
      </c>
    </row>
    <row r="2963" spans="1:11" x14ac:dyDescent="0.25">
      <c r="A2963"/>
      <c r="B2963" s="201">
        <v>0</v>
      </c>
      <c r="C2963">
        <v>0</v>
      </c>
      <c r="D2963" s="201">
        <v>0</v>
      </c>
      <c r="E2963" s="201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 s="201">
        <v>0</v>
      </c>
    </row>
    <row r="2964" spans="1:11" x14ac:dyDescent="0.25">
      <c r="A2964"/>
      <c r="B2964" s="201">
        <v>0</v>
      </c>
      <c r="C2964">
        <v>0</v>
      </c>
      <c r="D2964" s="201">
        <v>0</v>
      </c>
      <c r="E2964" s="201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 s="201">
        <v>0</v>
      </c>
    </row>
    <row r="2965" spans="1:11" x14ac:dyDescent="0.25">
      <c r="A2965"/>
      <c r="B2965" s="201">
        <v>0</v>
      </c>
      <c r="C2965">
        <v>0</v>
      </c>
      <c r="D2965" s="201">
        <v>0</v>
      </c>
      <c r="E2965" s="201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 s="201">
        <v>0</v>
      </c>
    </row>
    <row r="2966" spans="1:11" x14ac:dyDescent="0.25">
      <c r="A2966"/>
      <c r="B2966" s="201">
        <v>0</v>
      </c>
      <c r="C2966">
        <v>0</v>
      </c>
      <c r="D2966" s="201">
        <v>0</v>
      </c>
      <c r="E2966" s="201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 s="201">
        <v>0</v>
      </c>
    </row>
    <row r="2967" spans="1:11" x14ac:dyDescent="0.25">
      <c r="A2967"/>
      <c r="B2967" s="201">
        <v>0</v>
      </c>
      <c r="C2967">
        <v>0</v>
      </c>
      <c r="D2967" s="201">
        <v>0</v>
      </c>
      <c r="E2967" s="201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 s="201">
        <v>0</v>
      </c>
    </row>
    <row r="2968" spans="1:11" x14ac:dyDescent="0.25">
      <c r="A2968"/>
      <c r="B2968" s="201">
        <v>0</v>
      </c>
      <c r="C2968">
        <v>0</v>
      </c>
      <c r="D2968" s="201">
        <v>0</v>
      </c>
      <c r="E2968" s="201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 s="201">
        <v>0</v>
      </c>
    </row>
    <row r="2969" spans="1:11" x14ac:dyDescent="0.25">
      <c r="A2969"/>
      <c r="B2969" s="201">
        <v>0</v>
      </c>
      <c r="C2969">
        <v>0</v>
      </c>
      <c r="D2969" s="201">
        <v>0</v>
      </c>
      <c r="E2969" s="201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 s="201">
        <v>0</v>
      </c>
    </row>
    <row r="2970" spans="1:11" x14ac:dyDescent="0.25">
      <c r="A2970"/>
      <c r="B2970" s="201">
        <v>0</v>
      </c>
      <c r="C2970">
        <v>0</v>
      </c>
      <c r="D2970" s="201">
        <v>0</v>
      </c>
      <c r="E2970" s="201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 s="201">
        <v>0</v>
      </c>
    </row>
    <row r="2971" spans="1:11" x14ac:dyDescent="0.25">
      <c r="A2971"/>
      <c r="B2971" s="201">
        <v>0</v>
      </c>
      <c r="C2971">
        <v>-729</v>
      </c>
      <c r="D2971" s="201">
        <v>-3972</v>
      </c>
      <c r="E2971" s="201">
        <v>-1</v>
      </c>
      <c r="F2971">
        <v>-10</v>
      </c>
      <c r="G2971">
        <v>-888</v>
      </c>
      <c r="H2971">
        <v>0</v>
      </c>
      <c r="I2971">
        <v>0</v>
      </c>
      <c r="J2971">
        <v>-342</v>
      </c>
      <c r="K2971" s="201">
        <v>0</v>
      </c>
    </row>
    <row r="2972" spans="1:11" x14ac:dyDescent="0.25">
      <c r="A2972"/>
      <c r="B2972" s="201">
        <v>0</v>
      </c>
      <c r="C2972">
        <v>0</v>
      </c>
      <c r="D2972" s="201">
        <v>-16</v>
      </c>
      <c r="E2972" s="201">
        <v>100</v>
      </c>
      <c r="F2972">
        <v>0</v>
      </c>
      <c r="G2972">
        <v>0</v>
      </c>
      <c r="H2972">
        <v>0</v>
      </c>
      <c r="I2972">
        <v>0</v>
      </c>
      <c r="J2972">
        <v>0</v>
      </c>
      <c r="K2972" s="201">
        <v>0</v>
      </c>
    </row>
    <row r="2973" spans="1:11" x14ac:dyDescent="0.25">
      <c r="A2973"/>
      <c r="B2973" s="201">
        <v>205</v>
      </c>
      <c r="C2973">
        <v>0</v>
      </c>
      <c r="D2973" s="201">
        <v>0</v>
      </c>
      <c r="E2973" s="201">
        <v>49</v>
      </c>
      <c r="F2973">
        <v>0</v>
      </c>
      <c r="G2973">
        <v>-10</v>
      </c>
      <c r="H2973">
        <v>0</v>
      </c>
      <c r="I2973">
        <v>428</v>
      </c>
      <c r="J2973">
        <v>341</v>
      </c>
      <c r="K2973" s="201">
        <v>185</v>
      </c>
    </row>
    <row r="2974" spans="1:11" x14ac:dyDescent="0.25">
      <c r="A2974"/>
      <c r="B2974" s="201">
        <v>0</v>
      </c>
      <c r="C2974">
        <v>-157</v>
      </c>
      <c r="D2974" s="201">
        <v>-3804</v>
      </c>
      <c r="E2974" s="201">
        <v>-134</v>
      </c>
      <c r="F2974">
        <v>-173</v>
      </c>
      <c r="G2974">
        <v>1068</v>
      </c>
      <c r="H2974">
        <v>1760</v>
      </c>
      <c r="I2974">
        <v>0</v>
      </c>
      <c r="J2974">
        <v>-255</v>
      </c>
      <c r="K2974" s="201">
        <v>0</v>
      </c>
    </row>
    <row r="2975" spans="1:11" x14ac:dyDescent="0.25">
      <c r="A2975"/>
      <c r="B2975" s="201">
        <v>0</v>
      </c>
      <c r="C2975">
        <v>0</v>
      </c>
      <c r="D2975" s="201">
        <v>0</v>
      </c>
      <c r="E2975" s="201">
        <v>0</v>
      </c>
      <c r="F2975">
        <v>12</v>
      </c>
      <c r="G2975">
        <v>0</v>
      </c>
      <c r="H2975">
        <v>0</v>
      </c>
      <c r="I2975">
        <v>0</v>
      </c>
      <c r="J2975">
        <v>14</v>
      </c>
      <c r="K2975" s="201">
        <v>0</v>
      </c>
    </row>
    <row r="2976" spans="1:11" x14ac:dyDescent="0.25">
      <c r="A2976"/>
      <c r="B2976" s="201">
        <v>93</v>
      </c>
      <c r="C2976">
        <v>0</v>
      </c>
      <c r="D2976" s="201">
        <v>0</v>
      </c>
      <c r="E2976" s="201">
        <v>0</v>
      </c>
      <c r="F2976">
        <v>0</v>
      </c>
      <c r="G2976">
        <v>0</v>
      </c>
      <c r="H2976">
        <v>825</v>
      </c>
      <c r="I2976">
        <v>0</v>
      </c>
      <c r="J2976">
        <v>495</v>
      </c>
      <c r="K2976" s="201">
        <v>-768</v>
      </c>
    </row>
    <row r="2977" spans="1:11" x14ac:dyDescent="0.25">
      <c r="A2977"/>
      <c r="B2977" s="201">
        <v>0</v>
      </c>
      <c r="C2977">
        <v>0</v>
      </c>
      <c r="D2977" s="201">
        <v>-956</v>
      </c>
      <c r="E2977" s="201">
        <v>1583</v>
      </c>
      <c r="F2977">
        <v>0</v>
      </c>
      <c r="G2977">
        <v>452</v>
      </c>
      <c r="H2977">
        <v>0</v>
      </c>
      <c r="I2977">
        <v>0</v>
      </c>
      <c r="J2977">
        <v>0</v>
      </c>
      <c r="K2977" s="201">
        <v>0</v>
      </c>
    </row>
    <row r="2978" spans="1:11" x14ac:dyDescent="0.25">
      <c r="A2978"/>
      <c r="B2978" s="201">
        <v>2175</v>
      </c>
      <c r="C2978">
        <v>304</v>
      </c>
      <c r="D2978" s="201">
        <v>200</v>
      </c>
      <c r="E2978" s="201">
        <v>0</v>
      </c>
      <c r="F2978">
        <v>0</v>
      </c>
      <c r="G2978">
        <v>-433</v>
      </c>
      <c r="H2978">
        <v>252</v>
      </c>
      <c r="I2978">
        <v>0</v>
      </c>
      <c r="J2978">
        <v>54</v>
      </c>
      <c r="K2978" s="201">
        <v>411</v>
      </c>
    </row>
    <row r="2979" spans="1:11" x14ac:dyDescent="0.25">
      <c r="A2979"/>
      <c r="B2979" s="201">
        <v>52</v>
      </c>
      <c r="C2979">
        <v>364</v>
      </c>
      <c r="D2979" s="201">
        <v>763</v>
      </c>
      <c r="E2979" s="201">
        <v>353</v>
      </c>
      <c r="F2979">
        <v>330</v>
      </c>
      <c r="G2979">
        <v>0</v>
      </c>
      <c r="H2979">
        <v>0</v>
      </c>
      <c r="I2979">
        <v>0</v>
      </c>
      <c r="J2979">
        <v>0</v>
      </c>
      <c r="K2979" s="201">
        <v>0</v>
      </c>
    </row>
    <row r="2980" spans="1:11" x14ac:dyDescent="0.25">
      <c r="A2980"/>
      <c r="B2980" s="201">
        <v>1194</v>
      </c>
      <c r="C2980">
        <v>0</v>
      </c>
      <c r="D2980" s="201">
        <v>-3652</v>
      </c>
      <c r="E2980" s="201">
        <v>184</v>
      </c>
      <c r="F2980">
        <v>-137</v>
      </c>
      <c r="G2980">
        <v>0</v>
      </c>
      <c r="H2980">
        <v>1037</v>
      </c>
      <c r="I2980">
        <v>-802</v>
      </c>
      <c r="J2980">
        <v>-65</v>
      </c>
      <c r="K2980" s="201">
        <v>-615</v>
      </c>
    </row>
    <row r="2981" spans="1:11" x14ac:dyDescent="0.25">
      <c r="A2981"/>
      <c r="B2981" s="201">
        <v>-387</v>
      </c>
      <c r="C2981">
        <v>0</v>
      </c>
      <c r="D2981" s="201">
        <v>-1909</v>
      </c>
      <c r="E2981" s="201">
        <v>-2268</v>
      </c>
      <c r="F2981">
        <v>-34</v>
      </c>
      <c r="G2981">
        <v>-68</v>
      </c>
      <c r="H2981">
        <v>0</v>
      </c>
      <c r="I2981">
        <v>68</v>
      </c>
      <c r="J2981">
        <v>-2922</v>
      </c>
      <c r="K2981" s="201">
        <v>0</v>
      </c>
    </row>
    <row r="2982" spans="1:11" x14ac:dyDescent="0.25">
      <c r="A2982"/>
      <c r="B2982" s="201">
        <v>0</v>
      </c>
      <c r="C2982">
        <v>0</v>
      </c>
      <c r="D2982" s="201">
        <v>-60</v>
      </c>
      <c r="E2982" s="201">
        <v>-289</v>
      </c>
      <c r="F2982">
        <v>0</v>
      </c>
      <c r="G2982">
        <v>-254</v>
      </c>
      <c r="H2982">
        <v>-172</v>
      </c>
      <c r="I2982">
        <v>138</v>
      </c>
      <c r="J2982">
        <v>-225</v>
      </c>
      <c r="K2982" s="201">
        <v>0</v>
      </c>
    </row>
    <row r="2983" spans="1:11" x14ac:dyDescent="0.25">
      <c r="A2983"/>
      <c r="B2983" s="201">
        <v>0</v>
      </c>
      <c r="C2983">
        <v>0</v>
      </c>
      <c r="D2983" s="201">
        <v>0</v>
      </c>
      <c r="E2983" s="201">
        <v>0</v>
      </c>
      <c r="F2983">
        <v>-172</v>
      </c>
      <c r="G2983">
        <v>0</v>
      </c>
      <c r="H2983">
        <v>200</v>
      </c>
      <c r="I2983">
        <v>77</v>
      </c>
      <c r="J2983">
        <v>82</v>
      </c>
      <c r="K2983" s="201">
        <v>0</v>
      </c>
    </row>
    <row r="2984" spans="1:11" x14ac:dyDescent="0.25">
      <c r="A2984"/>
      <c r="B2984" s="201">
        <v>2569</v>
      </c>
      <c r="C2984">
        <v>-1494</v>
      </c>
      <c r="D2984" s="201">
        <v>-4</v>
      </c>
      <c r="E2984" s="201">
        <v>-49</v>
      </c>
      <c r="F2984">
        <v>-148</v>
      </c>
      <c r="G2984">
        <v>-21</v>
      </c>
      <c r="H2984">
        <v>-1645</v>
      </c>
      <c r="I2984">
        <v>-2628</v>
      </c>
      <c r="J2984">
        <v>0</v>
      </c>
      <c r="K2984" s="201">
        <v>-121</v>
      </c>
    </row>
    <row r="2985" spans="1:11" x14ac:dyDescent="0.25">
      <c r="A2985"/>
      <c r="B2985" s="201">
        <v>0</v>
      </c>
      <c r="C2985">
        <v>0</v>
      </c>
      <c r="D2985" s="201">
        <v>-2376</v>
      </c>
      <c r="E2985" s="201">
        <v>-172</v>
      </c>
      <c r="F2985">
        <v>0</v>
      </c>
      <c r="G2985">
        <v>-38</v>
      </c>
      <c r="H2985">
        <v>0</v>
      </c>
      <c r="I2985">
        <v>0</v>
      </c>
      <c r="J2985">
        <v>-38</v>
      </c>
      <c r="K2985" s="201">
        <v>0</v>
      </c>
    </row>
    <row r="2986" spans="1:11" x14ac:dyDescent="0.25">
      <c r="A2986"/>
      <c r="B2986" s="201">
        <v>-27</v>
      </c>
      <c r="C2986">
        <v>194</v>
      </c>
      <c r="D2986" s="201">
        <v>-8</v>
      </c>
      <c r="E2986" s="201">
        <v>0</v>
      </c>
      <c r="F2986">
        <v>0</v>
      </c>
      <c r="G2986">
        <v>0</v>
      </c>
      <c r="H2986">
        <v>0</v>
      </c>
      <c r="I2986">
        <v>0</v>
      </c>
      <c r="J2986">
        <v>-1856</v>
      </c>
      <c r="K2986" s="201">
        <v>0</v>
      </c>
    </row>
    <row r="2987" spans="1:11" x14ac:dyDescent="0.25">
      <c r="A2987"/>
      <c r="B2987" s="201">
        <v>1087</v>
      </c>
      <c r="C2987">
        <v>62</v>
      </c>
      <c r="D2987" s="201">
        <v>-184</v>
      </c>
      <c r="E2987" s="201">
        <v>0</v>
      </c>
      <c r="F2987">
        <v>1016</v>
      </c>
      <c r="G2987">
        <v>2580</v>
      </c>
      <c r="H2987">
        <v>-317</v>
      </c>
      <c r="I2987">
        <v>0</v>
      </c>
      <c r="J2987">
        <v>0</v>
      </c>
      <c r="K2987" s="201">
        <v>0</v>
      </c>
    </row>
    <row r="2988" spans="1:11" x14ac:dyDescent="0.25">
      <c r="A2988"/>
      <c r="B2988" s="201">
        <v>-1979</v>
      </c>
      <c r="C2988">
        <v>-2424</v>
      </c>
      <c r="D2988" s="201">
        <v>738</v>
      </c>
      <c r="E2988" s="201">
        <v>-86</v>
      </c>
      <c r="F2988">
        <v>92</v>
      </c>
      <c r="G2988">
        <v>0</v>
      </c>
      <c r="H2988">
        <v>-2060</v>
      </c>
      <c r="I2988">
        <v>0</v>
      </c>
      <c r="J2988">
        <v>0</v>
      </c>
      <c r="K2988" s="201">
        <v>-275</v>
      </c>
    </row>
    <row r="2989" spans="1:11" x14ac:dyDescent="0.25">
      <c r="A2989"/>
      <c r="B2989" s="201">
        <v>0</v>
      </c>
      <c r="C2989">
        <v>-348</v>
      </c>
      <c r="D2989" s="201">
        <v>0</v>
      </c>
      <c r="E2989" s="201">
        <v>-343</v>
      </c>
      <c r="F2989">
        <v>0</v>
      </c>
      <c r="G2989">
        <v>0</v>
      </c>
      <c r="H2989">
        <v>0</v>
      </c>
      <c r="I2989">
        <v>0</v>
      </c>
      <c r="J2989">
        <v>0</v>
      </c>
      <c r="K2989" s="201">
        <v>0</v>
      </c>
    </row>
    <row r="2990" spans="1:11" x14ac:dyDescent="0.25">
      <c r="A2990"/>
      <c r="B2990" s="201">
        <v>0</v>
      </c>
      <c r="C2990">
        <v>0</v>
      </c>
      <c r="D2990" s="201">
        <v>-105</v>
      </c>
      <c r="E2990" s="201">
        <v>0</v>
      </c>
      <c r="F2990">
        <v>-7312</v>
      </c>
      <c r="G2990">
        <v>239</v>
      </c>
      <c r="H2990">
        <v>-224</v>
      </c>
      <c r="I2990">
        <v>0</v>
      </c>
      <c r="J2990">
        <v>-6471</v>
      </c>
      <c r="K2990" s="201">
        <v>-73694</v>
      </c>
    </row>
    <row r="2991" spans="1:11" x14ac:dyDescent="0.25">
      <c r="A2991"/>
      <c r="B2991" s="201">
        <v>0</v>
      </c>
      <c r="C2991">
        <v>0</v>
      </c>
      <c r="D2991" s="201">
        <v>0</v>
      </c>
      <c r="E2991" s="201">
        <v>0</v>
      </c>
      <c r="F2991">
        <v>0</v>
      </c>
      <c r="G2991">
        <v>22711</v>
      </c>
      <c r="H2991">
        <v>15271</v>
      </c>
      <c r="I2991">
        <v>-2262</v>
      </c>
      <c r="J2991">
        <v>-1044</v>
      </c>
      <c r="K2991" s="201">
        <v>-1868</v>
      </c>
    </row>
    <row r="2992" spans="1:11" x14ac:dyDescent="0.25">
      <c r="A2992"/>
      <c r="B2992" s="201">
        <v>-13058</v>
      </c>
      <c r="C2992">
        <v>0</v>
      </c>
      <c r="D2992" s="201">
        <v>0</v>
      </c>
      <c r="E2992" s="201">
        <v>0</v>
      </c>
      <c r="F2992">
        <v>0</v>
      </c>
      <c r="G2992">
        <v>1169</v>
      </c>
      <c r="H2992">
        <v>0</v>
      </c>
      <c r="I2992">
        <v>1750</v>
      </c>
      <c r="J2992">
        <v>0</v>
      </c>
      <c r="K2992" s="201">
        <v>0</v>
      </c>
    </row>
    <row r="2993" spans="1:11" x14ac:dyDescent="0.25">
      <c r="A2993"/>
      <c r="B2993" s="201">
        <v>1817</v>
      </c>
      <c r="C2993">
        <v>1456</v>
      </c>
      <c r="D2993" s="201">
        <v>0</v>
      </c>
      <c r="E2993" s="201">
        <v>0</v>
      </c>
      <c r="F2993">
        <v>0</v>
      </c>
      <c r="G2993">
        <v>0</v>
      </c>
      <c r="H2993">
        <v>7710</v>
      </c>
      <c r="I2993">
        <v>0</v>
      </c>
      <c r="J2993">
        <v>-1591</v>
      </c>
      <c r="K2993" s="201">
        <v>1376</v>
      </c>
    </row>
    <row r="2994" spans="1:11" x14ac:dyDescent="0.25">
      <c r="A2994"/>
      <c r="B2994" s="201">
        <v>-240</v>
      </c>
      <c r="C2994">
        <v>-174</v>
      </c>
      <c r="D2994" s="201">
        <v>-159</v>
      </c>
      <c r="E2994" s="201">
        <v>0</v>
      </c>
      <c r="F2994">
        <v>0</v>
      </c>
      <c r="G2994">
        <v>-277</v>
      </c>
      <c r="H2994">
        <v>0</v>
      </c>
      <c r="I2994">
        <v>0</v>
      </c>
      <c r="J2994">
        <v>0</v>
      </c>
      <c r="K2994" s="201">
        <v>3</v>
      </c>
    </row>
    <row r="2995" spans="1:11" x14ac:dyDescent="0.25">
      <c r="A2995"/>
      <c r="B2995" s="201">
        <v>85</v>
      </c>
      <c r="C2995">
        <v>0</v>
      </c>
      <c r="D2995" s="201">
        <v>0</v>
      </c>
      <c r="E2995" s="201">
        <v>0</v>
      </c>
      <c r="F2995">
        <v>0</v>
      </c>
      <c r="G2995">
        <v>0</v>
      </c>
      <c r="H2995">
        <v>0</v>
      </c>
      <c r="I2995">
        <v>211</v>
      </c>
      <c r="J2995">
        <v>0</v>
      </c>
      <c r="K2995" s="201">
        <v>0</v>
      </c>
    </row>
    <row r="2996" spans="1:11" x14ac:dyDescent="0.25">
      <c r="A2996"/>
      <c r="B2996" s="201">
        <v>43</v>
      </c>
      <c r="C2996">
        <v>0</v>
      </c>
      <c r="D2996" s="201">
        <v>-77</v>
      </c>
      <c r="E2996" s="201">
        <v>0</v>
      </c>
      <c r="F2996">
        <v>4</v>
      </c>
      <c r="G2996">
        <v>935</v>
      </c>
      <c r="H2996">
        <v>56</v>
      </c>
      <c r="I2996">
        <v>0</v>
      </c>
      <c r="J2996">
        <v>-410</v>
      </c>
      <c r="K2996" s="201">
        <v>1230</v>
      </c>
    </row>
    <row r="2997" spans="1:11" x14ac:dyDescent="0.25">
      <c r="A2997"/>
      <c r="B2997" s="201">
        <v>-223</v>
      </c>
      <c r="C2997">
        <v>-227</v>
      </c>
      <c r="D2997" s="201">
        <v>-275</v>
      </c>
      <c r="E2997" s="201">
        <v>-252</v>
      </c>
      <c r="F2997">
        <v>0</v>
      </c>
      <c r="G2997">
        <v>70</v>
      </c>
      <c r="H2997">
        <v>0</v>
      </c>
      <c r="I2997">
        <v>0</v>
      </c>
      <c r="J2997">
        <v>0</v>
      </c>
      <c r="K2997" s="201">
        <v>0</v>
      </c>
    </row>
    <row r="2998" spans="1:11" x14ac:dyDescent="0.25">
      <c r="A2998"/>
      <c r="B2998" s="201">
        <v>0</v>
      </c>
      <c r="C2998">
        <v>85</v>
      </c>
      <c r="D2998" s="201">
        <v>0</v>
      </c>
      <c r="E2998" s="201">
        <v>0</v>
      </c>
      <c r="F2998">
        <v>0</v>
      </c>
      <c r="G2998">
        <v>97</v>
      </c>
      <c r="H2998">
        <v>0</v>
      </c>
      <c r="I2998">
        <v>81</v>
      </c>
      <c r="J2998">
        <v>0</v>
      </c>
      <c r="K2998" s="201">
        <v>0</v>
      </c>
    </row>
    <row r="2999" spans="1:11" x14ac:dyDescent="0.25">
      <c r="A2999"/>
      <c r="B2999" s="201">
        <v>0</v>
      </c>
      <c r="C2999">
        <v>0</v>
      </c>
      <c r="D2999" s="201">
        <v>0</v>
      </c>
      <c r="E2999" s="201">
        <v>103</v>
      </c>
      <c r="F2999">
        <v>0</v>
      </c>
      <c r="G2999">
        <v>-1</v>
      </c>
      <c r="H2999">
        <v>-720</v>
      </c>
      <c r="I2999">
        <v>0</v>
      </c>
      <c r="J2999">
        <v>0</v>
      </c>
      <c r="K2999" s="201">
        <v>-159</v>
      </c>
    </row>
    <row r="3000" spans="1:11" x14ac:dyDescent="0.25">
      <c r="A3000"/>
      <c r="B3000" s="201">
        <v>2019</v>
      </c>
      <c r="C3000">
        <v>0</v>
      </c>
      <c r="D3000" s="201">
        <v>-24</v>
      </c>
      <c r="E3000" s="201">
        <v>0</v>
      </c>
      <c r="F3000">
        <v>0</v>
      </c>
      <c r="G3000">
        <v>0</v>
      </c>
      <c r="H3000">
        <v>0</v>
      </c>
      <c r="I3000">
        <v>-316</v>
      </c>
      <c r="J3000">
        <v>611</v>
      </c>
      <c r="K3000" s="201">
        <v>423</v>
      </c>
    </row>
    <row r="3001" spans="1:11" x14ac:dyDescent="0.25">
      <c r="A3001"/>
      <c r="B3001" s="201">
        <v>0</v>
      </c>
      <c r="C3001">
        <v>0</v>
      </c>
      <c r="D3001" s="201">
        <v>-13</v>
      </c>
      <c r="E3001" s="201">
        <v>23</v>
      </c>
      <c r="F3001">
        <v>0</v>
      </c>
      <c r="G3001">
        <v>322</v>
      </c>
      <c r="H3001">
        <v>198</v>
      </c>
      <c r="I3001">
        <v>149</v>
      </c>
      <c r="J3001">
        <v>119</v>
      </c>
      <c r="K3001" s="201">
        <v>163</v>
      </c>
    </row>
    <row r="3002" spans="1:11" x14ac:dyDescent="0.25">
      <c r="A3002"/>
      <c r="B3002" s="201">
        <v>76</v>
      </c>
      <c r="C3002">
        <v>209</v>
      </c>
      <c r="D3002" s="201">
        <v>0</v>
      </c>
      <c r="E3002" s="201">
        <v>0</v>
      </c>
      <c r="F3002">
        <v>0</v>
      </c>
      <c r="G3002">
        <v>0</v>
      </c>
      <c r="H3002">
        <v>0</v>
      </c>
      <c r="I3002">
        <v>434</v>
      </c>
      <c r="J3002">
        <v>0</v>
      </c>
      <c r="K3002" s="201">
        <v>304</v>
      </c>
    </row>
    <row r="3003" spans="1:11" x14ac:dyDescent="0.25">
      <c r="A3003"/>
      <c r="B3003" s="201">
        <v>-3188</v>
      </c>
      <c r="C3003">
        <v>381</v>
      </c>
      <c r="D3003" s="201">
        <v>0</v>
      </c>
      <c r="E3003" s="201">
        <v>174</v>
      </c>
      <c r="F3003">
        <v>2248</v>
      </c>
      <c r="G3003">
        <v>-206</v>
      </c>
      <c r="H3003">
        <v>31</v>
      </c>
      <c r="I3003">
        <v>163</v>
      </c>
      <c r="J3003">
        <v>0</v>
      </c>
      <c r="K3003" s="201">
        <v>-204</v>
      </c>
    </row>
    <row r="3004" spans="1:11" x14ac:dyDescent="0.25">
      <c r="A3004"/>
      <c r="B3004" s="201">
        <v>-52</v>
      </c>
      <c r="C3004">
        <v>-344</v>
      </c>
      <c r="D3004" s="201">
        <v>583</v>
      </c>
      <c r="E3004" s="201">
        <v>0</v>
      </c>
      <c r="F3004">
        <v>-607</v>
      </c>
      <c r="G3004">
        <v>-1183</v>
      </c>
      <c r="H3004">
        <v>0</v>
      </c>
      <c r="I3004">
        <v>0</v>
      </c>
      <c r="J3004">
        <v>0</v>
      </c>
      <c r="K3004" s="201">
        <v>127</v>
      </c>
    </row>
    <row r="3005" spans="1:11" x14ac:dyDescent="0.25">
      <c r="A3005"/>
      <c r="B3005" s="201">
        <v>57</v>
      </c>
      <c r="C3005">
        <v>0</v>
      </c>
      <c r="D3005" s="201">
        <v>112</v>
      </c>
      <c r="E3005" s="201">
        <v>67</v>
      </c>
      <c r="F3005">
        <v>18</v>
      </c>
      <c r="G3005">
        <v>325</v>
      </c>
      <c r="H3005">
        <v>0</v>
      </c>
      <c r="I3005">
        <v>0</v>
      </c>
      <c r="J3005">
        <v>0</v>
      </c>
      <c r="K3005" s="201">
        <v>0</v>
      </c>
    </row>
    <row r="3006" spans="1:11" x14ac:dyDescent="0.25">
      <c r="A3006"/>
      <c r="B3006" s="201">
        <v>0</v>
      </c>
      <c r="C3006">
        <v>195</v>
      </c>
      <c r="D3006" s="201">
        <v>0</v>
      </c>
      <c r="E3006" s="201">
        <v>489</v>
      </c>
      <c r="F3006">
        <v>-3041</v>
      </c>
      <c r="G3006">
        <v>657</v>
      </c>
      <c r="H3006">
        <v>0</v>
      </c>
      <c r="I3006">
        <v>228</v>
      </c>
      <c r="J3006">
        <v>2212</v>
      </c>
      <c r="K3006" s="201">
        <v>-218</v>
      </c>
    </row>
    <row r="3007" spans="1:11" x14ac:dyDescent="0.25">
      <c r="A3007"/>
      <c r="B3007" s="201">
        <v>-80</v>
      </c>
      <c r="C3007">
        <v>179</v>
      </c>
      <c r="D3007" s="201">
        <v>-272</v>
      </c>
      <c r="E3007" s="201">
        <v>-263</v>
      </c>
      <c r="F3007">
        <v>54</v>
      </c>
      <c r="G3007">
        <v>0</v>
      </c>
      <c r="H3007">
        <v>941</v>
      </c>
      <c r="I3007">
        <v>0</v>
      </c>
      <c r="J3007">
        <v>0</v>
      </c>
      <c r="K3007" s="201">
        <v>-1223</v>
      </c>
    </row>
    <row r="3008" spans="1:11" x14ac:dyDescent="0.25">
      <c r="A3008"/>
      <c r="B3008" s="201">
        <v>64</v>
      </c>
      <c r="C3008">
        <v>0</v>
      </c>
      <c r="D3008" s="201">
        <v>-47</v>
      </c>
      <c r="E3008" s="201">
        <v>0</v>
      </c>
      <c r="F3008">
        <v>0</v>
      </c>
      <c r="G3008">
        <v>81</v>
      </c>
      <c r="H3008">
        <v>0</v>
      </c>
      <c r="I3008">
        <v>216</v>
      </c>
      <c r="J3008">
        <v>120</v>
      </c>
      <c r="K3008" s="201">
        <v>241</v>
      </c>
    </row>
    <row r="3009" spans="1:11" x14ac:dyDescent="0.25">
      <c r="A3009"/>
      <c r="B3009" s="201">
        <v>0</v>
      </c>
      <c r="C3009">
        <v>0</v>
      </c>
      <c r="D3009" s="201">
        <v>0</v>
      </c>
      <c r="E3009" s="201">
        <v>0</v>
      </c>
      <c r="F3009">
        <v>0</v>
      </c>
      <c r="G3009">
        <v>252</v>
      </c>
      <c r="H3009">
        <v>0</v>
      </c>
      <c r="I3009">
        <v>535</v>
      </c>
      <c r="J3009">
        <v>-5459</v>
      </c>
      <c r="K3009" s="201">
        <v>879</v>
      </c>
    </row>
    <row r="3010" spans="1:11" x14ac:dyDescent="0.25">
      <c r="A3010"/>
      <c r="B3010" s="201">
        <v>0</v>
      </c>
      <c r="C3010">
        <v>659</v>
      </c>
      <c r="D3010" s="201">
        <v>3430</v>
      </c>
      <c r="E3010" s="201">
        <v>-177</v>
      </c>
      <c r="F3010">
        <v>0</v>
      </c>
      <c r="G3010">
        <v>0</v>
      </c>
      <c r="H3010">
        <v>0</v>
      </c>
      <c r="I3010">
        <v>-139</v>
      </c>
      <c r="J3010">
        <v>-70</v>
      </c>
      <c r="K3010" s="201">
        <v>-137</v>
      </c>
    </row>
    <row r="3011" spans="1:11" x14ac:dyDescent="0.25">
      <c r="A3011"/>
      <c r="B3011" s="201">
        <v>1062</v>
      </c>
      <c r="C3011">
        <v>610</v>
      </c>
      <c r="D3011" s="201">
        <v>0</v>
      </c>
      <c r="E3011" s="201">
        <v>-898</v>
      </c>
      <c r="F3011">
        <v>0</v>
      </c>
      <c r="G3011">
        <v>0</v>
      </c>
      <c r="H3011">
        <v>-66</v>
      </c>
      <c r="I3011">
        <v>0</v>
      </c>
      <c r="J3011">
        <v>153</v>
      </c>
      <c r="K3011" s="201">
        <v>0</v>
      </c>
    </row>
    <row r="3012" spans="1:11" x14ac:dyDescent="0.25">
      <c r="A3012"/>
      <c r="B3012" s="201">
        <v>32</v>
      </c>
      <c r="C3012">
        <v>0</v>
      </c>
      <c r="D3012" s="201">
        <v>0</v>
      </c>
      <c r="E3012" s="201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 s="201">
        <v>364</v>
      </c>
    </row>
    <row r="3013" spans="1:11" x14ac:dyDescent="0.25">
      <c r="A3013"/>
      <c r="B3013" s="201">
        <v>0</v>
      </c>
      <c r="C3013">
        <v>295</v>
      </c>
      <c r="D3013" s="201">
        <v>-6700</v>
      </c>
      <c r="E3013" s="201">
        <v>1138</v>
      </c>
      <c r="F3013">
        <v>0</v>
      </c>
      <c r="G3013">
        <v>-3060</v>
      </c>
      <c r="H3013">
        <v>794</v>
      </c>
      <c r="I3013">
        <v>0</v>
      </c>
      <c r="J3013">
        <v>0</v>
      </c>
      <c r="K3013" s="201">
        <v>0</v>
      </c>
    </row>
    <row r="3014" spans="1:11" x14ac:dyDescent="0.25">
      <c r="A3014"/>
      <c r="B3014" s="201">
        <v>0</v>
      </c>
      <c r="C3014">
        <v>0</v>
      </c>
      <c r="D3014" s="201">
        <v>330</v>
      </c>
      <c r="E3014" s="201">
        <v>-2130</v>
      </c>
      <c r="F3014">
        <v>-10025</v>
      </c>
      <c r="G3014">
        <v>-4294</v>
      </c>
      <c r="H3014">
        <v>-995</v>
      </c>
      <c r="I3014">
        <v>2019</v>
      </c>
      <c r="J3014">
        <v>0</v>
      </c>
      <c r="K3014" s="201">
        <v>0</v>
      </c>
    </row>
    <row r="3015" spans="1:11" x14ac:dyDescent="0.25">
      <c r="A3015"/>
      <c r="B3015" s="201">
        <v>0</v>
      </c>
      <c r="C3015">
        <v>0</v>
      </c>
      <c r="D3015" s="201">
        <v>-643</v>
      </c>
      <c r="E3015" s="201">
        <v>0</v>
      </c>
      <c r="F3015">
        <v>779</v>
      </c>
      <c r="G3015">
        <v>0</v>
      </c>
      <c r="H3015">
        <v>0</v>
      </c>
      <c r="I3015">
        <v>1603</v>
      </c>
      <c r="J3015">
        <v>-701</v>
      </c>
      <c r="K3015" s="201">
        <v>0</v>
      </c>
    </row>
    <row r="3016" spans="1:11" x14ac:dyDescent="0.25">
      <c r="A3016"/>
      <c r="B3016" s="201">
        <v>0</v>
      </c>
      <c r="C3016">
        <v>0</v>
      </c>
      <c r="D3016" s="201">
        <v>0</v>
      </c>
      <c r="E3016" s="201">
        <v>-1851</v>
      </c>
      <c r="F3016">
        <v>0</v>
      </c>
      <c r="G3016">
        <v>-460</v>
      </c>
      <c r="H3016">
        <v>-619</v>
      </c>
      <c r="I3016">
        <v>384</v>
      </c>
      <c r="J3016">
        <v>74</v>
      </c>
      <c r="K3016" s="201">
        <v>46</v>
      </c>
    </row>
    <row r="3017" spans="1:11" x14ac:dyDescent="0.25">
      <c r="A3017"/>
      <c r="B3017" s="201">
        <v>1615</v>
      </c>
      <c r="C3017">
        <v>0</v>
      </c>
      <c r="D3017" s="201">
        <v>0</v>
      </c>
      <c r="E3017" s="201">
        <v>-155</v>
      </c>
      <c r="F3017">
        <v>0</v>
      </c>
      <c r="G3017">
        <v>0</v>
      </c>
      <c r="H3017">
        <v>0</v>
      </c>
      <c r="I3017">
        <v>-43</v>
      </c>
      <c r="J3017">
        <v>46</v>
      </c>
      <c r="K3017" s="201">
        <v>0</v>
      </c>
    </row>
    <row r="3018" spans="1:11" x14ac:dyDescent="0.25">
      <c r="A3018"/>
      <c r="B3018" s="201">
        <v>0</v>
      </c>
      <c r="C3018">
        <v>0</v>
      </c>
      <c r="D3018" s="201">
        <v>0</v>
      </c>
      <c r="E3018" s="201">
        <v>0</v>
      </c>
      <c r="F3018">
        <v>0</v>
      </c>
      <c r="G3018">
        <v>124</v>
      </c>
      <c r="H3018">
        <v>0</v>
      </c>
      <c r="I3018">
        <v>0</v>
      </c>
      <c r="J3018">
        <v>11</v>
      </c>
      <c r="K3018" s="201">
        <v>0</v>
      </c>
    </row>
    <row r="3019" spans="1:11" x14ac:dyDescent="0.25">
      <c r="A3019"/>
      <c r="B3019" s="201">
        <v>-12</v>
      </c>
      <c r="C3019">
        <v>0</v>
      </c>
      <c r="D3019" s="201">
        <v>-49</v>
      </c>
      <c r="E3019" s="201">
        <v>37</v>
      </c>
      <c r="F3019">
        <v>1349</v>
      </c>
      <c r="G3019">
        <v>0</v>
      </c>
      <c r="H3019">
        <v>-130</v>
      </c>
      <c r="I3019">
        <v>585</v>
      </c>
      <c r="J3019">
        <v>300</v>
      </c>
      <c r="K3019" s="201">
        <v>1252</v>
      </c>
    </row>
    <row r="3020" spans="1:11" x14ac:dyDescent="0.25">
      <c r="A3020"/>
      <c r="B3020" s="201">
        <v>-7</v>
      </c>
      <c r="C3020">
        <v>153</v>
      </c>
      <c r="D3020" s="201">
        <v>0</v>
      </c>
      <c r="E3020" s="201">
        <v>-46</v>
      </c>
      <c r="F3020">
        <v>0</v>
      </c>
      <c r="G3020">
        <v>0</v>
      </c>
      <c r="H3020">
        <v>0</v>
      </c>
      <c r="I3020">
        <v>0</v>
      </c>
      <c r="J3020">
        <v>0</v>
      </c>
      <c r="K3020" s="201">
        <v>-21</v>
      </c>
    </row>
    <row r="3021" spans="1:11" x14ac:dyDescent="0.25">
      <c r="A3021"/>
      <c r="B3021" s="201">
        <v>0</v>
      </c>
      <c r="C3021">
        <v>0</v>
      </c>
      <c r="D3021" s="201">
        <v>0</v>
      </c>
      <c r="E3021" s="201">
        <v>478</v>
      </c>
      <c r="F3021">
        <v>0</v>
      </c>
      <c r="G3021">
        <v>-38</v>
      </c>
      <c r="H3021">
        <v>0</v>
      </c>
      <c r="I3021">
        <v>0</v>
      </c>
      <c r="J3021">
        <v>0</v>
      </c>
      <c r="K3021" s="201">
        <v>0</v>
      </c>
    </row>
    <row r="3022" spans="1:11" x14ac:dyDescent="0.25">
      <c r="A3022"/>
      <c r="B3022" s="201">
        <v>0</v>
      </c>
      <c r="C3022">
        <v>129</v>
      </c>
      <c r="D3022" s="201">
        <v>0</v>
      </c>
      <c r="E3022" s="201">
        <v>-155</v>
      </c>
      <c r="F3022">
        <v>-115</v>
      </c>
      <c r="G3022">
        <v>0</v>
      </c>
      <c r="H3022">
        <v>0</v>
      </c>
      <c r="I3022">
        <v>-486</v>
      </c>
      <c r="J3022">
        <v>1168</v>
      </c>
      <c r="K3022" s="201">
        <v>0</v>
      </c>
    </row>
    <row r="3023" spans="1:11" x14ac:dyDescent="0.25">
      <c r="A3023"/>
      <c r="B3023" s="201">
        <v>-307</v>
      </c>
      <c r="C3023">
        <v>0</v>
      </c>
      <c r="D3023" s="201">
        <v>0</v>
      </c>
      <c r="E3023" s="201">
        <v>0</v>
      </c>
      <c r="F3023">
        <v>0</v>
      </c>
      <c r="G3023">
        <v>-473</v>
      </c>
      <c r="H3023">
        <v>358</v>
      </c>
      <c r="I3023">
        <v>352</v>
      </c>
      <c r="J3023">
        <v>0</v>
      </c>
      <c r="K3023" s="201">
        <v>0</v>
      </c>
    </row>
    <row r="3024" spans="1:11" x14ac:dyDescent="0.25">
      <c r="A3024"/>
      <c r="B3024" s="201">
        <v>-583</v>
      </c>
      <c r="C3024">
        <v>-32</v>
      </c>
      <c r="D3024" s="201">
        <v>0</v>
      </c>
      <c r="E3024" s="201">
        <v>-74</v>
      </c>
      <c r="F3024">
        <v>-329</v>
      </c>
      <c r="G3024">
        <v>267</v>
      </c>
      <c r="H3024">
        <v>-89</v>
      </c>
      <c r="I3024">
        <v>744</v>
      </c>
      <c r="J3024">
        <v>-138</v>
      </c>
      <c r="K3024" s="201">
        <v>-284</v>
      </c>
    </row>
    <row r="3025" spans="1:11" x14ac:dyDescent="0.25">
      <c r="A3025"/>
      <c r="B3025" s="201">
        <v>0</v>
      </c>
      <c r="C3025">
        <v>0</v>
      </c>
      <c r="D3025" s="201">
        <v>0</v>
      </c>
      <c r="E3025" s="201">
        <v>0</v>
      </c>
      <c r="F3025">
        <v>0</v>
      </c>
      <c r="G3025">
        <v>736</v>
      </c>
      <c r="H3025">
        <v>0</v>
      </c>
      <c r="I3025">
        <v>350</v>
      </c>
      <c r="J3025">
        <v>772</v>
      </c>
      <c r="K3025" s="201">
        <v>-2481</v>
      </c>
    </row>
    <row r="3026" spans="1:11" x14ac:dyDescent="0.25">
      <c r="A3026"/>
      <c r="B3026" s="201">
        <v>0</v>
      </c>
      <c r="C3026">
        <v>136</v>
      </c>
      <c r="D3026" s="201">
        <v>1372</v>
      </c>
      <c r="E3026" s="201">
        <v>-68</v>
      </c>
      <c r="F3026">
        <v>-1</v>
      </c>
      <c r="G3026">
        <v>-160</v>
      </c>
      <c r="H3026">
        <v>0</v>
      </c>
      <c r="I3026">
        <v>3517</v>
      </c>
      <c r="J3026">
        <v>185</v>
      </c>
      <c r="K3026" s="201">
        <v>273</v>
      </c>
    </row>
    <row r="3027" spans="1:11" x14ac:dyDescent="0.25">
      <c r="A3027"/>
      <c r="B3027" s="201">
        <v>92</v>
      </c>
      <c r="C3027">
        <v>0</v>
      </c>
      <c r="D3027" s="201">
        <v>-141</v>
      </c>
      <c r="E3027" s="201">
        <v>-2380</v>
      </c>
      <c r="F3027">
        <v>0</v>
      </c>
      <c r="G3027">
        <v>0</v>
      </c>
      <c r="H3027">
        <v>0</v>
      </c>
      <c r="I3027">
        <v>-17</v>
      </c>
      <c r="J3027">
        <v>-190</v>
      </c>
      <c r="K3027" s="201">
        <v>0</v>
      </c>
    </row>
    <row r="3028" spans="1:11" x14ac:dyDescent="0.25">
      <c r="A3028"/>
      <c r="B3028" s="201">
        <v>221</v>
      </c>
      <c r="C3028">
        <v>829</v>
      </c>
      <c r="D3028" s="201">
        <v>161</v>
      </c>
      <c r="E3028" s="201">
        <v>296</v>
      </c>
      <c r="F3028">
        <v>0</v>
      </c>
      <c r="G3028">
        <v>0</v>
      </c>
      <c r="H3028">
        <v>0</v>
      </c>
      <c r="I3028">
        <v>0</v>
      </c>
      <c r="J3028">
        <v>0</v>
      </c>
      <c r="K3028" s="201">
        <v>304</v>
      </c>
    </row>
    <row r="3029" spans="1:11" x14ac:dyDescent="0.25">
      <c r="A3029"/>
      <c r="B3029" s="201">
        <v>0</v>
      </c>
      <c r="C3029">
        <v>321</v>
      </c>
      <c r="D3029" s="201">
        <v>916</v>
      </c>
      <c r="E3029" s="201">
        <v>-2967</v>
      </c>
      <c r="F3029">
        <v>0</v>
      </c>
      <c r="G3029">
        <v>246</v>
      </c>
      <c r="H3029">
        <v>1798</v>
      </c>
      <c r="I3029">
        <v>-340</v>
      </c>
      <c r="J3029">
        <v>-340</v>
      </c>
      <c r="K3029" s="201">
        <v>-452</v>
      </c>
    </row>
    <row r="3030" spans="1:11" x14ac:dyDescent="0.25">
      <c r="A3030"/>
      <c r="B3030" s="201">
        <v>-121</v>
      </c>
      <c r="C3030">
        <v>3019</v>
      </c>
      <c r="D3030" s="201">
        <v>272</v>
      </c>
      <c r="E3030" s="201">
        <v>0</v>
      </c>
      <c r="F3030">
        <v>106</v>
      </c>
      <c r="G3030">
        <v>0</v>
      </c>
      <c r="H3030">
        <v>0</v>
      </c>
      <c r="I3030">
        <v>-2261</v>
      </c>
      <c r="J3030">
        <v>76</v>
      </c>
      <c r="K3030" s="201">
        <v>0</v>
      </c>
    </row>
    <row r="3031" spans="1:11" x14ac:dyDescent="0.25">
      <c r="A3031"/>
      <c r="B3031" s="201">
        <v>-201</v>
      </c>
      <c r="C3031">
        <v>0</v>
      </c>
      <c r="D3031" s="201">
        <v>0</v>
      </c>
      <c r="E3031" s="201">
        <v>503</v>
      </c>
      <c r="F3031">
        <v>0</v>
      </c>
      <c r="G3031">
        <v>680</v>
      </c>
      <c r="H3031">
        <v>-24</v>
      </c>
      <c r="I3031">
        <v>217</v>
      </c>
      <c r="J3031">
        <v>0</v>
      </c>
      <c r="K3031" s="201">
        <v>0</v>
      </c>
    </row>
    <row r="3032" spans="1:11" x14ac:dyDescent="0.25">
      <c r="A3032"/>
      <c r="B3032" s="201">
        <v>0</v>
      </c>
      <c r="C3032">
        <v>0</v>
      </c>
      <c r="D3032" s="201">
        <v>0</v>
      </c>
      <c r="E3032" s="201">
        <v>351</v>
      </c>
      <c r="F3032">
        <v>0</v>
      </c>
      <c r="G3032">
        <v>-129</v>
      </c>
      <c r="H3032">
        <v>1264</v>
      </c>
      <c r="I3032">
        <v>-5242</v>
      </c>
      <c r="J3032">
        <v>0</v>
      </c>
      <c r="K3032" s="201">
        <v>1164</v>
      </c>
    </row>
    <row r="3033" spans="1:11" x14ac:dyDescent="0.25">
      <c r="A3033"/>
      <c r="B3033" s="201">
        <v>2520</v>
      </c>
      <c r="C3033">
        <v>-234</v>
      </c>
      <c r="D3033" s="201">
        <v>0</v>
      </c>
      <c r="E3033" s="201">
        <v>0</v>
      </c>
      <c r="F3033">
        <v>0</v>
      </c>
      <c r="G3033">
        <v>3141</v>
      </c>
      <c r="H3033">
        <v>1037</v>
      </c>
      <c r="I3033">
        <v>1285</v>
      </c>
      <c r="J3033">
        <v>-185</v>
      </c>
      <c r="K3033" s="201">
        <v>-40</v>
      </c>
    </row>
    <row r="3034" spans="1:11" x14ac:dyDescent="0.25">
      <c r="A3034"/>
      <c r="B3034" s="201">
        <v>0</v>
      </c>
      <c r="C3034">
        <v>-1599</v>
      </c>
      <c r="D3034" s="201">
        <v>0</v>
      </c>
      <c r="E3034" s="201">
        <v>0</v>
      </c>
      <c r="F3034">
        <v>-232</v>
      </c>
      <c r="G3034">
        <v>0</v>
      </c>
      <c r="H3034">
        <v>-325</v>
      </c>
      <c r="I3034">
        <v>0</v>
      </c>
      <c r="J3034">
        <v>471</v>
      </c>
      <c r="K3034" s="201">
        <v>0</v>
      </c>
    </row>
    <row r="3035" spans="1:11" x14ac:dyDescent="0.25">
      <c r="A3035"/>
      <c r="B3035" s="201">
        <v>0</v>
      </c>
      <c r="C3035">
        <v>0</v>
      </c>
      <c r="D3035" s="201">
        <v>0</v>
      </c>
      <c r="E3035" s="201">
        <v>0</v>
      </c>
      <c r="F3035">
        <v>0</v>
      </c>
      <c r="G3035">
        <v>0</v>
      </c>
      <c r="H3035">
        <v>0</v>
      </c>
      <c r="I3035">
        <v>-20</v>
      </c>
      <c r="J3035">
        <v>0</v>
      </c>
      <c r="K3035" s="201">
        <v>88</v>
      </c>
    </row>
    <row r="3036" spans="1:11" x14ac:dyDescent="0.25">
      <c r="A3036"/>
      <c r="B3036" s="201">
        <v>1199</v>
      </c>
      <c r="C3036">
        <v>-8334</v>
      </c>
      <c r="D3036" s="201">
        <v>0</v>
      </c>
      <c r="E3036" s="201">
        <v>-8640</v>
      </c>
      <c r="F3036">
        <v>-5200</v>
      </c>
      <c r="G3036">
        <v>0</v>
      </c>
      <c r="H3036">
        <v>0</v>
      </c>
      <c r="I3036">
        <v>0</v>
      </c>
      <c r="J3036">
        <v>0</v>
      </c>
      <c r="K3036" s="201">
        <v>0</v>
      </c>
    </row>
    <row r="3037" spans="1:11" x14ac:dyDescent="0.25">
      <c r="A3037"/>
      <c r="B3037" s="201">
        <v>-17770</v>
      </c>
      <c r="C3037">
        <v>-21024</v>
      </c>
      <c r="D3037" s="201">
        <v>2853</v>
      </c>
      <c r="E3037" s="201">
        <v>376</v>
      </c>
      <c r="F3037">
        <v>-3118</v>
      </c>
      <c r="G3037">
        <v>-1682</v>
      </c>
      <c r="H3037">
        <v>0</v>
      </c>
      <c r="I3037">
        <v>0</v>
      </c>
      <c r="J3037">
        <v>0</v>
      </c>
      <c r="K3037" s="201">
        <v>0</v>
      </c>
    </row>
    <row r="3038" spans="1:11" x14ac:dyDescent="0.25">
      <c r="A3038"/>
      <c r="B3038" s="201">
        <v>2260</v>
      </c>
      <c r="C3038">
        <v>0</v>
      </c>
      <c r="D3038" s="201">
        <v>-5667</v>
      </c>
      <c r="E3038" s="201">
        <v>0</v>
      </c>
      <c r="F3038">
        <v>0</v>
      </c>
      <c r="G3038">
        <v>532</v>
      </c>
      <c r="H3038">
        <v>3250</v>
      </c>
      <c r="I3038">
        <v>0</v>
      </c>
      <c r="J3038">
        <v>0</v>
      </c>
      <c r="K3038" s="201">
        <v>0</v>
      </c>
    </row>
    <row r="3039" spans="1:11" x14ac:dyDescent="0.25">
      <c r="A3039"/>
      <c r="B3039" s="201">
        <v>0</v>
      </c>
      <c r="C3039">
        <v>2999</v>
      </c>
      <c r="D3039" s="201">
        <v>0</v>
      </c>
      <c r="E3039" s="201">
        <v>3181</v>
      </c>
      <c r="F3039">
        <v>-11713</v>
      </c>
      <c r="G3039">
        <v>6783</v>
      </c>
      <c r="H3039">
        <v>-869</v>
      </c>
      <c r="I3039">
        <v>-4651</v>
      </c>
      <c r="J3039">
        <v>-1431</v>
      </c>
      <c r="K3039" s="201">
        <v>-2473</v>
      </c>
    </row>
    <row r="3040" spans="1:11" x14ac:dyDescent="0.25">
      <c r="A3040"/>
      <c r="B3040" s="201">
        <v>0</v>
      </c>
      <c r="C3040">
        <v>0</v>
      </c>
      <c r="D3040" s="201">
        <v>1040</v>
      </c>
      <c r="E3040" s="201">
        <v>0</v>
      </c>
      <c r="F3040">
        <v>0</v>
      </c>
      <c r="G3040">
        <v>0</v>
      </c>
      <c r="H3040">
        <v>887</v>
      </c>
      <c r="I3040">
        <v>31</v>
      </c>
      <c r="J3040">
        <v>0</v>
      </c>
      <c r="K3040" s="201">
        <v>0</v>
      </c>
    </row>
    <row r="3041" spans="1:11" x14ac:dyDescent="0.25">
      <c r="A3041"/>
      <c r="B3041" s="201">
        <v>0</v>
      </c>
      <c r="C3041">
        <v>0</v>
      </c>
      <c r="D3041" s="201">
        <v>0</v>
      </c>
      <c r="E3041" s="201">
        <v>0</v>
      </c>
      <c r="F3041">
        <v>-2190</v>
      </c>
      <c r="G3041">
        <v>0</v>
      </c>
      <c r="H3041">
        <v>0</v>
      </c>
      <c r="I3041">
        <v>249</v>
      </c>
      <c r="J3041">
        <v>0</v>
      </c>
      <c r="K3041" s="201">
        <v>-256</v>
      </c>
    </row>
    <row r="3042" spans="1:11" x14ac:dyDescent="0.25">
      <c r="A3042"/>
      <c r="B3042" s="201">
        <v>0</v>
      </c>
      <c r="C3042">
        <v>-7</v>
      </c>
      <c r="D3042" s="201">
        <v>-2705</v>
      </c>
      <c r="E3042" s="201">
        <v>-715</v>
      </c>
      <c r="F3042">
        <v>0</v>
      </c>
      <c r="G3042">
        <v>1562</v>
      </c>
      <c r="H3042">
        <v>-1327</v>
      </c>
      <c r="I3042">
        <v>-2591</v>
      </c>
      <c r="J3042">
        <v>-2672</v>
      </c>
      <c r="K3042" s="201">
        <v>-1642</v>
      </c>
    </row>
    <row r="3043" spans="1:11" x14ac:dyDescent="0.25">
      <c r="A3043"/>
      <c r="B3043" s="201">
        <v>-772</v>
      </c>
      <c r="C3043">
        <v>0</v>
      </c>
      <c r="D3043" s="201">
        <v>30</v>
      </c>
      <c r="E3043" s="201">
        <v>0</v>
      </c>
      <c r="F3043">
        <v>0</v>
      </c>
      <c r="G3043">
        <v>0</v>
      </c>
      <c r="H3043">
        <v>0</v>
      </c>
      <c r="I3043">
        <v>0</v>
      </c>
      <c r="J3043">
        <v>143</v>
      </c>
      <c r="K3043" s="201">
        <v>0</v>
      </c>
    </row>
    <row r="3044" spans="1:11" x14ac:dyDescent="0.25">
      <c r="A3044"/>
      <c r="B3044" s="201">
        <v>0</v>
      </c>
      <c r="C3044">
        <v>0</v>
      </c>
      <c r="D3044" s="201">
        <v>35</v>
      </c>
      <c r="E3044" s="201">
        <v>0</v>
      </c>
      <c r="F3044">
        <v>-24</v>
      </c>
      <c r="G3044">
        <v>0</v>
      </c>
      <c r="H3044">
        <v>0</v>
      </c>
      <c r="I3044">
        <v>0</v>
      </c>
      <c r="J3044">
        <v>0</v>
      </c>
      <c r="K3044" s="201">
        <v>0</v>
      </c>
    </row>
    <row r="3045" spans="1:11" x14ac:dyDescent="0.25">
      <c r="A3045"/>
      <c r="B3045" s="201">
        <v>-32</v>
      </c>
      <c r="C3045">
        <v>0</v>
      </c>
      <c r="D3045" s="201">
        <v>723</v>
      </c>
      <c r="E3045" s="201">
        <v>292</v>
      </c>
      <c r="F3045">
        <v>0</v>
      </c>
      <c r="G3045">
        <v>0</v>
      </c>
      <c r="H3045">
        <v>-2833</v>
      </c>
      <c r="I3045">
        <v>-2113</v>
      </c>
      <c r="J3045">
        <v>0</v>
      </c>
      <c r="K3045" s="201">
        <v>1907</v>
      </c>
    </row>
    <row r="3046" spans="1:11" x14ac:dyDescent="0.25">
      <c r="A3046"/>
      <c r="B3046" s="201">
        <v>0</v>
      </c>
      <c r="C3046">
        <v>0</v>
      </c>
      <c r="D3046" s="201">
        <v>0</v>
      </c>
      <c r="E3046" s="201">
        <v>0</v>
      </c>
      <c r="F3046">
        <v>2383</v>
      </c>
      <c r="G3046">
        <v>-669</v>
      </c>
      <c r="H3046">
        <v>-511</v>
      </c>
      <c r="I3046">
        <v>0</v>
      </c>
      <c r="J3046">
        <v>0</v>
      </c>
      <c r="K3046" s="201">
        <v>-174</v>
      </c>
    </row>
    <row r="3047" spans="1:11" x14ac:dyDescent="0.25">
      <c r="A3047"/>
      <c r="B3047" s="201">
        <v>1931</v>
      </c>
      <c r="C3047">
        <v>0</v>
      </c>
      <c r="D3047" s="201">
        <v>-37</v>
      </c>
      <c r="E3047" s="201">
        <v>344</v>
      </c>
      <c r="F3047">
        <v>277</v>
      </c>
      <c r="G3047">
        <v>261</v>
      </c>
      <c r="H3047">
        <v>698</v>
      </c>
      <c r="I3047">
        <v>495</v>
      </c>
      <c r="J3047">
        <v>-154</v>
      </c>
      <c r="K3047" s="201">
        <v>0</v>
      </c>
    </row>
    <row r="3048" spans="1:11" x14ac:dyDescent="0.25">
      <c r="A3048"/>
      <c r="B3048" s="201">
        <v>0</v>
      </c>
      <c r="C3048">
        <v>0</v>
      </c>
      <c r="D3048" s="201">
        <v>0</v>
      </c>
      <c r="E3048" s="201">
        <v>0</v>
      </c>
      <c r="F3048">
        <v>2363</v>
      </c>
      <c r="G3048">
        <v>0</v>
      </c>
      <c r="H3048">
        <v>318</v>
      </c>
      <c r="I3048">
        <v>181</v>
      </c>
      <c r="J3048">
        <v>-64</v>
      </c>
      <c r="K3048" s="201">
        <v>0</v>
      </c>
    </row>
    <row r="3049" spans="1:11" x14ac:dyDescent="0.25">
      <c r="A3049"/>
      <c r="B3049" s="201">
        <v>-1127</v>
      </c>
      <c r="C3049">
        <v>-1771</v>
      </c>
      <c r="D3049" s="201">
        <v>-4669</v>
      </c>
      <c r="E3049" s="201">
        <v>-753</v>
      </c>
      <c r="F3049">
        <v>-4636</v>
      </c>
      <c r="G3049">
        <v>0</v>
      </c>
      <c r="H3049">
        <v>-4095</v>
      </c>
      <c r="I3049">
        <v>-1487</v>
      </c>
      <c r="J3049">
        <v>1144</v>
      </c>
      <c r="K3049" s="201">
        <v>-160</v>
      </c>
    </row>
    <row r="3050" spans="1:11" x14ac:dyDescent="0.25">
      <c r="A3050"/>
      <c r="B3050" s="201">
        <v>0</v>
      </c>
      <c r="C3050">
        <v>180</v>
      </c>
      <c r="D3050" s="201">
        <v>-2847</v>
      </c>
      <c r="E3050" s="201">
        <v>0</v>
      </c>
      <c r="F3050">
        <v>0</v>
      </c>
      <c r="G3050">
        <v>0</v>
      </c>
      <c r="H3050">
        <v>8</v>
      </c>
      <c r="I3050">
        <v>50</v>
      </c>
      <c r="J3050">
        <v>0</v>
      </c>
      <c r="K3050" s="201">
        <v>-645</v>
      </c>
    </row>
    <row r="3051" spans="1:11" x14ac:dyDescent="0.25">
      <c r="A3051"/>
      <c r="B3051" s="201">
        <v>-269</v>
      </c>
      <c r="C3051">
        <v>21</v>
      </c>
      <c r="D3051" s="201">
        <v>525</v>
      </c>
      <c r="E3051" s="201">
        <v>0</v>
      </c>
      <c r="F3051">
        <v>0</v>
      </c>
      <c r="G3051">
        <v>0</v>
      </c>
      <c r="H3051">
        <v>0</v>
      </c>
      <c r="I3051">
        <v>0</v>
      </c>
      <c r="J3051">
        <v>1462</v>
      </c>
      <c r="K3051" s="201">
        <v>0</v>
      </c>
    </row>
    <row r="3052" spans="1:11" x14ac:dyDescent="0.25">
      <c r="A3052"/>
      <c r="B3052" s="201">
        <v>542</v>
      </c>
      <c r="C3052">
        <v>435</v>
      </c>
      <c r="D3052" s="201">
        <v>178</v>
      </c>
      <c r="E3052" s="201">
        <v>0</v>
      </c>
      <c r="F3052">
        <v>129</v>
      </c>
      <c r="G3052">
        <v>-2408</v>
      </c>
      <c r="H3052">
        <v>-3015</v>
      </c>
      <c r="I3052">
        <v>405</v>
      </c>
      <c r="J3052">
        <v>-3375</v>
      </c>
      <c r="K3052" s="201">
        <v>-1010</v>
      </c>
    </row>
    <row r="3053" spans="1:11" x14ac:dyDescent="0.25">
      <c r="A3053"/>
      <c r="B3053" s="201">
        <v>-3749</v>
      </c>
      <c r="C3053">
        <v>-1440</v>
      </c>
      <c r="D3053" s="201">
        <v>0</v>
      </c>
      <c r="E3053" s="201">
        <v>-241</v>
      </c>
      <c r="F3053">
        <v>0</v>
      </c>
      <c r="G3053">
        <v>0</v>
      </c>
      <c r="H3053">
        <v>-2261</v>
      </c>
      <c r="I3053">
        <v>137</v>
      </c>
      <c r="J3053">
        <v>0</v>
      </c>
      <c r="K3053" s="201">
        <v>244</v>
      </c>
    </row>
    <row r="3054" spans="1:11" x14ac:dyDescent="0.25">
      <c r="A3054"/>
      <c r="B3054" s="201">
        <v>0</v>
      </c>
      <c r="C3054">
        <v>0</v>
      </c>
      <c r="D3054" s="201">
        <v>-52</v>
      </c>
      <c r="E3054" s="201">
        <v>0</v>
      </c>
      <c r="F3054">
        <v>96</v>
      </c>
      <c r="G3054">
        <v>-90</v>
      </c>
      <c r="H3054">
        <v>368</v>
      </c>
      <c r="I3054">
        <v>0</v>
      </c>
      <c r="J3054">
        <v>0</v>
      </c>
      <c r="K3054" s="201">
        <v>0</v>
      </c>
    </row>
    <row r="3055" spans="1:11" x14ac:dyDescent="0.25">
      <c r="A3055"/>
      <c r="B3055" s="201">
        <v>0</v>
      </c>
      <c r="C3055">
        <v>0</v>
      </c>
      <c r="D3055" s="201">
        <v>-86</v>
      </c>
      <c r="E3055" s="201">
        <v>0</v>
      </c>
      <c r="F3055">
        <v>1061</v>
      </c>
      <c r="G3055">
        <v>410</v>
      </c>
      <c r="H3055">
        <v>592</v>
      </c>
      <c r="I3055">
        <v>0</v>
      </c>
      <c r="J3055">
        <v>-1488</v>
      </c>
      <c r="K3055" s="201">
        <v>-2133</v>
      </c>
    </row>
    <row r="3056" spans="1:11" x14ac:dyDescent="0.25">
      <c r="A3056"/>
      <c r="B3056" s="201">
        <v>1542</v>
      </c>
      <c r="C3056">
        <v>0</v>
      </c>
      <c r="D3056" s="201">
        <v>0</v>
      </c>
      <c r="E3056" s="201">
        <v>0</v>
      </c>
      <c r="F3056">
        <v>-2613</v>
      </c>
      <c r="G3056">
        <v>-986</v>
      </c>
      <c r="H3056">
        <v>1657</v>
      </c>
      <c r="I3056">
        <v>-172</v>
      </c>
      <c r="J3056">
        <v>-57</v>
      </c>
      <c r="K3056" s="201">
        <v>0</v>
      </c>
    </row>
    <row r="3057" spans="1:11" x14ac:dyDescent="0.25">
      <c r="A3057"/>
      <c r="B3057" s="201">
        <v>-833</v>
      </c>
      <c r="C3057">
        <v>0</v>
      </c>
      <c r="D3057" s="201">
        <v>0</v>
      </c>
      <c r="E3057" s="201">
        <v>408</v>
      </c>
      <c r="F3057">
        <v>0</v>
      </c>
      <c r="G3057">
        <v>-574</v>
      </c>
      <c r="H3057">
        <v>0</v>
      </c>
      <c r="I3057">
        <v>220</v>
      </c>
      <c r="J3057">
        <v>0</v>
      </c>
      <c r="K3057" s="201">
        <v>0</v>
      </c>
    </row>
    <row r="3058" spans="1:11" x14ac:dyDescent="0.25">
      <c r="A3058"/>
      <c r="B3058" s="201">
        <v>0</v>
      </c>
      <c r="C3058">
        <v>0</v>
      </c>
      <c r="D3058" s="201">
        <v>0</v>
      </c>
      <c r="E3058" s="201">
        <v>0</v>
      </c>
      <c r="F3058">
        <v>0</v>
      </c>
      <c r="G3058">
        <v>0</v>
      </c>
      <c r="H3058">
        <v>1098</v>
      </c>
      <c r="I3058">
        <v>0</v>
      </c>
      <c r="J3058">
        <v>675</v>
      </c>
      <c r="K3058" s="201">
        <v>116</v>
      </c>
    </row>
    <row r="3059" spans="1:11" x14ac:dyDescent="0.25">
      <c r="A3059"/>
      <c r="B3059" s="201">
        <v>458</v>
      </c>
      <c r="C3059">
        <v>0</v>
      </c>
      <c r="D3059" s="201">
        <v>-3532</v>
      </c>
      <c r="E3059" s="201">
        <v>-2480</v>
      </c>
      <c r="F3059">
        <v>0</v>
      </c>
      <c r="G3059">
        <v>0</v>
      </c>
      <c r="H3059">
        <v>0</v>
      </c>
      <c r="I3059">
        <v>0</v>
      </c>
      <c r="J3059">
        <v>0</v>
      </c>
      <c r="K3059" s="201">
        <v>13209</v>
      </c>
    </row>
    <row r="3060" spans="1:11" x14ac:dyDescent="0.25">
      <c r="A3060"/>
      <c r="B3060" s="201">
        <v>14353</v>
      </c>
      <c r="C3060">
        <v>5733</v>
      </c>
      <c r="D3060" s="201">
        <v>2323</v>
      </c>
      <c r="E3060" s="201">
        <v>-8215</v>
      </c>
      <c r="F3060">
        <v>-15819</v>
      </c>
      <c r="G3060">
        <v>0</v>
      </c>
      <c r="H3060">
        <v>0</v>
      </c>
      <c r="I3060">
        <v>0</v>
      </c>
      <c r="J3060">
        <v>0</v>
      </c>
      <c r="K3060" s="201">
        <v>-2411</v>
      </c>
    </row>
    <row r="3061" spans="1:11" x14ac:dyDescent="0.25">
      <c r="A3061"/>
      <c r="B3061" s="201">
        <v>0</v>
      </c>
      <c r="C3061">
        <v>-19355</v>
      </c>
      <c r="D3061" s="201">
        <v>0</v>
      </c>
      <c r="E3061" s="201">
        <v>0</v>
      </c>
      <c r="F3061">
        <v>-8455</v>
      </c>
      <c r="G3061">
        <v>-7921</v>
      </c>
      <c r="H3061">
        <v>0</v>
      </c>
      <c r="I3061">
        <v>0</v>
      </c>
      <c r="J3061">
        <v>0</v>
      </c>
      <c r="K3061" s="201">
        <v>0</v>
      </c>
    </row>
    <row r="3062" spans="1:11" x14ac:dyDescent="0.25">
      <c r="A3062"/>
      <c r="B3062" s="201">
        <v>2229</v>
      </c>
      <c r="C3062">
        <v>0</v>
      </c>
      <c r="D3062" s="201">
        <v>-5896</v>
      </c>
      <c r="E3062" s="201">
        <v>-2309</v>
      </c>
      <c r="F3062">
        <v>-4590</v>
      </c>
      <c r="G3062">
        <v>2575</v>
      </c>
      <c r="H3062">
        <v>-195</v>
      </c>
      <c r="I3062">
        <v>-14996</v>
      </c>
      <c r="J3062">
        <v>-2092</v>
      </c>
      <c r="K3062" s="201">
        <v>-1594</v>
      </c>
    </row>
    <row r="3063" spans="1:11" x14ac:dyDescent="0.25">
      <c r="A3063"/>
      <c r="B3063" s="201">
        <v>0</v>
      </c>
      <c r="C3063">
        <v>0</v>
      </c>
      <c r="D3063" s="201">
        <v>184</v>
      </c>
      <c r="E3063" s="201">
        <v>0</v>
      </c>
      <c r="F3063">
        <v>0</v>
      </c>
      <c r="G3063">
        <v>0</v>
      </c>
      <c r="H3063">
        <v>1601</v>
      </c>
      <c r="I3063">
        <v>1098</v>
      </c>
      <c r="J3063">
        <v>0</v>
      </c>
      <c r="K3063" s="201">
        <v>0</v>
      </c>
    </row>
    <row r="3064" spans="1:11" x14ac:dyDescent="0.25">
      <c r="A3064"/>
      <c r="B3064" s="201">
        <v>0</v>
      </c>
      <c r="C3064">
        <v>0</v>
      </c>
      <c r="D3064" s="201">
        <v>0</v>
      </c>
      <c r="E3064" s="201">
        <v>0</v>
      </c>
      <c r="F3064">
        <v>741</v>
      </c>
      <c r="G3064">
        <v>0</v>
      </c>
      <c r="H3064">
        <v>0</v>
      </c>
      <c r="I3064">
        <v>473</v>
      </c>
      <c r="J3064">
        <v>0</v>
      </c>
      <c r="K3064" s="201">
        <v>-446</v>
      </c>
    </row>
    <row r="3065" spans="1:11" x14ac:dyDescent="0.25">
      <c r="A3065"/>
      <c r="B3065" s="201">
        <v>0</v>
      </c>
      <c r="C3065">
        <v>154</v>
      </c>
      <c r="D3065" s="201">
        <v>-120</v>
      </c>
      <c r="E3065" s="201">
        <v>-266</v>
      </c>
      <c r="F3065">
        <v>0</v>
      </c>
      <c r="G3065">
        <v>1914</v>
      </c>
      <c r="H3065">
        <v>327</v>
      </c>
      <c r="I3065">
        <v>-2825</v>
      </c>
      <c r="J3065">
        <v>-2500</v>
      </c>
      <c r="K3065" s="201">
        <v>-2548</v>
      </c>
    </row>
    <row r="3066" spans="1:11" x14ac:dyDescent="0.25">
      <c r="A3066"/>
      <c r="B3066" s="201">
        <v>-1085</v>
      </c>
      <c r="C3066">
        <v>0</v>
      </c>
      <c r="D3066" s="201">
        <v>148</v>
      </c>
      <c r="E3066" s="201">
        <v>0</v>
      </c>
      <c r="F3066">
        <v>0</v>
      </c>
      <c r="G3066">
        <v>0</v>
      </c>
      <c r="H3066">
        <v>0</v>
      </c>
      <c r="I3066">
        <v>0</v>
      </c>
      <c r="J3066">
        <v>407</v>
      </c>
      <c r="K3066" s="201">
        <v>0</v>
      </c>
    </row>
    <row r="3067" spans="1:11" x14ac:dyDescent="0.25">
      <c r="A3067"/>
      <c r="B3067" s="201">
        <v>0</v>
      </c>
      <c r="C3067">
        <v>0</v>
      </c>
      <c r="D3067" s="201">
        <v>36</v>
      </c>
      <c r="E3067" s="201">
        <v>0</v>
      </c>
      <c r="F3067">
        <v>176</v>
      </c>
      <c r="G3067">
        <v>0</v>
      </c>
      <c r="H3067">
        <v>0</v>
      </c>
      <c r="I3067">
        <v>0</v>
      </c>
      <c r="J3067">
        <v>0</v>
      </c>
      <c r="K3067" s="201">
        <v>0</v>
      </c>
    </row>
    <row r="3068" spans="1:11" x14ac:dyDescent="0.25">
      <c r="A3068"/>
      <c r="B3068" s="201">
        <v>326</v>
      </c>
      <c r="C3068">
        <v>0</v>
      </c>
      <c r="D3068" s="201">
        <v>104</v>
      </c>
      <c r="E3068" s="201">
        <v>372</v>
      </c>
      <c r="F3068">
        <v>0</v>
      </c>
      <c r="G3068">
        <v>0</v>
      </c>
      <c r="H3068">
        <v>-3464</v>
      </c>
      <c r="I3068">
        <v>10</v>
      </c>
      <c r="J3068">
        <v>0</v>
      </c>
      <c r="K3068" s="201">
        <v>1961</v>
      </c>
    </row>
    <row r="3069" spans="1:11" x14ac:dyDescent="0.25">
      <c r="A3069"/>
      <c r="B3069" s="201">
        <v>0</v>
      </c>
      <c r="C3069">
        <v>0</v>
      </c>
      <c r="D3069" s="201">
        <v>0</v>
      </c>
      <c r="E3069" s="201">
        <v>0</v>
      </c>
      <c r="F3069">
        <v>2956</v>
      </c>
      <c r="G3069">
        <v>-1200</v>
      </c>
      <c r="H3069">
        <v>-1344</v>
      </c>
      <c r="I3069">
        <v>0</v>
      </c>
      <c r="J3069">
        <v>0</v>
      </c>
      <c r="K3069" s="201">
        <v>-1711</v>
      </c>
    </row>
    <row r="3070" spans="1:11" x14ac:dyDescent="0.25">
      <c r="A3070"/>
      <c r="B3070" s="201">
        <v>6103</v>
      </c>
      <c r="C3070">
        <v>0</v>
      </c>
      <c r="D3070" s="201">
        <v>165</v>
      </c>
      <c r="E3070" s="201">
        <v>591</v>
      </c>
      <c r="F3070">
        <v>-750</v>
      </c>
      <c r="G3070">
        <v>-318</v>
      </c>
      <c r="H3070">
        <v>683</v>
      </c>
      <c r="I3070">
        <v>861</v>
      </c>
      <c r="J3070">
        <v>-642</v>
      </c>
      <c r="K3070" s="201">
        <v>0</v>
      </c>
    </row>
    <row r="3071" spans="1:11" x14ac:dyDescent="0.25">
      <c r="A3071"/>
      <c r="B3071" s="201">
        <v>0</v>
      </c>
      <c r="C3071">
        <v>0</v>
      </c>
      <c r="D3071" s="201">
        <v>0</v>
      </c>
      <c r="E3071" s="201">
        <v>0</v>
      </c>
      <c r="F3071">
        <v>1839</v>
      </c>
      <c r="G3071">
        <v>0</v>
      </c>
      <c r="H3071">
        <v>-632</v>
      </c>
      <c r="I3071">
        <v>195</v>
      </c>
      <c r="J3071">
        <v>622</v>
      </c>
      <c r="K3071" s="201">
        <v>0</v>
      </c>
    </row>
    <row r="3072" spans="1:11" x14ac:dyDescent="0.25">
      <c r="A3072"/>
      <c r="B3072" s="201">
        <v>-2221</v>
      </c>
      <c r="C3072">
        <v>1478</v>
      </c>
      <c r="D3072" s="201">
        <v>-24092</v>
      </c>
      <c r="E3072" s="201">
        <v>-4360</v>
      </c>
      <c r="F3072">
        <v>-5221</v>
      </c>
      <c r="G3072">
        <v>0</v>
      </c>
      <c r="H3072">
        <v>-1695</v>
      </c>
      <c r="I3072">
        <v>-1304</v>
      </c>
      <c r="J3072">
        <v>368</v>
      </c>
      <c r="K3072" s="201">
        <v>-5</v>
      </c>
    </row>
    <row r="3073" spans="1:11" x14ac:dyDescent="0.25">
      <c r="A3073"/>
      <c r="B3073" s="201">
        <v>0</v>
      </c>
      <c r="C3073">
        <v>71</v>
      </c>
      <c r="D3073" s="201">
        <v>-1076</v>
      </c>
      <c r="E3073" s="201">
        <v>0</v>
      </c>
      <c r="F3073">
        <v>0</v>
      </c>
      <c r="G3073">
        <v>0</v>
      </c>
      <c r="H3073">
        <v>1057</v>
      </c>
      <c r="I3073">
        <v>1990</v>
      </c>
      <c r="J3073">
        <v>0</v>
      </c>
      <c r="K3073" s="201">
        <v>-1825</v>
      </c>
    </row>
    <row r="3074" spans="1:11" x14ac:dyDescent="0.25">
      <c r="A3074"/>
      <c r="B3074" s="201">
        <v>-316</v>
      </c>
      <c r="C3074">
        <v>-387</v>
      </c>
      <c r="D3074" s="201">
        <v>416</v>
      </c>
      <c r="E3074" s="201">
        <v>0</v>
      </c>
      <c r="F3074">
        <v>0</v>
      </c>
      <c r="G3074">
        <v>0</v>
      </c>
      <c r="H3074">
        <v>0</v>
      </c>
      <c r="I3074">
        <v>0</v>
      </c>
      <c r="J3074">
        <v>2053</v>
      </c>
      <c r="K3074" s="201">
        <v>0</v>
      </c>
    </row>
    <row r="3075" spans="1:11" x14ac:dyDescent="0.25">
      <c r="B3075" s="201">
        <v>-844</v>
      </c>
      <c r="C3075">
        <v>36</v>
      </c>
      <c r="D3075" s="201">
        <v>-222</v>
      </c>
      <c r="E3075" s="201">
        <v>0</v>
      </c>
      <c r="F3075">
        <v>-1108</v>
      </c>
      <c r="G3075">
        <v>438</v>
      </c>
      <c r="H3075">
        <v>-23390</v>
      </c>
      <c r="I3075">
        <v>-5001</v>
      </c>
      <c r="J3075">
        <v>-5088</v>
      </c>
      <c r="K3075" s="201">
        <v>-2829</v>
      </c>
    </row>
    <row r="3076" spans="1:11" x14ac:dyDescent="0.25">
      <c r="B3076" s="201">
        <v>-2178</v>
      </c>
      <c r="C3076">
        <v>-1763</v>
      </c>
      <c r="D3076" s="201">
        <v>0</v>
      </c>
      <c r="E3076" s="201">
        <v>11</v>
      </c>
      <c r="F3076">
        <v>0</v>
      </c>
      <c r="G3076">
        <v>0</v>
      </c>
      <c r="H3076">
        <v>-913</v>
      </c>
      <c r="I3076">
        <v>-59</v>
      </c>
      <c r="J3076">
        <v>0</v>
      </c>
      <c r="K3076" s="201">
        <v>2622</v>
      </c>
    </row>
    <row r="3077" spans="1:11" x14ac:dyDescent="0.25">
      <c r="A3077"/>
      <c r="B3077" s="201">
        <v>0</v>
      </c>
      <c r="C3077" s="201">
        <v>0</v>
      </c>
      <c r="D3077" s="201">
        <v>-1098</v>
      </c>
      <c r="E3077" s="201">
        <v>0</v>
      </c>
      <c r="F3077">
        <v>638</v>
      </c>
      <c r="G3077">
        <v>291</v>
      </c>
      <c r="H3077">
        <v>-257</v>
      </c>
      <c r="I3077">
        <v>0</v>
      </c>
      <c r="J3077">
        <v>0</v>
      </c>
      <c r="K3077" s="201">
        <v>0</v>
      </c>
    </row>
    <row r="3078" spans="1:11" x14ac:dyDescent="0.25">
      <c r="A3078"/>
      <c r="B3078" s="201">
        <v>0</v>
      </c>
      <c r="C3078">
        <v>0</v>
      </c>
      <c r="D3078" s="201">
        <v>834</v>
      </c>
      <c r="E3078" s="201">
        <v>0</v>
      </c>
      <c r="F3078">
        <v>176</v>
      </c>
      <c r="G3078">
        <v>56</v>
      </c>
      <c r="H3078">
        <v>-223</v>
      </c>
      <c r="I3078">
        <v>0</v>
      </c>
      <c r="J3078">
        <v>-3076</v>
      </c>
      <c r="K3078" s="201">
        <v>-535</v>
      </c>
    </row>
    <row r="3079" spans="1:11" x14ac:dyDescent="0.25">
      <c r="A3079"/>
      <c r="B3079" s="201">
        <v>-15232</v>
      </c>
      <c r="C3079">
        <v>0</v>
      </c>
      <c r="D3079" s="201">
        <v>0</v>
      </c>
      <c r="E3079" s="201">
        <v>0</v>
      </c>
      <c r="F3079">
        <v>-434</v>
      </c>
      <c r="G3079">
        <v>214</v>
      </c>
      <c r="H3079">
        <v>1537</v>
      </c>
      <c r="I3079">
        <v>-433</v>
      </c>
      <c r="J3079">
        <v>-159</v>
      </c>
      <c r="K3079" s="201">
        <v>0</v>
      </c>
    </row>
    <row r="3080" spans="1:11" x14ac:dyDescent="0.25">
      <c r="A3080"/>
      <c r="B3080" s="201">
        <v>-83</v>
      </c>
      <c r="C3080">
        <v>0</v>
      </c>
      <c r="D3080" s="201">
        <v>0</v>
      </c>
      <c r="E3080" s="201">
        <v>1829</v>
      </c>
      <c r="F3080">
        <v>0</v>
      </c>
      <c r="G3080">
        <v>1315</v>
      </c>
      <c r="H3080">
        <v>0</v>
      </c>
      <c r="I3080">
        <v>-677</v>
      </c>
      <c r="J3080">
        <v>0</v>
      </c>
      <c r="K3080" s="201">
        <v>0</v>
      </c>
    </row>
    <row r="3081" spans="1:11" x14ac:dyDescent="0.25">
      <c r="A3081"/>
      <c r="B3081" s="201">
        <v>0</v>
      </c>
      <c r="C3081">
        <v>0</v>
      </c>
      <c r="D3081" s="201">
        <v>0</v>
      </c>
      <c r="E3081" s="201">
        <v>0</v>
      </c>
      <c r="F3081">
        <v>0</v>
      </c>
      <c r="G3081">
        <v>0</v>
      </c>
      <c r="H3081">
        <v>1289</v>
      </c>
      <c r="I3081">
        <v>0</v>
      </c>
      <c r="J3081">
        <v>-467</v>
      </c>
      <c r="K3081" s="201">
        <v>90</v>
      </c>
    </row>
    <row r="3082" spans="1:11" x14ac:dyDescent="0.25">
      <c r="A3082"/>
      <c r="B3082" s="201">
        <v>66</v>
      </c>
      <c r="C3082">
        <v>0</v>
      </c>
      <c r="D3082" s="201">
        <v>-3529</v>
      </c>
      <c r="E3082" s="201">
        <v>-1053</v>
      </c>
      <c r="F3082">
        <v>0</v>
      </c>
      <c r="G3082">
        <v>0</v>
      </c>
      <c r="H3082">
        <v>0</v>
      </c>
      <c r="I3082">
        <v>0</v>
      </c>
      <c r="J3082">
        <v>0</v>
      </c>
      <c r="K3082" s="201">
        <v>3434</v>
      </c>
    </row>
    <row r="3083" spans="1:11" x14ac:dyDescent="0.25">
      <c r="B3083" s="201">
        <v>6035</v>
      </c>
      <c r="C3083">
        <v>217</v>
      </c>
      <c r="D3083" s="201">
        <v>-248</v>
      </c>
      <c r="E3083" s="201">
        <v>-906</v>
      </c>
      <c r="F3083">
        <v>-3482</v>
      </c>
      <c r="G3083">
        <v>0</v>
      </c>
      <c r="H3083">
        <v>0</v>
      </c>
      <c r="I3083">
        <v>0</v>
      </c>
      <c r="J3083">
        <v>0</v>
      </c>
      <c r="K3083" s="201">
        <v>-929</v>
      </c>
    </row>
    <row r="3084" spans="1:11" x14ac:dyDescent="0.25">
      <c r="A3084"/>
      <c r="B3084" s="201">
        <v>0</v>
      </c>
      <c r="C3084">
        <v>-4194</v>
      </c>
      <c r="D3084" s="201">
        <v>0</v>
      </c>
      <c r="E3084" s="201">
        <v>0</v>
      </c>
      <c r="F3084">
        <v>-3281</v>
      </c>
      <c r="G3084">
        <v>-3660</v>
      </c>
      <c r="H3084">
        <v>0</v>
      </c>
      <c r="I3084">
        <v>0</v>
      </c>
      <c r="J3084">
        <v>0</v>
      </c>
      <c r="K3084" s="201">
        <v>0</v>
      </c>
    </row>
    <row r="3085" spans="1:11" x14ac:dyDescent="0.25">
      <c r="B3085" s="201">
        <v>1581</v>
      </c>
      <c r="C3085">
        <v>0</v>
      </c>
      <c r="D3085" s="201">
        <v>-518</v>
      </c>
      <c r="E3085" s="201">
        <v>-503</v>
      </c>
      <c r="F3085">
        <v>-665</v>
      </c>
      <c r="G3085">
        <v>22150</v>
      </c>
      <c r="H3085">
        <v>-828</v>
      </c>
      <c r="I3085">
        <v>92</v>
      </c>
      <c r="J3085">
        <v>-7862</v>
      </c>
      <c r="K3085" s="201">
        <v>-5108</v>
      </c>
    </row>
    <row r="3086" spans="1:11" x14ac:dyDescent="0.25">
      <c r="A3086"/>
      <c r="B3086" s="201">
        <v>-3645</v>
      </c>
      <c r="C3086">
        <v>0</v>
      </c>
      <c r="D3086" s="201">
        <v>0</v>
      </c>
      <c r="E3086" s="201">
        <v>-742</v>
      </c>
      <c r="F3086">
        <v>0</v>
      </c>
      <c r="G3086">
        <v>0</v>
      </c>
      <c r="H3086">
        <v>0</v>
      </c>
      <c r="I3086">
        <v>4274</v>
      </c>
      <c r="J3086">
        <v>1306</v>
      </c>
      <c r="K3086" s="201">
        <v>0</v>
      </c>
    </row>
    <row r="3087" spans="1:11" x14ac:dyDescent="0.25">
      <c r="A3087"/>
      <c r="B3087" s="201">
        <v>0</v>
      </c>
      <c r="C3087">
        <v>0</v>
      </c>
      <c r="D3087" s="201">
        <v>0</v>
      </c>
      <c r="E3087" s="201">
        <v>0</v>
      </c>
      <c r="F3087">
        <v>0</v>
      </c>
      <c r="G3087">
        <v>-7516</v>
      </c>
      <c r="H3087">
        <v>0</v>
      </c>
      <c r="I3087">
        <v>0</v>
      </c>
      <c r="J3087">
        <v>757</v>
      </c>
      <c r="K3087" s="201">
        <v>0</v>
      </c>
    </row>
    <row r="3088" spans="1:11" x14ac:dyDescent="0.25">
      <c r="B3088" s="201">
        <v>-757</v>
      </c>
      <c r="C3088">
        <v>0</v>
      </c>
      <c r="D3088" s="201">
        <v>-364</v>
      </c>
      <c r="E3088" s="201">
        <v>2664</v>
      </c>
      <c r="F3088">
        <v>593</v>
      </c>
      <c r="G3088">
        <v>0</v>
      </c>
      <c r="H3088">
        <v>2864</v>
      </c>
      <c r="I3088">
        <v>494</v>
      </c>
      <c r="J3088">
        <v>-3624</v>
      </c>
      <c r="K3088" s="201">
        <v>-3458</v>
      </c>
    </row>
    <row r="3089" spans="1:11" x14ac:dyDescent="0.25">
      <c r="B3089" s="201">
        <v>-4368</v>
      </c>
      <c r="C3089">
        <v>-1068</v>
      </c>
      <c r="D3089" s="201">
        <v>0</v>
      </c>
      <c r="E3089" s="201">
        <v>46</v>
      </c>
      <c r="F3089">
        <v>0</v>
      </c>
      <c r="G3089">
        <v>0</v>
      </c>
      <c r="H3089">
        <v>0</v>
      </c>
      <c r="I3089">
        <v>0</v>
      </c>
      <c r="J3089">
        <v>0</v>
      </c>
      <c r="K3089" s="201">
        <v>62</v>
      </c>
    </row>
    <row r="3090" spans="1:11" x14ac:dyDescent="0.25">
      <c r="A3090"/>
      <c r="B3090" s="201">
        <v>0</v>
      </c>
      <c r="C3090">
        <v>0</v>
      </c>
      <c r="D3090" s="201">
        <v>0</v>
      </c>
      <c r="E3090" s="201">
        <v>-586</v>
      </c>
      <c r="F3090">
        <v>0</v>
      </c>
      <c r="G3090">
        <v>148</v>
      </c>
      <c r="H3090">
        <v>0</v>
      </c>
      <c r="I3090">
        <v>0</v>
      </c>
      <c r="J3090">
        <v>0</v>
      </c>
      <c r="K3090" s="201">
        <v>0</v>
      </c>
    </row>
    <row r="3091" spans="1:11" x14ac:dyDescent="0.25">
      <c r="A3091"/>
      <c r="B3091" s="201">
        <v>0</v>
      </c>
      <c r="C3091">
        <v>912</v>
      </c>
      <c r="D3091" s="201">
        <v>0</v>
      </c>
      <c r="E3091" s="201">
        <v>-299</v>
      </c>
      <c r="F3091">
        <v>951</v>
      </c>
      <c r="G3091">
        <v>0</v>
      </c>
      <c r="H3091">
        <v>0</v>
      </c>
      <c r="I3091">
        <v>-6112</v>
      </c>
      <c r="J3091">
        <v>2166</v>
      </c>
      <c r="K3091" s="201">
        <v>0</v>
      </c>
    </row>
    <row r="3092" spans="1:11" x14ac:dyDescent="0.25">
      <c r="A3092"/>
      <c r="B3092" s="201">
        <v>-20124</v>
      </c>
      <c r="C3092">
        <v>0</v>
      </c>
      <c r="D3092" s="201">
        <v>0</v>
      </c>
      <c r="E3092" s="201">
        <v>0</v>
      </c>
      <c r="F3092">
        <v>0</v>
      </c>
      <c r="G3092">
        <v>2600</v>
      </c>
      <c r="H3092">
        <v>-1136</v>
      </c>
      <c r="I3092">
        <v>-781</v>
      </c>
      <c r="J3092">
        <v>0</v>
      </c>
      <c r="K3092" s="201">
        <v>0</v>
      </c>
    </row>
    <row r="3093" spans="1:11" x14ac:dyDescent="0.25">
      <c r="A3093"/>
      <c r="B3093" s="201">
        <v>-584</v>
      </c>
      <c r="C3093">
        <v>3271</v>
      </c>
      <c r="D3093" s="201">
        <v>0</v>
      </c>
      <c r="E3093" s="201">
        <v>-1544</v>
      </c>
      <c r="F3093">
        <v>-2293</v>
      </c>
      <c r="G3093">
        <v>-847</v>
      </c>
      <c r="H3093">
        <v>-1072</v>
      </c>
      <c r="I3093">
        <v>-1025</v>
      </c>
      <c r="J3093">
        <v>50</v>
      </c>
      <c r="K3093" s="201">
        <v>-1947</v>
      </c>
    </row>
    <row r="3094" spans="1:11" x14ac:dyDescent="0.25">
      <c r="A3094"/>
      <c r="B3094" s="201">
        <v>0</v>
      </c>
      <c r="C3094">
        <v>0</v>
      </c>
      <c r="D3094" s="201">
        <v>0</v>
      </c>
      <c r="E3094" s="201">
        <v>0</v>
      </c>
      <c r="F3094">
        <v>0</v>
      </c>
      <c r="G3094">
        <v>2375</v>
      </c>
      <c r="H3094">
        <v>0</v>
      </c>
      <c r="I3094">
        <v>-2237</v>
      </c>
      <c r="J3094">
        <v>136</v>
      </c>
      <c r="K3094" s="201">
        <v>62</v>
      </c>
    </row>
    <row r="3095" spans="1:11" x14ac:dyDescent="0.25">
      <c r="A3095"/>
      <c r="B3095" s="201">
        <v>0</v>
      </c>
      <c r="C3095">
        <v>-4671</v>
      </c>
      <c r="D3095" s="201">
        <v>3747</v>
      </c>
      <c r="E3095" s="201">
        <v>-3464</v>
      </c>
      <c r="F3095">
        <v>-23761</v>
      </c>
      <c r="G3095">
        <v>-11401</v>
      </c>
      <c r="H3095">
        <v>0</v>
      </c>
      <c r="I3095">
        <v>-2468</v>
      </c>
      <c r="J3095">
        <v>-2210</v>
      </c>
      <c r="K3095" s="201">
        <v>133</v>
      </c>
    </row>
    <row r="3096" spans="1:11" x14ac:dyDescent="0.25">
      <c r="A3096"/>
      <c r="B3096" s="201">
        <v>283</v>
      </c>
      <c r="C3096">
        <v>0</v>
      </c>
      <c r="D3096" s="201">
        <v>297</v>
      </c>
      <c r="E3096" s="201">
        <v>-600</v>
      </c>
      <c r="F3096">
        <v>0</v>
      </c>
      <c r="G3096">
        <v>0</v>
      </c>
      <c r="H3096">
        <v>0</v>
      </c>
      <c r="I3096">
        <v>-594</v>
      </c>
      <c r="J3096">
        <v>-233</v>
      </c>
      <c r="K3096" s="201">
        <v>0</v>
      </c>
    </row>
    <row r="3097" spans="1:11" x14ac:dyDescent="0.25">
      <c r="A3097"/>
      <c r="B3097" s="201">
        <v>-1323</v>
      </c>
      <c r="C3097">
        <v>-1517</v>
      </c>
      <c r="D3097" s="201">
        <v>-438</v>
      </c>
      <c r="E3097" s="201">
        <v>113</v>
      </c>
      <c r="F3097">
        <v>0</v>
      </c>
      <c r="G3097">
        <v>0</v>
      </c>
      <c r="H3097">
        <v>0</v>
      </c>
      <c r="I3097">
        <v>0</v>
      </c>
      <c r="J3097">
        <v>0</v>
      </c>
      <c r="K3097" s="201">
        <v>2332</v>
      </c>
    </row>
    <row r="3098" spans="1:11" x14ac:dyDescent="0.25">
      <c r="A3098"/>
      <c r="B3098" s="201">
        <v>0</v>
      </c>
      <c r="C3098">
        <v>-1255</v>
      </c>
      <c r="D3098" s="201">
        <v>4</v>
      </c>
      <c r="E3098" s="201">
        <v>-306</v>
      </c>
      <c r="F3098">
        <v>0</v>
      </c>
      <c r="G3098">
        <v>-2212</v>
      </c>
      <c r="H3098">
        <v>1263</v>
      </c>
      <c r="I3098">
        <v>-3902</v>
      </c>
      <c r="J3098">
        <v>-23262</v>
      </c>
      <c r="K3098" s="201">
        <v>-10897</v>
      </c>
    </row>
    <row r="3099" spans="1:11" x14ac:dyDescent="0.25">
      <c r="A3099"/>
      <c r="B3099" s="201">
        <v>-3670</v>
      </c>
      <c r="C3099">
        <v>-2690</v>
      </c>
      <c r="D3099" s="201">
        <v>-2295</v>
      </c>
      <c r="E3099" s="201">
        <v>0</v>
      </c>
      <c r="F3099">
        <v>201</v>
      </c>
      <c r="G3099">
        <v>0</v>
      </c>
      <c r="H3099">
        <v>0</v>
      </c>
      <c r="I3099">
        <v>-310</v>
      </c>
      <c r="J3099">
        <v>79</v>
      </c>
      <c r="K3099" s="201">
        <v>0</v>
      </c>
    </row>
    <row r="3100" spans="1:11" x14ac:dyDescent="0.25">
      <c r="A3100"/>
      <c r="B3100" s="201">
        <v>3675</v>
      </c>
      <c r="C3100">
        <v>0</v>
      </c>
      <c r="D3100" s="201">
        <v>0</v>
      </c>
      <c r="E3100" s="201">
        <v>-818</v>
      </c>
      <c r="F3100">
        <v>0</v>
      </c>
      <c r="G3100">
        <v>-374</v>
      </c>
      <c r="H3100">
        <v>-1</v>
      </c>
      <c r="I3100">
        <v>-85</v>
      </c>
      <c r="J3100">
        <v>0</v>
      </c>
      <c r="K3100" s="201">
        <v>0</v>
      </c>
    </row>
    <row r="3101" spans="1:11" x14ac:dyDescent="0.25">
      <c r="A3101"/>
      <c r="B3101" s="201">
        <v>0</v>
      </c>
      <c r="C3101">
        <v>0</v>
      </c>
      <c r="D3101" s="201">
        <v>0</v>
      </c>
      <c r="E3101" s="201">
        <v>-679</v>
      </c>
      <c r="F3101">
        <v>0</v>
      </c>
      <c r="G3101">
        <v>1111</v>
      </c>
      <c r="H3101">
        <v>-137</v>
      </c>
      <c r="I3101">
        <v>-95</v>
      </c>
      <c r="J3101">
        <v>0</v>
      </c>
      <c r="K3101" s="201">
        <v>-9869</v>
      </c>
    </row>
    <row r="3102" spans="1:11" x14ac:dyDescent="0.25">
      <c r="A3102"/>
      <c r="B3102" s="201">
        <v>211</v>
      </c>
      <c r="C3102">
        <v>1762</v>
      </c>
      <c r="D3102" s="201">
        <v>0</v>
      </c>
      <c r="E3102" s="201">
        <v>0</v>
      </c>
      <c r="F3102">
        <v>0</v>
      </c>
      <c r="G3102">
        <v>988</v>
      </c>
      <c r="H3102">
        <v>2544</v>
      </c>
      <c r="I3102">
        <v>4532</v>
      </c>
      <c r="J3102">
        <v>-1787</v>
      </c>
      <c r="K3102" s="201">
        <v>-1476</v>
      </c>
    </row>
    <row r="3103" spans="1:11" x14ac:dyDescent="0.25">
      <c r="A3103"/>
      <c r="B3103" s="201">
        <v>0</v>
      </c>
      <c r="C3103">
        <v>487</v>
      </c>
      <c r="D3103" s="201">
        <v>0</v>
      </c>
      <c r="E3103" s="201">
        <v>0</v>
      </c>
      <c r="F3103">
        <v>1138</v>
      </c>
      <c r="G3103">
        <v>0</v>
      </c>
      <c r="H3103">
        <v>823</v>
      </c>
      <c r="I3103">
        <v>0</v>
      </c>
      <c r="J3103">
        <v>806</v>
      </c>
      <c r="K3103" s="201">
        <v>0</v>
      </c>
    </row>
    <row r="3104" spans="1:11" x14ac:dyDescent="0.25">
      <c r="A3104"/>
      <c r="B3104" s="201">
        <v>0</v>
      </c>
      <c r="C3104">
        <v>0</v>
      </c>
      <c r="D3104" s="201">
        <v>0</v>
      </c>
      <c r="E3104" s="201">
        <v>0</v>
      </c>
      <c r="F3104">
        <v>0</v>
      </c>
      <c r="G3104">
        <v>0</v>
      </c>
      <c r="H3104">
        <v>0</v>
      </c>
      <c r="I3104">
        <v>1652</v>
      </c>
      <c r="J3104">
        <v>0</v>
      </c>
      <c r="K3104" s="201">
        <v>-406</v>
      </c>
    </row>
    <row r="3105" spans="1:11" x14ac:dyDescent="0.25">
      <c r="A3105"/>
      <c r="B3105" s="201">
        <v>-42</v>
      </c>
      <c r="C3105">
        <v>295</v>
      </c>
      <c r="D3105" s="201">
        <v>0</v>
      </c>
      <c r="E3105" s="201">
        <v>-8678</v>
      </c>
      <c r="F3105">
        <v>-2057</v>
      </c>
      <c r="G3105">
        <v>0</v>
      </c>
      <c r="H3105">
        <v>0</v>
      </c>
      <c r="I3105">
        <v>0</v>
      </c>
      <c r="J3105">
        <v>0</v>
      </c>
      <c r="K3105" s="201">
        <v>0</v>
      </c>
    </row>
    <row r="3106" spans="1:11" x14ac:dyDescent="0.25">
      <c r="A3106"/>
      <c r="B3106" s="201">
        <v>6242</v>
      </c>
      <c r="C3106">
        <v>11665</v>
      </c>
      <c r="D3106" s="201">
        <v>-1982</v>
      </c>
      <c r="E3106" s="201">
        <v>-2029</v>
      </c>
      <c r="F3106">
        <v>-215</v>
      </c>
      <c r="G3106">
        <v>-3665</v>
      </c>
      <c r="H3106">
        <v>0</v>
      </c>
      <c r="I3106">
        <v>0</v>
      </c>
      <c r="J3106">
        <v>0</v>
      </c>
      <c r="K3106" s="201">
        <v>0</v>
      </c>
    </row>
    <row r="3107" spans="1:11" x14ac:dyDescent="0.25">
      <c r="A3107"/>
      <c r="B3107" s="201">
        <v>1641</v>
      </c>
      <c r="C3107">
        <v>0</v>
      </c>
      <c r="D3107" s="201">
        <v>-1513</v>
      </c>
      <c r="E3107" s="201">
        <v>0</v>
      </c>
      <c r="F3107">
        <v>0</v>
      </c>
      <c r="G3107">
        <v>5002</v>
      </c>
      <c r="H3107">
        <v>2828</v>
      </c>
      <c r="I3107">
        <v>0</v>
      </c>
      <c r="J3107">
        <v>0</v>
      </c>
      <c r="K3107" s="201">
        <v>0</v>
      </c>
    </row>
    <row r="3108" spans="1:11" x14ac:dyDescent="0.25">
      <c r="A3108"/>
      <c r="B3108" s="201">
        <v>0</v>
      </c>
      <c r="C3108">
        <v>1288</v>
      </c>
      <c r="D3108" s="201">
        <v>0</v>
      </c>
      <c r="E3108" s="201">
        <v>1091</v>
      </c>
      <c r="F3108">
        <v>-544</v>
      </c>
      <c r="G3108">
        <v>-188</v>
      </c>
      <c r="H3108">
        <v>14321</v>
      </c>
      <c r="I3108">
        <v>23300</v>
      </c>
      <c r="J3108">
        <v>-1672</v>
      </c>
      <c r="K3108" s="201">
        <v>84</v>
      </c>
    </row>
    <row r="3109" spans="1:11" x14ac:dyDescent="0.25">
      <c r="A3109"/>
      <c r="B3109" s="201">
        <v>-8093</v>
      </c>
      <c r="C3109">
        <v>-4745</v>
      </c>
      <c r="D3109" s="201">
        <v>-3674</v>
      </c>
      <c r="E3109" s="201">
        <v>0</v>
      </c>
      <c r="F3109">
        <v>0</v>
      </c>
      <c r="G3109">
        <v>-912</v>
      </c>
      <c r="H3109">
        <v>0</v>
      </c>
      <c r="I3109">
        <v>0</v>
      </c>
      <c r="J3109">
        <v>0</v>
      </c>
      <c r="K3109" s="201">
        <v>4419</v>
      </c>
    </row>
    <row r="3110" spans="1:11" x14ac:dyDescent="0.25">
      <c r="A3110"/>
      <c r="B3110" s="201">
        <v>1535</v>
      </c>
      <c r="C3110">
        <v>0</v>
      </c>
      <c r="D3110" s="201">
        <v>0</v>
      </c>
      <c r="E3110" s="201">
        <v>0</v>
      </c>
      <c r="F3110">
        <v>0</v>
      </c>
      <c r="G3110">
        <v>0</v>
      </c>
      <c r="H3110">
        <v>0</v>
      </c>
      <c r="I3110">
        <v>-7509</v>
      </c>
      <c r="J3110">
        <v>0</v>
      </c>
      <c r="K3110" s="201">
        <v>0</v>
      </c>
    </row>
    <row r="3111" spans="1:11" x14ac:dyDescent="0.25">
      <c r="A3111"/>
      <c r="B3111" s="201">
        <v>715</v>
      </c>
      <c r="C3111">
        <v>0</v>
      </c>
      <c r="D3111" s="201">
        <v>-761</v>
      </c>
      <c r="E3111" s="201">
        <v>0</v>
      </c>
      <c r="F3111">
        <v>-213</v>
      </c>
      <c r="G3111">
        <v>3157</v>
      </c>
      <c r="H3111">
        <v>949</v>
      </c>
      <c r="I3111">
        <v>0</v>
      </c>
      <c r="J3111">
        <v>2604</v>
      </c>
      <c r="K3111" s="201">
        <v>427</v>
      </c>
    </row>
    <row r="3112" spans="1:11" x14ac:dyDescent="0.25">
      <c r="A3112"/>
      <c r="B3112" s="201">
        <v>-3765</v>
      </c>
      <c r="C3112">
        <v>-3316</v>
      </c>
      <c r="D3112" s="201">
        <v>-4107</v>
      </c>
      <c r="E3112" s="201">
        <v>-1128</v>
      </c>
      <c r="F3112">
        <v>0</v>
      </c>
      <c r="G3112">
        <v>104</v>
      </c>
      <c r="H3112">
        <v>0</v>
      </c>
      <c r="I3112">
        <v>0</v>
      </c>
      <c r="J3112">
        <v>0</v>
      </c>
      <c r="K3112" s="201">
        <v>0</v>
      </c>
    </row>
    <row r="3113" spans="1:11" x14ac:dyDescent="0.25">
      <c r="A3113"/>
      <c r="B3113" s="201">
        <v>0</v>
      </c>
      <c r="C3113">
        <v>591</v>
      </c>
      <c r="D3113" s="201">
        <v>0</v>
      </c>
      <c r="E3113" s="201">
        <v>0</v>
      </c>
      <c r="F3113">
        <v>0</v>
      </c>
      <c r="G3113">
        <v>312</v>
      </c>
      <c r="H3113">
        <v>0</v>
      </c>
      <c r="I3113">
        <v>132</v>
      </c>
      <c r="J3113">
        <v>0</v>
      </c>
      <c r="K3113" s="201">
        <v>0</v>
      </c>
    </row>
    <row r="3114" spans="1:11" x14ac:dyDescent="0.25">
      <c r="A3114"/>
      <c r="B3114" s="201">
        <v>0</v>
      </c>
      <c r="C3114">
        <v>0</v>
      </c>
      <c r="D3114" s="201">
        <v>0</v>
      </c>
      <c r="E3114" s="201">
        <v>846</v>
      </c>
      <c r="F3114">
        <v>0</v>
      </c>
      <c r="G3114">
        <v>20</v>
      </c>
      <c r="H3114">
        <v>948</v>
      </c>
      <c r="I3114">
        <v>0</v>
      </c>
      <c r="J3114">
        <v>0</v>
      </c>
      <c r="K3114" s="201">
        <v>-6492</v>
      </c>
    </row>
    <row r="3115" spans="1:11" x14ac:dyDescent="0.25">
      <c r="A3115"/>
      <c r="B3115" s="201">
        <v>1050</v>
      </c>
      <c r="C3115">
        <v>0</v>
      </c>
      <c r="D3115" s="201">
        <v>-137</v>
      </c>
      <c r="E3115" s="201">
        <v>0</v>
      </c>
      <c r="F3115">
        <v>0</v>
      </c>
      <c r="G3115">
        <v>0</v>
      </c>
      <c r="H3115">
        <v>0</v>
      </c>
      <c r="I3115">
        <v>5071</v>
      </c>
      <c r="J3115">
        <v>-2538</v>
      </c>
      <c r="K3115" s="201">
        <v>-1522</v>
      </c>
    </row>
    <row r="3116" spans="1:11" x14ac:dyDescent="0.25">
      <c r="A3116"/>
      <c r="B3116" s="201">
        <v>0</v>
      </c>
      <c r="C3116">
        <v>0</v>
      </c>
      <c r="D3116" s="201">
        <v>-935</v>
      </c>
      <c r="E3116" s="201">
        <v>5522</v>
      </c>
      <c r="F3116">
        <v>0</v>
      </c>
      <c r="G3116">
        <v>-617</v>
      </c>
      <c r="H3116">
        <v>-797</v>
      </c>
      <c r="I3116">
        <v>-470</v>
      </c>
      <c r="J3116">
        <v>-113</v>
      </c>
      <c r="K3116" s="201">
        <v>198</v>
      </c>
    </row>
    <row r="3117" spans="1:11" x14ac:dyDescent="0.25">
      <c r="A3117"/>
      <c r="B3117" s="201">
        <v>-721</v>
      </c>
      <c r="C3117">
        <v>-5940</v>
      </c>
      <c r="D3117" s="201">
        <v>0</v>
      </c>
      <c r="E3117" s="201">
        <v>0</v>
      </c>
      <c r="F3117">
        <v>0</v>
      </c>
      <c r="G3117">
        <v>0</v>
      </c>
      <c r="H3117">
        <v>0</v>
      </c>
      <c r="I3117">
        <v>3091</v>
      </c>
      <c r="J3117">
        <v>0</v>
      </c>
      <c r="K3117" s="201">
        <v>-1913</v>
      </c>
    </row>
    <row r="3118" spans="1:11" x14ac:dyDescent="0.25">
      <c r="A3118"/>
      <c r="B3118" s="201">
        <v>25</v>
      </c>
      <c r="C3118">
        <v>720</v>
      </c>
      <c r="D3118" s="201">
        <v>0</v>
      </c>
      <c r="E3118" s="201">
        <v>-3692</v>
      </c>
      <c r="F3118">
        <v>3223</v>
      </c>
      <c r="G3118">
        <v>-3906</v>
      </c>
      <c r="H3118">
        <v>-12383</v>
      </c>
      <c r="I3118">
        <v>-28833</v>
      </c>
      <c r="J3118">
        <v>0</v>
      </c>
      <c r="K3118" s="201">
        <v>-2263</v>
      </c>
    </row>
    <row r="3119" spans="1:11" x14ac:dyDescent="0.25">
      <c r="A3119"/>
      <c r="B3119" s="201">
        <v>-2727</v>
      </c>
      <c r="C3119">
        <v>179</v>
      </c>
      <c r="D3119" s="201">
        <v>197</v>
      </c>
      <c r="E3119" s="201">
        <v>0</v>
      </c>
      <c r="F3119">
        <v>-21</v>
      </c>
      <c r="G3119">
        <v>-610</v>
      </c>
      <c r="H3119">
        <v>0</v>
      </c>
      <c r="I3119">
        <v>0</v>
      </c>
      <c r="J3119">
        <v>0</v>
      </c>
      <c r="K3119" s="201">
        <v>1782</v>
      </c>
    </row>
    <row r="3120" spans="1:11" x14ac:dyDescent="0.25">
      <c r="B3120" s="201">
        <v>2317</v>
      </c>
      <c r="C3120">
        <v>0</v>
      </c>
      <c r="D3120" s="201">
        <v>-60</v>
      </c>
      <c r="E3120" s="201">
        <v>-536</v>
      </c>
      <c r="F3120">
        <v>-500</v>
      </c>
      <c r="G3120">
        <v>1006</v>
      </c>
      <c r="H3120">
        <v>0</v>
      </c>
      <c r="I3120">
        <v>0</v>
      </c>
      <c r="J3120">
        <v>0</v>
      </c>
      <c r="K3120" s="201">
        <v>0</v>
      </c>
    </row>
    <row r="3121" spans="1:11" x14ac:dyDescent="0.25">
      <c r="A3121"/>
      <c r="B3121" s="201">
        <v>0</v>
      </c>
      <c r="C3121">
        <v>2477</v>
      </c>
      <c r="D3121" s="201">
        <v>0</v>
      </c>
      <c r="E3121" s="201">
        <v>-1061</v>
      </c>
      <c r="F3121">
        <v>43</v>
      </c>
      <c r="G3121">
        <v>-308</v>
      </c>
      <c r="H3121">
        <v>0</v>
      </c>
      <c r="I3121">
        <v>-1509</v>
      </c>
      <c r="J3121">
        <v>1443</v>
      </c>
      <c r="K3121" s="201">
        <v>-3849</v>
      </c>
    </row>
    <row r="3122" spans="1:11" x14ac:dyDescent="0.25">
      <c r="A3122"/>
      <c r="B3122" s="201">
        <v>-11992</v>
      </c>
      <c r="C3122">
        <v>-25704</v>
      </c>
      <c r="D3122" s="201">
        <v>-3693</v>
      </c>
      <c r="E3122" s="201">
        <v>-2851</v>
      </c>
      <c r="F3122">
        <v>-3141</v>
      </c>
      <c r="G3122">
        <v>0</v>
      </c>
      <c r="H3122">
        <v>117</v>
      </c>
      <c r="I3122">
        <v>0</v>
      </c>
      <c r="J3122">
        <v>0</v>
      </c>
      <c r="K3122" s="201">
        <v>-454</v>
      </c>
    </row>
    <row r="3123" spans="1:11" x14ac:dyDescent="0.25">
      <c r="B3123" s="201">
        <v>-172</v>
      </c>
      <c r="C3123">
        <v>0</v>
      </c>
      <c r="D3123" s="201">
        <v>2562</v>
      </c>
      <c r="E3123" s="201">
        <v>0</v>
      </c>
      <c r="F3123">
        <v>0</v>
      </c>
      <c r="G3123">
        <v>-499</v>
      </c>
      <c r="H3123">
        <v>0</v>
      </c>
      <c r="I3123">
        <v>619</v>
      </c>
      <c r="J3123">
        <v>291</v>
      </c>
      <c r="K3123" s="201">
        <v>-52</v>
      </c>
    </row>
    <row r="3124" spans="1:11" x14ac:dyDescent="0.25">
      <c r="A3124"/>
      <c r="B3124" s="201">
        <v>0</v>
      </c>
      <c r="C3124">
        <v>0</v>
      </c>
      <c r="D3124" s="201">
        <v>0</v>
      </c>
      <c r="E3124" s="201">
        <v>0</v>
      </c>
      <c r="F3124">
        <v>0</v>
      </c>
      <c r="G3124">
        <v>11</v>
      </c>
      <c r="H3124">
        <v>0</v>
      </c>
      <c r="I3124">
        <v>865</v>
      </c>
      <c r="J3124">
        <v>-76</v>
      </c>
      <c r="K3124" s="201">
        <v>-384</v>
      </c>
    </row>
    <row r="3125" spans="1:11" x14ac:dyDescent="0.25">
      <c r="A3125"/>
      <c r="B3125" s="201">
        <v>0</v>
      </c>
      <c r="C3125">
        <v>-8001</v>
      </c>
      <c r="D3125" s="201">
        <v>-335</v>
      </c>
      <c r="E3125" s="201">
        <v>1637</v>
      </c>
      <c r="F3125">
        <v>0</v>
      </c>
      <c r="G3125">
        <v>0</v>
      </c>
      <c r="H3125">
        <v>0</v>
      </c>
      <c r="I3125">
        <v>741</v>
      </c>
      <c r="J3125">
        <v>1666</v>
      </c>
      <c r="K3125" s="201">
        <v>4398</v>
      </c>
    </row>
    <row r="3126" spans="1:11" x14ac:dyDescent="0.25">
      <c r="A3126"/>
      <c r="B3126" s="201">
        <v>-787</v>
      </c>
      <c r="C3126">
        <v>-449</v>
      </c>
      <c r="D3126" s="201">
        <v>0</v>
      </c>
      <c r="E3126" s="201">
        <v>527</v>
      </c>
      <c r="F3126">
        <v>0</v>
      </c>
      <c r="G3126">
        <v>0</v>
      </c>
      <c r="H3126">
        <v>922</v>
      </c>
      <c r="I3126">
        <v>0</v>
      </c>
      <c r="J3126">
        <v>4</v>
      </c>
      <c r="K3126" s="201">
        <v>0</v>
      </c>
    </row>
    <row r="3127" spans="1:11" x14ac:dyDescent="0.25">
      <c r="A3127"/>
      <c r="B3127" s="201">
        <v>736</v>
      </c>
      <c r="C3127">
        <v>0</v>
      </c>
      <c r="D3127" s="201">
        <v>0</v>
      </c>
      <c r="E3127" s="201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 s="201">
        <v>1881</v>
      </c>
    </row>
    <row r="3128" spans="1:11" x14ac:dyDescent="0.25">
      <c r="A3128"/>
      <c r="B3128" s="201">
        <v>0</v>
      </c>
      <c r="C3128">
        <v>-256</v>
      </c>
      <c r="D3128" s="201">
        <v>-110</v>
      </c>
      <c r="E3128" s="201">
        <v>187</v>
      </c>
      <c r="F3128">
        <v>0</v>
      </c>
      <c r="G3128">
        <v>-6559</v>
      </c>
      <c r="H3128">
        <v>-1624</v>
      </c>
      <c r="I3128">
        <v>0</v>
      </c>
      <c r="J3128">
        <v>0</v>
      </c>
      <c r="K3128" s="201">
        <v>0</v>
      </c>
    </row>
    <row r="3129" spans="1:11" x14ac:dyDescent="0.25">
      <c r="A3129"/>
      <c r="B3129" s="201">
        <v>0</v>
      </c>
      <c r="C3129">
        <v>0</v>
      </c>
      <c r="D3129" s="201">
        <v>3600</v>
      </c>
      <c r="E3129" s="201">
        <v>9175</v>
      </c>
      <c r="F3129">
        <v>-665</v>
      </c>
      <c r="G3129">
        <v>-574</v>
      </c>
      <c r="H3129">
        <v>-341</v>
      </c>
      <c r="I3129">
        <v>-1696</v>
      </c>
      <c r="J3129">
        <v>0</v>
      </c>
      <c r="K3129" s="201">
        <v>0</v>
      </c>
    </row>
    <row r="3130" spans="1:11" x14ac:dyDescent="0.25">
      <c r="A3130"/>
      <c r="B3130" s="201">
        <v>0</v>
      </c>
      <c r="C3130">
        <v>0</v>
      </c>
      <c r="D3130" s="201">
        <v>-1552</v>
      </c>
      <c r="E3130" s="201">
        <v>0</v>
      </c>
      <c r="F3130">
        <v>-2644</v>
      </c>
      <c r="G3130">
        <v>0</v>
      </c>
      <c r="H3130">
        <v>0</v>
      </c>
      <c r="I3130">
        <v>-7110</v>
      </c>
      <c r="J3130">
        <v>1960</v>
      </c>
      <c r="K3130" s="201">
        <v>0</v>
      </c>
    </row>
    <row r="3131" spans="1:11" x14ac:dyDescent="0.25">
      <c r="A3131"/>
      <c r="B3131" s="201">
        <v>0</v>
      </c>
      <c r="C3131">
        <v>0</v>
      </c>
      <c r="D3131" s="201">
        <v>0</v>
      </c>
      <c r="E3131" s="201">
        <v>1112</v>
      </c>
      <c r="F3131">
        <v>0</v>
      </c>
      <c r="G3131">
        <v>720</v>
      </c>
      <c r="H3131">
        <v>-653</v>
      </c>
      <c r="I3131">
        <v>-369</v>
      </c>
      <c r="J3131">
        <v>15930</v>
      </c>
      <c r="K3131" s="201">
        <v>24506</v>
      </c>
    </row>
    <row r="3132" spans="1:11" x14ac:dyDescent="0.25">
      <c r="A3132"/>
      <c r="B3132" s="201">
        <v>53293</v>
      </c>
      <c r="C3132">
        <v>-1264</v>
      </c>
      <c r="D3132" s="201">
        <v>-169</v>
      </c>
      <c r="E3132" s="201">
        <v>-4125</v>
      </c>
      <c r="F3132">
        <v>-14452</v>
      </c>
      <c r="G3132">
        <v>-2892</v>
      </c>
      <c r="H3132">
        <v>0</v>
      </c>
      <c r="I3132">
        <v>0</v>
      </c>
      <c r="J3132">
        <v>-572</v>
      </c>
      <c r="K3132" s="201">
        <v>0</v>
      </c>
    </row>
    <row r="3133" spans="1:11" x14ac:dyDescent="0.25">
      <c r="A3133"/>
      <c r="B3133" s="201">
        <v>0</v>
      </c>
      <c r="C3133">
        <v>0</v>
      </c>
      <c r="D3133" s="201">
        <v>2220</v>
      </c>
      <c r="E3133" s="201">
        <v>848</v>
      </c>
      <c r="F3133">
        <v>0</v>
      </c>
      <c r="G3133">
        <v>0</v>
      </c>
      <c r="H3133">
        <v>0</v>
      </c>
      <c r="I3133">
        <v>0</v>
      </c>
      <c r="J3133">
        <v>0</v>
      </c>
      <c r="K3133" s="201">
        <v>0</v>
      </c>
    </row>
    <row r="3134" spans="1:11" x14ac:dyDescent="0.25">
      <c r="A3134"/>
      <c r="B3134" s="201">
        <v>-2485</v>
      </c>
      <c r="C3134">
        <v>0</v>
      </c>
      <c r="D3134" s="201">
        <v>0</v>
      </c>
      <c r="E3134" s="201">
        <v>2132</v>
      </c>
      <c r="F3134">
        <v>0</v>
      </c>
      <c r="G3134">
        <v>-2199</v>
      </c>
      <c r="H3134">
        <v>0</v>
      </c>
      <c r="I3134">
        <v>8</v>
      </c>
      <c r="J3134">
        <v>2198</v>
      </c>
      <c r="K3134" s="201">
        <v>1186</v>
      </c>
    </row>
    <row r="3135" spans="1:11" x14ac:dyDescent="0.25">
      <c r="A3135"/>
      <c r="B3135" s="201">
        <v>0</v>
      </c>
      <c r="C3135">
        <v>9103</v>
      </c>
      <c r="D3135" s="201">
        <v>1710</v>
      </c>
      <c r="E3135" s="201">
        <v>-16088</v>
      </c>
      <c r="F3135">
        <v>-6311</v>
      </c>
      <c r="G3135">
        <v>-6507</v>
      </c>
      <c r="H3135">
        <v>-3262</v>
      </c>
      <c r="I3135">
        <v>0</v>
      </c>
      <c r="J3135">
        <v>-366</v>
      </c>
      <c r="K3135" s="201">
        <v>0</v>
      </c>
    </row>
    <row r="3136" spans="1:11" x14ac:dyDescent="0.25">
      <c r="A3136"/>
      <c r="B3136" s="201">
        <v>0</v>
      </c>
      <c r="C3136">
        <v>0</v>
      </c>
      <c r="D3136" s="201">
        <v>0</v>
      </c>
      <c r="E3136" s="201">
        <v>0</v>
      </c>
      <c r="F3136">
        <v>-83</v>
      </c>
      <c r="G3136">
        <v>0</v>
      </c>
      <c r="H3136">
        <v>0</v>
      </c>
      <c r="I3136">
        <v>0</v>
      </c>
      <c r="J3136">
        <v>4268</v>
      </c>
      <c r="K3136" s="201">
        <v>0</v>
      </c>
    </row>
    <row r="3137" spans="1:11" x14ac:dyDescent="0.25">
      <c r="A3137"/>
      <c r="B3137" s="201">
        <v>-224</v>
      </c>
      <c r="C3137">
        <v>0</v>
      </c>
      <c r="D3137" s="201">
        <v>0</v>
      </c>
      <c r="E3137" s="201">
        <v>0</v>
      </c>
      <c r="F3137">
        <v>0</v>
      </c>
      <c r="G3137">
        <v>0</v>
      </c>
      <c r="H3137">
        <v>755</v>
      </c>
      <c r="I3137">
        <v>0</v>
      </c>
      <c r="J3137">
        <v>-22</v>
      </c>
      <c r="K3137" s="201">
        <v>-3088</v>
      </c>
    </row>
    <row r="3138" spans="1:11" x14ac:dyDescent="0.25">
      <c r="A3138"/>
      <c r="B3138" s="201">
        <v>0</v>
      </c>
      <c r="C3138">
        <v>0</v>
      </c>
      <c r="D3138" s="201">
        <v>-1770</v>
      </c>
      <c r="E3138" s="201">
        <v>25</v>
      </c>
      <c r="F3138">
        <v>0</v>
      </c>
      <c r="G3138">
        <v>1860</v>
      </c>
      <c r="H3138">
        <v>0</v>
      </c>
      <c r="I3138">
        <v>0</v>
      </c>
      <c r="J3138">
        <v>0</v>
      </c>
      <c r="K3138" s="201">
        <v>0</v>
      </c>
    </row>
    <row r="3139" spans="1:11" x14ac:dyDescent="0.25">
      <c r="B3139" s="201">
        <v>4111</v>
      </c>
      <c r="C3139">
        <v>-1484</v>
      </c>
      <c r="D3139" s="201">
        <v>-864</v>
      </c>
      <c r="E3139" s="201">
        <v>0</v>
      </c>
      <c r="F3139">
        <v>0</v>
      </c>
      <c r="G3139">
        <v>-1780</v>
      </c>
      <c r="H3139">
        <v>4104</v>
      </c>
      <c r="I3139">
        <v>0</v>
      </c>
      <c r="J3139">
        <v>953</v>
      </c>
      <c r="K3139" s="201">
        <v>1305</v>
      </c>
    </row>
    <row r="3140" spans="1:11" x14ac:dyDescent="0.25">
      <c r="A3140"/>
      <c r="B3140" s="201">
        <v>4</v>
      </c>
      <c r="C3140">
        <v>836</v>
      </c>
      <c r="D3140" s="201">
        <v>847</v>
      </c>
      <c r="E3140" s="201">
        <v>-862</v>
      </c>
      <c r="F3140">
        <v>975</v>
      </c>
      <c r="G3140">
        <v>0</v>
      </c>
      <c r="H3140">
        <v>0</v>
      </c>
      <c r="I3140">
        <v>0</v>
      </c>
      <c r="J3140">
        <v>0</v>
      </c>
      <c r="K3140" s="201">
        <v>0</v>
      </c>
    </row>
    <row r="3141" spans="1:11" x14ac:dyDescent="0.25">
      <c r="A3141"/>
      <c r="B3141" s="201">
        <v>1526</v>
      </c>
      <c r="C3141">
        <v>0</v>
      </c>
      <c r="D3141" s="201">
        <v>-1062</v>
      </c>
      <c r="E3141" s="201">
        <v>691</v>
      </c>
      <c r="F3141">
        <v>-679</v>
      </c>
      <c r="G3141">
        <v>0</v>
      </c>
      <c r="H3141">
        <v>-2631</v>
      </c>
      <c r="I3141">
        <v>-311</v>
      </c>
      <c r="J3141">
        <v>1073</v>
      </c>
      <c r="K3141" s="201">
        <v>1366</v>
      </c>
    </row>
    <row r="3142" spans="1:11" x14ac:dyDescent="0.25">
      <c r="A3142"/>
      <c r="B3142" s="201">
        <v>440</v>
      </c>
      <c r="C3142">
        <v>0</v>
      </c>
      <c r="D3142" s="201">
        <v>-454</v>
      </c>
      <c r="E3142" s="201">
        <v>-315</v>
      </c>
      <c r="F3142">
        <v>4079</v>
      </c>
      <c r="G3142">
        <v>-1266</v>
      </c>
      <c r="H3142">
        <v>0</v>
      </c>
      <c r="I3142">
        <v>595</v>
      </c>
      <c r="J3142">
        <v>-832</v>
      </c>
      <c r="K3142" s="201">
        <v>0</v>
      </c>
    </row>
    <row r="3143" spans="1:11" x14ac:dyDescent="0.25">
      <c r="A3143"/>
      <c r="B3143" s="201">
        <v>0</v>
      </c>
      <c r="C3143">
        <v>0</v>
      </c>
      <c r="D3143" s="201">
        <v>302</v>
      </c>
      <c r="E3143" s="201">
        <v>457</v>
      </c>
      <c r="F3143">
        <v>0</v>
      </c>
      <c r="G3143">
        <v>821</v>
      </c>
      <c r="H3143">
        <v>604</v>
      </c>
      <c r="I3143">
        <v>-1099</v>
      </c>
      <c r="J3143">
        <v>352</v>
      </c>
      <c r="K3143" s="201">
        <v>0</v>
      </c>
    </row>
    <row r="3144" spans="1:11" x14ac:dyDescent="0.25">
      <c r="A3144"/>
      <c r="B3144" s="201">
        <v>0</v>
      </c>
      <c r="C3144">
        <v>0</v>
      </c>
      <c r="D3144" s="201">
        <v>0</v>
      </c>
      <c r="E3144" s="201">
        <v>0</v>
      </c>
      <c r="F3144">
        <v>2395</v>
      </c>
      <c r="G3144">
        <v>0</v>
      </c>
      <c r="H3144">
        <v>-68</v>
      </c>
      <c r="I3144">
        <v>785</v>
      </c>
      <c r="J3144">
        <v>7</v>
      </c>
      <c r="K3144" s="201">
        <v>0</v>
      </c>
    </row>
    <row r="3145" spans="1:11" x14ac:dyDescent="0.25">
      <c r="A3145"/>
      <c r="B3145" s="201">
        <v>1043</v>
      </c>
      <c r="C3145">
        <v>-1176</v>
      </c>
      <c r="D3145" s="201">
        <v>-3152</v>
      </c>
      <c r="E3145" s="201">
        <v>-4876</v>
      </c>
      <c r="F3145">
        <v>-5243</v>
      </c>
      <c r="G3145">
        <v>-26646</v>
      </c>
      <c r="H3145">
        <v>-6539</v>
      </c>
      <c r="I3145">
        <v>-7155</v>
      </c>
      <c r="J3145">
        <v>0</v>
      </c>
      <c r="K3145" s="201">
        <v>502</v>
      </c>
    </row>
    <row r="3146" spans="1:11" x14ac:dyDescent="0.25">
      <c r="A3146"/>
      <c r="B3146" s="201">
        <v>0</v>
      </c>
      <c r="C3146">
        <v>0</v>
      </c>
      <c r="D3146" s="201">
        <v>-1114</v>
      </c>
      <c r="E3146" s="201">
        <v>41</v>
      </c>
      <c r="F3146">
        <v>0</v>
      </c>
      <c r="G3146">
        <v>2439</v>
      </c>
      <c r="H3146">
        <v>0</v>
      </c>
      <c r="I3146">
        <v>0</v>
      </c>
      <c r="J3146">
        <v>-808</v>
      </c>
      <c r="K3146" s="201">
        <v>0</v>
      </c>
    </row>
    <row r="3147" spans="1:11" x14ac:dyDescent="0.25">
      <c r="B3147" s="201">
        <v>9105</v>
      </c>
      <c r="C3147">
        <v>410</v>
      </c>
      <c r="D3147" s="201">
        <v>-216</v>
      </c>
      <c r="E3147" s="201">
        <v>0</v>
      </c>
      <c r="F3147">
        <v>0</v>
      </c>
      <c r="G3147">
        <v>0</v>
      </c>
      <c r="H3147">
        <v>0</v>
      </c>
      <c r="I3147">
        <v>0</v>
      </c>
      <c r="J3147">
        <v>65</v>
      </c>
      <c r="K3147" s="201">
        <v>0</v>
      </c>
    </row>
    <row r="3148" spans="1:11" x14ac:dyDescent="0.25">
      <c r="A3148"/>
      <c r="B3148" s="201">
        <v>2367</v>
      </c>
      <c r="C3148">
        <v>-88</v>
      </c>
      <c r="D3148" s="201">
        <v>-75</v>
      </c>
      <c r="E3148" s="201">
        <v>0</v>
      </c>
      <c r="F3148">
        <v>-1471</v>
      </c>
      <c r="G3148">
        <v>-404</v>
      </c>
      <c r="H3148">
        <v>684</v>
      </c>
      <c r="I3148">
        <v>0</v>
      </c>
      <c r="J3148">
        <v>0</v>
      </c>
      <c r="K3148" s="201">
        <v>0</v>
      </c>
    </row>
    <row r="3149" spans="1:11" x14ac:dyDescent="0.25">
      <c r="A3149"/>
      <c r="B3149" s="201">
        <v>350</v>
      </c>
      <c r="C3149">
        <v>411</v>
      </c>
      <c r="D3149" s="201">
        <v>3019</v>
      </c>
      <c r="E3149" s="201">
        <v>-942</v>
      </c>
      <c r="F3149">
        <v>-378</v>
      </c>
      <c r="G3149">
        <v>0</v>
      </c>
      <c r="H3149">
        <v>-135</v>
      </c>
      <c r="I3149">
        <v>0</v>
      </c>
      <c r="J3149">
        <v>0</v>
      </c>
      <c r="K3149" s="201">
        <v>996</v>
      </c>
    </row>
    <row r="3150" spans="1:11" x14ac:dyDescent="0.25">
      <c r="A3150"/>
      <c r="B3150" s="201">
        <v>0</v>
      </c>
      <c r="C3150">
        <v>216</v>
      </c>
      <c r="D3150" s="201">
        <v>0</v>
      </c>
      <c r="E3150" s="201">
        <v>361</v>
      </c>
      <c r="F3150">
        <v>0</v>
      </c>
      <c r="G3150">
        <v>0</v>
      </c>
      <c r="H3150">
        <v>0</v>
      </c>
      <c r="I3150">
        <v>0</v>
      </c>
      <c r="J3150">
        <v>0</v>
      </c>
      <c r="K3150" s="201">
        <v>0</v>
      </c>
    </row>
    <row r="3151" spans="1:11" x14ac:dyDescent="0.25">
      <c r="A3151"/>
      <c r="B3151" s="201">
        <v>0</v>
      </c>
      <c r="C3151">
        <v>0</v>
      </c>
      <c r="D3151" s="201">
        <v>1432</v>
      </c>
      <c r="E3151" s="201">
        <v>0</v>
      </c>
      <c r="F3151">
        <v>50</v>
      </c>
      <c r="G3151">
        <v>456</v>
      </c>
      <c r="H3151">
        <v>104</v>
      </c>
      <c r="I3151">
        <v>0</v>
      </c>
      <c r="J3151">
        <v>-1503</v>
      </c>
      <c r="K3151" s="201">
        <v>-1082</v>
      </c>
    </row>
    <row r="3152" spans="1:11" x14ac:dyDescent="0.25">
      <c r="A3152"/>
      <c r="B3152" s="201">
        <v>0</v>
      </c>
      <c r="C3152">
        <v>0</v>
      </c>
      <c r="D3152" s="201">
        <v>0</v>
      </c>
      <c r="E3152" s="201">
        <v>0</v>
      </c>
      <c r="F3152">
        <v>0</v>
      </c>
      <c r="G3152">
        <v>1616</v>
      </c>
      <c r="H3152">
        <v>7544</v>
      </c>
      <c r="I3152">
        <v>-1455</v>
      </c>
      <c r="J3152">
        <v>-252</v>
      </c>
      <c r="K3152" s="201">
        <v>-473</v>
      </c>
    </row>
    <row r="3153" spans="1:11" x14ac:dyDescent="0.25">
      <c r="B3153" s="201">
        <v>-2429</v>
      </c>
      <c r="C3153">
        <v>0</v>
      </c>
      <c r="D3153" s="201">
        <v>0</v>
      </c>
      <c r="E3153" s="201">
        <v>0</v>
      </c>
      <c r="F3153">
        <v>0</v>
      </c>
      <c r="G3153">
        <v>-154</v>
      </c>
      <c r="H3153">
        <v>0</v>
      </c>
      <c r="I3153">
        <v>-1859</v>
      </c>
      <c r="J3153">
        <v>0</v>
      </c>
      <c r="K3153" s="201">
        <v>0</v>
      </c>
    </row>
    <row r="3154" spans="1:11" x14ac:dyDescent="0.25">
      <c r="A3154"/>
      <c r="B3154" s="201">
        <v>-578</v>
      </c>
      <c r="C3154">
        <v>-334</v>
      </c>
      <c r="D3154" s="201">
        <v>0</v>
      </c>
      <c r="E3154" s="201">
        <v>0</v>
      </c>
      <c r="F3154">
        <v>0</v>
      </c>
      <c r="G3154">
        <v>0</v>
      </c>
      <c r="H3154">
        <v>1227</v>
      </c>
      <c r="I3154">
        <v>0</v>
      </c>
      <c r="J3154">
        <v>522</v>
      </c>
      <c r="K3154" s="201">
        <v>509</v>
      </c>
    </row>
    <row r="3155" spans="1:11" x14ac:dyDescent="0.25">
      <c r="A3155"/>
      <c r="B3155" s="201">
        <v>-922</v>
      </c>
      <c r="C3155">
        <v>11591</v>
      </c>
      <c r="D3155" s="201">
        <v>15605</v>
      </c>
      <c r="E3155" s="201">
        <v>20888</v>
      </c>
      <c r="F3155">
        <v>21974</v>
      </c>
      <c r="G3155">
        <v>320</v>
      </c>
      <c r="H3155">
        <v>182</v>
      </c>
      <c r="I3155">
        <v>-3135</v>
      </c>
      <c r="J3155">
        <v>-4030</v>
      </c>
      <c r="K3155" s="201">
        <v>-19067</v>
      </c>
    </row>
    <row r="3156" spans="1:11" x14ac:dyDescent="0.25">
      <c r="A3156"/>
      <c r="B3156" s="201">
        <v>0</v>
      </c>
      <c r="C3156">
        <v>0</v>
      </c>
      <c r="D3156" s="201">
        <v>-73</v>
      </c>
      <c r="E3156" s="201">
        <v>0</v>
      </c>
      <c r="F3156">
        <v>0</v>
      </c>
      <c r="G3156">
        <v>0</v>
      </c>
      <c r="H3156">
        <v>621</v>
      </c>
      <c r="I3156">
        <v>-230</v>
      </c>
      <c r="J3156">
        <v>0</v>
      </c>
      <c r="K3156" s="201">
        <v>0</v>
      </c>
    </row>
    <row r="3157" spans="1:11" x14ac:dyDescent="0.25">
      <c r="A3157"/>
      <c r="B3157" s="201">
        <v>0</v>
      </c>
      <c r="C3157">
        <v>0</v>
      </c>
      <c r="D3157" s="201">
        <v>0</v>
      </c>
      <c r="E3157" s="201">
        <v>0</v>
      </c>
      <c r="F3157">
        <v>-2131</v>
      </c>
      <c r="G3157">
        <v>0</v>
      </c>
      <c r="H3157">
        <v>0</v>
      </c>
      <c r="I3157">
        <v>3058</v>
      </c>
      <c r="J3157">
        <v>0</v>
      </c>
      <c r="K3157" s="201">
        <v>-3133</v>
      </c>
    </row>
    <row r="3158" spans="1:11" x14ac:dyDescent="0.25">
      <c r="A3158"/>
      <c r="B3158" s="201">
        <v>0</v>
      </c>
      <c r="C3158">
        <v>-24</v>
      </c>
      <c r="D3158" s="201">
        <v>1165</v>
      </c>
      <c r="E3158" s="201">
        <v>229</v>
      </c>
      <c r="F3158">
        <v>0</v>
      </c>
      <c r="G3158">
        <v>8350</v>
      </c>
      <c r="H3158">
        <v>2437</v>
      </c>
      <c r="I3158">
        <v>-5559</v>
      </c>
      <c r="J3158">
        <v>-16659</v>
      </c>
      <c r="K3158" s="201">
        <v>-5841</v>
      </c>
    </row>
    <row r="3159" spans="1:11" x14ac:dyDescent="0.25">
      <c r="A3159"/>
      <c r="B3159" s="201">
        <v>-1879</v>
      </c>
      <c r="C3159">
        <v>0</v>
      </c>
      <c r="D3159" s="201">
        <v>-153</v>
      </c>
      <c r="E3159" s="201">
        <v>0</v>
      </c>
      <c r="F3159">
        <v>0</v>
      </c>
      <c r="G3159">
        <v>0</v>
      </c>
      <c r="H3159">
        <v>0</v>
      </c>
      <c r="I3159">
        <v>0</v>
      </c>
      <c r="J3159">
        <v>-402</v>
      </c>
      <c r="K3159" s="201">
        <v>0</v>
      </c>
    </row>
    <row r="3160" spans="1:11" x14ac:dyDescent="0.25">
      <c r="A3160"/>
      <c r="B3160" s="201">
        <v>0</v>
      </c>
      <c r="C3160">
        <v>0</v>
      </c>
      <c r="D3160" s="201">
        <v>769</v>
      </c>
      <c r="E3160" s="201">
        <v>0</v>
      </c>
      <c r="F3160">
        <v>-606</v>
      </c>
      <c r="G3160">
        <v>0</v>
      </c>
      <c r="H3160">
        <v>0</v>
      </c>
      <c r="I3160">
        <v>0</v>
      </c>
      <c r="J3160">
        <v>0</v>
      </c>
      <c r="K3160" s="201">
        <v>0</v>
      </c>
    </row>
    <row r="3161" spans="1:11" x14ac:dyDescent="0.25">
      <c r="A3161"/>
      <c r="B3161" s="201">
        <v>1413</v>
      </c>
      <c r="C3161">
        <v>0</v>
      </c>
      <c r="D3161" s="201">
        <v>46</v>
      </c>
      <c r="E3161" s="201">
        <v>-2566</v>
      </c>
      <c r="F3161">
        <v>0</v>
      </c>
      <c r="G3161">
        <v>0</v>
      </c>
      <c r="H3161">
        <v>-2298</v>
      </c>
      <c r="I3161">
        <v>-640</v>
      </c>
      <c r="J3161">
        <v>0</v>
      </c>
      <c r="K3161" s="201">
        <v>3777</v>
      </c>
    </row>
    <row r="3162" spans="1:11" x14ac:dyDescent="0.25">
      <c r="A3162"/>
      <c r="B3162" s="201">
        <v>0</v>
      </c>
      <c r="C3162">
        <v>0</v>
      </c>
      <c r="D3162" s="201">
        <v>0</v>
      </c>
      <c r="E3162" s="201">
        <v>0</v>
      </c>
      <c r="F3162">
        <v>7419</v>
      </c>
      <c r="G3162">
        <v>-1164</v>
      </c>
      <c r="H3162">
        <v>-1103</v>
      </c>
      <c r="I3162">
        <v>0</v>
      </c>
      <c r="J3162">
        <v>0</v>
      </c>
      <c r="K3162" s="201">
        <v>339</v>
      </c>
    </row>
    <row r="3163" spans="1:11" x14ac:dyDescent="0.25">
      <c r="B3163" s="201">
        <v>2674</v>
      </c>
      <c r="C3163">
        <v>0</v>
      </c>
      <c r="D3163" s="201">
        <v>729</v>
      </c>
      <c r="E3163" s="201">
        <v>2755</v>
      </c>
      <c r="F3163">
        <v>240</v>
      </c>
      <c r="G3163">
        <v>2485</v>
      </c>
      <c r="H3163">
        <v>1814</v>
      </c>
      <c r="I3163">
        <v>2511</v>
      </c>
      <c r="J3163">
        <v>4392</v>
      </c>
      <c r="K3163" s="201">
        <v>0</v>
      </c>
    </row>
    <row r="3164" spans="1:11" x14ac:dyDescent="0.25">
      <c r="A3164"/>
      <c r="B3164" s="201">
        <v>0</v>
      </c>
      <c r="C3164">
        <v>0</v>
      </c>
      <c r="D3164" s="201">
        <v>0</v>
      </c>
      <c r="E3164" s="201">
        <v>0</v>
      </c>
      <c r="F3164">
        <v>2233</v>
      </c>
      <c r="G3164">
        <v>0</v>
      </c>
      <c r="H3164">
        <v>398</v>
      </c>
      <c r="I3164">
        <v>378</v>
      </c>
      <c r="J3164">
        <v>-2892</v>
      </c>
      <c r="K3164" s="201">
        <v>0</v>
      </c>
    </row>
    <row r="3165" spans="1:11" x14ac:dyDescent="0.25">
      <c r="A3165"/>
      <c r="B3165" s="201">
        <v>-1838</v>
      </c>
      <c r="C3165">
        <v>1443</v>
      </c>
      <c r="D3165" s="201">
        <v>-860</v>
      </c>
      <c r="E3165" s="201">
        <v>-2507</v>
      </c>
      <c r="F3165">
        <v>-2403</v>
      </c>
      <c r="G3165">
        <v>0</v>
      </c>
      <c r="H3165">
        <v>-28448</v>
      </c>
      <c r="I3165">
        <v>-8503</v>
      </c>
      <c r="J3165">
        <v>998</v>
      </c>
      <c r="K3165" s="201">
        <v>-542</v>
      </c>
    </row>
    <row r="3166" spans="1:11" x14ac:dyDescent="0.25">
      <c r="A3166"/>
      <c r="B3166" s="201">
        <v>0</v>
      </c>
      <c r="C3166">
        <v>327</v>
      </c>
      <c r="D3166" s="201">
        <v>-2960</v>
      </c>
      <c r="E3166" s="201">
        <v>0</v>
      </c>
      <c r="F3166">
        <v>0</v>
      </c>
      <c r="G3166">
        <v>0</v>
      </c>
      <c r="H3166">
        <v>-321</v>
      </c>
      <c r="I3166">
        <v>-1106</v>
      </c>
      <c r="J3166">
        <v>0</v>
      </c>
      <c r="K3166" s="201">
        <v>-1076</v>
      </c>
    </row>
    <row r="3167" spans="1:11" x14ac:dyDescent="0.25">
      <c r="A3167"/>
      <c r="B3167" s="201">
        <v>-1493</v>
      </c>
      <c r="C3167">
        <v>-588</v>
      </c>
      <c r="D3167" s="201">
        <v>-588</v>
      </c>
      <c r="E3167" s="201">
        <v>0</v>
      </c>
      <c r="F3167">
        <v>0</v>
      </c>
      <c r="G3167">
        <v>0</v>
      </c>
      <c r="H3167">
        <v>0</v>
      </c>
      <c r="I3167">
        <v>0</v>
      </c>
      <c r="J3167">
        <v>3634</v>
      </c>
      <c r="K3167" s="201">
        <v>0</v>
      </c>
    </row>
    <row r="3168" spans="1:11" x14ac:dyDescent="0.25">
      <c r="A3168"/>
      <c r="B3168" s="201">
        <v>-408</v>
      </c>
      <c r="C3168">
        <v>221</v>
      </c>
      <c r="D3168" s="201">
        <v>592</v>
      </c>
      <c r="E3168" s="201">
        <v>0</v>
      </c>
      <c r="F3168">
        <v>108</v>
      </c>
      <c r="G3168">
        <v>-325</v>
      </c>
      <c r="H3168">
        <v>-1976</v>
      </c>
      <c r="I3168">
        <v>-3351</v>
      </c>
      <c r="J3168">
        <v>-3938</v>
      </c>
      <c r="K3168" s="201">
        <v>-7004</v>
      </c>
    </row>
    <row r="3169" spans="1:11" x14ac:dyDescent="0.25">
      <c r="B3169" s="201">
        <v>-28772</v>
      </c>
      <c r="C3169">
        <v>-9953</v>
      </c>
      <c r="D3169" s="201">
        <v>0</v>
      </c>
      <c r="E3169" s="201">
        <v>187</v>
      </c>
      <c r="F3169">
        <v>0</v>
      </c>
      <c r="G3169">
        <v>0</v>
      </c>
      <c r="H3169">
        <v>-2940</v>
      </c>
      <c r="I3169">
        <v>-72</v>
      </c>
      <c r="J3169">
        <v>0</v>
      </c>
      <c r="K3169" s="201">
        <v>-2081</v>
      </c>
    </row>
    <row r="3170" spans="1:11" x14ac:dyDescent="0.25">
      <c r="A3170"/>
      <c r="B3170" s="201">
        <v>0</v>
      </c>
      <c r="C3170">
        <v>0</v>
      </c>
      <c r="D3170" s="201">
        <v>-1139</v>
      </c>
      <c r="E3170" s="201">
        <v>0</v>
      </c>
      <c r="F3170">
        <v>1063</v>
      </c>
      <c r="G3170">
        <v>-156</v>
      </c>
      <c r="H3170">
        <v>183</v>
      </c>
      <c r="I3170">
        <v>0</v>
      </c>
      <c r="J3170">
        <v>0</v>
      </c>
      <c r="K3170" s="201">
        <v>0</v>
      </c>
    </row>
    <row r="3171" spans="1:11" x14ac:dyDescent="0.25">
      <c r="A3171"/>
      <c r="B3171" s="201">
        <v>0</v>
      </c>
      <c r="C3171">
        <v>0</v>
      </c>
      <c r="D3171" s="201">
        <v>1911</v>
      </c>
      <c r="E3171" s="201">
        <v>0</v>
      </c>
      <c r="F3171">
        <v>1863</v>
      </c>
      <c r="G3171">
        <v>105</v>
      </c>
      <c r="H3171">
        <v>555</v>
      </c>
      <c r="I3171">
        <v>0</v>
      </c>
      <c r="J3171">
        <v>-326</v>
      </c>
      <c r="K3171" s="201">
        <v>1031</v>
      </c>
    </row>
    <row r="3172" spans="1:11" x14ac:dyDescent="0.25">
      <c r="A3172"/>
      <c r="B3172" s="201">
        <v>264</v>
      </c>
      <c r="C3172">
        <v>0</v>
      </c>
      <c r="D3172" s="201">
        <v>0</v>
      </c>
      <c r="E3172" s="201">
        <v>0</v>
      </c>
      <c r="F3172">
        <v>-22723</v>
      </c>
      <c r="G3172">
        <v>-6284</v>
      </c>
      <c r="H3172">
        <v>819</v>
      </c>
      <c r="I3172">
        <v>-712</v>
      </c>
      <c r="J3172">
        <v>-392</v>
      </c>
      <c r="K3172" s="201">
        <v>0</v>
      </c>
    </row>
    <row r="3173" spans="1:11" x14ac:dyDescent="0.25">
      <c r="B3173" s="201">
        <v>-1184</v>
      </c>
      <c r="C3173">
        <v>0</v>
      </c>
      <c r="D3173" s="201">
        <v>0</v>
      </c>
      <c r="E3173" s="201">
        <v>-2560</v>
      </c>
      <c r="F3173">
        <v>0</v>
      </c>
      <c r="G3173">
        <v>-1658</v>
      </c>
      <c r="H3173">
        <v>0</v>
      </c>
      <c r="I3173">
        <v>-1445</v>
      </c>
      <c r="J3173">
        <v>0</v>
      </c>
      <c r="K3173" s="201">
        <v>0</v>
      </c>
    </row>
    <row r="3174" spans="1:11" x14ac:dyDescent="0.25">
      <c r="A3174"/>
      <c r="B3174" s="201">
        <v>0</v>
      </c>
      <c r="C3174">
        <v>0</v>
      </c>
      <c r="D3174" s="201">
        <v>0</v>
      </c>
      <c r="E3174" s="201">
        <v>0</v>
      </c>
      <c r="F3174">
        <v>0</v>
      </c>
      <c r="G3174">
        <v>0</v>
      </c>
      <c r="H3174">
        <v>2335</v>
      </c>
      <c r="I3174">
        <v>0</v>
      </c>
      <c r="J3174">
        <v>-535</v>
      </c>
      <c r="K3174" s="201">
        <v>105</v>
      </c>
    </row>
    <row r="3175" spans="1:11" x14ac:dyDescent="0.25">
      <c r="A3175"/>
      <c r="B3175" s="201">
        <v>666</v>
      </c>
      <c r="C3175">
        <v>0</v>
      </c>
      <c r="D3175" s="201">
        <v>-2876</v>
      </c>
      <c r="E3175" s="201">
        <v>-2319</v>
      </c>
      <c r="F3175">
        <v>0</v>
      </c>
      <c r="G3175">
        <v>0</v>
      </c>
      <c r="H3175">
        <v>0</v>
      </c>
      <c r="I3175">
        <v>0</v>
      </c>
      <c r="J3175">
        <v>0</v>
      </c>
      <c r="K3175" s="201">
        <v>4240</v>
      </c>
    </row>
    <row r="3176" spans="1:11" x14ac:dyDescent="0.25">
      <c r="B3176" s="201">
        <v>12017</v>
      </c>
      <c r="C3176">
        <v>534</v>
      </c>
      <c r="D3176" s="201">
        <v>-684</v>
      </c>
      <c r="E3176" s="201">
        <v>-2218</v>
      </c>
      <c r="F3176">
        <v>-1233</v>
      </c>
      <c r="G3176">
        <v>0</v>
      </c>
      <c r="H3176">
        <v>0</v>
      </c>
      <c r="I3176">
        <v>0</v>
      </c>
      <c r="J3176">
        <v>0</v>
      </c>
      <c r="K3176" s="201">
        <v>2178</v>
      </c>
    </row>
    <row r="3177" spans="1:11" x14ac:dyDescent="0.25">
      <c r="A3177"/>
      <c r="B3177" s="201">
        <v>0</v>
      </c>
      <c r="C3177">
        <v>297</v>
      </c>
      <c r="D3177" s="201">
        <v>0</v>
      </c>
      <c r="E3177" s="201">
        <v>0</v>
      </c>
      <c r="F3177">
        <v>3226</v>
      </c>
      <c r="G3177">
        <v>-29</v>
      </c>
      <c r="H3177">
        <v>0</v>
      </c>
      <c r="I3177">
        <v>0</v>
      </c>
      <c r="J3177">
        <v>0</v>
      </c>
      <c r="K3177" s="201">
        <v>0</v>
      </c>
    </row>
    <row r="3178" spans="1:11" x14ac:dyDescent="0.25">
      <c r="A3178"/>
      <c r="B3178" s="201">
        <v>3032</v>
      </c>
      <c r="C3178">
        <v>0</v>
      </c>
      <c r="D3178" s="201">
        <v>2308</v>
      </c>
      <c r="E3178" s="201">
        <v>-71</v>
      </c>
      <c r="F3178">
        <v>-5502</v>
      </c>
      <c r="G3178">
        <v>10814</v>
      </c>
      <c r="H3178">
        <v>9850</v>
      </c>
      <c r="I3178">
        <v>18179</v>
      </c>
      <c r="J3178">
        <v>16212</v>
      </c>
      <c r="K3178" s="201">
        <v>32732</v>
      </c>
    </row>
    <row r="3179" spans="1:11" x14ac:dyDescent="0.25">
      <c r="A3179"/>
      <c r="B3179" s="201">
        <v>435</v>
      </c>
      <c r="C3179">
        <v>205</v>
      </c>
      <c r="D3179" s="201">
        <v>-3200</v>
      </c>
      <c r="E3179" s="201">
        <v>-5215</v>
      </c>
      <c r="F3179">
        <v>-6420</v>
      </c>
      <c r="G3179">
        <v>0</v>
      </c>
      <c r="H3179">
        <v>0</v>
      </c>
      <c r="I3179">
        <v>-305</v>
      </c>
      <c r="J3179">
        <v>0</v>
      </c>
      <c r="K3179" s="201">
        <v>0</v>
      </c>
    </row>
    <row r="3180" spans="1:11" x14ac:dyDescent="0.25">
      <c r="A3180"/>
      <c r="B3180" s="201">
        <v>0</v>
      </c>
      <c r="C3180">
        <v>1039</v>
      </c>
      <c r="D3180" s="201">
        <v>-41</v>
      </c>
      <c r="E3180" s="201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 s="201">
        <v>-3048</v>
      </c>
    </row>
    <row r="3181" spans="1:11" x14ac:dyDescent="0.25">
      <c r="A3181"/>
      <c r="B3181" s="201">
        <v>0</v>
      </c>
      <c r="C3181">
        <v>0</v>
      </c>
      <c r="D3181" s="201">
        <v>1280</v>
      </c>
      <c r="E3181" s="201">
        <v>0</v>
      </c>
      <c r="F3181">
        <v>-1281</v>
      </c>
      <c r="G3181">
        <v>0</v>
      </c>
      <c r="H3181">
        <v>23</v>
      </c>
      <c r="I3181">
        <v>1006</v>
      </c>
      <c r="J3181">
        <v>157</v>
      </c>
      <c r="K3181" s="201">
        <v>0</v>
      </c>
    </row>
    <row r="3182" spans="1:11" x14ac:dyDescent="0.25">
      <c r="B3182" s="201">
        <v>8279</v>
      </c>
      <c r="C3182">
        <v>212</v>
      </c>
      <c r="D3182" s="201">
        <v>-3631</v>
      </c>
      <c r="E3182" s="201">
        <v>-4847</v>
      </c>
      <c r="F3182">
        <v>-17462</v>
      </c>
      <c r="G3182">
        <v>-1468</v>
      </c>
      <c r="H3182">
        <v>0</v>
      </c>
      <c r="I3182">
        <v>476</v>
      </c>
      <c r="J3182">
        <v>0</v>
      </c>
      <c r="K3182" s="201">
        <v>0</v>
      </c>
    </row>
    <row r="3183" spans="1:11" x14ac:dyDescent="0.25">
      <c r="A3183"/>
      <c r="B3183" s="201">
        <v>0</v>
      </c>
      <c r="C3183">
        <v>0</v>
      </c>
      <c r="D3183" s="201">
        <v>0</v>
      </c>
      <c r="E3183" s="201">
        <v>-45</v>
      </c>
      <c r="F3183">
        <v>0</v>
      </c>
      <c r="G3183">
        <v>0</v>
      </c>
      <c r="H3183">
        <v>0</v>
      </c>
      <c r="I3183">
        <v>-1109</v>
      </c>
      <c r="J3183">
        <v>0</v>
      </c>
      <c r="K3183" s="201">
        <v>-262</v>
      </c>
    </row>
    <row r="3184" spans="1:11" x14ac:dyDescent="0.25">
      <c r="A3184"/>
      <c r="B3184" s="201">
        <v>0</v>
      </c>
      <c r="C3184">
        <v>0</v>
      </c>
      <c r="D3184" s="201">
        <v>0</v>
      </c>
      <c r="E3184" s="201">
        <v>0</v>
      </c>
      <c r="F3184">
        <v>0</v>
      </c>
      <c r="G3184">
        <v>1248</v>
      </c>
      <c r="H3184">
        <v>0</v>
      </c>
      <c r="I3184">
        <v>999</v>
      </c>
      <c r="J3184">
        <v>288</v>
      </c>
      <c r="K3184" s="201">
        <v>0</v>
      </c>
    </row>
    <row r="3185" spans="1:11" x14ac:dyDescent="0.25">
      <c r="A3185"/>
      <c r="B3185" s="201">
        <v>0</v>
      </c>
      <c r="C3185">
        <v>5636</v>
      </c>
      <c r="D3185" s="201">
        <v>2069</v>
      </c>
      <c r="E3185" s="201">
        <v>0</v>
      </c>
      <c r="F3185">
        <v>3485</v>
      </c>
      <c r="G3185">
        <v>0</v>
      </c>
      <c r="H3185">
        <v>0</v>
      </c>
      <c r="I3185">
        <v>0</v>
      </c>
      <c r="J3185">
        <v>0</v>
      </c>
      <c r="K3185" s="201">
        <v>14762</v>
      </c>
    </row>
    <row r="3186" spans="1:11" x14ac:dyDescent="0.25">
      <c r="A3186"/>
      <c r="B3186" s="201">
        <v>-278</v>
      </c>
      <c r="C3186">
        <v>-647</v>
      </c>
      <c r="D3186" s="201">
        <v>0</v>
      </c>
      <c r="E3186" s="201">
        <v>0</v>
      </c>
      <c r="F3186">
        <v>18</v>
      </c>
      <c r="G3186">
        <v>2397</v>
      </c>
      <c r="H3186">
        <v>0</v>
      </c>
      <c r="I3186">
        <v>-139</v>
      </c>
      <c r="J3186">
        <v>2335</v>
      </c>
      <c r="K3186" s="201">
        <v>128</v>
      </c>
    </row>
    <row r="3187" spans="1:11" x14ac:dyDescent="0.25">
      <c r="A3187"/>
      <c r="B3187" s="201">
        <v>2295</v>
      </c>
      <c r="C3187">
        <v>4183</v>
      </c>
      <c r="D3187" s="201">
        <v>3264</v>
      </c>
      <c r="E3187" s="201">
        <v>4243</v>
      </c>
      <c r="F3187">
        <v>0</v>
      </c>
      <c r="G3187">
        <v>0</v>
      </c>
      <c r="H3187">
        <v>0</v>
      </c>
      <c r="I3187">
        <v>0</v>
      </c>
      <c r="J3187">
        <v>0</v>
      </c>
      <c r="K3187" s="201">
        <v>-9172</v>
      </c>
    </row>
    <row r="3188" spans="1:11" x14ac:dyDescent="0.25">
      <c r="A3188"/>
      <c r="B3188" s="201">
        <v>0</v>
      </c>
      <c r="C3188">
        <v>-4600</v>
      </c>
      <c r="D3188" s="201">
        <v>276</v>
      </c>
      <c r="E3188" s="201">
        <v>-3280</v>
      </c>
      <c r="F3188">
        <v>0</v>
      </c>
      <c r="G3188">
        <v>-2834</v>
      </c>
      <c r="H3188">
        <v>1211</v>
      </c>
      <c r="I3188">
        <v>-1243</v>
      </c>
      <c r="J3188">
        <v>-5124</v>
      </c>
      <c r="K3188" s="201">
        <v>-4466</v>
      </c>
    </row>
    <row r="3189" spans="1:11" x14ac:dyDescent="0.25">
      <c r="A3189"/>
      <c r="B3189" s="201">
        <v>0</v>
      </c>
      <c r="C3189">
        <v>-4074</v>
      </c>
      <c r="D3189" s="201">
        <v>-22123</v>
      </c>
      <c r="E3189" s="201">
        <v>1318</v>
      </c>
      <c r="F3189">
        <v>-472</v>
      </c>
      <c r="G3189">
        <v>0</v>
      </c>
      <c r="H3189">
        <v>254</v>
      </c>
      <c r="I3189">
        <v>2001</v>
      </c>
      <c r="J3189">
        <v>0</v>
      </c>
      <c r="K3189" s="201">
        <v>0</v>
      </c>
    </row>
    <row r="3190" spans="1:11" x14ac:dyDescent="0.25">
      <c r="A3190"/>
      <c r="B3190" s="201">
        <v>0</v>
      </c>
      <c r="C3190">
        <v>-175</v>
      </c>
      <c r="D3190" s="201">
        <v>-791</v>
      </c>
      <c r="E3190" s="201">
        <v>0</v>
      </c>
      <c r="F3190">
        <v>-1049</v>
      </c>
      <c r="G3190">
        <v>-1727</v>
      </c>
      <c r="H3190">
        <v>-463</v>
      </c>
      <c r="I3190">
        <v>-570</v>
      </c>
      <c r="J3190">
        <v>0</v>
      </c>
      <c r="K3190" s="201">
        <v>0</v>
      </c>
    </row>
    <row r="3191" spans="1:11" x14ac:dyDescent="0.25">
      <c r="A3191"/>
      <c r="B3191" s="201">
        <v>0</v>
      </c>
      <c r="C3191">
        <v>0</v>
      </c>
      <c r="D3191" s="201">
        <v>0</v>
      </c>
      <c r="E3191" s="201">
        <v>1749</v>
      </c>
      <c r="F3191">
        <v>0</v>
      </c>
      <c r="G3191">
        <v>-1031</v>
      </c>
      <c r="H3191">
        <v>-257</v>
      </c>
      <c r="I3191">
        <v>588</v>
      </c>
      <c r="J3191">
        <v>0</v>
      </c>
      <c r="K3191" s="201">
        <v>-5971</v>
      </c>
    </row>
    <row r="3192" spans="1:11" x14ac:dyDescent="0.25">
      <c r="A3192"/>
      <c r="B3192" s="201">
        <v>1328</v>
      </c>
      <c r="C3192">
        <v>-1871</v>
      </c>
      <c r="D3192" s="201">
        <v>-5028</v>
      </c>
      <c r="E3192" s="201">
        <v>-5123</v>
      </c>
      <c r="F3192">
        <v>-3862</v>
      </c>
      <c r="G3192">
        <v>-5938</v>
      </c>
      <c r="H3192">
        <v>-22511</v>
      </c>
      <c r="I3192">
        <v>0</v>
      </c>
      <c r="J3192">
        <v>116</v>
      </c>
      <c r="K3192" s="201">
        <v>0</v>
      </c>
    </row>
    <row r="3193" spans="1:11" x14ac:dyDescent="0.25">
      <c r="A3193"/>
      <c r="B3193" s="201">
        <v>0</v>
      </c>
      <c r="C3193">
        <v>1619</v>
      </c>
      <c r="D3193" s="201">
        <v>-166</v>
      </c>
      <c r="E3193" s="201">
        <v>0</v>
      </c>
      <c r="F3193">
        <v>-1980</v>
      </c>
      <c r="G3193">
        <v>0</v>
      </c>
      <c r="H3193">
        <v>0</v>
      </c>
      <c r="I3193">
        <v>-995</v>
      </c>
      <c r="J3193">
        <v>0</v>
      </c>
      <c r="K3193" s="201">
        <v>-601</v>
      </c>
    </row>
    <row r="3194" spans="1:11" x14ac:dyDescent="0.25">
      <c r="B3194" s="201">
        <v>-362</v>
      </c>
      <c r="C3194">
        <v>78</v>
      </c>
      <c r="D3194" s="201">
        <v>0</v>
      </c>
      <c r="E3194" s="201">
        <v>0</v>
      </c>
      <c r="F3194">
        <v>0</v>
      </c>
      <c r="G3194">
        <v>0</v>
      </c>
      <c r="H3194">
        <v>0</v>
      </c>
      <c r="I3194">
        <v>4954</v>
      </c>
      <c r="J3194">
        <v>0</v>
      </c>
      <c r="K3194" s="201">
        <v>-1331</v>
      </c>
    </row>
    <row r="3195" spans="1:11" x14ac:dyDescent="0.25">
      <c r="B3195" s="201">
        <v>-322</v>
      </c>
      <c r="C3195">
        <v>489</v>
      </c>
      <c r="D3195" s="201">
        <v>0</v>
      </c>
      <c r="E3195" s="201">
        <v>-3600</v>
      </c>
      <c r="F3195">
        <v>-206</v>
      </c>
      <c r="G3195">
        <v>240</v>
      </c>
      <c r="H3195">
        <v>0</v>
      </c>
      <c r="I3195">
        <v>0</v>
      </c>
      <c r="J3195">
        <v>0</v>
      </c>
      <c r="K3195" s="201">
        <v>-4118</v>
      </c>
    </row>
    <row r="3196" spans="1:11" x14ac:dyDescent="0.25">
      <c r="A3196"/>
      <c r="B3196" s="201">
        <v>-18453</v>
      </c>
      <c r="C3196">
        <v>1207</v>
      </c>
      <c r="D3196" s="201">
        <v>-791</v>
      </c>
      <c r="E3196" s="201">
        <v>-368</v>
      </c>
      <c r="F3196">
        <v>0</v>
      </c>
      <c r="G3196">
        <v>1655</v>
      </c>
      <c r="H3196">
        <v>0</v>
      </c>
      <c r="I3196">
        <v>0</v>
      </c>
      <c r="J3196">
        <v>-2236</v>
      </c>
      <c r="K3196" s="201">
        <v>0</v>
      </c>
    </row>
    <row r="3197" spans="1:11" x14ac:dyDescent="0.25">
      <c r="A3197"/>
      <c r="B3197" s="201">
        <v>-1663</v>
      </c>
      <c r="C3197">
        <v>0</v>
      </c>
      <c r="D3197" s="201">
        <v>-1260</v>
      </c>
      <c r="E3197" s="201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 s="201">
        <v>0</v>
      </c>
    </row>
    <row r="3198" spans="1:11" x14ac:dyDescent="0.25">
      <c r="A3198"/>
      <c r="B3198" s="201">
        <v>0</v>
      </c>
      <c r="C3198">
        <v>1010</v>
      </c>
      <c r="D3198" s="201">
        <v>0</v>
      </c>
      <c r="E3198" s="201">
        <v>-477</v>
      </c>
      <c r="F3198">
        <v>-72</v>
      </c>
      <c r="G3198">
        <v>226</v>
      </c>
      <c r="H3198">
        <v>0</v>
      </c>
      <c r="I3198">
        <v>-8127</v>
      </c>
      <c r="J3198">
        <v>992</v>
      </c>
      <c r="K3198" s="201">
        <v>0</v>
      </c>
    </row>
    <row r="3199" spans="1:11" x14ac:dyDescent="0.25">
      <c r="A3199"/>
      <c r="B3199" s="201">
        <v>0</v>
      </c>
      <c r="C3199">
        <v>0</v>
      </c>
      <c r="D3199" s="201">
        <v>0</v>
      </c>
      <c r="E3199" s="201">
        <v>0</v>
      </c>
      <c r="F3199">
        <v>-21286</v>
      </c>
      <c r="G3199">
        <v>7361</v>
      </c>
      <c r="H3199">
        <v>-214</v>
      </c>
      <c r="I3199">
        <v>59</v>
      </c>
      <c r="J3199">
        <v>531</v>
      </c>
      <c r="K3199" s="201">
        <v>2114</v>
      </c>
    </row>
    <row r="3200" spans="1:11" x14ac:dyDescent="0.25">
      <c r="A3200"/>
      <c r="B3200" s="201">
        <v>0</v>
      </c>
      <c r="C3200">
        <v>0</v>
      </c>
      <c r="D3200" s="201">
        <v>0</v>
      </c>
      <c r="E3200" s="201">
        <v>0</v>
      </c>
      <c r="F3200">
        <v>392</v>
      </c>
      <c r="G3200">
        <v>0</v>
      </c>
      <c r="H3200">
        <v>-850</v>
      </c>
      <c r="I3200">
        <v>0</v>
      </c>
      <c r="J3200">
        <v>0</v>
      </c>
      <c r="K3200" s="201">
        <v>268</v>
      </c>
    </row>
    <row r="3201" spans="1:11" x14ac:dyDescent="0.25">
      <c r="A3201"/>
      <c r="B3201" s="201">
        <v>78</v>
      </c>
      <c r="C3201">
        <v>0</v>
      </c>
      <c r="D3201" s="201">
        <v>0</v>
      </c>
      <c r="E3201" s="201">
        <v>0</v>
      </c>
      <c r="F3201">
        <v>0</v>
      </c>
      <c r="G3201">
        <v>5702</v>
      </c>
      <c r="H3201">
        <v>0</v>
      </c>
      <c r="I3201">
        <v>-2093</v>
      </c>
      <c r="J3201">
        <v>-158</v>
      </c>
      <c r="K3201" s="201">
        <v>733</v>
      </c>
    </row>
    <row r="3202" spans="1:11" x14ac:dyDescent="0.25">
      <c r="A3202"/>
      <c r="B3202" s="201">
        <v>5605</v>
      </c>
      <c r="C3202">
        <v>8931</v>
      </c>
      <c r="D3202" s="201">
        <v>21226</v>
      </c>
      <c r="E3202" s="201">
        <v>18998</v>
      </c>
      <c r="F3202">
        <v>27563</v>
      </c>
      <c r="G3202">
        <v>35974</v>
      </c>
      <c r="H3202">
        <v>0</v>
      </c>
      <c r="I3202">
        <v>0</v>
      </c>
      <c r="J3202">
        <v>0</v>
      </c>
      <c r="K3202" s="201">
        <v>0</v>
      </c>
    </row>
    <row r="3203" spans="1:11" x14ac:dyDescent="0.25">
      <c r="A3203"/>
      <c r="B3203" s="201">
        <v>0</v>
      </c>
      <c r="C3203">
        <v>0</v>
      </c>
      <c r="D3203" s="201">
        <v>0</v>
      </c>
      <c r="E3203" s="201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 s="201">
        <v>0</v>
      </c>
    </row>
    <row r="3204" spans="1:11" x14ac:dyDescent="0.25">
      <c r="A3204"/>
      <c r="B3204" s="201">
        <v>0</v>
      </c>
      <c r="C3204">
        <v>0</v>
      </c>
      <c r="D3204" s="201">
        <v>0</v>
      </c>
      <c r="E3204" s="201">
        <v>0</v>
      </c>
      <c r="F3204">
        <v>0</v>
      </c>
      <c r="G3204">
        <v>0</v>
      </c>
      <c r="H3204">
        <v>0</v>
      </c>
      <c r="I3204">
        <v>0</v>
      </c>
      <c r="J3204">
        <v>0</v>
      </c>
      <c r="K3204" s="201">
        <v>0</v>
      </c>
    </row>
    <row r="3205" spans="1:11" x14ac:dyDescent="0.25">
      <c r="A3205"/>
      <c r="B3205" s="201">
        <v>0</v>
      </c>
      <c r="C3205">
        <v>0</v>
      </c>
      <c r="D3205" s="201">
        <v>0</v>
      </c>
      <c r="E3205" s="201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 s="201">
        <v>0</v>
      </c>
    </row>
    <row r="3206" spans="1:11" x14ac:dyDescent="0.25">
      <c r="A3206"/>
      <c r="B3206" s="201">
        <v>0</v>
      </c>
      <c r="C3206">
        <v>0</v>
      </c>
      <c r="D3206" s="201">
        <v>0</v>
      </c>
      <c r="E3206" s="201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 s="201">
        <v>0</v>
      </c>
    </row>
    <row r="3207" spans="1:11" x14ac:dyDescent="0.25">
      <c r="A3207"/>
      <c r="B3207" s="201">
        <v>0</v>
      </c>
      <c r="C3207">
        <v>0</v>
      </c>
      <c r="D3207" s="201">
        <v>0</v>
      </c>
      <c r="E3207" s="201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 s="201">
        <v>0</v>
      </c>
    </row>
    <row r="3208" spans="1:11" x14ac:dyDescent="0.25">
      <c r="A3208"/>
      <c r="B3208" s="201">
        <v>0</v>
      </c>
      <c r="C3208">
        <v>0</v>
      </c>
      <c r="D3208" s="201">
        <v>0</v>
      </c>
      <c r="E3208" s="201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 s="201">
        <v>0</v>
      </c>
    </row>
    <row r="3209" spans="1:11" x14ac:dyDescent="0.25">
      <c r="A3209"/>
      <c r="B3209" s="201">
        <v>0</v>
      </c>
      <c r="C3209">
        <v>0</v>
      </c>
      <c r="D3209" s="201">
        <v>0</v>
      </c>
      <c r="E3209" s="201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 s="201">
        <v>0</v>
      </c>
    </row>
    <row r="3210" spans="1:11" x14ac:dyDescent="0.25">
      <c r="A3210"/>
      <c r="B3210" s="201">
        <v>0</v>
      </c>
      <c r="C3210">
        <v>0</v>
      </c>
      <c r="D3210" s="201">
        <v>0</v>
      </c>
      <c r="E3210" s="201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 s="201">
        <v>0</v>
      </c>
    </row>
    <row r="3211" spans="1:11" x14ac:dyDescent="0.25">
      <c r="A3211"/>
      <c r="B3211" s="201">
        <v>0</v>
      </c>
      <c r="C3211">
        <v>0</v>
      </c>
      <c r="D3211" s="201">
        <v>0</v>
      </c>
      <c r="E3211" s="20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 s="201">
        <v>0</v>
      </c>
    </row>
    <row r="3212" spans="1:11" x14ac:dyDescent="0.25">
      <c r="A3212"/>
      <c r="B3212" s="201">
        <v>0</v>
      </c>
      <c r="C3212">
        <v>0</v>
      </c>
      <c r="D3212" s="201">
        <v>0</v>
      </c>
      <c r="E3212" s="201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 s="201">
        <v>0</v>
      </c>
    </row>
    <row r="3213" spans="1:11" x14ac:dyDescent="0.25">
      <c r="A3213"/>
      <c r="B3213" s="201">
        <v>0</v>
      </c>
      <c r="C3213">
        <v>0</v>
      </c>
      <c r="D3213" s="201">
        <v>0</v>
      </c>
      <c r="E3213" s="201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 s="201">
        <v>0</v>
      </c>
    </row>
    <row r="3214" spans="1:11" x14ac:dyDescent="0.25">
      <c r="A3214"/>
      <c r="B3214" s="201">
        <v>0</v>
      </c>
      <c r="C3214">
        <v>0</v>
      </c>
      <c r="D3214" s="201">
        <v>0</v>
      </c>
      <c r="E3214" s="201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 s="201">
        <v>0</v>
      </c>
    </row>
    <row r="3215" spans="1:11" x14ac:dyDescent="0.25">
      <c r="A3215"/>
      <c r="B3215" s="201">
        <v>0</v>
      </c>
      <c r="C3215">
        <v>0</v>
      </c>
      <c r="D3215" s="201">
        <v>0</v>
      </c>
      <c r="E3215" s="201">
        <v>0</v>
      </c>
      <c r="F3215">
        <v>0</v>
      </c>
      <c r="G3215">
        <v>0</v>
      </c>
      <c r="H3215">
        <v>0</v>
      </c>
      <c r="I3215">
        <v>0</v>
      </c>
      <c r="J3215">
        <v>0</v>
      </c>
      <c r="K3215" s="201">
        <v>0</v>
      </c>
    </row>
    <row r="3216" spans="1:11" x14ac:dyDescent="0.25">
      <c r="A3216"/>
      <c r="B3216" s="201">
        <v>0</v>
      </c>
      <c r="C3216">
        <v>0</v>
      </c>
      <c r="D3216" s="201">
        <v>0</v>
      </c>
      <c r="E3216" s="201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 s="201">
        <v>0</v>
      </c>
    </row>
    <row r="3217" spans="1:11" x14ac:dyDescent="0.25">
      <c r="A3217"/>
      <c r="B3217" s="201">
        <v>0</v>
      </c>
      <c r="C3217">
        <v>0</v>
      </c>
      <c r="D3217" s="201">
        <v>0</v>
      </c>
      <c r="E3217" s="201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 s="201">
        <v>0</v>
      </c>
    </row>
    <row r="3218" spans="1:11" x14ac:dyDescent="0.25">
      <c r="A3218"/>
      <c r="B3218" s="201">
        <v>0</v>
      </c>
      <c r="C3218">
        <v>0</v>
      </c>
      <c r="D3218" s="201">
        <v>0</v>
      </c>
      <c r="E3218" s="201">
        <v>0</v>
      </c>
      <c r="F3218">
        <v>0</v>
      </c>
      <c r="G3218">
        <v>0</v>
      </c>
      <c r="H3218">
        <v>0</v>
      </c>
      <c r="I3218">
        <v>0</v>
      </c>
      <c r="J3218">
        <v>0</v>
      </c>
      <c r="K3218" s="201">
        <v>0</v>
      </c>
    </row>
    <row r="3219" spans="1:11" x14ac:dyDescent="0.25">
      <c r="A3219"/>
      <c r="B3219" s="201">
        <v>0</v>
      </c>
      <c r="C3219">
        <v>0</v>
      </c>
      <c r="D3219" s="201">
        <v>0</v>
      </c>
      <c r="E3219" s="201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 s="201">
        <v>0</v>
      </c>
    </row>
    <row r="3220" spans="1:11" x14ac:dyDescent="0.25">
      <c r="A3220"/>
      <c r="B3220" s="201">
        <v>0</v>
      </c>
      <c r="C3220">
        <v>0</v>
      </c>
      <c r="D3220" s="201">
        <v>0</v>
      </c>
      <c r="E3220" s="201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 s="201">
        <v>0</v>
      </c>
    </row>
    <row r="3221" spans="1:11" x14ac:dyDescent="0.25">
      <c r="A3221"/>
      <c r="B3221" s="201">
        <v>0</v>
      </c>
      <c r="C3221">
        <v>0</v>
      </c>
      <c r="D3221" s="201">
        <v>0</v>
      </c>
      <c r="E3221" s="201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 s="201">
        <v>0</v>
      </c>
    </row>
    <row r="3222" spans="1:11" x14ac:dyDescent="0.25">
      <c r="A3222"/>
      <c r="B3222" s="201">
        <v>0</v>
      </c>
      <c r="C3222">
        <v>0</v>
      </c>
      <c r="D3222" s="201">
        <v>0</v>
      </c>
      <c r="E3222" s="201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 s="201">
        <v>0</v>
      </c>
    </row>
    <row r="3223" spans="1:11" x14ac:dyDescent="0.25">
      <c r="A3223"/>
      <c r="B3223" s="201">
        <v>0</v>
      </c>
      <c r="C3223">
        <v>0</v>
      </c>
      <c r="D3223" s="201">
        <v>0</v>
      </c>
      <c r="E3223" s="201">
        <v>0</v>
      </c>
      <c r="F3223">
        <v>0</v>
      </c>
      <c r="G3223">
        <v>0</v>
      </c>
      <c r="H3223">
        <v>0</v>
      </c>
      <c r="I3223">
        <v>0</v>
      </c>
      <c r="J3223">
        <v>0</v>
      </c>
      <c r="K3223" s="201">
        <v>0</v>
      </c>
    </row>
    <row r="3224" spans="1:11" x14ac:dyDescent="0.25">
      <c r="A3224"/>
      <c r="B3224" s="201">
        <v>0</v>
      </c>
      <c r="C3224">
        <v>0</v>
      </c>
      <c r="D3224" s="201">
        <v>0</v>
      </c>
      <c r="E3224" s="201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 s="201">
        <v>0</v>
      </c>
    </row>
    <row r="3225" spans="1:11" x14ac:dyDescent="0.25">
      <c r="A3225"/>
      <c r="B3225" s="201">
        <v>0</v>
      </c>
      <c r="C3225">
        <v>0</v>
      </c>
      <c r="D3225" s="201">
        <v>0</v>
      </c>
      <c r="E3225" s="201">
        <v>0</v>
      </c>
      <c r="F3225">
        <v>0</v>
      </c>
      <c r="G3225">
        <v>0</v>
      </c>
      <c r="H3225">
        <v>0</v>
      </c>
      <c r="I3225">
        <v>0</v>
      </c>
      <c r="J3225">
        <v>0</v>
      </c>
      <c r="K3225" s="201">
        <v>0</v>
      </c>
    </row>
    <row r="3226" spans="1:11" x14ac:dyDescent="0.25">
      <c r="A3226"/>
      <c r="B3226" s="201">
        <v>0</v>
      </c>
      <c r="C3226">
        <v>0</v>
      </c>
      <c r="D3226" s="201">
        <v>0</v>
      </c>
      <c r="E3226" s="201">
        <v>0</v>
      </c>
      <c r="F3226">
        <v>0</v>
      </c>
      <c r="G3226">
        <v>0</v>
      </c>
      <c r="H3226">
        <v>0</v>
      </c>
      <c r="I3226">
        <v>0</v>
      </c>
      <c r="J3226">
        <v>0</v>
      </c>
      <c r="K3226" s="201">
        <v>0</v>
      </c>
    </row>
    <row r="3227" spans="1:11" x14ac:dyDescent="0.25">
      <c r="A3227"/>
      <c r="B3227" s="201">
        <v>0</v>
      </c>
      <c r="C3227">
        <v>0</v>
      </c>
      <c r="D3227" s="201">
        <v>0</v>
      </c>
      <c r="E3227" s="201">
        <v>0</v>
      </c>
      <c r="F3227">
        <v>0</v>
      </c>
      <c r="G3227">
        <v>0</v>
      </c>
      <c r="H3227">
        <v>0</v>
      </c>
      <c r="I3227">
        <v>0</v>
      </c>
      <c r="J3227">
        <v>0</v>
      </c>
      <c r="K3227" s="201">
        <v>0</v>
      </c>
    </row>
    <row r="3228" spans="1:11" x14ac:dyDescent="0.25">
      <c r="A3228"/>
      <c r="B3228" s="201">
        <v>0</v>
      </c>
      <c r="C3228">
        <v>0</v>
      </c>
      <c r="D3228" s="201">
        <v>0</v>
      </c>
      <c r="E3228" s="201">
        <v>0</v>
      </c>
      <c r="F3228">
        <v>0</v>
      </c>
      <c r="G3228">
        <v>0</v>
      </c>
      <c r="H3228">
        <v>0</v>
      </c>
      <c r="I3228">
        <v>0</v>
      </c>
      <c r="J3228">
        <v>0</v>
      </c>
      <c r="K3228" s="201">
        <v>0</v>
      </c>
    </row>
    <row r="3229" spans="1:11" x14ac:dyDescent="0.25">
      <c r="A3229"/>
      <c r="B3229" s="201">
        <v>0</v>
      </c>
      <c r="C3229">
        <v>0</v>
      </c>
      <c r="D3229" s="201">
        <v>0</v>
      </c>
      <c r="E3229" s="201">
        <v>0</v>
      </c>
      <c r="F3229">
        <v>0</v>
      </c>
      <c r="G3229">
        <v>0</v>
      </c>
      <c r="H3229">
        <v>0</v>
      </c>
      <c r="I3229">
        <v>0</v>
      </c>
      <c r="J3229">
        <v>0</v>
      </c>
      <c r="K3229" s="201">
        <v>0</v>
      </c>
    </row>
    <row r="3230" spans="1:11" x14ac:dyDescent="0.25">
      <c r="A3230"/>
      <c r="B3230" s="201">
        <v>0</v>
      </c>
      <c r="C3230">
        <v>0</v>
      </c>
      <c r="D3230" s="201">
        <v>0</v>
      </c>
      <c r="E3230" s="201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 s="201">
        <v>0</v>
      </c>
    </row>
    <row r="3231" spans="1:11" x14ac:dyDescent="0.25">
      <c r="A3231"/>
      <c r="B3231" s="201">
        <v>0</v>
      </c>
      <c r="C3231">
        <v>0</v>
      </c>
      <c r="D3231" s="201">
        <v>0</v>
      </c>
      <c r="E3231" s="201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 s="201">
        <v>0</v>
      </c>
    </row>
    <row r="3232" spans="1:11" x14ac:dyDescent="0.25">
      <c r="A3232"/>
      <c r="B3232" s="201">
        <v>0</v>
      </c>
      <c r="C3232">
        <v>0</v>
      </c>
      <c r="D3232" s="201">
        <v>0</v>
      </c>
      <c r="E3232" s="201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 s="201">
        <v>0</v>
      </c>
    </row>
    <row r="3233" spans="1:11" x14ac:dyDescent="0.25">
      <c r="A3233"/>
      <c r="B3233" s="201">
        <v>0</v>
      </c>
      <c r="C3233">
        <v>0</v>
      </c>
      <c r="D3233" s="201">
        <v>0</v>
      </c>
      <c r="E3233" s="201">
        <v>0</v>
      </c>
      <c r="F3233">
        <v>0</v>
      </c>
      <c r="G3233">
        <v>0</v>
      </c>
      <c r="H3233">
        <v>0</v>
      </c>
      <c r="I3233">
        <v>0</v>
      </c>
      <c r="J3233">
        <v>0</v>
      </c>
      <c r="K3233" s="201">
        <v>0</v>
      </c>
    </row>
    <row r="3234" spans="1:11" x14ac:dyDescent="0.25">
      <c r="A3234"/>
      <c r="B3234" s="201">
        <v>0</v>
      </c>
      <c r="C3234">
        <v>0</v>
      </c>
      <c r="D3234" s="201">
        <v>0</v>
      </c>
      <c r="E3234" s="201">
        <v>0</v>
      </c>
      <c r="F3234">
        <v>0</v>
      </c>
      <c r="G3234">
        <v>0</v>
      </c>
      <c r="H3234">
        <v>0</v>
      </c>
      <c r="I3234">
        <v>0</v>
      </c>
      <c r="J3234">
        <v>0</v>
      </c>
      <c r="K3234" s="201">
        <v>0</v>
      </c>
    </row>
    <row r="3235" spans="1:11" x14ac:dyDescent="0.25">
      <c r="A3235"/>
      <c r="B3235" s="201">
        <v>0</v>
      </c>
      <c r="C3235">
        <v>0</v>
      </c>
      <c r="D3235" s="201">
        <v>0</v>
      </c>
      <c r="E3235" s="201">
        <v>0</v>
      </c>
      <c r="F3235">
        <v>0</v>
      </c>
      <c r="G3235">
        <v>0</v>
      </c>
      <c r="H3235">
        <v>0</v>
      </c>
      <c r="I3235">
        <v>0</v>
      </c>
      <c r="J3235">
        <v>0</v>
      </c>
      <c r="K3235" s="201">
        <v>0</v>
      </c>
    </row>
    <row r="3236" spans="1:11" x14ac:dyDescent="0.25">
      <c r="A3236"/>
      <c r="B3236" s="201">
        <v>0</v>
      </c>
      <c r="C3236">
        <v>0</v>
      </c>
      <c r="D3236" s="201">
        <v>0</v>
      </c>
      <c r="E3236" s="201">
        <v>0</v>
      </c>
      <c r="F3236">
        <v>0</v>
      </c>
      <c r="G3236">
        <v>0</v>
      </c>
      <c r="H3236">
        <v>0</v>
      </c>
      <c r="I3236">
        <v>0</v>
      </c>
      <c r="J3236">
        <v>0</v>
      </c>
      <c r="K3236" s="201">
        <v>0</v>
      </c>
    </row>
    <row r="3237" spans="1:11" x14ac:dyDescent="0.25">
      <c r="A3237"/>
      <c r="B3237" s="201">
        <v>0</v>
      </c>
      <c r="C3237">
        <v>0</v>
      </c>
      <c r="D3237" s="201">
        <v>0</v>
      </c>
      <c r="E3237" s="201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 s="201">
        <v>0</v>
      </c>
    </row>
    <row r="3238" spans="1:11" x14ac:dyDescent="0.25">
      <c r="A3238"/>
      <c r="B3238" s="201">
        <v>0</v>
      </c>
      <c r="C3238">
        <v>0</v>
      </c>
      <c r="D3238" s="201">
        <v>0</v>
      </c>
      <c r="E3238" s="201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 s="201">
        <v>0</v>
      </c>
    </row>
    <row r="3239" spans="1:11" x14ac:dyDescent="0.25">
      <c r="A3239"/>
      <c r="B3239" s="201">
        <v>0</v>
      </c>
      <c r="C3239">
        <v>0</v>
      </c>
      <c r="D3239" s="201">
        <v>0</v>
      </c>
      <c r="E3239" s="201">
        <v>0</v>
      </c>
      <c r="F3239">
        <v>0</v>
      </c>
      <c r="G3239">
        <v>0</v>
      </c>
      <c r="H3239">
        <v>0</v>
      </c>
      <c r="I3239">
        <v>0</v>
      </c>
      <c r="J3239">
        <v>0</v>
      </c>
      <c r="K3239" s="201">
        <v>0</v>
      </c>
    </row>
    <row r="3240" spans="1:11" x14ac:dyDescent="0.25">
      <c r="A3240"/>
      <c r="B3240" s="201">
        <v>0</v>
      </c>
      <c r="C3240">
        <v>0</v>
      </c>
      <c r="D3240" s="201">
        <v>0</v>
      </c>
      <c r="E3240" s="201">
        <v>0</v>
      </c>
      <c r="F3240">
        <v>0</v>
      </c>
      <c r="G3240">
        <v>0</v>
      </c>
      <c r="H3240">
        <v>0</v>
      </c>
      <c r="I3240">
        <v>0</v>
      </c>
      <c r="J3240">
        <v>0</v>
      </c>
      <c r="K3240" s="201">
        <v>0</v>
      </c>
    </row>
    <row r="3241" spans="1:11" x14ac:dyDescent="0.25">
      <c r="A3241"/>
      <c r="B3241" s="201">
        <v>0</v>
      </c>
      <c r="C3241">
        <v>0</v>
      </c>
      <c r="D3241" s="201">
        <v>0</v>
      </c>
      <c r="E3241" s="201">
        <v>0</v>
      </c>
      <c r="F3241">
        <v>0</v>
      </c>
      <c r="G3241">
        <v>0</v>
      </c>
      <c r="H3241">
        <v>0</v>
      </c>
      <c r="I3241">
        <v>0</v>
      </c>
      <c r="J3241">
        <v>0</v>
      </c>
      <c r="K3241" s="201">
        <v>0</v>
      </c>
    </row>
    <row r="3242" spans="1:11" x14ac:dyDescent="0.25">
      <c r="A3242"/>
      <c r="B3242" s="201">
        <v>0</v>
      </c>
      <c r="C3242">
        <v>0</v>
      </c>
      <c r="D3242" s="201">
        <v>0</v>
      </c>
      <c r="E3242" s="201">
        <v>0</v>
      </c>
      <c r="F3242">
        <v>0</v>
      </c>
      <c r="G3242">
        <v>0</v>
      </c>
      <c r="H3242">
        <v>0</v>
      </c>
      <c r="I3242">
        <v>0</v>
      </c>
      <c r="J3242">
        <v>0</v>
      </c>
      <c r="K3242" s="201">
        <v>0</v>
      </c>
    </row>
    <row r="3243" spans="1:11" x14ac:dyDescent="0.25">
      <c r="A3243"/>
      <c r="B3243" s="201">
        <v>0</v>
      </c>
      <c r="C3243">
        <v>0</v>
      </c>
      <c r="D3243" s="201">
        <v>0</v>
      </c>
      <c r="E3243" s="201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 s="201">
        <v>0</v>
      </c>
    </row>
    <row r="3244" spans="1:11" x14ac:dyDescent="0.25">
      <c r="A3244"/>
      <c r="B3244" s="201">
        <v>0</v>
      </c>
      <c r="C3244">
        <v>0</v>
      </c>
      <c r="D3244" s="201">
        <v>0</v>
      </c>
      <c r="E3244" s="201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 s="201">
        <v>0</v>
      </c>
    </row>
    <row r="3245" spans="1:11" x14ac:dyDescent="0.25">
      <c r="A3245"/>
      <c r="B3245" s="201">
        <v>0</v>
      </c>
      <c r="C3245">
        <v>0</v>
      </c>
      <c r="D3245" s="201">
        <v>0</v>
      </c>
      <c r="E3245" s="201">
        <v>0</v>
      </c>
      <c r="F3245">
        <v>0</v>
      </c>
      <c r="G3245">
        <v>0</v>
      </c>
      <c r="H3245">
        <v>0</v>
      </c>
      <c r="I3245">
        <v>0</v>
      </c>
      <c r="J3245">
        <v>0</v>
      </c>
      <c r="K3245" s="201">
        <v>0</v>
      </c>
    </row>
    <row r="3246" spans="1:11" x14ac:dyDescent="0.25">
      <c r="A3246"/>
      <c r="B3246" s="201">
        <v>0</v>
      </c>
      <c r="C3246">
        <v>0</v>
      </c>
      <c r="D3246" s="201">
        <v>0</v>
      </c>
      <c r="E3246" s="201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 s="201">
        <v>0</v>
      </c>
    </row>
    <row r="3247" spans="1:11" x14ac:dyDescent="0.25">
      <c r="A3247"/>
      <c r="B3247" s="201">
        <v>0</v>
      </c>
      <c r="C3247">
        <v>0</v>
      </c>
      <c r="D3247" s="201">
        <v>0</v>
      </c>
      <c r="E3247" s="201">
        <v>0</v>
      </c>
      <c r="F3247">
        <v>0</v>
      </c>
      <c r="G3247">
        <v>0</v>
      </c>
      <c r="H3247">
        <v>0</v>
      </c>
      <c r="I3247">
        <v>0</v>
      </c>
      <c r="J3247">
        <v>0</v>
      </c>
      <c r="K3247" s="201">
        <v>0</v>
      </c>
    </row>
    <row r="3248" spans="1:11" x14ac:dyDescent="0.25">
      <c r="A3248"/>
      <c r="B3248" s="201">
        <v>0</v>
      </c>
      <c r="C3248">
        <v>0</v>
      </c>
      <c r="D3248" s="201">
        <v>0</v>
      </c>
      <c r="E3248" s="201">
        <v>0</v>
      </c>
      <c r="F3248">
        <v>0</v>
      </c>
      <c r="G3248">
        <v>0</v>
      </c>
      <c r="H3248">
        <v>0</v>
      </c>
      <c r="I3248">
        <v>0</v>
      </c>
      <c r="J3248">
        <v>0</v>
      </c>
      <c r="K3248" s="201">
        <v>0</v>
      </c>
    </row>
    <row r="3249" spans="1:11" x14ac:dyDescent="0.25">
      <c r="A3249"/>
      <c r="B3249" s="201">
        <v>0</v>
      </c>
      <c r="C3249">
        <v>0</v>
      </c>
      <c r="D3249" s="201">
        <v>0</v>
      </c>
      <c r="E3249" s="201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 s="201">
        <v>0</v>
      </c>
    </row>
    <row r="3250" spans="1:11" x14ac:dyDescent="0.25">
      <c r="A3250"/>
      <c r="B3250" s="201">
        <v>0</v>
      </c>
      <c r="C3250">
        <v>0</v>
      </c>
      <c r="D3250" s="201">
        <v>0</v>
      </c>
      <c r="E3250" s="201">
        <v>0</v>
      </c>
      <c r="F3250">
        <v>0</v>
      </c>
      <c r="G3250">
        <v>0</v>
      </c>
      <c r="H3250">
        <v>0</v>
      </c>
      <c r="I3250">
        <v>0</v>
      </c>
      <c r="J3250">
        <v>0</v>
      </c>
      <c r="K3250" s="201">
        <v>0</v>
      </c>
    </row>
    <row r="3251" spans="1:11" x14ac:dyDescent="0.25">
      <c r="A3251"/>
      <c r="B3251" s="201">
        <v>0</v>
      </c>
      <c r="C3251">
        <v>0</v>
      </c>
      <c r="D3251" s="201">
        <v>0</v>
      </c>
      <c r="E3251" s="201">
        <v>0</v>
      </c>
      <c r="F3251">
        <v>0</v>
      </c>
      <c r="G3251">
        <v>0</v>
      </c>
      <c r="H3251">
        <v>0</v>
      </c>
      <c r="I3251">
        <v>0</v>
      </c>
      <c r="J3251">
        <v>0</v>
      </c>
      <c r="K3251" s="201">
        <v>0</v>
      </c>
    </row>
    <row r="3252" spans="1:11" x14ac:dyDescent="0.25">
      <c r="A3252"/>
      <c r="B3252" s="201">
        <v>0</v>
      </c>
      <c r="C3252">
        <v>0</v>
      </c>
      <c r="D3252" s="201">
        <v>0</v>
      </c>
      <c r="E3252" s="201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 s="201">
        <v>0</v>
      </c>
    </row>
    <row r="3253" spans="1:11" x14ac:dyDescent="0.25">
      <c r="A3253"/>
      <c r="B3253" s="201">
        <v>0</v>
      </c>
      <c r="C3253">
        <v>0</v>
      </c>
      <c r="D3253" s="201">
        <v>0</v>
      </c>
      <c r="E3253" s="201">
        <v>0</v>
      </c>
      <c r="F3253">
        <v>0</v>
      </c>
      <c r="G3253">
        <v>0</v>
      </c>
      <c r="H3253">
        <v>0</v>
      </c>
      <c r="I3253">
        <v>0</v>
      </c>
      <c r="J3253">
        <v>0</v>
      </c>
      <c r="K3253" s="201">
        <v>0</v>
      </c>
    </row>
    <row r="3254" spans="1:11" x14ac:dyDescent="0.25">
      <c r="A3254"/>
      <c r="B3254" s="201">
        <v>0</v>
      </c>
      <c r="C3254">
        <v>0</v>
      </c>
      <c r="D3254" s="201">
        <v>0</v>
      </c>
      <c r="E3254" s="201">
        <v>0</v>
      </c>
      <c r="F3254">
        <v>0</v>
      </c>
      <c r="G3254">
        <v>0</v>
      </c>
      <c r="H3254">
        <v>0</v>
      </c>
      <c r="I3254">
        <v>0</v>
      </c>
      <c r="J3254">
        <v>0</v>
      </c>
      <c r="K3254" s="201">
        <v>0</v>
      </c>
    </row>
    <row r="3255" spans="1:11" x14ac:dyDescent="0.25">
      <c r="A3255"/>
      <c r="B3255" s="201">
        <v>0</v>
      </c>
      <c r="C3255">
        <v>0</v>
      </c>
      <c r="D3255" s="201">
        <v>0</v>
      </c>
      <c r="E3255" s="201">
        <v>0</v>
      </c>
      <c r="F3255">
        <v>0</v>
      </c>
      <c r="G3255">
        <v>0</v>
      </c>
      <c r="H3255">
        <v>0</v>
      </c>
      <c r="I3255">
        <v>0</v>
      </c>
      <c r="J3255">
        <v>0</v>
      </c>
      <c r="K3255" s="201">
        <v>0</v>
      </c>
    </row>
    <row r="3256" spans="1:11" x14ac:dyDescent="0.25">
      <c r="A3256"/>
      <c r="B3256" s="201">
        <v>0</v>
      </c>
      <c r="C3256">
        <v>0</v>
      </c>
      <c r="D3256" s="201">
        <v>0</v>
      </c>
      <c r="E3256" s="201">
        <v>0</v>
      </c>
      <c r="F3256">
        <v>0</v>
      </c>
      <c r="G3256">
        <v>0</v>
      </c>
      <c r="H3256">
        <v>0</v>
      </c>
      <c r="I3256">
        <v>0</v>
      </c>
      <c r="J3256">
        <v>0</v>
      </c>
      <c r="K3256" s="201">
        <v>0</v>
      </c>
    </row>
    <row r="3257" spans="1:11" x14ac:dyDescent="0.25">
      <c r="A3257"/>
      <c r="B3257" s="201">
        <v>0</v>
      </c>
      <c r="C3257">
        <v>0</v>
      </c>
      <c r="D3257" s="201">
        <v>0</v>
      </c>
      <c r="E3257" s="201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 s="201">
        <v>0</v>
      </c>
    </row>
    <row r="3258" spans="1:11" x14ac:dyDescent="0.25">
      <c r="A3258"/>
      <c r="B3258" s="201">
        <v>0</v>
      </c>
      <c r="C3258">
        <v>0</v>
      </c>
      <c r="D3258" s="201">
        <v>0</v>
      </c>
      <c r="E3258" s="201">
        <v>0</v>
      </c>
      <c r="F3258">
        <v>0</v>
      </c>
      <c r="G3258">
        <v>0</v>
      </c>
      <c r="H3258">
        <v>0</v>
      </c>
      <c r="I3258">
        <v>0</v>
      </c>
      <c r="J3258">
        <v>0</v>
      </c>
      <c r="K3258" s="201">
        <v>0</v>
      </c>
    </row>
    <row r="3259" spans="1:11" x14ac:dyDescent="0.25">
      <c r="A3259"/>
      <c r="B3259" s="201">
        <v>0</v>
      </c>
      <c r="C3259">
        <v>0</v>
      </c>
      <c r="D3259" s="201">
        <v>0</v>
      </c>
      <c r="E3259" s="201">
        <v>0</v>
      </c>
      <c r="F3259">
        <v>0</v>
      </c>
      <c r="G3259">
        <v>0</v>
      </c>
      <c r="H3259">
        <v>0</v>
      </c>
      <c r="I3259">
        <v>0</v>
      </c>
      <c r="J3259">
        <v>0</v>
      </c>
      <c r="K3259" s="201">
        <v>0</v>
      </c>
    </row>
    <row r="3260" spans="1:11" x14ac:dyDescent="0.25">
      <c r="A3260"/>
      <c r="B3260" s="201">
        <v>0</v>
      </c>
      <c r="C3260">
        <v>0</v>
      </c>
      <c r="D3260" s="201">
        <v>0</v>
      </c>
      <c r="E3260" s="201">
        <v>0</v>
      </c>
      <c r="F3260">
        <v>0</v>
      </c>
      <c r="G3260">
        <v>0</v>
      </c>
      <c r="H3260">
        <v>0</v>
      </c>
      <c r="I3260">
        <v>0</v>
      </c>
      <c r="J3260">
        <v>0</v>
      </c>
      <c r="K3260" s="201">
        <v>0</v>
      </c>
    </row>
    <row r="3261" spans="1:11" x14ac:dyDescent="0.25">
      <c r="A3261"/>
      <c r="B3261" s="201">
        <v>0</v>
      </c>
      <c r="C3261">
        <v>0</v>
      </c>
      <c r="D3261" s="201">
        <v>0</v>
      </c>
      <c r="E3261" s="201">
        <v>0</v>
      </c>
      <c r="F3261">
        <v>0</v>
      </c>
      <c r="G3261">
        <v>0</v>
      </c>
      <c r="H3261">
        <v>0</v>
      </c>
      <c r="I3261">
        <v>0</v>
      </c>
      <c r="J3261">
        <v>0</v>
      </c>
      <c r="K3261" s="201">
        <v>0</v>
      </c>
    </row>
    <row r="3262" spans="1:11" x14ac:dyDescent="0.25">
      <c r="A3262"/>
      <c r="B3262" s="201">
        <v>0</v>
      </c>
      <c r="C3262">
        <v>0</v>
      </c>
      <c r="D3262" s="201">
        <v>0</v>
      </c>
      <c r="E3262" s="201">
        <v>0</v>
      </c>
      <c r="F3262">
        <v>0</v>
      </c>
      <c r="G3262">
        <v>0</v>
      </c>
      <c r="H3262">
        <v>0</v>
      </c>
      <c r="I3262">
        <v>0</v>
      </c>
      <c r="J3262">
        <v>0</v>
      </c>
      <c r="K3262" s="201">
        <v>0</v>
      </c>
    </row>
    <row r="3263" spans="1:11" x14ac:dyDescent="0.25">
      <c r="A3263"/>
      <c r="B3263" s="201">
        <v>0</v>
      </c>
      <c r="C3263">
        <v>0</v>
      </c>
      <c r="D3263" s="201">
        <v>0</v>
      </c>
      <c r="E3263" s="201">
        <v>0</v>
      </c>
      <c r="F3263">
        <v>0</v>
      </c>
      <c r="G3263">
        <v>0</v>
      </c>
      <c r="H3263">
        <v>0</v>
      </c>
      <c r="I3263">
        <v>0</v>
      </c>
      <c r="J3263">
        <v>0</v>
      </c>
      <c r="K3263" s="201">
        <v>0</v>
      </c>
    </row>
    <row r="3264" spans="1:11" x14ac:dyDescent="0.25">
      <c r="A3264"/>
      <c r="B3264" s="201">
        <v>0</v>
      </c>
      <c r="C3264">
        <v>0</v>
      </c>
      <c r="D3264" s="201">
        <v>0</v>
      </c>
      <c r="E3264" s="201">
        <v>0</v>
      </c>
      <c r="F3264">
        <v>0</v>
      </c>
      <c r="G3264">
        <v>0</v>
      </c>
      <c r="H3264">
        <v>0</v>
      </c>
      <c r="I3264">
        <v>0</v>
      </c>
      <c r="J3264">
        <v>0</v>
      </c>
      <c r="K3264" s="201">
        <v>0</v>
      </c>
    </row>
    <row r="3265" spans="1:11" x14ac:dyDescent="0.25">
      <c r="A3265"/>
      <c r="B3265" s="201">
        <v>0</v>
      </c>
      <c r="C3265">
        <v>0</v>
      </c>
      <c r="D3265" s="201">
        <v>0</v>
      </c>
      <c r="E3265" s="201">
        <v>0</v>
      </c>
      <c r="F3265">
        <v>0</v>
      </c>
      <c r="G3265">
        <v>0</v>
      </c>
      <c r="H3265">
        <v>0</v>
      </c>
      <c r="I3265">
        <v>0</v>
      </c>
      <c r="J3265">
        <v>0</v>
      </c>
      <c r="K3265" s="201">
        <v>0</v>
      </c>
    </row>
    <row r="3266" spans="1:11" x14ac:dyDescent="0.25">
      <c r="A3266"/>
      <c r="B3266" s="201">
        <v>0</v>
      </c>
      <c r="C3266">
        <v>0</v>
      </c>
      <c r="D3266" s="201">
        <v>0</v>
      </c>
      <c r="E3266" s="201">
        <v>0</v>
      </c>
      <c r="F3266">
        <v>0</v>
      </c>
      <c r="G3266">
        <v>0</v>
      </c>
      <c r="H3266">
        <v>0</v>
      </c>
      <c r="I3266">
        <v>0</v>
      </c>
      <c r="J3266">
        <v>0</v>
      </c>
      <c r="K3266" s="201">
        <v>0</v>
      </c>
    </row>
    <row r="3267" spans="1:11" x14ac:dyDescent="0.25">
      <c r="A3267"/>
      <c r="B3267" s="201">
        <v>0</v>
      </c>
      <c r="C3267">
        <v>0</v>
      </c>
      <c r="D3267" s="201">
        <v>0</v>
      </c>
      <c r="E3267" s="201">
        <v>0</v>
      </c>
      <c r="F3267">
        <v>0</v>
      </c>
      <c r="G3267">
        <v>0</v>
      </c>
      <c r="H3267">
        <v>0</v>
      </c>
      <c r="I3267">
        <v>0</v>
      </c>
      <c r="J3267">
        <v>0</v>
      </c>
      <c r="K3267" s="201">
        <v>0</v>
      </c>
    </row>
    <row r="3268" spans="1:11" x14ac:dyDescent="0.25">
      <c r="A3268"/>
      <c r="B3268" s="201">
        <v>0</v>
      </c>
      <c r="C3268">
        <v>0</v>
      </c>
      <c r="D3268" s="201">
        <v>0</v>
      </c>
      <c r="E3268" s="201">
        <v>0</v>
      </c>
      <c r="F3268">
        <v>0</v>
      </c>
      <c r="G3268">
        <v>0</v>
      </c>
      <c r="H3268">
        <v>0</v>
      </c>
      <c r="I3268">
        <v>0</v>
      </c>
      <c r="J3268">
        <v>0</v>
      </c>
      <c r="K3268" s="201">
        <v>0</v>
      </c>
    </row>
    <row r="3269" spans="1:11" x14ac:dyDescent="0.25">
      <c r="A3269"/>
      <c r="B3269" s="201">
        <v>0</v>
      </c>
      <c r="C3269">
        <v>0</v>
      </c>
      <c r="D3269" s="201">
        <v>0</v>
      </c>
      <c r="E3269" s="201">
        <v>0</v>
      </c>
      <c r="F3269">
        <v>0</v>
      </c>
      <c r="G3269">
        <v>0</v>
      </c>
      <c r="H3269">
        <v>0</v>
      </c>
      <c r="I3269">
        <v>0</v>
      </c>
      <c r="J3269">
        <v>0</v>
      </c>
      <c r="K3269" s="201">
        <v>0</v>
      </c>
    </row>
    <row r="3270" spans="1:11" x14ac:dyDescent="0.25">
      <c r="A3270"/>
      <c r="B3270" s="201">
        <v>0</v>
      </c>
      <c r="C3270">
        <v>0</v>
      </c>
      <c r="D3270" s="201">
        <v>0</v>
      </c>
      <c r="E3270" s="201">
        <v>0</v>
      </c>
      <c r="F3270">
        <v>0</v>
      </c>
      <c r="G3270">
        <v>0</v>
      </c>
      <c r="H3270">
        <v>0</v>
      </c>
      <c r="I3270">
        <v>0</v>
      </c>
      <c r="J3270">
        <v>0</v>
      </c>
      <c r="K3270" s="201">
        <v>0</v>
      </c>
    </row>
    <row r="3271" spans="1:11" x14ac:dyDescent="0.25">
      <c r="A3271"/>
      <c r="B3271" s="201">
        <v>0</v>
      </c>
      <c r="C3271">
        <v>0</v>
      </c>
      <c r="D3271" s="201">
        <v>0</v>
      </c>
      <c r="E3271" s="201">
        <v>0</v>
      </c>
      <c r="F3271">
        <v>0</v>
      </c>
      <c r="G3271">
        <v>0</v>
      </c>
      <c r="H3271">
        <v>0</v>
      </c>
      <c r="I3271">
        <v>0</v>
      </c>
      <c r="J3271">
        <v>0</v>
      </c>
      <c r="K3271" s="201">
        <v>0</v>
      </c>
    </row>
    <row r="3272" spans="1:11" x14ac:dyDescent="0.25">
      <c r="A3272"/>
      <c r="B3272" s="201">
        <v>0</v>
      </c>
      <c r="C3272">
        <v>0</v>
      </c>
      <c r="D3272" s="201">
        <v>0</v>
      </c>
      <c r="E3272" s="201">
        <v>0</v>
      </c>
      <c r="F3272">
        <v>0</v>
      </c>
      <c r="G3272">
        <v>0</v>
      </c>
      <c r="H3272">
        <v>0</v>
      </c>
      <c r="I3272">
        <v>0</v>
      </c>
      <c r="J3272">
        <v>0</v>
      </c>
      <c r="K3272" s="201">
        <v>0</v>
      </c>
    </row>
    <row r="3273" spans="1:11" x14ac:dyDescent="0.25">
      <c r="A3273"/>
      <c r="B3273" s="201">
        <v>0</v>
      </c>
      <c r="C3273">
        <v>0</v>
      </c>
      <c r="D3273" s="201">
        <v>0</v>
      </c>
      <c r="E3273" s="201">
        <v>0</v>
      </c>
      <c r="F3273">
        <v>0</v>
      </c>
      <c r="G3273">
        <v>0</v>
      </c>
      <c r="H3273">
        <v>0</v>
      </c>
      <c r="I3273">
        <v>0</v>
      </c>
      <c r="J3273">
        <v>0</v>
      </c>
      <c r="K3273" s="201">
        <v>0</v>
      </c>
    </row>
    <row r="3274" spans="1:11" x14ac:dyDescent="0.25">
      <c r="A3274"/>
      <c r="B3274" s="201">
        <v>0</v>
      </c>
      <c r="C3274">
        <v>0</v>
      </c>
      <c r="D3274" s="201">
        <v>0</v>
      </c>
      <c r="E3274" s="201">
        <v>0</v>
      </c>
      <c r="F3274">
        <v>0</v>
      </c>
      <c r="G3274">
        <v>0</v>
      </c>
      <c r="H3274">
        <v>0</v>
      </c>
      <c r="I3274">
        <v>0</v>
      </c>
      <c r="J3274">
        <v>0</v>
      </c>
      <c r="K3274" s="201">
        <v>0</v>
      </c>
    </row>
    <row r="3275" spans="1:11" x14ac:dyDescent="0.25">
      <c r="A3275"/>
      <c r="B3275" s="201">
        <v>0</v>
      </c>
      <c r="C3275">
        <v>0</v>
      </c>
      <c r="D3275" s="201">
        <v>0</v>
      </c>
      <c r="E3275" s="201">
        <v>0</v>
      </c>
      <c r="F3275">
        <v>0</v>
      </c>
      <c r="G3275">
        <v>0</v>
      </c>
      <c r="H3275">
        <v>0</v>
      </c>
      <c r="I3275">
        <v>0</v>
      </c>
      <c r="J3275">
        <v>0</v>
      </c>
      <c r="K3275" s="201">
        <v>0</v>
      </c>
    </row>
    <row r="3276" spans="1:11" x14ac:dyDescent="0.25">
      <c r="A3276"/>
      <c r="B3276" s="201">
        <v>0</v>
      </c>
      <c r="C3276">
        <v>0</v>
      </c>
      <c r="D3276" s="201">
        <v>0</v>
      </c>
      <c r="E3276" s="201">
        <v>0</v>
      </c>
      <c r="F3276">
        <v>0</v>
      </c>
      <c r="G3276">
        <v>0</v>
      </c>
      <c r="H3276">
        <v>0</v>
      </c>
      <c r="I3276">
        <v>0</v>
      </c>
      <c r="J3276">
        <v>0</v>
      </c>
      <c r="K3276" s="201">
        <v>0</v>
      </c>
    </row>
    <row r="3277" spans="1:11" x14ac:dyDescent="0.25">
      <c r="A3277"/>
      <c r="B3277" s="201">
        <v>0</v>
      </c>
      <c r="C3277">
        <v>0</v>
      </c>
      <c r="D3277" s="201">
        <v>0</v>
      </c>
      <c r="E3277" s="201">
        <v>0</v>
      </c>
      <c r="F3277">
        <v>0</v>
      </c>
      <c r="G3277">
        <v>0</v>
      </c>
      <c r="H3277">
        <v>0</v>
      </c>
      <c r="I3277">
        <v>0</v>
      </c>
      <c r="J3277">
        <v>0</v>
      </c>
      <c r="K3277" s="201">
        <v>0</v>
      </c>
    </row>
    <row r="3278" spans="1:11" x14ac:dyDescent="0.25">
      <c r="A3278"/>
      <c r="B3278" s="201">
        <v>0</v>
      </c>
      <c r="C3278">
        <v>0</v>
      </c>
      <c r="D3278" s="201">
        <v>0</v>
      </c>
      <c r="E3278" s="201">
        <v>0</v>
      </c>
      <c r="F3278">
        <v>0</v>
      </c>
      <c r="G3278">
        <v>0</v>
      </c>
      <c r="H3278">
        <v>0</v>
      </c>
      <c r="I3278">
        <v>0</v>
      </c>
      <c r="J3278">
        <v>0</v>
      </c>
      <c r="K3278" s="201">
        <v>0</v>
      </c>
    </row>
    <row r="3279" spans="1:11" x14ac:dyDescent="0.25">
      <c r="A3279"/>
      <c r="B3279" s="201">
        <v>0</v>
      </c>
      <c r="C3279">
        <v>0</v>
      </c>
      <c r="D3279" s="201">
        <v>0</v>
      </c>
      <c r="E3279" s="201">
        <v>0</v>
      </c>
      <c r="F3279">
        <v>0</v>
      </c>
      <c r="G3279">
        <v>0</v>
      </c>
      <c r="H3279">
        <v>0</v>
      </c>
      <c r="I3279">
        <v>0</v>
      </c>
      <c r="J3279">
        <v>0</v>
      </c>
      <c r="K3279" s="201">
        <v>0</v>
      </c>
    </row>
    <row r="3280" spans="1:11" x14ac:dyDescent="0.25">
      <c r="A3280"/>
      <c r="B3280" s="201">
        <v>0</v>
      </c>
      <c r="C3280">
        <v>0</v>
      </c>
      <c r="D3280" s="201">
        <v>0</v>
      </c>
      <c r="E3280" s="201">
        <v>0</v>
      </c>
      <c r="F3280">
        <v>0</v>
      </c>
      <c r="G3280">
        <v>0</v>
      </c>
      <c r="H3280">
        <v>0</v>
      </c>
      <c r="I3280">
        <v>0</v>
      </c>
      <c r="J3280">
        <v>0</v>
      </c>
      <c r="K3280" s="201">
        <v>0</v>
      </c>
    </row>
    <row r="3281" spans="1:11" x14ac:dyDescent="0.25">
      <c r="A3281"/>
      <c r="B3281" s="201">
        <v>0</v>
      </c>
      <c r="C3281">
        <v>0</v>
      </c>
      <c r="D3281" s="201">
        <v>0</v>
      </c>
      <c r="E3281" s="201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 s="201">
        <v>0</v>
      </c>
    </row>
    <row r="3282" spans="1:11" x14ac:dyDescent="0.25">
      <c r="A3282"/>
      <c r="B3282" s="201">
        <v>0</v>
      </c>
      <c r="C3282">
        <v>0</v>
      </c>
      <c r="D3282" s="201">
        <v>0</v>
      </c>
      <c r="E3282" s="201">
        <v>0</v>
      </c>
      <c r="F3282">
        <v>0</v>
      </c>
      <c r="G3282">
        <v>0</v>
      </c>
      <c r="H3282">
        <v>0</v>
      </c>
      <c r="I3282">
        <v>0</v>
      </c>
      <c r="J3282">
        <v>0</v>
      </c>
      <c r="K3282" s="201">
        <v>0</v>
      </c>
    </row>
    <row r="3283" spans="1:11" x14ac:dyDescent="0.25">
      <c r="A3283"/>
      <c r="B3283" s="201">
        <v>0</v>
      </c>
      <c r="C3283">
        <v>0</v>
      </c>
      <c r="D3283" s="201">
        <v>0</v>
      </c>
      <c r="E3283" s="201">
        <v>0</v>
      </c>
      <c r="F3283">
        <v>0</v>
      </c>
      <c r="G3283">
        <v>0</v>
      </c>
      <c r="H3283">
        <v>0</v>
      </c>
      <c r="I3283">
        <v>0</v>
      </c>
      <c r="J3283">
        <v>0</v>
      </c>
      <c r="K3283" s="201">
        <v>0</v>
      </c>
    </row>
    <row r="3284" spans="1:11" x14ac:dyDescent="0.25">
      <c r="A3284"/>
      <c r="B3284" s="201">
        <v>0</v>
      </c>
      <c r="C3284">
        <v>0</v>
      </c>
      <c r="D3284" s="201">
        <v>0</v>
      </c>
      <c r="E3284" s="201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 s="201">
        <v>0</v>
      </c>
    </row>
    <row r="3285" spans="1:11" x14ac:dyDescent="0.25">
      <c r="A3285"/>
      <c r="B3285" s="201">
        <v>0</v>
      </c>
      <c r="C3285">
        <v>0</v>
      </c>
      <c r="D3285" s="201">
        <v>0</v>
      </c>
      <c r="E3285" s="201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 s="201">
        <v>0</v>
      </c>
    </row>
    <row r="3286" spans="1:11" x14ac:dyDescent="0.25">
      <c r="A3286"/>
      <c r="B3286" s="201">
        <v>0</v>
      </c>
      <c r="C3286">
        <v>0</v>
      </c>
      <c r="D3286" s="201">
        <v>0</v>
      </c>
      <c r="E3286" s="201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 s="201">
        <v>0</v>
      </c>
    </row>
    <row r="3287" spans="1:11" x14ac:dyDescent="0.25">
      <c r="A3287"/>
      <c r="B3287" s="201">
        <v>0</v>
      </c>
      <c r="C3287">
        <v>0</v>
      </c>
      <c r="D3287" s="201">
        <v>0</v>
      </c>
      <c r="E3287" s="201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 s="201">
        <v>0</v>
      </c>
    </row>
    <row r="3288" spans="1:11" x14ac:dyDescent="0.25">
      <c r="A3288"/>
      <c r="B3288" s="201">
        <v>0</v>
      </c>
      <c r="C3288">
        <v>0</v>
      </c>
      <c r="D3288" s="201">
        <v>0</v>
      </c>
      <c r="E3288" s="201">
        <v>0</v>
      </c>
      <c r="F3288">
        <v>0</v>
      </c>
      <c r="G3288">
        <v>0</v>
      </c>
      <c r="H3288">
        <v>0</v>
      </c>
      <c r="I3288">
        <v>0</v>
      </c>
      <c r="J3288">
        <v>0</v>
      </c>
      <c r="K3288" s="201">
        <v>0</v>
      </c>
    </row>
    <row r="3289" spans="1:11" x14ac:dyDescent="0.25">
      <c r="A3289"/>
      <c r="B3289" s="201">
        <v>0</v>
      </c>
      <c r="C3289">
        <v>0</v>
      </c>
      <c r="D3289" s="201">
        <v>0</v>
      </c>
      <c r="E3289" s="201">
        <v>0</v>
      </c>
      <c r="F3289">
        <v>0</v>
      </c>
      <c r="G3289">
        <v>0</v>
      </c>
      <c r="H3289">
        <v>0</v>
      </c>
      <c r="I3289">
        <v>0</v>
      </c>
      <c r="J3289">
        <v>0</v>
      </c>
      <c r="K3289" s="201">
        <v>0</v>
      </c>
    </row>
    <row r="3290" spans="1:11" x14ac:dyDescent="0.25">
      <c r="A3290"/>
      <c r="B3290" s="201">
        <v>0</v>
      </c>
      <c r="C3290">
        <v>0</v>
      </c>
      <c r="D3290" s="201">
        <v>0</v>
      </c>
      <c r="E3290" s="201">
        <v>0</v>
      </c>
      <c r="F3290">
        <v>0</v>
      </c>
      <c r="G3290">
        <v>0</v>
      </c>
      <c r="H3290">
        <v>0</v>
      </c>
      <c r="I3290">
        <v>0</v>
      </c>
      <c r="J3290">
        <v>0</v>
      </c>
      <c r="K3290" s="201">
        <v>0</v>
      </c>
    </row>
    <row r="3291" spans="1:11" x14ac:dyDescent="0.25">
      <c r="A3291"/>
      <c r="B3291" s="201">
        <v>0</v>
      </c>
      <c r="C3291">
        <v>0</v>
      </c>
      <c r="D3291" s="201">
        <v>0</v>
      </c>
      <c r="E3291" s="201">
        <v>0</v>
      </c>
      <c r="F3291">
        <v>0</v>
      </c>
      <c r="G3291">
        <v>0</v>
      </c>
      <c r="H3291">
        <v>0</v>
      </c>
      <c r="I3291">
        <v>0</v>
      </c>
      <c r="J3291">
        <v>0</v>
      </c>
      <c r="K3291" s="201">
        <v>0</v>
      </c>
    </row>
    <row r="3292" spans="1:11" x14ac:dyDescent="0.25">
      <c r="A3292"/>
      <c r="B3292" s="201">
        <v>0</v>
      </c>
      <c r="C3292">
        <v>0</v>
      </c>
      <c r="D3292" s="201">
        <v>0</v>
      </c>
      <c r="E3292" s="201">
        <v>0</v>
      </c>
      <c r="F3292">
        <v>0</v>
      </c>
      <c r="G3292">
        <v>0</v>
      </c>
      <c r="H3292">
        <v>0</v>
      </c>
      <c r="I3292">
        <v>0</v>
      </c>
      <c r="J3292">
        <v>0</v>
      </c>
      <c r="K3292" s="201">
        <v>0</v>
      </c>
    </row>
    <row r="3293" spans="1:11" x14ac:dyDescent="0.25">
      <c r="A3293"/>
      <c r="B3293" s="201">
        <v>0</v>
      </c>
      <c r="C3293">
        <v>0</v>
      </c>
      <c r="D3293" s="201">
        <v>0</v>
      </c>
      <c r="E3293" s="201">
        <v>0</v>
      </c>
      <c r="F3293">
        <v>0</v>
      </c>
      <c r="G3293">
        <v>0</v>
      </c>
      <c r="H3293">
        <v>0</v>
      </c>
      <c r="I3293">
        <v>0</v>
      </c>
      <c r="J3293">
        <v>0</v>
      </c>
      <c r="K3293" s="201">
        <v>0</v>
      </c>
    </row>
    <row r="3294" spans="1:11" x14ac:dyDescent="0.25">
      <c r="A3294"/>
      <c r="B3294" s="201">
        <v>0</v>
      </c>
      <c r="C3294">
        <v>0</v>
      </c>
      <c r="D3294" s="201">
        <v>0</v>
      </c>
      <c r="E3294" s="201">
        <v>0</v>
      </c>
      <c r="F3294">
        <v>0</v>
      </c>
      <c r="G3294">
        <v>0</v>
      </c>
      <c r="H3294">
        <v>0</v>
      </c>
      <c r="I3294">
        <v>0</v>
      </c>
      <c r="J3294">
        <v>0</v>
      </c>
      <c r="K3294" s="201">
        <v>0</v>
      </c>
    </row>
    <row r="3295" spans="1:11" x14ac:dyDescent="0.25">
      <c r="A3295"/>
      <c r="B3295" s="201">
        <v>0</v>
      </c>
      <c r="C3295">
        <v>0</v>
      </c>
      <c r="D3295" s="201">
        <v>0</v>
      </c>
      <c r="E3295" s="201">
        <v>0</v>
      </c>
      <c r="F3295">
        <v>0</v>
      </c>
      <c r="G3295">
        <v>0</v>
      </c>
      <c r="H3295">
        <v>0</v>
      </c>
      <c r="I3295">
        <v>0</v>
      </c>
      <c r="J3295">
        <v>0</v>
      </c>
      <c r="K3295" s="201">
        <v>0</v>
      </c>
    </row>
    <row r="3296" spans="1:11" x14ac:dyDescent="0.25">
      <c r="A3296"/>
      <c r="B3296" s="201">
        <v>0</v>
      </c>
      <c r="C3296">
        <v>0</v>
      </c>
      <c r="D3296" s="201">
        <v>0</v>
      </c>
      <c r="E3296" s="201">
        <v>0</v>
      </c>
      <c r="F3296">
        <v>0</v>
      </c>
      <c r="G3296">
        <v>0</v>
      </c>
      <c r="H3296">
        <v>0</v>
      </c>
      <c r="I3296">
        <v>0</v>
      </c>
      <c r="J3296">
        <v>0</v>
      </c>
      <c r="K3296" s="201">
        <v>0</v>
      </c>
    </row>
    <row r="3297" spans="1:11" x14ac:dyDescent="0.25">
      <c r="A3297"/>
      <c r="B3297" s="201">
        <v>0</v>
      </c>
      <c r="C3297">
        <v>0</v>
      </c>
      <c r="D3297" s="201">
        <v>0</v>
      </c>
      <c r="E3297" s="201">
        <v>0</v>
      </c>
      <c r="F3297">
        <v>0</v>
      </c>
      <c r="G3297">
        <v>0</v>
      </c>
      <c r="H3297">
        <v>0</v>
      </c>
      <c r="I3297">
        <v>0</v>
      </c>
      <c r="J3297">
        <v>0</v>
      </c>
      <c r="K3297" s="201">
        <v>0</v>
      </c>
    </row>
    <row r="3298" spans="1:11" x14ac:dyDescent="0.25">
      <c r="A3298"/>
      <c r="B3298" s="201">
        <v>0</v>
      </c>
      <c r="C3298">
        <v>0</v>
      </c>
      <c r="D3298" s="201">
        <v>0</v>
      </c>
      <c r="E3298" s="201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 s="201">
        <v>0</v>
      </c>
    </row>
    <row r="3299" spans="1:11" x14ac:dyDescent="0.25">
      <c r="A3299"/>
      <c r="B3299" s="201">
        <v>0</v>
      </c>
      <c r="C3299">
        <v>0</v>
      </c>
      <c r="D3299" s="201">
        <v>0</v>
      </c>
      <c r="E3299" s="201">
        <v>0</v>
      </c>
      <c r="F3299">
        <v>0</v>
      </c>
      <c r="G3299">
        <v>0</v>
      </c>
      <c r="H3299">
        <v>0</v>
      </c>
      <c r="I3299">
        <v>0</v>
      </c>
      <c r="J3299">
        <v>0</v>
      </c>
      <c r="K3299" s="201">
        <v>0</v>
      </c>
    </row>
    <row r="3300" spans="1:11" x14ac:dyDescent="0.25">
      <c r="A3300"/>
      <c r="B3300" s="201">
        <v>0</v>
      </c>
      <c r="C3300">
        <v>0</v>
      </c>
      <c r="D3300" s="201">
        <v>0</v>
      </c>
      <c r="E3300" s="201">
        <v>0</v>
      </c>
      <c r="F3300">
        <v>0</v>
      </c>
      <c r="G3300">
        <v>0</v>
      </c>
      <c r="H3300">
        <v>0</v>
      </c>
      <c r="I3300">
        <v>0</v>
      </c>
      <c r="J3300">
        <v>0</v>
      </c>
      <c r="K3300" s="201">
        <v>0</v>
      </c>
    </row>
    <row r="3301" spans="1:11" x14ac:dyDescent="0.25">
      <c r="A3301"/>
      <c r="B3301" s="201">
        <v>0</v>
      </c>
      <c r="C3301">
        <v>0</v>
      </c>
      <c r="D3301" s="201">
        <v>0</v>
      </c>
      <c r="E3301" s="201">
        <v>0</v>
      </c>
      <c r="F3301">
        <v>0</v>
      </c>
      <c r="G3301">
        <v>0</v>
      </c>
      <c r="H3301">
        <v>0</v>
      </c>
      <c r="I3301">
        <v>0</v>
      </c>
      <c r="J3301">
        <v>0</v>
      </c>
      <c r="K3301" s="201">
        <v>0</v>
      </c>
    </row>
    <row r="3302" spans="1:11" x14ac:dyDescent="0.25">
      <c r="A3302"/>
      <c r="B3302" s="201">
        <v>0</v>
      </c>
      <c r="C3302">
        <v>0</v>
      </c>
      <c r="D3302" s="201">
        <v>0</v>
      </c>
      <c r="E3302" s="201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 s="201">
        <v>0</v>
      </c>
    </row>
    <row r="3303" spans="1:11" x14ac:dyDescent="0.25">
      <c r="A3303"/>
      <c r="B3303" s="201">
        <v>0</v>
      </c>
      <c r="C3303">
        <v>0</v>
      </c>
      <c r="D3303" s="201">
        <v>0</v>
      </c>
      <c r="E3303" s="201">
        <v>0</v>
      </c>
      <c r="F3303">
        <v>0</v>
      </c>
      <c r="G3303">
        <v>0</v>
      </c>
      <c r="H3303">
        <v>0</v>
      </c>
      <c r="I3303">
        <v>0</v>
      </c>
      <c r="J3303">
        <v>0</v>
      </c>
      <c r="K3303" s="201">
        <v>0</v>
      </c>
    </row>
    <row r="3304" spans="1:11" x14ac:dyDescent="0.25">
      <c r="A3304"/>
      <c r="B3304" s="201">
        <v>0</v>
      </c>
      <c r="C3304">
        <v>0</v>
      </c>
      <c r="D3304" s="201">
        <v>0</v>
      </c>
      <c r="E3304" s="201">
        <v>0</v>
      </c>
      <c r="F3304">
        <v>0</v>
      </c>
      <c r="G3304">
        <v>0</v>
      </c>
      <c r="H3304">
        <v>0</v>
      </c>
      <c r="I3304">
        <v>0</v>
      </c>
      <c r="J3304">
        <v>0</v>
      </c>
      <c r="K3304" s="201">
        <v>0</v>
      </c>
    </row>
    <row r="3305" spans="1:11" x14ac:dyDescent="0.25">
      <c r="A3305"/>
      <c r="B3305" s="201">
        <v>0</v>
      </c>
      <c r="C3305">
        <v>0</v>
      </c>
      <c r="D3305" s="201">
        <v>0</v>
      </c>
      <c r="E3305" s="201">
        <v>0</v>
      </c>
      <c r="F3305">
        <v>0</v>
      </c>
      <c r="G3305">
        <v>0</v>
      </c>
      <c r="H3305">
        <v>0</v>
      </c>
      <c r="I3305">
        <v>0</v>
      </c>
      <c r="J3305">
        <v>0</v>
      </c>
      <c r="K3305" s="201">
        <v>0</v>
      </c>
    </row>
    <row r="3306" spans="1:11" x14ac:dyDescent="0.25">
      <c r="A3306"/>
      <c r="B3306" s="201">
        <v>0</v>
      </c>
      <c r="C3306">
        <v>0</v>
      </c>
      <c r="D3306" s="201">
        <v>0</v>
      </c>
      <c r="E3306" s="201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 s="201">
        <v>0</v>
      </c>
    </row>
    <row r="3307" spans="1:11" x14ac:dyDescent="0.25">
      <c r="A3307"/>
      <c r="B3307" s="201">
        <v>0</v>
      </c>
      <c r="C3307">
        <v>0</v>
      </c>
      <c r="D3307" s="201">
        <v>0</v>
      </c>
      <c r="E3307" s="201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 s="201">
        <v>0</v>
      </c>
    </row>
    <row r="3308" spans="1:11" x14ac:dyDescent="0.25">
      <c r="A3308"/>
      <c r="B3308" s="201">
        <v>0</v>
      </c>
      <c r="C3308">
        <v>0</v>
      </c>
      <c r="D3308" s="201">
        <v>0</v>
      </c>
      <c r="E3308" s="201">
        <v>0</v>
      </c>
      <c r="F3308">
        <v>0</v>
      </c>
      <c r="G3308">
        <v>0</v>
      </c>
      <c r="H3308">
        <v>0</v>
      </c>
      <c r="I3308">
        <v>0</v>
      </c>
      <c r="J3308">
        <v>0</v>
      </c>
      <c r="K3308" s="201">
        <v>0</v>
      </c>
    </row>
    <row r="3309" spans="1:11" x14ac:dyDescent="0.25">
      <c r="A3309"/>
      <c r="B3309" s="201">
        <v>0</v>
      </c>
      <c r="C3309">
        <v>0</v>
      </c>
      <c r="D3309" s="201">
        <v>0</v>
      </c>
      <c r="E3309" s="201">
        <v>0</v>
      </c>
      <c r="F3309">
        <v>0</v>
      </c>
      <c r="G3309">
        <v>0</v>
      </c>
      <c r="H3309">
        <v>0</v>
      </c>
      <c r="I3309">
        <v>0</v>
      </c>
      <c r="J3309">
        <v>0</v>
      </c>
      <c r="K3309" s="201">
        <v>0</v>
      </c>
    </row>
    <row r="3310" spans="1:11" x14ac:dyDescent="0.25">
      <c r="A3310"/>
      <c r="B3310" s="201">
        <v>0</v>
      </c>
      <c r="C3310">
        <v>0</v>
      </c>
      <c r="D3310" s="201">
        <v>0</v>
      </c>
      <c r="E3310" s="201">
        <v>0</v>
      </c>
      <c r="F3310">
        <v>0</v>
      </c>
      <c r="G3310">
        <v>0</v>
      </c>
      <c r="H3310">
        <v>0</v>
      </c>
      <c r="I3310">
        <v>0</v>
      </c>
      <c r="J3310">
        <v>0</v>
      </c>
      <c r="K3310" s="201">
        <v>0</v>
      </c>
    </row>
    <row r="3311" spans="1:11" x14ac:dyDescent="0.25">
      <c r="A3311"/>
      <c r="B3311" s="201">
        <v>0</v>
      </c>
      <c r="C3311">
        <v>0</v>
      </c>
      <c r="D3311" s="201">
        <v>0</v>
      </c>
      <c r="E3311" s="201">
        <v>0</v>
      </c>
      <c r="F3311">
        <v>0</v>
      </c>
      <c r="G3311">
        <v>0</v>
      </c>
      <c r="H3311">
        <v>0</v>
      </c>
      <c r="I3311">
        <v>0</v>
      </c>
      <c r="J3311">
        <v>0</v>
      </c>
      <c r="K3311" s="201">
        <v>0</v>
      </c>
    </row>
    <row r="3312" spans="1:11" x14ac:dyDescent="0.25">
      <c r="A3312"/>
      <c r="B3312" s="201">
        <v>0</v>
      </c>
      <c r="C3312">
        <v>0</v>
      </c>
      <c r="D3312" s="201">
        <v>0</v>
      </c>
      <c r="E3312" s="201">
        <v>0</v>
      </c>
      <c r="F3312">
        <v>0</v>
      </c>
      <c r="G3312">
        <v>0</v>
      </c>
      <c r="H3312">
        <v>0</v>
      </c>
      <c r="I3312">
        <v>0</v>
      </c>
      <c r="J3312">
        <v>0</v>
      </c>
      <c r="K3312" s="201">
        <v>0</v>
      </c>
    </row>
    <row r="3313" spans="1:11" x14ac:dyDescent="0.25">
      <c r="A3313"/>
      <c r="B3313" s="201">
        <v>0</v>
      </c>
      <c r="C3313">
        <v>0</v>
      </c>
      <c r="D3313" s="201">
        <v>0</v>
      </c>
      <c r="E3313" s="201">
        <v>0</v>
      </c>
      <c r="F3313">
        <v>0</v>
      </c>
      <c r="G3313">
        <v>0</v>
      </c>
      <c r="H3313">
        <v>0</v>
      </c>
      <c r="I3313">
        <v>0</v>
      </c>
      <c r="J3313">
        <v>0</v>
      </c>
      <c r="K3313" s="201">
        <v>0</v>
      </c>
    </row>
    <row r="3314" spans="1:11" x14ac:dyDescent="0.25">
      <c r="A3314"/>
      <c r="B3314" s="201">
        <v>0</v>
      </c>
      <c r="C3314">
        <v>0</v>
      </c>
      <c r="D3314" s="201">
        <v>0</v>
      </c>
      <c r="E3314" s="201">
        <v>0</v>
      </c>
      <c r="F3314">
        <v>0</v>
      </c>
      <c r="G3314">
        <v>0</v>
      </c>
      <c r="H3314">
        <v>0</v>
      </c>
      <c r="I3314">
        <v>0</v>
      </c>
      <c r="J3314">
        <v>0</v>
      </c>
      <c r="K3314" s="201">
        <v>0</v>
      </c>
    </row>
    <row r="3315" spans="1:11" x14ac:dyDescent="0.25">
      <c r="A3315"/>
      <c r="B3315" s="201">
        <v>0</v>
      </c>
      <c r="C3315">
        <v>0</v>
      </c>
      <c r="D3315" s="201">
        <v>0</v>
      </c>
      <c r="E3315" s="201">
        <v>0</v>
      </c>
      <c r="F3315">
        <v>0</v>
      </c>
      <c r="G3315">
        <v>0</v>
      </c>
      <c r="H3315">
        <v>0</v>
      </c>
      <c r="I3315">
        <v>0</v>
      </c>
      <c r="J3315">
        <v>0</v>
      </c>
      <c r="K3315" s="201">
        <v>0</v>
      </c>
    </row>
    <row r="3316" spans="1:11" x14ac:dyDescent="0.25">
      <c r="A3316"/>
      <c r="B3316" s="201">
        <v>0</v>
      </c>
      <c r="C3316">
        <v>0</v>
      </c>
      <c r="D3316" s="201">
        <v>0</v>
      </c>
      <c r="E3316" s="201">
        <v>0</v>
      </c>
      <c r="F3316">
        <v>0</v>
      </c>
      <c r="G3316">
        <v>0</v>
      </c>
      <c r="H3316">
        <v>0</v>
      </c>
      <c r="I3316">
        <v>0</v>
      </c>
      <c r="J3316">
        <v>0</v>
      </c>
      <c r="K3316" s="201">
        <v>0</v>
      </c>
    </row>
    <row r="3317" spans="1:11" x14ac:dyDescent="0.25">
      <c r="A3317"/>
      <c r="B3317" s="201">
        <v>0</v>
      </c>
      <c r="C3317">
        <v>0</v>
      </c>
      <c r="D3317" s="201">
        <v>0</v>
      </c>
      <c r="E3317" s="201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 s="201">
        <v>0</v>
      </c>
    </row>
    <row r="3318" spans="1:11" x14ac:dyDescent="0.25">
      <c r="A3318"/>
      <c r="B3318" s="201">
        <v>0</v>
      </c>
      <c r="C3318">
        <v>0</v>
      </c>
      <c r="D3318" s="201">
        <v>0</v>
      </c>
      <c r="E3318" s="201">
        <v>0</v>
      </c>
      <c r="F3318">
        <v>0</v>
      </c>
      <c r="G3318">
        <v>0</v>
      </c>
      <c r="H3318">
        <v>0</v>
      </c>
      <c r="I3318">
        <v>0</v>
      </c>
      <c r="J3318">
        <v>0</v>
      </c>
      <c r="K3318" s="201">
        <v>0</v>
      </c>
    </row>
    <row r="3319" spans="1:11" x14ac:dyDescent="0.25">
      <c r="A3319"/>
      <c r="B3319" s="201">
        <v>0</v>
      </c>
      <c r="C3319">
        <v>0</v>
      </c>
      <c r="D3319" s="201">
        <v>0</v>
      </c>
      <c r="E3319" s="201">
        <v>0</v>
      </c>
      <c r="F3319">
        <v>0</v>
      </c>
      <c r="G3319">
        <v>0</v>
      </c>
      <c r="H3319">
        <v>0</v>
      </c>
      <c r="I3319">
        <v>0</v>
      </c>
      <c r="J3319">
        <v>0</v>
      </c>
      <c r="K3319" s="201">
        <v>0</v>
      </c>
    </row>
    <row r="3320" spans="1:11" x14ac:dyDescent="0.25">
      <c r="A3320"/>
      <c r="B3320" s="201">
        <v>0</v>
      </c>
      <c r="C3320">
        <v>0</v>
      </c>
      <c r="D3320" s="201">
        <v>0</v>
      </c>
      <c r="E3320" s="201">
        <v>0</v>
      </c>
      <c r="F3320">
        <v>0</v>
      </c>
      <c r="G3320">
        <v>0</v>
      </c>
      <c r="H3320">
        <v>0</v>
      </c>
      <c r="I3320">
        <v>0</v>
      </c>
      <c r="J3320">
        <v>0</v>
      </c>
      <c r="K3320" s="201">
        <v>0</v>
      </c>
    </row>
    <row r="3321" spans="1:11" x14ac:dyDescent="0.25">
      <c r="A3321"/>
      <c r="B3321" s="201">
        <v>0</v>
      </c>
      <c r="C3321">
        <v>0</v>
      </c>
      <c r="D3321" s="201">
        <v>0</v>
      </c>
      <c r="E3321" s="201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 s="201">
        <v>0</v>
      </c>
    </row>
    <row r="3322" spans="1:11" x14ac:dyDescent="0.25">
      <c r="A3322"/>
      <c r="B3322" s="201">
        <v>0</v>
      </c>
      <c r="C3322">
        <v>0</v>
      </c>
      <c r="D3322" s="201">
        <v>0</v>
      </c>
      <c r="E3322" s="201">
        <v>0</v>
      </c>
      <c r="F3322">
        <v>0</v>
      </c>
      <c r="G3322">
        <v>0</v>
      </c>
      <c r="H3322">
        <v>0</v>
      </c>
      <c r="I3322">
        <v>0</v>
      </c>
      <c r="J3322">
        <v>0</v>
      </c>
      <c r="K3322" s="201">
        <v>0</v>
      </c>
    </row>
    <row r="3323" spans="1:11" x14ac:dyDescent="0.25">
      <c r="A3323"/>
      <c r="B3323" s="201">
        <v>0</v>
      </c>
      <c r="C3323">
        <v>0</v>
      </c>
      <c r="D3323" s="201">
        <v>0</v>
      </c>
      <c r="E3323" s="201">
        <v>0</v>
      </c>
      <c r="F3323">
        <v>0</v>
      </c>
      <c r="G3323">
        <v>0</v>
      </c>
      <c r="H3323">
        <v>0</v>
      </c>
      <c r="I3323">
        <v>0</v>
      </c>
      <c r="J3323">
        <v>0</v>
      </c>
      <c r="K3323" s="201">
        <v>0</v>
      </c>
    </row>
    <row r="3324" spans="1:11" x14ac:dyDescent="0.25">
      <c r="A3324"/>
      <c r="B3324" s="201">
        <v>0</v>
      </c>
      <c r="C3324">
        <v>0</v>
      </c>
      <c r="D3324" s="201">
        <v>0</v>
      </c>
      <c r="E3324" s="201">
        <v>0</v>
      </c>
      <c r="F3324">
        <v>0</v>
      </c>
      <c r="G3324">
        <v>0</v>
      </c>
      <c r="H3324">
        <v>0</v>
      </c>
      <c r="I3324">
        <v>0</v>
      </c>
      <c r="J3324">
        <v>0</v>
      </c>
      <c r="K3324" s="201">
        <v>0</v>
      </c>
    </row>
    <row r="3325" spans="1:11" x14ac:dyDescent="0.25">
      <c r="A3325"/>
      <c r="B3325" s="201">
        <v>0</v>
      </c>
      <c r="C3325">
        <v>0</v>
      </c>
      <c r="D3325" s="201">
        <v>0</v>
      </c>
      <c r="E3325" s="201">
        <v>0</v>
      </c>
      <c r="F3325">
        <v>0</v>
      </c>
      <c r="G3325">
        <v>0</v>
      </c>
      <c r="H3325">
        <v>0</v>
      </c>
      <c r="I3325">
        <v>0</v>
      </c>
      <c r="J3325">
        <v>0</v>
      </c>
      <c r="K3325" s="201">
        <v>0</v>
      </c>
    </row>
    <row r="3326" spans="1:11" x14ac:dyDescent="0.25">
      <c r="A3326"/>
      <c r="B3326" s="201">
        <v>0</v>
      </c>
      <c r="C3326">
        <v>0</v>
      </c>
      <c r="D3326" s="201">
        <v>0</v>
      </c>
      <c r="E3326" s="201">
        <v>0</v>
      </c>
      <c r="F3326">
        <v>0</v>
      </c>
      <c r="G3326">
        <v>0</v>
      </c>
      <c r="H3326">
        <v>0</v>
      </c>
      <c r="I3326">
        <v>0</v>
      </c>
      <c r="J3326">
        <v>0</v>
      </c>
      <c r="K3326" s="201">
        <v>0</v>
      </c>
    </row>
    <row r="3327" spans="1:11" x14ac:dyDescent="0.25">
      <c r="A3327"/>
      <c r="B3327" s="201">
        <v>0</v>
      </c>
      <c r="C3327">
        <v>0</v>
      </c>
      <c r="D3327" s="201">
        <v>0</v>
      </c>
      <c r="E3327" s="201">
        <v>0</v>
      </c>
      <c r="F3327">
        <v>0</v>
      </c>
      <c r="G3327">
        <v>0</v>
      </c>
      <c r="H3327">
        <v>0</v>
      </c>
      <c r="I3327">
        <v>0</v>
      </c>
      <c r="J3327">
        <v>0</v>
      </c>
      <c r="K3327" s="201">
        <v>0</v>
      </c>
    </row>
    <row r="3328" spans="1:11" x14ac:dyDescent="0.25">
      <c r="A3328"/>
      <c r="B3328" s="201">
        <v>0</v>
      </c>
      <c r="C3328">
        <v>0</v>
      </c>
      <c r="D3328" s="201">
        <v>0</v>
      </c>
      <c r="E3328" s="201">
        <v>0</v>
      </c>
      <c r="F3328">
        <v>0</v>
      </c>
      <c r="G3328">
        <v>0</v>
      </c>
      <c r="H3328">
        <v>0</v>
      </c>
      <c r="I3328">
        <v>0</v>
      </c>
      <c r="J3328">
        <v>0</v>
      </c>
      <c r="K3328" s="201">
        <v>0</v>
      </c>
    </row>
    <row r="3329" spans="1:11" x14ac:dyDescent="0.25">
      <c r="A3329"/>
      <c r="B3329" s="201">
        <v>0</v>
      </c>
      <c r="C3329">
        <v>0</v>
      </c>
      <c r="D3329" s="201">
        <v>0</v>
      </c>
      <c r="E3329" s="201">
        <v>0</v>
      </c>
      <c r="F3329">
        <v>0</v>
      </c>
      <c r="G3329">
        <v>0</v>
      </c>
      <c r="H3329">
        <v>0</v>
      </c>
      <c r="I3329">
        <v>0</v>
      </c>
      <c r="J3329">
        <v>0</v>
      </c>
      <c r="K3329" s="201">
        <v>0</v>
      </c>
    </row>
    <row r="3330" spans="1:11" x14ac:dyDescent="0.25">
      <c r="A3330"/>
      <c r="B3330" s="201">
        <v>0</v>
      </c>
      <c r="C3330">
        <v>0</v>
      </c>
      <c r="D3330" s="201">
        <v>0</v>
      </c>
      <c r="E3330" s="201">
        <v>0</v>
      </c>
      <c r="F3330">
        <v>0</v>
      </c>
      <c r="G3330">
        <v>0</v>
      </c>
      <c r="H3330">
        <v>0</v>
      </c>
      <c r="I3330">
        <v>0</v>
      </c>
      <c r="J3330">
        <v>0</v>
      </c>
      <c r="K3330" s="201">
        <v>0</v>
      </c>
    </row>
    <row r="3331" spans="1:11" x14ac:dyDescent="0.25">
      <c r="A3331"/>
      <c r="B3331" s="201">
        <v>0</v>
      </c>
      <c r="C3331">
        <v>0</v>
      </c>
      <c r="D3331" s="201">
        <v>0</v>
      </c>
      <c r="E3331" s="201">
        <v>0</v>
      </c>
      <c r="F3331">
        <v>0</v>
      </c>
      <c r="G3331">
        <v>0</v>
      </c>
      <c r="H3331">
        <v>0</v>
      </c>
      <c r="I3331">
        <v>0</v>
      </c>
      <c r="J3331">
        <v>0</v>
      </c>
      <c r="K3331" s="201">
        <v>0</v>
      </c>
    </row>
    <row r="3332" spans="1:11" x14ac:dyDescent="0.25">
      <c r="A3332"/>
      <c r="B3332" s="201">
        <v>0</v>
      </c>
      <c r="C3332">
        <v>0</v>
      </c>
      <c r="D3332" s="201">
        <v>0</v>
      </c>
      <c r="E3332" s="201">
        <v>0</v>
      </c>
      <c r="F3332">
        <v>0</v>
      </c>
      <c r="G3332">
        <v>0</v>
      </c>
      <c r="H3332">
        <v>0</v>
      </c>
      <c r="I3332">
        <v>0</v>
      </c>
      <c r="J3332">
        <v>0</v>
      </c>
      <c r="K3332" s="201">
        <v>0</v>
      </c>
    </row>
    <row r="3333" spans="1:11" x14ac:dyDescent="0.25">
      <c r="A3333"/>
      <c r="B3333" s="201">
        <v>0</v>
      </c>
      <c r="C3333">
        <v>0</v>
      </c>
      <c r="D3333" s="201">
        <v>0</v>
      </c>
      <c r="E3333" s="201">
        <v>0</v>
      </c>
      <c r="F3333">
        <v>0</v>
      </c>
      <c r="G3333">
        <v>0</v>
      </c>
      <c r="H3333">
        <v>0</v>
      </c>
      <c r="I3333">
        <v>0</v>
      </c>
      <c r="J3333">
        <v>0</v>
      </c>
      <c r="K3333" s="201">
        <v>0</v>
      </c>
    </row>
    <row r="3334" spans="1:11" x14ac:dyDescent="0.25">
      <c r="A3334"/>
      <c r="B3334" s="201">
        <v>0</v>
      </c>
      <c r="C3334">
        <v>0</v>
      </c>
      <c r="D3334" s="201">
        <v>0</v>
      </c>
      <c r="E3334" s="201">
        <v>0</v>
      </c>
      <c r="F3334">
        <v>0</v>
      </c>
      <c r="G3334">
        <v>0</v>
      </c>
      <c r="H3334">
        <v>0</v>
      </c>
      <c r="I3334">
        <v>0</v>
      </c>
      <c r="J3334">
        <v>0</v>
      </c>
      <c r="K3334" s="201">
        <v>0</v>
      </c>
    </row>
    <row r="3335" spans="1:11" x14ac:dyDescent="0.25">
      <c r="A3335"/>
      <c r="B3335" s="201">
        <v>0</v>
      </c>
      <c r="C3335">
        <v>0</v>
      </c>
      <c r="D3335" s="201">
        <v>0</v>
      </c>
      <c r="E3335" s="201">
        <v>0</v>
      </c>
      <c r="F3335">
        <v>0</v>
      </c>
      <c r="G3335">
        <v>0</v>
      </c>
      <c r="H3335">
        <v>0</v>
      </c>
      <c r="I3335">
        <v>0</v>
      </c>
      <c r="J3335">
        <v>0</v>
      </c>
      <c r="K3335" s="201">
        <v>0</v>
      </c>
    </row>
    <row r="3336" spans="1:11" x14ac:dyDescent="0.25">
      <c r="A3336"/>
      <c r="B3336" s="201">
        <v>0</v>
      </c>
      <c r="C3336">
        <v>0</v>
      </c>
      <c r="D3336" s="201">
        <v>0</v>
      </c>
      <c r="E3336" s="201">
        <v>0</v>
      </c>
      <c r="F3336">
        <v>0</v>
      </c>
      <c r="G3336">
        <v>0</v>
      </c>
      <c r="H3336">
        <v>0</v>
      </c>
      <c r="I3336">
        <v>0</v>
      </c>
      <c r="J3336">
        <v>0</v>
      </c>
      <c r="K3336" s="201">
        <v>0</v>
      </c>
    </row>
    <row r="3337" spans="1:11" x14ac:dyDescent="0.25">
      <c r="A3337"/>
      <c r="B3337" s="201">
        <v>0</v>
      </c>
      <c r="C3337">
        <v>0</v>
      </c>
      <c r="D3337" s="201">
        <v>0</v>
      </c>
      <c r="E3337" s="201">
        <v>0</v>
      </c>
      <c r="F3337">
        <v>0</v>
      </c>
      <c r="G3337">
        <v>0</v>
      </c>
      <c r="H3337">
        <v>0</v>
      </c>
      <c r="I3337">
        <v>0</v>
      </c>
      <c r="J3337">
        <v>0</v>
      </c>
      <c r="K3337" s="201">
        <v>0</v>
      </c>
    </row>
    <row r="3338" spans="1:11" x14ac:dyDescent="0.25">
      <c r="A3338"/>
      <c r="B3338" s="201">
        <v>0</v>
      </c>
      <c r="C3338">
        <v>0</v>
      </c>
      <c r="D3338" s="201">
        <v>0</v>
      </c>
      <c r="E3338" s="201">
        <v>0</v>
      </c>
      <c r="F3338">
        <v>0</v>
      </c>
      <c r="G3338">
        <v>0</v>
      </c>
      <c r="H3338">
        <v>0</v>
      </c>
      <c r="I3338">
        <v>0</v>
      </c>
      <c r="J3338">
        <v>0</v>
      </c>
      <c r="K3338" s="201">
        <v>0</v>
      </c>
    </row>
    <row r="3339" spans="1:11" x14ac:dyDescent="0.25">
      <c r="A3339"/>
      <c r="B3339" s="201">
        <v>0</v>
      </c>
      <c r="C3339">
        <v>0</v>
      </c>
      <c r="D3339" s="201">
        <v>0</v>
      </c>
      <c r="E3339" s="201">
        <v>0</v>
      </c>
      <c r="F3339">
        <v>0</v>
      </c>
      <c r="G3339">
        <v>0</v>
      </c>
      <c r="H3339">
        <v>0</v>
      </c>
      <c r="I3339">
        <v>0</v>
      </c>
      <c r="J3339">
        <v>0</v>
      </c>
      <c r="K3339" s="201">
        <v>0</v>
      </c>
    </row>
    <row r="3340" spans="1:11" x14ac:dyDescent="0.25">
      <c r="A3340"/>
      <c r="B3340" s="201">
        <v>0</v>
      </c>
      <c r="C3340">
        <v>0</v>
      </c>
      <c r="D3340" s="201">
        <v>0</v>
      </c>
      <c r="E3340" s="201">
        <v>0</v>
      </c>
      <c r="F3340">
        <v>0</v>
      </c>
      <c r="G3340">
        <v>0</v>
      </c>
      <c r="H3340">
        <v>0</v>
      </c>
      <c r="I3340">
        <v>0</v>
      </c>
      <c r="J3340">
        <v>0</v>
      </c>
      <c r="K3340" s="201">
        <v>0</v>
      </c>
    </row>
    <row r="3341" spans="1:11" x14ac:dyDescent="0.25">
      <c r="A3341"/>
      <c r="B3341" s="201">
        <v>0</v>
      </c>
      <c r="C3341">
        <v>0</v>
      </c>
      <c r="D3341" s="201">
        <v>0</v>
      </c>
      <c r="E3341" s="201">
        <v>0</v>
      </c>
      <c r="F3341">
        <v>0</v>
      </c>
      <c r="G3341">
        <v>0</v>
      </c>
      <c r="H3341">
        <v>0</v>
      </c>
      <c r="I3341">
        <v>0</v>
      </c>
      <c r="J3341">
        <v>0</v>
      </c>
      <c r="K3341" s="201">
        <v>0</v>
      </c>
    </row>
    <row r="3342" spans="1:11" x14ac:dyDescent="0.25">
      <c r="A3342"/>
      <c r="B3342" s="201">
        <v>0</v>
      </c>
      <c r="C3342">
        <v>0</v>
      </c>
      <c r="D3342" s="201">
        <v>0</v>
      </c>
      <c r="E3342" s="201">
        <v>0</v>
      </c>
      <c r="F3342">
        <v>0</v>
      </c>
      <c r="G3342">
        <v>0</v>
      </c>
      <c r="H3342">
        <v>0</v>
      </c>
      <c r="I3342">
        <v>0</v>
      </c>
      <c r="J3342">
        <v>0</v>
      </c>
      <c r="K3342" s="201">
        <v>0</v>
      </c>
    </row>
    <row r="3343" spans="1:11" x14ac:dyDescent="0.25">
      <c r="A3343"/>
      <c r="B3343" s="201">
        <v>0</v>
      </c>
      <c r="C3343">
        <v>0</v>
      </c>
      <c r="D3343" s="201">
        <v>0</v>
      </c>
      <c r="E3343" s="201">
        <v>0</v>
      </c>
      <c r="F3343">
        <v>0</v>
      </c>
      <c r="G3343">
        <v>0</v>
      </c>
      <c r="H3343">
        <v>0</v>
      </c>
      <c r="I3343">
        <v>0</v>
      </c>
      <c r="J3343">
        <v>0</v>
      </c>
      <c r="K3343" s="201">
        <v>0</v>
      </c>
    </row>
    <row r="3344" spans="1:11" x14ac:dyDescent="0.25">
      <c r="A3344"/>
      <c r="B3344" s="201">
        <v>0</v>
      </c>
      <c r="C3344">
        <v>0</v>
      </c>
      <c r="D3344" s="201">
        <v>0</v>
      </c>
      <c r="E3344" s="201">
        <v>0</v>
      </c>
      <c r="F3344">
        <v>0</v>
      </c>
      <c r="G3344">
        <v>0</v>
      </c>
      <c r="H3344">
        <v>0</v>
      </c>
      <c r="I3344">
        <v>0</v>
      </c>
      <c r="J3344">
        <v>0</v>
      </c>
      <c r="K3344" s="201">
        <v>0</v>
      </c>
    </row>
    <row r="3345" spans="1:11" x14ac:dyDescent="0.25">
      <c r="A3345"/>
      <c r="B3345" s="201">
        <v>0</v>
      </c>
      <c r="C3345">
        <v>0</v>
      </c>
      <c r="D3345" s="201">
        <v>0</v>
      </c>
      <c r="E3345" s="201">
        <v>0</v>
      </c>
      <c r="F3345">
        <v>0</v>
      </c>
      <c r="G3345">
        <v>0</v>
      </c>
      <c r="H3345">
        <v>0</v>
      </c>
      <c r="I3345">
        <v>0</v>
      </c>
      <c r="J3345">
        <v>0</v>
      </c>
      <c r="K3345" s="201">
        <v>0</v>
      </c>
    </row>
    <row r="3346" spans="1:11" x14ac:dyDescent="0.25">
      <c r="A3346"/>
      <c r="B3346" s="201">
        <v>0</v>
      </c>
      <c r="C3346">
        <v>0</v>
      </c>
      <c r="D3346" s="201">
        <v>0</v>
      </c>
      <c r="E3346" s="201">
        <v>0</v>
      </c>
      <c r="F3346">
        <v>0</v>
      </c>
      <c r="G3346">
        <v>0</v>
      </c>
      <c r="H3346">
        <v>0</v>
      </c>
      <c r="I3346">
        <v>0</v>
      </c>
      <c r="J3346">
        <v>0</v>
      </c>
      <c r="K3346" s="201">
        <v>0</v>
      </c>
    </row>
    <row r="3347" spans="1:11" x14ac:dyDescent="0.25">
      <c r="A3347"/>
      <c r="B3347" s="201">
        <v>0</v>
      </c>
      <c r="C3347">
        <v>0</v>
      </c>
      <c r="D3347" s="201">
        <v>0</v>
      </c>
      <c r="E3347" s="201">
        <v>0</v>
      </c>
      <c r="F3347">
        <v>0</v>
      </c>
      <c r="G3347">
        <v>0</v>
      </c>
      <c r="H3347">
        <v>0</v>
      </c>
      <c r="I3347">
        <v>0</v>
      </c>
      <c r="J3347">
        <v>0</v>
      </c>
      <c r="K3347" s="201">
        <v>0</v>
      </c>
    </row>
    <row r="3348" spans="1:11" x14ac:dyDescent="0.25">
      <c r="A3348"/>
      <c r="B3348" s="201">
        <v>0</v>
      </c>
      <c r="C3348">
        <v>0</v>
      </c>
      <c r="D3348" s="201">
        <v>0</v>
      </c>
      <c r="E3348" s="201">
        <v>0</v>
      </c>
      <c r="F3348">
        <v>0</v>
      </c>
      <c r="G3348">
        <v>0</v>
      </c>
      <c r="H3348">
        <v>0</v>
      </c>
      <c r="I3348">
        <v>0</v>
      </c>
      <c r="J3348">
        <v>0</v>
      </c>
      <c r="K3348" s="201">
        <v>0</v>
      </c>
    </row>
    <row r="3349" spans="1:11" x14ac:dyDescent="0.25">
      <c r="A3349"/>
      <c r="B3349" s="201">
        <v>0</v>
      </c>
      <c r="C3349">
        <v>0</v>
      </c>
      <c r="D3349" s="201">
        <v>0</v>
      </c>
      <c r="E3349" s="201">
        <v>0</v>
      </c>
      <c r="F3349">
        <v>0</v>
      </c>
      <c r="G3349">
        <v>0</v>
      </c>
      <c r="H3349">
        <v>0</v>
      </c>
      <c r="I3349">
        <v>0</v>
      </c>
      <c r="J3349">
        <v>0</v>
      </c>
      <c r="K3349" s="201">
        <v>0</v>
      </c>
    </row>
    <row r="3350" spans="1:11" x14ac:dyDescent="0.25">
      <c r="A3350"/>
      <c r="B3350" s="201">
        <v>0</v>
      </c>
      <c r="C3350">
        <v>0</v>
      </c>
      <c r="D3350" s="201">
        <v>0</v>
      </c>
      <c r="E3350" s="201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 s="201">
        <v>0</v>
      </c>
    </row>
    <row r="3351" spans="1:11" x14ac:dyDescent="0.25">
      <c r="A3351"/>
      <c r="B3351" s="201">
        <v>0</v>
      </c>
      <c r="C3351">
        <v>0</v>
      </c>
      <c r="D3351" s="201">
        <v>0</v>
      </c>
      <c r="E3351" s="201">
        <v>0</v>
      </c>
      <c r="F3351">
        <v>0</v>
      </c>
      <c r="G3351">
        <v>0</v>
      </c>
      <c r="H3351">
        <v>0</v>
      </c>
      <c r="I3351">
        <v>0</v>
      </c>
      <c r="J3351">
        <v>0</v>
      </c>
      <c r="K3351" s="201">
        <v>0</v>
      </c>
    </row>
    <row r="3352" spans="1:11" x14ac:dyDescent="0.25">
      <c r="A3352"/>
      <c r="B3352" s="201">
        <v>0</v>
      </c>
      <c r="C3352">
        <v>0</v>
      </c>
      <c r="D3352" s="201">
        <v>0</v>
      </c>
      <c r="E3352" s="201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 s="201">
        <v>0</v>
      </c>
    </row>
    <row r="3353" spans="1:11" x14ac:dyDescent="0.25">
      <c r="A3353"/>
      <c r="B3353" s="201">
        <v>0</v>
      </c>
      <c r="C3353">
        <v>0</v>
      </c>
      <c r="D3353" s="201">
        <v>0</v>
      </c>
      <c r="E3353" s="201">
        <v>0</v>
      </c>
      <c r="F3353">
        <v>0</v>
      </c>
      <c r="G3353">
        <v>0</v>
      </c>
      <c r="H3353">
        <v>0</v>
      </c>
      <c r="I3353">
        <v>0</v>
      </c>
      <c r="J3353">
        <v>0</v>
      </c>
      <c r="K3353" s="201">
        <v>0</v>
      </c>
    </row>
    <row r="3354" spans="1:11" x14ac:dyDescent="0.25">
      <c r="A3354"/>
      <c r="B3354" s="201">
        <v>0</v>
      </c>
      <c r="C3354">
        <v>0</v>
      </c>
      <c r="D3354" s="201">
        <v>0</v>
      </c>
      <c r="E3354" s="201">
        <v>0</v>
      </c>
      <c r="F3354">
        <v>0</v>
      </c>
      <c r="G3354">
        <v>0</v>
      </c>
      <c r="H3354">
        <v>0</v>
      </c>
      <c r="I3354">
        <v>0</v>
      </c>
      <c r="J3354">
        <v>0</v>
      </c>
      <c r="K3354" s="201">
        <v>0</v>
      </c>
    </row>
    <row r="3355" spans="1:11" x14ac:dyDescent="0.25">
      <c r="A3355"/>
      <c r="B3355" s="201">
        <v>0</v>
      </c>
      <c r="C3355">
        <v>0</v>
      </c>
      <c r="D3355" s="201">
        <v>0</v>
      </c>
      <c r="E3355" s="201">
        <v>0</v>
      </c>
      <c r="F3355">
        <v>0</v>
      </c>
      <c r="G3355">
        <v>0</v>
      </c>
      <c r="H3355">
        <v>0</v>
      </c>
      <c r="I3355">
        <v>0</v>
      </c>
      <c r="J3355">
        <v>0</v>
      </c>
      <c r="K3355" s="201">
        <v>0</v>
      </c>
    </row>
    <row r="3356" spans="1:11" x14ac:dyDescent="0.25">
      <c r="A3356"/>
      <c r="B3356" s="201">
        <v>0</v>
      </c>
      <c r="C3356">
        <v>0</v>
      </c>
      <c r="D3356" s="201">
        <v>0</v>
      </c>
      <c r="E3356" s="201">
        <v>0</v>
      </c>
      <c r="F3356">
        <v>0</v>
      </c>
      <c r="G3356">
        <v>0</v>
      </c>
      <c r="H3356">
        <v>0</v>
      </c>
      <c r="I3356">
        <v>0</v>
      </c>
      <c r="J3356">
        <v>0</v>
      </c>
      <c r="K3356" s="201">
        <v>0</v>
      </c>
    </row>
    <row r="3357" spans="1:11" x14ac:dyDescent="0.25">
      <c r="A3357"/>
      <c r="B3357" s="201">
        <v>0</v>
      </c>
      <c r="C3357">
        <v>0</v>
      </c>
      <c r="D3357" s="201">
        <v>0</v>
      </c>
      <c r="E3357" s="201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 s="201">
        <v>0</v>
      </c>
    </row>
    <row r="3358" spans="1:11" x14ac:dyDescent="0.25">
      <c r="A3358"/>
      <c r="B3358" s="201">
        <v>0</v>
      </c>
      <c r="C3358">
        <v>0</v>
      </c>
      <c r="D3358" s="201">
        <v>0</v>
      </c>
      <c r="E3358" s="201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 s="201">
        <v>0</v>
      </c>
    </row>
    <row r="3359" spans="1:11" x14ac:dyDescent="0.25">
      <c r="A3359"/>
      <c r="B3359" s="201">
        <v>0</v>
      </c>
      <c r="C3359">
        <v>0</v>
      </c>
      <c r="D3359" s="201">
        <v>0</v>
      </c>
      <c r="E3359" s="201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 s="201">
        <v>0</v>
      </c>
    </row>
    <row r="3360" spans="1:11" x14ac:dyDescent="0.25">
      <c r="A3360"/>
      <c r="B3360" s="201">
        <v>0</v>
      </c>
      <c r="C3360">
        <v>0</v>
      </c>
      <c r="D3360" s="201">
        <v>0</v>
      </c>
      <c r="E3360" s="201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 s="201">
        <v>0</v>
      </c>
    </row>
    <row r="3361" spans="1:11" x14ac:dyDescent="0.25">
      <c r="A3361"/>
      <c r="B3361" s="201">
        <v>0</v>
      </c>
      <c r="C3361">
        <v>0</v>
      </c>
      <c r="D3361" s="201">
        <v>0</v>
      </c>
      <c r="E3361" s="201">
        <v>0</v>
      </c>
      <c r="F3361">
        <v>0</v>
      </c>
      <c r="G3361">
        <v>0</v>
      </c>
      <c r="H3361">
        <v>0</v>
      </c>
      <c r="I3361">
        <v>0</v>
      </c>
      <c r="J3361">
        <v>0</v>
      </c>
      <c r="K3361" s="201">
        <v>0</v>
      </c>
    </row>
    <row r="3362" spans="1:11" x14ac:dyDescent="0.25">
      <c r="A3362"/>
      <c r="B3362" s="201">
        <v>0</v>
      </c>
      <c r="C3362">
        <v>0</v>
      </c>
      <c r="D3362" s="201">
        <v>0</v>
      </c>
      <c r="E3362" s="201">
        <v>0</v>
      </c>
      <c r="F3362">
        <v>0</v>
      </c>
      <c r="G3362">
        <v>0</v>
      </c>
      <c r="H3362">
        <v>0</v>
      </c>
      <c r="I3362">
        <v>0</v>
      </c>
      <c r="J3362">
        <v>0</v>
      </c>
      <c r="K3362" s="201">
        <v>0</v>
      </c>
    </row>
    <row r="3363" spans="1:11" x14ac:dyDescent="0.25">
      <c r="A3363"/>
      <c r="B3363" s="201">
        <v>0</v>
      </c>
      <c r="C3363">
        <v>0</v>
      </c>
      <c r="D3363" s="201">
        <v>0</v>
      </c>
      <c r="E3363" s="201">
        <v>0</v>
      </c>
      <c r="F3363">
        <v>0</v>
      </c>
      <c r="G3363">
        <v>0</v>
      </c>
      <c r="H3363">
        <v>0</v>
      </c>
      <c r="I3363">
        <v>0</v>
      </c>
      <c r="J3363">
        <v>0</v>
      </c>
      <c r="K3363" s="201">
        <v>0</v>
      </c>
    </row>
    <row r="3364" spans="1:11" x14ac:dyDescent="0.25">
      <c r="A3364"/>
      <c r="B3364" s="201">
        <v>0</v>
      </c>
      <c r="C3364">
        <v>0</v>
      </c>
      <c r="D3364" s="201">
        <v>0</v>
      </c>
      <c r="E3364" s="201">
        <v>0</v>
      </c>
      <c r="F3364">
        <v>0</v>
      </c>
      <c r="G3364">
        <v>0</v>
      </c>
      <c r="H3364">
        <v>0</v>
      </c>
      <c r="I3364">
        <v>0</v>
      </c>
      <c r="J3364">
        <v>0</v>
      </c>
      <c r="K3364" s="201">
        <v>0</v>
      </c>
    </row>
    <row r="3365" spans="1:11" x14ac:dyDescent="0.25">
      <c r="A3365"/>
      <c r="B3365" s="201">
        <v>0</v>
      </c>
      <c r="C3365">
        <v>0</v>
      </c>
      <c r="D3365" s="201">
        <v>0</v>
      </c>
      <c r="E3365" s="201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 s="201">
        <v>0</v>
      </c>
    </row>
    <row r="3366" spans="1:11" x14ac:dyDescent="0.25">
      <c r="A3366"/>
      <c r="B3366" s="201">
        <v>0</v>
      </c>
      <c r="C3366">
        <v>0</v>
      </c>
      <c r="D3366" s="201">
        <v>0</v>
      </c>
      <c r="E3366" s="201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 s="201">
        <v>0</v>
      </c>
    </row>
    <row r="3367" spans="1:11" x14ac:dyDescent="0.25">
      <c r="A3367"/>
      <c r="B3367" s="201">
        <v>0</v>
      </c>
      <c r="C3367">
        <v>0</v>
      </c>
      <c r="D3367" s="201">
        <v>0</v>
      </c>
      <c r="E3367" s="201">
        <v>0</v>
      </c>
      <c r="F3367">
        <v>0</v>
      </c>
      <c r="G3367">
        <v>0</v>
      </c>
      <c r="H3367">
        <v>0</v>
      </c>
      <c r="I3367">
        <v>0</v>
      </c>
      <c r="J3367">
        <v>0</v>
      </c>
      <c r="K3367" s="201">
        <v>0</v>
      </c>
    </row>
    <row r="3368" spans="1:11" x14ac:dyDescent="0.25">
      <c r="A3368"/>
      <c r="B3368" s="201">
        <v>0</v>
      </c>
      <c r="C3368">
        <v>0</v>
      </c>
      <c r="D3368" s="201">
        <v>0</v>
      </c>
      <c r="E3368" s="201">
        <v>0</v>
      </c>
      <c r="F3368">
        <v>0</v>
      </c>
      <c r="G3368">
        <v>0</v>
      </c>
      <c r="H3368">
        <v>0</v>
      </c>
      <c r="I3368">
        <v>0</v>
      </c>
      <c r="J3368">
        <v>0</v>
      </c>
      <c r="K3368" s="201">
        <v>0</v>
      </c>
    </row>
    <row r="3369" spans="1:11" x14ac:dyDescent="0.25">
      <c r="A3369"/>
      <c r="B3369" s="201">
        <v>0</v>
      </c>
      <c r="C3369">
        <v>0</v>
      </c>
      <c r="D3369" s="201">
        <v>0</v>
      </c>
      <c r="E3369" s="201">
        <v>0</v>
      </c>
      <c r="F3369">
        <v>0</v>
      </c>
      <c r="G3369">
        <v>0</v>
      </c>
      <c r="H3369">
        <v>0</v>
      </c>
      <c r="I3369">
        <v>0</v>
      </c>
      <c r="J3369">
        <v>0</v>
      </c>
      <c r="K3369" s="201">
        <v>0</v>
      </c>
    </row>
    <row r="3370" spans="1:11" x14ac:dyDescent="0.25">
      <c r="A3370"/>
      <c r="B3370" s="201">
        <v>0</v>
      </c>
      <c r="C3370">
        <v>0</v>
      </c>
      <c r="D3370" s="201">
        <v>0</v>
      </c>
      <c r="E3370" s="201">
        <v>0</v>
      </c>
      <c r="F3370">
        <v>0</v>
      </c>
      <c r="G3370">
        <v>0</v>
      </c>
      <c r="H3370">
        <v>2527</v>
      </c>
      <c r="I3370">
        <v>433</v>
      </c>
      <c r="J3370">
        <v>1935</v>
      </c>
      <c r="K3370" s="201">
        <v>1651</v>
      </c>
    </row>
    <row r="3371" spans="1:11" x14ac:dyDescent="0.25">
      <c r="A3371"/>
      <c r="B3371" s="201">
        <v>103</v>
      </c>
      <c r="C3371">
        <v>0</v>
      </c>
      <c r="D3371" s="201">
        <v>0</v>
      </c>
      <c r="E3371" s="201">
        <v>248</v>
      </c>
      <c r="F3371">
        <v>0</v>
      </c>
      <c r="G3371">
        <v>0</v>
      </c>
      <c r="H3371">
        <v>0</v>
      </c>
      <c r="I3371">
        <v>-9010</v>
      </c>
      <c r="J3371">
        <v>-1370</v>
      </c>
      <c r="K3371" s="201">
        <v>0</v>
      </c>
    </row>
    <row r="3372" spans="1:11" x14ac:dyDescent="0.25">
      <c r="A3372"/>
      <c r="B3372" s="201">
        <v>0</v>
      </c>
      <c r="C3372">
        <v>0</v>
      </c>
      <c r="D3372" s="201">
        <v>0</v>
      </c>
      <c r="E3372" s="201">
        <v>0</v>
      </c>
      <c r="F3372">
        <v>0</v>
      </c>
      <c r="G3372">
        <v>417</v>
      </c>
      <c r="H3372">
        <v>0</v>
      </c>
      <c r="I3372">
        <v>0</v>
      </c>
      <c r="J3372">
        <v>-121</v>
      </c>
      <c r="K3372" s="201">
        <v>0</v>
      </c>
    </row>
    <row r="3373" spans="1:11" x14ac:dyDescent="0.25">
      <c r="A3373"/>
      <c r="B3373" s="201">
        <v>142</v>
      </c>
      <c r="C3373">
        <v>0</v>
      </c>
      <c r="D3373" s="201">
        <v>152</v>
      </c>
      <c r="E3373" s="201">
        <v>-439</v>
      </c>
      <c r="F3373">
        <v>-211</v>
      </c>
      <c r="G3373">
        <v>0</v>
      </c>
      <c r="H3373">
        <v>-1413</v>
      </c>
      <c r="I3373">
        <v>-118</v>
      </c>
      <c r="J3373">
        <v>934</v>
      </c>
      <c r="K3373" s="201">
        <v>960</v>
      </c>
    </row>
    <row r="3374" spans="1:11" x14ac:dyDescent="0.25">
      <c r="B3374" s="201">
        <v>1175</v>
      </c>
      <c r="C3374">
        <v>1922</v>
      </c>
      <c r="D3374" s="201">
        <v>0</v>
      </c>
      <c r="E3374" s="201">
        <v>414</v>
      </c>
      <c r="F3374">
        <v>0</v>
      </c>
      <c r="G3374">
        <v>0</v>
      </c>
      <c r="H3374">
        <v>0</v>
      </c>
      <c r="I3374">
        <v>0</v>
      </c>
      <c r="J3374">
        <v>0</v>
      </c>
      <c r="K3374" s="201">
        <v>648</v>
      </c>
    </row>
    <row r="3375" spans="1:11" x14ac:dyDescent="0.25">
      <c r="A3375"/>
      <c r="B3375" s="201">
        <v>0</v>
      </c>
      <c r="C3375">
        <v>0</v>
      </c>
      <c r="D3375" s="201">
        <v>0</v>
      </c>
      <c r="E3375" s="201">
        <v>360</v>
      </c>
      <c r="F3375">
        <v>0</v>
      </c>
      <c r="G3375">
        <v>-50</v>
      </c>
      <c r="H3375">
        <v>0</v>
      </c>
      <c r="I3375">
        <v>0</v>
      </c>
      <c r="J3375">
        <v>0</v>
      </c>
      <c r="K3375" s="201">
        <v>0</v>
      </c>
    </row>
    <row r="3376" spans="1:11" x14ac:dyDescent="0.25">
      <c r="A3376"/>
      <c r="B3376" s="201">
        <v>0</v>
      </c>
      <c r="C3376">
        <v>-36</v>
      </c>
      <c r="D3376" s="201">
        <v>0</v>
      </c>
      <c r="E3376" s="201">
        <v>168</v>
      </c>
      <c r="F3376">
        <v>451</v>
      </c>
      <c r="G3376">
        <v>0</v>
      </c>
      <c r="H3376">
        <v>0</v>
      </c>
      <c r="I3376">
        <v>-1161</v>
      </c>
      <c r="J3376">
        <v>563</v>
      </c>
      <c r="K3376" s="201">
        <v>0</v>
      </c>
    </row>
    <row r="3377" spans="1:11" x14ac:dyDescent="0.25">
      <c r="A3377"/>
      <c r="B3377" s="201">
        <v>283</v>
      </c>
      <c r="C3377">
        <v>0</v>
      </c>
      <c r="D3377" s="201">
        <v>0</v>
      </c>
      <c r="E3377" s="201">
        <v>0</v>
      </c>
      <c r="F3377">
        <v>0</v>
      </c>
      <c r="G3377">
        <v>2089</v>
      </c>
      <c r="H3377">
        <v>-837</v>
      </c>
      <c r="I3377">
        <v>-79</v>
      </c>
      <c r="J3377">
        <v>0</v>
      </c>
      <c r="K3377" s="201">
        <v>0</v>
      </c>
    </row>
    <row r="3378" spans="1:11" x14ac:dyDescent="0.25">
      <c r="A3378"/>
      <c r="B3378" s="201">
        <v>51</v>
      </c>
      <c r="C3378">
        <v>199</v>
      </c>
      <c r="D3378" s="201">
        <v>0</v>
      </c>
      <c r="E3378" s="201">
        <v>-168</v>
      </c>
      <c r="F3378">
        <v>158</v>
      </c>
      <c r="G3378">
        <v>-701</v>
      </c>
      <c r="H3378">
        <v>191</v>
      </c>
      <c r="I3378">
        <v>244</v>
      </c>
      <c r="J3378">
        <v>184</v>
      </c>
      <c r="K3378" s="201">
        <v>-357</v>
      </c>
    </row>
    <row r="3379" spans="1:11" x14ac:dyDescent="0.25">
      <c r="A3379"/>
      <c r="B3379" s="201">
        <v>0</v>
      </c>
      <c r="C3379">
        <v>0</v>
      </c>
      <c r="D3379" s="201">
        <v>0</v>
      </c>
      <c r="E3379" s="201">
        <v>0</v>
      </c>
      <c r="F3379">
        <v>0</v>
      </c>
      <c r="G3379">
        <v>1467</v>
      </c>
      <c r="H3379">
        <v>0</v>
      </c>
      <c r="I3379">
        <v>-752</v>
      </c>
      <c r="J3379">
        <v>-371</v>
      </c>
      <c r="K3379" s="201">
        <v>239</v>
      </c>
    </row>
    <row r="3380" spans="1:11" x14ac:dyDescent="0.25">
      <c r="A3380"/>
      <c r="B3380" s="201">
        <v>0</v>
      </c>
      <c r="C3380">
        <v>-2175</v>
      </c>
      <c r="D3380" s="201">
        <v>85</v>
      </c>
      <c r="E3380" s="201">
        <v>599</v>
      </c>
      <c r="F3380">
        <v>1127</v>
      </c>
      <c r="G3380">
        <v>1217</v>
      </c>
      <c r="H3380">
        <v>0</v>
      </c>
      <c r="I3380">
        <v>302</v>
      </c>
      <c r="J3380">
        <v>493</v>
      </c>
      <c r="K3380" s="201">
        <v>2623</v>
      </c>
    </row>
    <row r="3381" spans="1:11" x14ac:dyDescent="0.25">
      <c r="A3381"/>
      <c r="B3381" s="201">
        <v>-837</v>
      </c>
      <c r="C3381">
        <v>0</v>
      </c>
      <c r="D3381" s="201">
        <v>48</v>
      </c>
      <c r="E3381" s="201">
        <v>4</v>
      </c>
      <c r="F3381">
        <v>0</v>
      </c>
      <c r="G3381">
        <v>0</v>
      </c>
      <c r="H3381">
        <v>0</v>
      </c>
      <c r="I3381">
        <v>-514</v>
      </c>
      <c r="J3381">
        <v>-98</v>
      </c>
      <c r="K3381" s="201">
        <v>0</v>
      </c>
    </row>
    <row r="3382" spans="1:11" x14ac:dyDescent="0.25">
      <c r="A3382"/>
      <c r="B3382" s="201">
        <v>-62</v>
      </c>
      <c r="C3382">
        <v>297</v>
      </c>
      <c r="D3382" s="201">
        <v>459</v>
      </c>
      <c r="E3382" s="201">
        <v>-772</v>
      </c>
      <c r="F3382">
        <v>0</v>
      </c>
      <c r="G3382">
        <v>0</v>
      </c>
      <c r="H3382">
        <v>0</v>
      </c>
      <c r="I3382">
        <v>0</v>
      </c>
      <c r="J3382">
        <v>0</v>
      </c>
      <c r="K3382" s="201">
        <v>2048</v>
      </c>
    </row>
    <row r="3383" spans="1:11" x14ac:dyDescent="0.25">
      <c r="A3383"/>
      <c r="B3383" s="201">
        <v>0</v>
      </c>
      <c r="C3383">
        <v>-96</v>
      </c>
      <c r="D3383" s="201">
        <v>68</v>
      </c>
      <c r="E3383" s="201">
        <v>827</v>
      </c>
      <c r="F3383">
        <v>0</v>
      </c>
      <c r="G3383">
        <v>124</v>
      </c>
      <c r="H3383">
        <v>625</v>
      </c>
      <c r="I3383">
        <v>2404</v>
      </c>
      <c r="J3383">
        <v>4760</v>
      </c>
      <c r="K3383" s="201">
        <v>2342</v>
      </c>
    </row>
    <row r="3384" spans="1:11" x14ac:dyDescent="0.25">
      <c r="A3384"/>
      <c r="B3384" s="201">
        <v>2033</v>
      </c>
      <c r="C3384">
        <v>-1418</v>
      </c>
      <c r="D3384" s="201">
        <v>-1490</v>
      </c>
      <c r="E3384" s="201">
        <v>0</v>
      </c>
      <c r="F3384">
        <v>306</v>
      </c>
      <c r="G3384">
        <v>0</v>
      </c>
      <c r="H3384">
        <v>0</v>
      </c>
      <c r="I3384">
        <v>215</v>
      </c>
      <c r="J3384">
        <v>446</v>
      </c>
      <c r="K3384" s="201">
        <v>0</v>
      </c>
    </row>
    <row r="3385" spans="1:11" x14ac:dyDescent="0.25">
      <c r="A3385"/>
      <c r="B3385" s="201">
        <v>-25595</v>
      </c>
      <c r="C3385">
        <v>0</v>
      </c>
      <c r="D3385" s="201">
        <v>0</v>
      </c>
      <c r="E3385" s="201">
        <v>-2444</v>
      </c>
      <c r="F3385">
        <v>0</v>
      </c>
      <c r="G3385">
        <v>-27</v>
      </c>
      <c r="H3385">
        <v>-552</v>
      </c>
      <c r="I3385">
        <v>2180</v>
      </c>
      <c r="J3385">
        <v>0</v>
      </c>
      <c r="K3385" s="201">
        <v>0</v>
      </c>
    </row>
    <row r="3386" spans="1:11" x14ac:dyDescent="0.25">
      <c r="A3386"/>
      <c r="B3386" s="201">
        <v>0</v>
      </c>
      <c r="C3386">
        <v>0</v>
      </c>
      <c r="D3386" s="201">
        <v>0</v>
      </c>
      <c r="E3386" s="201">
        <v>834</v>
      </c>
      <c r="F3386">
        <v>0</v>
      </c>
      <c r="G3386">
        <v>647</v>
      </c>
      <c r="H3386">
        <v>-69</v>
      </c>
      <c r="I3386">
        <v>79</v>
      </c>
      <c r="J3386">
        <v>0</v>
      </c>
      <c r="K3386" s="201">
        <v>1563</v>
      </c>
    </row>
    <row r="3387" spans="1:11" x14ac:dyDescent="0.25">
      <c r="A3387"/>
      <c r="B3387" s="201">
        <v>1659</v>
      </c>
      <c r="C3387">
        <v>970</v>
      </c>
      <c r="D3387" s="201">
        <v>0</v>
      </c>
      <c r="E3387" s="201">
        <v>0</v>
      </c>
      <c r="F3387">
        <v>0</v>
      </c>
      <c r="G3387">
        <v>-2924</v>
      </c>
      <c r="H3387">
        <v>-3562</v>
      </c>
      <c r="I3387">
        <v>-2143</v>
      </c>
      <c r="J3387">
        <v>336</v>
      </c>
      <c r="K3387" s="201">
        <v>104</v>
      </c>
    </row>
    <row r="3388" spans="1:11" x14ac:dyDescent="0.25">
      <c r="A3388"/>
      <c r="B3388" s="201">
        <v>0</v>
      </c>
      <c r="C3388">
        <v>110</v>
      </c>
      <c r="D3388" s="201">
        <v>0</v>
      </c>
      <c r="E3388" s="201">
        <v>0</v>
      </c>
      <c r="F3388">
        <v>-19315</v>
      </c>
      <c r="G3388">
        <v>0</v>
      </c>
      <c r="H3388">
        <v>-5291</v>
      </c>
      <c r="I3388">
        <v>0</v>
      </c>
      <c r="J3388">
        <v>-5141</v>
      </c>
      <c r="K3388" s="201">
        <v>0</v>
      </c>
    </row>
    <row r="3389" spans="1:11" x14ac:dyDescent="0.25">
      <c r="A3389"/>
      <c r="B3389" s="201">
        <v>0</v>
      </c>
      <c r="C3389">
        <v>0</v>
      </c>
      <c r="D3389" s="201">
        <v>0</v>
      </c>
      <c r="E3389" s="201">
        <v>0</v>
      </c>
      <c r="F3389">
        <v>0</v>
      </c>
      <c r="G3389">
        <v>0</v>
      </c>
      <c r="H3389">
        <v>0</v>
      </c>
      <c r="I3389">
        <v>1135</v>
      </c>
      <c r="J3389">
        <v>0</v>
      </c>
      <c r="K3389" s="201">
        <v>-413</v>
      </c>
    </row>
    <row r="3390" spans="1:11" x14ac:dyDescent="0.25">
      <c r="A3390"/>
      <c r="B3390" s="201">
        <v>15</v>
      </c>
      <c r="C3390">
        <v>-230</v>
      </c>
      <c r="D3390" s="201">
        <v>0</v>
      </c>
      <c r="E3390" s="201">
        <v>-1282</v>
      </c>
      <c r="F3390">
        <v>-488</v>
      </c>
      <c r="G3390">
        <v>0</v>
      </c>
      <c r="H3390">
        <v>0</v>
      </c>
      <c r="I3390">
        <v>0</v>
      </c>
      <c r="J3390">
        <v>0</v>
      </c>
      <c r="K3390" s="201">
        <v>0</v>
      </c>
    </row>
    <row r="3391" spans="1:11" x14ac:dyDescent="0.25">
      <c r="A3391"/>
      <c r="B3391" s="201">
        <v>202</v>
      </c>
      <c r="C3391">
        <v>3047</v>
      </c>
      <c r="D3391" s="201">
        <v>-1200</v>
      </c>
      <c r="E3391" s="201">
        <v>-89</v>
      </c>
      <c r="F3391">
        <v>-69</v>
      </c>
      <c r="G3391">
        <v>-150</v>
      </c>
      <c r="H3391">
        <v>0</v>
      </c>
      <c r="I3391">
        <v>0</v>
      </c>
      <c r="J3391">
        <v>0</v>
      </c>
      <c r="K3391" s="201">
        <v>0</v>
      </c>
    </row>
    <row r="3392" spans="1:11" x14ac:dyDescent="0.25">
      <c r="A3392"/>
      <c r="B3392" s="201">
        <v>366</v>
      </c>
      <c r="C3392">
        <v>0</v>
      </c>
      <c r="D3392" s="201">
        <v>432</v>
      </c>
      <c r="E3392" s="201">
        <v>0</v>
      </c>
      <c r="F3392">
        <v>0</v>
      </c>
      <c r="G3392">
        <v>-826</v>
      </c>
      <c r="H3392">
        <v>200</v>
      </c>
      <c r="I3392">
        <v>0</v>
      </c>
      <c r="J3392">
        <v>0</v>
      </c>
      <c r="K3392" s="201">
        <v>0</v>
      </c>
    </row>
    <row r="3393" spans="1:11" x14ac:dyDescent="0.25">
      <c r="A3393"/>
      <c r="B3393" s="201">
        <v>0</v>
      </c>
      <c r="C3393">
        <v>1420</v>
      </c>
      <c r="D3393" s="201">
        <v>0</v>
      </c>
      <c r="E3393" s="201">
        <v>846</v>
      </c>
      <c r="F3393">
        <v>199</v>
      </c>
      <c r="G3393">
        <v>971</v>
      </c>
      <c r="H3393">
        <v>-1018</v>
      </c>
      <c r="I3393">
        <v>-10654</v>
      </c>
      <c r="J3393">
        <v>-11379</v>
      </c>
      <c r="K3393" s="201">
        <v>-11334</v>
      </c>
    </row>
    <row r="3394" spans="1:11" x14ac:dyDescent="0.25">
      <c r="A3394"/>
      <c r="B3394" s="201">
        <v>-8849</v>
      </c>
      <c r="C3394">
        <v>10663</v>
      </c>
      <c r="D3394" s="201">
        <v>9557</v>
      </c>
      <c r="E3394" s="201">
        <v>0</v>
      </c>
      <c r="F3394">
        <v>0</v>
      </c>
      <c r="G3394">
        <v>0</v>
      </c>
      <c r="H3394">
        <v>0</v>
      </c>
      <c r="I3394">
        <v>0</v>
      </c>
      <c r="J3394">
        <v>0</v>
      </c>
      <c r="K3394" s="201">
        <v>0</v>
      </c>
    </row>
    <row r="3395" spans="1:11" x14ac:dyDescent="0.25">
      <c r="A3395"/>
      <c r="B3395" s="201">
        <v>1021</v>
      </c>
      <c r="C3395">
        <v>-66</v>
      </c>
      <c r="D3395" s="201">
        <v>951</v>
      </c>
      <c r="E3395" s="201">
        <v>471</v>
      </c>
      <c r="F3395">
        <v>-252</v>
      </c>
      <c r="G3395">
        <v>0</v>
      </c>
      <c r="H3395">
        <v>0</v>
      </c>
      <c r="I3395">
        <v>22</v>
      </c>
      <c r="J3395">
        <v>0</v>
      </c>
      <c r="K3395" s="201">
        <v>0</v>
      </c>
    </row>
    <row r="3396" spans="1:11" x14ac:dyDescent="0.25">
      <c r="A3396"/>
      <c r="B3396" s="201">
        <v>0</v>
      </c>
      <c r="C3396">
        <v>-1282</v>
      </c>
      <c r="D3396" s="201">
        <v>-8759</v>
      </c>
      <c r="E3396" s="201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 s="201">
        <v>8</v>
      </c>
    </row>
    <row r="3397" spans="1:11" x14ac:dyDescent="0.25">
      <c r="A3397"/>
      <c r="B3397" s="201">
        <v>0</v>
      </c>
      <c r="C3397">
        <v>0</v>
      </c>
      <c r="D3397" s="201">
        <v>365</v>
      </c>
      <c r="E3397" s="201">
        <v>0</v>
      </c>
      <c r="F3397">
        <v>-359</v>
      </c>
      <c r="G3397">
        <v>0</v>
      </c>
      <c r="H3397">
        <v>-201</v>
      </c>
      <c r="I3397">
        <v>-49</v>
      </c>
      <c r="J3397">
        <v>-42</v>
      </c>
      <c r="K3397" s="201">
        <v>0</v>
      </c>
    </row>
    <row r="3398" spans="1:11" x14ac:dyDescent="0.25">
      <c r="A3398"/>
      <c r="B3398" s="201">
        <v>79</v>
      </c>
      <c r="C3398">
        <v>90</v>
      </c>
      <c r="D3398" s="201">
        <v>119</v>
      </c>
      <c r="E3398" s="201">
        <v>-261</v>
      </c>
      <c r="F3398">
        <v>-174</v>
      </c>
      <c r="G3398">
        <v>142</v>
      </c>
      <c r="H3398">
        <v>0</v>
      </c>
      <c r="I3398">
        <v>48</v>
      </c>
      <c r="J3398">
        <v>0</v>
      </c>
      <c r="K3398" s="201">
        <v>0</v>
      </c>
    </row>
    <row r="3399" spans="1:11" x14ac:dyDescent="0.25">
      <c r="A3399"/>
      <c r="B3399" s="201">
        <v>0</v>
      </c>
      <c r="C3399">
        <v>0</v>
      </c>
      <c r="D3399" s="201">
        <v>0</v>
      </c>
      <c r="E3399" s="201">
        <v>-7021</v>
      </c>
      <c r="F3399">
        <v>0</v>
      </c>
      <c r="G3399">
        <v>0</v>
      </c>
      <c r="H3399">
        <v>0</v>
      </c>
      <c r="I3399">
        <v>955</v>
      </c>
      <c r="J3399">
        <v>0</v>
      </c>
      <c r="K3399" s="201">
        <v>12</v>
      </c>
    </row>
    <row r="3400" spans="1:11" x14ac:dyDescent="0.25">
      <c r="A3400"/>
      <c r="B3400" s="201">
        <v>0</v>
      </c>
      <c r="C3400">
        <v>0</v>
      </c>
      <c r="D3400" s="201">
        <v>0</v>
      </c>
      <c r="E3400" s="201">
        <v>0</v>
      </c>
      <c r="F3400">
        <v>0</v>
      </c>
      <c r="G3400">
        <v>-107</v>
      </c>
      <c r="H3400">
        <v>0</v>
      </c>
      <c r="I3400">
        <v>81</v>
      </c>
      <c r="J3400">
        <v>210</v>
      </c>
      <c r="K3400" s="201">
        <v>0</v>
      </c>
    </row>
    <row r="3401" spans="1:11" x14ac:dyDescent="0.25">
      <c r="A3401"/>
      <c r="B3401" s="201">
        <v>0</v>
      </c>
      <c r="C3401">
        <v>942</v>
      </c>
      <c r="D3401" s="201">
        <v>1428</v>
      </c>
      <c r="E3401" s="201">
        <v>0</v>
      </c>
      <c r="F3401">
        <v>-929</v>
      </c>
      <c r="G3401">
        <v>0</v>
      </c>
      <c r="H3401">
        <v>0</v>
      </c>
      <c r="I3401">
        <v>0</v>
      </c>
      <c r="J3401">
        <v>0</v>
      </c>
      <c r="K3401" s="201">
        <v>-315</v>
      </c>
    </row>
    <row r="3402" spans="1:11" x14ac:dyDescent="0.25">
      <c r="A3402"/>
      <c r="B3402" s="201">
        <v>-138</v>
      </c>
      <c r="C3402">
        <v>-36</v>
      </c>
      <c r="D3402" s="201">
        <v>0</v>
      </c>
      <c r="E3402" s="201">
        <v>0</v>
      </c>
      <c r="F3402">
        <v>363</v>
      </c>
      <c r="G3402">
        <v>-653</v>
      </c>
      <c r="H3402">
        <v>0</v>
      </c>
      <c r="I3402">
        <v>-24626</v>
      </c>
      <c r="J3402">
        <v>6721</v>
      </c>
      <c r="K3402" s="201">
        <v>-986</v>
      </c>
    </row>
    <row r="3403" spans="1:11" x14ac:dyDescent="0.25">
      <c r="A3403"/>
      <c r="B3403" s="201">
        <v>-911</v>
      </c>
      <c r="C3403">
        <v>1514</v>
      </c>
      <c r="D3403" s="201">
        <v>588</v>
      </c>
      <c r="E3403" s="201">
        <v>294</v>
      </c>
      <c r="F3403">
        <v>0</v>
      </c>
      <c r="G3403">
        <v>0</v>
      </c>
      <c r="H3403">
        <v>0</v>
      </c>
      <c r="I3403">
        <v>0</v>
      </c>
      <c r="J3403">
        <v>0</v>
      </c>
      <c r="K3403" s="201">
        <v>64</v>
      </c>
    </row>
    <row r="3404" spans="1:11" x14ac:dyDescent="0.25">
      <c r="A3404"/>
      <c r="B3404" s="201">
        <v>0</v>
      </c>
      <c r="C3404">
        <v>-114</v>
      </c>
      <c r="D3404" s="201">
        <v>-407</v>
      </c>
      <c r="E3404" s="201">
        <v>-376</v>
      </c>
      <c r="F3404">
        <v>0</v>
      </c>
      <c r="G3404">
        <v>99</v>
      </c>
      <c r="H3404">
        <v>-299</v>
      </c>
      <c r="I3404">
        <v>997</v>
      </c>
      <c r="J3404">
        <v>-519</v>
      </c>
      <c r="K3404" s="201">
        <v>2038</v>
      </c>
    </row>
    <row r="3405" spans="1:11" x14ac:dyDescent="0.25">
      <c r="A3405"/>
      <c r="B3405" s="201">
        <v>0</v>
      </c>
      <c r="C3405">
        <v>-370</v>
      </c>
      <c r="D3405" s="201">
        <v>-106</v>
      </c>
      <c r="E3405" s="201">
        <v>162</v>
      </c>
      <c r="F3405">
        <v>-69</v>
      </c>
      <c r="G3405">
        <v>0</v>
      </c>
      <c r="H3405">
        <v>34</v>
      </c>
      <c r="I3405">
        <v>139</v>
      </c>
      <c r="J3405">
        <v>0</v>
      </c>
      <c r="K3405" s="201">
        <v>0</v>
      </c>
    </row>
    <row r="3406" spans="1:11" x14ac:dyDescent="0.25">
      <c r="A3406"/>
      <c r="B3406" s="201">
        <v>0</v>
      </c>
      <c r="C3406">
        <v>-22425</v>
      </c>
      <c r="D3406" s="201">
        <v>4685</v>
      </c>
      <c r="E3406" s="201">
        <v>0</v>
      </c>
      <c r="F3406">
        <v>-1255</v>
      </c>
      <c r="G3406">
        <v>1684</v>
      </c>
      <c r="H3406">
        <v>584</v>
      </c>
      <c r="I3406">
        <v>-562</v>
      </c>
      <c r="J3406">
        <v>0</v>
      </c>
      <c r="K3406" s="201">
        <v>0</v>
      </c>
    </row>
    <row r="3407" spans="1:11" x14ac:dyDescent="0.25">
      <c r="A3407"/>
      <c r="B3407" s="201">
        <v>0</v>
      </c>
      <c r="C3407">
        <v>0</v>
      </c>
      <c r="D3407" s="201">
        <v>0</v>
      </c>
      <c r="E3407" s="201">
        <v>91</v>
      </c>
      <c r="F3407">
        <v>0</v>
      </c>
      <c r="G3407">
        <v>294</v>
      </c>
      <c r="H3407">
        <v>183</v>
      </c>
      <c r="I3407">
        <v>18</v>
      </c>
      <c r="J3407">
        <v>0</v>
      </c>
      <c r="K3407" s="201">
        <v>400</v>
      </c>
    </row>
    <row r="3408" spans="1:11" x14ac:dyDescent="0.25">
      <c r="A3408"/>
      <c r="B3408" s="201">
        <v>1</v>
      </c>
      <c r="C3408">
        <v>128</v>
      </c>
      <c r="D3408" s="201">
        <v>-232</v>
      </c>
      <c r="E3408" s="201">
        <v>56</v>
      </c>
      <c r="F3408">
        <v>393</v>
      </c>
      <c r="G3408">
        <v>-295</v>
      </c>
      <c r="H3408">
        <v>-364</v>
      </c>
      <c r="I3408">
        <v>0</v>
      </c>
      <c r="J3408">
        <v>-574</v>
      </c>
      <c r="K3408" s="201">
        <v>0</v>
      </c>
    </row>
    <row r="3409" spans="1:11" x14ac:dyDescent="0.25">
      <c r="A3409"/>
      <c r="B3409" s="201">
        <v>0</v>
      </c>
      <c r="C3409">
        <v>181</v>
      </c>
      <c r="D3409" s="201">
        <v>885</v>
      </c>
      <c r="E3409" s="201">
        <v>0</v>
      </c>
      <c r="F3409">
        <v>-1045</v>
      </c>
      <c r="G3409">
        <v>0</v>
      </c>
      <c r="H3409">
        <v>0</v>
      </c>
      <c r="I3409">
        <v>298</v>
      </c>
      <c r="J3409">
        <v>0</v>
      </c>
      <c r="K3409" s="201">
        <v>-493</v>
      </c>
    </row>
    <row r="3410" spans="1:11" x14ac:dyDescent="0.25">
      <c r="A3410"/>
      <c r="B3410" s="201">
        <v>-3528</v>
      </c>
      <c r="C3410">
        <v>735</v>
      </c>
      <c r="D3410" s="201">
        <v>0</v>
      </c>
      <c r="E3410" s="201">
        <v>0</v>
      </c>
      <c r="F3410">
        <v>0</v>
      </c>
      <c r="G3410">
        <v>0</v>
      </c>
      <c r="H3410">
        <v>0</v>
      </c>
      <c r="I3410">
        <v>-227</v>
      </c>
      <c r="J3410">
        <v>0</v>
      </c>
      <c r="K3410" s="201">
        <v>29</v>
      </c>
    </row>
    <row r="3411" spans="1:11" x14ac:dyDescent="0.25">
      <c r="A3411"/>
      <c r="B3411" s="201">
        <v>-351</v>
      </c>
      <c r="C3411">
        <v>350</v>
      </c>
      <c r="D3411" s="201">
        <v>0</v>
      </c>
      <c r="E3411" s="201">
        <v>282</v>
      </c>
      <c r="F3411">
        <v>125</v>
      </c>
      <c r="G3411">
        <v>137</v>
      </c>
      <c r="H3411">
        <v>0</v>
      </c>
      <c r="I3411">
        <v>0</v>
      </c>
      <c r="J3411">
        <v>0</v>
      </c>
      <c r="K3411" s="201">
        <v>-112</v>
      </c>
    </row>
    <row r="3412" spans="1:11" x14ac:dyDescent="0.25">
      <c r="A3412"/>
      <c r="B3412" s="201">
        <v>-110</v>
      </c>
      <c r="C3412">
        <v>202</v>
      </c>
      <c r="D3412" s="201">
        <v>-235</v>
      </c>
      <c r="E3412" s="201">
        <v>-224</v>
      </c>
      <c r="F3412">
        <v>0</v>
      </c>
      <c r="G3412">
        <v>218</v>
      </c>
      <c r="H3412">
        <v>0</v>
      </c>
      <c r="I3412">
        <v>0</v>
      </c>
      <c r="J3412">
        <v>-539</v>
      </c>
      <c r="K3412" s="201">
        <v>0</v>
      </c>
    </row>
    <row r="3413" spans="1:11" x14ac:dyDescent="0.25">
      <c r="A3413"/>
      <c r="B3413" s="201">
        <v>174</v>
      </c>
      <c r="C3413">
        <v>0</v>
      </c>
      <c r="D3413" s="201">
        <v>-245</v>
      </c>
      <c r="E3413" s="201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 s="201">
        <v>0</v>
      </c>
    </row>
    <row r="3414" spans="1:11" x14ac:dyDescent="0.25">
      <c r="A3414"/>
      <c r="B3414" s="201">
        <v>0</v>
      </c>
      <c r="C3414">
        <v>64</v>
      </c>
      <c r="D3414" s="201">
        <v>0</v>
      </c>
      <c r="E3414" s="201">
        <v>-62</v>
      </c>
      <c r="F3414">
        <v>-234</v>
      </c>
      <c r="G3414">
        <v>109</v>
      </c>
      <c r="H3414">
        <v>0</v>
      </c>
      <c r="I3414">
        <v>-67</v>
      </c>
      <c r="J3414">
        <v>-219</v>
      </c>
      <c r="K3414" s="201">
        <v>0</v>
      </c>
    </row>
    <row r="3415" spans="1:11" x14ac:dyDescent="0.25">
      <c r="A3415"/>
      <c r="B3415" s="201">
        <v>0</v>
      </c>
      <c r="C3415">
        <v>0</v>
      </c>
      <c r="D3415" s="201">
        <v>0</v>
      </c>
      <c r="E3415" s="201">
        <v>0</v>
      </c>
      <c r="F3415">
        <v>270</v>
      </c>
      <c r="G3415">
        <v>1064</v>
      </c>
      <c r="H3415">
        <v>-564</v>
      </c>
      <c r="I3415">
        <v>-533</v>
      </c>
      <c r="J3415">
        <v>199</v>
      </c>
      <c r="K3415" s="201">
        <v>-18</v>
      </c>
    </row>
    <row r="3416" spans="1:11" x14ac:dyDescent="0.25">
      <c r="A3416"/>
      <c r="B3416" s="201">
        <v>0</v>
      </c>
      <c r="C3416">
        <v>0</v>
      </c>
      <c r="D3416" s="201">
        <v>0</v>
      </c>
      <c r="E3416" s="201">
        <v>0</v>
      </c>
      <c r="F3416">
        <v>786</v>
      </c>
      <c r="G3416">
        <v>0</v>
      </c>
      <c r="H3416">
        <v>-16</v>
      </c>
      <c r="I3416">
        <v>0</v>
      </c>
      <c r="J3416">
        <v>0</v>
      </c>
      <c r="K3416" s="201">
        <v>2283</v>
      </c>
    </row>
    <row r="3417" spans="1:11" x14ac:dyDescent="0.25">
      <c r="A3417"/>
      <c r="B3417" s="201">
        <v>-101</v>
      </c>
      <c r="C3417">
        <v>0</v>
      </c>
      <c r="D3417" s="201">
        <v>0</v>
      </c>
      <c r="E3417" s="201">
        <v>0</v>
      </c>
      <c r="F3417">
        <v>0</v>
      </c>
      <c r="G3417">
        <v>165</v>
      </c>
      <c r="H3417">
        <v>0</v>
      </c>
      <c r="I3417">
        <v>229</v>
      </c>
      <c r="J3417">
        <v>-336</v>
      </c>
      <c r="K3417" s="201">
        <v>167</v>
      </c>
    </row>
    <row r="3418" spans="1:11" x14ac:dyDescent="0.25">
      <c r="A3418"/>
      <c r="B3418" s="201">
        <v>-486</v>
      </c>
      <c r="C3418">
        <v>-4703</v>
      </c>
      <c r="D3418" s="201">
        <v>718</v>
      </c>
      <c r="E3418" s="201">
        <v>-7307</v>
      </c>
      <c r="F3418">
        <v>436</v>
      </c>
      <c r="G3418">
        <v>2306</v>
      </c>
      <c r="H3418">
        <v>1358</v>
      </c>
      <c r="I3418">
        <v>0</v>
      </c>
      <c r="J3418">
        <v>0</v>
      </c>
      <c r="K3418" s="201">
        <v>0</v>
      </c>
    </row>
    <row r="3419" spans="1:11" x14ac:dyDescent="0.25">
      <c r="A3419"/>
      <c r="B3419" s="201">
        <v>0</v>
      </c>
      <c r="C3419">
        <v>0</v>
      </c>
      <c r="D3419" s="201">
        <v>0</v>
      </c>
      <c r="E3419" s="201">
        <v>0</v>
      </c>
      <c r="F3419">
        <v>9362</v>
      </c>
      <c r="G3419">
        <v>656</v>
      </c>
      <c r="H3419">
        <v>-608</v>
      </c>
      <c r="I3419">
        <v>715</v>
      </c>
      <c r="J3419">
        <v>692</v>
      </c>
      <c r="K3419" s="201">
        <v>1071</v>
      </c>
    </row>
    <row r="3420" spans="1:11" x14ac:dyDescent="0.25">
      <c r="A3420"/>
      <c r="B3420" s="201">
        <v>0</v>
      </c>
      <c r="C3420">
        <v>0</v>
      </c>
      <c r="D3420" s="201">
        <v>145</v>
      </c>
      <c r="E3420" s="201">
        <v>0</v>
      </c>
      <c r="F3420">
        <v>0</v>
      </c>
      <c r="G3420">
        <v>0</v>
      </c>
      <c r="H3420">
        <v>697</v>
      </c>
      <c r="I3420">
        <v>61</v>
      </c>
      <c r="J3420">
        <v>0</v>
      </c>
      <c r="K3420" s="201">
        <v>0</v>
      </c>
    </row>
    <row r="3421" spans="1:11" x14ac:dyDescent="0.25">
      <c r="A3421"/>
      <c r="B3421" s="201">
        <v>0</v>
      </c>
      <c r="C3421">
        <v>0</v>
      </c>
      <c r="D3421" s="201">
        <v>0</v>
      </c>
      <c r="E3421" s="201">
        <v>0</v>
      </c>
      <c r="F3421">
        <v>186</v>
      </c>
      <c r="G3421">
        <v>0</v>
      </c>
      <c r="H3421">
        <v>0</v>
      </c>
      <c r="I3421">
        <v>-159</v>
      </c>
      <c r="J3421">
        <v>0</v>
      </c>
      <c r="K3421" s="201">
        <v>-71</v>
      </c>
    </row>
    <row r="3422" spans="1:11" x14ac:dyDescent="0.25">
      <c r="A3422"/>
      <c r="B3422" s="201">
        <v>0</v>
      </c>
      <c r="C3422">
        <v>-325</v>
      </c>
      <c r="D3422" s="201">
        <v>-753</v>
      </c>
      <c r="E3422" s="201">
        <v>149</v>
      </c>
      <c r="F3422">
        <v>0</v>
      </c>
      <c r="G3422">
        <v>-1308</v>
      </c>
      <c r="H3422">
        <v>-647</v>
      </c>
      <c r="I3422">
        <v>708</v>
      </c>
      <c r="J3422">
        <v>1033</v>
      </c>
      <c r="K3422" s="201">
        <v>1072</v>
      </c>
    </row>
    <row r="3423" spans="1:11" x14ac:dyDescent="0.25">
      <c r="A3423"/>
      <c r="B3423" s="201">
        <v>1518</v>
      </c>
      <c r="C3423">
        <v>0</v>
      </c>
      <c r="D3423" s="201">
        <v>1</v>
      </c>
      <c r="E3423" s="201">
        <v>0</v>
      </c>
      <c r="F3423">
        <v>0</v>
      </c>
      <c r="G3423">
        <v>0</v>
      </c>
      <c r="H3423">
        <v>0</v>
      </c>
      <c r="I3423">
        <v>0</v>
      </c>
      <c r="J3423">
        <v>747</v>
      </c>
      <c r="K3423" s="201">
        <v>0</v>
      </c>
    </row>
    <row r="3424" spans="1:11" x14ac:dyDescent="0.25">
      <c r="A3424"/>
      <c r="B3424" s="201">
        <v>0</v>
      </c>
      <c r="C3424">
        <v>0</v>
      </c>
      <c r="D3424" s="201">
        <v>302</v>
      </c>
      <c r="E3424" s="201">
        <v>0</v>
      </c>
      <c r="F3424">
        <v>448</v>
      </c>
      <c r="G3424">
        <v>0</v>
      </c>
      <c r="H3424">
        <v>0</v>
      </c>
      <c r="I3424">
        <v>0</v>
      </c>
      <c r="J3424">
        <v>0</v>
      </c>
      <c r="K3424" s="201">
        <v>0</v>
      </c>
    </row>
    <row r="3425" spans="1:11" x14ac:dyDescent="0.25">
      <c r="A3425"/>
      <c r="B3425" s="201">
        <v>418</v>
      </c>
      <c r="C3425">
        <v>0</v>
      </c>
      <c r="D3425" s="201">
        <v>-290</v>
      </c>
      <c r="E3425" s="201">
        <v>172</v>
      </c>
      <c r="F3425">
        <v>0</v>
      </c>
      <c r="G3425">
        <v>0</v>
      </c>
      <c r="H3425">
        <v>-331</v>
      </c>
      <c r="I3425">
        <v>3015</v>
      </c>
      <c r="J3425">
        <v>0</v>
      </c>
      <c r="K3425" s="201">
        <v>-1339</v>
      </c>
    </row>
    <row r="3426" spans="1:11" x14ac:dyDescent="0.25">
      <c r="A3426"/>
      <c r="B3426" s="201">
        <v>0</v>
      </c>
      <c r="C3426">
        <v>0</v>
      </c>
      <c r="D3426" s="201">
        <v>0</v>
      </c>
      <c r="E3426" s="201">
        <v>0</v>
      </c>
      <c r="F3426">
        <v>-473</v>
      </c>
      <c r="G3426">
        <v>-165</v>
      </c>
      <c r="H3426">
        <v>-32</v>
      </c>
      <c r="I3426">
        <v>0</v>
      </c>
      <c r="J3426">
        <v>0</v>
      </c>
      <c r="K3426" s="201">
        <v>529</v>
      </c>
    </row>
    <row r="3427" spans="1:11" x14ac:dyDescent="0.25">
      <c r="A3427"/>
      <c r="B3427" s="201">
        <v>-572</v>
      </c>
      <c r="C3427">
        <v>0</v>
      </c>
      <c r="D3427" s="201">
        <v>5215</v>
      </c>
      <c r="E3427" s="201">
        <v>-24985</v>
      </c>
      <c r="F3427">
        <v>-1734</v>
      </c>
      <c r="G3427">
        <v>-1829</v>
      </c>
      <c r="H3427">
        <v>-91</v>
      </c>
      <c r="I3427">
        <v>-75</v>
      </c>
      <c r="J3427">
        <v>714</v>
      </c>
      <c r="K3427" s="201">
        <v>0</v>
      </c>
    </row>
    <row r="3428" spans="1:11" x14ac:dyDescent="0.25">
      <c r="A3428"/>
      <c r="B3428" s="201">
        <v>0</v>
      </c>
      <c r="C3428">
        <v>0</v>
      </c>
      <c r="D3428" s="201">
        <v>0</v>
      </c>
      <c r="E3428" s="201">
        <v>0</v>
      </c>
      <c r="F3428">
        <v>2022</v>
      </c>
      <c r="G3428">
        <v>0</v>
      </c>
      <c r="H3428">
        <v>-1575</v>
      </c>
      <c r="I3428">
        <v>-1113</v>
      </c>
      <c r="J3428">
        <v>-600</v>
      </c>
      <c r="K3428" s="201">
        <v>0</v>
      </c>
    </row>
    <row r="3429" spans="1:11" x14ac:dyDescent="0.25">
      <c r="A3429"/>
      <c r="B3429" s="201">
        <v>-659</v>
      </c>
      <c r="C3429">
        <v>-162</v>
      </c>
      <c r="D3429" s="201">
        <v>1742</v>
      </c>
      <c r="E3429" s="201">
        <v>-1393</v>
      </c>
      <c r="F3429">
        <v>1461</v>
      </c>
      <c r="G3429">
        <v>0</v>
      </c>
      <c r="H3429">
        <v>-557</v>
      </c>
      <c r="I3429">
        <v>-772</v>
      </c>
      <c r="J3429">
        <v>617</v>
      </c>
      <c r="K3429" s="201">
        <v>-417</v>
      </c>
    </row>
    <row r="3430" spans="1:11" x14ac:dyDescent="0.25">
      <c r="A3430"/>
      <c r="B3430" s="201">
        <v>0</v>
      </c>
      <c r="C3430">
        <v>107</v>
      </c>
      <c r="D3430" s="201">
        <v>490</v>
      </c>
      <c r="E3430" s="201">
        <v>0</v>
      </c>
      <c r="F3430">
        <v>0</v>
      </c>
      <c r="G3430">
        <v>0</v>
      </c>
      <c r="H3430">
        <v>4942</v>
      </c>
      <c r="I3430">
        <v>-24665</v>
      </c>
      <c r="J3430">
        <v>0</v>
      </c>
      <c r="K3430" s="201">
        <v>-3986</v>
      </c>
    </row>
    <row r="3431" spans="1:11" x14ac:dyDescent="0.25">
      <c r="A3431"/>
      <c r="B3431" s="201">
        <v>-1188</v>
      </c>
      <c r="C3431">
        <v>-312</v>
      </c>
      <c r="D3431" s="201">
        <v>-739</v>
      </c>
      <c r="E3431" s="201">
        <v>0</v>
      </c>
      <c r="F3431">
        <v>0</v>
      </c>
      <c r="G3431">
        <v>0</v>
      </c>
      <c r="H3431">
        <v>0</v>
      </c>
      <c r="I3431">
        <v>0</v>
      </c>
      <c r="J3431">
        <v>1225</v>
      </c>
      <c r="K3431" s="201">
        <v>0</v>
      </c>
    </row>
    <row r="3432" spans="1:11" x14ac:dyDescent="0.25">
      <c r="A3432"/>
      <c r="B3432" s="201">
        <v>-565</v>
      </c>
      <c r="C3432">
        <v>-147</v>
      </c>
      <c r="D3432" s="201">
        <v>154</v>
      </c>
      <c r="E3432" s="201">
        <v>0</v>
      </c>
      <c r="F3432">
        <v>-218</v>
      </c>
      <c r="G3432">
        <v>-903</v>
      </c>
      <c r="H3432">
        <v>-21</v>
      </c>
      <c r="I3432">
        <v>1135</v>
      </c>
      <c r="J3432">
        <v>-1092</v>
      </c>
      <c r="K3432" s="201">
        <v>-11</v>
      </c>
    </row>
    <row r="3433" spans="1:11" x14ac:dyDescent="0.25">
      <c r="A3433"/>
      <c r="B3433" s="201">
        <v>870</v>
      </c>
      <c r="C3433">
        <v>1107</v>
      </c>
      <c r="D3433" s="201">
        <v>0</v>
      </c>
      <c r="E3433" s="201">
        <v>768</v>
      </c>
      <c r="F3433">
        <v>0</v>
      </c>
      <c r="G3433">
        <v>0</v>
      </c>
      <c r="H3433">
        <v>765</v>
      </c>
      <c r="I3433">
        <v>430</v>
      </c>
      <c r="J3433">
        <v>0</v>
      </c>
      <c r="K3433" s="201">
        <v>-1508</v>
      </c>
    </row>
    <row r="3434" spans="1:11" x14ac:dyDescent="0.25">
      <c r="A3434"/>
      <c r="B3434" s="201">
        <v>0</v>
      </c>
      <c r="C3434">
        <v>0</v>
      </c>
      <c r="D3434" s="201">
        <v>1</v>
      </c>
      <c r="E3434" s="201">
        <v>0</v>
      </c>
      <c r="F3434">
        <v>877</v>
      </c>
      <c r="G3434">
        <v>139</v>
      </c>
      <c r="H3434">
        <v>4422</v>
      </c>
      <c r="I3434">
        <v>0</v>
      </c>
      <c r="J3434">
        <v>0</v>
      </c>
      <c r="K3434" s="201">
        <v>0</v>
      </c>
    </row>
    <row r="3435" spans="1:11" x14ac:dyDescent="0.25">
      <c r="A3435"/>
      <c r="B3435" s="201">
        <v>0</v>
      </c>
      <c r="C3435">
        <v>0</v>
      </c>
      <c r="D3435" s="201">
        <v>-43</v>
      </c>
      <c r="E3435" s="201">
        <v>0</v>
      </c>
      <c r="F3435">
        <v>68</v>
      </c>
      <c r="G3435">
        <v>-163</v>
      </c>
      <c r="H3435">
        <v>1434</v>
      </c>
      <c r="I3435">
        <v>0</v>
      </c>
      <c r="J3435">
        <v>687</v>
      </c>
      <c r="K3435" s="201">
        <v>-1057</v>
      </c>
    </row>
    <row r="3436" spans="1:11" x14ac:dyDescent="0.25">
      <c r="A3436"/>
      <c r="B3436" s="201">
        <v>1294</v>
      </c>
      <c r="C3436">
        <v>0</v>
      </c>
      <c r="D3436" s="201">
        <v>0</v>
      </c>
      <c r="E3436" s="201">
        <v>0</v>
      </c>
      <c r="F3436">
        <v>-1206</v>
      </c>
      <c r="G3436">
        <v>-1230</v>
      </c>
      <c r="H3436">
        <v>-717</v>
      </c>
      <c r="I3436">
        <v>-127</v>
      </c>
      <c r="J3436">
        <v>-199</v>
      </c>
      <c r="K3436" s="201">
        <v>0</v>
      </c>
    </row>
    <row r="3437" spans="1:11" x14ac:dyDescent="0.25">
      <c r="A3437"/>
      <c r="B3437" s="201">
        <v>348</v>
      </c>
      <c r="C3437">
        <v>0</v>
      </c>
      <c r="D3437" s="201">
        <v>0</v>
      </c>
      <c r="E3437" s="201">
        <v>-5768</v>
      </c>
      <c r="F3437">
        <v>0</v>
      </c>
      <c r="G3437">
        <v>-12984</v>
      </c>
      <c r="H3437">
        <v>0</v>
      </c>
      <c r="I3437">
        <v>-4220</v>
      </c>
      <c r="J3437">
        <v>0</v>
      </c>
      <c r="K3437" s="201">
        <v>0</v>
      </c>
    </row>
    <row r="3438" spans="1:11" x14ac:dyDescent="0.25">
      <c r="A3438"/>
      <c r="B3438" s="201">
        <v>0</v>
      </c>
      <c r="C3438">
        <v>0</v>
      </c>
      <c r="D3438" s="201">
        <v>0</v>
      </c>
      <c r="E3438" s="201">
        <v>0</v>
      </c>
      <c r="F3438">
        <v>0</v>
      </c>
      <c r="G3438">
        <v>0</v>
      </c>
      <c r="H3438">
        <v>472</v>
      </c>
      <c r="I3438">
        <v>0</v>
      </c>
      <c r="J3438">
        <v>-693</v>
      </c>
      <c r="K3438" s="201">
        <v>202</v>
      </c>
    </row>
    <row r="3439" spans="1:11" x14ac:dyDescent="0.25">
      <c r="A3439"/>
      <c r="B3439" s="201">
        <v>-89</v>
      </c>
      <c r="C3439">
        <v>0</v>
      </c>
      <c r="D3439" s="201">
        <v>-31</v>
      </c>
      <c r="E3439" s="201">
        <v>-943</v>
      </c>
      <c r="F3439">
        <v>0</v>
      </c>
      <c r="G3439">
        <v>0</v>
      </c>
      <c r="H3439">
        <v>0</v>
      </c>
      <c r="I3439">
        <v>0</v>
      </c>
      <c r="J3439">
        <v>0</v>
      </c>
      <c r="K3439" s="201">
        <v>-1025</v>
      </c>
    </row>
    <row r="3440" spans="1:11" x14ac:dyDescent="0.25">
      <c r="A3440"/>
      <c r="B3440" s="201">
        <v>690</v>
      </c>
      <c r="C3440">
        <v>47</v>
      </c>
      <c r="D3440" s="201">
        <v>227</v>
      </c>
      <c r="E3440" s="201">
        <v>438</v>
      </c>
      <c r="F3440">
        <v>1378</v>
      </c>
      <c r="G3440">
        <v>0</v>
      </c>
      <c r="H3440">
        <v>0</v>
      </c>
      <c r="I3440">
        <v>0</v>
      </c>
      <c r="J3440">
        <v>0</v>
      </c>
      <c r="K3440" s="201">
        <v>-26020</v>
      </c>
    </row>
    <row r="3441" spans="1:11" x14ac:dyDescent="0.25">
      <c r="A3441"/>
      <c r="B3441" s="201">
        <v>0</v>
      </c>
      <c r="C3441">
        <v>-4585</v>
      </c>
      <c r="D3441" s="201">
        <v>0</v>
      </c>
      <c r="E3441" s="201">
        <v>0</v>
      </c>
      <c r="F3441">
        <v>1577</v>
      </c>
      <c r="G3441">
        <v>356</v>
      </c>
      <c r="H3441">
        <v>0</v>
      </c>
      <c r="I3441">
        <v>0</v>
      </c>
      <c r="J3441">
        <v>0</v>
      </c>
      <c r="K3441" s="201">
        <v>0</v>
      </c>
    </row>
    <row r="3442" spans="1:11" x14ac:dyDescent="0.25">
      <c r="A3442"/>
      <c r="B3442" s="201">
        <v>271</v>
      </c>
      <c r="C3442">
        <v>0</v>
      </c>
      <c r="D3442" s="201">
        <v>447</v>
      </c>
      <c r="E3442" s="201">
        <v>200</v>
      </c>
      <c r="F3442">
        <v>600</v>
      </c>
      <c r="G3442">
        <v>-181</v>
      </c>
      <c r="H3442">
        <v>-8094</v>
      </c>
      <c r="I3442">
        <v>2417</v>
      </c>
      <c r="J3442">
        <v>-9897</v>
      </c>
      <c r="K3442" s="201">
        <v>-5611</v>
      </c>
    </row>
    <row r="3443" spans="1:11" x14ac:dyDescent="0.25">
      <c r="A3443"/>
      <c r="B3443" s="201">
        <v>6745</v>
      </c>
      <c r="C3443">
        <v>7715</v>
      </c>
      <c r="D3443" s="201">
        <v>0</v>
      </c>
      <c r="E3443" s="201">
        <v>0</v>
      </c>
      <c r="F3443">
        <v>0</v>
      </c>
      <c r="G3443">
        <v>0</v>
      </c>
      <c r="H3443">
        <v>0</v>
      </c>
      <c r="I3443">
        <v>0</v>
      </c>
      <c r="J3443">
        <v>0</v>
      </c>
      <c r="K3443" s="201">
        <v>25428</v>
      </c>
    </row>
    <row r="3444" spans="1:11" x14ac:dyDescent="0.25">
      <c r="A3444"/>
      <c r="B3444" s="201">
        <v>-17574</v>
      </c>
      <c r="C3444">
        <v>50</v>
      </c>
      <c r="D3444" s="201">
        <v>-90</v>
      </c>
      <c r="E3444" s="201">
        <v>241</v>
      </c>
      <c r="F3444">
        <v>429</v>
      </c>
      <c r="G3444">
        <v>358</v>
      </c>
      <c r="H3444">
        <v>0</v>
      </c>
      <c r="I3444">
        <v>0</v>
      </c>
      <c r="J3444">
        <v>550</v>
      </c>
      <c r="K3444" s="201">
        <v>0</v>
      </c>
    </row>
    <row r="3445" spans="1:11" x14ac:dyDescent="0.25">
      <c r="A3445"/>
      <c r="B3445" s="201">
        <v>0</v>
      </c>
      <c r="C3445">
        <v>0</v>
      </c>
      <c r="D3445" s="201">
        <v>302</v>
      </c>
      <c r="E3445" s="201">
        <v>154</v>
      </c>
      <c r="F3445">
        <v>0</v>
      </c>
      <c r="G3445">
        <v>0</v>
      </c>
      <c r="H3445">
        <v>0</v>
      </c>
      <c r="I3445">
        <v>0</v>
      </c>
      <c r="J3445">
        <v>0</v>
      </c>
      <c r="K3445" s="201">
        <v>0</v>
      </c>
    </row>
    <row r="3446" spans="1:11" x14ac:dyDescent="0.25">
      <c r="A3446"/>
      <c r="B3446" s="201">
        <v>216</v>
      </c>
      <c r="C3446">
        <v>0</v>
      </c>
      <c r="D3446" s="201">
        <v>0</v>
      </c>
      <c r="E3446" s="201">
        <v>-40</v>
      </c>
      <c r="F3446">
        <v>0</v>
      </c>
      <c r="G3446">
        <v>-2</v>
      </c>
      <c r="H3446">
        <v>0</v>
      </c>
      <c r="I3446">
        <v>-53</v>
      </c>
      <c r="J3446">
        <v>-426</v>
      </c>
      <c r="K3446" s="201">
        <v>-506</v>
      </c>
    </row>
    <row r="3447" spans="1:11" x14ac:dyDescent="0.25">
      <c r="A3447"/>
      <c r="B3447" s="201">
        <v>0</v>
      </c>
      <c r="C3447">
        <v>-1009</v>
      </c>
      <c r="D3447" s="201">
        <v>-237</v>
      </c>
      <c r="E3447" s="201">
        <v>367</v>
      </c>
      <c r="F3447">
        <v>647</v>
      </c>
      <c r="G3447">
        <v>964</v>
      </c>
      <c r="H3447">
        <v>918</v>
      </c>
      <c r="I3447">
        <v>0</v>
      </c>
      <c r="J3447">
        <v>15</v>
      </c>
      <c r="K3447" s="201">
        <v>0</v>
      </c>
    </row>
    <row r="3448" spans="1:11" x14ac:dyDescent="0.25">
      <c r="A3448"/>
      <c r="B3448" s="201">
        <v>0</v>
      </c>
      <c r="C3448">
        <v>0</v>
      </c>
      <c r="D3448" s="201">
        <v>0</v>
      </c>
      <c r="E3448" s="201">
        <v>0</v>
      </c>
      <c r="F3448">
        <v>159</v>
      </c>
      <c r="G3448">
        <v>0</v>
      </c>
      <c r="H3448">
        <v>0</v>
      </c>
      <c r="I3448">
        <v>0</v>
      </c>
      <c r="J3448">
        <v>888</v>
      </c>
      <c r="K3448" s="201">
        <v>0</v>
      </c>
    </row>
    <row r="3449" spans="1:11" x14ac:dyDescent="0.25">
      <c r="A3449"/>
      <c r="B3449" s="201">
        <v>570</v>
      </c>
      <c r="C3449">
        <v>0</v>
      </c>
      <c r="D3449" s="201">
        <v>0</v>
      </c>
      <c r="E3449" s="201">
        <v>0</v>
      </c>
      <c r="F3449">
        <v>0</v>
      </c>
      <c r="G3449">
        <v>0</v>
      </c>
      <c r="H3449">
        <v>605</v>
      </c>
      <c r="I3449">
        <v>0</v>
      </c>
      <c r="J3449">
        <v>43</v>
      </c>
      <c r="K3449" s="201">
        <v>50</v>
      </c>
    </row>
    <row r="3450" spans="1:11" x14ac:dyDescent="0.25">
      <c r="A3450"/>
      <c r="B3450" s="201">
        <v>0</v>
      </c>
      <c r="C3450">
        <v>0</v>
      </c>
      <c r="D3450" s="201">
        <v>322</v>
      </c>
      <c r="E3450" s="201">
        <v>886</v>
      </c>
      <c r="F3450">
        <v>0</v>
      </c>
      <c r="G3450">
        <v>-526</v>
      </c>
      <c r="H3450">
        <v>0</v>
      </c>
      <c r="I3450">
        <v>0</v>
      </c>
      <c r="J3450">
        <v>0</v>
      </c>
      <c r="K3450" s="201">
        <v>0</v>
      </c>
    </row>
    <row r="3451" spans="1:11" x14ac:dyDescent="0.25">
      <c r="A3451"/>
      <c r="B3451" s="201">
        <v>122</v>
      </c>
      <c r="C3451">
        <v>-229</v>
      </c>
      <c r="D3451" s="201">
        <v>-157</v>
      </c>
      <c r="E3451" s="201">
        <v>0</v>
      </c>
      <c r="F3451">
        <v>0</v>
      </c>
      <c r="G3451">
        <v>6</v>
      </c>
      <c r="H3451">
        <v>395</v>
      </c>
      <c r="I3451">
        <v>0</v>
      </c>
      <c r="J3451">
        <v>-969</v>
      </c>
      <c r="K3451" s="201">
        <v>-1104</v>
      </c>
    </row>
    <row r="3452" spans="1:11" x14ac:dyDescent="0.25">
      <c r="A3452"/>
      <c r="B3452" s="201">
        <v>-25849</v>
      </c>
      <c r="C3452">
        <v>6915</v>
      </c>
      <c r="D3452" s="201">
        <v>798</v>
      </c>
      <c r="E3452" s="201">
        <v>323</v>
      </c>
      <c r="F3452">
        <v>-124</v>
      </c>
      <c r="G3452">
        <v>0</v>
      </c>
      <c r="H3452">
        <v>0</v>
      </c>
      <c r="I3452">
        <v>0</v>
      </c>
      <c r="J3452">
        <v>0</v>
      </c>
      <c r="K3452" s="201">
        <v>0</v>
      </c>
    </row>
    <row r="3453" spans="1:11" x14ac:dyDescent="0.25">
      <c r="A3453"/>
      <c r="B3453" s="201">
        <v>299</v>
      </c>
      <c r="C3453">
        <v>0</v>
      </c>
      <c r="D3453" s="201">
        <v>-220</v>
      </c>
      <c r="E3453" s="201">
        <v>-218</v>
      </c>
      <c r="F3453">
        <v>163</v>
      </c>
      <c r="G3453">
        <v>0</v>
      </c>
      <c r="H3453">
        <v>-308</v>
      </c>
      <c r="I3453">
        <v>-73</v>
      </c>
      <c r="J3453">
        <v>-52</v>
      </c>
      <c r="K3453" s="201">
        <v>385</v>
      </c>
    </row>
    <row r="3454" spans="1:11" x14ac:dyDescent="0.25">
      <c r="A3454"/>
      <c r="B3454" s="201">
        <v>150</v>
      </c>
      <c r="C3454">
        <v>0</v>
      </c>
      <c r="D3454" s="201">
        <v>82</v>
      </c>
      <c r="E3454" s="201">
        <v>250</v>
      </c>
      <c r="F3454">
        <v>971</v>
      </c>
      <c r="G3454">
        <v>-102</v>
      </c>
      <c r="H3454">
        <v>0</v>
      </c>
      <c r="I3454">
        <v>188</v>
      </c>
      <c r="J3454">
        <v>-137</v>
      </c>
      <c r="K3454" s="201">
        <v>0</v>
      </c>
    </row>
    <row r="3455" spans="1:11" x14ac:dyDescent="0.25">
      <c r="A3455"/>
      <c r="B3455" s="201">
        <v>0</v>
      </c>
      <c r="C3455">
        <v>0</v>
      </c>
      <c r="D3455" s="201">
        <v>572</v>
      </c>
      <c r="E3455" s="201">
        <v>-14</v>
      </c>
      <c r="F3455">
        <v>0</v>
      </c>
      <c r="G3455">
        <v>1116</v>
      </c>
      <c r="H3455">
        <v>-91</v>
      </c>
      <c r="I3455">
        <v>-2376</v>
      </c>
      <c r="J3455">
        <v>1178</v>
      </c>
      <c r="K3455" s="201">
        <v>0</v>
      </c>
    </row>
    <row r="3456" spans="1:11" x14ac:dyDescent="0.25">
      <c r="A3456"/>
      <c r="B3456" s="201">
        <v>0</v>
      </c>
      <c r="C3456">
        <v>0</v>
      </c>
      <c r="D3456" s="201">
        <v>0</v>
      </c>
      <c r="E3456" s="201">
        <v>0</v>
      </c>
      <c r="F3456">
        <v>563</v>
      </c>
      <c r="G3456">
        <v>0</v>
      </c>
      <c r="H3456">
        <v>16</v>
      </c>
      <c r="I3456">
        <v>-239</v>
      </c>
      <c r="J3456">
        <v>-863</v>
      </c>
      <c r="K3456" s="201">
        <v>0</v>
      </c>
    </row>
    <row r="3457" spans="1:11" x14ac:dyDescent="0.25">
      <c r="A3457"/>
      <c r="B3457" s="201">
        <v>328</v>
      </c>
      <c r="C3457">
        <v>-148</v>
      </c>
      <c r="D3457" s="201">
        <v>-1266</v>
      </c>
      <c r="E3457" s="201">
        <v>-1066</v>
      </c>
      <c r="F3457">
        <v>-594</v>
      </c>
      <c r="G3457">
        <v>-872</v>
      </c>
      <c r="H3457">
        <v>-1242</v>
      </c>
      <c r="I3457">
        <v>-1156</v>
      </c>
      <c r="J3457">
        <v>0</v>
      </c>
      <c r="K3457" s="201">
        <v>62</v>
      </c>
    </row>
    <row r="3458" spans="1:11" x14ac:dyDescent="0.25">
      <c r="A3458"/>
      <c r="B3458" s="201">
        <v>0</v>
      </c>
      <c r="C3458">
        <v>0</v>
      </c>
      <c r="D3458" s="201">
        <v>-183</v>
      </c>
      <c r="E3458" s="201">
        <v>-133</v>
      </c>
      <c r="F3458">
        <v>0</v>
      </c>
      <c r="G3458">
        <v>-2938</v>
      </c>
      <c r="H3458">
        <v>0</v>
      </c>
      <c r="I3458">
        <v>0</v>
      </c>
      <c r="J3458">
        <v>-20742</v>
      </c>
      <c r="K3458" s="201">
        <v>0</v>
      </c>
    </row>
    <row r="3459" spans="1:11" x14ac:dyDescent="0.25">
      <c r="A3459"/>
      <c r="B3459" s="201">
        <v>406</v>
      </c>
      <c r="C3459">
        <v>-165</v>
      </c>
      <c r="D3459" s="201">
        <v>-345</v>
      </c>
      <c r="E3459" s="201">
        <v>0</v>
      </c>
      <c r="F3459">
        <v>0</v>
      </c>
      <c r="G3459">
        <v>0</v>
      </c>
      <c r="H3459">
        <v>0</v>
      </c>
      <c r="I3459">
        <v>0</v>
      </c>
      <c r="J3459">
        <v>488</v>
      </c>
      <c r="K3459" s="201">
        <v>0</v>
      </c>
    </row>
    <row r="3460" spans="1:11" x14ac:dyDescent="0.25">
      <c r="A3460"/>
      <c r="B3460" s="201">
        <v>436</v>
      </c>
      <c r="C3460">
        <v>75</v>
      </c>
      <c r="D3460" s="201">
        <v>586</v>
      </c>
      <c r="E3460" s="201">
        <v>0</v>
      </c>
      <c r="F3460">
        <v>256</v>
      </c>
      <c r="G3460">
        <v>111</v>
      </c>
      <c r="H3460">
        <v>130</v>
      </c>
      <c r="I3460">
        <v>0</v>
      </c>
      <c r="J3460">
        <v>0</v>
      </c>
      <c r="K3460" s="201">
        <v>0</v>
      </c>
    </row>
    <row r="3461" spans="1:11" x14ac:dyDescent="0.25">
      <c r="A3461"/>
      <c r="B3461" s="201">
        <v>29</v>
      </c>
      <c r="C3461">
        <v>86</v>
      </c>
      <c r="D3461" s="201">
        <v>570</v>
      </c>
      <c r="E3461" s="201">
        <v>-412</v>
      </c>
      <c r="F3461">
        <v>-589</v>
      </c>
      <c r="G3461">
        <v>0</v>
      </c>
      <c r="H3461">
        <v>29</v>
      </c>
      <c r="I3461">
        <v>0</v>
      </c>
      <c r="J3461">
        <v>0</v>
      </c>
      <c r="K3461" s="201">
        <v>-19</v>
      </c>
    </row>
    <row r="3462" spans="1:11" x14ac:dyDescent="0.25">
      <c r="A3462"/>
      <c r="B3462" s="201">
        <v>0</v>
      </c>
      <c r="C3462">
        <v>83</v>
      </c>
      <c r="D3462" s="201">
        <v>0</v>
      </c>
      <c r="E3462" s="201">
        <v>104</v>
      </c>
      <c r="F3462">
        <v>0</v>
      </c>
      <c r="G3462">
        <v>0</v>
      </c>
      <c r="H3462">
        <v>0</v>
      </c>
      <c r="I3462">
        <v>0</v>
      </c>
      <c r="J3462">
        <v>0</v>
      </c>
      <c r="K3462" s="201">
        <v>0</v>
      </c>
    </row>
    <row r="3463" spans="1:11" x14ac:dyDescent="0.25">
      <c r="A3463"/>
      <c r="B3463" s="201">
        <v>0</v>
      </c>
      <c r="C3463">
        <v>0</v>
      </c>
      <c r="D3463" s="201">
        <v>296</v>
      </c>
      <c r="E3463" s="201">
        <v>0</v>
      </c>
      <c r="F3463">
        <v>-48</v>
      </c>
      <c r="G3463">
        <v>-210</v>
      </c>
      <c r="H3463">
        <v>-816</v>
      </c>
      <c r="I3463">
        <v>0</v>
      </c>
      <c r="J3463">
        <v>-54</v>
      </c>
      <c r="K3463" s="201">
        <v>-178</v>
      </c>
    </row>
    <row r="3464" spans="1:11" x14ac:dyDescent="0.25">
      <c r="A3464"/>
      <c r="B3464" s="201">
        <v>0</v>
      </c>
      <c r="C3464">
        <v>0</v>
      </c>
      <c r="D3464" s="201">
        <v>0</v>
      </c>
      <c r="E3464" s="201">
        <v>0</v>
      </c>
      <c r="F3464">
        <v>0</v>
      </c>
      <c r="G3464">
        <v>519</v>
      </c>
      <c r="H3464">
        <v>1551</v>
      </c>
      <c r="I3464">
        <v>-507</v>
      </c>
      <c r="J3464">
        <v>-836</v>
      </c>
      <c r="K3464" s="201">
        <v>211</v>
      </c>
    </row>
    <row r="3465" spans="1:11" x14ac:dyDescent="0.25">
      <c r="A3465"/>
      <c r="B3465" s="201">
        <v>-202</v>
      </c>
      <c r="C3465">
        <v>0</v>
      </c>
      <c r="D3465" s="201">
        <v>0</v>
      </c>
      <c r="E3465" s="201">
        <v>0</v>
      </c>
      <c r="F3465">
        <v>0</v>
      </c>
      <c r="G3465">
        <v>169</v>
      </c>
      <c r="H3465">
        <v>0</v>
      </c>
      <c r="I3465">
        <v>869</v>
      </c>
      <c r="J3465">
        <v>0</v>
      </c>
      <c r="K3465" s="201">
        <v>0</v>
      </c>
    </row>
    <row r="3466" spans="1:11" x14ac:dyDescent="0.25">
      <c r="A3466"/>
      <c r="B3466" s="201">
        <v>2310</v>
      </c>
      <c r="C3466">
        <v>-162</v>
      </c>
      <c r="D3466" s="201">
        <v>0</v>
      </c>
      <c r="E3466" s="201">
        <v>0</v>
      </c>
      <c r="F3466">
        <v>0</v>
      </c>
      <c r="G3466">
        <v>0</v>
      </c>
      <c r="H3466">
        <v>444</v>
      </c>
      <c r="I3466">
        <v>0</v>
      </c>
      <c r="J3466">
        <v>249</v>
      </c>
      <c r="K3466" s="201">
        <v>-200</v>
      </c>
    </row>
    <row r="3467" spans="1:11" x14ac:dyDescent="0.25">
      <c r="A3467"/>
      <c r="B3467" s="201">
        <v>-1273</v>
      </c>
      <c r="C3467">
        <v>-747</v>
      </c>
      <c r="D3467" s="201">
        <v>1766</v>
      </c>
      <c r="E3467" s="201">
        <v>2503</v>
      </c>
      <c r="F3467">
        <v>520</v>
      </c>
      <c r="G3467">
        <v>2700</v>
      </c>
      <c r="H3467">
        <v>3782</v>
      </c>
      <c r="I3467">
        <v>2610</v>
      </c>
      <c r="J3467">
        <v>0</v>
      </c>
      <c r="K3467" s="201">
        <v>0</v>
      </c>
    </row>
    <row r="3468" spans="1:11" x14ac:dyDescent="0.25">
      <c r="A3468"/>
      <c r="B3468" s="201">
        <v>0</v>
      </c>
      <c r="C3468">
        <v>0</v>
      </c>
      <c r="D3468" s="201">
        <v>0</v>
      </c>
      <c r="E3468" s="201">
        <v>0</v>
      </c>
      <c r="F3468">
        <v>0</v>
      </c>
      <c r="G3468">
        <v>8491</v>
      </c>
      <c r="H3468">
        <v>2800</v>
      </c>
      <c r="I3468">
        <v>6287</v>
      </c>
      <c r="J3468">
        <v>389</v>
      </c>
      <c r="K3468" s="201">
        <v>-489</v>
      </c>
    </row>
    <row r="3469" spans="1:11" x14ac:dyDescent="0.25">
      <c r="A3469"/>
      <c r="B3469" s="201">
        <v>240</v>
      </c>
      <c r="C3469">
        <v>422</v>
      </c>
      <c r="D3469" s="201">
        <v>1113</v>
      </c>
      <c r="E3469" s="201">
        <v>0</v>
      </c>
      <c r="F3469">
        <v>0</v>
      </c>
      <c r="G3469">
        <v>-26</v>
      </c>
      <c r="H3469">
        <v>0</v>
      </c>
      <c r="I3469">
        <v>0</v>
      </c>
      <c r="J3469">
        <v>0</v>
      </c>
      <c r="K3469" s="201">
        <v>1271</v>
      </c>
    </row>
    <row r="3470" spans="1:11" x14ac:dyDescent="0.25">
      <c r="A3470"/>
      <c r="B3470" s="201">
        <v>41</v>
      </c>
      <c r="C3470">
        <v>0</v>
      </c>
      <c r="D3470" s="201">
        <v>0</v>
      </c>
      <c r="E3470" s="201">
        <v>0</v>
      </c>
      <c r="F3470">
        <v>0</v>
      </c>
      <c r="G3470">
        <v>0</v>
      </c>
      <c r="H3470">
        <v>0</v>
      </c>
      <c r="I3470">
        <v>387</v>
      </c>
      <c r="J3470">
        <v>0</v>
      </c>
      <c r="K3470" s="201">
        <v>0</v>
      </c>
    </row>
    <row r="3471" spans="1:11" x14ac:dyDescent="0.25">
      <c r="A3471"/>
      <c r="B3471" s="201">
        <v>-142</v>
      </c>
      <c r="C3471">
        <v>0</v>
      </c>
      <c r="D3471" s="201">
        <v>-27</v>
      </c>
      <c r="E3471" s="201">
        <v>0</v>
      </c>
      <c r="F3471">
        <v>-166</v>
      </c>
      <c r="G3471">
        <v>-80</v>
      </c>
      <c r="H3471">
        <v>-942</v>
      </c>
      <c r="I3471">
        <v>0</v>
      </c>
      <c r="J3471">
        <v>-663</v>
      </c>
      <c r="K3471" s="201">
        <v>-399</v>
      </c>
    </row>
    <row r="3472" spans="1:11" x14ac:dyDescent="0.25">
      <c r="A3472"/>
      <c r="B3472" s="201">
        <v>312</v>
      </c>
      <c r="C3472">
        <v>465</v>
      </c>
      <c r="D3472" s="201">
        <v>452</v>
      </c>
      <c r="E3472" s="201">
        <v>1046</v>
      </c>
      <c r="F3472">
        <v>0</v>
      </c>
      <c r="G3472">
        <v>259</v>
      </c>
      <c r="H3472">
        <v>0</v>
      </c>
      <c r="I3472">
        <v>0</v>
      </c>
      <c r="J3472">
        <v>0</v>
      </c>
      <c r="K3472" s="201">
        <v>0</v>
      </c>
    </row>
    <row r="3473" spans="1:11" x14ac:dyDescent="0.25">
      <c r="A3473"/>
      <c r="B3473" s="201">
        <v>0</v>
      </c>
      <c r="C3473">
        <v>174</v>
      </c>
      <c r="D3473" s="201">
        <v>0</v>
      </c>
      <c r="E3473" s="201">
        <v>0</v>
      </c>
      <c r="F3473">
        <v>0</v>
      </c>
      <c r="G3473">
        <v>-217</v>
      </c>
      <c r="H3473">
        <v>0</v>
      </c>
      <c r="I3473">
        <v>242</v>
      </c>
      <c r="J3473">
        <v>0</v>
      </c>
      <c r="K3473" s="201">
        <v>0</v>
      </c>
    </row>
    <row r="3474" spans="1:11" x14ac:dyDescent="0.25">
      <c r="A3474"/>
      <c r="B3474" s="201">
        <v>0</v>
      </c>
      <c r="C3474">
        <v>0</v>
      </c>
      <c r="D3474" s="201">
        <v>0</v>
      </c>
      <c r="E3474" s="201">
        <v>286</v>
      </c>
      <c r="F3474">
        <v>0</v>
      </c>
      <c r="G3474">
        <v>-205</v>
      </c>
      <c r="H3474">
        <v>-32</v>
      </c>
      <c r="I3474">
        <v>0</v>
      </c>
      <c r="J3474">
        <v>0</v>
      </c>
      <c r="K3474" s="201">
        <v>-553</v>
      </c>
    </row>
    <row r="3475" spans="1:11" x14ac:dyDescent="0.25">
      <c r="A3475"/>
      <c r="B3475" s="201">
        <v>2013</v>
      </c>
      <c r="C3475">
        <v>0</v>
      </c>
      <c r="D3475" s="201">
        <v>-898</v>
      </c>
      <c r="E3475" s="201">
        <v>0</v>
      </c>
      <c r="F3475">
        <v>0</v>
      </c>
      <c r="G3475">
        <v>0</v>
      </c>
      <c r="H3475">
        <v>0</v>
      </c>
      <c r="I3475">
        <v>576</v>
      </c>
      <c r="J3475">
        <v>-605</v>
      </c>
      <c r="K3475" s="201">
        <v>-400</v>
      </c>
    </row>
    <row r="3476" spans="1:11" x14ac:dyDescent="0.25">
      <c r="A3476"/>
      <c r="B3476" s="201">
        <v>0</v>
      </c>
      <c r="C3476">
        <v>0</v>
      </c>
      <c r="D3476" s="201">
        <v>-129</v>
      </c>
      <c r="E3476" s="201">
        <v>806</v>
      </c>
      <c r="F3476">
        <v>0</v>
      </c>
      <c r="G3476">
        <v>-1832</v>
      </c>
      <c r="H3476">
        <v>-2346</v>
      </c>
      <c r="I3476">
        <v>6176</v>
      </c>
      <c r="J3476">
        <v>-24537</v>
      </c>
      <c r="K3476" s="201">
        <v>-299</v>
      </c>
    </row>
    <row r="3477" spans="1:11" x14ac:dyDescent="0.25">
      <c r="A3477"/>
      <c r="B3477" s="201">
        <v>-36</v>
      </c>
      <c r="C3477">
        <v>53</v>
      </c>
      <c r="D3477" s="201">
        <v>0</v>
      </c>
      <c r="E3477" s="201">
        <v>0</v>
      </c>
      <c r="F3477">
        <v>0</v>
      </c>
      <c r="G3477">
        <v>0</v>
      </c>
      <c r="H3477">
        <v>0</v>
      </c>
      <c r="I3477">
        <v>1370</v>
      </c>
      <c r="J3477">
        <v>0</v>
      </c>
      <c r="K3477" s="201">
        <v>-978</v>
      </c>
    </row>
    <row r="3478" spans="1:11" x14ac:dyDescent="0.25">
      <c r="A3478"/>
      <c r="B3478" s="201">
        <v>-583</v>
      </c>
      <c r="C3478">
        <v>-457</v>
      </c>
      <c r="D3478" s="201">
        <v>0</v>
      </c>
      <c r="E3478" s="201">
        <v>-1022</v>
      </c>
      <c r="F3478">
        <v>287</v>
      </c>
      <c r="G3478">
        <v>-2247</v>
      </c>
      <c r="H3478">
        <v>-2226</v>
      </c>
      <c r="I3478">
        <v>-683</v>
      </c>
      <c r="J3478">
        <v>0</v>
      </c>
      <c r="K3478" s="201">
        <v>-874</v>
      </c>
    </row>
    <row r="3479" spans="1:11" x14ac:dyDescent="0.25">
      <c r="A3479"/>
      <c r="B3479" s="201">
        <v>-1014</v>
      </c>
      <c r="C3479">
        <v>406</v>
      </c>
      <c r="D3479" s="201">
        <v>-459</v>
      </c>
      <c r="E3479" s="201">
        <v>0</v>
      </c>
      <c r="F3479">
        <v>24</v>
      </c>
      <c r="G3479">
        <v>169</v>
      </c>
      <c r="H3479">
        <v>0</v>
      </c>
      <c r="I3479">
        <v>0</v>
      </c>
      <c r="J3479">
        <v>0</v>
      </c>
      <c r="K3479" s="201">
        <v>-1006</v>
      </c>
    </row>
    <row r="3480" spans="1:11" x14ac:dyDescent="0.25">
      <c r="A3480"/>
      <c r="B3480" s="201">
        <v>-4207</v>
      </c>
      <c r="C3480">
        <v>0</v>
      </c>
      <c r="D3480" s="201">
        <v>-23734</v>
      </c>
      <c r="E3480" s="201">
        <v>-1109</v>
      </c>
      <c r="F3480">
        <v>362</v>
      </c>
      <c r="G3480">
        <v>-905</v>
      </c>
      <c r="H3480">
        <v>0</v>
      </c>
      <c r="I3480">
        <v>0</v>
      </c>
      <c r="J3480">
        <v>0</v>
      </c>
      <c r="K3480" s="201">
        <v>0</v>
      </c>
    </row>
    <row r="3481" spans="1:11" x14ac:dyDescent="0.25">
      <c r="A3481"/>
      <c r="B3481" s="201">
        <v>0</v>
      </c>
      <c r="C3481">
        <v>1648</v>
      </c>
      <c r="D3481" s="201">
        <v>0</v>
      </c>
      <c r="E3481" s="201">
        <v>-773</v>
      </c>
      <c r="F3481">
        <v>10</v>
      </c>
      <c r="G3481">
        <v>574</v>
      </c>
      <c r="H3481">
        <v>0</v>
      </c>
      <c r="I3481">
        <v>-841</v>
      </c>
      <c r="J3481">
        <v>-580</v>
      </c>
      <c r="K3481" s="201">
        <v>-100</v>
      </c>
    </row>
    <row r="3482" spans="1:11" x14ac:dyDescent="0.25">
      <c r="A3482"/>
      <c r="B3482" s="201">
        <v>1068</v>
      </c>
      <c r="C3482">
        <v>-171</v>
      </c>
      <c r="D3482" s="201">
        <v>-35</v>
      </c>
      <c r="E3482" s="201">
        <v>828</v>
      </c>
      <c r="F3482">
        <v>1169</v>
      </c>
      <c r="G3482">
        <v>0</v>
      </c>
      <c r="H3482">
        <v>418</v>
      </c>
      <c r="I3482">
        <v>0</v>
      </c>
      <c r="J3482">
        <v>0</v>
      </c>
      <c r="K3482" s="201">
        <v>521</v>
      </c>
    </row>
    <row r="3483" spans="1:11" x14ac:dyDescent="0.25">
      <c r="A3483"/>
      <c r="B3483" s="201">
        <v>1083</v>
      </c>
      <c r="C3483">
        <v>0</v>
      </c>
      <c r="D3483" s="201">
        <v>-830</v>
      </c>
      <c r="E3483" s="201">
        <v>0</v>
      </c>
      <c r="F3483">
        <v>0</v>
      </c>
      <c r="G3483">
        <v>170</v>
      </c>
      <c r="H3483">
        <v>0</v>
      </c>
      <c r="I3483">
        <v>748</v>
      </c>
      <c r="J3483">
        <v>904</v>
      </c>
      <c r="K3483" s="201">
        <v>2997</v>
      </c>
    </row>
    <row r="3484" spans="1:11" x14ac:dyDescent="0.25">
      <c r="A3484"/>
      <c r="B3484" s="201">
        <v>0</v>
      </c>
      <c r="C3484">
        <v>0</v>
      </c>
      <c r="D3484" s="201">
        <v>0</v>
      </c>
      <c r="E3484" s="201">
        <v>0</v>
      </c>
      <c r="F3484">
        <v>0</v>
      </c>
      <c r="G3484">
        <v>404</v>
      </c>
      <c r="H3484">
        <v>0</v>
      </c>
      <c r="I3484">
        <v>-71</v>
      </c>
      <c r="J3484">
        <v>26</v>
      </c>
      <c r="K3484" s="201">
        <v>-260</v>
      </c>
    </row>
    <row r="3485" spans="1:11" x14ac:dyDescent="0.25">
      <c r="A3485"/>
      <c r="B3485" s="201">
        <v>0</v>
      </c>
      <c r="C3485">
        <v>-218</v>
      </c>
      <c r="D3485" s="201">
        <v>-284</v>
      </c>
      <c r="E3485" s="201">
        <v>-961</v>
      </c>
      <c r="F3485">
        <v>0</v>
      </c>
      <c r="G3485">
        <v>0</v>
      </c>
      <c r="H3485">
        <v>0</v>
      </c>
      <c r="I3485">
        <v>-1059</v>
      </c>
      <c r="J3485">
        <v>-1027</v>
      </c>
      <c r="K3485" s="201">
        <v>-376</v>
      </c>
    </row>
    <row r="3486" spans="1:11" x14ac:dyDescent="0.25">
      <c r="A3486"/>
      <c r="B3486" s="201">
        <v>-169</v>
      </c>
      <c r="C3486">
        <v>-128</v>
      </c>
      <c r="D3486" s="201">
        <v>0</v>
      </c>
      <c r="E3486" s="201">
        <v>309</v>
      </c>
      <c r="F3486">
        <v>0</v>
      </c>
      <c r="G3486">
        <v>0</v>
      </c>
      <c r="H3486">
        <v>-5113</v>
      </c>
      <c r="I3486">
        <v>0</v>
      </c>
      <c r="J3486">
        <v>-3744</v>
      </c>
      <c r="K3486" s="201">
        <v>0</v>
      </c>
    </row>
    <row r="3487" spans="1:11" x14ac:dyDescent="0.25">
      <c r="A3487"/>
      <c r="B3487" s="201">
        <v>-15255</v>
      </c>
      <c r="C3487">
        <v>0</v>
      </c>
      <c r="D3487" s="201">
        <v>0</v>
      </c>
      <c r="E3487" s="201">
        <v>0</v>
      </c>
      <c r="F3487">
        <v>0</v>
      </c>
      <c r="G3487">
        <v>0</v>
      </c>
      <c r="H3487">
        <v>0</v>
      </c>
      <c r="I3487">
        <v>0</v>
      </c>
      <c r="J3487">
        <v>0</v>
      </c>
      <c r="K3487" s="201">
        <v>1115</v>
      </c>
    </row>
    <row r="3488" spans="1:11" x14ac:dyDescent="0.25">
      <c r="A3488"/>
      <c r="B3488" s="201">
        <v>0</v>
      </c>
      <c r="C3488">
        <v>-877</v>
      </c>
      <c r="D3488" s="201">
        <v>136</v>
      </c>
      <c r="E3488" s="201">
        <v>227</v>
      </c>
      <c r="F3488">
        <v>0</v>
      </c>
      <c r="G3488">
        <v>-727</v>
      </c>
      <c r="H3488">
        <v>-715</v>
      </c>
      <c r="I3488">
        <v>0</v>
      </c>
      <c r="J3488">
        <v>0</v>
      </c>
      <c r="K3488" s="201">
        <v>0</v>
      </c>
    </row>
    <row r="3489" spans="1:11" x14ac:dyDescent="0.25">
      <c r="A3489"/>
      <c r="B3489" s="201">
        <v>0</v>
      </c>
      <c r="C3489">
        <v>0</v>
      </c>
      <c r="D3489" s="201">
        <v>-317</v>
      </c>
      <c r="E3489" s="201">
        <v>1679</v>
      </c>
      <c r="F3489">
        <v>-34</v>
      </c>
      <c r="G3489">
        <v>282</v>
      </c>
      <c r="H3489">
        <v>187</v>
      </c>
      <c r="I3489">
        <v>630</v>
      </c>
      <c r="J3489">
        <v>0</v>
      </c>
      <c r="K3489" s="201">
        <v>0</v>
      </c>
    </row>
    <row r="3490" spans="1:11" x14ac:dyDescent="0.25">
      <c r="A3490"/>
      <c r="B3490" s="201">
        <v>0</v>
      </c>
      <c r="C3490">
        <v>0</v>
      </c>
      <c r="D3490" s="201">
        <v>-4958</v>
      </c>
      <c r="E3490" s="201">
        <v>0</v>
      </c>
      <c r="F3490">
        <v>-28408</v>
      </c>
      <c r="G3490">
        <v>0</v>
      </c>
      <c r="H3490">
        <v>0</v>
      </c>
      <c r="I3490">
        <v>252</v>
      </c>
      <c r="J3490">
        <v>476</v>
      </c>
      <c r="K3490" s="201">
        <v>0</v>
      </c>
    </row>
    <row r="3491" spans="1:11" x14ac:dyDescent="0.25">
      <c r="A3491"/>
      <c r="B3491" s="201">
        <v>0</v>
      </c>
      <c r="C3491">
        <v>0</v>
      </c>
      <c r="D3491" s="201">
        <v>0</v>
      </c>
      <c r="E3491" s="201">
        <v>622</v>
      </c>
      <c r="F3491">
        <v>0</v>
      </c>
      <c r="G3491">
        <v>155</v>
      </c>
      <c r="H3491">
        <v>55</v>
      </c>
      <c r="I3491">
        <v>766</v>
      </c>
      <c r="J3491">
        <v>4758</v>
      </c>
      <c r="K3491" s="201">
        <v>6850</v>
      </c>
    </row>
    <row r="3492" spans="1:11" x14ac:dyDescent="0.25">
      <c r="A3492"/>
      <c r="B3492" s="201">
        <v>6081</v>
      </c>
      <c r="C3492">
        <v>1398</v>
      </c>
      <c r="D3492" s="201">
        <v>522</v>
      </c>
      <c r="E3492" s="201">
        <v>7884</v>
      </c>
      <c r="F3492">
        <v>7992</v>
      </c>
      <c r="G3492">
        <v>0</v>
      </c>
      <c r="H3492">
        <v>0</v>
      </c>
      <c r="I3492">
        <v>0</v>
      </c>
      <c r="J3492">
        <v>0</v>
      </c>
      <c r="K3492" s="201">
        <v>0</v>
      </c>
    </row>
    <row r="3493" spans="1:11" x14ac:dyDescent="0.25">
      <c r="A3493"/>
      <c r="B3493" s="201">
        <v>0</v>
      </c>
      <c r="C3493">
        <v>0</v>
      </c>
      <c r="D3493" s="201">
        <v>20869</v>
      </c>
      <c r="E3493" s="201">
        <v>5916</v>
      </c>
      <c r="F3493">
        <v>21342</v>
      </c>
      <c r="G3493">
        <v>-20623</v>
      </c>
      <c r="H3493">
        <v>756</v>
      </c>
      <c r="I3493">
        <v>726</v>
      </c>
      <c r="J3493">
        <v>88</v>
      </c>
      <c r="K3493" s="201">
        <v>-1421</v>
      </c>
    </row>
    <row r="3494" spans="1:11" x14ac:dyDescent="0.25">
      <c r="A3494"/>
      <c r="B3494" s="201">
        <v>639</v>
      </c>
      <c r="C3494">
        <v>0</v>
      </c>
      <c r="D3494" s="201">
        <v>0</v>
      </c>
      <c r="E3494" s="201">
        <v>664</v>
      </c>
      <c r="F3494">
        <v>0</v>
      </c>
      <c r="G3494">
        <v>0</v>
      </c>
      <c r="H3494">
        <v>0</v>
      </c>
      <c r="I3494">
        <v>-16</v>
      </c>
      <c r="J3494">
        <v>-237</v>
      </c>
      <c r="K3494" s="201">
        <v>0</v>
      </c>
    </row>
    <row r="3495" spans="1:11" x14ac:dyDescent="0.25">
      <c r="A3495"/>
      <c r="B3495" s="201">
        <v>0</v>
      </c>
      <c r="C3495">
        <v>0</v>
      </c>
      <c r="D3495" s="201">
        <v>0</v>
      </c>
      <c r="E3495" s="201">
        <v>0</v>
      </c>
      <c r="F3495">
        <v>0</v>
      </c>
      <c r="G3495">
        <v>720</v>
      </c>
      <c r="H3495">
        <v>0</v>
      </c>
      <c r="I3495">
        <v>0</v>
      </c>
      <c r="J3495">
        <v>-577</v>
      </c>
      <c r="K3495" s="201">
        <v>0</v>
      </c>
    </row>
    <row r="3496" spans="1:11" x14ac:dyDescent="0.25">
      <c r="A3496"/>
      <c r="B3496" s="201">
        <v>694</v>
      </c>
      <c r="C3496">
        <v>0</v>
      </c>
      <c r="D3496" s="201">
        <v>-18</v>
      </c>
      <c r="E3496" s="201">
        <v>-1166</v>
      </c>
      <c r="F3496">
        <v>-1936</v>
      </c>
      <c r="G3496">
        <v>0</v>
      </c>
      <c r="H3496">
        <v>1519</v>
      </c>
      <c r="I3496">
        <v>584</v>
      </c>
      <c r="J3496">
        <v>4374</v>
      </c>
      <c r="K3496" s="201">
        <v>40</v>
      </c>
    </row>
    <row r="3497" spans="1:11" x14ac:dyDescent="0.25">
      <c r="A3497"/>
      <c r="B3497" s="201">
        <v>-1074</v>
      </c>
      <c r="C3497">
        <v>-883</v>
      </c>
      <c r="D3497" s="201">
        <v>0</v>
      </c>
      <c r="E3497" s="201">
        <v>-253</v>
      </c>
      <c r="F3497">
        <v>0</v>
      </c>
      <c r="G3497">
        <v>0</v>
      </c>
      <c r="H3497">
        <v>0</v>
      </c>
      <c r="I3497">
        <v>0</v>
      </c>
      <c r="J3497">
        <v>0</v>
      </c>
      <c r="K3497" s="201">
        <v>723</v>
      </c>
    </row>
    <row r="3498" spans="1:11" x14ac:dyDescent="0.25">
      <c r="A3498"/>
      <c r="B3498" s="201">
        <v>0</v>
      </c>
      <c r="C3498">
        <v>0</v>
      </c>
      <c r="D3498" s="201">
        <v>0</v>
      </c>
      <c r="E3498" s="201">
        <v>-14610</v>
      </c>
      <c r="F3498">
        <v>0</v>
      </c>
      <c r="G3498">
        <v>-198</v>
      </c>
      <c r="H3498">
        <v>0</v>
      </c>
      <c r="I3498">
        <v>0</v>
      </c>
      <c r="J3498">
        <v>0</v>
      </c>
      <c r="K3498" s="201">
        <v>0</v>
      </c>
    </row>
    <row r="3499" spans="1:11" x14ac:dyDescent="0.25">
      <c r="A3499"/>
      <c r="B3499" s="201">
        <v>0</v>
      </c>
      <c r="C3499">
        <v>218</v>
      </c>
      <c r="D3499" s="201">
        <v>0</v>
      </c>
      <c r="E3499" s="201">
        <v>-431</v>
      </c>
      <c r="F3499">
        <v>-55</v>
      </c>
      <c r="G3499">
        <v>0</v>
      </c>
      <c r="H3499">
        <v>0</v>
      </c>
      <c r="I3499">
        <v>942</v>
      </c>
      <c r="J3499">
        <v>-32</v>
      </c>
      <c r="K3499" s="201">
        <v>0</v>
      </c>
    </row>
    <row r="3500" spans="1:11" x14ac:dyDescent="0.25">
      <c r="A3500"/>
      <c r="B3500" s="201">
        <v>-1541</v>
      </c>
      <c r="C3500">
        <v>0</v>
      </c>
      <c r="D3500" s="201">
        <v>0</v>
      </c>
      <c r="E3500" s="201">
        <v>0</v>
      </c>
      <c r="F3500">
        <v>0</v>
      </c>
      <c r="G3500">
        <v>-356</v>
      </c>
      <c r="H3500">
        <v>742</v>
      </c>
      <c r="I3500">
        <v>211</v>
      </c>
      <c r="J3500">
        <v>0</v>
      </c>
      <c r="K3500" s="201">
        <v>0</v>
      </c>
    </row>
    <row r="3501" spans="1:11" x14ac:dyDescent="0.25">
      <c r="A3501"/>
      <c r="B3501" s="201">
        <v>735</v>
      </c>
      <c r="C3501">
        <v>-938</v>
      </c>
      <c r="D3501" s="201">
        <v>0</v>
      </c>
      <c r="E3501" s="201">
        <v>1955</v>
      </c>
      <c r="F3501">
        <v>-1228</v>
      </c>
      <c r="G3501">
        <v>856</v>
      </c>
      <c r="H3501">
        <v>-972</v>
      </c>
      <c r="I3501">
        <v>-18330</v>
      </c>
      <c r="J3501">
        <v>910</v>
      </c>
      <c r="K3501" s="201">
        <v>425</v>
      </c>
    </row>
    <row r="3502" spans="1:11" x14ac:dyDescent="0.25">
      <c r="A3502"/>
      <c r="B3502" s="201">
        <v>0</v>
      </c>
      <c r="C3502">
        <v>0</v>
      </c>
      <c r="D3502" s="201">
        <v>0</v>
      </c>
      <c r="E3502" s="201">
        <v>0</v>
      </c>
      <c r="F3502">
        <v>0</v>
      </c>
      <c r="G3502">
        <v>-383</v>
      </c>
      <c r="H3502">
        <v>0</v>
      </c>
      <c r="I3502">
        <v>-743</v>
      </c>
      <c r="J3502">
        <v>18</v>
      </c>
      <c r="K3502" s="201">
        <v>-129</v>
      </c>
    </row>
    <row r="3503" spans="1:11" x14ac:dyDescent="0.25">
      <c r="A3503"/>
      <c r="B3503" s="201">
        <v>0</v>
      </c>
      <c r="C3503">
        <v>32</v>
      </c>
      <c r="D3503" s="201">
        <v>540</v>
      </c>
      <c r="E3503" s="201">
        <v>-1086</v>
      </c>
      <c r="F3503">
        <v>-2874</v>
      </c>
      <c r="G3503">
        <v>-1143</v>
      </c>
      <c r="H3503">
        <v>0</v>
      </c>
      <c r="I3503">
        <v>-1815</v>
      </c>
      <c r="J3503">
        <v>-3070</v>
      </c>
      <c r="K3503" s="201">
        <v>-1794</v>
      </c>
    </row>
    <row r="3504" spans="1:11" x14ac:dyDescent="0.25">
      <c r="A3504"/>
      <c r="B3504" s="201">
        <v>698</v>
      </c>
      <c r="C3504">
        <v>0</v>
      </c>
      <c r="D3504" s="201">
        <v>-196</v>
      </c>
      <c r="E3504" s="201">
        <v>-385</v>
      </c>
      <c r="F3504">
        <v>0</v>
      </c>
      <c r="G3504">
        <v>0</v>
      </c>
      <c r="H3504">
        <v>0</v>
      </c>
      <c r="I3504">
        <v>1966</v>
      </c>
      <c r="J3504">
        <v>-1479</v>
      </c>
      <c r="K3504" s="201">
        <v>0</v>
      </c>
    </row>
    <row r="3505" spans="1:11" x14ac:dyDescent="0.25">
      <c r="A3505"/>
      <c r="B3505" s="201">
        <v>-1526</v>
      </c>
      <c r="C3505">
        <v>-21430</v>
      </c>
      <c r="D3505" s="201">
        <v>135</v>
      </c>
      <c r="E3505" s="201">
        <v>-439</v>
      </c>
      <c r="F3505">
        <v>0</v>
      </c>
      <c r="G3505">
        <v>0</v>
      </c>
      <c r="H3505">
        <v>0</v>
      </c>
      <c r="I3505">
        <v>0</v>
      </c>
      <c r="J3505">
        <v>0</v>
      </c>
      <c r="K3505" s="201">
        <v>976</v>
      </c>
    </row>
    <row r="3506" spans="1:11" x14ac:dyDescent="0.25">
      <c r="A3506"/>
      <c r="B3506" s="201">
        <v>0</v>
      </c>
      <c r="C3506">
        <v>-546</v>
      </c>
      <c r="D3506" s="201">
        <v>-178</v>
      </c>
      <c r="E3506" s="201">
        <v>429</v>
      </c>
      <c r="F3506">
        <v>0</v>
      </c>
      <c r="G3506">
        <v>-286</v>
      </c>
      <c r="H3506">
        <v>-204</v>
      </c>
      <c r="I3506">
        <v>579</v>
      </c>
      <c r="J3506">
        <v>-608</v>
      </c>
      <c r="K3506" s="201">
        <v>1001</v>
      </c>
    </row>
    <row r="3507" spans="1:11" x14ac:dyDescent="0.25">
      <c r="A3507"/>
      <c r="B3507" s="201">
        <v>9103</v>
      </c>
      <c r="C3507">
        <v>934</v>
      </c>
      <c r="D3507" s="201">
        <v>338</v>
      </c>
      <c r="E3507" s="201">
        <v>0</v>
      </c>
      <c r="F3507">
        <v>211</v>
      </c>
      <c r="G3507">
        <v>0</v>
      </c>
      <c r="H3507">
        <v>0</v>
      </c>
      <c r="I3507">
        <v>-95</v>
      </c>
      <c r="J3507">
        <v>-48</v>
      </c>
      <c r="K3507" s="201">
        <v>0</v>
      </c>
    </row>
    <row r="3508" spans="1:11" x14ac:dyDescent="0.25">
      <c r="A3508"/>
      <c r="B3508" s="201">
        <v>-287</v>
      </c>
      <c r="C3508">
        <v>0</v>
      </c>
      <c r="D3508" s="201">
        <v>0</v>
      </c>
      <c r="E3508" s="201">
        <v>581</v>
      </c>
      <c r="F3508">
        <v>0</v>
      </c>
      <c r="G3508">
        <v>-23699</v>
      </c>
      <c r="H3508">
        <v>67</v>
      </c>
      <c r="I3508">
        <v>-245</v>
      </c>
      <c r="J3508">
        <v>0</v>
      </c>
      <c r="K3508" s="201">
        <v>0</v>
      </c>
    </row>
    <row r="3509" spans="1:11" x14ac:dyDescent="0.25">
      <c r="A3509"/>
      <c r="B3509" s="201">
        <v>0</v>
      </c>
      <c r="C3509">
        <v>0</v>
      </c>
      <c r="D3509" s="201">
        <v>0</v>
      </c>
      <c r="E3509" s="201">
        <v>661</v>
      </c>
      <c r="F3509">
        <v>0</v>
      </c>
      <c r="G3509">
        <v>-67</v>
      </c>
      <c r="H3509">
        <v>183</v>
      </c>
      <c r="I3509">
        <v>379</v>
      </c>
      <c r="J3509">
        <v>0</v>
      </c>
      <c r="K3509" s="201">
        <v>-572</v>
      </c>
    </row>
    <row r="3510" spans="1:11" x14ac:dyDescent="0.25">
      <c r="A3510"/>
      <c r="B3510" s="201">
        <v>-279</v>
      </c>
      <c r="C3510">
        <v>-150</v>
      </c>
      <c r="D3510" s="201">
        <v>0</v>
      </c>
      <c r="E3510" s="201">
        <v>0</v>
      </c>
      <c r="F3510">
        <v>0</v>
      </c>
      <c r="G3510">
        <v>188</v>
      </c>
      <c r="H3510">
        <v>1663</v>
      </c>
      <c r="I3510">
        <v>1037</v>
      </c>
      <c r="J3510">
        <v>-1050</v>
      </c>
      <c r="K3510" s="201">
        <v>-122</v>
      </c>
    </row>
    <row r="3511" spans="1:11" x14ac:dyDescent="0.25">
      <c r="A3511"/>
      <c r="B3511" s="201">
        <v>0</v>
      </c>
      <c r="C3511">
        <v>1068</v>
      </c>
      <c r="D3511" s="201">
        <v>0</v>
      </c>
      <c r="E3511" s="201">
        <v>0</v>
      </c>
      <c r="F3511">
        <v>149</v>
      </c>
      <c r="G3511">
        <v>0</v>
      </c>
      <c r="H3511">
        <v>81</v>
      </c>
      <c r="I3511">
        <v>0</v>
      </c>
      <c r="J3511">
        <v>174</v>
      </c>
      <c r="K3511" s="201">
        <v>0</v>
      </c>
    </row>
    <row r="3512" spans="1:11" x14ac:dyDescent="0.25">
      <c r="A3512"/>
      <c r="B3512" s="201">
        <v>0</v>
      </c>
      <c r="C3512">
        <v>0</v>
      </c>
      <c r="D3512" s="201">
        <v>0</v>
      </c>
      <c r="E3512" s="201">
        <v>0</v>
      </c>
      <c r="F3512">
        <v>0</v>
      </c>
      <c r="G3512">
        <v>0</v>
      </c>
      <c r="H3512">
        <v>0</v>
      </c>
      <c r="I3512">
        <v>666</v>
      </c>
      <c r="J3512">
        <v>0</v>
      </c>
      <c r="K3512" s="201">
        <v>-229</v>
      </c>
    </row>
    <row r="3513" spans="1:11" x14ac:dyDescent="0.25">
      <c r="A3513"/>
      <c r="B3513" s="201">
        <v>-580</v>
      </c>
      <c r="C3513">
        <v>-1038</v>
      </c>
      <c r="D3513" s="201">
        <v>0</v>
      </c>
      <c r="E3513" s="201">
        <v>-537</v>
      </c>
      <c r="F3513">
        <v>-265</v>
      </c>
      <c r="G3513">
        <v>0</v>
      </c>
      <c r="H3513">
        <v>0</v>
      </c>
      <c r="I3513">
        <v>0</v>
      </c>
      <c r="J3513">
        <v>0</v>
      </c>
      <c r="K3513" s="201">
        <v>0</v>
      </c>
    </row>
    <row r="3514" spans="1:11" x14ac:dyDescent="0.25">
      <c r="A3514"/>
      <c r="B3514" s="201">
        <v>3280</v>
      </c>
      <c r="C3514">
        <v>3037</v>
      </c>
      <c r="D3514" s="201">
        <v>-2006</v>
      </c>
      <c r="E3514" s="201">
        <v>-329</v>
      </c>
      <c r="F3514">
        <v>-535</v>
      </c>
      <c r="G3514">
        <v>245</v>
      </c>
      <c r="H3514">
        <v>0</v>
      </c>
      <c r="I3514">
        <v>0</v>
      </c>
      <c r="J3514">
        <v>0</v>
      </c>
      <c r="K3514" s="201">
        <v>0</v>
      </c>
    </row>
    <row r="3515" spans="1:11" x14ac:dyDescent="0.25">
      <c r="A3515"/>
      <c r="B3515" s="201">
        <v>1080</v>
      </c>
      <c r="C3515">
        <v>0</v>
      </c>
      <c r="D3515" s="201">
        <v>992</v>
      </c>
      <c r="E3515" s="201">
        <v>0</v>
      </c>
      <c r="F3515">
        <v>0</v>
      </c>
      <c r="G3515">
        <v>5780</v>
      </c>
      <c r="H3515">
        <v>51</v>
      </c>
      <c r="I3515">
        <v>0</v>
      </c>
      <c r="J3515">
        <v>0</v>
      </c>
      <c r="K3515" s="201">
        <v>0</v>
      </c>
    </row>
    <row r="3516" spans="1:11" x14ac:dyDescent="0.25">
      <c r="A3516"/>
      <c r="B3516" s="201">
        <v>0</v>
      </c>
      <c r="C3516">
        <v>617</v>
      </c>
      <c r="D3516" s="201">
        <v>0</v>
      </c>
      <c r="E3516" s="201">
        <v>289</v>
      </c>
      <c r="F3516">
        <v>-1069</v>
      </c>
      <c r="G3516">
        <v>-2828</v>
      </c>
      <c r="H3516">
        <v>-863</v>
      </c>
      <c r="I3516">
        <v>-2527</v>
      </c>
      <c r="J3516">
        <v>4126</v>
      </c>
      <c r="K3516" s="201">
        <v>-1713</v>
      </c>
    </row>
    <row r="3517" spans="1:11" x14ac:dyDescent="0.25">
      <c r="A3517"/>
      <c r="B3517" s="201">
        <v>-34263</v>
      </c>
      <c r="C3517">
        <v>-2491</v>
      </c>
      <c r="D3517" s="201">
        <v>4733</v>
      </c>
      <c r="E3517" s="201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 s="201">
        <v>0</v>
      </c>
    </row>
    <row r="3518" spans="1:11" x14ac:dyDescent="0.25">
      <c r="A3518"/>
      <c r="B3518" s="201">
        <v>1848</v>
      </c>
      <c r="C3518">
        <v>-7338</v>
      </c>
      <c r="D3518" s="201">
        <v>6150</v>
      </c>
      <c r="E3518" s="201">
        <v>-3130</v>
      </c>
      <c r="F3518">
        <v>4244</v>
      </c>
      <c r="G3518">
        <v>0</v>
      </c>
      <c r="H3518">
        <v>0</v>
      </c>
      <c r="I3518">
        <v>0</v>
      </c>
      <c r="J3518">
        <v>0</v>
      </c>
      <c r="K3518" s="201">
        <v>0</v>
      </c>
    </row>
    <row r="3519" spans="1:11" x14ac:dyDescent="0.25">
      <c r="A3519"/>
      <c r="B3519" s="201">
        <v>0</v>
      </c>
      <c r="C3519">
        <v>0</v>
      </c>
      <c r="D3519" s="201">
        <v>0</v>
      </c>
      <c r="E3519" s="201">
        <v>0</v>
      </c>
      <c r="F3519">
        <v>0</v>
      </c>
      <c r="G3519">
        <v>0</v>
      </c>
      <c r="H3519">
        <v>0</v>
      </c>
      <c r="I3519">
        <v>0</v>
      </c>
      <c r="J3519">
        <v>0</v>
      </c>
      <c r="K3519" s="201">
        <v>0</v>
      </c>
    </row>
    <row r="3520" spans="1:11" x14ac:dyDescent="0.25">
      <c r="A3520"/>
      <c r="B3520" s="201">
        <v>0</v>
      </c>
      <c r="C3520">
        <v>0</v>
      </c>
      <c r="D3520" s="201">
        <v>0</v>
      </c>
      <c r="E3520" s="201">
        <v>0</v>
      </c>
      <c r="F3520">
        <v>0</v>
      </c>
      <c r="G3520">
        <v>0</v>
      </c>
      <c r="H3520">
        <v>0</v>
      </c>
      <c r="I3520">
        <v>0</v>
      </c>
      <c r="J3520">
        <v>0</v>
      </c>
      <c r="K3520" s="201">
        <v>0</v>
      </c>
    </row>
    <row r="3521" spans="1:11" x14ac:dyDescent="0.25">
      <c r="A3521"/>
      <c r="B3521" s="201">
        <v>0</v>
      </c>
      <c r="C3521">
        <v>0</v>
      </c>
      <c r="D3521" s="201">
        <v>0</v>
      </c>
      <c r="E3521" s="20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 s="201">
        <v>0</v>
      </c>
    </row>
    <row r="3522" spans="1:11" x14ac:dyDescent="0.25">
      <c r="A3522"/>
      <c r="B3522" s="201">
        <v>0</v>
      </c>
      <c r="C3522">
        <v>0</v>
      </c>
      <c r="D3522" s="201">
        <v>0</v>
      </c>
      <c r="E3522" s="201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 s="201">
        <v>0</v>
      </c>
    </row>
    <row r="3523" spans="1:11" x14ac:dyDescent="0.25">
      <c r="A3523"/>
      <c r="B3523" s="201">
        <v>0</v>
      </c>
      <c r="C3523">
        <v>0</v>
      </c>
      <c r="D3523" s="201">
        <v>0</v>
      </c>
      <c r="E3523" s="201">
        <v>0</v>
      </c>
      <c r="F3523">
        <v>0</v>
      </c>
      <c r="G3523">
        <v>0</v>
      </c>
      <c r="H3523">
        <v>0</v>
      </c>
      <c r="I3523">
        <v>0</v>
      </c>
      <c r="J3523">
        <v>0</v>
      </c>
      <c r="K3523" s="201">
        <v>0</v>
      </c>
    </row>
    <row r="3524" spans="1:11" x14ac:dyDescent="0.25">
      <c r="A3524"/>
      <c r="B3524" s="201">
        <v>0</v>
      </c>
      <c r="C3524">
        <v>0</v>
      </c>
      <c r="D3524" s="201">
        <v>0</v>
      </c>
      <c r="E3524" s="201">
        <v>0</v>
      </c>
      <c r="F3524">
        <v>0</v>
      </c>
      <c r="G3524">
        <v>0</v>
      </c>
      <c r="H3524">
        <v>0</v>
      </c>
      <c r="I3524">
        <v>0</v>
      </c>
      <c r="J3524">
        <v>0</v>
      </c>
      <c r="K3524" s="201">
        <v>0</v>
      </c>
    </row>
    <row r="3525" spans="1:11" x14ac:dyDescent="0.25">
      <c r="A3525"/>
      <c r="B3525" s="201">
        <v>0</v>
      </c>
      <c r="C3525">
        <v>0</v>
      </c>
      <c r="D3525" s="201">
        <v>0</v>
      </c>
      <c r="E3525" s="201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 s="201">
        <v>0</v>
      </c>
    </row>
    <row r="3526" spans="1:11" x14ac:dyDescent="0.25">
      <c r="A3526"/>
      <c r="B3526" s="201">
        <v>0</v>
      </c>
      <c r="C3526">
        <v>0</v>
      </c>
      <c r="D3526" s="201">
        <v>0</v>
      </c>
      <c r="E3526" s="201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 s="201">
        <v>0</v>
      </c>
    </row>
    <row r="3527" spans="1:11" x14ac:dyDescent="0.25">
      <c r="A3527"/>
      <c r="B3527" s="201">
        <v>0</v>
      </c>
      <c r="C3527">
        <v>0</v>
      </c>
      <c r="D3527" s="201">
        <v>0</v>
      </c>
      <c r="E3527" s="201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 s="201">
        <v>0</v>
      </c>
    </row>
    <row r="3528" spans="1:11" x14ac:dyDescent="0.25">
      <c r="A3528"/>
      <c r="B3528" s="201">
        <v>0</v>
      </c>
      <c r="C3528">
        <v>0</v>
      </c>
      <c r="D3528" s="201">
        <v>0</v>
      </c>
      <c r="E3528" s="201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 s="201">
        <v>0</v>
      </c>
    </row>
    <row r="3529" spans="1:11" x14ac:dyDescent="0.25">
      <c r="A3529"/>
      <c r="B3529" s="201">
        <v>0</v>
      </c>
      <c r="C3529">
        <v>0</v>
      </c>
      <c r="D3529" s="201">
        <v>0</v>
      </c>
      <c r="E3529" s="201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 s="201">
        <v>0</v>
      </c>
    </row>
    <row r="3530" spans="1:11" x14ac:dyDescent="0.25">
      <c r="A3530"/>
      <c r="B3530" s="201">
        <v>0</v>
      </c>
      <c r="C3530">
        <v>0</v>
      </c>
      <c r="D3530" s="201">
        <v>0</v>
      </c>
      <c r="E3530" s="201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 s="201">
        <v>0</v>
      </c>
    </row>
    <row r="3531" spans="1:11" x14ac:dyDescent="0.25">
      <c r="A3531"/>
      <c r="B3531" s="201">
        <v>0</v>
      </c>
      <c r="C3531">
        <v>0</v>
      </c>
      <c r="D3531" s="201">
        <v>0</v>
      </c>
      <c r="E3531" s="20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 s="201">
        <v>0</v>
      </c>
    </row>
    <row r="3532" spans="1:11" x14ac:dyDescent="0.25">
      <c r="A3532"/>
      <c r="B3532" s="201">
        <v>0</v>
      </c>
      <c r="C3532">
        <v>0</v>
      </c>
      <c r="D3532" s="201">
        <v>0</v>
      </c>
      <c r="E3532" s="201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 s="201">
        <v>0</v>
      </c>
    </row>
    <row r="3533" spans="1:11" x14ac:dyDescent="0.25">
      <c r="A3533"/>
      <c r="B3533" s="201">
        <v>0</v>
      </c>
      <c r="C3533">
        <v>0</v>
      </c>
      <c r="D3533" s="201">
        <v>0</v>
      </c>
      <c r="E3533" s="201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 s="201">
        <v>0</v>
      </c>
    </row>
    <row r="3534" spans="1:11" x14ac:dyDescent="0.25">
      <c r="A3534"/>
      <c r="B3534" s="201">
        <v>0</v>
      </c>
      <c r="C3534">
        <v>0</v>
      </c>
      <c r="D3534" s="201">
        <v>0</v>
      </c>
      <c r="E3534" s="201">
        <v>0</v>
      </c>
      <c r="F3534">
        <v>0</v>
      </c>
      <c r="G3534">
        <v>0</v>
      </c>
      <c r="H3534">
        <v>0</v>
      </c>
      <c r="I3534">
        <v>0</v>
      </c>
      <c r="J3534">
        <v>0</v>
      </c>
      <c r="K3534" s="201">
        <v>0</v>
      </c>
    </row>
    <row r="3535" spans="1:11" x14ac:dyDescent="0.25">
      <c r="A3535"/>
      <c r="B3535" s="201">
        <v>0</v>
      </c>
      <c r="C3535">
        <v>0</v>
      </c>
      <c r="D3535" s="201">
        <v>0</v>
      </c>
      <c r="E3535" s="201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 s="201">
        <v>0</v>
      </c>
    </row>
    <row r="3536" spans="1:11" x14ac:dyDescent="0.25">
      <c r="A3536"/>
      <c r="B3536" s="201">
        <v>0</v>
      </c>
      <c r="C3536">
        <v>0</v>
      </c>
      <c r="D3536" s="201">
        <v>0</v>
      </c>
      <c r="E3536" s="201">
        <v>0</v>
      </c>
      <c r="F3536">
        <v>0</v>
      </c>
      <c r="G3536">
        <v>0</v>
      </c>
      <c r="H3536">
        <v>0</v>
      </c>
      <c r="I3536">
        <v>0</v>
      </c>
      <c r="J3536">
        <v>0</v>
      </c>
      <c r="K3536" s="201">
        <v>0</v>
      </c>
    </row>
    <row r="3537" spans="1:11" x14ac:dyDescent="0.25">
      <c r="A3537"/>
      <c r="B3537" s="201">
        <v>0</v>
      </c>
      <c r="C3537">
        <v>0</v>
      </c>
      <c r="D3537" s="201">
        <v>0</v>
      </c>
      <c r="E3537" s="201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 s="201">
        <v>0</v>
      </c>
    </row>
    <row r="3538" spans="1:11" x14ac:dyDescent="0.25">
      <c r="A3538"/>
      <c r="B3538" s="201">
        <v>0</v>
      </c>
      <c r="C3538">
        <v>0</v>
      </c>
      <c r="D3538" s="201">
        <v>0</v>
      </c>
      <c r="E3538" s="201">
        <v>0</v>
      </c>
      <c r="F3538">
        <v>0</v>
      </c>
      <c r="G3538">
        <v>0</v>
      </c>
      <c r="H3538">
        <v>0</v>
      </c>
      <c r="I3538">
        <v>0</v>
      </c>
      <c r="J3538">
        <v>0</v>
      </c>
      <c r="K3538" s="201">
        <v>0</v>
      </c>
    </row>
    <row r="3539" spans="1:11" x14ac:dyDescent="0.25">
      <c r="A3539"/>
      <c r="B3539" s="201">
        <v>0</v>
      </c>
      <c r="C3539">
        <v>0</v>
      </c>
      <c r="D3539" s="201">
        <v>0</v>
      </c>
      <c r="E3539" s="201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 s="201">
        <v>0</v>
      </c>
    </row>
    <row r="3540" spans="1:11" x14ac:dyDescent="0.25">
      <c r="A3540"/>
      <c r="B3540" s="201">
        <v>0</v>
      </c>
      <c r="C3540">
        <v>0</v>
      </c>
      <c r="D3540" s="201">
        <v>0</v>
      </c>
      <c r="E3540" s="201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 s="201">
        <v>0</v>
      </c>
    </row>
    <row r="3541" spans="1:11" x14ac:dyDescent="0.25">
      <c r="A3541"/>
      <c r="B3541" s="201">
        <v>0</v>
      </c>
      <c r="C3541">
        <v>0</v>
      </c>
      <c r="D3541" s="201">
        <v>0</v>
      </c>
      <c r="E3541" s="201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 s="201">
        <v>0</v>
      </c>
    </row>
    <row r="3542" spans="1:11" x14ac:dyDescent="0.25">
      <c r="A3542"/>
      <c r="B3542" s="201">
        <v>0</v>
      </c>
      <c r="C3542">
        <v>0</v>
      </c>
      <c r="D3542" s="201">
        <v>0</v>
      </c>
      <c r="E3542" s="201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 s="201">
        <v>0</v>
      </c>
    </row>
    <row r="3543" spans="1:11" x14ac:dyDescent="0.25">
      <c r="A3543"/>
      <c r="B3543" s="201">
        <v>0</v>
      </c>
      <c r="C3543">
        <v>0</v>
      </c>
      <c r="D3543" s="201">
        <v>0</v>
      </c>
      <c r="E3543" s="201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 s="201">
        <v>0</v>
      </c>
    </row>
    <row r="3544" spans="1:11" x14ac:dyDescent="0.25">
      <c r="A3544"/>
      <c r="B3544" s="201">
        <v>0</v>
      </c>
      <c r="C3544">
        <v>0</v>
      </c>
      <c r="D3544" s="201">
        <v>0</v>
      </c>
      <c r="E3544" s="201">
        <v>0</v>
      </c>
      <c r="F3544">
        <v>0</v>
      </c>
      <c r="G3544">
        <v>0</v>
      </c>
      <c r="H3544">
        <v>0</v>
      </c>
      <c r="I3544">
        <v>0</v>
      </c>
      <c r="J3544">
        <v>0</v>
      </c>
      <c r="K3544" s="201">
        <v>0</v>
      </c>
    </row>
    <row r="3545" spans="1:11" x14ac:dyDescent="0.25">
      <c r="A3545"/>
      <c r="B3545" s="201">
        <v>0</v>
      </c>
      <c r="C3545">
        <v>0</v>
      </c>
      <c r="D3545" s="201">
        <v>0</v>
      </c>
      <c r="E3545" s="201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 s="201">
        <v>0</v>
      </c>
    </row>
    <row r="3546" spans="1:11" x14ac:dyDescent="0.25">
      <c r="A3546"/>
      <c r="B3546" s="201">
        <v>0</v>
      </c>
      <c r="C3546">
        <v>0</v>
      </c>
      <c r="D3546" s="201">
        <v>0</v>
      </c>
      <c r="E3546" s="201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 s="201">
        <v>0</v>
      </c>
    </row>
    <row r="3547" spans="1:11" x14ac:dyDescent="0.25">
      <c r="A3547"/>
      <c r="B3547" s="201">
        <v>0</v>
      </c>
      <c r="C3547">
        <v>0</v>
      </c>
      <c r="D3547" s="201">
        <v>0</v>
      </c>
      <c r="E3547" s="201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 s="201">
        <v>0</v>
      </c>
    </row>
    <row r="3548" spans="1:11" x14ac:dyDescent="0.25">
      <c r="A3548"/>
      <c r="B3548" s="201">
        <v>0</v>
      </c>
      <c r="C3548">
        <v>0</v>
      </c>
      <c r="D3548" s="201">
        <v>0</v>
      </c>
      <c r="E3548" s="201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 s="201">
        <v>0</v>
      </c>
    </row>
    <row r="3549" spans="1:11" x14ac:dyDescent="0.25">
      <c r="A3549"/>
      <c r="B3549" s="201">
        <v>0</v>
      </c>
      <c r="C3549">
        <v>0</v>
      </c>
      <c r="D3549" s="201">
        <v>0</v>
      </c>
      <c r="E3549" s="201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 s="201">
        <v>0</v>
      </c>
    </row>
    <row r="3550" spans="1:11" x14ac:dyDescent="0.25">
      <c r="A3550"/>
      <c r="B3550" s="201">
        <v>0</v>
      </c>
      <c r="C3550">
        <v>0</v>
      </c>
      <c r="D3550" s="201">
        <v>0</v>
      </c>
      <c r="E3550" s="201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 s="201">
        <v>0</v>
      </c>
    </row>
    <row r="3551" spans="1:11" x14ac:dyDescent="0.25">
      <c r="A3551"/>
      <c r="B3551" s="201">
        <v>0</v>
      </c>
      <c r="C3551">
        <v>0</v>
      </c>
      <c r="D3551" s="201">
        <v>0</v>
      </c>
      <c r="E3551" s="20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 s="201">
        <v>0</v>
      </c>
    </row>
    <row r="3552" spans="1:11" x14ac:dyDescent="0.25">
      <c r="A3552"/>
      <c r="B3552" s="201">
        <v>0</v>
      </c>
      <c r="C3552">
        <v>0</v>
      </c>
      <c r="D3552" s="201">
        <v>0</v>
      </c>
      <c r="E3552" s="201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 s="201">
        <v>0</v>
      </c>
    </row>
    <row r="3553" spans="1:11" x14ac:dyDescent="0.25">
      <c r="A3553"/>
      <c r="B3553" s="201">
        <v>0</v>
      </c>
      <c r="C3553">
        <v>0</v>
      </c>
      <c r="D3553" s="201">
        <v>0</v>
      </c>
      <c r="E3553" s="201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 s="201">
        <v>0</v>
      </c>
    </row>
    <row r="3554" spans="1:11" x14ac:dyDescent="0.25">
      <c r="A3554"/>
      <c r="B3554" s="201">
        <v>0</v>
      </c>
      <c r="C3554">
        <v>0</v>
      </c>
      <c r="D3554" s="201">
        <v>0</v>
      </c>
      <c r="E3554" s="201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 s="201">
        <v>0</v>
      </c>
    </row>
    <row r="3555" spans="1:11" x14ac:dyDescent="0.25">
      <c r="A3555"/>
      <c r="B3555" s="201">
        <v>0</v>
      </c>
      <c r="C3555">
        <v>0</v>
      </c>
      <c r="D3555" s="201">
        <v>0</v>
      </c>
      <c r="E3555" s="201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 s="201">
        <v>0</v>
      </c>
    </row>
    <row r="3556" spans="1:11" x14ac:dyDescent="0.25">
      <c r="A3556"/>
      <c r="B3556" s="201">
        <v>0</v>
      </c>
      <c r="C3556">
        <v>0</v>
      </c>
      <c r="D3556" s="201">
        <v>0</v>
      </c>
      <c r="E3556" s="201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 s="201">
        <v>0</v>
      </c>
    </row>
    <row r="3557" spans="1:11" x14ac:dyDescent="0.25">
      <c r="A3557"/>
      <c r="B3557" s="201">
        <v>0</v>
      </c>
      <c r="C3557">
        <v>0</v>
      </c>
      <c r="D3557" s="201">
        <v>0</v>
      </c>
      <c r="E3557" s="201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 s="201">
        <v>0</v>
      </c>
    </row>
    <row r="3558" spans="1:11" x14ac:dyDescent="0.25">
      <c r="A3558"/>
      <c r="B3558" s="201">
        <v>0</v>
      </c>
      <c r="C3558">
        <v>0</v>
      </c>
      <c r="D3558" s="201">
        <v>0</v>
      </c>
      <c r="E3558" s="201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 s="201">
        <v>0</v>
      </c>
    </row>
    <row r="3559" spans="1:11" x14ac:dyDescent="0.25">
      <c r="A3559"/>
      <c r="B3559" s="201">
        <v>0</v>
      </c>
      <c r="C3559">
        <v>0</v>
      </c>
      <c r="D3559" s="201">
        <v>0</v>
      </c>
      <c r="E3559" s="201">
        <v>0</v>
      </c>
      <c r="F3559">
        <v>0</v>
      </c>
      <c r="G3559">
        <v>0</v>
      </c>
      <c r="H3559">
        <v>0</v>
      </c>
      <c r="I3559">
        <v>0</v>
      </c>
      <c r="J3559">
        <v>0</v>
      </c>
      <c r="K3559" s="201">
        <v>0</v>
      </c>
    </row>
    <row r="3560" spans="1:11" x14ac:dyDescent="0.25">
      <c r="A3560"/>
      <c r="B3560" s="201">
        <v>0</v>
      </c>
      <c r="C3560">
        <v>0</v>
      </c>
      <c r="D3560" s="201">
        <v>0</v>
      </c>
      <c r="E3560" s="201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 s="201">
        <v>0</v>
      </c>
    </row>
    <row r="3561" spans="1:11" x14ac:dyDescent="0.25">
      <c r="A3561"/>
      <c r="B3561" s="201">
        <v>0</v>
      </c>
      <c r="C3561">
        <v>0</v>
      </c>
      <c r="D3561" s="201">
        <v>0</v>
      </c>
      <c r="E3561" s="20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 s="201">
        <v>0</v>
      </c>
    </row>
    <row r="3562" spans="1:11" x14ac:dyDescent="0.25">
      <c r="A3562"/>
      <c r="B3562" s="201">
        <v>0</v>
      </c>
      <c r="C3562">
        <v>0</v>
      </c>
      <c r="D3562" s="201">
        <v>0</v>
      </c>
      <c r="E3562" s="201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 s="201">
        <v>0</v>
      </c>
    </row>
    <row r="3563" spans="1:11" x14ac:dyDescent="0.25">
      <c r="A3563"/>
      <c r="B3563" s="201">
        <v>0</v>
      </c>
      <c r="C3563">
        <v>0</v>
      </c>
      <c r="D3563" s="201">
        <v>0</v>
      </c>
      <c r="E3563" s="201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 s="201">
        <v>0</v>
      </c>
    </row>
    <row r="3564" spans="1:11" x14ac:dyDescent="0.25">
      <c r="A3564"/>
      <c r="B3564" s="201">
        <v>0</v>
      </c>
      <c r="C3564">
        <v>0</v>
      </c>
      <c r="D3564" s="201">
        <v>0</v>
      </c>
      <c r="E3564" s="201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 s="201">
        <v>0</v>
      </c>
    </row>
    <row r="3565" spans="1:11" x14ac:dyDescent="0.25">
      <c r="A3565"/>
      <c r="B3565" s="201">
        <v>0</v>
      </c>
      <c r="C3565">
        <v>0</v>
      </c>
      <c r="D3565" s="201">
        <v>0</v>
      </c>
      <c r="E3565" s="201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 s="201">
        <v>0</v>
      </c>
    </row>
    <row r="3566" spans="1:11" x14ac:dyDescent="0.25">
      <c r="A3566"/>
      <c r="B3566" s="201">
        <v>0</v>
      </c>
      <c r="C3566">
        <v>0</v>
      </c>
      <c r="D3566" s="201">
        <v>0</v>
      </c>
      <c r="E3566" s="201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 s="201">
        <v>0</v>
      </c>
    </row>
    <row r="3567" spans="1:11" x14ac:dyDescent="0.25">
      <c r="A3567"/>
      <c r="B3567" s="201">
        <v>0</v>
      </c>
      <c r="C3567">
        <v>0</v>
      </c>
      <c r="D3567" s="201">
        <v>0</v>
      </c>
      <c r="E3567" s="201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 s="201">
        <v>0</v>
      </c>
    </row>
    <row r="3568" spans="1:11" x14ac:dyDescent="0.25">
      <c r="A3568"/>
      <c r="B3568" s="201">
        <v>0</v>
      </c>
      <c r="C3568">
        <v>0</v>
      </c>
      <c r="D3568" s="201">
        <v>0</v>
      </c>
      <c r="E3568" s="201">
        <v>0</v>
      </c>
      <c r="F3568">
        <v>0</v>
      </c>
      <c r="G3568">
        <v>0</v>
      </c>
      <c r="H3568">
        <v>-1022</v>
      </c>
      <c r="I3568">
        <v>514</v>
      </c>
      <c r="J3568">
        <v>-979</v>
      </c>
      <c r="K3568" s="201">
        <v>-2189</v>
      </c>
    </row>
    <row r="3569" spans="1:11" x14ac:dyDescent="0.25">
      <c r="A3569"/>
      <c r="B3569" s="201">
        <v>-1992</v>
      </c>
      <c r="C3569">
        <v>0</v>
      </c>
      <c r="D3569" s="201">
        <v>0</v>
      </c>
      <c r="E3569" s="201">
        <v>-537</v>
      </c>
      <c r="F3569">
        <v>0</v>
      </c>
      <c r="G3569">
        <v>0</v>
      </c>
      <c r="H3569">
        <v>0</v>
      </c>
      <c r="I3569">
        <v>1327</v>
      </c>
      <c r="J3569">
        <v>345</v>
      </c>
      <c r="K3569" s="201">
        <v>0</v>
      </c>
    </row>
    <row r="3570" spans="1:11" x14ac:dyDescent="0.25">
      <c r="A3570"/>
      <c r="B3570" s="201">
        <v>0</v>
      </c>
      <c r="C3570">
        <v>0</v>
      </c>
      <c r="D3570" s="201">
        <v>0</v>
      </c>
      <c r="E3570" s="201">
        <v>0</v>
      </c>
      <c r="F3570">
        <v>0</v>
      </c>
      <c r="G3570">
        <v>-25792</v>
      </c>
      <c r="H3570">
        <v>0</v>
      </c>
      <c r="I3570">
        <v>0</v>
      </c>
      <c r="J3570">
        <v>-27</v>
      </c>
      <c r="K3570" s="201">
        <v>0</v>
      </c>
    </row>
    <row r="3571" spans="1:11" x14ac:dyDescent="0.25">
      <c r="A3571"/>
      <c r="B3571" s="201">
        <v>-26</v>
      </c>
      <c r="C3571">
        <v>0</v>
      </c>
      <c r="D3571" s="201">
        <v>-381</v>
      </c>
      <c r="E3571" s="201">
        <v>2465</v>
      </c>
      <c r="F3571">
        <v>781</v>
      </c>
      <c r="G3571">
        <v>0</v>
      </c>
      <c r="H3571">
        <v>-86</v>
      </c>
      <c r="I3571">
        <v>-91</v>
      </c>
      <c r="J3571">
        <v>-698</v>
      </c>
      <c r="K3571" s="201">
        <v>-106</v>
      </c>
    </row>
    <row r="3572" spans="1:11" x14ac:dyDescent="0.25">
      <c r="A3572"/>
      <c r="B3572" s="201">
        <v>-420</v>
      </c>
      <c r="C3572">
        <v>900</v>
      </c>
      <c r="D3572" s="201">
        <v>0</v>
      </c>
      <c r="E3572" s="201">
        <v>-541</v>
      </c>
      <c r="F3572">
        <v>0</v>
      </c>
      <c r="G3572">
        <v>0</v>
      </c>
      <c r="H3572">
        <v>0</v>
      </c>
      <c r="I3572">
        <v>0</v>
      </c>
      <c r="J3572">
        <v>0</v>
      </c>
      <c r="K3572" s="201">
        <v>64</v>
      </c>
    </row>
    <row r="3573" spans="1:11" x14ac:dyDescent="0.25">
      <c r="A3573"/>
      <c r="B3573" s="201">
        <v>0</v>
      </c>
      <c r="C3573">
        <v>0</v>
      </c>
      <c r="D3573" s="201">
        <v>0</v>
      </c>
      <c r="E3573" s="201">
        <v>958</v>
      </c>
      <c r="F3573">
        <v>0</v>
      </c>
      <c r="G3573">
        <v>-331</v>
      </c>
      <c r="H3573">
        <v>0</v>
      </c>
      <c r="I3573">
        <v>0</v>
      </c>
      <c r="J3573">
        <v>0</v>
      </c>
      <c r="K3573" s="201">
        <v>0</v>
      </c>
    </row>
    <row r="3574" spans="1:11" x14ac:dyDescent="0.25">
      <c r="A3574"/>
      <c r="B3574" s="201">
        <v>0</v>
      </c>
      <c r="C3574">
        <v>651</v>
      </c>
      <c r="D3574" s="201">
        <v>0</v>
      </c>
      <c r="E3574" s="201">
        <v>-21</v>
      </c>
      <c r="F3574">
        <v>428</v>
      </c>
      <c r="G3574">
        <v>0</v>
      </c>
      <c r="H3574">
        <v>0</v>
      </c>
      <c r="I3574">
        <v>-2564</v>
      </c>
      <c r="J3574">
        <v>791</v>
      </c>
      <c r="K3574" s="201">
        <v>0</v>
      </c>
    </row>
    <row r="3575" spans="1:11" x14ac:dyDescent="0.25">
      <c r="A3575"/>
      <c r="B3575" s="201">
        <v>-989</v>
      </c>
      <c r="C3575">
        <v>0</v>
      </c>
      <c r="D3575" s="201">
        <v>0</v>
      </c>
      <c r="E3575" s="201">
        <v>0</v>
      </c>
      <c r="F3575">
        <v>0</v>
      </c>
      <c r="G3575">
        <v>1679</v>
      </c>
      <c r="H3575">
        <v>-579</v>
      </c>
      <c r="I3575">
        <v>-436</v>
      </c>
      <c r="J3575">
        <v>0</v>
      </c>
      <c r="K3575" s="201">
        <v>0</v>
      </c>
    </row>
    <row r="3576" spans="1:11" x14ac:dyDescent="0.25">
      <c r="A3576"/>
      <c r="B3576" s="201">
        <v>439</v>
      </c>
      <c r="C3576">
        <v>-67</v>
      </c>
      <c r="D3576" s="201">
        <v>0</v>
      </c>
      <c r="E3576" s="201">
        <v>-606</v>
      </c>
      <c r="F3576">
        <v>310</v>
      </c>
      <c r="G3576">
        <v>121</v>
      </c>
      <c r="H3576">
        <v>743</v>
      </c>
      <c r="I3576">
        <v>193</v>
      </c>
      <c r="J3576">
        <v>491</v>
      </c>
      <c r="K3576" s="201">
        <v>-745</v>
      </c>
    </row>
    <row r="3577" spans="1:11" x14ac:dyDescent="0.25">
      <c r="A3577"/>
      <c r="B3577" s="201">
        <v>0</v>
      </c>
      <c r="C3577">
        <v>0</v>
      </c>
      <c r="D3577" s="201">
        <v>0</v>
      </c>
      <c r="E3577" s="201">
        <v>0</v>
      </c>
      <c r="F3577">
        <v>0</v>
      </c>
      <c r="G3577">
        <v>1752</v>
      </c>
      <c r="H3577">
        <v>0</v>
      </c>
      <c r="I3577">
        <v>-1050</v>
      </c>
      <c r="J3577">
        <v>-290</v>
      </c>
      <c r="K3577" s="201">
        <v>651</v>
      </c>
    </row>
    <row r="3578" spans="1:11" x14ac:dyDescent="0.25">
      <c r="A3578"/>
      <c r="B3578" s="201">
        <v>0</v>
      </c>
      <c r="C3578">
        <v>-2234</v>
      </c>
      <c r="D3578" s="201">
        <v>900</v>
      </c>
      <c r="E3578" s="201">
        <v>1372</v>
      </c>
      <c r="F3578">
        <v>-4392</v>
      </c>
      <c r="G3578">
        <v>-3660</v>
      </c>
      <c r="H3578">
        <v>0</v>
      </c>
      <c r="I3578">
        <v>-43</v>
      </c>
      <c r="J3578">
        <v>-112</v>
      </c>
      <c r="K3578" s="201">
        <v>1537</v>
      </c>
    </row>
    <row r="3579" spans="1:11" x14ac:dyDescent="0.25">
      <c r="A3579"/>
      <c r="B3579" s="201">
        <v>24</v>
      </c>
      <c r="C3579">
        <v>0</v>
      </c>
      <c r="D3579" s="201">
        <v>248</v>
      </c>
      <c r="E3579" s="201">
        <v>-375</v>
      </c>
      <c r="F3579">
        <v>0</v>
      </c>
      <c r="G3579">
        <v>0</v>
      </c>
      <c r="H3579">
        <v>0</v>
      </c>
      <c r="I3579">
        <v>-106</v>
      </c>
      <c r="J3579">
        <v>695</v>
      </c>
      <c r="K3579" s="201">
        <v>0</v>
      </c>
    </row>
    <row r="3580" spans="1:11" x14ac:dyDescent="0.25">
      <c r="A3580"/>
      <c r="B3580" s="201">
        <v>485</v>
      </c>
      <c r="C3580">
        <v>127</v>
      </c>
      <c r="D3580" s="201">
        <v>422</v>
      </c>
      <c r="E3580" s="201">
        <v>133</v>
      </c>
      <c r="F3580">
        <v>0</v>
      </c>
      <c r="G3580">
        <v>0</v>
      </c>
      <c r="H3580">
        <v>0</v>
      </c>
      <c r="I3580">
        <v>0</v>
      </c>
      <c r="J3580">
        <v>0</v>
      </c>
      <c r="K3580" s="201">
        <v>1443</v>
      </c>
    </row>
    <row r="3581" spans="1:11" x14ac:dyDescent="0.25">
      <c r="A3581"/>
      <c r="B3581" s="201">
        <v>0</v>
      </c>
      <c r="C3581">
        <v>-239</v>
      </c>
      <c r="D3581" s="201">
        <v>-246</v>
      </c>
      <c r="E3581" s="201">
        <v>234</v>
      </c>
      <c r="F3581">
        <v>0</v>
      </c>
      <c r="G3581">
        <v>-435</v>
      </c>
      <c r="H3581">
        <v>523</v>
      </c>
      <c r="I3581">
        <v>1287</v>
      </c>
      <c r="J3581">
        <v>-4787</v>
      </c>
      <c r="K3581" s="201">
        <v>-4144</v>
      </c>
    </row>
    <row r="3582" spans="1:11" x14ac:dyDescent="0.25">
      <c r="A3582"/>
      <c r="B3582" s="201">
        <v>-438</v>
      </c>
      <c r="C3582">
        <v>-595</v>
      </c>
      <c r="D3582" s="201">
        <v>-809</v>
      </c>
      <c r="E3582" s="201">
        <v>0</v>
      </c>
      <c r="F3582">
        <v>-133</v>
      </c>
      <c r="G3582">
        <v>0</v>
      </c>
      <c r="H3582">
        <v>0</v>
      </c>
      <c r="I3582">
        <v>-182</v>
      </c>
      <c r="J3582">
        <v>116</v>
      </c>
      <c r="K3582" s="201">
        <v>0</v>
      </c>
    </row>
    <row r="3583" spans="1:11" x14ac:dyDescent="0.25">
      <c r="A3583"/>
      <c r="B3583" s="201">
        <v>-52</v>
      </c>
      <c r="C3583">
        <v>0</v>
      </c>
      <c r="D3583" s="201">
        <v>0</v>
      </c>
      <c r="E3583" s="201">
        <v>-100</v>
      </c>
      <c r="F3583">
        <v>0</v>
      </c>
      <c r="G3583">
        <v>-204</v>
      </c>
      <c r="H3583">
        <v>179</v>
      </c>
      <c r="I3583">
        <v>-274</v>
      </c>
      <c r="J3583">
        <v>0</v>
      </c>
      <c r="K3583" s="201">
        <v>0</v>
      </c>
    </row>
    <row r="3584" spans="1:11" x14ac:dyDescent="0.25">
      <c r="A3584"/>
      <c r="B3584" s="201">
        <v>0</v>
      </c>
      <c r="C3584">
        <v>0</v>
      </c>
      <c r="D3584" s="201">
        <v>0</v>
      </c>
      <c r="E3584" s="201">
        <v>-202</v>
      </c>
      <c r="F3584">
        <v>0</v>
      </c>
      <c r="G3584">
        <v>300</v>
      </c>
      <c r="H3584">
        <v>-244</v>
      </c>
      <c r="I3584">
        <v>378</v>
      </c>
      <c r="J3584">
        <v>0</v>
      </c>
      <c r="K3584" s="201">
        <v>-3083</v>
      </c>
    </row>
    <row r="3585" spans="1:11" x14ac:dyDescent="0.25">
      <c r="A3585"/>
      <c r="B3585" s="201">
        <v>321</v>
      </c>
      <c r="C3585">
        <v>1148</v>
      </c>
      <c r="D3585" s="201">
        <v>0</v>
      </c>
      <c r="E3585" s="201">
        <v>0</v>
      </c>
      <c r="F3585">
        <v>0</v>
      </c>
      <c r="G3585">
        <v>332</v>
      </c>
      <c r="H3585">
        <v>536</v>
      </c>
      <c r="I3585">
        <v>1633</v>
      </c>
      <c r="J3585">
        <v>-183</v>
      </c>
      <c r="K3585" s="201">
        <v>-262</v>
      </c>
    </row>
    <row r="3586" spans="1:11" x14ac:dyDescent="0.25">
      <c r="A3586"/>
      <c r="B3586" s="201">
        <v>0</v>
      </c>
      <c r="C3586">
        <v>-41</v>
      </c>
      <c r="D3586" s="201">
        <v>0</v>
      </c>
      <c r="E3586" s="201">
        <v>0</v>
      </c>
      <c r="F3586">
        <v>121</v>
      </c>
      <c r="G3586">
        <v>0</v>
      </c>
      <c r="H3586">
        <v>235</v>
      </c>
      <c r="I3586">
        <v>0</v>
      </c>
      <c r="J3586">
        <v>577</v>
      </c>
      <c r="K3586" s="201">
        <v>0</v>
      </c>
    </row>
    <row r="3587" spans="1:11" x14ac:dyDescent="0.25">
      <c r="A3587"/>
      <c r="B3587" s="201">
        <v>0</v>
      </c>
      <c r="C3587">
        <v>0</v>
      </c>
      <c r="D3587" s="201">
        <v>0</v>
      </c>
      <c r="E3587" s="201">
        <v>0</v>
      </c>
      <c r="F3587">
        <v>0</v>
      </c>
      <c r="G3587">
        <v>0</v>
      </c>
      <c r="H3587">
        <v>0</v>
      </c>
      <c r="I3587">
        <v>1245</v>
      </c>
      <c r="J3587">
        <v>0</v>
      </c>
      <c r="K3587" s="201">
        <v>-47</v>
      </c>
    </row>
    <row r="3588" spans="1:11" x14ac:dyDescent="0.25">
      <c r="B3588" s="201">
        <v>-158</v>
      </c>
      <c r="C3588">
        <v>343</v>
      </c>
      <c r="D3588" s="201">
        <v>0</v>
      </c>
      <c r="E3588" s="201">
        <v>-2847</v>
      </c>
      <c r="F3588">
        <v>-651</v>
      </c>
      <c r="G3588">
        <v>0</v>
      </c>
      <c r="H3588">
        <v>0</v>
      </c>
      <c r="I3588">
        <v>0</v>
      </c>
      <c r="J3588">
        <v>0</v>
      </c>
      <c r="K3588" s="201">
        <v>0</v>
      </c>
    </row>
    <row r="3589" spans="1:11" x14ac:dyDescent="0.25">
      <c r="A3589"/>
      <c r="B3589" s="201">
        <v>759</v>
      </c>
      <c r="C3589">
        <v>3139</v>
      </c>
      <c r="D3589" s="201">
        <v>-537</v>
      </c>
      <c r="E3589" s="201">
        <v>-366</v>
      </c>
      <c r="F3589">
        <v>123</v>
      </c>
      <c r="G3589">
        <v>-583</v>
      </c>
      <c r="H3589">
        <v>0</v>
      </c>
      <c r="I3589">
        <v>0</v>
      </c>
      <c r="J3589">
        <v>0</v>
      </c>
      <c r="K3589" s="201">
        <v>0</v>
      </c>
    </row>
    <row r="3590" spans="1:11" x14ac:dyDescent="0.25">
      <c r="A3590"/>
      <c r="B3590" s="201">
        <v>610</v>
      </c>
      <c r="C3590">
        <v>0</v>
      </c>
      <c r="D3590" s="201">
        <v>1263</v>
      </c>
      <c r="E3590" s="201">
        <v>0</v>
      </c>
      <c r="F3590">
        <v>0</v>
      </c>
      <c r="G3590">
        <v>753</v>
      </c>
      <c r="H3590">
        <v>-14118</v>
      </c>
      <c r="I3590">
        <v>0</v>
      </c>
      <c r="J3590">
        <v>0</v>
      </c>
      <c r="K3590" s="201">
        <v>0</v>
      </c>
    </row>
    <row r="3591" spans="1:11" x14ac:dyDescent="0.25">
      <c r="A3591"/>
      <c r="B3591" s="201">
        <v>0</v>
      </c>
      <c r="C3591">
        <v>921</v>
      </c>
      <c r="D3591" s="201">
        <v>0</v>
      </c>
      <c r="E3591" s="201">
        <v>544</v>
      </c>
      <c r="F3591">
        <v>-83</v>
      </c>
      <c r="G3591">
        <v>24</v>
      </c>
      <c r="H3591">
        <v>2231</v>
      </c>
      <c r="I3591">
        <v>-9640</v>
      </c>
      <c r="J3591">
        <v>25743</v>
      </c>
      <c r="K3591" s="201">
        <v>24191</v>
      </c>
    </row>
    <row r="3592" spans="1:11" x14ac:dyDescent="0.25">
      <c r="A3592"/>
      <c r="B3592" s="201">
        <v>5770</v>
      </c>
      <c r="C3592">
        <v>7281</v>
      </c>
      <c r="D3592" s="201">
        <v>10053</v>
      </c>
      <c r="E3592" s="201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 s="201">
        <v>0</v>
      </c>
    </row>
    <row r="3593" spans="1:11" x14ac:dyDescent="0.25">
      <c r="A3593"/>
      <c r="B3593" s="201">
        <v>252</v>
      </c>
      <c r="C3593">
        <v>360</v>
      </c>
      <c r="D3593" s="201">
        <v>62</v>
      </c>
      <c r="E3593" s="201">
        <v>331</v>
      </c>
      <c r="F3593">
        <v>-3406</v>
      </c>
      <c r="G3593">
        <v>1841</v>
      </c>
      <c r="H3593">
        <v>0</v>
      </c>
      <c r="I3593">
        <v>0</v>
      </c>
      <c r="J3593">
        <v>0</v>
      </c>
      <c r="K3593" s="201">
        <v>0</v>
      </c>
    </row>
    <row r="3594" spans="1:11" x14ac:dyDescent="0.25">
      <c r="A3594"/>
      <c r="B3594" s="201">
        <v>0</v>
      </c>
      <c r="C3594">
        <v>0</v>
      </c>
      <c r="D3594" s="201">
        <v>0</v>
      </c>
      <c r="E3594" s="201">
        <v>0</v>
      </c>
      <c r="F3594">
        <v>0</v>
      </c>
      <c r="G3594">
        <v>0</v>
      </c>
      <c r="H3594">
        <v>0</v>
      </c>
      <c r="I3594">
        <v>0</v>
      </c>
      <c r="J3594">
        <v>0</v>
      </c>
      <c r="K3594" s="201">
        <v>0</v>
      </c>
    </row>
    <row r="3595" spans="1:11" x14ac:dyDescent="0.25">
      <c r="A3595"/>
      <c r="B3595" s="201">
        <v>0</v>
      </c>
      <c r="C3595">
        <v>0</v>
      </c>
      <c r="D3595" s="201">
        <v>0</v>
      </c>
      <c r="E3595" s="201">
        <v>0</v>
      </c>
      <c r="F3595">
        <v>0</v>
      </c>
      <c r="G3595">
        <v>0</v>
      </c>
      <c r="H3595">
        <v>0</v>
      </c>
      <c r="I3595">
        <v>0</v>
      </c>
      <c r="J3595">
        <v>0</v>
      </c>
      <c r="K3595" s="201">
        <v>0</v>
      </c>
    </row>
    <row r="3596" spans="1:11" x14ac:dyDescent="0.25">
      <c r="A3596"/>
      <c r="B3596" s="201">
        <v>0</v>
      </c>
      <c r="C3596">
        <v>0</v>
      </c>
      <c r="D3596" s="201">
        <v>0</v>
      </c>
      <c r="E3596" s="201">
        <v>0</v>
      </c>
      <c r="F3596">
        <v>0</v>
      </c>
      <c r="G3596">
        <v>0</v>
      </c>
      <c r="H3596">
        <v>0</v>
      </c>
      <c r="I3596">
        <v>0</v>
      </c>
      <c r="J3596">
        <v>0</v>
      </c>
      <c r="K3596" s="201">
        <v>0</v>
      </c>
    </row>
    <row r="3597" spans="1:11" x14ac:dyDescent="0.25">
      <c r="A3597"/>
      <c r="B3597" s="201">
        <v>0</v>
      </c>
      <c r="C3597">
        <v>0</v>
      </c>
      <c r="D3597" s="201">
        <v>0</v>
      </c>
      <c r="E3597" s="201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 s="201">
        <v>0</v>
      </c>
    </row>
    <row r="3598" spans="1:11" x14ac:dyDescent="0.25">
      <c r="A3598"/>
      <c r="B3598" s="201">
        <v>0</v>
      </c>
      <c r="C3598">
        <v>0</v>
      </c>
      <c r="D3598" s="201">
        <v>0</v>
      </c>
      <c r="E3598" s="201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 s="201">
        <v>0</v>
      </c>
    </row>
    <row r="3599" spans="1:11" x14ac:dyDescent="0.25">
      <c r="A3599"/>
      <c r="B3599" s="201">
        <v>0</v>
      </c>
      <c r="C3599">
        <v>0</v>
      </c>
      <c r="D3599" s="201">
        <v>0</v>
      </c>
      <c r="E3599" s="201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 s="201">
        <v>0</v>
      </c>
    </row>
    <row r="3600" spans="1:11" x14ac:dyDescent="0.25">
      <c r="A3600"/>
      <c r="B3600" s="201">
        <v>0</v>
      </c>
      <c r="C3600">
        <v>0</v>
      </c>
      <c r="D3600" s="201">
        <v>0</v>
      </c>
      <c r="E3600" s="201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 s="201">
        <v>0</v>
      </c>
    </row>
    <row r="3601" spans="1:11" x14ac:dyDescent="0.25">
      <c r="A3601"/>
      <c r="B3601" s="201">
        <v>0</v>
      </c>
      <c r="C3601">
        <v>0</v>
      </c>
      <c r="D3601" s="201">
        <v>0</v>
      </c>
      <c r="E3601" s="201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 s="201">
        <v>0</v>
      </c>
    </row>
    <row r="3602" spans="1:11" x14ac:dyDescent="0.25">
      <c r="A3602"/>
      <c r="B3602" s="201">
        <v>0</v>
      </c>
      <c r="C3602">
        <v>0</v>
      </c>
      <c r="D3602" s="201">
        <v>0</v>
      </c>
      <c r="E3602" s="201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 s="201">
        <v>0</v>
      </c>
    </row>
    <row r="3603" spans="1:11" x14ac:dyDescent="0.25">
      <c r="A3603"/>
      <c r="B3603" s="201">
        <v>0</v>
      </c>
      <c r="C3603">
        <v>0</v>
      </c>
      <c r="D3603" s="201">
        <v>0</v>
      </c>
      <c r="E3603" s="201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 s="201">
        <v>0</v>
      </c>
    </row>
    <row r="3604" spans="1:11" x14ac:dyDescent="0.25">
      <c r="A3604"/>
      <c r="B3604" s="201">
        <v>0</v>
      </c>
      <c r="C3604">
        <v>0</v>
      </c>
      <c r="D3604" s="201">
        <v>0</v>
      </c>
      <c r="E3604" s="201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 s="201">
        <v>0</v>
      </c>
    </row>
    <row r="3605" spans="1:11" x14ac:dyDescent="0.25">
      <c r="A3605"/>
      <c r="B3605" s="201">
        <v>0</v>
      </c>
      <c r="C3605">
        <v>0</v>
      </c>
      <c r="D3605" s="201">
        <v>0</v>
      </c>
      <c r="E3605" s="201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 s="201">
        <v>0</v>
      </c>
    </row>
    <row r="3606" spans="1:11" x14ac:dyDescent="0.25">
      <c r="A3606"/>
      <c r="B3606" s="201">
        <v>0</v>
      </c>
      <c r="C3606">
        <v>0</v>
      </c>
      <c r="D3606" s="201">
        <v>0</v>
      </c>
      <c r="E3606" s="201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 s="201">
        <v>0</v>
      </c>
    </row>
    <row r="3607" spans="1:11" x14ac:dyDescent="0.25">
      <c r="A3607"/>
      <c r="B3607" s="201">
        <v>0</v>
      </c>
      <c r="C3607">
        <v>0</v>
      </c>
      <c r="D3607" s="201">
        <v>0</v>
      </c>
      <c r="E3607" s="201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 s="201">
        <v>0</v>
      </c>
    </row>
    <row r="3608" spans="1:11" x14ac:dyDescent="0.25">
      <c r="A3608"/>
      <c r="B3608" s="201">
        <v>0</v>
      </c>
      <c r="C3608">
        <v>0</v>
      </c>
      <c r="D3608" s="201">
        <v>0</v>
      </c>
      <c r="E3608" s="201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 s="201">
        <v>0</v>
      </c>
    </row>
    <row r="3609" spans="1:11" x14ac:dyDescent="0.25">
      <c r="A3609"/>
      <c r="B3609" s="201">
        <v>0</v>
      </c>
      <c r="C3609">
        <v>0</v>
      </c>
      <c r="D3609" s="201">
        <v>0</v>
      </c>
      <c r="E3609" s="201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 s="201">
        <v>0</v>
      </c>
    </row>
    <row r="3610" spans="1:11" x14ac:dyDescent="0.25">
      <c r="A3610"/>
      <c r="B3610" s="201">
        <v>0</v>
      </c>
      <c r="C3610">
        <v>0</v>
      </c>
      <c r="D3610" s="201">
        <v>0</v>
      </c>
      <c r="E3610" s="201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 s="201">
        <v>0</v>
      </c>
    </row>
    <row r="3611" spans="1:11" x14ac:dyDescent="0.25">
      <c r="A3611"/>
      <c r="B3611" s="201">
        <v>0</v>
      </c>
      <c r="C3611">
        <v>0</v>
      </c>
      <c r="D3611" s="201">
        <v>0</v>
      </c>
      <c r="E3611" s="20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 s="201">
        <v>0</v>
      </c>
    </row>
    <row r="3612" spans="1:11" x14ac:dyDescent="0.25">
      <c r="A3612"/>
      <c r="B3612" s="201">
        <v>0</v>
      </c>
      <c r="C3612">
        <v>0</v>
      </c>
      <c r="D3612" s="201">
        <v>0</v>
      </c>
      <c r="E3612" s="201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 s="201">
        <v>0</v>
      </c>
    </row>
    <row r="3613" spans="1:11" x14ac:dyDescent="0.25">
      <c r="A3613"/>
      <c r="B3613" s="201">
        <v>0</v>
      </c>
      <c r="C3613">
        <v>0</v>
      </c>
      <c r="D3613" s="201">
        <v>0</v>
      </c>
      <c r="E3613" s="201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 s="201">
        <v>0</v>
      </c>
    </row>
    <row r="3614" spans="1:11" x14ac:dyDescent="0.25">
      <c r="A3614"/>
      <c r="B3614" s="201">
        <v>0</v>
      </c>
      <c r="C3614">
        <v>0</v>
      </c>
      <c r="D3614" s="201">
        <v>0</v>
      </c>
      <c r="E3614" s="201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 s="201">
        <v>0</v>
      </c>
    </row>
    <row r="3615" spans="1:11" x14ac:dyDescent="0.25">
      <c r="A3615"/>
      <c r="B3615" s="201">
        <v>0</v>
      </c>
      <c r="C3615">
        <v>0</v>
      </c>
      <c r="D3615" s="201">
        <v>0</v>
      </c>
      <c r="E3615" s="201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 s="201">
        <v>0</v>
      </c>
    </row>
    <row r="3616" spans="1:11" x14ac:dyDescent="0.25">
      <c r="A3616"/>
      <c r="B3616" s="201">
        <v>0</v>
      </c>
      <c r="C3616">
        <v>0</v>
      </c>
      <c r="D3616" s="201">
        <v>0</v>
      </c>
      <c r="E3616" s="201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 s="201">
        <v>0</v>
      </c>
    </row>
    <row r="3617" spans="1:11" x14ac:dyDescent="0.25">
      <c r="A3617"/>
      <c r="B3617" s="201">
        <v>0</v>
      </c>
      <c r="C3617">
        <v>0</v>
      </c>
      <c r="D3617" s="201">
        <v>0</v>
      </c>
      <c r="E3617" s="201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 s="201">
        <v>0</v>
      </c>
    </row>
    <row r="3618" spans="1:11" x14ac:dyDescent="0.25">
      <c r="A3618"/>
      <c r="B3618" s="201">
        <v>0</v>
      </c>
      <c r="C3618">
        <v>0</v>
      </c>
      <c r="D3618" s="201">
        <v>0</v>
      </c>
      <c r="E3618" s="201">
        <v>0</v>
      </c>
      <c r="F3618">
        <v>0</v>
      </c>
      <c r="G3618">
        <v>0</v>
      </c>
      <c r="H3618">
        <v>0</v>
      </c>
      <c r="I3618">
        <v>0</v>
      </c>
      <c r="J3618">
        <v>0</v>
      </c>
      <c r="K3618" s="201">
        <v>0</v>
      </c>
    </row>
    <row r="3619" spans="1:11" x14ac:dyDescent="0.25">
      <c r="A3619"/>
      <c r="B3619" s="201">
        <v>0</v>
      </c>
      <c r="C3619">
        <v>1511</v>
      </c>
      <c r="D3619" s="201">
        <v>-138</v>
      </c>
      <c r="E3619" s="201">
        <v>-445</v>
      </c>
      <c r="F3619">
        <v>-537</v>
      </c>
      <c r="G3619">
        <v>-445</v>
      </c>
      <c r="H3619">
        <v>0</v>
      </c>
      <c r="I3619">
        <v>0</v>
      </c>
      <c r="J3619">
        <v>870</v>
      </c>
      <c r="K3619" s="201">
        <v>0</v>
      </c>
    </row>
    <row r="3620" spans="1:11" x14ac:dyDescent="0.25">
      <c r="A3620"/>
      <c r="B3620" s="201">
        <v>0</v>
      </c>
      <c r="C3620">
        <v>0</v>
      </c>
      <c r="D3620" s="201">
        <v>52</v>
      </c>
      <c r="E3620" s="201">
        <v>252</v>
      </c>
      <c r="F3620">
        <v>0</v>
      </c>
      <c r="G3620">
        <v>0</v>
      </c>
      <c r="H3620">
        <v>0</v>
      </c>
      <c r="I3620">
        <v>0</v>
      </c>
      <c r="J3620">
        <v>0</v>
      </c>
      <c r="K3620" s="201">
        <v>0</v>
      </c>
    </row>
    <row r="3621" spans="1:11" x14ac:dyDescent="0.25">
      <c r="A3621"/>
      <c r="B3621" s="201">
        <v>-584</v>
      </c>
      <c r="C3621">
        <v>0</v>
      </c>
      <c r="D3621" s="201">
        <v>0</v>
      </c>
      <c r="E3621" s="201">
        <v>81</v>
      </c>
      <c r="F3621">
        <v>0</v>
      </c>
      <c r="G3621">
        <v>-311</v>
      </c>
      <c r="H3621">
        <v>0</v>
      </c>
      <c r="I3621">
        <v>-56</v>
      </c>
      <c r="J3621">
        <v>-853</v>
      </c>
      <c r="K3621" s="201">
        <v>521</v>
      </c>
    </row>
    <row r="3622" spans="1:11" x14ac:dyDescent="0.25">
      <c r="A3622"/>
      <c r="B3622" s="201">
        <v>0</v>
      </c>
      <c r="C3622">
        <v>1196</v>
      </c>
      <c r="D3622" s="201">
        <v>-130</v>
      </c>
      <c r="E3622" s="201">
        <v>-552</v>
      </c>
      <c r="F3622">
        <v>-320</v>
      </c>
      <c r="G3622">
        <v>-216</v>
      </c>
      <c r="H3622">
        <v>153</v>
      </c>
      <c r="I3622">
        <v>0</v>
      </c>
      <c r="J3622">
        <v>-620</v>
      </c>
      <c r="K3622" s="201">
        <v>0</v>
      </c>
    </row>
    <row r="3623" spans="1:11" x14ac:dyDescent="0.25">
      <c r="A3623"/>
      <c r="B3623" s="201">
        <v>0</v>
      </c>
      <c r="C3623">
        <v>0</v>
      </c>
      <c r="D3623" s="201">
        <v>0</v>
      </c>
      <c r="E3623" s="201">
        <v>0</v>
      </c>
      <c r="F3623">
        <v>301</v>
      </c>
      <c r="G3623">
        <v>0</v>
      </c>
      <c r="H3623">
        <v>0</v>
      </c>
      <c r="I3623">
        <v>0</v>
      </c>
      <c r="J3623">
        <v>414</v>
      </c>
      <c r="K3623" s="201">
        <v>0</v>
      </c>
    </row>
    <row r="3624" spans="1:11" x14ac:dyDescent="0.25">
      <c r="A3624"/>
      <c r="B3624" s="201">
        <v>-152</v>
      </c>
      <c r="C3624">
        <v>0</v>
      </c>
      <c r="D3624" s="201">
        <v>0</v>
      </c>
      <c r="E3624" s="201">
        <v>0</v>
      </c>
      <c r="F3624">
        <v>0</v>
      </c>
      <c r="G3624">
        <v>0</v>
      </c>
      <c r="H3624">
        <v>-646</v>
      </c>
      <c r="I3624">
        <v>0</v>
      </c>
      <c r="J3624">
        <v>154</v>
      </c>
      <c r="K3624" s="201">
        <v>-1210</v>
      </c>
    </row>
    <row r="3625" spans="1:11" x14ac:dyDescent="0.25">
      <c r="A3625"/>
      <c r="B3625" s="201">
        <v>0</v>
      </c>
      <c r="C3625">
        <v>0</v>
      </c>
      <c r="D3625" s="201">
        <v>7752</v>
      </c>
      <c r="E3625" s="201">
        <v>836</v>
      </c>
      <c r="F3625">
        <v>0</v>
      </c>
      <c r="G3625">
        <v>-425</v>
      </c>
      <c r="H3625">
        <v>0</v>
      </c>
      <c r="I3625">
        <v>0</v>
      </c>
      <c r="J3625">
        <v>0</v>
      </c>
      <c r="K3625" s="201">
        <v>0</v>
      </c>
    </row>
    <row r="3626" spans="1:11" x14ac:dyDescent="0.25">
      <c r="B3626" s="201">
        <v>2343</v>
      </c>
      <c r="C3626">
        <v>-628</v>
      </c>
      <c r="D3626" s="201">
        <v>-915</v>
      </c>
      <c r="E3626" s="201">
        <v>0</v>
      </c>
      <c r="F3626">
        <v>0</v>
      </c>
      <c r="G3626">
        <v>-2688</v>
      </c>
      <c r="H3626">
        <v>106</v>
      </c>
      <c r="I3626">
        <v>0</v>
      </c>
      <c r="J3626">
        <v>271</v>
      </c>
      <c r="K3626" s="201">
        <v>-321</v>
      </c>
    </row>
    <row r="3627" spans="1:11" x14ac:dyDescent="0.25">
      <c r="A3627"/>
      <c r="B3627" s="201">
        <v>-233</v>
      </c>
      <c r="C3627">
        <v>-327</v>
      </c>
      <c r="D3627" s="201">
        <v>-134</v>
      </c>
      <c r="E3627" s="201">
        <v>-1263</v>
      </c>
      <c r="F3627">
        <v>-158</v>
      </c>
      <c r="G3627">
        <v>0</v>
      </c>
      <c r="H3627">
        <v>0</v>
      </c>
      <c r="I3627">
        <v>0</v>
      </c>
      <c r="J3627">
        <v>0</v>
      </c>
      <c r="K3627" s="201">
        <v>0</v>
      </c>
    </row>
    <row r="3628" spans="1:11" x14ac:dyDescent="0.25">
      <c r="A3628"/>
      <c r="B3628" s="201">
        <v>-5566</v>
      </c>
      <c r="C3628">
        <v>0</v>
      </c>
      <c r="D3628" s="201">
        <v>-1081</v>
      </c>
      <c r="E3628" s="201">
        <v>-569</v>
      </c>
      <c r="F3628">
        <v>60</v>
      </c>
      <c r="G3628">
        <v>0</v>
      </c>
      <c r="H3628">
        <v>12292</v>
      </c>
      <c r="I3628">
        <v>-858</v>
      </c>
      <c r="J3628">
        <v>-565</v>
      </c>
      <c r="K3628" s="201">
        <v>-880</v>
      </c>
    </row>
    <row r="3629" spans="1:11" x14ac:dyDescent="0.25">
      <c r="B3629" s="201">
        <v>-1118</v>
      </c>
      <c r="C3629">
        <v>0</v>
      </c>
      <c r="D3629" s="201">
        <v>-472</v>
      </c>
      <c r="E3629" s="201">
        <v>-1393</v>
      </c>
      <c r="F3629">
        <v>-112</v>
      </c>
      <c r="G3629">
        <v>-1844</v>
      </c>
      <c r="H3629">
        <v>0</v>
      </c>
      <c r="I3629">
        <v>-345</v>
      </c>
      <c r="J3629">
        <v>3078</v>
      </c>
      <c r="K3629" s="201">
        <v>0</v>
      </c>
    </row>
    <row r="3630" spans="1:11" x14ac:dyDescent="0.25">
      <c r="A3630"/>
      <c r="B3630" s="201">
        <v>0</v>
      </c>
      <c r="C3630">
        <v>0</v>
      </c>
      <c r="D3630" s="201">
        <v>736</v>
      </c>
      <c r="E3630" s="201">
        <v>-345</v>
      </c>
      <c r="F3630">
        <v>0</v>
      </c>
      <c r="G3630">
        <v>-516</v>
      </c>
      <c r="H3630">
        <v>-237</v>
      </c>
      <c r="I3630">
        <v>-1175</v>
      </c>
      <c r="J3630">
        <v>590</v>
      </c>
      <c r="K3630" s="201">
        <v>0</v>
      </c>
    </row>
    <row r="3631" spans="1:11" x14ac:dyDescent="0.25">
      <c r="A3631"/>
      <c r="B3631" s="201">
        <v>0</v>
      </c>
      <c r="C3631">
        <v>0</v>
      </c>
      <c r="D3631" s="201">
        <v>0</v>
      </c>
      <c r="E3631" s="201">
        <v>0</v>
      </c>
      <c r="F3631">
        <v>-10076</v>
      </c>
      <c r="G3631">
        <v>0</v>
      </c>
      <c r="H3631">
        <v>202</v>
      </c>
      <c r="I3631">
        <v>-397</v>
      </c>
      <c r="J3631">
        <v>800</v>
      </c>
      <c r="K3631" s="201">
        <v>0</v>
      </c>
    </row>
    <row r="3632" spans="1:11" x14ac:dyDescent="0.25">
      <c r="A3632"/>
      <c r="B3632" s="201">
        <v>5776</v>
      </c>
      <c r="C3632">
        <v>-1893</v>
      </c>
      <c r="D3632" s="201">
        <v>-307</v>
      </c>
      <c r="E3632" s="201">
        <v>-203</v>
      </c>
      <c r="F3632">
        <v>-882</v>
      </c>
      <c r="G3632">
        <v>-195</v>
      </c>
      <c r="H3632">
        <v>-396</v>
      </c>
      <c r="I3632">
        <v>-1643</v>
      </c>
      <c r="J3632">
        <v>0</v>
      </c>
      <c r="K3632" s="201">
        <v>-776</v>
      </c>
    </row>
    <row r="3633" spans="1:11" x14ac:dyDescent="0.25">
      <c r="A3633"/>
      <c r="B3633" s="201">
        <v>0</v>
      </c>
      <c r="C3633">
        <v>0</v>
      </c>
      <c r="D3633" s="201">
        <v>2207</v>
      </c>
      <c r="E3633" s="201">
        <v>-3263</v>
      </c>
      <c r="F3633">
        <v>0</v>
      </c>
      <c r="G3633">
        <v>-376</v>
      </c>
      <c r="H3633">
        <v>0</v>
      </c>
      <c r="I3633">
        <v>0</v>
      </c>
      <c r="J3633">
        <v>-128</v>
      </c>
      <c r="K3633" s="201">
        <v>0</v>
      </c>
    </row>
    <row r="3634" spans="1:11" x14ac:dyDescent="0.25">
      <c r="A3634"/>
      <c r="B3634" s="201">
        <v>89</v>
      </c>
      <c r="C3634">
        <v>-1139</v>
      </c>
      <c r="D3634" s="201">
        <v>889</v>
      </c>
      <c r="E3634" s="201">
        <v>0</v>
      </c>
      <c r="F3634">
        <v>0</v>
      </c>
      <c r="G3634">
        <v>0</v>
      </c>
      <c r="H3634">
        <v>0</v>
      </c>
      <c r="I3634">
        <v>0</v>
      </c>
      <c r="J3634">
        <v>-3392</v>
      </c>
      <c r="K3634" s="201">
        <v>0</v>
      </c>
    </row>
    <row r="3635" spans="1:11" x14ac:dyDescent="0.25">
      <c r="B3635" s="201">
        <v>2010</v>
      </c>
      <c r="C3635">
        <v>-346</v>
      </c>
      <c r="D3635" s="201">
        <v>-282</v>
      </c>
      <c r="E3635" s="201">
        <v>0</v>
      </c>
      <c r="F3635">
        <v>12109</v>
      </c>
      <c r="G3635">
        <v>-793</v>
      </c>
      <c r="H3635">
        <v>-232</v>
      </c>
      <c r="I3635">
        <v>0</v>
      </c>
      <c r="J3635">
        <v>0</v>
      </c>
      <c r="K3635" s="201">
        <v>0</v>
      </c>
    </row>
    <row r="3636" spans="1:11" x14ac:dyDescent="0.25">
      <c r="B3636" s="201">
        <v>-557</v>
      </c>
      <c r="C3636">
        <v>-1436</v>
      </c>
      <c r="D3636" s="201">
        <v>-145</v>
      </c>
      <c r="E3636" s="201">
        <v>-1116</v>
      </c>
      <c r="F3636">
        <v>-794</v>
      </c>
      <c r="G3636">
        <v>0</v>
      </c>
      <c r="H3636">
        <v>2597</v>
      </c>
      <c r="I3636">
        <v>0</v>
      </c>
      <c r="J3636">
        <v>0</v>
      </c>
      <c r="K3636" s="201">
        <v>-448</v>
      </c>
    </row>
    <row r="3637" spans="1:11" x14ac:dyDescent="0.25">
      <c r="A3637"/>
      <c r="B3637" s="201">
        <v>0</v>
      </c>
      <c r="C3637">
        <v>-512</v>
      </c>
      <c r="D3637" s="201">
        <v>0</v>
      </c>
      <c r="E3637" s="201">
        <v>-604</v>
      </c>
      <c r="F3637">
        <v>0</v>
      </c>
      <c r="G3637">
        <v>0</v>
      </c>
      <c r="H3637">
        <v>0</v>
      </c>
      <c r="I3637">
        <v>0</v>
      </c>
      <c r="J3637">
        <v>0</v>
      </c>
      <c r="K3637" s="201">
        <v>0</v>
      </c>
    </row>
    <row r="3638" spans="1:11" x14ac:dyDescent="0.25">
      <c r="A3638"/>
      <c r="B3638" s="201">
        <v>0</v>
      </c>
      <c r="C3638" s="201">
        <v>0</v>
      </c>
      <c r="D3638" s="201">
        <v>-10323</v>
      </c>
      <c r="E3638" s="201">
        <v>0</v>
      </c>
      <c r="F3638">
        <v>-356</v>
      </c>
      <c r="G3638">
        <v>31</v>
      </c>
      <c r="H3638">
        <v>317</v>
      </c>
      <c r="I3638">
        <v>0</v>
      </c>
      <c r="J3638">
        <v>14866</v>
      </c>
      <c r="K3638" s="201">
        <v>-54</v>
      </c>
    </row>
    <row r="3639" spans="1:11" x14ac:dyDescent="0.25">
      <c r="A3639"/>
      <c r="B3639" s="201">
        <v>0</v>
      </c>
      <c r="C3639">
        <v>0</v>
      </c>
      <c r="D3639" s="201">
        <v>0</v>
      </c>
      <c r="E3639" s="201">
        <v>0</v>
      </c>
      <c r="F3639">
        <v>0</v>
      </c>
      <c r="G3639">
        <v>-3473</v>
      </c>
      <c r="H3639">
        <v>-2382</v>
      </c>
      <c r="I3639">
        <v>-1974</v>
      </c>
      <c r="J3639">
        <v>-1820</v>
      </c>
      <c r="K3639" s="201">
        <v>-444</v>
      </c>
    </row>
    <row r="3640" spans="1:11" x14ac:dyDescent="0.25">
      <c r="B3640" s="201">
        <v>3764</v>
      </c>
      <c r="C3640">
        <v>0</v>
      </c>
      <c r="D3640" s="201">
        <v>0</v>
      </c>
      <c r="E3640" s="201">
        <v>0</v>
      </c>
      <c r="F3640">
        <v>0</v>
      </c>
      <c r="G3640">
        <v>-309</v>
      </c>
      <c r="H3640">
        <v>0</v>
      </c>
      <c r="I3640">
        <v>-586</v>
      </c>
      <c r="J3640">
        <v>0</v>
      </c>
      <c r="K3640" s="201">
        <v>0</v>
      </c>
    </row>
    <row r="3641" spans="1:11" x14ac:dyDescent="0.25">
      <c r="A3641"/>
      <c r="B3641" s="201">
        <v>1098</v>
      </c>
      <c r="C3641">
        <v>152</v>
      </c>
      <c r="D3641" s="201">
        <v>0</v>
      </c>
      <c r="E3641" s="201">
        <v>0</v>
      </c>
      <c r="F3641">
        <v>0</v>
      </c>
      <c r="G3641">
        <v>0</v>
      </c>
      <c r="H3641">
        <v>-12160</v>
      </c>
      <c r="I3641">
        <v>0</v>
      </c>
      <c r="J3641">
        <v>-679</v>
      </c>
      <c r="K3641" s="201">
        <v>-406</v>
      </c>
    </row>
    <row r="3642" spans="1:11" x14ac:dyDescent="0.25">
      <c r="A3642"/>
      <c r="B3642" s="201">
        <v>522</v>
      </c>
      <c r="C3642">
        <v>406</v>
      </c>
      <c r="D3642" s="201">
        <v>2966</v>
      </c>
      <c r="E3642" s="201">
        <v>5389</v>
      </c>
      <c r="F3642">
        <v>3309</v>
      </c>
      <c r="G3642">
        <v>1801</v>
      </c>
      <c r="H3642">
        <v>6637</v>
      </c>
      <c r="I3642">
        <v>4665</v>
      </c>
      <c r="J3642">
        <v>0</v>
      </c>
      <c r="K3642" s="201">
        <v>0</v>
      </c>
    </row>
    <row r="3643" spans="1:11" x14ac:dyDescent="0.25">
      <c r="A3643"/>
      <c r="B3643" s="201">
        <v>0</v>
      </c>
      <c r="C3643">
        <v>0</v>
      </c>
      <c r="D3643" s="201">
        <v>0</v>
      </c>
      <c r="E3643" s="201">
        <v>0</v>
      </c>
      <c r="F3643">
        <v>0</v>
      </c>
      <c r="G3643">
        <v>2735</v>
      </c>
      <c r="H3643">
        <v>-573</v>
      </c>
      <c r="I3643">
        <v>6916</v>
      </c>
      <c r="J3643">
        <v>216</v>
      </c>
      <c r="K3643" s="201">
        <v>7624</v>
      </c>
    </row>
    <row r="3644" spans="1:11" x14ac:dyDescent="0.25">
      <c r="A3644"/>
      <c r="B3644" s="201">
        <v>3585</v>
      </c>
      <c r="C3644">
        <v>0</v>
      </c>
      <c r="D3644" s="201">
        <v>0</v>
      </c>
      <c r="E3644" s="201">
        <v>1233</v>
      </c>
      <c r="F3644">
        <v>0</v>
      </c>
      <c r="G3644">
        <v>-7310</v>
      </c>
      <c r="H3644">
        <v>-1061</v>
      </c>
      <c r="I3644">
        <v>4333</v>
      </c>
      <c r="J3644">
        <v>3569</v>
      </c>
      <c r="K3644" s="201">
        <v>3525</v>
      </c>
    </row>
    <row r="3645" spans="1:11" x14ac:dyDescent="0.25">
      <c r="A3645"/>
      <c r="B3645" s="201">
        <v>0</v>
      </c>
      <c r="C3645">
        <v>0</v>
      </c>
      <c r="D3645" s="201">
        <v>18</v>
      </c>
      <c r="E3645" s="201">
        <v>0</v>
      </c>
      <c r="F3645">
        <v>0</v>
      </c>
      <c r="G3645">
        <v>0</v>
      </c>
      <c r="H3645">
        <v>-1078</v>
      </c>
      <c r="I3645">
        <v>-160</v>
      </c>
      <c r="J3645">
        <v>0</v>
      </c>
      <c r="K3645" s="201">
        <v>0</v>
      </c>
    </row>
    <row r="3646" spans="1:11" x14ac:dyDescent="0.25">
      <c r="A3646"/>
      <c r="B3646" s="201">
        <v>0</v>
      </c>
      <c r="C3646">
        <v>0</v>
      </c>
      <c r="D3646" s="201">
        <v>0</v>
      </c>
      <c r="E3646" s="201">
        <v>0</v>
      </c>
      <c r="F3646">
        <v>4267</v>
      </c>
      <c r="G3646">
        <v>0</v>
      </c>
      <c r="H3646">
        <v>0</v>
      </c>
      <c r="I3646">
        <v>-882</v>
      </c>
      <c r="J3646">
        <v>0</v>
      </c>
      <c r="K3646" s="201">
        <v>583</v>
      </c>
    </row>
    <row r="3647" spans="1:11" x14ac:dyDescent="0.25">
      <c r="A3647"/>
      <c r="B3647" s="201">
        <v>0</v>
      </c>
      <c r="C3647">
        <v>9</v>
      </c>
      <c r="D3647" s="201">
        <v>556</v>
      </c>
      <c r="E3647" s="201">
        <v>222</v>
      </c>
      <c r="F3647">
        <v>0</v>
      </c>
      <c r="G3647">
        <v>-6258</v>
      </c>
      <c r="H3647">
        <v>-1327</v>
      </c>
      <c r="I3647">
        <v>2829</v>
      </c>
      <c r="J3647">
        <v>3239</v>
      </c>
      <c r="K3647" s="201">
        <v>3551</v>
      </c>
    </row>
    <row r="3648" spans="1:11" x14ac:dyDescent="0.25">
      <c r="A3648"/>
      <c r="B3648" s="201">
        <v>1242</v>
      </c>
      <c r="C3648">
        <v>0</v>
      </c>
      <c r="D3648" s="201">
        <v>32</v>
      </c>
      <c r="E3648" s="201">
        <v>0</v>
      </c>
      <c r="F3648">
        <v>0</v>
      </c>
      <c r="G3648">
        <v>0</v>
      </c>
      <c r="H3648">
        <v>0</v>
      </c>
      <c r="I3648">
        <v>0</v>
      </c>
      <c r="J3648">
        <v>82</v>
      </c>
      <c r="K3648" s="201">
        <v>0</v>
      </c>
    </row>
    <row r="3649" spans="1:11" x14ac:dyDescent="0.25">
      <c r="A3649"/>
      <c r="B3649" s="201">
        <v>0</v>
      </c>
      <c r="C3649">
        <v>0</v>
      </c>
      <c r="D3649" s="201">
        <v>531</v>
      </c>
      <c r="E3649" s="201">
        <v>0</v>
      </c>
      <c r="F3649">
        <v>162</v>
      </c>
      <c r="G3649">
        <v>0</v>
      </c>
      <c r="H3649">
        <v>0</v>
      </c>
      <c r="I3649">
        <v>0</v>
      </c>
      <c r="J3649">
        <v>0</v>
      </c>
      <c r="K3649" s="201">
        <v>0</v>
      </c>
    </row>
    <row r="3650" spans="1:11" x14ac:dyDescent="0.25">
      <c r="A3650"/>
      <c r="B3650" s="201">
        <v>-1375</v>
      </c>
      <c r="C3650">
        <v>0</v>
      </c>
      <c r="D3650" s="201">
        <v>39</v>
      </c>
      <c r="E3650" s="201">
        <v>1363</v>
      </c>
      <c r="F3650">
        <v>0</v>
      </c>
      <c r="G3650">
        <v>0</v>
      </c>
      <c r="H3650">
        <v>-8013</v>
      </c>
      <c r="I3650">
        <v>-539</v>
      </c>
      <c r="J3650">
        <v>0</v>
      </c>
      <c r="K3650" s="201">
        <v>2502</v>
      </c>
    </row>
    <row r="3651" spans="1:11" x14ac:dyDescent="0.25">
      <c r="A3651"/>
      <c r="B3651" s="201">
        <v>0</v>
      </c>
      <c r="C3651">
        <v>0</v>
      </c>
      <c r="D3651" s="201">
        <v>0</v>
      </c>
      <c r="E3651" s="201">
        <v>0</v>
      </c>
      <c r="F3651">
        <v>-747</v>
      </c>
      <c r="G3651">
        <v>2234</v>
      </c>
      <c r="H3651">
        <v>1184</v>
      </c>
      <c r="I3651">
        <v>0</v>
      </c>
      <c r="J3651">
        <v>0</v>
      </c>
      <c r="K3651" s="201">
        <v>-72</v>
      </c>
    </row>
    <row r="3652" spans="1:11" x14ac:dyDescent="0.25">
      <c r="A3652"/>
      <c r="B3652" s="201">
        <v>-2453</v>
      </c>
      <c r="C3652">
        <v>0</v>
      </c>
      <c r="D3652" s="201">
        <v>815</v>
      </c>
      <c r="E3652" s="201">
        <v>962</v>
      </c>
      <c r="F3652">
        <v>492</v>
      </c>
      <c r="G3652">
        <v>544</v>
      </c>
      <c r="H3652">
        <v>719</v>
      </c>
      <c r="I3652">
        <v>-1045</v>
      </c>
      <c r="J3652">
        <v>-386</v>
      </c>
      <c r="K3652" s="201">
        <v>0</v>
      </c>
    </row>
    <row r="3653" spans="1:11" x14ac:dyDescent="0.25">
      <c r="A3653"/>
      <c r="B3653" s="201">
        <v>0</v>
      </c>
      <c r="C3653">
        <v>0</v>
      </c>
      <c r="D3653" s="201">
        <v>0</v>
      </c>
      <c r="E3653" s="201">
        <v>0</v>
      </c>
      <c r="F3653">
        <v>-3349</v>
      </c>
      <c r="G3653">
        <v>0</v>
      </c>
      <c r="H3653">
        <v>531</v>
      </c>
      <c r="I3653">
        <v>111</v>
      </c>
      <c r="J3653">
        <v>1108</v>
      </c>
      <c r="K3653" s="201">
        <v>0</v>
      </c>
    </row>
    <row r="3654" spans="1:11" x14ac:dyDescent="0.25">
      <c r="A3654"/>
      <c r="B3654" s="201">
        <v>4435</v>
      </c>
      <c r="C3654">
        <v>-586</v>
      </c>
      <c r="D3654" s="201">
        <v>2745</v>
      </c>
      <c r="E3654" s="201">
        <v>9170</v>
      </c>
      <c r="F3654">
        <v>7640</v>
      </c>
      <c r="G3654">
        <v>0</v>
      </c>
      <c r="H3654">
        <v>2989</v>
      </c>
      <c r="I3654">
        <v>5575</v>
      </c>
      <c r="J3654">
        <v>2096</v>
      </c>
      <c r="K3654" s="201">
        <v>486</v>
      </c>
    </row>
    <row r="3655" spans="1:11" x14ac:dyDescent="0.25">
      <c r="A3655"/>
      <c r="B3655" s="201">
        <v>0</v>
      </c>
      <c r="C3655">
        <v>-32</v>
      </c>
      <c r="D3655" s="201">
        <v>258</v>
      </c>
      <c r="E3655" s="201">
        <v>0</v>
      </c>
      <c r="F3655">
        <v>0</v>
      </c>
      <c r="G3655">
        <v>0</v>
      </c>
      <c r="H3655">
        <v>119</v>
      </c>
      <c r="I3655">
        <v>1235</v>
      </c>
      <c r="J3655">
        <v>0</v>
      </c>
      <c r="K3655" s="201">
        <v>1995</v>
      </c>
    </row>
    <row r="3656" spans="1:11" x14ac:dyDescent="0.25">
      <c r="A3656"/>
      <c r="B3656" s="201">
        <v>2367</v>
      </c>
      <c r="C3656">
        <v>336</v>
      </c>
      <c r="D3656" s="201">
        <v>-102</v>
      </c>
      <c r="E3656" s="201">
        <v>0</v>
      </c>
      <c r="F3656">
        <v>0</v>
      </c>
      <c r="G3656">
        <v>0</v>
      </c>
      <c r="H3656">
        <v>0</v>
      </c>
      <c r="I3656">
        <v>0</v>
      </c>
      <c r="J3656">
        <v>-17188</v>
      </c>
      <c r="K3656" s="201">
        <v>0</v>
      </c>
    </row>
    <row r="3657" spans="1:11" x14ac:dyDescent="0.25">
      <c r="A3657"/>
      <c r="B3657" s="201">
        <v>113</v>
      </c>
      <c r="C3657">
        <v>723</v>
      </c>
      <c r="D3657" s="201">
        <v>-339</v>
      </c>
      <c r="E3657" s="201">
        <v>0</v>
      </c>
      <c r="F3657">
        <v>3865</v>
      </c>
      <c r="G3657">
        <v>770</v>
      </c>
      <c r="H3657">
        <v>3470</v>
      </c>
      <c r="I3657">
        <v>8956</v>
      </c>
      <c r="J3657">
        <v>8514</v>
      </c>
      <c r="K3657" s="201">
        <v>3498</v>
      </c>
    </row>
    <row r="3658" spans="1:11" x14ac:dyDescent="0.25">
      <c r="B3658" s="201">
        <v>4158</v>
      </c>
      <c r="C3658">
        <v>2942</v>
      </c>
      <c r="D3658" s="201">
        <v>0</v>
      </c>
      <c r="E3658" s="201">
        <v>-316</v>
      </c>
      <c r="F3658">
        <v>0</v>
      </c>
      <c r="G3658">
        <v>0</v>
      </c>
      <c r="H3658">
        <v>583</v>
      </c>
      <c r="I3658">
        <v>94</v>
      </c>
      <c r="J3658">
        <v>0</v>
      </c>
      <c r="K3658" s="201">
        <v>2754</v>
      </c>
    </row>
    <row r="3659" spans="1:11" x14ac:dyDescent="0.25">
      <c r="A3659"/>
      <c r="B3659" s="201">
        <v>0</v>
      </c>
      <c r="C3659">
        <v>0</v>
      </c>
      <c r="D3659" s="201">
        <v>1485</v>
      </c>
      <c r="E3659" s="201">
        <v>0</v>
      </c>
      <c r="F3659">
        <v>1091</v>
      </c>
      <c r="G3659">
        <v>169</v>
      </c>
      <c r="H3659">
        <v>-583</v>
      </c>
      <c r="I3659">
        <v>0</v>
      </c>
      <c r="J3659">
        <v>0</v>
      </c>
      <c r="K3659" s="201">
        <v>0</v>
      </c>
    </row>
    <row r="3660" spans="1:11" x14ac:dyDescent="0.25">
      <c r="A3660"/>
      <c r="B3660" s="201">
        <v>0</v>
      </c>
      <c r="C3660" s="201">
        <v>0</v>
      </c>
      <c r="D3660" s="201">
        <v>-16076</v>
      </c>
      <c r="E3660" s="201">
        <v>0</v>
      </c>
      <c r="F3660">
        <v>-1647</v>
      </c>
      <c r="G3660">
        <v>569</v>
      </c>
      <c r="H3660">
        <v>-227</v>
      </c>
      <c r="I3660">
        <v>0</v>
      </c>
      <c r="J3660">
        <v>-8910</v>
      </c>
      <c r="K3660" s="201">
        <v>552</v>
      </c>
    </row>
    <row r="3661" spans="1:11" x14ac:dyDescent="0.25">
      <c r="A3661"/>
      <c r="B3661" s="201">
        <v>-210</v>
      </c>
      <c r="C3661">
        <v>0</v>
      </c>
      <c r="D3661" s="201">
        <v>0</v>
      </c>
      <c r="E3661" s="201">
        <v>0</v>
      </c>
      <c r="F3661">
        <v>1379</v>
      </c>
      <c r="G3661">
        <v>2343</v>
      </c>
      <c r="H3661">
        <v>-148</v>
      </c>
      <c r="I3661">
        <v>1543</v>
      </c>
      <c r="J3661">
        <v>926</v>
      </c>
      <c r="K3661" s="201">
        <v>0</v>
      </c>
    </row>
    <row r="3662" spans="1:11" x14ac:dyDescent="0.25">
      <c r="B3662" s="201">
        <v>-1528</v>
      </c>
      <c r="C3662">
        <v>0</v>
      </c>
      <c r="D3662" s="201">
        <v>0</v>
      </c>
      <c r="E3662" s="201">
        <v>3354</v>
      </c>
      <c r="F3662">
        <v>0</v>
      </c>
      <c r="G3662">
        <v>1606</v>
      </c>
      <c r="H3662">
        <v>0</v>
      </c>
      <c r="I3662">
        <v>1658</v>
      </c>
      <c r="J3662">
        <v>0</v>
      </c>
      <c r="K3662" s="201">
        <v>0</v>
      </c>
    </row>
    <row r="3663" spans="1:11" x14ac:dyDescent="0.25">
      <c r="A3663"/>
      <c r="B3663" s="201">
        <v>0</v>
      </c>
      <c r="C3663">
        <v>0</v>
      </c>
      <c r="D3663" s="201">
        <v>0</v>
      </c>
      <c r="E3663" s="201">
        <v>0</v>
      </c>
      <c r="F3663">
        <v>0</v>
      </c>
      <c r="G3663">
        <v>0</v>
      </c>
      <c r="H3663">
        <v>-11024</v>
      </c>
      <c r="I3663">
        <v>0</v>
      </c>
      <c r="J3663">
        <v>-179</v>
      </c>
      <c r="K3663" s="201">
        <v>1027</v>
      </c>
    </row>
    <row r="3664" spans="1:11" x14ac:dyDescent="0.25">
      <c r="B3664" s="201">
        <v>-249</v>
      </c>
      <c r="C3664">
        <v>0</v>
      </c>
      <c r="D3664" s="201">
        <v>3651</v>
      </c>
      <c r="E3664" s="201">
        <v>856</v>
      </c>
      <c r="F3664">
        <v>0</v>
      </c>
      <c r="G3664">
        <v>0</v>
      </c>
      <c r="H3664">
        <v>0</v>
      </c>
      <c r="I3664">
        <v>0</v>
      </c>
      <c r="J3664">
        <v>0</v>
      </c>
      <c r="K3664" s="201">
        <v>-2349</v>
      </c>
    </row>
    <row r="3665" spans="1:11" x14ac:dyDescent="0.25">
      <c r="A3665"/>
      <c r="B3665" s="201">
        <v>-5815</v>
      </c>
      <c r="C3665">
        <v>2085</v>
      </c>
      <c r="D3665" s="201">
        <v>920</v>
      </c>
      <c r="E3665" s="201">
        <v>498</v>
      </c>
      <c r="F3665">
        <v>906</v>
      </c>
      <c r="G3665">
        <v>0</v>
      </c>
      <c r="H3665">
        <v>0</v>
      </c>
      <c r="I3665">
        <v>0</v>
      </c>
      <c r="J3665">
        <v>0</v>
      </c>
      <c r="K3665" s="201">
        <v>861</v>
      </c>
    </row>
    <row r="3666" spans="1:11" x14ac:dyDescent="0.25">
      <c r="A3666"/>
      <c r="B3666" s="201">
        <v>0</v>
      </c>
      <c r="C3666">
        <v>2277</v>
      </c>
      <c r="D3666" s="201">
        <v>0</v>
      </c>
      <c r="E3666" s="201">
        <v>0</v>
      </c>
      <c r="F3666">
        <v>-906</v>
      </c>
      <c r="G3666">
        <v>-897</v>
      </c>
      <c r="H3666">
        <v>0</v>
      </c>
      <c r="I3666">
        <v>0</v>
      </c>
      <c r="J3666">
        <v>0</v>
      </c>
      <c r="K3666" s="201">
        <v>0</v>
      </c>
    </row>
    <row r="3667" spans="1:11" x14ac:dyDescent="0.25">
      <c r="B3667" s="201">
        <v>-17828</v>
      </c>
      <c r="C3667">
        <v>0</v>
      </c>
      <c r="D3667" s="201">
        <v>-299</v>
      </c>
      <c r="E3667" s="201">
        <v>1698</v>
      </c>
      <c r="F3667">
        <v>-190</v>
      </c>
      <c r="G3667">
        <v>-8596</v>
      </c>
      <c r="H3667">
        <v>-12011</v>
      </c>
      <c r="I3667">
        <v>-33851</v>
      </c>
      <c r="J3667">
        <v>-27859</v>
      </c>
      <c r="K3667" s="201">
        <v>-14531</v>
      </c>
    </row>
    <row r="3668" spans="1:11" x14ac:dyDescent="0.25">
      <c r="A3668"/>
      <c r="B3668" s="201">
        <v>-19848</v>
      </c>
      <c r="C3668">
        <v>-14461</v>
      </c>
      <c r="D3668" s="201">
        <v>0</v>
      </c>
      <c r="E3668" s="201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 s="201">
        <v>-14226</v>
      </c>
    </row>
    <row r="3669" spans="1:11" x14ac:dyDescent="0.25">
      <c r="A3669"/>
      <c r="B3669" s="201">
        <v>-4193</v>
      </c>
      <c r="C3669">
        <v>-8735</v>
      </c>
      <c r="D3669" s="201">
        <v>-5374</v>
      </c>
      <c r="E3669" s="201">
        <v>-11169</v>
      </c>
      <c r="F3669">
        <v>-5913</v>
      </c>
      <c r="G3669">
        <v>0</v>
      </c>
      <c r="H3669">
        <v>0</v>
      </c>
      <c r="I3669">
        <v>-15311</v>
      </c>
      <c r="J3669">
        <v>0</v>
      </c>
      <c r="K3669" s="201">
        <v>-28708</v>
      </c>
    </row>
    <row r="3670" spans="1:11" x14ac:dyDescent="0.25">
      <c r="A3670"/>
      <c r="B3670" s="201">
        <v>0</v>
      </c>
      <c r="C3670">
        <v>0</v>
      </c>
      <c r="D3670" s="201">
        <v>0</v>
      </c>
      <c r="E3670" s="201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 s="201">
        <v>0</v>
      </c>
    </row>
    <row r="3671" spans="1:11" x14ac:dyDescent="0.25">
      <c r="A3671"/>
      <c r="B3671" s="201">
        <v>0</v>
      </c>
      <c r="C3671">
        <v>0</v>
      </c>
      <c r="D3671" s="201">
        <v>0</v>
      </c>
      <c r="E3671" s="20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 s="201">
        <v>0</v>
      </c>
    </row>
    <row r="3672" spans="1:11" x14ac:dyDescent="0.25">
      <c r="A3672"/>
      <c r="B3672" s="201">
        <v>0</v>
      </c>
      <c r="C3672">
        <v>0</v>
      </c>
      <c r="D3672" s="201">
        <v>0</v>
      </c>
      <c r="E3672" s="201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 s="201">
        <v>0</v>
      </c>
    </row>
    <row r="3673" spans="1:11" x14ac:dyDescent="0.25">
      <c r="A3673"/>
      <c r="B3673" s="201">
        <v>0</v>
      </c>
      <c r="C3673">
        <v>0</v>
      </c>
      <c r="D3673" s="201">
        <v>0</v>
      </c>
      <c r="E3673" s="201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 s="201">
        <v>0</v>
      </c>
    </row>
    <row r="3674" spans="1:11" x14ac:dyDescent="0.25">
      <c r="A3674"/>
      <c r="B3674" s="201">
        <v>0</v>
      </c>
      <c r="C3674">
        <v>0</v>
      </c>
      <c r="D3674" s="201">
        <v>0</v>
      </c>
      <c r="E3674" s="201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 s="201">
        <v>0</v>
      </c>
    </row>
    <row r="3675" spans="1:11" x14ac:dyDescent="0.25">
      <c r="A3675"/>
      <c r="B3675" s="201">
        <v>0</v>
      </c>
      <c r="C3675">
        <v>0</v>
      </c>
      <c r="D3675" s="201">
        <v>0</v>
      </c>
      <c r="E3675" s="201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 s="201">
        <v>0</v>
      </c>
    </row>
    <row r="3676" spans="1:11" x14ac:dyDescent="0.25">
      <c r="A3676"/>
      <c r="B3676" s="201">
        <v>0</v>
      </c>
      <c r="C3676">
        <v>0</v>
      </c>
      <c r="D3676" s="201">
        <v>0</v>
      </c>
      <c r="E3676" s="201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 s="201">
        <v>0</v>
      </c>
    </row>
    <row r="3677" spans="1:11" x14ac:dyDescent="0.25">
      <c r="A3677"/>
      <c r="B3677" s="201">
        <v>0</v>
      </c>
      <c r="C3677">
        <v>0</v>
      </c>
      <c r="D3677" s="201">
        <v>0</v>
      </c>
      <c r="E3677" s="201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 s="201">
        <v>0</v>
      </c>
    </row>
    <row r="3678" spans="1:11" x14ac:dyDescent="0.25">
      <c r="A3678"/>
      <c r="B3678" s="201">
        <v>0</v>
      </c>
      <c r="C3678">
        <v>0</v>
      </c>
      <c r="D3678" s="201">
        <v>0</v>
      </c>
      <c r="E3678" s="201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 s="201">
        <v>0</v>
      </c>
    </row>
    <row r="3679" spans="1:11" x14ac:dyDescent="0.25">
      <c r="A3679"/>
      <c r="B3679" s="201">
        <v>0</v>
      </c>
      <c r="C3679">
        <v>0</v>
      </c>
      <c r="D3679" s="201">
        <v>0</v>
      </c>
      <c r="E3679" s="201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 s="201">
        <v>0</v>
      </c>
    </row>
    <row r="3680" spans="1:11" x14ac:dyDescent="0.25">
      <c r="A3680"/>
      <c r="B3680" s="201">
        <v>0</v>
      </c>
      <c r="C3680">
        <v>0</v>
      </c>
      <c r="D3680" s="201">
        <v>0</v>
      </c>
      <c r="E3680" s="201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 s="201">
        <v>0</v>
      </c>
    </row>
    <row r="3681" spans="1:11" x14ac:dyDescent="0.25">
      <c r="A3681"/>
      <c r="B3681" s="201">
        <v>0</v>
      </c>
      <c r="C3681">
        <v>0</v>
      </c>
      <c r="D3681" s="201">
        <v>0</v>
      </c>
      <c r="E3681" s="20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 s="201">
        <v>0</v>
      </c>
    </row>
    <row r="3682" spans="1:11" x14ac:dyDescent="0.25">
      <c r="A3682"/>
      <c r="B3682" s="201">
        <v>0</v>
      </c>
      <c r="C3682">
        <v>0</v>
      </c>
      <c r="D3682" s="201">
        <v>0</v>
      </c>
      <c r="E3682" s="201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 s="201">
        <v>0</v>
      </c>
    </row>
    <row r="3683" spans="1:11" x14ac:dyDescent="0.25">
      <c r="A3683"/>
      <c r="B3683" s="201">
        <v>0</v>
      </c>
      <c r="C3683">
        <v>0</v>
      </c>
      <c r="D3683" s="201">
        <v>0</v>
      </c>
      <c r="E3683" s="201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 s="201">
        <v>0</v>
      </c>
    </row>
    <row r="3684" spans="1:11" x14ac:dyDescent="0.25">
      <c r="A3684"/>
      <c r="B3684" s="201">
        <v>0</v>
      </c>
      <c r="C3684">
        <v>0</v>
      </c>
      <c r="D3684" s="201">
        <v>0</v>
      </c>
      <c r="E3684" s="201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 s="201">
        <v>0</v>
      </c>
    </row>
    <row r="3685" spans="1:11" x14ac:dyDescent="0.25">
      <c r="A3685"/>
      <c r="B3685" s="201">
        <v>0</v>
      </c>
      <c r="C3685">
        <v>0</v>
      </c>
      <c r="D3685" s="201">
        <v>0</v>
      </c>
      <c r="E3685" s="201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 s="201">
        <v>0</v>
      </c>
    </row>
    <row r="3686" spans="1:11" x14ac:dyDescent="0.25">
      <c r="A3686"/>
      <c r="B3686" s="201">
        <v>0</v>
      </c>
      <c r="C3686">
        <v>0</v>
      </c>
      <c r="D3686" s="201">
        <v>0</v>
      </c>
      <c r="E3686" s="201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 s="201">
        <v>0</v>
      </c>
    </row>
    <row r="3687" spans="1:11" x14ac:dyDescent="0.25">
      <c r="A3687"/>
      <c r="B3687" s="201">
        <v>0</v>
      </c>
      <c r="C3687">
        <v>0</v>
      </c>
      <c r="D3687" s="201">
        <v>0</v>
      </c>
      <c r="E3687" s="201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 s="201">
        <v>0</v>
      </c>
    </row>
    <row r="3688" spans="1:11" x14ac:dyDescent="0.25">
      <c r="A3688"/>
      <c r="B3688" s="201">
        <v>0</v>
      </c>
      <c r="C3688">
        <v>0</v>
      </c>
      <c r="D3688" s="201">
        <v>0</v>
      </c>
      <c r="E3688" s="201">
        <v>0</v>
      </c>
      <c r="F3688">
        <v>0</v>
      </c>
      <c r="G3688">
        <v>0</v>
      </c>
      <c r="H3688">
        <v>0</v>
      </c>
      <c r="I3688">
        <v>0</v>
      </c>
      <c r="J3688">
        <v>0</v>
      </c>
      <c r="K3688" s="201">
        <v>0</v>
      </c>
    </row>
    <row r="3689" spans="1:11" x14ac:dyDescent="0.25">
      <c r="A3689"/>
      <c r="B3689" s="201">
        <v>0</v>
      </c>
      <c r="C3689">
        <v>0</v>
      </c>
      <c r="D3689" s="201">
        <v>0</v>
      </c>
      <c r="E3689" s="201">
        <v>0</v>
      </c>
      <c r="F3689">
        <v>0</v>
      </c>
      <c r="G3689">
        <v>0</v>
      </c>
      <c r="H3689">
        <v>0</v>
      </c>
      <c r="I3689">
        <v>0</v>
      </c>
      <c r="J3689">
        <v>0</v>
      </c>
      <c r="K3689" s="201">
        <v>0</v>
      </c>
    </row>
    <row r="3690" spans="1:11" x14ac:dyDescent="0.25">
      <c r="A3690"/>
      <c r="B3690" s="201">
        <v>0</v>
      </c>
      <c r="C3690">
        <v>0</v>
      </c>
      <c r="D3690" s="201">
        <v>0</v>
      </c>
      <c r="E3690" s="201">
        <v>0</v>
      </c>
      <c r="F3690">
        <v>0</v>
      </c>
      <c r="G3690">
        <v>0</v>
      </c>
      <c r="H3690">
        <v>0</v>
      </c>
      <c r="I3690">
        <v>0</v>
      </c>
      <c r="J3690">
        <v>0</v>
      </c>
      <c r="K3690" s="201">
        <v>0</v>
      </c>
    </row>
    <row r="3691" spans="1:11" x14ac:dyDescent="0.25">
      <c r="A3691"/>
      <c r="B3691" s="201">
        <v>0</v>
      </c>
      <c r="C3691">
        <v>0</v>
      </c>
      <c r="D3691" s="201">
        <v>0</v>
      </c>
      <c r="E3691" s="201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 s="201">
        <v>0</v>
      </c>
    </row>
    <row r="3692" spans="1:11" x14ac:dyDescent="0.25">
      <c r="A3692"/>
      <c r="B3692" s="201">
        <v>0</v>
      </c>
      <c r="C3692">
        <v>0</v>
      </c>
      <c r="D3692" s="201">
        <v>0</v>
      </c>
      <c r="E3692" s="201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 s="201">
        <v>0</v>
      </c>
    </row>
    <row r="3693" spans="1:11" x14ac:dyDescent="0.25">
      <c r="A3693"/>
      <c r="B3693" s="201">
        <v>0</v>
      </c>
      <c r="C3693">
        <v>0</v>
      </c>
      <c r="D3693" s="201">
        <v>0</v>
      </c>
      <c r="E3693" s="201">
        <v>0</v>
      </c>
      <c r="F3693">
        <v>0</v>
      </c>
      <c r="G3693">
        <v>0</v>
      </c>
      <c r="H3693">
        <v>0</v>
      </c>
      <c r="I3693">
        <v>0</v>
      </c>
      <c r="J3693">
        <v>0</v>
      </c>
      <c r="K3693" s="201">
        <v>0</v>
      </c>
    </row>
    <row r="3694" spans="1:11" x14ac:dyDescent="0.25">
      <c r="A3694"/>
      <c r="B3694" s="201">
        <v>0</v>
      </c>
      <c r="C3694">
        <v>0</v>
      </c>
      <c r="D3694" s="201">
        <v>0</v>
      </c>
      <c r="E3694" s="201">
        <v>0</v>
      </c>
      <c r="F3694">
        <v>0</v>
      </c>
      <c r="G3694">
        <v>0</v>
      </c>
      <c r="H3694">
        <v>0</v>
      </c>
      <c r="I3694">
        <v>0</v>
      </c>
      <c r="J3694">
        <v>0</v>
      </c>
      <c r="K3694" s="201">
        <v>0</v>
      </c>
    </row>
    <row r="3695" spans="1:11" x14ac:dyDescent="0.25">
      <c r="A3695"/>
      <c r="B3695" s="201">
        <v>0</v>
      </c>
      <c r="C3695">
        <v>0</v>
      </c>
      <c r="D3695" s="201">
        <v>0</v>
      </c>
      <c r="E3695" s="201">
        <v>0</v>
      </c>
      <c r="F3695">
        <v>0</v>
      </c>
      <c r="G3695">
        <v>0</v>
      </c>
      <c r="H3695">
        <v>0</v>
      </c>
      <c r="I3695">
        <v>0</v>
      </c>
      <c r="J3695">
        <v>0</v>
      </c>
      <c r="K3695" s="201">
        <v>0</v>
      </c>
    </row>
    <row r="3696" spans="1:11" x14ac:dyDescent="0.25">
      <c r="A3696"/>
      <c r="B3696" s="201">
        <v>0</v>
      </c>
      <c r="C3696">
        <v>0</v>
      </c>
      <c r="D3696" s="201">
        <v>0</v>
      </c>
      <c r="E3696" s="201">
        <v>0</v>
      </c>
      <c r="F3696">
        <v>0</v>
      </c>
      <c r="G3696">
        <v>0</v>
      </c>
      <c r="H3696">
        <v>0</v>
      </c>
      <c r="I3696">
        <v>0</v>
      </c>
      <c r="J3696">
        <v>0</v>
      </c>
      <c r="K3696" s="201">
        <v>0</v>
      </c>
    </row>
    <row r="3697" spans="1:11" x14ac:dyDescent="0.25">
      <c r="A3697"/>
      <c r="B3697" s="201">
        <v>0</v>
      </c>
      <c r="C3697">
        <v>0</v>
      </c>
      <c r="D3697" s="201">
        <v>0</v>
      </c>
      <c r="E3697" s="201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 s="201">
        <v>0</v>
      </c>
    </row>
    <row r="3698" spans="1:11" x14ac:dyDescent="0.25">
      <c r="A3698"/>
      <c r="B3698" s="201">
        <v>0</v>
      </c>
      <c r="C3698">
        <v>0</v>
      </c>
      <c r="D3698" s="201">
        <v>0</v>
      </c>
      <c r="E3698" s="201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 s="201">
        <v>0</v>
      </c>
    </row>
    <row r="3699" spans="1:11" x14ac:dyDescent="0.25">
      <c r="A3699"/>
      <c r="B3699" s="201">
        <v>0</v>
      </c>
      <c r="C3699">
        <v>0</v>
      </c>
      <c r="D3699" s="201">
        <v>0</v>
      </c>
      <c r="E3699" s="201">
        <v>0</v>
      </c>
      <c r="F3699">
        <v>0</v>
      </c>
      <c r="G3699">
        <v>0</v>
      </c>
      <c r="H3699">
        <v>0</v>
      </c>
      <c r="I3699">
        <v>0</v>
      </c>
      <c r="J3699">
        <v>0</v>
      </c>
      <c r="K3699" s="201">
        <v>0</v>
      </c>
    </row>
    <row r="3700" spans="1:11" x14ac:dyDescent="0.25">
      <c r="A3700"/>
      <c r="B3700" s="201">
        <v>0</v>
      </c>
      <c r="C3700">
        <v>0</v>
      </c>
      <c r="D3700" s="201">
        <v>0</v>
      </c>
      <c r="E3700" s="201">
        <v>0</v>
      </c>
      <c r="F3700">
        <v>0</v>
      </c>
      <c r="G3700">
        <v>0</v>
      </c>
      <c r="H3700">
        <v>0</v>
      </c>
      <c r="I3700">
        <v>0</v>
      </c>
      <c r="J3700">
        <v>0</v>
      </c>
      <c r="K3700" s="201">
        <v>0</v>
      </c>
    </row>
    <row r="3701" spans="1:11" x14ac:dyDescent="0.25">
      <c r="A3701"/>
      <c r="B3701" s="201">
        <v>0</v>
      </c>
      <c r="C3701">
        <v>0</v>
      </c>
      <c r="D3701" s="201">
        <v>0</v>
      </c>
      <c r="E3701" s="201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 s="201">
        <v>0</v>
      </c>
    </row>
    <row r="3702" spans="1:11" x14ac:dyDescent="0.25">
      <c r="A3702"/>
      <c r="B3702" s="201">
        <v>0</v>
      </c>
      <c r="C3702">
        <v>0</v>
      </c>
      <c r="D3702" s="201">
        <v>0</v>
      </c>
      <c r="E3702" s="201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 s="201">
        <v>0</v>
      </c>
    </row>
    <row r="3703" spans="1:11" x14ac:dyDescent="0.25">
      <c r="A3703"/>
      <c r="B3703" s="201">
        <v>0</v>
      </c>
      <c r="C3703">
        <v>0</v>
      </c>
      <c r="D3703" s="201">
        <v>0</v>
      </c>
      <c r="E3703" s="201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 s="201">
        <v>0</v>
      </c>
    </row>
    <row r="3704" spans="1:11" x14ac:dyDescent="0.25">
      <c r="A3704"/>
      <c r="B3704" s="201">
        <v>0</v>
      </c>
      <c r="C3704">
        <v>0</v>
      </c>
      <c r="D3704" s="201">
        <v>0</v>
      </c>
      <c r="E3704" s="201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 s="201">
        <v>0</v>
      </c>
    </row>
    <row r="3705" spans="1:11" x14ac:dyDescent="0.25">
      <c r="A3705"/>
      <c r="B3705" s="201">
        <v>0</v>
      </c>
      <c r="C3705">
        <v>0</v>
      </c>
      <c r="D3705" s="201">
        <v>0</v>
      </c>
      <c r="E3705" s="201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 s="201">
        <v>0</v>
      </c>
    </row>
    <row r="3706" spans="1:11" x14ac:dyDescent="0.25">
      <c r="A3706"/>
      <c r="B3706" s="201">
        <v>0</v>
      </c>
      <c r="C3706">
        <v>0</v>
      </c>
      <c r="D3706" s="201">
        <v>0</v>
      </c>
      <c r="E3706" s="201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 s="201">
        <v>0</v>
      </c>
    </row>
    <row r="3707" spans="1:11" x14ac:dyDescent="0.25">
      <c r="A3707"/>
      <c r="B3707" s="201">
        <v>0</v>
      </c>
      <c r="C3707">
        <v>0</v>
      </c>
      <c r="D3707" s="201">
        <v>0</v>
      </c>
      <c r="E3707" s="201">
        <v>0</v>
      </c>
      <c r="F3707">
        <v>0</v>
      </c>
      <c r="G3707">
        <v>0</v>
      </c>
      <c r="H3707">
        <v>0</v>
      </c>
      <c r="I3707">
        <v>0</v>
      </c>
      <c r="J3707">
        <v>0</v>
      </c>
      <c r="K3707" s="201">
        <v>0</v>
      </c>
    </row>
    <row r="3708" spans="1:11" x14ac:dyDescent="0.25">
      <c r="A3708"/>
      <c r="B3708" s="201">
        <v>0</v>
      </c>
      <c r="C3708">
        <v>0</v>
      </c>
      <c r="D3708" s="201">
        <v>0</v>
      </c>
      <c r="E3708" s="201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 s="201">
        <v>0</v>
      </c>
    </row>
    <row r="3709" spans="1:11" x14ac:dyDescent="0.25">
      <c r="A3709"/>
      <c r="B3709" s="201">
        <v>0</v>
      </c>
      <c r="C3709">
        <v>0</v>
      </c>
      <c r="D3709" s="201">
        <v>0</v>
      </c>
      <c r="E3709" s="201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 s="201">
        <v>0</v>
      </c>
    </row>
    <row r="3710" spans="1:11" x14ac:dyDescent="0.25">
      <c r="A3710"/>
      <c r="B3710" s="201">
        <v>0</v>
      </c>
      <c r="C3710">
        <v>0</v>
      </c>
      <c r="D3710" s="201">
        <v>0</v>
      </c>
      <c r="E3710" s="201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 s="201">
        <v>0</v>
      </c>
    </row>
    <row r="3711" spans="1:11" x14ac:dyDescent="0.25">
      <c r="A3711"/>
      <c r="B3711" s="201">
        <v>0</v>
      </c>
      <c r="C3711">
        <v>0</v>
      </c>
      <c r="D3711" s="201">
        <v>0</v>
      </c>
      <c r="E3711" s="201">
        <v>0</v>
      </c>
      <c r="F3711">
        <v>0</v>
      </c>
      <c r="G3711">
        <v>0</v>
      </c>
      <c r="H3711">
        <v>0</v>
      </c>
      <c r="I3711">
        <v>0</v>
      </c>
      <c r="J3711">
        <v>0</v>
      </c>
      <c r="K3711" s="201">
        <v>0</v>
      </c>
    </row>
    <row r="3712" spans="1:11" x14ac:dyDescent="0.25">
      <c r="A3712"/>
      <c r="B3712" s="201">
        <v>0</v>
      </c>
      <c r="C3712">
        <v>0</v>
      </c>
      <c r="D3712" s="201">
        <v>0</v>
      </c>
      <c r="E3712" s="201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 s="201">
        <v>0</v>
      </c>
    </row>
    <row r="3713" spans="1:11" x14ac:dyDescent="0.25">
      <c r="A3713"/>
      <c r="B3713" s="201">
        <v>0</v>
      </c>
      <c r="C3713">
        <v>0</v>
      </c>
      <c r="D3713" s="201">
        <v>0</v>
      </c>
      <c r="E3713" s="201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 s="201">
        <v>0</v>
      </c>
    </row>
    <row r="3714" spans="1:11" x14ac:dyDescent="0.25">
      <c r="A3714"/>
      <c r="B3714" s="201">
        <v>0</v>
      </c>
      <c r="C3714">
        <v>0</v>
      </c>
      <c r="D3714" s="201">
        <v>0</v>
      </c>
      <c r="E3714" s="201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 s="201">
        <v>0</v>
      </c>
    </row>
    <row r="3715" spans="1:11" x14ac:dyDescent="0.25">
      <c r="A3715"/>
      <c r="B3715" s="201">
        <v>0</v>
      </c>
      <c r="C3715">
        <v>0</v>
      </c>
      <c r="D3715" s="201">
        <v>0</v>
      </c>
      <c r="E3715" s="201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 s="201">
        <v>0</v>
      </c>
    </row>
    <row r="3716" spans="1:11" x14ac:dyDescent="0.25">
      <c r="A3716"/>
      <c r="B3716" s="201">
        <v>0</v>
      </c>
      <c r="C3716">
        <v>0</v>
      </c>
      <c r="D3716" s="201">
        <v>0</v>
      </c>
      <c r="E3716" s="201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 s="201">
        <v>0</v>
      </c>
    </row>
    <row r="3717" spans="1:11" x14ac:dyDescent="0.25">
      <c r="A3717"/>
      <c r="B3717" s="201">
        <v>0</v>
      </c>
      <c r="C3717">
        <v>0</v>
      </c>
      <c r="D3717" s="201">
        <v>0</v>
      </c>
      <c r="E3717" s="201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 s="201">
        <v>0</v>
      </c>
    </row>
    <row r="3718" spans="1:11" x14ac:dyDescent="0.25">
      <c r="A3718"/>
      <c r="B3718" s="201">
        <v>0</v>
      </c>
      <c r="C3718">
        <v>0</v>
      </c>
      <c r="D3718" s="201">
        <v>0</v>
      </c>
      <c r="E3718" s="201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 s="201">
        <v>0</v>
      </c>
    </row>
    <row r="3719" spans="1:11" x14ac:dyDescent="0.25">
      <c r="A3719"/>
      <c r="B3719" s="201">
        <v>0</v>
      </c>
      <c r="C3719">
        <v>0</v>
      </c>
      <c r="D3719" s="201">
        <v>0</v>
      </c>
      <c r="E3719" s="201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 s="201">
        <v>0</v>
      </c>
    </row>
    <row r="3720" spans="1:11" x14ac:dyDescent="0.25">
      <c r="A3720"/>
      <c r="B3720" s="201">
        <v>0</v>
      </c>
      <c r="C3720">
        <v>0</v>
      </c>
      <c r="D3720" s="201">
        <v>0</v>
      </c>
      <c r="E3720" s="201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 s="201">
        <v>0</v>
      </c>
    </row>
    <row r="3721" spans="1:11" x14ac:dyDescent="0.25">
      <c r="A3721"/>
      <c r="B3721" s="201">
        <v>0</v>
      </c>
      <c r="C3721">
        <v>0</v>
      </c>
      <c r="D3721" s="201">
        <v>0</v>
      </c>
      <c r="E3721" s="201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 s="201">
        <v>0</v>
      </c>
    </row>
    <row r="3722" spans="1:11" x14ac:dyDescent="0.25">
      <c r="A3722"/>
      <c r="B3722" s="201">
        <v>0</v>
      </c>
      <c r="C3722">
        <v>0</v>
      </c>
      <c r="D3722" s="201">
        <v>0</v>
      </c>
      <c r="E3722" s="201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 s="201">
        <v>0</v>
      </c>
    </row>
    <row r="3723" spans="1:11" x14ac:dyDescent="0.25">
      <c r="A3723"/>
      <c r="B3723" s="201">
        <v>0</v>
      </c>
      <c r="C3723">
        <v>0</v>
      </c>
      <c r="D3723" s="201">
        <v>0</v>
      </c>
      <c r="E3723" s="201">
        <v>0</v>
      </c>
      <c r="F3723">
        <v>0</v>
      </c>
      <c r="G3723">
        <v>0</v>
      </c>
      <c r="H3723">
        <v>0</v>
      </c>
      <c r="I3723">
        <v>0</v>
      </c>
      <c r="J3723">
        <v>0</v>
      </c>
      <c r="K3723" s="201">
        <v>0</v>
      </c>
    </row>
    <row r="3724" spans="1:11" x14ac:dyDescent="0.25">
      <c r="A3724"/>
      <c r="B3724" s="201">
        <v>0</v>
      </c>
      <c r="C3724">
        <v>0</v>
      </c>
      <c r="D3724" s="201">
        <v>0</v>
      </c>
      <c r="E3724" s="201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 s="201">
        <v>0</v>
      </c>
    </row>
    <row r="3725" spans="1:11" x14ac:dyDescent="0.25">
      <c r="A3725"/>
      <c r="B3725" s="201">
        <v>0</v>
      </c>
      <c r="C3725">
        <v>0</v>
      </c>
      <c r="D3725" s="201">
        <v>0</v>
      </c>
      <c r="E3725" s="201">
        <v>0</v>
      </c>
      <c r="F3725">
        <v>0</v>
      </c>
      <c r="G3725">
        <v>0</v>
      </c>
      <c r="H3725">
        <v>0</v>
      </c>
      <c r="I3725">
        <v>0</v>
      </c>
      <c r="J3725">
        <v>0</v>
      </c>
      <c r="K3725" s="201">
        <v>0</v>
      </c>
    </row>
    <row r="3726" spans="1:11" x14ac:dyDescent="0.25">
      <c r="A3726"/>
      <c r="B3726" s="201">
        <v>0</v>
      </c>
      <c r="C3726">
        <v>0</v>
      </c>
      <c r="D3726" s="201">
        <v>0</v>
      </c>
      <c r="E3726" s="201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 s="201">
        <v>0</v>
      </c>
    </row>
    <row r="3727" spans="1:11" x14ac:dyDescent="0.25">
      <c r="A3727"/>
      <c r="B3727" s="201">
        <v>0</v>
      </c>
      <c r="C3727">
        <v>0</v>
      </c>
      <c r="D3727" s="201">
        <v>0</v>
      </c>
      <c r="E3727" s="201">
        <v>0</v>
      </c>
      <c r="F3727">
        <v>0</v>
      </c>
      <c r="G3727">
        <v>0</v>
      </c>
      <c r="H3727">
        <v>0</v>
      </c>
      <c r="I3727">
        <v>0</v>
      </c>
      <c r="J3727">
        <v>0</v>
      </c>
      <c r="K3727" s="201">
        <v>0</v>
      </c>
    </row>
    <row r="3728" spans="1:11" x14ac:dyDescent="0.25">
      <c r="A3728"/>
      <c r="B3728" s="201">
        <v>0</v>
      </c>
      <c r="C3728">
        <v>0</v>
      </c>
      <c r="D3728" s="201">
        <v>0</v>
      </c>
      <c r="E3728" s="201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 s="201">
        <v>0</v>
      </c>
    </row>
    <row r="3729" spans="1:11" x14ac:dyDescent="0.25">
      <c r="A3729"/>
      <c r="B3729" s="201">
        <v>0</v>
      </c>
      <c r="C3729">
        <v>0</v>
      </c>
      <c r="D3729" s="201">
        <v>0</v>
      </c>
      <c r="E3729" s="201">
        <v>0</v>
      </c>
      <c r="F3729">
        <v>0</v>
      </c>
      <c r="G3729">
        <v>0</v>
      </c>
      <c r="H3729">
        <v>0</v>
      </c>
      <c r="I3729">
        <v>0</v>
      </c>
      <c r="J3729">
        <v>0</v>
      </c>
      <c r="K3729" s="201">
        <v>0</v>
      </c>
    </row>
    <row r="3730" spans="1:11" x14ac:dyDescent="0.25">
      <c r="A3730"/>
      <c r="B3730" s="201">
        <v>0</v>
      </c>
      <c r="C3730">
        <v>0</v>
      </c>
      <c r="D3730" s="201">
        <v>0</v>
      </c>
      <c r="E3730" s="201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 s="201">
        <v>0</v>
      </c>
    </row>
    <row r="3731" spans="1:11" x14ac:dyDescent="0.25">
      <c r="A3731"/>
      <c r="B3731" s="201">
        <v>0</v>
      </c>
      <c r="C3731">
        <v>0</v>
      </c>
      <c r="D3731" s="201">
        <v>0</v>
      </c>
      <c r="E3731" s="201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 s="201">
        <v>0</v>
      </c>
    </row>
    <row r="3732" spans="1:11" x14ac:dyDescent="0.25">
      <c r="A3732"/>
      <c r="B3732" s="201">
        <v>0</v>
      </c>
      <c r="C3732">
        <v>0</v>
      </c>
      <c r="D3732" s="201">
        <v>0</v>
      </c>
      <c r="E3732" s="201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 s="201">
        <v>0</v>
      </c>
    </row>
    <row r="3733" spans="1:11" x14ac:dyDescent="0.25">
      <c r="A3733"/>
      <c r="B3733" s="201">
        <v>0</v>
      </c>
      <c r="C3733">
        <v>0</v>
      </c>
      <c r="D3733" s="201">
        <v>0</v>
      </c>
      <c r="E3733" s="201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 s="201">
        <v>0</v>
      </c>
    </row>
    <row r="3734" spans="1:11" x14ac:dyDescent="0.25">
      <c r="A3734"/>
      <c r="B3734" s="201">
        <v>0</v>
      </c>
      <c r="C3734">
        <v>0</v>
      </c>
      <c r="D3734" s="201">
        <v>0</v>
      </c>
      <c r="E3734" s="201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 s="201">
        <v>0</v>
      </c>
    </row>
    <row r="3735" spans="1:11" x14ac:dyDescent="0.25">
      <c r="A3735"/>
      <c r="B3735" s="201">
        <v>0</v>
      </c>
      <c r="C3735">
        <v>0</v>
      </c>
      <c r="D3735" s="201">
        <v>0</v>
      </c>
      <c r="E3735" s="201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 s="201">
        <v>0</v>
      </c>
    </row>
    <row r="3736" spans="1:11" x14ac:dyDescent="0.25">
      <c r="A3736"/>
      <c r="B3736" s="201">
        <v>0</v>
      </c>
      <c r="C3736">
        <v>0</v>
      </c>
      <c r="D3736" s="201">
        <v>0</v>
      </c>
      <c r="E3736" s="201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 s="201">
        <v>0</v>
      </c>
    </row>
    <row r="3737" spans="1:11" x14ac:dyDescent="0.25">
      <c r="A3737"/>
      <c r="B3737" s="201">
        <v>0</v>
      </c>
      <c r="C3737">
        <v>0</v>
      </c>
      <c r="D3737" s="201">
        <v>0</v>
      </c>
      <c r="E3737" s="201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 s="201">
        <v>0</v>
      </c>
    </row>
    <row r="3738" spans="1:11" x14ac:dyDescent="0.25">
      <c r="A3738"/>
      <c r="B3738" s="201">
        <v>0</v>
      </c>
      <c r="C3738">
        <v>0</v>
      </c>
      <c r="D3738" s="201">
        <v>0</v>
      </c>
      <c r="E3738" s="201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 s="201">
        <v>0</v>
      </c>
    </row>
    <row r="3739" spans="1:11" x14ac:dyDescent="0.25">
      <c r="A3739"/>
      <c r="B3739" s="201">
        <v>0</v>
      </c>
      <c r="C3739">
        <v>0</v>
      </c>
      <c r="D3739" s="201">
        <v>0</v>
      </c>
      <c r="E3739" s="201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 s="201">
        <v>0</v>
      </c>
    </row>
    <row r="3740" spans="1:11" x14ac:dyDescent="0.25">
      <c r="A3740"/>
      <c r="B3740" s="201">
        <v>0</v>
      </c>
      <c r="C3740">
        <v>0</v>
      </c>
      <c r="D3740" s="201">
        <v>0</v>
      </c>
      <c r="E3740" s="201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 s="201">
        <v>0</v>
      </c>
    </row>
    <row r="3741" spans="1:11" x14ac:dyDescent="0.25">
      <c r="A3741"/>
      <c r="B3741" s="201">
        <v>0</v>
      </c>
      <c r="C3741">
        <v>0</v>
      </c>
      <c r="D3741" s="201">
        <v>0</v>
      </c>
      <c r="E3741" s="20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 s="201">
        <v>0</v>
      </c>
    </row>
    <row r="3742" spans="1:11" x14ac:dyDescent="0.25">
      <c r="A3742"/>
      <c r="B3742" s="201">
        <v>0</v>
      </c>
      <c r="C3742">
        <v>0</v>
      </c>
      <c r="D3742" s="201">
        <v>0</v>
      </c>
      <c r="E3742" s="201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 s="201">
        <v>0</v>
      </c>
    </row>
    <row r="3743" spans="1:11" x14ac:dyDescent="0.25">
      <c r="A3743"/>
      <c r="B3743" s="201">
        <v>0</v>
      </c>
      <c r="C3743">
        <v>0</v>
      </c>
      <c r="D3743" s="201">
        <v>0</v>
      </c>
      <c r="E3743" s="201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 s="201">
        <v>0</v>
      </c>
    </row>
    <row r="3744" spans="1:11" x14ac:dyDescent="0.25">
      <c r="A3744"/>
      <c r="B3744" s="201">
        <v>0</v>
      </c>
      <c r="C3744">
        <v>0</v>
      </c>
      <c r="D3744" s="201">
        <v>0</v>
      </c>
      <c r="E3744" s="201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 s="201">
        <v>0</v>
      </c>
    </row>
    <row r="3745" spans="1:11" x14ac:dyDescent="0.25">
      <c r="A3745"/>
      <c r="B3745" s="201">
        <v>0</v>
      </c>
      <c r="C3745">
        <v>0</v>
      </c>
      <c r="D3745" s="201">
        <v>0</v>
      </c>
      <c r="E3745" s="201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 s="201">
        <v>0</v>
      </c>
    </row>
    <row r="3746" spans="1:11" x14ac:dyDescent="0.25">
      <c r="A3746"/>
      <c r="B3746" s="201">
        <v>0</v>
      </c>
      <c r="C3746">
        <v>0</v>
      </c>
      <c r="D3746" s="201">
        <v>0</v>
      </c>
      <c r="E3746" s="201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 s="201">
        <v>0</v>
      </c>
    </row>
    <row r="3747" spans="1:11" x14ac:dyDescent="0.25">
      <c r="A3747"/>
      <c r="B3747" s="201">
        <v>0</v>
      </c>
      <c r="C3747">
        <v>0</v>
      </c>
      <c r="D3747" s="201">
        <v>0</v>
      </c>
      <c r="E3747" s="201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 s="201">
        <v>0</v>
      </c>
    </row>
    <row r="3748" spans="1:11" x14ac:dyDescent="0.25">
      <c r="A3748"/>
      <c r="B3748" s="201">
        <v>0</v>
      </c>
      <c r="C3748">
        <v>0</v>
      </c>
      <c r="D3748" s="201">
        <v>0</v>
      </c>
      <c r="E3748" s="201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 s="201">
        <v>0</v>
      </c>
    </row>
    <row r="3749" spans="1:11" x14ac:dyDescent="0.25">
      <c r="A3749"/>
      <c r="B3749" s="201">
        <v>0</v>
      </c>
      <c r="C3749">
        <v>0</v>
      </c>
      <c r="D3749" s="201">
        <v>0</v>
      </c>
      <c r="E3749" s="201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 s="201">
        <v>0</v>
      </c>
    </row>
    <row r="3750" spans="1:11" x14ac:dyDescent="0.25">
      <c r="A3750"/>
      <c r="B3750" s="201">
        <v>0</v>
      </c>
      <c r="C3750">
        <v>0</v>
      </c>
      <c r="D3750" s="201">
        <v>0</v>
      </c>
      <c r="E3750" s="201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 s="201">
        <v>0</v>
      </c>
    </row>
    <row r="3751" spans="1:11" x14ac:dyDescent="0.25">
      <c r="A3751"/>
      <c r="B3751" s="201">
        <v>0</v>
      </c>
      <c r="C3751">
        <v>0</v>
      </c>
      <c r="D3751" s="201">
        <v>0</v>
      </c>
      <c r="E3751" s="20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 s="201">
        <v>0</v>
      </c>
    </row>
    <row r="3752" spans="1:11" x14ac:dyDescent="0.25">
      <c r="A3752"/>
      <c r="B3752" s="201">
        <v>0</v>
      </c>
      <c r="C3752">
        <v>0</v>
      </c>
      <c r="D3752" s="201">
        <v>0</v>
      </c>
      <c r="E3752" s="201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 s="201">
        <v>0</v>
      </c>
    </row>
    <row r="3753" spans="1:11" x14ac:dyDescent="0.25">
      <c r="A3753"/>
      <c r="B3753" s="201">
        <v>0</v>
      </c>
      <c r="C3753">
        <v>0</v>
      </c>
      <c r="D3753" s="201">
        <v>0</v>
      </c>
      <c r="E3753" s="201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 s="201">
        <v>0</v>
      </c>
    </row>
    <row r="3754" spans="1:11" x14ac:dyDescent="0.25">
      <c r="A3754"/>
      <c r="B3754" s="201">
        <v>0</v>
      </c>
      <c r="C3754">
        <v>0</v>
      </c>
      <c r="D3754" s="201">
        <v>0</v>
      </c>
      <c r="E3754" s="201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 s="201">
        <v>0</v>
      </c>
    </row>
    <row r="3755" spans="1:11" x14ac:dyDescent="0.25">
      <c r="A3755"/>
      <c r="B3755" s="201">
        <v>0</v>
      </c>
      <c r="C3755">
        <v>0</v>
      </c>
      <c r="D3755" s="201">
        <v>0</v>
      </c>
      <c r="E3755" s="201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 s="201">
        <v>0</v>
      </c>
    </row>
    <row r="3756" spans="1:11" x14ac:dyDescent="0.25">
      <c r="A3756"/>
      <c r="B3756" s="201">
        <v>0</v>
      </c>
      <c r="C3756">
        <v>0</v>
      </c>
      <c r="D3756" s="201">
        <v>0</v>
      </c>
      <c r="E3756" s="201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 s="201">
        <v>0</v>
      </c>
    </row>
    <row r="3757" spans="1:11" x14ac:dyDescent="0.25">
      <c r="A3757"/>
      <c r="B3757" s="201">
        <v>0</v>
      </c>
      <c r="C3757">
        <v>0</v>
      </c>
      <c r="D3757" s="201">
        <v>0</v>
      </c>
      <c r="E3757" s="201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 s="201">
        <v>0</v>
      </c>
    </row>
    <row r="3758" spans="1:11" x14ac:dyDescent="0.25">
      <c r="A3758"/>
      <c r="B3758" s="201">
        <v>0</v>
      </c>
      <c r="C3758">
        <v>0</v>
      </c>
      <c r="D3758" s="201">
        <v>0</v>
      </c>
      <c r="E3758" s="201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 s="201">
        <v>0</v>
      </c>
    </row>
    <row r="3759" spans="1:11" x14ac:dyDescent="0.25">
      <c r="A3759"/>
      <c r="B3759" s="201">
        <v>0</v>
      </c>
      <c r="C3759">
        <v>0</v>
      </c>
      <c r="D3759" s="201">
        <v>0</v>
      </c>
      <c r="E3759" s="201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 s="201">
        <v>0</v>
      </c>
    </row>
    <row r="3760" spans="1:11" x14ac:dyDescent="0.25">
      <c r="A3760"/>
      <c r="B3760" s="201">
        <v>0</v>
      </c>
      <c r="C3760">
        <v>0</v>
      </c>
      <c r="D3760" s="201">
        <v>0</v>
      </c>
      <c r="E3760" s="201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 s="201">
        <v>0</v>
      </c>
    </row>
    <row r="3761" spans="1:11" x14ac:dyDescent="0.25">
      <c r="A3761"/>
      <c r="B3761" s="201">
        <v>0</v>
      </c>
      <c r="C3761">
        <v>0</v>
      </c>
      <c r="D3761" s="201">
        <v>0</v>
      </c>
      <c r="E3761" s="20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 s="201">
        <v>0</v>
      </c>
    </row>
    <row r="3762" spans="1:11" x14ac:dyDescent="0.25">
      <c r="A3762"/>
      <c r="B3762" s="201">
        <v>0</v>
      </c>
      <c r="C3762">
        <v>0</v>
      </c>
      <c r="D3762" s="201">
        <v>0</v>
      </c>
      <c r="E3762" s="201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 s="201">
        <v>0</v>
      </c>
    </row>
    <row r="3763" spans="1:11" x14ac:dyDescent="0.25">
      <c r="A3763"/>
      <c r="B3763" s="201">
        <v>0</v>
      </c>
      <c r="C3763">
        <v>0</v>
      </c>
      <c r="D3763" s="201">
        <v>0</v>
      </c>
      <c r="E3763" s="201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 s="201">
        <v>0</v>
      </c>
    </row>
    <row r="3764" spans="1:11" x14ac:dyDescent="0.25">
      <c r="A3764"/>
      <c r="B3764" s="201">
        <v>0</v>
      </c>
      <c r="C3764">
        <v>0</v>
      </c>
      <c r="D3764" s="201">
        <v>0</v>
      </c>
      <c r="E3764" s="201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 s="201">
        <v>0</v>
      </c>
    </row>
    <row r="3765" spans="1:11" x14ac:dyDescent="0.25">
      <c r="A3765"/>
      <c r="B3765" s="201">
        <v>0</v>
      </c>
      <c r="C3765">
        <v>0</v>
      </c>
      <c r="D3765" s="201">
        <v>0</v>
      </c>
      <c r="E3765" s="201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 s="201">
        <v>0</v>
      </c>
    </row>
    <row r="3766" spans="1:11" x14ac:dyDescent="0.25">
      <c r="A3766"/>
      <c r="B3766" s="201">
        <v>0</v>
      </c>
      <c r="C3766">
        <v>0</v>
      </c>
      <c r="D3766" s="201">
        <v>0</v>
      </c>
      <c r="E3766" s="201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 s="201">
        <v>0</v>
      </c>
    </row>
    <row r="3767" spans="1:11" x14ac:dyDescent="0.25">
      <c r="A3767"/>
      <c r="B3767" s="201">
        <v>0</v>
      </c>
      <c r="C3767">
        <v>0</v>
      </c>
      <c r="D3767" s="201">
        <v>0</v>
      </c>
      <c r="E3767" s="201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 s="201">
        <v>0</v>
      </c>
    </row>
    <row r="3768" spans="1:11" x14ac:dyDescent="0.25">
      <c r="A3768"/>
      <c r="B3768" s="201">
        <v>0</v>
      </c>
      <c r="C3768">
        <v>0</v>
      </c>
      <c r="D3768" s="201">
        <v>0</v>
      </c>
      <c r="E3768" s="201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 s="201">
        <v>0</v>
      </c>
    </row>
    <row r="3769" spans="1:11" x14ac:dyDescent="0.25">
      <c r="A3769"/>
      <c r="B3769" s="201">
        <v>0</v>
      </c>
      <c r="C3769">
        <v>0</v>
      </c>
      <c r="D3769" s="201">
        <v>0</v>
      </c>
      <c r="E3769" s="201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 s="201">
        <v>0</v>
      </c>
    </row>
    <row r="3770" spans="1:11" x14ac:dyDescent="0.25">
      <c r="A3770"/>
      <c r="B3770" s="201">
        <v>0</v>
      </c>
      <c r="C3770">
        <v>0</v>
      </c>
      <c r="D3770" s="201">
        <v>0</v>
      </c>
      <c r="E3770" s="201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 s="201">
        <v>0</v>
      </c>
    </row>
    <row r="3771" spans="1:11" x14ac:dyDescent="0.25">
      <c r="A3771"/>
      <c r="B3771" s="201">
        <v>0</v>
      </c>
      <c r="C3771">
        <v>0</v>
      </c>
      <c r="D3771" s="201">
        <v>0</v>
      </c>
      <c r="E3771" s="20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 s="201">
        <v>0</v>
      </c>
    </row>
    <row r="3772" spans="1:11" x14ac:dyDescent="0.25">
      <c r="A3772"/>
      <c r="B3772" s="201">
        <v>0</v>
      </c>
      <c r="C3772">
        <v>0</v>
      </c>
      <c r="D3772" s="201">
        <v>0</v>
      </c>
      <c r="E3772" s="201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 s="201">
        <v>0</v>
      </c>
    </row>
    <row r="3773" spans="1:11" x14ac:dyDescent="0.25">
      <c r="A3773"/>
      <c r="B3773" s="201">
        <v>-497</v>
      </c>
      <c r="C3773">
        <v>262</v>
      </c>
      <c r="D3773" s="201">
        <v>-1023</v>
      </c>
      <c r="E3773" s="201">
        <v>-65</v>
      </c>
      <c r="F3773">
        <v>-1972</v>
      </c>
      <c r="G3773">
        <v>0</v>
      </c>
      <c r="H3773">
        <v>0</v>
      </c>
      <c r="I3773">
        <v>-294</v>
      </c>
      <c r="J3773">
        <v>0</v>
      </c>
      <c r="K3773" s="201">
        <v>0</v>
      </c>
    </row>
    <row r="3774" spans="1:11" x14ac:dyDescent="0.25">
      <c r="A3774"/>
      <c r="B3774" s="201">
        <v>0</v>
      </c>
      <c r="C3774">
        <v>1138</v>
      </c>
      <c r="D3774" s="201">
        <v>-1129</v>
      </c>
      <c r="E3774" s="201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 s="201">
        <v>-1777</v>
      </c>
    </row>
    <row r="3775" spans="1:11" x14ac:dyDescent="0.25">
      <c r="A3775"/>
      <c r="B3775" s="201">
        <v>0</v>
      </c>
      <c r="C3775">
        <v>0</v>
      </c>
      <c r="D3775" s="201">
        <v>-36</v>
      </c>
      <c r="E3775" s="201">
        <v>0</v>
      </c>
      <c r="F3775">
        <v>-10</v>
      </c>
      <c r="G3775">
        <v>0</v>
      </c>
      <c r="H3775">
        <v>833</v>
      </c>
      <c r="I3775">
        <v>1156</v>
      </c>
      <c r="J3775">
        <v>583</v>
      </c>
      <c r="K3775" s="201">
        <v>0</v>
      </c>
    </row>
    <row r="3776" spans="1:11" x14ac:dyDescent="0.25">
      <c r="A3776"/>
      <c r="B3776" s="201">
        <v>422</v>
      </c>
      <c r="C3776">
        <v>-97</v>
      </c>
      <c r="D3776" s="201">
        <v>-424</v>
      </c>
      <c r="E3776" s="201">
        <v>-932</v>
      </c>
      <c r="F3776">
        <v>-757</v>
      </c>
      <c r="G3776">
        <v>-372</v>
      </c>
      <c r="H3776">
        <v>0</v>
      </c>
      <c r="I3776">
        <v>148</v>
      </c>
      <c r="J3776">
        <v>0</v>
      </c>
      <c r="K3776" s="201">
        <v>0</v>
      </c>
    </row>
    <row r="3777" spans="1:11" x14ac:dyDescent="0.25">
      <c r="A3777"/>
      <c r="B3777" s="201">
        <v>0</v>
      </c>
      <c r="C3777">
        <v>0</v>
      </c>
      <c r="D3777" s="201">
        <v>0</v>
      </c>
      <c r="E3777" s="201">
        <v>-216</v>
      </c>
      <c r="F3777">
        <v>0</v>
      </c>
      <c r="G3777">
        <v>0</v>
      </c>
      <c r="H3777">
        <v>0</v>
      </c>
      <c r="I3777">
        <v>331</v>
      </c>
      <c r="J3777">
        <v>0</v>
      </c>
      <c r="K3777" s="201">
        <v>69</v>
      </c>
    </row>
    <row r="3778" spans="1:11" x14ac:dyDescent="0.25">
      <c r="A3778"/>
      <c r="B3778" s="201">
        <v>0</v>
      </c>
      <c r="C3778">
        <v>0</v>
      </c>
      <c r="D3778" s="201">
        <v>0</v>
      </c>
      <c r="E3778" s="201">
        <v>0</v>
      </c>
      <c r="F3778">
        <v>0</v>
      </c>
      <c r="G3778">
        <v>281</v>
      </c>
      <c r="H3778">
        <v>0</v>
      </c>
      <c r="I3778">
        <v>1174</v>
      </c>
      <c r="J3778">
        <v>392</v>
      </c>
      <c r="K3778" s="201">
        <v>0</v>
      </c>
    </row>
    <row r="3779" spans="1:11" x14ac:dyDescent="0.25">
      <c r="A3779"/>
      <c r="B3779" s="201">
        <v>0</v>
      </c>
      <c r="C3779">
        <v>-267</v>
      </c>
      <c r="D3779" s="201">
        <v>-4335</v>
      </c>
      <c r="E3779" s="201">
        <v>0</v>
      </c>
      <c r="F3779">
        <v>12919</v>
      </c>
      <c r="G3779">
        <v>0</v>
      </c>
      <c r="H3779">
        <v>0</v>
      </c>
      <c r="I3779">
        <v>0</v>
      </c>
      <c r="J3779">
        <v>0</v>
      </c>
      <c r="K3779" s="201">
        <v>5607</v>
      </c>
    </row>
    <row r="3780" spans="1:11" x14ac:dyDescent="0.25">
      <c r="A3780"/>
      <c r="B3780" s="201">
        <v>-1975</v>
      </c>
      <c r="C3780">
        <v>-1228</v>
      </c>
      <c r="D3780" s="201">
        <v>0</v>
      </c>
      <c r="E3780" s="201">
        <v>0</v>
      </c>
      <c r="F3780">
        <v>-124</v>
      </c>
      <c r="G3780">
        <v>3623</v>
      </c>
      <c r="H3780">
        <v>0</v>
      </c>
      <c r="I3780">
        <v>-2081</v>
      </c>
      <c r="J3780">
        <v>-1757</v>
      </c>
      <c r="K3780" s="201">
        <v>-344</v>
      </c>
    </row>
    <row r="3781" spans="1:11" x14ac:dyDescent="0.25">
      <c r="A3781"/>
      <c r="B3781" s="201">
        <v>547</v>
      </c>
      <c r="C3781">
        <v>937</v>
      </c>
      <c r="D3781" s="201">
        <v>-481</v>
      </c>
      <c r="E3781" s="201">
        <v>-5711</v>
      </c>
      <c r="F3781">
        <v>0</v>
      </c>
      <c r="G3781">
        <v>0</v>
      </c>
      <c r="H3781">
        <v>0</v>
      </c>
      <c r="I3781">
        <v>0</v>
      </c>
      <c r="J3781">
        <v>0</v>
      </c>
      <c r="K3781" s="201">
        <v>-75</v>
      </c>
    </row>
    <row r="3782" spans="1:11" x14ac:dyDescent="0.25">
      <c r="A3782"/>
      <c r="B3782" s="201">
        <v>0</v>
      </c>
      <c r="C3782">
        <v>2089</v>
      </c>
      <c r="D3782" s="201">
        <v>-271</v>
      </c>
      <c r="E3782" s="201">
        <v>486</v>
      </c>
      <c r="F3782">
        <v>0</v>
      </c>
      <c r="G3782">
        <v>2275</v>
      </c>
      <c r="H3782">
        <v>-1194</v>
      </c>
      <c r="I3782">
        <v>-724</v>
      </c>
      <c r="J3782">
        <v>202</v>
      </c>
      <c r="K3782" s="201">
        <v>-30637</v>
      </c>
    </row>
    <row r="3783" spans="1:11" x14ac:dyDescent="0.25">
      <c r="A3783"/>
      <c r="B3783" s="201">
        <v>0</v>
      </c>
      <c r="C3783">
        <v>-2136</v>
      </c>
      <c r="D3783" s="201">
        <v>-3187</v>
      </c>
      <c r="E3783" s="201">
        <v>707</v>
      </c>
      <c r="F3783">
        <v>228</v>
      </c>
      <c r="G3783">
        <v>0</v>
      </c>
      <c r="H3783">
        <v>-217</v>
      </c>
      <c r="I3783">
        <v>-55</v>
      </c>
      <c r="J3783">
        <v>0</v>
      </c>
      <c r="K3783" s="201">
        <v>0</v>
      </c>
    </row>
    <row r="3784" spans="1:11" x14ac:dyDescent="0.25">
      <c r="A3784"/>
      <c r="B3784" s="201">
        <v>0</v>
      </c>
      <c r="C3784">
        <v>-660</v>
      </c>
      <c r="D3784" s="201">
        <v>-284</v>
      </c>
      <c r="E3784" s="201">
        <v>0</v>
      </c>
      <c r="F3784">
        <v>425</v>
      </c>
      <c r="G3784">
        <v>220</v>
      </c>
      <c r="H3784">
        <v>-20</v>
      </c>
      <c r="I3784">
        <v>639</v>
      </c>
      <c r="J3784">
        <v>0</v>
      </c>
      <c r="K3784" s="201">
        <v>0</v>
      </c>
    </row>
    <row r="3785" spans="1:11" x14ac:dyDescent="0.25">
      <c r="A3785"/>
      <c r="B3785" s="201">
        <v>0</v>
      </c>
      <c r="C3785">
        <v>0</v>
      </c>
      <c r="D3785" s="201">
        <v>0</v>
      </c>
      <c r="E3785" s="201">
        <v>-531</v>
      </c>
      <c r="F3785">
        <v>0</v>
      </c>
      <c r="G3785">
        <v>554</v>
      </c>
      <c r="H3785">
        <v>49</v>
      </c>
      <c r="I3785">
        <v>-136</v>
      </c>
      <c r="J3785">
        <v>0</v>
      </c>
      <c r="K3785" s="201">
        <v>1548</v>
      </c>
    </row>
    <row r="3786" spans="1:11" x14ac:dyDescent="0.25">
      <c r="A3786"/>
      <c r="B3786" s="201">
        <v>-98</v>
      </c>
      <c r="C3786">
        <v>-451</v>
      </c>
      <c r="D3786" s="201">
        <v>1948</v>
      </c>
      <c r="E3786" s="201">
        <v>-30213</v>
      </c>
      <c r="F3786">
        <v>-20</v>
      </c>
      <c r="G3786">
        <v>-1759</v>
      </c>
      <c r="H3786">
        <v>-3048</v>
      </c>
      <c r="I3786">
        <v>0</v>
      </c>
      <c r="J3786">
        <v>136</v>
      </c>
      <c r="K3786" s="201">
        <v>0</v>
      </c>
    </row>
    <row r="3787" spans="1:11" x14ac:dyDescent="0.25">
      <c r="A3787"/>
      <c r="B3787" s="201">
        <v>0</v>
      </c>
      <c r="C3787">
        <v>-50</v>
      </c>
      <c r="D3787" s="201">
        <v>146</v>
      </c>
      <c r="E3787" s="201">
        <v>0</v>
      </c>
      <c r="F3787">
        <v>6</v>
      </c>
      <c r="G3787">
        <v>0</v>
      </c>
      <c r="H3787">
        <v>0</v>
      </c>
      <c r="I3787">
        <v>247</v>
      </c>
      <c r="J3787">
        <v>0</v>
      </c>
      <c r="K3787" s="201">
        <v>60</v>
      </c>
    </row>
    <row r="3788" spans="1:11" x14ac:dyDescent="0.25">
      <c r="A3788"/>
      <c r="B3788" s="201">
        <v>-210</v>
      </c>
      <c r="C3788">
        <v>467</v>
      </c>
      <c r="D3788" s="201">
        <v>0</v>
      </c>
      <c r="E3788" s="201">
        <v>0</v>
      </c>
      <c r="F3788">
        <v>0</v>
      </c>
      <c r="G3788">
        <v>0</v>
      </c>
      <c r="H3788">
        <v>0</v>
      </c>
      <c r="I3788">
        <v>149</v>
      </c>
      <c r="J3788">
        <v>0</v>
      </c>
      <c r="K3788" s="201">
        <v>-1094</v>
      </c>
    </row>
    <row r="3789" spans="1:11" x14ac:dyDescent="0.25">
      <c r="A3789"/>
      <c r="B3789" s="201">
        <v>-37</v>
      </c>
      <c r="C3789">
        <v>66</v>
      </c>
      <c r="D3789" s="201">
        <v>0</v>
      </c>
      <c r="E3789" s="201">
        <v>-543</v>
      </c>
      <c r="F3789">
        <v>-3847</v>
      </c>
      <c r="G3789">
        <v>4136</v>
      </c>
      <c r="H3789">
        <v>0</v>
      </c>
      <c r="I3789">
        <v>0</v>
      </c>
      <c r="J3789">
        <v>0</v>
      </c>
      <c r="K3789" s="201">
        <v>-555</v>
      </c>
    </row>
    <row r="3790" spans="1:11" x14ac:dyDescent="0.25">
      <c r="A3790"/>
      <c r="B3790" s="201">
        <v>-343</v>
      </c>
      <c r="C3790">
        <v>4554</v>
      </c>
      <c r="D3790" s="201">
        <v>654</v>
      </c>
      <c r="E3790" s="201">
        <v>767</v>
      </c>
      <c r="F3790">
        <v>0</v>
      </c>
      <c r="G3790">
        <v>484</v>
      </c>
      <c r="H3790">
        <v>0</v>
      </c>
      <c r="I3790">
        <v>0</v>
      </c>
      <c r="J3790">
        <v>-1185</v>
      </c>
      <c r="K3790" s="201">
        <v>0</v>
      </c>
    </row>
    <row r="3791" spans="1:11" x14ac:dyDescent="0.25">
      <c r="A3791"/>
      <c r="B3791" s="201">
        <v>-5356</v>
      </c>
      <c r="C3791">
        <v>0</v>
      </c>
      <c r="D3791" s="201">
        <v>30</v>
      </c>
      <c r="E3791" s="201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 s="201">
        <v>0</v>
      </c>
    </row>
    <row r="3792" spans="1:11" x14ac:dyDescent="0.25">
      <c r="A3792"/>
      <c r="B3792" s="201">
        <v>0</v>
      </c>
      <c r="C3792">
        <v>101</v>
      </c>
      <c r="D3792" s="201">
        <v>0</v>
      </c>
      <c r="E3792" s="201">
        <v>916</v>
      </c>
      <c r="F3792">
        <v>-20</v>
      </c>
      <c r="G3792">
        <v>222</v>
      </c>
      <c r="H3792">
        <v>0</v>
      </c>
      <c r="I3792">
        <v>-278</v>
      </c>
      <c r="J3792">
        <v>-896</v>
      </c>
      <c r="K3792" s="201">
        <v>0</v>
      </c>
    </row>
    <row r="3793" spans="1:11" x14ac:dyDescent="0.25">
      <c r="A3793"/>
      <c r="B3793" s="201">
        <v>0</v>
      </c>
      <c r="C3793">
        <v>0</v>
      </c>
      <c r="D3793" s="201">
        <v>0</v>
      </c>
      <c r="E3793" s="201">
        <v>0</v>
      </c>
      <c r="F3793">
        <v>-976</v>
      </c>
      <c r="G3793">
        <v>2075</v>
      </c>
      <c r="H3793">
        <v>710</v>
      </c>
      <c r="I3793">
        <v>665</v>
      </c>
      <c r="J3793">
        <v>527</v>
      </c>
      <c r="K3793" s="201">
        <v>1682</v>
      </c>
    </row>
    <row r="3794" spans="1:11" x14ac:dyDescent="0.25">
      <c r="A3794"/>
      <c r="B3794" s="201">
        <v>0</v>
      </c>
      <c r="C3794">
        <v>0</v>
      </c>
      <c r="D3794" s="201">
        <v>0</v>
      </c>
      <c r="E3794" s="201">
        <v>0</v>
      </c>
      <c r="F3794">
        <v>-5022</v>
      </c>
      <c r="G3794">
        <v>0</v>
      </c>
      <c r="H3794">
        <v>-1467</v>
      </c>
      <c r="I3794">
        <v>0</v>
      </c>
      <c r="J3794">
        <v>0</v>
      </c>
      <c r="K3794" s="201">
        <v>-9554</v>
      </c>
    </row>
    <row r="3795" spans="1:11" x14ac:dyDescent="0.25">
      <c r="A3795"/>
      <c r="B3795" s="201">
        <v>-436</v>
      </c>
      <c r="C3795">
        <v>0</v>
      </c>
      <c r="D3795" s="201">
        <v>0</v>
      </c>
      <c r="E3795" s="201">
        <v>0</v>
      </c>
      <c r="F3795">
        <v>0</v>
      </c>
      <c r="G3795">
        <v>-310</v>
      </c>
      <c r="H3795">
        <v>0</v>
      </c>
      <c r="I3795">
        <v>17</v>
      </c>
      <c r="J3795">
        <v>-510</v>
      </c>
      <c r="K3795" s="201">
        <v>441</v>
      </c>
    </row>
    <row r="3796" spans="1:11" x14ac:dyDescent="0.25">
      <c r="A3796"/>
      <c r="B3796" s="201">
        <v>11497</v>
      </c>
      <c r="C3796">
        <v>2462</v>
      </c>
      <c r="D3796" s="201">
        <v>-2235</v>
      </c>
      <c r="E3796" s="201">
        <v>11888</v>
      </c>
      <c r="F3796">
        <v>1927</v>
      </c>
      <c r="G3796">
        <v>2452</v>
      </c>
      <c r="H3796">
        <v>2212</v>
      </c>
      <c r="I3796">
        <v>0</v>
      </c>
      <c r="J3796">
        <v>0</v>
      </c>
      <c r="K3796" s="201">
        <v>0</v>
      </c>
    </row>
    <row r="3797" spans="1:11" x14ac:dyDescent="0.25">
      <c r="A3797"/>
      <c r="B3797" s="201">
        <v>0</v>
      </c>
      <c r="C3797">
        <v>0</v>
      </c>
      <c r="D3797" s="201">
        <v>0</v>
      </c>
      <c r="E3797" s="201">
        <v>0</v>
      </c>
      <c r="F3797">
        <v>470</v>
      </c>
      <c r="G3797">
        <v>440</v>
      </c>
      <c r="H3797">
        <v>2316</v>
      </c>
      <c r="I3797">
        <v>-254</v>
      </c>
      <c r="J3797">
        <v>125</v>
      </c>
      <c r="K3797" s="201">
        <v>-770</v>
      </c>
    </row>
    <row r="3798" spans="1:11" x14ac:dyDescent="0.25">
      <c r="A3798"/>
      <c r="B3798" s="201">
        <v>0</v>
      </c>
      <c r="C3798">
        <v>0</v>
      </c>
      <c r="D3798" s="201">
        <v>212</v>
      </c>
      <c r="E3798" s="201">
        <v>0</v>
      </c>
      <c r="F3798">
        <v>197</v>
      </c>
      <c r="G3798">
        <v>-1801</v>
      </c>
      <c r="H3798">
        <v>0</v>
      </c>
      <c r="I3798">
        <v>0</v>
      </c>
      <c r="J3798">
        <v>0</v>
      </c>
      <c r="K3798" s="201">
        <v>0</v>
      </c>
    </row>
    <row r="3799" spans="1:11" x14ac:dyDescent="0.25">
      <c r="A3799"/>
      <c r="B3799" s="201">
        <v>0</v>
      </c>
      <c r="C3799">
        <v>0</v>
      </c>
      <c r="D3799" s="201">
        <v>0</v>
      </c>
      <c r="E3799" s="201">
        <v>0</v>
      </c>
      <c r="F3799">
        <v>0</v>
      </c>
      <c r="G3799">
        <v>0</v>
      </c>
      <c r="H3799">
        <v>0</v>
      </c>
      <c r="I3799">
        <v>0</v>
      </c>
      <c r="J3799">
        <v>0</v>
      </c>
      <c r="K3799" s="201">
        <v>0</v>
      </c>
    </row>
    <row r="3800" spans="1:11" x14ac:dyDescent="0.25">
      <c r="A3800"/>
      <c r="B3800" s="201">
        <v>0</v>
      </c>
      <c r="C3800">
        <v>0</v>
      </c>
      <c r="D3800" s="201">
        <v>0</v>
      </c>
      <c r="E3800" s="201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 s="201">
        <v>0</v>
      </c>
    </row>
    <row r="3801" spans="1:11" x14ac:dyDescent="0.25">
      <c r="A3801"/>
      <c r="B3801" s="201">
        <v>0</v>
      </c>
      <c r="C3801">
        <v>0</v>
      </c>
      <c r="D3801" s="201">
        <v>0</v>
      </c>
      <c r="E3801" s="2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 s="201">
        <v>0</v>
      </c>
    </row>
    <row r="3802" spans="1:11" x14ac:dyDescent="0.25">
      <c r="A3802"/>
      <c r="B3802" s="201">
        <v>0</v>
      </c>
      <c r="C3802">
        <v>0</v>
      </c>
      <c r="D3802" s="201">
        <v>0</v>
      </c>
      <c r="E3802" s="201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 s="201">
        <v>0</v>
      </c>
    </row>
    <row r="3803" spans="1:11" x14ac:dyDescent="0.25">
      <c r="A3803"/>
      <c r="B3803" s="201">
        <v>0</v>
      </c>
      <c r="C3803">
        <v>0</v>
      </c>
      <c r="D3803" s="201">
        <v>0</v>
      </c>
      <c r="E3803" s="201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 s="201">
        <v>0</v>
      </c>
    </row>
    <row r="3804" spans="1:11" x14ac:dyDescent="0.25">
      <c r="A3804"/>
      <c r="B3804" s="201">
        <v>0</v>
      </c>
      <c r="C3804">
        <v>0</v>
      </c>
      <c r="D3804" s="201">
        <v>0</v>
      </c>
      <c r="E3804" s="201">
        <v>0</v>
      </c>
      <c r="F3804">
        <v>0</v>
      </c>
      <c r="G3804">
        <v>0</v>
      </c>
      <c r="H3804">
        <v>0</v>
      </c>
      <c r="I3804">
        <v>0</v>
      </c>
      <c r="J3804">
        <v>0</v>
      </c>
      <c r="K3804" s="201">
        <v>0</v>
      </c>
    </row>
    <row r="3805" spans="1:11" x14ac:dyDescent="0.25">
      <c r="A3805"/>
      <c r="B3805" s="201">
        <v>0</v>
      </c>
      <c r="C3805">
        <v>0</v>
      </c>
      <c r="D3805" s="201">
        <v>0</v>
      </c>
      <c r="E3805" s="201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 s="201">
        <v>0</v>
      </c>
    </row>
    <row r="3806" spans="1:11" x14ac:dyDescent="0.25">
      <c r="A3806"/>
      <c r="B3806" s="201">
        <v>0</v>
      </c>
      <c r="C3806">
        <v>0</v>
      </c>
      <c r="D3806" s="201">
        <v>0</v>
      </c>
      <c r="E3806" s="201">
        <v>0</v>
      </c>
      <c r="F3806">
        <v>0</v>
      </c>
      <c r="G3806">
        <v>0</v>
      </c>
      <c r="H3806">
        <v>0</v>
      </c>
      <c r="I3806">
        <v>0</v>
      </c>
      <c r="J3806">
        <v>0</v>
      </c>
      <c r="K3806" s="201">
        <v>0</v>
      </c>
    </row>
    <row r="3807" spans="1:11" x14ac:dyDescent="0.25">
      <c r="A3807"/>
      <c r="B3807" s="201">
        <v>0</v>
      </c>
      <c r="C3807">
        <v>0</v>
      </c>
      <c r="D3807" s="201">
        <v>0</v>
      </c>
      <c r="E3807" s="201">
        <v>0</v>
      </c>
      <c r="F3807">
        <v>0</v>
      </c>
      <c r="G3807">
        <v>0</v>
      </c>
      <c r="H3807">
        <v>0</v>
      </c>
      <c r="I3807">
        <v>0</v>
      </c>
      <c r="J3807">
        <v>0</v>
      </c>
      <c r="K3807" s="201">
        <v>0</v>
      </c>
    </row>
    <row r="3808" spans="1:11" x14ac:dyDescent="0.25">
      <c r="A3808"/>
      <c r="B3808" s="201">
        <v>0</v>
      </c>
      <c r="C3808">
        <v>0</v>
      </c>
      <c r="D3808" s="201">
        <v>0</v>
      </c>
      <c r="E3808" s="201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 s="201">
        <v>0</v>
      </c>
    </row>
    <row r="3809" spans="1:11" x14ac:dyDescent="0.25">
      <c r="A3809"/>
      <c r="B3809" s="201">
        <v>0</v>
      </c>
      <c r="C3809">
        <v>0</v>
      </c>
      <c r="D3809" s="201">
        <v>0</v>
      </c>
      <c r="E3809" s="201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 s="201">
        <v>0</v>
      </c>
    </row>
    <row r="3810" spans="1:11" x14ac:dyDescent="0.25">
      <c r="A3810"/>
      <c r="B3810" s="201">
        <v>0</v>
      </c>
      <c r="C3810">
        <v>0</v>
      </c>
      <c r="D3810" s="201">
        <v>0</v>
      </c>
      <c r="E3810" s="201">
        <v>0</v>
      </c>
      <c r="F3810">
        <v>0</v>
      </c>
      <c r="G3810">
        <v>0</v>
      </c>
      <c r="H3810">
        <v>0</v>
      </c>
      <c r="I3810">
        <v>0</v>
      </c>
      <c r="J3810">
        <v>0</v>
      </c>
      <c r="K3810" s="201">
        <v>0</v>
      </c>
    </row>
    <row r="3811" spans="1:11" x14ac:dyDescent="0.25">
      <c r="A3811"/>
      <c r="B3811" s="201">
        <v>0</v>
      </c>
      <c r="C3811">
        <v>0</v>
      </c>
      <c r="D3811" s="201">
        <v>0</v>
      </c>
      <c r="E3811" s="201">
        <v>0</v>
      </c>
      <c r="F3811">
        <v>0</v>
      </c>
      <c r="G3811">
        <v>0</v>
      </c>
      <c r="H3811">
        <v>0</v>
      </c>
      <c r="I3811">
        <v>0</v>
      </c>
      <c r="J3811">
        <v>0</v>
      </c>
      <c r="K3811" s="201">
        <v>0</v>
      </c>
    </row>
    <row r="3812" spans="1:11" x14ac:dyDescent="0.25">
      <c r="A3812"/>
      <c r="B3812" s="201">
        <v>0</v>
      </c>
      <c r="C3812">
        <v>0</v>
      </c>
      <c r="D3812" s="201">
        <v>0</v>
      </c>
      <c r="E3812" s="201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 s="201">
        <v>0</v>
      </c>
    </row>
    <row r="3813" spans="1:11" x14ac:dyDescent="0.25">
      <c r="A3813"/>
      <c r="B3813" s="201">
        <v>0</v>
      </c>
      <c r="C3813">
        <v>0</v>
      </c>
      <c r="D3813" s="201">
        <v>0</v>
      </c>
      <c r="E3813" s="201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 s="201">
        <v>0</v>
      </c>
    </row>
    <row r="3814" spans="1:11" x14ac:dyDescent="0.25">
      <c r="A3814"/>
      <c r="B3814" s="201">
        <v>0</v>
      </c>
      <c r="C3814">
        <v>0</v>
      </c>
      <c r="D3814" s="201">
        <v>0</v>
      </c>
      <c r="E3814" s="201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 s="201">
        <v>0</v>
      </c>
    </row>
    <row r="3815" spans="1:11" x14ac:dyDescent="0.25">
      <c r="A3815"/>
      <c r="B3815" s="201">
        <v>0</v>
      </c>
      <c r="C3815">
        <v>0</v>
      </c>
      <c r="D3815" s="201">
        <v>0</v>
      </c>
      <c r="E3815" s="201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 s="201">
        <v>0</v>
      </c>
    </row>
    <row r="3816" spans="1:11" x14ac:dyDescent="0.25">
      <c r="A3816"/>
      <c r="B3816" s="201">
        <v>0</v>
      </c>
      <c r="C3816">
        <v>0</v>
      </c>
      <c r="D3816" s="201">
        <v>0</v>
      </c>
      <c r="E3816" s="201">
        <v>0</v>
      </c>
      <c r="F3816">
        <v>0</v>
      </c>
      <c r="G3816">
        <v>0</v>
      </c>
      <c r="H3816">
        <v>0</v>
      </c>
      <c r="I3816">
        <v>0</v>
      </c>
      <c r="J3816">
        <v>0</v>
      </c>
      <c r="K3816" s="201">
        <v>0</v>
      </c>
    </row>
    <row r="3817" spans="1:11" x14ac:dyDescent="0.25">
      <c r="A3817"/>
      <c r="B3817" s="201">
        <v>0</v>
      </c>
      <c r="C3817">
        <v>0</v>
      </c>
      <c r="D3817" s="201">
        <v>0</v>
      </c>
      <c r="E3817" s="201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 s="201">
        <v>0</v>
      </c>
    </row>
    <row r="3818" spans="1:11" x14ac:dyDescent="0.25">
      <c r="A3818"/>
      <c r="B3818" s="201">
        <v>0</v>
      </c>
      <c r="C3818">
        <v>0</v>
      </c>
      <c r="D3818" s="201">
        <v>0</v>
      </c>
      <c r="E3818" s="201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 s="201">
        <v>0</v>
      </c>
    </row>
    <row r="3819" spans="1:11" x14ac:dyDescent="0.25">
      <c r="A3819"/>
      <c r="B3819" s="201">
        <v>0</v>
      </c>
      <c r="C3819">
        <v>0</v>
      </c>
      <c r="D3819" s="201">
        <v>0</v>
      </c>
      <c r="E3819" s="201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 s="201">
        <v>0</v>
      </c>
    </row>
    <row r="3820" spans="1:11" x14ac:dyDescent="0.25">
      <c r="A3820"/>
      <c r="B3820" s="201">
        <v>0</v>
      </c>
      <c r="C3820">
        <v>0</v>
      </c>
      <c r="D3820" s="201">
        <v>0</v>
      </c>
      <c r="E3820" s="201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 s="201">
        <v>0</v>
      </c>
    </row>
    <row r="3821" spans="1:11" x14ac:dyDescent="0.25">
      <c r="A3821"/>
      <c r="B3821" s="201">
        <v>0</v>
      </c>
      <c r="C3821">
        <v>0</v>
      </c>
      <c r="D3821" s="201">
        <v>0</v>
      </c>
      <c r="E3821" s="201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 s="201">
        <v>0</v>
      </c>
    </row>
    <row r="3822" spans="1:11" x14ac:dyDescent="0.25">
      <c r="A3822"/>
      <c r="B3822" s="201">
        <v>0</v>
      </c>
      <c r="C3822">
        <v>0</v>
      </c>
      <c r="D3822" s="201">
        <v>0</v>
      </c>
      <c r="E3822" s="201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 s="201">
        <v>0</v>
      </c>
    </row>
    <row r="3823" spans="1:11" x14ac:dyDescent="0.25">
      <c r="A3823"/>
      <c r="B3823" s="201">
        <v>0</v>
      </c>
      <c r="C3823">
        <v>0</v>
      </c>
      <c r="D3823" s="201">
        <v>0</v>
      </c>
      <c r="E3823" s="201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 s="201">
        <v>0</v>
      </c>
    </row>
    <row r="3824" spans="1:11" x14ac:dyDescent="0.25">
      <c r="A3824"/>
      <c r="B3824" s="201">
        <v>0</v>
      </c>
      <c r="C3824">
        <v>0</v>
      </c>
      <c r="D3824" s="201">
        <v>0</v>
      </c>
      <c r="E3824" s="201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 s="201">
        <v>0</v>
      </c>
    </row>
    <row r="3825" spans="1:11" x14ac:dyDescent="0.25">
      <c r="A3825"/>
      <c r="B3825" s="201">
        <v>0</v>
      </c>
      <c r="C3825">
        <v>272</v>
      </c>
      <c r="D3825" s="201">
        <v>2365</v>
      </c>
      <c r="E3825" s="201">
        <v>-630</v>
      </c>
      <c r="F3825">
        <v>2063</v>
      </c>
      <c r="G3825">
        <v>-20948</v>
      </c>
      <c r="H3825">
        <v>0</v>
      </c>
      <c r="I3825">
        <v>0</v>
      </c>
      <c r="J3825">
        <v>11</v>
      </c>
      <c r="K3825" s="201">
        <v>0</v>
      </c>
    </row>
    <row r="3826" spans="1:11" x14ac:dyDescent="0.25">
      <c r="A3826"/>
      <c r="B3826" s="201">
        <v>0</v>
      </c>
      <c r="C3826">
        <v>0</v>
      </c>
      <c r="D3826" s="201">
        <v>383</v>
      </c>
      <c r="E3826" s="201">
        <v>-448</v>
      </c>
      <c r="F3826">
        <v>0</v>
      </c>
      <c r="G3826">
        <v>0</v>
      </c>
      <c r="H3826">
        <v>0</v>
      </c>
      <c r="I3826">
        <v>0</v>
      </c>
      <c r="J3826">
        <v>0</v>
      </c>
      <c r="K3826" s="201">
        <v>0</v>
      </c>
    </row>
    <row r="3827" spans="1:11" x14ac:dyDescent="0.25">
      <c r="B3827" s="201">
        <v>-593</v>
      </c>
      <c r="C3827">
        <v>0</v>
      </c>
      <c r="D3827" s="201">
        <v>0</v>
      </c>
      <c r="E3827" s="201">
        <v>-924</v>
      </c>
      <c r="F3827">
        <v>0</v>
      </c>
      <c r="G3827">
        <v>960</v>
      </c>
      <c r="H3827">
        <v>0</v>
      </c>
      <c r="I3827">
        <v>25</v>
      </c>
      <c r="J3827">
        <v>146</v>
      </c>
      <c r="K3827" s="201">
        <v>71</v>
      </c>
    </row>
    <row r="3828" spans="1:11" x14ac:dyDescent="0.25">
      <c r="A3828"/>
      <c r="B3828" s="201">
        <v>0</v>
      </c>
      <c r="C3828">
        <v>3294</v>
      </c>
      <c r="D3828" s="201">
        <v>584</v>
      </c>
      <c r="E3828" s="201">
        <v>-1182</v>
      </c>
      <c r="F3828">
        <v>-9487</v>
      </c>
      <c r="G3828">
        <v>-3261</v>
      </c>
      <c r="H3828">
        <v>-850</v>
      </c>
      <c r="I3828">
        <v>0</v>
      </c>
      <c r="J3828">
        <v>188</v>
      </c>
      <c r="K3828" s="201">
        <v>0</v>
      </c>
    </row>
    <row r="3829" spans="1:11" x14ac:dyDescent="0.25">
      <c r="A3829"/>
      <c r="B3829" s="201">
        <v>0</v>
      </c>
      <c r="C3829">
        <v>0</v>
      </c>
      <c r="D3829" s="201">
        <v>0</v>
      </c>
      <c r="E3829" s="201">
        <v>0</v>
      </c>
      <c r="F3829">
        <v>886</v>
      </c>
      <c r="G3829">
        <v>0</v>
      </c>
      <c r="H3829">
        <v>0</v>
      </c>
      <c r="I3829">
        <v>0</v>
      </c>
      <c r="J3829">
        <v>-695</v>
      </c>
      <c r="K3829" s="201">
        <v>0</v>
      </c>
    </row>
    <row r="3830" spans="1:11" x14ac:dyDescent="0.25">
      <c r="A3830"/>
      <c r="B3830" s="201">
        <v>-219</v>
      </c>
      <c r="C3830">
        <v>0</v>
      </c>
      <c r="D3830" s="201">
        <v>0</v>
      </c>
      <c r="E3830" s="201">
        <v>0</v>
      </c>
      <c r="F3830">
        <v>0</v>
      </c>
      <c r="G3830">
        <v>0</v>
      </c>
      <c r="H3830">
        <v>236</v>
      </c>
      <c r="I3830">
        <v>0</v>
      </c>
      <c r="J3830">
        <v>3678</v>
      </c>
      <c r="K3830" s="201">
        <v>-403</v>
      </c>
    </row>
    <row r="3831" spans="1:11" x14ac:dyDescent="0.25">
      <c r="A3831"/>
      <c r="B3831" s="201">
        <v>0</v>
      </c>
      <c r="C3831">
        <v>0</v>
      </c>
      <c r="D3831" s="201">
        <v>222</v>
      </c>
      <c r="E3831" s="201">
        <v>-3304</v>
      </c>
      <c r="F3831">
        <v>0</v>
      </c>
      <c r="G3831">
        <v>6237</v>
      </c>
      <c r="H3831">
        <v>0</v>
      </c>
      <c r="I3831">
        <v>0</v>
      </c>
      <c r="J3831">
        <v>0</v>
      </c>
      <c r="K3831" s="201">
        <v>0</v>
      </c>
    </row>
    <row r="3832" spans="1:11" x14ac:dyDescent="0.25">
      <c r="B3832" s="201">
        <v>9413</v>
      </c>
      <c r="C3832">
        <v>-707</v>
      </c>
      <c r="D3832" s="201">
        <v>-965</v>
      </c>
      <c r="E3832" s="201">
        <v>0</v>
      </c>
      <c r="F3832">
        <v>0</v>
      </c>
      <c r="G3832">
        <v>1584</v>
      </c>
      <c r="H3832">
        <v>986</v>
      </c>
      <c r="I3832">
        <v>0</v>
      </c>
      <c r="J3832">
        <v>709</v>
      </c>
      <c r="K3832" s="201">
        <v>4472</v>
      </c>
    </row>
    <row r="3833" spans="1:11" x14ac:dyDescent="0.25">
      <c r="A3833"/>
      <c r="B3833" s="201">
        <v>873</v>
      </c>
      <c r="C3833">
        <v>3660</v>
      </c>
      <c r="D3833" s="201">
        <v>4101</v>
      </c>
      <c r="E3833" s="201">
        <v>3396</v>
      </c>
      <c r="F3833">
        <v>5127</v>
      </c>
      <c r="G3833">
        <v>0</v>
      </c>
      <c r="H3833">
        <v>0</v>
      </c>
      <c r="I3833">
        <v>0</v>
      </c>
      <c r="J3833">
        <v>0</v>
      </c>
      <c r="K3833" s="201">
        <v>0</v>
      </c>
    </row>
    <row r="3834" spans="1:11" x14ac:dyDescent="0.25">
      <c r="A3834"/>
      <c r="B3834" s="201">
        <v>-1530</v>
      </c>
      <c r="C3834">
        <v>0</v>
      </c>
      <c r="D3834" s="201">
        <v>4368</v>
      </c>
      <c r="E3834" s="201">
        <v>183</v>
      </c>
      <c r="F3834">
        <v>-3242</v>
      </c>
      <c r="G3834">
        <v>0</v>
      </c>
      <c r="H3834">
        <v>1146</v>
      </c>
      <c r="I3834">
        <v>362</v>
      </c>
      <c r="J3834">
        <v>-811</v>
      </c>
      <c r="K3834" s="201">
        <v>-995</v>
      </c>
    </row>
    <row r="3835" spans="1:11" x14ac:dyDescent="0.25">
      <c r="B3835" s="201">
        <v>-2620</v>
      </c>
      <c r="C3835">
        <v>0</v>
      </c>
      <c r="D3835" s="201">
        <v>-38224</v>
      </c>
      <c r="E3835" s="201">
        <v>-8434</v>
      </c>
      <c r="F3835">
        <v>-108</v>
      </c>
      <c r="G3835">
        <v>-54</v>
      </c>
      <c r="H3835">
        <v>0</v>
      </c>
      <c r="I3835">
        <v>-7</v>
      </c>
      <c r="J3835">
        <v>-1215</v>
      </c>
      <c r="K3835" s="201">
        <v>0</v>
      </c>
    </row>
    <row r="3836" spans="1:11" x14ac:dyDescent="0.25">
      <c r="A3836"/>
      <c r="B3836" s="201">
        <v>0</v>
      </c>
      <c r="C3836">
        <v>0</v>
      </c>
      <c r="D3836" s="201">
        <v>-151</v>
      </c>
      <c r="E3836" s="201">
        <v>599</v>
      </c>
      <c r="F3836">
        <v>0</v>
      </c>
      <c r="G3836">
        <v>174</v>
      </c>
      <c r="H3836">
        <v>883</v>
      </c>
      <c r="I3836">
        <v>-113</v>
      </c>
      <c r="J3836">
        <v>-697</v>
      </c>
      <c r="K3836" s="201">
        <v>0</v>
      </c>
    </row>
    <row r="3837" spans="1:11" x14ac:dyDescent="0.25">
      <c r="A3837"/>
      <c r="B3837" s="201">
        <v>0</v>
      </c>
      <c r="C3837">
        <v>0</v>
      </c>
      <c r="D3837" s="201">
        <v>0</v>
      </c>
      <c r="E3837" s="201">
        <v>0</v>
      </c>
      <c r="F3837">
        <v>-211</v>
      </c>
      <c r="G3837">
        <v>0</v>
      </c>
      <c r="H3837">
        <v>973</v>
      </c>
      <c r="I3837">
        <v>40</v>
      </c>
      <c r="J3837">
        <v>473</v>
      </c>
      <c r="K3837" s="201">
        <v>0</v>
      </c>
    </row>
    <row r="3838" spans="1:11" x14ac:dyDescent="0.25">
      <c r="A3838"/>
      <c r="B3838" s="201">
        <v>-139</v>
      </c>
      <c r="C3838">
        <v>323</v>
      </c>
      <c r="D3838" s="201">
        <v>-343</v>
      </c>
      <c r="E3838" s="201">
        <v>202</v>
      </c>
      <c r="F3838">
        <v>-1946</v>
      </c>
      <c r="G3838">
        <v>1015</v>
      </c>
      <c r="H3838">
        <v>-35294</v>
      </c>
      <c r="I3838">
        <v>-8048</v>
      </c>
      <c r="J3838">
        <v>0</v>
      </c>
      <c r="K3838" s="201">
        <v>-132</v>
      </c>
    </row>
    <row r="3839" spans="1:11" x14ac:dyDescent="0.25">
      <c r="A3839"/>
      <c r="B3839" s="201">
        <v>0</v>
      </c>
      <c r="C3839">
        <v>0</v>
      </c>
      <c r="D3839" s="201">
        <v>-1372</v>
      </c>
      <c r="E3839" s="201">
        <v>-24</v>
      </c>
      <c r="F3839">
        <v>0</v>
      </c>
      <c r="G3839">
        <v>42</v>
      </c>
      <c r="H3839">
        <v>0</v>
      </c>
      <c r="I3839">
        <v>0</v>
      </c>
      <c r="J3839">
        <v>-73</v>
      </c>
      <c r="K3839" s="201">
        <v>0</v>
      </c>
    </row>
    <row r="3840" spans="1:11" x14ac:dyDescent="0.25">
      <c r="A3840"/>
      <c r="B3840" s="201">
        <v>214</v>
      </c>
      <c r="C3840">
        <v>-111</v>
      </c>
      <c r="D3840" s="201">
        <v>-478</v>
      </c>
      <c r="E3840" s="201">
        <v>0</v>
      </c>
      <c r="F3840">
        <v>0</v>
      </c>
      <c r="G3840">
        <v>0</v>
      </c>
      <c r="H3840">
        <v>0</v>
      </c>
      <c r="I3840">
        <v>0</v>
      </c>
      <c r="J3840">
        <v>827</v>
      </c>
      <c r="K3840" s="201">
        <v>0</v>
      </c>
    </row>
    <row r="3841" spans="1:11" x14ac:dyDescent="0.25">
      <c r="A3841"/>
      <c r="B3841" s="201">
        <v>545</v>
      </c>
      <c r="C3841">
        <v>158</v>
      </c>
      <c r="D3841" s="201">
        <v>584</v>
      </c>
      <c r="E3841" s="201">
        <v>0</v>
      </c>
      <c r="F3841">
        <v>1403</v>
      </c>
      <c r="G3841">
        <v>640</v>
      </c>
      <c r="H3841">
        <v>152</v>
      </c>
      <c r="I3841">
        <v>0</v>
      </c>
      <c r="J3841">
        <v>0</v>
      </c>
      <c r="K3841" s="201">
        <v>0</v>
      </c>
    </row>
    <row r="3842" spans="1:11" x14ac:dyDescent="0.25">
      <c r="A3842"/>
      <c r="B3842" s="201">
        <v>-42542</v>
      </c>
      <c r="C3842">
        <v>-8782</v>
      </c>
      <c r="D3842" s="201">
        <v>195</v>
      </c>
      <c r="E3842" s="201">
        <v>-59</v>
      </c>
      <c r="F3842">
        <v>161</v>
      </c>
      <c r="G3842">
        <v>0</v>
      </c>
      <c r="H3842">
        <v>-1169</v>
      </c>
      <c r="I3842">
        <v>0</v>
      </c>
      <c r="J3842">
        <v>0</v>
      </c>
      <c r="K3842" s="201">
        <v>63</v>
      </c>
    </row>
    <row r="3843" spans="1:11" x14ac:dyDescent="0.25">
      <c r="A3843"/>
      <c r="B3843" s="201">
        <v>0</v>
      </c>
      <c r="C3843">
        <v>-182</v>
      </c>
      <c r="D3843" s="201">
        <v>0</v>
      </c>
      <c r="E3843" s="201">
        <v>-39</v>
      </c>
      <c r="F3843">
        <v>0</v>
      </c>
      <c r="G3843">
        <v>0</v>
      </c>
      <c r="H3843">
        <v>0</v>
      </c>
      <c r="I3843">
        <v>0</v>
      </c>
      <c r="J3843">
        <v>0</v>
      </c>
      <c r="K3843" s="201">
        <v>0</v>
      </c>
    </row>
    <row r="3844" spans="1:11" x14ac:dyDescent="0.25">
      <c r="A3844"/>
      <c r="B3844" s="201">
        <v>0</v>
      </c>
      <c r="C3844">
        <v>0</v>
      </c>
      <c r="D3844" s="201">
        <v>-563</v>
      </c>
      <c r="E3844" s="201">
        <v>0</v>
      </c>
      <c r="F3844">
        <v>777</v>
      </c>
      <c r="G3844">
        <v>106</v>
      </c>
      <c r="H3844">
        <v>925</v>
      </c>
      <c r="I3844">
        <v>0</v>
      </c>
      <c r="J3844">
        <v>498</v>
      </c>
      <c r="K3844" s="201">
        <v>-3811</v>
      </c>
    </row>
    <row r="3845" spans="1:11" x14ac:dyDescent="0.25">
      <c r="A3845"/>
      <c r="B3845" s="201">
        <v>0</v>
      </c>
      <c r="C3845">
        <v>0</v>
      </c>
      <c r="D3845" s="201">
        <v>0</v>
      </c>
      <c r="E3845" s="201">
        <v>0</v>
      </c>
      <c r="F3845">
        <v>0</v>
      </c>
      <c r="G3845">
        <v>-1548</v>
      </c>
      <c r="H3845">
        <v>6195</v>
      </c>
      <c r="I3845">
        <v>1197</v>
      </c>
      <c r="J3845">
        <v>-348</v>
      </c>
      <c r="K3845" s="201">
        <v>-2517</v>
      </c>
    </row>
    <row r="3846" spans="1:11" x14ac:dyDescent="0.25">
      <c r="B3846" s="201">
        <v>1607</v>
      </c>
      <c r="C3846">
        <v>0</v>
      </c>
      <c r="D3846" s="201">
        <v>0</v>
      </c>
      <c r="E3846" s="201">
        <v>0</v>
      </c>
      <c r="F3846">
        <v>0</v>
      </c>
      <c r="G3846">
        <v>4731</v>
      </c>
      <c r="H3846">
        <v>0</v>
      </c>
      <c r="I3846">
        <v>2972</v>
      </c>
      <c r="J3846">
        <v>0</v>
      </c>
      <c r="K3846" s="201">
        <v>0</v>
      </c>
    </row>
    <row r="3847" spans="1:11" x14ac:dyDescent="0.25">
      <c r="A3847"/>
      <c r="B3847" s="201">
        <v>3410</v>
      </c>
      <c r="C3847">
        <v>-460</v>
      </c>
      <c r="D3847" s="201">
        <v>0</v>
      </c>
      <c r="E3847" s="201">
        <v>0</v>
      </c>
      <c r="F3847">
        <v>0</v>
      </c>
      <c r="G3847">
        <v>0</v>
      </c>
      <c r="H3847">
        <v>-760</v>
      </c>
      <c r="I3847">
        <v>0</v>
      </c>
      <c r="J3847">
        <v>3935</v>
      </c>
      <c r="K3847" s="201">
        <v>46</v>
      </c>
    </row>
    <row r="3848" spans="1:11" x14ac:dyDescent="0.25">
      <c r="A3848"/>
      <c r="B3848" s="201">
        <v>-6523</v>
      </c>
      <c r="C3848">
        <v>9239</v>
      </c>
      <c r="D3848" s="201">
        <v>2370</v>
      </c>
      <c r="E3848" s="201">
        <v>1331</v>
      </c>
      <c r="F3848">
        <v>2319</v>
      </c>
      <c r="G3848">
        <v>-9</v>
      </c>
      <c r="H3848">
        <v>22423</v>
      </c>
      <c r="I3848">
        <v>5369</v>
      </c>
      <c r="J3848">
        <v>0</v>
      </c>
      <c r="K3848" s="201">
        <v>0</v>
      </c>
    </row>
    <row r="3849" spans="1:11" x14ac:dyDescent="0.25">
      <c r="A3849"/>
      <c r="B3849" s="201">
        <v>0</v>
      </c>
      <c r="C3849">
        <v>0</v>
      </c>
      <c r="D3849" s="201">
        <v>0</v>
      </c>
      <c r="E3849" s="201">
        <v>0</v>
      </c>
      <c r="F3849">
        <v>0</v>
      </c>
      <c r="G3849">
        <v>-15</v>
      </c>
      <c r="H3849">
        <v>140</v>
      </c>
      <c r="I3849">
        <v>-1543</v>
      </c>
      <c r="J3849">
        <v>73</v>
      </c>
      <c r="K3849" s="201">
        <v>-936</v>
      </c>
    </row>
    <row r="3850" spans="1:11" x14ac:dyDescent="0.25">
      <c r="A3850"/>
      <c r="B3850" s="201">
        <v>-573</v>
      </c>
      <c r="C3850">
        <v>0</v>
      </c>
      <c r="D3850" s="201">
        <v>0</v>
      </c>
      <c r="E3850" s="201">
        <v>453</v>
      </c>
      <c r="F3850">
        <v>0</v>
      </c>
      <c r="G3850">
        <v>313</v>
      </c>
      <c r="H3850">
        <v>-1540</v>
      </c>
      <c r="I3850">
        <v>0</v>
      </c>
      <c r="J3850">
        <v>0</v>
      </c>
      <c r="K3850" s="201">
        <v>0</v>
      </c>
    </row>
    <row r="3851" spans="1:11" x14ac:dyDescent="0.25">
      <c r="A3851"/>
      <c r="B3851" s="201">
        <v>0</v>
      </c>
      <c r="C3851">
        <v>6992</v>
      </c>
      <c r="D3851" s="201">
        <v>0</v>
      </c>
      <c r="E3851" s="201">
        <v>338</v>
      </c>
      <c r="F3851">
        <v>769</v>
      </c>
      <c r="G3851">
        <v>-321</v>
      </c>
      <c r="H3851">
        <v>498</v>
      </c>
      <c r="I3851">
        <v>-4277</v>
      </c>
      <c r="J3851">
        <v>0</v>
      </c>
      <c r="K3851" s="201">
        <v>0</v>
      </c>
    </row>
    <row r="3852" spans="1:11" x14ac:dyDescent="0.25">
      <c r="A3852"/>
      <c r="B3852" s="201">
        <v>204</v>
      </c>
      <c r="C3852">
        <v>0</v>
      </c>
      <c r="D3852" s="201">
        <v>0</v>
      </c>
      <c r="E3852" s="201">
        <v>0</v>
      </c>
      <c r="F3852">
        <v>484</v>
      </c>
      <c r="G3852">
        <v>-642</v>
      </c>
      <c r="H3852">
        <v>0</v>
      </c>
      <c r="I3852">
        <v>0</v>
      </c>
      <c r="J3852">
        <v>0</v>
      </c>
      <c r="K3852" s="201">
        <v>0</v>
      </c>
    </row>
    <row r="3853" spans="1:11" x14ac:dyDescent="0.25">
      <c r="A3853"/>
      <c r="B3853" s="201">
        <v>0</v>
      </c>
      <c r="C3853">
        <v>0</v>
      </c>
      <c r="D3853" s="201">
        <v>-849</v>
      </c>
      <c r="E3853" s="201">
        <v>0</v>
      </c>
      <c r="F3853">
        <v>0</v>
      </c>
      <c r="G3853">
        <v>-459</v>
      </c>
      <c r="H3853">
        <v>0</v>
      </c>
      <c r="I3853">
        <v>419</v>
      </c>
      <c r="J3853">
        <v>0</v>
      </c>
      <c r="K3853" s="201">
        <v>484</v>
      </c>
    </row>
    <row r="3854" spans="1:11" x14ac:dyDescent="0.25">
      <c r="A3854"/>
      <c r="B3854" s="201">
        <v>-424</v>
      </c>
      <c r="C3854">
        <v>98</v>
      </c>
      <c r="D3854" s="201">
        <v>0</v>
      </c>
      <c r="E3854" s="201">
        <v>215</v>
      </c>
      <c r="F3854">
        <v>-4451</v>
      </c>
      <c r="G3854">
        <v>-31</v>
      </c>
      <c r="H3854">
        <v>-1161</v>
      </c>
      <c r="I3854">
        <v>-3786</v>
      </c>
      <c r="J3854">
        <v>1111</v>
      </c>
      <c r="K3854" s="201">
        <v>0</v>
      </c>
    </row>
    <row r="3855" spans="1:11" x14ac:dyDescent="0.25">
      <c r="A3855"/>
      <c r="B3855" s="201">
        <v>222</v>
      </c>
      <c r="C3855">
        <v>0</v>
      </c>
      <c r="D3855" s="201">
        <v>0</v>
      </c>
      <c r="E3855" s="201">
        <v>0</v>
      </c>
      <c r="F3855">
        <v>0</v>
      </c>
      <c r="G3855">
        <v>0</v>
      </c>
      <c r="H3855">
        <v>750</v>
      </c>
      <c r="I3855">
        <v>0</v>
      </c>
      <c r="J3855">
        <v>0</v>
      </c>
      <c r="K3855" s="201">
        <v>0</v>
      </c>
    </row>
    <row r="3856" spans="1:11" x14ac:dyDescent="0.25">
      <c r="A3856"/>
      <c r="B3856" s="201">
        <v>-927</v>
      </c>
      <c r="C3856">
        <v>0</v>
      </c>
      <c r="D3856" s="201">
        <v>-244</v>
      </c>
      <c r="E3856" s="201">
        <v>0</v>
      </c>
      <c r="F3856">
        <v>0</v>
      </c>
      <c r="G3856">
        <v>0</v>
      </c>
      <c r="H3856">
        <v>0</v>
      </c>
      <c r="I3856">
        <v>0</v>
      </c>
      <c r="J3856">
        <v>426</v>
      </c>
      <c r="K3856" s="201">
        <v>0</v>
      </c>
    </row>
    <row r="3857" spans="1:11" x14ac:dyDescent="0.25">
      <c r="A3857"/>
      <c r="B3857" s="201">
        <v>8338</v>
      </c>
      <c r="C3857">
        <v>1107</v>
      </c>
      <c r="D3857" s="201">
        <v>0</v>
      </c>
      <c r="E3857" s="201">
        <v>0</v>
      </c>
      <c r="F3857">
        <v>7518</v>
      </c>
      <c r="G3857">
        <v>9331</v>
      </c>
      <c r="H3857">
        <v>0</v>
      </c>
      <c r="I3857">
        <v>9413</v>
      </c>
      <c r="J3857">
        <v>0</v>
      </c>
      <c r="K3857" s="201">
        <v>0</v>
      </c>
    </row>
    <row r="3858" spans="1:11" x14ac:dyDescent="0.25">
      <c r="A3858"/>
      <c r="B3858" s="201">
        <v>0</v>
      </c>
      <c r="C3858">
        <v>0</v>
      </c>
      <c r="D3858" s="201">
        <v>23198</v>
      </c>
      <c r="E3858" s="201">
        <v>989</v>
      </c>
      <c r="F3858">
        <v>-249</v>
      </c>
      <c r="G3858">
        <v>0</v>
      </c>
      <c r="H3858">
        <v>0</v>
      </c>
      <c r="I3858">
        <v>829</v>
      </c>
      <c r="J3858">
        <v>1124</v>
      </c>
      <c r="K3858" s="201">
        <v>0</v>
      </c>
    </row>
    <row r="3859" spans="1:11" x14ac:dyDescent="0.25">
      <c r="A3859"/>
      <c r="B3859" s="201">
        <v>361</v>
      </c>
      <c r="C3859">
        <v>5060</v>
      </c>
      <c r="D3859" s="201">
        <v>828</v>
      </c>
      <c r="E3859" s="201">
        <v>4125</v>
      </c>
      <c r="F3859">
        <v>10335</v>
      </c>
      <c r="G3859">
        <v>5164</v>
      </c>
      <c r="H3859">
        <v>6490</v>
      </c>
      <c r="I3859">
        <v>0</v>
      </c>
      <c r="J3859">
        <v>0</v>
      </c>
      <c r="K3859" s="201">
        <v>0</v>
      </c>
    </row>
    <row r="3860" spans="1:11" x14ac:dyDescent="0.25">
      <c r="A3860"/>
      <c r="B3860" s="201">
        <v>0</v>
      </c>
      <c r="C3860">
        <v>0</v>
      </c>
      <c r="D3860" s="201">
        <v>-10392</v>
      </c>
      <c r="E3860" s="201">
        <v>0</v>
      </c>
      <c r="F3860">
        <v>-15223</v>
      </c>
      <c r="G3860">
        <v>441</v>
      </c>
      <c r="H3860">
        <v>-4671</v>
      </c>
      <c r="I3860">
        <v>0</v>
      </c>
      <c r="J3860">
        <v>2241</v>
      </c>
      <c r="K3860" s="201">
        <v>775</v>
      </c>
    </row>
    <row r="3861" spans="1:11" x14ac:dyDescent="0.25">
      <c r="A3861"/>
      <c r="B3861" s="201">
        <v>-822</v>
      </c>
      <c r="C3861">
        <v>-918</v>
      </c>
      <c r="D3861" s="201">
        <v>-3261</v>
      </c>
      <c r="E3861" s="201">
        <v>0</v>
      </c>
      <c r="F3861">
        <v>-5597</v>
      </c>
      <c r="G3861">
        <v>-34146</v>
      </c>
      <c r="H3861">
        <v>1281</v>
      </c>
      <c r="I3861">
        <v>-232</v>
      </c>
      <c r="J3861">
        <v>0</v>
      </c>
      <c r="K3861" s="201">
        <v>-105</v>
      </c>
    </row>
    <row r="3862" spans="1:11" x14ac:dyDescent="0.25">
      <c r="A3862"/>
      <c r="B3862" s="201">
        <v>2649</v>
      </c>
      <c r="C3862">
        <v>0</v>
      </c>
      <c r="D3862" s="201">
        <v>0</v>
      </c>
      <c r="E3862" s="201">
        <v>0</v>
      </c>
      <c r="F3862">
        <v>-23</v>
      </c>
      <c r="G3862">
        <v>863</v>
      </c>
      <c r="H3862">
        <v>0</v>
      </c>
      <c r="I3862">
        <v>208</v>
      </c>
      <c r="J3862">
        <v>783</v>
      </c>
      <c r="K3862" s="201">
        <v>-256</v>
      </c>
    </row>
    <row r="3863" spans="1:11" x14ac:dyDescent="0.25">
      <c r="A3863"/>
      <c r="B3863" s="201">
        <v>-924</v>
      </c>
      <c r="C3863">
        <v>0</v>
      </c>
      <c r="D3863" s="201">
        <v>0</v>
      </c>
      <c r="E3863" s="201">
        <v>0</v>
      </c>
      <c r="F3863">
        <v>0</v>
      </c>
      <c r="G3863">
        <v>0</v>
      </c>
      <c r="H3863">
        <v>-1627</v>
      </c>
      <c r="I3863">
        <v>0</v>
      </c>
      <c r="J3863">
        <v>-343</v>
      </c>
      <c r="K3863" s="201">
        <v>-189</v>
      </c>
    </row>
    <row r="3864" spans="1:11" x14ac:dyDescent="0.25">
      <c r="A3864"/>
      <c r="B3864" s="201">
        <v>389</v>
      </c>
      <c r="C3864">
        <v>0</v>
      </c>
      <c r="D3864" s="201">
        <v>3605</v>
      </c>
      <c r="E3864" s="201">
        <v>-3234</v>
      </c>
      <c r="F3864">
        <v>-276</v>
      </c>
      <c r="G3864">
        <v>368</v>
      </c>
      <c r="H3864">
        <v>-2676</v>
      </c>
      <c r="I3864">
        <v>1297</v>
      </c>
      <c r="J3864">
        <v>-6105</v>
      </c>
      <c r="K3864" s="201">
        <v>-33300</v>
      </c>
    </row>
    <row r="3865" spans="1:11" x14ac:dyDescent="0.25">
      <c r="A3865"/>
      <c r="B3865" s="201">
        <v>0</v>
      </c>
      <c r="C3865">
        <v>-259</v>
      </c>
      <c r="D3865" s="201">
        <v>0</v>
      </c>
      <c r="E3865" s="201">
        <v>0</v>
      </c>
      <c r="F3865">
        <v>2605</v>
      </c>
      <c r="G3865">
        <v>-106</v>
      </c>
      <c r="H3865">
        <v>0</v>
      </c>
      <c r="I3865">
        <v>-180</v>
      </c>
      <c r="J3865">
        <v>0</v>
      </c>
      <c r="K3865" s="201">
        <v>0</v>
      </c>
    </row>
    <row r="3866" spans="1:11" x14ac:dyDescent="0.25">
      <c r="A3866"/>
      <c r="B3866" s="201">
        <v>-137</v>
      </c>
      <c r="C3866">
        <v>0</v>
      </c>
      <c r="D3866" s="201">
        <v>-80</v>
      </c>
      <c r="E3866" s="201">
        <v>-451</v>
      </c>
      <c r="F3866">
        <v>-743</v>
      </c>
      <c r="G3866">
        <v>0</v>
      </c>
      <c r="H3866">
        <v>0</v>
      </c>
      <c r="I3866">
        <v>0</v>
      </c>
      <c r="J3866">
        <v>0</v>
      </c>
      <c r="K3866" s="201">
        <v>0</v>
      </c>
    </row>
    <row r="3867" spans="1:11" x14ac:dyDescent="0.25">
      <c r="A3867"/>
      <c r="B3867" s="201">
        <v>-3172</v>
      </c>
      <c r="C3867">
        <v>0</v>
      </c>
      <c r="D3867" s="201">
        <v>4715</v>
      </c>
      <c r="E3867" s="201">
        <v>-60</v>
      </c>
      <c r="F3867">
        <v>616</v>
      </c>
      <c r="G3867">
        <v>0</v>
      </c>
      <c r="H3867">
        <v>1945</v>
      </c>
      <c r="I3867">
        <v>587</v>
      </c>
      <c r="J3867">
        <v>147</v>
      </c>
      <c r="K3867" s="201">
        <v>0</v>
      </c>
    </row>
    <row r="3868" spans="1:11" x14ac:dyDescent="0.25">
      <c r="A3868"/>
      <c r="B3868" s="201">
        <v>0</v>
      </c>
      <c r="C3868">
        <v>0</v>
      </c>
      <c r="D3868" s="201">
        <v>-7362</v>
      </c>
      <c r="E3868" s="201">
        <v>-35269</v>
      </c>
      <c r="F3868">
        <v>1870</v>
      </c>
      <c r="G3868">
        <v>-148</v>
      </c>
      <c r="H3868">
        <v>71</v>
      </c>
      <c r="I3868">
        <v>0</v>
      </c>
      <c r="J3868">
        <v>1322</v>
      </c>
      <c r="K3868" s="201">
        <v>0</v>
      </c>
    </row>
    <row r="3869" spans="1:11" x14ac:dyDescent="0.25">
      <c r="A3869"/>
      <c r="B3869" s="201">
        <v>0</v>
      </c>
      <c r="C3869">
        <v>65</v>
      </c>
      <c r="D3869" s="201">
        <v>0</v>
      </c>
      <c r="E3869" s="201">
        <v>-472</v>
      </c>
      <c r="F3869">
        <v>0</v>
      </c>
      <c r="G3869">
        <v>-161</v>
      </c>
      <c r="H3869">
        <v>0</v>
      </c>
      <c r="I3869">
        <v>0</v>
      </c>
      <c r="J3869">
        <v>0</v>
      </c>
      <c r="K3869" s="201">
        <v>0</v>
      </c>
    </row>
    <row r="3870" spans="1:11" x14ac:dyDescent="0.25">
      <c r="A3870"/>
      <c r="B3870" s="201">
        <v>0</v>
      </c>
      <c r="C3870">
        <v>0</v>
      </c>
      <c r="D3870" s="201">
        <v>0</v>
      </c>
      <c r="E3870" s="201">
        <v>0</v>
      </c>
      <c r="F3870">
        <v>-1479</v>
      </c>
      <c r="G3870">
        <v>0</v>
      </c>
      <c r="H3870">
        <v>-283</v>
      </c>
      <c r="I3870">
        <v>-136</v>
      </c>
      <c r="J3870">
        <v>463</v>
      </c>
      <c r="K3870" s="201">
        <v>0</v>
      </c>
    </row>
    <row r="3871" spans="1:11" x14ac:dyDescent="0.25">
      <c r="A3871"/>
      <c r="B3871" s="201">
        <v>7632</v>
      </c>
      <c r="C3871">
        <v>-8261</v>
      </c>
      <c r="D3871" s="201">
        <v>0</v>
      </c>
      <c r="E3871" s="201">
        <v>0</v>
      </c>
      <c r="F3871">
        <v>0</v>
      </c>
      <c r="G3871">
        <v>0</v>
      </c>
      <c r="H3871">
        <v>0</v>
      </c>
      <c r="I3871">
        <v>-42387</v>
      </c>
      <c r="J3871">
        <v>660</v>
      </c>
      <c r="K3871" s="201">
        <v>867</v>
      </c>
    </row>
    <row r="3872" spans="1:11" x14ac:dyDescent="0.25">
      <c r="A3872"/>
      <c r="B3872" s="201">
        <v>614</v>
      </c>
      <c r="C3872">
        <v>-117</v>
      </c>
      <c r="D3872" s="201">
        <v>4648</v>
      </c>
      <c r="E3872" s="201">
        <v>0</v>
      </c>
      <c r="F3872">
        <v>0</v>
      </c>
      <c r="G3872">
        <v>0</v>
      </c>
      <c r="H3872">
        <v>0</v>
      </c>
      <c r="I3872">
        <v>3463</v>
      </c>
      <c r="J3872">
        <v>0</v>
      </c>
      <c r="K3872" s="201">
        <v>2070</v>
      </c>
    </row>
    <row r="3873" spans="1:11" x14ac:dyDescent="0.25">
      <c r="A3873"/>
      <c r="B3873" s="201">
        <v>0</v>
      </c>
      <c r="C3873">
        <v>0</v>
      </c>
      <c r="D3873" s="201">
        <v>684</v>
      </c>
      <c r="E3873" s="201">
        <v>-1189</v>
      </c>
      <c r="F3873">
        <v>0</v>
      </c>
      <c r="G3873">
        <v>0</v>
      </c>
      <c r="H3873">
        <v>0</v>
      </c>
      <c r="I3873">
        <v>0</v>
      </c>
      <c r="J3873">
        <v>-7526</v>
      </c>
      <c r="K3873" s="201">
        <v>0</v>
      </c>
    </row>
    <row r="3874" spans="1:11" x14ac:dyDescent="0.25">
      <c r="A3874"/>
      <c r="B3874" s="201">
        <v>10769</v>
      </c>
      <c r="C3874">
        <v>-81</v>
      </c>
      <c r="D3874" s="201">
        <v>-1036</v>
      </c>
      <c r="E3874" s="201">
        <v>6930</v>
      </c>
      <c r="F3874">
        <v>1577</v>
      </c>
      <c r="G3874">
        <v>-1055</v>
      </c>
      <c r="H3874">
        <v>1217</v>
      </c>
      <c r="I3874">
        <v>952</v>
      </c>
      <c r="J3874">
        <v>5026</v>
      </c>
      <c r="K3874" s="201">
        <v>19953</v>
      </c>
    </row>
    <row r="3875" spans="1:11" x14ac:dyDescent="0.25">
      <c r="A3875"/>
      <c r="B3875" s="201">
        <v>0</v>
      </c>
      <c r="C3875">
        <v>0</v>
      </c>
      <c r="D3875" s="201">
        <v>0</v>
      </c>
      <c r="E3875" s="201">
        <v>0</v>
      </c>
      <c r="F3875">
        <v>0</v>
      </c>
      <c r="G3875">
        <v>0</v>
      </c>
      <c r="H3875">
        <v>0</v>
      </c>
      <c r="I3875">
        <v>181</v>
      </c>
      <c r="J3875">
        <v>82</v>
      </c>
      <c r="K3875" s="201">
        <v>-1639</v>
      </c>
    </row>
    <row r="3876" spans="1:11" x14ac:dyDescent="0.25">
      <c r="A3876"/>
      <c r="B3876" s="201">
        <v>64</v>
      </c>
      <c r="C3876">
        <v>-1063</v>
      </c>
      <c r="D3876" s="201">
        <v>-1944</v>
      </c>
      <c r="E3876" s="201">
        <v>0</v>
      </c>
      <c r="F3876">
        <v>0</v>
      </c>
      <c r="G3876">
        <v>164</v>
      </c>
      <c r="H3876">
        <v>0</v>
      </c>
      <c r="I3876">
        <v>2057</v>
      </c>
      <c r="J3876">
        <v>-711</v>
      </c>
      <c r="K3876" s="201">
        <v>0</v>
      </c>
    </row>
    <row r="3877" spans="1:11" x14ac:dyDescent="0.25">
      <c r="A3877"/>
      <c r="B3877" s="201">
        <v>0</v>
      </c>
      <c r="C3877">
        <v>0</v>
      </c>
      <c r="D3877" s="201">
        <v>0</v>
      </c>
      <c r="E3877" s="201">
        <v>10354</v>
      </c>
      <c r="F3877">
        <v>0</v>
      </c>
      <c r="G3877">
        <v>21841</v>
      </c>
      <c r="H3877">
        <v>0</v>
      </c>
      <c r="I3877">
        <v>0</v>
      </c>
      <c r="J3877">
        <v>0</v>
      </c>
      <c r="K3877" s="201">
        <v>0</v>
      </c>
    </row>
    <row r="3878" spans="1:11" x14ac:dyDescent="0.25">
      <c r="A3878"/>
      <c r="B3878" s="201">
        <v>0</v>
      </c>
      <c r="C3878">
        <v>0</v>
      </c>
      <c r="D3878" s="201">
        <v>0</v>
      </c>
      <c r="E3878" s="201">
        <v>0</v>
      </c>
      <c r="F3878">
        <v>0</v>
      </c>
      <c r="G3878">
        <v>0</v>
      </c>
      <c r="H3878">
        <v>0</v>
      </c>
      <c r="I3878">
        <v>0</v>
      </c>
      <c r="J3878">
        <v>0</v>
      </c>
      <c r="K3878" s="201">
        <v>0</v>
      </c>
    </row>
    <row r="3879" spans="1:11" x14ac:dyDescent="0.25">
      <c r="A3879"/>
      <c r="B3879" s="201">
        <v>0</v>
      </c>
      <c r="C3879">
        <v>0</v>
      </c>
      <c r="D3879" s="201">
        <v>0</v>
      </c>
      <c r="E3879" s="201">
        <v>0</v>
      </c>
      <c r="F3879">
        <v>0</v>
      </c>
      <c r="G3879">
        <v>0</v>
      </c>
      <c r="H3879">
        <v>0</v>
      </c>
      <c r="I3879">
        <v>0</v>
      </c>
      <c r="J3879">
        <v>0</v>
      </c>
      <c r="K3879" s="201">
        <v>0</v>
      </c>
    </row>
    <row r="3880" spans="1:11" x14ac:dyDescent="0.25">
      <c r="A3880"/>
      <c r="B3880" s="201">
        <v>0</v>
      </c>
      <c r="C3880">
        <v>0</v>
      </c>
      <c r="D3880" s="201">
        <v>0</v>
      </c>
      <c r="E3880" s="201">
        <v>0</v>
      </c>
      <c r="F3880">
        <v>0</v>
      </c>
      <c r="G3880">
        <v>0</v>
      </c>
      <c r="H3880">
        <v>0</v>
      </c>
      <c r="I3880">
        <v>0</v>
      </c>
      <c r="J3880">
        <v>0</v>
      </c>
      <c r="K3880" s="201">
        <v>0</v>
      </c>
    </row>
    <row r="3881" spans="1:11" x14ac:dyDescent="0.25">
      <c r="A3881"/>
      <c r="B3881" s="201">
        <v>0</v>
      </c>
      <c r="C3881">
        <v>0</v>
      </c>
      <c r="D3881" s="201">
        <v>0</v>
      </c>
      <c r="E3881" s="201">
        <v>0</v>
      </c>
      <c r="F3881">
        <v>0</v>
      </c>
      <c r="G3881">
        <v>0</v>
      </c>
      <c r="H3881">
        <v>0</v>
      </c>
      <c r="I3881">
        <v>0</v>
      </c>
      <c r="J3881">
        <v>0</v>
      </c>
      <c r="K3881" s="201">
        <v>0</v>
      </c>
    </row>
    <row r="3882" spans="1:11" x14ac:dyDescent="0.25">
      <c r="A3882"/>
      <c r="B3882" s="201">
        <v>0</v>
      </c>
      <c r="C3882">
        <v>0</v>
      </c>
      <c r="D3882" s="201">
        <v>0</v>
      </c>
      <c r="E3882" s="201">
        <v>0</v>
      </c>
      <c r="F3882">
        <v>0</v>
      </c>
      <c r="G3882">
        <v>0</v>
      </c>
      <c r="H3882">
        <v>0</v>
      </c>
      <c r="I3882">
        <v>0</v>
      </c>
      <c r="J3882">
        <v>0</v>
      </c>
      <c r="K3882" s="201">
        <v>0</v>
      </c>
    </row>
    <row r="3883" spans="1:11" x14ac:dyDescent="0.25">
      <c r="A3883"/>
      <c r="B3883" s="201">
        <v>0</v>
      </c>
      <c r="C3883">
        <v>0</v>
      </c>
      <c r="D3883" s="201">
        <v>0</v>
      </c>
      <c r="E3883" s="201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 s="201">
        <v>0</v>
      </c>
    </row>
    <row r="3884" spans="1:11" x14ac:dyDescent="0.25">
      <c r="A3884"/>
      <c r="B3884" s="201">
        <v>0</v>
      </c>
      <c r="C3884">
        <v>0</v>
      </c>
      <c r="D3884" s="201">
        <v>0</v>
      </c>
      <c r="E3884" s="201">
        <v>0</v>
      </c>
      <c r="F3884">
        <v>0</v>
      </c>
      <c r="G3884">
        <v>0</v>
      </c>
      <c r="H3884">
        <v>0</v>
      </c>
      <c r="I3884">
        <v>0</v>
      </c>
      <c r="J3884">
        <v>0</v>
      </c>
      <c r="K3884" s="201">
        <v>0</v>
      </c>
    </row>
    <row r="3885" spans="1:11" x14ac:dyDescent="0.25">
      <c r="A3885"/>
      <c r="B3885" s="201">
        <v>0</v>
      </c>
      <c r="C3885">
        <v>0</v>
      </c>
      <c r="D3885" s="201">
        <v>0</v>
      </c>
      <c r="E3885" s="201">
        <v>0</v>
      </c>
      <c r="F3885">
        <v>0</v>
      </c>
      <c r="G3885">
        <v>0</v>
      </c>
      <c r="H3885">
        <v>0</v>
      </c>
      <c r="I3885">
        <v>0</v>
      </c>
      <c r="J3885">
        <v>0</v>
      </c>
      <c r="K3885" s="201">
        <v>0</v>
      </c>
    </row>
    <row r="3886" spans="1:11" x14ac:dyDescent="0.25">
      <c r="A3886"/>
      <c r="B3886" s="201">
        <v>0</v>
      </c>
      <c r="C3886">
        <v>0</v>
      </c>
      <c r="D3886" s="201">
        <v>0</v>
      </c>
      <c r="E3886" s="201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 s="201">
        <v>0</v>
      </c>
    </row>
    <row r="3887" spans="1:11" x14ac:dyDescent="0.25">
      <c r="A3887"/>
      <c r="B3887" s="201">
        <v>0</v>
      </c>
      <c r="C3887">
        <v>0</v>
      </c>
      <c r="D3887" s="201">
        <v>0</v>
      </c>
      <c r="E3887" s="201">
        <v>0</v>
      </c>
      <c r="F3887">
        <v>0</v>
      </c>
      <c r="G3887">
        <v>0</v>
      </c>
      <c r="H3887">
        <v>0</v>
      </c>
      <c r="I3887">
        <v>0</v>
      </c>
      <c r="J3887">
        <v>0</v>
      </c>
      <c r="K3887" s="201">
        <v>0</v>
      </c>
    </row>
    <row r="3888" spans="1:11" x14ac:dyDescent="0.25">
      <c r="A3888"/>
      <c r="B3888" s="201">
        <v>0</v>
      </c>
      <c r="C3888">
        <v>0</v>
      </c>
      <c r="D3888" s="201">
        <v>0</v>
      </c>
      <c r="E3888" s="201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 s="201">
        <v>0</v>
      </c>
    </row>
    <row r="3889" spans="1:11" x14ac:dyDescent="0.25">
      <c r="A3889"/>
      <c r="B3889" s="201">
        <v>0</v>
      </c>
      <c r="C3889">
        <v>0</v>
      </c>
      <c r="D3889" s="201">
        <v>0</v>
      </c>
      <c r="E3889" s="201">
        <v>0</v>
      </c>
      <c r="F3889">
        <v>0</v>
      </c>
      <c r="G3889">
        <v>0</v>
      </c>
      <c r="H3889">
        <v>0</v>
      </c>
      <c r="I3889">
        <v>0</v>
      </c>
      <c r="J3889">
        <v>0</v>
      </c>
      <c r="K3889" s="201">
        <v>0</v>
      </c>
    </row>
    <row r="3890" spans="1:11" x14ac:dyDescent="0.25">
      <c r="A3890"/>
      <c r="B3890" s="201">
        <v>0</v>
      </c>
      <c r="C3890">
        <v>0</v>
      </c>
      <c r="D3890" s="201">
        <v>0</v>
      </c>
      <c r="E3890" s="201">
        <v>0</v>
      </c>
      <c r="F3890">
        <v>0</v>
      </c>
      <c r="G3890">
        <v>0</v>
      </c>
      <c r="H3890">
        <v>0</v>
      </c>
      <c r="I3890">
        <v>0</v>
      </c>
      <c r="J3890">
        <v>0</v>
      </c>
      <c r="K3890" s="201">
        <v>0</v>
      </c>
    </row>
    <row r="3891" spans="1:11" x14ac:dyDescent="0.25">
      <c r="A3891"/>
      <c r="B3891" s="201">
        <v>0</v>
      </c>
      <c r="C3891">
        <v>0</v>
      </c>
      <c r="D3891" s="201">
        <v>0</v>
      </c>
      <c r="E3891" s="201">
        <v>0</v>
      </c>
      <c r="F3891">
        <v>0</v>
      </c>
      <c r="G3891">
        <v>0</v>
      </c>
      <c r="H3891">
        <v>0</v>
      </c>
      <c r="I3891">
        <v>0</v>
      </c>
      <c r="J3891">
        <v>0</v>
      </c>
      <c r="K3891" s="201">
        <v>0</v>
      </c>
    </row>
    <row r="3892" spans="1:11" x14ac:dyDescent="0.25">
      <c r="A3892"/>
      <c r="B3892" s="201">
        <v>0</v>
      </c>
      <c r="C3892">
        <v>0</v>
      </c>
      <c r="D3892" s="201">
        <v>0</v>
      </c>
      <c r="E3892" s="201">
        <v>0</v>
      </c>
      <c r="F3892">
        <v>0</v>
      </c>
      <c r="G3892">
        <v>0</v>
      </c>
      <c r="H3892">
        <v>0</v>
      </c>
      <c r="I3892">
        <v>0</v>
      </c>
      <c r="J3892">
        <v>0</v>
      </c>
      <c r="K3892" s="201">
        <v>0</v>
      </c>
    </row>
    <row r="3893" spans="1:11" x14ac:dyDescent="0.25">
      <c r="A3893"/>
      <c r="B3893" s="201">
        <v>0</v>
      </c>
      <c r="C3893">
        <v>0</v>
      </c>
      <c r="D3893" s="201">
        <v>0</v>
      </c>
      <c r="E3893" s="201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 s="201">
        <v>0</v>
      </c>
    </row>
    <row r="3894" spans="1:11" x14ac:dyDescent="0.25">
      <c r="A3894"/>
      <c r="B3894" s="201">
        <v>0</v>
      </c>
      <c r="C3894">
        <v>0</v>
      </c>
      <c r="D3894" s="201">
        <v>0</v>
      </c>
      <c r="E3894" s="201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 s="201">
        <v>0</v>
      </c>
    </row>
    <row r="3895" spans="1:11" x14ac:dyDescent="0.25">
      <c r="A3895"/>
      <c r="B3895" s="201">
        <v>0</v>
      </c>
      <c r="C3895">
        <v>0</v>
      </c>
      <c r="D3895" s="201">
        <v>0</v>
      </c>
      <c r="E3895" s="201">
        <v>0</v>
      </c>
      <c r="F3895">
        <v>0</v>
      </c>
      <c r="G3895">
        <v>0</v>
      </c>
      <c r="H3895">
        <v>0</v>
      </c>
      <c r="I3895">
        <v>0</v>
      </c>
      <c r="J3895">
        <v>0</v>
      </c>
      <c r="K3895" s="201">
        <v>0</v>
      </c>
    </row>
    <row r="3896" spans="1:11" x14ac:dyDescent="0.25">
      <c r="A3896"/>
      <c r="B3896" s="201">
        <v>0</v>
      </c>
      <c r="C3896">
        <v>0</v>
      </c>
      <c r="D3896" s="201">
        <v>0</v>
      </c>
      <c r="E3896" s="201">
        <v>0</v>
      </c>
      <c r="F3896">
        <v>0</v>
      </c>
      <c r="G3896">
        <v>0</v>
      </c>
      <c r="H3896">
        <v>0</v>
      </c>
      <c r="I3896">
        <v>0</v>
      </c>
      <c r="J3896">
        <v>0</v>
      </c>
      <c r="K3896" s="201">
        <v>0</v>
      </c>
    </row>
    <row r="3897" spans="1:11" x14ac:dyDescent="0.25">
      <c r="A3897"/>
      <c r="B3897" s="201">
        <v>0</v>
      </c>
      <c r="C3897">
        <v>0</v>
      </c>
      <c r="D3897" s="201">
        <v>0</v>
      </c>
      <c r="E3897" s="201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 s="201">
        <v>0</v>
      </c>
    </row>
    <row r="3898" spans="1:11" x14ac:dyDescent="0.25">
      <c r="A3898"/>
      <c r="B3898" s="201">
        <v>0</v>
      </c>
      <c r="C3898">
        <v>0</v>
      </c>
      <c r="D3898" s="201">
        <v>0</v>
      </c>
      <c r="E3898" s="201">
        <v>0</v>
      </c>
      <c r="F3898">
        <v>0</v>
      </c>
      <c r="G3898">
        <v>0</v>
      </c>
      <c r="H3898">
        <v>0</v>
      </c>
      <c r="I3898">
        <v>0</v>
      </c>
      <c r="J3898">
        <v>0</v>
      </c>
      <c r="K3898" s="201">
        <v>0</v>
      </c>
    </row>
    <row r="3899" spans="1:11" x14ac:dyDescent="0.25">
      <c r="A3899"/>
      <c r="B3899" s="201">
        <v>0</v>
      </c>
      <c r="C3899">
        <v>0</v>
      </c>
      <c r="D3899" s="201">
        <v>0</v>
      </c>
      <c r="E3899" s="201">
        <v>0</v>
      </c>
      <c r="F3899">
        <v>0</v>
      </c>
      <c r="G3899">
        <v>0</v>
      </c>
      <c r="H3899">
        <v>0</v>
      </c>
      <c r="I3899">
        <v>0</v>
      </c>
      <c r="J3899">
        <v>0</v>
      </c>
      <c r="K3899" s="201">
        <v>0</v>
      </c>
    </row>
    <row r="3900" spans="1:11" x14ac:dyDescent="0.25">
      <c r="A3900"/>
      <c r="B3900" s="201">
        <v>0</v>
      </c>
      <c r="C3900">
        <v>0</v>
      </c>
      <c r="D3900" s="201">
        <v>0</v>
      </c>
      <c r="E3900" s="201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 s="201">
        <v>0</v>
      </c>
    </row>
    <row r="3901" spans="1:11" x14ac:dyDescent="0.25">
      <c r="A3901"/>
      <c r="B3901" s="201">
        <v>0</v>
      </c>
      <c r="C3901">
        <v>0</v>
      </c>
      <c r="D3901" s="201">
        <v>0</v>
      </c>
      <c r="E3901" s="2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 s="201">
        <v>0</v>
      </c>
    </row>
    <row r="3902" spans="1:11" x14ac:dyDescent="0.25">
      <c r="A3902"/>
      <c r="B3902" s="201">
        <v>0</v>
      </c>
      <c r="C3902">
        <v>0</v>
      </c>
      <c r="D3902" s="201">
        <v>0</v>
      </c>
      <c r="E3902" s="201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 s="201">
        <v>0</v>
      </c>
    </row>
    <row r="3903" spans="1:11" x14ac:dyDescent="0.25">
      <c r="A3903"/>
      <c r="B3903" s="201">
        <v>0</v>
      </c>
      <c r="C3903">
        <v>0</v>
      </c>
      <c r="D3903" s="201">
        <v>0</v>
      </c>
      <c r="E3903" s="201">
        <v>0</v>
      </c>
      <c r="F3903">
        <v>0</v>
      </c>
      <c r="G3903">
        <v>0</v>
      </c>
      <c r="H3903">
        <v>0</v>
      </c>
      <c r="I3903">
        <v>0</v>
      </c>
      <c r="J3903">
        <v>0</v>
      </c>
      <c r="K3903" s="201">
        <v>0</v>
      </c>
    </row>
    <row r="3904" spans="1:11" x14ac:dyDescent="0.25">
      <c r="A3904"/>
      <c r="B3904" s="201">
        <v>0</v>
      </c>
      <c r="C3904">
        <v>0</v>
      </c>
      <c r="D3904" s="201">
        <v>0</v>
      </c>
      <c r="E3904" s="201">
        <v>0</v>
      </c>
      <c r="F3904">
        <v>0</v>
      </c>
      <c r="G3904">
        <v>0</v>
      </c>
      <c r="H3904">
        <v>0</v>
      </c>
      <c r="I3904">
        <v>0</v>
      </c>
      <c r="J3904">
        <v>0</v>
      </c>
      <c r="K3904" s="201">
        <v>0</v>
      </c>
    </row>
    <row r="3905" spans="1:11" x14ac:dyDescent="0.25">
      <c r="A3905"/>
      <c r="B3905" s="201">
        <v>0</v>
      </c>
      <c r="C3905">
        <v>0</v>
      </c>
      <c r="D3905" s="201">
        <v>0</v>
      </c>
      <c r="E3905" s="201">
        <v>0</v>
      </c>
      <c r="F3905">
        <v>0</v>
      </c>
      <c r="G3905">
        <v>0</v>
      </c>
      <c r="H3905">
        <v>0</v>
      </c>
      <c r="I3905">
        <v>0</v>
      </c>
      <c r="J3905">
        <v>0</v>
      </c>
      <c r="K3905" s="201">
        <v>0</v>
      </c>
    </row>
    <row r="3906" spans="1:11" x14ac:dyDescent="0.25">
      <c r="A3906"/>
      <c r="B3906" s="201">
        <v>0</v>
      </c>
      <c r="C3906">
        <v>0</v>
      </c>
      <c r="D3906" s="201">
        <v>0</v>
      </c>
      <c r="E3906" s="201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 s="201">
        <v>0</v>
      </c>
    </row>
    <row r="3907" spans="1:11" x14ac:dyDescent="0.25">
      <c r="A3907"/>
      <c r="B3907" s="201">
        <v>0</v>
      </c>
      <c r="C3907">
        <v>0</v>
      </c>
      <c r="D3907" s="201">
        <v>0</v>
      </c>
      <c r="E3907" s="201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 s="201">
        <v>0</v>
      </c>
    </row>
    <row r="3908" spans="1:11" x14ac:dyDescent="0.25">
      <c r="A3908"/>
      <c r="B3908" s="201">
        <v>0</v>
      </c>
      <c r="C3908">
        <v>0</v>
      </c>
      <c r="D3908" s="201">
        <v>0</v>
      </c>
      <c r="E3908" s="201">
        <v>0</v>
      </c>
      <c r="F3908">
        <v>0</v>
      </c>
      <c r="G3908">
        <v>0</v>
      </c>
      <c r="H3908">
        <v>0</v>
      </c>
      <c r="I3908">
        <v>0</v>
      </c>
      <c r="J3908">
        <v>0</v>
      </c>
      <c r="K3908" s="201">
        <v>0</v>
      </c>
    </row>
    <row r="3909" spans="1:11" x14ac:dyDescent="0.25">
      <c r="A3909"/>
      <c r="B3909" s="201">
        <v>0</v>
      </c>
      <c r="C3909">
        <v>0</v>
      </c>
      <c r="D3909" s="201">
        <v>0</v>
      </c>
      <c r="E3909" s="201">
        <v>0</v>
      </c>
      <c r="F3909">
        <v>0</v>
      </c>
      <c r="G3909">
        <v>0</v>
      </c>
      <c r="H3909">
        <v>0</v>
      </c>
      <c r="I3909">
        <v>0</v>
      </c>
      <c r="J3909">
        <v>0</v>
      </c>
      <c r="K3909" s="201">
        <v>0</v>
      </c>
    </row>
    <row r="3910" spans="1:11" x14ac:dyDescent="0.25">
      <c r="A3910"/>
      <c r="B3910" s="201">
        <v>0</v>
      </c>
      <c r="C3910">
        <v>0</v>
      </c>
      <c r="D3910" s="201">
        <v>0</v>
      </c>
      <c r="E3910" s="201">
        <v>0</v>
      </c>
      <c r="F3910">
        <v>0</v>
      </c>
      <c r="G3910">
        <v>0</v>
      </c>
      <c r="H3910">
        <v>0</v>
      </c>
      <c r="I3910">
        <v>0</v>
      </c>
      <c r="J3910">
        <v>0</v>
      </c>
      <c r="K3910" s="201">
        <v>0</v>
      </c>
    </row>
    <row r="3911" spans="1:11" x14ac:dyDescent="0.25">
      <c r="A3911"/>
      <c r="B3911" s="201">
        <v>0</v>
      </c>
      <c r="C3911">
        <v>0</v>
      </c>
      <c r="D3911" s="201">
        <v>0</v>
      </c>
      <c r="E3911" s="201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 s="201">
        <v>0</v>
      </c>
    </row>
    <row r="3912" spans="1:11" x14ac:dyDescent="0.25">
      <c r="A3912"/>
      <c r="B3912" s="201">
        <v>0</v>
      </c>
      <c r="C3912">
        <v>0</v>
      </c>
      <c r="D3912" s="201">
        <v>0</v>
      </c>
      <c r="E3912" s="201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 s="201">
        <v>0</v>
      </c>
    </row>
    <row r="3913" spans="1:11" x14ac:dyDescent="0.25">
      <c r="A3913"/>
      <c r="B3913" s="201">
        <v>0</v>
      </c>
      <c r="C3913">
        <v>0</v>
      </c>
      <c r="D3913" s="201">
        <v>0</v>
      </c>
      <c r="E3913" s="201">
        <v>0</v>
      </c>
      <c r="F3913">
        <v>0</v>
      </c>
      <c r="G3913">
        <v>0</v>
      </c>
      <c r="H3913">
        <v>0</v>
      </c>
      <c r="I3913">
        <v>0</v>
      </c>
      <c r="J3913">
        <v>0</v>
      </c>
      <c r="K3913" s="201">
        <v>0</v>
      </c>
    </row>
    <row r="3914" spans="1:11" x14ac:dyDescent="0.25">
      <c r="A3914"/>
      <c r="B3914" s="201">
        <v>0</v>
      </c>
      <c r="C3914">
        <v>0</v>
      </c>
      <c r="D3914" s="201">
        <v>0</v>
      </c>
      <c r="E3914" s="201">
        <v>0</v>
      </c>
      <c r="F3914">
        <v>0</v>
      </c>
      <c r="G3914">
        <v>0</v>
      </c>
      <c r="H3914">
        <v>0</v>
      </c>
      <c r="I3914">
        <v>0</v>
      </c>
      <c r="J3914">
        <v>0</v>
      </c>
      <c r="K3914" s="201">
        <v>0</v>
      </c>
    </row>
    <row r="3915" spans="1:11" x14ac:dyDescent="0.25">
      <c r="A3915"/>
      <c r="B3915" s="201">
        <v>0</v>
      </c>
      <c r="C3915">
        <v>0</v>
      </c>
      <c r="D3915" s="201">
        <v>0</v>
      </c>
      <c r="E3915" s="201">
        <v>0</v>
      </c>
      <c r="F3915">
        <v>0</v>
      </c>
      <c r="G3915">
        <v>0</v>
      </c>
      <c r="H3915">
        <v>0</v>
      </c>
      <c r="I3915">
        <v>0</v>
      </c>
      <c r="J3915">
        <v>0</v>
      </c>
      <c r="K3915" s="201">
        <v>0</v>
      </c>
    </row>
    <row r="3916" spans="1:11" x14ac:dyDescent="0.25">
      <c r="A3916"/>
      <c r="B3916" s="201">
        <v>0</v>
      </c>
      <c r="C3916">
        <v>0</v>
      </c>
      <c r="D3916" s="201">
        <v>0</v>
      </c>
      <c r="E3916" s="201">
        <v>0</v>
      </c>
      <c r="F3916">
        <v>0</v>
      </c>
      <c r="G3916">
        <v>0</v>
      </c>
      <c r="H3916">
        <v>0</v>
      </c>
      <c r="I3916">
        <v>0</v>
      </c>
      <c r="J3916">
        <v>0</v>
      </c>
      <c r="K3916" s="201">
        <v>0</v>
      </c>
    </row>
    <row r="3917" spans="1:11" x14ac:dyDescent="0.25">
      <c r="A3917"/>
      <c r="B3917" s="201">
        <v>0</v>
      </c>
      <c r="C3917">
        <v>0</v>
      </c>
      <c r="D3917" s="201">
        <v>0</v>
      </c>
      <c r="E3917" s="201">
        <v>0</v>
      </c>
      <c r="F3917">
        <v>0</v>
      </c>
      <c r="G3917">
        <v>0</v>
      </c>
      <c r="H3917">
        <v>0</v>
      </c>
      <c r="I3917">
        <v>0</v>
      </c>
      <c r="J3917">
        <v>0</v>
      </c>
      <c r="K3917" s="201">
        <v>0</v>
      </c>
    </row>
    <row r="3918" spans="1:11" x14ac:dyDescent="0.25">
      <c r="A3918"/>
      <c r="B3918" s="201">
        <v>0</v>
      </c>
      <c r="C3918">
        <v>0</v>
      </c>
      <c r="D3918" s="201">
        <v>0</v>
      </c>
      <c r="E3918" s="201">
        <v>0</v>
      </c>
      <c r="F3918">
        <v>0</v>
      </c>
      <c r="G3918">
        <v>0</v>
      </c>
      <c r="H3918">
        <v>0</v>
      </c>
      <c r="I3918">
        <v>0</v>
      </c>
      <c r="J3918">
        <v>0</v>
      </c>
      <c r="K3918" s="201">
        <v>0</v>
      </c>
    </row>
    <row r="3919" spans="1:11" x14ac:dyDescent="0.25">
      <c r="A3919"/>
      <c r="B3919" s="201">
        <v>0</v>
      </c>
      <c r="C3919">
        <v>0</v>
      </c>
      <c r="D3919" s="201">
        <v>0</v>
      </c>
      <c r="E3919" s="201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 s="201">
        <v>0</v>
      </c>
    </row>
    <row r="3920" spans="1:11" x14ac:dyDescent="0.25">
      <c r="A3920"/>
      <c r="B3920" s="201">
        <v>0</v>
      </c>
      <c r="C3920">
        <v>0</v>
      </c>
      <c r="D3920" s="201">
        <v>0</v>
      </c>
      <c r="E3920" s="201">
        <v>0</v>
      </c>
      <c r="F3920">
        <v>0</v>
      </c>
      <c r="G3920">
        <v>0</v>
      </c>
      <c r="H3920">
        <v>0</v>
      </c>
      <c r="I3920">
        <v>0</v>
      </c>
      <c r="J3920">
        <v>0</v>
      </c>
      <c r="K3920" s="201">
        <v>0</v>
      </c>
    </row>
    <row r="3921" spans="1:11" x14ac:dyDescent="0.25">
      <c r="A3921"/>
      <c r="B3921" s="201">
        <v>0</v>
      </c>
      <c r="C3921">
        <v>0</v>
      </c>
      <c r="D3921" s="201">
        <v>0</v>
      </c>
      <c r="E3921" s="201">
        <v>0</v>
      </c>
      <c r="F3921">
        <v>0</v>
      </c>
      <c r="G3921">
        <v>0</v>
      </c>
      <c r="H3921">
        <v>0</v>
      </c>
      <c r="I3921">
        <v>0</v>
      </c>
      <c r="J3921">
        <v>0</v>
      </c>
      <c r="K3921" s="201">
        <v>0</v>
      </c>
    </row>
    <row r="3922" spans="1:11" x14ac:dyDescent="0.25">
      <c r="A3922"/>
      <c r="B3922" s="201">
        <v>0</v>
      </c>
      <c r="C3922">
        <v>0</v>
      </c>
      <c r="D3922" s="201">
        <v>0</v>
      </c>
      <c r="E3922" s="201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 s="201">
        <v>0</v>
      </c>
    </row>
    <row r="3923" spans="1:11" x14ac:dyDescent="0.25">
      <c r="A3923"/>
      <c r="B3923" s="201">
        <v>0</v>
      </c>
      <c r="C3923">
        <v>0</v>
      </c>
      <c r="D3923" s="201">
        <v>0</v>
      </c>
      <c r="E3923" s="201">
        <v>0</v>
      </c>
      <c r="F3923">
        <v>0</v>
      </c>
      <c r="G3923">
        <v>0</v>
      </c>
      <c r="H3923">
        <v>0</v>
      </c>
      <c r="I3923">
        <v>0</v>
      </c>
      <c r="J3923">
        <v>0</v>
      </c>
      <c r="K3923" s="201">
        <v>0</v>
      </c>
    </row>
    <row r="3924" spans="1:11" x14ac:dyDescent="0.25">
      <c r="A3924"/>
      <c r="B3924" s="201">
        <v>0</v>
      </c>
      <c r="C3924">
        <v>0</v>
      </c>
      <c r="D3924" s="201">
        <v>0</v>
      </c>
      <c r="E3924" s="201">
        <v>0</v>
      </c>
      <c r="F3924">
        <v>0</v>
      </c>
      <c r="G3924">
        <v>0</v>
      </c>
      <c r="H3924">
        <v>0</v>
      </c>
      <c r="I3924">
        <v>0</v>
      </c>
      <c r="J3924">
        <v>0</v>
      </c>
      <c r="K3924" s="201">
        <v>0</v>
      </c>
    </row>
    <row r="3925" spans="1:11" x14ac:dyDescent="0.25">
      <c r="A3925"/>
      <c r="B3925" s="201">
        <v>0</v>
      </c>
      <c r="C3925">
        <v>0</v>
      </c>
      <c r="D3925" s="201">
        <v>0</v>
      </c>
      <c r="E3925" s="201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 s="201">
        <v>0</v>
      </c>
    </row>
    <row r="3926" spans="1:11" x14ac:dyDescent="0.25">
      <c r="A3926"/>
      <c r="B3926" s="201">
        <v>0</v>
      </c>
      <c r="C3926">
        <v>0</v>
      </c>
      <c r="D3926" s="201">
        <v>0</v>
      </c>
      <c r="E3926" s="201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 s="201">
        <v>0</v>
      </c>
    </row>
    <row r="3927" spans="1:11" x14ac:dyDescent="0.25">
      <c r="A3927"/>
      <c r="B3927" s="201">
        <v>0</v>
      </c>
      <c r="C3927">
        <v>0</v>
      </c>
      <c r="D3927" s="201">
        <v>0</v>
      </c>
      <c r="E3927" s="201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 s="201">
        <v>0</v>
      </c>
    </row>
    <row r="3928" spans="1:11" x14ac:dyDescent="0.25">
      <c r="A3928"/>
      <c r="B3928" s="201">
        <v>0</v>
      </c>
      <c r="C3928">
        <v>0</v>
      </c>
      <c r="D3928" s="201">
        <v>0</v>
      </c>
      <c r="E3928" s="201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 s="201">
        <v>0</v>
      </c>
    </row>
    <row r="3929" spans="1:11" x14ac:dyDescent="0.25">
      <c r="A3929"/>
      <c r="B3929" s="201">
        <v>0</v>
      </c>
      <c r="C3929">
        <v>0</v>
      </c>
      <c r="D3929" s="201">
        <v>0</v>
      </c>
      <c r="E3929" s="201">
        <v>0</v>
      </c>
      <c r="F3929">
        <v>0</v>
      </c>
      <c r="G3929">
        <v>0</v>
      </c>
      <c r="H3929">
        <v>0</v>
      </c>
      <c r="I3929">
        <v>0</v>
      </c>
      <c r="J3929">
        <v>0</v>
      </c>
      <c r="K3929" s="201">
        <v>0</v>
      </c>
    </row>
    <row r="3930" spans="1:11" x14ac:dyDescent="0.25">
      <c r="A3930"/>
      <c r="B3930" s="201">
        <v>0</v>
      </c>
      <c r="C3930">
        <v>0</v>
      </c>
      <c r="D3930" s="201">
        <v>0</v>
      </c>
      <c r="E3930" s="201">
        <v>0</v>
      </c>
      <c r="F3930">
        <v>0</v>
      </c>
      <c r="G3930">
        <v>0</v>
      </c>
      <c r="H3930">
        <v>0</v>
      </c>
      <c r="I3930">
        <v>0</v>
      </c>
      <c r="J3930">
        <v>0</v>
      </c>
      <c r="K3930" s="201">
        <v>0</v>
      </c>
    </row>
    <row r="3931" spans="1:11" x14ac:dyDescent="0.25">
      <c r="A3931"/>
      <c r="B3931" s="201">
        <v>0</v>
      </c>
      <c r="C3931">
        <v>0</v>
      </c>
      <c r="D3931" s="201">
        <v>0</v>
      </c>
      <c r="E3931" s="20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 s="201">
        <v>0</v>
      </c>
    </row>
    <row r="3932" spans="1:11" x14ac:dyDescent="0.25">
      <c r="A3932"/>
      <c r="B3932" s="201">
        <v>0</v>
      </c>
      <c r="C3932">
        <v>0</v>
      </c>
      <c r="D3932" s="201">
        <v>0</v>
      </c>
      <c r="E3932" s="201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 s="201">
        <v>0</v>
      </c>
    </row>
    <row r="3933" spans="1:11" x14ac:dyDescent="0.25">
      <c r="A3933"/>
      <c r="B3933" s="201">
        <v>0</v>
      </c>
      <c r="C3933">
        <v>0</v>
      </c>
      <c r="D3933" s="201">
        <v>0</v>
      </c>
      <c r="E3933" s="201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 s="201">
        <v>0</v>
      </c>
    </row>
    <row r="3934" spans="1:11" x14ac:dyDescent="0.25">
      <c r="A3934"/>
      <c r="B3934" s="201">
        <v>0</v>
      </c>
      <c r="C3934">
        <v>0</v>
      </c>
      <c r="D3934" s="201">
        <v>0</v>
      </c>
      <c r="E3934" s="201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 s="201">
        <v>0</v>
      </c>
    </row>
    <row r="3935" spans="1:11" x14ac:dyDescent="0.25">
      <c r="A3935"/>
      <c r="B3935" s="201">
        <v>0</v>
      </c>
      <c r="C3935">
        <v>0</v>
      </c>
      <c r="D3935" s="201">
        <v>0</v>
      </c>
      <c r="E3935" s="201">
        <v>0</v>
      </c>
      <c r="F3935">
        <v>0</v>
      </c>
      <c r="G3935">
        <v>0</v>
      </c>
      <c r="H3935">
        <v>0</v>
      </c>
      <c r="I3935">
        <v>0</v>
      </c>
      <c r="J3935">
        <v>0</v>
      </c>
      <c r="K3935" s="201">
        <v>0</v>
      </c>
    </row>
    <row r="3936" spans="1:11" x14ac:dyDescent="0.25">
      <c r="A3936"/>
      <c r="B3936" s="201">
        <v>0</v>
      </c>
      <c r="C3936">
        <v>0</v>
      </c>
      <c r="D3936" s="201">
        <v>0</v>
      </c>
      <c r="E3936" s="201">
        <v>0</v>
      </c>
      <c r="F3936">
        <v>0</v>
      </c>
      <c r="G3936">
        <v>0</v>
      </c>
      <c r="H3936">
        <v>0</v>
      </c>
      <c r="I3936">
        <v>0</v>
      </c>
      <c r="J3936">
        <v>0</v>
      </c>
      <c r="K3936" s="201">
        <v>0</v>
      </c>
    </row>
    <row r="3937" spans="1:11" x14ac:dyDescent="0.25">
      <c r="A3937"/>
      <c r="B3937" s="201">
        <v>0</v>
      </c>
      <c r="C3937">
        <v>0</v>
      </c>
      <c r="D3937" s="201">
        <v>0</v>
      </c>
      <c r="E3937" s="201">
        <v>0</v>
      </c>
      <c r="F3937">
        <v>0</v>
      </c>
      <c r="G3937">
        <v>0</v>
      </c>
      <c r="H3937">
        <v>0</v>
      </c>
      <c r="I3937">
        <v>0</v>
      </c>
      <c r="J3937">
        <v>0</v>
      </c>
      <c r="K3937" s="201">
        <v>0</v>
      </c>
    </row>
    <row r="3938" spans="1:11" x14ac:dyDescent="0.25">
      <c r="A3938"/>
      <c r="B3938" s="201">
        <v>0</v>
      </c>
      <c r="C3938">
        <v>0</v>
      </c>
      <c r="D3938" s="201">
        <v>0</v>
      </c>
      <c r="E3938" s="201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 s="201">
        <v>0</v>
      </c>
    </row>
    <row r="3939" spans="1:11" x14ac:dyDescent="0.25">
      <c r="A3939"/>
      <c r="B3939" s="201">
        <v>0</v>
      </c>
      <c r="C3939">
        <v>0</v>
      </c>
      <c r="D3939" s="201">
        <v>0</v>
      </c>
      <c r="E3939" s="201">
        <v>0</v>
      </c>
      <c r="F3939">
        <v>0</v>
      </c>
      <c r="G3939">
        <v>0</v>
      </c>
      <c r="H3939">
        <v>0</v>
      </c>
      <c r="I3939">
        <v>0</v>
      </c>
      <c r="J3939">
        <v>0</v>
      </c>
      <c r="K3939" s="201">
        <v>0</v>
      </c>
    </row>
    <row r="3940" spans="1:11" x14ac:dyDescent="0.25">
      <c r="A3940"/>
      <c r="B3940" s="201">
        <v>0</v>
      </c>
      <c r="C3940">
        <v>0</v>
      </c>
      <c r="D3940" s="201">
        <v>0</v>
      </c>
      <c r="E3940" s="201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 s="201">
        <v>0</v>
      </c>
    </row>
    <row r="3941" spans="1:11" x14ac:dyDescent="0.25">
      <c r="A3941"/>
      <c r="B3941" s="201">
        <v>0</v>
      </c>
      <c r="C3941">
        <v>0</v>
      </c>
      <c r="D3941" s="201">
        <v>0</v>
      </c>
      <c r="E3941" s="201">
        <v>0</v>
      </c>
      <c r="F3941">
        <v>0</v>
      </c>
      <c r="G3941">
        <v>0</v>
      </c>
      <c r="H3941">
        <v>0</v>
      </c>
      <c r="I3941">
        <v>0</v>
      </c>
      <c r="J3941">
        <v>0</v>
      </c>
      <c r="K3941" s="201">
        <v>0</v>
      </c>
    </row>
    <row r="3942" spans="1:11" x14ac:dyDescent="0.25">
      <c r="A3942"/>
      <c r="B3942" s="201">
        <v>0</v>
      </c>
      <c r="C3942">
        <v>0</v>
      </c>
      <c r="D3942" s="201">
        <v>0</v>
      </c>
      <c r="E3942" s="201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 s="201">
        <v>0</v>
      </c>
    </row>
    <row r="3943" spans="1:11" x14ac:dyDescent="0.25">
      <c r="A3943"/>
      <c r="B3943" s="201">
        <v>0</v>
      </c>
      <c r="C3943">
        <v>0</v>
      </c>
      <c r="D3943" s="201">
        <v>0</v>
      </c>
      <c r="E3943" s="201">
        <v>0</v>
      </c>
      <c r="F3943">
        <v>0</v>
      </c>
      <c r="G3943">
        <v>0</v>
      </c>
      <c r="H3943">
        <v>0</v>
      </c>
      <c r="I3943">
        <v>0</v>
      </c>
      <c r="J3943">
        <v>0</v>
      </c>
      <c r="K3943" s="201">
        <v>0</v>
      </c>
    </row>
    <row r="3944" spans="1:11" x14ac:dyDescent="0.25">
      <c r="A3944"/>
      <c r="B3944" s="201">
        <v>0</v>
      </c>
      <c r="C3944">
        <v>0</v>
      </c>
      <c r="D3944" s="201">
        <v>0</v>
      </c>
      <c r="E3944" s="201">
        <v>0</v>
      </c>
      <c r="F3944">
        <v>0</v>
      </c>
      <c r="G3944">
        <v>0</v>
      </c>
      <c r="H3944">
        <v>0</v>
      </c>
      <c r="I3944">
        <v>0</v>
      </c>
      <c r="J3944">
        <v>0</v>
      </c>
      <c r="K3944" s="201">
        <v>0</v>
      </c>
    </row>
    <row r="3945" spans="1:11" x14ac:dyDescent="0.25">
      <c r="A3945"/>
      <c r="B3945" s="201">
        <v>0</v>
      </c>
      <c r="C3945">
        <v>0</v>
      </c>
      <c r="D3945" s="201">
        <v>0</v>
      </c>
      <c r="E3945" s="201">
        <v>0</v>
      </c>
      <c r="F3945">
        <v>0</v>
      </c>
      <c r="G3945">
        <v>0</v>
      </c>
      <c r="H3945">
        <v>0</v>
      </c>
      <c r="I3945">
        <v>0</v>
      </c>
      <c r="J3945">
        <v>0</v>
      </c>
      <c r="K3945" s="201">
        <v>0</v>
      </c>
    </row>
    <row r="3946" spans="1:11" x14ac:dyDescent="0.25">
      <c r="A3946"/>
      <c r="B3946" s="201">
        <v>0</v>
      </c>
      <c r="C3946">
        <v>0</v>
      </c>
      <c r="D3946" s="201">
        <v>0</v>
      </c>
      <c r="E3946" s="201">
        <v>0</v>
      </c>
      <c r="F3946">
        <v>0</v>
      </c>
      <c r="G3946">
        <v>0</v>
      </c>
      <c r="H3946">
        <v>0</v>
      </c>
      <c r="I3946">
        <v>0</v>
      </c>
      <c r="J3946">
        <v>0</v>
      </c>
      <c r="K3946" s="201">
        <v>0</v>
      </c>
    </row>
    <row r="3947" spans="1:11" x14ac:dyDescent="0.25">
      <c r="A3947"/>
      <c r="B3947" s="201">
        <v>0</v>
      </c>
      <c r="C3947">
        <v>0</v>
      </c>
      <c r="D3947" s="201">
        <v>0</v>
      </c>
      <c r="E3947" s="201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 s="201">
        <v>0</v>
      </c>
    </row>
    <row r="3948" spans="1:11" x14ac:dyDescent="0.25">
      <c r="A3948"/>
      <c r="B3948" s="77">
        <v>0</v>
      </c>
      <c r="C3948">
        <v>0</v>
      </c>
      <c r="D3948" s="201">
        <v>0</v>
      </c>
      <c r="E3948" s="201">
        <v>0</v>
      </c>
      <c r="F3948">
        <v>0</v>
      </c>
      <c r="G3948">
        <v>0</v>
      </c>
      <c r="H3948">
        <v>0</v>
      </c>
      <c r="I3948">
        <v>0</v>
      </c>
      <c r="J3948">
        <v>0</v>
      </c>
      <c r="K3948" s="201">
        <v>0</v>
      </c>
    </row>
    <row r="3949" spans="1:11" x14ac:dyDescent="0.25">
      <c r="A3949"/>
      <c r="B3949" s="201">
        <v>0</v>
      </c>
      <c r="C3949">
        <v>0</v>
      </c>
      <c r="D3949" s="201">
        <v>0</v>
      </c>
      <c r="E3949" s="201">
        <v>0</v>
      </c>
      <c r="F3949">
        <v>0</v>
      </c>
      <c r="G3949">
        <v>0</v>
      </c>
      <c r="H3949">
        <v>0</v>
      </c>
      <c r="I3949">
        <v>0</v>
      </c>
      <c r="J3949">
        <v>0</v>
      </c>
      <c r="K3949" s="201">
        <v>0</v>
      </c>
    </row>
    <row r="3950" spans="1:11" x14ac:dyDescent="0.25">
      <c r="A3950"/>
      <c r="B3950" s="201">
        <v>0</v>
      </c>
      <c r="C3950">
        <v>0</v>
      </c>
      <c r="D3950" s="201">
        <v>0</v>
      </c>
      <c r="E3950" s="201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 s="201">
        <v>0</v>
      </c>
    </row>
    <row r="3951" spans="1:11" x14ac:dyDescent="0.25">
      <c r="A3951"/>
      <c r="B3951" s="201">
        <v>0</v>
      </c>
      <c r="C3951">
        <v>0</v>
      </c>
      <c r="D3951" s="201">
        <v>0</v>
      </c>
      <c r="E3951" s="201">
        <v>0</v>
      </c>
      <c r="F3951">
        <v>0</v>
      </c>
      <c r="G3951">
        <v>0</v>
      </c>
      <c r="H3951">
        <v>0</v>
      </c>
      <c r="I3951">
        <v>0</v>
      </c>
      <c r="J3951">
        <v>0</v>
      </c>
      <c r="K3951" s="201">
        <v>0</v>
      </c>
    </row>
    <row r="3952" spans="1:11" x14ac:dyDescent="0.25">
      <c r="A3952"/>
      <c r="B3952" s="201">
        <v>0</v>
      </c>
      <c r="C3952">
        <v>0</v>
      </c>
      <c r="D3952" s="201">
        <v>0</v>
      </c>
      <c r="E3952" s="201">
        <v>0</v>
      </c>
      <c r="F3952">
        <v>0</v>
      </c>
      <c r="G3952">
        <v>0</v>
      </c>
      <c r="H3952">
        <v>0</v>
      </c>
      <c r="I3952">
        <v>0</v>
      </c>
      <c r="J3952">
        <v>0</v>
      </c>
      <c r="K3952" s="201">
        <v>0</v>
      </c>
    </row>
    <row r="3953" spans="1:11" x14ac:dyDescent="0.25">
      <c r="A3953"/>
      <c r="B3953" s="201">
        <v>0</v>
      </c>
      <c r="C3953">
        <v>0</v>
      </c>
      <c r="D3953" s="201">
        <v>0</v>
      </c>
      <c r="E3953" s="201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 s="201">
        <v>0</v>
      </c>
    </row>
    <row r="3954" spans="1:11" x14ac:dyDescent="0.25">
      <c r="A3954"/>
      <c r="B3954" s="201">
        <v>0</v>
      </c>
      <c r="C3954">
        <v>0</v>
      </c>
      <c r="D3954" s="201">
        <v>0</v>
      </c>
      <c r="E3954" s="201">
        <v>0</v>
      </c>
      <c r="F3954">
        <v>0</v>
      </c>
      <c r="G3954">
        <v>0</v>
      </c>
      <c r="H3954">
        <v>0</v>
      </c>
      <c r="I3954">
        <v>0</v>
      </c>
      <c r="J3954">
        <v>0</v>
      </c>
      <c r="K3954" s="201">
        <v>0</v>
      </c>
    </row>
    <row r="3955" spans="1:11" x14ac:dyDescent="0.25">
      <c r="A3955"/>
      <c r="B3955" s="201">
        <v>0</v>
      </c>
      <c r="C3955">
        <v>0</v>
      </c>
      <c r="D3955" s="201">
        <v>0</v>
      </c>
      <c r="E3955" s="201">
        <v>0</v>
      </c>
      <c r="F3955">
        <v>0</v>
      </c>
      <c r="G3955">
        <v>0</v>
      </c>
      <c r="H3955">
        <v>0</v>
      </c>
      <c r="I3955">
        <v>0</v>
      </c>
      <c r="J3955">
        <v>0</v>
      </c>
      <c r="K3955" s="201">
        <v>0</v>
      </c>
    </row>
    <row r="3956" spans="1:11" x14ac:dyDescent="0.25">
      <c r="A3956"/>
      <c r="B3956" s="201">
        <v>0</v>
      </c>
      <c r="C3956">
        <v>0</v>
      </c>
      <c r="D3956" s="201">
        <v>0</v>
      </c>
      <c r="E3956" s="201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 s="201">
        <v>0</v>
      </c>
    </row>
    <row r="3957" spans="1:11" x14ac:dyDescent="0.25">
      <c r="A3957"/>
      <c r="B3957" s="201">
        <v>0</v>
      </c>
      <c r="C3957">
        <v>0</v>
      </c>
      <c r="D3957" s="201">
        <v>0</v>
      </c>
      <c r="E3957" s="201">
        <v>0</v>
      </c>
      <c r="F3957">
        <v>0</v>
      </c>
      <c r="G3957">
        <v>0</v>
      </c>
      <c r="H3957">
        <v>0</v>
      </c>
      <c r="I3957">
        <v>0</v>
      </c>
      <c r="J3957">
        <v>0</v>
      </c>
      <c r="K3957" s="201">
        <v>0</v>
      </c>
    </row>
    <row r="3958" spans="1:11" x14ac:dyDescent="0.25">
      <c r="A3958"/>
      <c r="B3958" s="201">
        <v>0</v>
      </c>
      <c r="C3958">
        <v>0</v>
      </c>
      <c r="D3958" s="201">
        <v>0</v>
      </c>
      <c r="E3958" s="201">
        <v>0</v>
      </c>
      <c r="F3958">
        <v>0</v>
      </c>
      <c r="G3958">
        <v>0</v>
      </c>
      <c r="H3958">
        <v>0</v>
      </c>
      <c r="I3958">
        <v>0</v>
      </c>
      <c r="J3958">
        <v>0</v>
      </c>
      <c r="K3958" s="201">
        <v>0</v>
      </c>
    </row>
    <row r="3959" spans="1:11" x14ac:dyDescent="0.25">
      <c r="A3959"/>
      <c r="B3959" s="201">
        <v>0</v>
      </c>
      <c r="C3959">
        <v>0</v>
      </c>
      <c r="D3959" s="201">
        <v>0</v>
      </c>
      <c r="E3959" s="201">
        <v>0</v>
      </c>
      <c r="F3959">
        <v>0</v>
      </c>
      <c r="G3959">
        <v>0</v>
      </c>
      <c r="H3959">
        <v>0</v>
      </c>
      <c r="I3959">
        <v>0</v>
      </c>
      <c r="J3959">
        <v>0</v>
      </c>
      <c r="K3959" s="201">
        <v>0</v>
      </c>
    </row>
    <row r="3960" spans="1:11" x14ac:dyDescent="0.25">
      <c r="A3960"/>
      <c r="B3960" s="201">
        <v>0</v>
      </c>
      <c r="C3960">
        <v>0</v>
      </c>
      <c r="D3960" s="201">
        <v>0</v>
      </c>
      <c r="E3960" s="201">
        <v>0</v>
      </c>
      <c r="F3960">
        <v>0</v>
      </c>
      <c r="G3960">
        <v>0</v>
      </c>
      <c r="H3960">
        <v>0</v>
      </c>
      <c r="I3960">
        <v>0</v>
      </c>
      <c r="J3960">
        <v>0</v>
      </c>
      <c r="K3960" s="201">
        <v>0</v>
      </c>
    </row>
    <row r="3961" spans="1:11" x14ac:dyDescent="0.25">
      <c r="A3961"/>
      <c r="B3961" s="201">
        <v>0</v>
      </c>
      <c r="C3961">
        <v>0</v>
      </c>
      <c r="D3961" s="201">
        <v>0</v>
      </c>
      <c r="E3961" s="201">
        <v>0</v>
      </c>
      <c r="F3961">
        <v>0</v>
      </c>
      <c r="G3961">
        <v>0</v>
      </c>
      <c r="H3961">
        <v>0</v>
      </c>
      <c r="I3961">
        <v>0</v>
      </c>
      <c r="J3961">
        <v>0</v>
      </c>
      <c r="K3961" s="201">
        <v>0</v>
      </c>
    </row>
    <row r="3962" spans="1:11" x14ac:dyDescent="0.25">
      <c r="A3962"/>
      <c r="B3962" s="201">
        <v>0</v>
      </c>
      <c r="C3962">
        <v>0</v>
      </c>
      <c r="D3962" s="201">
        <v>0</v>
      </c>
      <c r="E3962" s="201">
        <v>0</v>
      </c>
      <c r="F3962">
        <v>0</v>
      </c>
      <c r="G3962">
        <v>0</v>
      </c>
      <c r="H3962">
        <v>0</v>
      </c>
      <c r="I3962">
        <v>0</v>
      </c>
      <c r="J3962">
        <v>0</v>
      </c>
      <c r="K3962" s="201">
        <v>0</v>
      </c>
    </row>
    <row r="3963" spans="1:11" x14ac:dyDescent="0.25">
      <c r="A3963"/>
      <c r="B3963" s="201">
        <v>0</v>
      </c>
      <c r="C3963">
        <v>0</v>
      </c>
      <c r="D3963" s="201">
        <v>0</v>
      </c>
      <c r="E3963" s="201">
        <v>0</v>
      </c>
      <c r="F3963">
        <v>0</v>
      </c>
      <c r="G3963">
        <v>0</v>
      </c>
      <c r="H3963">
        <v>0</v>
      </c>
      <c r="I3963">
        <v>0</v>
      </c>
      <c r="J3963">
        <v>0</v>
      </c>
      <c r="K3963" s="201">
        <v>0</v>
      </c>
    </row>
    <row r="3964" spans="1:11" x14ac:dyDescent="0.25">
      <c r="A3964"/>
      <c r="B3964" s="201">
        <v>0</v>
      </c>
      <c r="C3964">
        <v>0</v>
      </c>
      <c r="D3964" s="201">
        <v>0</v>
      </c>
      <c r="E3964" s="201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 s="201">
        <v>0</v>
      </c>
    </row>
    <row r="3965" spans="1:11" x14ac:dyDescent="0.25">
      <c r="A3965"/>
      <c r="B3965" s="201">
        <v>0</v>
      </c>
      <c r="C3965">
        <v>0</v>
      </c>
      <c r="D3965" s="201">
        <v>0</v>
      </c>
      <c r="E3965" s="201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 s="201">
        <v>0</v>
      </c>
    </row>
    <row r="3966" spans="1:11" x14ac:dyDescent="0.25">
      <c r="A3966"/>
      <c r="B3966" s="201">
        <v>0</v>
      </c>
      <c r="C3966">
        <v>0</v>
      </c>
      <c r="D3966" s="201">
        <v>0</v>
      </c>
      <c r="E3966" s="201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 s="201">
        <v>0</v>
      </c>
    </row>
    <row r="3967" spans="1:11" x14ac:dyDescent="0.25">
      <c r="A3967"/>
      <c r="B3967" s="201">
        <v>0</v>
      </c>
      <c r="C3967">
        <v>0</v>
      </c>
      <c r="D3967" s="201">
        <v>0</v>
      </c>
      <c r="E3967" s="201">
        <v>0</v>
      </c>
      <c r="F3967">
        <v>0</v>
      </c>
      <c r="G3967">
        <v>0</v>
      </c>
      <c r="H3967">
        <v>0</v>
      </c>
      <c r="I3967">
        <v>0</v>
      </c>
      <c r="J3967">
        <v>0</v>
      </c>
      <c r="K3967" s="201">
        <v>0</v>
      </c>
    </row>
    <row r="3968" spans="1:11" x14ac:dyDescent="0.25">
      <c r="A3968"/>
      <c r="B3968" s="201">
        <v>0</v>
      </c>
      <c r="C3968">
        <v>0</v>
      </c>
      <c r="D3968" s="201">
        <v>0</v>
      </c>
      <c r="E3968" s="201">
        <v>0</v>
      </c>
      <c r="F3968">
        <v>0</v>
      </c>
      <c r="G3968">
        <v>0</v>
      </c>
      <c r="H3968">
        <v>0</v>
      </c>
      <c r="I3968">
        <v>0</v>
      </c>
      <c r="J3968">
        <v>0</v>
      </c>
      <c r="K3968" s="201">
        <v>0</v>
      </c>
    </row>
    <row r="3969" spans="1:11" x14ac:dyDescent="0.25">
      <c r="A3969"/>
      <c r="B3969" s="201">
        <v>0</v>
      </c>
      <c r="C3969">
        <v>0</v>
      </c>
      <c r="D3969" s="201">
        <v>0</v>
      </c>
      <c r="E3969" s="201">
        <v>0</v>
      </c>
      <c r="F3969">
        <v>0</v>
      </c>
      <c r="G3969">
        <v>0</v>
      </c>
      <c r="H3969">
        <v>0</v>
      </c>
      <c r="I3969">
        <v>0</v>
      </c>
      <c r="J3969">
        <v>0</v>
      </c>
      <c r="K3969" s="201">
        <v>0</v>
      </c>
    </row>
    <row r="3970" spans="1:11" x14ac:dyDescent="0.25">
      <c r="A3970"/>
      <c r="B3970" s="201">
        <v>0</v>
      </c>
      <c r="C3970">
        <v>0</v>
      </c>
      <c r="D3970" s="201">
        <v>0</v>
      </c>
      <c r="E3970" s="201">
        <v>0</v>
      </c>
      <c r="F3970">
        <v>0</v>
      </c>
      <c r="G3970">
        <v>0</v>
      </c>
      <c r="H3970">
        <v>0</v>
      </c>
      <c r="I3970">
        <v>0</v>
      </c>
      <c r="J3970">
        <v>0</v>
      </c>
      <c r="K3970" s="201">
        <v>0</v>
      </c>
    </row>
    <row r="3971" spans="1:11" x14ac:dyDescent="0.25">
      <c r="A3971"/>
      <c r="B3971" s="201">
        <v>0</v>
      </c>
      <c r="C3971">
        <v>0</v>
      </c>
      <c r="D3971" s="201">
        <v>0</v>
      </c>
      <c r="E3971" s="201">
        <v>0</v>
      </c>
      <c r="F3971">
        <v>0</v>
      </c>
      <c r="G3971">
        <v>0</v>
      </c>
      <c r="H3971">
        <v>0</v>
      </c>
      <c r="I3971">
        <v>0</v>
      </c>
      <c r="J3971">
        <v>0</v>
      </c>
      <c r="K3971" s="201">
        <v>0</v>
      </c>
    </row>
    <row r="3972" spans="1:11" x14ac:dyDescent="0.25">
      <c r="A3972"/>
      <c r="B3972" s="201">
        <v>0</v>
      </c>
      <c r="C3972">
        <v>0</v>
      </c>
      <c r="D3972" s="201">
        <v>0</v>
      </c>
      <c r="E3972" s="201">
        <v>0</v>
      </c>
      <c r="F3972">
        <v>0</v>
      </c>
      <c r="G3972">
        <v>0</v>
      </c>
      <c r="H3972">
        <v>0</v>
      </c>
      <c r="I3972">
        <v>0</v>
      </c>
      <c r="J3972">
        <v>0</v>
      </c>
      <c r="K3972" s="201">
        <v>0</v>
      </c>
    </row>
    <row r="3973" spans="1:11" x14ac:dyDescent="0.25">
      <c r="A3973"/>
      <c r="B3973" s="201">
        <v>0</v>
      </c>
      <c r="C3973">
        <v>0</v>
      </c>
      <c r="D3973" s="201">
        <v>0</v>
      </c>
      <c r="E3973" s="201">
        <v>0</v>
      </c>
      <c r="F3973">
        <v>0</v>
      </c>
      <c r="G3973">
        <v>0</v>
      </c>
      <c r="H3973">
        <v>0</v>
      </c>
      <c r="I3973">
        <v>0</v>
      </c>
      <c r="J3973">
        <v>0</v>
      </c>
      <c r="K3973" s="201">
        <v>0</v>
      </c>
    </row>
    <row r="3974" spans="1:11" x14ac:dyDescent="0.25">
      <c r="A3974"/>
      <c r="B3974" s="201">
        <v>0</v>
      </c>
      <c r="C3974">
        <v>0</v>
      </c>
      <c r="D3974" s="201">
        <v>0</v>
      </c>
      <c r="E3974" s="201">
        <v>0</v>
      </c>
      <c r="F3974">
        <v>0</v>
      </c>
      <c r="G3974">
        <v>0</v>
      </c>
      <c r="H3974">
        <v>0</v>
      </c>
      <c r="I3974">
        <v>0</v>
      </c>
      <c r="J3974">
        <v>0</v>
      </c>
      <c r="K3974" s="201">
        <v>0</v>
      </c>
    </row>
    <row r="3975" spans="1:11" x14ac:dyDescent="0.25">
      <c r="A3975"/>
      <c r="B3975" s="201">
        <v>0</v>
      </c>
      <c r="C3975">
        <v>0</v>
      </c>
      <c r="D3975" s="201">
        <v>0</v>
      </c>
      <c r="E3975" s="201">
        <v>0</v>
      </c>
      <c r="F3975">
        <v>0</v>
      </c>
      <c r="G3975">
        <v>0</v>
      </c>
      <c r="H3975">
        <v>0</v>
      </c>
      <c r="I3975">
        <v>0</v>
      </c>
      <c r="J3975">
        <v>0</v>
      </c>
      <c r="K3975" s="201">
        <v>0</v>
      </c>
    </row>
    <row r="3976" spans="1:11" x14ac:dyDescent="0.25">
      <c r="A3976"/>
      <c r="B3976" s="201">
        <v>0</v>
      </c>
      <c r="C3976">
        <v>0</v>
      </c>
      <c r="D3976" s="201">
        <v>0</v>
      </c>
      <c r="E3976" s="201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 s="201">
        <v>0</v>
      </c>
    </row>
    <row r="3977" spans="1:11" x14ac:dyDescent="0.25">
      <c r="A3977"/>
      <c r="B3977" s="201">
        <v>0</v>
      </c>
      <c r="C3977">
        <v>0</v>
      </c>
      <c r="D3977" s="201">
        <v>0</v>
      </c>
      <c r="E3977" s="201">
        <v>0</v>
      </c>
      <c r="F3977">
        <v>0</v>
      </c>
      <c r="G3977">
        <v>0</v>
      </c>
      <c r="H3977">
        <v>0</v>
      </c>
      <c r="I3977">
        <v>0</v>
      </c>
      <c r="J3977">
        <v>0</v>
      </c>
      <c r="K3977" s="201">
        <v>0</v>
      </c>
    </row>
    <row r="3978" spans="1:11" x14ac:dyDescent="0.25">
      <c r="A3978"/>
      <c r="B3978" s="201">
        <v>0</v>
      </c>
      <c r="C3978">
        <v>0</v>
      </c>
      <c r="D3978" s="201">
        <v>0</v>
      </c>
      <c r="E3978" s="201">
        <v>0</v>
      </c>
      <c r="F3978">
        <v>0</v>
      </c>
      <c r="G3978">
        <v>0</v>
      </c>
      <c r="H3978">
        <v>0</v>
      </c>
      <c r="I3978">
        <v>0</v>
      </c>
      <c r="J3978">
        <v>0</v>
      </c>
      <c r="K3978" s="201">
        <v>0</v>
      </c>
    </row>
    <row r="3979" spans="1:11" x14ac:dyDescent="0.25">
      <c r="A3979"/>
      <c r="B3979" s="201">
        <v>0</v>
      </c>
      <c r="C3979">
        <v>0</v>
      </c>
      <c r="D3979" s="201">
        <v>0</v>
      </c>
      <c r="E3979" s="201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 s="201">
        <v>0</v>
      </c>
    </row>
    <row r="3980" spans="1:11" x14ac:dyDescent="0.25">
      <c r="A3980"/>
      <c r="B3980" s="201">
        <v>0</v>
      </c>
      <c r="C3980">
        <v>0</v>
      </c>
      <c r="D3980" s="201">
        <v>0</v>
      </c>
      <c r="E3980" s="201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 s="201">
        <v>0</v>
      </c>
    </row>
    <row r="3981" spans="1:11" x14ac:dyDescent="0.25">
      <c r="A3981"/>
      <c r="B3981" s="201">
        <v>0</v>
      </c>
      <c r="C3981">
        <v>0</v>
      </c>
      <c r="D3981" s="201">
        <v>0</v>
      </c>
      <c r="E3981" s="201">
        <v>0</v>
      </c>
      <c r="F3981">
        <v>0</v>
      </c>
      <c r="G3981">
        <v>0</v>
      </c>
      <c r="H3981">
        <v>0</v>
      </c>
      <c r="I3981">
        <v>0</v>
      </c>
      <c r="J3981">
        <v>0</v>
      </c>
      <c r="K3981" s="201">
        <v>0</v>
      </c>
    </row>
    <row r="3982" spans="1:11" x14ac:dyDescent="0.25">
      <c r="A3982"/>
      <c r="B3982" s="201">
        <v>0</v>
      </c>
      <c r="C3982">
        <v>0</v>
      </c>
      <c r="D3982" s="201">
        <v>0</v>
      </c>
      <c r="E3982" s="201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 s="201">
        <v>0</v>
      </c>
    </row>
    <row r="3983" spans="1:11" x14ac:dyDescent="0.25">
      <c r="A3983"/>
      <c r="B3983" s="201">
        <v>0</v>
      </c>
      <c r="C3983">
        <v>0</v>
      </c>
      <c r="D3983" s="201">
        <v>0</v>
      </c>
      <c r="E3983" s="201">
        <v>0</v>
      </c>
      <c r="F3983">
        <v>0</v>
      </c>
      <c r="G3983">
        <v>0</v>
      </c>
      <c r="H3983">
        <v>0</v>
      </c>
      <c r="I3983">
        <v>0</v>
      </c>
      <c r="J3983">
        <v>0</v>
      </c>
      <c r="K3983" s="201">
        <v>0</v>
      </c>
    </row>
    <row r="3984" spans="1:11" x14ac:dyDescent="0.25">
      <c r="A3984"/>
      <c r="B3984" s="201">
        <v>0</v>
      </c>
      <c r="C3984">
        <v>0</v>
      </c>
      <c r="D3984" s="201">
        <v>0</v>
      </c>
      <c r="E3984" s="201">
        <v>0</v>
      </c>
      <c r="F3984">
        <v>0</v>
      </c>
      <c r="G3984">
        <v>0</v>
      </c>
      <c r="H3984">
        <v>0</v>
      </c>
      <c r="I3984">
        <v>0</v>
      </c>
      <c r="J3984">
        <v>0</v>
      </c>
      <c r="K3984" s="201">
        <v>0</v>
      </c>
    </row>
    <row r="3985" spans="1:11" x14ac:dyDescent="0.25">
      <c r="A3985"/>
      <c r="B3985" s="201">
        <v>0</v>
      </c>
      <c r="C3985">
        <v>0</v>
      </c>
      <c r="D3985" s="201">
        <v>0</v>
      </c>
      <c r="E3985" s="201">
        <v>0</v>
      </c>
      <c r="F3985">
        <v>0</v>
      </c>
      <c r="G3985">
        <v>0</v>
      </c>
      <c r="H3985">
        <v>0</v>
      </c>
      <c r="I3985">
        <v>0</v>
      </c>
      <c r="J3985">
        <v>0</v>
      </c>
      <c r="K3985" s="201">
        <v>0</v>
      </c>
    </row>
    <row r="3986" spans="1:11" x14ac:dyDescent="0.25">
      <c r="A3986"/>
      <c r="B3986" s="201">
        <v>0</v>
      </c>
      <c r="C3986">
        <v>0</v>
      </c>
      <c r="D3986" s="201">
        <v>0</v>
      </c>
      <c r="E3986" s="201">
        <v>0</v>
      </c>
      <c r="F3986">
        <v>0</v>
      </c>
      <c r="G3986">
        <v>0</v>
      </c>
      <c r="H3986">
        <v>0</v>
      </c>
      <c r="I3986">
        <v>0</v>
      </c>
      <c r="J3986">
        <v>0</v>
      </c>
      <c r="K3986" s="201">
        <v>0</v>
      </c>
    </row>
    <row r="3987" spans="1:11" x14ac:dyDescent="0.25">
      <c r="A3987"/>
      <c r="B3987" s="201">
        <v>0</v>
      </c>
      <c r="C3987">
        <v>0</v>
      </c>
      <c r="D3987" s="201">
        <v>0</v>
      </c>
      <c r="E3987" s="201">
        <v>0</v>
      </c>
      <c r="F3987">
        <v>0</v>
      </c>
      <c r="G3987">
        <v>0</v>
      </c>
      <c r="H3987">
        <v>0</v>
      </c>
      <c r="I3987">
        <v>0</v>
      </c>
      <c r="J3987">
        <v>0</v>
      </c>
      <c r="K3987" s="201">
        <v>0</v>
      </c>
    </row>
    <row r="3988" spans="1:11" x14ac:dyDescent="0.25">
      <c r="A3988"/>
      <c r="B3988" s="201">
        <v>0</v>
      </c>
      <c r="C3988">
        <v>0</v>
      </c>
      <c r="D3988" s="201">
        <v>0</v>
      </c>
      <c r="E3988" s="201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 s="201">
        <v>0</v>
      </c>
    </row>
    <row r="3989" spans="1:11" x14ac:dyDescent="0.25">
      <c r="A3989"/>
      <c r="B3989" s="201">
        <v>0</v>
      </c>
      <c r="C3989">
        <v>0</v>
      </c>
      <c r="D3989" s="201">
        <v>0</v>
      </c>
      <c r="E3989" s="201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 s="201">
        <v>0</v>
      </c>
    </row>
    <row r="3990" spans="1:11" x14ac:dyDescent="0.25">
      <c r="A3990"/>
      <c r="B3990" s="201">
        <v>0</v>
      </c>
      <c r="C3990">
        <v>0</v>
      </c>
      <c r="D3990" s="201">
        <v>0</v>
      </c>
      <c r="E3990" s="201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 s="201">
        <v>0</v>
      </c>
    </row>
    <row r="3991" spans="1:11" x14ac:dyDescent="0.25">
      <c r="A3991"/>
      <c r="B3991" s="201">
        <v>0</v>
      </c>
      <c r="C3991">
        <v>0</v>
      </c>
      <c r="D3991" s="201">
        <v>0</v>
      </c>
      <c r="E3991" s="201">
        <v>0</v>
      </c>
      <c r="F3991">
        <v>0</v>
      </c>
      <c r="G3991">
        <v>0</v>
      </c>
      <c r="H3991">
        <v>0</v>
      </c>
      <c r="I3991">
        <v>0</v>
      </c>
      <c r="J3991">
        <v>0</v>
      </c>
      <c r="K3991" s="201">
        <v>0</v>
      </c>
    </row>
    <row r="3992" spans="1:11" x14ac:dyDescent="0.25">
      <c r="A3992"/>
      <c r="B3992" s="201">
        <v>0</v>
      </c>
      <c r="C3992">
        <v>0</v>
      </c>
      <c r="D3992" s="201">
        <v>0</v>
      </c>
      <c r="E3992" s="201">
        <v>0</v>
      </c>
      <c r="F3992">
        <v>0</v>
      </c>
      <c r="G3992">
        <v>0</v>
      </c>
      <c r="H3992">
        <v>0</v>
      </c>
      <c r="I3992">
        <v>0</v>
      </c>
      <c r="J3992">
        <v>0</v>
      </c>
      <c r="K3992" s="201">
        <v>0</v>
      </c>
    </row>
    <row r="3993" spans="1:11" x14ac:dyDescent="0.25">
      <c r="A3993"/>
      <c r="B3993" s="201">
        <v>0</v>
      </c>
      <c r="C3993">
        <v>0</v>
      </c>
      <c r="D3993" s="201">
        <v>0</v>
      </c>
      <c r="E3993" s="201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 s="201">
        <v>0</v>
      </c>
    </row>
    <row r="3994" spans="1:11" x14ac:dyDescent="0.25">
      <c r="A3994"/>
      <c r="B3994" s="201">
        <v>0</v>
      </c>
      <c r="C3994">
        <v>0</v>
      </c>
      <c r="D3994" s="201">
        <v>0</v>
      </c>
      <c r="E3994" s="201">
        <v>0</v>
      </c>
      <c r="F3994">
        <v>0</v>
      </c>
      <c r="G3994">
        <v>0</v>
      </c>
      <c r="H3994">
        <v>0</v>
      </c>
      <c r="I3994">
        <v>0</v>
      </c>
      <c r="J3994">
        <v>0</v>
      </c>
      <c r="K3994" s="201">
        <v>0</v>
      </c>
    </row>
    <row r="3995" spans="1:11" x14ac:dyDescent="0.25">
      <c r="A3995"/>
      <c r="B3995" s="201">
        <v>0</v>
      </c>
      <c r="C3995">
        <v>0</v>
      </c>
      <c r="D3995" s="201">
        <v>0</v>
      </c>
      <c r="E3995" s="201">
        <v>0</v>
      </c>
      <c r="F3995">
        <v>0</v>
      </c>
      <c r="G3995">
        <v>0</v>
      </c>
      <c r="H3995">
        <v>0</v>
      </c>
      <c r="I3995">
        <v>0</v>
      </c>
      <c r="J3995">
        <v>0</v>
      </c>
      <c r="K3995" s="201">
        <v>0</v>
      </c>
    </row>
    <row r="3996" spans="1:11" x14ac:dyDescent="0.25">
      <c r="A3996"/>
      <c r="B3996" s="201">
        <v>0</v>
      </c>
      <c r="C3996">
        <v>0</v>
      </c>
      <c r="D3996" s="201">
        <v>0</v>
      </c>
      <c r="E3996" s="201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 s="201">
        <v>0</v>
      </c>
    </row>
    <row r="3997" spans="1:11" x14ac:dyDescent="0.25">
      <c r="A3997"/>
      <c r="B3997" s="201">
        <v>0</v>
      </c>
      <c r="C3997">
        <v>0</v>
      </c>
      <c r="D3997" s="201">
        <v>0</v>
      </c>
      <c r="E3997" s="201">
        <v>0</v>
      </c>
      <c r="F3997">
        <v>0</v>
      </c>
      <c r="G3997">
        <v>0</v>
      </c>
      <c r="H3997">
        <v>0</v>
      </c>
      <c r="I3997">
        <v>0</v>
      </c>
      <c r="J3997">
        <v>0</v>
      </c>
      <c r="K3997" s="201">
        <v>0</v>
      </c>
    </row>
    <row r="3998" spans="1:11" x14ac:dyDescent="0.25">
      <c r="A3998"/>
      <c r="B3998" s="201">
        <v>0</v>
      </c>
      <c r="C3998">
        <v>0</v>
      </c>
      <c r="D3998" s="201">
        <v>0</v>
      </c>
      <c r="E3998" s="201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 s="201">
        <v>0</v>
      </c>
    </row>
    <row r="3999" spans="1:11" x14ac:dyDescent="0.25">
      <c r="A3999"/>
      <c r="B3999" s="201">
        <v>0</v>
      </c>
      <c r="C3999">
        <v>0</v>
      </c>
      <c r="D3999" s="201">
        <v>0</v>
      </c>
      <c r="E3999" s="201">
        <v>0</v>
      </c>
      <c r="F3999">
        <v>0</v>
      </c>
      <c r="G3999">
        <v>0</v>
      </c>
      <c r="H3999">
        <v>0</v>
      </c>
      <c r="I3999">
        <v>0</v>
      </c>
      <c r="J3999">
        <v>0</v>
      </c>
      <c r="K3999" s="201">
        <v>0</v>
      </c>
    </row>
    <row r="4000" spans="1:11" x14ac:dyDescent="0.25">
      <c r="A4000"/>
      <c r="B4000" s="201">
        <v>0</v>
      </c>
      <c r="C4000">
        <v>0</v>
      </c>
      <c r="D4000" s="201">
        <v>0</v>
      </c>
      <c r="E4000" s="201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 s="201">
        <v>0</v>
      </c>
    </row>
    <row r="4001" spans="1:11" x14ac:dyDescent="0.25">
      <c r="A4001"/>
      <c r="B4001" s="201">
        <v>0</v>
      </c>
      <c r="C4001">
        <v>0</v>
      </c>
      <c r="D4001" s="201">
        <v>0</v>
      </c>
      <c r="E4001" s="201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 s="201">
        <v>0</v>
      </c>
    </row>
    <row r="4002" spans="1:11" x14ac:dyDescent="0.25">
      <c r="A4002"/>
      <c r="B4002" s="201">
        <v>0</v>
      </c>
      <c r="C4002">
        <v>0</v>
      </c>
      <c r="D4002" s="201">
        <v>0</v>
      </c>
      <c r="E4002" s="201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 s="201">
        <v>0</v>
      </c>
    </row>
    <row r="4003" spans="1:11" x14ac:dyDescent="0.25">
      <c r="A4003"/>
      <c r="B4003" s="201">
        <v>0</v>
      </c>
      <c r="C4003">
        <v>0</v>
      </c>
      <c r="D4003" s="201">
        <v>0</v>
      </c>
      <c r="E4003" s="201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 s="201">
        <v>0</v>
      </c>
    </row>
    <row r="4004" spans="1:11" x14ac:dyDescent="0.25">
      <c r="A4004"/>
      <c r="B4004" s="201">
        <v>0</v>
      </c>
      <c r="C4004">
        <v>0</v>
      </c>
      <c r="D4004" s="201">
        <v>0</v>
      </c>
      <c r="E4004" s="201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 s="201">
        <v>0</v>
      </c>
    </row>
    <row r="4005" spans="1:11" x14ac:dyDescent="0.25">
      <c r="A4005"/>
      <c r="B4005" s="201">
        <v>0</v>
      </c>
      <c r="C4005">
        <v>0</v>
      </c>
      <c r="D4005" s="201">
        <v>0</v>
      </c>
      <c r="E4005" s="201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 s="201">
        <v>0</v>
      </c>
    </row>
    <row r="4006" spans="1:11" x14ac:dyDescent="0.25">
      <c r="A4006"/>
      <c r="B4006" s="201">
        <v>0</v>
      </c>
      <c r="C4006">
        <v>0</v>
      </c>
      <c r="D4006" s="201">
        <v>0</v>
      </c>
      <c r="E4006" s="201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 s="201">
        <v>0</v>
      </c>
    </row>
    <row r="4007" spans="1:11" x14ac:dyDescent="0.25">
      <c r="A4007"/>
      <c r="B4007" s="201">
        <v>0</v>
      </c>
      <c r="C4007">
        <v>0</v>
      </c>
      <c r="D4007" s="201">
        <v>0</v>
      </c>
      <c r="E4007" s="201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 s="201">
        <v>0</v>
      </c>
    </row>
    <row r="4008" spans="1:11" x14ac:dyDescent="0.25">
      <c r="A4008"/>
      <c r="B4008" s="201">
        <v>0</v>
      </c>
      <c r="C4008">
        <v>0</v>
      </c>
      <c r="D4008" s="201">
        <v>0</v>
      </c>
      <c r="E4008" s="201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 s="201">
        <v>0</v>
      </c>
    </row>
    <row r="4009" spans="1:11" x14ac:dyDescent="0.25">
      <c r="A4009"/>
      <c r="B4009" s="201">
        <v>0</v>
      </c>
      <c r="C4009">
        <v>0</v>
      </c>
      <c r="D4009" s="201">
        <v>0</v>
      </c>
      <c r="E4009" s="201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 s="201">
        <v>0</v>
      </c>
    </row>
    <row r="4010" spans="1:11" x14ac:dyDescent="0.25">
      <c r="A4010"/>
      <c r="B4010" s="201">
        <v>0</v>
      </c>
      <c r="C4010">
        <v>0</v>
      </c>
      <c r="D4010" s="201">
        <v>0</v>
      </c>
      <c r="E4010" s="201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 s="201">
        <v>0</v>
      </c>
    </row>
    <row r="4011" spans="1:11" x14ac:dyDescent="0.25">
      <c r="A4011"/>
      <c r="B4011" s="201">
        <v>0</v>
      </c>
      <c r="C4011">
        <v>0</v>
      </c>
      <c r="D4011" s="201">
        <v>0</v>
      </c>
      <c r="E4011" s="201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 s="201">
        <v>0</v>
      </c>
    </row>
    <row r="4012" spans="1:11" x14ac:dyDescent="0.25">
      <c r="A4012"/>
      <c r="B4012" s="201">
        <v>0</v>
      </c>
      <c r="C4012">
        <v>0</v>
      </c>
      <c r="D4012" s="201">
        <v>0</v>
      </c>
      <c r="E4012" s="201">
        <v>0</v>
      </c>
      <c r="F4012">
        <v>0</v>
      </c>
      <c r="G4012">
        <v>0</v>
      </c>
      <c r="H4012">
        <v>0</v>
      </c>
      <c r="I4012">
        <v>0</v>
      </c>
      <c r="J4012">
        <v>0</v>
      </c>
      <c r="K4012" s="201">
        <v>0</v>
      </c>
    </row>
    <row r="4013" spans="1:11" x14ac:dyDescent="0.25">
      <c r="A4013"/>
      <c r="B4013" s="201">
        <v>0</v>
      </c>
      <c r="C4013">
        <v>0</v>
      </c>
      <c r="D4013" s="201">
        <v>0</v>
      </c>
      <c r="E4013" s="201">
        <v>0</v>
      </c>
      <c r="F4013">
        <v>0</v>
      </c>
      <c r="G4013">
        <v>0</v>
      </c>
      <c r="H4013">
        <v>0</v>
      </c>
      <c r="I4013">
        <v>0</v>
      </c>
      <c r="J4013">
        <v>0</v>
      </c>
      <c r="K4013" s="201">
        <v>0</v>
      </c>
    </row>
    <row r="4014" spans="1:11" x14ac:dyDescent="0.25">
      <c r="A4014"/>
      <c r="B4014" s="201">
        <v>0</v>
      </c>
      <c r="C4014">
        <v>0</v>
      </c>
      <c r="D4014" s="201">
        <v>0</v>
      </c>
      <c r="E4014" s="201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 s="201">
        <v>0</v>
      </c>
    </row>
    <row r="4015" spans="1:11" x14ac:dyDescent="0.25">
      <c r="A4015"/>
      <c r="B4015" s="201">
        <v>0</v>
      </c>
      <c r="C4015">
        <v>0</v>
      </c>
      <c r="D4015" s="201">
        <v>0</v>
      </c>
      <c r="E4015" s="201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 s="201">
        <v>0</v>
      </c>
    </row>
    <row r="4016" spans="1:11" x14ac:dyDescent="0.25">
      <c r="A4016"/>
      <c r="B4016" s="201">
        <v>0</v>
      </c>
      <c r="C4016">
        <v>0</v>
      </c>
      <c r="D4016" s="201">
        <v>0</v>
      </c>
      <c r="E4016" s="201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 s="201">
        <v>0</v>
      </c>
    </row>
    <row r="4017" spans="1:11" x14ac:dyDescent="0.25">
      <c r="A4017"/>
      <c r="B4017" s="201">
        <v>0</v>
      </c>
      <c r="C4017">
        <v>0</v>
      </c>
      <c r="D4017" s="201">
        <v>0</v>
      </c>
      <c r="E4017" s="201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 s="201">
        <v>0</v>
      </c>
    </row>
    <row r="4018" spans="1:11" x14ac:dyDescent="0.25">
      <c r="A4018"/>
      <c r="B4018" s="201">
        <v>0</v>
      </c>
      <c r="C4018">
        <v>0</v>
      </c>
      <c r="D4018" s="201">
        <v>0</v>
      </c>
      <c r="E4018" s="201">
        <v>0</v>
      </c>
      <c r="F4018">
        <v>0</v>
      </c>
      <c r="G4018">
        <v>0</v>
      </c>
      <c r="H4018">
        <v>0</v>
      </c>
      <c r="I4018">
        <v>0</v>
      </c>
      <c r="J4018">
        <v>0</v>
      </c>
      <c r="K4018" s="201">
        <v>0</v>
      </c>
    </row>
    <row r="4019" spans="1:11" x14ac:dyDescent="0.25">
      <c r="A4019"/>
      <c r="B4019" s="201">
        <v>0</v>
      </c>
      <c r="C4019">
        <v>0</v>
      </c>
      <c r="D4019" s="201">
        <v>0</v>
      </c>
      <c r="E4019" s="201">
        <v>0</v>
      </c>
      <c r="F4019">
        <v>0</v>
      </c>
      <c r="G4019">
        <v>0</v>
      </c>
      <c r="H4019">
        <v>0</v>
      </c>
      <c r="I4019">
        <v>0</v>
      </c>
      <c r="J4019">
        <v>0</v>
      </c>
      <c r="K4019" s="201">
        <v>0</v>
      </c>
    </row>
    <row r="4020" spans="1:11" x14ac:dyDescent="0.25">
      <c r="A4020"/>
      <c r="B4020" s="201">
        <v>0</v>
      </c>
      <c r="C4020">
        <v>0</v>
      </c>
      <c r="D4020" s="201">
        <v>0</v>
      </c>
      <c r="E4020" s="201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 s="201">
        <v>0</v>
      </c>
    </row>
    <row r="4021" spans="1:11" x14ac:dyDescent="0.25">
      <c r="A4021"/>
      <c r="B4021" s="201">
        <v>0</v>
      </c>
      <c r="C4021">
        <v>0</v>
      </c>
      <c r="D4021" s="201">
        <v>0</v>
      </c>
      <c r="E4021" s="201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 s="201">
        <v>0</v>
      </c>
    </row>
    <row r="4022" spans="1:11" x14ac:dyDescent="0.25">
      <c r="A4022"/>
      <c r="B4022" s="201">
        <v>0</v>
      </c>
      <c r="C4022">
        <v>0</v>
      </c>
      <c r="D4022" s="201">
        <v>0</v>
      </c>
      <c r="E4022" s="201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 s="201">
        <v>0</v>
      </c>
    </row>
    <row r="4023" spans="1:11" x14ac:dyDescent="0.25">
      <c r="A4023"/>
      <c r="B4023" s="201">
        <v>0</v>
      </c>
      <c r="C4023">
        <v>0</v>
      </c>
      <c r="D4023" s="201">
        <v>0</v>
      </c>
      <c r="E4023" s="201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 s="201">
        <v>0</v>
      </c>
    </row>
    <row r="4024" spans="1:11" x14ac:dyDescent="0.25">
      <c r="A4024"/>
      <c r="B4024" s="201">
        <v>0</v>
      </c>
      <c r="C4024">
        <v>0</v>
      </c>
      <c r="D4024" s="201">
        <v>0</v>
      </c>
      <c r="E4024" s="201">
        <v>0</v>
      </c>
      <c r="F4024">
        <v>0</v>
      </c>
      <c r="G4024">
        <v>0</v>
      </c>
      <c r="H4024">
        <v>0</v>
      </c>
      <c r="I4024">
        <v>0</v>
      </c>
      <c r="J4024">
        <v>0</v>
      </c>
      <c r="K4024" s="201">
        <v>0</v>
      </c>
    </row>
    <row r="4025" spans="1:11" x14ac:dyDescent="0.25">
      <c r="A4025"/>
      <c r="B4025" s="201">
        <v>0</v>
      </c>
      <c r="C4025">
        <v>0</v>
      </c>
      <c r="D4025" s="201">
        <v>0</v>
      </c>
      <c r="E4025" s="201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 s="201">
        <v>0</v>
      </c>
    </row>
    <row r="4026" spans="1:11" x14ac:dyDescent="0.25">
      <c r="A4026"/>
      <c r="B4026" s="201">
        <v>0</v>
      </c>
      <c r="C4026">
        <v>0</v>
      </c>
      <c r="D4026" s="201">
        <v>0</v>
      </c>
      <c r="E4026" s="201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 s="201">
        <v>0</v>
      </c>
    </row>
    <row r="4027" spans="1:11" x14ac:dyDescent="0.25">
      <c r="A4027"/>
      <c r="B4027" s="201">
        <v>0</v>
      </c>
      <c r="C4027">
        <v>0</v>
      </c>
      <c r="D4027" s="201">
        <v>0</v>
      </c>
      <c r="E4027" s="201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 s="201">
        <v>0</v>
      </c>
    </row>
    <row r="4028" spans="1:11" x14ac:dyDescent="0.25">
      <c r="A4028"/>
      <c r="B4028" s="201">
        <v>0</v>
      </c>
      <c r="C4028">
        <v>0</v>
      </c>
      <c r="D4028" s="201">
        <v>0</v>
      </c>
      <c r="E4028" s="201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 s="201">
        <v>0</v>
      </c>
    </row>
    <row r="4029" spans="1:11" x14ac:dyDescent="0.25">
      <c r="A4029"/>
      <c r="B4029" s="201">
        <v>0</v>
      </c>
      <c r="C4029">
        <v>0</v>
      </c>
      <c r="D4029" s="201">
        <v>0</v>
      </c>
      <c r="E4029" s="201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 s="201">
        <v>0</v>
      </c>
    </row>
    <row r="4030" spans="1:11" x14ac:dyDescent="0.25">
      <c r="A4030"/>
      <c r="B4030" s="201">
        <v>0</v>
      </c>
      <c r="C4030">
        <v>0</v>
      </c>
      <c r="D4030" s="201">
        <v>0</v>
      </c>
      <c r="E4030" s="201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 s="201">
        <v>0</v>
      </c>
    </row>
    <row r="4031" spans="1:11" x14ac:dyDescent="0.25">
      <c r="A4031"/>
      <c r="B4031" s="201">
        <v>0</v>
      </c>
      <c r="C4031">
        <v>0</v>
      </c>
      <c r="D4031" s="201">
        <v>0</v>
      </c>
      <c r="E4031" s="20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 s="201">
        <v>0</v>
      </c>
    </row>
    <row r="4032" spans="1:11" x14ac:dyDescent="0.25">
      <c r="A4032"/>
      <c r="B4032" s="201">
        <v>0</v>
      </c>
      <c r="C4032">
        <v>0</v>
      </c>
      <c r="D4032" s="201">
        <v>0</v>
      </c>
      <c r="E4032" s="201">
        <v>0</v>
      </c>
      <c r="F4032">
        <v>0</v>
      </c>
      <c r="G4032">
        <v>0</v>
      </c>
      <c r="H4032">
        <v>0</v>
      </c>
      <c r="I4032">
        <v>0</v>
      </c>
      <c r="J4032">
        <v>0</v>
      </c>
      <c r="K4032" s="201">
        <v>0</v>
      </c>
    </row>
    <row r="4033" spans="1:11" x14ac:dyDescent="0.25">
      <c r="A4033"/>
      <c r="B4033" s="201">
        <v>0</v>
      </c>
      <c r="C4033">
        <v>0</v>
      </c>
      <c r="D4033" s="201">
        <v>0</v>
      </c>
      <c r="E4033" s="201">
        <v>0</v>
      </c>
      <c r="F4033">
        <v>0</v>
      </c>
      <c r="G4033">
        <v>0</v>
      </c>
      <c r="H4033">
        <v>0</v>
      </c>
      <c r="I4033">
        <v>0</v>
      </c>
      <c r="J4033">
        <v>0</v>
      </c>
      <c r="K4033" s="201">
        <v>0</v>
      </c>
    </row>
    <row r="4034" spans="1:11" x14ac:dyDescent="0.25">
      <c r="A4034"/>
      <c r="B4034" s="201">
        <v>0</v>
      </c>
      <c r="C4034">
        <v>0</v>
      </c>
      <c r="D4034" s="201">
        <v>0</v>
      </c>
      <c r="E4034" s="201">
        <v>0</v>
      </c>
      <c r="F4034">
        <v>0</v>
      </c>
      <c r="G4034">
        <v>0</v>
      </c>
      <c r="H4034">
        <v>0</v>
      </c>
      <c r="I4034">
        <v>0</v>
      </c>
      <c r="J4034">
        <v>0</v>
      </c>
      <c r="K4034" s="201">
        <v>0</v>
      </c>
    </row>
    <row r="4035" spans="1:11" x14ac:dyDescent="0.25">
      <c r="A4035"/>
      <c r="B4035" s="201">
        <v>0</v>
      </c>
      <c r="C4035">
        <v>0</v>
      </c>
      <c r="D4035" s="201">
        <v>0</v>
      </c>
      <c r="E4035" s="201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 s="201">
        <v>0</v>
      </c>
    </row>
    <row r="4036" spans="1:11" x14ac:dyDescent="0.25">
      <c r="A4036"/>
      <c r="B4036" s="201">
        <v>0</v>
      </c>
      <c r="C4036">
        <v>0</v>
      </c>
      <c r="D4036" s="201">
        <v>0</v>
      </c>
      <c r="E4036" s="201">
        <v>0</v>
      </c>
      <c r="F4036">
        <v>0</v>
      </c>
      <c r="G4036">
        <v>0</v>
      </c>
      <c r="H4036">
        <v>0</v>
      </c>
      <c r="I4036">
        <v>0</v>
      </c>
      <c r="J4036">
        <v>0</v>
      </c>
      <c r="K4036" s="201">
        <v>0</v>
      </c>
    </row>
    <row r="4037" spans="1:11" x14ac:dyDescent="0.25">
      <c r="A4037"/>
      <c r="B4037" s="201">
        <v>0</v>
      </c>
      <c r="C4037">
        <v>0</v>
      </c>
      <c r="D4037" s="201">
        <v>0</v>
      </c>
      <c r="E4037" s="201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 s="201">
        <v>0</v>
      </c>
    </row>
    <row r="4038" spans="1:11" x14ac:dyDescent="0.25">
      <c r="A4038"/>
      <c r="B4038" s="201">
        <v>0</v>
      </c>
      <c r="C4038">
        <v>0</v>
      </c>
      <c r="D4038" s="201">
        <v>0</v>
      </c>
      <c r="E4038" s="201">
        <v>0</v>
      </c>
      <c r="F4038">
        <v>0</v>
      </c>
      <c r="G4038">
        <v>0</v>
      </c>
      <c r="H4038">
        <v>0</v>
      </c>
      <c r="I4038">
        <v>0</v>
      </c>
      <c r="J4038">
        <v>0</v>
      </c>
      <c r="K4038" s="201">
        <v>0</v>
      </c>
    </row>
    <row r="4039" spans="1:11" x14ac:dyDescent="0.25">
      <c r="A4039"/>
      <c r="B4039" s="201">
        <v>0</v>
      </c>
      <c r="C4039">
        <v>0</v>
      </c>
      <c r="D4039" s="201">
        <v>0</v>
      </c>
      <c r="E4039" s="201">
        <v>0</v>
      </c>
      <c r="F4039">
        <v>0</v>
      </c>
      <c r="G4039">
        <v>0</v>
      </c>
      <c r="H4039">
        <v>0</v>
      </c>
      <c r="I4039">
        <v>0</v>
      </c>
      <c r="J4039">
        <v>0</v>
      </c>
      <c r="K4039" s="201">
        <v>0</v>
      </c>
    </row>
    <row r="4040" spans="1:11" x14ac:dyDescent="0.25">
      <c r="A4040"/>
      <c r="B4040" s="201">
        <v>0</v>
      </c>
      <c r="C4040">
        <v>0</v>
      </c>
      <c r="D4040" s="201">
        <v>0</v>
      </c>
      <c r="E4040" s="201">
        <v>0</v>
      </c>
      <c r="F4040">
        <v>0</v>
      </c>
      <c r="G4040">
        <v>0</v>
      </c>
      <c r="H4040">
        <v>0</v>
      </c>
      <c r="I4040">
        <v>0</v>
      </c>
      <c r="J4040">
        <v>0</v>
      </c>
      <c r="K4040" s="201">
        <v>0</v>
      </c>
    </row>
    <row r="4041" spans="1:11" x14ac:dyDescent="0.25">
      <c r="A4041"/>
      <c r="B4041" s="201">
        <v>0</v>
      </c>
      <c r="C4041">
        <v>0</v>
      </c>
      <c r="D4041" s="201">
        <v>0</v>
      </c>
      <c r="E4041" s="201">
        <v>0</v>
      </c>
      <c r="F4041">
        <v>0</v>
      </c>
      <c r="G4041">
        <v>0</v>
      </c>
      <c r="H4041">
        <v>0</v>
      </c>
      <c r="I4041">
        <v>0</v>
      </c>
      <c r="J4041">
        <v>0</v>
      </c>
      <c r="K4041" s="201">
        <v>0</v>
      </c>
    </row>
    <row r="4042" spans="1:11" x14ac:dyDescent="0.25">
      <c r="A4042"/>
      <c r="B4042" s="201">
        <v>0</v>
      </c>
      <c r="C4042">
        <v>0</v>
      </c>
      <c r="D4042" s="201">
        <v>0</v>
      </c>
      <c r="E4042" s="201">
        <v>0</v>
      </c>
      <c r="F4042">
        <v>0</v>
      </c>
      <c r="G4042">
        <v>0</v>
      </c>
      <c r="H4042">
        <v>0</v>
      </c>
      <c r="I4042">
        <v>0</v>
      </c>
      <c r="J4042">
        <v>0</v>
      </c>
      <c r="K4042" s="201">
        <v>0</v>
      </c>
    </row>
    <row r="4043" spans="1:11" x14ac:dyDescent="0.25">
      <c r="A4043"/>
      <c r="B4043" s="201">
        <v>0</v>
      </c>
      <c r="C4043">
        <v>0</v>
      </c>
      <c r="D4043" s="201">
        <v>0</v>
      </c>
      <c r="E4043" s="201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 s="201">
        <v>0</v>
      </c>
    </row>
    <row r="4044" spans="1:11" x14ac:dyDescent="0.25">
      <c r="A4044"/>
      <c r="B4044" s="201">
        <v>0</v>
      </c>
      <c r="C4044">
        <v>0</v>
      </c>
      <c r="D4044" s="201">
        <v>0</v>
      </c>
      <c r="E4044" s="201">
        <v>0</v>
      </c>
      <c r="F4044">
        <v>0</v>
      </c>
      <c r="G4044">
        <v>0</v>
      </c>
      <c r="H4044">
        <v>0</v>
      </c>
      <c r="I4044">
        <v>0</v>
      </c>
      <c r="J4044">
        <v>0</v>
      </c>
      <c r="K4044" s="201">
        <v>0</v>
      </c>
    </row>
    <row r="4045" spans="1:11" x14ac:dyDescent="0.25">
      <c r="A4045"/>
      <c r="B4045" s="201">
        <v>0</v>
      </c>
      <c r="C4045">
        <v>0</v>
      </c>
      <c r="D4045" s="201">
        <v>0</v>
      </c>
      <c r="E4045" s="201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 s="201">
        <v>0</v>
      </c>
    </row>
    <row r="4046" spans="1:11" x14ac:dyDescent="0.25">
      <c r="A4046"/>
      <c r="B4046" s="201">
        <v>0</v>
      </c>
      <c r="C4046">
        <v>0</v>
      </c>
      <c r="D4046" s="201">
        <v>0</v>
      </c>
      <c r="E4046" s="201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 s="201">
        <v>0</v>
      </c>
    </row>
    <row r="4047" spans="1:11" x14ac:dyDescent="0.25">
      <c r="A4047"/>
      <c r="B4047" s="201">
        <v>0</v>
      </c>
      <c r="C4047">
        <v>0</v>
      </c>
      <c r="D4047" s="201">
        <v>0</v>
      </c>
      <c r="E4047" s="201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 s="201">
        <v>0</v>
      </c>
    </row>
    <row r="4048" spans="1:11" x14ac:dyDescent="0.25">
      <c r="A4048"/>
      <c r="B4048" s="201">
        <v>0</v>
      </c>
      <c r="C4048">
        <v>0</v>
      </c>
      <c r="D4048" s="201">
        <v>0</v>
      </c>
      <c r="E4048" s="201">
        <v>0</v>
      </c>
      <c r="F4048">
        <v>0</v>
      </c>
      <c r="G4048">
        <v>0</v>
      </c>
      <c r="H4048">
        <v>0</v>
      </c>
      <c r="I4048">
        <v>0</v>
      </c>
      <c r="J4048">
        <v>0</v>
      </c>
      <c r="K4048" s="201">
        <v>0</v>
      </c>
    </row>
    <row r="4049" spans="1:11" x14ac:dyDescent="0.25">
      <c r="A4049"/>
      <c r="B4049" s="201">
        <v>0</v>
      </c>
      <c r="C4049">
        <v>0</v>
      </c>
      <c r="D4049" s="201">
        <v>0</v>
      </c>
      <c r="E4049" s="201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 s="201">
        <v>0</v>
      </c>
    </row>
    <row r="4050" spans="1:11" x14ac:dyDescent="0.25">
      <c r="A4050"/>
      <c r="B4050" s="201">
        <v>0</v>
      </c>
      <c r="C4050">
        <v>0</v>
      </c>
      <c r="D4050" s="201">
        <v>0</v>
      </c>
      <c r="E4050" s="201">
        <v>0</v>
      </c>
      <c r="F4050">
        <v>0</v>
      </c>
      <c r="G4050">
        <v>0</v>
      </c>
      <c r="H4050">
        <v>0</v>
      </c>
      <c r="I4050">
        <v>0</v>
      </c>
      <c r="J4050">
        <v>0</v>
      </c>
      <c r="K4050" s="201">
        <v>0</v>
      </c>
    </row>
    <row r="4051" spans="1:11" x14ac:dyDescent="0.25">
      <c r="A4051"/>
      <c r="B4051" s="201">
        <v>0</v>
      </c>
      <c r="C4051">
        <v>0</v>
      </c>
      <c r="D4051" s="201">
        <v>0</v>
      </c>
      <c r="E4051" s="201">
        <v>0</v>
      </c>
      <c r="F4051">
        <v>0</v>
      </c>
      <c r="G4051">
        <v>0</v>
      </c>
      <c r="H4051">
        <v>0</v>
      </c>
      <c r="I4051">
        <v>0</v>
      </c>
      <c r="J4051">
        <v>0</v>
      </c>
      <c r="K4051" s="201">
        <v>0</v>
      </c>
    </row>
    <row r="4052" spans="1:11" x14ac:dyDescent="0.25">
      <c r="A4052"/>
      <c r="B4052" s="201">
        <v>0</v>
      </c>
      <c r="C4052">
        <v>0</v>
      </c>
      <c r="D4052" s="201">
        <v>0</v>
      </c>
      <c r="E4052" s="201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 s="201">
        <v>0</v>
      </c>
    </row>
    <row r="4053" spans="1:11" x14ac:dyDescent="0.25">
      <c r="A4053"/>
      <c r="B4053" s="201">
        <v>0</v>
      </c>
      <c r="C4053">
        <v>0</v>
      </c>
      <c r="D4053" s="201">
        <v>0</v>
      </c>
      <c r="E4053" s="201">
        <v>0</v>
      </c>
      <c r="F4053">
        <v>0</v>
      </c>
      <c r="G4053">
        <v>0</v>
      </c>
      <c r="H4053">
        <v>0</v>
      </c>
      <c r="I4053">
        <v>0</v>
      </c>
      <c r="J4053">
        <v>0</v>
      </c>
      <c r="K4053" s="201">
        <v>0</v>
      </c>
    </row>
    <row r="4054" spans="1:11" x14ac:dyDescent="0.25">
      <c r="A4054"/>
      <c r="B4054" s="201">
        <v>0</v>
      </c>
      <c r="C4054">
        <v>0</v>
      </c>
      <c r="D4054" s="201">
        <v>0</v>
      </c>
      <c r="E4054" s="201">
        <v>0</v>
      </c>
      <c r="F4054">
        <v>0</v>
      </c>
      <c r="G4054">
        <v>0</v>
      </c>
      <c r="H4054">
        <v>0</v>
      </c>
      <c r="I4054">
        <v>0</v>
      </c>
      <c r="J4054">
        <v>0</v>
      </c>
      <c r="K4054" s="201">
        <v>0</v>
      </c>
    </row>
    <row r="4055" spans="1:11" x14ac:dyDescent="0.25">
      <c r="A4055"/>
      <c r="B4055" s="201">
        <v>0</v>
      </c>
      <c r="C4055">
        <v>0</v>
      </c>
      <c r="D4055" s="201">
        <v>0</v>
      </c>
      <c r="E4055" s="201">
        <v>0</v>
      </c>
      <c r="F4055">
        <v>0</v>
      </c>
      <c r="G4055">
        <v>0</v>
      </c>
      <c r="H4055">
        <v>0</v>
      </c>
      <c r="I4055">
        <v>0</v>
      </c>
      <c r="J4055">
        <v>0</v>
      </c>
      <c r="K4055" s="201">
        <v>0</v>
      </c>
    </row>
    <row r="4056" spans="1:11" x14ac:dyDescent="0.25">
      <c r="A4056"/>
      <c r="B4056" s="201">
        <v>0</v>
      </c>
      <c r="C4056">
        <v>0</v>
      </c>
      <c r="D4056" s="201">
        <v>0</v>
      </c>
      <c r="E4056" s="201">
        <v>0</v>
      </c>
      <c r="F4056">
        <v>0</v>
      </c>
      <c r="G4056">
        <v>0</v>
      </c>
      <c r="H4056">
        <v>0</v>
      </c>
      <c r="I4056">
        <v>0</v>
      </c>
      <c r="J4056">
        <v>0</v>
      </c>
      <c r="K4056" s="201">
        <v>0</v>
      </c>
    </row>
    <row r="4057" spans="1:11" x14ac:dyDescent="0.25">
      <c r="A4057"/>
      <c r="B4057" s="201">
        <v>0</v>
      </c>
      <c r="C4057">
        <v>0</v>
      </c>
      <c r="D4057" s="201">
        <v>0</v>
      </c>
      <c r="E4057" s="201">
        <v>0</v>
      </c>
      <c r="F4057">
        <v>0</v>
      </c>
      <c r="G4057">
        <v>0</v>
      </c>
      <c r="H4057">
        <v>0</v>
      </c>
      <c r="I4057">
        <v>0</v>
      </c>
      <c r="J4057">
        <v>0</v>
      </c>
      <c r="K4057" s="201">
        <v>0</v>
      </c>
    </row>
    <row r="4058" spans="1:11" x14ac:dyDescent="0.25">
      <c r="A4058"/>
      <c r="B4058" s="201">
        <v>0</v>
      </c>
      <c r="C4058">
        <v>0</v>
      </c>
      <c r="D4058" s="201">
        <v>0</v>
      </c>
      <c r="E4058" s="201">
        <v>0</v>
      </c>
      <c r="F4058">
        <v>0</v>
      </c>
      <c r="G4058">
        <v>0</v>
      </c>
      <c r="H4058">
        <v>0</v>
      </c>
      <c r="I4058">
        <v>0</v>
      </c>
      <c r="J4058">
        <v>0</v>
      </c>
      <c r="K4058" s="201">
        <v>0</v>
      </c>
    </row>
    <row r="4059" spans="1:11" x14ac:dyDescent="0.25">
      <c r="A4059"/>
      <c r="B4059" s="201">
        <v>0</v>
      </c>
      <c r="C4059">
        <v>0</v>
      </c>
      <c r="D4059" s="201">
        <v>0</v>
      </c>
      <c r="E4059" s="201">
        <v>0</v>
      </c>
      <c r="F4059">
        <v>0</v>
      </c>
      <c r="G4059">
        <v>0</v>
      </c>
      <c r="H4059">
        <v>0</v>
      </c>
      <c r="I4059">
        <v>0</v>
      </c>
      <c r="J4059">
        <v>0</v>
      </c>
      <c r="K4059" s="201">
        <v>0</v>
      </c>
    </row>
    <row r="4060" spans="1:11" x14ac:dyDescent="0.25">
      <c r="A4060"/>
      <c r="B4060" s="201">
        <v>0</v>
      </c>
      <c r="C4060">
        <v>0</v>
      </c>
      <c r="D4060" s="201">
        <v>0</v>
      </c>
      <c r="E4060" s="201">
        <v>0</v>
      </c>
      <c r="F4060">
        <v>0</v>
      </c>
      <c r="G4060">
        <v>0</v>
      </c>
      <c r="H4060">
        <v>0</v>
      </c>
      <c r="I4060">
        <v>0</v>
      </c>
      <c r="J4060">
        <v>0</v>
      </c>
      <c r="K4060" s="201">
        <v>0</v>
      </c>
    </row>
    <row r="4061" spans="1:11" x14ac:dyDescent="0.25">
      <c r="A4061"/>
      <c r="B4061" s="201">
        <v>0</v>
      </c>
      <c r="C4061">
        <v>0</v>
      </c>
      <c r="D4061" s="201">
        <v>0</v>
      </c>
      <c r="E4061" s="201">
        <v>0</v>
      </c>
      <c r="F4061">
        <v>0</v>
      </c>
      <c r="G4061">
        <v>0</v>
      </c>
      <c r="H4061">
        <v>0</v>
      </c>
      <c r="I4061">
        <v>0</v>
      </c>
      <c r="J4061">
        <v>0</v>
      </c>
      <c r="K4061" s="201">
        <v>0</v>
      </c>
    </row>
    <row r="4062" spans="1:11" x14ac:dyDescent="0.25">
      <c r="A4062"/>
      <c r="B4062" s="201">
        <v>0</v>
      </c>
      <c r="C4062">
        <v>0</v>
      </c>
      <c r="D4062" s="201">
        <v>0</v>
      </c>
      <c r="E4062" s="201">
        <v>0</v>
      </c>
      <c r="F4062">
        <v>0</v>
      </c>
      <c r="G4062">
        <v>0</v>
      </c>
      <c r="H4062">
        <v>0</v>
      </c>
      <c r="I4062">
        <v>0</v>
      </c>
      <c r="J4062">
        <v>0</v>
      </c>
      <c r="K4062" s="201">
        <v>0</v>
      </c>
    </row>
    <row r="4063" spans="1:11" x14ac:dyDescent="0.25">
      <c r="A4063"/>
      <c r="B4063" s="201">
        <v>0</v>
      </c>
      <c r="C4063">
        <v>0</v>
      </c>
      <c r="D4063" s="201">
        <v>0</v>
      </c>
      <c r="E4063" s="201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 s="201">
        <v>0</v>
      </c>
    </row>
    <row r="4064" spans="1:11" x14ac:dyDescent="0.25">
      <c r="A4064"/>
      <c r="B4064" s="201">
        <v>0</v>
      </c>
      <c r="C4064">
        <v>0</v>
      </c>
      <c r="D4064" s="201">
        <v>0</v>
      </c>
      <c r="E4064" s="201">
        <v>0</v>
      </c>
      <c r="F4064">
        <v>0</v>
      </c>
      <c r="G4064">
        <v>0</v>
      </c>
      <c r="H4064">
        <v>0</v>
      </c>
      <c r="I4064">
        <v>0</v>
      </c>
      <c r="J4064">
        <v>0</v>
      </c>
      <c r="K4064" s="201">
        <v>0</v>
      </c>
    </row>
    <row r="4065" spans="1:11" x14ac:dyDescent="0.25">
      <c r="A4065"/>
      <c r="B4065" s="201">
        <v>0</v>
      </c>
      <c r="C4065">
        <v>0</v>
      </c>
      <c r="D4065" s="201">
        <v>0</v>
      </c>
      <c r="E4065" s="201">
        <v>0</v>
      </c>
      <c r="F4065">
        <v>0</v>
      </c>
      <c r="G4065">
        <v>0</v>
      </c>
      <c r="H4065">
        <v>0</v>
      </c>
      <c r="I4065">
        <v>0</v>
      </c>
      <c r="J4065">
        <v>0</v>
      </c>
      <c r="K4065" s="201">
        <v>0</v>
      </c>
    </row>
    <row r="4066" spans="1:11" x14ac:dyDescent="0.25">
      <c r="A4066"/>
      <c r="B4066" s="201">
        <v>0</v>
      </c>
      <c r="C4066">
        <v>0</v>
      </c>
      <c r="D4066" s="201">
        <v>0</v>
      </c>
      <c r="E4066" s="201">
        <v>0</v>
      </c>
      <c r="F4066">
        <v>0</v>
      </c>
      <c r="G4066">
        <v>0</v>
      </c>
      <c r="H4066">
        <v>0</v>
      </c>
      <c r="I4066">
        <v>0</v>
      </c>
      <c r="J4066">
        <v>0</v>
      </c>
      <c r="K4066" s="201">
        <v>0</v>
      </c>
    </row>
    <row r="4067" spans="1:11" x14ac:dyDescent="0.25">
      <c r="A4067"/>
      <c r="B4067" s="201">
        <v>0</v>
      </c>
      <c r="C4067">
        <v>0</v>
      </c>
      <c r="D4067" s="201">
        <v>0</v>
      </c>
      <c r="E4067" s="201">
        <v>0</v>
      </c>
      <c r="F4067">
        <v>0</v>
      </c>
      <c r="G4067">
        <v>0</v>
      </c>
      <c r="H4067">
        <v>0</v>
      </c>
      <c r="I4067">
        <v>0</v>
      </c>
      <c r="J4067">
        <v>0</v>
      </c>
      <c r="K4067" s="201">
        <v>0</v>
      </c>
    </row>
    <row r="4068" spans="1:11" x14ac:dyDescent="0.25">
      <c r="A4068"/>
      <c r="B4068" s="201">
        <v>0</v>
      </c>
      <c r="C4068">
        <v>0</v>
      </c>
      <c r="D4068" s="201">
        <v>0</v>
      </c>
      <c r="E4068" s="201">
        <v>0</v>
      </c>
      <c r="F4068">
        <v>0</v>
      </c>
      <c r="G4068">
        <v>0</v>
      </c>
      <c r="H4068">
        <v>0</v>
      </c>
      <c r="I4068">
        <v>0</v>
      </c>
      <c r="J4068">
        <v>0</v>
      </c>
      <c r="K4068" s="201">
        <v>0</v>
      </c>
    </row>
    <row r="4069" spans="1:11" x14ac:dyDescent="0.25">
      <c r="A4069"/>
      <c r="B4069" s="201">
        <v>0</v>
      </c>
      <c r="C4069">
        <v>0</v>
      </c>
      <c r="D4069" s="201">
        <v>0</v>
      </c>
      <c r="E4069" s="201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 s="201">
        <v>0</v>
      </c>
    </row>
    <row r="4070" spans="1:11" x14ac:dyDescent="0.25">
      <c r="A4070"/>
      <c r="B4070" s="201">
        <v>0</v>
      </c>
      <c r="C4070">
        <v>0</v>
      </c>
      <c r="D4070" s="201">
        <v>0</v>
      </c>
      <c r="E4070" s="201">
        <v>0</v>
      </c>
      <c r="F4070">
        <v>0</v>
      </c>
      <c r="G4070">
        <v>0</v>
      </c>
      <c r="H4070">
        <v>0</v>
      </c>
      <c r="I4070">
        <v>0</v>
      </c>
      <c r="J4070">
        <v>0</v>
      </c>
      <c r="K4070" s="201">
        <v>0</v>
      </c>
    </row>
    <row r="4071" spans="1:11" x14ac:dyDescent="0.25">
      <c r="A4071"/>
      <c r="B4071" s="201">
        <v>0</v>
      </c>
      <c r="C4071">
        <v>0</v>
      </c>
      <c r="D4071" s="201">
        <v>0</v>
      </c>
      <c r="E4071" s="201">
        <v>0</v>
      </c>
      <c r="F4071">
        <v>0</v>
      </c>
      <c r="G4071">
        <v>0</v>
      </c>
      <c r="H4071">
        <v>0</v>
      </c>
      <c r="I4071">
        <v>0</v>
      </c>
      <c r="J4071">
        <v>0</v>
      </c>
      <c r="K4071" s="201">
        <v>0</v>
      </c>
    </row>
    <row r="4072" spans="1:11" x14ac:dyDescent="0.25">
      <c r="A4072"/>
      <c r="B4072" s="201">
        <v>0</v>
      </c>
      <c r="C4072">
        <v>0</v>
      </c>
      <c r="D4072" s="201">
        <v>0</v>
      </c>
      <c r="E4072" s="201">
        <v>0</v>
      </c>
      <c r="F4072">
        <v>0</v>
      </c>
      <c r="G4072">
        <v>0</v>
      </c>
      <c r="H4072">
        <v>0</v>
      </c>
      <c r="I4072">
        <v>0</v>
      </c>
      <c r="J4072">
        <v>0</v>
      </c>
      <c r="K4072" s="201">
        <v>0</v>
      </c>
    </row>
    <row r="4073" spans="1:11" x14ac:dyDescent="0.25">
      <c r="A4073"/>
      <c r="B4073" s="201">
        <v>0</v>
      </c>
      <c r="C4073">
        <v>0</v>
      </c>
      <c r="D4073" s="201">
        <v>0</v>
      </c>
      <c r="E4073" s="201">
        <v>0</v>
      </c>
      <c r="F4073">
        <v>0</v>
      </c>
      <c r="G4073">
        <v>0</v>
      </c>
      <c r="H4073">
        <v>0</v>
      </c>
      <c r="I4073">
        <v>0</v>
      </c>
      <c r="J4073">
        <v>0</v>
      </c>
      <c r="K4073" s="201">
        <v>0</v>
      </c>
    </row>
    <row r="4074" spans="1:11" x14ac:dyDescent="0.25">
      <c r="A4074"/>
      <c r="B4074" s="201">
        <v>0</v>
      </c>
      <c r="C4074">
        <v>0</v>
      </c>
      <c r="D4074" s="201">
        <v>0</v>
      </c>
      <c r="E4074" s="201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 s="201">
        <v>0</v>
      </c>
    </row>
    <row r="4075" spans="1:11" x14ac:dyDescent="0.25">
      <c r="A4075"/>
      <c r="B4075" s="201">
        <v>0</v>
      </c>
      <c r="C4075">
        <v>0</v>
      </c>
      <c r="D4075" s="201">
        <v>0</v>
      </c>
      <c r="E4075" s="201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 s="201">
        <v>0</v>
      </c>
    </row>
    <row r="4076" spans="1:11" x14ac:dyDescent="0.25">
      <c r="A4076"/>
      <c r="B4076" s="201">
        <v>0</v>
      </c>
      <c r="C4076">
        <v>0</v>
      </c>
      <c r="D4076" s="201">
        <v>0</v>
      </c>
      <c r="E4076" s="201">
        <v>0</v>
      </c>
      <c r="F4076">
        <v>0</v>
      </c>
      <c r="G4076">
        <v>0</v>
      </c>
      <c r="H4076">
        <v>0</v>
      </c>
      <c r="I4076">
        <v>0</v>
      </c>
      <c r="J4076">
        <v>0</v>
      </c>
      <c r="K4076" s="201">
        <v>0</v>
      </c>
    </row>
    <row r="4077" spans="1:11" x14ac:dyDescent="0.25">
      <c r="A4077"/>
      <c r="B4077" s="201">
        <v>0</v>
      </c>
      <c r="C4077">
        <v>0</v>
      </c>
      <c r="D4077" s="201">
        <v>0</v>
      </c>
      <c r="E4077" s="201">
        <v>0</v>
      </c>
      <c r="F4077">
        <v>0</v>
      </c>
      <c r="G4077">
        <v>0</v>
      </c>
      <c r="H4077">
        <v>0</v>
      </c>
      <c r="I4077">
        <v>0</v>
      </c>
      <c r="J4077">
        <v>0</v>
      </c>
      <c r="K4077" s="201">
        <v>0</v>
      </c>
    </row>
    <row r="4078" spans="1:11" x14ac:dyDescent="0.25">
      <c r="A4078"/>
      <c r="B4078" s="201">
        <v>0</v>
      </c>
      <c r="C4078">
        <v>0</v>
      </c>
      <c r="D4078" s="201">
        <v>0</v>
      </c>
      <c r="E4078" s="201">
        <v>0</v>
      </c>
      <c r="F4078">
        <v>0</v>
      </c>
      <c r="G4078">
        <v>0</v>
      </c>
      <c r="H4078">
        <v>0</v>
      </c>
      <c r="I4078">
        <v>0</v>
      </c>
      <c r="J4078">
        <v>0</v>
      </c>
      <c r="K4078" s="201">
        <v>0</v>
      </c>
    </row>
    <row r="4079" spans="1:11" x14ac:dyDescent="0.25">
      <c r="A4079"/>
      <c r="B4079" s="201">
        <v>0</v>
      </c>
      <c r="C4079">
        <v>0</v>
      </c>
      <c r="D4079" s="201">
        <v>0</v>
      </c>
      <c r="E4079" s="201">
        <v>0</v>
      </c>
      <c r="F4079">
        <v>0</v>
      </c>
      <c r="G4079">
        <v>0</v>
      </c>
      <c r="H4079">
        <v>0</v>
      </c>
      <c r="I4079">
        <v>0</v>
      </c>
      <c r="J4079">
        <v>0</v>
      </c>
      <c r="K4079" s="201">
        <v>0</v>
      </c>
    </row>
    <row r="4080" spans="1:11" x14ac:dyDescent="0.25">
      <c r="A4080"/>
      <c r="B4080" s="201">
        <v>0</v>
      </c>
      <c r="C4080">
        <v>0</v>
      </c>
      <c r="D4080" s="201">
        <v>0</v>
      </c>
      <c r="E4080" s="201">
        <v>0</v>
      </c>
      <c r="F4080">
        <v>0</v>
      </c>
      <c r="G4080">
        <v>0</v>
      </c>
      <c r="H4080">
        <v>0</v>
      </c>
      <c r="I4080">
        <v>0</v>
      </c>
      <c r="J4080">
        <v>0</v>
      </c>
      <c r="K4080" s="201">
        <v>0</v>
      </c>
    </row>
    <row r="4081" spans="1:11" x14ac:dyDescent="0.25">
      <c r="A4081"/>
      <c r="B4081" s="201">
        <v>0</v>
      </c>
      <c r="C4081">
        <v>0</v>
      </c>
      <c r="D4081" s="201">
        <v>0</v>
      </c>
      <c r="E4081" s="201">
        <v>0</v>
      </c>
      <c r="F4081">
        <v>0</v>
      </c>
      <c r="G4081">
        <v>0</v>
      </c>
      <c r="H4081">
        <v>0</v>
      </c>
      <c r="I4081">
        <v>0</v>
      </c>
      <c r="J4081">
        <v>0</v>
      </c>
      <c r="K4081" s="201">
        <v>0</v>
      </c>
    </row>
    <row r="4082" spans="1:11" x14ac:dyDescent="0.25">
      <c r="A4082"/>
      <c r="B4082" s="201">
        <v>0</v>
      </c>
      <c r="C4082">
        <v>0</v>
      </c>
      <c r="D4082" s="201">
        <v>0</v>
      </c>
      <c r="E4082" s="201">
        <v>0</v>
      </c>
      <c r="F4082">
        <v>0</v>
      </c>
      <c r="G4082">
        <v>0</v>
      </c>
      <c r="H4082">
        <v>0</v>
      </c>
      <c r="I4082">
        <v>0</v>
      </c>
      <c r="J4082">
        <v>0</v>
      </c>
      <c r="K4082" s="201">
        <v>0</v>
      </c>
    </row>
    <row r="4083" spans="1:11" x14ac:dyDescent="0.25">
      <c r="A4083"/>
      <c r="B4083" s="201">
        <v>0</v>
      </c>
      <c r="C4083">
        <v>0</v>
      </c>
      <c r="D4083" s="201">
        <v>0</v>
      </c>
      <c r="E4083" s="201">
        <v>0</v>
      </c>
      <c r="F4083">
        <v>0</v>
      </c>
      <c r="G4083">
        <v>0</v>
      </c>
      <c r="H4083">
        <v>0</v>
      </c>
      <c r="I4083">
        <v>0</v>
      </c>
      <c r="J4083">
        <v>0</v>
      </c>
      <c r="K4083" s="201">
        <v>0</v>
      </c>
    </row>
    <row r="4084" spans="1:11" x14ac:dyDescent="0.25">
      <c r="A4084"/>
      <c r="B4084" s="201">
        <v>0</v>
      </c>
      <c r="C4084">
        <v>0</v>
      </c>
      <c r="D4084" s="201">
        <v>0</v>
      </c>
      <c r="E4084" s="201">
        <v>0</v>
      </c>
      <c r="F4084">
        <v>0</v>
      </c>
      <c r="G4084">
        <v>0</v>
      </c>
      <c r="H4084">
        <v>0</v>
      </c>
      <c r="I4084">
        <v>0</v>
      </c>
      <c r="J4084">
        <v>0</v>
      </c>
      <c r="K4084" s="201">
        <v>0</v>
      </c>
    </row>
    <row r="4085" spans="1:11" x14ac:dyDescent="0.25">
      <c r="A4085"/>
      <c r="B4085" s="201">
        <v>0</v>
      </c>
      <c r="C4085">
        <v>0</v>
      </c>
      <c r="D4085" s="201">
        <v>0</v>
      </c>
      <c r="E4085" s="201">
        <v>0</v>
      </c>
      <c r="F4085">
        <v>0</v>
      </c>
      <c r="G4085">
        <v>0</v>
      </c>
      <c r="H4085">
        <v>0</v>
      </c>
      <c r="I4085">
        <v>0</v>
      </c>
      <c r="J4085">
        <v>0</v>
      </c>
      <c r="K4085" s="201">
        <v>0</v>
      </c>
    </row>
    <row r="4086" spans="1:11" x14ac:dyDescent="0.25">
      <c r="A4086"/>
      <c r="B4086" s="201">
        <v>0</v>
      </c>
      <c r="C4086">
        <v>0</v>
      </c>
      <c r="D4086" s="201">
        <v>0</v>
      </c>
      <c r="E4086" s="201">
        <v>0</v>
      </c>
      <c r="F4086">
        <v>0</v>
      </c>
      <c r="G4086">
        <v>0</v>
      </c>
      <c r="H4086">
        <v>0</v>
      </c>
      <c r="I4086">
        <v>0</v>
      </c>
      <c r="J4086">
        <v>0</v>
      </c>
      <c r="K4086" s="201">
        <v>0</v>
      </c>
    </row>
    <row r="4087" spans="1:11" x14ac:dyDescent="0.25">
      <c r="A4087"/>
      <c r="B4087" s="201">
        <v>0</v>
      </c>
      <c r="C4087">
        <v>0</v>
      </c>
      <c r="D4087" s="201">
        <v>0</v>
      </c>
      <c r="E4087" s="201">
        <v>0</v>
      </c>
      <c r="F4087">
        <v>0</v>
      </c>
      <c r="G4087">
        <v>0</v>
      </c>
      <c r="H4087">
        <v>0</v>
      </c>
      <c r="I4087">
        <v>0</v>
      </c>
      <c r="J4087">
        <v>0</v>
      </c>
      <c r="K4087" s="201">
        <v>0</v>
      </c>
    </row>
    <row r="4088" spans="1:11" x14ac:dyDescent="0.25">
      <c r="A4088"/>
      <c r="B4088" s="201">
        <v>0</v>
      </c>
      <c r="C4088">
        <v>0</v>
      </c>
      <c r="D4088" s="201">
        <v>0</v>
      </c>
      <c r="E4088" s="201">
        <v>0</v>
      </c>
      <c r="F4088">
        <v>0</v>
      </c>
      <c r="G4088">
        <v>0</v>
      </c>
      <c r="H4088">
        <v>0</v>
      </c>
      <c r="I4088">
        <v>0</v>
      </c>
      <c r="J4088">
        <v>0</v>
      </c>
      <c r="K4088" s="201">
        <v>0</v>
      </c>
    </row>
    <row r="4089" spans="1:11" x14ac:dyDescent="0.25">
      <c r="A4089"/>
      <c r="B4089" s="201">
        <v>0</v>
      </c>
      <c r="C4089">
        <v>0</v>
      </c>
      <c r="D4089" s="201">
        <v>0</v>
      </c>
      <c r="E4089" s="201">
        <v>0</v>
      </c>
      <c r="F4089">
        <v>0</v>
      </c>
      <c r="G4089">
        <v>0</v>
      </c>
      <c r="H4089">
        <v>0</v>
      </c>
      <c r="I4089">
        <v>0</v>
      </c>
      <c r="J4089">
        <v>0</v>
      </c>
      <c r="K4089" s="201">
        <v>0</v>
      </c>
    </row>
    <row r="4090" spans="1:11" x14ac:dyDescent="0.25">
      <c r="A4090"/>
      <c r="B4090" s="201">
        <v>0</v>
      </c>
      <c r="C4090">
        <v>0</v>
      </c>
      <c r="D4090" s="201">
        <v>0</v>
      </c>
      <c r="E4090" s="201">
        <v>0</v>
      </c>
      <c r="F4090">
        <v>0</v>
      </c>
      <c r="G4090">
        <v>0</v>
      </c>
      <c r="H4090">
        <v>0</v>
      </c>
      <c r="I4090">
        <v>0</v>
      </c>
      <c r="J4090">
        <v>0</v>
      </c>
      <c r="K4090" s="201">
        <v>0</v>
      </c>
    </row>
    <row r="4091" spans="1:11" x14ac:dyDescent="0.25">
      <c r="A4091"/>
      <c r="B4091" s="201">
        <v>0</v>
      </c>
      <c r="C4091">
        <v>0</v>
      </c>
      <c r="D4091" s="201">
        <v>0</v>
      </c>
      <c r="E4091" s="201">
        <v>0</v>
      </c>
      <c r="F4091">
        <v>0</v>
      </c>
      <c r="G4091">
        <v>0</v>
      </c>
      <c r="H4091">
        <v>0</v>
      </c>
      <c r="I4091">
        <v>0</v>
      </c>
      <c r="J4091">
        <v>0</v>
      </c>
      <c r="K4091" s="201">
        <v>0</v>
      </c>
    </row>
    <row r="4092" spans="1:11" x14ac:dyDescent="0.25">
      <c r="A4092"/>
      <c r="B4092" s="201">
        <v>0</v>
      </c>
      <c r="C4092">
        <v>0</v>
      </c>
      <c r="D4092" s="201">
        <v>0</v>
      </c>
      <c r="E4092" s="201">
        <v>0</v>
      </c>
      <c r="F4092">
        <v>0</v>
      </c>
      <c r="G4092">
        <v>0</v>
      </c>
      <c r="H4092">
        <v>0</v>
      </c>
      <c r="I4092">
        <v>0</v>
      </c>
      <c r="J4092">
        <v>0</v>
      </c>
      <c r="K4092" s="201">
        <v>0</v>
      </c>
    </row>
    <row r="4093" spans="1:11" x14ac:dyDescent="0.25">
      <c r="A4093"/>
      <c r="B4093" s="201">
        <v>0</v>
      </c>
      <c r="C4093">
        <v>0</v>
      </c>
      <c r="D4093" s="201">
        <v>0</v>
      </c>
      <c r="E4093" s="201">
        <v>0</v>
      </c>
      <c r="F4093">
        <v>0</v>
      </c>
      <c r="G4093">
        <v>0</v>
      </c>
      <c r="H4093">
        <v>0</v>
      </c>
      <c r="I4093">
        <v>0</v>
      </c>
      <c r="J4093">
        <v>0</v>
      </c>
      <c r="K4093" s="201">
        <v>0</v>
      </c>
    </row>
    <row r="4094" spans="1:11" x14ac:dyDescent="0.25">
      <c r="A4094"/>
      <c r="B4094" s="201">
        <v>0</v>
      </c>
      <c r="C4094">
        <v>0</v>
      </c>
      <c r="D4094" s="201">
        <v>0</v>
      </c>
      <c r="E4094" s="201">
        <v>0</v>
      </c>
      <c r="F4094">
        <v>0</v>
      </c>
      <c r="G4094">
        <v>0</v>
      </c>
      <c r="H4094">
        <v>0</v>
      </c>
      <c r="I4094">
        <v>0</v>
      </c>
      <c r="J4094">
        <v>0</v>
      </c>
      <c r="K4094" s="201">
        <v>0</v>
      </c>
    </row>
    <row r="4095" spans="1:11" x14ac:dyDescent="0.25">
      <c r="A4095"/>
      <c r="B4095" s="201">
        <v>0</v>
      </c>
      <c r="C4095">
        <v>0</v>
      </c>
      <c r="D4095" s="201">
        <v>0</v>
      </c>
      <c r="E4095" s="201">
        <v>0</v>
      </c>
      <c r="F4095">
        <v>0</v>
      </c>
      <c r="G4095">
        <v>0</v>
      </c>
      <c r="H4095">
        <v>0</v>
      </c>
      <c r="I4095">
        <v>0</v>
      </c>
      <c r="J4095">
        <v>0</v>
      </c>
      <c r="K4095" s="201">
        <v>0</v>
      </c>
    </row>
    <row r="4096" spans="1:11" x14ac:dyDescent="0.25">
      <c r="A4096"/>
      <c r="B4096" s="201">
        <v>0</v>
      </c>
      <c r="C4096">
        <v>0</v>
      </c>
      <c r="D4096" s="201">
        <v>0</v>
      </c>
      <c r="E4096" s="201">
        <v>0</v>
      </c>
      <c r="F4096">
        <v>0</v>
      </c>
      <c r="G4096">
        <v>0</v>
      </c>
      <c r="H4096">
        <v>0</v>
      </c>
      <c r="I4096">
        <v>0</v>
      </c>
      <c r="J4096">
        <v>0</v>
      </c>
      <c r="K4096" s="201">
        <v>0</v>
      </c>
    </row>
    <row r="4097" spans="1:11" x14ac:dyDescent="0.25">
      <c r="A4097"/>
      <c r="B4097" s="201">
        <v>0</v>
      </c>
      <c r="C4097">
        <v>0</v>
      </c>
      <c r="D4097" s="201">
        <v>0</v>
      </c>
      <c r="E4097" s="201">
        <v>0</v>
      </c>
      <c r="F4097">
        <v>0</v>
      </c>
      <c r="G4097">
        <v>0</v>
      </c>
      <c r="H4097">
        <v>0</v>
      </c>
      <c r="I4097">
        <v>0</v>
      </c>
      <c r="J4097">
        <v>0</v>
      </c>
      <c r="K4097" s="201">
        <v>0</v>
      </c>
    </row>
    <row r="4098" spans="1:11" x14ac:dyDescent="0.25">
      <c r="A4098"/>
      <c r="B4098" s="201">
        <v>0</v>
      </c>
      <c r="C4098">
        <v>0</v>
      </c>
      <c r="D4098" s="201">
        <v>0</v>
      </c>
      <c r="E4098" s="201">
        <v>0</v>
      </c>
      <c r="F4098">
        <v>0</v>
      </c>
      <c r="G4098">
        <v>0</v>
      </c>
      <c r="H4098">
        <v>0</v>
      </c>
      <c r="I4098">
        <v>0</v>
      </c>
      <c r="J4098">
        <v>0</v>
      </c>
      <c r="K4098" s="201">
        <v>0</v>
      </c>
    </row>
    <row r="4099" spans="1:11" x14ac:dyDescent="0.25">
      <c r="A4099"/>
      <c r="B4099" s="201">
        <v>0</v>
      </c>
      <c r="C4099">
        <v>0</v>
      </c>
      <c r="D4099" s="201">
        <v>0</v>
      </c>
      <c r="E4099" s="201">
        <v>0</v>
      </c>
      <c r="F4099">
        <v>0</v>
      </c>
      <c r="G4099">
        <v>0</v>
      </c>
      <c r="H4099">
        <v>0</v>
      </c>
      <c r="I4099">
        <v>0</v>
      </c>
      <c r="J4099">
        <v>0</v>
      </c>
      <c r="K4099" s="201">
        <v>0</v>
      </c>
    </row>
    <row r="4100" spans="1:11" x14ac:dyDescent="0.25">
      <c r="A4100"/>
      <c r="B4100" s="201">
        <v>0</v>
      </c>
      <c r="C4100">
        <v>0</v>
      </c>
      <c r="D4100" s="201">
        <v>0</v>
      </c>
      <c r="E4100" s="201">
        <v>0</v>
      </c>
      <c r="F4100">
        <v>0</v>
      </c>
      <c r="G4100">
        <v>0</v>
      </c>
      <c r="H4100">
        <v>0</v>
      </c>
      <c r="I4100">
        <v>0</v>
      </c>
      <c r="J4100">
        <v>0</v>
      </c>
      <c r="K4100" s="201">
        <v>0</v>
      </c>
    </row>
    <row r="4101" spans="1:11" x14ac:dyDescent="0.25">
      <c r="A4101"/>
      <c r="B4101" s="201">
        <v>0</v>
      </c>
      <c r="C4101">
        <v>0</v>
      </c>
      <c r="D4101" s="201">
        <v>0</v>
      </c>
      <c r="E4101" s="201">
        <v>0</v>
      </c>
      <c r="F4101">
        <v>0</v>
      </c>
      <c r="G4101">
        <v>0</v>
      </c>
      <c r="H4101">
        <v>0</v>
      </c>
      <c r="I4101">
        <v>0</v>
      </c>
      <c r="J4101">
        <v>0</v>
      </c>
      <c r="K4101" s="201">
        <v>0</v>
      </c>
    </row>
    <row r="4102" spans="1:11" x14ac:dyDescent="0.25">
      <c r="A4102"/>
      <c r="B4102" s="201">
        <v>0</v>
      </c>
      <c r="C4102">
        <v>0</v>
      </c>
      <c r="D4102" s="201">
        <v>0</v>
      </c>
      <c r="E4102" s="201">
        <v>0</v>
      </c>
      <c r="F4102">
        <v>0</v>
      </c>
      <c r="G4102">
        <v>0</v>
      </c>
      <c r="H4102">
        <v>0</v>
      </c>
      <c r="I4102">
        <v>0</v>
      </c>
      <c r="J4102">
        <v>0</v>
      </c>
      <c r="K4102" s="201">
        <v>0</v>
      </c>
    </row>
    <row r="4103" spans="1:11" x14ac:dyDescent="0.25">
      <c r="A4103"/>
      <c r="B4103" s="201">
        <v>0</v>
      </c>
      <c r="C4103">
        <v>0</v>
      </c>
      <c r="D4103" s="201">
        <v>0</v>
      </c>
      <c r="E4103" s="201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 s="201">
        <v>0</v>
      </c>
    </row>
    <row r="4104" spans="1:11" x14ac:dyDescent="0.25">
      <c r="A4104"/>
      <c r="B4104" s="201">
        <v>0</v>
      </c>
      <c r="C4104">
        <v>0</v>
      </c>
      <c r="D4104" s="201">
        <v>0</v>
      </c>
      <c r="E4104" s="201">
        <v>0</v>
      </c>
      <c r="F4104">
        <v>0</v>
      </c>
      <c r="G4104">
        <v>0</v>
      </c>
      <c r="H4104">
        <v>0</v>
      </c>
      <c r="I4104">
        <v>0</v>
      </c>
      <c r="J4104">
        <v>0</v>
      </c>
      <c r="K4104" s="201">
        <v>0</v>
      </c>
    </row>
    <row r="4105" spans="1:11" x14ac:dyDescent="0.25">
      <c r="A4105"/>
      <c r="B4105" s="201">
        <v>0</v>
      </c>
      <c r="C4105">
        <v>0</v>
      </c>
      <c r="D4105" s="201">
        <v>0</v>
      </c>
      <c r="E4105" s="201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 s="201">
        <v>0</v>
      </c>
    </row>
    <row r="4106" spans="1:11" x14ac:dyDescent="0.25">
      <c r="A4106"/>
      <c r="B4106" s="201">
        <v>0</v>
      </c>
      <c r="C4106">
        <v>0</v>
      </c>
      <c r="D4106" s="201">
        <v>0</v>
      </c>
      <c r="E4106" s="201">
        <v>0</v>
      </c>
      <c r="F4106">
        <v>0</v>
      </c>
      <c r="G4106">
        <v>0</v>
      </c>
      <c r="H4106">
        <v>0</v>
      </c>
      <c r="I4106">
        <v>0</v>
      </c>
      <c r="J4106">
        <v>0</v>
      </c>
      <c r="K4106" s="201">
        <v>0</v>
      </c>
    </row>
    <row r="4107" spans="1:11" x14ac:dyDescent="0.25">
      <c r="A4107"/>
      <c r="B4107" s="201">
        <v>0</v>
      </c>
      <c r="C4107">
        <v>0</v>
      </c>
      <c r="D4107" s="201">
        <v>0</v>
      </c>
      <c r="E4107" s="201">
        <v>0</v>
      </c>
      <c r="F4107">
        <v>0</v>
      </c>
      <c r="G4107">
        <v>0</v>
      </c>
      <c r="H4107">
        <v>0</v>
      </c>
      <c r="I4107">
        <v>0</v>
      </c>
      <c r="J4107">
        <v>0</v>
      </c>
      <c r="K4107" s="201">
        <v>0</v>
      </c>
    </row>
    <row r="4108" spans="1:11" x14ac:dyDescent="0.25">
      <c r="A4108"/>
      <c r="B4108" s="201">
        <v>0</v>
      </c>
      <c r="C4108">
        <v>0</v>
      </c>
      <c r="D4108" s="201">
        <v>0</v>
      </c>
      <c r="E4108" s="201">
        <v>0</v>
      </c>
      <c r="F4108">
        <v>0</v>
      </c>
      <c r="G4108">
        <v>0</v>
      </c>
      <c r="H4108">
        <v>0</v>
      </c>
      <c r="I4108">
        <v>0</v>
      </c>
      <c r="J4108">
        <v>0</v>
      </c>
      <c r="K4108" s="201">
        <v>0</v>
      </c>
    </row>
    <row r="4109" spans="1:11" x14ac:dyDescent="0.25">
      <c r="A4109"/>
      <c r="B4109" s="201">
        <v>0</v>
      </c>
      <c r="C4109">
        <v>0</v>
      </c>
      <c r="D4109" s="201">
        <v>0</v>
      </c>
      <c r="E4109" s="201">
        <v>0</v>
      </c>
      <c r="F4109">
        <v>0</v>
      </c>
      <c r="G4109">
        <v>0</v>
      </c>
      <c r="H4109">
        <v>0</v>
      </c>
      <c r="I4109">
        <v>0</v>
      </c>
      <c r="J4109">
        <v>0</v>
      </c>
      <c r="K4109" s="201">
        <v>0</v>
      </c>
    </row>
    <row r="4110" spans="1:11" x14ac:dyDescent="0.25">
      <c r="A4110"/>
      <c r="B4110" s="201">
        <v>0</v>
      </c>
      <c r="C4110">
        <v>0</v>
      </c>
      <c r="D4110" s="201">
        <v>0</v>
      </c>
      <c r="E4110" s="201">
        <v>0</v>
      </c>
      <c r="F4110">
        <v>0</v>
      </c>
      <c r="G4110">
        <v>0</v>
      </c>
      <c r="H4110">
        <v>0</v>
      </c>
      <c r="I4110">
        <v>0</v>
      </c>
      <c r="J4110">
        <v>0</v>
      </c>
      <c r="K4110" s="201">
        <v>0</v>
      </c>
    </row>
    <row r="4111" spans="1:11" x14ac:dyDescent="0.25">
      <c r="A4111"/>
      <c r="B4111" s="201">
        <v>0</v>
      </c>
      <c r="C4111">
        <v>0</v>
      </c>
      <c r="D4111" s="201">
        <v>0</v>
      </c>
      <c r="E4111" s="201">
        <v>0</v>
      </c>
      <c r="F4111">
        <v>0</v>
      </c>
      <c r="G4111">
        <v>0</v>
      </c>
      <c r="H4111">
        <v>0</v>
      </c>
      <c r="I4111">
        <v>0</v>
      </c>
      <c r="J4111">
        <v>0</v>
      </c>
      <c r="K4111" s="201">
        <v>0</v>
      </c>
    </row>
    <row r="4112" spans="1:11" x14ac:dyDescent="0.25">
      <c r="A4112"/>
      <c r="B4112" s="201">
        <v>0</v>
      </c>
      <c r="C4112">
        <v>0</v>
      </c>
      <c r="D4112" s="201">
        <v>0</v>
      </c>
      <c r="E4112" s="201">
        <v>0</v>
      </c>
      <c r="F4112">
        <v>0</v>
      </c>
      <c r="G4112">
        <v>0</v>
      </c>
      <c r="H4112">
        <v>0</v>
      </c>
      <c r="I4112">
        <v>0</v>
      </c>
      <c r="J4112">
        <v>0</v>
      </c>
      <c r="K4112" s="201">
        <v>0</v>
      </c>
    </row>
    <row r="4113" spans="1:11" x14ac:dyDescent="0.25">
      <c r="A4113"/>
      <c r="B4113" s="201">
        <v>0</v>
      </c>
      <c r="C4113">
        <v>0</v>
      </c>
      <c r="D4113" s="201">
        <v>0</v>
      </c>
      <c r="E4113" s="201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 s="201">
        <v>0</v>
      </c>
    </row>
    <row r="4114" spans="1:11" x14ac:dyDescent="0.25">
      <c r="A4114"/>
      <c r="B4114" s="201">
        <v>0</v>
      </c>
      <c r="C4114">
        <v>0</v>
      </c>
      <c r="D4114" s="201">
        <v>0</v>
      </c>
      <c r="E4114" s="201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 s="201">
        <v>0</v>
      </c>
    </row>
    <row r="4115" spans="1:11" x14ac:dyDescent="0.25">
      <c r="A4115"/>
      <c r="B4115" s="201">
        <v>0</v>
      </c>
      <c r="C4115">
        <v>0</v>
      </c>
      <c r="D4115" s="201">
        <v>0</v>
      </c>
      <c r="E4115" s="201">
        <v>0</v>
      </c>
      <c r="F4115">
        <v>0</v>
      </c>
      <c r="G4115">
        <v>0</v>
      </c>
      <c r="H4115">
        <v>0</v>
      </c>
      <c r="I4115">
        <v>0</v>
      </c>
      <c r="J4115">
        <v>0</v>
      </c>
      <c r="K4115" s="201">
        <v>0</v>
      </c>
    </row>
    <row r="4116" spans="1:11" x14ac:dyDescent="0.25">
      <c r="A4116"/>
      <c r="B4116" s="201">
        <v>0</v>
      </c>
      <c r="C4116">
        <v>0</v>
      </c>
      <c r="D4116" s="201">
        <v>0</v>
      </c>
      <c r="E4116" s="201">
        <v>0</v>
      </c>
      <c r="F4116">
        <v>0</v>
      </c>
      <c r="G4116">
        <v>0</v>
      </c>
      <c r="H4116">
        <v>0</v>
      </c>
      <c r="I4116">
        <v>0</v>
      </c>
      <c r="J4116">
        <v>0</v>
      </c>
      <c r="K4116" s="201">
        <v>0</v>
      </c>
    </row>
    <row r="4117" spans="1:11" x14ac:dyDescent="0.25">
      <c r="A4117"/>
      <c r="B4117" s="201">
        <v>0</v>
      </c>
      <c r="C4117">
        <v>0</v>
      </c>
      <c r="D4117" s="201">
        <v>0</v>
      </c>
      <c r="E4117" s="201">
        <v>0</v>
      </c>
      <c r="F4117">
        <v>0</v>
      </c>
      <c r="G4117">
        <v>0</v>
      </c>
      <c r="H4117">
        <v>0</v>
      </c>
      <c r="I4117">
        <v>0</v>
      </c>
      <c r="J4117">
        <v>0</v>
      </c>
      <c r="K4117" s="201">
        <v>0</v>
      </c>
    </row>
    <row r="4118" spans="1:11" x14ac:dyDescent="0.25">
      <c r="A4118"/>
      <c r="B4118" s="201">
        <v>0</v>
      </c>
      <c r="C4118">
        <v>0</v>
      </c>
      <c r="D4118" s="201">
        <v>0</v>
      </c>
      <c r="E4118" s="201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 s="201">
        <v>0</v>
      </c>
    </row>
    <row r="4119" spans="1:11" x14ac:dyDescent="0.25">
      <c r="A4119"/>
      <c r="B4119" s="201">
        <v>0</v>
      </c>
      <c r="C4119">
        <v>0</v>
      </c>
      <c r="D4119" s="201">
        <v>0</v>
      </c>
      <c r="E4119" s="201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 s="201">
        <v>0</v>
      </c>
    </row>
    <row r="4120" spans="1:11" x14ac:dyDescent="0.25">
      <c r="A4120"/>
      <c r="B4120" s="201">
        <v>0</v>
      </c>
      <c r="C4120">
        <v>0</v>
      </c>
      <c r="D4120" s="201">
        <v>0</v>
      </c>
      <c r="E4120" s="201">
        <v>0</v>
      </c>
      <c r="F4120">
        <v>0</v>
      </c>
      <c r="G4120">
        <v>0</v>
      </c>
      <c r="H4120">
        <v>0</v>
      </c>
      <c r="I4120">
        <v>0</v>
      </c>
      <c r="J4120">
        <v>0</v>
      </c>
      <c r="K4120" s="201">
        <v>0</v>
      </c>
    </row>
    <row r="4121" spans="1:11" x14ac:dyDescent="0.25">
      <c r="A4121"/>
      <c r="B4121" s="201">
        <v>0</v>
      </c>
      <c r="C4121">
        <v>0</v>
      </c>
      <c r="D4121" s="201">
        <v>0</v>
      </c>
      <c r="E4121" s="201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 s="201">
        <v>0</v>
      </c>
    </row>
    <row r="4122" spans="1:11" x14ac:dyDescent="0.25">
      <c r="A4122"/>
      <c r="B4122" s="201">
        <v>0</v>
      </c>
      <c r="C4122">
        <v>0</v>
      </c>
      <c r="D4122" s="201">
        <v>0</v>
      </c>
      <c r="E4122" s="201">
        <v>0</v>
      </c>
      <c r="F4122">
        <v>0</v>
      </c>
      <c r="G4122">
        <v>0</v>
      </c>
      <c r="H4122">
        <v>0</v>
      </c>
      <c r="I4122">
        <v>0</v>
      </c>
      <c r="J4122">
        <v>0</v>
      </c>
      <c r="K4122" s="201">
        <v>0</v>
      </c>
    </row>
    <row r="4123" spans="1:11" x14ac:dyDescent="0.25">
      <c r="A4123"/>
      <c r="B4123" s="201">
        <v>0</v>
      </c>
      <c r="C4123">
        <v>0</v>
      </c>
      <c r="D4123" s="201">
        <v>0</v>
      </c>
      <c r="E4123" s="201">
        <v>0</v>
      </c>
      <c r="F4123">
        <v>0</v>
      </c>
      <c r="G4123">
        <v>0</v>
      </c>
      <c r="H4123">
        <v>0</v>
      </c>
      <c r="I4123">
        <v>0</v>
      </c>
      <c r="J4123">
        <v>0</v>
      </c>
      <c r="K4123" s="201">
        <v>0</v>
      </c>
    </row>
    <row r="4124" spans="1:11" x14ac:dyDescent="0.25">
      <c r="A4124"/>
      <c r="B4124" s="201">
        <v>0</v>
      </c>
      <c r="C4124">
        <v>0</v>
      </c>
      <c r="D4124" s="201">
        <v>0</v>
      </c>
      <c r="E4124" s="201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 s="201">
        <v>0</v>
      </c>
    </row>
    <row r="4125" spans="1:11" x14ac:dyDescent="0.25">
      <c r="A4125"/>
      <c r="B4125" s="201">
        <v>0</v>
      </c>
      <c r="C4125">
        <v>0</v>
      </c>
      <c r="D4125" s="201">
        <v>0</v>
      </c>
      <c r="E4125" s="201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 s="201">
        <v>0</v>
      </c>
    </row>
    <row r="4126" spans="1:11" x14ac:dyDescent="0.25">
      <c r="A4126"/>
      <c r="B4126" s="201">
        <v>0</v>
      </c>
      <c r="C4126">
        <v>0</v>
      </c>
      <c r="D4126" s="201">
        <v>0</v>
      </c>
      <c r="E4126" s="201">
        <v>0</v>
      </c>
      <c r="F4126">
        <v>0</v>
      </c>
      <c r="G4126">
        <v>0</v>
      </c>
      <c r="H4126">
        <v>0</v>
      </c>
      <c r="I4126">
        <v>0</v>
      </c>
      <c r="J4126">
        <v>0</v>
      </c>
      <c r="K4126" s="201">
        <v>0</v>
      </c>
    </row>
    <row r="4127" spans="1:11" x14ac:dyDescent="0.25">
      <c r="A4127"/>
      <c r="B4127" s="201">
        <v>0</v>
      </c>
      <c r="C4127">
        <v>0</v>
      </c>
      <c r="D4127" s="201">
        <v>0</v>
      </c>
      <c r="E4127" s="201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 s="201">
        <v>0</v>
      </c>
    </row>
    <row r="4128" spans="1:11" x14ac:dyDescent="0.25">
      <c r="A4128"/>
      <c r="B4128" s="201">
        <v>0</v>
      </c>
      <c r="C4128">
        <v>0</v>
      </c>
      <c r="D4128" s="201">
        <v>0</v>
      </c>
      <c r="E4128" s="201">
        <v>0</v>
      </c>
      <c r="F4128">
        <v>0</v>
      </c>
      <c r="G4128">
        <v>0</v>
      </c>
      <c r="H4128">
        <v>0</v>
      </c>
      <c r="I4128">
        <v>0</v>
      </c>
      <c r="J4128">
        <v>0</v>
      </c>
      <c r="K4128" s="201">
        <v>0</v>
      </c>
    </row>
    <row r="4129" spans="1:11" x14ac:dyDescent="0.25">
      <c r="A4129"/>
      <c r="B4129" s="201">
        <v>0</v>
      </c>
      <c r="C4129">
        <v>0</v>
      </c>
      <c r="D4129" s="201">
        <v>0</v>
      </c>
      <c r="E4129" s="201">
        <v>0</v>
      </c>
      <c r="F4129">
        <v>0</v>
      </c>
      <c r="G4129">
        <v>0</v>
      </c>
      <c r="H4129">
        <v>0</v>
      </c>
      <c r="I4129">
        <v>0</v>
      </c>
      <c r="J4129">
        <v>0</v>
      </c>
      <c r="K4129" s="201">
        <v>0</v>
      </c>
    </row>
    <row r="4130" spans="1:11" x14ac:dyDescent="0.25">
      <c r="A4130"/>
      <c r="B4130" s="201">
        <v>0</v>
      </c>
      <c r="C4130">
        <v>0</v>
      </c>
      <c r="D4130" s="201">
        <v>0</v>
      </c>
      <c r="E4130" s="201">
        <v>0</v>
      </c>
      <c r="F4130">
        <v>0</v>
      </c>
      <c r="G4130">
        <v>0</v>
      </c>
      <c r="H4130">
        <v>0</v>
      </c>
      <c r="I4130">
        <v>0</v>
      </c>
      <c r="J4130">
        <v>0</v>
      </c>
      <c r="K4130" s="201">
        <v>0</v>
      </c>
    </row>
    <row r="4131" spans="1:11" x14ac:dyDescent="0.25">
      <c r="A4131"/>
      <c r="B4131" s="201">
        <v>0</v>
      </c>
      <c r="C4131">
        <v>0</v>
      </c>
      <c r="D4131" s="201">
        <v>0</v>
      </c>
      <c r="E4131" s="201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 s="201">
        <v>0</v>
      </c>
    </row>
    <row r="4132" spans="1:11" x14ac:dyDescent="0.25">
      <c r="A4132"/>
      <c r="B4132" s="201">
        <v>0</v>
      </c>
      <c r="C4132">
        <v>0</v>
      </c>
      <c r="D4132" s="201">
        <v>0</v>
      </c>
      <c r="E4132" s="201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 s="201">
        <v>0</v>
      </c>
    </row>
    <row r="4133" spans="1:11" x14ac:dyDescent="0.25">
      <c r="A4133"/>
      <c r="B4133" s="201">
        <v>0</v>
      </c>
      <c r="C4133">
        <v>0</v>
      </c>
      <c r="D4133" s="201">
        <v>0</v>
      </c>
      <c r="E4133" s="201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 s="201">
        <v>0</v>
      </c>
    </row>
    <row r="4134" spans="1:11" x14ac:dyDescent="0.25">
      <c r="A4134"/>
      <c r="B4134" s="201">
        <v>0</v>
      </c>
      <c r="C4134">
        <v>0</v>
      </c>
      <c r="D4134" s="201">
        <v>0</v>
      </c>
      <c r="E4134" s="201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 s="201">
        <v>0</v>
      </c>
    </row>
    <row r="4135" spans="1:11" x14ac:dyDescent="0.25">
      <c r="A4135"/>
      <c r="B4135" s="201">
        <v>0</v>
      </c>
      <c r="C4135">
        <v>0</v>
      </c>
      <c r="D4135" s="201">
        <v>0</v>
      </c>
      <c r="E4135" s="201">
        <v>0</v>
      </c>
      <c r="F4135">
        <v>0</v>
      </c>
      <c r="G4135">
        <v>0</v>
      </c>
      <c r="H4135">
        <v>0</v>
      </c>
      <c r="I4135">
        <v>0</v>
      </c>
      <c r="J4135">
        <v>0</v>
      </c>
      <c r="K4135" s="201">
        <v>0</v>
      </c>
    </row>
    <row r="4136" spans="1:11" x14ac:dyDescent="0.25">
      <c r="A4136"/>
      <c r="B4136" s="201">
        <v>0</v>
      </c>
      <c r="C4136">
        <v>0</v>
      </c>
      <c r="D4136" s="201">
        <v>0</v>
      </c>
      <c r="E4136" s="201">
        <v>0</v>
      </c>
      <c r="F4136">
        <v>0</v>
      </c>
      <c r="G4136">
        <v>0</v>
      </c>
      <c r="H4136">
        <v>0</v>
      </c>
      <c r="I4136">
        <v>0</v>
      </c>
      <c r="J4136">
        <v>0</v>
      </c>
      <c r="K4136" s="201">
        <v>0</v>
      </c>
    </row>
    <row r="4137" spans="1:11" x14ac:dyDescent="0.25">
      <c r="A4137"/>
      <c r="B4137" s="201">
        <v>0</v>
      </c>
      <c r="C4137">
        <v>0</v>
      </c>
      <c r="D4137" s="201">
        <v>0</v>
      </c>
      <c r="E4137" s="201">
        <v>0</v>
      </c>
      <c r="F4137">
        <v>0</v>
      </c>
      <c r="G4137">
        <v>0</v>
      </c>
      <c r="H4137">
        <v>0</v>
      </c>
      <c r="I4137">
        <v>0</v>
      </c>
      <c r="J4137">
        <v>0</v>
      </c>
      <c r="K4137" s="201">
        <v>0</v>
      </c>
    </row>
    <row r="4138" spans="1:11" x14ac:dyDescent="0.25">
      <c r="A4138"/>
      <c r="B4138" s="201">
        <v>0</v>
      </c>
      <c r="C4138">
        <v>0</v>
      </c>
      <c r="D4138" s="201">
        <v>0</v>
      </c>
      <c r="E4138" s="201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 s="201">
        <v>0</v>
      </c>
    </row>
    <row r="4139" spans="1:11" x14ac:dyDescent="0.25">
      <c r="A4139"/>
      <c r="B4139" s="201">
        <v>0</v>
      </c>
      <c r="C4139">
        <v>0</v>
      </c>
      <c r="D4139" s="201">
        <v>0</v>
      </c>
      <c r="E4139" s="201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 s="201">
        <v>0</v>
      </c>
    </row>
    <row r="4140" spans="1:11" x14ac:dyDescent="0.25">
      <c r="A4140"/>
      <c r="B4140" s="201">
        <v>0</v>
      </c>
      <c r="C4140">
        <v>0</v>
      </c>
      <c r="D4140" s="201">
        <v>0</v>
      </c>
      <c r="E4140" s="201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 s="201">
        <v>0</v>
      </c>
    </row>
    <row r="4141" spans="1:11" x14ac:dyDescent="0.25">
      <c r="A4141"/>
      <c r="B4141" s="201">
        <v>0</v>
      </c>
      <c r="C4141">
        <v>0</v>
      </c>
      <c r="D4141" s="201">
        <v>0</v>
      </c>
      <c r="E4141" s="201">
        <v>0</v>
      </c>
      <c r="F4141">
        <v>0</v>
      </c>
      <c r="G4141">
        <v>0</v>
      </c>
      <c r="H4141">
        <v>0</v>
      </c>
      <c r="I4141">
        <v>0</v>
      </c>
      <c r="J4141">
        <v>0</v>
      </c>
      <c r="K4141" s="201">
        <v>0</v>
      </c>
    </row>
    <row r="4142" spans="1:11" x14ac:dyDescent="0.25">
      <c r="A4142"/>
      <c r="B4142" s="201">
        <v>0</v>
      </c>
      <c r="C4142">
        <v>0</v>
      </c>
      <c r="D4142" s="201">
        <v>0</v>
      </c>
      <c r="E4142" s="201">
        <v>0</v>
      </c>
      <c r="F4142">
        <v>0</v>
      </c>
      <c r="G4142">
        <v>0</v>
      </c>
      <c r="H4142">
        <v>0</v>
      </c>
      <c r="I4142">
        <v>0</v>
      </c>
      <c r="J4142">
        <v>0</v>
      </c>
      <c r="K4142" s="201">
        <v>0</v>
      </c>
    </row>
    <row r="4143" spans="1:11" x14ac:dyDescent="0.25">
      <c r="A4143"/>
      <c r="B4143" s="201">
        <v>0</v>
      </c>
      <c r="C4143">
        <v>0</v>
      </c>
      <c r="D4143" s="201">
        <v>0</v>
      </c>
      <c r="E4143" s="201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 s="201">
        <v>0</v>
      </c>
    </row>
    <row r="4144" spans="1:11" x14ac:dyDescent="0.25">
      <c r="A4144"/>
      <c r="B4144" s="201">
        <v>0</v>
      </c>
      <c r="C4144">
        <v>0</v>
      </c>
      <c r="D4144" s="201">
        <v>0</v>
      </c>
      <c r="E4144" s="201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 s="201">
        <v>0</v>
      </c>
    </row>
    <row r="4145" spans="1:11" x14ac:dyDescent="0.25">
      <c r="A4145"/>
      <c r="B4145" s="201">
        <v>0</v>
      </c>
      <c r="C4145">
        <v>0</v>
      </c>
      <c r="D4145" s="201">
        <v>0</v>
      </c>
      <c r="E4145" s="201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 s="201">
        <v>0</v>
      </c>
    </row>
    <row r="4146" spans="1:11" x14ac:dyDescent="0.25">
      <c r="A4146"/>
      <c r="B4146" s="201">
        <v>0</v>
      </c>
      <c r="C4146">
        <v>0</v>
      </c>
      <c r="D4146" s="201">
        <v>0</v>
      </c>
      <c r="E4146" s="201">
        <v>0</v>
      </c>
      <c r="F4146">
        <v>0</v>
      </c>
      <c r="G4146">
        <v>0</v>
      </c>
      <c r="H4146">
        <v>0</v>
      </c>
      <c r="I4146">
        <v>0</v>
      </c>
      <c r="J4146">
        <v>0</v>
      </c>
      <c r="K4146" s="201">
        <v>0</v>
      </c>
    </row>
    <row r="4147" spans="1:11" x14ac:dyDescent="0.25">
      <c r="A4147"/>
      <c r="B4147" s="201">
        <v>0</v>
      </c>
      <c r="C4147">
        <v>0</v>
      </c>
      <c r="D4147" s="201">
        <v>0</v>
      </c>
      <c r="E4147" s="201">
        <v>0</v>
      </c>
      <c r="F4147">
        <v>0</v>
      </c>
      <c r="G4147">
        <v>0</v>
      </c>
      <c r="H4147">
        <v>0</v>
      </c>
      <c r="I4147">
        <v>0</v>
      </c>
      <c r="J4147">
        <v>0</v>
      </c>
      <c r="K4147" s="201">
        <v>0</v>
      </c>
    </row>
    <row r="4148" spans="1:11" x14ac:dyDescent="0.25">
      <c r="A4148"/>
      <c r="B4148" s="201">
        <v>0</v>
      </c>
      <c r="C4148">
        <v>0</v>
      </c>
      <c r="D4148" s="201">
        <v>0</v>
      </c>
      <c r="E4148" s="201">
        <v>0</v>
      </c>
      <c r="F4148">
        <v>0</v>
      </c>
      <c r="G4148">
        <v>0</v>
      </c>
      <c r="H4148">
        <v>0</v>
      </c>
      <c r="I4148">
        <v>0</v>
      </c>
      <c r="J4148">
        <v>0</v>
      </c>
      <c r="K4148" s="201">
        <v>0</v>
      </c>
    </row>
    <row r="4149" spans="1:11" x14ac:dyDescent="0.25">
      <c r="A4149"/>
      <c r="B4149" s="201">
        <v>0</v>
      </c>
      <c r="C4149">
        <v>0</v>
      </c>
      <c r="D4149" s="201">
        <v>0</v>
      </c>
      <c r="E4149" s="201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 s="201">
        <v>0</v>
      </c>
    </row>
    <row r="4150" spans="1:11" x14ac:dyDescent="0.25">
      <c r="A4150"/>
      <c r="B4150" s="201">
        <v>0</v>
      </c>
      <c r="C4150">
        <v>0</v>
      </c>
      <c r="D4150" s="201">
        <v>0</v>
      </c>
      <c r="E4150" s="201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 s="201">
        <v>0</v>
      </c>
    </row>
    <row r="4151" spans="1:11" x14ac:dyDescent="0.25">
      <c r="A4151"/>
      <c r="B4151" s="201">
        <v>0</v>
      </c>
      <c r="C4151">
        <v>0</v>
      </c>
      <c r="D4151" s="201">
        <v>0</v>
      </c>
      <c r="E4151" s="201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 s="201">
        <v>0</v>
      </c>
    </row>
    <row r="4152" spans="1:11" x14ac:dyDescent="0.25">
      <c r="A4152"/>
      <c r="B4152" s="201">
        <v>0</v>
      </c>
      <c r="C4152">
        <v>0</v>
      </c>
      <c r="D4152" s="201">
        <v>0</v>
      </c>
      <c r="E4152" s="201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 s="201">
        <v>0</v>
      </c>
    </row>
    <row r="4153" spans="1:11" x14ac:dyDescent="0.25">
      <c r="A4153"/>
      <c r="B4153" s="201">
        <v>0</v>
      </c>
      <c r="C4153">
        <v>0</v>
      </c>
      <c r="D4153" s="201">
        <v>0</v>
      </c>
      <c r="E4153" s="201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 s="201">
        <v>0</v>
      </c>
    </row>
    <row r="4154" spans="1:11" x14ac:dyDescent="0.25">
      <c r="A4154"/>
      <c r="B4154" s="201">
        <v>0</v>
      </c>
      <c r="C4154">
        <v>0</v>
      </c>
      <c r="D4154" s="201">
        <v>0</v>
      </c>
      <c r="E4154" s="201">
        <v>0</v>
      </c>
      <c r="F4154">
        <v>0</v>
      </c>
      <c r="G4154">
        <v>0</v>
      </c>
      <c r="H4154">
        <v>0</v>
      </c>
      <c r="I4154">
        <v>0</v>
      </c>
      <c r="J4154">
        <v>0</v>
      </c>
      <c r="K4154" s="201">
        <v>0</v>
      </c>
    </row>
    <row r="4155" spans="1:11" x14ac:dyDescent="0.25">
      <c r="A4155"/>
      <c r="B4155" s="201">
        <v>0</v>
      </c>
      <c r="C4155">
        <v>0</v>
      </c>
      <c r="D4155" s="201">
        <v>0</v>
      </c>
      <c r="E4155" s="201">
        <v>0</v>
      </c>
      <c r="F4155">
        <v>0</v>
      </c>
      <c r="G4155">
        <v>0</v>
      </c>
      <c r="H4155">
        <v>0</v>
      </c>
      <c r="I4155">
        <v>0</v>
      </c>
      <c r="J4155">
        <v>0</v>
      </c>
      <c r="K4155" s="201">
        <v>0</v>
      </c>
    </row>
    <row r="4156" spans="1:11" x14ac:dyDescent="0.25">
      <c r="A4156"/>
      <c r="B4156" s="201">
        <v>0</v>
      </c>
      <c r="C4156">
        <v>0</v>
      </c>
      <c r="D4156" s="201">
        <v>0</v>
      </c>
      <c r="E4156" s="201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 s="201">
        <v>0</v>
      </c>
    </row>
    <row r="4157" spans="1:11" x14ac:dyDescent="0.25">
      <c r="A4157"/>
      <c r="B4157" s="201">
        <v>0</v>
      </c>
      <c r="C4157">
        <v>0</v>
      </c>
      <c r="D4157" s="201">
        <v>0</v>
      </c>
      <c r="E4157" s="201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 s="201">
        <v>0</v>
      </c>
    </row>
    <row r="4158" spans="1:11" x14ac:dyDescent="0.25">
      <c r="A4158"/>
      <c r="B4158" s="201">
        <v>0</v>
      </c>
      <c r="C4158">
        <v>0</v>
      </c>
      <c r="D4158" s="201">
        <v>0</v>
      </c>
      <c r="E4158" s="201">
        <v>0</v>
      </c>
      <c r="F4158">
        <v>0</v>
      </c>
      <c r="G4158">
        <v>0</v>
      </c>
      <c r="H4158">
        <v>0</v>
      </c>
      <c r="I4158">
        <v>0</v>
      </c>
      <c r="J4158">
        <v>0</v>
      </c>
      <c r="K4158" s="201">
        <v>0</v>
      </c>
    </row>
    <row r="4159" spans="1:11" x14ac:dyDescent="0.25">
      <c r="A4159"/>
      <c r="B4159" s="201">
        <v>0</v>
      </c>
      <c r="C4159">
        <v>0</v>
      </c>
      <c r="D4159" s="201">
        <v>0</v>
      </c>
      <c r="E4159" s="201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 s="201">
        <v>0</v>
      </c>
    </row>
    <row r="4160" spans="1:11" x14ac:dyDescent="0.25">
      <c r="A4160"/>
      <c r="B4160" s="201">
        <v>0</v>
      </c>
      <c r="C4160">
        <v>0</v>
      </c>
      <c r="D4160" s="201">
        <v>0</v>
      </c>
      <c r="E4160" s="201">
        <v>0</v>
      </c>
      <c r="F4160">
        <v>0</v>
      </c>
      <c r="G4160">
        <v>0</v>
      </c>
      <c r="H4160">
        <v>0</v>
      </c>
      <c r="I4160">
        <v>0</v>
      </c>
      <c r="J4160">
        <v>0</v>
      </c>
      <c r="K4160" s="201">
        <v>0</v>
      </c>
    </row>
    <row r="4161" spans="1:11" x14ac:dyDescent="0.25">
      <c r="A4161"/>
      <c r="B4161" s="201">
        <v>0</v>
      </c>
      <c r="C4161">
        <v>0</v>
      </c>
      <c r="D4161" s="201">
        <v>0</v>
      </c>
      <c r="E4161" s="201">
        <v>0</v>
      </c>
      <c r="F4161">
        <v>0</v>
      </c>
      <c r="G4161">
        <v>0</v>
      </c>
      <c r="H4161">
        <v>0</v>
      </c>
      <c r="I4161">
        <v>0</v>
      </c>
      <c r="J4161">
        <v>0</v>
      </c>
      <c r="K4161" s="201">
        <v>0</v>
      </c>
    </row>
    <row r="4162" spans="1:11" x14ac:dyDescent="0.25">
      <c r="A4162"/>
      <c r="B4162" s="201">
        <v>0</v>
      </c>
      <c r="C4162">
        <v>0</v>
      </c>
      <c r="D4162" s="201">
        <v>0</v>
      </c>
      <c r="E4162" s="201">
        <v>0</v>
      </c>
      <c r="F4162">
        <v>0</v>
      </c>
      <c r="G4162">
        <v>0</v>
      </c>
      <c r="H4162">
        <v>0</v>
      </c>
      <c r="I4162">
        <v>0</v>
      </c>
      <c r="J4162">
        <v>0</v>
      </c>
      <c r="K4162" s="201">
        <v>0</v>
      </c>
    </row>
    <row r="4163" spans="1:11" x14ac:dyDescent="0.25">
      <c r="A4163"/>
      <c r="B4163" s="201">
        <v>0</v>
      </c>
      <c r="C4163">
        <v>0</v>
      </c>
      <c r="D4163" s="201">
        <v>0</v>
      </c>
      <c r="E4163" s="201">
        <v>0</v>
      </c>
      <c r="F4163">
        <v>0</v>
      </c>
      <c r="G4163">
        <v>0</v>
      </c>
      <c r="H4163">
        <v>0</v>
      </c>
      <c r="I4163">
        <v>0</v>
      </c>
      <c r="J4163">
        <v>0</v>
      </c>
      <c r="K4163" s="201">
        <v>0</v>
      </c>
    </row>
    <row r="4164" spans="1:11" x14ac:dyDescent="0.25">
      <c r="A4164"/>
      <c r="B4164" s="201">
        <v>0</v>
      </c>
      <c r="C4164">
        <v>0</v>
      </c>
      <c r="D4164" s="201">
        <v>0</v>
      </c>
      <c r="E4164" s="201">
        <v>0</v>
      </c>
      <c r="F4164">
        <v>0</v>
      </c>
      <c r="G4164">
        <v>0</v>
      </c>
      <c r="H4164">
        <v>0</v>
      </c>
      <c r="I4164">
        <v>0</v>
      </c>
      <c r="J4164">
        <v>0</v>
      </c>
      <c r="K4164" s="201">
        <v>0</v>
      </c>
    </row>
    <row r="4165" spans="1:11" x14ac:dyDescent="0.25">
      <c r="A4165"/>
      <c r="B4165" s="201">
        <v>0</v>
      </c>
      <c r="C4165">
        <v>0</v>
      </c>
      <c r="D4165" s="201">
        <v>0</v>
      </c>
      <c r="E4165" s="201">
        <v>0</v>
      </c>
      <c r="F4165">
        <v>0</v>
      </c>
      <c r="G4165">
        <v>0</v>
      </c>
      <c r="H4165">
        <v>0</v>
      </c>
      <c r="I4165">
        <v>0</v>
      </c>
      <c r="J4165">
        <v>0</v>
      </c>
      <c r="K4165" s="201">
        <v>0</v>
      </c>
    </row>
    <row r="4166" spans="1:11" x14ac:dyDescent="0.25">
      <c r="A4166"/>
      <c r="B4166" s="201">
        <v>0</v>
      </c>
      <c r="C4166">
        <v>0</v>
      </c>
      <c r="D4166" s="201">
        <v>0</v>
      </c>
      <c r="E4166" s="201">
        <v>0</v>
      </c>
      <c r="F4166">
        <v>0</v>
      </c>
      <c r="G4166">
        <v>0</v>
      </c>
      <c r="H4166">
        <v>0</v>
      </c>
      <c r="I4166">
        <v>0</v>
      </c>
      <c r="J4166">
        <v>0</v>
      </c>
      <c r="K4166" s="201">
        <v>0</v>
      </c>
    </row>
    <row r="4167" spans="1:11" x14ac:dyDescent="0.25">
      <c r="A4167"/>
      <c r="B4167" s="201">
        <v>0</v>
      </c>
      <c r="C4167">
        <v>0</v>
      </c>
      <c r="D4167" s="201">
        <v>0</v>
      </c>
      <c r="E4167" s="201">
        <v>0</v>
      </c>
      <c r="F4167">
        <v>0</v>
      </c>
      <c r="G4167">
        <v>0</v>
      </c>
      <c r="H4167">
        <v>0</v>
      </c>
      <c r="I4167">
        <v>0</v>
      </c>
      <c r="J4167">
        <v>0</v>
      </c>
      <c r="K4167" s="201">
        <v>0</v>
      </c>
    </row>
    <row r="4168" spans="1:11" x14ac:dyDescent="0.25">
      <c r="A4168"/>
      <c r="B4168" s="201">
        <v>0</v>
      </c>
      <c r="C4168">
        <v>0</v>
      </c>
      <c r="D4168" s="201">
        <v>0</v>
      </c>
      <c r="E4168" s="201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 s="201">
        <v>0</v>
      </c>
    </row>
    <row r="4169" spans="1:11" x14ac:dyDescent="0.25">
      <c r="A4169"/>
      <c r="B4169" s="201">
        <v>0</v>
      </c>
      <c r="C4169">
        <v>0</v>
      </c>
      <c r="D4169" s="201">
        <v>0</v>
      </c>
      <c r="E4169" s="201">
        <v>0</v>
      </c>
      <c r="F4169">
        <v>0</v>
      </c>
      <c r="G4169">
        <v>0</v>
      </c>
      <c r="H4169">
        <v>0</v>
      </c>
      <c r="I4169">
        <v>0</v>
      </c>
      <c r="J4169">
        <v>0</v>
      </c>
      <c r="K4169" s="201">
        <v>0</v>
      </c>
    </row>
    <row r="4170" spans="1:11" x14ac:dyDescent="0.25">
      <c r="A4170"/>
      <c r="B4170" s="201">
        <v>0</v>
      </c>
      <c r="C4170">
        <v>0</v>
      </c>
      <c r="D4170" s="201">
        <v>0</v>
      </c>
      <c r="E4170" s="201">
        <v>0</v>
      </c>
      <c r="F4170">
        <v>0</v>
      </c>
      <c r="G4170">
        <v>0</v>
      </c>
      <c r="H4170">
        <v>0</v>
      </c>
      <c r="I4170">
        <v>0</v>
      </c>
      <c r="J4170">
        <v>0</v>
      </c>
      <c r="K4170" s="201">
        <v>0</v>
      </c>
    </row>
    <row r="4171" spans="1:11" x14ac:dyDescent="0.25">
      <c r="A4171"/>
      <c r="B4171" s="201">
        <v>0</v>
      </c>
      <c r="C4171">
        <v>0</v>
      </c>
      <c r="D4171" s="201">
        <v>0</v>
      </c>
      <c r="E4171" s="201">
        <v>0</v>
      </c>
      <c r="F4171">
        <v>0</v>
      </c>
      <c r="G4171">
        <v>0</v>
      </c>
      <c r="H4171">
        <v>0</v>
      </c>
      <c r="I4171">
        <v>0</v>
      </c>
      <c r="J4171">
        <v>0</v>
      </c>
      <c r="K4171" s="201">
        <v>0</v>
      </c>
    </row>
    <row r="4172" spans="1:11" x14ac:dyDescent="0.25">
      <c r="A4172"/>
      <c r="B4172" s="201">
        <v>0</v>
      </c>
      <c r="C4172">
        <v>0</v>
      </c>
      <c r="D4172" s="201">
        <v>0</v>
      </c>
      <c r="E4172" s="201">
        <v>0</v>
      </c>
      <c r="F4172">
        <v>0</v>
      </c>
      <c r="G4172">
        <v>0</v>
      </c>
      <c r="H4172">
        <v>0</v>
      </c>
      <c r="I4172">
        <v>0</v>
      </c>
      <c r="J4172">
        <v>0</v>
      </c>
      <c r="K4172" s="201">
        <v>0</v>
      </c>
    </row>
    <row r="4173" spans="1:11" x14ac:dyDescent="0.25">
      <c r="A4173"/>
      <c r="B4173" s="201">
        <v>0</v>
      </c>
      <c r="C4173">
        <v>0</v>
      </c>
      <c r="D4173" s="201">
        <v>0</v>
      </c>
      <c r="E4173" s="201">
        <v>0</v>
      </c>
      <c r="F4173">
        <v>0</v>
      </c>
      <c r="G4173">
        <v>0</v>
      </c>
      <c r="H4173">
        <v>0</v>
      </c>
      <c r="I4173">
        <v>0</v>
      </c>
      <c r="J4173">
        <v>0</v>
      </c>
      <c r="K4173" s="201">
        <v>0</v>
      </c>
    </row>
    <row r="4174" spans="1:11" x14ac:dyDescent="0.25">
      <c r="A4174"/>
      <c r="B4174" s="201">
        <v>0</v>
      </c>
      <c r="C4174">
        <v>0</v>
      </c>
      <c r="D4174" s="201">
        <v>0</v>
      </c>
      <c r="E4174" s="201">
        <v>0</v>
      </c>
      <c r="F4174">
        <v>0</v>
      </c>
      <c r="G4174">
        <v>0</v>
      </c>
      <c r="H4174">
        <v>0</v>
      </c>
      <c r="I4174">
        <v>0</v>
      </c>
      <c r="J4174">
        <v>0</v>
      </c>
      <c r="K4174" s="201">
        <v>0</v>
      </c>
    </row>
    <row r="4175" spans="1:11" x14ac:dyDescent="0.25">
      <c r="A4175"/>
      <c r="B4175" s="201">
        <v>0</v>
      </c>
      <c r="C4175">
        <v>0</v>
      </c>
      <c r="D4175" s="201">
        <v>0</v>
      </c>
      <c r="E4175" s="201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 s="201">
        <v>0</v>
      </c>
    </row>
    <row r="4176" spans="1:11" x14ac:dyDescent="0.25">
      <c r="A4176"/>
      <c r="B4176" s="201">
        <v>0</v>
      </c>
      <c r="C4176">
        <v>0</v>
      </c>
      <c r="D4176" s="201">
        <v>0</v>
      </c>
      <c r="E4176" s="201">
        <v>0</v>
      </c>
      <c r="F4176">
        <v>0</v>
      </c>
      <c r="G4176">
        <v>0</v>
      </c>
      <c r="H4176">
        <v>0</v>
      </c>
      <c r="I4176">
        <v>0</v>
      </c>
      <c r="J4176">
        <v>0</v>
      </c>
      <c r="K4176" s="201">
        <v>0</v>
      </c>
    </row>
    <row r="4177" spans="1:11" x14ac:dyDescent="0.25">
      <c r="A4177"/>
      <c r="B4177" s="201">
        <v>0</v>
      </c>
      <c r="C4177">
        <v>0</v>
      </c>
      <c r="D4177" s="201">
        <v>0</v>
      </c>
      <c r="E4177" s="201">
        <v>0</v>
      </c>
      <c r="F4177">
        <v>0</v>
      </c>
      <c r="G4177">
        <v>0</v>
      </c>
      <c r="H4177">
        <v>0</v>
      </c>
      <c r="I4177">
        <v>0</v>
      </c>
      <c r="J4177">
        <v>0</v>
      </c>
      <c r="K4177" s="201">
        <v>0</v>
      </c>
    </row>
    <row r="4178" spans="1:11" x14ac:dyDescent="0.25">
      <c r="A4178"/>
      <c r="B4178" s="201">
        <v>0</v>
      </c>
      <c r="C4178">
        <v>0</v>
      </c>
      <c r="D4178" s="201">
        <v>0</v>
      </c>
      <c r="E4178" s="201">
        <v>0</v>
      </c>
      <c r="F4178">
        <v>0</v>
      </c>
      <c r="G4178">
        <v>0</v>
      </c>
      <c r="H4178">
        <v>0</v>
      </c>
      <c r="I4178">
        <v>0</v>
      </c>
      <c r="J4178">
        <v>0</v>
      </c>
      <c r="K4178" s="201">
        <v>0</v>
      </c>
    </row>
    <row r="4179" spans="1:11" x14ac:dyDescent="0.25">
      <c r="A4179"/>
      <c r="B4179" s="201">
        <v>0</v>
      </c>
      <c r="C4179">
        <v>0</v>
      </c>
      <c r="D4179" s="201">
        <v>0</v>
      </c>
      <c r="E4179" s="201">
        <v>0</v>
      </c>
      <c r="F4179">
        <v>0</v>
      </c>
      <c r="G4179">
        <v>0</v>
      </c>
      <c r="H4179">
        <v>0</v>
      </c>
      <c r="I4179">
        <v>0</v>
      </c>
      <c r="J4179">
        <v>0</v>
      </c>
      <c r="K4179" s="201">
        <v>0</v>
      </c>
    </row>
    <row r="4180" spans="1:11" x14ac:dyDescent="0.25">
      <c r="A4180"/>
      <c r="B4180" s="201">
        <v>0</v>
      </c>
      <c r="C4180">
        <v>0</v>
      </c>
      <c r="D4180" s="201">
        <v>0</v>
      </c>
      <c r="E4180" s="201">
        <v>0</v>
      </c>
      <c r="F4180">
        <v>0</v>
      </c>
      <c r="G4180">
        <v>0</v>
      </c>
      <c r="H4180">
        <v>0</v>
      </c>
      <c r="I4180">
        <v>0</v>
      </c>
      <c r="J4180">
        <v>0</v>
      </c>
      <c r="K4180" s="201">
        <v>0</v>
      </c>
    </row>
    <row r="4181" spans="1:11" x14ac:dyDescent="0.25">
      <c r="A4181"/>
      <c r="B4181" s="201">
        <v>0</v>
      </c>
      <c r="C4181">
        <v>0</v>
      </c>
      <c r="D4181" s="201">
        <v>0</v>
      </c>
      <c r="E4181" s="201">
        <v>0</v>
      </c>
      <c r="F4181">
        <v>0</v>
      </c>
      <c r="G4181">
        <v>0</v>
      </c>
      <c r="H4181">
        <v>0</v>
      </c>
      <c r="I4181">
        <v>0</v>
      </c>
      <c r="J4181">
        <v>0</v>
      </c>
      <c r="K4181" s="201">
        <v>0</v>
      </c>
    </row>
    <row r="4182" spans="1:11" x14ac:dyDescent="0.25">
      <c r="A4182"/>
      <c r="B4182" s="201">
        <v>0</v>
      </c>
      <c r="C4182">
        <v>0</v>
      </c>
      <c r="D4182" s="201">
        <v>0</v>
      </c>
      <c r="E4182" s="201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 s="201">
        <v>0</v>
      </c>
    </row>
    <row r="4183" spans="1:11" x14ac:dyDescent="0.25">
      <c r="A4183"/>
      <c r="B4183" s="201">
        <v>0</v>
      </c>
      <c r="C4183">
        <v>0</v>
      </c>
      <c r="D4183" s="201">
        <v>0</v>
      </c>
      <c r="E4183" s="201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 s="201">
        <v>0</v>
      </c>
    </row>
    <row r="4184" spans="1:11" x14ac:dyDescent="0.25">
      <c r="A4184"/>
      <c r="B4184" s="201">
        <v>0</v>
      </c>
      <c r="C4184">
        <v>0</v>
      </c>
      <c r="D4184" s="201">
        <v>0</v>
      </c>
      <c r="E4184" s="201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 s="201">
        <v>0</v>
      </c>
    </row>
    <row r="4185" spans="1:11" x14ac:dyDescent="0.25">
      <c r="A4185"/>
      <c r="B4185" s="201">
        <v>0</v>
      </c>
      <c r="C4185">
        <v>0</v>
      </c>
      <c r="D4185" s="201">
        <v>0</v>
      </c>
      <c r="E4185" s="201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 s="201">
        <v>0</v>
      </c>
    </row>
    <row r="4186" spans="1:11" x14ac:dyDescent="0.25">
      <c r="A4186"/>
      <c r="B4186" s="201">
        <v>0</v>
      </c>
      <c r="C4186">
        <v>0</v>
      </c>
      <c r="D4186" s="201">
        <v>0</v>
      </c>
      <c r="E4186" s="201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 s="201">
        <v>0</v>
      </c>
    </row>
    <row r="4187" spans="1:11" x14ac:dyDescent="0.25">
      <c r="A4187"/>
      <c r="B4187" s="201">
        <v>0</v>
      </c>
      <c r="C4187">
        <v>0</v>
      </c>
      <c r="D4187" s="201">
        <v>0</v>
      </c>
      <c r="E4187" s="201">
        <v>0</v>
      </c>
      <c r="F4187">
        <v>0</v>
      </c>
      <c r="G4187">
        <v>0</v>
      </c>
      <c r="H4187">
        <v>0</v>
      </c>
      <c r="I4187">
        <v>0</v>
      </c>
      <c r="J4187">
        <v>0</v>
      </c>
      <c r="K4187" s="201">
        <v>0</v>
      </c>
    </row>
    <row r="4188" spans="1:11" x14ac:dyDescent="0.25">
      <c r="A4188"/>
      <c r="B4188" s="201">
        <v>0</v>
      </c>
      <c r="C4188">
        <v>0</v>
      </c>
      <c r="D4188" s="201">
        <v>0</v>
      </c>
      <c r="E4188" s="201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 s="201">
        <v>0</v>
      </c>
    </row>
    <row r="4189" spans="1:11" x14ac:dyDescent="0.25">
      <c r="A4189"/>
      <c r="B4189" s="201">
        <v>0</v>
      </c>
      <c r="C4189">
        <v>0</v>
      </c>
      <c r="D4189" s="201">
        <v>0</v>
      </c>
      <c r="E4189" s="201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 s="201">
        <v>0</v>
      </c>
    </row>
    <row r="4190" spans="1:11" x14ac:dyDescent="0.25">
      <c r="A4190"/>
      <c r="B4190" s="201">
        <v>0</v>
      </c>
      <c r="C4190">
        <v>0</v>
      </c>
      <c r="D4190" s="201">
        <v>0</v>
      </c>
      <c r="E4190" s="201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 s="201">
        <v>0</v>
      </c>
    </row>
    <row r="4191" spans="1:11" x14ac:dyDescent="0.25">
      <c r="A4191"/>
      <c r="B4191" s="201">
        <v>0</v>
      </c>
      <c r="C4191">
        <v>0</v>
      </c>
      <c r="D4191" s="201">
        <v>0</v>
      </c>
      <c r="E4191" s="201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 s="201">
        <v>0</v>
      </c>
    </row>
    <row r="4192" spans="1:11" x14ac:dyDescent="0.25">
      <c r="A4192"/>
      <c r="B4192" s="201">
        <v>0</v>
      </c>
      <c r="C4192">
        <v>0</v>
      </c>
      <c r="D4192" s="201">
        <v>0</v>
      </c>
      <c r="E4192" s="201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 s="201">
        <v>0</v>
      </c>
    </row>
    <row r="4193" spans="1:11" x14ac:dyDescent="0.25">
      <c r="A4193"/>
      <c r="B4193" s="201">
        <v>0</v>
      </c>
      <c r="C4193">
        <v>0</v>
      </c>
      <c r="D4193" s="201">
        <v>0</v>
      </c>
      <c r="E4193" s="201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 s="201">
        <v>0</v>
      </c>
    </row>
    <row r="4194" spans="1:11" x14ac:dyDescent="0.25">
      <c r="A4194"/>
      <c r="B4194" s="201">
        <v>0</v>
      </c>
      <c r="C4194">
        <v>0</v>
      </c>
      <c r="D4194" s="201">
        <v>0</v>
      </c>
      <c r="E4194" s="201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 s="201">
        <v>0</v>
      </c>
    </row>
    <row r="4195" spans="1:11" x14ac:dyDescent="0.25">
      <c r="A4195"/>
      <c r="B4195" s="201">
        <v>0</v>
      </c>
      <c r="C4195">
        <v>0</v>
      </c>
      <c r="D4195" s="201">
        <v>0</v>
      </c>
      <c r="E4195" s="201">
        <v>0</v>
      </c>
      <c r="F4195">
        <v>0</v>
      </c>
      <c r="G4195">
        <v>0</v>
      </c>
      <c r="H4195">
        <v>0</v>
      </c>
      <c r="I4195">
        <v>0</v>
      </c>
      <c r="J4195">
        <v>0</v>
      </c>
      <c r="K4195" s="201">
        <v>0</v>
      </c>
    </row>
    <row r="4196" spans="1:11" x14ac:dyDescent="0.25">
      <c r="A4196"/>
      <c r="B4196" s="201">
        <v>0</v>
      </c>
      <c r="C4196">
        <v>0</v>
      </c>
      <c r="D4196" s="201">
        <v>0</v>
      </c>
      <c r="E4196" s="201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 s="201">
        <v>0</v>
      </c>
    </row>
    <row r="4197" spans="1:11" x14ac:dyDescent="0.25">
      <c r="A4197"/>
      <c r="B4197" s="201">
        <v>0</v>
      </c>
      <c r="C4197">
        <v>0</v>
      </c>
      <c r="D4197" s="201">
        <v>0</v>
      </c>
      <c r="E4197" s="201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 s="201">
        <v>0</v>
      </c>
    </row>
    <row r="4198" spans="1:11" x14ac:dyDescent="0.25">
      <c r="A4198"/>
      <c r="B4198" s="201">
        <v>0</v>
      </c>
      <c r="C4198">
        <v>0</v>
      </c>
      <c r="D4198" s="201">
        <v>0</v>
      </c>
      <c r="E4198" s="201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 s="201">
        <v>0</v>
      </c>
    </row>
    <row r="4199" spans="1:11" x14ac:dyDescent="0.25">
      <c r="A4199"/>
      <c r="B4199" s="201">
        <v>0</v>
      </c>
      <c r="C4199">
        <v>0</v>
      </c>
      <c r="D4199" s="201">
        <v>0</v>
      </c>
      <c r="E4199" s="201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 s="201">
        <v>0</v>
      </c>
    </row>
    <row r="4200" spans="1:11" x14ac:dyDescent="0.25">
      <c r="A4200"/>
      <c r="B4200" s="201">
        <v>0</v>
      </c>
      <c r="C4200">
        <v>0</v>
      </c>
      <c r="D4200" s="201">
        <v>0</v>
      </c>
      <c r="E4200" s="201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 s="201">
        <v>0</v>
      </c>
    </row>
    <row r="4201" spans="1:11" x14ac:dyDescent="0.25">
      <c r="A4201"/>
      <c r="B4201" s="201">
        <v>0</v>
      </c>
      <c r="C4201">
        <v>0</v>
      </c>
      <c r="D4201" s="201">
        <v>0</v>
      </c>
      <c r="E4201" s="201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 s="201">
        <v>0</v>
      </c>
    </row>
    <row r="4202" spans="1:11" x14ac:dyDescent="0.25">
      <c r="A4202"/>
      <c r="B4202" s="201">
        <v>0</v>
      </c>
      <c r="C4202">
        <v>0</v>
      </c>
      <c r="D4202" s="201">
        <v>0</v>
      </c>
      <c r="E4202" s="201">
        <v>0</v>
      </c>
      <c r="F4202">
        <v>0</v>
      </c>
      <c r="G4202">
        <v>0</v>
      </c>
      <c r="H4202">
        <v>0</v>
      </c>
      <c r="I4202">
        <v>0</v>
      </c>
      <c r="J4202">
        <v>0</v>
      </c>
      <c r="K4202" s="201">
        <v>0</v>
      </c>
    </row>
    <row r="4203" spans="1:11" x14ac:dyDescent="0.25">
      <c r="A4203"/>
      <c r="B4203" s="201">
        <v>0</v>
      </c>
      <c r="C4203">
        <v>0</v>
      </c>
      <c r="D4203" s="201">
        <v>0</v>
      </c>
      <c r="E4203" s="201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 s="201">
        <v>0</v>
      </c>
    </row>
    <row r="4204" spans="1:11" x14ac:dyDescent="0.25">
      <c r="A4204"/>
      <c r="B4204" s="201">
        <v>0</v>
      </c>
      <c r="C4204">
        <v>0</v>
      </c>
      <c r="D4204" s="201">
        <v>0</v>
      </c>
      <c r="E4204" s="201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 s="201">
        <v>0</v>
      </c>
    </row>
    <row r="4205" spans="1:11" x14ac:dyDescent="0.25">
      <c r="A4205"/>
      <c r="B4205" s="201">
        <v>0</v>
      </c>
      <c r="C4205">
        <v>0</v>
      </c>
      <c r="D4205" s="201">
        <v>0</v>
      </c>
      <c r="E4205" s="201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 s="201">
        <v>0</v>
      </c>
    </row>
    <row r="4206" spans="1:11" x14ac:dyDescent="0.25">
      <c r="A4206"/>
      <c r="B4206" s="201">
        <v>0</v>
      </c>
      <c r="C4206">
        <v>0</v>
      </c>
      <c r="D4206" s="201">
        <v>0</v>
      </c>
      <c r="E4206" s="201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 s="201">
        <v>0</v>
      </c>
    </row>
    <row r="4207" spans="1:11" x14ac:dyDescent="0.25">
      <c r="A4207"/>
      <c r="B4207" s="201">
        <v>0</v>
      </c>
      <c r="C4207">
        <v>0</v>
      </c>
      <c r="D4207" s="201">
        <v>0</v>
      </c>
      <c r="E4207" s="201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 s="201">
        <v>0</v>
      </c>
    </row>
    <row r="4208" spans="1:11" x14ac:dyDescent="0.25">
      <c r="A4208"/>
      <c r="B4208" s="201">
        <v>0</v>
      </c>
      <c r="C4208">
        <v>0</v>
      </c>
      <c r="D4208" s="201">
        <v>0</v>
      </c>
      <c r="E4208" s="201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 s="201">
        <v>0</v>
      </c>
    </row>
    <row r="4209" spans="1:11" x14ac:dyDescent="0.25">
      <c r="A4209"/>
      <c r="B4209" s="201">
        <v>0</v>
      </c>
      <c r="C4209">
        <v>0</v>
      </c>
      <c r="D4209" s="201">
        <v>0</v>
      </c>
      <c r="E4209" s="201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 s="201">
        <v>0</v>
      </c>
    </row>
    <row r="4210" spans="1:11" x14ac:dyDescent="0.25">
      <c r="A4210"/>
      <c r="B4210" s="201">
        <v>0</v>
      </c>
      <c r="C4210">
        <v>0</v>
      </c>
      <c r="D4210" s="201">
        <v>0</v>
      </c>
      <c r="E4210" s="201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 s="201">
        <v>0</v>
      </c>
    </row>
    <row r="4211" spans="1:11" x14ac:dyDescent="0.25">
      <c r="A4211"/>
      <c r="B4211" s="201">
        <v>0</v>
      </c>
      <c r="C4211">
        <v>0</v>
      </c>
      <c r="D4211" s="201">
        <v>0</v>
      </c>
      <c r="E4211" s="201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 s="201">
        <v>0</v>
      </c>
    </row>
    <row r="4212" spans="1:11" x14ac:dyDescent="0.25">
      <c r="A4212"/>
      <c r="B4212" s="201">
        <v>0</v>
      </c>
      <c r="C4212">
        <v>0</v>
      </c>
      <c r="D4212" s="201">
        <v>0</v>
      </c>
      <c r="E4212" s="201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 s="201">
        <v>0</v>
      </c>
    </row>
    <row r="4213" spans="1:11" x14ac:dyDescent="0.25">
      <c r="A4213"/>
      <c r="B4213" s="201">
        <v>0</v>
      </c>
      <c r="C4213">
        <v>0</v>
      </c>
      <c r="D4213" s="201">
        <v>0</v>
      </c>
      <c r="E4213" s="201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 s="201">
        <v>0</v>
      </c>
    </row>
    <row r="4214" spans="1:11" x14ac:dyDescent="0.25">
      <c r="A4214"/>
      <c r="B4214" s="201">
        <v>0</v>
      </c>
      <c r="C4214">
        <v>0</v>
      </c>
      <c r="D4214" s="201">
        <v>0</v>
      </c>
      <c r="E4214" s="201">
        <v>0</v>
      </c>
      <c r="F4214">
        <v>0</v>
      </c>
      <c r="G4214">
        <v>0</v>
      </c>
      <c r="H4214">
        <v>0</v>
      </c>
      <c r="I4214">
        <v>0</v>
      </c>
      <c r="J4214">
        <v>0</v>
      </c>
      <c r="K4214" s="201">
        <v>0</v>
      </c>
    </row>
    <row r="4215" spans="1:11" x14ac:dyDescent="0.25">
      <c r="A4215"/>
      <c r="B4215" s="201">
        <v>0</v>
      </c>
      <c r="C4215">
        <v>0</v>
      </c>
      <c r="D4215" s="201">
        <v>0</v>
      </c>
      <c r="E4215" s="201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 s="201">
        <v>0</v>
      </c>
    </row>
    <row r="4216" spans="1:11" x14ac:dyDescent="0.25">
      <c r="A4216"/>
      <c r="B4216" s="201">
        <v>0</v>
      </c>
      <c r="C4216">
        <v>0</v>
      </c>
      <c r="D4216" s="201">
        <v>0</v>
      </c>
      <c r="E4216" s="201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 s="201">
        <v>0</v>
      </c>
    </row>
    <row r="4217" spans="1:11" x14ac:dyDescent="0.25">
      <c r="A4217"/>
      <c r="B4217" s="201">
        <v>0</v>
      </c>
      <c r="C4217">
        <v>0</v>
      </c>
      <c r="D4217" s="201">
        <v>0</v>
      </c>
      <c r="E4217" s="201">
        <v>0</v>
      </c>
      <c r="F4217">
        <v>0</v>
      </c>
      <c r="G4217">
        <v>0</v>
      </c>
      <c r="H4217">
        <v>0</v>
      </c>
      <c r="I4217">
        <v>0</v>
      </c>
      <c r="J4217">
        <v>0</v>
      </c>
      <c r="K4217" s="201">
        <v>0</v>
      </c>
    </row>
    <row r="4218" spans="1:11" x14ac:dyDescent="0.25">
      <c r="A4218"/>
      <c r="B4218" s="201">
        <v>0</v>
      </c>
      <c r="C4218">
        <v>0</v>
      </c>
      <c r="D4218" s="201">
        <v>0</v>
      </c>
      <c r="E4218" s="201">
        <v>0</v>
      </c>
      <c r="F4218">
        <v>0</v>
      </c>
      <c r="G4218">
        <v>0</v>
      </c>
      <c r="H4218">
        <v>0</v>
      </c>
      <c r="I4218">
        <v>0</v>
      </c>
      <c r="J4218">
        <v>0</v>
      </c>
      <c r="K4218" s="201">
        <v>0</v>
      </c>
    </row>
    <row r="4219" spans="1:11" x14ac:dyDescent="0.25">
      <c r="A4219"/>
      <c r="B4219" s="201">
        <v>0</v>
      </c>
      <c r="C4219">
        <v>0</v>
      </c>
      <c r="D4219" s="201">
        <v>0</v>
      </c>
      <c r="E4219" s="201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 s="201">
        <v>0</v>
      </c>
    </row>
    <row r="4220" spans="1:11" x14ac:dyDescent="0.25">
      <c r="A4220"/>
      <c r="B4220" s="201">
        <v>0</v>
      </c>
      <c r="C4220">
        <v>0</v>
      </c>
      <c r="D4220" s="201">
        <v>0</v>
      </c>
      <c r="E4220" s="201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 s="201">
        <v>0</v>
      </c>
    </row>
    <row r="4221" spans="1:11" x14ac:dyDescent="0.25">
      <c r="A4221"/>
      <c r="B4221" s="201">
        <v>0</v>
      </c>
      <c r="C4221">
        <v>0</v>
      </c>
      <c r="D4221" s="201">
        <v>0</v>
      </c>
      <c r="E4221" s="20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 s="201">
        <v>0</v>
      </c>
    </row>
    <row r="4222" spans="1:11" x14ac:dyDescent="0.25">
      <c r="A4222"/>
      <c r="B4222" s="201">
        <v>0</v>
      </c>
      <c r="C4222">
        <v>0</v>
      </c>
      <c r="D4222" s="201">
        <v>0</v>
      </c>
      <c r="E4222" s="201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 s="201">
        <v>0</v>
      </c>
    </row>
    <row r="4223" spans="1:11" x14ac:dyDescent="0.25">
      <c r="A4223"/>
      <c r="B4223" s="201">
        <v>0</v>
      </c>
      <c r="C4223">
        <v>0</v>
      </c>
      <c r="D4223" s="201">
        <v>0</v>
      </c>
      <c r="E4223" s="201">
        <v>0</v>
      </c>
      <c r="F4223">
        <v>0</v>
      </c>
      <c r="G4223">
        <v>0</v>
      </c>
      <c r="H4223">
        <v>0</v>
      </c>
      <c r="I4223">
        <v>0</v>
      </c>
      <c r="J4223">
        <v>0</v>
      </c>
      <c r="K4223" s="201">
        <v>0</v>
      </c>
    </row>
    <row r="4224" spans="1:11" x14ac:dyDescent="0.25">
      <c r="A4224"/>
      <c r="B4224" s="201">
        <v>0</v>
      </c>
      <c r="C4224">
        <v>0</v>
      </c>
      <c r="D4224" s="201">
        <v>0</v>
      </c>
      <c r="E4224" s="201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 s="201">
        <v>0</v>
      </c>
    </row>
    <row r="4225" spans="1:11" x14ac:dyDescent="0.25">
      <c r="A4225"/>
      <c r="B4225" s="201">
        <v>0</v>
      </c>
      <c r="C4225">
        <v>0</v>
      </c>
      <c r="D4225" s="201">
        <v>0</v>
      </c>
      <c r="E4225" s="201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 s="201">
        <v>0</v>
      </c>
    </row>
    <row r="4226" spans="1:11" x14ac:dyDescent="0.25">
      <c r="A4226"/>
      <c r="B4226" s="201">
        <v>0</v>
      </c>
      <c r="C4226">
        <v>0</v>
      </c>
      <c r="D4226" s="201">
        <v>0</v>
      </c>
      <c r="E4226" s="201">
        <v>0</v>
      </c>
      <c r="F4226">
        <v>0</v>
      </c>
      <c r="G4226">
        <v>0</v>
      </c>
      <c r="H4226">
        <v>0</v>
      </c>
      <c r="I4226">
        <v>0</v>
      </c>
      <c r="J4226">
        <v>0</v>
      </c>
      <c r="K4226" s="201">
        <v>0</v>
      </c>
    </row>
    <row r="4227" spans="1:11" x14ac:dyDescent="0.25">
      <c r="A4227"/>
      <c r="B4227" s="201">
        <v>0</v>
      </c>
      <c r="C4227">
        <v>0</v>
      </c>
      <c r="D4227" s="201">
        <v>0</v>
      </c>
      <c r="E4227" s="201">
        <v>0</v>
      </c>
      <c r="F4227">
        <v>0</v>
      </c>
      <c r="G4227">
        <v>0</v>
      </c>
      <c r="H4227">
        <v>0</v>
      </c>
      <c r="I4227">
        <v>0</v>
      </c>
      <c r="J4227">
        <v>0</v>
      </c>
      <c r="K4227" s="201">
        <v>0</v>
      </c>
    </row>
    <row r="4228" spans="1:11" x14ac:dyDescent="0.25">
      <c r="A4228"/>
      <c r="B4228" s="201">
        <v>0</v>
      </c>
      <c r="C4228">
        <v>0</v>
      </c>
      <c r="D4228" s="201">
        <v>0</v>
      </c>
      <c r="E4228" s="201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 s="201">
        <v>0</v>
      </c>
    </row>
    <row r="4229" spans="1:11" x14ac:dyDescent="0.25">
      <c r="A4229"/>
      <c r="B4229" s="201">
        <v>0</v>
      </c>
      <c r="C4229">
        <v>0</v>
      </c>
      <c r="D4229" s="201">
        <v>0</v>
      </c>
      <c r="E4229" s="201">
        <v>0</v>
      </c>
      <c r="F4229">
        <v>0</v>
      </c>
      <c r="G4229">
        <v>0</v>
      </c>
      <c r="H4229">
        <v>0</v>
      </c>
      <c r="I4229">
        <v>0</v>
      </c>
      <c r="J4229">
        <v>0</v>
      </c>
      <c r="K4229" s="201">
        <v>0</v>
      </c>
    </row>
    <row r="4230" spans="1:11" x14ac:dyDescent="0.25">
      <c r="A4230"/>
      <c r="B4230" s="201">
        <v>0</v>
      </c>
      <c r="C4230">
        <v>0</v>
      </c>
      <c r="D4230" s="201">
        <v>0</v>
      </c>
      <c r="E4230" s="201">
        <v>0</v>
      </c>
      <c r="F4230">
        <v>0</v>
      </c>
      <c r="G4230">
        <v>0</v>
      </c>
      <c r="H4230">
        <v>0</v>
      </c>
      <c r="I4230">
        <v>0</v>
      </c>
      <c r="J4230">
        <v>0</v>
      </c>
      <c r="K4230" s="201">
        <v>0</v>
      </c>
    </row>
    <row r="4231" spans="1:11" x14ac:dyDescent="0.25">
      <c r="A4231"/>
      <c r="B4231" s="201">
        <v>0</v>
      </c>
      <c r="C4231">
        <v>0</v>
      </c>
      <c r="D4231" s="201">
        <v>0</v>
      </c>
      <c r="E4231" s="201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 s="201">
        <v>0</v>
      </c>
    </row>
    <row r="4232" spans="1:11" x14ac:dyDescent="0.25">
      <c r="A4232"/>
      <c r="B4232" s="201">
        <v>0</v>
      </c>
      <c r="C4232">
        <v>0</v>
      </c>
      <c r="D4232" s="201">
        <v>0</v>
      </c>
      <c r="E4232" s="201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 s="201">
        <v>0</v>
      </c>
    </row>
    <row r="4233" spans="1:11" x14ac:dyDescent="0.25">
      <c r="A4233"/>
      <c r="B4233" s="201">
        <v>0</v>
      </c>
      <c r="C4233">
        <v>0</v>
      </c>
      <c r="D4233" s="201">
        <v>0</v>
      </c>
      <c r="E4233" s="201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 s="201">
        <v>0</v>
      </c>
    </row>
    <row r="4234" spans="1:11" x14ac:dyDescent="0.25">
      <c r="A4234"/>
      <c r="B4234" s="201">
        <v>0</v>
      </c>
      <c r="C4234">
        <v>0</v>
      </c>
      <c r="D4234" s="201">
        <v>0</v>
      </c>
      <c r="E4234" s="201">
        <v>0</v>
      </c>
      <c r="F4234">
        <v>0</v>
      </c>
      <c r="G4234">
        <v>0</v>
      </c>
      <c r="H4234">
        <v>0</v>
      </c>
      <c r="I4234">
        <v>0</v>
      </c>
      <c r="J4234">
        <v>0</v>
      </c>
      <c r="K4234" s="201">
        <v>0</v>
      </c>
    </row>
    <row r="4235" spans="1:11" x14ac:dyDescent="0.25">
      <c r="A4235"/>
      <c r="B4235" s="201">
        <v>0</v>
      </c>
      <c r="C4235">
        <v>0</v>
      </c>
      <c r="D4235" s="201">
        <v>0</v>
      </c>
      <c r="E4235" s="201">
        <v>0</v>
      </c>
      <c r="F4235">
        <v>0</v>
      </c>
      <c r="G4235">
        <v>0</v>
      </c>
      <c r="H4235">
        <v>0</v>
      </c>
      <c r="I4235">
        <v>0</v>
      </c>
      <c r="J4235">
        <v>0</v>
      </c>
      <c r="K4235" s="201">
        <v>0</v>
      </c>
    </row>
    <row r="4236" spans="1:11" x14ac:dyDescent="0.25">
      <c r="A4236"/>
      <c r="B4236" s="201">
        <v>0</v>
      </c>
      <c r="C4236">
        <v>0</v>
      </c>
      <c r="D4236" s="201">
        <v>0</v>
      </c>
      <c r="E4236" s="201">
        <v>0</v>
      </c>
      <c r="F4236">
        <v>0</v>
      </c>
      <c r="G4236">
        <v>0</v>
      </c>
      <c r="H4236">
        <v>0</v>
      </c>
      <c r="I4236">
        <v>0</v>
      </c>
      <c r="J4236">
        <v>0</v>
      </c>
      <c r="K4236" s="201">
        <v>0</v>
      </c>
    </row>
    <row r="4237" spans="1:11" x14ac:dyDescent="0.25">
      <c r="A4237"/>
      <c r="B4237" s="201">
        <v>0</v>
      </c>
      <c r="C4237">
        <v>0</v>
      </c>
      <c r="D4237" s="201">
        <v>0</v>
      </c>
      <c r="E4237" s="201">
        <v>0</v>
      </c>
      <c r="F4237">
        <v>0</v>
      </c>
      <c r="G4237">
        <v>0</v>
      </c>
      <c r="H4237">
        <v>0</v>
      </c>
      <c r="I4237">
        <v>0</v>
      </c>
      <c r="J4237">
        <v>0</v>
      </c>
      <c r="K4237" s="201">
        <v>0</v>
      </c>
    </row>
    <row r="4238" spans="1:11" x14ac:dyDescent="0.25">
      <c r="A4238"/>
      <c r="B4238" s="201">
        <v>0</v>
      </c>
      <c r="C4238">
        <v>0</v>
      </c>
      <c r="D4238" s="201">
        <v>0</v>
      </c>
      <c r="E4238" s="201">
        <v>0</v>
      </c>
      <c r="F4238">
        <v>0</v>
      </c>
      <c r="G4238">
        <v>0</v>
      </c>
      <c r="H4238">
        <v>0</v>
      </c>
      <c r="I4238">
        <v>0</v>
      </c>
      <c r="J4238">
        <v>0</v>
      </c>
      <c r="K4238" s="201">
        <v>0</v>
      </c>
    </row>
    <row r="4239" spans="1:11" x14ac:dyDescent="0.25">
      <c r="A4239"/>
      <c r="B4239" s="201">
        <v>0</v>
      </c>
      <c r="C4239">
        <v>0</v>
      </c>
      <c r="D4239" s="201">
        <v>0</v>
      </c>
      <c r="E4239" s="201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 s="201">
        <v>0</v>
      </c>
    </row>
    <row r="4240" spans="1:11" x14ac:dyDescent="0.25">
      <c r="A4240"/>
      <c r="B4240" s="201">
        <v>0</v>
      </c>
      <c r="C4240">
        <v>0</v>
      </c>
      <c r="D4240" s="201">
        <v>0</v>
      </c>
      <c r="E4240" s="201">
        <v>0</v>
      </c>
      <c r="F4240">
        <v>0</v>
      </c>
      <c r="G4240">
        <v>0</v>
      </c>
      <c r="H4240">
        <v>0</v>
      </c>
      <c r="I4240">
        <v>0</v>
      </c>
      <c r="J4240">
        <v>0</v>
      </c>
      <c r="K4240" s="201">
        <v>0</v>
      </c>
    </row>
    <row r="4241" spans="1:11" x14ac:dyDescent="0.25">
      <c r="A4241"/>
      <c r="B4241" s="201">
        <v>0</v>
      </c>
      <c r="C4241">
        <v>0</v>
      </c>
      <c r="D4241" s="201">
        <v>0</v>
      </c>
      <c r="E4241" s="201">
        <v>0</v>
      </c>
      <c r="F4241">
        <v>0</v>
      </c>
      <c r="G4241">
        <v>0</v>
      </c>
      <c r="H4241">
        <v>0</v>
      </c>
      <c r="I4241">
        <v>0</v>
      </c>
      <c r="J4241">
        <v>0</v>
      </c>
      <c r="K4241" s="201">
        <v>0</v>
      </c>
    </row>
    <row r="4242" spans="1:11" x14ac:dyDescent="0.25">
      <c r="A4242"/>
      <c r="B4242" s="201">
        <v>0</v>
      </c>
      <c r="C4242">
        <v>0</v>
      </c>
      <c r="D4242" s="201">
        <v>0</v>
      </c>
      <c r="E4242" s="201">
        <v>0</v>
      </c>
      <c r="F4242">
        <v>0</v>
      </c>
      <c r="G4242">
        <v>0</v>
      </c>
      <c r="H4242">
        <v>0</v>
      </c>
      <c r="I4242">
        <v>0</v>
      </c>
      <c r="J4242">
        <v>0</v>
      </c>
      <c r="K4242" s="201">
        <v>0</v>
      </c>
    </row>
    <row r="4243" spans="1:11" x14ac:dyDescent="0.25">
      <c r="A4243"/>
      <c r="B4243" s="201">
        <v>0</v>
      </c>
      <c r="C4243">
        <v>0</v>
      </c>
      <c r="D4243" s="201">
        <v>0</v>
      </c>
      <c r="E4243" s="201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 s="201">
        <v>0</v>
      </c>
    </row>
    <row r="4244" spans="1:11" x14ac:dyDescent="0.25">
      <c r="A4244"/>
      <c r="B4244" s="201">
        <v>0</v>
      </c>
      <c r="C4244">
        <v>0</v>
      </c>
      <c r="D4244" s="201">
        <v>0</v>
      </c>
      <c r="E4244" s="201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 s="201">
        <v>0</v>
      </c>
    </row>
    <row r="4245" spans="1:11" x14ac:dyDescent="0.25">
      <c r="A4245"/>
      <c r="B4245" s="201">
        <v>0</v>
      </c>
      <c r="C4245">
        <v>0</v>
      </c>
      <c r="D4245" s="201">
        <v>0</v>
      </c>
      <c r="E4245" s="201">
        <v>0</v>
      </c>
      <c r="F4245">
        <v>0</v>
      </c>
      <c r="G4245">
        <v>0</v>
      </c>
      <c r="H4245">
        <v>0</v>
      </c>
      <c r="I4245">
        <v>0</v>
      </c>
      <c r="J4245">
        <v>0</v>
      </c>
      <c r="K4245" s="201">
        <v>0</v>
      </c>
    </row>
    <row r="4246" spans="1:11" x14ac:dyDescent="0.25">
      <c r="A4246"/>
      <c r="B4246" s="201">
        <v>0</v>
      </c>
      <c r="C4246">
        <v>0</v>
      </c>
      <c r="D4246" s="201">
        <v>0</v>
      </c>
      <c r="E4246" s="201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 s="201">
        <v>0</v>
      </c>
    </row>
    <row r="4247" spans="1:11" x14ac:dyDescent="0.25">
      <c r="A4247"/>
      <c r="B4247" s="201">
        <v>0</v>
      </c>
      <c r="C4247">
        <v>0</v>
      </c>
      <c r="D4247" s="201">
        <v>0</v>
      </c>
      <c r="E4247" s="201">
        <v>0</v>
      </c>
      <c r="F4247">
        <v>0</v>
      </c>
      <c r="G4247">
        <v>0</v>
      </c>
      <c r="H4247">
        <v>0</v>
      </c>
      <c r="I4247">
        <v>0</v>
      </c>
      <c r="J4247">
        <v>0</v>
      </c>
      <c r="K4247" s="201">
        <v>0</v>
      </c>
    </row>
    <row r="4248" spans="1:11" x14ac:dyDescent="0.25">
      <c r="A4248"/>
      <c r="B4248" s="201">
        <v>0</v>
      </c>
      <c r="C4248">
        <v>0</v>
      </c>
      <c r="D4248" s="201">
        <v>0</v>
      </c>
      <c r="E4248" s="201">
        <v>0</v>
      </c>
      <c r="F4248">
        <v>0</v>
      </c>
      <c r="G4248">
        <v>0</v>
      </c>
      <c r="H4248">
        <v>0</v>
      </c>
      <c r="I4248">
        <v>0</v>
      </c>
      <c r="J4248">
        <v>0</v>
      </c>
      <c r="K4248" s="201">
        <v>0</v>
      </c>
    </row>
    <row r="4249" spans="1:11" x14ac:dyDescent="0.25">
      <c r="A4249"/>
      <c r="B4249" s="201">
        <v>0</v>
      </c>
      <c r="C4249">
        <v>0</v>
      </c>
      <c r="D4249" s="201">
        <v>0</v>
      </c>
      <c r="E4249" s="201">
        <v>0</v>
      </c>
      <c r="F4249">
        <v>0</v>
      </c>
      <c r="G4249">
        <v>0</v>
      </c>
      <c r="H4249">
        <v>0</v>
      </c>
      <c r="I4249">
        <v>0</v>
      </c>
      <c r="J4249">
        <v>0</v>
      </c>
      <c r="K4249" s="201">
        <v>0</v>
      </c>
    </row>
    <row r="4250" spans="1:11" x14ac:dyDescent="0.25">
      <c r="A4250"/>
      <c r="B4250" s="201">
        <v>0</v>
      </c>
      <c r="C4250">
        <v>0</v>
      </c>
      <c r="D4250" s="201">
        <v>0</v>
      </c>
      <c r="E4250" s="201">
        <v>0</v>
      </c>
      <c r="F4250">
        <v>0</v>
      </c>
      <c r="G4250">
        <v>0</v>
      </c>
      <c r="H4250">
        <v>0</v>
      </c>
      <c r="I4250">
        <v>0</v>
      </c>
      <c r="J4250">
        <v>0</v>
      </c>
      <c r="K4250" s="201">
        <v>0</v>
      </c>
    </row>
    <row r="4251" spans="1:11" x14ac:dyDescent="0.25">
      <c r="A4251"/>
      <c r="B4251" s="201">
        <v>0</v>
      </c>
      <c r="C4251">
        <v>0</v>
      </c>
      <c r="D4251" s="201">
        <v>0</v>
      </c>
      <c r="E4251" s="201">
        <v>0</v>
      </c>
      <c r="F4251">
        <v>0</v>
      </c>
      <c r="G4251">
        <v>0</v>
      </c>
      <c r="H4251">
        <v>0</v>
      </c>
      <c r="I4251">
        <v>0</v>
      </c>
      <c r="J4251">
        <v>0</v>
      </c>
      <c r="K4251" s="201">
        <v>0</v>
      </c>
    </row>
    <row r="4252" spans="1:11" x14ac:dyDescent="0.25">
      <c r="A4252"/>
      <c r="B4252" s="201">
        <v>0</v>
      </c>
      <c r="C4252">
        <v>0</v>
      </c>
      <c r="D4252" s="201">
        <v>0</v>
      </c>
      <c r="E4252" s="201">
        <v>0</v>
      </c>
      <c r="F4252">
        <v>0</v>
      </c>
      <c r="G4252">
        <v>0</v>
      </c>
      <c r="H4252">
        <v>0</v>
      </c>
      <c r="I4252">
        <v>0</v>
      </c>
      <c r="J4252">
        <v>0</v>
      </c>
      <c r="K4252" s="201">
        <v>0</v>
      </c>
    </row>
    <row r="4253" spans="1:11" x14ac:dyDescent="0.25">
      <c r="A4253"/>
      <c r="B4253" s="201">
        <v>0</v>
      </c>
      <c r="C4253">
        <v>0</v>
      </c>
      <c r="D4253" s="201">
        <v>0</v>
      </c>
      <c r="E4253" s="201">
        <v>0</v>
      </c>
      <c r="F4253">
        <v>0</v>
      </c>
      <c r="G4253">
        <v>0</v>
      </c>
      <c r="H4253">
        <v>0</v>
      </c>
      <c r="I4253">
        <v>0</v>
      </c>
      <c r="J4253">
        <v>0</v>
      </c>
      <c r="K4253" s="201">
        <v>0</v>
      </c>
    </row>
    <row r="4254" spans="1:11" x14ac:dyDescent="0.25">
      <c r="A4254"/>
      <c r="B4254" s="201">
        <v>0</v>
      </c>
      <c r="C4254">
        <v>0</v>
      </c>
      <c r="D4254" s="201">
        <v>0</v>
      </c>
      <c r="E4254" s="201">
        <v>0</v>
      </c>
      <c r="F4254">
        <v>0</v>
      </c>
      <c r="G4254">
        <v>0</v>
      </c>
      <c r="H4254">
        <v>0</v>
      </c>
      <c r="I4254">
        <v>0</v>
      </c>
      <c r="J4254">
        <v>0</v>
      </c>
      <c r="K4254" s="201">
        <v>0</v>
      </c>
    </row>
    <row r="4255" spans="1:11" x14ac:dyDescent="0.25">
      <c r="A4255"/>
      <c r="B4255" s="201">
        <v>0</v>
      </c>
      <c r="C4255">
        <v>0</v>
      </c>
      <c r="D4255" s="201">
        <v>0</v>
      </c>
      <c r="E4255" s="201">
        <v>0</v>
      </c>
      <c r="F4255">
        <v>0</v>
      </c>
      <c r="G4255">
        <v>0</v>
      </c>
      <c r="H4255">
        <v>0</v>
      </c>
      <c r="I4255">
        <v>0</v>
      </c>
      <c r="J4255">
        <v>0</v>
      </c>
      <c r="K4255" s="201">
        <v>0</v>
      </c>
    </row>
    <row r="4256" spans="1:11" x14ac:dyDescent="0.25">
      <c r="A4256"/>
      <c r="B4256" s="201">
        <v>0</v>
      </c>
      <c r="C4256">
        <v>0</v>
      </c>
      <c r="D4256" s="201">
        <v>0</v>
      </c>
      <c r="E4256" s="201">
        <v>0</v>
      </c>
      <c r="F4256">
        <v>0</v>
      </c>
      <c r="G4256">
        <v>0</v>
      </c>
      <c r="H4256">
        <v>0</v>
      </c>
      <c r="I4256">
        <v>0</v>
      </c>
      <c r="J4256">
        <v>0</v>
      </c>
      <c r="K4256" s="201">
        <v>0</v>
      </c>
    </row>
    <row r="4257" spans="1:11" x14ac:dyDescent="0.25">
      <c r="A4257"/>
      <c r="B4257" s="201">
        <v>0</v>
      </c>
      <c r="C4257">
        <v>0</v>
      </c>
      <c r="D4257" s="201">
        <v>0</v>
      </c>
      <c r="E4257" s="201">
        <v>0</v>
      </c>
      <c r="F4257">
        <v>0</v>
      </c>
      <c r="G4257">
        <v>0</v>
      </c>
      <c r="H4257">
        <v>0</v>
      </c>
      <c r="I4257">
        <v>0</v>
      </c>
      <c r="J4257">
        <v>0</v>
      </c>
      <c r="K4257" s="201">
        <v>0</v>
      </c>
    </row>
    <row r="4258" spans="1:11" x14ac:dyDescent="0.25">
      <c r="A4258"/>
      <c r="B4258" s="201">
        <v>0</v>
      </c>
      <c r="C4258">
        <v>0</v>
      </c>
      <c r="D4258" s="201">
        <v>0</v>
      </c>
      <c r="E4258" s="201">
        <v>0</v>
      </c>
      <c r="F4258">
        <v>0</v>
      </c>
      <c r="G4258">
        <v>0</v>
      </c>
      <c r="H4258">
        <v>0</v>
      </c>
      <c r="I4258">
        <v>0</v>
      </c>
      <c r="J4258">
        <v>0</v>
      </c>
      <c r="K4258" s="201">
        <v>0</v>
      </c>
    </row>
    <row r="4259" spans="1:11" x14ac:dyDescent="0.25">
      <c r="A4259"/>
      <c r="B4259" s="201">
        <v>0</v>
      </c>
      <c r="C4259">
        <v>0</v>
      </c>
      <c r="D4259" s="201">
        <v>0</v>
      </c>
      <c r="E4259" s="201">
        <v>0</v>
      </c>
      <c r="F4259">
        <v>0</v>
      </c>
      <c r="G4259">
        <v>0</v>
      </c>
      <c r="H4259">
        <v>0</v>
      </c>
      <c r="I4259">
        <v>0</v>
      </c>
      <c r="J4259">
        <v>0</v>
      </c>
      <c r="K4259" s="201">
        <v>0</v>
      </c>
    </row>
    <row r="4260" spans="1:11" x14ac:dyDescent="0.25">
      <c r="A4260"/>
      <c r="B4260" s="201">
        <v>0</v>
      </c>
      <c r="C4260">
        <v>0</v>
      </c>
      <c r="D4260" s="201">
        <v>0</v>
      </c>
      <c r="E4260" s="201">
        <v>0</v>
      </c>
      <c r="F4260">
        <v>0</v>
      </c>
      <c r="G4260">
        <v>0</v>
      </c>
      <c r="H4260">
        <v>0</v>
      </c>
      <c r="I4260">
        <v>0</v>
      </c>
      <c r="J4260">
        <v>0</v>
      </c>
      <c r="K4260" s="201">
        <v>0</v>
      </c>
    </row>
    <row r="4261" spans="1:11" x14ac:dyDescent="0.25">
      <c r="A4261"/>
      <c r="B4261" s="201">
        <v>0</v>
      </c>
      <c r="C4261">
        <v>0</v>
      </c>
      <c r="D4261" s="201">
        <v>0</v>
      </c>
      <c r="E4261" s="201">
        <v>0</v>
      </c>
      <c r="F4261">
        <v>0</v>
      </c>
      <c r="G4261">
        <v>0</v>
      </c>
      <c r="H4261">
        <v>0</v>
      </c>
      <c r="I4261">
        <v>0</v>
      </c>
      <c r="J4261">
        <v>0</v>
      </c>
      <c r="K4261" s="201">
        <v>0</v>
      </c>
    </row>
    <row r="4262" spans="1:11" x14ac:dyDescent="0.25">
      <c r="A4262"/>
      <c r="B4262" s="201">
        <v>0</v>
      </c>
      <c r="C4262">
        <v>0</v>
      </c>
      <c r="D4262" s="201">
        <v>0</v>
      </c>
      <c r="E4262" s="201">
        <v>0</v>
      </c>
      <c r="F4262">
        <v>0</v>
      </c>
      <c r="G4262">
        <v>0</v>
      </c>
      <c r="H4262">
        <v>0</v>
      </c>
      <c r="I4262">
        <v>0</v>
      </c>
      <c r="J4262">
        <v>0</v>
      </c>
      <c r="K4262" s="201">
        <v>0</v>
      </c>
    </row>
    <row r="4263" spans="1:11" x14ac:dyDescent="0.25">
      <c r="A4263"/>
      <c r="B4263" s="201">
        <v>0</v>
      </c>
      <c r="C4263">
        <v>0</v>
      </c>
      <c r="D4263" s="201">
        <v>0</v>
      </c>
      <c r="E4263" s="201">
        <v>0</v>
      </c>
      <c r="F4263">
        <v>0</v>
      </c>
      <c r="G4263">
        <v>0</v>
      </c>
      <c r="H4263">
        <v>0</v>
      </c>
      <c r="I4263">
        <v>0</v>
      </c>
      <c r="J4263">
        <v>0</v>
      </c>
      <c r="K4263" s="201">
        <v>0</v>
      </c>
    </row>
    <row r="4264" spans="1:11" x14ac:dyDescent="0.25">
      <c r="A4264"/>
      <c r="B4264" s="201">
        <v>0</v>
      </c>
      <c r="C4264">
        <v>0</v>
      </c>
      <c r="D4264" s="201">
        <v>0</v>
      </c>
      <c r="E4264" s="201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 s="201">
        <v>0</v>
      </c>
    </row>
    <row r="4265" spans="1:11" x14ac:dyDescent="0.25">
      <c r="A4265"/>
      <c r="B4265" s="201">
        <v>0</v>
      </c>
      <c r="C4265">
        <v>0</v>
      </c>
      <c r="D4265" s="201">
        <v>0</v>
      </c>
      <c r="E4265" s="201">
        <v>0</v>
      </c>
      <c r="F4265">
        <v>0</v>
      </c>
      <c r="G4265">
        <v>0</v>
      </c>
      <c r="H4265">
        <v>0</v>
      </c>
      <c r="I4265">
        <v>0</v>
      </c>
      <c r="J4265">
        <v>0</v>
      </c>
      <c r="K4265" s="201">
        <v>0</v>
      </c>
    </row>
    <row r="4266" spans="1:11" x14ac:dyDescent="0.25">
      <c r="A4266"/>
      <c r="B4266" s="201">
        <v>0</v>
      </c>
      <c r="C4266">
        <v>0</v>
      </c>
      <c r="D4266" s="201">
        <v>0</v>
      </c>
      <c r="E4266" s="201">
        <v>0</v>
      </c>
      <c r="F4266">
        <v>0</v>
      </c>
      <c r="G4266">
        <v>0</v>
      </c>
      <c r="H4266">
        <v>0</v>
      </c>
      <c r="I4266">
        <v>0</v>
      </c>
      <c r="J4266">
        <v>0</v>
      </c>
      <c r="K4266" s="201">
        <v>0</v>
      </c>
    </row>
    <row r="4267" spans="1:11" x14ac:dyDescent="0.25">
      <c r="A4267"/>
      <c r="B4267" s="201">
        <v>0</v>
      </c>
      <c r="C4267">
        <v>0</v>
      </c>
      <c r="D4267" s="201">
        <v>0</v>
      </c>
      <c r="E4267" s="201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 s="201">
        <v>0</v>
      </c>
    </row>
    <row r="4268" spans="1:11" x14ac:dyDescent="0.25">
      <c r="A4268"/>
      <c r="B4268" s="201">
        <v>0</v>
      </c>
      <c r="C4268">
        <v>0</v>
      </c>
      <c r="D4268" s="201">
        <v>0</v>
      </c>
      <c r="E4268" s="201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 s="201">
        <v>0</v>
      </c>
    </row>
    <row r="4269" spans="1:11" x14ac:dyDescent="0.25">
      <c r="A4269"/>
      <c r="B4269" s="201">
        <v>0</v>
      </c>
      <c r="C4269">
        <v>0</v>
      </c>
      <c r="D4269" s="201">
        <v>0</v>
      </c>
      <c r="E4269" s="201">
        <v>0</v>
      </c>
      <c r="F4269">
        <v>0</v>
      </c>
      <c r="G4269">
        <v>0</v>
      </c>
      <c r="H4269">
        <v>0</v>
      </c>
      <c r="I4269">
        <v>0</v>
      </c>
      <c r="J4269">
        <v>0</v>
      </c>
      <c r="K4269" s="201">
        <v>0</v>
      </c>
    </row>
    <row r="4270" spans="1:11" x14ac:dyDescent="0.25">
      <c r="A4270"/>
      <c r="B4270" s="201">
        <v>0</v>
      </c>
      <c r="C4270">
        <v>0</v>
      </c>
      <c r="D4270" s="201">
        <v>0</v>
      </c>
      <c r="E4270" s="201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 s="201">
        <v>0</v>
      </c>
    </row>
    <row r="4271" spans="1:11" x14ac:dyDescent="0.25">
      <c r="A4271"/>
      <c r="B4271" s="201">
        <v>0</v>
      </c>
      <c r="C4271">
        <v>0</v>
      </c>
      <c r="D4271" s="201">
        <v>0</v>
      </c>
      <c r="E4271" s="201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 s="201">
        <v>0</v>
      </c>
    </row>
    <row r="4272" spans="1:11" x14ac:dyDescent="0.25">
      <c r="A4272"/>
      <c r="B4272" s="201">
        <v>0</v>
      </c>
      <c r="C4272">
        <v>0</v>
      </c>
      <c r="D4272" s="201">
        <v>0</v>
      </c>
      <c r="E4272" s="201">
        <v>0</v>
      </c>
      <c r="F4272">
        <v>0</v>
      </c>
      <c r="G4272">
        <v>0</v>
      </c>
      <c r="H4272">
        <v>0</v>
      </c>
      <c r="I4272">
        <v>0</v>
      </c>
      <c r="J4272">
        <v>0</v>
      </c>
      <c r="K4272" s="201">
        <v>0</v>
      </c>
    </row>
    <row r="4273" spans="1:11" x14ac:dyDescent="0.25">
      <c r="A4273"/>
      <c r="B4273" s="201">
        <v>0</v>
      </c>
      <c r="C4273">
        <v>0</v>
      </c>
      <c r="D4273" s="201">
        <v>0</v>
      </c>
      <c r="E4273" s="201">
        <v>0</v>
      </c>
      <c r="F4273">
        <v>0</v>
      </c>
      <c r="G4273">
        <v>0</v>
      </c>
      <c r="H4273">
        <v>0</v>
      </c>
      <c r="I4273">
        <v>0</v>
      </c>
      <c r="J4273">
        <v>0</v>
      </c>
      <c r="K4273" s="201">
        <v>0</v>
      </c>
    </row>
    <row r="4274" spans="1:11" x14ac:dyDescent="0.25">
      <c r="A4274"/>
      <c r="B4274" s="201">
        <v>0</v>
      </c>
      <c r="C4274">
        <v>0</v>
      </c>
      <c r="D4274" s="201">
        <v>0</v>
      </c>
      <c r="E4274" s="201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 s="201">
        <v>0</v>
      </c>
    </row>
    <row r="4275" spans="1:11" x14ac:dyDescent="0.25">
      <c r="A4275"/>
      <c r="B4275" s="201">
        <v>0</v>
      </c>
      <c r="C4275">
        <v>0</v>
      </c>
      <c r="D4275" s="201">
        <v>0</v>
      </c>
      <c r="E4275" s="201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 s="201">
        <v>0</v>
      </c>
    </row>
    <row r="4276" spans="1:11" x14ac:dyDescent="0.25">
      <c r="A4276"/>
      <c r="B4276" s="201">
        <v>0</v>
      </c>
      <c r="C4276">
        <v>0</v>
      </c>
      <c r="D4276" s="201">
        <v>0</v>
      </c>
      <c r="E4276" s="201">
        <v>0</v>
      </c>
      <c r="F4276">
        <v>0</v>
      </c>
      <c r="G4276">
        <v>0</v>
      </c>
      <c r="H4276">
        <v>0</v>
      </c>
      <c r="I4276">
        <v>0</v>
      </c>
      <c r="J4276">
        <v>0</v>
      </c>
      <c r="K4276" s="201">
        <v>0</v>
      </c>
    </row>
    <row r="4277" spans="1:11" x14ac:dyDescent="0.25">
      <c r="A4277"/>
      <c r="B4277" s="201">
        <v>0</v>
      </c>
      <c r="C4277">
        <v>0</v>
      </c>
      <c r="D4277" s="201">
        <v>0</v>
      </c>
      <c r="E4277" s="201">
        <v>0</v>
      </c>
      <c r="F4277">
        <v>0</v>
      </c>
      <c r="G4277">
        <v>0</v>
      </c>
      <c r="H4277">
        <v>0</v>
      </c>
      <c r="I4277">
        <v>0</v>
      </c>
      <c r="J4277">
        <v>0</v>
      </c>
      <c r="K4277" s="201">
        <v>0</v>
      </c>
    </row>
    <row r="4278" spans="1:11" x14ac:dyDescent="0.25">
      <c r="A4278"/>
      <c r="B4278" s="201">
        <v>0</v>
      </c>
      <c r="C4278">
        <v>0</v>
      </c>
      <c r="D4278" s="201">
        <v>0</v>
      </c>
      <c r="E4278" s="201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 s="201">
        <v>0</v>
      </c>
    </row>
    <row r="4279" spans="1:11" x14ac:dyDescent="0.25">
      <c r="A4279"/>
      <c r="B4279" s="201">
        <v>0</v>
      </c>
      <c r="C4279">
        <v>0</v>
      </c>
      <c r="D4279" s="201">
        <v>0</v>
      </c>
      <c r="E4279" s="201">
        <v>0</v>
      </c>
      <c r="F4279">
        <v>0</v>
      </c>
      <c r="G4279">
        <v>0</v>
      </c>
      <c r="H4279">
        <v>0</v>
      </c>
      <c r="I4279">
        <v>0</v>
      </c>
      <c r="J4279">
        <v>0</v>
      </c>
      <c r="K4279" s="201">
        <v>0</v>
      </c>
    </row>
    <row r="4280" spans="1:11" x14ac:dyDescent="0.25">
      <c r="A4280"/>
      <c r="B4280" s="201">
        <v>0</v>
      </c>
      <c r="C4280">
        <v>0</v>
      </c>
      <c r="D4280" s="201">
        <v>0</v>
      </c>
      <c r="E4280" s="201">
        <v>0</v>
      </c>
      <c r="F4280">
        <v>0</v>
      </c>
      <c r="G4280">
        <v>0</v>
      </c>
      <c r="H4280">
        <v>0</v>
      </c>
      <c r="I4280">
        <v>0</v>
      </c>
      <c r="J4280">
        <v>0</v>
      </c>
      <c r="K4280" s="201">
        <v>0</v>
      </c>
    </row>
    <row r="4281" spans="1:11" x14ac:dyDescent="0.25">
      <c r="A4281"/>
      <c r="B4281" s="201">
        <v>0</v>
      </c>
      <c r="C4281">
        <v>0</v>
      </c>
      <c r="D4281" s="201">
        <v>0</v>
      </c>
      <c r="E4281" s="201">
        <v>0</v>
      </c>
      <c r="F4281">
        <v>0</v>
      </c>
      <c r="G4281">
        <v>0</v>
      </c>
      <c r="H4281">
        <v>0</v>
      </c>
      <c r="I4281">
        <v>0</v>
      </c>
      <c r="J4281">
        <v>0</v>
      </c>
      <c r="K4281" s="201">
        <v>0</v>
      </c>
    </row>
    <row r="4282" spans="1:11" x14ac:dyDescent="0.25">
      <c r="A4282"/>
      <c r="B4282" s="201">
        <v>0</v>
      </c>
      <c r="C4282">
        <v>0</v>
      </c>
      <c r="D4282" s="201">
        <v>0</v>
      </c>
      <c r="E4282" s="201">
        <v>0</v>
      </c>
      <c r="F4282">
        <v>0</v>
      </c>
      <c r="G4282">
        <v>0</v>
      </c>
      <c r="H4282">
        <v>0</v>
      </c>
      <c r="I4282">
        <v>0</v>
      </c>
      <c r="J4282">
        <v>0</v>
      </c>
      <c r="K4282" s="201">
        <v>0</v>
      </c>
    </row>
    <row r="4283" spans="1:11" x14ac:dyDescent="0.25">
      <c r="A4283"/>
      <c r="B4283" s="201">
        <v>0</v>
      </c>
      <c r="C4283">
        <v>0</v>
      </c>
      <c r="D4283" s="201">
        <v>0</v>
      </c>
      <c r="E4283" s="201">
        <v>0</v>
      </c>
      <c r="F4283">
        <v>0</v>
      </c>
      <c r="G4283">
        <v>0</v>
      </c>
      <c r="H4283">
        <v>0</v>
      </c>
      <c r="I4283">
        <v>0</v>
      </c>
      <c r="J4283">
        <v>0</v>
      </c>
      <c r="K4283" s="201">
        <v>0</v>
      </c>
    </row>
    <row r="4284" spans="1:11" x14ac:dyDescent="0.25">
      <c r="A4284"/>
      <c r="B4284" s="201">
        <v>0</v>
      </c>
      <c r="C4284">
        <v>-1252</v>
      </c>
      <c r="D4284" s="201">
        <v>75</v>
      </c>
      <c r="E4284" s="201">
        <v>-615</v>
      </c>
      <c r="F4284">
        <v>137</v>
      </c>
      <c r="G4284">
        <v>-636</v>
      </c>
      <c r="H4284">
        <v>0</v>
      </c>
      <c r="I4284">
        <v>0</v>
      </c>
      <c r="J4284">
        <v>-248</v>
      </c>
      <c r="K4284" s="201">
        <v>0</v>
      </c>
    </row>
    <row r="4285" spans="1:11" x14ac:dyDescent="0.25">
      <c r="A4285"/>
      <c r="B4285" s="201">
        <v>0</v>
      </c>
      <c r="C4285">
        <v>0</v>
      </c>
      <c r="D4285" s="201">
        <v>185</v>
      </c>
      <c r="E4285" s="201">
        <v>-192</v>
      </c>
      <c r="F4285">
        <v>0</v>
      </c>
      <c r="G4285">
        <v>0</v>
      </c>
      <c r="H4285">
        <v>0</v>
      </c>
      <c r="I4285">
        <v>0</v>
      </c>
      <c r="J4285">
        <v>0</v>
      </c>
      <c r="K4285" s="201">
        <v>0</v>
      </c>
    </row>
    <row r="4286" spans="1:11" x14ac:dyDescent="0.25">
      <c r="A4286"/>
      <c r="B4286" s="201">
        <v>-4290</v>
      </c>
      <c r="C4286">
        <v>0</v>
      </c>
      <c r="D4286" s="201">
        <v>0</v>
      </c>
      <c r="E4286" s="201">
        <v>-1170</v>
      </c>
      <c r="F4286">
        <v>0</v>
      </c>
      <c r="G4286">
        <v>1055</v>
      </c>
      <c r="H4286">
        <v>0</v>
      </c>
      <c r="I4286">
        <v>6409</v>
      </c>
      <c r="J4286">
        <v>1591</v>
      </c>
      <c r="K4286" s="201">
        <v>635</v>
      </c>
    </row>
    <row r="4287" spans="1:11" x14ac:dyDescent="0.25">
      <c r="A4287"/>
      <c r="B4287" s="201">
        <v>0</v>
      </c>
      <c r="C4287">
        <v>234</v>
      </c>
      <c r="D4287" s="201">
        <v>102</v>
      </c>
      <c r="E4287" s="201">
        <v>-248</v>
      </c>
      <c r="F4287">
        <v>-516</v>
      </c>
      <c r="G4287">
        <v>-327</v>
      </c>
      <c r="H4287">
        <v>-352</v>
      </c>
      <c r="I4287">
        <v>0</v>
      </c>
      <c r="J4287">
        <v>95</v>
      </c>
      <c r="K4287" s="201">
        <v>0</v>
      </c>
    </row>
    <row r="4288" spans="1:11" x14ac:dyDescent="0.25">
      <c r="A4288"/>
      <c r="B4288" s="201">
        <v>0</v>
      </c>
      <c r="C4288">
        <v>0</v>
      </c>
      <c r="D4288" s="201">
        <v>0</v>
      </c>
      <c r="E4288" s="201">
        <v>0</v>
      </c>
      <c r="F4288">
        <v>26</v>
      </c>
      <c r="G4288">
        <v>0</v>
      </c>
      <c r="H4288">
        <v>0</v>
      </c>
      <c r="I4288">
        <v>0</v>
      </c>
      <c r="J4288">
        <v>39</v>
      </c>
      <c r="K4288" s="201">
        <v>0</v>
      </c>
    </row>
    <row r="4289" spans="1:11" x14ac:dyDescent="0.25">
      <c r="A4289"/>
      <c r="B4289" s="201">
        <v>34</v>
      </c>
      <c r="C4289">
        <v>0</v>
      </c>
      <c r="D4289" s="201">
        <v>0</v>
      </c>
      <c r="E4289" s="201">
        <v>0</v>
      </c>
      <c r="F4289">
        <v>0</v>
      </c>
      <c r="G4289">
        <v>0</v>
      </c>
      <c r="H4289">
        <v>95</v>
      </c>
      <c r="I4289">
        <v>0</v>
      </c>
      <c r="J4289">
        <v>610</v>
      </c>
      <c r="K4289" s="201">
        <v>117</v>
      </c>
    </row>
    <row r="4290" spans="1:11" x14ac:dyDescent="0.25">
      <c r="A4290"/>
      <c r="B4290" s="201">
        <v>0</v>
      </c>
      <c r="C4290">
        <v>0</v>
      </c>
      <c r="D4290" s="201">
        <v>-22</v>
      </c>
      <c r="E4290" s="201">
        <v>-1663</v>
      </c>
      <c r="F4290">
        <v>0</v>
      </c>
      <c r="G4290">
        <v>5316</v>
      </c>
      <c r="H4290">
        <v>0</v>
      </c>
      <c r="I4290">
        <v>0</v>
      </c>
      <c r="J4290">
        <v>0</v>
      </c>
      <c r="K4290" s="201">
        <v>0</v>
      </c>
    </row>
    <row r="4291" spans="1:11" x14ac:dyDescent="0.25">
      <c r="A4291"/>
      <c r="B4291" s="201">
        <v>2072</v>
      </c>
      <c r="C4291">
        <v>-287</v>
      </c>
      <c r="D4291" s="201">
        <v>-236</v>
      </c>
      <c r="E4291" s="201">
        <v>0</v>
      </c>
      <c r="F4291">
        <v>0</v>
      </c>
      <c r="G4291">
        <v>380</v>
      </c>
      <c r="H4291">
        <v>-210</v>
      </c>
      <c r="I4291">
        <v>0</v>
      </c>
      <c r="J4291">
        <v>-50</v>
      </c>
      <c r="K4291" s="201">
        <v>751</v>
      </c>
    </row>
    <row r="4292" spans="1:11" x14ac:dyDescent="0.25">
      <c r="A4292"/>
      <c r="B4292" s="201">
        <v>232</v>
      </c>
      <c r="C4292">
        <v>-5</v>
      </c>
      <c r="D4292" s="201">
        <v>909</v>
      </c>
      <c r="E4292" s="201">
        <v>582</v>
      </c>
      <c r="F4292">
        <v>24</v>
      </c>
      <c r="G4292">
        <v>0</v>
      </c>
      <c r="H4292">
        <v>0</v>
      </c>
      <c r="I4292">
        <v>0</v>
      </c>
      <c r="J4292">
        <v>0</v>
      </c>
      <c r="K4292" s="201">
        <v>0</v>
      </c>
    </row>
    <row r="4293" spans="1:11" x14ac:dyDescent="0.25">
      <c r="A4293"/>
      <c r="B4293" s="201">
        <v>-248</v>
      </c>
      <c r="C4293">
        <v>0</v>
      </c>
      <c r="D4293" s="201">
        <v>1217</v>
      </c>
      <c r="E4293" s="201">
        <v>-281</v>
      </c>
      <c r="F4293">
        <v>478</v>
      </c>
      <c r="G4293">
        <v>0</v>
      </c>
      <c r="H4293">
        <v>35</v>
      </c>
      <c r="I4293">
        <v>-919</v>
      </c>
      <c r="J4293">
        <v>-1973</v>
      </c>
      <c r="K4293" s="201">
        <v>3474</v>
      </c>
    </row>
    <row r="4294" spans="1:11" x14ac:dyDescent="0.25">
      <c r="A4294"/>
      <c r="B4294" s="201">
        <v>99</v>
      </c>
      <c r="C4294">
        <v>0</v>
      </c>
      <c r="D4294" s="201">
        <v>38</v>
      </c>
      <c r="E4294" s="201">
        <v>240</v>
      </c>
      <c r="F4294">
        <v>2279</v>
      </c>
      <c r="G4294">
        <v>-119</v>
      </c>
      <c r="H4294">
        <v>0</v>
      </c>
      <c r="I4294">
        <v>44</v>
      </c>
      <c r="J4294">
        <v>-25</v>
      </c>
      <c r="K4294" s="201">
        <v>0</v>
      </c>
    </row>
    <row r="4295" spans="1:11" x14ac:dyDescent="0.25">
      <c r="A4295"/>
      <c r="B4295" s="201">
        <v>0</v>
      </c>
      <c r="C4295">
        <v>0</v>
      </c>
      <c r="D4295" s="201">
        <v>-82</v>
      </c>
      <c r="E4295" s="201">
        <v>662</v>
      </c>
      <c r="F4295">
        <v>0</v>
      </c>
      <c r="G4295">
        <v>-543</v>
      </c>
      <c r="H4295">
        <v>964</v>
      </c>
      <c r="I4295">
        <v>565</v>
      </c>
      <c r="J4295">
        <v>0</v>
      </c>
      <c r="K4295" s="201">
        <v>0</v>
      </c>
    </row>
    <row r="4296" spans="1:11" x14ac:dyDescent="0.25">
      <c r="A4296"/>
      <c r="B4296" s="201">
        <v>0</v>
      </c>
      <c r="C4296">
        <v>0</v>
      </c>
      <c r="D4296" s="201">
        <v>0</v>
      </c>
      <c r="E4296" s="201">
        <v>0</v>
      </c>
      <c r="F4296">
        <v>-397</v>
      </c>
      <c r="G4296">
        <v>0</v>
      </c>
      <c r="H4296">
        <v>347</v>
      </c>
      <c r="I4296">
        <v>-228</v>
      </c>
      <c r="J4296">
        <v>335</v>
      </c>
      <c r="K4296" s="201">
        <v>0</v>
      </c>
    </row>
    <row r="4297" spans="1:11" x14ac:dyDescent="0.25">
      <c r="A4297"/>
      <c r="B4297" s="201">
        <v>76</v>
      </c>
      <c r="C4297">
        <v>195</v>
      </c>
      <c r="D4297" s="201">
        <v>-2231</v>
      </c>
      <c r="E4297" s="201">
        <v>3547</v>
      </c>
      <c r="F4297">
        <v>-256</v>
      </c>
      <c r="G4297">
        <v>697</v>
      </c>
      <c r="H4297">
        <v>-125</v>
      </c>
      <c r="I4297">
        <v>-431</v>
      </c>
      <c r="J4297">
        <v>0</v>
      </c>
      <c r="K4297" s="201">
        <v>-202</v>
      </c>
    </row>
    <row r="4298" spans="1:11" x14ac:dyDescent="0.25">
      <c r="A4298"/>
      <c r="B4298" s="201">
        <v>0</v>
      </c>
      <c r="C4298">
        <v>0</v>
      </c>
      <c r="D4298" s="201">
        <v>117</v>
      </c>
      <c r="E4298" s="201">
        <v>270</v>
      </c>
      <c r="F4298">
        <v>0</v>
      </c>
      <c r="G4298">
        <v>314</v>
      </c>
      <c r="H4298">
        <v>0</v>
      </c>
      <c r="I4298">
        <v>0</v>
      </c>
      <c r="J4298">
        <v>-148</v>
      </c>
      <c r="K4298" s="201">
        <v>0</v>
      </c>
    </row>
    <row r="4299" spans="1:11" x14ac:dyDescent="0.25">
      <c r="A4299"/>
      <c r="B4299" s="201">
        <v>258</v>
      </c>
      <c r="C4299">
        <v>288</v>
      </c>
      <c r="D4299" s="201">
        <v>-489</v>
      </c>
      <c r="E4299" s="201">
        <v>0</v>
      </c>
      <c r="F4299">
        <v>0</v>
      </c>
      <c r="G4299">
        <v>0</v>
      </c>
      <c r="H4299">
        <v>0</v>
      </c>
      <c r="I4299">
        <v>0</v>
      </c>
      <c r="J4299">
        <v>-325</v>
      </c>
      <c r="K4299" s="201">
        <v>0</v>
      </c>
    </row>
    <row r="4300" spans="1:11" x14ac:dyDescent="0.25">
      <c r="A4300"/>
      <c r="B4300" s="201">
        <v>-1047</v>
      </c>
      <c r="C4300">
        <v>-231</v>
      </c>
      <c r="D4300" s="201">
        <v>745</v>
      </c>
      <c r="E4300" s="201">
        <v>0</v>
      </c>
      <c r="F4300">
        <v>127</v>
      </c>
      <c r="G4300">
        <v>-1090</v>
      </c>
      <c r="H4300">
        <v>-4454</v>
      </c>
      <c r="I4300">
        <v>0</v>
      </c>
      <c r="J4300">
        <v>0</v>
      </c>
      <c r="K4300" s="201">
        <v>0</v>
      </c>
    </row>
    <row r="4301" spans="1:11" x14ac:dyDescent="0.25">
      <c r="A4301"/>
      <c r="B4301" s="201">
        <v>-480</v>
      </c>
      <c r="C4301">
        <v>-386</v>
      </c>
      <c r="D4301" s="201">
        <v>1584</v>
      </c>
      <c r="E4301" s="201">
        <v>700</v>
      </c>
      <c r="F4301">
        <v>426</v>
      </c>
      <c r="G4301">
        <v>0</v>
      </c>
      <c r="H4301">
        <v>-216</v>
      </c>
      <c r="I4301">
        <v>0</v>
      </c>
      <c r="J4301">
        <v>0</v>
      </c>
      <c r="K4301" s="201">
        <v>1280</v>
      </c>
    </row>
    <row r="4302" spans="1:11" x14ac:dyDescent="0.25">
      <c r="A4302"/>
      <c r="B4302" s="201">
        <v>0</v>
      </c>
      <c r="C4302">
        <v>256</v>
      </c>
      <c r="D4302" s="201">
        <v>0</v>
      </c>
      <c r="E4302" s="201">
        <v>-1028</v>
      </c>
      <c r="F4302">
        <v>0</v>
      </c>
      <c r="G4302">
        <v>0</v>
      </c>
      <c r="H4302">
        <v>0</v>
      </c>
      <c r="I4302">
        <v>0</v>
      </c>
      <c r="J4302">
        <v>0</v>
      </c>
      <c r="K4302" s="201">
        <v>0</v>
      </c>
    </row>
    <row r="4303" spans="1:11" x14ac:dyDescent="0.25">
      <c r="A4303"/>
      <c r="B4303" s="201">
        <v>0</v>
      </c>
      <c r="C4303">
        <v>0</v>
      </c>
      <c r="D4303" s="201">
        <v>-219</v>
      </c>
      <c r="E4303" s="201">
        <v>0</v>
      </c>
      <c r="F4303">
        <v>646</v>
      </c>
      <c r="G4303">
        <v>-211</v>
      </c>
      <c r="H4303">
        <v>724</v>
      </c>
      <c r="I4303">
        <v>0</v>
      </c>
      <c r="J4303">
        <v>20</v>
      </c>
      <c r="K4303" s="201">
        <v>48</v>
      </c>
    </row>
    <row r="4304" spans="1:11" x14ac:dyDescent="0.25">
      <c r="A4304"/>
      <c r="B4304" s="201">
        <v>0</v>
      </c>
      <c r="C4304">
        <v>0</v>
      </c>
      <c r="D4304" s="201">
        <v>0</v>
      </c>
      <c r="E4304" s="201">
        <v>0</v>
      </c>
      <c r="F4304">
        <v>0</v>
      </c>
      <c r="G4304">
        <v>-754</v>
      </c>
      <c r="H4304">
        <v>120</v>
      </c>
      <c r="I4304">
        <v>280</v>
      </c>
      <c r="J4304">
        <v>296</v>
      </c>
      <c r="K4304" s="201">
        <v>229</v>
      </c>
    </row>
    <row r="4305" spans="1:11" x14ac:dyDescent="0.25">
      <c r="A4305"/>
      <c r="B4305" s="201">
        <v>543</v>
      </c>
      <c r="C4305">
        <v>0</v>
      </c>
      <c r="D4305" s="201">
        <v>0</v>
      </c>
      <c r="E4305" s="201">
        <v>0</v>
      </c>
      <c r="F4305">
        <v>0</v>
      </c>
      <c r="G4305">
        <v>-290</v>
      </c>
      <c r="H4305">
        <v>0</v>
      </c>
      <c r="I4305">
        <v>-118</v>
      </c>
      <c r="J4305">
        <v>0</v>
      </c>
      <c r="K4305" s="201">
        <v>0</v>
      </c>
    </row>
    <row r="4306" spans="1:11" x14ac:dyDescent="0.25">
      <c r="A4306"/>
      <c r="B4306" s="201">
        <v>-975</v>
      </c>
      <c r="C4306">
        <v>-12121</v>
      </c>
      <c r="D4306" s="201">
        <v>0</v>
      </c>
      <c r="E4306" s="201">
        <v>0</v>
      </c>
      <c r="F4306">
        <v>0</v>
      </c>
      <c r="G4306">
        <v>0</v>
      </c>
      <c r="H4306">
        <v>-128</v>
      </c>
      <c r="I4306">
        <v>0</v>
      </c>
      <c r="J4306">
        <v>84</v>
      </c>
      <c r="K4306" s="201">
        <v>175</v>
      </c>
    </row>
    <row r="4307" spans="1:11" x14ac:dyDescent="0.25">
      <c r="A4307"/>
      <c r="B4307" s="201">
        <v>152</v>
      </c>
      <c r="C4307">
        <v>2937</v>
      </c>
      <c r="D4307" s="201">
        <v>2819</v>
      </c>
      <c r="E4307" s="201">
        <v>-3068</v>
      </c>
      <c r="F4307">
        <v>-697</v>
      </c>
      <c r="G4307">
        <v>300</v>
      </c>
      <c r="H4307">
        <v>579</v>
      </c>
      <c r="I4307">
        <v>166</v>
      </c>
      <c r="J4307">
        <v>0</v>
      </c>
      <c r="K4307" s="201">
        <v>0</v>
      </c>
    </row>
    <row r="4308" spans="1:11" x14ac:dyDescent="0.25">
      <c r="A4308"/>
      <c r="B4308" s="201">
        <v>0</v>
      </c>
      <c r="C4308">
        <v>0</v>
      </c>
      <c r="D4308" s="201">
        <v>0</v>
      </c>
      <c r="E4308" s="201">
        <v>0</v>
      </c>
      <c r="F4308">
        <v>0</v>
      </c>
      <c r="G4308">
        <v>-124</v>
      </c>
      <c r="H4308">
        <v>28</v>
      </c>
      <c r="I4308">
        <v>-110</v>
      </c>
      <c r="J4308">
        <v>-56</v>
      </c>
      <c r="K4308" s="201">
        <v>557</v>
      </c>
    </row>
    <row r="4309" spans="1:11" x14ac:dyDescent="0.25">
      <c r="A4309"/>
      <c r="B4309" s="201">
        <v>-467</v>
      </c>
      <c r="C4309">
        <v>0</v>
      </c>
      <c r="D4309" s="201">
        <v>0</v>
      </c>
      <c r="E4309" s="201">
        <v>622</v>
      </c>
      <c r="F4309">
        <v>0</v>
      </c>
      <c r="G4309">
        <v>-10</v>
      </c>
      <c r="H4309">
        <v>961</v>
      </c>
      <c r="I4309">
        <v>0</v>
      </c>
      <c r="J4309">
        <v>0</v>
      </c>
      <c r="K4309" s="201">
        <v>0</v>
      </c>
    </row>
    <row r="4310" spans="1:11" x14ac:dyDescent="0.25">
      <c r="A4310"/>
      <c r="B4310" s="201">
        <v>0</v>
      </c>
      <c r="C4310">
        <v>12150</v>
      </c>
      <c r="D4310" s="201">
        <v>0</v>
      </c>
      <c r="E4310" s="201">
        <v>3507</v>
      </c>
      <c r="F4310">
        <v>5639</v>
      </c>
      <c r="G4310">
        <v>0</v>
      </c>
      <c r="H4310">
        <v>0</v>
      </c>
      <c r="I4310">
        <v>0</v>
      </c>
      <c r="J4310">
        <v>0</v>
      </c>
      <c r="K4310" s="201">
        <v>0</v>
      </c>
    </row>
    <row r="4311" spans="1:11" x14ac:dyDescent="0.25">
      <c r="A4311"/>
      <c r="B4311" s="201">
        <v>0</v>
      </c>
      <c r="C4311">
        <v>0</v>
      </c>
      <c r="D4311" s="201">
        <v>0</v>
      </c>
      <c r="E4311" s="20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 s="201">
        <v>0</v>
      </c>
    </row>
    <row r="4312" spans="1:11" x14ac:dyDescent="0.25">
      <c r="A4312"/>
      <c r="B4312" s="201">
        <v>0</v>
      </c>
      <c r="C4312">
        <v>0</v>
      </c>
      <c r="D4312" s="201">
        <v>0</v>
      </c>
      <c r="E4312" s="201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 s="201">
        <v>0</v>
      </c>
    </row>
    <row r="4313" spans="1:11" x14ac:dyDescent="0.25">
      <c r="A4313"/>
      <c r="B4313" s="201">
        <v>0</v>
      </c>
      <c r="C4313">
        <v>0</v>
      </c>
      <c r="D4313" s="201">
        <v>0</v>
      </c>
      <c r="E4313" s="201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 s="201">
        <v>0</v>
      </c>
    </row>
    <row r="4314" spans="1:11" x14ac:dyDescent="0.25">
      <c r="A4314"/>
      <c r="B4314" s="201">
        <v>0</v>
      </c>
      <c r="C4314">
        <v>0</v>
      </c>
      <c r="D4314" s="201">
        <v>0</v>
      </c>
      <c r="E4314" s="201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 s="201">
        <v>0</v>
      </c>
    </row>
    <row r="4315" spans="1:11" x14ac:dyDescent="0.25">
      <c r="A4315"/>
      <c r="B4315" s="201">
        <v>0</v>
      </c>
      <c r="C4315">
        <v>0</v>
      </c>
      <c r="D4315" s="201">
        <v>0</v>
      </c>
      <c r="E4315" s="201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 s="201">
        <v>0</v>
      </c>
    </row>
    <row r="4316" spans="1:11" x14ac:dyDescent="0.25">
      <c r="A4316"/>
      <c r="B4316" s="201">
        <v>0</v>
      </c>
      <c r="C4316">
        <v>0</v>
      </c>
      <c r="D4316" s="201">
        <v>0</v>
      </c>
      <c r="E4316" s="201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 s="201">
        <v>0</v>
      </c>
    </row>
    <row r="4317" spans="1:11" x14ac:dyDescent="0.25">
      <c r="A4317"/>
      <c r="B4317" s="201">
        <v>0</v>
      </c>
      <c r="C4317">
        <v>0</v>
      </c>
      <c r="D4317" s="201">
        <v>0</v>
      </c>
      <c r="E4317" s="201">
        <v>0</v>
      </c>
      <c r="F4317">
        <v>0</v>
      </c>
      <c r="G4317">
        <v>0</v>
      </c>
      <c r="H4317">
        <v>0</v>
      </c>
      <c r="I4317">
        <v>0</v>
      </c>
      <c r="J4317">
        <v>0</v>
      </c>
      <c r="K4317" s="201">
        <v>0</v>
      </c>
    </row>
    <row r="4318" spans="1:11" x14ac:dyDescent="0.25">
      <c r="A4318"/>
      <c r="B4318" s="201">
        <v>0</v>
      </c>
      <c r="C4318">
        <v>0</v>
      </c>
      <c r="D4318" s="201">
        <v>0</v>
      </c>
      <c r="E4318" s="201">
        <v>0</v>
      </c>
      <c r="F4318">
        <v>0</v>
      </c>
      <c r="G4318">
        <v>0</v>
      </c>
      <c r="H4318">
        <v>0</v>
      </c>
      <c r="I4318">
        <v>0</v>
      </c>
      <c r="J4318">
        <v>0</v>
      </c>
      <c r="K4318" s="201">
        <v>0</v>
      </c>
    </row>
    <row r="4319" spans="1:11" x14ac:dyDescent="0.25">
      <c r="A4319"/>
      <c r="B4319" s="201">
        <v>0</v>
      </c>
      <c r="C4319">
        <v>0</v>
      </c>
      <c r="D4319" s="201">
        <v>0</v>
      </c>
      <c r="E4319" s="201">
        <v>0</v>
      </c>
      <c r="F4319">
        <v>0</v>
      </c>
      <c r="G4319">
        <v>0</v>
      </c>
      <c r="H4319">
        <v>0</v>
      </c>
      <c r="I4319">
        <v>0</v>
      </c>
      <c r="J4319">
        <v>0</v>
      </c>
      <c r="K4319" s="201">
        <v>0</v>
      </c>
    </row>
    <row r="4320" spans="1:11" x14ac:dyDescent="0.25">
      <c r="A4320"/>
      <c r="B4320" s="201">
        <v>0</v>
      </c>
      <c r="C4320">
        <v>0</v>
      </c>
      <c r="D4320" s="201">
        <v>0</v>
      </c>
      <c r="E4320" s="201">
        <v>0</v>
      </c>
      <c r="F4320">
        <v>0</v>
      </c>
      <c r="G4320">
        <v>0</v>
      </c>
      <c r="H4320">
        <v>0</v>
      </c>
      <c r="I4320">
        <v>0</v>
      </c>
      <c r="J4320">
        <v>0</v>
      </c>
      <c r="K4320" s="201">
        <v>0</v>
      </c>
    </row>
    <row r="4321" spans="1:11" x14ac:dyDescent="0.25">
      <c r="A4321"/>
      <c r="B4321" s="201">
        <v>0</v>
      </c>
      <c r="C4321">
        <v>0</v>
      </c>
      <c r="D4321" s="201">
        <v>0</v>
      </c>
      <c r="E4321" s="201">
        <v>0</v>
      </c>
      <c r="F4321">
        <v>0</v>
      </c>
      <c r="G4321">
        <v>0</v>
      </c>
      <c r="H4321">
        <v>0</v>
      </c>
      <c r="I4321">
        <v>0</v>
      </c>
      <c r="J4321">
        <v>0</v>
      </c>
      <c r="K4321" s="201">
        <v>0</v>
      </c>
    </row>
    <row r="4322" spans="1:11" x14ac:dyDescent="0.25">
      <c r="A4322"/>
      <c r="B4322" s="201">
        <v>0</v>
      </c>
      <c r="C4322">
        <v>0</v>
      </c>
      <c r="D4322" s="201">
        <v>0</v>
      </c>
      <c r="E4322" s="201">
        <v>0</v>
      </c>
      <c r="F4322">
        <v>0</v>
      </c>
      <c r="G4322">
        <v>0</v>
      </c>
      <c r="H4322">
        <v>0</v>
      </c>
      <c r="I4322">
        <v>0</v>
      </c>
      <c r="J4322">
        <v>0</v>
      </c>
      <c r="K4322" s="201">
        <v>0</v>
      </c>
    </row>
    <row r="4323" spans="1:11" x14ac:dyDescent="0.25">
      <c r="A4323"/>
      <c r="B4323" s="201">
        <v>0</v>
      </c>
      <c r="C4323">
        <v>0</v>
      </c>
      <c r="D4323" s="201">
        <v>0</v>
      </c>
      <c r="E4323" s="201">
        <v>0</v>
      </c>
      <c r="F4323">
        <v>0</v>
      </c>
      <c r="G4323">
        <v>0</v>
      </c>
      <c r="H4323">
        <v>0</v>
      </c>
      <c r="I4323">
        <v>0</v>
      </c>
      <c r="J4323">
        <v>0</v>
      </c>
      <c r="K4323" s="201">
        <v>0</v>
      </c>
    </row>
    <row r="4324" spans="1:11" x14ac:dyDescent="0.25">
      <c r="A4324"/>
      <c r="B4324" s="201">
        <v>0</v>
      </c>
      <c r="C4324">
        <v>0</v>
      </c>
      <c r="D4324" s="201">
        <v>0</v>
      </c>
      <c r="E4324" s="201">
        <v>0</v>
      </c>
      <c r="F4324">
        <v>0</v>
      </c>
      <c r="G4324">
        <v>0</v>
      </c>
      <c r="H4324">
        <v>0</v>
      </c>
      <c r="I4324">
        <v>0</v>
      </c>
      <c r="J4324">
        <v>0</v>
      </c>
      <c r="K4324" s="201">
        <v>0</v>
      </c>
    </row>
    <row r="4325" spans="1:11" x14ac:dyDescent="0.25">
      <c r="A4325"/>
      <c r="B4325" s="201">
        <v>0</v>
      </c>
      <c r="C4325">
        <v>0</v>
      </c>
      <c r="D4325" s="201">
        <v>0</v>
      </c>
      <c r="E4325" s="201">
        <v>0</v>
      </c>
      <c r="F4325">
        <v>0</v>
      </c>
      <c r="G4325">
        <v>0</v>
      </c>
      <c r="H4325">
        <v>0</v>
      </c>
      <c r="I4325">
        <v>0</v>
      </c>
      <c r="J4325">
        <v>0</v>
      </c>
      <c r="K4325" s="201">
        <v>0</v>
      </c>
    </row>
    <row r="4326" spans="1:11" x14ac:dyDescent="0.25">
      <c r="A4326"/>
      <c r="B4326" s="201">
        <v>0</v>
      </c>
      <c r="C4326">
        <v>0</v>
      </c>
      <c r="D4326" s="201">
        <v>0</v>
      </c>
      <c r="E4326" s="201">
        <v>0</v>
      </c>
      <c r="F4326">
        <v>0</v>
      </c>
      <c r="G4326">
        <v>0</v>
      </c>
      <c r="H4326">
        <v>0</v>
      </c>
      <c r="I4326">
        <v>0</v>
      </c>
      <c r="J4326">
        <v>0</v>
      </c>
      <c r="K4326" s="201">
        <v>0</v>
      </c>
    </row>
    <row r="4327" spans="1:11" x14ac:dyDescent="0.25">
      <c r="A4327"/>
      <c r="B4327" s="201">
        <v>0</v>
      </c>
      <c r="C4327">
        <v>0</v>
      </c>
      <c r="D4327" s="201">
        <v>0</v>
      </c>
      <c r="E4327" s="201">
        <v>0</v>
      </c>
      <c r="F4327">
        <v>0</v>
      </c>
      <c r="G4327">
        <v>0</v>
      </c>
      <c r="H4327">
        <v>0</v>
      </c>
      <c r="I4327">
        <v>0</v>
      </c>
      <c r="J4327">
        <v>0</v>
      </c>
      <c r="K4327" s="201">
        <v>0</v>
      </c>
    </row>
    <row r="4328" spans="1:11" x14ac:dyDescent="0.25">
      <c r="A4328"/>
      <c r="B4328" s="201">
        <v>0</v>
      </c>
      <c r="C4328">
        <v>0</v>
      </c>
      <c r="D4328" s="201">
        <v>0</v>
      </c>
      <c r="E4328" s="201">
        <v>0</v>
      </c>
      <c r="F4328">
        <v>0</v>
      </c>
      <c r="G4328">
        <v>0</v>
      </c>
      <c r="H4328">
        <v>0</v>
      </c>
      <c r="I4328">
        <v>0</v>
      </c>
      <c r="J4328">
        <v>0</v>
      </c>
      <c r="K4328" s="201">
        <v>0</v>
      </c>
    </row>
    <row r="4329" spans="1:11" x14ac:dyDescent="0.25">
      <c r="A4329"/>
      <c r="B4329" s="201">
        <v>0</v>
      </c>
      <c r="C4329">
        <v>0</v>
      </c>
      <c r="D4329" s="201">
        <v>0</v>
      </c>
      <c r="E4329" s="201">
        <v>0</v>
      </c>
      <c r="F4329">
        <v>0</v>
      </c>
      <c r="G4329">
        <v>0</v>
      </c>
      <c r="H4329">
        <v>0</v>
      </c>
      <c r="I4329">
        <v>0</v>
      </c>
      <c r="J4329">
        <v>0</v>
      </c>
      <c r="K4329" s="201">
        <v>0</v>
      </c>
    </row>
    <row r="4330" spans="1:11" x14ac:dyDescent="0.25">
      <c r="A4330"/>
      <c r="B4330" s="201">
        <v>0</v>
      </c>
      <c r="C4330">
        <v>0</v>
      </c>
      <c r="D4330" s="201">
        <v>0</v>
      </c>
      <c r="E4330" s="201">
        <v>0</v>
      </c>
      <c r="F4330">
        <v>0</v>
      </c>
      <c r="G4330">
        <v>0</v>
      </c>
      <c r="H4330">
        <v>0</v>
      </c>
      <c r="I4330">
        <v>0</v>
      </c>
      <c r="J4330">
        <v>0</v>
      </c>
      <c r="K4330" s="201">
        <v>0</v>
      </c>
    </row>
    <row r="4331" spans="1:11" x14ac:dyDescent="0.25">
      <c r="A4331"/>
      <c r="B4331" s="201">
        <v>0</v>
      </c>
      <c r="C4331">
        <v>0</v>
      </c>
      <c r="D4331" s="201">
        <v>0</v>
      </c>
      <c r="E4331" s="201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 s="201">
        <v>0</v>
      </c>
    </row>
    <row r="4332" spans="1:11" x14ac:dyDescent="0.25">
      <c r="A4332"/>
      <c r="B4332" s="201">
        <v>0</v>
      </c>
      <c r="C4332">
        <v>0</v>
      </c>
      <c r="D4332" s="201">
        <v>0</v>
      </c>
      <c r="E4332" s="201">
        <v>0</v>
      </c>
      <c r="F4332">
        <v>0</v>
      </c>
      <c r="G4332">
        <v>0</v>
      </c>
      <c r="H4332">
        <v>0</v>
      </c>
      <c r="I4332">
        <v>0</v>
      </c>
      <c r="J4332">
        <v>0</v>
      </c>
      <c r="K4332" s="201">
        <v>0</v>
      </c>
    </row>
    <row r="4333" spans="1:11" x14ac:dyDescent="0.25">
      <c r="A4333"/>
      <c r="B4333" s="201">
        <v>0</v>
      </c>
      <c r="C4333">
        <v>0</v>
      </c>
      <c r="D4333" s="201">
        <v>0</v>
      </c>
      <c r="E4333" s="201">
        <v>0</v>
      </c>
      <c r="F4333">
        <v>0</v>
      </c>
      <c r="G4333">
        <v>0</v>
      </c>
      <c r="H4333">
        <v>0</v>
      </c>
      <c r="I4333">
        <v>0</v>
      </c>
      <c r="J4333">
        <v>0</v>
      </c>
      <c r="K4333" s="201">
        <v>0</v>
      </c>
    </row>
    <row r="4334" spans="1:11" x14ac:dyDescent="0.25">
      <c r="A4334"/>
      <c r="B4334" s="201">
        <v>0</v>
      </c>
      <c r="C4334">
        <v>0</v>
      </c>
      <c r="D4334" s="201">
        <v>0</v>
      </c>
      <c r="E4334" s="201">
        <v>0</v>
      </c>
      <c r="F4334">
        <v>0</v>
      </c>
      <c r="G4334">
        <v>0</v>
      </c>
      <c r="H4334">
        <v>0</v>
      </c>
      <c r="I4334">
        <v>0</v>
      </c>
      <c r="J4334">
        <v>0</v>
      </c>
      <c r="K4334" s="201">
        <v>0</v>
      </c>
    </row>
    <row r="4335" spans="1:11" x14ac:dyDescent="0.25">
      <c r="A4335"/>
      <c r="B4335" s="201">
        <v>0</v>
      </c>
      <c r="C4335">
        <v>0</v>
      </c>
      <c r="D4335" s="201">
        <v>0</v>
      </c>
      <c r="E4335" s="201">
        <v>0</v>
      </c>
      <c r="F4335">
        <v>0</v>
      </c>
      <c r="G4335">
        <v>0</v>
      </c>
      <c r="H4335">
        <v>0</v>
      </c>
      <c r="I4335">
        <v>0</v>
      </c>
      <c r="J4335">
        <v>0</v>
      </c>
      <c r="K4335" s="201">
        <v>0</v>
      </c>
    </row>
    <row r="4336" spans="1:11" x14ac:dyDescent="0.25">
      <c r="A4336"/>
      <c r="B4336" s="201">
        <v>0</v>
      </c>
      <c r="C4336">
        <v>0</v>
      </c>
      <c r="D4336" s="201">
        <v>0</v>
      </c>
      <c r="E4336" s="201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 s="201">
        <v>0</v>
      </c>
    </row>
    <row r="4337" spans="1:11" x14ac:dyDescent="0.25">
      <c r="A4337"/>
      <c r="B4337" s="201">
        <v>0</v>
      </c>
      <c r="C4337">
        <v>0</v>
      </c>
      <c r="D4337" s="201">
        <v>0</v>
      </c>
      <c r="E4337" s="201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 s="201">
        <v>0</v>
      </c>
    </row>
    <row r="4338" spans="1:11" x14ac:dyDescent="0.25">
      <c r="A4338"/>
      <c r="B4338" s="201">
        <v>0</v>
      </c>
      <c r="C4338">
        <v>0</v>
      </c>
      <c r="D4338" s="201">
        <v>0</v>
      </c>
      <c r="E4338" s="201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 s="201">
        <v>0</v>
      </c>
    </row>
    <row r="4339" spans="1:11" x14ac:dyDescent="0.25">
      <c r="A4339"/>
      <c r="B4339" s="201">
        <v>0</v>
      </c>
      <c r="C4339">
        <v>0</v>
      </c>
      <c r="D4339" s="201">
        <v>0</v>
      </c>
      <c r="E4339" s="201">
        <v>0</v>
      </c>
      <c r="F4339">
        <v>0</v>
      </c>
      <c r="G4339">
        <v>0</v>
      </c>
      <c r="H4339">
        <v>0</v>
      </c>
      <c r="I4339">
        <v>0</v>
      </c>
      <c r="J4339">
        <v>0</v>
      </c>
      <c r="K4339" s="201">
        <v>0</v>
      </c>
    </row>
    <row r="4340" spans="1:11" x14ac:dyDescent="0.25">
      <c r="A4340"/>
      <c r="B4340" s="201">
        <v>0</v>
      </c>
      <c r="C4340">
        <v>0</v>
      </c>
      <c r="D4340" s="201">
        <v>0</v>
      </c>
      <c r="E4340" s="201">
        <v>0</v>
      </c>
      <c r="F4340">
        <v>0</v>
      </c>
      <c r="G4340">
        <v>0</v>
      </c>
      <c r="H4340">
        <v>0</v>
      </c>
      <c r="I4340">
        <v>0</v>
      </c>
      <c r="J4340">
        <v>0</v>
      </c>
      <c r="K4340" s="201">
        <v>0</v>
      </c>
    </row>
    <row r="4341" spans="1:11" x14ac:dyDescent="0.25">
      <c r="A4341"/>
      <c r="B4341" s="201">
        <v>0</v>
      </c>
      <c r="C4341">
        <v>0</v>
      </c>
      <c r="D4341" s="201">
        <v>0</v>
      </c>
      <c r="E4341" s="201">
        <v>0</v>
      </c>
      <c r="F4341">
        <v>0</v>
      </c>
      <c r="G4341">
        <v>0</v>
      </c>
      <c r="H4341">
        <v>0</v>
      </c>
      <c r="I4341">
        <v>0</v>
      </c>
      <c r="J4341">
        <v>0</v>
      </c>
      <c r="K4341" s="201">
        <v>0</v>
      </c>
    </row>
    <row r="4342" spans="1:11" x14ac:dyDescent="0.25">
      <c r="A4342"/>
      <c r="B4342" s="201">
        <v>0</v>
      </c>
      <c r="C4342">
        <v>0</v>
      </c>
      <c r="D4342" s="201">
        <v>0</v>
      </c>
      <c r="E4342" s="201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 s="201">
        <v>0</v>
      </c>
    </row>
    <row r="4343" spans="1:11" x14ac:dyDescent="0.25">
      <c r="A4343"/>
      <c r="B4343" s="201">
        <v>0</v>
      </c>
      <c r="C4343">
        <v>0</v>
      </c>
      <c r="D4343" s="201">
        <v>0</v>
      </c>
      <c r="E4343" s="201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 s="201">
        <v>0</v>
      </c>
    </row>
    <row r="4344" spans="1:11" x14ac:dyDescent="0.25">
      <c r="A4344"/>
      <c r="B4344" s="201">
        <v>0</v>
      </c>
      <c r="C4344">
        <v>0</v>
      </c>
      <c r="D4344" s="201">
        <v>0</v>
      </c>
      <c r="E4344" s="201">
        <v>0</v>
      </c>
      <c r="F4344">
        <v>0</v>
      </c>
      <c r="G4344">
        <v>0</v>
      </c>
      <c r="H4344">
        <v>0</v>
      </c>
      <c r="I4344">
        <v>0</v>
      </c>
      <c r="J4344">
        <v>0</v>
      </c>
      <c r="K4344" s="201">
        <v>0</v>
      </c>
    </row>
    <row r="4345" spans="1:11" x14ac:dyDescent="0.25">
      <c r="A4345"/>
      <c r="B4345" s="201">
        <v>0</v>
      </c>
      <c r="C4345">
        <v>0</v>
      </c>
      <c r="D4345" s="201">
        <v>0</v>
      </c>
      <c r="E4345" s="201">
        <v>0</v>
      </c>
      <c r="F4345">
        <v>0</v>
      </c>
      <c r="G4345">
        <v>0</v>
      </c>
      <c r="H4345">
        <v>0</v>
      </c>
      <c r="I4345">
        <v>0</v>
      </c>
      <c r="J4345">
        <v>0</v>
      </c>
      <c r="K4345" s="201">
        <v>0</v>
      </c>
    </row>
    <row r="4346" spans="1:11" x14ac:dyDescent="0.25">
      <c r="A4346"/>
      <c r="B4346" s="201">
        <v>0</v>
      </c>
      <c r="C4346">
        <v>0</v>
      </c>
      <c r="D4346" s="201">
        <v>0</v>
      </c>
      <c r="E4346" s="201">
        <v>0</v>
      </c>
      <c r="F4346">
        <v>0</v>
      </c>
      <c r="G4346">
        <v>0</v>
      </c>
      <c r="H4346">
        <v>0</v>
      </c>
      <c r="I4346">
        <v>0</v>
      </c>
      <c r="J4346">
        <v>0</v>
      </c>
      <c r="K4346" s="201">
        <v>0</v>
      </c>
    </row>
    <row r="4347" spans="1:11" x14ac:dyDescent="0.25">
      <c r="A4347"/>
      <c r="B4347" s="201">
        <v>0</v>
      </c>
      <c r="C4347">
        <v>0</v>
      </c>
      <c r="D4347" s="201">
        <v>0</v>
      </c>
      <c r="E4347" s="201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 s="201">
        <v>0</v>
      </c>
    </row>
    <row r="4348" spans="1:11" x14ac:dyDescent="0.25">
      <c r="A4348"/>
      <c r="B4348" s="201">
        <v>0</v>
      </c>
      <c r="C4348">
        <v>0</v>
      </c>
      <c r="D4348" s="201">
        <v>0</v>
      </c>
      <c r="E4348" s="201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 s="201">
        <v>0</v>
      </c>
    </row>
    <row r="4349" spans="1:11" x14ac:dyDescent="0.25">
      <c r="A4349"/>
      <c r="B4349" s="201">
        <v>0</v>
      </c>
      <c r="C4349">
        <v>0</v>
      </c>
      <c r="D4349" s="201">
        <v>0</v>
      </c>
      <c r="E4349" s="201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 s="201">
        <v>0</v>
      </c>
    </row>
    <row r="4350" spans="1:11" x14ac:dyDescent="0.25">
      <c r="A4350"/>
      <c r="B4350" s="201">
        <v>0</v>
      </c>
      <c r="C4350">
        <v>0</v>
      </c>
      <c r="D4350" s="201">
        <v>0</v>
      </c>
      <c r="E4350" s="201">
        <v>0</v>
      </c>
      <c r="F4350">
        <v>0</v>
      </c>
      <c r="G4350">
        <v>0</v>
      </c>
      <c r="H4350">
        <v>0</v>
      </c>
      <c r="I4350">
        <v>0</v>
      </c>
      <c r="J4350">
        <v>0</v>
      </c>
      <c r="K4350" s="201">
        <v>0</v>
      </c>
    </row>
    <row r="4351" spans="1:11" x14ac:dyDescent="0.25">
      <c r="A4351"/>
      <c r="B4351" s="201">
        <v>0</v>
      </c>
      <c r="C4351">
        <v>0</v>
      </c>
      <c r="D4351" s="201">
        <v>0</v>
      </c>
      <c r="E4351" s="201">
        <v>0</v>
      </c>
      <c r="F4351">
        <v>0</v>
      </c>
      <c r="G4351">
        <v>0</v>
      </c>
      <c r="H4351">
        <v>0</v>
      </c>
      <c r="I4351">
        <v>0</v>
      </c>
      <c r="J4351">
        <v>0</v>
      </c>
      <c r="K4351" s="201">
        <v>0</v>
      </c>
    </row>
    <row r="4352" spans="1:11" x14ac:dyDescent="0.25">
      <c r="A4352"/>
      <c r="B4352" s="201">
        <v>0</v>
      </c>
      <c r="C4352">
        <v>0</v>
      </c>
      <c r="D4352" s="201">
        <v>0</v>
      </c>
      <c r="E4352" s="201">
        <v>0</v>
      </c>
      <c r="F4352">
        <v>0</v>
      </c>
      <c r="G4352">
        <v>0</v>
      </c>
      <c r="H4352">
        <v>0</v>
      </c>
      <c r="I4352">
        <v>0</v>
      </c>
      <c r="J4352">
        <v>0</v>
      </c>
      <c r="K4352" s="201">
        <v>0</v>
      </c>
    </row>
    <row r="4353" spans="1:11" x14ac:dyDescent="0.25">
      <c r="A4353"/>
      <c r="B4353" s="201">
        <v>0</v>
      </c>
      <c r="C4353">
        <v>0</v>
      </c>
      <c r="D4353" s="201">
        <v>0</v>
      </c>
      <c r="E4353" s="201">
        <v>0</v>
      </c>
      <c r="F4353">
        <v>0</v>
      </c>
      <c r="G4353">
        <v>0</v>
      </c>
      <c r="H4353">
        <v>0</v>
      </c>
      <c r="I4353">
        <v>0</v>
      </c>
      <c r="J4353">
        <v>0</v>
      </c>
      <c r="K4353" s="201">
        <v>0</v>
      </c>
    </row>
    <row r="4354" spans="1:11" x14ac:dyDescent="0.25">
      <c r="A4354"/>
      <c r="B4354" s="201">
        <v>0</v>
      </c>
      <c r="C4354">
        <v>0</v>
      </c>
      <c r="D4354" s="201">
        <v>0</v>
      </c>
      <c r="E4354" s="201">
        <v>0</v>
      </c>
      <c r="F4354">
        <v>0</v>
      </c>
      <c r="G4354">
        <v>0</v>
      </c>
      <c r="H4354">
        <v>0</v>
      </c>
      <c r="I4354">
        <v>0</v>
      </c>
      <c r="J4354">
        <v>0</v>
      </c>
      <c r="K4354" s="201">
        <v>0</v>
      </c>
    </row>
    <row r="4355" spans="1:11" x14ac:dyDescent="0.25">
      <c r="A4355"/>
      <c r="B4355" s="201">
        <v>0</v>
      </c>
      <c r="C4355">
        <v>0</v>
      </c>
      <c r="D4355" s="201">
        <v>0</v>
      </c>
      <c r="E4355" s="201">
        <v>0</v>
      </c>
      <c r="F4355">
        <v>0</v>
      </c>
      <c r="G4355">
        <v>0</v>
      </c>
      <c r="H4355">
        <v>0</v>
      </c>
      <c r="I4355">
        <v>0</v>
      </c>
      <c r="J4355">
        <v>0</v>
      </c>
      <c r="K4355" s="201">
        <v>0</v>
      </c>
    </row>
    <row r="4356" spans="1:11" x14ac:dyDescent="0.25">
      <c r="A4356"/>
      <c r="B4356" s="201">
        <v>0</v>
      </c>
      <c r="C4356">
        <v>0</v>
      </c>
      <c r="D4356" s="201">
        <v>0</v>
      </c>
      <c r="E4356" s="201">
        <v>0</v>
      </c>
      <c r="F4356">
        <v>0</v>
      </c>
      <c r="G4356">
        <v>0</v>
      </c>
      <c r="H4356">
        <v>0</v>
      </c>
      <c r="I4356">
        <v>0</v>
      </c>
      <c r="J4356">
        <v>0</v>
      </c>
      <c r="K4356" s="201">
        <v>0</v>
      </c>
    </row>
    <row r="4357" spans="1:11" x14ac:dyDescent="0.25">
      <c r="A4357"/>
      <c r="B4357" s="201">
        <v>0</v>
      </c>
      <c r="C4357">
        <v>0</v>
      </c>
      <c r="D4357" s="201">
        <v>0</v>
      </c>
      <c r="E4357" s="201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 s="201">
        <v>0</v>
      </c>
    </row>
    <row r="4358" spans="1:11" x14ac:dyDescent="0.25">
      <c r="A4358"/>
      <c r="B4358" s="201">
        <v>0</v>
      </c>
      <c r="C4358">
        <v>0</v>
      </c>
      <c r="D4358" s="201">
        <v>0</v>
      </c>
      <c r="E4358" s="201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 s="201">
        <v>0</v>
      </c>
    </row>
    <row r="4359" spans="1:11" x14ac:dyDescent="0.25">
      <c r="A4359"/>
      <c r="B4359" s="201">
        <v>0</v>
      </c>
      <c r="C4359">
        <v>0</v>
      </c>
      <c r="D4359" s="201">
        <v>0</v>
      </c>
      <c r="E4359" s="201">
        <v>0</v>
      </c>
      <c r="F4359">
        <v>0</v>
      </c>
      <c r="G4359">
        <v>0</v>
      </c>
      <c r="H4359">
        <v>0</v>
      </c>
      <c r="I4359">
        <v>0</v>
      </c>
      <c r="J4359">
        <v>0</v>
      </c>
      <c r="K4359" s="201">
        <v>0</v>
      </c>
    </row>
    <row r="4360" spans="1:11" x14ac:dyDescent="0.25">
      <c r="A4360"/>
      <c r="B4360" s="201">
        <v>0</v>
      </c>
      <c r="C4360">
        <v>0</v>
      </c>
      <c r="D4360" s="201">
        <v>0</v>
      </c>
      <c r="E4360" s="201">
        <v>0</v>
      </c>
      <c r="F4360">
        <v>0</v>
      </c>
      <c r="G4360">
        <v>0</v>
      </c>
      <c r="H4360">
        <v>0</v>
      </c>
      <c r="I4360">
        <v>0</v>
      </c>
      <c r="J4360">
        <v>0</v>
      </c>
      <c r="K4360" s="201">
        <v>0</v>
      </c>
    </row>
    <row r="4361" spans="1:11" x14ac:dyDescent="0.25">
      <c r="A4361"/>
      <c r="B4361" s="201">
        <v>0</v>
      </c>
      <c r="C4361">
        <v>0</v>
      </c>
      <c r="D4361" s="201">
        <v>0</v>
      </c>
      <c r="E4361" s="201">
        <v>0</v>
      </c>
      <c r="F4361">
        <v>0</v>
      </c>
      <c r="G4361">
        <v>0</v>
      </c>
      <c r="H4361">
        <v>0</v>
      </c>
      <c r="I4361">
        <v>0</v>
      </c>
      <c r="J4361">
        <v>0</v>
      </c>
      <c r="K4361" s="201">
        <v>0</v>
      </c>
    </row>
    <row r="4362" spans="1:11" x14ac:dyDescent="0.25">
      <c r="A4362"/>
      <c r="B4362" s="201">
        <v>0</v>
      </c>
      <c r="C4362">
        <v>0</v>
      </c>
      <c r="D4362" s="201">
        <v>0</v>
      </c>
      <c r="E4362" s="201">
        <v>0</v>
      </c>
      <c r="F4362">
        <v>0</v>
      </c>
      <c r="G4362">
        <v>0</v>
      </c>
      <c r="H4362">
        <v>0</v>
      </c>
      <c r="I4362">
        <v>0</v>
      </c>
      <c r="J4362">
        <v>0</v>
      </c>
      <c r="K4362" s="201">
        <v>0</v>
      </c>
    </row>
    <row r="4363" spans="1:11" x14ac:dyDescent="0.25">
      <c r="A4363"/>
      <c r="B4363" s="201">
        <v>0</v>
      </c>
      <c r="C4363">
        <v>0</v>
      </c>
      <c r="D4363" s="201">
        <v>0</v>
      </c>
      <c r="E4363" s="201">
        <v>0</v>
      </c>
      <c r="F4363">
        <v>0</v>
      </c>
      <c r="G4363">
        <v>0</v>
      </c>
      <c r="H4363">
        <v>0</v>
      </c>
      <c r="I4363">
        <v>0</v>
      </c>
      <c r="J4363">
        <v>0</v>
      </c>
      <c r="K4363" s="201">
        <v>0</v>
      </c>
    </row>
    <row r="4364" spans="1:11" x14ac:dyDescent="0.25">
      <c r="A4364"/>
      <c r="B4364" s="201">
        <v>0</v>
      </c>
      <c r="C4364">
        <v>0</v>
      </c>
      <c r="D4364" s="201">
        <v>0</v>
      </c>
      <c r="E4364" s="201">
        <v>0</v>
      </c>
      <c r="F4364">
        <v>0</v>
      </c>
      <c r="G4364">
        <v>0</v>
      </c>
      <c r="H4364">
        <v>0</v>
      </c>
      <c r="I4364">
        <v>0</v>
      </c>
      <c r="J4364">
        <v>0</v>
      </c>
      <c r="K4364" s="201">
        <v>0</v>
      </c>
    </row>
    <row r="4365" spans="1:11" x14ac:dyDescent="0.25">
      <c r="A4365"/>
      <c r="B4365" s="201">
        <v>0</v>
      </c>
      <c r="C4365">
        <v>0</v>
      </c>
      <c r="D4365" s="201">
        <v>0</v>
      </c>
      <c r="E4365" s="201">
        <v>0</v>
      </c>
      <c r="F4365">
        <v>0</v>
      </c>
      <c r="G4365">
        <v>0</v>
      </c>
      <c r="H4365">
        <v>0</v>
      </c>
      <c r="I4365">
        <v>0</v>
      </c>
      <c r="J4365">
        <v>0</v>
      </c>
      <c r="K4365" s="201">
        <v>0</v>
      </c>
    </row>
    <row r="4366" spans="1:11" x14ac:dyDescent="0.25">
      <c r="A4366"/>
      <c r="B4366" s="201">
        <v>0</v>
      </c>
      <c r="C4366">
        <v>0</v>
      </c>
      <c r="D4366" s="201">
        <v>0</v>
      </c>
      <c r="E4366" s="201">
        <v>0</v>
      </c>
      <c r="F4366">
        <v>0</v>
      </c>
      <c r="G4366">
        <v>0</v>
      </c>
      <c r="H4366">
        <v>0</v>
      </c>
      <c r="I4366">
        <v>0</v>
      </c>
      <c r="J4366">
        <v>0</v>
      </c>
      <c r="K4366" s="201">
        <v>0</v>
      </c>
    </row>
    <row r="4367" spans="1:11" x14ac:dyDescent="0.25">
      <c r="A4367"/>
      <c r="B4367" s="201">
        <v>0</v>
      </c>
      <c r="C4367">
        <v>0</v>
      </c>
      <c r="D4367" s="201">
        <v>0</v>
      </c>
      <c r="E4367" s="201">
        <v>0</v>
      </c>
      <c r="F4367">
        <v>0</v>
      </c>
      <c r="G4367">
        <v>0</v>
      </c>
      <c r="H4367">
        <v>0</v>
      </c>
      <c r="I4367">
        <v>0</v>
      </c>
      <c r="J4367">
        <v>0</v>
      </c>
      <c r="K4367" s="201">
        <v>0</v>
      </c>
    </row>
    <row r="4368" spans="1:11" x14ac:dyDescent="0.25">
      <c r="A4368"/>
      <c r="B4368" s="201">
        <v>0</v>
      </c>
      <c r="C4368">
        <v>0</v>
      </c>
      <c r="D4368" s="201">
        <v>0</v>
      </c>
      <c r="E4368" s="201">
        <v>0</v>
      </c>
      <c r="F4368">
        <v>0</v>
      </c>
      <c r="G4368">
        <v>0</v>
      </c>
      <c r="H4368">
        <v>0</v>
      </c>
      <c r="I4368">
        <v>0</v>
      </c>
      <c r="J4368">
        <v>0</v>
      </c>
      <c r="K4368" s="201">
        <v>0</v>
      </c>
    </row>
    <row r="4369" spans="1:11" x14ac:dyDescent="0.25">
      <c r="A4369"/>
      <c r="B4369" s="201">
        <v>0</v>
      </c>
      <c r="C4369">
        <v>0</v>
      </c>
      <c r="D4369" s="201">
        <v>0</v>
      </c>
      <c r="E4369" s="201">
        <v>0</v>
      </c>
      <c r="F4369">
        <v>0</v>
      </c>
      <c r="G4369">
        <v>0</v>
      </c>
      <c r="H4369">
        <v>0</v>
      </c>
      <c r="I4369">
        <v>0</v>
      </c>
      <c r="J4369">
        <v>0</v>
      </c>
      <c r="K4369" s="201">
        <v>0</v>
      </c>
    </row>
    <row r="4370" spans="1:11" x14ac:dyDescent="0.25">
      <c r="A4370"/>
      <c r="B4370" s="201">
        <v>0</v>
      </c>
      <c r="C4370">
        <v>0</v>
      </c>
      <c r="D4370" s="201">
        <v>0</v>
      </c>
      <c r="E4370" s="201">
        <v>0</v>
      </c>
      <c r="F4370">
        <v>0</v>
      </c>
      <c r="G4370">
        <v>0</v>
      </c>
      <c r="H4370">
        <v>0</v>
      </c>
      <c r="I4370">
        <v>0</v>
      </c>
      <c r="J4370">
        <v>0</v>
      </c>
      <c r="K4370" s="201">
        <v>0</v>
      </c>
    </row>
    <row r="4371" spans="1:11" x14ac:dyDescent="0.25">
      <c r="A4371"/>
      <c r="B4371" s="201">
        <v>0</v>
      </c>
      <c r="C4371">
        <v>0</v>
      </c>
      <c r="D4371" s="201">
        <v>0</v>
      </c>
      <c r="E4371" s="201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 s="201">
        <v>0</v>
      </c>
    </row>
    <row r="4372" spans="1:11" x14ac:dyDescent="0.25">
      <c r="A4372"/>
      <c r="B4372" s="201">
        <v>0</v>
      </c>
      <c r="C4372">
        <v>0</v>
      </c>
      <c r="D4372" s="201">
        <v>0</v>
      </c>
      <c r="E4372" s="201">
        <v>0</v>
      </c>
      <c r="F4372">
        <v>0</v>
      </c>
      <c r="G4372">
        <v>0</v>
      </c>
      <c r="H4372">
        <v>0</v>
      </c>
      <c r="I4372">
        <v>0</v>
      </c>
      <c r="J4372">
        <v>0</v>
      </c>
      <c r="K4372" s="201">
        <v>0</v>
      </c>
    </row>
    <row r="4373" spans="1:11" x14ac:dyDescent="0.25">
      <c r="A4373"/>
      <c r="B4373" s="201">
        <v>0</v>
      </c>
      <c r="C4373">
        <v>0</v>
      </c>
      <c r="D4373" s="201">
        <v>0</v>
      </c>
      <c r="E4373" s="201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 s="201">
        <v>0</v>
      </c>
    </row>
    <row r="4374" spans="1:11" x14ac:dyDescent="0.25">
      <c r="A4374"/>
      <c r="B4374" s="201">
        <v>0</v>
      </c>
      <c r="C4374">
        <v>0</v>
      </c>
      <c r="D4374" s="201">
        <v>0</v>
      </c>
      <c r="E4374" s="201">
        <v>0</v>
      </c>
      <c r="F4374">
        <v>0</v>
      </c>
      <c r="G4374">
        <v>0</v>
      </c>
      <c r="H4374">
        <v>0</v>
      </c>
      <c r="I4374">
        <v>0</v>
      </c>
      <c r="J4374">
        <v>0</v>
      </c>
      <c r="K4374" s="201">
        <v>0</v>
      </c>
    </row>
    <row r="4375" spans="1:11" x14ac:dyDescent="0.25">
      <c r="A4375"/>
      <c r="B4375" s="201">
        <v>0</v>
      </c>
      <c r="C4375">
        <v>0</v>
      </c>
      <c r="D4375" s="201">
        <v>0</v>
      </c>
      <c r="E4375" s="201">
        <v>0</v>
      </c>
      <c r="F4375">
        <v>0</v>
      </c>
      <c r="G4375">
        <v>0</v>
      </c>
      <c r="H4375">
        <v>0</v>
      </c>
      <c r="I4375">
        <v>0</v>
      </c>
      <c r="J4375">
        <v>0</v>
      </c>
      <c r="K4375" s="201">
        <v>0</v>
      </c>
    </row>
    <row r="4376" spans="1:11" x14ac:dyDescent="0.25">
      <c r="A4376"/>
      <c r="B4376" s="201">
        <v>0</v>
      </c>
      <c r="C4376">
        <v>0</v>
      </c>
      <c r="D4376" s="201">
        <v>0</v>
      </c>
      <c r="E4376" s="201">
        <v>0</v>
      </c>
      <c r="F4376">
        <v>0</v>
      </c>
      <c r="G4376">
        <v>0</v>
      </c>
      <c r="H4376">
        <v>0</v>
      </c>
      <c r="I4376">
        <v>0</v>
      </c>
      <c r="J4376">
        <v>0</v>
      </c>
      <c r="K4376" s="201">
        <v>0</v>
      </c>
    </row>
    <row r="4377" spans="1:11" x14ac:dyDescent="0.25">
      <c r="A4377"/>
      <c r="B4377" s="201">
        <v>0</v>
      </c>
      <c r="C4377">
        <v>0</v>
      </c>
      <c r="D4377" s="201">
        <v>0</v>
      </c>
      <c r="E4377" s="201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 s="201">
        <v>0</v>
      </c>
    </row>
    <row r="4378" spans="1:11" x14ac:dyDescent="0.25">
      <c r="A4378"/>
      <c r="B4378" s="201">
        <v>0</v>
      </c>
      <c r="C4378">
        <v>0</v>
      </c>
      <c r="D4378" s="201">
        <v>0</v>
      </c>
      <c r="E4378" s="201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 s="201">
        <v>0</v>
      </c>
    </row>
    <row r="4379" spans="1:11" x14ac:dyDescent="0.25">
      <c r="A4379"/>
      <c r="B4379" s="201">
        <v>0</v>
      </c>
      <c r="C4379">
        <v>0</v>
      </c>
      <c r="D4379" s="201">
        <v>0</v>
      </c>
      <c r="E4379" s="201">
        <v>0</v>
      </c>
      <c r="F4379">
        <v>0</v>
      </c>
      <c r="G4379">
        <v>0</v>
      </c>
      <c r="H4379">
        <v>0</v>
      </c>
      <c r="I4379">
        <v>0</v>
      </c>
      <c r="J4379">
        <v>0</v>
      </c>
      <c r="K4379" s="201">
        <v>0</v>
      </c>
    </row>
    <row r="4380" spans="1:11" x14ac:dyDescent="0.25">
      <c r="A4380"/>
      <c r="B4380" s="201">
        <v>0</v>
      </c>
      <c r="C4380">
        <v>0</v>
      </c>
      <c r="D4380" s="201">
        <v>0</v>
      </c>
      <c r="E4380" s="201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 s="201">
        <v>0</v>
      </c>
    </row>
    <row r="4381" spans="1:11" x14ac:dyDescent="0.25">
      <c r="A4381"/>
      <c r="B4381" s="201">
        <v>0</v>
      </c>
      <c r="C4381">
        <v>0</v>
      </c>
      <c r="D4381" s="201">
        <v>0</v>
      </c>
      <c r="E4381" s="201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 s="201">
        <v>0</v>
      </c>
    </row>
    <row r="4382" spans="1:11" x14ac:dyDescent="0.25">
      <c r="A4382"/>
      <c r="B4382" s="201">
        <v>0</v>
      </c>
      <c r="C4382">
        <v>0</v>
      </c>
      <c r="D4382" s="201">
        <v>0</v>
      </c>
      <c r="E4382" s="201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 s="201">
        <v>0</v>
      </c>
    </row>
    <row r="4383" spans="1:11" x14ac:dyDescent="0.25">
      <c r="A4383"/>
      <c r="B4383" s="201">
        <v>0</v>
      </c>
      <c r="C4383">
        <v>0</v>
      </c>
      <c r="D4383" s="201">
        <v>0</v>
      </c>
      <c r="E4383" s="201">
        <v>0</v>
      </c>
      <c r="F4383">
        <v>0</v>
      </c>
      <c r="G4383">
        <v>0</v>
      </c>
      <c r="H4383">
        <v>0</v>
      </c>
      <c r="I4383">
        <v>0</v>
      </c>
      <c r="J4383">
        <v>0</v>
      </c>
      <c r="K4383" s="201">
        <v>0</v>
      </c>
    </row>
    <row r="4384" spans="1:11" x14ac:dyDescent="0.25">
      <c r="A4384"/>
      <c r="B4384" s="201">
        <v>0</v>
      </c>
      <c r="C4384">
        <v>0</v>
      </c>
      <c r="D4384" s="201">
        <v>0</v>
      </c>
      <c r="E4384" s="201">
        <v>0</v>
      </c>
      <c r="F4384">
        <v>0</v>
      </c>
      <c r="G4384">
        <v>0</v>
      </c>
      <c r="H4384">
        <v>0</v>
      </c>
      <c r="I4384">
        <v>0</v>
      </c>
      <c r="J4384">
        <v>0</v>
      </c>
      <c r="K4384" s="201">
        <v>0</v>
      </c>
    </row>
    <row r="4385" spans="1:11" x14ac:dyDescent="0.25">
      <c r="A4385"/>
      <c r="B4385" s="201">
        <v>0</v>
      </c>
      <c r="C4385">
        <v>0</v>
      </c>
      <c r="D4385" s="201">
        <v>0</v>
      </c>
      <c r="E4385" s="201">
        <v>0</v>
      </c>
      <c r="F4385">
        <v>0</v>
      </c>
      <c r="G4385">
        <v>0</v>
      </c>
      <c r="H4385">
        <v>0</v>
      </c>
      <c r="I4385">
        <v>0</v>
      </c>
      <c r="J4385">
        <v>0</v>
      </c>
      <c r="K4385" s="201">
        <v>0</v>
      </c>
    </row>
    <row r="4386" spans="1:11" x14ac:dyDescent="0.25">
      <c r="A4386"/>
      <c r="B4386" s="201">
        <v>0</v>
      </c>
      <c r="C4386">
        <v>0</v>
      </c>
      <c r="D4386" s="201">
        <v>0</v>
      </c>
      <c r="E4386" s="201">
        <v>0</v>
      </c>
      <c r="F4386">
        <v>0</v>
      </c>
      <c r="G4386">
        <v>0</v>
      </c>
      <c r="H4386">
        <v>0</v>
      </c>
      <c r="I4386">
        <v>0</v>
      </c>
      <c r="J4386">
        <v>0</v>
      </c>
      <c r="K4386" s="201">
        <v>0</v>
      </c>
    </row>
    <row r="4387" spans="1:11" x14ac:dyDescent="0.25">
      <c r="A4387"/>
      <c r="B4387" s="201">
        <v>0</v>
      </c>
      <c r="C4387">
        <v>0</v>
      </c>
      <c r="D4387" s="201">
        <v>0</v>
      </c>
      <c r="E4387" s="201">
        <v>0</v>
      </c>
      <c r="F4387">
        <v>0</v>
      </c>
      <c r="G4387">
        <v>0</v>
      </c>
      <c r="H4387">
        <v>0</v>
      </c>
      <c r="I4387">
        <v>0</v>
      </c>
      <c r="J4387">
        <v>0</v>
      </c>
      <c r="K4387" s="201">
        <v>0</v>
      </c>
    </row>
    <row r="4388" spans="1:11" x14ac:dyDescent="0.25">
      <c r="A4388"/>
      <c r="B4388" s="201">
        <v>0</v>
      </c>
      <c r="C4388">
        <v>0</v>
      </c>
      <c r="D4388" s="201">
        <v>0</v>
      </c>
      <c r="E4388" s="201">
        <v>0</v>
      </c>
      <c r="F4388">
        <v>0</v>
      </c>
      <c r="G4388">
        <v>0</v>
      </c>
      <c r="H4388">
        <v>0</v>
      </c>
      <c r="I4388">
        <v>0</v>
      </c>
      <c r="J4388">
        <v>0</v>
      </c>
      <c r="K4388" s="201">
        <v>0</v>
      </c>
    </row>
    <row r="4389" spans="1:11" x14ac:dyDescent="0.25">
      <c r="A4389"/>
      <c r="B4389" s="201">
        <v>0</v>
      </c>
      <c r="C4389">
        <v>0</v>
      </c>
      <c r="D4389" s="201">
        <v>0</v>
      </c>
      <c r="E4389" s="201">
        <v>0</v>
      </c>
      <c r="F4389">
        <v>0</v>
      </c>
      <c r="G4389">
        <v>0</v>
      </c>
      <c r="H4389">
        <v>0</v>
      </c>
      <c r="I4389">
        <v>0</v>
      </c>
      <c r="J4389">
        <v>0</v>
      </c>
      <c r="K4389" s="201">
        <v>0</v>
      </c>
    </row>
    <row r="4390" spans="1:11" x14ac:dyDescent="0.25">
      <c r="A4390"/>
      <c r="B4390" s="201">
        <v>0</v>
      </c>
      <c r="C4390">
        <v>0</v>
      </c>
      <c r="D4390" s="201">
        <v>0</v>
      </c>
      <c r="E4390" s="201">
        <v>0</v>
      </c>
      <c r="F4390">
        <v>0</v>
      </c>
      <c r="G4390">
        <v>0</v>
      </c>
      <c r="H4390">
        <v>0</v>
      </c>
      <c r="I4390">
        <v>0</v>
      </c>
      <c r="J4390">
        <v>0</v>
      </c>
      <c r="K4390" s="201">
        <v>0</v>
      </c>
    </row>
    <row r="4391" spans="1:11" x14ac:dyDescent="0.25">
      <c r="A4391"/>
      <c r="B4391" s="201">
        <v>0</v>
      </c>
      <c r="C4391">
        <v>0</v>
      </c>
      <c r="D4391" s="201">
        <v>0</v>
      </c>
      <c r="E4391" s="201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 s="201">
        <v>0</v>
      </c>
    </row>
    <row r="4392" spans="1:11" x14ac:dyDescent="0.25">
      <c r="A4392"/>
      <c r="B4392" s="201">
        <v>0</v>
      </c>
      <c r="C4392">
        <v>0</v>
      </c>
      <c r="D4392" s="201">
        <v>0</v>
      </c>
      <c r="E4392" s="201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 s="201">
        <v>0</v>
      </c>
    </row>
    <row r="4393" spans="1:11" x14ac:dyDescent="0.25">
      <c r="A4393"/>
      <c r="B4393" s="201">
        <v>0</v>
      </c>
      <c r="C4393">
        <v>0</v>
      </c>
      <c r="D4393" s="201">
        <v>0</v>
      </c>
      <c r="E4393" s="201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 s="201">
        <v>0</v>
      </c>
    </row>
    <row r="4394" spans="1:11" x14ac:dyDescent="0.25">
      <c r="A4394"/>
      <c r="B4394" s="201">
        <v>0</v>
      </c>
      <c r="C4394">
        <v>0</v>
      </c>
      <c r="D4394" s="201">
        <v>0</v>
      </c>
      <c r="E4394" s="201">
        <v>0</v>
      </c>
      <c r="F4394">
        <v>0</v>
      </c>
      <c r="G4394">
        <v>0</v>
      </c>
      <c r="H4394">
        <v>0</v>
      </c>
      <c r="I4394">
        <v>0</v>
      </c>
      <c r="J4394">
        <v>0</v>
      </c>
      <c r="K4394" s="201">
        <v>0</v>
      </c>
    </row>
    <row r="4395" spans="1:11" x14ac:dyDescent="0.25">
      <c r="A4395"/>
      <c r="B4395" s="201">
        <v>0</v>
      </c>
      <c r="C4395">
        <v>0</v>
      </c>
      <c r="D4395" s="201">
        <v>0</v>
      </c>
      <c r="E4395" s="201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 s="201">
        <v>0</v>
      </c>
    </row>
    <row r="4396" spans="1:11" x14ac:dyDescent="0.25">
      <c r="A4396"/>
      <c r="B4396" s="201">
        <v>0</v>
      </c>
      <c r="C4396">
        <v>0</v>
      </c>
      <c r="D4396" s="201">
        <v>0</v>
      </c>
      <c r="E4396" s="201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 s="201">
        <v>0</v>
      </c>
    </row>
    <row r="4397" spans="1:11" x14ac:dyDescent="0.25">
      <c r="A4397"/>
      <c r="B4397" s="201">
        <v>0</v>
      </c>
      <c r="C4397">
        <v>0</v>
      </c>
      <c r="D4397" s="201">
        <v>0</v>
      </c>
      <c r="E4397" s="201">
        <v>0</v>
      </c>
      <c r="F4397">
        <v>0</v>
      </c>
      <c r="G4397">
        <v>0</v>
      </c>
      <c r="H4397">
        <v>0</v>
      </c>
      <c r="I4397">
        <v>0</v>
      </c>
      <c r="J4397">
        <v>0</v>
      </c>
      <c r="K4397" s="201">
        <v>0</v>
      </c>
    </row>
    <row r="4398" spans="1:11" x14ac:dyDescent="0.25">
      <c r="A4398"/>
      <c r="B4398" s="201">
        <v>0</v>
      </c>
      <c r="C4398">
        <v>0</v>
      </c>
      <c r="D4398" s="201">
        <v>0</v>
      </c>
      <c r="E4398" s="201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 s="201">
        <v>0</v>
      </c>
    </row>
    <row r="4399" spans="1:11" x14ac:dyDescent="0.25">
      <c r="A4399"/>
      <c r="B4399" s="201">
        <v>0</v>
      </c>
      <c r="C4399">
        <v>0</v>
      </c>
      <c r="D4399" s="201">
        <v>0</v>
      </c>
      <c r="E4399" s="201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 s="201">
        <v>0</v>
      </c>
    </row>
    <row r="4400" spans="1:11" x14ac:dyDescent="0.25">
      <c r="A4400"/>
      <c r="B4400" s="201">
        <v>0</v>
      </c>
      <c r="C4400">
        <v>0</v>
      </c>
      <c r="D4400" s="201">
        <v>0</v>
      </c>
      <c r="E4400" s="201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 s="201">
        <v>0</v>
      </c>
    </row>
    <row r="4401" spans="1:11" x14ac:dyDescent="0.25">
      <c r="A4401"/>
      <c r="B4401" s="201">
        <v>0</v>
      </c>
      <c r="C4401">
        <v>0</v>
      </c>
      <c r="D4401" s="201">
        <v>0</v>
      </c>
      <c r="E4401" s="2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 s="201">
        <v>0</v>
      </c>
    </row>
    <row r="4402" spans="1:11" x14ac:dyDescent="0.25">
      <c r="A4402"/>
      <c r="B4402" s="201">
        <v>0</v>
      </c>
      <c r="C4402">
        <v>0</v>
      </c>
      <c r="D4402" s="201">
        <v>0</v>
      </c>
      <c r="E4402" s="201">
        <v>0</v>
      </c>
      <c r="F4402">
        <v>0</v>
      </c>
      <c r="G4402">
        <v>0</v>
      </c>
      <c r="H4402">
        <v>0</v>
      </c>
      <c r="I4402">
        <v>0</v>
      </c>
      <c r="J4402">
        <v>0</v>
      </c>
      <c r="K4402" s="201">
        <v>0</v>
      </c>
    </row>
    <row r="4403" spans="1:11" x14ac:dyDescent="0.25">
      <c r="A4403"/>
      <c r="B4403" s="201">
        <v>0</v>
      </c>
      <c r="C4403">
        <v>0</v>
      </c>
      <c r="D4403" s="201">
        <v>0</v>
      </c>
      <c r="E4403" s="201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 s="201">
        <v>0</v>
      </c>
    </row>
    <row r="4404" spans="1:11" x14ac:dyDescent="0.25">
      <c r="A4404"/>
      <c r="B4404" s="201">
        <v>0</v>
      </c>
      <c r="C4404">
        <v>0</v>
      </c>
      <c r="D4404" s="201">
        <v>0</v>
      </c>
      <c r="E4404" s="201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 s="201">
        <v>0</v>
      </c>
    </row>
    <row r="4405" spans="1:11" x14ac:dyDescent="0.25">
      <c r="A4405"/>
      <c r="B4405" s="201">
        <v>0</v>
      </c>
      <c r="C4405">
        <v>0</v>
      </c>
      <c r="D4405" s="201">
        <v>0</v>
      </c>
      <c r="E4405" s="201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 s="201">
        <v>0</v>
      </c>
    </row>
    <row r="4406" spans="1:11" x14ac:dyDescent="0.25">
      <c r="A4406"/>
      <c r="B4406" s="201">
        <v>0</v>
      </c>
      <c r="C4406">
        <v>0</v>
      </c>
      <c r="D4406" s="201">
        <v>0</v>
      </c>
      <c r="E4406" s="201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 s="201">
        <v>0</v>
      </c>
    </row>
    <row r="4407" spans="1:11" x14ac:dyDescent="0.25">
      <c r="A4407"/>
      <c r="B4407" s="201">
        <v>0</v>
      </c>
      <c r="C4407">
        <v>0</v>
      </c>
      <c r="D4407" s="201">
        <v>0</v>
      </c>
      <c r="E4407" s="201">
        <v>0</v>
      </c>
      <c r="F4407">
        <v>0</v>
      </c>
      <c r="G4407">
        <v>0</v>
      </c>
      <c r="H4407">
        <v>0</v>
      </c>
      <c r="I4407">
        <v>0</v>
      </c>
      <c r="J4407">
        <v>0</v>
      </c>
      <c r="K4407" s="201">
        <v>0</v>
      </c>
    </row>
    <row r="4408" spans="1:11" x14ac:dyDescent="0.25">
      <c r="A4408"/>
      <c r="B4408" s="201">
        <v>0</v>
      </c>
      <c r="C4408">
        <v>0</v>
      </c>
      <c r="D4408" s="201">
        <v>0</v>
      </c>
      <c r="E4408" s="201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 s="201">
        <v>0</v>
      </c>
    </row>
    <row r="4409" spans="1:11" x14ac:dyDescent="0.25">
      <c r="A4409"/>
      <c r="B4409" s="201">
        <v>0</v>
      </c>
      <c r="C4409">
        <v>0</v>
      </c>
      <c r="D4409" s="201">
        <v>0</v>
      </c>
      <c r="E4409" s="201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 s="201">
        <v>0</v>
      </c>
    </row>
    <row r="4410" spans="1:11" x14ac:dyDescent="0.25">
      <c r="A4410"/>
      <c r="B4410" s="201">
        <v>0</v>
      </c>
      <c r="C4410">
        <v>0</v>
      </c>
      <c r="D4410" s="201">
        <v>0</v>
      </c>
      <c r="E4410" s="201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 s="201">
        <v>0</v>
      </c>
    </row>
    <row r="4411" spans="1:11" x14ac:dyDescent="0.25">
      <c r="A4411"/>
      <c r="B4411" s="201">
        <v>0</v>
      </c>
      <c r="C4411">
        <v>0</v>
      </c>
      <c r="D4411" s="201">
        <v>0</v>
      </c>
      <c r="E4411" s="201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 s="201">
        <v>0</v>
      </c>
    </row>
    <row r="4412" spans="1:11" x14ac:dyDescent="0.25">
      <c r="A4412"/>
      <c r="B4412" s="201">
        <v>0</v>
      </c>
      <c r="C4412">
        <v>0</v>
      </c>
      <c r="D4412" s="201">
        <v>0</v>
      </c>
      <c r="E4412" s="201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 s="201">
        <v>0</v>
      </c>
    </row>
    <row r="4413" spans="1:11" x14ac:dyDescent="0.25">
      <c r="A4413"/>
      <c r="B4413" s="201">
        <v>0</v>
      </c>
      <c r="C4413">
        <v>0</v>
      </c>
      <c r="D4413" s="201">
        <v>0</v>
      </c>
      <c r="E4413" s="201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 s="201">
        <v>0</v>
      </c>
    </row>
    <row r="4414" spans="1:11" x14ac:dyDescent="0.25">
      <c r="A4414"/>
      <c r="B4414" s="201">
        <v>0</v>
      </c>
      <c r="C4414">
        <v>0</v>
      </c>
      <c r="D4414" s="201">
        <v>0</v>
      </c>
      <c r="E4414" s="201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 s="201">
        <v>0</v>
      </c>
    </row>
    <row r="4415" spans="1:11" x14ac:dyDescent="0.25">
      <c r="A4415"/>
      <c r="B4415" s="201">
        <v>0</v>
      </c>
      <c r="C4415">
        <v>0</v>
      </c>
      <c r="D4415" s="201">
        <v>0</v>
      </c>
      <c r="E4415" s="201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 s="201">
        <v>0</v>
      </c>
    </row>
    <row r="4416" spans="1:11" x14ac:dyDescent="0.25">
      <c r="A4416"/>
      <c r="B4416" s="201">
        <v>0</v>
      </c>
      <c r="C4416">
        <v>0</v>
      </c>
      <c r="D4416" s="201">
        <v>0</v>
      </c>
      <c r="E4416" s="201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 s="201">
        <v>0</v>
      </c>
    </row>
    <row r="4417" spans="1:11" x14ac:dyDescent="0.25">
      <c r="A4417"/>
      <c r="B4417" s="201">
        <v>0</v>
      </c>
      <c r="C4417">
        <v>0</v>
      </c>
      <c r="D4417" s="201">
        <v>0</v>
      </c>
      <c r="E4417" s="201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 s="201">
        <v>0</v>
      </c>
    </row>
    <row r="4418" spans="1:11" x14ac:dyDescent="0.25">
      <c r="A4418"/>
      <c r="B4418" s="201">
        <v>0</v>
      </c>
      <c r="C4418">
        <v>0</v>
      </c>
      <c r="D4418" s="201">
        <v>0</v>
      </c>
      <c r="E4418" s="201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 s="201">
        <v>0</v>
      </c>
    </row>
    <row r="4419" spans="1:11" x14ac:dyDescent="0.25">
      <c r="A4419"/>
      <c r="B4419" s="201">
        <v>0</v>
      </c>
      <c r="C4419">
        <v>0</v>
      </c>
      <c r="D4419" s="201">
        <v>0</v>
      </c>
      <c r="E4419" s="201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 s="201">
        <v>0</v>
      </c>
    </row>
    <row r="4420" spans="1:11" x14ac:dyDescent="0.25">
      <c r="A4420"/>
      <c r="B4420" s="201">
        <v>0</v>
      </c>
      <c r="C4420">
        <v>0</v>
      </c>
      <c r="D4420" s="201">
        <v>0</v>
      </c>
      <c r="E4420" s="201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 s="201">
        <v>0</v>
      </c>
    </row>
    <row r="4421" spans="1:11" x14ac:dyDescent="0.25">
      <c r="A4421"/>
      <c r="B4421" s="201">
        <v>0</v>
      </c>
      <c r="C4421">
        <v>0</v>
      </c>
      <c r="D4421" s="201">
        <v>0</v>
      </c>
      <c r="E4421" s="20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 s="201">
        <v>0</v>
      </c>
    </row>
    <row r="4422" spans="1:11" x14ac:dyDescent="0.25">
      <c r="A4422"/>
      <c r="B4422" s="201">
        <v>0</v>
      </c>
      <c r="C4422">
        <v>0</v>
      </c>
      <c r="D4422" s="201">
        <v>0</v>
      </c>
      <c r="E4422" s="201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 s="201">
        <v>0</v>
      </c>
    </row>
    <row r="4423" spans="1:11" x14ac:dyDescent="0.25">
      <c r="A4423"/>
      <c r="B4423" s="201">
        <v>0</v>
      </c>
      <c r="C4423">
        <v>0</v>
      </c>
      <c r="D4423" s="201">
        <v>0</v>
      </c>
      <c r="E4423" s="201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 s="201">
        <v>0</v>
      </c>
    </row>
    <row r="4424" spans="1:11" x14ac:dyDescent="0.25">
      <c r="A4424"/>
      <c r="B4424" s="201">
        <v>0</v>
      </c>
      <c r="C4424">
        <v>0</v>
      </c>
      <c r="D4424" s="201">
        <v>0</v>
      </c>
      <c r="E4424" s="201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 s="201">
        <v>0</v>
      </c>
    </row>
    <row r="4425" spans="1:11" x14ac:dyDescent="0.25">
      <c r="A4425"/>
      <c r="B4425" s="201">
        <v>0</v>
      </c>
      <c r="C4425">
        <v>0</v>
      </c>
      <c r="D4425" s="201">
        <v>0</v>
      </c>
      <c r="E4425" s="201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 s="201">
        <v>0</v>
      </c>
    </row>
    <row r="4426" spans="1:11" x14ac:dyDescent="0.25">
      <c r="A4426"/>
      <c r="B4426" s="201">
        <v>0</v>
      </c>
      <c r="C4426">
        <v>0</v>
      </c>
      <c r="D4426" s="201">
        <v>0</v>
      </c>
      <c r="E4426" s="201">
        <v>0</v>
      </c>
      <c r="F4426">
        <v>0</v>
      </c>
      <c r="G4426">
        <v>0</v>
      </c>
      <c r="H4426">
        <v>0</v>
      </c>
      <c r="I4426">
        <v>0</v>
      </c>
      <c r="J4426">
        <v>0</v>
      </c>
      <c r="K4426" s="201">
        <v>0</v>
      </c>
    </row>
    <row r="4427" spans="1:11" x14ac:dyDescent="0.25">
      <c r="A4427"/>
      <c r="B4427" s="201">
        <v>0</v>
      </c>
      <c r="C4427">
        <v>0</v>
      </c>
      <c r="D4427" s="201">
        <v>0</v>
      </c>
      <c r="E4427" s="201">
        <v>0</v>
      </c>
      <c r="F4427">
        <v>0</v>
      </c>
      <c r="G4427">
        <v>0</v>
      </c>
      <c r="H4427">
        <v>0</v>
      </c>
      <c r="I4427">
        <v>0</v>
      </c>
      <c r="J4427">
        <v>0</v>
      </c>
      <c r="K4427" s="201">
        <v>0</v>
      </c>
    </row>
    <row r="4428" spans="1:11" x14ac:dyDescent="0.25">
      <c r="A4428"/>
      <c r="B4428" s="201">
        <v>0</v>
      </c>
      <c r="C4428">
        <v>0</v>
      </c>
      <c r="D4428" s="201">
        <v>0</v>
      </c>
      <c r="E4428" s="201">
        <v>0</v>
      </c>
      <c r="F4428">
        <v>0</v>
      </c>
      <c r="G4428">
        <v>0</v>
      </c>
      <c r="H4428">
        <v>0</v>
      </c>
      <c r="I4428">
        <v>0</v>
      </c>
      <c r="J4428">
        <v>0</v>
      </c>
      <c r="K4428" s="201">
        <v>0</v>
      </c>
    </row>
    <row r="4429" spans="1:11" x14ac:dyDescent="0.25">
      <c r="A4429"/>
      <c r="B4429" s="201">
        <v>0</v>
      </c>
      <c r="C4429">
        <v>0</v>
      </c>
      <c r="D4429" s="201">
        <v>0</v>
      </c>
      <c r="E4429" s="201">
        <v>0</v>
      </c>
      <c r="F4429">
        <v>0</v>
      </c>
      <c r="G4429">
        <v>0</v>
      </c>
      <c r="H4429">
        <v>0</v>
      </c>
      <c r="I4429">
        <v>0</v>
      </c>
      <c r="J4429">
        <v>0</v>
      </c>
      <c r="K4429" s="201">
        <v>0</v>
      </c>
    </row>
    <row r="4430" spans="1:11" x14ac:dyDescent="0.25">
      <c r="A4430"/>
      <c r="B4430" s="201">
        <v>0</v>
      </c>
      <c r="C4430">
        <v>0</v>
      </c>
      <c r="D4430" s="201">
        <v>0</v>
      </c>
      <c r="E4430" s="201">
        <v>0</v>
      </c>
      <c r="F4430">
        <v>0</v>
      </c>
      <c r="G4430">
        <v>0</v>
      </c>
      <c r="H4430">
        <v>0</v>
      </c>
      <c r="I4430">
        <v>0</v>
      </c>
      <c r="J4430">
        <v>0</v>
      </c>
      <c r="K4430" s="201">
        <v>0</v>
      </c>
    </row>
    <row r="4431" spans="1:11" x14ac:dyDescent="0.25">
      <c r="A4431"/>
      <c r="B4431" s="201">
        <v>0</v>
      </c>
      <c r="C4431">
        <v>0</v>
      </c>
      <c r="D4431" s="201">
        <v>0</v>
      </c>
      <c r="E4431" s="201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 s="201">
        <v>0</v>
      </c>
    </row>
    <row r="4432" spans="1:11" x14ac:dyDescent="0.25">
      <c r="A4432"/>
      <c r="B4432" s="201">
        <v>0</v>
      </c>
      <c r="C4432">
        <v>0</v>
      </c>
      <c r="D4432" s="201">
        <v>0</v>
      </c>
      <c r="E4432" s="201">
        <v>0</v>
      </c>
      <c r="F4432">
        <v>0</v>
      </c>
      <c r="G4432">
        <v>0</v>
      </c>
      <c r="H4432">
        <v>0</v>
      </c>
      <c r="I4432">
        <v>0</v>
      </c>
      <c r="J4432">
        <v>0</v>
      </c>
      <c r="K4432" s="201">
        <v>0</v>
      </c>
    </row>
    <row r="4433" spans="1:11" x14ac:dyDescent="0.25">
      <c r="A4433"/>
      <c r="B4433" s="201">
        <v>0</v>
      </c>
      <c r="C4433">
        <v>0</v>
      </c>
      <c r="D4433" s="201">
        <v>0</v>
      </c>
      <c r="E4433" s="201">
        <v>0</v>
      </c>
      <c r="F4433">
        <v>0</v>
      </c>
      <c r="G4433">
        <v>0</v>
      </c>
      <c r="H4433">
        <v>0</v>
      </c>
      <c r="I4433">
        <v>0</v>
      </c>
      <c r="J4433">
        <v>0</v>
      </c>
      <c r="K4433" s="201">
        <v>0</v>
      </c>
    </row>
    <row r="4434" spans="1:11" x14ac:dyDescent="0.25">
      <c r="A4434"/>
      <c r="B4434" s="201">
        <v>0</v>
      </c>
      <c r="C4434">
        <v>0</v>
      </c>
      <c r="D4434" s="201">
        <v>0</v>
      </c>
      <c r="E4434" s="201">
        <v>0</v>
      </c>
      <c r="F4434">
        <v>0</v>
      </c>
      <c r="G4434">
        <v>0</v>
      </c>
      <c r="H4434">
        <v>0</v>
      </c>
      <c r="I4434">
        <v>0</v>
      </c>
      <c r="J4434">
        <v>0</v>
      </c>
      <c r="K4434" s="201">
        <v>0</v>
      </c>
    </row>
    <row r="4435" spans="1:11" x14ac:dyDescent="0.25">
      <c r="A4435"/>
      <c r="B4435" s="201">
        <v>0</v>
      </c>
      <c r="C4435">
        <v>0</v>
      </c>
      <c r="D4435" s="201">
        <v>0</v>
      </c>
      <c r="E4435" s="201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 s="201">
        <v>0</v>
      </c>
    </row>
    <row r="4436" spans="1:11" x14ac:dyDescent="0.25">
      <c r="A4436"/>
      <c r="B4436" s="201">
        <v>0</v>
      </c>
      <c r="C4436">
        <v>0</v>
      </c>
      <c r="D4436" s="201">
        <v>0</v>
      </c>
      <c r="E4436" s="201">
        <v>0</v>
      </c>
      <c r="F4436">
        <v>0</v>
      </c>
      <c r="G4436">
        <v>0</v>
      </c>
      <c r="H4436">
        <v>0</v>
      </c>
      <c r="I4436">
        <v>0</v>
      </c>
      <c r="J4436">
        <v>0</v>
      </c>
      <c r="K4436" s="201">
        <v>0</v>
      </c>
    </row>
    <row r="4437" spans="1:11" x14ac:dyDescent="0.25">
      <c r="A4437"/>
      <c r="B4437" s="201">
        <v>0</v>
      </c>
      <c r="C4437">
        <v>0</v>
      </c>
      <c r="D4437" s="201">
        <v>0</v>
      </c>
      <c r="E4437" s="201">
        <v>0</v>
      </c>
      <c r="F4437">
        <v>0</v>
      </c>
      <c r="G4437">
        <v>0</v>
      </c>
      <c r="H4437">
        <v>0</v>
      </c>
      <c r="I4437">
        <v>0</v>
      </c>
      <c r="J4437">
        <v>0</v>
      </c>
      <c r="K4437" s="201">
        <v>0</v>
      </c>
    </row>
    <row r="4438" spans="1:11" x14ac:dyDescent="0.25">
      <c r="A4438"/>
      <c r="B4438" s="201">
        <v>0</v>
      </c>
      <c r="C4438">
        <v>0</v>
      </c>
      <c r="D4438" s="201">
        <v>0</v>
      </c>
      <c r="E4438" s="201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 s="201">
        <v>0</v>
      </c>
    </row>
    <row r="4439" spans="1:11" x14ac:dyDescent="0.25">
      <c r="A4439"/>
      <c r="B4439" s="201">
        <v>0</v>
      </c>
      <c r="C4439">
        <v>0</v>
      </c>
      <c r="D4439" s="201">
        <v>0</v>
      </c>
      <c r="E4439" s="201">
        <v>0</v>
      </c>
      <c r="F4439">
        <v>0</v>
      </c>
      <c r="G4439">
        <v>0</v>
      </c>
      <c r="H4439">
        <v>0</v>
      </c>
      <c r="I4439">
        <v>0</v>
      </c>
      <c r="J4439">
        <v>0</v>
      </c>
      <c r="K4439" s="201">
        <v>0</v>
      </c>
    </row>
    <row r="4440" spans="1:11" x14ac:dyDescent="0.25">
      <c r="A4440"/>
      <c r="B4440" s="201">
        <v>0</v>
      </c>
      <c r="C4440">
        <v>0</v>
      </c>
      <c r="D4440" s="201">
        <v>0</v>
      </c>
      <c r="E4440" s="201">
        <v>0</v>
      </c>
      <c r="F4440">
        <v>0</v>
      </c>
      <c r="G4440">
        <v>0</v>
      </c>
      <c r="H4440">
        <v>0</v>
      </c>
      <c r="I4440">
        <v>0</v>
      </c>
      <c r="J4440">
        <v>0</v>
      </c>
      <c r="K4440" s="201">
        <v>0</v>
      </c>
    </row>
    <row r="4441" spans="1:11" x14ac:dyDescent="0.25">
      <c r="A4441"/>
      <c r="B4441" s="201">
        <v>0</v>
      </c>
      <c r="C4441">
        <v>0</v>
      </c>
      <c r="D4441" s="201">
        <v>0</v>
      </c>
      <c r="E4441" s="201">
        <v>0</v>
      </c>
      <c r="F4441">
        <v>0</v>
      </c>
      <c r="G4441">
        <v>0</v>
      </c>
      <c r="H4441">
        <v>0</v>
      </c>
      <c r="I4441">
        <v>0</v>
      </c>
      <c r="J4441">
        <v>0</v>
      </c>
      <c r="K4441" s="201">
        <v>0</v>
      </c>
    </row>
    <row r="4442" spans="1:11" x14ac:dyDescent="0.25">
      <c r="A4442"/>
      <c r="B4442" s="201">
        <v>0</v>
      </c>
      <c r="C4442">
        <v>0</v>
      </c>
      <c r="D4442" s="201">
        <v>0</v>
      </c>
      <c r="E4442" s="201">
        <v>0</v>
      </c>
      <c r="F4442">
        <v>0</v>
      </c>
      <c r="G4442">
        <v>0</v>
      </c>
      <c r="H4442">
        <v>0</v>
      </c>
      <c r="I4442">
        <v>0</v>
      </c>
      <c r="J4442">
        <v>0</v>
      </c>
      <c r="K4442" s="201">
        <v>0</v>
      </c>
    </row>
    <row r="4443" spans="1:11" x14ac:dyDescent="0.25">
      <c r="A4443"/>
      <c r="B4443" s="201">
        <v>0</v>
      </c>
      <c r="C4443">
        <v>0</v>
      </c>
      <c r="D4443" s="201">
        <v>0</v>
      </c>
      <c r="E4443" s="201">
        <v>0</v>
      </c>
      <c r="F4443">
        <v>0</v>
      </c>
      <c r="G4443">
        <v>0</v>
      </c>
      <c r="H4443">
        <v>0</v>
      </c>
      <c r="I4443">
        <v>0</v>
      </c>
      <c r="J4443">
        <v>0</v>
      </c>
      <c r="K4443" s="201">
        <v>0</v>
      </c>
    </row>
    <row r="4444" spans="1:11" x14ac:dyDescent="0.25">
      <c r="A4444"/>
      <c r="B4444" s="201">
        <v>0</v>
      </c>
      <c r="C4444">
        <v>0</v>
      </c>
      <c r="D4444" s="201">
        <v>0</v>
      </c>
      <c r="E4444" s="201">
        <v>0</v>
      </c>
      <c r="F4444">
        <v>0</v>
      </c>
      <c r="G4444">
        <v>0</v>
      </c>
      <c r="H4444">
        <v>0</v>
      </c>
      <c r="I4444">
        <v>0</v>
      </c>
      <c r="J4444">
        <v>0</v>
      </c>
      <c r="K4444" s="201">
        <v>0</v>
      </c>
    </row>
    <row r="4445" spans="1:11" x14ac:dyDescent="0.25">
      <c r="A4445"/>
      <c r="B4445" s="201">
        <v>0</v>
      </c>
      <c r="C4445">
        <v>0</v>
      </c>
      <c r="D4445" s="201">
        <v>0</v>
      </c>
      <c r="E4445" s="201">
        <v>0</v>
      </c>
      <c r="F4445">
        <v>0</v>
      </c>
      <c r="G4445">
        <v>0</v>
      </c>
      <c r="H4445">
        <v>0</v>
      </c>
      <c r="I4445">
        <v>0</v>
      </c>
      <c r="J4445">
        <v>0</v>
      </c>
      <c r="K4445" s="201">
        <v>0</v>
      </c>
    </row>
    <row r="4446" spans="1:11" x14ac:dyDescent="0.25">
      <c r="A4446"/>
      <c r="B4446" s="201">
        <v>0</v>
      </c>
      <c r="C4446">
        <v>0</v>
      </c>
      <c r="D4446" s="201">
        <v>0</v>
      </c>
      <c r="E4446" s="201">
        <v>0</v>
      </c>
      <c r="F4446">
        <v>0</v>
      </c>
      <c r="G4446">
        <v>0</v>
      </c>
      <c r="H4446">
        <v>0</v>
      </c>
      <c r="I4446">
        <v>0</v>
      </c>
      <c r="J4446">
        <v>0</v>
      </c>
      <c r="K4446" s="201">
        <v>0</v>
      </c>
    </row>
    <row r="4447" spans="1:11" x14ac:dyDescent="0.25">
      <c r="A4447"/>
      <c r="B4447" s="201">
        <v>0</v>
      </c>
      <c r="C4447">
        <v>0</v>
      </c>
      <c r="D4447" s="201">
        <v>0</v>
      </c>
      <c r="E4447" s="201">
        <v>0</v>
      </c>
      <c r="F4447">
        <v>0</v>
      </c>
      <c r="G4447">
        <v>0</v>
      </c>
      <c r="H4447">
        <v>0</v>
      </c>
      <c r="I4447">
        <v>0</v>
      </c>
      <c r="J4447">
        <v>0</v>
      </c>
      <c r="K4447" s="201">
        <v>0</v>
      </c>
    </row>
    <row r="4448" spans="1:11" x14ac:dyDescent="0.25">
      <c r="A4448"/>
      <c r="B4448" s="201">
        <v>0</v>
      </c>
      <c r="C4448">
        <v>0</v>
      </c>
      <c r="D4448" s="201">
        <v>0</v>
      </c>
      <c r="E4448" s="201">
        <v>0</v>
      </c>
      <c r="F4448">
        <v>0</v>
      </c>
      <c r="G4448">
        <v>0</v>
      </c>
      <c r="H4448">
        <v>0</v>
      </c>
      <c r="I4448">
        <v>0</v>
      </c>
      <c r="J4448">
        <v>0</v>
      </c>
      <c r="K4448" s="201">
        <v>0</v>
      </c>
    </row>
    <row r="4449" spans="1:11" x14ac:dyDescent="0.25">
      <c r="A4449"/>
      <c r="B4449" s="201">
        <v>0</v>
      </c>
      <c r="C4449">
        <v>0</v>
      </c>
      <c r="D4449" s="201">
        <v>0</v>
      </c>
      <c r="E4449" s="201">
        <v>0</v>
      </c>
      <c r="F4449">
        <v>0</v>
      </c>
      <c r="G4449">
        <v>0</v>
      </c>
      <c r="H4449">
        <v>0</v>
      </c>
      <c r="I4449">
        <v>0</v>
      </c>
      <c r="J4449">
        <v>0</v>
      </c>
      <c r="K4449" s="201">
        <v>0</v>
      </c>
    </row>
    <row r="4450" spans="1:11" x14ac:dyDescent="0.25">
      <c r="A4450"/>
      <c r="B4450" s="201">
        <v>0</v>
      </c>
      <c r="C4450">
        <v>0</v>
      </c>
      <c r="D4450" s="201">
        <v>0</v>
      </c>
      <c r="E4450" s="201">
        <v>0</v>
      </c>
      <c r="F4450">
        <v>0</v>
      </c>
      <c r="G4450">
        <v>0</v>
      </c>
      <c r="H4450">
        <v>0</v>
      </c>
      <c r="I4450">
        <v>0</v>
      </c>
      <c r="J4450">
        <v>0</v>
      </c>
      <c r="K4450" s="201">
        <v>0</v>
      </c>
    </row>
    <row r="4451" spans="1:11" x14ac:dyDescent="0.25">
      <c r="A4451"/>
      <c r="B4451" s="201">
        <v>0</v>
      </c>
      <c r="C4451">
        <v>0</v>
      </c>
      <c r="D4451" s="201">
        <v>0</v>
      </c>
      <c r="E4451" s="201">
        <v>0</v>
      </c>
      <c r="F4451">
        <v>0</v>
      </c>
      <c r="G4451">
        <v>0</v>
      </c>
      <c r="H4451">
        <v>0</v>
      </c>
      <c r="I4451">
        <v>0</v>
      </c>
      <c r="J4451">
        <v>0</v>
      </c>
      <c r="K4451" s="201">
        <v>0</v>
      </c>
    </row>
    <row r="4452" spans="1:11" x14ac:dyDescent="0.25">
      <c r="A4452"/>
      <c r="B4452" s="201">
        <v>0</v>
      </c>
      <c r="C4452">
        <v>0</v>
      </c>
      <c r="D4452" s="201">
        <v>0</v>
      </c>
      <c r="E4452" s="201">
        <v>0</v>
      </c>
      <c r="F4452">
        <v>0</v>
      </c>
      <c r="G4452">
        <v>0</v>
      </c>
      <c r="H4452">
        <v>0</v>
      </c>
      <c r="I4452">
        <v>0</v>
      </c>
      <c r="J4452">
        <v>0</v>
      </c>
      <c r="K4452" s="201">
        <v>0</v>
      </c>
    </row>
    <row r="4453" spans="1:11" x14ac:dyDescent="0.25">
      <c r="A4453"/>
      <c r="B4453" s="201">
        <v>25288</v>
      </c>
      <c r="C4453">
        <v>-1805</v>
      </c>
      <c r="D4453" s="201">
        <v>-1603</v>
      </c>
      <c r="E4453" s="201">
        <v>-646</v>
      </c>
      <c r="F4453">
        <v>-1952</v>
      </c>
      <c r="G4453">
        <v>0</v>
      </c>
      <c r="H4453">
        <v>0</v>
      </c>
      <c r="I4453">
        <v>1079</v>
      </c>
      <c r="J4453">
        <v>0</v>
      </c>
      <c r="K4453" s="201">
        <v>0</v>
      </c>
    </row>
    <row r="4454" spans="1:11" x14ac:dyDescent="0.25">
      <c r="A4454"/>
      <c r="B4454" s="201">
        <v>0</v>
      </c>
      <c r="C4454">
        <v>710</v>
      </c>
      <c r="D4454" s="201">
        <v>-1588</v>
      </c>
      <c r="E4454" s="201">
        <v>0</v>
      </c>
      <c r="F4454">
        <v>0</v>
      </c>
      <c r="G4454">
        <v>0</v>
      </c>
      <c r="H4454">
        <v>0</v>
      </c>
      <c r="I4454">
        <v>0</v>
      </c>
      <c r="J4454">
        <v>0</v>
      </c>
      <c r="K4454" s="201">
        <v>-8543</v>
      </c>
    </row>
    <row r="4455" spans="1:11" x14ac:dyDescent="0.25">
      <c r="A4455"/>
      <c r="B4455" s="201">
        <v>0</v>
      </c>
      <c r="C4455">
        <v>0</v>
      </c>
      <c r="D4455" s="201">
        <v>11537</v>
      </c>
      <c r="E4455" s="201">
        <v>0</v>
      </c>
      <c r="F4455">
        <v>-20380</v>
      </c>
      <c r="G4455">
        <v>0</v>
      </c>
      <c r="H4455">
        <v>-29142</v>
      </c>
      <c r="I4455">
        <v>-2500</v>
      </c>
      <c r="J4455">
        <v>-688</v>
      </c>
      <c r="K4455" s="201">
        <v>0</v>
      </c>
    </row>
    <row r="4456" spans="1:11" x14ac:dyDescent="0.25">
      <c r="A4456"/>
      <c r="B4456" s="201">
        <v>173</v>
      </c>
      <c r="C4456">
        <v>-148</v>
      </c>
      <c r="D4456" s="201">
        <v>-259</v>
      </c>
      <c r="E4456" s="201">
        <v>-222</v>
      </c>
      <c r="F4456">
        <v>-188</v>
      </c>
      <c r="G4456">
        <v>-36</v>
      </c>
      <c r="H4456">
        <v>0</v>
      </c>
      <c r="I4456">
        <v>30</v>
      </c>
      <c r="J4456">
        <v>0</v>
      </c>
      <c r="K4456" s="201">
        <v>0</v>
      </c>
    </row>
    <row r="4457" spans="1:11" x14ac:dyDescent="0.25">
      <c r="A4457"/>
      <c r="B4457" s="201">
        <v>0</v>
      </c>
      <c r="C4457">
        <v>0</v>
      </c>
      <c r="D4457" s="201">
        <v>0</v>
      </c>
      <c r="E4457" s="201">
        <v>-182</v>
      </c>
      <c r="F4457">
        <v>0</v>
      </c>
      <c r="G4457">
        <v>0</v>
      </c>
      <c r="H4457">
        <v>0</v>
      </c>
      <c r="I4457">
        <v>44</v>
      </c>
      <c r="J4457">
        <v>0</v>
      </c>
      <c r="K4457" s="201">
        <v>84</v>
      </c>
    </row>
    <row r="4458" spans="1:11" x14ac:dyDescent="0.25">
      <c r="A4458"/>
      <c r="B4458" s="201">
        <v>0</v>
      </c>
      <c r="C4458">
        <v>0</v>
      </c>
      <c r="D4458" s="201">
        <v>0</v>
      </c>
      <c r="E4458" s="201">
        <v>0</v>
      </c>
      <c r="F4458">
        <v>0</v>
      </c>
      <c r="G4458">
        <v>-28</v>
      </c>
      <c r="H4458">
        <v>0</v>
      </c>
      <c r="I4458">
        <v>-1006</v>
      </c>
      <c r="J4458">
        <v>-77</v>
      </c>
      <c r="K4458" s="201">
        <v>0</v>
      </c>
    </row>
    <row r="4459" spans="1:11" x14ac:dyDescent="0.25">
      <c r="A4459"/>
      <c r="B4459" s="201">
        <v>0</v>
      </c>
      <c r="C4459">
        <v>144</v>
      </c>
      <c r="D4459" s="201">
        <v>339</v>
      </c>
      <c r="E4459" s="201">
        <v>0</v>
      </c>
      <c r="F4459">
        <v>-995</v>
      </c>
      <c r="G4459">
        <v>0</v>
      </c>
      <c r="H4459">
        <v>0</v>
      </c>
      <c r="I4459">
        <v>0</v>
      </c>
      <c r="J4459">
        <v>0</v>
      </c>
      <c r="K4459" s="201">
        <v>-674</v>
      </c>
    </row>
    <row r="4460" spans="1:11" x14ac:dyDescent="0.25">
      <c r="A4460"/>
      <c r="B4460" s="201">
        <v>919</v>
      </c>
      <c r="C4460">
        <v>398</v>
      </c>
      <c r="D4460" s="201">
        <v>0</v>
      </c>
      <c r="E4460" s="201">
        <v>0</v>
      </c>
      <c r="F4460">
        <v>71</v>
      </c>
      <c r="G4460">
        <v>695</v>
      </c>
      <c r="H4460">
        <v>0</v>
      </c>
      <c r="I4460">
        <v>-2376</v>
      </c>
      <c r="J4460">
        <v>-2866</v>
      </c>
      <c r="K4460" s="201">
        <v>-1512</v>
      </c>
    </row>
    <row r="4461" spans="1:11" x14ac:dyDescent="0.25">
      <c r="A4461"/>
      <c r="B4461" s="201">
        <v>-1528</v>
      </c>
      <c r="C4461">
        <v>-21</v>
      </c>
      <c r="D4461" s="201">
        <v>-423</v>
      </c>
      <c r="E4461" s="201">
        <v>273</v>
      </c>
      <c r="F4461">
        <v>0</v>
      </c>
      <c r="G4461">
        <v>0</v>
      </c>
      <c r="H4461">
        <v>0</v>
      </c>
      <c r="I4461">
        <v>0</v>
      </c>
      <c r="J4461">
        <v>0</v>
      </c>
      <c r="K4461" s="201">
        <v>32</v>
      </c>
    </row>
    <row r="4462" spans="1:11" x14ac:dyDescent="0.25">
      <c r="A4462"/>
      <c r="B4462" s="201">
        <v>0</v>
      </c>
      <c r="C4462">
        <v>-674</v>
      </c>
      <c r="D4462" s="201">
        <v>-861</v>
      </c>
      <c r="E4462" s="201">
        <v>389</v>
      </c>
      <c r="F4462">
        <v>0</v>
      </c>
      <c r="G4462">
        <v>54</v>
      </c>
      <c r="H4462">
        <v>1681</v>
      </c>
      <c r="I4462">
        <v>-1760</v>
      </c>
      <c r="J4462">
        <v>-1028</v>
      </c>
      <c r="K4462" s="201">
        <v>-397</v>
      </c>
    </row>
    <row r="4463" spans="1:11" x14ac:dyDescent="0.25">
      <c r="A4463"/>
      <c r="B4463" s="201">
        <v>0</v>
      </c>
      <c r="C4463">
        <v>-730</v>
      </c>
      <c r="D4463" s="201">
        <v>-763</v>
      </c>
      <c r="E4463" s="201">
        <v>-833</v>
      </c>
      <c r="F4463">
        <v>719</v>
      </c>
      <c r="G4463">
        <v>0</v>
      </c>
      <c r="H4463">
        <v>-452</v>
      </c>
      <c r="I4463">
        <v>-82</v>
      </c>
      <c r="J4463">
        <v>0</v>
      </c>
      <c r="K4463" s="201">
        <v>0</v>
      </c>
    </row>
    <row r="4464" spans="1:11" x14ac:dyDescent="0.25">
      <c r="A4464"/>
      <c r="B4464" s="201">
        <v>0</v>
      </c>
      <c r="C4464">
        <v>-999</v>
      </c>
      <c r="D4464" s="201">
        <v>-2003</v>
      </c>
      <c r="E4464" s="201">
        <v>0</v>
      </c>
      <c r="F4464">
        <v>-2169</v>
      </c>
      <c r="G4464">
        <v>-400</v>
      </c>
      <c r="H4464">
        <v>104</v>
      </c>
      <c r="I4464">
        <v>-292</v>
      </c>
      <c r="J4464">
        <v>0</v>
      </c>
      <c r="K4464" s="201">
        <v>0</v>
      </c>
    </row>
    <row r="4465" spans="1:11" x14ac:dyDescent="0.25">
      <c r="A4465"/>
      <c r="B4465" s="201">
        <v>0</v>
      </c>
      <c r="C4465">
        <v>0</v>
      </c>
      <c r="D4465" s="201">
        <v>0</v>
      </c>
      <c r="E4465" s="201">
        <v>48</v>
      </c>
      <c r="F4465">
        <v>0</v>
      </c>
      <c r="G4465">
        <v>-2709</v>
      </c>
      <c r="H4465">
        <v>-164</v>
      </c>
      <c r="I4465">
        <v>360</v>
      </c>
      <c r="J4465">
        <v>0</v>
      </c>
      <c r="K4465" s="201">
        <v>-171</v>
      </c>
    </row>
    <row r="4466" spans="1:11" x14ac:dyDescent="0.25">
      <c r="A4466"/>
      <c r="B4466" s="201">
        <v>950</v>
      </c>
      <c r="C4466">
        <v>-1801</v>
      </c>
      <c r="D4466" s="201">
        <v>-293</v>
      </c>
      <c r="E4466" s="201">
        <v>-579</v>
      </c>
      <c r="F4466">
        <v>-1247</v>
      </c>
      <c r="G4466">
        <v>-316</v>
      </c>
      <c r="H4466">
        <v>-646</v>
      </c>
      <c r="I4466">
        <v>0</v>
      </c>
      <c r="J4466">
        <v>1003</v>
      </c>
      <c r="K4466" s="201">
        <v>0</v>
      </c>
    </row>
    <row r="4467" spans="1:11" x14ac:dyDescent="0.25">
      <c r="A4467"/>
      <c r="B4467" s="201">
        <v>0</v>
      </c>
      <c r="C4467">
        <v>-246</v>
      </c>
      <c r="D4467" s="201">
        <v>748</v>
      </c>
      <c r="E4467" s="201">
        <v>0</v>
      </c>
      <c r="F4467">
        <v>3</v>
      </c>
      <c r="G4467">
        <v>0</v>
      </c>
      <c r="H4467">
        <v>0</v>
      </c>
      <c r="I4467">
        <v>-1057</v>
      </c>
      <c r="J4467">
        <v>0</v>
      </c>
      <c r="K4467" s="201">
        <v>499</v>
      </c>
    </row>
    <row r="4468" spans="1:11" x14ac:dyDescent="0.25">
      <c r="A4468"/>
      <c r="B4468" s="201">
        <v>220</v>
      </c>
      <c r="C4468">
        <v>836</v>
      </c>
      <c r="D4468" s="201">
        <v>0</v>
      </c>
      <c r="E4468" s="201">
        <v>0</v>
      </c>
      <c r="F4468">
        <v>0</v>
      </c>
      <c r="G4468">
        <v>0</v>
      </c>
      <c r="H4468">
        <v>0</v>
      </c>
      <c r="I4468">
        <v>52</v>
      </c>
      <c r="J4468">
        <v>0</v>
      </c>
      <c r="K4468" s="201">
        <v>-1839</v>
      </c>
    </row>
    <row r="4469" spans="1:11" x14ac:dyDescent="0.25">
      <c r="A4469"/>
      <c r="B4469" s="201">
        <v>-406</v>
      </c>
      <c r="C4469">
        <v>498</v>
      </c>
      <c r="D4469" s="201">
        <v>0</v>
      </c>
      <c r="E4469" s="201">
        <v>-101</v>
      </c>
      <c r="F4469">
        <v>1237</v>
      </c>
      <c r="G4469">
        <v>-1242</v>
      </c>
      <c r="H4469">
        <v>0</v>
      </c>
      <c r="I4469">
        <v>0</v>
      </c>
      <c r="J4469">
        <v>0</v>
      </c>
      <c r="K4469" s="201">
        <v>-887</v>
      </c>
    </row>
    <row r="4470" spans="1:11" x14ac:dyDescent="0.25">
      <c r="A4470"/>
      <c r="B4470" s="201">
        <v>-548</v>
      </c>
      <c r="C4470">
        <v>-578</v>
      </c>
      <c r="D4470" s="201">
        <v>799</v>
      </c>
      <c r="E4470" s="201">
        <v>-135</v>
      </c>
      <c r="F4470">
        <v>0</v>
      </c>
      <c r="G4470">
        <v>153</v>
      </c>
      <c r="H4470">
        <v>0</v>
      </c>
      <c r="I4470">
        <v>0</v>
      </c>
      <c r="J4470">
        <v>-1016</v>
      </c>
      <c r="K4470" s="201">
        <v>0</v>
      </c>
    </row>
    <row r="4471" spans="1:11" x14ac:dyDescent="0.25">
      <c r="A4471"/>
      <c r="B4471" s="201">
        <v>-2177</v>
      </c>
      <c r="C4471">
        <v>0</v>
      </c>
      <c r="D4471" s="201">
        <v>-2091</v>
      </c>
      <c r="E4471" s="201">
        <v>0</v>
      </c>
      <c r="F4471">
        <v>0</v>
      </c>
      <c r="G4471">
        <v>0</v>
      </c>
      <c r="H4471">
        <v>0</v>
      </c>
      <c r="I4471">
        <v>0</v>
      </c>
      <c r="J4471">
        <v>0</v>
      </c>
      <c r="K4471" s="201">
        <v>0</v>
      </c>
    </row>
    <row r="4472" spans="1:11" x14ac:dyDescent="0.25">
      <c r="A4472"/>
      <c r="B4472" s="201">
        <v>0</v>
      </c>
      <c r="C4472">
        <v>18</v>
      </c>
      <c r="D4472" s="201">
        <v>0</v>
      </c>
      <c r="E4472" s="201">
        <v>-3302</v>
      </c>
      <c r="F4472">
        <v>-219</v>
      </c>
      <c r="G4472">
        <v>197</v>
      </c>
      <c r="H4472">
        <v>0</v>
      </c>
      <c r="I4472">
        <v>-290</v>
      </c>
      <c r="J4472">
        <v>21</v>
      </c>
      <c r="K4472" s="201">
        <v>0</v>
      </c>
    </row>
    <row r="4473" spans="1:11" x14ac:dyDescent="0.25">
      <c r="A4473"/>
      <c r="B4473" s="201">
        <v>0</v>
      </c>
      <c r="C4473">
        <v>0</v>
      </c>
      <c r="D4473" s="201">
        <v>0</v>
      </c>
      <c r="E4473" s="201">
        <v>0</v>
      </c>
      <c r="F4473">
        <v>-28</v>
      </c>
      <c r="G4473">
        <v>-94</v>
      </c>
      <c r="H4473">
        <v>313</v>
      </c>
      <c r="I4473">
        <v>-86</v>
      </c>
      <c r="J4473">
        <v>-265</v>
      </c>
      <c r="K4473" s="201">
        <v>-82</v>
      </c>
    </row>
    <row r="4474" spans="1:11" x14ac:dyDescent="0.25">
      <c r="A4474"/>
      <c r="B4474" s="201">
        <v>0</v>
      </c>
      <c r="C4474">
        <v>0</v>
      </c>
      <c r="D4474" s="201">
        <v>0</v>
      </c>
      <c r="E4474" s="201">
        <v>0</v>
      </c>
      <c r="F4474">
        <v>-1509</v>
      </c>
      <c r="G4474">
        <v>0</v>
      </c>
      <c r="H4474">
        <v>-1375</v>
      </c>
      <c r="I4474">
        <v>0</v>
      </c>
      <c r="J4474">
        <v>0</v>
      </c>
      <c r="K4474" s="201">
        <v>56</v>
      </c>
    </row>
    <row r="4475" spans="1:11" x14ac:dyDescent="0.25">
      <c r="A4475"/>
      <c r="B4475" s="201">
        <v>-7</v>
      </c>
      <c r="C4475">
        <v>0</v>
      </c>
      <c r="D4475" s="201">
        <v>0</v>
      </c>
      <c r="E4475" s="201">
        <v>0</v>
      </c>
      <c r="F4475">
        <v>0</v>
      </c>
      <c r="G4475">
        <v>71</v>
      </c>
      <c r="H4475">
        <v>0</v>
      </c>
      <c r="I4475">
        <v>-561</v>
      </c>
      <c r="J4475">
        <v>-145</v>
      </c>
      <c r="K4475" s="201">
        <v>191</v>
      </c>
    </row>
    <row r="4476" spans="1:11" x14ac:dyDescent="0.25">
      <c r="A4476"/>
      <c r="B4476" s="201">
        <v>1749</v>
      </c>
      <c r="C4476">
        <v>978</v>
      </c>
      <c r="D4476" s="201">
        <v>423</v>
      </c>
      <c r="E4476" s="201">
        <v>372</v>
      </c>
      <c r="F4476">
        <v>36</v>
      </c>
      <c r="G4476">
        <v>160</v>
      </c>
      <c r="H4476">
        <v>130</v>
      </c>
      <c r="I4476">
        <v>0</v>
      </c>
      <c r="J4476">
        <v>0</v>
      </c>
      <c r="K4476" s="201">
        <v>0</v>
      </c>
    </row>
    <row r="4477" spans="1:11" x14ac:dyDescent="0.25">
      <c r="A4477"/>
      <c r="B4477" s="201">
        <v>0</v>
      </c>
      <c r="C4477">
        <v>0</v>
      </c>
      <c r="D4477" s="201">
        <v>0</v>
      </c>
      <c r="E4477" s="201">
        <v>0</v>
      </c>
      <c r="F4477">
        <v>-249</v>
      </c>
      <c r="G4477">
        <v>531</v>
      </c>
      <c r="H4477">
        <v>1242</v>
      </c>
      <c r="I4477">
        <v>59</v>
      </c>
      <c r="J4477">
        <v>998</v>
      </c>
      <c r="K4477" s="201">
        <v>-5</v>
      </c>
    </row>
    <row r="4478" spans="1:11" x14ac:dyDescent="0.25">
      <c r="A4478"/>
      <c r="B4478" s="201">
        <v>0</v>
      </c>
      <c r="C4478">
        <v>0</v>
      </c>
      <c r="D4478" s="201">
        <v>288</v>
      </c>
      <c r="E4478" s="201">
        <v>0</v>
      </c>
      <c r="F4478">
        <v>-452</v>
      </c>
      <c r="G4478">
        <v>476</v>
      </c>
      <c r="H4478">
        <v>0</v>
      </c>
      <c r="I4478">
        <v>0</v>
      </c>
      <c r="J4478">
        <v>0</v>
      </c>
      <c r="K4478" s="201">
        <v>0</v>
      </c>
    </row>
    <row r="4479" spans="1:11" x14ac:dyDescent="0.25">
      <c r="A4479"/>
      <c r="B4479" s="201">
        <v>398</v>
      </c>
      <c r="C4479">
        <v>0</v>
      </c>
      <c r="D4479" s="201">
        <v>-703</v>
      </c>
      <c r="E4479" s="201">
        <v>-588</v>
      </c>
      <c r="F4479">
        <v>0</v>
      </c>
      <c r="G4479">
        <v>0</v>
      </c>
      <c r="H4479">
        <v>0</v>
      </c>
      <c r="I4479">
        <v>0</v>
      </c>
      <c r="J4479">
        <v>0</v>
      </c>
      <c r="K4479" s="201">
        <v>0</v>
      </c>
    </row>
    <row r="4480" spans="1:11" x14ac:dyDescent="0.25">
      <c r="A4480"/>
      <c r="B4480" s="201">
        <v>0</v>
      </c>
      <c r="C4480">
        <v>0</v>
      </c>
      <c r="D4480" s="201">
        <v>0</v>
      </c>
      <c r="E4480" s="201">
        <v>0</v>
      </c>
      <c r="F4480">
        <v>0</v>
      </c>
      <c r="G4480">
        <v>0</v>
      </c>
      <c r="H4480">
        <v>0</v>
      </c>
      <c r="I4480">
        <v>0</v>
      </c>
      <c r="J4480">
        <v>0</v>
      </c>
      <c r="K4480" s="201">
        <v>-1449</v>
      </c>
    </row>
    <row r="4481" spans="1:11" x14ac:dyDescent="0.25">
      <c r="A4481"/>
      <c r="B4481" s="201">
        <v>0</v>
      </c>
      <c r="C4481">
        <v>0</v>
      </c>
      <c r="D4481" s="201">
        <v>0</v>
      </c>
      <c r="E4481" s="201">
        <v>0</v>
      </c>
      <c r="F4481">
        <v>0</v>
      </c>
      <c r="G4481">
        <v>-9793</v>
      </c>
      <c r="H4481">
        <v>-82968</v>
      </c>
      <c r="I4481">
        <v>1879</v>
      </c>
      <c r="J4481">
        <v>14845</v>
      </c>
      <c r="K4481" s="201">
        <v>8363</v>
      </c>
    </row>
    <row r="4482" spans="1:11" x14ac:dyDescent="0.25">
      <c r="A4482"/>
      <c r="B4482" s="201">
        <v>0</v>
      </c>
      <c r="C4482">
        <v>0</v>
      </c>
      <c r="D4482" s="201">
        <v>3632</v>
      </c>
      <c r="E4482" s="201">
        <v>0</v>
      </c>
      <c r="F4482">
        <v>0</v>
      </c>
      <c r="G4482">
        <v>0</v>
      </c>
      <c r="H4482">
        <v>4773</v>
      </c>
      <c r="I4482">
        <v>471</v>
      </c>
      <c r="J4482">
        <v>0</v>
      </c>
      <c r="K4482" s="201">
        <v>0</v>
      </c>
    </row>
    <row r="4483" spans="1:11" x14ac:dyDescent="0.25">
      <c r="A4483"/>
      <c r="B4483" s="201">
        <v>0</v>
      </c>
      <c r="C4483">
        <v>0</v>
      </c>
      <c r="D4483" s="201">
        <v>0</v>
      </c>
      <c r="E4483" s="201">
        <v>0</v>
      </c>
      <c r="F4483">
        <v>4496</v>
      </c>
      <c r="G4483">
        <v>0</v>
      </c>
      <c r="H4483">
        <v>0</v>
      </c>
      <c r="I4483">
        <v>60311</v>
      </c>
      <c r="J4483">
        <v>0</v>
      </c>
      <c r="K4483" s="201">
        <v>-59217</v>
      </c>
    </row>
    <row r="4484" spans="1:11" x14ac:dyDescent="0.25">
      <c r="A4484"/>
      <c r="B4484" s="201">
        <v>0</v>
      </c>
      <c r="C4484">
        <v>-20452</v>
      </c>
      <c r="D4484" s="201">
        <v>3056</v>
      </c>
      <c r="E4484" s="201">
        <v>5626</v>
      </c>
      <c r="F4484">
        <v>0</v>
      </c>
      <c r="G4484">
        <v>17157</v>
      </c>
      <c r="H4484">
        <v>-3574</v>
      </c>
      <c r="I4484">
        <v>-13712</v>
      </c>
      <c r="J4484">
        <v>-14269</v>
      </c>
      <c r="K4484" s="201">
        <v>-16968</v>
      </c>
    </row>
    <row r="4485" spans="1:11" x14ac:dyDescent="0.25">
      <c r="A4485"/>
      <c r="B4485" s="201">
        <v>-13502</v>
      </c>
      <c r="C4485">
        <v>0</v>
      </c>
      <c r="D4485" s="201">
        <v>275</v>
      </c>
      <c r="E4485" s="201">
        <v>0</v>
      </c>
      <c r="F4485">
        <v>0</v>
      </c>
      <c r="G4485">
        <v>0</v>
      </c>
      <c r="H4485">
        <v>0</v>
      </c>
      <c r="I4485">
        <v>0</v>
      </c>
      <c r="J4485">
        <v>-2009</v>
      </c>
      <c r="K4485" s="201">
        <v>0</v>
      </c>
    </row>
    <row r="4486" spans="1:11" x14ac:dyDescent="0.25">
      <c r="A4486"/>
      <c r="B4486" s="201">
        <v>0</v>
      </c>
      <c r="C4486">
        <v>0</v>
      </c>
      <c r="D4486" s="201">
        <v>2480</v>
      </c>
      <c r="E4486" s="201">
        <v>0</v>
      </c>
      <c r="F4486">
        <v>-213</v>
      </c>
      <c r="G4486">
        <v>0</v>
      </c>
      <c r="H4486">
        <v>0</v>
      </c>
      <c r="I4486">
        <v>0</v>
      </c>
      <c r="J4486">
        <v>0</v>
      </c>
      <c r="K4486" s="201">
        <v>0</v>
      </c>
    </row>
    <row r="4487" spans="1:11" x14ac:dyDescent="0.25">
      <c r="A4487"/>
      <c r="B4487" s="201">
        <v>-360</v>
      </c>
      <c r="C4487">
        <v>0</v>
      </c>
      <c r="D4487" s="201">
        <v>512</v>
      </c>
      <c r="E4487" s="201">
        <v>-2044</v>
      </c>
      <c r="F4487">
        <v>0</v>
      </c>
      <c r="G4487">
        <v>0</v>
      </c>
      <c r="H4487">
        <v>-470</v>
      </c>
      <c r="I4487">
        <v>-1396</v>
      </c>
      <c r="J4487">
        <v>0</v>
      </c>
      <c r="K4487" s="201">
        <v>425</v>
      </c>
    </row>
    <row r="4488" spans="1:11" x14ac:dyDescent="0.25">
      <c r="A4488"/>
      <c r="B4488" s="201">
        <v>0</v>
      </c>
      <c r="C4488">
        <v>0</v>
      </c>
      <c r="D4488" s="201">
        <v>0</v>
      </c>
      <c r="E4488" s="201">
        <v>0</v>
      </c>
      <c r="F4488">
        <v>40</v>
      </c>
      <c r="G4488">
        <v>322</v>
      </c>
      <c r="H4488">
        <v>113</v>
      </c>
      <c r="I4488">
        <v>0</v>
      </c>
      <c r="J4488">
        <v>0</v>
      </c>
      <c r="K4488" s="201">
        <v>1</v>
      </c>
    </row>
    <row r="4489" spans="1:11" x14ac:dyDescent="0.25">
      <c r="A4489"/>
      <c r="B4489" s="201">
        <v>-169</v>
      </c>
      <c r="C4489">
        <v>0</v>
      </c>
      <c r="D4489" s="201">
        <v>-342</v>
      </c>
      <c r="E4489" s="201">
        <v>-306</v>
      </c>
      <c r="F4489">
        <v>-192</v>
      </c>
      <c r="G4489">
        <v>-227</v>
      </c>
      <c r="H4489">
        <v>818</v>
      </c>
      <c r="I4489">
        <v>124</v>
      </c>
      <c r="J4489">
        <v>11</v>
      </c>
      <c r="K4489" s="201">
        <v>0</v>
      </c>
    </row>
    <row r="4490" spans="1:11" x14ac:dyDescent="0.25">
      <c r="A4490"/>
      <c r="B4490" s="201">
        <v>0</v>
      </c>
      <c r="C4490">
        <v>0</v>
      </c>
      <c r="D4490" s="201">
        <v>0</v>
      </c>
      <c r="E4490" s="201">
        <v>0</v>
      </c>
      <c r="F4490">
        <v>362</v>
      </c>
      <c r="G4490">
        <v>0</v>
      </c>
      <c r="H4490">
        <v>-256</v>
      </c>
      <c r="I4490">
        <v>-81</v>
      </c>
      <c r="J4490">
        <v>224</v>
      </c>
      <c r="K4490" s="201">
        <v>0</v>
      </c>
    </row>
    <row r="4491" spans="1:11" x14ac:dyDescent="0.25">
      <c r="A4491"/>
      <c r="B4491" s="201">
        <v>241</v>
      </c>
      <c r="C4491">
        <v>-1561</v>
      </c>
      <c r="D4491" s="201">
        <v>-180</v>
      </c>
      <c r="E4491" s="201">
        <v>66</v>
      </c>
      <c r="F4491">
        <v>-138</v>
      </c>
      <c r="G4491">
        <v>0</v>
      </c>
      <c r="H4491">
        <v>209</v>
      </c>
      <c r="I4491">
        <v>-323</v>
      </c>
      <c r="J4491">
        <v>45</v>
      </c>
      <c r="K4491" s="201">
        <v>31</v>
      </c>
    </row>
    <row r="4492" spans="1:11" x14ac:dyDescent="0.25">
      <c r="A4492"/>
      <c r="B4492" s="201">
        <v>0</v>
      </c>
      <c r="C4492">
        <v>176</v>
      </c>
      <c r="D4492" s="201">
        <v>-302</v>
      </c>
      <c r="E4492" s="201">
        <v>0</v>
      </c>
      <c r="F4492">
        <v>0</v>
      </c>
      <c r="G4492">
        <v>0</v>
      </c>
      <c r="H4492">
        <v>-183</v>
      </c>
      <c r="I4492">
        <v>-373</v>
      </c>
      <c r="J4492">
        <v>0</v>
      </c>
      <c r="K4492" s="201">
        <v>-335</v>
      </c>
    </row>
    <row r="4493" spans="1:11" x14ac:dyDescent="0.25">
      <c r="A4493"/>
      <c r="B4493" s="201">
        <v>496</v>
      </c>
      <c r="C4493">
        <v>135</v>
      </c>
      <c r="D4493" s="201">
        <v>-77</v>
      </c>
      <c r="E4493" s="201">
        <v>0</v>
      </c>
      <c r="F4493">
        <v>0</v>
      </c>
      <c r="G4493">
        <v>0</v>
      </c>
      <c r="H4493">
        <v>0</v>
      </c>
      <c r="I4493">
        <v>0</v>
      </c>
      <c r="J4493">
        <v>-325</v>
      </c>
      <c r="K4493" s="201">
        <v>0</v>
      </c>
    </row>
    <row r="4494" spans="1:11" x14ac:dyDescent="0.25">
      <c r="A4494"/>
      <c r="B4494" s="201">
        <v>244</v>
      </c>
      <c r="C4494">
        <v>104</v>
      </c>
      <c r="D4494" s="201">
        <v>199</v>
      </c>
      <c r="E4494" s="201">
        <v>0</v>
      </c>
      <c r="F4494">
        <v>274</v>
      </c>
      <c r="G4494">
        <v>-1609</v>
      </c>
      <c r="H4494">
        <v>-241</v>
      </c>
      <c r="I4494">
        <v>48</v>
      </c>
      <c r="J4494">
        <v>-259</v>
      </c>
      <c r="K4494" s="201">
        <v>16</v>
      </c>
    </row>
    <row r="4495" spans="1:11" x14ac:dyDescent="0.25">
      <c r="A4495"/>
      <c r="B4495" s="201">
        <v>124</v>
      </c>
      <c r="C4495">
        <v>-315</v>
      </c>
      <c r="D4495" s="201">
        <v>0</v>
      </c>
      <c r="E4495" s="201">
        <v>-21</v>
      </c>
      <c r="F4495">
        <v>0</v>
      </c>
      <c r="G4495">
        <v>0</v>
      </c>
      <c r="H4495">
        <v>-294</v>
      </c>
      <c r="I4495">
        <v>104</v>
      </c>
      <c r="J4495">
        <v>0</v>
      </c>
      <c r="K4495" s="201">
        <v>331</v>
      </c>
    </row>
    <row r="4496" spans="1:11" x14ac:dyDescent="0.25">
      <c r="A4496"/>
      <c r="B4496" s="201">
        <v>0</v>
      </c>
      <c r="C4496">
        <v>0</v>
      </c>
      <c r="D4496" s="201">
        <v>-99</v>
      </c>
      <c r="E4496" s="201">
        <v>0</v>
      </c>
      <c r="F4496">
        <v>365</v>
      </c>
      <c r="G4496">
        <v>79</v>
      </c>
      <c r="H4496">
        <v>-3</v>
      </c>
      <c r="I4496">
        <v>0</v>
      </c>
      <c r="J4496">
        <v>0</v>
      </c>
      <c r="K4496" s="201">
        <v>0</v>
      </c>
    </row>
    <row r="4497" spans="1:11" x14ac:dyDescent="0.25">
      <c r="A4497"/>
      <c r="B4497" s="201">
        <v>0</v>
      </c>
      <c r="C4497">
        <v>0</v>
      </c>
      <c r="D4497" s="201">
        <v>-363</v>
      </c>
      <c r="E4497" s="201">
        <v>0</v>
      </c>
      <c r="F4497">
        <v>299</v>
      </c>
      <c r="G4497">
        <v>52</v>
      </c>
      <c r="H4497">
        <v>164</v>
      </c>
      <c r="I4497">
        <v>0</v>
      </c>
      <c r="J4497">
        <v>62</v>
      </c>
      <c r="K4497" s="201">
        <v>-1733</v>
      </c>
    </row>
    <row r="4498" spans="1:11" x14ac:dyDescent="0.25">
      <c r="A4498"/>
      <c r="B4498" s="201">
        <v>-30</v>
      </c>
      <c r="C4498">
        <v>0</v>
      </c>
      <c r="D4498" s="201">
        <v>0</v>
      </c>
      <c r="E4498" s="201">
        <v>0</v>
      </c>
      <c r="F4498">
        <v>482</v>
      </c>
      <c r="G4498">
        <v>-307</v>
      </c>
      <c r="H4498">
        <v>5</v>
      </c>
      <c r="I4498">
        <v>48</v>
      </c>
      <c r="J4498">
        <v>37</v>
      </c>
      <c r="K4498" s="201">
        <v>0</v>
      </c>
    </row>
    <row r="4499" spans="1:11" x14ac:dyDescent="0.25">
      <c r="A4499"/>
      <c r="B4499" s="201">
        <v>-178</v>
      </c>
      <c r="C4499">
        <v>0</v>
      </c>
      <c r="D4499" s="201">
        <v>0</v>
      </c>
      <c r="E4499" s="201">
        <v>-190</v>
      </c>
      <c r="F4499">
        <v>0</v>
      </c>
      <c r="G4499">
        <v>-271</v>
      </c>
      <c r="H4499">
        <v>0</v>
      </c>
      <c r="I4499">
        <v>-87</v>
      </c>
      <c r="J4499">
        <v>0</v>
      </c>
      <c r="K4499" s="201">
        <v>0</v>
      </c>
    </row>
    <row r="4500" spans="1:11" x14ac:dyDescent="0.25">
      <c r="A4500"/>
      <c r="B4500" s="201">
        <v>0</v>
      </c>
      <c r="C4500">
        <v>0</v>
      </c>
      <c r="D4500" s="201">
        <v>0</v>
      </c>
      <c r="E4500" s="201">
        <v>0</v>
      </c>
      <c r="F4500">
        <v>0</v>
      </c>
      <c r="G4500">
        <v>0</v>
      </c>
      <c r="H4500">
        <v>-175</v>
      </c>
      <c r="I4500">
        <v>0</v>
      </c>
      <c r="J4500">
        <v>384</v>
      </c>
      <c r="K4500" s="201">
        <v>-107</v>
      </c>
    </row>
    <row r="4501" spans="1:11" x14ac:dyDescent="0.25">
      <c r="A4501"/>
      <c r="B4501" s="201">
        <v>-197</v>
      </c>
      <c r="C4501">
        <v>0</v>
      </c>
      <c r="D4501" s="201">
        <v>480</v>
      </c>
      <c r="E4501" s="201">
        <v>-171</v>
      </c>
      <c r="F4501">
        <v>0</v>
      </c>
      <c r="G4501">
        <v>0</v>
      </c>
      <c r="H4501">
        <v>0</v>
      </c>
      <c r="I4501">
        <v>0</v>
      </c>
      <c r="J4501">
        <v>0</v>
      </c>
      <c r="K4501" s="201">
        <v>-920</v>
      </c>
    </row>
    <row r="4502" spans="1:11" x14ac:dyDescent="0.25">
      <c r="A4502"/>
      <c r="B4502" s="201">
        <v>-360</v>
      </c>
      <c r="C4502">
        <v>-362</v>
      </c>
      <c r="D4502" s="201">
        <v>-373</v>
      </c>
      <c r="E4502" s="201">
        <v>-54</v>
      </c>
      <c r="F4502">
        <v>-748</v>
      </c>
      <c r="G4502">
        <v>0</v>
      </c>
      <c r="H4502">
        <v>0</v>
      </c>
      <c r="I4502">
        <v>0</v>
      </c>
      <c r="J4502">
        <v>0</v>
      </c>
      <c r="K4502" s="201">
        <v>-301</v>
      </c>
    </row>
    <row r="4503" spans="1:11" x14ac:dyDescent="0.25">
      <c r="A4503"/>
      <c r="B4503" s="201">
        <v>0</v>
      </c>
      <c r="C4503">
        <v>-150</v>
      </c>
      <c r="D4503" s="201">
        <v>0</v>
      </c>
      <c r="E4503" s="201">
        <v>0</v>
      </c>
      <c r="F4503">
        <v>-474</v>
      </c>
      <c r="G4503">
        <v>-11</v>
      </c>
      <c r="H4503">
        <v>0</v>
      </c>
      <c r="I4503">
        <v>0</v>
      </c>
      <c r="J4503">
        <v>0</v>
      </c>
      <c r="K4503" s="201">
        <v>0</v>
      </c>
    </row>
    <row r="4504" spans="1:11" x14ac:dyDescent="0.25">
      <c r="A4504"/>
      <c r="B4504" s="201">
        <v>-407</v>
      </c>
      <c r="C4504">
        <v>0</v>
      </c>
      <c r="D4504" s="201">
        <v>691</v>
      </c>
      <c r="E4504" s="201">
        <v>-233</v>
      </c>
      <c r="F4504">
        <v>-26</v>
      </c>
      <c r="G4504">
        <v>250</v>
      </c>
      <c r="H4504">
        <v>146</v>
      </c>
      <c r="I4504">
        <v>-158</v>
      </c>
      <c r="J4504">
        <v>37</v>
      </c>
      <c r="K4504" s="201">
        <v>209</v>
      </c>
    </row>
    <row r="4505" spans="1:11" x14ac:dyDescent="0.25">
      <c r="A4505"/>
      <c r="B4505" s="201">
        <v>153</v>
      </c>
      <c r="C4505">
        <v>-111</v>
      </c>
      <c r="D4505" s="201">
        <v>0</v>
      </c>
      <c r="E4505" s="201">
        <v>0</v>
      </c>
      <c r="F4505">
        <v>0</v>
      </c>
      <c r="G4505">
        <v>0</v>
      </c>
      <c r="H4505">
        <v>0</v>
      </c>
      <c r="I4505">
        <v>0</v>
      </c>
      <c r="J4505">
        <v>0</v>
      </c>
      <c r="K4505" s="201">
        <v>-417</v>
      </c>
    </row>
    <row r="4506" spans="1:11" x14ac:dyDescent="0.25">
      <c r="A4506"/>
      <c r="B4506" s="201">
        <v>178</v>
      </c>
      <c r="C4506">
        <v>118</v>
      </c>
      <c r="D4506" s="201">
        <v>119</v>
      </c>
      <c r="E4506" s="201">
        <v>-3</v>
      </c>
      <c r="F4506">
        <v>-834</v>
      </c>
      <c r="G4506">
        <v>0</v>
      </c>
      <c r="H4506">
        <v>0</v>
      </c>
      <c r="I4506">
        <v>-607</v>
      </c>
      <c r="J4506">
        <v>0</v>
      </c>
      <c r="K4506" s="201">
        <v>-165</v>
      </c>
    </row>
    <row r="4507" spans="1:11" x14ac:dyDescent="0.25">
      <c r="A4507"/>
      <c r="B4507" s="201">
        <v>1100</v>
      </c>
      <c r="C4507">
        <v>0</v>
      </c>
      <c r="D4507" s="201">
        <v>0</v>
      </c>
      <c r="E4507" s="201">
        <v>0</v>
      </c>
      <c r="F4507">
        <v>0</v>
      </c>
      <c r="G4507">
        <v>1146</v>
      </c>
      <c r="H4507">
        <v>0</v>
      </c>
      <c r="I4507">
        <v>-1969</v>
      </c>
      <c r="J4507">
        <v>575</v>
      </c>
      <c r="K4507" s="201">
        <v>0</v>
      </c>
    </row>
    <row r="4508" spans="1:11" x14ac:dyDescent="0.25">
      <c r="A4508"/>
      <c r="B4508" s="201">
        <v>0</v>
      </c>
      <c r="C4508">
        <v>0</v>
      </c>
      <c r="D4508" s="201">
        <v>0</v>
      </c>
      <c r="E4508" s="201">
        <v>0</v>
      </c>
      <c r="F4508">
        <v>0</v>
      </c>
      <c r="G4508">
        <v>0</v>
      </c>
      <c r="H4508">
        <v>0</v>
      </c>
      <c r="I4508">
        <v>0</v>
      </c>
      <c r="J4508">
        <v>0</v>
      </c>
      <c r="K4508" s="201">
        <v>0</v>
      </c>
    </row>
    <row r="4509" spans="1:11" x14ac:dyDescent="0.25">
      <c r="A4509"/>
      <c r="B4509" s="201">
        <v>0</v>
      </c>
      <c r="C4509">
        <v>0</v>
      </c>
      <c r="D4509" s="201">
        <v>0</v>
      </c>
      <c r="E4509" s="201">
        <v>0</v>
      </c>
      <c r="F4509">
        <v>70</v>
      </c>
      <c r="G4509">
        <v>0</v>
      </c>
      <c r="H4509">
        <v>0</v>
      </c>
      <c r="I4509">
        <v>0</v>
      </c>
      <c r="J4509">
        <v>0</v>
      </c>
      <c r="K4509" s="201">
        <v>0</v>
      </c>
    </row>
    <row r="4510" spans="1:11" x14ac:dyDescent="0.25">
      <c r="A4510"/>
      <c r="B4510" s="201">
        <v>6710</v>
      </c>
      <c r="C4510">
        <v>213</v>
      </c>
      <c r="D4510" s="201">
        <v>-5408</v>
      </c>
      <c r="E4510" s="201">
        <v>-80</v>
      </c>
      <c r="F4510">
        <v>305</v>
      </c>
      <c r="G4510">
        <v>-1083</v>
      </c>
      <c r="H4510">
        <v>0</v>
      </c>
      <c r="I4510">
        <v>0</v>
      </c>
      <c r="J4510">
        <v>-79</v>
      </c>
      <c r="K4510" s="201">
        <v>0</v>
      </c>
    </row>
    <row r="4511" spans="1:11" x14ac:dyDescent="0.25">
      <c r="A4511"/>
      <c r="B4511" s="201">
        <v>0</v>
      </c>
      <c r="C4511">
        <v>0</v>
      </c>
      <c r="D4511" s="201">
        <v>-30</v>
      </c>
      <c r="E4511" s="201">
        <v>-29</v>
      </c>
      <c r="F4511">
        <v>0</v>
      </c>
      <c r="G4511">
        <v>0</v>
      </c>
      <c r="H4511">
        <v>0</v>
      </c>
      <c r="I4511">
        <v>0</v>
      </c>
      <c r="J4511">
        <v>0</v>
      </c>
      <c r="K4511" s="201">
        <v>0</v>
      </c>
    </row>
    <row r="4512" spans="1:11" x14ac:dyDescent="0.25">
      <c r="A4512"/>
      <c r="B4512" s="201">
        <v>-238</v>
      </c>
      <c r="C4512">
        <v>0</v>
      </c>
      <c r="D4512" s="201">
        <v>0</v>
      </c>
      <c r="E4512" s="201">
        <v>639</v>
      </c>
      <c r="F4512">
        <v>0</v>
      </c>
      <c r="G4512">
        <v>-620</v>
      </c>
      <c r="H4512">
        <v>0</v>
      </c>
      <c r="I4512">
        <v>729</v>
      </c>
      <c r="J4512">
        <v>2</v>
      </c>
      <c r="K4512" s="201">
        <v>-5</v>
      </c>
    </row>
    <row r="4513" spans="1:11" x14ac:dyDescent="0.25">
      <c r="A4513"/>
      <c r="B4513" s="201">
        <v>0</v>
      </c>
      <c r="C4513">
        <v>1062</v>
      </c>
      <c r="D4513" s="201">
        <v>-77639</v>
      </c>
      <c r="E4513" s="201">
        <v>-320</v>
      </c>
      <c r="F4513">
        <v>-567</v>
      </c>
      <c r="G4513">
        <v>-977</v>
      </c>
      <c r="H4513">
        <v>351</v>
      </c>
      <c r="I4513">
        <v>0</v>
      </c>
      <c r="J4513">
        <v>-128</v>
      </c>
      <c r="K4513" s="201">
        <v>0</v>
      </c>
    </row>
    <row r="4514" spans="1:11" x14ac:dyDescent="0.25">
      <c r="A4514"/>
      <c r="B4514" s="201">
        <v>0</v>
      </c>
      <c r="C4514">
        <v>0</v>
      </c>
      <c r="D4514" s="201">
        <v>0</v>
      </c>
      <c r="E4514" s="201">
        <v>0</v>
      </c>
      <c r="F4514">
        <v>33</v>
      </c>
      <c r="G4514">
        <v>0</v>
      </c>
      <c r="H4514">
        <v>0</v>
      </c>
      <c r="I4514">
        <v>0</v>
      </c>
      <c r="J4514">
        <v>-28</v>
      </c>
      <c r="K4514" s="201">
        <v>0</v>
      </c>
    </row>
    <row r="4515" spans="1:11" x14ac:dyDescent="0.25">
      <c r="A4515"/>
      <c r="B4515" s="201">
        <v>-87</v>
      </c>
      <c r="C4515">
        <v>0</v>
      </c>
      <c r="D4515" s="201">
        <v>0</v>
      </c>
      <c r="E4515" s="201">
        <v>0</v>
      </c>
      <c r="F4515">
        <v>0</v>
      </c>
      <c r="G4515">
        <v>0</v>
      </c>
      <c r="H4515">
        <v>-1360</v>
      </c>
      <c r="I4515">
        <v>0</v>
      </c>
      <c r="J4515">
        <v>-4723</v>
      </c>
      <c r="K4515" s="201">
        <v>182</v>
      </c>
    </row>
    <row r="4516" spans="1:11" x14ac:dyDescent="0.25">
      <c r="A4516"/>
      <c r="B4516" s="201">
        <v>0</v>
      </c>
      <c r="C4516">
        <v>0</v>
      </c>
      <c r="D4516" s="201">
        <v>70</v>
      </c>
      <c r="E4516" s="201">
        <v>-641</v>
      </c>
      <c r="F4516">
        <v>0</v>
      </c>
      <c r="G4516">
        <v>745</v>
      </c>
      <c r="H4516">
        <v>0</v>
      </c>
      <c r="I4516">
        <v>0</v>
      </c>
      <c r="J4516">
        <v>0</v>
      </c>
      <c r="K4516" s="201">
        <v>0</v>
      </c>
    </row>
    <row r="4517" spans="1:11" x14ac:dyDescent="0.25">
      <c r="A4517"/>
      <c r="B4517" s="201">
        <v>1099</v>
      </c>
      <c r="C4517">
        <v>221</v>
      </c>
      <c r="D4517" s="201">
        <v>77</v>
      </c>
      <c r="E4517" s="201">
        <v>0</v>
      </c>
      <c r="F4517">
        <v>0</v>
      </c>
      <c r="G4517">
        <v>53</v>
      </c>
      <c r="H4517">
        <v>38</v>
      </c>
      <c r="I4517">
        <v>0</v>
      </c>
      <c r="J4517">
        <v>-60</v>
      </c>
      <c r="K4517" s="201">
        <v>321</v>
      </c>
    </row>
    <row r="4518" spans="1:11" x14ac:dyDescent="0.25">
      <c r="A4518"/>
      <c r="B4518" s="201">
        <v>23</v>
      </c>
      <c r="C4518">
        <v>264</v>
      </c>
      <c r="D4518" s="201">
        <v>1195</v>
      </c>
      <c r="E4518" s="201">
        <v>460</v>
      </c>
      <c r="F4518">
        <v>299</v>
      </c>
      <c r="G4518">
        <v>0</v>
      </c>
      <c r="H4518">
        <v>0</v>
      </c>
      <c r="I4518">
        <v>0</v>
      </c>
      <c r="J4518">
        <v>0</v>
      </c>
      <c r="K4518" s="201">
        <v>0</v>
      </c>
    </row>
    <row r="4519" spans="1:11" x14ac:dyDescent="0.25">
      <c r="A4519"/>
      <c r="B4519" s="201">
        <v>-442</v>
      </c>
      <c r="C4519">
        <v>0</v>
      </c>
      <c r="D4519" s="201">
        <v>-1365</v>
      </c>
      <c r="E4519" s="201">
        <v>31</v>
      </c>
      <c r="F4519">
        <v>-179</v>
      </c>
      <c r="G4519">
        <v>0</v>
      </c>
      <c r="H4519">
        <v>341</v>
      </c>
      <c r="I4519">
        <v>-1521</v>
      </c>
      <c r="J4519">
        <v>-1</v>
      </c>
      <c r="K4519" s="201">
        <v>-303</v>
      </c>
    </row>
    <row r="4520" spans="1:11" x14ac:dyDescent="0.25">
      <c r="A4520"/>
      <c r="B4520" s="201">
        <v>-548</v>
      </c>
      <c r="C4520">
        <v>0</v>
      </c>
      <c r="D4520" s="201">
        <v>245</v>
      </c>
      <c r="E4520" s="201">
        <v>-2067</v>
      </c>
      <c r="F4520">
        <v>4</v>
      </c>
      <c r="G4520">
        <v>-17</v>
      </c>
      <c r="H4520">
        <v>0</v>
      </c>
      <c r="I4520">
        <v>57</v>
      </c>
      <c r="J4520">
        <v>-57</v>
      </c>
      <c r="K4520" s="201">
        <v>0</v>
      </c>
    </row>
    <row r="4521" spans="1:11" x14ac:dyDescent="0.25">
      <c r="A4521"/>
      <c r="B4521" s="201">
        <v>0</v>
      </c>
      <c r="C4521">
        <v>0</v>
      </c>
      <c r="D4521" s="201">
        <v>56</v>
      </c>
      <c r="E4521" s="201">
        <v>-117</v>
      </c>
      <c r="F4521">
        <v>0</v>
      </c>
      <c r="G4521">
        <v>-64</v>
      </c>
      <c r="H4521">
        <v>-368</v>
      </c>
      <c r="I4521">
        <v>-11</v>
      </c>
      <c r="J4521">
        <v>-42</v>
      </c>
      <c r="K4521" s="201">
        <v>0</v>
      </c>
    </row>
    <row r="4522" spans="1:11" x14ac:dyDescent="0.25">
      <c r="A4522"/>
      <c r="B4522" s="201">
        <v>0</v>
      </c>
      <c r="C4522">
        <v>0</v>
      </c>
      <c r="D4522" s="201">
        <v>0</v>
      </c>
      <c r="E4522" s="201">
        <v>0</v>
      </c>
      <c r="F4522">
        <v>-434</v>
      </c>
      <c r="G4522">
        <v>0</v>
      </c>
      <c r="H4522">
        <v>233</v>
      </c>
      <c r="I4522">
        <v>66</v>
      </c>
      <c r="J4522">
        <v>64</v>
      </c>
      <c r="K4522" s="201">
        <v>0</v>
      </c>
    </row>
    <row r="4523" spans="1:11" x14ac:dyDescent="0.25">
      <c r="A4523"/>
      <c r="B4523" s="201">
        <v>487</v>
      </c>
      <c r="C4523">
        <v>-2058</v>
      </c>
      <c r="D4523" s="201">
        <v>-25</v>
      </c>
      <c r="E4523" s="201">
        <v>216</v>
      </c>
      <c r="F4523">
        <v>-213</v>
      </c>
      <c r="G4523">
        <v>95</v>
      </c>
      <c r="H4523">
        <v>417</v>
      </c>
      <c r="I4523">
        <v>-2112</v>
      </c>
      <c r="J4523">
        <v>0</v>
      </c>
      <c r="K4523" s="201">
        <v>32</v>
      </c>
    </row>
    <row r="4524" spans="1:11" x14ac:dyDescent="0.25">
      <c r="A4524"/>
      <c r="B4524" s="201">
        <v>0</v>
      </c>
      <c r="C4524">
        <v>0</v>
      </c>
      <c r="D4524" s="201">
        <v>44</v>
      </c>
      <c r="E4524" s="201">
        <v>12</v>
      </c>
      <c r="F4524">
        <v>0</v>
      </c>
      <c r="G4524">
        <v>111</v>
      </c>
      <c r="H4524">
        <v>0</v>
      </c>
      <c r="I4524">
        <v>0</v>
      </c>
      <c r="J4524">
        <v>-32</v>
      </c>
      <c r="K4524" s="201">
        <v>0</v>
      </c>
    </row>
    <row r="4525" spans="1:11" x14ac:dyDescent="0.25">
      <c r="A4525"/>
      <c r="B4525" s="201">
        <v>109</v>
      </c>
      <c r="C4525">
        <v>74</v>
      </c>
      <c r="D4525" s="201">
        <v>-8</v>
      </c>
      <c r="E4525" s="201">
        <v>0</v>
      </c>
      <c r="F4525">
        <v>0</v>
      </c>
      <c r="G4525">
        <v>0</v>
      </c>
      <c r="H4525">
        <v>0</v>
      </c>
      <c r="I4525">
        <v>0</v>
      </c>
      <c r="J4525">
        <v>-665</v>
      </c>
      <c r="K4525" s="201">
        <v>0</v>
      </c>
    </row>
    <row r="4526" spans="1:11" x14ac:dyDescent="0.25">
      <c r="A4526"/>
      <c r="B4526" s="201">
        <v>701</v>
      </c>
      <c r="C4526">
        <v>58</v>
      </c>
      <c r="D4526" s="201">
        <v>80</v>
      </c>
      <c r="E4526" s="201">
        <v>0</v>
      </c>
      <c r="F4526">
        <v>-115</v>
      </c>
      <c r="G4526">
        <v>-1350</v>
      </c>
      <c r="H4526">
        <v>320</v>
      </c>
      <c r="I4526">
        <v>0</v>
      </c>
      <c r="J4526">
        <v>0</v>
      </c>
      <c r="K4526" s="201">
        <v>0</v>
      </c>
    </row>
    <row r="4527" spans="1:11" x14ac:dyDescent="0.25">
      <c r="A4527"/>
      <c r="B4527" s="201">
        <v>802</v>
      </c>
      <c r="C4527">
        <v>-488</v>
      </c>
      <c r="D4527" s="201">
        <v>971</v>
      </c>
      <c r="E4527" s="201">
        <v>-262</v>
      </c>
      <c r="F4527">
        <v>-135</v>
      </c>
      <c r="G4527">
        <v>0</v>
      </c>
      <c r="H4527">
        <v>-43</v>
      </c>
      <c r="I4527">
        <v>0</v>
      </c>
      <c r="J4527">
        <v>0</v>
      </c>
      <c r="K4527" s="201">
        <v>-100</v>
      </c>
    </row>
    <row r="4528" spans="1:11" x14ac:dyDescent="0.25">
      <c r="A4528"/>
      <c r="B4528" s="201">
        <v>0</v>
      </c>
      <c r="C4528">
        <v>-63</v>
      </c>
      <c r="D4528" s="201">
        <v>0</v>
      </c>
      <c r="E4528" s="201">
        <v>116</v>
      </c>
      <c r="F4528">
        <v>0</v>
      </c>
      <c r="G4528">
        <v>0</v>
      </c>
      <c r="H4528">
        <v>0</v>
      </c>
      <c r="I4528">
        <v>0</v>
      </c>
      <c r="J4528">
        <v>0</v>
      </c>
      <c r="K4528" s="201">
        <v>0</v>
      </c>
    </row>
    <row r="4529" spans="1:11" x14ac:dyDescent="0.25">
      <c r="A4529"/>
      <c r="B4529" s="201">
        <v>0</v>
      </c>
      <c r="C4529">
        <v>0</v>
      </c>
      <c r="D4529" s="201">
        <v>-195</v>
      </c>
      <c r="E4529" s="201">
        <v>0</v>
      </c>
      <c r="F4529">
        <v>366</v>
      </c>
      <c r="G4529">
        <v>-1</v>
      </c>
      <c r="H4529">
        <v>-44</v>
      </c>
      <c r="I4529">
        <v>0</v>
      </c>
      <c r="J4529">
        <v>566</v>
      </c>
      <c r="K4529" s="201">
        <v>-544</v>
      </c>
    </row>
    <row r="4530" spans="1:11" x14ac:dyDescent="0.25">
      <c r="A4530"/>
      <c r="B4530" s="201">
        <v>0</v>
      </c>
      <c r="C4530">
        <v>0</v>
      </c>
      <c r="D4530" s="201">
        <v>0</v>
      </c>
      <c r="E4530" s="201">
        <v>0</v>
      </c>
      <c r="F4530">
        <v>0</v>
      </c>
      <c r="G4530">
        <v>-2492</v>
      </c>
      <c r="H4530">
        <v>17</v>
      </c>
      <c r="I4530">
        <v>-517</v>
      </c>
      <c r="J4530">
        <v>-354</v>
      </c>
      <c r="K4530" s="201">
        <v>-164</v>
      </c>
    </row>
    <row r="4531" spans="1:11" x14ac:dyDescent="0.25">
      <c r="A4531"/>
      <c r="B4531" s="201">
        <v>-720</v>
      </c>
      <c r="C4531">
        <v>0</v>
      </c>
      <c r="D4531" s="201">
        <v>0</v>
      </c>
      <c r="E4531" s="201">
        <v>0</v>
      </c>
      <c r="F4531">
        <v>0</v>
      </c>
      <c r="G4531">
        <v>187</v>
      </c>
      <c r="H4531">
        <v>0</v>
      </c>
      <c r="I4531">
        <v>167</v>
      </c>
      <c r="J4531">
        <v>0</v>
      </c>
      <c r="K4531" s="201">
        <v>0</v>
      </c>
    </row>
    <row r="4532" spans="1:11" x14ac:dyDescent="0.25">
      <c r="A4532"/>
      <c r="B4532" s="201">
        <v>-149</v>
      </c>
      <c r="C4532">
        <v>-141</v>
      </c>
      <c r="D4532" s="201">
        <v>0</v>
      </c>
      <c r="E4532" s="201">
        <v>0</v>
      </c>
      <c r="F4532">
        <v>0</v>
      </c>
      <c r="G4532">
        <v>0</v>
      </c>
      <c r="H4532">
        <v>-598</v>
      </c>
      <c r="I4532">
        <v>0</v>
      </c>
      <c r="J4532">
        <v>1078</v>
      </c>
      <c r="K4532" s="201">
        <v>-192</v>
      </c>
    </row>
    <row r="4533" spans="1:11" x14ac:dyDescent="0.25">
      <c r="A4533"/>
      <c r="B4533" s="201">
        <v>-442</v>
      </c>
      <c r="C4533">
        <v>606</v>
      </c>
      <c r="D4533" s="201">
        <v>82</v>
      </c>
      <c r="E4533" s="201">
        <v>222</v>
      </c>
      <c r="F4533">
        <v>372</v>
      </c>
      <c r="G4533">
        <v>448</v>
      </c>
      <c r="H4533">
        <v>-303</v>
      </c>
      <c r="I4533">
        <v>1020</v>
      </c>
      <c r="J4533">
        <v>0</v>
      </c>
      <c r="K4533" s="201">
        <v>0</v>
      </c>
    </row>
    <row r="4534" spans="1:11" x14ac:dyDescent="0.25">
      <c r="A4534"/>
      <c r="B4534" s="201">
        <v>0</v>
      </c>
      <c r="C4534">
        <v>0</v>
      </c>
      <c r="D4534" s="201">
        <v>0</v>
      </c>
      <c r="E4534" s="201">
        <v>0</v>
      </c>
      <c r="F4534">
        <v>0</v>
      </c>
      <c r="G4534">
        <v>-39</v>
      </c>
      <c r="H4534">
        <v>-85</v>
      </c>
      <c r="I4534">
        <v>-92</v>
      </c>
      <c r="J4534">
        <v>58</v>
      </c>
      <c r="K4534" s="201">
        <v>-120</v>
      </c>
    </row>
    <row r="4535" spans="1:11" x14ac:dyDescent="0.25">
      <c r="A4535"/>
      <c r="B4535" s="201">
        <v>173</v>
      </c>
      <c r="C4535">
        <v>0</v>
      </c>
      <c r="D4535" s="201">
        <v>0</v>
      </c>
      <c r="E4535" s="201">
        <v>103</v>
      </c>
      <c r="F4535">
        <v>0</v>
      </c>
      <c r="G4535">
        <v>-113</v>
      </c>
      <c r="H4535">
        <v>762</v>
      </c>
      <c r="I4535">
        <v>0</v>
      </c>
      <c r="J4535">
        <v>0</v>
      </c>
      <c r="K4535" s="201">
        <v>0</v>
      </c>
    </row>
    <row r="4536" spans="1:11" x14ac:dyDescent="0.25">
      <c r="A4536"/>
      <c r="B4536" s="201">
        <v>0</v>
      </c>
      <c r="C4536">
        <v>1437</v>
      </c>
      <c r="D4536" s="201">
        <v>0</v>
      </c>
      <c r="E4536" s="201">
        <v>-236</v>
      </c>
      <c r="F4536">
        <v>5995</v>
      </c>
      <c r="G4536">
        <v>0</v>
      </c>
      <c r="H4536">
        <v>0</v>
      </c>
      <c r="I4536">
        <v>0</v>
      </c>
      <c r="J4536">
        <v>0</v>
      </c>
      <c r="K4536" s="201">
        <v>0</v>
      </c>
    </row>
    <row r="4537" spans="1:11" x14ac:dyDescent="0.25">
      <c r="A4537"/>
      <c r="B4537" s="201">
        <v>0</v>
      </c>
      <c r="C4537">
        <v>0</v>
      </c>
      <c r="D4537" s="201">
        <v>0</v>
      </c>
      <c r="E4537" s="201">
        <v>0</v>
      </c>
      <c r="F4537">
        <v>0</v>
      </c>
      <c r="G4537">
        <v>0</v>
      </c>
      <c r="H4537">
        <v>0</v>
      </c>
      <c r="I4537">
        <v>0</v>
      </c>
      <c r="J4537">
        <v>0</v>
      </c>
      <c r="K4537" s="201">
        <v>0</v>
      </c>
    </row>
    <row r="4538" spans="1:11" x14ac:dyDescent="0.25">
      <c r="A4538"/>
      <c r="B4538" s="201">
        <v>997</v>
      </c>
      <c r="C4538">
        <v>0</v>
      </c>
      <c r="D4538" s="201">
        <v>0</v>
      </c>
      <c r="E4538" s="201">
        <v>0</v>
      </c>
      <c r="F4538">
        <v>0</v>
      </c>
      <c r="G4538">
        <v>0</v>
      </c>
      <c r="H4538">
        <v>-1110</v>
      </c>
      <c r="I4538">
        <v>6712</v>
      </c>
      <c r="J4538">
        <v>-1350</v>
      </c>
      <c r="K4538" s="201">
        <v>-2450</v>
      </c>
    </row>
    <row r="4539" spans="1:11" x14ac:dyDescent="0.25">
      <c r="A4539"/>
      <c r="B4539" s="201">
        <v>-740</v>
      </c>
      <c r="C4539">
        <v>190</v>
      </c>
      <c r="D4539" s="201">
        <v>-884</v>
      </c>
      <c r="E4539" s="201">
        <v>0</v>
      </c>
      <c r="F4539">
        <v>0</v>
      </c>
      <c r="G4539">
        <v>-380</v>
      </c>
      <c r="H4539">
        <v>0</v>
      </c>
      <c r="I4539">
        <v>0</v>
      </c>
      <c r="J4539">
        <v>0</v>
      </c>
      <c r="K4539" s="201">
        <v>1854</v>
      </c>
    </row>
    <row r="4540" spans="1:11" x14ac:dyDescent="0.25">
      <c r="A4540"/>
      <c r="B4540" s="201">
        <v>-1914</v>
      </c>
      <c r="C4540">
        <v>0</v>
      </c>
      <c r="D4540" s="201">
        <v>0</v>
      </c>
      <c r="E4540" s="201">
        <v>0</v>
      </c>
      <c r="F4540">
        <v>0</v>
      </c>
      <c r="G4540">
        <v>0</v>
      </c>
      <c r="H4540">
        <v>0</v>
      </c>
      <c r="I4540">
        <v>-598</v>
      </c>
      <c r="J4540">
        <v>0</v>
      </c>
      <c r="K4540" s="201">
        <v>0</v>
      </c>
    </row>
    <row r="4541" spans="1:11" x14ac:dyDescent="0.25">
      <c r="A4541"/>
      <c r="B4541" s="201">
        <v>-125</v>
      </c>
      <c r="C4541">
        <v>0</v>
      </c>
      <c r="D4541" s="201">
        <v>151</v>
      </c>
      <c r="E4541" s="201">
        <v>0</v>
      </c>
      <c r="F4541">
        <v>2237</v>
      </c>
      <c r="G4541">
        <v>817</v>
      </c>
      <c r="H4541">
        <v>464</v>
      </c>
      <c r="I4541">
        <v>0</v>
      </c>
      <c r="J4541">
        <v>337</v>
      </c>
      <c r="K4541" s="201">
        <v>-2468</v>
      </c>
    </row>
    <row r="4542" spans="1:11" x14ac:dyDescent="0.25">
      <c r="A4542"/>
      <c r="B4542" s="201">
        <v>246</v>
      </c>
      <c r="C4542">
        <v>-305</v>
      </c>
      <c r="D4542" s="201">
        <v>-865</v>
      </c>
      <c r="E4542" s="201">
        <v>-260</v>
      </c>
      <c r="F4542">
        <v>0</v>
      </c>
      <c r="G4542">
        <v>97</v>
      </c>
      <c r="H4542">
        <v>0</v>
      </c>
      <c r="I4542">
        <v>0</v>
      </c>
      <c r="J4542">
        <v>0</v>
      </c>
      <c r="K4542" s="201">
        <v>0</v>
      </c>
    </row>
    <row r="4543" spans="1:11" x14ac:dyDescent="0.25">
      <c r="A4543"/>
      <c r="B4543" s="201">
        <v>0</v>
      </c>
      <c r="C4543">
        <v>-98</v>
      </c>
      <c r="D4543" s="201">
        <v>0</v>
      </c>
      <c r="E4543" s="201">
        <v>0</v>
      </c>
      <c r="F4543">
        <v>0</v>
      </c>
      <c r="G4543">
        <v>-215</v>
      </c>
      <c r="H4543">
        <v>0</v>
      </c>
      <c r="I4543">
        <v>-11</v>
      </c>
      <c r="J4543">
        <v>0</v>
      </c>
      <c r="K4543" s="201">
        <v>0</v>
      </c>
    </row>
    <row r="4544" spans="1:11" x14ac:dyDescent="0.25">
      <c r="A4544"/>
      <c r="B4544" s="201">
        <v>0</v>
      </c>
      <c r="C4544">
        <v>0</v>
      </c>
      <c r="D4544" s="201">
        <v>0</v>
      </c>
      <c r="E4544" s="201">
        <v>25</v>
      </c>
      <c r="F4544">
        <v>0</v>
      </c>
      <c r="G4544">
        <v>1142</v>
      </c>
      <c r="H4544">
        <v>265</v>
      </c>
      <c r="I4544">
        <v>0</v>
      </c>
      <c r="J4544">
        <v>0</v>
      </c>
      <c r="K4544" s="201">
        <v>7971</v>
      </c>
    </row>
    <row r="4545" spans="1:11" x14ac:dyDescent="0.25">
      <c r="A4545"/>
      <c r="B4545" s="201">
        <v>-33960</v>
      </c>
      <c r="C4545">
        <v>0</v>
      </c>
      <c r="D4545" s="201">
        <v>8109</v>
      </c>
      <c r="E4545" s="201">
        <v>0</v>
      </c>
      <c r="F4545">
        <v>0</v>
      </c>
      <c r="G4545">
        <v>0</v>
      </c>
      <c r="H4545">
        <v>0</v>
      </c>
      <c r="I4545">
        <v>6417</v>
      </c>
      <c r="J4545">
        <v>1752</v>
      </c>
      <c r="K4545" s="201">
        <v>1620</v>
      </c>
    </row>
    <row r="4546" spans="1:11" x14ac:dyDescent="0.25">
      <c r="A4546"/>
      <c r="B4546" s="201">
        <v>0</v>
      </c>
      <c r="C4546">
        <v>0</v>
      </c>
      <c r="D4546" s="201">
        <v>333</v>
      </c>
      <c r="E4546" s="201">
        <v>-4030</v>
      </c>
      <c r="F4546">
        <v>0</v>
      </c>
      <c r="G4546">
        <v>1767</v>
      </c>
      <c r="H4546">
        <v>-1875</v>
      </c>
      <c r="I4546">
        <v>-384</v>
      </c>
      <c r="J4546">
        <v>-3284</v>
      </c>
      <c r="K4546" s="201">
        <v>-3167</v>
      </c>
    </row>
    <row r="4547" spans="1:11" x14ac:dyDescent="0.25">
      <c r="A4547"/>
      <c r="B4547" s="201">
        <v>-1554</v>
      </c>
      <c r="C4547">
        <v>-1434</v>
      </c>
      <c r="D4547" s="201">
        <v>0</v>
      </c>
      <c r="E4547" s="201">
        <v>0</v>
      </c>
      <c r="F4547">
        <v>0</v>
      </c>
      <c r="G4547">
        <v>0</v>
      </c>
      <c r="H4547">
        <v>0</v>
      </c>
      <c r="I4547">
        <v>-6116</v>
      </c>
      <c r="J4547">
        <v>0</v>
      </c>
      <c r="K4547" s="201">
        <v>12113</v>
      </c>
    </row>
    <row r="4548" spans="1:11" x14ac:dyDescent="0.25">
      <c r="A4548"/>
      <c r="B4548" s="201">
        <v>2242</v>
      </c>
      <c r="C4548">
        <v>2395</v>
      </c>
      <c r="D4548" s="201">
        <v>0</v>
      </c>
      <c r="E4548" s="201">
        <v>1254</v>
      </c>
      <c r="F4548">
        <v>-6756</v>
      </c>
      <c r="G4548">
        <v>-379</v>
      </c>
      <c r="H4548">
        <v>-351</v>
      </c>
      <c r="I4548">
        <v>-3981</v>
      </c>
      <c r="J4548">
        <v>0</v>
      </c>
      <c r="K4548" s="201">
        <v>-985</v>
      </c>
    </row>
    <row r="4549" spans="1:11" x14ac:dyDescent="0.25">
      <c r="A4549"/>
      <c r="B4549" s="201">
        <v>-3639</v>
      </c>
      <c r="C4549">
        <v>29</v>
      </c>
      <c r="D4549" s="201">
        <v>-52</v>
      </c>
      <c r="E4549" s="201">
        <v>0</v>
      </c>
      <c r="F4549">
        <v>120</v>
      </c>
      <c r="G4549">
        <v>-1612</v>
      </c>
      <c r="H4549">
        <v>0</v>
      </c>
      <c r="I4549">
        <v>0</v>
      </c>
      <c r="J4549">
        <v>0</v>
      </c>
      <c r="K4549" s="201">
        <v>152</v>
      </c>
    </row>
    <row r="4550" spans="1:11" x14ac:dyDescent="0.25">
      <c r="A4550"/>
      <c r="B4550" s="201">
        <v>170</v>
      </c>
      <c r="C4550">
        <v>0</v>
      </c>
      <c r="D4550" s="201">
        <v>-148</v>
      </c>
      <c r="E4550" s="201">
        <v>146</v>
      </c>
      <c r="F4550">
        <v>599</v>
      </c>
      <c r="G4550">
        <v>139</v>
      </c>
      <c r="H4550">
        <v>0</v>
      </c>
      <c r="I4550">
        <v>0</v>
      </c>
      <c r="J4550">
        <v>0</v>
      </c>
      <c r="K4550" s="201">
        <v>0</v>
      </c>
    </row>
    <row r="4551" spans="1:11" x14ac:dyDescent="0.25">
      <c r="A4551"/>
      <c r="B4551" s="201">
        <v>0</v>
      </c>
      <c r="C4551">
        <v>-536</v>
      </c>
      <c r="D4551" s="201">
        <v>0</v>
      </c>
      <c r="E4551" s="201">
        <v>363</v>
      </c>
      <c r="F4551">
        <v>13</v>
      </c>
      <c r="G4551">
        <v>27</v>
      </c>
      <c r="H4551">
        <v>0</v>
      </c>
      <c r="I4551">
        <v>1064</v>
      </c>
      <c r="J4551">
        <v>-7001</v>
      </c>
      <c r="K4551" s="201">
        <v>-321</v>
      </c>
    </row>
    <row r="4552" spans="1:11" x14ac:dyDescent="0.25">
      <c r="A4552"/>
      <c r="B4552" s="201">
        <v>240</v>
      </c>
      <c r="C4552">
        <v>-3869</v>
      </c>
      <c r="D4552" s="201">
        <v>11</v>
      </c>
      <c r="E4552" s="201">
        <v>-1003</v>
      </c>
      <c r="F4552">
        <v>-3488</v>
      </c>
      <c r="G4552">
        <v>0</v>
      </c>
      <c r="H4552">
        <v>-23</v>
      </c>
      <c r="I4552">
        <v>0</v>
      </c>
      <c r="J4552">
        <v>0</v>
      </c>
      <c r="K4552" s="201">
        <v>-1538</v>
      </c>
    </row>
    <row r="4553" spans="1:11" x14ac:dyDescent="0.25">
      <c r="A4553"/>
      <c r="B4553" s="201">
        <v>263</v>
      </c>
      <c r="C4553">
        <v>0</v>
      </c>
      <c r="D4553" s="201">
        <v>-82</v>
      </c>
      <c r="E4553" s="201">
        <v>0</v>
      </c>
      <c r="F4553">
        <v>0</v>
      </c>
      <c r="G4553">
        <v>-120</v>
      </c>
      <c r="H4553">
        <v>0</v>
      </c>
      <c r="I4553">
        <v>97</v>
      </c>
      <c r="J4553">
        <v>567</v>
      </c>
      <c r="K4553" s="201">
        <v>12</v>
      </c>
    </row>
    <row r="4554" spans="1:11" x14ac:dyDescent="0.25">
      <c r="A4554"/>
      <c r="B4554" s="201">
        <v>0</v>
      </c>
      <c r="C4554">
        <v>0</v>
      </c>
      <c r="D4554" s="201">
        <v>0</v>
      </c>
      <c r="E4554" s="201">
        <v>0</v>
      </c>
      <c r="F4554">
        <v>0</v>
      </c>
      <c r="G4554">
        <v>-352</v>
      </c>
      <c r="H4554">
        <v>0</v>
      </c>
      <c r="I4554">
        <v>339</v>
      </c>
      <c r="J4554">
        <v>106</v>
      </c>
      <c r="K4554" s="201">
        <v>200</v>
      </c>
    </row>
    <row r="4555" spans="1:11" x14ac:dyDescent="0.25">
      <c r="A4555"/>
      <c r="B4555" s="201">
        <v>0</v>
      </c>
      <c r="C4555">
        <v>1106</v>
      </c>
      <c r="D4555" s="201">
        <v>-8812</v>
      </c>
      <c r="E4555" s="201">
        <v>299</v>
      </c>
      <c r="F4555">
        <v>0</v>
      </c>
      <c r="G4555">
        <v>0</v>
      </c>
      <c r="H4555">
        <v>0</v>
      </c>
      <c r="I4555">
        <v>-816</v>
      </c>
      <c r="J4555">
        <v>-2954</v>
      </c>
      <c r="K4555" s="201">
        <v>805</v>
      </c>
    </row>
    <row r="4556" spans="1:11" x14ac:dyDescent="0.25">
      <c r="A4556"/>
      <c r="B4556" s="201">
        <v>42</v>
      </c>
      <c r="C4556">
        <v>86</v>
      </c>
      <c r="D4556" s="201">
        <v>0</v>
      </c>
      <c r="E4556" s="201">
        <v>-698</v>
      </c>
      <c r="F4556">
        <v>0</v>
      </c>
      <c r="G4556">
        <v>0</v>
      </c>
      <c r="H4556">
        <v>-379</v>
      </c>
      <c r="I4556">
        <v>0</v>
      </c>
      <c r="J4556">
        <v>-296</v>
      </c>
      <c r="K4556" s="201">
        <v>0</v>
      </c>
    </row>
    <row r="4557" spans="1:11" x14ac:dyDescent="0.25">
      <c r="A4557"/>
      <c r="B4557" s="201">
        <v>54</v>
      </c>
      <c r="C4557">
        <v>0</v>
      </c>
      <c r="D4557" s="201">
        <v>0</v>
      </c>
      <c r="E4557" s="201">
        <v>0</v>
      </c>
      <c r="F4557">
        <v>0</v>
      </c>
      <c r="G4557">
        <v>0</v>
      </c>
      <c r="H4557">
        <v>0</v>
      </c>
      <c r="I4557">
        <v>0</v>
      </c>
      <c r="J4557">
        <v>0</v>
      </c>
      <c r="K4557" s="201">
        <v>-289</v>
      </c>
    </row>
    <row r="4558" spans="1:11" x14ac:dyDescent="0.25">
      <c r="A4558"/>
      <c r="B4558" s="201">
        <v>0</v>
      </c>
      <c r="C4558">
        <v>813</v>
      </c>
      <c r="D4558" s="201">
        <v>-113</v>
      </c>
      <c r="E4558" s="201">
        <v>73</v>
      </c>
      <c r="F4558">
        <v>0</v>
      </c>
      <c r="G4558">
        <v>2167</v>
      </c>
      <c r="H4558">
        <v>644</v>
      </c>
      <c r="I4558">
        <v>0</v>
      </c>
      <c r="J4558">
        <v>0</v>
      </c>
      <c r="K4558" s="201">
        <v>0</v>
      </c>
    </row>
    <row r="4559" spans="1:11" x14ac:dyDescent="0.25">
      <c r="A4559"/>
      <c r="B4559" s="201">
        <v>0</v>
      </c>
      <c r="C4559">
        <v>0</v>
      </c>
      <c r="D4559" s="201">
        <v>-5864</v>
      </c>
      <c r="E4559" s="201">
        <v>-738</v>
      </c>
      <c r="F4559">
        <v>-2382</v>
      </c>
      <c r="G4559">
        <v>-1870</v>
      </c>
      <c r="H4559">
        <v>-1098</v>
      </c>
      <c r="I4559">
        <v>-4206</v>
      </c>
      <c r="J4559">
        <v>0</v>
      </c>
      <c r="K4559" s="201">
        <v>0</v>
      </c>
    </row>
    <row r="4560" spans="1:11" x14ac:dyDescent="0.25">
      <c r="A4560"/>
      <c r="B4560" s="201">
        <v>0</v>
      </c>
      <c r="C4560">
        <v>0</v>
      </c>
      <c r="D4560" s="201">
        <v>590</v>
      </c>
      <c r="E4560" s="201">
        <v>0</v>
      </c>
      <c r="F4560">
        <v>383</v>
      </c>
      <c r="G4560">
        <v>0</v>
      </c>
      <c r="H4560">
        <v>0</v>
      </c>
      <c r="I4560">
        <v>-2460</v>
      </c>
      <c r="J4560">
        <v>-732</v>
      </c>
      <c r="K4560" s="201">
        <v>0</v>
      </c>
    </row>
    <row r="4561" spans="1:11" x14ac:dyDescent="0.25">
      <c r="A4561"/>
      <c r="B4561" s="201">
        <v>0</v>
      </c>
      <c r="C4561">
        <v>0</v>
      </c>
      <c r="D4561" s="201">
        <v>0</v>
      </c>
      <c r="E4561" s="201">
        <v>-659</v>
      </c>
      <c r="F4561">
        <v>0</v>
      </c>
      <c r="G4561">
        <v>2261</v>
      </c>
      <c r="H4561">
        <v>-1472</v>
      </c>
      <c r="I4561">
        <v>-2078</v>
      </c>
      <c r="J4561">
        <v>711</v>
      </c>
      <c r="K4561" s="201">
        <v>26</v>
      </c>
    </row>
    <row r="4562" spans="1:11" x14ac:dyDescent="0.25">
      <c r="A4562"/>
      <c r="B4562" s="201">
        <v>-2250</v>
      </c>
      <c r="C4562">
        <v>640</v>
      </c>
      <c r="D4562" s="201">
        <v>1101</v>
      </c>
      <c r="E4562" s="201">
        <v>1168</v>
      </c>
      <c r="F4562">
        <v>2237</v>
      </c>
      <c r="G4562">
        <v>0</v>
      </c>
      <c r="H4562">
        <v>0</v>
      </c>
      <c r="I4562">
        <v>0</v>
      </c>
      <c r="J4562">
        <v>0</v>
      </c>
      <c r="K4562" s="201">
        <v>0</v>
      </c>
    </row>
    <row r="4563" spans="1:11" x14ac:dyDescent="0.25">
      <c r="A4563"/>
      <c r="B4563" s="201">
        <v>0</v>
      </c>
      <c r="C4563">
        <v>0</v>
      </c>
      <c r="D4563" s="201">
        <v>312</v>
      </c>
      <c r="E4563" s="201">
        <v>-1810</v>
      </c>
      <c r="F4563">
        <v>-2982</v>
      </c>
      <c r="G4563">
        <v>-486</v>
      </c>
      <c r="H4563">
        <v>-1455</v>
      </c>
      <c r="I4563">
        <v>2226</v>
      </c>
      <c r="J4563">
        <v>0</v>
      </c>
      <c r="K4563" s="201">
        <v>0</v>
      </c>
    </row>
    <row r="4564" spans="1:11" x14ac:dyDescent="0.25">
      <c r="A4564"/>
      <c r="B4564" s="201">
        <v>-794</v>
      </c>
      <c r="C4564">
        <v>0</v>
      </c>
      <c r="D4564" s="201">
        <v>-72</v>
      </c>
      <c r="E4564" s="201">
        <v>-9</v>
      </c>
      <c r="F4564">
        <v>0</v>
      </c>
      <c r="G4564">
        <v>0</v>
      </c>
      <c r="H4564">
        <v>0</v>
      </c>
      <c r="I4564">
        <v>0</v>
      </c>
      <c r="J4564">
        <v>15708</v>
      </c>
      <c r="K4564" s="201">
        <v>0</v>
      </c>
    </row>
    <row r="4565" spans="1:11" x14ac:dyDescent="0.25">
      <c r="A4565"/>
      <c r="B4565" s="201">
        <v>3658</v>
      </c>
      <c r="C4565">
        <v>8397</v>
      </c>
      <c r="D4565" s="201">
        <v>0</v>
      </c>
      <c r="E4565" s="201">
        <v>0</v>
      </c>
      <c r="F4565">
        <v>0</v>
      </c>
      <c r="G4565">
        <v>0</v>
      </c>
      <c r="H4565">
        <v>0</v>
      </c>
      <c r="I4565">
        <v>0</v>
      </c>
      <c r="J4565">
        <v>0</v>
      </c>
      <c r="K4565" s="201">
        <v>0</v>
      </c>
    </row>
    <row r="4566" spans="1:11" x14ac:dyDescent="0.25">
      <c r="A4566"/>
      <c r="B4566" s="201">
        <v>0</v>
      </c>
      <c r="C4566">
        <v>0</v>
      </c>
      <c r="D4566" s="201">
        <v>0</v>
      </c>
      <c r="E4566" s="201">
        <v>0</v>
      </c>
      <c r="F4566">
        <v>0</v>
      </c>
      <c r="G4566">
        <v>0</v>
      </c>
      <c r="H4566">
        <v>0</v>
      </c>
      <c r="I4566">
        <v>6307</v>
      </c>
      <c r="J4566">
        <v>0</v>
      </c>
      <c r="K4566" s="201">
        <v>0</v>
      </c>
    </row>
    <row r="4567" spans="1:11" x14ac:dyDescent="0.25">
      <c r="A4567"/>
      <c r="B4567" s="201">
        <v>0</v>
      </c>
      <c r="C4567">
        <v>0</v>
      </c>
      <c r="D4567" s="201">
        <v>0</v>
      </c>
      <c r="E4567" s="201">
        <v>-1703</v>
      </c>
      <c r="F4567">
        <v>6670</v>
      </c>
      <c r="G4567">
        <v>6378</v>
      </c>
      <c r="H4567">
        <v>-6611</v>
      </c>
      <c r="I4567">
        <v>-969</v>
      </c>
      <c r="J4567">
        <v>-1476</v>
      </c>
      <c r="K4567" s="201">
        <v>274</v>
      </c>
    </row>
    <row r="4568" spans="1:11" x14ac:dyDescent="0.25">
      <c r="A4568"/>
      <c r="B4568" s="201">
        <v>-522</v>
      </c>
      <c r="C4568">
        <v>0</v>
      </c>
      <c r="D4568" s="201">
        <v>0</v>
      </c>
      <c r="E4568" s="201">
        <v>-960</v>
      </c>
      <c r="F4568">
        <v>0</v>
      </c>
      <c r="G4568">
        <v>0</v>
      </c>
      <c r="H4568">
        <v>0</v>
      </c>
      <c r="I4568">
        <v>-735</v>
      </c>
      <c r="J4568">
        <v>1603</v>
      </c>
      <c r="K4568" s="201">
        <v>0</v>
      </c>
    </row>
    <row r="4569" spans="1:11" x14ac:dyDescent="0.25">
      <c r="A4569"/>
      <c r="B4569" s="201">
        <v>0</v>
      </c>
      <c r="C4569">
        <v>0</v>
      </c>
      <c r="D4569" s="201">
        <v>0</v>
      </c>
      <c r="E4569" s="201">
        <v>0</v>
      </c>
      <c r="F4569">
        <v>0</v>
      </c>
      <c r="G4569">
        <v>-123</v>
      </c>
      <c r="H4569">
        <v>0</v>
      </c>
      <c r="I4569">
        <v>0</v>
      </c>
      <c r="J4569">
        <v>-72</v>
      </c>
      <c r="K4569" s="201">
        <v>0</v>
      </c>
    </row>
    <row r="4570" spans="1:11" x14ac:dyDescent="0.25">
      <c r="A4570"/>
      <c r="B4570" s="201">
        <v>151</v>
      </c>
      <c r="C4570">
        <v>0</v>
      </c>
      <c r="D4570" s="201">
        <v>987</v>
      </c>
      <c r="E4570" s="201">
        <v>5397</v>
      </c>
      <c r="F4570">
        <v>2031</v>
      </c>
      <c r="G4570">
        <v>0</v>
      </c>
      <c r="H4570">
        <v>-1851</v>
      </c>
      <c r="I4570">
        <v>-1758</v>
      </c>
      <c r="J4570">
        <v>172</v>
      </c>
      <c r="K4570" s="201">
        <v>665</v>
      </c>
    </row>
    <row r="4571" spans="1:11" x14ac:dyDescent="0.25">
      <c r="A4571"/>
      <c r="B4571" s="201">
        <v>1401</v>
      </c>
      <c r="C4571">
        <v>917</v>
      </c>
      <c r="D4571" s="201">
        <v>0</v>
      </c>
      <c r="E4571" s="201">
        <v>28</v>
      </c>
      <c r="F4571">
        <v>0</v>
      </c>
      <c r="G4571">
        <v>0</v>
      </c>
      <c r="H4571">
        <v>0</v>
      </c>
      <c r="I4571">
        <v>0</v>
      </c>
      <c r="J4571">
        <v>0</v>
      </c>
      <c r="K4571" s="201">
        <v>134</v>
      </c>
    </row>
    <row r="4572" spans="1:11" x14ac:dyDescent="0.25">
      <c r="A4572"/>
      <c r="B4572" s="201">
        <v>0</v>
      </c>
      <c r="C4572">
        <v>0</v>
      </c>
      <c r="D4572" s="201">
        <v>0</v>
      </c>
      <c r="E4572" s="201">
        <v>43</v>
      </c>
      <c r="F4572">
        <v>0</v>
      </c>
      <c r="G4572">
        <v>74</v>
      </c>
      <c r="H4572">
        <v>0</v>
      </c>
      <c r="I4572">
        <v>0</v>
      </c>
      <c r="J4572">
        <v>0</v>
      </c>
      <c r="K4572" s="201">
        <v>0</v>
      </c>
    </row>
    <row r="4573" spans="1:11" x14ac:dyDescent="0.25">
      <c r="A4573"/>
      <c r="B4573" s="201">
        <v>0</v>
      </c>
      <c r="C4573">
        <v>110</v>
      </c>
      <c r="D4573" s="201">
        <v>0</v>
      </c>
      <c r="E4573" s="201">
        <v>573</v>
      </c>
      <c r="F4573">
        <v>630</v>
      </c>
      <c r="G4573">
        <v>0</v>
      </c>
      <c r="H4573">
        <v>0</v>
      </c>
      <c r="I4573">
        <v>621</v>
      </c>
      <c r="J4573">
        <v>-6925</v>
      </c>
      <c r="K4573" s="201">
        <v>0</v>
      </c>
    </row>
    <row r="4574" spans="1:11" x14ac:dyDescent="0.25">
      <c r="B4574" s="201">
        <v>2740</v>
      </c>
      <c r="C4574">
        <v>0</v>
      </c>
      <c r="D4574" s="201">
        <v>0</v>
      </c>
      <c r="E4574" s="201">
        <v>0</v>
      </c>
      <c r="F4574">
        <v>0</v>
      </c>
      <c r="G4574">
        <v>-574</v>
      </c>
      <c r="H4574">
        <v>-57</v>
      </c>
      <c r="I4574">
        <v>-95</v>
      </c>
      <c r="J4574">
        <v>0</v>
      </c>
      <c r="K4574" s="201">
        <v>0</v>
      </c>
    </row>
    <row r="4575" spans="1:11" x14ac:dyDescent="0.25">
      <c r="A4575"/>
      <c r="B4575" s="201">
        <v>-6</v>
      </c>
      <c r="C4575">
        <v>469</v>
      </c>
      <c r="D4575" s="201">
        <v>0</v>
      </c>
      <c r="E4575" s="201">
        <v>-686</v>
      </c>
      <c r="F4575">
        <v>433</v>
      </c>
      <c r="G4575">
        <v>224</v>
      </c>
      <c r="H4575">
        <v>411</v>
      </c>
      <c r="I4575">
        <v>748</v>
      </c>
      <c r="J4575">
        <v>586</v>
      </c>
      <c r="K4575" s="201">
        <v>84</v>
      </c>
    </row>
    <row r="4576" spans="1:11" x14ac:dyDescent="0.25">
      <c r="A4576"/>
      <c r="B4576" s="201">
        <v>0</v>
      </c>
      <c r="C4576">
        <v>0</v>
      </c>
      <c r="D4576" s="201">
        <v>0</v>
      </c>
      <c r="E4576" s="201">
        <v>0</v>
      </c>
      <c r="F4576">
        <v>0</v>
      </c>
      <c r="G4576">
        <v>148</v>
      </c>
      <c r="H4576">
        <v>0</v>
      </c>
      <c r="I4576">
        <v>51</v>
      </c>
      <c r="J4576">
        <v>-651</v>
      </c>
      <c r="K4576" s="201">
        <v>-17</v>
      </c>
    </row>
    <row r="4577" spans="1:11" x14ac:dyDescent="0.25">
      <c r="A4577"/>
      <c r="B4577" s="201">
        <v>0</v>
      </c>
      <c r="C4577">
        <v>-4090</v>
      </c>
      <c r="D4577" s="201">
        <v>-19009</v>
      </c>
      <c r="E4577" s="201">
        <v>2201</v>
      </c>
      <c r="F4577">
        <v>28924</v>
      </c>
      <c r="G4577">
        <v>24496</v>
      </c>
      <c r="H4577">
        <v>0</v>
      </c>
      <c r="I4577">
        <v>7080</v>
      </c>
      <c r="J4577">
        <v>13563</v>
      </c>
      <c r="K4577" s="201">
        <v>16270</v>
      </c>
    </row>
    <row r="4578" spans="1:11" x14ac:dyDescent="0.25">
      <c r="B4578" s="201">
        <v>1000</v>
      </c>
      <c r="C4578">
        <v>0</v>
      </c>
      <c r="D4578" s="201">
        <v>-1281</v>
      </c>
      <c r="E4578" s="201">
        <v>-2089</v>
      </c>
      <c r="F4578">
        <v>0</v>
      </c>
      <c r="G4578">
        <v>0</v>
      </c>
      <c r="H4578">
        <v>0</v>
      </c>
      <c r="I4578">
        <v>1419</v>
      </c>
      <c r="J4578">
        <v>-2864</v>
      </c>
      <c r="K4578" s="201">
        <v>0</v>
      </c>
    </row>
    <row r="4579" spans="1:11" x14ac:dyDescent="0.25">
      <c r="A4579"/>
      <c r="B4579" s="201">
        <v>-3161</v>
      </c>
      <c r="C4579">
        <v>2720</v>
      </c>
      <c r="D4579" s="201">
        <v>832</v>
      </c>
      <c r="E4579" s="201">
        <v>-471</v>
      </c>
      <c r="F4579">
        <v>0</v>
      </c>
      <c r="G4579">
        <v>0</v>
      </c>
      <c r="H4579">
        <v>0</v>
      </c>
      <c r="I4579">
        <v>0</v>
      </c>
      <c r="J4579">
        <v>0</v>
      </c>
      <c r="K4579" s="201">
        <v>-111</v>
      </c>
    </row>
    <row r="4580" spans="1:11" x14ac:dyDescent="0.25">
      <c r="A4580"/>
      <c r="B4580" s="201">
        <v>0</v>
      </c>
      <c r="C4580">
        <v>-4418</v>
      </c>
      <c r="D4580" s="201">
        <v>2942</v>
      </c>
      <c r="E4580" s="201">
        <v>455</v>
      </c>
      <c r="F4580">
        <v>0</v>
      </c>
      <c r="G4580">
        <v>1538</v>
      </c>
      <c r="H4580">
        <v>-8062</v>
      </c>
      <c r="I4580">
        <v>-620</v>
      </c>
      <c r="J4580">
        <v>-740</v>
      </c>
      <c r="K4580" s="201">
        <v>-4047</v>
      </c>
    </row>
    <row r="4581" spans="1:11" x14ac:dyDescent="0.25">
      <c r="B4581" s="201">
        <v>-112</v>
      </c>
      <c r="C4581">
        <v>-1017</v>
      </c>
      <c r="D4581" s="201">
        <v>-1175</v>
      </c>
      <c r="E4581" s="201">
        <v>0</v>
      </c>
      <c r="F4581">
        <v>-246</v>
      </c>
      <c r="G4581">
        <v>0</v>
      </c>
      <c r="H4581">
        <v>0</v>
      </c>
      <c r="I4581">
        <v>-1703</v>
      </c>
      <c r="J4581">
        <v>369</v>
      </c>
      <c r="K4581" s="201">
        <v>0</v>
      </c>
    </row>
    <row r="4582" spans="1:11" x14ac:dyDescent="0.25">
      <c r="A4582"/>
      <c r="B4582" s="201">
        <v>329</v>
      </c>
      <c r="C4582">
        <v>0</v>
      </c>
      <c r="D4582" s="201">
        <v>0</v>
      </c>
      <c r="E4582" s="201">
        <v>64</v>
      </c>
      <c r="F4582">
        <v>0</v>
      </c>
      <c r="G4582">
        <v>190</v>
      </c>
      <c r="H4582">
        <v>536</v>
      </c>
      <c r="I4582">
        <v>503</v>
      </c>
      <c r="J4582">
        <v>0</v>
      </c>
      <c r="K4582" s="201">
        <v>0</v>
      </c>
    </row>
    <row r="4583" spans="1:11" x14ac:dyDescent="0.25">
      <c r="A4583"/>
      <c r="B4583" s="201">
        <v>0</v>
      </c>
      <c r="C4583">
        <v>0</v>
      </c>
      <c r="D4583" s="201">
        <v>0</v>
      </c>
      <c r="E4583" s="201">
        <v>-43</v>
      </c>
      <c r="F4583">
        <v>0</v>
      </c>
      <c r="G4583">
        <v>1318</v>
      </c>
      <c r="H4583">
        <v>-859</v>
      </c>
      <c r="I4583">
        <v>229</v>
      </c>
      <c r="J4583">
        <v>0</v>
      </c>
      <c r="K4583" s="201">
        <v>2330</v>
      </c>
    </row>
    <row r="4584" spans="1:11" x14ac:dyDescent="0.25">
      <c r="A4584"/>
      <c r="B4584" s="201">
        <v>-10575</v>
      </c>
      <c r="C4584">
        <v>36</v>
      </c>
      <c r="D4584" s="201">
        <v>0</v>
      </c>
      <c r="E4584" s="201">
        <v>0</v>
      </c>
      <c r="F4584">
        <v>0</v>
      </c>
      <c r="G4584">
        <v>-929</v>
      </c>
      <c r="H4584">
        <v>-1586</v>
      </c>
      <c r="I4584">
        <v>-770</v>
      </c>
      <c r="J4584">
        <v>-73</v>
      </c>
      <c r="K4584" s="201">
        <v>43</v>
      </c>
    </row>
    <row r="4585" spans="1:11" x14ac:dyDescent="0.25">
      <c r="A4585"/>
      <c r="B4585" s="201">
        <v>0</v>
      </c>
      <c r="C4585">
        <v>-714</v>
      </c>
      <c r="D4585" s="201">
        <v>0</v>
      </c>
      <c r="E4585" s="201">
        <v>0</v>
      </c>
      <c r="F4585">
        <v>-115</v>
      </c>
      <c r="G4585">
        <v>0</v>
      </c>
      <c r="H4585">
        <v>-987</v>
      </c>
      <c r="I4585">
        <v>0</v>
      </c>
      <c r="J4585">
        <v>-316</v>
      </c>
      <c r="K4585" s="201">
        <v>0</v>
      </c>
    </row>
    <row r="4586" spans="1:11" x14ac:dyDescent="0.25">
      <c r="A4586"/>
      <c r="B4586" s="201">
        <v>0</v>
      </c>
      <c r="C4586">
        <v>0</v>
      </c>
      <c r="D4586" s="201">
        <v>0</v>
      </c>
      <c r="E4586" s="201">
        <v>0</v>
      </c>
      <c r="F4586">
        <v>0</v>
      </c>
      <c r="G4586">
        <v>0</v>
      </c>
      <c r="H4586">
        <v>0</v>
      </c>
      <c r="I4586">
        <v>-361</v>
      </c>
      <c r="J4586">
        <v>0</v>
      </c>
      <c r="K4586" s="201">
        <v>976</v>
      </c>
    </row>
    <row r="4587" spans="1:11" x14ac:dyDescent="0.25">
      <c r="A4587"/>
      <c r="B4587" s="201">
        <v>-688</v>
      </c>
      <c r="C4587">
        <v>318</v>
      </c>
      <c r="D4587" s="201">
        <v>0</v>
      </c>
      <c r="E4587" s="201">
        <v>3534</v>
      </c>
      <c r="F4587">
        <v>366</v>
      </c>
      <c r="G4587">
        <v>0</v>
      </c>
      <c r="H4587">
        <v>0</v>
      </c>
      <c r="I4587">
        <v>0</v>
      </c>
      <c r="J4587">
        <v>0</v>
      </c>
      <c r="K4587" s="201">
        <v>0</v>
      </c>
    </row>
    <row r="4588" spans="1:11" x14ac:dyDescent="0.25">
      <c r="B4588" s="201">
        <v>-3632</v>
      </c>
      <c r="C4588">
        <v>-2761</v>
      </c>
      <c r="D4588" s="201">
        <v>-2817</v>
      </c>
      <c r="E4588" s="201">
        <v>-2188</v>
      </c>
      <c r="F4588">
        <v>-1136</v>
      </c>
      <c r="G4588">
        <v>-5297</v>
      </c>
      <c r="H4588">
        <v>0</v>
      </c>
      <c r="I4588">
        <v>0</v>
      </c>
      <c r="J4588">
        <v>0</v>
      </c>
      <c r="K4588" s="201">
        <v>0</v>
      </c>
    </row>
    <row r="4589" spans="1:11" x14ac:dyDescent="0.25">
      <c r="A4589"/>
      <c r="B4589" s="201">
        <v>-273</v>
      </c>
      <c r="C4589">
        <v>0</v>
      </c>
      <c r="D4589" s="201">
        <v>84</v>
      </c>
      <c r="E4589" s="201">
        <v>0</v>
      </c>
      <c r="F4589">
        <v>0</v>
      </c>
      <c r="G4589">
        <v>-2136</v>
      </c>
      <c r="H4589">
        <v>-3050</v>
      </c>
      <c r="I4589">
        <v>0</v>
      </c>
      <c r="J4589">
        <v>0</v>
      </c>
      <c r="K4589" s="201">
        <v>0</v>
      </c>
    </row>
    <row r="4590" spans="1:11" x14ac:dyDescent="0.25">
      <c r="A4590"/>
      <c r="B4590" s="201">
        <v>0</v>
      </c>
      <c r="C4590">
        <v>-890</v>
      </c>
      <c r="D4590" s="201">
        <v>0</v>
      </c>
      <c r="E4590" s="201">
        <v>3061</v>
      </c>
      <c r="F4590">
        <v>-2201</v>
      </c>
      <c r="G4590">
        <v>-2226</v>
      </c>
      <c r="H4590">
        <v>595</v>
      </c>
      <c r="I4590">
        <v>-386</v>
      </c>
      <c r="J4590">
        <v>-10467</v>
      </c>
      <c r="K4590" s="201">
        <v>-8652</v>
      </c>
    </row>
    <row r="4591" spans="1:11" x14ac:dyDescent="0.25">
      <c r="A4591"/>
      <c r="B4591" s="201">
        <v>1035</v>
      </c>
      <c r="C4591" s="201">
        <v>-446</v>
      </c>
      <c r="D4591" s="201">
        <v>-1762</v>
      </c>
      <c r="E4591" s="201">
        <v>0</v>
      </c>
      <c r="F4591">
        <v>0</v>
      </c>
      <c r="G4591">
        <v>0</v>
      </c>
      <c r="H4591">
        <v>0</v>
      </c>
      <c r="I4591">
        <v>0</v>
      </c>
      <c r="J4591">
        <v>0</v>
      </c>
      <c r="K4591" s="201">
        <v>0</v>
      </c>
    </row>
    <row r="4592" spans="1:11" x14ac:dyDescent="0.25">
      <c r="A4592"/>
      <c r="B4592" s="201">
        <v>316</v>
      </c>
      <c r="C4592">
        <v>616</v>
      </c>
      <c r="D4592" s="201">
        <v>1282</v>
      </c>
      <c r="E4592" s="201">
        <v>146</v>
      </c>
      <c r="F4592">
        <v>1558</v>
      </c>
      <c r="G4592">
        <v>716</v>
      </c>
      <c r="H4592">
        <v>0</v>
      </c>
      <c r="I4592">
        <v>0</v>
      </c>
      <c r="J4592">
        <v>-3032</v>
      </c>
      <c r="K4592" s="201">
        <v>0</v>
      </c>
    </row>
    <row r="4593" spans="1:11" x14ac:dyDescent="0.25">
      <c r="A4593"/>
      <c r="B4593" s="201">
        <v>535</v>
      </c>
      <c r="C4593">
        <v>1428</v>
      </c>
      <c r="D4593" s="201">
        <v>0</v>
      </c>
      <c r="E4593" s="201">
        <v>0</v>
      </c>
      <c r="F4593">
        <v>0</v>
      </c>
      <c r="G4593">
        <v>0</v>
      </c>
      <c r="H4593">
        <v>9597</v>
      </c>
      <c r="I4593">
        <v>0</v>
      </c>
      <c r="J4593">
        <v>1954</v>
      </c>
      <c r="K4593" s="201">
        <v>4770</v>
      </c>
    </row>
    <row r="4594" spans="1:11" x14ac:dyDescent="0.25">
      <c r="A4594"/>
      <c r="B4594" s="201">
        <v>0</v>
      </c>
      <c r="C4594">
        <v>0</v>
      </c>
      <c r="D4594" s="201">
        <v>0</v>
      </c>
      <c r="E4594" s="201">
        <v>0</v>
      </c>
      <c r="F4594">
        <v>0</v>
      </c>
      <c r="G4594">
        <v>0</v>
      </c>
      <c r="H4594">
        <v>0</v>
      </c>
      <c r="I4594">
        <v>0</v>
      </c>
      <c r="J4594">
        <v>0</v>
      </c>
      <c r="K4594" s="201">
        <v>0</v>
      </c>
    </row>
    <row r="4595" spans="1:11" x14ac:dyDescent="0.25">
      <c r="A4595"/>
      <c r="B4595" s="201">
        <v>0</v>
      </c>
      <c r="C4595">
        <v>0</v>
      </c>
      <c r="D4595" s="201">
        <v>0</v>
      </c>
      <c r="E4595" s="201">
        <v>0</v>
      </c>
      <c r="F4595">
        <v>0</v>
      </c>
      <c r="G4595">
        <v>6943</v>
      </c>
      <c r="H4595">
        <v>0</v>
      </c>
      <c r="I4595">
        <v>0</v>
      </c>
      <c r="J4595">
        <v>0</v>
      </c>
      <c r="K4595" s="201">
        <v>0</v>
      </c>
    </row>
    <row r="4596" spans="1:11" x14ac:dyDescent="0.25">
      <c r="A4596"/>
      <c r="B4596" s="201">
        <v>0</v>
      </c>
      <c r="C4596">
        <v>1384</v>
      </c>
      <c r="D4596" s="201">
        <v>5937</v>
      </c>
      <c r="E4596" s="201">
        <v>5804</v>
      </c>
      <c r="F4596">
        <v>28618</v>
      </c>
      <c r="G4596">
        <v>-5377</v>
      </c>
      <c r="H4596">
        <v>-744</v>
      </c>
      <c r="I4596">
        <v>-448</v>
      </c>
      <c r="J4596">
        <v>343</v>
      </c>
      <c r="K4596" s="201">
        <v>-164</v>
      </c>
    </row>
    <row r="4597" spans="1:11" x14ac:dyDescent="0.25">
      <c r="A4597"/>
      <c r="B4597" s="201">
        <v>0</v>
      </c>
      <c r="C4597">
        <v>0</v>
      </c>
      <c r="D4597" s="201">
        <v>-16</v>
      </c>
      <c r="E4597" s="201">
        <v>0</v>
      </c>
      <c r="F4597">
        <v>0</v>
      </c>
      <c r="G4597">
        <v>0</v>
      </c>
      <c r="H4597">
        <v>-1292</v>
      </c>
      <c r="I4597">
        <v>279</v>
      </c>
      <c r="J4597">
        <v>0</v>
      </c>
      <c r="K4597" s="201">
        <v>0</v>
      </c>
    </row>
    <row r="4598" spans="1:11" x14ac:dyDescent="0.25">
      <c r="A4598"/>
      <c r="B4598" s="201">
        <v>0</v>
      </c>
      <c r="C4598">
        <v>0</v>
      </c>
      <c r="D4598" s="201">
        <v>0</v>
      </c>
      <c r="E4598" s="201">
        <v>0</v>
      </c>
      <c r="F4598">
        <v>-228</v>
      </c>
      <c r="G4598">
        <v>0</v>
      </c>
      <c r="H4598">
        <v>0</v>
      </c>
      <c r="I4598">
        <v>-325</v>
      </c>
      <c r="J4598">
        <v>0</v>
      </c>
      <c r="K4598" s="201">
        <v>359</v>
      </c>
    </row>
    <row r="4599" spans="1:11" x14ac:dyDescent="0.25">
      <c r="A4599"/>
      <c r="B4599" s="201">
        <v>0</v>
      </c>
      <c r="C4599">
        <v>1245</v>
      </c>
      <c r="D4599" s="201">
        <v>4273</v>
      </c>
      <c r="E4599" s="201">
        <v>2007</v>
      </c>
      <c r="F4599">
        <v>0</v>
      </c>
      <c r="G4599">
        <v>-1690</v>
      </c>
      <c r="H4599">
        <v>-2016</v>
      </c>
      <c r="I4599">
        <v>1165</v>
      </c>
      <c r="J4599">
        <v>721</v>
      </c>
      <c r="K4599" s="201">
        <v>1284</v>
      </c>
    </row>
    <row r="4600" spans="1:11" x14ac:dyDescent="0.25">
      <c r="A4600"/>
      <c r="B4600" s="201">
        <v>254</v>
      </c>
      <c r="C4600">
        <v>0</v>
      </c>
      <c r="D4600" s="201">
        <v>-13</v>
      </c>
      <c r="E4600" s="201">
        <v>0</v>
      </c>
      <c r="F4600">
        <v>0</v>
      </c>
      <c r="G4600">
        <v>0</v>
      </c>
      <c r="H4600">
        <v>0</v>
      </c>
      <c r="I4600">
        <v>0</v>
      </c>
      <c r="J4600">
        <v>32</v>
      </c>
      <c r="K4600" s="201">
        <v>0</v>
      </c>
    </row>
    <row r="4601" spans="1:11" x14ac:dyDescent="0.25">
      <c r="A4601"/>
      <c r="B4601" s="201">
        <v>0</v>
      </c>
      <c r="C4601">
        <v>0</v>
      </c>
      <c r="D4601" s="201">
        <v>-399</v>
      </c>
      <c r="E4601" s="201">
        <v>0</v>
      </c>
      <c r="F4601">
        <v>49</v>
      </c>
      <c r="G4601">
        <v>0</v>
      </c>
      <c r="H4601">
        <v>0</v>
      </c>
      <c r="I4601">
        <v>0</v>
      </c>
      <c r="J4601">
        <v>0</v>
      </c>
      <c r="K4601" s="201">
        <v>0</v>
      </c>
    </row>
    <row r="4602" spans="1:11" x14ac:dyDescent="0.25">
      <c r="A4602"/>
      <c r="B4602" s="201">
        <v>-63</v>
      </c>
      <c r="C4602">
        <v>0</v>
      </c>
      <c r="D4602" s="201">
        <v>424</v>
      </c>
      <c r="E4602" s="201">
        <v>416</v>
      </c>
      <c r="F4602">
        <v>0</v>
      </c>
      <c r="G4602">
        <v>0</v>
      </c>
      <c r="H4602">
        <v>224</v>
      </c>
      <c r="I4602">
        <v>-7679</v>
      </c>
      <c r="J4602">
        <v>0</v>
      </c>
      <c r="K4602" s="201">
        <v>2985</v>
      </c>
    </row>
    <row r="4603" spans="1:11" x14ac:dyDescent="0.25">
      <c r="A4603"/>
      <c r="B4603" s="201">
        <v>0</v>
      </c>
      <c r="C4603">
        <v>0</v>
      </c>
      <c r="D4603" s="201">
        <v>0</v>
      </c>
      <c r="E4603" s="201">
        <v>0</v>
      </c>
      <c r="F4603">
        <v>631</v>
      </c>
      <c r="G4603">
        <v>65</v>
      </c>
      <c r="H4603">
        <v>26</v>
      </c>
      <c r="I4603">
        <v>0</v>
      </c>
      <c r="J4603">
        <v>0</v>
      </c>
      <c r="K4603" s="201">
        <v>15</v>
      </c>
    </row>
    <row r="4604" spans="1:11" x14ac:dyDescent="0.25">
      <c r="A4604"/>
      <c r="B4604" s="201">
        <v>327</v>
      </c>
      <c r="C4604">
        <v>0</v>
      </c>
      <c r="D4604" s="201">
        <v>-162</v>
      </c>
      <c r="E4604" s="201">
        <v>751</v>
      </c>
      <c r="F4604">
        <v>46</v>
      </c>
      <c r="G4604">
        <v>748</v>
      </c>
      <c r="H4604">
        <v>949</v>
      </c>
      <c r="I4604">
        <v>732</v>
      </c>
      <c r="J4604">
        <v>226</v>
      </c>
      <c r="K4604" s="201">
        <v>0</v>
      </c>
    </row>
    <row r="4605" spans="1:11" x14ac:dyDescent="0.25">
      <c r="A4605"/>
      <c r="B4605" s="201">
        <v>0</v>
      </c>
      <c r="C4605">
        <v>0</v>
      </c>
      <c r="D4605" s="201">
        <v>0</v>
      </c>
      <c r="E4605" s="201">
        <v>0</v>
      </c>
      <c r="F4605">
        <v>309</v>
      </c>
      <c r="G4605">
        <v>0</v>
      </c>
      <c r="H4605">
        <v>344</v>
      </c>
      <c r="I4605">
        <v>-511</v>
      </c>
      <c r="J4605">
        <v>-133</v>
      </c>
      <c r="K4605" s="201">
        <v>0</v>
      </c>
    </row>
    <row r="4606" spans="1:11" x14ac:dyDescent="0.25">
      <c r="A4606"/>
      <c r="B4606" s="201">
        <v>2096</v>
      </c>
      <c r="C4606">
        <v>-8726</v>
      </c>
      <c r="D4606" s="201">
        <v>-401</v>
      </c>
      <c r="E4606" s="201">
        <v>-1608</v>
      </c>
      <c r="F4606">
        <v>-3950</v>
      </c>
      <c r="G4606">
        <v>0</v>
      </c>
      <c r="H4606">
        <v>-1452</v>
      </c>
      <c r="I4606">
        <v>-2061</v>
      </c>
      <c r="J4606">
        <v>214</v>
      </c>
      <c r="K4606" s="201">
        <v>-281</v>
      </c>
    </row>
    <row r="4607" spans="1:11" x14ac:dyDescent="0.25">
      <c r="A4607"/>
      <c r="B4607" s="201">
        <v>0</v>
      </c>
      <c r="C4607">
        <v>164</v>
      </c>
      <c r="D4607" s="201">
        <v>-1922</v>
      </c>
      <c r="E4607" s="201">
        <v>0</v>
      </c>
      <c r="F4607">
        <v>0</v>
      </c>
      <c r="G4607">
        <v>0</v>
      </c>
      <c r="H4607">
        <v>-275</v>
      </c>
      <c r="I4607">
        <v>-472</v>
      </c>
      <c r="J4607">
        <v>0</v>
      </c>
      <c r="K4607" s="201">
        <v>-288</v>
      </c>
    </row>
    <row r="4608" spans="1:11" x14ac:dyDescent="0.25">
      <c r="A4608"/>
      <c r="B4608" s="201">
        <v>247</v>
      </c>
      <c r="C4608">
        <v>803</v>
      </c>
      <c r="D4608" s="201">
        <v>444</v>
      </c>
      <c r="E4608" s="201">
        <v>0</v>
      </c>
      <c r="F4608">
        <v>0</v>
      </c>
      <c r="G4608">
        <v>0</v>
      </c>
      <c r="H4608">
        <v>0</v>
      </c>
      <c r="I4608">
        <v>0</v>
      </c>
      <c r="J4608">
        <v>-544</v>
      </c>
      <c r="K4608" s="201">
        <v>0</v>
      </c>
    </row>
    <row r="4609" spans="1:11" x14ac:dyDescent="0.25">
      <c r="A4609"/>
      <c r="B4609" s="201">
        <v>2099</v>
      </c>
      <c r="C4609">
        <v>-803</v>
      </c>
      <c r="D4609" s="201">
        <v>-122</v>
      </c>
      <c r="E4609" s="201">
        <v>0</v>
      </c>
      <c r="F4609">
        <v>-2523</v>
      </c>
      <c r="G4609">
        <v>-13898</v>
      </c>
      <c r="H4609">
        <v>1527</v>
      </c>
      <c r="I4609">
        <v>27929</v>
      </c>
      <c r="J4609">
        <v>22872</v>
      </c>
      <c r="K4609" s="201">
        <v>9652</v>
      </c>
    </row>
    <row r="4610" spans="1:11" x14ac:dyDescent="0.25">
      <c r="A4610"/>
      <c r="B4610" s="201">
        <v>5699</v>
      </c>
      <c r="C4610">
        <v>8308</v>
      </c>
      <c r="D4610" s="201">
        <v>0</v>
      </c>
      <c r="E4610" s="201">
        <v>1430</v>
      </c>
      <c r="F4610">
        <v>0</v>
      </c>
      <c r="G4610">
        <v>0</v>
      </c>
      <c r="H4610">
        <v>-541</v>
      </c>
      <c r="I4610">
        <v>-218</v>
      </c>
      <c r="J4610">
        <v>0</v>
      </c>
      <c r="K4610" s="201">
        <v>-1789</v>
      </c>
    </row>
    <row r="4611" spans="1:11" x14ac:dyDescent="0.25">
      <c r="A4611"/>
      <c r="B4611" s="201">
        <v>0</v>
      </c>
      <c r="C4611">
        <v>0</v>
      </c>
      <c r="D4611" s="201">
        <v>-1747</v>
      </c>
      <c r="E4611" s="201">
        <v>0</v>
      </c>
      <c r="F4611">
        <v>-2735</v>
      </c>
      <c r="G4611">
        <v>-1616</v>
      </c>
      <c r="H4611">
        <v>-2542</v>
      </c>
      <c r="I4611">
        <v>0</v>
      </c>
      <c r="J4611">
        <v>0</v>
      </c>
      <c r="K4611" s="201">
        <v>0</v>
      </c>
    </row>
    <row r="4612" spans="1:11" x14ac:dyDescent="0.25">
      <c r="A4612"/>
      <c r="B4612" s="201">
        <v>0</v>
      </c>
      <c r="C4612">
        <v>0</v>
      </c>
      <c r="D4612" s="201">
        <v>-608</v>
      </c>
      <c r="E4612" s="201">
        <v>0</v>
      </c>
      <c r="F4612">
        <v>-10260</v>
      </c>
      <c r="G4612">
        <v>3209</v>
      </c>
      <c r="H4612">
        <v>3476</v>
      </c>
      <c r="I4612">
        <v>0</v>
      </c>
      <c r="J4612">
        <v>2083</v>
      </c>
      <c r="K4612" s="201">
        <v>-10865</v>
      </c>
    </row>
    <row r="4613" spans="1:11" x14ac:dyDescent="0.25">
      <c r="A4613"/>
      <c r="B4613" s="201">
        <v>-451</v>
      </c>
      <c r="C4613">
        <v>0</v>
      </c>
      <c r="D4613" s="201">
        <v>0</v>
      </c>
      <c r="E4613" s="201">
        <v>0</v>
      </c>
      <c r="F4613">
        <v>-1049</v>
      </c>
      <c r="G4613">
        <v>-1519</v>
      </c>
      <c r="H4613">
        <v>273</v>
      </c>
      <c r="I4613">
        <v>164</v>
      </c>
      <c r="J4613">
        <v>242</v>
      </c>
      <c r="K4613" s="201">
        <v>0</v>
      </c>
    </row>
    <row r="4614" spans="1:11" x14ac:dyDescent="0.25">
      <c r="A4614"/>
      <c r="B4614" s="201">
        <v>-830</v>
      </c>
      <c r="C4614">
        <v>0</v>
      </c>
      <c r="D4614" s="201">
        <v>0</v>
      </c>
      <c r="E4614" s="201">
        <v>302</v>
      </c>
      <c r="F4614">
        <v>0</v>
      </c>
      <c r="G4614">
        <v>-716</v>
      </c>
      <c r="H4614">
        <v>0</v>
      </c>
      <c r="I4614">
        <v>-257</v>
      </c>
      <c r="J4614">
        <v>0</v>
      </c>
      <c r="K4614" s="201">
        <v>0</v>
      </c>
    </row>
    <row r="4615" spans="1:11" x14ac:dyDescent="0.25">
      <c r="A4615"/>
      <c r="B4615" s="201">
        <v>0</v>
      </c>
      <c r="C4615">
        <v>0</v>
      </c>
      <c r="D4615" s="201">
        <v>0</v>
      </c>
      <c r="E4615" s="201">
        <v>0</v>
      </c>
      <c r="F4615">
        <v>0</v>
      </c>
      <c r="G4615">
        <v>0</v>
      </c>
      <c r="H4615">
        <v>-257</v>
      </c>
      <c r="I4615">
        <v>0</v>
      </c>
      <c r="J4615">
        <v>1260</v>
      </c>
      <c r="K4615" s="201">
        <v>-602</v>
      </c>
    </row>
    <row r="4616" spans="1:11" x14ac:dyDescent="0.25">
      <c r="A4616"/>
      <c r="B4616" s="201">
        <v>154</v>
      </c>
      <c r="C4616">
        <v>0</v>
      </c>
      <c r="D4616" s="201">
        <v>2939</v>
      </c>
      <c r="E4616" s="201">
        <v>373</v>
      </c>
      <c r="F4616">
        <v>0</v>
      </c>
      <c r="G4616">
        <v>0</v>
      </c>
      <c r="H4616">
        <v>0</v>
      </c>
      <c r="I4616">
        <v>0</v>
      </c>
      <c r="J4616">
        <v>0</v>
      </c>
      <c r="K4616" s="201">
        <v>-3710</v>
      </c>
    </row>
    <row r="4617" spans="1:11" x14ac:dyDescent="0.25">
      <c r="A4617"/>
      <c r="B4617" s="201">
        <v>-1513</v>
      </c>
      <c r="C4617">
        <v>-2874</v>
      </c>
      <c r="D4617" s="201">
        <v>-2252</v>
      </c>
      <c r="E4617" s="201">
        <v>-1212</v>
      </c>
      <c r="F4617">
        <v>-5457</v>
      </c>
      <c r="G4617">
        <v>0</v>
      </c>
      <c r="H4617">
        <v>0</v>
      </c>
      <c r="I4617">
        <v>0</v>
      </c>
      <c r="J4617">
        <v>0</v>
      </c>
      <c r="K4617" s="201">
        <v>371</v>
      </c>
    </row>
    <row r="4618" spans="1:11" x14ac:dyDescent="0.25">
      <c r="A4618"/>
      <c r="B4618" s="201">
        <v>0</v>
      </c>
      <c r="C4618">
        <v>738</v>
      </c>
      <c r="D4618" s="201">
        <v>0</v>
      </c>
      <c r="E4618" s="201">
        <v>0</v>
      </c>
      <c r="F4618">
        <v>-2006</v>
      </c>
      <c r="G4618">
        <v>-2245</v>
      </c>
      <c r="H4618">
        <v>0</v>
      </c>
      <c r="I4618">
        <v>0</v>
      </c>
      <c r="J4618">
        <v>0</v>
      </c>
      <c r="K4618" s="201">
        <v>0</v>
      </c>
    </row>
    <row r="4619" spans="1:11" x14ac:dyDescent="0.25">
      <c r="A4619"/>
      <c r="B4619" s="201">
        <v>-309</v>
      </c>
      <c r="C4619">
        <v>0</v>
      </c>
      <c r="D4619" s="201">
        <v>3077</v>
      </c>
      <c r="E4619" s="201">
        <v>-2323</v>
      </c>
      <c r="F4619">
        <v>-2358</v>
      </c>
      <c r="G4619">
        <v>1049</v>
      </c>
      <c r="H4619">
        <v>-35</v>
      </c>
      <c r="I4619">
        <v>-8961</v>
      </c>
      <c r="J4619">
        <v>-7563</v>
      </c>
      <c r="K4619" s="201">
        <v>-1934</v>
      </c>
    </row>
    <row r="4620" spans="1:11" x14ac:dyDescent="0.25">
      <c r="A4620"/>
      <c r="B4620" s="201">
        <v>-368</v>
      </c>
      <c r="C4620">
        <v>-1007</v>
      </c>
      <c r="D4620" s="201">
        <v>0</v>
      </c>
      <c r="E4620" s="201">
        <v>0</v>
      </c>
      <c r="F4620">
        <v>0</v>
      </c>
      <c r="G4620">
        <v>0</v>
      </c>
      <c r="H4620">
        <v>0</v>
      </c>
      <c r="I4620">
        <v>0</v>
      </c>
      <c r="J4620">
        <v>0</v>
      </c>
      <c r="K4620" s="201">
        <v>-129</v>
      </c>
    </row>
    <row r="4621" spans="1:11" x14ac:dyDescent="0.25">
      <c r="A4621"/>
      <c r="B4621" s="201">
        <v>174</v>
      </c>
      <c r="C4621">
        <v>-761</v>
      </c>
      <c r="D4621" s="201">
        <v>1034</v>
      </c>
      <c r="E4621" s="201">
        <v>-852</v>
      </c>
      <c r="F4621">
        <v>1632</v>
      </c>
      <c r="G4621">
        <v>0</v>
      </c>
      <c r="H4621">
        <v>0</v>
      </c>
      <c r="I4621">
        <v>-3054</v>
      </c>
      <c r="J4621">
        <v>0</v>
      </c>
      <c r="K4621" s="201">
        <v>15</v>
      </c>
    </row>
    <row r="4622" spans="1:11" x14ac:dyDescent="0.25">
      <c r="A4622"/>
      <c r="B4622" s="201">
        <v>1267</v>
      </c>
      <c r="C4622">
        <v>0</v>
      </c>
      <c r="D4622" s="201">
        <v>0</v>
      </c>
      <c r="E4622" s="201">
        <v>0</v>
      </c>
      <c r="F4622">
        <v>0</v>
      </c>
      <c r="G4622">
        <v>10506</v>
      </c>
      <c r="H4622">
        <v>0</v>
      </c>
      <c r="I4622">
        <v>2529</v>
      </c>
      <c r="J4622">
        <v>4860</v>
      </c>
      <c r="K4622" s="201">
        <v>0</v>
      </c>
    </row>
    <row r="4623" spans="1:11" x14ac:dyDescent="0.25">
      <c r="A4623"/>
      <c r="B4623" s="201">
        <v>0</v>
      </c>
      <c r="C4623">
        <v>0</v>
      </c>
      <c r="D4623" s="201">
        <v>0</v>
      </c>
      <c r="E4623" s="201">
        <v>0</v>
      </c>
      <c r="F4623">
        <v>0</v>
      </c>
      <c r="G4623">
        <v>0</v>
      </c>
      <c r="H4623">
        <v>0</v>
      </c>
      <c r="I4623">
        <v>0</v>
      </c>
      <c r="J4623">
        <v>0</v>
      </c>
      <c r="K4623" s="201">
        <v>0</v>
      </c>
    </row>
    <row r="4624" spans="1:11" x14ac:dyDescent="0.25">
      <c r="A4624"/>
      <c r="B4624" s="201">
        <v>0</v>
      </c>
      <c r="C4624">
        <v>0</v>
      </c>
      <c r="D4624" s="201">
        <v>0</v>
      </c>
      <c r="E4624" s="201">
        <v>0</v>
      </c>
      <c r="F4624">
        <v>6740</v>
      </c>
      <c r="G4624">
        <v>0</v>
      </c>
      <c r="H4624">
        <v>0</v>
      </c>
      <c r="I4624">
        <v>0</v>
      </c>
      <c r="J4624">
        <v>0</v>
      </c>
      <c r="K4624" s="201">
        <v>0</v>
      </c>
    </row>
    <row r="4625" spans="1:11" x14ac:dyDescent="0.25">
      <c r="A4625"/>
      <c r="B4625" s="201">
        <v>1131</v>
      </c>
      <c r="C4625">
        <v>6046</v>
      </c>
      <c r="D4625" s="201">
        <v>6834</v>
      </c>
      <c r="E4625" s="201">
        <v>31133</v>
      </c>
      <c r="F4625">
        <v>30619</v>
      </c>
      <c r="G4625">
        <v>-1828</v>
      </c>
      <c r="H4625">
        <v>1631</v>
      </c>
      <c r="I4625">
        <v>1213</v>
      </c>
      <c r="J4625">
        <v>-207</v>
      </c>
      <c r="K4625" s="201">
        <v>-1150</v>
      </c>
    </row>
    <row r="4626" spans="1:11" x14ac:dyDescent="0.25">
      <c r="A4626"/>
      <c r="B4626" s="201">
        <v>0</v>
      </c>
      <c r="C4626">
        <v>0</v>
      </c>
      <c r="D4626" s="201">
        <v>-115</v>
      </c>
      <c r="E4626" s="201">
        <v>0</v>
      </c>
      <c r="F4626">
        <v>0</v>
      </c>
      <c r="G4626">
        <v>0</v>
      </c>
      <c r="H4626">
        <v>-288</v>
      </c>
      <c r="I4626">
        <v>51</v>
      </c>
      <c r="J4626">
        <v>0</v>
      </c>
      <c r="K4626" s="201">
        <v>0</v>
      </c>
    </row>
    <row r="4627" spans="1:11" x14ac:dyDescent="0.25">
      <c r="A4627"/>
      <c r="B4627" s="201">
        <v>0</v>
      </c>
      <c r="C4627">
        <v>0</v>
      </c>
      <c r="D4627" s="201">
        <v>0</v>
      </c>
      <c r="E4627" s="201">
        <v>0</v>
      </c>
      <c r="F4627">
        <v>-389</v>
      </c>
      <c r="G4627">
        <v>0</v>
      </c>
      <c r="H4627">
        <v>0</v>
      </c>
      <c r="I4627">
        <v>212</v>
      </c>
      <c r="J4627">
        <v>0</v>
      </c>
      <c r="K4627" s="201">
        <v>-103</v>
      </c>
    </row>
    <row r="4628" spans="1:11" x14ac:dyDescent="0.25">
      <c r="A4628"/>
      <c r="B4628" s="201">
        <v>0</v>
      </c>
      <c r="C4628">
        <v>778</v>
      </c>
      <c r="D4628" s="201">
        <v>1827</v>
      </c>
      <c r="E4628" s="201">
        <v>300</v>
      </c>
      <c r="F4628">
        <v>0</v>
      </c>
      <c r="G4628">
        <v>-606</v>
      </c>
      <c r="H4628">
        <v>1413</v>
      </c>
      <c r="I4628">
        <v>255</v>
      </c>
      <c r="J4628">
        <v>32</v>
      </c>
      <c r="K4628" s="201">
        <v>266</v>
      </c>
    </row>
    <row r="4629" spans="1:11" x14ac:dyDescent="0.25">
      <c r="A4629"/>
      <c r="B4629" s="201">
        <v>293</v>
      </c>
      <c r="C4629">
        <v>0</v>
      </c>
      <c r="D4629" s="201">
        <v>61</v>
      </c>
      <c r="E4629" s="201">
        <v>0</v>
      </c>
      <c r="F4629">
        <v>0</v>
      </c>
      <c r="G4629">
        <v>0</v>
      </c>
      <c r="H4629">
        <v>0</v>
      </c>
      <c r="I4629">
        <v>0</v>
      </c>
      <c r="J4629">
        <v>26</v>
      </c>
      <c r="K4629" s="201">
        <v>0</v>
      </c>
    </row>
    <row r="4630" spans="1:11" x14ac:dyDescent="0.25">
      <c r="A4630"/>
      <c r="B4630" s="201">
        <v>0</v>
      </c>
      <c r="C4630">
        <v>0</v>
      </c>
      <c r="D4630" s="201">
        <v>24</v>
      </c>
      <c r="E4630" s="201">
        <v>0</v>
      </c>
      <c r="F4630">
        <v>35</v>
      </c>
      <c r="G4630">
        <v>0</v>
      </c>
      <c r="H4630">
        <v>0</v>
      </c>
      <c r="I4630">
        <v>0</v>
      </c>
      <c r="J4630">
        <v>0</v>
      </c>
      <c r="K4630" s="201">
        <v>0</v>
      </c>
    </row>
    <row r="4631" spans="1:11" x14ac:dyDescent="0.25">
      <c r="A4631"/>
      <c r="B4631" s="201">
        <v>92</v>
      </c>
      <c r="C4631">
        <v>0</v>
      </c>
      <c r="D4631" s="201">
        <v>808</v>
      </c>
      <c r="E4631" s="201">
        <v>213</v>
      </c>
      <c r="F4631">
        <v>0</v>
      </c>
      <c r="G4631">
        <v>0</v>
      </c>
      <c r="H4631">
        <v>-141</v>
      </c>
      <c r="I4631">
        <v>-3702</v>
      </c>
      <c r="J4631">
        <v>0</v>
      </c>
      <c r="K4631" s="201">
        <v>3166</v>
      </c>
    </row>
    <row r="4632" spans="1:11" x14ac:dyDescent="0.25">
      <c r="A4632"/>
      <c r="B4632" s="201">
        <v>0</v>
      </c>
      <c r="C4632">
        <v>0</v>
      </c>
      <c r="D4632" s="201">
        <v>0</v>
      </c>
      <c r="E4632" s="201">
        <v>0</v>
      </c>
      <c r="F4632">
        <v>866</v>
      </c>
      <c r="G4632">
        <v>-366</v>
      </c>
      <c r="H4632">
        <v>-342</v>
      </c>
      <c r="I4632">
        <v>0</v>
      </c>
      <c r="J4632">
        <v>0</v>
      </c>
      <c r="K4632" s="201">
        <v>0</v>
      </c>
    </row>
    <row r="4633" spans="1:11" x14ac:dyDescent="0.25">
      <c r="A4633"/>
      <c r="B4633" s="201">
        <v>445</v>
      </c>
      <c r="C4633">
        <v>0</v>
      </c>
      <c r="D4633" s="201">
        <v>-132</v>
      </c>
      <c r="E4633" s="201">
        <v>-49</v>
      </c>
      <c r="F4633">
        <v>161</v>
      </c>
      <c r="G4633">
        <v>616</v>
      </c>
      <c r="H4633">
        <v>922</v>
      </c>
      <c r="I4633">
        <v>415</v>
      </c>
      <c r="J4633">
        <v>-292</v>
      </c>
      <c r="K4633" s="201">
        <v>0</v>
      </c>
    </row>
    <row r="4634" spans="1:11" x14ac:dyDescent="0.25">
      <c r="A4634"/>
      <c r="B4634" s="201">
        <v>0</v>
      </c>
      <c r="C4634">
        <v>0</v>
      </c>
      <c r="D4634" s="201">
        <v>0</v>
      </c>
      <c r="E4634" s="201">
        <v>0</v>
      </c>
      <c r="F4634">
        <v>433</v>
      </c>
      <c r="G4634">
        <v>0</v>
      </c>
      <c r="H4634">
        <v>-206</v>
      </c>
      <c r="I4634">
        <v>-382</v>
      </c>
      <c r="J4634">
        <v>27</v>
      </c>
      <c r="K4634" s="201">
        <v>0</v>
      </c>
    </row>
    <row r="4635" spans="1:11" x14ac:dyDescent="0.25">
      <c r="A4635"/>
      <c r="B4635" s="201">
        <v>1187</v>
      </c>
      <c r="C4635">
        <v>-4615</v>
      </c>
      <c r="D4635" s="201">
        <v>443</v>
      </c>
      <c r="E4635" s="201">
        <v>623</v>
      </c>
      <c r="F4635">
        <v>-3511</v>
      </c>
      <c r="G4635">
        <v>0</v>
      </c>
      <c r="H4635">
        <v>-1026</v>
      </c>
      <c r="I4635">
        <v>-1552</v>
      </c>
      <c r="J4635">
        <v>-163</v>
      </c>
      <c r="K4635" s="201">
        <v>-433</v>
      </c>
    </row>
    <row r="4636" spans="1:11" x14ac:dyDescent="0.25">
      <c r="A4636"/>
      <c r="B4636" s="201">
        <v>0</v>
      </c>
      <c r="C4636">
        <v>223</v>
      </c>
      <c r="D4636" s="201">
        <v>-1658</v>
      </c>
      <c r="E4636" s="201">
        <v>0</v>
      </c>
      <c r="F4636">
        <v>0</v>
      </c>
      <c r="G4636">
        <v>0</v>
      </c>
      <c r="H4636">
        <v>-241</v>
      </c>
      <c r="I4636">
        <v>-430</v>
      </c>
      <c r="J4636">
        <v>0</v>
      </c>
      <c r="K4636" s="201">
        <v>96</v>
      </c>
    </row>
    <row r="4637" spans="1:11" x14ac:dyDescent="0.25">
      <c r="A4637"/>
      <c r="B4637" s="201">
        <v>193</v>
      </c>
      <c r="C4637">
        <v>260</v>
      </c>
      <c r="D4637" s="201">
        <v>-19</v>
      </c>
      <c r="E4637" s="201">
        <v>0</v>
      </c>
      <c r="F4637">
        <v>0</v>
      </c>
      <c r="G4637">
        <v>0</v>
      </c>
      <c r="H4637">
        <v>0</v>
      </c>
      <c r="I4637">
        <v>0</v>
      </c>
      <c r="J4637">
        <v>-519</v>
      </c>
      <c r="K4637" s="201">
        <v>0</v>
      </c>
    </row>
    <row r="4638" spans="1:11" x14ac:dyDescent="0.25">
      <c r="A4638"/>
      <c r="B4638" s="201">
        <v>285</v>
      </c>
      <c r="C4638">
        <v>-308</v>
      </c>
      <c r="D4638" s="201">
        <v>369</v>
      </c>
      <c r="E4638" s="201">
        <v>0</v>
      </c>
      <c r="F4638">
        <v>1254</v>
      </c>
      <c r="G4638">
        <v>-4595</v>
      </c>
      <c r="H4638">
        <v>-149</v>
      </c>
      <c r="I4638">
        <v>1330</v>
      </c>
      <c r="J4638">
        <v>-3347</v>
      </c>
      <c r="K4638" s="201">
        <v>59</v>
      </c>
    </row>
    <row r="4639" spans="1:11" x14ac:dyDescent="0.25">
      <c r="A4639"/>
      <c r="B4639" s="201">
        <v>-742</v>
      </c>
      <c r="C4639">
        <v>-1237</v>
      </c>
      <c r="D4639" s="201">
        <v>0</v>
      </c>
      <c r="E4639" s="201">
        <v>-129</v>
      </c>
      <c r="F4639">
        <v>0</v>
      </c>
      <c r="G4639">
        <v>0</v>
      </c>
      <c r="H4639">
        <v>-1514</v>
      </c>
      <c r="I4639">
        <v>108</v>
      </c>
      <c r="J4639">
        <v>0</v>
      </c>
      <c r="K4639" s="201">
        <v>-34</v>
      </c>
    </row>
    <row r="4640" spans="1:11" x14ac:dyDescent="0.25">
      <c r="A4640"/>
      <c r="B4640" s="201">
        <v>0</v>
      </c>
      <c r="C4640">
        <v>0</v>
      </c>
      <c r="D4640" s="201">
        <v>-2</v>
      </c>
      <c r="E4640" s="201">
        <v>0</v>
      </c>
      <c r="F4640">
        <v>251</v>
      </c>
      <c r="G4640">
        <v>148</v>
      </c>
      <c r="H4640">
        <v>161</v>
      </c>
      <c r="I4640">
        <v>0</v>
      </c>
      <c r="J4640">
        <v>0</v>
      </c>
      <c r="K4640" s="201">
        <v>0</v>
      </c>
    </row>
    <row r="4641" spans="1:11" x14ac:dyDescent="0.25">
      <c r="A4641"/>
      <c r="B4641" s="201">
        <v>0</v>
      </c>
      <c r="C4641">
        <v>0</v>
      </c>
      <c r="D4641" s="201">
        <v>-1086</v>
      </c>
      <c r="E4641" s="201">
        <v>0</v>
      </c>
      <c r="F4641">
        <v>226</v>
      </c>
      <c r="G4641">
        <v>106</v>
      </c>
      <c r="H4641">
        <v>423</v>
      </c>
      <c r="I4641">
        <v>0</v>
      </c>
      <c r="J4641">
        <v>-294</v>
      </c>
      <c r="K4641" s="201">
        <v>-26801</v>
      </c>
    </row>
    <row r="4642" spans="1:11" x14ac:dyDescent="0.25">
      <c r="A4642"/>
      <c r="B4642" s="201">
        <v>-9114</v>
      </c>
      <c r="C4642">
        <v>0</v>
      </c>
      <c r="D4642" s="201">
        <v>0</v>
      </c>
      <c r="E4642" s="201">
        <v>0</v>
      </c>
      <c r="F4642">
        <v>790</v>
      </c>
      <c r="G4642">
        <v>6884</v>
      </c>
      <c r="H4642">
        <v>9733</v>
      </c>
      <c r="I4642">
        <v>6446</v>
      </c>
      <c r="J4642">
        <v>4957</v>
      </c>
      <c r="K4642" s="201">
        <v>0</v>
      </c>
    </row>
    <row r="4643" spans="1:11" x14ac:dyDescent="0.25">
      <c r="A4643"/>
      <c r="B4643" s="201">
        <v>-3191</v>
      </c>
      <c r="C4643">
        <v>0</v>
      </c>
      <c r="D4643" s="201">
        <v>0</v>
      </c>
      <c r="E4643" s="201">
        <v>2292</v>
      </c>
      <c r="F4643">
        <v>0</v>
      </c>
      <c r="G4643">
        <v>-4536</v>
      </c>
      <c r="H4643">
        <v>0</v>
      </c>
      <c r="I4643">
        <v>-8113</v>
      </c>
      <c r="J4643">
        <v>0</v>
      </c>
      <c r="K4643" s="201">
        <v>0</v>
      </c>
    </row>
    <row r="4644" spans="1:11" x14ac:dyDescent="0.25">
      <c r="A4644"/>
      <c r="B4644" s="201">
        <v>0</v>
      </c>
      <c r="C4644">
        <v>0</v>
      </c>
      <c r="D4644" s="201">
        <v>0</v>
      </c>
      <c r="E4644" s="201">
        <v>0</v>
      </c>
      <c r="F4644">
        <v>0</v>
      </c>
      <c r="G4644">
        <v>0</v>
      </c>
      <c r="H4644">
        <v>-204</v>
      </c>
      <c r="I4644">
        <v>0</v>
      </c>
      <c r="J4644">
        <v>-5927</v>
      </c>
      <c r="K4644" s="201">
        <v>3870</v>
      </c>
    </row>
    <row r="4645" spans="1:11" x14ac:dyDescent="0.25">
      <c r="A4645"/>
      <c r="B4645" s="201">
        <v>-391</v>
      </c>
      <c r="C4645">
        <v>0</v>
      </c>
      <c r="D4645" s="201">
        <v>2792</v>
      </c>
      <c r="E4645" s="201">
        <v>4152</v>
      </c>
      <c r="F4645">
        <v>0</v>
      </c>
      <c r="G4645">
        <v>0</v>
      </c>
      <c r="H4645">
        <v>0</v>
      </c>
      <c r="I4645">
        <v>0</v>
      </c>
      <c r="J4645">
        <v>0</v>
      </c>
      <c r="K4645" s="201">
        <v>-3853</v>
      </c>
    </row>
    <row r="4646" spans="1:11" x14ac:dyDescent="0.25">
      <c r="A4646"/>
      <c r="B4646" s="201">
        <v>-1649</v>
      </c>
      <c r="C4646">
        <v>-3172</v>
      </c>
      <c r="D4646" s="201">
        <v>-2540</v>
      </c>
      <c r="E4646" s="201">
        <v>-1402</v>
      </c>
      <c r="F4646">
        <v>-5222</v>
      </c>
      <c r="G4646">
        <v>0</v>
      </c>
      <c r="H4646">
        <v>0</v>
      </c>
      <c r="I4646">
        <v>0</v>
      </c>
      <c r="J4646">
        <v>0</v>
      </c>
      <c r="K4646" s="201">
        <v>-604</v>
      </c>
    </row>
    <row r="4647" spans="1:11" x14ac:dyDescent="0.25">
      <c r="A4647"/>
      <c r="B4647" s="201">
        <v>0</v>
      </c>
      <c r="C4647">
        <v>542</v>
      </c>
      <c r="D4647" s="201">
        <v>0</v>
      </c>
      <c r="E4647" s="201">
        <v>0</v>
      </c>
      <c r="F4647">
        <v>-2783</v>
      </c>
      <c r="G4647">
        <v>-276</v>
      </c>
      <c r="H4647">
        <v>0</v>
      </c>
      <c r="I4647">
        <v>0</v>
      </c>
      <c r="J4647">
        <v>0</v>
      </c>
      <c r="K4647" s="201">
        <v>0</v>
      </c>
    </row>
    <row r="4648" spans="1:11" x14ac:dyDescent="0.25">
      <c r="A4648"/>
      <c r="B4648" s="201">
        <v>-377</v>
      </c>
      <c r="C4648">
        <v>0</v>
      </c>
      <c r="D4648" s="201">
        <v>2470</v>
      </c>
      <c r="E4648" s="201">
        <v>-2133</v>
      </c>
      <c r="F4648">
        <v>-2192</v>
      </c>
      <c r="G4648">
        <v>-1550</v>
      </c>
      <c r="H4648">
        <v>2153</v>
      </c>
      <c r="I4648">
        <v>-1698</v>
      </c>
      <c r="J4648">
        <v>416</v>
      </c>
      <c r="K4648" s="201">
        <v>444</v>
      </c>
    </row>
    <row r="4649" spans="1:11" x14ac:dyDescent="0.25">
      <c r="A4649"/>
      <c r="B4649" s="76">
        <v>867</v>
      </c>
      <c r="C4649">
        <v>1049</v>
      </c>
      <c r="D4649" s="201">
        <v>0</v>
      </c>
      <c r="E4649" s="201">
        <v>0</v>
      </c>
      <c r="F4649">
        <v>0</v>
      </c>
      <c r="G4649">
        <v>0</v>
      </c>
      <c r="H4649">
        <v>0</v>
      </c>
      <c r="I4649">
        <v>0</v>
      </c>
      <c r="J4649">
        <v>0</v>
      </c>
      <c r="K4649" s="201">
        <v>425</v>
      </c>
    </row>
    <row r="4650" spans="1:11" x14ac:dyDescent="0.25">
      <c r="A4650"/>
      <c r="B4650" s="201">
        <v>-150</v>
      </c>
      <c r="C4650">
        <v>2959</v>
      </c>
      <c r="D4650" s="201">
        <v>-144</v>
      </c>
      <c r="E4650" s="201">
        <v>2128</v>
      </c>
      <c r="F4650">
        <v>303</v>
      </c>
      <c r="G4650">
        <v>0</v>
      </c>
      <c r="H4650">
        <v>0</v>
      </c>
      <c r="I4650">
        <v>-1100</v>
      </c>
      <c r="J4650">
        <v>0</v>
      </c>
      <c r="K4650" s="201">
        <v>757</v>
      </c>
    </row>
    <row r="4651" spans="1:11" x14ac:dyDescent="0.25">
      <c r="A4651"/>
      <c r="B4651" s="201">
        <v>-1252</v>
      </c>
      <c r="C4651">
        <v>0</v>
      </c>
      <c r="D4651" s="201">
        <v>0</v>
      </c>
      <c r="E4651" s="201">
        <v>0</v>
      </c>
      <c r="F4651">
        <v>0</v>
      </c>
      <c r="G4651">
        <v>14131</v>
      </c>
      <c r="H4651">
        <v>0</v>
      </c>
      <c r="I4651">
        <v>2617</v>
      </c>
      <c r="J4651">
        <v>5112</v>
      </c>
      <c r="K4651" s="201">
        <v>0</v>
      </c>
    </row>
    <row r="4652" spans="1:11" x14ac:dyDescent="0.25">
      <c r="A4652"/>
      <c r="B4652" s="201">
        <v>0</v>
      </c>
      <c r="C4652">
        <v>0</v>
      </c>
      <c r="D4652" s="201">
        <v>0</v>
      </c>
      <c r="E4652" s="201">
        <v>0</v>
      </c>
      <c r="F4652">
        <v>0</v>
      </c>
      <c r="G4652">
        <v>0</v>
      </c>
      <c r="H4652">
        <v>0</v>
      </c>
      <c r="I4652">
        <v>0</v>
      </c>
      <c r="J4652">
        <v>0</v>
      </c>
      <c r="K4652" s="201">
        <v>0</v>
      </c>
    </row>
    <row r="4653" spans="1:11" x14ac:dyDescent="0.25">
      <c r="A4653"/>
      <c r="B4653" s="201">
        <v>0</v>
      </c>
      <c r="C4653">
        <v>0</v>
      </c>
      <c r="D4653" s="201">
        <v>0</v>
      </c>
      <c r="E4653" s="201">
        <v>0</v>
      </c>
      <c r="F4653">
        <v>6006</v>
      </c>
      <c r="G4653">
        <v>0</v>
      </c>
      <c r="H4653">
        <v>0</v>
      </c>
      <c r="I4653">
        <v>0</v>
      </c>
      <c r="J4653">
        <v>0</v>
      </c>
      <c r="K4653" s="201">
        <v>0</v>
      </c>
    </row>
    <row r="4654" spans="1:11" x14ac:dyDescent="0.25">
      <c r="A4654"/>
      <c r="B4654" s="201">
        <v>1354</v>
      </c>
      <c r="C4654">
        <v>5084</v>
      </c>
      <c r="D4654" s="201">
        <v>3528</v>
      </c>
      <c r="E4654" s="201">
        <v>26501</v>
      </c>
      <c r="F4654">
        <v>30292</v>
      </c>
      <c r="G4654">
        <v>31266</v>
      </c>
      <c r="H4654">
        <v>-11417</v>
      </c>
      <c r="I4654">
        <v>-347</v>
      </c>
      <c r="J4654">
        <v>192</v>
      </c>
      <c r="K4654" s="201">
        <v>406</v>
      </c>
    </row>
    <row r="4655" spans="1:11" x14ac:dyDescent="0.25">
      <c r="A4655"/>
      <c r="B4655" s="201">
        <v>779</v>
      </c>
      <c r="C4655">
        <v>0</v>
      </c>
      <c r="D4655" s="201">
        <v>0</v>
      </c>
      <c r="E4655" s="201">
        <v>887</v>
      </c>
      <c r="F4655">
        <v>0</v>
      </c>
      <c r="G4655">
        <v>0</v>
      </c>
      <c r="H4655">
        <v>0</v>
      </c>
      <c r="I4655">
        <v>-241</v>
      </c>
      <c r="J4655">
        <v>-716</v>
      </c>
      <c r="K4655" s="201">
        <v>0</v>
      </c>
    </row>
    <row r="4656" spans="1:11" x14ac:dyDescent="0.25">
      <c r="A4656"/>
      <c r="B4656" s="201">
        <v>0</v>
      </c>
      <c r="C4656">
        <v>0</v>
      </c>
      <c r="D4656" s="201">
        <v>0</v>
      </c>
      <c r="E4656" s="201">
        <v>0</v>
      </c>
      <c r="F4656">
        <v>0</v>
      </c>
      <c r="G4656">
        <v>-22103</v>
      </c>
      <c r="H4656">
        <v>0</v>
      </c>
      <c r="I4656">
        <v>0</v>
      </c>
      <c r="J4656">
        <v>-5772</v>
      </c>
      <c r="K4656" s="201">
        <v>0</v>
      </c>
    </row>
    <row r="4657" spans="1:11" x14ac:dyDescent="0.25">
      <c r="A4657"/>
      <c r="B4657" s="201">
        <v>8694</v>
      </c>
      <c r="C4657">
        <v>0</v>
      </c>
      <c r="D4657" s="201">
        <v>15915</v>
      </c>
      <c r="E4657" s="201">
        <v>508</v>
      </c>
      <c r="F4657">
        <v>-312</v>
      </c>
      <c r="G4657">
        <v>0</v>
      </c>
      <c r="H4657">
        <v>111</v>
      </c>
      <c r="I4657">
        <v>83</v>
      </c>
      <c r="J4657">
        <v>436</v>
      </c>
      <c r="K4657" s="201">
        <v>579</v>
      </c>
    </row>
    <row r="4658" spans="1:11" x14ac:dyDescent="0.25">
      <c r="A4658"/>
      <c r="B4658" s="201">
        <v>155</v>
      </c>
      <c r="C4658">
        <v>547</v>
      </c>
      <c r="D4658" s="201">
        <v>0</v>
      </c>
      <c r="E4658" s="201">
        <v>99</v>
      </c>
      <c r="F4658">
        <v>0</v>
      </c>
      <c r="G4658">
        <v>0</v>
      </c>
      <c r="H4658">
        <v>0</v>
      </c>
      <c r="I4658">
        <v>0</v>
      </c>
      <c r="J4658">
        <v>0</v>
      </c>
      <c r="K4658" s="201">
        <v>-32</v>
      </c>
    </row>
    <row r="4659" spans="1:11" x14ac:dyDescent="0.25">
      <c r="A4659"/>
      <c r="B4659" s="201">
        <v>0</v>
      </c>
      <c r="C4659">
        <v>0</v>
      </c>
      <c r="D4659" s="201">
        <v>0</v>
      </c>
      <c r="E4659" s="201">
        <v>-76</v>
      </c>
      <c r="F4659">
        <v>0</v>
      </c>
      <c r="G4659">
        <v>101</v>
      </c>
      <c r="H4659">
        <v>0</v>
      </c>
      <c r="I4659">
        <v>0</v>
      </c>
      <c r="J4659">
        <v>0</v>
      </c>
      <c r="K4659" s="201">
        <v>0</v>
      </c>
    </row>
    <row r="4660" spans="1:11" x14ac:dyDescent="0.25">
      <c r="A4660"/>
      <c r="B4660" s="201">
        <v>0</v>
      </c>
      <c r="C4660">
        <v>-97</v>
      </c>
      <c r="D4660" s="201">
        <v>0</v>
      </c>
      <c r="E4660" s="201">
        <v>-431</v>
      </c>
      <c r="F4660">
        <v>-150</v>
      </c>
      <c r="G4660">
        <v>0</v>
      </c>
      <c r="H4660">
        <v>0</v>
      </c>
      <c r="I4660">
        <v>759</v>
      </c>
      <c r="J4660">
        <v>2937</v>
      </c>
      <c r="K4660" s="201">
        <v>0</v>
      </c>
    </row>
    <row r="4661" spans="1:11" x14ac:dyDescent="0.25">
      <c r="A4661"/>
      <c r="B4661" s="201">
        <v>-2370</v>
      </c>
      <c r="C4661">
        <v>0</v>
      </c>
      <c r="D4661" s="201">
        <v>0</v>
      </c>
      <c r="E4661" s="201">
        <v>0</v>
      </c>
      <c r="F4661">
        <v>0</v>
      </c>
      <c r="G4661">
        <v>-973</v>
      </c>
      <c r="H4661">
        <v>-396</v>
      </c>
      <c r="I4661">
        <v>-529</v>
      </c>
      <c r="J4661">
        <v>0</v>
      </c>
      <c r="K4661" s="201">
        <v>0</v>
      </c>
    </row>
    <row r="4662" spans="1:11" x14ac:dyDescent="0.25">
      <c r="A4662"/>
      <c r="B4662" s="201">
        <v>-32</v>
      </c>
      <c r="C4662">
        <v>-19</v>
      </c>
      <c r="D4662" s="201">
        <v>0</v>
      </c>
      <c r="E4662" s="201">
        <v>613</v>
      </c>
      <c r="F4662">
        <v>509</v>
      </c>
      <c r="G4662">
        <v>-91</v>
      </c>
      <c r="H4662">
        <v>-509</v>
      </c>
      <c r="I4662">
        <v>-1058</v>
      </c>
      <c r="J4662">
        <v>-826</v>
      </c>
      <c r="K4662" s="201">
        <v>304</v>
      </c>
    </row>
    <row r="4663" spans="1:11" x14ac:dyDescent="0.25">
      <c r="A4663"/>
      <c r="B4663" s="201">
        <v>0</v>
      </c>
      <c r="C4663">
        <v>0</v>
      </c>
      <c r="D4663" s="201">
        <v>0</v>
      </c>
      <c r="E4663" s="201">
        <v>0</v>
      </c>
      <c r="F4663">
        <v>0</v>
      </c>
      <c r="G4663">
        <v>761</v>
      </c>
      <c r="H4663">
        <v>0</v>
      </c>
      <c r="I4663">
        <v>-1762</v>
      </c>
      <c r="J4663">
        <v>-1378</v>
      </c>
      <c r="K4663" s="201">
        <v>-407</v>
      </c>
    </row>
    <row r="4664" spans="1:11" x14ac:dyDescent="0.25">
      <c r="A4664"/>
      <c r="B4664" s="201">
        <v>0</v>
      </c>
      <c r="C4664">
        <v>-1635</v>
      </c>
      <c r="D4664" s="201">
        <v>3798</v>
      </c>
      <c r="E4664" s="201">
        <v>749</v>
      </c>
      <c r="F4664">
        <v>-763</v>
      </c>
      <c r="G4664">
        <v>1640</v>
      </c>
      <c r="H4664">
        <v>0</v>
      </c>
      <c r="I4664">
        <v>758</v>
      </c>
      <c r="J4664">
        <v>97</v>
      </c>
      <c r="K4664" s="201">
        <v>-1134</v>
      </c>
    </row>
    <row r="4665" spans="1:11" x14ac:dyDescent="0.25">
      <c r="A4665"/>
      <c r="B4665" s="201">
        <v>-70</v>
      </c>
      <c r="C4665">
        <v>0</v>
      </c>
      <c r="D4665" s="201">
        <v>1172</v>
      </c>
      <c r="E4665" s="201">
        <v>675</v>
      </c>
      <c r="F4665">
        <v>0</v>
      </c>
      <c r="G4665">
        <v>0</v>
      </c>
      <c r="H4665">
        <v>0</v>
      </c>
      <c r="I4665">
        <v>876</v>
      </c>
      <c r="J4665">
        <v>1821</v>
      </c>
      <c r="K4665" s="201">
        <v>0</v>
      </c>
    </row>
    <row r="4666" spans="1:11" x14ac:dyDescent="0.25">
      <c r="A4666"/>
      <c r="B4666" s="201">
        <v>1283</v>
      </c>
      <c r="C4666">
        <v>-713</v>
      </c>
      <c r="D4666" s="201">
        <v>-1148</v>
      </c>
      <c r="E4666" s="201">
        <v>279</v>
      </c>
      <c r="F4666">
        <v>0</v>
      </c>
      <c r="G4666">
        <v>0</v>
      </c>
      <c r="H4666">
        <v>0</v>
      </c>
      <c r="I4666">
        <v>0</v>
      </c>
      <c r="J4666">
        <v>0</v>
      </c>
      <c r="K4666" s="201">
        <v>2253</v>
      </c>
    </row>
    <row r="4667" spans="1:11" x14ac:dyDescent="0.25">
      <c r="A4667"/>
      <c r="B4667" s="201">
        <v>0</v>
      </c>
      <c r="C4667">
        <v>-1155</v>
      </c>
      <c r="D4667" s="201">
        <v>-1019</v>
      </c>
      <c r="E4667" s="201">
        <v>-680</v>
      </c>
      <c r="F4667">
        <v>0</v>
      </c>
      <c r="G4667">
        <v>-1007</v>
      </c>
      <c r="H4667">
        <v>3316</v>
      </c>
      <c r="I4667">
        <v>1153</v>
      </c>
      <c r="J4667">
        <v>-1744</v>
      </c>
      <c r="K4667" s="201">
        <v>1833</v>
      </c>
    </row>
    <row r="4668" spans="1:11" x14ac:dyDescent="0.25">
      <c r="A4668"/>
      <c r="B4668" s="201">
        <v>403</v>
      </c>
      <c r="C4668">
        <v>707</v>
      </c>
      <c r="D4668" s="201">
        <v>378</v>
      </c>
      <c r="E4668" s="201">
        <v>0</v>
      </c>
      <c r="F4668">
        <v>-401</v>
      </c>
      <c r="G4668">
        <v>0</v>
      </c>
      <c r="H4668">
        <v>0</v>
      </c>
      <c r="I4668">
        <v>577</v>
      </c>
      <c r="J4668">
        <v>-297</v>
      </c>
      <c r="K4668" s="201">
        <v>0</v>
      </c>
    </row>
    <row r="4669" spans="1:11" x14ac:dyDescent="0.25">
      <c r="A4669"/>
      <c r="B4669" s="201">
        <v>-102</v>
      </c>
      <c r="C4669">
        <v>0</v>
      </c>
      <c r="D4669" s="201">
        <v>0</v>
      </c>
      <c r="E4669" s="201">
        <v>562</v>
      </c>
      <c r="F4669">
        <v>0</v>
      </c>
      <c r="G4669">
        <v>-961</v>
      </c>
      <c r="H4669">
        <v>-922</v>
      </c>
      <c r="I4669">
        <v>-30</v>
      </c>
      <c r="J4669">
        <v>0</v>
      </c>
      <c r="K4669" s="201">
        <v>0</v>
      </c>
    </row>
    <row r="4670" spans="1:11" x14ac:dyDescent="0.25">
      <c r="A4670"/>
      <c r="B4670" s="201">
        <v>0</v>
      </c>
      <c r="C4670">
        <v>0</v>
      </c>
      <c r="D4670" s="201">
        <v>0</v>
      </c>
      <c r="E4670" s="201">
        <v>1759</v>
      </c>
      <c r="F4670">
        <v>0</v>
      </c>
      <c r="G4670">
        <v>-255</v>
      </c>
      <c r="H4670">
        <v>-1081</v>
      </c>
      <c r="I4670">
        <v>-940</v>
      </c>
      <c r="J4670">
        <v>0</v>
      </c>
      <c r="K4670" s="201">
        <v>147</v>
      </c>
    </row>
    <row r="4671" spans="1:11" x14ac:dyDescent="0.25">
      <c r="A4671"/>
      <c r="B4671" s="201">
        <v>2927</v>
      </c>
      <c r="C4671">
        <v>448</v>
      </c>
      <c r="D4671" s="201">
        <v>0</v>
      </c>
      <c r="E4671" s="201">
        <v>0</v>
      </c>
      <c r="F4671">
        <v>0</v>
      </c>
      <c r="G4671">
        <v>1097</v>
      </c>
      <c r="H4671">
        <v>981</v>
      </c>
      <c r="I4671">
        <v>-455</v>
      </c>
      <c r="J4671">
        <v>-514</v>
      </c>
      <c r="K4671" s="201">
        <v>-667</v>
      </c>
    </row>
    <row r="4672" spans="1:11" x14ac:dyDescent="0.25">
      <c r="A4672"/>
      <c r="B4672" s="201">
        <v>0</v>
      </c>
      <c r="C4672">
        <v>636</v>
      </c>
      <c r="D4672" s="201">
        <v>0</v>
      </c>
      <c r="E4672" s="201">
        <v>0</v>
      </c>
      <c r="F4672">
        <v>614</v>
      </c>
      <c r="G4672">
        <v>0</v>
      </c>
      <c r="H4672">
        <v>2022</v>
      </c>
      <c r="I4672">
        <v>0</v>
      </c>
      <c r="J4672">
        <v>1151</v>
      </c>
      <c r="K4672" s="201">
        <v>0</v>
      </c>
    </row>
    <row r="4673" spans="1:11" x14ac:dyDescent="0.25">
      <c r="A4673"/>
      <c r="B4673" s="201">
        <v>0</v>
      </c>
      <c r="C4673">
        <v>0</v>
      </c>
      <c r="D4673" s="201">
        <v>0</v>
      </c>
      <c r="E4673" s="201">
        <v>0</v>
      </c>
      <c r="F4673">
        <v>0</v>
      </c>
      <c r="G4673">
        <v>0</v>
      </c>
      <c r="H4673">
        <v>0</v>
      </c>
      <c r="I4673">
        <v>1074</v>
      </c>
      <c r="J4673">
        <v>0</v>
      </c>
      <c r="K4673" s="201">
        <v>-2120</v>
      </c>
    </row>
    <row r="4674" spans="1:11" x14ac:dyDescent="0.25">
      <c r="A4674"/>
      <c r="B4674" s="201">
        <v>-998</v>
      </c>
      <c r="C4674">
        <v>-619</v>
      </c>
      <c r="D4674" s="201">
        <v>0</v>
      </c>
      <c r="E4674" s="201">
        <v>-547</v>
      </c>
      <c r="F4674">
        <v>2858</v>
      </c>
      <c r="G4674">
        <v>0</v>
      </c>
      <c r="H4674">
        <v>0</v>
      </c>
      <c r="I4674">
        <v>0</v>
      </c>
      <c r="J4674">
        <v>0</v>
      </c>
      <c r="K4674" s="201">
        <v>0</v>
      </c>
    </row>
    <row r="4675" spans="1:11" x14ac:dyDescent="0.25">
      <c r="A4675"/>
      <c r="B4675" s="201">
        <v>436</v>
      </c>
      <c r="C4675">
        <v>88</v>
      </c>
      <c r="D4675" s="201">
        <v>-728</v>
      </c>
      <c r="E4675" s="201">
        <v>-533</v>
      </c>
      <c r="F4675">
        <v>-345</v>
      </c>
      <c r="G4675">
        <v>-1111</v>
      </c>
      <c r="H4675">
        <v>0</v>
      </c>
      <c r="I4675">
        <v>0</v>
      </c>
      <c r="J4675">
        <v>0</v>
      </c>
      <c r="K4675" s="201">
        <v>0</v>
      </c>
    </row>
    <row r="4676" spans="1:11" x14ac:dyDescent="0.25">
      <c r="A4676"/>
      <c r="B4676" s="201">
        <v>659</v>
      </c>
      <c r="C4676">
        <v>0</v>
      </c>
      <c r="D4676" s="201">
        <v>270</v>
      </c>
      <c r="E4676" s="201">
        <v>0</v>
      </c>
      <c r="F4676">
        <v>0</v>
      </c>
      <c r="G4676">
        <v>828</v>
      </c>
      <c r="H4676">
        <v>2197</v>
      </c>
      <c r="I4676">
        <v>0</v>
      </c>
      <c r="J4676">
        <v>0</v>
      </c>
      <c r="K4676" s="201">
        <v>0</v>
      </c>
    </row>
    <row r="4677" spans="1:11" x14ac:dyDescent="0.25">
      <c r="A4677"/>
      <c r="B4677" s="201">
        <v>0</v>
      </c>
      <c r="C4677">
        <v>2095</v>
      </c>
      <c r="D4677" s="201">
        <v>0</v>
      </c>
      <c r="E4677" s="201">
        <v>-3223</v>
      </c>
      <c r="F4677">
        <v>-718</v>
      </c>
      <c r="G4677">
        <v>-1371</v>
      </c>
      <c r="H4677">
        <v>-8742</v>
      </c>
      <c r="I4677">
        <v>-1981</v>
      </c>
      <c r="J4677">
        <v>-661</v>
      </c>
      <c r="K4677" s="201">
        <v>-2053</v>
      </c>
    </row>
    <row r="4678" spans="1:11" x14ac:dyDescent="0.25">
      <c r="A4678"/>
      <c r="B4678" s="201">
        <v>-1447</v>
      </c>
      <c r="C4678">
        <v>-1442</v>
      </c>
      <c r="D4678" s="201">
        <v>-651</v>
      </c>
      <c r="E4678" s="201">
        <v>0</v>
      </c>
      <c r="F4678">
        <v>0</v>
      </c>
      <c r="G4678">
        <v>0</v>
      </c>
      <c r="H4678">
        <v>0</v>
      </c>
      <c r="I4678">
        <v>0</v>
      </c>
      <c r="J4678">
        <v>0</v>
      </c>
      <c r="K4678" s="201">
        <v>0</v>
      </c>
    </row>
    <row r="4679" spans="1:11" x14ac:dyDescent="0.25">
      <c r="A4679"/>
      <c r="B4679" s="201">
        <v>244</v>
      </c>
      <c r="C4679">
        <v>-81</v>
      </c>
      <c r="D4679" s="201">
        <v>-641</v>
      </c>
      <c r="E4679" s="201">
        <v>192</v>
      </c>
      <c r="F4679">
        <v>-87</v>
      </c>
      <c r="G4679">
        <v>848</v>
      </c>
      <c r="H4679">
        <v>0</v>
      </c>
      <c r="I4679">
        <v>0</v>
      </c>
      <c r="J4679">
        <v>-1512</v>
      </c>
      <c r="K4679" s="201">
        <v>0</v>
      </c>
    </row>
    <row r="4680" spans="1:11" x14ac:dyDescent="0.25">
      <c r="A4680"/>
      <c r="B4680" s="201">
        <v>-1404</v>
      </c>
      <c r="C4680">
        <v>-1230</v>
      </c>
      <c r="D4680" s="201">
        <v>0</v>
      </c>
      <c r="E4680" s="201">
        <v>0</v>
      </c>
      <c r="F4680">
        <v>0</v>
      </c>
      <c r="G4680">
        <v>0</v>
      </c>
      <c r="H4680">
        <v>-10952</v>
      </c>
      <c r="I4680">
        <v>0</v>
      </c>
      <c r="J4680">
        <v>-2429</v>
      </c>
      <c r="K4680" s="201">
        <v>-4922</v>
      </c>
    </row>
    <row r="4681" spans="1:11" x14ac:dyDescent="0.25">
      <c r="A4681"/>
      <c r="B4681" s="201">
        <v>0</v>
      </c>
      <c r="C4681">
        <v>0</v>
      </c>
      <c r="D4681" s="201">
        <v>0</v>
      </c>
      <c r="E4681" s="201">
        <v>0</v>
      </c>
      <c r="F4681">
        <v>0</v>
      </c>
      <c r="G4681">
        <v>0</v>
      </c>
      <c r="H4681">
        <v>0</v>
      </c>
      <c r="I4681">
        <v>0</v>
      </c>
      <c r="J4681">
        <v>0</v>
      </c>
      <c r="K4681" s="201">
        <v>0</v>
      </c>
    </row>
    <row r="4682" spans="1:11" x14ac:dyDescent="0.25">
      <c r="A4682"/>
      <c r="B4682" s="201">
        <v>0</v>
      </c>
      <c r="C4682">
        <v>0</v>
      </c>
      <c r="D4682" s="201">
        <v>0</v>
      </c>
      <c r="E4682" s="201">
        <v>0</v>
      </c>
      <c r="F4682">
        <v>0</v>
      </c>
      <c r="G4682">
        <v>-6929</v>
      </c>
      <c r="H4682">
        <v>0</v>
      </c>
      <c r="I4682">
        <v>0</v>
      </c>
      <c r="J4682">
        <v>0</v>
      </c>
      <c r="K4682" s="201">
        <v>0</v>
      </c>
    </row>
    <row r="4683" spans="1:11" x14ac:dyDescent="0.25">
      <c r="A4683"/>
      <c r="B4683" s="201">
        <v>0</v>
      </c>
      <c r="C4683">
        <v>-19075</v>
      </c>
      <c r="D4683" s="201">
        <v>-8098</v>
      </c>
      <c r="E4683" s="201">
        <v>-3636</v>
      </c>
      <c r="F4683">
        <v>-17100</v>
      </c>
      <c r="G4683">
        <v>-22338</v>
      </c>
      <c r="H4683">
        <v>-23531</v>
      </c>
      <c r="I4683">
        <v>-16233</v>
      </c>
      <c r="J4683">
        <v>-5390</v>
      </c>
      <c r="K4683" s="201">
        <v>725</v>
      </c>
    </row>
    <row r="4684" spans="1:11" x14ac:dyDescent="0.25">
      <c r="A4684"/>
      <c r="B4684" s="201">
        <v>1516</v>
      </c>
      <c r="C4684">
        <v>200</v>
      </c>
      <c r="D4684" s="201">
        <v>1564</v>
      </c>
      <c r="E4684" s="201">
        <v>0</v>
      </c>
      <c r="F4684">
        <v>0</v>
      </c>
      <c r="G4684">
        <v>-2385</v>
      </c>
      <c r="H4684">
        <v>0</v>
      </c>
      <c r="I4684">
        <v>0</v>
      </c>
      <c r="J4684">
        <v>0</v>
      </c>
      <c r="K4684" s="201">
        <v>-441</v>
      </c>
    </row>
    <row r="4685" spans="1:11" x14ac:dyDescent="0.25">
      <c r="A4685"/>
      <c r="B4685" s="201">
        <v>1575</v>
      </c>
      <c r="C4685">
        <v>0</v>
      </c>
      <c r="D4685" s="201">
        <v>0</v>
      </c>
      <c r="E4685" s="201">
        <v>0</v>
      </c>
      <c r="F4685">
        <v>0</v>
      </c>
      <c r="G4685">
        <v>0</v>
      </c>
      <c r="H4685">
        <v>0</v>
      </c>
      <c r="I4685">
        <v>31516</v>
      </c>
      <c r="J4685">
        <v>0</v>
      </c>
      <c r="K4685" s="201">
        <v>0</v>
      </c>
    </row>
    <row r="4686" spans="1:11" x14ac:dyDescent="0.25">
      <c r="A4686"/>
      <c r="B4686" s="201">
        <v>47</v>
      </c>
      <c r="C4686">
        <v>0</v>
      </c>
      <c r="D4686" s="201">
        <v>707</v>
      </c>
      <c r="E4686" s="201">
        <v>0</v>
      </c>
      <c r="F4686">
        <v>-2435</v>
      </c>
      <c r="G4686">
        <v>2995</v>
      </c>
      <c r="H4686">
        <v>1376</v>
      </c>
      <c r="I4686">
        <v>0</v>
      </c>
      <c r="J4686">
        <v>57</v>
      </c>
      <c r="K4686" s="201">
        <v>408</v>
      </c>
    </row>
    <row r="4687" spans="1:11" x14ac:dyDescent="0.25">
      <c r="A4687"/>
      <c r="B4687" s="201">
        <v>-66</v>
      </c>
      <c r="C4687">
        <v>14</v>
      </c>
      <c r="D4687" s="201">
        <v>-9</v>
      </c>
      <c r="E4687" s="201">
        <v>144</v>
      </c>
      <c r="F4687">
        <v>0</v>
      </c>
      <c r="G4687">
        <v>-234</v>
      </c>
      <c r="H4687">
        <v>0</v>
      </c>
      <c r="I4687">
        <v>0</v>
      </c>
      <c r="J4687">
        <v>0</v>
      </c>
      <c r="K4687" s="201">
        <v>0</v>
      </c>
    </row>
    <row r="4688" spans="1:11" x14ac:dyDescent="0.25">
      <c r="A4688"/>
      <c r="B4688" s="201">
        <v>0</v>
      </c>
      <c r="C4688">
        <v>25</v>
      </c>
      <c r="D4688" s="201">
        <v>0</v>
      </c>
      <c r="E4688" s="201">
        <v>0</v>
      </c>
      <c r="F4688">
        <v>0</v>
      </c>
      <c r="G4688">
        <v>115</v>
      </c>
      <c r="H4688">
        <v>0</v>
      </c>
      <c r="I4688">
        <v>-195</v>
      </c>
      <c r="J4688">
        <v>0</v>
      </c>
      <c r="K4688" s="201">
        <v>0</v>
      </c>
    </row>
    <row r="4689" spans="1:11" x14ac:dyDescent="0.25">
      <c r="A4689"/>
      <c r="B4689" s="201">
        <v>0</v>
      </c>
      <c r="C4689">
        <v>0</v>
      </c>
      <c r="D4689" s="201">
        <v>0</v>
      </c>
      <c r="E4689" s="201">
        <v>-361</v>
      </c>
      <c r="F4689">
        <v>0</v>
      </c>
      <c r="G4689">
        <v>441</v>
      </c>
      <c r="H4689">
        <v>0</v>
      </c>
      <c r="I4689">
        <v>0</v>
      </c>
      <c r="J4689">
        <v>0</v>
      </c>
      <c r="K4689" s="201">
        <v>569</v>
      </c>
    </row>
    <row r="4690" spans="1:11" x14ac:dyDescent="0.25">
      <c r="A4690"/>
      <c r="B4690" s="201">
        <v>-1270</v>
      </c>
      <c r="C4690">
        <v>0</v>
      </c>
      <c r="D4690" s="201">
        <v>1108</v>
      </c>
      <c r="E4690" s="201">
        <v>0</v>
      </c>
      <c r="F4690">
        <v>0</v>
      </c>
      <c r="G4690">
        <v>0</v>
      </c>
      <c r="H4690">
        <v>0</v>
      </c>
      <c r="I4690">
        <v>760</v>
      </c>
      <c r="J4690">
        <v>-180</v>
      </c>
      <c r="K4690" s="201">
        <v>282</v>
      </c>
    </row>
    <row r="4691" spans="1:11" x14ac:dyDescent="0.25">
      <c r="A4691"/>
      <c r="B4691" s="201">
        <v>0</v>
      </c>
      <c r="C4691">
        <v>0</v>
      </c>
      <c r="D4691" s="201">
        <v>76</v>
      </c>
      <c r="E4691" s="201">
        <v>-1083</v>
      </c>
      <c r="F4691">
        <v>0</v>
      </c>
      <c r="G4691">
        <v>918</v>
      </c>
      <c r="H4691">
        <v>343</v>
      </c>
      <c r="I4691">
        <v>603</v>
      </c>
      <c r="J4691">
        <v>308</v>
      </c>
      <c r="K4691" s="201">
        <v>-25</v>
      </c>
    </row>
    <row r="4692" spans="1:11" x14ac:dyDescent="0.25">
      <c r="A4692"/>
      <c r="B4692" s="201">
        <v>441</v>
      </c>
      <c r="C4692">
        <v>-155</v>
      </c>
      <c r="D4692" s="201">
        <v>0</v>
      </c>
      <c r="E4692" s="201">
        <v>0</v>
      </c>
      <c r="F4692">
        <v>0</v>
      </c>
      <c r="G4692">
        <v>0</v>
      </c>
      <c r="H4692">
        <v>0</v>
      </c>
      <c r="I4692">
        <v>-662</v>
      </c>
      <c r="J4692">
        <v>0</v>
      </c>
      <c r="K4692" s="201">
        <v>1827</v>
      </c>
    </row>
    <row r="4693" spans="1:11" x14ac:dyDescent="0.25">
      <c r="A4693"/>
      <c r="B4693" s="201">
        <v>1106</v>
      </c>
      <c r="C4693">
        <v>-62</v>
      </c>
      <c r="D4693" s="201">
        <v>0</v>
      </c>
      <c r="E4693" s="201">
        <v>928</v>
      </c>
      <c r="F4693">
        <v>-1178</v>
      </c>
      <c r="G4693">
        <v>897</v>
      </c>
      <c r="H4693">
        <v>2095</v>
      </c>
      <c r="I4693">
        <v>1625</v>
      </c>
      <c r="J4693">
        <v>0</v>
      </c>
      <c r="K4693" s="201">
        <v>768</v>
      </c>
    </row>
    <row r="4694" spans="1:11" x14ac:dyDescent="0.25">
      <c r="A4694"/>
      <c r="B4694" s="201">
        <v>1069</v>
      </c>
      <c r="C4694">
        <v>1406</v>
      </c>
      <c r="D4694" s="201">
        <v>-430</v>
      </c>
      <c r="E4694" s="201">
        <v>0</v>
      </c>
      <c r="F4694">
        <v>-886</v>
      </c>
      <c r="G4694">
        <v>378</v>
      </c>
      <c r="H4694">
        <v>0</v>
      </c>
      <c r="I4694">
        <v>0</v>
      </c>
      <c r="J4694">
        <v>0</v>
      </c>
      <c r="K4694" s="201">
        <v>108</v>
      </c>
    </row>
    <row r="4695" spans="1:11" x14ac:dyDescent="0.25">
      <c r="A4695"/>
      <c r="B4695" s="201">
        <v>417</v>
      </c>
      <c r="C4695">
        <v>0</v>
      </c>
      <c r="D4695" s="201">
        <v>560</v>
      </c>
      <c r="E4695" s="201">
        <v>648</v>
      </c>
      <c r="F4695">
        <v>586</v>
      </c>
      <c r="G4695">
        <v>-408</v>
      </c>
      <c r="H4695">
        <v>0</v>
      </c>
      <c r="I4695">
        <v>0</v>
      </c>
      <c r="J4695">
        <v>0</v>
      </c>
      <c r="K4695" s="201">
        <v>0</v>
      </c>
    </row>
    <row r="4696" spans="1:11" x14ac:dyDescent="0.25">
      <c r="A4696"/>
      <c r="B4696" s="201">
        <v>0</v>
      </c>
      <c r="C4696">
        <v>-1218</v>
      </c>
      <c r="D4696" s="201">
        <v>0</v>
      </c>
      <c r="E4696" s="201">
        <v>1634</v>
      </c>
      <c r="F4696">
        <v>430</v>
      </c>
      <c r="G4696">
        <v>171</v>
      </c>
      <c r="H4696">
        <v>0</v>
      </c>
      <c r="I4696">
        <v>866</v>
      </c>
      <c r="J4696">
        <v>-421</v>
      </c>
      <c r="K4696" s="201">
        <v>719</v>
      </c>
    </row>
    <row r="4697" spans="1:11" x14ac:dyDescent="0.25">
      <c r="A4697"/>
      <c r="B4697" s="201">
        <v>1984</v>
      </c>
      <c r="C4697">
        <v>1592</v>
      </c>
      <c r="D4697" s="201">
        <v>653</v>
      </c>
      <c r="E4697" s="201">
        <v>459</v>
      </c>
      <c r="F4697">
        <v>573</v>
      </c>
      <c r="G4697">
        <v>0</v>
      </c>
      <c r="H4697">
        <v>-244</v>
      </c>
      <c r="I4697">
        <v>0</v>
      </c>
      <c r="J4697">
        <v>0</v>
      </c>
      <c r="K4697" s="201">
        <v>544</v>
      </c>
    </row>
    <row r="4698" spans="1:11" x14ac:dyDescent="0.25">
      <c r="A4698"/>
      <c r="B4698" s="201">
        <v>-551</v>
      </c>
      <c r="C4698">
        <v>0</v>
      </c>
      <c r="D4698" s="201">
        <v>-243</v>
      </c>
      <c r="E4698" s="201">
        <v>0</v>
      </c>
      <c r="F4698">
        <v>0</v>
      </c>
      <c r="G4698">
        <v>127</v>
      </c>
      <c r="H4698">
        <v>0</v>
      </c>
      <c r="I4698">
        <v>58</v>
      </c>
      <c r="J4698">
        <v>496</v>
      </c>
      <c r="K4698" s="201">
        <v>-833</v>
      </c>
    </row>
    <row r="4699" spans="1:11" x14ac:dyDescent="0.25">
      <c r="A4699"/>
      <c r="B4699" s="201">
        <v>0</v>
      </c>
      <c r="C4699">
        <v>0</v>
      </c>
      <c r="D4699" s="201">
        <v>0</v>
      </c>
      <c r="E4699" s="201">
        <v>0</v>
      </c>
      <c r="F4699">
        <v>0</v>
      </c>
      <c r="G4699">
        <v>-1057</v>
      </c>
      <c r="H4699">
        <v>0</v>
      </c>
      <c r="I4699">
        <v>604</v>
      </c>
      <c r="J4699">
        <v>688</v>
      </c>
      <c r="K4699" s="201">
        <v>295</v>
      </c>
    </row>
    <row r="4700" spans="1:11" x14ac:dyDescent="0.25">
      <c r="A4700"/>
      <c r="B4700" s="201">
        <v>0</v>
      </c>
      <c r="C4700">
        <v>469</v>
      </c>
      <c r="D4700" s="201">
        <v>-1012</v>
      </c>
      <c r="E4700" s="201">
        <v>310</v>
      </c>
      <c r="F4700">
        <v>0</v>
      </c>
      <c r="G4700">
        <v>0</v>
      </c>
      <c r="H4700">
        <v>0</v>
      </c>
      <c r="I4700">
        <v>368</v>
      </c>
      <c r="J4700">
        <v>343</v>
      </c>
      <c r="K4700" s="201">
        <v>472</v>
      </c>
    </row>
    <row r="4701" spans="1:11" x14ac:dyDescent="0.25">
      <c r="A4701"/>
      <c r="B4701" s="201">
        <v>-87</v>
      </c>
      <c r="C4701">
        <v>638</v>
      </c>
      <c r="D4701" s="201">
        <v>0</v>
      </c>
      <c r="E4701" s="201">
        <v>136</v>
      </c>
      <c r="F4701">
        <v>0</v>
      </c>
      <c r="G4701">
        <v>0</v>
      </c>
      <c r="H4701">
        <v>117</v>
      </c>
      <c r="I4701">
        <v>0</v>
      </c>
      <c r="J4701">
        <v>413</v>
      </c>
      <c r="K4701" s="201">
        <v>0</v>
      </c>
    </row>
    <row r="4702" spans="1:11" x14ac:dyDescent="0.25">
      <c r="A4702"/>
      <c r="B4702" s="201">
        <v>490</v>
      </c>
      <c r="C4702">
        <v>0</v>
      </c>
      <c r="D4702" s="201">
        <v>0</v>
      </c>
      <c r="E4702" s="201">
        <v>0</v>
      </c>
      <c r="F4702">
        <v>0</v>
      </c>
      <c r="G4702">
        <v>0</v>
      </c>
      <c r="H4702">
        <v>0</v>
      </c>
      <c r="I4702">
        <v>0</v>
      </c>
      <c r="J4702">
        <v>0</v>
      </c>
      <c r="K4702" s="201">
        <v>-580</v>
      </c>
    </row>
    <row r="4703" spans="1:11" x14ac:dyDescent="0.25">
      <c r="A4703"/>
      <c r="B4703" s="201">
        <v>0</v>
      </c>
      <c r="C4703">
        <v>2470</v>
      </c>
      <c r="D4703" s="201">
        <v>719</v>
      </c>
      <c r="E4703" s="201">
        <v>311</v>
      </c>
      <c r="F4703">
        <v>0</v>
      </c>
      <c r="G4703">
        <v>783</v>
      </c>
      <c r="H4703">
        <v>-7</v>
      </c>
      <c r="I4703">
        <v>0</v>
      </c>
      <c r="J4703">
        <v>0</v>
      </c>
      <c r="K4703" s="201">
        <v>0</v>
      </c>
    </row>
    <row r="4704" spans="1:11" x14ac:dyDescent="0.25">
      <c r="A4704"/>
      <c r="B4704" s="201">
        <v>0</v>
      </c>
      <c r="C4704">
        <v>0</v>
      </c>
      <c r="D4704" s="201">
        <v>17</v>
      </c>
      <c r="E4704" s="201">
        <v>140</v>
      </c>
      <c r="F4704">
        <v>-159</v>
      </c>
      <c r="G4704">
        <v>51</v>
      </c>
      <c r="H4704">
        <v>-395</v>
      </c>
      <c r="I4704">
        <v>278</v>
      </c>
      <c r="J4704">
        <v>0</v>
      </c>
      <c r="K4704" s="201">
        <v>0</v>
      </c>
    </row>
    <row r="4705" spans="1:11" x14ac:dyDescent="0.25">
      <c r="A4705"/>
      <c r="B4705" s="201">
        <v>0</v>
      </c>
      <c r="C4705">
        <v>0</v>
      </c>
      <c r="D4705" s="201">
        <v>201</v>
      </c>
      <c r="E4705" s="201">
        <v>0</v>
      </c>
      <c r="F4705">
        <v>320</v>
      </c>
      <c r="G4705">
        <v>0</v>
      </c>
      <c r="H4705">
        <v>0</v>
      </c>
      <c r="I4705">
        <v>-542</v>
      </c>
      <c r="J4705">
        <v>-315</v>
      </c>
      <c r="K4705" s="201">
        <v>0</v>
      </c>
    </row>
    <row r="4706" spans="1:11" x14ac:dyDescent="0.25">
      <c r="A4706"/>
      <c r="B4706" s="201">
        <v>0</v>
      </c>
      <c r="C4706">
        <v>0</v>
      </c>
      <c r="D4706" s="201">
        <v>0</v>
      </c>
      <c r="E4706" s="201">
        <v>-640</v>
      </c>
      <c r="F4706">
        <v>0</v>
      </c>
      <c r="G4706">
        <v>391</v>
      </c>
      <c r="H4706">
        <v>309</v>
      </c>
      <c r="I4706">
        <v>95</v>
      </c>
      <c r="J4706">
        <v>-1266</v>
      </c>
      <c r="K4706" s="201">
        <v>-652</v>
      </c>
    </row>
    <row r="4707" spans="1:11" x14ac:dyDescent="0.25">
      <c r="A4707"/>
      <c r="B4707" s="201">
        <v>-143</v>
      </c>
      <c r="C4707">
        <v>301</v>
      </c>
      <c r="D4707" s="201">
        <v>362</v>
      </c>
      <c r="E4707" s="201">
        <v>93</v>
      </c>
      <c r="F4707">
        <v>-24</v>
      </c>
      <c r="G4707">
        <v>0</v>
      </c>
      <c r="H4707">
        <v>0</v>
      </c>
      <c r="I4707">
        <v>0</v>
      </c>
      <c r="J4707">
        <v>0</v>
      </c>
      <c r="K4707" s="201">
        <v>0</v>
      </c>
    </row>
    <row r="4708" spans="1:11" x14ac:dyDescent="0.25">
      <c r="A4708"/>
      <c r="B4708" s="201">
        <v>0</v>
      </c>
      <c r="C4708">
        <v>0</v>
      </c>
      <c r="D4708" s="201">
        <v>84</v>
      </c>
      <c r="E4708" s="201">
        <v>-285</v>
      </c>
      <c r="F4708">
        <v>-348</v>
      </c>
      <c r="G4708">
        <v>-91</v>
      </c>
      <c r="H4708">
        <v>-422</v>
      </c>
      <c r="I4708">
        <v>-265</v>
      </c>
      <c r="J4708">
        <v>0</v>
      </c>
      <c r="K4708" s="201">
        <v>0</v>
      </c>
    </row>
    <row r="4709" spans="1:11" x14ac:dyDescent="0.25">
      <c r="A4709"/>
      <c r="B4709" s="201">
        <v>1487</v>
      </c>
      <c r="C4709">
        <v>0</v>
      </c>
      <c r="D4709" s="201">
        <v>1134</v>
      </c>
      <c r="E4709" s="201">
        <v>-319</v>
      </c>
      <c r="F4709">
        <v>0</v>
      </c>
      <c r="G4709">
        <v>0</v>
      </c>
      <c r="H4709">
        <v>0</v>
      </c>
      <c r="I4709">
        <v>0</v>
      </c>
      <c r="J4709">
        <v>1007</v>
      </c>
      <c r="K4709" s="201">
        <v>0</v>
      </c>
    </row>
    <row r="4710" spans="1:11" x14ac:dyDescent="0.25">
      <c r="A4710"/>
      <c r="B4710" s="201">
        <v>518</v>
      </c>
      <c r="C4710">
        <v>362</v>
      </c>
      <c r="D4710" s="201">
        <v>0</v>
      </c>
      <c r="E4710" s="201">
        <v>0</v>
      </c>
      <c r="F4710">
        <v>0</v>
      </c>
      <c r="G4710">
        <v>0</v>
      </c>
      <c r="H4710">
        <v>0</v>
      </c>
      <c r="I4710">
        <v>0</v>
      </c>
      <c r="J4710">
        <v>0</v>
      </c>
      <c r="K4710" s="201">
        <v>0</v>
      </c>
    </row>
    <row r="4711" spans="1:11" x14ac:dyDescent="0.25">
      <c r="A4711"/>
      <c r="B4711" s="201">
        <v>0</v>
      </c>
      <c r="C4711">
        <v>0</v>
      </c>
      <c r="D4711" s="201">
        <v>0</v>
      </c>
      <c r="E4711" s="201">
        <v>0</v>
      </c>
      <c r="F4711">
        <v>0</v>
      </c>
      <c r="G4711">
        <v>0</v>
      </c>
      <c r="H4711">
        <v>0</v>
      </c>
      <c r="I4711">
        <v>1987</v>
      </c>
      <c r="J4711">
        <v>0</v>
      </c>
      <c r="K4711" s="201">
        <v>0</v>
      </c>
    </row>
    <row r="4712" spans="1:11" x14ac:dyDescent="0.25">
      <c r="A4712"/>
      <c r="B4712" s="201">
        <v>0</v>
      </c>
      <c r="C4712">
        <v>0</v>
      </c>
      <c r="D4712" s="201">
        <v>0</v>
      </c>
      <c r="E4712" s="201">
        <v>-35745</v>
      </c>
      <c r="F4712">
        <v>180</v>
      </c>
      <c r="G4712">
        <v>-1</v>
      </c>
      <c r="H4712">
        <v>900</v>
      </c>
      <c r="I4712">
        <v>-89</v>
      </c>
      <c r="J4712">
        <v>-120</v>
      </c>
      <c r="K4712" s="201">
        <v>-644</v>
      </c>
    </row>
    <row r="4713" spans="1:11" x14ac:dyDescent="0.25">
      <c r="A4713"/>
      <c r="B4713" s="201">
        <v>-64132</v>
      </c>
      <c r="C4713">
        <v>118</v>
      </c>
      <c r="D4713" s="201">
        <v>1736</v>
      </c>
      <c r="E4713" s="201">
        <v>154</v>
      </c>
      <c r="F4713">
        <v>538</v>
      </c>
      <c r="G4713">
        <v>1180</v>
      </c>
      <c r="H4713">
        <v>0</v>
      </c>
      <c r="I4713">
        <v>0</v>
      </c>
      <c r="J4713">
        <v>-370</v>
      </c>
      <c r="K4713" s="201">
        <v>0</v>
      </c>
    </row>
    <row r="4714" spans="1:11" x14ac:dyDescent="0.25">
      <c r="A4714"/>
      <c r="B4714" s="201">
        <v>0</v>
      </c>
      <c r="C4714">
        <v>0</v>
      </c>
      <c r="D4714" s="201">
        <v>-206</v>
      </c>
      <c r="E4714" s="201">
        <v>102</v>
      </c>
      <c r="F4714">
        <v>0</v>
      </c>
      <c r="G4714">
        <v>0</v>
      </c>
      <c r="H4714">
        <v>0</v>
      </c>
      <c r="I4714">
        <v>0</v>
      </c>
      <c r="J4714">
        <v>0</v>
      </c>
      <c r="K4714" s="201">
        <v>0</v>
      </c>
    </row>
    <row r="4715" spans="1:11" x14ac:dyDescent="0.25">
      <c r="A4715"/>
      <c r="B4715" s="201">
        <v>-228</v>
      </c>
      <c r="C4715">
        <v>0</v>
      </c>
      <c r="D4715" s="201">
        <v>0</v>
      </c>
      <c r="E4715" s="201">
        <v>-4955</v>
      </c>
      <c r="F4715">
        <v>0</v>
      </c>
      <c r="G4715">
        <v>4916</v>
      </c>
      <c r="H4715">
        <v>0</v>
      </c>
      <c r="I4715">
        <v>-100</v>
      </c>
      <c r="J4715">
        <v>-113</v>
      </c>
      <c r="K4715" s="201">
        <v>-37</v>
      </c>
    </row>
    <row r="4716" spans="1:11" x14ac:dyDescent="0.25">
      <c r="A4716"/>
      <c r="B4716" s="201">
        <v>0</v>
      </c>
      <c r="C4716">
        <v>5006</v>
      </c>
      <c r="D4716" s="201">
        <v>2013</v>
      </c>
      <c r="E4716" s="201">
        <v>1562</v>
      </c>
      <c r="F4716">
        <v>2766</v>
      </c>
      <c r="G4716">
        <v>1471</v>
      </c>
      <c r="H4716">
        <v>-3565</v>
      </c>
      <c r="I4716">
        <v>0</v>
      </c>
      <c r="J4716">
        <v>-2860</v>
      </c>
      <c r="K4716" s="201">
        <v>0</v>
      </c>
    </row>
    <row r="4717" spans="1:11" x14ac:dyDescent="0.25">
      <c r="A4717"/>
      <c r="B4717" s="201">
        <v>0</v>
      </c>
      <c r="C4717">
        <v>0</v>
      </c>
      <c r="D4717" s="201">
        <v>0</v>
      </c>
      <c r="E4717" s="201">
        <v>0</v>
      </c>
      <c r="F4717">
        <v>-115</v>
      </c>
      <c r="G4717">
        <v>0</v>
      </c>
      <c r="H4717">
        <v>0</v>
      </c>
      <c r="I4717">
        <v>0</v>
      </c>
      <c r="J4717">
        <v>360</v>
      </c>
      <c r="K4717" s="201">
        <v>0</v>
      </c>
    </row>
    <row r="4718" spans="1:11" x14ac:dyDescent="0.25">
      <c r="A4718"/>
      <c r="B4718" s="201">
        <v>-3281</v>
      </c>
      <c r="C4718">
        <v>0</v>
      </c>
      <c r="D4718" s="201">
        <v>0</v>
      </c>
      <c r="E4718" s="201">
        <v>0</v>
      </c>
      <c r="F4718">
        <v>0</v>
      </c>
      <c r="G4718">
        <v>0</v>
      </c>
      <c r="H4718">
        <v>-34859</v>
      </c>
      <c r="I4718">
        <v>0</v>
      </c>
      <c r="J4718">
        <v>-12853</v>
      </c>
      <c r="K4718" s="201">
        <v>-1425</v>
      </c>
    </row>
    <row r="4719" spans="1:11" x14ac:dyDescent="0.25">
      <c r="A4719"/>
      <c r="B4719" s="201">
        <v>0</v>
      </c>
      <c r="C4719">
        <v>0</v>
      </c>
      <c r="D4719" s="201">
        <v>-1454</v>
      </c>
      <c r="E4719" s="201">
        <v>902</v>
      </c>
      <c r="F4719">
        <v>0</v>
      </c>
      <c r="G4719">
        <v>-1538</v>
      </c>
      <c r="H4719">
        <v>0</v>
      </c>
      <c r="I4719">
        <v>0</v>
      </c>
      <c r="J4719">
        <v>0</v>
      </c>
      <c r="K4719" s="201">
        <v>0</v>
      </c>
    </row>
    <row r="4720" spans="1:11" x14ac:dyDescent="0.25">
      <c r="B4720" s="201">
        <v>-7887</v>
      </c>
      <c r="C4720">
        <v>2643</v>
      </c>
      <c r="D4720" s="201">
        <v>1959</v>
      </c>
      <c r="E4720" s="201">
        <v>0</v>
      </c>
      <c r="F4720">
        <v>0</v>
      </c>
      <c r="G4720">
        <v>-645</v>
      </c>
      <c r="H4720">
        <v>-297</v>
      </c>
      <c r="I4720">
        <v>0</v>
      </c>
      <c r="J4720">
        <v>-585</v>
      </c>
      <c r="K4720" s="201">
        <v>-697</v>
      </c>
    </row>
    <row r="4721" spans="1:11" x14ac:dyDescent="0.25">
      <c r="A4721"/>
      <c r="B4721" s="201">
        <v>-57</v>
      </c>
      <c r="C4721">
        <v>-567</v>
      </c>
      <c r="D4721" s="201">
        <v>-1067</v>
      </c>
      <c r="E4721" s="201">
        <v>-685</v>
      </c>
      <c r="F4721">
        <v>-1282</v>
      </c>
      <c r="G4721">
        <v>0</v>
      </c>
      <c r="H4721">
        <v>0</v>
      </c>
      <c r="I4721">
        <v>0</v>
      </c>
      <c r="J4721">
        <v>0</v>
      </c>
      <c r="K4721" s="201">
        <v>0</v>
      </c>
    </row>
    <row r="4722" spans="1:11" x14ac:dyDescent="0.25">
      <c r="A4722"/>
      <c r="B4722" s="201">
        <v>1896</v>
      </c>
      <c r="C4722">
        <v>0</v>
      </c>
      <c r="D4722" s="201">
        <v>-994</v>
      </c>
      <c r="E4722" s="201">
        <v>-1111</v>
      </c>
      <c r="F4722">
        <v>567</v>
      </c>
      <c r="G4722">
        <v>0</v>
      </c>
      <c r="H4722">
        <v>-333</v>
      </c>
      <c r="I4722">
        <v>519</v>
      </c>
      <c r="J4722">
        <v>116</v>
      </c>
      <c r="K4722" s="201">
        <v>285</v>
      </c>
    </row>
    <row r="4723" spans="1:11" x14ac:dyDescent="0.25">
      <c r="A4723"/>
      <c r="B4723" s="201">
        <v>304</v>
      </c>
      <c r="C4723">
        <v>0</v>
      </c>
      <c r="D4723" s="201">
        <v>1777</v>
      </c>
      <c r="E4723" s="201">
        <v>2501</v>
      </c>
      <c r="F4723">
        <v>-2135</v>
      </c>
      <c r="G4723">
        <v>655</v>
      </c>
      <c r="H4723">
        <v>0</v>
      </c>
      <c r="I4723">
        <v>-481</v>
      </c>
      <c r="J4723">
        <v>100</v>
      </c>
      <c r="K4723" s="201">
        <v>0</v>
      </c>
    </row>
    <row r="4724" spans="1:11" x14ac:dyDescent="0.25">
      <c r="A4724"/>
      <c r="B4724" s="201">
        <v>0</v>
      </c>
      <c r="C4724">
        <v>0</v>
      </c>
      <c r="D4724" s="201">
        <v>117</v>
      </c>
      <c r="E4724" s="201">
        <v>158</v>
      </c>
      <c r="F4724">
        <v>0</v>
      </c>
      <c r="G4724">
        <v>177</v>
      </c>
      <c r="H4724">
        <v>-194</v>
      </c>
      <c r="I4724">
        <v>119</v>
      </c>
      <c r="J4724">
        <v>70</v>
      </c>
      <c r="K4724" s="201">
        <v>0</v>
      </c>
    </row>
    <row r="4725" spans="1:11" x14ac:dyDescent="0.25">
      <c r="A4725"/>
      <c r="B4725" s="201">
        <v>0</v>
      </c>
      <c r="C4725">
        <v>0</v>
      </c>
      <c r="D4725" s="201">
        <v>0</v>
      </c>
      <c r="E4725" s="201">
        <v>0</v>
      </c>
      <c r="F4725">
        <v>156</v>
      </c>
      <c r="G4725">
        <v>0</v>
      </c>
      <c r="H4725">
        <v>-1003</v>
      </c>
      <c r="I4725">
        <v>-243</v>
      </c>
      <c r="J4725">
        <v>-70</v>
      </c>
      <c r="K4725" s="201">
        <v>0</v>
      </c>
    </row>
    <row r="4726" spans="1:11" x14ac:dyDescent="0.25">
      <c r="A4726"/>
      <c r="B4726" s="201">
        <v>-964</v>
      </c>
      <c r="C4726">
        <v>10</v>
      </c>
      <c r="D4726" s="201">
        <v>391</v>
      </c>
      <c r="E4726" s="201">
        <v>961</v>
      </c>
      <c r="F4726">
        <v>736</v>
      </c>
      <c r="G4726">
        <v>28</v>
      </c>
      <c r="H4726">
        <v>2529</v>
      </c>
      <c r="I4726">
        <v>3758</v>
      </c>
      <c r="J4726">
        <v>0</v>
      </c>
      <c r="K4726" s="201">
        <v>739</v>
      </c>
    </row>
    <row r="4727" spans="1:11" x14ac:dyDescent="0.25">
      <c r="A4727"/>
      <c r="B4727" s="201">
        <v>0</v>
      </c>
      <c r="C4727">
        <v>0</v>
      </c>
      <c r="D4727" s="201">
        <v>18</v>
      </c>
      <c r="E4727" s="201">
        <v>45</v>
      </c>
      <c r="F4727">
        <v>0</v>
      </c>
      <c r="G4727">
        <v>202</v>
      </c>
      <c r="H4727">
        <v>0</v>
      </c>
      <c r="I4727">
        <v>0</v>
      </c>
      <c r="J4727">
        <v>274</v>
      </c>
      <c r="K4727" s="201">
        <v>0</v>
      </c>
    </row>
    <row r="4728" spans="1:11" x14ac:dyDescent="0.25">
      <c r="A4728"/>
      <c r="B4728" s="201">
        <v>432</v>
      </c>
      <c r="C4728">
        <v>491</v>
      </c>
      <c r="D4728" s="201">
        <v>424</v>
      </c>
      <c r="E4728" s="201">
        <v>0</v>
      </c>
      <c r="F4728">
        <v>0</v>
      </c>
      <c r="G4728">
        <v>0</v>
      </c>
      <c r="H4728">
        <v>0</v>
      </c>
      <c r="I4728">
        <v>0</v>
      </c>
      <c r="J4728">
        <v>609</v>
      </c>
      <c r="K4728" s="201">
        <v>0</v>
      </c>
    </row>
    <row r="4729" spans="1:11" x14ac:dyDescent="0.25">
      <c r="B4729" s="201">
        <v>-455</v>
      </c>
      <c r="C4729">
        <v>-246</v>
      </c>
      <c r="D4729" s="201">
        <v>-465</v>
      </c>
      <c r="E4729" s="201">
        <v>0</v>
      </c>
      <c r="F4729">
        <v>-326</v>
      </c>
      <c r="G4729">
        <v>-15</v>
      </c>
      <c r="H4729">
        <v>-58</v>
      </c>
      <c r="I4729">
        <v>0</v>
      </c>
      <c r="J4729">
        <v>0</v>
      </c>
      <c r="K4729" s="201">
        <v>0</v>
      </c>
    </row>
    <row r="4730" spans="1:11" x14ac:dyDescent="0.25">
      <c r="B4730" s="201">
        <v>1347</v>
      </c>
      <c r="C4730" s="201">
        <v>2215</v>
      </c>
      <c r="D4730" s="201">
        <v>-1637</v>
      </c>
      <c r="E4730" s="201">
        <v>581</v>
      </c>
      <c r="F4730">
        <v>518</v>
      </c>
      <c r="G4730">
        <v>0</v>
      </c>
      <c r="H4730">
        <v>283</v>
      </c>
      <c r="I4730">
        <v>0</v>
      </c>
      <c r="J4730">
        <v>0</v>
      </c>
      <c r="K4730" s="201">
        <v>79</v>
      </c>
    </row>
    <row r="4731" spans="1:11" x14ac:dyDescent="0.25">
      <c r="A4731"/>
      <c r="B4731" s="201">
        <v>0</v>
      </c>
      <c r="C4731">
        <v>81</v>
      </c>
      <c r="D4731" s="201">
        <v>0</v>
      </c>
      <c r="E4731" s="201">
        <v>70</v>
      </c>
      <c r="F4731">
        <v>0</v>
      </c>
      <c r="G4731">
        <v>0</v>
      </c>
      <c r="H4731">
        <v>0</v>
      </c>
      <c r="I4731">
        <v>0</v>
      </c>
      <c r="J4731">
        <v>0</v>
      </c>
      <c r="K4731" s="201">
        <v>0</v>
      </c>
    </row>
    <row r="4732" spans="1:11" x14ac:dyDescent="0.25">
      <c r="A4732"/>
      <c r="B4732" s="201">
        <v>0</v>
      </c>
      <c r="C4732">
        <v>0</v>
      </c>
      <c r="D4732" s="201">
        <v>63</v>
      </c>
      <c r="E4732" s="201">
        <v>0</v>
      </c>
      <c r="F4732">
        <v>-409</v>
      </c>
      <c r="G4732">
        <v>-156</v>
      </c>
      <c r="H4732">
        <v>-50</v>
      </c>
      <c r="I4732">
        <v>0</v>
      </c>
      <c r="J4732">
        <v>-285</v>
      </c>
      <c r="K4732" s="201">
        <v>2115</v>
      </c>
    </row>
    <row r="4733" spans="1:11" x14ac:dyDescent="0.25">
      <c r="A4733"/>
      <c r="B4733" s="201">
        <v>0</v>
      </c>
      <c r="C4733">
        <v>0</v>
      </c>
      <c r="D4733" s="201">
        <v>0</v>
      </c>
      <c r="E4733" s="201">
        <v>0</v>
      </c>
      <c r="F4733">
        <v>0</v>
      </c>
      <c r="G4733">
        <v>3228</v>
      </c>
      <c r="H4733">
        <v>-4435</v>
      </c>
      <c r="I4733">
        <v>1500</v>
      </c>
      <c r="J4733">
        <v>1287</v>
      </c>
      <c r="K4733" s="201">
        <v>20</v>
      </c>
    </row>
    <row r="4734" spans="1:11" x14ac:dyDescent="0.25">
      <c r="B4734" s="201">
        <v>-427</v>
      </c>
      <c r="C4734">
        <v>0</v>
      </c>
      <c r="D4734" s="201">
        <v>0</v>
      </c>
      <c r="E4734" s="201">
        <v>0</v>
      </c>
      <c r="F4734">
        <v>0</v>
      </c>
      <c r="G4734">
        <v>-86</v>
      </c>
      <c r="H4734">
        <v>0</v>
      </c>
      <c r="I4734">
        <v>-72</v>
      </c>
      <c r="J4734">
        <v>0</v>
      </c>
      <c r="K4734" s="201">
        <v>0</v>
      </c>
    </row>
    <row r="4735" spans="1:11" x14ac:dyDescent="0.25">
      <c r="A4735"/>
      <c r="B4735" s="201">
        <v>-92</v>
      </c>
      <c r="C4735">
        <v>-15</v>
      </c>
      <c r="D4735" s="201">
        <v>0</v>
      </c>
      <c r="E4735" s="201">
        <v>0</v>
      </c>
      <c r="F4735">
        <v>0</v>
      </c>
      <c r="G4735">
        <v>0</v>
      </c>
      <c r="H4735">
        <v>264</v>
      </c>
      <c r="I4735">
        <v>0</v>
      </c>
      <c r="J4735">
        <v>-2936</v>
      </c>
      <c r="K4735" s="201">
        <v>-928</v>
      </c>
    </row>
    <row r="4736" spans="1:11" x14ac:dyDescent="0.25">
      <c r="A4736"/>
      <c r="B4736" s="201">
        <v>244</v>
      </c>
      <c r="C4736">
        <v>60</v>
      </c>
      <c r="D4736" s="201">
        <v>-312</v>
      </c>
      <c r="E4736" s="201">
        <v>-567</v>
      </c>
      <c r="F4736">
        <v>-668</v>
      </c>
      <c r="G4736">
        <v>-1557</v>
      </c>
      <c r="H4736">
        <v>-2259</v>
      </c>
      <c r="I4736">
        <v>-707</v>
      </c>
      <c r="J4736">
        <v>0</v>
      </c>
      <c r="K4736" s="201">
        <v>0</v>
      </c>
    </row>
    <row r="4737" spans="1:11" x14ac:dyDescent="0.25">
      <c r="A4737"/>
      <c r="B4737" s="201">
        <v>0</v>
      </c>
      <c r="C4737">
        <v>0</v>
      </c>
      <c r="D4737" s="201">
        <v>0</v>
      </c>
      <c r="E4737" s="201">
        <v>0</v>
      </c>
      <c r="F4737">
        <v>0</v>
      </c>
      <c r="G4737">
        <v>-486</v>
      </c>
      <c r="H4737">
        <v>-225</v>
      </c>
      <c r="I4737">
        <v>90</v>
      </c>
      <c r="J4737">
        <v>-231</v>
      </c>
      <c r="K4737" s="201">
        <v>16</v>
      </c>
    </row>
    <row r="4738" spans="1:11" x14ac:dyDescent="0.25">
      <c r="A4738"/>
      <c r="B4738" s="201">
        <v>91</v>
      </c>
      <c r="C4738">
        <v>0</v>
      </c>
      <c r="D4738" s="201">
        <v>0</v>
      </c>
      <c r="E4738" s="201">
        <v>-235</v>
      </c>
      <c r="F4738">
        <v>0</v>
      </c>
      <c r="G4738">
        <v>-394</v>
      </c>
      <c r="H4738">
        <v>887</v>
      </c>
      <c r="I4738">
        <v>0</v>
      </c>
      <c r="J4738">
        <v>0</v>
      </c>
      <c r="K4738" s="201">
        <v>0</v>
      </c>
    </row>
    <row r="4739" spans="1:11" x14ac:dyDescent="0.25">
      <c r="A4739"/>
      <c r="B4739" s="201">
        <v>0</v>
      </c>
      <c r="C4739">
        <v>-225</v>
      </c>
      <c r="D4739" s="201">
        <v>0</v>
      </c>
      <c r="E4739" s="201">
        <v>597</v>
      </c>
      <c r="F4739">
        <v>-2156</v>
      </c>
      <c r="G4739">
        <v>0</v>
      </c>
      <c r="H4739">
        <v>0</v>
      </c>
      <c r="I4739">
        <v>0</v>
      </c>
      <c r="J4739">
        <v>0</v>
      </c>
      <c r="K4739" s="201">
        <v>0</v>
      </c>
    </row>
    <row r="4740" spans="1:11" x14ac:dyDescent="0.25">
      <c r="A4740"/>
      <c r="B4740" s="201">
        <v>0</v>
      </c>
      <c r="C4740">
        <v>0</v>
      </c>
      <c r="D4740" s="201">
        <v>0</v>
      </c>
      <c r="E4740" s="201">
        <v>0</v>
      </c>
      <c r="F4740">
        <v>0</v>
      </c>
      <c r="G4740">
        <v>0</v>
      </c>
      <c r="H4740">
        <v>0</v>
      </c>
      <c r="I4740">
        <v>0</v>
      </c>
      <c r="J4740">
        <v>0</v>
      </c>
      <c r="K4740" s="201">
        <v>0</v>
      </c>
    </row>
    <row r="4741" spans="1:11" x14ac:dyDescent="0.25">
      <c r="A4741"/>
      <c r="B4741" s="201">
        <v>-34</v>
      </c>
      <c r="C4741">
        <v>0</v>
      </c>
      <c r="D4741" s="201">
        <v>0</v>
      </c>
      <c r="E4741" s="201">
        <v>0</v>
      </c>
      <c r="F4741">
        <v>0</v>
      </c>
      <c r="G4741">
        <v>0</v>
      </c>
      <c r="H4741">
        <v>-120</v>
      </c>
      <c r="I4741">
        <v>-2615</v>
      </c>
      <c r="J4741">
        <v>-222</v>
      </c>
      <c r="K4741" s="201">
        <v>-739</v>
      </c>
    </row>
    <row r="4742" spans="1:11" x14ac:dyDescent="0.25">
      <c r="A4742"/>
      <c r="B4742" s="201">
        <v>325</v>
      </c>
      <c r="C4742">
        <v>617</v>
      </c>
      <c r="D4742" s="201">
        <v>-73</v>
      </c>
      <c r="E4742" s="201">
        <v>189</v>
      </c>
      <c r="F4742">
        <v>-183</v>
      </c>
      <c r="G4742">
        <v>-140</v>
      </c>
      <c r="H4742">
        <v>-60842</v>
      </c>
      <c r="I4742">
        <v>55</v>
      </c>
      <c r="J4742">
        <v>91</v>
      </c>
      <c r="K4742" s="201">
        <v>419</v>
      </c>
    </row>
    <row r="4743" spans="1:11" x14ac:dyDescent="0.25">
      <c r="A4743"/>
      <c r="B4743" s="201">
        <v>0</v>
      </c>
      <c r="C4743">
        <v>0</v>
      </c>
      <c r="D4743" s="201">
        <v>-220</v>
      </c>
      <c r="E4743" s="201">
        <v>0</v>
      </c>
      <c r="F4743">
        <v>0</v>
      </c>
      <c r="G4743">
        <v>0</v>
      </c>
      <c r="H4743">
        <v>-90</v>
      </c>
      <c r="I4743">
        <v>-38</v>
      </c>
      <c r="J4743">
        <v>0</v>
      </c>
      <c r="K4743" s="201">
        <v>0</v>
      </c>
    </row>
    <row r="4744" spans="1:11" x14ac:dyDescent="0.25">
      <c r="A4744"/>
      <c r="B4744" s="201">
        <v>0</v>
      </c>
      <c r="C4744">
        <v>0</v>
      </c>
      <c r="D4744" s="201">
        <v>0</v>
      </c>
      <c r="E4744" s="201">
        <v>0</v>
      </c>
      <c r="F4744">
        <v>9</v>
      </c>
      <c r="G4744">
        <v>0</v>
      </c>
      <c r="H4744">
        <v>0</v>
      </c>
      <c r="I4744">
        <v>1829</v>
      </c>
      <c r="J4744">
        <v>0</v>
      </c>
      <c r="K4744" s="201">
        <v>-1693</v>
      </c>
    </row>
    <row r="4745" spans="1:11" x14ac:dyDescent="0.25">
      <c r="A4745"/>
      <c r="B4745" s="201">
        <v>0</v>
      </c>
      <c r="C4745">
        <v>-5739</v>
      </c>
      <c r="D4745" s="201">
        <v>140</v>
      </c>
      <c r="E4745" s="201">
        <v>79</v>
      </c>
      <c r="F4745">
        <v>0</v>
      </c>
      <c r="G4745">
        <v>998</v>
      </c>
      <c r="H4745">
        <v>-5959</v>
      </c>
      <c r="I4745">
        <v>194</v>
      </c>
      <c r="J4745">
        <v>50</v>
      </c>
      <c r="K4745" s="201">
        <v>-490</v>
      </c>
    </row>
    <row r="4746" spans="1:11" x14ac:dyDescent="0.25">
      <c r="A4746"/>
      <c r="B4746" s="201">
        <v>150</v>
      </c>
      <c r="C4746">
        <v>0</v>
      </c>
      <c r="D4746" s="201">
        <v>-185</v>
      </c>
      <c r="E4746" s="201">
        <v>0</v>
      </c>
      <c r="F4746">
        <v>0</v>
      </c>
      <c r="G4746">
        <v>0</v>
      </c>
      <c r="H4746">
        <v>0</v>
      </c>
      <c r="I4746">
        <v>0</v>
      </c>
      <c r="J4746">
        <v>427</v>
      </c>
      <c r="K4746" s="201">
        <v>0</v>
      </c>
    </row>
    <row r="4747" spans="1:11" x14ac:dyDescent="0.25">
      <c r="A4747"/>
      <c r="B4747" s="201">
        <v>0</v>
      </c>
      <c r="C4747">
        <v>0</v>
      </c>
      <c r="D4747" s="201">
        <v>-88</v>
      </c>
      <c r="E4747" s="201">
        <v>0</v>
      </c>
      <c r="F4747">
        <v>-213</v>
      </c>
      <c r="G4747">
        <v>0</v>
      </c>
      <c r="H4747">
        <v>0</v>
      </c>
      <c r="I4747">
        <v>0</v>
      </c>
      <c r="J4747">
        <v>0</v>
      </c>
      <c r="K4747" s="201">
        <v>0</v>
      </c>
    </row>
    <row r="4748" spans="1:11" x14ac:dyDescent="0.25">
      <c r="A4748"/>
      <c r="B4748" s="201">
        <v>-485</v>
      </c>
      <c r="C4748">
        <v>0</v>
      </c>
      <c r="D4748" s="201">
        <v>-442</v>
      </c>
      <c r="E4748" s="201">
        <v>-484</v>
      </c>
      <c r="F4748">
        <v>0</v>
      </c>
      <c r="G4748">
        <v>0</v>
      </c>
      <c r="H4748">
        <v>-618</v>
      </c>
      <c r="I4748">
        <v>-1871</v>
      </c>
      <c r="J4748">
        <v>0</v>
      </c>
      <c r="K4748" s="201">
        <v>116</v>
      </c>
    </row>
    <row r="4749" spans="1:11" x14ac:dyDescent="0.25">
      <c r="A4749"/>
      <c r="B4749" s="201">
        <v>0</v>
      </c>
      <c r="C4749">
        <v>0</v>
      </c>
      <c r="D4749" s="201">
        <v>0</v>
      </c>
      <c r="E4749" s="201">
        <v>0</v>
      </c>
      <c r="F4749">
        <v>-744</v>
      </c>
      <c r="G4749">
        <v>195</v>
      </c>
      <c r="H4749">
        <v>141</v>
      </c>
      <c r="I4749">
        <v>0</v>
      </c>
      <c r="J4749">
        <v>0</v>
      </c>
      <c r="K4749" s="201">
        <v>17</v>
      </c>
    </row>
    <row r="4750" spans="1:11" x14ac:dyDescent="0.25">
      <c r="A4750"/>
      <c r="B4750" s="201">
        <v>-79</v>
      </c>
      <c r="C4750">
        <v>0</v>
      </c>
      <c r="D4750" s="201">
        <v>-283</v>
      </c>
      <c r="E4750" s="201">
        <v>-160</v>
      </c>
      <c r="F4750">
        <v>-168</v>
      </c>
      <c r="G4750">
        <v>-117</v>
      </c>
      <c r="H4750">
        <v>1015</v>
      </c>
      <c r="I4750">
        <v>132</v>
      </c>
      <c r="J4750">
        <v>-62</v>
      </c>
      <c r="K4750" s="201">
        <v>0</v>
      </c>
    </row>
    <row r="4751" spans="1:11" x14ac:dyDescent="0.25">
      <c r="A4751"/>
      <c r="B4751" s="201">
        <v>0</v>
      </c>
      <c r="C4751">
        <v>0</v>
      </c>
      <c r="D4751" s="201">
        <v>0</v>
      </c>
      <c r="E4751" s="201">
        <v>0</v>
      </c>
      <c r="F4751">
        <v>451</v>
      </c>
      <c r="G4751">
        <v>0</v>
      </c>
      <c r="H4751">
        <v>-852</v>
      </c>
      <c r="I4751">
        <v>15</v>
      </c>
      <c r="J4751">
        <v>89</v>
      </c>
      <c r="K4751" s="201">
        <v>0</v>
      </c>
    </row>
    <row r="4752" spans="1:11" x14ac:dyDescent="0.25">
      <c r="A4752"/>
      <c r="B4752" s="201">
        <v>89</v>
      </c>
      <c r="C4752">
        <v>-2545</v>
      </c>
      <c r="D4752" s="201">
        <v>144</v>
      </c>
      <c r="E4752" s="201">
        <v>-67</v>
      </c>
      <c r="F4752">
        <v>-139</v>
      </c>
      <c r="G4752">
        <v>0</v>
      </c>
      <c r="H4752">
        <v>2193</v>
      </c>
      <c r="I4752">
        <v>899</v>
      </c>
      <c r="J4752">
        <v>-61</v>
      </c>
      <c r="K4752" s="201">
        <v>12</v>
      </c>
    </row>
    <row r="4753" spans="1:11" x14ac:dyDescent="0.25">
      <c r="A4753"/>
      <c r="B4753" s="201">
        <v>0</v>
      </c>
      <c r="C4753">
        <v>7</v>
      </c>
      <c r="D4753" s="201">
        <v>-110</v>
      </c>
      <c r="E4753" s="201">
        <v>0</v>
      </c>
      <c r="F4753">
        <v>0</v>
      </c>
      <c r="G4753">
        <v>0</v>
      </c>
      <c r="H4753">
        <v>75</v>
      </c>
      <c r="I4753">
        <v>-141</v>
      </c>
      <c r="J4753">
        <v>0</v>
      </c>
      <c r="K4753" s="201">
        <v>-52</v>
      </c>
    </row>
    <row r="4754" spans="1:11" x14ac:dyDescent="0.25">
      <c r="A4754"/>
      <c r="B4754" s="201">
        <v>-154</v>
      </c>
      <c r="C4754">
        <v>-3</v>
      </c>
      <c r="D4754" s="201">
        <v>2</v>
      </c>
      <c r="E4754" s="201">
        <v>0</v>
      </c>
      <c r="F4754">
        <v>0</v>
      </c>
      <c r="G4754">
        <v>0</v>
      </c>
      <c r="H4754">
        <v>0</v>
      </c>
      <c r="I4754">
        <v>0</v>
      </c>
      <c r="J4754">
        <v>-380</v>
      </c>
      <c r="K4754" s="201">
        <v>0</v>
      </c>
    </row>
    <row r="4755" spans="1:11" x14ac:dyDescent="0.25">
      <c r="A4755"/>
      <c r="B4755" s="201">
        <v>379</v>
      </c>
      <c r="C4755">
        <v>94</v>
      </c>
      <c r="D4755" s="201">
        <v>-6</v>
      </c>
      <c r="E4755" s="201">
        <v>0</v>
      </c>
      <c r="F4755">
        <v>112</v>
      </c>
      <c r="G4755">
        <v>-2460</v>
      </c>
      <c r="H4755">
        <v>95</v>
      </c>
      <c r="I4755">
        <v>-27</v>
      </c>
      <c r="J4755">
        <v>-153</v>
      </c>
      <c r="K4755" s="201">
        <v>-29</v>
      </c>
    </row>
    <row r="4756" spans="1:11" x14ac:dyDescent="0.25">
      <c r="B4756" s="201">
        <v>1935</v>
      </c>
      <c r="C4756">
        <v>784</v>
      </c>
      <c r="D4756" s="201">
        <v>0</v>
      </c>
      <c r="E4756" s="201">
        <v>34</v>
      </c>
      <c r="F4756">
        <v>0</v>
      </c>
      <c r="G4756">
        <v>0</v>
      </c>
      <c r="H4756">
        <v>-34</v>
      </c>
      <c r="I4756">
        <v>-16</v>
      </c>
      <c r="J4756">
        <v>0</v>
      </c>
      <c r="K4756" s="201">
        <v>-4</v>
      </c>
    </row>
    <row r="4757" spans="1:11" x14ac:dyDescent="0.25">
      <c r="A4757"/>
      <c r="B4757" s="201">
        <v>0</v>
      </c>
      <c r="C4757">
        <v>0</v>
      </c>
      <c r="D4757" s="201">
        <v>-20</v>
      </c>
      <c r="E4757" s="201">
        <v>0</v>
      </c>
      <c r="F4757">
        <v>-67</v>
      </c>
      <c r="G4757">
        <v>21</v>
      </c>
      <c r="H4757">
        <v>46</v>
      </c>
      <c r="I4757">
        <v>0</v>
      </c>
      <c r="J4757">
        <v>0</v>
      </c>
      <c r="K4757" s="201">
        <v>0</v>
      </c>
    </row>
    <row r="4758" spans="1:11" x14ac:dyDescent="0.25">
      <c r="A4758"/>
      <c r="B4758" s="201">
        <v>0</v>
      </c>
      <c r="C4758">
        <v>0</v>
      </c>
      <c r="D4758" s="201">
        <v>-404</v>
      </c>
      <c r="E4758" s="201">
        <v>0</v>
      </c>
      <c r="F4758">
        <v>271</v>
      </c>
      <c r="G4758">
        <v>104</v>
      </c>
      <c r="H4758">
        <v>-34</v>
      </c>
      <c r="I4758">
        <v>0</v>
      </c>
      <c r="J4758">
        <v>-313</v>
      </c>
      <c r="K4758" s="201">
        <v>-3053</v>
      </c>
    </row>
    <row r="4759" spans="1:11" x14ac:dyDescent="0.25">
      <c r="A4759"/>
      <c r="B4759" s="201">
        <v>38</v>
      </c>
      <c r="C4759">
        <v>0</v>
      </c>
      <c r="D4759" s="201">
        <v>0</v>
      </c>
      <c r="E4759" s="201">
        <v>0</v>
      </c>
      <c r="F4759">
        <v>2521</v>
      </c>
      <c r="G4759">
        <v>1336</v>
      </c>
      <c r="H4759">
        <v>-1</v>
      </c>
      <c r="I4759">
        <v>-13</v>
      </c>
      <c r="J4759">
        <v>4</v>
      </c>
      <c r="K4759" s="201">
        <v>0</v>
      </c>
    </row>
    <row r="4760" spans="1:11" x14ac:dyDescent="0.25">
      <c r="A4760"/>
      <c r="B4760" s="201">
        <v>42</v>
      </c>
      <c r="C4760">
        <v>0</v>
      </c>
      <c r="D4760" s="201">
        <v>0</v>
      </c>
      <c r="E4760" s="201">
        <v>-21</v>
      </c>
      <c r="F4760">
        <v>0</v>
      </c>
      <c r="G4760">
        <v>-81</v>
      </c>
      <c r="H4760">
        <v>0</v>
      </c>
      <c r="I4760">
        <v>12</v>
      </c>
      <c r="J4760">
        <v>0</v>
      </c>
      <c r="K4760" s="201">
        <v>0</v>
      </c>
    </row>
    <row r="4761" spans="1:11" x14ac:dyDescent="0.25">
      <c r="A4761"/>
      <c r="B4761" s="201">
        <v>0</v>
      </c>
      <c r="C4761">
        <v>0</v>
      </c>
      <c r="D4761" s="201">
        <v>0</v>
      </c>
      <c r="E4761" s="201">
        <v>0</v>
      </c>
      <c r="F4761">
        <v>0</v>
      </c>
      <c r="G4761">
        <v>0</v>
      </c>
      <c r="H4761">
        <v>-197</v>
      </c>
      <c r="I4761">
        <v>0</v>
      </c>
      <c r="J4761">
        <v>318</v>
      </c>
      <c r="K4761" s="201">
        <v>33</v>
      </c>
    </row>
    <row r="4762" spans="1:11" x14ac:dyDescent="0.25">
      <c r="A4762"/>
      <c r="B4762" s="201">
        <v>-71</v>
      </c>
      <c r="C4762">
        <v>0</v>
      </c>
      <c r="D4762" s="201">
        <v>-495</v>
      </c>
      <c r="E4762" s="201">
        <v>879</v>
      </c>
      <c r="F4762">
        <v>0</v>
      </c>
      <c r="G4762">
        <v>0</v>
      </c>
      <c r="H4762">
        <v>0</v>
      </c>
      <c r="I4762">
        <v>0</v>
      </c>
      <c r="J4762">
        <v>0</v>
      </c>
      <c r="K4762" s="201">
        <v>2124</v>
      </c>
    </row>
    <row r="4763" spans="1:11" x14ac:dyDescent="0.25">
      <c r="B4763" s="201">
        <v>-111</v>
      </c>
      <c r="C4763">
        <v>-683</v>
      </c>
      <c r="D4763" s="201">
        <v>-497</v>
      </c>
      <c r="E4763" s="201">
        <v>58</v>
      </c>
      <c r="F4763">
        <v>-1152</v>
      </c>
      <c r="G4763">
        <v>0</v>
      </c>
      <c r="H4763">
        <v>0</v>
      </c>
      <c r="I4763">
        <v>0</v>
      </c>
      <c r="J4763">
        <v>0</v>
      </c>
      <c r="K4763" s="201">
        <v>-521</v>
      </c>
    </row>
    <row r="4764" spans="1:11" x14ac:dyDescent="0.25">
      <c r="A4764"/>
      <c r="B4764" s="201">
        <v>0</v>
      </c>
      <c r="C4764">
        <v>-260</v>
      </c>
      <c r="D4764" s="201">
        <v>0</v>
      </c>
      <c r="E4764" s="201">
        <v>0</v>
      </c>
      <c r="F4764">
        <v>-1123</v>
      </c>
      <c r="G4764">
        <v>155</v>
      </c>
      <c r="H4764">
        <v>0</v>
      </c>
      <c r="I4764">
        <v>0</v>
      </c>
      <c r="J4764">
        <v>0</v>
      </c>
      <c r="K4764" s="201">
        <v>0</v>
      </c>
    </row>
    <row r="4765" spans="1:11" x14ac:dyDescent="0.25">
      <c r="A4765"/>
      <c r="B4765" s="201">
        <v>397</v>
      </c>
      <c r="C4765">
        <v>0</v>
      </c>
      <c r="D4765" s="201">
        <v>-239</v>
      </c>
      <c r="E4765" s="201">
        <v>-315</v>
      </c>
      <c r="F4765">
        <v>342</v>
      </c>
      <c r="G4765">
        <v>-1970</v>
      </c>
      <c r="H4765">
        <v>-389</v>
      </c>
      <c r="I4765">
        <v>-98</v>
      </c>
      <c r="J4765">
        <v>-17</v>
      </c>
      <c r="K4765" s="201">
        <v>58</v>
      </c>
    </row>
    <row r="4766" spans="1:11" x14ac:dyDescent="0.25">
      <c r="A4766"/>
      <c r="B4766" s="201">
        <v>-1679</v>
      </c>
      <c r="C4766">
        <v>-727</v>
      </c>
      <c r="D4766" s="201">
        <v>0</v>
      </c>
      <c r="E4766" s="201">
        <v>0</v>
      </c>
      <c r="F4766">
        <v>0</v>
      </c>
      <c r="G4766">
        <v>0</v>
      </c>
      <c r="H4766">
        <v>0</v>
      </c>
      <c r="I4766">
        <v>0</v>
      </c>
      <c r="J4766">
        <v>0</v>
      </c>
      <c r="K4766" s="201">
        <v>70</v>
      </c>
    </row>
    <row r="4767" spans="1:11" x14ac:dyDescent="0.25">
      <c r="A4767"/>
      <c r="B4767" s="201">
        <v>23</v>
      </c>
      <c r="C4767">
        <v>178</v>
      </c>
      <c r="D4767" s="201">
        <v>124</v>
      </c>
      <c r="E4767" s="201">
        <v>18</v>
      </c>
      <c r="F4767">
        <v>-56</v>
      </c>
      <c r="G4767">
        <v>0</v>
      </c>
      <c r="H4767">
        <v>0</v>
      </c>
      <c r="I4767">
        <v>-91</v>
      </c>
      <c r="J4767">
        <v>0</v>
      </c>
      <c r="K4767" s="201">
        <v>-348</v>
      </c>
    </row>
    <row r="4768" spans="1:11" x14ac:dyDescent="0.25">
      <c r="B4768" s="201">
        <v>1570</v>
      </c>
      <c r="C4768">
        <v>0</v>
      </c>
      <c r="D4768" s="201">
        <v>0</v>
      </c>
      <c r="E4768" s="201">
        <v>0</v>
      </c>
      <c r="F4768">
        <v>0</v>
      </c>
      <c r="G4768">
        <v>648</v>
      </c>
      <c r="H4768">
        <v>0</v>
      </c>
      <c r="I4768">
        <v>-5299</v>
      </c>
      <c r="J4768">
        <v>-5052</v>
      </c>
      <c r="K4768" s="201">
        <v>0</v>
      </c>
    </row>
    <row r="4769" spans="1:11" x14ac:dyDescent="0.25">
      <c r="A4769"/>
      <c r="B4769" s="201">
        <v>0</v>
      </c>
      <c r="C4769">
        <v>0</v>
      </c>
      <c r="D4769" s="201">
        <v>0</v>
      </c>
      <c r="E4769" s="201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 s="201">
        <v>0</v>
      </c>
    </row>
    <row r="4770" spans="1:11" x14ac:dyDescent="0.25">
      <c r="A4770"/>
      <c r="B4770" s="201">
        <v>0</v>
      </c>
      <c r="C4770">
        <v>0</v>
      </c>
      <c r="D4770" s="201">
        <v>0</v>
      </c>
      <c r="E4770" s="201">
        <v>0</v>
      </c>
      <c r="F4770">
        <v>512</v>
      </c>
      <c r="G4770">
        <v>0</v>
      </c>
      <c r="H4770">
        <v>0</v>
      </c>
      <c r="I4770">
        <v>0</v>
      </c>
      <c r="J4770">
        <v>0</v>
      </c>
      <c r="K4770" s="201">
        <v>0</v>
      </c>
    </row>
    <row r="4771" spans="1:11" x14ac:dyDescent="0.25">
      <c r="A4771"/>
      <c r="B4771" s="201">
        <v>321</v>
      </c>
      <c r="C4771">
        <v>69578</v>
      </c>
      <c r="D4771" s="201">
        <v>8119</v>
      </c>
      <c r="E4771" s="201">
        <v>7253</v>
      </c>
      <c r="F4771">
        <v>6368</v>
      </c>
      <c r="G4771">
        <v>6468</v>
      </c>
      <c r="H4771">
        <v>5685</v>
      </c>
      <c r="I4771">
        <v>-2471</v>
      </c>
      <c r="J4771">
        <v>-159</v>
      </c>
      <c r="K4771" s="201">
        <v>277</v>
      </c>
    </row>
    <row r="4772" spans="1:11" x14ac:dyDescent="0.25">
      <c r="B4772" s="201">
        <v>-523</v>
      </c>
      <c r="C4772">
        <v>-3520</v>
      </c>
      <c r="D4772" s="201">
        <v>189</v>
      </c>
      <c r="E4772" s="201">
        <v>4346</v>
      </c>
      <c r="F4772">
        <v>4124</v>
      </c>
      <c r="G4772">
        <v>0</v>
      </c>
      <c r="H4772">
        <v>0</v>
      </c>
      <c r="I4772">
        <v>-161</v>
      </c>
      <c r="J4772">
        <v>0</v>
      </c>
      <c r="K4772" s="201">
        <v>0</v>
      </c>
    </row>
    <row r="4773" spans="1:11" x14ac:dyDescent="0.25">
      <c r="A4773"/>
      <c r="B4773" s="201">
        <v>0</v>
      </c>
      <c r="C4773">
        <v>-112</v>
      </c>
      <c r="D4773" s="201">
        <v>-44</v>
      </c>
      <c r="E4773" s="201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 s="201">
        <v>-37</v>
      </c>
    </row>
    <row r="4774" spans="1:11" x14ac:dyDescent="0.25">
      <c r="A4774"/>
      <c r="B4774" s="201">
        <v>0</v>
      </c>
      <c r="C4774">
        <v>0</v>
      </c>
      <c r="D4774" s="201">
        <v>-2040</v>
      </c>
      <c r="E4774" s="201">
        <v>0</v>
      </c>
      <c r="F4774">
        <v>2058</v>
      </c>
      <c r="G4774">
        <v>0</v>
      </c>
      <c r="H4774">
        <v>27</v>
      </c>
      <c r="I4774">
        <v>-131</v>
      </c>
      <c r="J4774">
        <v>125</v>
      </c>
      <c r="K4774" s="201">
        <v>0</v>
      </c>
    </row>
    <row r="4775" spans="1:11" x14ac:dyDescent="0.25">
      <c r="A4775"/>
      <c r="B4775" s="201">
        <v>-17747</v>
      </c>
      <c r="C4775">
        <v>-82415</v>
      </c>
      <c r="D4775" s="201">
        <v>15196</v>
      </c>
      <c r="E4775" s="201">
        <v>15573</v>
      </c>
      <c r="F4775">
        <v>16588</v>
      </c>
      <c r="G4775">
        <v>14056</v>
      </c>
      <c r="H4775">
        <v>0</v>
      </c>
      <c r="I4775">
        <v>3876</v>
      </c>
      <c r="J4775">
        <v>0</v>
      </c>
      <c r="K4775" s="201">
        <v>0</v>
      </c>
    </row>
    <row r="4776" spans="1:11" x14ac:dyDescent="0.25">
      <c r="A4776"/>
      <c r="B4776" s="201">
        <v>0</v>
      </c>
      <c r="C4776">
        <v>0</v>
      </c>
      <c r="D4776" s="201">
        <v>0</v>
      </c>
      <c r="E4776" s="201">
        <v>2418</v>
      </c>
      <c r="F4776">
        <v>0</v>
      </c>
      <c r="G4776">
        <v>0</v>
      </c>
      <c r="H4776">
        <v>0</v>
      </c>
      <c r="I4776">
        <v>8981</v>
      </c>
      <c r="J4776">
        <v>0</v>
      </c>
      <c r="K4776" s="201">
        <v>7643</v>
      </c>
    </row>
    <row r="4777" spans="1:11" x14ac:dyDescent="0.25">
      <c r="A4777"/>
      <c r="B4777" s="201">
        <v>0</v>
      </c>
      <c r="C4777">
        <v>0</v>
      </c>
      <c r="D4777" s="201">
        <v>0</v>
      </c>
      <c r="E4777" s="201">
        <v>0</v>
      </c>
      <c r="F4777">
        <v>0</v>
      </c>
      <c r="G4777">
        <v>-915</v>
      </c>
      <c r="H4777">
        <v>0</v>
      </c>
      <c r="I4777">
        <v>-8194</v>
      </c>
      <c r="J4777">
        <v>3211</v>
      </c>
      <c r="K4777" s="201">
        <v>0</v>
      </c>
    </row>
    <row r="4778" spans="1:11" x14ac:dyDescent="0.25">
      <c r="A4778"/>
      <c r="B4778" s="201">
        <v>0</v>
      </c>
      <c r="C4778">
        <v>-492</v>
      </c>
      <c r="D4778" s="201">
        <v>-1022</v>
      </c>
      <c r="E4778" s="201">
        <v>0</v>
      </c>
      <c r="F4778">
        <v>-14</v>
      </c>
      <c r="G4778">
        <v>0</v>
      </c>
      <c r="H4778">
        <v>0</v>
      </c>
      <c r="I4778">
        <v>0</v>
      </c>
      <c r="J4778">
        <v>0</v>
      </c>
      <c r="K4778" s="201">
        <v>-819</v>
      </c>
    </row>
    <row r="4779" spans="1:11" x14ac:dyDescent="0.25">
      <c r="A4779"/>
      <c r="B4779" s="201">
        <v>134</v>
      </c>
      <c r="C4779">
        <v>126</v>
      </c>
      <c r="D4779" s="201">
        <v>0</v>
      </c>
      <c r="E4779" s="201">
        <v>0</v>
      </c>
      <c r="F4779">
        <v>11</v>
      </c>
      <c r="G4779">
        <v>-111</v>
      </c>
      <c r="H4779">
        <v>0</v>
      </c>
      <c r="I4779">
        <v>-99</v>
      </c>
      <c r="J4779">
        <v>-131</v>
      </c>
      <c r="K4779" s="201">
        <v>-148</v>
      </c>
    </row>
    <row r="4780" spans="1:11" x14ac:dyDescent="0.25">
      <c r="A4780"/>
      <c r="B4780" s="201">
        <v>-73</v>
      </c>
      <c r="C4780">
        <v>564</v>
      </c>
      <c r="D4780" s="201">
        <v>53</v>
      </c>
      <c r="E4780" s="201">
        <v>-126</v>
      </c>
      <c r="F4780">
        <v>0</v>
      </c>
      <c r="G4780">
        <v>0</v>
      </c>
      <c r="H4780">
        <v>0</v>
      </c>
      <c r="I4780">
        <v>0</v>
      </c>
      <c r="J4780">
        <v>0</v>
      </c>
      <c r="K4780" s="201">
        <v>285</v>
      </c>
    </row>
    <row r="4781" spans="1:11" x14ac:dyDescent="0.25">
      <c r="A4781"/>
      <c r="B4781" s="201">
        <v>0</v>
      </c>
      <c r="C4781">
        <v>-512</v>
      </c>
      <c r="D4781" s="201">
        <v>26</v>
      </c>
      <c r="E4781" s="201">
        <v>74</v>
      </c>
      <c r="F4781">
        <v>0</v>
      </c>
      <c r="G4781">
        <v>149</v>
      </c>
      <c r="H4781">
        <v>-1549</v>
      </c>
      <c r="I4781">
        <v>120</v>
      </c>
      <c r="J4781">
        <v>104</v>
      </c>
      <c r="K4781" s="201">
        <v>60</v>
      </c>
    </row>
    <row r="4782" spans="1:11" x14ac:dyDescent="0.25">
      <c r="A4782"/>
      <c r="B4782" s="201">
        <v>0</v>
      </c>
      <c r="C4782">
        <v>2040</v>
      </c>
      <c r="D4782" s="201">
        <v>941</v>
      </c>
      <c r="E4782" s="201">
        <v>-130</v>
      </c>
      <c r="F4782">
        <v>30</v>
      </c>
      <c r="G4782">
        <v>0</v>
      </c>
      <c r="H4782">
        <v>-44</v>
      </c>
      <c r="I4782">
        <v>62</v>
      </c>
      <c r="J4782">
        <v>0</v>
      </c>
      <c r="K4782" s="201">
        <v>0</v>
      </c>
    </row>
    <row r="4783" spans="1:11" x14ac:dyDescent="0.25">
      <c r="A4783"/>
      <c r="B4783" s="201">
        <v>0</v>
      </c>
      <c r="C4783">
        <v>59</v>
      </c>
      <c r="D4783" s="201">
        <v>-216</v>
      </c>
      <c r="E4783" s="201">
        <v>0</v>
      </c>
      <c r="F4783">
        <v>-172</v>
      </c>
      <c r="G4783">
        <v>727</v>
      </c>
      <c r="H4783">
        <v>29</v>
      </c>
      <c r="I4783">
        <v>94</v>
      </c>
      <c r="J4783">
        <v>0</v>
      </c>
      <c r="K4783" s="201">
        <v>0</v>
      </c>
    </row>
    <row r="4784" spans="1:11" x14ac:dyDescent="0.25">
      <c r="A4784"/>
      <c r="B4784" s="201">
        <v>0</v>
      </c>
      <c r="C4784">
        <v>0</v>
      </c>
      <c r="D4784" s="201">
        <v>0</v>
      </c>
      <c r="E4784" s="201">
        <v>-481</v>
      </c>
      <c r="F4784">
        <v>0</v>
      </c>
      <c r="G4784">
        <v>292</v>
      </c>
      <c r="H4784">
        <v>49</v>
      </c>
      <c r="I4784">
        <v>2</v>
      </c>
      <c r="J4784">
        <v>0</v>
      </c>
      <c r="K4784" s="201">
        <v>124</v>
      </c>
    </row>
    <row r="4785" spans="1:11" x14ac:dyDescent="0.25">
      <c r="A4785"/>
      <c r="B4785" s="201">
        <v>-1666</v>
      </c>
      <c r="C4785">
        <v>374</v>
      </c>
      <c r="D4785" s="201">
        <v>515</v>
      </c>
      <c r="E4785" s="201">
        <v>332</v>
      </c>
      <c r="F4785">
        <v>564</v>
      </c>
      <c r="G4785">
        <v>1732</v>
      </c>
      <c r="H4785">
        <v>667</v>
      </c>
      <c r="I4785">
        <v>0</v>
      </c>
      <c r="J4785">
        <v>-11</v>
      </c>
      <c r="K4785" s="201">
        <v>0</v>
      </c>
    </row>
    <row r="4786" spans="1:11" x14ac:dyDescent="0.25">
      <c r="A4786"/>
      <c r="B4786" s="201">
        <v>0</v>
      </c>
      <c r="C4786">
        <v>63</v>
      </c>
      <c r="D4786" s="201">
        <v>-65</v>
      </c>
      <c r="E4786" s="201">
        <v>0</v>
      </c>
      <c r="F4786">
        <v>-96</v>
      </c>
      <c r="G4786">
        <v>0</v>
      </c>
      <c r="H4786">
        <v>0</v>
      </c>
      <c r="I4786">
        <v>-84</v>
      </c>
      <c r="J4786">
        <v>0</v>
      </c>
      <c r="K4786" s="201">
        <v>366</v>
      </c>
    </row>
    <row r="4787" spans="1:11" x14ac:dyDescent="0.25">
      <c r="A4787"/>
      <c r="B4787" s="201">
        <v>-13</v>
      </c>
      <c r="C4787">
        <v>315</v>
      </c>
      <c r="D4787" s="201">
        <v>0</v>
      </c>
      <c r="E4787" s="201">
        <v>0</v>
      </c>
      <c r="F4787">
        <v>0</v>
      </c>
      <c r="G4787">
        <v>0</v>
      </c>
      <c r="H4787">
        <v>0</v>
      </c>
      <c r="I4787">
        <v>-488</v>
      </c>
      <c r="J4787">
        <v>0</v>
      </c>
      <c r="K4787" s="201">
        <v>286</v>
      </c>
    </row>
    <row r="4788" spans="1:11" x14ac:dyDescent="0.25">
      <c r="A4788"/>
      <c r="B4788" s="201">
        <v>119</v>
      </c>
      <c r="C4788">
        <v>-58</v>
      </c>
      <c r="D4788" s="201">
        <v>0</v>
      </c>
      <c r="E4788" s="201">
        <v>-325</v>
      </c>
      <c r="F4788">
        <v>-1429</v>
      </c>
      <c r="G4788">
        <v>-180</v>
      </c>
      <c r="H4788">
        <v>0</v>
      </c>
      <c r="I4788">
        <v>0</v>
      </c>
      <c r="J4788">
        <v>0</v>
      </c>
      <c r="K4788" s="201">
        <v>2998</v>
      </c>
    </row>
    <row r="4789" spans="1:11" x14ac:dyDescent="0.25">
      <c r="B4789" s="201">
        <v>2471</v>
      </c>
      <c r="C4789">
        <v>514</v>
      </c>
      <c r="D4789" s="201">
        <v>159</v>
      </c>
      <c r="E4789" s="201">
        <v>50</v>
      </c>
      <c r="F4789">
        <v>0</v>
      </c>
      <c r="G4789">
        <v>51</v>
      </c>
      <c r="H4789">
        <v>0</v>
      </c>
      <c r="I4789">
        <v>0</v>
      </c>
      <c r="J4789">
        <v>37</v>
      </c>
      <c r="K4789" s="201">
        <v>0</v>
      </c>
    </row>
    <row r="4790" spans="1:11" x14ac:dyDescent="0.25">
      <c r="A4790"/>
      <c r="B4790" s="201">
        <v>-94</v>
      </c>
      <c r="C4790">
        <v>0</v>
      </c>
      <c r="D4790" s="201">
        <v>-194</v>
      </c>
      <c r="E4790" s="201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 s="201">
        <v>0</v>
      </c>
    </row>
    <row r="4791" spans="1:11" x14ac:dyDescent="0.25">
      <c r="A4791"/>
      <c r="B4791" s="201">
        <v>0</v>
      </c>
      <c r="C4791">
        <v>-210</v>
      </c>
      <c r="D4791" s="201">
        <v>0</v>
      </c>
      <c r="E4791" s="201">
        <v>307</v>
      </c>
      <c r="F4791">
        <v>-112</v>
      </c>
      <c r="G4791">
        <v>75</v>
      </c>
      <c r="H4791">
        <v>0</v>
      </c>
      <c r="I4791">
        <v>-160</v>
      </c>
      <c r="J4791">
        <v>571</v>
      </c>
      <c r="K4791" s="201">
        <v>0</v>
      </c>
    </row>
    <row r="4792" spans="1:11" x14ac:dyDescent="0.25">
      <c r="A4792"/>
      <c r="B4792" s="201">
        <v>0</v>
      </c>
      <c r="C4792">
        <v>0</v>
      </c>
      <c r="D4792" s="201">
        <v>0</v>
      </c>
      <c r="E4792" s="201">
        <v>0</v>
      </c>
      <c r="F4792">
        <v>1016</v>
      </c>
      <c r="G4792">
        <v>-583</v>
      </c>
      <c r="H4792">
        <v>-423</v>
      </c>
      <c r="I4792">
        <v>-331</v>
      </c>
      <c r="J4792">
        <v>41</v>
      </c>
      <c r="K4792" s="201">
        <v>-710</v>
      </c>
    </row>
    <row r="4793" spans="1:11" x14ac:dyDescent="0.25">
      <c r="A4793"/>
      <c r="B4793" s="201">
        <v>0</v>
      </c>
      <c r="C4793">
        <v>0</v>
      </c>
      <c r="D4793" s="201">
        <v>0</v>
      </c>
      <c r="E4793" s="201">
        <v>0</v>
      </c>
      <c r="F4793">
        <v>-476</v>
      </c>
      <c r="G4793">
        <v>0</v>
      </c>
      <c r="H4793">
        <v>-269</v>
      </c>
      <c r="I4793">
        <v>0</v>
      </c>
      <c r="J4793">
        <v>0</v>
      </c>
      <c r="K4793" s="201">
        <v>-811</v>
      </c>
    </row>
    <row r="4794" spans="1:11" x14ac:dyDescent="0.25">
      <c r="A4794"/>
      <c r="B4794" s="201">
        <v>46</v>
      </c>
      <c r="C4794">
        <v>0</v>
      </c>
      <c r="D4794" s="201">
        <v>0</v>
      </c>
      <c r="E4794" s="201">
        <v>0</v>
      </c>
      <c r="F4794">
        <v>0</v>
      </c>
      <c r="G4794">
        <v>50</v>
      </c>
      <c r="H4794">
        <v>0</v>
      </c>
      <c r="I4794">
        <v>16</v>
      </c>
      <c r="J4794">
        <v>-261</v>
      </c>
      <c r="K4794" s="201">
        <v>284</v>
      </c>
    </row>
    <row r="4795" spans="1:11" x14ac:dyDescent="0.25">
      <c r="A4795"/>
      <c r="B4795" s="201">
        <v>-1809</v>
      </c>
      <c r="C4795">
        <v>-875</v>
      </c>
      <c r="D4795" s="201">
        <v>-842</v>
      </c>
      <c r="E4795" s="201">
        <v>-756</v>
      </c>
      <c r="F4795">
        <v>-2681</v>
      </c>
      <c r="G4795">
        <v>-4094</v>
      </c>
      <c r="H4795">
        <v>-1903</v>
      </c>
      <c r="I4795">
        <v>0</v>
      </c>
      <c r="J4795">
        <v>0</v>
      </c>
      <c r="K4795" s="201">
        <v>0</v>
      </c>
    </row>
    <row r="4796" spans="1:11" x14ac:dyDescent="0.25">
      <c r="A4796"/>
      <c r="B4796" s="201">
        <v>0</v>
      </c>
      <c r="C4796">
        <v>0</v>
      </c>
      <c r="D4796" s="201">
        <v>0</v>
      </c>
      <c r="E4796" s="201">
        <v>0</v>
      </c>
      <c r="F4796">
        <v>291</v>
      </c>
      <c r="G4796">
        <v>-66</v>
      </c>
      <c r="H4796">
        <v>416</v>
      </c>
      <c r="I4796">
        <v>277</v>
      </c>
      <c r="J4796">
        <v>194</v>
      </c>
      <c r="K4796" s="201">
        <v>-695</v>
      </c>
    </row>
    <row r="4797" spans="1:11" x14ac:dyDescent="0.25">
      <c r="A4797"/>
      <c r="B4797" s="201">
        <v>0</v>
      </c>
      <c r="C4797">
        <v>0</v>
      </c>
      <c r="D4797" s="201">
        <v>1</v>
      </c>
      <c r="E4797" s="201">
        <v>0</v>
      </c>
      <c r="F4797">
        <v>-388</v>
      </c>
      <c r="G4797">
        <v>1767</v>
      </c>
      <c r="H4797">
        <v>0</v>
      </c>
      <c r="I4797">
        <v>0</v>
      </c>
      <c r="J4797">
        <v>0</v>
      </c>
      <c r="K4797" s="201">
        <v>0</v>
      </c>
    </row>
    <row r="4798" spans="1:11" x14ac:dyDescent="0.25">
      <c r="A4798"/>
      <c r="B4798" s="201">
        <v>119</v>
      </c>
      <c r="C4798">
        <v>0</v>
      </c>
      <c r="D4798" s="201">
        <v>-3262</v>
      </c>
      <c r="E4798" s="201">
        <v>-3334</v>
      </c>
      <c r="F4798">
        <v>0</v>
      </c>
      <c r="G4798">
        <v>0</v>
      </c>
      <c r="H4798">
        <v>0</v>
      </c>
      <c r="I4798">
        <v>0</v>
      </c>
      <c r="J4798">
        <v>0</v>
      </c>
      <c r="K4798" s="201">
        <v>0</v>
      </c>
    </row>
    <row r="4799" spans="1:11" x14ac:dyDescent="0.25">
      <c r="A4799"/>
      <c r="B4799" s="201">
        <v>0</v>
      </c>
      <c r="C4799">
        <v>0</v>
      </c>
      <c r="D4799" s="201">
        <v>0</v>
      </c>
      <c r="E4799" s="201">
        <v>0</v>
      </c>
      <c r="F4799">
        <v>0</v>
      </c>
      <c r="G4799">
        <v>0</v>
      </c>
      <c r="H4799">
        <v>0</v>
      </c>
      <c r="I4799">
        <v>0</v>
      </c>
      <c r="J4799">
        <v>0</v>
      </c>
      <c r="K4799" s="201">
        <v>323</v>
      </c>
    </row>
    <row r="4800" spans="1:11" x14ac:dyDescent="0.25">
      <c r="A4800"/>
      <c r="B4800" s="201">
        <v>0</v>
      </c>
      <c r="C4800">
        <v>0</v>
      </c>
      <c r="D4800" s="201">
        <v>0</v>
      </c>
      <c r="E4800" s="201">
        <v>0</v>
      </c>
      <c r="F4800">
        <v>0</v>
      </c>
      <c r="G4800">
        <v>-159</v>
      </c>
      <c r="H4800">
        <v>3998</v>
      </c>
      <c r="I4800">
        <v>86964</v>
      </c>
      <c r="J4800">
        <v>4317</v>
      </c>
      <c r="K4800" s="201">
        <v>4331</v>
      </c>
    </row>
    <row r="4801" spans="1:11" x14ac:dyDescent="0.25">
      <c r="A4801"/>
      <c r="B4801" s="201">
        <v>4703</v>
      </c>
      <c r="C4801">
        <v>2964</v>
      </c>
      <c r="D4801" s="201">
        <v>-1370</v>
      </c>
      <c r="E4801" s="201">
        <v>-27</v>
      </c>
      <c r="F4801">
        <v>243</v>
      </c>
      <c r="G4801">
        <v>9008</v>
      </c>
      <c r="H4801">
        <v>-474</v>
      </c>
      <c r="I4801">
        <v>-2655</v>
      </c>
      <c r="J4801">
        <v>160</v>
      </c>
      <c r="K4801" s="201">
        <v>-432</v>
      </c>
    </row>
    <row r="4802" spans="1:11" x14ac:dyDescent="0.25">
      <c r="A4802"/>
      <c r="B4802" s="201">
        <v>2490</v>
      </c>
      <c r="C4802">
        <v>0</v>
      </c>
      <c r="D4802" s="201">
        <v>0</v>
      </c>
      <c r="E4802" s="201">
        <v>-305</v>
      </c>
      <c r="F4802">
        <v>0</v>
      </c>
      <c r="G4802">
        <v>0</v>
      </c>
      <c r="H4802">
        <v>0</v>
      </c>
      <c r="I4802">
        <v>-528</v>
      </c>
      <c r="J4802">
        <v>906</v>
      </c>
      <c r="K4802" s="201">
        <v>0</v>
      </c>
    </row>
    <row r="4803" spans="1:11" x14ac:dyDescent="0.25">
      <c r="A4803"/>
      <c r="B4803" s="201">
        <v>0</v>
      </c>
      <c r="C4803">
        <v>0</v>
      </c>
      <c r="D4803" s="201">
        <v>0</v>
      </c>
      <c r="E4803" s="201">
        <v>0</v>
      </c>
      <c r="F4803">
        <v>0</v>
      </c>
      <c r="G4803">
        <v>19</v>
      </c>
      <c r="H4803">
        <v>0</v>
      </c>
      <c r="I4803">
        <v>0</v>
      </c>
      <c r="J4803">
        <v>416</v>
      </c>
      <c r="K4803" s="201">
        <v>0</v>
      </c>
    </row>
    <row r="4804" spans="1:11" x14ac:dyDescent="0.25">
      <c r="A4804"/>
      <c r="B4804" s="201">
        <v>-343</v>
      </c>
      <c r="C4804">
        <v>0</v>
      </c>
      <c r="D4804" s="201">
        <v>884</v>
      </c>
      <c r="E4804" s="201">
        <v>514</v>
      </c>
      <c r="F4804">
        <v>109</v>
      </c>
      <c r="G4804">
        <v>0</v>
      </c>
      <c r="H4804">
        <v>-1278</v>
      </c>
      <c r="I4804">
        <v>-610</v>
      </c>
      <c r="J4804">
        <v>419</v>
      </c>
      <c r="K4804" s="201">
        <v>869</v>
      </c>
    </row>
    <row r="4805" spans="1:11" x14ac:dyDescent="0.25">
      <c r="A4805"/>
      <c r="B4805" s="201">
        <v>1549</v>
      </c>
      <c r="C4805">
        <v>-118</v>
      </c>
      <c r="D4805" s="201">
        <v>0</v>
      </c>
      <c r="E4805" s="201">
        <v>497</v>
      </c>
      <c r="F4805">
        <v>0</v>
      </c>
      <c r="G4805">
        <v>0</v>
      </c>
      <c r="H4805">
        <v>0</v>
      </c>
      <c r="I4805">
        <v>0</v>
      </c>
      <c r="J4805">
        <v>0</v>
      </c>
      <c r="K4805" s="201">
        <v>-3092</v>
      </c>
    </row>
    <row r="4806" spans="1:11" x14ac:dyDescent="0.25">
      <c r="A4806"/>
      <c r="B4806" s="201">
        <v>0</v>
      </c>
      <c r="C4806">
        <v>0</v>
      </c>
      <c r="D4806" s="201">
        <v>0</v>
      </c>
      <c r="E4806" s="201">
        <v>2235</v>
      </c>
      <c r="F4806">
        <v>0</v>
      </c>
      <c r="G4806">
        <v>866</v>
      </c>
      <c r="H4806">
        <v>0</v>
      </c>
      <c r="I4806">
        <v>0</v>
      </c>
      <c r="J4806">
        <v>0</v>
      </c>
      <c r="K4806" s="201">
        <v>0</v>
      </c>
    </row>
    <row r="4807" spans="1:11" x14ac:dyDescent="0.25">
      <c r="A4807"/>
      <c r="B4807" s="201">
        <v>0</v>
      </c>
      <c r="C4807">
        <v>-13</v>
      </c>
      <c r="D4807" s="201">
        <v>0</v>
      </c>
      <c r="E4807" s="201">
        <v>-1529</v>
      </c>
      <c r="F4807">
        <v>538</v>
      </c>
      <c r="G4807">
        <v>0</v>
      </c>
      <c r="H4807">
        <v>0</v>
      </c>
      <c r="I4807">
        <v>-8916</v>
      </c>
      <c r="J4807">
        <v>-8069</v>
      </c>
      <c r="K4807" s="201">
        <v>0</v>
      </c>
    </row>
    <row r="4808" spans="1:11" x14ac:dyDescent="0.25">
      <c r="A4808"/>
      <c r="B4808" s="201">
        <v>7907</v>
      </c>
      <c r="C4808">
        <v>0</v>
      </c>
      <c r="D4808" s="201">
        <v>0</v>
      </c>
      <c r="E4808" s="201">
        <v>0</v>
      </c>
      <c r="F4808">
        <v>0</v>
      </c>
      <c r="G4808">
        <v>-3109</v>
      </c>
      <c r="H4808">
        <v>434</v>
      </c>
      <c r="I4808">
        <v>-246</v>
      </c>
      <c r="J4808">
        <v>0</v>
      </c>
      <c r="K4808" s="201">
        <v>0</v>
      </c>
    </row>
    <row r="4809" spans="1:11" x14ac:dyDescent="0.25">
      <c r="A4809"/>
      <c r="B4809" s="201">
        <v>-905</v>
      </c>
      <c r="C4809">
        <v>4432</v>
      </c>
      <c r="D4809" s="201">
        <v>0</v>
      </c>
      <c r="E4809" s="201">
        <v>5195</v>
      </c>
      <c r="F4809">
        <v>5748</v>
      </c>
      <c r="G4809">
        <v>3367</v>
      </c>
      <c r="H4809">
        <v>6648</v>
      </c>
      <c r="I4809">
        <v>-7593</v>
      </c>
      <c r="J4809">
        <v>2484</v>
      </c>
      <c r="K4809" s="201">
        <v>8021</v>
      </c>
    </row>
    <row r="4810" spans="1:11" x14ac:dyDescent="0.25">
      <c r="A4810"/>
      <c r="B4810" s="201">
        <v>0</v>
      </c>
      <c r="C4810">
        <v>0</v>
      </c>
      <c r="D4810" s="201">
        <v>0</v>
      </c>
      <c r="E4810" s="201">
        <v>0</v>
      </c>
      <c r="F4810">
        <v>0</v>
      </c>
      <c r="G4810">
        <v>11324</v>
      </c>
      <c r="H4810">
        <v>0</v>
      </c>
      <c r="I4810">
        <v>-18630</v>
      </c>
      <c r="J4810">
        <v>1931</v>
      </c>
      <c r="K4810" s="201">
        <v>-4373</v>
      </c>
    </row>
    <row r="4811" spans="1:11" x14ac:dyDescent="0.25">
      <c r="A4811"/>
      <c r="B4811" s="201">
        <v>0</v>
      </c>
      <c r="C4811">
        <v>469</v>
      </c>
      <c r="D4811" s="201">
        <v>-6276</v>
      </c>
      <c r="E4811" s="201">
        <v>283</v>
      </c>
      <c r="F4811">
        <v>-247</v>
      </c>
      <c r="G4811">
        <v>-1252</v>
      </c>
      <c r="H4811">
        <v>0</v>
      </c>
      <c r="I4811">
        <v>4272</v>
      </c>
      <c r="J4811">
        <v>7115</v>
      </c>
      <c r="K4811" s="201">
        <v>130</v>
      </c>
    </row>
    <row r="4812" spans="1:11" x14ac:dyDescent="0.25">
      <c r="A4812"/>
      <c r="B4812" s="201">
        <v>90</v>
      </c>
      <c r="C4812">
        <v>0</v>
      </c>
      <c r="D4812" s="201">
        <v>33</v>
      </c>
      <c r="E4812" s="201">
        <v>545</v>
      </c>
      <c r="F4812">
        <v>0</v>
      </c>
      <c r="G4812">
        <v>0</v>
      </c>
      <c r="H4812">
        <v>0</v>
      </c>
      <c r="I4812">
        <v>228</v>
      </c>
      <c r="J4812">
        <v>178</v>
      </c>
      <c r="K4812" s="201">
        <v>0</v>
      </c>
    </row>
    <row r="4813" spans="1:11" x14ac:dyDescent="0.25">
      <c r="A4813"/>
      <c r="B4813" s="201">
        <v>-79</v>
      </c>
      <c r="C4813">
        <v>-334</v>
      </c>
      <c r="D4813" s="201">
        <v>-112</v>
      </c>
      <c r="E4813" s="201">
        <v>-522</v>
      </c>
      <c r="F4813">
        <v>0</v>
      </c>
      <c r="G4813">
        <v>0</v>
      </c>
      <c r="H4813">
        <v>0</v>
      </c>
      <c r="I4813">
        <v>0</v>
      </c>
      <c r="J4813">
        <v>0</v>
      </c>
      <c r="K4813" s="201">
        <v>-355</v>
      </c>
    </row>
    <row r="4814" spans="1:11" x14ac:dyDescent="0.25">
      <c r="A4814"/>
      <c r="B4814" s="201">
        <v>0</v>
      </c>
      <c r="C4814">
        <v>-96</v>
      </c>
      <c r="D4814" s="201">
        <v>116</v>
      </c>
      <c r="E4814" s="201">
        <v>486</v>
      </c>
      <c r="F4814">
        <v>0</v>
      </c>
      <c r="G4814">
        <v>92</v>
      </c>
      <c r="H4814">
        <v>-5362</v>
      </c>
      <c r="I4814">
        <v>65</v>
      </c>
      <c r="J4814">
        <v>-255</v>
      </c>
      <c r="K4814" s="201">
        <v>-1400</v>
      </c>
    </row>
    <row r="4815" spans="1:11" x14ac:dyDescent="0.25">
      <c r="A4815"/>
      <c r="B4815" s="201">
        <v>-119</v>
      </c>
      <c r="C4815">
        <v>3990</v>
      </c>
      <c r="D4815" s="201">
        <v>6343</v>
      </c>
      <c r="E4815" s="201">
        <v>0</v>
      </c>
      <c r="F4815">
        <v>130</v>
      </c>
      <c r="G4815">
        <v>0</v>
      </c>
      <c r="H4815">
        <v>0</v>
      </c>
      <c r="I4815">
        <v>790</v>
      </c>
      <c r="J4815">
        <v>70</v>
      </c>
      <c r="K4815" s="201">
        <v>0</v>
      </c>
    </row>
    <row r="4816" spans="1:11" x14ac:dyDescent="0.25">
      <c r="A4816"/>
      <c r="B4816" s="201">
        <v>-267</v>
      </c>
      <c r="C4816">
        <v>0</v>
      </c>
      <c r="D4816" s="201">
        <v>0</v>
      </c>
      <c r="E4816" s="201">
        <v>-43</v>
      </c>
      <c r="F4816">
        <v>0</v>
      </c>
      <c r="G4816">
        <v>-235</v>
      </c>
      <c r="H4816">
        <v>83</v>
      </c>
      <c r="I4816">
        <v>-271</v>
      </c>
      <c r="J4816">
        <v>0</v>
      </c>
      <c r="K4816" s="201">
        <v>0</v>
      </c>
    </row>
    <row r="4817" spans="1:11" x14ac:dyDescent="0.25">
      <c r="A4817"/>
      <c r="B4817" s="201">
        <v>0</v>
      </c>
      <c r="C4817">
        <v>0</v>
      </c>
      <c r="D4817" s="201">
        <v>0</v>
      </c>
      <c r="E4817" s="201">
        <v>109</v>
      </c>
      <c r="F4817">
        <v>0</v>
      </c>
      <c r="G4817">
        <v>-1507</v>
      </c>
      <c r="H4817">
        <v>154</v>
      </c>
      <c r="I4817">
        <v>303</v>
      </c>
      <c r="J4817">
        <v>0</v>
      </c>
      <c r="K4817" s="201">
        <v>79</v>
      </c>
    </row>
    <row r="4818" spans="1:11" x14ac:dyDescent="0.25">
      <c r="A4818"/>
      <c r="B4818" s="201">
        <v>-8567</v>
      </c>
      <c r="C4818">
        <v>167</v>
      </c>
      <c r="D4818" s="201">
        <v>0</v>
      </c>
      <c r="E4818" s="201">
        <v>0</v>
      </c>
      <c r="F4818">
        <v>0</v>
      </c>
      <c r="G4818">
        <v>5623</v>
      </c>
      <c r="H4818">
        <v>7914</v>
      </c>
      <c r="I4818">
        <v>692</v>
      </c>
      <c r="J4818">
        <v>214</v>
      </c>
      <c r="K4818" s="201">
        <v>174</v>
      </c>
    </row>
    <row r="4819" spans="1:11" x14ac:dyDescent="0.25">
      <c r="A4819"/>
      <c r="B4819" s="201">
        <v>0</v>
      </c>
      <c r="C4819">
        <v>585</v>
      </c>
      <c r="D4819" s="201">
        <v>0</v>
      </c>
      <c r="E4819" s="201">
        <v>0</v>
      </c>
      <c r="F4819">
        <v>-142</v>
      </c>
      <c r="G4819">
        <v>0</v>
      </c>
      <c r="H4819">
        <v>-113</v>
      </c>
      <c r="I4819">
        <v>0</v>
      </c>
      <c r="J4819">
        <v>-55</v>
      </c>
      <c r="K4819" s="201">
        <v>0</v>
      </c>
    </row>
    <row r="4820" spans="1:11" x14ac:dyDescent="0.25">
      <c r="A4820"/>
      <c r="B4820" s="201">
        <v>0</v>
      </c>
      <c r="C4820">
        <v>0</v>
      </c>
      <c r="D4820" s="201">
        <v>0</v>
      </c>
      <c r="E4820" s="201">
        <v>0</v>
      </c>
      <c r="F4820">
        <v>0</v>
      </c>
      <c r="G4820">
        <v>0</v>
      </c>
      <c r="H4820">
        <v>0</v>
      </c>
      <c r="I4820">
        <v>176</v>
      </c>
      <c r="J4820">
        <v>0</v>
      </c>
      <c r="K4820" s="201">
        <v>54</v>
      </c>
    </row>
    <row r="4821" spans="1:11" x14ac:dyDescent="0.25">
      <c r="A4821"/>
      <c r="B4821" s="201">
        <v>-53</v>
      </c>
      <c r="C4821">
        <v>355</v>
      </c>
      <c r="D4821" s="201">
        <v>0</v>
      </c>
      <c r="E4821" s="201">
        <v>-1638</v>
      </c>
      <c r="F4821">
        <v>4231</v>
      </c>
      <c r="G4821">
        <v>0</v>
      </c>
      <c r="H4821">
        <v>0</v>
      </c>
      <c r="I4821">
        <v>0</v>
      </c>
      <c r="J4821">
        <v>0</v>
      </c>
      <c r="K4821" s="201">
        <v>0</v>
      </c>
    </row>
    <row r="4822" spans="1:11" x14ac:dyDescent="0.25">
      <c r="A4822"/>
      <c r="B4822" s="201">
        <v>10808</v>
      </c>
      <c r="C4822">
        <v>735</v>
      </c>
      <c r="D4822" s="201">
        <v>-2435</v>
      </c>
      <c r="E4822" s="201">
        <v>-1760</v>
      </c>
      <c r="F4822">
        <v>-515</v>
      </c>
      <c r="G4822">
        <v>-3982</v>
      </c>
      <c r="H4822">
        <v>0</v>
      </c>
      <c r="I4822">
        <v>0</v>
      </c>
      <c r="J4822">
        <v>0</v>
      </c>
      <c r="K4822" s="201">
        <v>0</v>
      </c>
    </row>
    <row r="4823" spans="1:11" x14ac:dyDescent="0.25">
      <c r="A4823"/>
      <c r="B4823" s="201">
        <v>893</v>
      </c>
      <c r="C4823">
        <v>0</v>
      </c>
      <c r="D4823" s="201">
        <v>900</v>
      </c>
      <c r="E4823" s="201">
        <v>0</v>
      </c>
      <c r="F4823">
        <v>0</v>
      </c>
      <c r="G4823">
        <v>-3212</v>
      </c>
      <c r="H4823">
        <v>330</v>
      </c>
      <c r="I4823">
        <v>0</v>
      </c>
      <c r="J4823">
        <v>0</v>
      </c>
      <c r="K4823" s="201">
        <v>0</v>
      </c>
    </row>
    <row r="4824" spans="1:11" x14ac:dyDescent="0.25">
      <c r="A4824"/>
      <c r="B4824" s="201">
        <v>0</v>
      </c>
      <c r="C4824">
        <v>2729</v>
      </c>
      <c r="D4824" s="201">
        <v>0</v>
      </c>
      <c r="E4824" s="201">
        <v>-2174</v>
      </c>
      <c r="F4824">
        <v>-1006</v>
      </c>
      <c r="G4824">
        <v>-274</v>
      </c>
      <c r="H4824">
        <v>-5011</v>
      </c>
      <c r="I4824">
        <v>-967</v>
      </c>
      <c r="J4824">
        <v>-1636</v>
      </c>
      <c r="K4824" s="201">
        <v>-128</v>
      </c>
    </row>
    <row r="4825" spans="1:11" x14ac:dyDescent="0.25">
      <c r="A4825"/>
      <c r="B4825" s="201">
        <v>1094</v>
      </c>
      <c r="C4825">
        <v>-2109</v>
      </c>
      <c r="D4825" s="201">
        <v>-5034</v>
      </c>
      <c r="E4825" s="201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 s="201">
        <v>0</v>
      </c>
    </row>
    <row r="4826" spans="1:11" x14ac:dyDescent="0.25">
      <c r="A4826"/>
      <c r="B4826" s="201">
        <v>364</v>
      </c>
      <c r="C4826">
        <v>-2931</v>
      </c>
      <c r="D4826" s="201">
        <v>-5148</v>
      </c>
      <c r="E4826" s="201">
        <v>-1699</v>
      </c>
      <c r="F4826">
        <v>-4058</v>
      </c>
      <c r="G4826">
        <v>3160</v>
      </c>
      <c r="H4826">
        <v>0</v>
      </c>
      <c r="I4826">
        <v>0</v>
      </c>
      <c r="J4826">
        <v>-410</v>
      </c>
      <c r="K4826" s="201">
        <v>0</v>
      </c>
    </row>
    <row r="4827" spans="1:11" x14ac:dyDescent="0.25">
      <c r="A4827"/>
      <c r="B4827" s="201">
        <v>-1194</v>
      </c>
      <c r="C4827">
        <v>169</v>
      </c>
      <c r="D4827" s="201">
        <v>0</v>
      </c>
      <c r="E4827" s="201">
        <v>0</v>
      </c>
      <c r="F4827">
        <v>0</v>
      </c>
      <c r="G4827">
        <v>0</v>
      </c>
      <c r="H4827">
        <v>6176</v>
      </c>
      <c r="I4827">
        <v>0</v>
      </c>
      <c r="J4827">
        <v>-13315</v>
      </c>
      <c r="K4827" s="201">
        <v>-22065</v>
      </c>
    </row>
    <row r="4828" spans="1:11" x14ac:dyDescent="0.25">
      <c r="A4828"/>
      <c r="B4828" s="201">
        <v>0</v>
      </c>
      <c r="C4828">
        <v>0</v>
      </c>
      <c r="D4828" s="201">
        <v>0</v>
      </c>
      <c r="E4828" s="201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 s="201">
        <v>0</v>
      </c>
    </row>
    <row r="4829" spans="1:11" x14ac:dyDescent="0.25">
      <c r="A4829"/>
      <c r="B4829" s="201">
        <v>0</v>
      </c>
      <c r="C4829">
        <v>0</v>
      </c>
      <c r="D4829" s="201">
        <v>0</v>
      </c>
      <c r="E4829" s="201">
        <v>0</v>
      </c>
      <c r="F4829">
        <v>0</v>
      </c>
      <c r="G4829">
        <v>2614</v>
      </c>
      <c r="H4829">
        <v>0</v>
      </c>
      <c r="I4829">
        <v>0</v>
      </c>
      <c r="J4829">
        <v>0</v>
      </c>
      <c r="K4829" s="201">
        <v>0</v>
      </c>
    </row>
    <row r="4830" spans="1:11" x14ac:dyDescent="0.25">
      <c r="A4830"/>
      <c r="B4830" s="201">
        <v>0</v>
      </c>
      <c r="C4830">
        <v>-259</v>
      </c>
      <c r="D4830" s="201">
        <v>4337</v>
      </c>
      <c r="E4830" s="201">
        <v>3495</v>
      </c>
      <c r="F4830">
        <v>55295</v>
      </c>
      <c r="G4830">
        <v>18527</v>
      </c>
      <c r="H4830">
        <v>19572</v>
      </c>
      <c r="I4830">
        <v>17482</v>
      </c>
      <c r="J4830">
        <v>-4316</v>
      </c>
      <c r="K4830" s="201">
        <v>-257</v>
      </c>
    </row>
    <row r="4831" spans="1:11" x14ac:dyDescent="0.25">
      <c r="A4831"/>
      <c r="B4831" s="201">
        <v>1083</v>
      </c>
      <c r="C4831">
        <v>12506</v>
      </c>
      <c r="D4831" s="201">
        <v>7693</v>
      </c>
      <c r="E4831" s="201">
        <v>-1612</v>
      </c>
      <c r="F4831">
        <v>-2186</v>
      </c>
      <c r="G4831">
        <v>623</v>
      </c>
      <c r="H4831">
        <v>-455</v>
      </c>
      <c r="I4831">
        <v>310</v>
      </c>
      <c r="J4831">
        <v>0</v>
      </c>
      <c r="K4831" s="201">
        <v>0</v>
      </c>
    </row>
    <row r="4832" spans="1:11" x14ac:dyDescent="0.25">
      <c r="A4832"/>
      <c r="B4832" s="201">
        <v>-96</v>
      </c>
      <c r="C4832">
        <v>0</v>
      </c>
      <c r="D4832" s="201">
        <v>0</v>
      </c>
      <c r="E4832" s="201">
        <v>0</v>
      </c>
      <c r="F4832">
        <v>-319</v>
      </c>
      <c r="G4832">
        <v>276</v>
      </c>
      <c r="H4832">
        <v>0</v>
      </c>
      <c r="I4832">
        <v>0</v>
      </c>
      <c r="J4832">
        <v>0</v>
      </c>
      <c r="K4832" s="201">
        <v>0</v>
      </c>
    </row>
    <row r="4833" spans="1:11" x14ac:dyDescent="0.25">
      <c r="A4833"/>
      <c r="B4833" s="201">
        <v>0</v>
      </c>
      <c r="C4833">
        <v>0</v>
      </c>
      <c r="D4833" s="201">
        <v>617</v>
      </c>
      <c r="E4833" s="201">
        <v>0</v>
      </c>
      <c r="F4833">
        <v>0</v>
      </c>
      <c r="G4833">
        <v>583</v>
      </c>
      <c r="H4833">
        <v>0</v>
      </c>
      <c r="I4833">
        <v>-540</v>
      </c>
      <c r="J4833">
        <v>0</v>
      </c>
      <c r="K4833" s="201">
        <v>534</v>
      </c>
    </row>
    <row r="4834" spans="1:11" x14ac:dyDescent="0.25">
      <c r="A4834"/>
      <c r="B4834" s="201">
        <v>803</v>
      </c>
      <c r="C4834">
        <v>137</v>
      </c>
      <c r="D4834" s="201">
        <v>0</v>
      </c>
      <c r="E4834" s="201">
        <v>-2305</v>
      </c>
      <c r="F4834">
        <v>607</v>
      </c>
      <c r="G4834">
        <v>558</v>
      </c>
      <c r="H4834">
        <v>-1732</v>
      </c>
      <c r="I4834">
        <v>-600</v>
      </c>
      <c r="J4834">
        <v>296</v>
      </c>
      <c r="K4834" s="201">
        <v>0</v>
      </c>
    </row>
    <row r="4835" spans="1:11" x14ac:dyDescent="0.25">
      <c r="A4835"/>
      <c r="B4835" s="201">
        <v>87</v>
      </c>
      <c r="C4835">
        <v>0</v>
      </c>
      <c r="D4835" s="201">
        <v>0</v>
      </c>
      <c r="E4835" s="201">
        <v>0</v>
      </c>
      <c r="F4835">
        <v>0</v>
      </c>
      <c r="G4835">
        <v>0</v>
      </c>
      <c r="H4835">
        <v>1033</v>
      </c>
      <c r="I4835">
        <v>0</v>
      </c>
      <c r="J4835">
        <v>0</v>
      </c>
      <c r="K4835" s="201">
        <v>0</v>
      </c>
    </row>
    <row r="4836" spans="1:11" x14ac:dyDescent="0.25">
      <c r="A4836"/>
      <c r="B4836" s="201">
        <v>110</v>
      </c>
      <c r="C4836">
        <v>0</v>
      </c>
      <c r="D4836" s="201">
        <v>-887</v>
      </c>
      <c r="E4836" s="201">
        <v>0</v>
      </c>
      <c r="F4836">
        <v>0</v>
      </c>
      <c r="G4836">
        <v>0</v>
      </c>
      <c r="H4836">
        <v>0</v>
      </c>
      <c r="I4836">
        <v>0</v>
      </c>
      <c r="J4836">
        <v>329</v>
      </c>
      <c r="K4836" s="201">
        <v>0</v>
      </c>
    </row>
    <row r="4837" spans="1:11" x14ac:dyDescent="0.25">
      <c r="A4837"/>
      <c r="B4837" s="201">
        <v>-1470</v>
      </c>
      <c r="C4837">
        <v>5059</v>
      </c>
      <c r="D4837" s="201">
        <v>0</v>
      </c>
      <c r="E4837" s="201">
        <v>0</v>
      </c>
      <c r="F4837">
        <v>145</v>
      </c>
      <c r="G4837">
        <v>-7198</v>
      </c>
      <c r="H4837">
        <v>0</v>
      </c>
      <c r="I4837">
        <v>476</v>
      </c>
      <c r="J4837">
        <v>0</v>
      </c>
      <c r="K4837" s="201">
        <v>0</v>
      </c>
    </row>
    <row r="4838" spans="1:11" x14ac:dyDescent="0.25">
      <c r="A4838"/>
      <c r="B4838" s="201">
        <v>0</v>
      </c>
      <c r="C4838">
        <v>0</v>
      </c>
      <c r="D4838" s="201">
        <v>-2521</v>
      </c>
      <c r="E4838" s="201">
        <v>-19</v>
      </c>
      <c r="F4838">
        <v>203</v>
      </c>
      <c r="G4838">
        <v>0</v>
      </c>
      <c r="H4838">
        <v>0</v>
      </c>
      <c r="I4838">
        <v>-18</v>
      </c>
      <c r="J4838">
        <v>-246</v>
      </c>
      <c r="K4838" s="201">
        <v>0</v>
      </c>
    </row>
    <row r="4839" spans="1:11" x14ac:dyDescent="0.25">
      <c r="A4839"/>
      <c r="B4839" s="201">
        <v>-923</v>
      </c>
      <c r="C4839">
        <v>-799</v>
      </c>
      <c r="D4839" s="201">
        <v>-213</v>
      </c>
      <c r="E4839" s="201">
        <v>-914</v>
      </c>
      <c r="F4839">
        <v>-84</v>
      </c>
      <c r="G4839">
        <v>-364</v>
      </c>
      <c r="H4839">
        <v>-995</v>
      </c>
      <c r="I4839">
        <v>0</v>
      </c>
      <c r="J4839">
        <v>0</v>
      </c>
      <c r="K4839" s="201">
        <v>0</v>
      </c>
    </row>
    <row r="4840" spans="1:11" x14ac:dyDescent="0.25">
      <c r="A4840"/>
      <c r="B4840" s="201">
        <v>0</v>
      </c>
      <c r="C4840">
        <v>0</v>
      </c>
      <c r="D4840" s="201">
        <v>1587</v>
      </c>
      <c r="E4840" s="201">
        <v>0</v>
      </c>
      <c r="F4840">
        <v>2045</v>
      </c>
      <c r="G4840">
        <v>-501</v>
      </c>
      <c r="H4840">
        <v>481</v>
      </c>
      <c r="I4840">
        <v>0</v>
      </c>
      <c r="J4840">
        <v>691</v>
      </c>
      <c r="K4840" s="201">
        <v>-14258</v>
      </c>
    </row>
    <row r="4841" spans="1:11" x14ac:dyDescent="0.25">
      <c r="A4841"/>
      <c r="B4841" s="201">
        <v>4532</v>
      </c>
      <c r="C4841">
        <v>8767</v>
      </c>
      <c r="D4841" s="201">
        <v>7340</v>
      </c>
      <c r="E4841" s="201">
        <v>0</v>
      </c>
      <c r="F4841">
        <v>-18538</v>
      </c>
      <c r="G4841">
        <v>-26336</v>
      </c>
      <c r="H4841">
        <v>-7576</v>
      </c>
      <c r="I4841">
        <v>-187</v>
      </c>
      <c r="J4841">
        <v>0</v>
      </c>
      <c r="K4841" s="201">
        <v>-17</v>
      </c>
    </row>
    <row r="4842" spans="1:11" x14ac:dyDescent="0.25">
      <c r="A4842"/>
      <c r="B4842" s="201">
        <v>-2123</v>
      </c>
      <c r="C4842">
        <v>0</v>
      </c>
      <c r="D4842" s="201">
        <v>0</v>
      </c>
      <c r="E4842" s="201">
        <v>0</v>
      </c>
      <c r="F4842">
        <v>3060</v>
      </c>
      <c r="G4842">
        <v>-1784</v>
      </c>
      <c r="H4842">
        <v>0</v>
      </c>
      <c r="I4842">
        <v>911</v>
      </c>
      <c r="J4842">
        <v>-11632</v>
      </c>
      <c r="K4842" s="201">
        <v>-1058</v>
      </c>
    </row>
    <row r="4843" spans="1:11" x14ac:dyDescent="0.25">
      <c r="B4843" s="201">
        <v>1361</v>
      </c>
      <c r="C4843">
        <v>0</v>
      </c>
      <c r="D4843" s="201">
        <v>0</v>
      </c>
      <c r="E4843" s="201">
        <v>0</v>
      </c>
      <c r="F4843">
        <v>0</v>
      </c>
      <c r="G4843">
        <v>0</v>
      </c>
      <c r="H4843">
        <v>280</v>
      </c>
      <c r="I4843">
        <v>0</v>
      </c>
      <c r="J4843">
        <v>-746</v>
      </c>
      <c r="K4843" s="201">
        <v>2110</v>
      </c>
    </row>
    <row r="4844" spans="1:11" x14ac:dyDescent="0.25">
      <c r="A4844"/>
      <c r="B4844" s="201">
        <v>578</v>
      </c>
      <c r="C4844">
        <v>0</v>
      </c>
      <c r="D4844" s="201">
        <v>-132</v>
      </c>
      <c r="E4844" s="201">
        <v>-5341</v>
      </c>
      <c r="F4844">
        <v>-337</v>
      </c>
      <c r="G4844">
        <v>4</v>
      </c>
      <c r="H4844">
        <v>-1483</v>
      </c>
      <c r="I4844">
        <v>674</v>
      </c>
      <c r="J4844">
        <v>3009</v>
      </c>
      <c r="K4844" s="201">
        <v>4753</v>
      </c>
    </row>
    <row r="4845" spans="1:11" x14ac:dyDescent="0.25">
      <c r="A4845"/>
      <c r="B4845" s="201">
        <v>0</v>
      </c>
      <c r="C4845">
        <v>193</v>
      </c>
      <c r="D4845" s="201">
        <v>0</v>
      </c>
      <c r="E4845" s="201">
        <v>0</v>
      </c>
      <c r="F4845">
        <v>-968</v>
      </c>
      <c r="G4845">
        <v>90</v>
      </c>
      <c r="H4845">
        <v>0</v>
      </c>
      <c r="I4845">
        <v>-23</v>
      </c>
      <c r="J4845">
        <v>0</v>
      </c>
      <c r="K4845" s="201">
        <v>0</v>
      </c>
    </row>
    <row r="4846" spans="1:11" x14ac:dyDescent="0.25">
      <c r="A4846"/>
      <c r="B4846" s="201">
        <v>-81</v>
      </c>
      <c r="C4846">
        <v>0</v>
      </c>
      <c r="D4846" s="201">
        <v>931</v>
      </c>
      <c r="E4846" s="201">
        <v>200</v>
      </c>
      <c r="F4846">
        <v>-479</v>
      </c>
      <c r="G4846">
        <v>0</v>
      </c>
      <c r="H4846">
        <v>0</v>
      </c>
      <c r="I4846">
        <v>0</v>
      </c>
      <c r="J4846">
        <v>0</v>
      </c>
      <c r="K4846" s="201">
        <v>0</v>
      </c>
    </row>
    <row r="4847" spans="1:11" x14ac:dyDescent="0.25">
      <c r="B4847" s="201">
        <v>1717</v>
      </c>
      <c r="C4847">
        <v>0</v>
      </c>
      <c r="D4847" s="201">
        <v>-1699</v>
      </c>
      <c r="E4847" s="201">
        <v>-537</v>
      </c>
      <c r="F4847">
        <v>177</v>
      </c>
      <c r="G4847">
        <v>0</v>
      </c>
      <c r="H4847">
        <v>1577</v>
      </c>
      <c r="I4847">
        <v>-10097</v>
      </c>
      <c r="J4847">
        <v>-265</v>
      </c>
      <c r="K4847" s="201">
        <v>0</v>
      </c>
    </row>
    <row r="4848" spans="1:11" x14ac:dyDescent="0.25">
      <c r="A4848"/>
      <c r="B4848" s="201">
        <v>0</v>
      </c>
      <c r="C4848">
        <v>0</v>
      </c>
      <c r="D4848" s="201">
        <v>3701</v>
      </c>
      <c r="E4848" s="201">
        <v>4644</v>
      </c>
      <c r="F4848">
        <v>359</v>
      </c>
      <c r="G4848">
        <v>332</v>
      </c>
      <c r="H4848">
        <v>189</v>
      </c>
      <c r="I4848">
        <v>0</v>
      </c>
      <c r="J4848">
        <v>-433</v>
      </c>
      <c r="K4848" s="201">
        <v>0</v>
      </c>
    </row>
    <row r="4849" spans="1:11" x14ac:dyDescent="0.25">
      <c r="A4849"/>
      <c r="B4849" s="201">
        <v>0</v>
      </c>
      <c r="C4849">
        <v>72</v>
      </c>
      <c r="D4849" s="201">
        <v>0</v>
      </c>
      <c r="E4849" s="201">
        <v>-142</v>
      </c>
      <c r="F4849">
        <v>0</v>
      </c>
      <c r="G4849">
        <v>22</v>
      </c>
      <c r="H4849">
        <v>0</v>
      </c>
      <c r="I4849">
        <v>0</v>
      </c>
      <c r="J4849">
        <v>0</v>
      </c>
      <c r="K4849" s="201">
        <v>0</v>
      </c>
    </row>
    <row r="4850" spans="1:11" x14ac:dyDescent="0.25">
      <c r="A4850"/>
      <c r="B4850" s="201">
        <v>0</v>
      </c>
      <c r="C4850">
        <v>0</v>
      </c>
      <c r="D4850" s="201">
        <v>0</v>
      </c>
      <c r="E4850" s="201">
        <v>0</v>
      </c>
      <c r="F4850">
        <v>720</v>
      </c>
      <c r="G4850">
        <v>0</v>
      </c>
      <c r="H4850">
        <v>755</v>
      </c>
      <c r="I4850">
        <v>-327</v>
      </c>
      <c r="J4850">
        <v>66</v>
      </c>
      <c r="K4850" s="201">
        <v>0</v>
      </c>
    </row>
    <row r="4851" spans="1:11" x14ac:dyDescent="0.25">
      <c r="A4851"/>
      <c r="B4851" s="201">
        <v>-1315</v>
      </c>
      <c r="C4851">
        <v>4362</v>
      </c>
      <c r="D4851" s="201">
        <v>0</v>
      </c>
      <c r="E4851" s="201">
        <v>0</v>
      </c>
      <c r="F4851">
        <v>0</v>
      </c>
      <c r="G4851">
        <v>0</v>
      </c>
      <c r="H4851">
        <v>0</v>
      </c>
      <c r="I4851">
        <v>5932</v>
      </c>
      <c r="J4851">
        <v>317</v>
      </c>
      <c r="K4851" s="201">
        <v>-2212</v>
      </c>
    </row>
    <row r="4852" spans="1:11" x14ac:dyDescent="0.25">
      <c r="A4852"/>
      <c r="B4852" s="201">
        <v>-1696</v>
      </c>
      <c r="C4852">
        <v>-383</v>
      </c>
      <c r="D4852" s="201">
        <v>-4357</v>
      </c>
      <c r="E4852" s="201">
        <v>0</v>
      </c>
      <c r="F4852">
        <v>0</v>
      </c>
      <c r="G4852">
        <v>0</v>
      </c>
      <c r="H4852">
        <v>0</v>
      </c>
      <c r="I4852">
        <v>-788</v>
      </c>
      <c r="J4852">
        <v>0</v>
      </c>
      <c r="K4852" s="201">
        <v>-122</v>
      </c>
    </row>
    <row r="4853" spans="1:11" x14ac:dyDescent="0.25">
      <c r="A4853"/>
      <c r="B4853" s="201">
        <v>0</v>
      </c>
      <c r="C4853">
        <v>0</v>
      </c>
      <c r="D4853" s="201">
        <v>-2860</v>
      </c>
      <c r="E4853" s="201">
        <v>17</v>
      </c>
      <c r="F4853">
        <v>0</v>
      </c>
      <c r="G4853">
        <v>0</v>
      </c>
      <c r="H4853">
        <v>0</v>
      </c>
      <c r="I4853">
        <v>0</v>
      </c>
      <c r="J4853">
        <v>3900</v>
      </c>
      <c r="K4853" s="201">
        <v>0</v>
      </c>
    </row>
    <row r="4854" spans="1:11" x14ac:dyDescent="0.25">
      <c r="B4854" s="201">
        <v>-2343</v>
      </c>
      <c r="C4854">
        <v>-1665</v>
      </c>
      <c r="D4854" s="201">
        <v>-594</v>
      </c>
      <c r="E4854" s="201">
        <v>-5812</v>
      </c>
      <c r="F4854">
        <v>-3400</v>
      </c>
      <c r="G4854">
        <v>-6939</v>
      </c>
      <c r="H4854">
        <v>-5857</v>
      </c>
      <c r="I4854">
        <v>-69</v>
      </c>
      <c r="J4854">
        <v>3501</v>
      </c>
      <c r="K4854" s="201">
        <v>765</v>
      </c>
    </row>
    <row r="4855" spans="1:11" x14ac:dyDescent="0.25">
      <c r="A4855"/>
      <c r="B4855" s="201">
        <v>0</v>
      </c>
      <c r="C4855">
        <v>0</v>
      </c>
      <c r="D4855" s="201">
        <v>0</v>
      </c>
      <c r="E4855" s="201">
        <v>0</v>
      </c>
      <c r="F4855">
        <v>0</v>
      </c>
      <c r="G4855">
        <v>0</v>
      </c>
      <c r="H4855">
        <v>0</v>
      </c>
      <c r="I4855">
        <v>-281</v>
      </c>
      <c r="J4855">
        <v>60</v>
      </c>
      <c r="K4855" s="201">
        <v>539</v>
      </c>
    </row>
    <row r="4856" spans="1:11" x14ac:dyDescent="0.25">
      <c r="A4856"/>
      <c r="B4856" s="201">
        <v>141</v>
      </c>
      <c r="C4856">
        <v>-40</v>
      </c>
      <c r="D4856" s="201">
        <v>3684</v>
      </c>
      <c r="E4856" s="201">
        <v>0</v>
      </c>
      <c r="F4856">
        <v>0</v>
      </c>
      <c r="G4856">
        <v>-2279</v>
      </c>
      <c r="H4856">
        <v>0</v>
      </c>
      <c r="I4856">
        <v>39</v>
      </c>
      <c r="J4856">
        <v>-1114</v>
      </c>
      <c r="K4856" s="201">
        <v>0</v>
      </c>
    </row>
    <row r="4857" spans="1:11" x14ac:dyDescent="0.25">
      <c r="A4857"/>
      <c r="B4857" s="201">
        <v>0</v>
      </c>
      <c r="C4857">
        <v>0</v>
      </c>
      <c r="D4857" s="201">
        <v>0</v>
      </c>
      <c r="E4857" s="201">
        <v>4465</v>
      </c>
      <c r="F4857">
        <v>0</v>
      </c>
      <c r="G4857">
        <v>-6488</v>
      </c>
      <c r="H4857">
        <v>-14999</v>
      </c>
      <c r="I4857">
        <v>0</v>
      </c>
      <c r="J4857">
        <v>0</v>
      </c>
      <c r="K4857" s="201">
        <v>0</v>
      </c>
    </row>
    <row r="4858" spans="1:11" x14ac:dyDescent="0.25">
      <c r="A4858"/>
      <c r="B4858" s="201">
        <v>0</v>
      </c>
      <c r="C4858">
        <v>0</v>
      </c>
      <c r="D4858" s="201">
        <v>0</v>
      </c>
      <c r="E4858" s="201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 s="201">
        <v>0</v>
      </c>
    </row>
    <row r="4859" spans="1:11" x14ac:dyDescent="0.25">
      <c r="A4859"/>
      <c r="B4859" s="201">
        <v>0</v>
      </c>
      <c r="C4859">
        <v>0</v>
      </c>
      <c r="D4859" s="201">
        <v>2892</v>
      </c>
      <c r="E4859" s="201">
        <v>0</v>
      </c>
      <c r="F4859">
        <v>0</v>
      </c>
      <c r="G4859">
        <v>0</v>
      </c>
      <c r="H4859">
        <v>0</v>
      </c>
      <c r="I4859">
        <v>0</v>
      </c>
      <c r="J4859">
        <v>560</v>
      </c>
      <c r="K4859" s="201">
        <v>4030</v>
      </c>
    </row>
    <row r="4860" spans="1:11" x14ac:dyDescent="0.25">
      <c r="A4860"/>
      <c r="B4860" s="201">
        <v>3102</v>
      </c>
      <c r="C4860">
        <v>18191</v>
      </c>
      <c r="D4860" s="201">
        <v>48683</v>
      </c>
      <c r="E4860" s="201">
        <v>21249</v>
      </c>
      <c r="F4860">
        <v>21115</v>
      </c>
      <c r="G4860">
        <v>-8341</v>
      </c>
      <c r="H4860">
        <v>-240</v>
      </c>
      <c r="I4860">
        <v>1270</v>
      </c>
      <c r="J4860">
        <v>9861</v>
      </c>
      <c r="K4860" s="201">
        <v>4983</v>
      </c>
    </row>
    <row r="4861" spans="1:11" x14ac:dyDescent="0.25">
      <c r="A4861"/>
      <c r="B4861" s="201">
        <v>27088</v>
      </c>
      <c r="C4861">
        <v>-1177</v>
      </c>
      <c r="D4861" s="201">
        <v>-2762</v>
      </c>
      <c r="E4861" s="201">
        <v>399</v>
      </c>
      <c r="F4861">
        <v>-1355</v>
      </c>
      <c r="G4861">
        <v>-8</v>
      </c>
      <c r="H4861">
        <v>0</v>
      </c>
      <c r="I4861">
        <v>0</v>
      </c>
      <c r="J4861">
        <v>-5</v>
      </c>
      <c r="K4861" s="201">
        <v>0</v>
      </c>
    </row>
    <row r="4862" spans="1:11" x14ac:dyDescent="0.25">
      <c r="A4862"/>
      <c r="B4862" s="201">
        <v>0</v>
      </c>
      <c r="C4862">
        <v>0</v>
      </c>
      <c r="D4862" s="201">
        <v>-165</v>
      </c>
      <c r="E4862" s="201">
        <v>10</v>
      </c>
      <c r="F4862">
        <v>0</v>
      </c>
      <c r="G4862">
        <v>0</v>
      </c>
      <c r="H4862">
        <v>0</v>
      </c>
      <c r="I4862">
        <v>0</v>
      </c>
      <c r="J4862">
        <v>0</v>
      </c>
      <c r="K4862" s="201">
        <v>0</v>
      </c>
    </row>
    <row r="4863" spans="1:11" x14ac:dyDescent="0.25">
      <c r="A4863"/>
      <c r="B4863" s="201">
        <v>445</v>
      </c>
      <c r="C4863">
        <v>0</v>
      </c>
      <c r="D4863" s="201">
        <v>0</v>
      </c>
      <c r="E4863" s="201">
        <v>858</v>
      </c>
      <c r="F4863">
        <v>0</v>
      </c>
      <c r="G4863">
        <v>-868</v>
      </c>
      <c r="H4863">
        <v>0</v>
      </c>
      <c r="I4863">
        <v>484</v>
      </c>
      <c r="J4863">
        <v>575</v>
      </c>
      <c r="K4863" s="201">
        <v>155</v>
      </c>
    </row>
    <row r="4864" spans="1:11" x14ac:dyDescent="0.25">
      <c r="A4864"/>
      <c r="B4864" s="201">
        <v>0</v>
      </c>
      <c r="C4864">
        <v>-2309</v>
      </c>
      <c r="D4864" s="201">
        <v>-844</v>
      </c>
      <c r="E4864" s="201">
        <v>-2311</v>
      </c>
      <c r="F4864">
        <v>-1009</v>
      </c>
      <c r="G4864">
        <v>-4</v>
      </c>
      <c r="H4864">
        <v>-574</v>
      </c>
      <c r="I4864">
        <v>0</v>
      </c>
      <c r="J4864">
        <v>-269</v>
      </c>
      <c r="K4864" s="201">
        <v>0</v>
      </c>
    </row>
    <row r="4865" spans="1:11" x14ac:dyDescent="0.25">
      <c r="A4865"/>
      <c r="B4865" s="201">
        <v>0</v>
      </c>
      <c r="C4865">
        <v>0</v>
      </c>
      <c r="D4865" s="201">
        <v>0</v>
      </c>
      <c r="E4865" s="201">
        <v>0</v>
      </c>
      <c r="F4865">
        <v>346</v>
      </c>
      <c r="G4865">
        <v>0</v>
      </c>
      <c r="H4865">
        <v>0</v>
      </c>
      <c r="I4865">
        <v>0</v>
      </c>
      <c r="J4865">
        <v>873</v>
      </c>
      <c r="K4865" s="201">
        <v>0</v>
      </c>
    </row>
    <row r="4866" spans="1:11" x14ac:dyDescent="0.25">
      <c r="A4866"/>
      <c r="B4866" s="201">
        <v>-916</v>
      </c>
      <c r="C4866">
        <v>0</v>
      </c>
      <c r="D4866" s="201">
        <v>0</v>
      </c>
      <c r="E4866" s="201">
        <v>0</v>
      </c>
      <c r="F4866">
        <v>0</v>
      </c>
      <c r="G4866">
        <v>0</v>
      </c>
      <c r="H4866">
        <v>521</v>
      </c>
      <c r="I4866">
        <v>0</v>
      </c>
      <c r="J4866">
        <v>-277</v>
      </c>
      <c r="K4866" s="201">
        <v>5008</v>
      </c>
    </row>
    <row r="4867" spans="1:11" x14ac:dyDescent="0.25">
      <c r="A4867"/>
      <c r="B4867" s="201">
        <v>0</v>
      </c>
      <c r="C4867">
        <v>0</v>
      </c>
      <c r="D4867" s="201">
        <v>-144</v>
      </c>
      <c r="E4867" s="201">
        <v>-6968</v>
      </c>
      <c r="F4867">
        <v>0</v>
      </c>
      <c r="G4867">
        <v>576</v>
      </c>
      <c r="H4867">
        <v>0</v>
      </c>
      <c r="I4867">
        <v>0</v>
      </c>
      <c r="J4867">
        <v>0</v>
      </c>
      <c r="K4867" s="201">
        <v>0</v>
      </c>
    </row>
    <row r="4868" spans="1:11" x14ac:dyDescent="0.25">
      <c r="B4868" s="201">
        <v>-1202</v>
      </c>
      <c r="C4868">
        <v>27</v>
      </c>
      <c r="D4868" s="201">
        <v>172</v>
      </c>
      <c r="E4868" s="201">
        <v>0</v>
      </c>
      <c r="F4868">
        <v>0</v>
      </c>
      <c r="G4868">
        <v>10</v>
      </c>
      <c r="H4868">
        <v>-141</v>
      </c>
      <c r="I4868">
        <v>0</v>
      </c>
      <c r="J4868">
        <v>-297</v>
      </c>
      <c r="K4868" s="201">
        <v>-303</v>
      </c>
    </row>
    <row r="4869" spans="1:11" x14ac:dyDescent="0.25">
      <c r="A4869"/>
      <c r="B4869" s="201">
        <v>-272</v>
      </c>
      <c r="C4869">
        <v>-314</v>
      </c>
      <c r="D4869" s="201">
        <v>-175</v>
      </c>
      <c r="E4869" s="201">
        <v>-320</v>
      </c>
      <c r="F4869">
        <v>-624</v>
      </c>
      <c r="G4869">
        <v>0</v>
      </c>
      <c r="H4869">
        <v>0</v>
      </c>
      <c r="I4869">
        <v>0</v>
      </c>
      <c r="J4869">
        <v>0</v>
      </c>
      <c r="K4869" s="201">
        <v>0</v>
      </c>
    </row>
    <row r="4870" spans="1:11" x14ac:dyDescent="0.25">
      <c r="A4870"/>
      <c r="B4870" s="201">
        <v>889</v>
      </c>
      <c r="C4870">
        <v>0</v>
      </c>
      <c r="D4870" s="201">
        <v>1260</v>
      </c>
      <c r="E4870" s="201">
        <v>-152</v>
      </c>
      <c r="F4870">
        <v>359</v>
      </c>
      <c r="G4870">
        <v>0</v>
      </c>
      <c r="H4870">
        <v>1708</v>
      </c>
      <c r="I4870">
        <v>-6282</v>
      </c>
      <c r="J4870">
        <v>-244</v>
      </c>
      <c r="K4870" s="201">
        <v>-676</v>
      </c>
    </row>
    <row r="4871" spans="1:11" x14ac:dyDescent="0.25">
      <c r="B4871" s="201">
        <v>-1420</v>
      </c>
      <c r="C4871">
        <v>0</v>
      </c>
      <c r="D4871" s="201">
        <v>3168</v>
      </c>
      <c r="E4871" s="201">
        <v>4579</v>
      </c>
      <c r="F4871">
        <v>220</v>
      </c>
      <c r="G4871">
        <v>59</v>
      </c>
      <c r="H4871">
        <v>0</v>
      </c>
      <c r="I4871">
        <v>55</v>
      </c>
      <c r="J4871">
        <v>-1089</v>
      </c>
      <c r="K4871" s="201">
        <v>0</v>
      </c>
    </row>
    <row r="4872" spans="1:11" x14ac:dyDescent="0.25">
      <c r="A4872"/>
      <c r="B4872" s="201">
        <v>0</v>
      </c>
      <c r="C4872">
        <v>0</v>
      </c>
      <c r="D4872" s="201">
        <v>-80</v>
      </c>
      <c r="E4872" s="201">
        <v>-138</v>
      </c>
      <c r="F4872">
        <v>0</v>
      </c>
      <c r="G4872">
        <v>-221</v>
      </c>
      <c r="H4872">
        <v>880</v>
      </c>
      <c r="I4872">
        <v>147</v>
      </c>
      <c r="J4872">
        <v>-607</v>
      </c>
      <c r="K4872" s="201">
        <v>0</v>
      </c>
    </row>
    <row r="4873" spans="1:11" x14ac:dyDescent="0.25">
      <c r="A4873"/>
      <c r="B4873" s="201">
        <v>0</v>
      </c>
      <c r="C4873">
        <v>0</v>
      </c>
      <c r="D4873" s="201">
        <v>0</v>
      </c>
      <c r="E4873" s="201">
        <v>0</v>
      </c>
      <c r="F4873">
        <v>-826</v>
      </c>
      <c r="G4873">
        <v>0</v>
      </c>
      <c r="H4873">
        <v>-326</v>
      </c>
      <c r="I4873">
        <v>-322</v>
      </c>
      <c r="J4873">
        <v>284</v>
      </c>
      <c r="K4873" s="201">
        <v>0</v>
      </c>
    </row>
    <row r="4874" spans="1:11" x14ac:dyDescent="0.25">
      <c r="A4874"/>
      <c r="B4874" s="201">
        <v>7450</v>
      </c>
      <c r="C4874">
        <v>-21433</v>
      </c>
      <c r="D4874" s="201">
        <v>2479</v>
      </c>
      <c r="E4874" s="201">
        <v>7723</v>
      </c>
      <c r="F4874">
        <v>4558</v>
      </c>
      <c r="G4874">
        <v>-20945</v>
      </c>
      <c r="H4874">
        <v>-20689</v>
      </c>
      <c r="I4874">
        <v>-27645</v>
      </c>
      <c r="J4874">
        <v>0</v>
      </c>
      <c r="K4874" s="201">
        <v>1018</v>
      </c>
    </row>
    <row r="4875" spans="1:11" x14ac:dyDescent="0.25">
      <c r="A4875"/>
      <c r="B4875" s="201">
        <v>0</v>
      </c>
      <c r="C4875">
        <v>0</v>
      </c>
      <c r="D4875" s="201">
        <v>-3176</v>
      </c>
      <c r="E4875" s="201">
        <v>131</v>
      </c>
      <c r="F4875">
        <v>0</v>
      </c>
      <c r="G4875">
        <v>1031</v>
      </c>
      <c r="H4875">
        <v>0</v>
      </c>
      <c r="I4875">
        <v>0</v>
      </c>
      <c r="J4875">
        <v>1277</v>
      </c>
      <c r="K4875" s="201">
        <v>0</v>
      </c>
    </row>
    <row r="4876" spans="1:11" x14ac:dyDescent="0.25">
      <c r="B4876" s="201">
        <v>-2237</v>
      </c>
      <c r="C4876">
        <v>1752</v>
      </c>
      <c r="D4876" s="201">
        <v>3330</v>
      </c>
      <c r="E4876" s="201">
        <v>0</v>
      </c>
      <c r="F4876">
        <v>0</v>
      </c>
      <c r="G4876">
        <v>0</v>
      </c>
      <c r="H4876">
        <v>0</v>
      </c>
      <c r="I4876">
        <v>0</v>
      </c>
      <c r="J4876">
        <v>-6485</v>
      </c>
      <c r="K4876" s="201">
        <v>0</v>
      </c>
    </row>
    <row r="4877" spans="1:11" x14ac:dyDescent="0.25">
      <c r="B4877" s="201">
        <v>10446</v>
      </c>
      <c r="C4877">
        <v>1533</v>
      </c>
      <c r="D4877" s="201">
        <v>-1367</v>
      </c>
      <c r="E4877" s="201">
        <v>0</v>
      </c>
      <c r="F4877">
        <v>1688</v>
      </c>
      <c r="G4877">
        <v>-9460</v>
      </c>
      <c r="H4877">
        <v>-180</v>
      </c>
      <c r="I4877">
        <v>0</v>
      </c>
      <c r="J4877">
        <v>0</v>
      </c>
      <c r="K4877" s="201">
        <v>0</v>
      </c>
    </row>
    <row r="4878" spans="1:11" x14ac:dyDescent="0.25">
      <c r="A4878"/>
      <c r="B4878" s="201">
        <v>2447</v>
      </c>
      <c r="C4878">
        <v>3016</v>
      </c>
      <c r="D4878" s="201">
        <v>146</v>
      </c>
      <c r="E4878" s="201">
        <v>275</v>
      </c>
      <c r="F4878">
        <v>216</v>
      </c>
      <c r="G4878">
        <v>0</v>
      </c>
      <c r="H4878">
        <v>-544</v>
      </c>
      <c r="I4878">
        <v>0</v>
      </c>
      <c r="J4878">
        <v>0</v>
      </c>
      <c r="K4878" s="201">
        <v>137</v>
      </c>
    </row>
    <row r="4879" spans="1:11" x14ac:dyDescent="0.25">
      <c r="A4879"/>
      <c r="B4879" s="201">
        <v>0</v>
      </c>
      <c r="C4879">
        <v>-189</v>
      </c>
      <c r="D4879" s="201">
        <v>0</v>
      </c>
      <c r="E4879" s="201">
        <v>-4</v>
      </c>
      <c r="F4879">
        <v>0</v>
      </c>
      <c r="G4879">
        <v>0</v>
      </c>
      <c r="H4879">
        <v>0</v>
      </c>
      <c r="I4879">
        <v>0</v>
      </c>
      <c r="J4879">
        <v>0</v>
      </c>
      <c r="K4879" s="201">
        <v>0</v>
      </c>
    </row>
    <row r="4880" spans="1:11" x14ac:dyDescent="0.25">
      <c r="A4880"/>
      <c r="B4880" s="201">
        <v>0</v>
      </c>
      <c r="C4880">
        <v>0</v>
      </c>
      <c r="D4880" s="201">
        <v>-536</v>
      </c>
      <c r="E4880" s="201">
        <v>0</v>
      </c>
      <c r="F4880">
        <v>27</v>
      </c>
      <c r="G4880">
        <v>-142</v>
      </c>
      <c r="H4880">
        <v>96</v>
      </c>
      <c r="I4880">
        <v>0</v>
      </c>
      <c r="J4880">
        <v>-137</v>
      </c>
      <c r="K4880" s="201">
        <v>3351</v>
      </c>
    </row>
    <row r="4881" spans="1:11" x14ac:dyDescent="0.25">
      <c r="A4881"/>
      <c r="B4881" s="201">
        <v>0</v>
      </c>
      <c r="C4881">
        <v>0</v>
      </c>
      <c r="D4881" s="201">
        <v>0</v>
      </c>
      <c r="E4881" s="201">
        <v>0</v>
      </c>
      <c r="F4881">
        <v>0</v>
      </c>
      <c r="G4881">
        <v>5987</v>
      </c>
      <c r="H4881">
        <v>809</v>
      </c>
      <c r="I4881">
        <v>-2292</v>
      </c>
      <c r="J4881">
        <v>-1725</v>
      </c>
      <c r="K4881" s="201">
        <v>-393</v>
      </c>
    </row>
    <row r="4882" spans="1:11" x14ac:dyDescent="0.25">
      <c r="A4882"/>
      <c r="B4882" s="201">
        <v>-4362</v>
      </c>
      <c r="C4882">
        <v>0</v>
      </c>
      <c r="D4882" s="201">
        <v>0</v>
      </c>
      <c r="E4882" s="201">
        <v>0</v>
      </c>
      <c r="F4882">
        <v>0</v>
      </c>
      <c r="G4882">
        <v>-611</v>
      </c>
      <c r="H4882">
        <v>0</v>
      </c>
      <c r="I4882">
        <v>-119</v>
      </c>
      <c r="J4882">
        <v>0</v>
      </c>
      <c r="K4882" s="201">
        <v>0</v>
      </c>
    </row>
    <row r="4883" spans="1:11" x14ac:dyDescent="0.25">
      <c r="A4883"/>
      <c r="B4883" s="201">
        <v>-2809</v>
      </c>
      <c r="C4883">
        <v>43</v>
      </c>
      <c r="D4883" s="201">
        <v>0</v>
      </c>
      <c r="E4883" s="201">
        <v>0</v>
      </c>
      <c r="F4883">
        <v>0</v>
      </c>
      <c r="G4883">
        <v>0</v>
      </c>
      <c r="H4883">
        <v>1931</v>
      </c>
      <c r="I4883">
        <v>0</v>
      </c>
      <c r="J4883">
        <v>-1427</v>
      </c>
      <c r="K4883" s="201">
        <v>-1584</v>
      </c>
    </row>
    <row r="4884" spans="1:11" x14ac:dyDescent="0.25">
      <c r="A4884"/>
      <c r="B4884" s="201">
        <v>-510</v>
      </c>
      <c r="C4884">
        <v>-4618</v>
      </c>
      <c r="D4884" s="201">
        <v>-1987</v>
      </c>
      <c r="E4884" s="201">
        <v>-4321</v>
      </c>
      <c r="F4884">
        <v>-3797</v>
      </c>
      <c r="G4884">
        <v>5999</v>
      </c>
      <c r="H4884">
        <v>5455</v>
      </c>
      <c r="I4884">
        <v>2032</v>
      </c>
      <c r="J4884">
        <v>0</v>
      </c>
      <c r="K4884" s="201">
        <v>0</v>
      </c>
    </row>
    <row r="4885" spans="1:11" x14ac:dyDescent="0.25">
      <c r="A4885"/>
      <c r="B4885" s="201">
        <v>0</v>
      </c>
      <c r="C4885">
        <v>0</v>
      </c>
      <c r="D4885" s="201">
        <v>0</v>
      </c>
      <c r="E4885" s="201">
        <v>0</v>
      </c>
      <c r="F4885">
        <v>0</v>
      </c>
      <c r="G4885">
        <v>-749</v>
      </c>
      <c r="H4885">
        <v>156</v>
      </c>
      <c r="I4885">
        <v>-278</v>
      </c>
      <c r="J4885">
        <v>356</v>
      </c>
      <c r="K4885" s="201">
        <v>-361</v>
      </c>
    </row>
    <row r="4886" spans="1:11" x14ac:dyDescent="0.25">
      <c r="A4886"/>
      <c r="B4886" s="201">
        <v>1382</v>
      </c>
      <c r="C4886">
        <v>0</v>
      </c>
      <c r="D4886" s="201">
        <v>0</v>
      </c>
      <c r="E4886" s="201">
        <v>-1624</v>
      </c>
      <c r="F4886">
        <v>0</v>
      </c>
      <c r="G4886">
        <v>275</v>
      </c>
      <c r="H4886">
        <v>-678</v>
      </c>
      <c r="I4886">
        <v>0</v>
      </c>
      <c r="J4886">
        <v>0</v>
      </c>
      <c r="K4886" s="201">
        <v>0</v>
      </c>
    </row>
    <row r="4887" spans="1:11" x14ac:dyDescent="0.25">
      <c r="A4887"/>
      <c r="B4887" s="201">
        <v>0</v>
      </c>
      <c r="C4887">
        <v>4632</v>
      </c>
      <c r="D4887" s="201">
        <v>0</v>
      </c>
      <c r="E4887" s="201">
        <v>-5899</v>
      </c>
      <c r="F4887">
        <v>-13211</v>
      </c>
      <c r="G4887">
        <v>0</v>
      </c>
      <c r="H4887">
        <v>0</v>
      </c>
      <c r="I4887">
        <v>0</v>
      </c>
      <c r="J4887">
        <v>0</v>
      </c>
      <c r="K4887" s="201">
        <v>0</v>
      </c>
    </row>
    <row r="4888" spans="1:11" x14ac:dyDescent="0.25">
      <c r="A4888"/>
      <c r="B4888" s="201">
        <v>0</v>
      </c>
      <c r="C4888">
        <v>0</v>
      </c>
      <c r="D4888" s="201">
        <v>0</v>
      </c>
      <c r="E4888" s="201">
        <v>0</v>
      </c>
      <c r="F4888">
        <v>0</v>
      </c>
      <c r="G4888">
        <v>0</v>
      </c>
      <c r="H4888">
        <v>0</v>
      </c>
      <c r="I4888">
        <v>0</v>
      </c>
      <c r="J4888">
        <v>0</v>
      </c>
      <c r="K4888" s="201">
        <v>0</v>
      </c>
    </row>
    <row r="4889" spans="1:11" x14ac:dyDescent="0.25">
      <c r="B4889" s="201">
        <v>2750</v>
      </c>
      <c r="C4889">
        <v>0</v>
      </c>
      <c r="D4889" s="201">
        <v>0</v>
      </c>
      <c r="E4889" s="201">
        <v>0</v>
      </c>
      <c r="F4889">
        <v>0</v>
      </c>
      <c r="G4889">
        <v>0</v>
      </c>
      <c r="H4889">
        <v>486</v>
      </c>
      <c r="I4889">
        <v>4110</v>
      </c>
      <c r="J4889">
        <v>3607</v>
      </c>
      <c r="K4889" s="201">
        <v>18670</v>
      </c>
    </row>
    <row r="4890" spans="1:11" x14ac:dyDescent="0.25">
      <c r="A4890"/>
      <c r="B4890" s="201">
        <v>20093</v>
      </c>
      <c r="C4890">
        <v>45429</v>
      </c>
      <c r="D4890" s="201">
        <v>20335</v>
      </c>
      <c r="E4890" s="201">
        <v>-8674</v>
      </c>
      <c r="F4890">
        <v>-61</v>
      </c>
      <c r="G4890">
        <v>-635</v>
      </c>
      <c r="H4890">
        <v>9782</v>
      </c>
      <c r="I4890">
        <v>6133</v>
      </c>
      <c r="J4890">
        <v>27699</v>
      </c>
      <c r="K4890" s="201">
        <v>23869</v>
      </c>
    </row>
    <row r="4891" spans="1:11" x14ac:dyDescent="0.25">
      <c r="A4891"/>
      <c r="B4891" s="201">
        <v>-35</v>
      </c>
      <c r="C4891">
        <v>-1494</v>
      </c>
      <c r="D4891" s="201">
        <v>385</v>
      </c>
      <c r="E4891" s="201">
        <v>106</v>
      </c>
      <c r="F4891">
        <v>2152</v>
      </c>
      <c r="G4891">
        <v>0</v>
      </c>
      <c r="H4891">
        <v>0</v>
      </c>
      <c r="I4891">
        <v>-12</v>
      </c>
      <c r="J4891">
        <v>0</v>
      </c>
      <c r="K4891" s="201">
        <v>0</v>
      </c>
    </row>
    <row r="4892" spans="1:11" x14ac:dyDescent="0.25">
      <c r="A4892"/>
      <c r="B4892" s="201">
        <v>0</v>
      </c>
      <c r="C4892">
        <v>-213</v>
      </c>
      <c r="D4892" s="201">
        <v>-70</v>
      </c>
      <c r="E4892" s="201">
        <v>0</v>
      </c>
      <c r="F4892">
        <v>0</v>
      </c>
      <c r="G4892">
        <v>0</v>
      </c>
      <c r="H4892">
        <v>0</v>
      </c>
      <c r="I4892">
        <v>0</v>
      </c>
      <c r="J4892">
        <v>0</v>
      </c>
      <c r="K4892" s="201">
        <v>313</v>
      </c>
    </row>
    <row r="4893" spans="1:11" x14ac:dyDescent="0.25">
      <c r="A4893"/>
      <c r="B4893" s="201">
        <v>0</v>
      </c>
      <c r="C4893">
        <v>0</v>
      </c>
      <c r="D4893" s="201">
        <v>340</v>
      </c>
      <c r="E4893" s="201">
        <v>0</v>
      </c>
      <c r="F4893">
        <v>-302</v>
      </c>
      <c r="G4893">
        <v>0</v>
      </c>
      <c r="H4893">
        <v>409</v>
      </c>
      <c r="I4893">
        <v>-112</v>
      </c>
      <c r="J4893">
        <v>-1</v>
      </c>
      <c r="K4893" s="201">
        <v>0</v>
      </c>
    </row>
    <row r="4894" spans="1:11" x14ac:dyDescent="0.25">
      <c r="A4894"/>
      <c r="B4894" s="201">
        <v>-1339</v>
      </c>
      <c r="C4894">
        <v>3400</v>
      </c>
      <c r="D4894" s="201">
        <v>411</v>
      </c>
      <c r="E4894" s="201">
        <v>-1227</v>
      </c>
      <c r="F4894">
        <v>-187</v>
      </c>
      <c r="G4894">
        <v>-474</v>
      </c>
      <c r="H4894">
        <v>0</v>
      </c>
      <c r="I4894">
        <v>574</v>
      </c>
      <c r="J4894">
        <v>0</v>
      </c>
      <c r="K4894" s="201">
        <v>0</v>
      </c>
    </row>
    <row r="4895" spans="1:11" x14ac:dyDescent="0.25">
      <c r="A4895"/>
      <c r="B4895" s="201">
        <v>0</v>
      </c>
      <c r="C4895">
        <v>0</v>
      </c>
      <c r="D4895" s="201">
        <v>0</v>
      </c>
      <c r="E4895" s="201">
        <v>161</v>
      </c>
      <c r="F4895">
        <v>0</v>
      </c>
      <c r="G4895">
        <v>0</v>
      </c>
      <c r="H4895">
        <v>0</v>
      </c>
      <c r="I4895">
        <v>-240</v>
      </c>
      <c r="J4895">
        <v>0</v>
      </c>
      <c r="K4895" s="201">
        <v>-259</v>
      </c>
    </row>
    <row r="4896" spans="1:11" x14ac:dyDescent="0.25">
      <c r="A4896"/>
      <c r="B4896" s="201">
        <v>0</v>
      </c>
      <c r="C4896">
        <v>0</v>
      </c>
      <c r="D4896" s="201">
        <v>0</v>
      </c>
      <c r="E4896" s="201">
        <v>0</v>
      </c>
      <c r="F4896">
        <v>0</v>
      </c>
      <c r="G4896">
        <v>369</v>
      </c>
      <c r="H4896">
        <v>0</v>
      </c>
      <c r="I4896">
        <v>-1498</v>
      </c>
      <c r="J4896">
        <v>3141</v>
      </c>
      <c r="K4896" s="201">
        <v>0</v>
      </c>
    </row>
    <row r="4897" spans="1:11" x14ac:dyDescent="0.25">
      <c r="A4897"/>
      <c r="B4897" s="201">
        <v>0</v>
      </c>
      <c r="C4897" s="201">
        <v>254</v>
      </c>
      <c r="D4897" s="201">
        <v>-6050</v>
      </c>
      <c r="E4897" s="201">
        <v>0</v>
      </c>
      <c r="F4897">
        <v>701</v>
      </c>
      <c r="G4897">
        <v>0</v>
      </c>
      <c r="H4897">
        <v>0</v>
      </c>
      <c r="I4897">
        <v>0</v>
      </c>
      <c r="J4897">
        <v>0</v>
      </c>
      <c r="K4897" s="201">
        <v>-637</v>
      </c>
    </row>
    <row r="4898" spans="1:11" x14ac:dyDescent="0.25">
      <c r="A4898"/>
      <c r="B4898" s="201">
        <v>-23</v>
      </c>
      <c r="C4898">
        <v>71</v>
      </c>
      <c r="D4898" s="201">
        <v>0</v>
      </c>
      <c r="E4898" s="201">
        <v>0</v>
      </c>
      <c r="F4898">
        <v>-69</v>
      </c>
      <c r="G4898">
        <v>-17</v>
      </c>
      <c r="H4898">
        <v>0</v>
      </c>
      <c r="I4898">
        <v>-317</v>
      </c>
      <c r="J4898">
        <v>-794</v>
      </c>
      <c r="K4898" s="201">
        <v>-109</v>
      </c>
    </row>
    <row r="4899" spans="1:11" x14ac:dyDescent="0.25">
      <c r="A4899"/>
      <c r="B4899" s="201">
        <v>-496</v>
      </c>
      <c r="C4899">
        <v>158</v>
      </c>
      <c r="D4899" s="201">
        <v>-234</v>
      </c>
      <c r="E4899" s="201">
        <v>-654</v>
      </c>
      <c r="F4899">
        <v>0</v>
      </c>
      <c r="G4899">
        <v>0</v>
      </c>
      <c r="H4899">
        <v>0</v>
      </c>
      <c r="I4899">
        <v>0</v>
      </c>
      <c r="J4899">
        <v>0</v>
      </c>
      <c r="K4899" s="201">
        <v>834</v>
      </c>
    </row>
    <row r="4900" spans="1:11" x14ac:dyDescent="0.25">
      <c r="A4900"/>
      <c r="B4900" s="201">
        <v>0</v>
      </c>
      <c r="C4900">
        <v>1554</v>
      </c>
      <c r="D4900" s="201">
        <v>-222</v>
      </c>
      <c r="E4900" s="201">
        <v>391</v>
      </c>
      <c r="F4900">
        <v>0</v>
      </c>
      <c r="G4900">
        <v>559</v>
      </c>
      <c r="H4900">
        <v>-6395</v>
      </c>
      <c r="I4900">
        <v>275</v>
      </c>
      <c r="J4900">
        <v>478</v>
      </c>
      <c r="K4900" s="201">
        <v>-1211</v>
      </c>
    </row>
    <row r="4901" spans="1:11" x14ac:dyDescent="0.25">
      <c r="A4901"/>
      <c r="B4901" s="201">
        <v>0</v>
      </c>
      <c r="C4901">
        <v>2383</v>
      </c>
      <c r="D4901" s="201">
        <v>2333</v>
      </c>
      <c r="E4901" s="201">
        <v>1096</v>
      </c>
      <c r="F4901">
        <v>129</v>
      </c>
      <c r="G4901">
        <v>0</v>
      </c>
      <c r="H4901">
        <v>86</v>
      </c>
      <c r="I4901">
        <v>-1264</v>
      </c>
      <c r="J4901">
        <v>0</v>
      </c>
      <c r="K4901" s="201">
        <v>0</v>
      </c>
    </row>
    <row r="4902" spans="1:11" x14ac:dyDescent="0.25">
      <c r="A4902"/>
      <c r="B4902" s="201">
        <v>0</v>
      </c>
      <c r="C4902">
        <v>-69</v>
      </c>
      <c r="D4902" s="201">
        <v>-13</v>
      </c>
      <c r="E4902" s="201">
        <v>0</v>
      </c>
      <c r="F4902">
        <v>110</v>
      </c>
      <c r="G4902">
        <v>487</v>
      </c>
      <c r="H4902">
        <v>161</v>
      </c>
      <c r="I4902">
        <v>9</v>
      </c>
      <c r="J4902">
        <v>0</v>
      </c>
      <c r="K4902" s="201">
        <v>0</v>
      </c>
    </row>
    <row r="4903" spans="1:11" x14ac:dyDescent="0.25">
      <c r="A4903"/>
      <c r="B4903" s="201">
        <v>0</v>
      </c>
      <c r="C4903">
        <v>0</v>
      </c>
      <c r="D4903" s="201">
        <v>0</v>
      </c>
      <c r="E4903" s="201">
        <v>439</v>
      </c>
      <c r="F4903">
        <v>0</v>
      </c>
      <c r="G4903">
        <v>599</v>
      </c>
      <c r="H4903">
        <v>-231</v>
      </c>
      <c r="I4903">
        <v>106</v>
      </c>
      <c r="J4903">
        <v>0</v>
      </c>
      <c r="K4903" s="201">
        <v>-669</v>
      </c>
    </row>
    <row r="4904" spans="1:11" x14ac:dyDescent="0.25">
      <c r="A4904"/>
      <c r="B4904" s="201">
        <v>-4896</v>
      </c>
      <c r="C4904">
        <v>134</v>
      </c>
      <c r="D4904" s="201">
        <v>478</v>
      </c>
      <c r="E4904" s="201">
        <v>-1282</v>
      </c>
      <c r="F4904">
        <v>617</v>
      </c>
      <c r="G4904">
        <v>739</v>
      </c>
      <c r="H4904">
        <v>495</v>
      </c>
      <c r="I4904">
        <v>0</v>
      </c>
      <c r="J4904">
        <v>162</v>
      </c>
      <c r="K4904" s="201">
        <v>0</v>
      </c>
    </row>
    <row r="4905" spans="1:11" x14ac:dyDescent="0.25">
      <c r="A4905"/>
      <c r="B4905" s="201">
        <v>0</v>
      </c>
      <c r="C4905">
        <v>-1129</v>
      </c>
      <c r="D4905" s="201">
        <v>9</v>
      </c>
      <c r="E4905" s="201">
        <v>0</v>
      </c>
      <c r="F4905">
        <v>-108</v>
      </c>
      <c r="G4905">
        <v>0</v>
      </c>
      <c r="H4905">
        <v>0</v>
      </c>
      <c r="I4905">
        <v>-9</v>
      </c>
      <c r="J4905">
        <v>0</v>
      </c>
      <c r="K4905" s="201">
        <v>71</v>
      </c>
    </row>
    <row r="4906" spans="1:11" x14ac:dyDescent="0.25">
      <c r="A4906"/>
      <c r="B4906" s="201">
        <v>-56</v>
      </c>
      <c r="C4906">
        <v>-99</v>
      </c>
      <c r="D4906" s="201">
        <v>0</v>
      </c>
      <c r="E4906" s="201">
        <v>0</v>
      </c>
      <c r="F4906">
        <v>0</v>
      </c>
      <c r="G4906">
        <v>0</v>
      </c>
      <c r="H4906">
        <v>0</v>
      </c>
      <c r="I4906">
        <v>1417</v>
      </c>
      <c r="J4906">
        <v>0</v>
      </c>
      <c r="K4906" s="201">
        <v>-1248</v>
      </c>
    </row>
    <row r="4907" spans="1:11" x14ac:dyDescent="0.25">
      <c r="A4907"/>
      <c r="B4907" s="201">
        <v>119</v>
      </c>
      <c r="C4907">
        <v>243</v>
      </c>
      <c r="D4907" s="201">
        <v>0</v>
      </c>
      <c r="E4907" s="201">
        <v>4088</v>
      </c>
      <c r="F4907">
        <v>-20685</v>
      </c>
      <c r="G4907">
        <v>630</v>
      </c>
      <c r="H4907">
        <v>0</v>
      </c>
      <c r="I4907">
        <v>0</v>
      </c>
      <c r="J4907">
        <v>0</v>
      </c>
      <c r="K4907" s="201">
        <v>-23715</v>
      </c>
    </row>
    <row r="4908" spans="1:11" x14ac:dyDescent="0.25">
      <c r="B4908" s="201">
        <v>-33539</v>
      </c>
      <c r="C4908">
        <v>-12447</v>
      </c>
      <c r="D4908" s="201">
        <v>100</v>
      </c>
      <c r="E4908" s="201">
        <v>1203</v>
      </c>
      <c r="F4908">
        <v>0</v>
      </c>
      <c r="G4908">
        <v>-901</v>
      </c>
      <c r="H4908">
        <v>0</v>
      </c>
      <c r="I4908">
        <v>0</v>
      </c>
      <c r="J4908">
        <v>-471</v>
      </c>
      <c r="K4908" s="201">
        <v>0</v>
      </c>
    </row>
    <row r="4909" spans="1:11" x14ac:dyDescent="0.25">
      <c r="B4909" s="201">
        <v>-2449</v>
      </c>
      <c r="C4909">
        <v>0</v>
      </c>
      <c r="D4909" s="201">
        <v>-582</v>
      </c>
      <c r="E4909" s="201">
        <v>0</v>
      </c>
      <c r="F4909">
        <v>0</v>
      </c>
      <c r="G4909">
        <v>0</v>
      </c>
      <c r="H4909">
        <v>0</v>
      </c>
      <c r="I4909">
        <v>0</v>
      </c>
      <c r="J4909">
        <v>0</v>
      </c>
      <c r="K4909" s="201">
        <v>0</v>
      </c>
    </row>
    <row r="4910" spans="1:11" x14ac:dyDescent="0.25">
      <c r="A4910"/>
      <c r="B4910" s="201">
        <v>0</v>
      </c>
      <c r="C4910">
        <v>-1451</v>
      </c>
      <c r="D4910" s="201">
        <v>0</v>
      </c>
      <c r="E4910" s="201">
        <v>-1808</v>
      </c>
      <c r="F4910">
        <v>2504</v>
      </c>
      <c r="G4910">
        <v>-952</v>
      </c>
      <c r="H4910">
        <v>0</v>
      </c>
      <c r="I4910">
        <v>398</v>
      </c>
      <c r="J4910">
        <v>3031</v>
      </c>
      <c r="K4910" s="201">
        <v>0</v>
      </c>
    </row>
    <row r="4911" spans="1:11" x14ac:dyDescent="0.25">
      <c r="A4911"/>
      <c r="B4911" s="201">
        <v>0</v>
      </c>
      <c r="C4911">
        <v>0</v>
      </c>
      <c r="D4911" s="201">
        <v>0</v>
      </c>
      <c r="E4911" s="201">
        <v>0</v>
      </c>
      <c r="F4911">
        <v>2770</v>
      </c>
      <c r="G4911">
        <v>219</v>
      </c>
      <c r="H4911">
        <v>-2100</v>
      </c>
      <c r="I4911">
        <v>-1731</v>
      </c>
      <c r="J4911">
        <v>-734</v>
      </c>
      <c r="K4911" s="201">
        <v>-4312</v>
      </c>
    </row>
    <row r="4912" spans="1:11" x14ac:dyDescent="0.25">
      <c r="A4912"/>
      <c r="B4912" s="201">
        <v>0</v>
      </c>
      <c r="C4912">
        <v>0</v>
      </c>
      <c r="D4912" s="201">
        <v>0</v>
      </c>
      <c r="E4912" s="201">
        <v>0</v>
      </c>
      <c r="F4912">
        <v>-966</v>
      </c>
      <c r="G4912">
        <v>0</v>
      </c>
      <c r="H4912">
        <v>-155</v>
      </c>
      <c r="I4912">
        <v>0</v>
      </c>
      <c r="J4912">
        <v>0</v>
      </c>
      <c r="K4912" s="201">
        <v>-2415</v>
      </c>
    </row>
    <row r="4913" spans="1:11" x14ac:dyDescent="0.25">
      <c r="A4913"/>
      <c r="B4913" s="201">
        <v>441</v>
      </c>
      <c r="C4913">
        <v>0</v>
      </c>
      <c r="D4913" s="201">
        <v>0</v>
      </c>
      <c r="E4913" s="201">
        <v>0</v>
      </c>
      <c r="F4913">
        <v>0</v>
      </c>
      <c r="G4913">
        <v>2021</v>
      </c>
      <c r="H4913">
        <v>0</v>
      </c>
      <c r="I4913">
        <v>-891</v>
      </c>
      <c r="J4913">
        <v>-1560</v>
      </c>
      <c r="K4913" s="201">
        <v>-814</v>
      </c>
    </row>
    <row r="4914" spans="1:11" x14ac:dyDescent="0.25">
      <c r="A4914"/>
      <c r="B4914" s="201">
        <v>-3842</v>
      </c>
      <c r="C4914">
        <v>-817</v>
      </c>
      <c r="D4914" s="201">
        <v>-2580</v>
      </c>
      <c r="E4914" s="201">
        <v>-1520</v>
      </c>
      <c r="F4914">
        <v>-688</v>
      </c>
      <c r="G4914">
        <v>2936</v>
      </c>
      <c r="H4914">
        <v>2689</v>
      </c>
      <c r="I4914">
        <v>0</v>
      </c>
      <c r="J4914">
        <v>0</v>
      </c>
      <c r="K4914" s="201">
        <v>0</v>
      </c>
    </row>
    <row r="4915" spans="1:11" x14ac:dyDescent="0.25">
      <c r="A4915"/>
      <c r="B4915" s="201">
        <v>0</v>
      </c>
      <c r="C4915">
        <v>0</v>
      </c>
      <c r="D4915" s="201">
        <v>0</v>
      </c>
      <c r="E4915" s="201">
        <v>0</v>
      </c>
      <c r="F4915">
        <v>581</v>
      </c>
      <c r="G4915">
        <v>-129</v>
      </c>
      <c r="H4915">
        <v>2066</v>
      </c>
      <c r="I4915">
        <v>-59</v>
      </c>
      <c r="J4915">
        <v>670</v>
      </c>
      <c r="K4915" s="201">
        <v>107</v>
      </c>
    </row>
    <row r="4916" spans="1:11" x14ac:dyDescent="0.25">
      <c r="A4916"/>
      <c r="B4916" s="201">
        <v>0</v>
      </c>
      <c r="C4916" s="201">
        <v>0</v>
      </c>
      <c r="D4916" s="201">
        <v>-1200</v>
      </c>
      <c r="E4916" s="201">
        <v>0</v>
      </c>
      <c r="F4916">
        <v>437</v>
      </c>
      <c r="G4916">
        <v>-945</v>
      </c>
      <c r="H4916">
        <v>0</v>
      </c>
      <c r="I4916">
        <v>0</v>
      </c>
      <c r="J4916">
        <v>0</v>
      </c>
      <c r="K4916" s="201">
        <v>0</v>
      </c>
    </row>
    <row r="4917" spans="1:11" x14ac:dyDescent="0.25">
      <c r="B4917" s="201">
        <v>5517</v>
      </c>
      <c r="C4917">
        <v>0</v>
      </c>
      <c r="D4917" s="201">
        <v>-3374</v>
      </c>
      <c r="E4917" s="201">
        <v>-9396</v>
      </c>
      <c r="F4917">
        <v>0</v>
      </c>
      <c r="G4917">
        <v>0</v>
      </c>
      <c r="H4917">
        <v>0</v>
      </c>
      <c r="I4917">
        <v>0</v>
      </c>
      <c r="J4917">
        <v>0</v>
      </c>
      <c r="K4917" s="201">
        <v>0</v>
      </c>
    </row>
    <row r="4918" spans="1:11" x14ac:dyDescent="0.25">
      <c r="A4918"/>
      <c r="B4918" s="201">
        <v>0</v>
      </c>
      <c r="C4918">
        <v>0</v>
      </c>
      <c r="D4918" s="201">
        <v>0</v>
      </c>
      <c r="E4918" s="201">
        <v>0</v>
      </c>
      <c r="F4918">
        <v>0</v>
      </c>
      <c r="G4918">
        <v>0</v>
      </c>
      <c r="H4918">
        <v>0</v>
      </c>
      <c r="I4918">
        <v>0</v>
      </c>
      <c r="J4918">
        <v>0</v>
      </c>
      <c r="K4918" s="201">
        <v>2423</v>
      </c>
    </row>
    <row r="4919" spans="1:11" x14ac:dyDescent="0.25">
      <c r="A4919"/>
      <c r="B4919" s="201">
        <v>0</v>
      </c>
      <c r="C4919">
        <v>0</v>
      </c>
      <c r="D4919" s="201">
        <v>0</v>
      </c>
      <c r="E4919" s="201">
        <v>0</v>
      </c>
      <c r="F4919">
        <v>0</v>
      </c>
      <c r="G4919">
        <v>269</v>
      </c>
      <c r="H4919">
        <v>3206</v>
      </c>
      <c r="I4919">
        <v>1178</v>
      </c>
      <c r="J4919">
        <v>16122</v>
      </c>
      <c r="K4919" s="201">
        <v>19145</v>
      </c>
    </row>
    <row r="4920" spans="1:11" x14ac:dyDescent="0.25">
      <c r="A4920"/>
      <c r="B4920" s="201">
        <v>19347</v>
      </c>
      <c r="C4920">
        <v>48059</v>
      </c>
      <c r="D4920" s="201">
        <v>-5187</v>
      </c>
      <c r="E4920" s="201">
        <v>-210</v>
      </c>
      <c r="F4920">
        <v>-197</v>
      </c>
      <c r="G4920">
        <v>7032</v>
      </c>
      <c r="H4920">
        <v>-119</v>
      </c>
      <c r="I4920">
        <v>20484</v>
      </c>
      <c r="J4920">
        <v>22739</v>
      </c>
      <c r="K4920" s="201">
        <v>22748</v>
      </c>
    </row>
    <row r="4921" spans="1:11" x14ac:dyDescent="0.25">
      <c r="A4921"/>
      <c r="B4921" s="201">
        <v>1331</v>
      </c>
      <c r="C4921">
        <v>288</v>
      </c>
      <c r="D4921" s="201">
        <v>138</v>
      </c>
      <c r="E4921" s="201">
        <v>-97</v>
      </c>
      <c r="F4921">
        <v>-1237</v>
      </c>
      <c r="G4921">
        <v>0</v>
      </c>
      <c r="H4921">
        <v>0</v>
      </c>
      <c r="I4921">
        <v>358</v>
      </c>
      <c r="J4921">
        <v>0</v>
      </c>
      <c r="K4921" s="201">
        <v>0</v>
      </c>
    </row>
    <row r="4922" spans="1:11" x14ac:dyDescent="0.25">
      <c r="A4922"/>
      <c r="B4922" s="201">
        <v>0</v>
      </c>
      <c r="C4922">
        <v>-16</v>
      </c>
      <c r="D4922" s="201">
        <v>57</v>
      </c>
      <c r="E4922" s="201">
        <v>0</v>
      </c>
      <c r="F4922">
        <v>0</v>
      </c>
      <c r="G4922">
        <v>0</v>
      </c>
      <c r="H4922">
        <v>0</v>
      </c>
      <c r="I4922">
        <v>0</v>
      </c>
      <c r="J4922">
        <v>0</v>
      </c>
      <c r="K4922" s="201">
        <v>-69</v>
      </c>
    </row>
    <row r="4923" spans="1:11" x14ac:dyDescent="0.25">
      <c r="A4923"/>
      <c r="B4923" s="201">
        <v>0</v>
      </c>
      <c r="C4923">
        <v>0</v>
      </c>
      <c r="D4923" s="201">
        <v>2473</v>
      </c>
      <c r="E4923" s="201">
        <v>0</v>
      </c>
      <c r="F4923">
        <v>-2488</v>
      </c>
      <c r="G4923">
        <v>0</v>
      </c>
      <c r="H4923">
        <v>-405</v>
      </c>
      <c r="I4923">
        <v>-599</v>
      </c>
      <c r="J4923">
        <v>-244</v>
      </c>
      <c r="K4923" s="201">
        <v>0</v>
      </c>
    </row>
    <row r="4924" spans="1:11" x14ac:dyDescent="0.25">
      <c r="A4924"/>
      <c r="B4924" s="201">
        <v>-7631</v>
      </c>
      <c r="C4924">
        <v>-2923</v>
      </c>
      <c r="D4924" s="201">
        <v>-1166</v>
      </c>
      <c r="E4924" s="201">
        <v>-692</v>
      </c>
      <c r="F4924">
        <v>1617</v>
      </c>
      <c r="G4924">
        <v>2334</v>
      </c>
      <c r="H4924">
        <v>0</v>
      </c>
      <c r="I4924">
        <v>1363</v>
      </c>
      <c r="J4924">
        <v>0</v>
      </c>
      <c r="K4924" s="201">
        <v>0</v>
      </c>
    </row>
    <row r="4925" spans="1:11" x14ac:dyDescent="0.25">
      <c r="A4925"/>
      <c r="B4925" s="201">
        <v>0</v>
      </c>
      <c r="C4925">
        <v>0</v>
      </c>
      <c r="D4925" s="201">
        <v>0</v>
      </c>
      <c r="E4925" s="201">
        <v>-795</v>
      </c>
      <c r="F4925">
        <v>0</v>
      </c>
      <c r="G4925">
        <v>0</v>
      </c>
      <c r="H4925">
        <v>0</v>
      </c>
      <c r="I4925">
        <v>509</v>
      </c>
      <c r="J4925">
        <v>0</v>
      </c>
      <c r="K4925" s="201">
        <v>1509</v>
      </c>
    </row>
    <row r="4926" spans="1:11" x14ac:dyDescent="0.25">
      <c r="A4926"/>
      <c r="B4926" s="201">
        <v>0</v>
      </c>
      <c r="C4926">
        <v>0</v>
      </c>
      <c r="D4926" s="201">
        <v>0</v>
      </c>
      <c r="E4926" s="201">
        <v>0</v>
      </c>
      <c r="F4926">
        <v>0</v>
      </c>
      <c r="G4926">
        <v>9214</v>
      </c>
      <c r="H4926">
        <v>0</v>
      </c>
      <c r="I4926">
        <v>8910</v>
      </c>
      <c r="J4926">
        <v>4170</v>
      </c>
      <c r="K4926" s="201">
        <v>0</v>
      </c>
    </row>
    <row r="4927" spans="1:11" x14ac:dyDescent="0.25">
      <c r="A4927"/>
      <c r="B4927" s="201">
        <v>0</v>
      </c>
      <c r="C4927">
        <v>2552</v>
      </c>
      <c r="D4927" s="201">
        <v>2400</v>
      </c>
      <c r="E4927" s="201">
        <v>0</v>
      </c>
      <c r="F4927">
        <v>304</v>
      </c>
      <c r="G4927">
        <v>0</v>
      </c>
      <c r="H4927">
        <v>0</v>
      </c>
      <c r="I4927">
        <v>0</v>
      </c>
      <c r="J4927">
        <v>0</v>
      </c>
      <c r="K4927" s="201">
        <v>5321</v>
      </c>
    </row>
    <row r="4928" spans="1:11" x14ac:dyDescent="0.25">
      <c r="A4928"/>
      <c r="B4928" s="201">
        <v>-1572</v>
      </c>
      <c r="C4928">
        <v>-1281</v>
      </c>
      <c r="D4928" s="201">
        <v>0</v>
      </c>
      <c r="E4928" s="201">
        <v>0</v>
      </c>
      <c r="F4928">
        <v>194</v>
      </c>
      <c r="G4928">
        <v>232</v>
      </c>
      <c r="H4928">
        <v>0</v>
      </c>
      <c r="I4928">
        <v>886</v>
      </c>
      <c r="J4928">
        <v>611</v>
      </c>
      <c r="K4928" s="201">
        <v>186</v>
      </c>
    </row>
    <row r="4929" spans="1:11" x14ac:dyDescent="0.25">
      <c r="A4929"/>
      <c r="B4929" s="201">
        <v>482</v>
      </c>
      <c r="C4929">
        <v>-1043</v>
      </c>
      <c r="D4929" s="201">
        <v>179</v>
      </c>
      <c r="E4929" s="201">
        <v>979</v>
      </c>
      <c r="F4929">
        <v>0</v>
      </c>
      <c r="G4929">
        <v>0</v>
      </c>
      <c r="H4929">
        <v>0</v>
      </c>
      <c r="I4929">
        <v>0</v>
      </c>
      <c r="J4929">
        <v>0</v>
      </c>
      <c r="K4929" s="201">
        <v>-1374</v>
      </c>
    </row>
    <row r="4930" spans="1:11" x14ac:dyDescent="0.25">
      <c r="A4930"/>
      <c r="B4930" s="201">
        <v>0</v>
      </c>
      <c r="C4930">
        <v>557</v>
      </c>
      <c r="D4930" s="201">
        <v>-475</v>
      </c>
      <c r="E4930" s="201">
        <v>-373</v>
      </c>
      <c r="F4930">
        <v>0</v>
      </c>
      <c r="G4930">
        <v>541</v>
      </c>
      <c r="H4930">
        <v>5131</v>
      </c>
      <c r="I4930">
        <v>-182</v>
      </c>
      <c r="J4930">
        <v>4</v>
      </c>
      <c r="K4930" s="201">
        <v>1300</v>
      </c>
    </row>
    <row r="4931" spans="1:11" x14ac:dyDescent="0.25">
      <c r="A4931"/>
      <c r="B4931" s="201">
        <v>0</v>
      </c>
      <c r="C4931">
        <v>-3910</v>
      </c>
      <c r="D4931" s="201">
        <v>-2609</v>
      </c>
      <c r="E4931" s="201">
        <v>2139</v>
      </c>
      <c r="F4931">
        <v>-585</v>
      </c>
      <c r="G4931">
        <v>0</v>
      </c>
      <c r="H4931">
        <v>820</v>
      </c>
      <c r="I4931">
        <v>-451</v>
      </c>
      <c r="J4931">
        <v>0</v>
      </c>
      <c r="K4931" s="201">
        <v>0</v>
      </c>
    </row>
    <row r="4932" spans="1:11" x14ac:dyDescent="0.25">
      <c r="A4932"/>
      <c r="B4932" s="201">
        <v>0</v>
      </c>
      <c r="C4932">
        <v>-25</v>
      </c>
      <c r="D4932" s="201">
        <v>243</v>
      </c>
      <c r="E4932" s="201">
        <v>0</v>
      </c>
      <c r="F4932">
        <v>-42</v>
      </c>
      <c r="G4932">
        <v>-539</v>
      </c>
      <c r="H4932">
        <v>-308</v>
      </c>
      <c r="I4932">
        <v>-156</v>
      </c>
      <c r="J4932">
        <v>0</v>
      </c>
      <c r="K4932" s="201">
        <v>0</v>
      </c>
    </row>
    <row r="4933" spans="1:11" x14ac:dyDescent="0.25">
      <c r="A4933"/>
      <c r="B4933" s="201">
        <v>0</v>
      </c>
      <c r="C4933">
        <v>0</v>
      </c>
      <c r="D4933" s="201">
        <v>0</v>
      </c>
      <c r="E4933" s="201">
        <v>623</v>
      </c>
      <c r="F4933">
        <v>0</v>
      </c>
      <c r="G4933">
        <v>-1071</v>
      </c>
      <c r="H4933">
        <v>-659</v>
      </c>
      <c r="I4933">
        <v>-111</v>
      </c>
      <c r="J4933">
        <v>0</v>
      </c>
      <c r="K4933" s="201">
        <v>589</v>
      </c>
    </row>
    <row r="4934" spans="1:11" x14ac:dyDescent="0.25">
      <c r="A4934"/>
      <c r="B4934" s="201">
        <v>5625</v>
      </c>
      <c r="C4934">
        <v>-414</v>
      </c>
      <c r="D4934" s="201">
        <v>-1017</v>
      </c>
      <c r="E4934" s="201">
        <v>816</v>
      </c>
      <c r="F4934">
        <v>-1082</v>
      </c>
      <c r="G4934">
        <v>-3598</v>
      </c>
      <c r="H4934">
        <v>-3039</v>
      </c>
      <c r="I4934">
        <v>0</v>
      </c>
      <c r="J4934">
        <v>-602</v>
      </c>
      <c r="K4934" s="201">
        <v>0</v>
      </c>
    </row>
    <row r="4935" spans="1:11" x14ac:dyDescent="0.25">
      <c r="A4935"/>
      <c r="B4935" s="201">
        <v>0</v>
      </c>
      <c r="C4935">
        <v>-517</v>
      </c>
      <c r="D4935" s="201">
        <v>-79</v>
      </c>
      <c r="E4935" s="201">
        <v>0</v>
      </c>
      <c r="F4935">
        <v>-37</v>
      </c>
      <c r="G4935">
        <v>0</v>
      </c>
      <c r="H4935">
        <v>0</v>
      </c>
      <c r="I4935">
        <v>-217</v>
      </c>
      <c r="J4935">
        <v>0</v>
      </c>
      <c r="K4935" s="201">
        <v>-722</v>
      </c>
    </row>
    <row r="4936" spans="1:11" x14ac:dyDescent="0.25">
      <c r="B4936" s="201">
        <v>-463</v>
      </c>
      <c r="C4936">
        <v>-546</v>
      </c>
      <c r="D4936" s="201">
        <v>0</v>
      </c>
      <c r="E4936" s="201">
        <v>0</v>
      </c>
      <c r="F4936">
        <v>0</v>
      </c>
      <c r="G4936">
        <v>0</v>
      </c>
      <c r="H4936">
        <v>0</v>
      </c>
      <c r="I4936">
        <v>760</v>
      </c>
      <c r="J4936">
        <v>0</v>
      </c>
      <c r="K4936" s="201">
        <v>-1522</v>
      </c>
    </row>
    <row r="4937" spans="1:11" x14ac:dyDescent="0.25">
      <c r="B4937" s="201">
        <v>-659</v>
      </c>
      <c r="C4937">
        <v>328</v>
      </c>
      <c r="D4937" s="201">
        <v>0</v>
      </c>
      <c r="E4937" s="201">
        <v>1538</v>
      </c>
      <c r="F4937">
        <v>5354</v>
      </c>
      <c r="G4937">
        <v>206</v>
      </c>
      <c r="H4937">
        <v>0</v>
      </c>
      <c r="I4937">
        <v>0</v>
      </c>
      <c r="J4937">
        <v>0</v>
      </c>
      <c r="K4937" s="201">
        <v>-4003</v>
      </c>
    </row>
    <row r="4938" spans="1:11" x14ac:dyDescent="0.25">
      <c r="A4938"/>
      <c r="B4938" s="201">
        <v>-3317</v>
      </c>
      <c r="C4938">
        <v>2096</v>
      </c>
      <c r="D4938" s="201">
        <v>-726</v>
      </c>
      <c r="E4938" s="201">
        <v>-500</v>
      </c>
      <c r="F4938">
        <v>0</v>
      </c>
      <c r="G4938">
        <v>-538</v>
      </c>
      <c r="H4938">
        <v>0</v>
      </c>
      <c r="I4938">
        <v>0</v>
      </c>
      <c r="J4938">
        <v>121</v>
      </c>
      <c r="K4938" s="201">
        <v>0</v>
      </c>
    </row>
    <row r="4939" spans="1:11" x14ac:dyDescent="0.25">
      <c r="A4939"/>
      <c r="B4939" s="201">
        <v>291</v>
      </c>
      <c r="C4939">
        <v>0</v>
      </c>
      <c r="D4939" s="201">
        <v>2</v>
      </c>
      <c r="E4939" s="201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 s="201">
        <v>0</v>
      </c>
    </row>
    <row r="4940" spans="1:11" x14ac:dyDescent="0.25">
      <c r="A4940"/>
      <c r="B4940" s="201">
        <v>0</v>
      </c>
      <c r="C4940">
        <v>347</v>
      </c>
      <c r="D4940" s="201">
        <v>0</v>
      </c>
      <c r="E4940" s="201">
        <v>-1134</v>
      </c>
      <c r="F4940">
        <v>-351</v>
      </c>
      <c r="G4940">
        <v>109</v>
      </c>
      <c r="H4940">
        <v>0</v>
      </c>
      <c r="I4940">
        <v>5849</v>
      </c>
      <c r="J4940">
        <v>-3100</v>
      </c>
      <c r="K4940" s="201">
        <v>0</v>
      </c>
    </row>
    <row r="4941" spans="1:11" x14ac:dyDescent="0.25">
      <c r="A4941"/>
      <c r="B4941" s="201">
        <v>0</v>
      </c>
      <c r="C4941">
        <v>0</v>
      </c>
      <c r="D4941" s="201">
        <v>0</v>
      </c>
      <c r="E4941" s="201">
        <v>0</v>
      </c>
      <c r="F4941">
        <v>-17021</v>
      </c>
      <c r="G4941">
        <v>-722</v>
      </c>
      <c r="H4941">
        <v>-1396</v>
      </c>
      <c r="I4941">
        <v>-1179</v>
      </c>
      <c r="J4941">
        <v>-1551</v>
      </c>
      <c r="K4941" s="201">
        <v>-929</v>
      </c>
    </row>
    <row r="4942" spans="1:11" x14ac:dyDescent="0.25">
      <c r="A4942"/>
      <c r="B4942" s="201">
        <v>0</v>
      </c>
      <c r="C4942">
        <v>0</v>
      </c>
      <c r="D4942" s="201">
        <v>0</v>
      </c>
      <c r="E4942" s="201">
        <v>0</v>
      </c>
      <c r="F4942">
        <v>1516</v>
      </c>
      <c r="G4942">
        <v>0</v>
      </c>
      <c r="H4942">
        <v>967</v>
      </c>
      <c r="I4942">
        <v>0</v>
      </c>
      <c r="J4942">
        <v>0</v>
      </c>
      <c r="K4942" s="201">
        <v>3097</v>
      </c>
    </row>
    <row r="4943" spans="1:11" x14ac:dyDescent="0.25">
      <c r="A4943"/>
      <c r="B4943" s="201">
        <v>224</v>
      </c>
      <c r="C4943">
        <v>0</v>
      </c>
      <c r="D4943" s="201">
        <v>0</v>
      </c>
      <c r="E4943" s="201">
        <v>0</v>
      </c>
      <c r="F4943">
        <v>0</v>
      </c>
      <c r="G4943">
        <v>-3670</v>
      </c>
      <c r="H4943">
        <v>0</v>
      </c>
      <c r="I4943">
        <v>4298</v>
      </c>
      <c r="J4943">
        <v>-461</v>
      </c>
      <c r="K4943" s="201">
        <v>-3892</v>
      </c>
    </row>
    <row r="4944" spans="1:11" x14ac:dyDescent="0.25">
      <c r="A4944"/>
      <c r="B4944" s="201">
        <v>3324</v>
      </c>
      <c r="C4944">
        <v>474</v>
      </c>
      <c r="D4944" s="201">
        <v>220</v>
      </c>
      <c r="E4944" s="201">
        <v>-449</v>
      </c>
      <c r="F4944">
        <v>1991</v>
      </c>
      <c r="G4944">
        <v>3501</v>
      </c>
      <c r="H4944">
        <v>2283</v>
      </c>
      <c r="I4944">
        <v>0</v>
      </c>
      <c r="J4944">
        <v>0</v>
      </c>
      <c r="K4944" s="201">
        <v>0</v>
      </c>
    </row>
    <row r="4945" spans="1:11" x14ac:dyDescent="0.25">
      <c r="A4945"/>
      <c r="B4945" s="201">
        <v>0</v>
      </c>
      <c r="C4945">
        <v>0</v>
      </c>
      <c r="D4945" s="201">
        <v>0</v>
      </c>
      <c r="E4945" s="201">
        <v>0</v>
      </c>
      <c r="F4945">
        <v>-1</v>
      </c>
      <c r="G4945">
        <v>77</v>
      </c>
      <c r="H4945">
        <v>-657</v>
      </c>
      <c r="I4945">
        <v>238</v>
      </c>
      <c r="J4945">
        <v>-445</v>
      </c>
      <c r="K4945" s="201">
        <v>842</v>
      </c>
    </row>
    <row r="4946" spans="1:11" x14ac:dyDescent="0.25">
      <c r="A4946"/>
      <c r="B4946" s="201">
        <v>0</v>
      </c>
      <c r="C4946">
        <v>0</v>
      </c>
      <c r="D4946" s="201">
        <v>-127</v>
      </c>
      <c r="E4946" s="201">
        <v>0</v>
      </c>
      <c r="F4946">
        <v>233</v>
      </c>
      <c r="G4946">
        <v>-2219</v>
      </c>
      <c r="H4946">
        <v>0</v>
      </c>
      <c r="I4946">
        <v>0</v>
      </c>
      <c r="J4946">
        <v>0</v>
      </c>
      <c r="K4946" s="201">
        <v>0</v>
      </c>
    </row>
    <row r="4947" spans="1:11" x14ac:dyDescent="0.25">
      <c r="B4947" s="201">
        <v>-5196</v>
      </c>
      <c r="C4947">
        <v>0</v>
      </c>
      <c r="D4947" s="201">
        <v>5391</v>
      </c>
      <c r="E4947" s="201">
        <v>24561</v>
      </c>
      <c r="F4947">
        <v>0</v>
      </c>
      <c r="G4947">
        <v>0</v>
      </c>
      <c r="H4947">
        <v>0</v>
      </c>
      <c r="I4947">
        <v>0</v>
      </c>
      <c r="J4947">
        <v>0</v>
      </c>
      <c r="K4947" s="201">
        <v>0</v>
      </c>
    </row>
    <row r="4948" spans="1:11" x14ac:dyDescent="0.25">
      <c r="A4948"/>
      <c r="B4948" s="201">
        <v>0</v>
      </c>
      <c r="C4948">
        <v>0</v>
      </c>
      <c r="D4948" s="201">
        <v>0</v>
      </c>
      <c r="E4948" s="201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 s="201">
        <v>-4151</v>
      </c>
    </row>
    <row r="4949" spans="1:11" x14ac:dyDescent="0.25">
      <c r="A4949"/>
      <c r="B4949" s="201">
        <v>0</v>
      </c>
      <c r="C4949">
        <v>0</v>
      </c>
      <c r="D4949" s="201">
        <v>0</v>
      </c>
      <c r="E4949" s="201">
        <v>0</v>
      </c>
      <c r="F4949">
        <v>0</v>
      </c>
      <c r="G4949">
        <v>-1226</v>
      </c>
      <c r="H4949">
        <v>437</v>
      </c>
      <c r="I4949">
        <v>-839</v>
      </c>
      <c r="J4949">
        <v>-6179</v>
      </c>
      <c r="K4949" s="201">
        <v>-9436</v>
      </c>
    </row>
    <row r="4950" spans="1:11" x14ac:dyDescent="0.25">
      <c r="A4950"/>
      <c r="B4950" s="201">
        <v>-10029</v>
      </c>
      <c r="C4950">
        <v>-6659</v>
      </c>
      <c r="D4950" s="201">
        <v>16226</v>
      </c>
      <c r="E4950" s="201">
        <v>1122</v>
      </c>
      <c r="F4950">
        <v>-47718</v>
      </c>
      <c r="G4950">
        <v>-13664</v>
      </c>
      <c r="H4950">
        <v>-7074</v>
      </c>
      <c r="I4950">
        <v>-33137</v>
      </c>
      <c r="J4950">
        <v>-34466</v>
      </c>
      <c r="K4950" s="201">
        <v>-33437</v>
      </c>
    </row>
    <row r="4951" spans="1:11" x14ac:dyDescent="0.25">
      <c r="A4951"/>
      <c r="B4951" s="201">
        <v>-24458</v>
      </c>
      <c r="C4951">
        <v>0</v>
      </c>
      <c r="D4951" s="201">
        <v>0</v>
      </c>
      <c r="E4951" s="20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 s="201">
        <v>0</v>
      </c>
    </row>
    <row r="4952" spans="1:11" x14ac:dyDescent="0.25">
      <c r="A4952"/>
      <c r="B4952" s="201">
        <v>0</v>
      </c>
      <c r="C4952">
        <v>0</v>
      </c>
      <c r="D4952" s="201">
        <v>0</v>
      </c>
      <c r="E4952" s="201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 s="201">
        <v>0</v>
      </c>
    </row>
    <row r="4953" spans="1:11" x14ac:dyDescent="0.25">
      <c r="A4953"/>
      <c r="B4953" s="201">
        <v>0</v>
      </c>
      <c r="C4953">
        <v>0</v>
      </c>
      <c r="D4953" s="201">
        <v>0</v>
      </c>
      <c r="E4953" s="201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 s="201">
        <v>0</v>
      </c>
    </row>
    <row r="4954" spans="1:11" x14ac:dyDescent="0.25">
      <c r="A4954"/>
      <c r="B4954" s="201">
        <v>0</v>
      </c>
      <c r="C4954">
        <v>0</v>
      </c>
      <c r="D4954" s="201">
        <v>0</v>
      </c>
      <c r="E4954" s="201">
        <v>0</v>
      </c>
      <c r="F4954">
        <v>0</v>
      </c>
      <c r="G4954">
        <v>0</v>
      </c>
      <c r="H4954">
        <v>0</v>
      </c>
      <c r="I4954">
        <v>0</v>
      </c>
      <c r="J4954">
        <v>0</v>
      </c>
      <c r="K4954" s="201">
        <v>0</v>
      </c>
    </row>
    <row r="4955" spans="1:11" x14ac:dyDescent="0.25">
      <c r="A4955"/>
      <c r="B4955" s="201">
        <v>0</v>
      </c>
      <c r="C4955">
        <v>0</v>
      </c>
      <c r="D4955" s="201">
        <v>0</v>
      </c>
      <c r="E4955" s="201">
        <v>0</v>
      </c>
      <c r="F4955">
        <v>0</v>
      </c>
      <c r="G4955">
        <v>0</v>
      </c>
      <c r="H4955">
        <v>0</v>
      </c>
      <c r="I4955">
        <v>0</v>
      </c>
      <c r="J4955">
        <v>0</v>
      </c>
      <c r="K4955" s="201">
        <v>0</v>
      </c>
    </row>
    <row r="4956" spans="1:11" x14ac:dyDescent="0.25">
      <c r="A4956"/>
      <c r="B4956" s="201">
        <v>0</v>
      </c>
      <c r="C4956">
        <v>0</v>
      </c>
      <c r="D4956" s="201">
        <v>0</v>
      </c>
      <c r="E4956" s="201">
        <v>0</v>
      </c>
      <c r="F4956">
        <v>0</v>
      </c>
      <c r="G4956">
        <v>0</v>
      </c>
      <c r="H4956">
        <v>0</v>
      </c>
      <c r="I4956">
        <v>0</v>
      </c>
      <c r="J4956">
        <v>0</v>
      </c>
      <c r="K4956" s="201">
        <v>0</v>
      </c>
    </row>
    <row r="4957" spans="1:11" x14ac:dyDescent="0.25">
      <c r="A4957"/>
      <c r="B4957" s="201">
        <v>0</v>
      </c>
      <c r="C4957">
        <v>0</v>
      </c>
      <c r="D4957" s="201">
        <v>0</v>
      </c>
      <c r="E4957" s="201">
        <v>0</v>
      </c>
      <c r="F4957">
        <v>0</v>
      </c>
      <c r="G4957">
        <v>0</v>
      </c>
      <c r="H4957">
        <v>0</v>
      </c>
      <c r="I4957">
        <v>0</v>
      </c>
      <c r="J4957">
        <v>0</v>
      </c>
      <c r="K4957" s="201">
        <v>0</v>
      </c>
    </row>
    <row r="4958" spans="1:11" x14ac:dyDescent="0.25">
      <c r="A4958"/>
      <c r="B4958" s="201">
        <v>0</v>
      </c>
      <c r="C4958">
        <v>0</v>
      </c>
      <c r="D4958" s="201">
        <v>0</v>
      </c>
      <c r="E4958" s="201">
        <v>0</v>
      </c>
      <c r="F4958">
        <v>0</v>
      </c>
      <c r="G4958">
        <v>0</v>
      </c>
      <c r="H4958">
        <v>0</v>
      </c>
      <c r="I4958">
        <v>0</v>
      </c>
      <c r="J4958">
        <v>0</v>
      </c>
      <c r="K4958" s="201">
        <v>0</v>
      </c>
    </row>
    <row r="4959" spans="1:11" x14ac:dyDescent="0.25">
      <c r="A4959"/>
      <c r="B4959" s="201">
        <v>0</v>
      </c>
      <c r="C4959">
        <v>0</v>
      </c>
      <c r="D4959" s="201">
        <v>0</v>
      </c>
      <c r="E4959" s="201">
        <v>0</v>
      </c>
      <c r="F4959">
        <v>0</v>
      </c>
      <c r="G4959">
        <v>0</v>
      </c>
      <c r="H4959">
        <v>0</v>
      </c>
      <c r="I4959">
        <v>0</v>
      </c>
      <c r="J4959">
        <v>0</v>
      </c>
      <c r="K4959" s="201">
        <v>0</v>
      </c>
    </row>
    <row r="4960" spans="1:11" x14ac:dyDescent="0.25">
      <c r="A4960"/>
      <c r="B4960" s="201">
        <v>0</v>
      </c>
      <c r="C4960">
        <v>0</v>
      </c>
      <c r="D4960" s="201">
        <v>0</v>
      </c>
      <c r="E4960" s="201">
        <v>0</v>
      </c>
      <c r="F4960">
        <v>0</v>
      </c>
      <c r="G4960">
        <v>0</v>
      </c>
      <c r="H4960">
        <v>0</v>
      </c>
      <c r="I4960">
        <v>0</v>
      </c>
      <c r="J4960">
        <v>0</v>
      </c>
      <c r="K4960" s="201">
        <v>0</v>
      </c>
    </row>
    <row r="4961" spans="1:11" x14ac:dyDescent="0.25">
      <c r="A4961"/>
      <c r="B4961" s="201">
        <v>0</v>
      </c>
      <c r="C4961">
        <v>0</v>
      </c>
      <c r="D4961" s="201">
        <v>0</v>
      </c>
      <c r="E4961" s="201">
        <v>0</v>
      </c>
      <c r="F4961">
        <v>0</v>
      </c>
      <c r="G4961">
        <v>0</v>
      </c>
      <c r="H4961">
        <v>0</v>
      </c>
      <c r="I4961">
        <v>0</v>
      </c>
      <c r="J4961">
        <v>0</v>
      </c>
      <c r="K4961" s="201">
        <v>0</v>
      </c>
    </row>
    <row r="4962" spans="1:11" x14ac:dyDescent="0.25">
      <c r="A4962"/>
      <c r="B4962" s="201">
        <v>0</v>
      </c>
      <c r="C4962">
        <v>0</v>
      </c>
      <c r="D4962" s="201">
        <v>0</v>
      </c>
      <c r="E4962" s="201">
        <v>0</v>
      </c>
      <c r="F4962">
        <v>0</v>
      </c>
      <c r="G4962">
        <v>0</v>
      </c>
      <c r="H4962">
        <v>0</v>
      </c>
      <c r="I4962">
        <v>0</v>
      </c>
      <c r="J4962">
        <v>0</v>
      </c>
      <c r="K4962" s="201">
        <v>0</v>
      </c>
    </row>
    <row r="4963" spans="1:11" x14ac:dyDescent="0.25">
      <c r="A4963"/>
      <c r="B4963" s="201">
        <v>0</v>
      </c>
      <c r="C4963">
        <v>0</v>
      </c>
      <c r="D4963" s="201">
        <v>0</v>
      </c>
      <c r="E4963" s="201">
        <v>0</v>
      </c>
      <c r="F4963">
        <v>0</v>
      </c>
      <c r="G4963">
        <v>0</v>
      </c>
      <c r="H4963">
        <v>0</v>
      </c>
      <c r="I4963">
        <v>0</v>
      </c>
      <c r="J4963">
        <v>0</v>
      </c>
      <c r="K4963" s="201">
        <v>0</v>
      </c>
    </row>
    <row r="4964" spans="1:11" x14ac:dyDescent="0.25">
      <c r="A4964"/>
      <c r="B4964" s="201">
        <v>0</v>
      </c>
      <c r="C4964">
        <v>0</v>
      </c>
      <c r="D4964" s="201">
        <v>0</v>
      </c>
      <c r="E4964" s="201">
        <v>0</v>
      </c>
      <c r="F4964">
        <v>0</v>
      </c>
      <c r="G4964">
        <v>0</v>
      </c>
      <c r="H4964">
        <v>0</v>
      </c>
      <c r="I4964">
        <v>0</v>
      </c>
      <c r="J4964">
        <v>0</v>
      </c>
      <c r="K4964" s="201">
        <v>0</v>
      </c>
    </row>
    <row r="4965" spans="1:11" x14ac:dyDescent="0.25">
      <c r="A4965"/>
      <c r="B4965" s="201">
        <v>0</v>
      </c>
      <c r="C4965">
        <v>0</v>
      </c>
      <c r="D4965" s="201">
        <v>0</v>
      </c>
      <c r="E4965" s="201">
        <v>0</v>
      </c>
      <c r="F4965">
        <v>0</v>
      </c>
      <c r="G4965">
        <v>0</v>
      </c>
      <c r="H4965">
        <v>0</v>
      </c>
      <c r="I4965">
        <v>0</v>
      </c>
      <c r="J4965">
        <v>0</v>
      </c>
      <c r="K4965" s="201">
        <v>0</v>
      </c>
    </row>
    <row r="4966" spans="1:11" x14ac:dyDescent="0.25">
      <c r="A4966"/>
      <c r="B4966" s="201">
        <v>0</v>
      </c>
      <c r="C4966">
        <v>0</v>
      </c>
      <c r="D4966" s="201">
        <v>0</v>
      </c>
      <c r="E4966" s="201">
        <v>0</v>
      </c>
      <c r="F4966">
        <v>0</v>
      </c>
      <c r="G4966">
        <v>0</v>
      </c>
      <c r="H4966">
        <v>0</v>
      </c>
      <c r="I4966">
        <v>0</v>
      </c>
      <c r="J4966">
        <v>0</v>
      </c>
      <c r="K4966" s="201">
        <v>0</v>
      </c>
    </row>
    <row r="4967" spans="1:11" x14ac:dyDescent="0.25">
      <c r="A4967"/>
      <c r="B4967" s="201">
        <v>0</v>
      </c>
      <c r="C4967">
        <v>0</v>
      </c>
      <c r="D4967" s="201">
        <v>0</v>
      </c>
      <c r="E4967" s="201">
        <v>0</v>
      </c>
      <c r="F4967">
        <v>0</v>
      </c>
      <c r="G4967">
        <v>0</v>
      </c>
      <c r="H4967">
        <v>0</v>
      </c>
      <c r="I4967">
        <v>0</v>
      </c>
      <c r="J4967">
        <v>0</v>
      </c>
      <c r="K4967" s="201">
        <v>0</v>
      </c>
    </row>
    <row r="4968" spans="1:11" x14ac:dyDescent="0.25">
      <c r="A4968"/>
      <c r="B4968" s="201">
        <v>0</v>
      </c>
      <c r="C4968">
        <v>0</v>
      </c>
      <c r="D4968" s="201">
        <v>0</v>
      </c>
      <c r="E4968" s="201">
        <v>0</v>
      </c>
      <c r="F4968">
        <v>0</v>
      </c>
      <c r="G4968">
        <v>0</v>
      </c>
      <c r="H4968">
        <v>0</v>
      </c>
      <c r="I4968">
        <v>0</v>
      </c>
      <c r="J4968">
        <v>0</v>
      </c>
      <c r="K4968" s="201">
        <v>0</v>
      </c>
    </row>
    <row r="4969" spans="1:11" x14ac:dyDescent="0.25">
      <c r="A4969"/>
      <c r="B4969" s="201">
        <v>0</v>
      </c>
      <c r="C4969">
        <v>0</v>
      </c>
      <c r="D4969" s="201">
        <v>0</v>
      </c>
      <c r="E4969" s="201">
        <v>0</v>
      </c>
      <c r="F4969">
        <v>0</v>
      </c>
      <c r="G4969">
        <v>0</v>
      </c>
      <c r="H4969">
        <v>0</v>
      </c>
      <c r="I4969">
        <v>0</v>
      </c>
      <c r="J4969">
        <v>0</v>
      </c>
      <c r="K4969" s="201">
        <v>0</v>
      </c>
    </row>
    <row r="4970" spans="1:11" x14ac:dyDescent="0.25">
      <c r="A4970"/>
      <c r="B4970" s="201">
        <v>0</v>
      </c>
      <c r="C4970">
        <v>0</v>
      </c>
      <c r="D4970" s="201">
        <v>0</v>
      </c>
      <c r="E4970" s="201">
        <v>0</v>
      </c>
      <c r="F4970">
        <v>0</v>
      </c>
      <c r="G4970">
        <v>0</v>
      </c>
      <c r="H4970">
        <v>0</v>
      </c>
      <c r="I4970">
        <v>0</v>
      </c>
      <c r="J4970">
        <v>0</v>
      </c>
      <c r="K4970" s="201">
        <v>0</v>
      </c>
    </row>
    <row r="4971" spans="1:11" x14ac:dyDescent="0.25">
      <c r="A4971"/>
      <c r="B4971" s="201">
        <v>0</v>
      </c>
      <c r="C4971">
        <v>0</v>
      </c>
      <c r="D4971" s="201">
        <v>0</v>
      </c>
      <c r="E4971" s="201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 s="201">
        <v>0</v>
      </c>
    </row>
    <row r="4972" spans="1:11" x14ac:dyDescent="0.25">
      <c r="A4972"/>
      <c r="B4972" s="201">
        <v>0</v>
      </c>
      <c r="C4972">
        <v>0</v>
      </c>
      <c r="D4972" s="201">
        <v>0</v>
      </c>
      <c r="E4972" s="201">
        <v>0</v>
      </c>
      <c r="F4972">
        <v>0</v>
      </c>
      <c r="G4972">
        <v>0</v>
      </c>
      <c r="H4972">
        <v>0</v>
      </c>
      <c r="I4972">
        <v>0</v>
      </c>
      <c r="J4972">
        <v>0</v>
      </c>
      <c r="K4972" s="201">
        <v>0</v>
      </c>
    </row>
    <row r="4973" spans="1:11" x14ac:dyDescent="0.25">
      <c r="A4973"/>
      <c r="B4973" s="201">
        <v>0</v>
      </c>
      <c r="C4973">
        <v>0</v>
      </c>
      <c r="D4973" s="201">
        <v>0</v>
      </c>
      <c r="E4973" s="201">
        <v>0</v>
      </c>
      <c r="F4973">
        <v>0</v>
      </c>
      <c r="G4973">
        <v>0</v>
      </c>
      <c r="H4973">
        <v>0</v>
      </c>
      <c r="I4973">
        <v>0</v>
      </c>
      <c r="J4973">
        <v>0</v>
      </c>
      <c r="K4973" s="201">
        <v>0</v>
      </c>
    </row>
    <row r="4974" spans="1:11" x14ac:dyDescent="0.25">
      <c r="A4974"/>
      <c r="B4974" s="201">
        <v>0</v>
      </c>
      <c r="C4974">
        <v>0</v>
      </c>
      <c r="D4974" s="201">
        <v>0</v>
      </c>
      <c r="E4974" s="201">
        <v>0</v>
      </c>
      <c r="F4974">
        <v>0</v>
      </c>
      <c r="G4974">
        <v>0</v>
      </c>
      <c r="H4974">
        <v>0</v>
      </c>
      <c r="I4974">
        <v>0</v>
      </c>
      <c r="J4974">
        <v>0</v>
      </c>
      <c r="K4974" s="201">
        <v>0</v>
      </c>
    </row>
    <row r="4975" spans="1:11" x14ac:dyDescent="0.25">
      <c r="A4975"/>
      <c r="B4975" s="201">
        <v>0</v>
      </c>
      <c r="C4975">
        <v>0</v>
      </c>
      <c r="D4975" s="201">
        <v>0</v>
      </c>
      <c r="E4975" s="201">
        <v>0</v>
      </c>
      <c r="F4975">
        <v>0</v>
      </c>
      <c r="G4975">
        <v>0</v>
      </c>
      <c r="H4975">
        <v>0</v>
      </c>
      <c r="I4975">
        <v>0</v>
      </c>
      <c r="J4975">
        <v>0</v>
      </c>
      <c r="K4975" s="201">
        <v>0</v>
      </c>
    </row>
    <row r="4976" spans="1:11" x14ac:dyDescent="0.25">
      <c r="A4976"/>
      <c r="B4976" s="201">
        <v>0</v>
      </c>
      <c r="C4976">
        <v>0</v>
      </c>
      <c r="D4976" s="201">
        <v>0</v>
      </c>
      <c r="E4976" s="201">
        <v>0</v>
      </c>
      <c r="F4976">
        <v>0</v>
      </c>
      <c r="G4976">
        <v>0</v>
      </c>
      <c r="H4976">
        <v>0</v>
      </c>
      <c r="I4976">
        <v>0</v>
      </c>
      <c r="J4976">
        <v>0</v>
      </c>
      <c r="K4976" s="201">
        <v>0</v>
      </c>
    </row>
    <row r="4977" spans="1:11" x14ac:dyDescent="0.25">
      <c r="A4977"/>
      <c r="B4977" s="201">
        <v>0</v>
      </c>
      <c r="C4977">
        <v>0</v>
      </c>
      <c r="D4977" s="201">
        <v>0</v>
      </c>
      <c r="E4977" s="201">
        <v>0</v>
      </c>
      <c r="F4977">
        <v>0</v>
      </c>
      <c r="G4977">
        <v>0</v>
      </c>
      <c r="H4977">
        <v>0</v>
      </c>
      <c r="I4977">
        <v>0</v>
      </c>
      <c r="J4977">
        <v>0</v>
      </c>
      <c r="K4977" s="201">
        <v>0</v>
      </c>
    </row>
    <row r="4978" spans="1:11" x14ac:dyDescent="0.25">
      <c r="A4978"/>
      <c r="B4978" s="201">
        <v>0</v>
      </c>
      <c r="C4978">
        <v>0</v>
      </c>
      <c r="D4978" s="201">
        <v>0</v>
      </c>
      <c r="E4978" s="201">
        <v>0</v>
      </c>
      <c r="F4978">
        <v>0</v>
      </c>
      <c r="G4978">
        <v>0</v>
      </c>
      <c r="H4978">
        <v>0</v>
      </c>
      <c r="I4978">
        <v>0</v>
      </c>
      <c r="J4978">
        <v>0</v>
      </c>
      <c r="K4978" s="201">
        <v>0</v>
      </c>
    </row>
    <row r="4979" spans="1:11" x14ac:dyDescent="0.25">
      <c r="A4979"/>
      <c r="B4979" s="201">
        <v>0</v>
      </c>
      <c r="C4979">
        <v>0</v>
      </c>
      <c r="D4979" s="201">
        <v>0</v>
      </c>
      <c r="E4979" s="201">
        <v>0</v>
      </c>
      <c r="F4979">
        <v>0</v>
      </c>
      <c r="G4979">
        <v>0</v>
      </c>
      <c r="H4979">
        <v>0</v>
      </c>
      <c r="I4979">
        <v>0</v>
      </c>
      <c r="J4979">
        <v>0</v>
      </c>
      <c r="K4979" s="201">
        <v>0</v>
      </c>
    </row>
    <row r="4980" spans="1:11" x14ac:dyDescent="0.25">
      <c r="A4980"/>
      <c r="B4980" s="201">
        <v>0</v>
      </c>
      <c r="C4980">
        <v>0</v>
      </c>
      <c r="D4980" s="201">
        <v>0</v>
      </c>
      <c r="E4980" s="201">
        <v>0</v>
      </c>
      <c r="F4980">
        <v>0</v>
      </c>
      <c r="G4980">
        <v>0</v>
      </c>
      <c r="H4980">
        <v>0</v>
      </c>
      <c r="I4980">
        <v>0</v>
      </c>
      <c r="J4980">
        <v>0</v>
      </c>
      <c r="K4980" s="201">
        <v>0</v>
      </c>
    </row>
    <row r="4981" spans="1:11" x14ac:dyDescent="0.25">
      <c r="A4981"/>
      <c r="B4981" s="201">
        <v>0</v>
      </c>
      <c r="C4981">
        <v>0</v>
      </c>
      <c r="D4981" s="201">
        <v>0</v>
      </c>
      <c r="E4981" s="201">
        <v>-233</v>
      </c>
      <c r="F4981">
        <v>-1990</v>
      </c>
      <c r="G4981">
        <v>123</v>
      </c>
      <c r="H4981">
        <v>-37</v>
      </c>
      <c r="I4981">
        <v>-469</v>
      </c>
      <c r="J4981">
        <v>0</v>
      </c>
      <c r="K4981" s="201">
        <v>0</v>
      </c>
    </row>
    <row r="4982" spans="1:11" x14ac:dyDescent="0.25">
      <c r="A4982"/>
      <c r="B4982" s="201">
        <v>-30</v>
      </c>
      <c r="C4982">
        <v>0</v>
      </c>
      <c r="D4982" s="201">
        <v>0</v>
      </c>
      <c r="E4982" s="201">
        <v>0</v>
      </c>
      <c r="F4982">
        <v>-577</v>
      </c>
      <c r="G4982">
        <v>440</v>
      </c>
      <c r="H4982">
        <v>0</v>
      </c>
      <c r="I4982">
        <v>0</v>
      </c>
      <c r="J4982">
        <v>0</v>
      </c>
      <c r="K4982" s="201">
        <v>0</v>
      </c>
    </row>
    <row r="4983" spans="1:11" x14ac:dyDescent="0.25">
      <c r="A4983"/>
      <c r="B4983" s="201">
        <v>0</v>
      </c>
      <c r="C4983">
        <v>0</v>
      </c>
      <c r="D4983" s="201">
        <v>313</v>
      </c>
      <c r="E4983" s="201">
        <v>0</v>
      </c>
      <c r="F4983">
        <v>0</v>
      </c>
      <c r="G4983">
        <v>73</v>
      </c>
      <c r="H4983">
        <v>0</v>
      </c>
      <c r="I4983">
        <v>-30</v>
      </c>
      <c r="J4983">
        <v>0</v>
      </c>
      <c r="K4983" s="201">
        <v>737</v>
      </c>
    </row>
    <row r="4984" spans="1:11" x14ac:dyDescent="0.25">
      <c r="B4984" s="201">
        <v>-193</v>
      </c>
      <c r="C4984">
        <v>-133</v>
      </c>
      <c r="D4984" s="201">
        <v>0</v>
      </c>
      <c r="E4984" s="201">
        <v>-307</v>
      </c>
      <c r="F4984">
        <v>-2092</v>
      </c>
      <c r="G4984">
        <v>198</v>
      </c>
      <c r="H4984">
        <v>-213</v>
      </c>
      <c r="I4984">
        <v>-534</v>
      </c>
      <c r="J4984">
        <v>130</v>
      </c>
      <c r="K4984" s="201">
        <v>0</v>
      </c>
    </row>
    <row r="4985" spans="1:11" x14ac:dyDescent="0.25">
      <c r="A4985"/>
      <c r="B4985" s="201">
        <v>133</v>
      </c>
      <c r="C4985">
        <v>0</v>
      </c>
      <c r="D4985" s="201">
        <v>0</v>
      </c>
      <c r="E4985" s="201">
        <v>0</v>
      </c>
      <c r="F4985">
        <v>0</v>
      </c>
      <c r="G4985">
        <v>0</v>
      </c>
      <c r="H4985">
        <v>-511</v>
      </c>
      <c r="I4985">
        <v>0</v>
      </c>
      <c r="J4985">
        <v>0</v>
      </c>
      <c r="K4985" s="201">
        <v>0</v>
      </c>
    </row>
    <row r="4986" spans="1:11" x14ac:dyDescent="0.25">
      <c r="A4986"/>
      <c r="B4986" s="201">
        <v>296</v>
      </c>
      <c r="C4986">
        <v>0</v>
      </c>
      <c r="D4986" s="201">
        <v>56</v>
      </c>
      <c r="E4986" s="201">
        <v>0</v>
      </c>
      <c r="F4986">
        <v>0</v>
      </c>
      <c r="G4986">
        <v>0</v>
      </c>
      <c r="H4986">
        <v>0</v>
      </c>
      <c r="I4986">
        <v>0</v>
      </c>
      <c r="J4986">
        <v>0</v>
      </c>
      <c r="K4986" s="201">
        <v>0</v>
      </c>
    </row>
    <row r="4987" spans="1:11" x14ac:dyDescent="0.25">
      <c r="A4987"/>
      <c r="B4987" s="201">
        <v>861</v>
      </c>
      <c r="C4987">
        <v>256</v>
      </c>
      <c r="D4987" s="201">
        <v>0</v>
      </c>
      <c r="E4987" s="201">
        <v>0</v>
      </c>
      <c r="F4987">
        <v>-7900</v>
      </c>
      <c r="G4987">
        <v>-24065</v>
      </c>
      <c r="H4987">
        <v>0</v>
      </c>
      <c r="I4987">
        <v>18052</v>
      </c>
      <c r="J4987">
        <v>0</v>
      </c>
      <c r="K4987" s="201">
        <v>0</v>
      </c>
    </row>
    <row r="4988" spans="1:11" x14ac:dyDescent="0.25">
      <c r="A4988"/>
      <c r="B4988" s="201">
        <v>0</v>
      </c>
      <c r="C4988">
        <v>0</v>
      </c>
      <c r="D4988" s="201">
        <v>11028</v>
      </c>
      <c r="E4988" s="201">
        <v>8435</v>
      </c>
      <c r="F4988">
        <v>9757</v>
      </c>
      <c r="G4988">
        <v>0</v>
      </c>
      <c r="H4988">
        <v>0</v>
      </c>
      <c r="I4988">
        <v>9359</v>
      </c>
      <c r="J4988">
        <v>6561</v>
      </c>
      <c r="K4988" s="201">
        <v>0</v>
      </c>
    </row>
    <row r="4989" spans="1:11" x14ac:dyDescent="0.25">
      <c r="A4989"/>
      <c r="B4989" s="201">
        <v>6097</v>
      </c>
      <c r="C4989">
        <v>19581</v>
      </c>
      <c r="D4989" s="201">
        <v>3300</v>
      </c>
      <c r="E4989" s="201">
        <v>16361</v>
      </c>
      <c r="F4989">
        <v>7795</v>
      </c>
      <c r="G4989">
        <v>11483</v>
      </c>
      <c r="H4989">
        <v>25197</v>
      </c>
      <c r="I4989">
        <v>0</v>
      </c>
      <c r="J4989">
        <v>0</v>
      </c>
      <c r="K4989" s="201">
        <v>0</v>
      </c>
    </row>
    <row r="4990" spans="1:11" x14ac:dyDescent="0.25">
      <c r="A4990"/>
      <c r="B4990" s="201">
        <v>0</v>
      </c>
      <c r="C4990">
        <v>0</v>
      </c>
      <c r="D4990" s="201">
        <v>-2095</v>
      </c>
      <c r="E4990" s="201">
        <v>0</v>
      </c>
      <c r="F4990">
        <v>259</v>
      </c>
      <c r="G4990">
        <v>5333</v>
      </c>
      <c r="H4990">
        <v>23726</v>
      </c>
      <c r="I4990">
        <v>0</v>
      </c>
      <c r="J4990">
        <v>1287</v>
      </c>
      <c r="K4990" s="201">
        <v>-5167</v>
      </c>
    </row>
    <row r="4991" spans="1:11" x14ac:dyDescent="0.25">
      <c r="A4991"/>
      <c r="B4991" s="201">
        <v>147</v>
      </c>
      <c r="C4991">
        <v>-1163</v>
      </c>
      <c r="D4991" s="201">
        <v>536</v>
      </c>
      <c r="E4991" s="201">
        <v>0</v>
      </c>
      <c r="F4991">
        <v>-1007</v>
      </c>
      <c r="G4991">
        <v>-3964</v>
      </c>
      <c r="H4991">
        <v>-314</v>
      </c>
      <c r="I4991">
        <v>-709</v>
      </c>
      <c r="J4991">
        <v>0</v>
      </c>
      <c r="K4991" s="201">
        <v>790</v>
      </c>
    </row>
    <row r="4992" spans="1:11" x14ac:dyDescent="0.25">
      <c r="A4992"/>
      <c r="B4992" s="201">
        <v>-1898</v>
      </c>
      <c r="C4992">
        <v>0</v>
      </c>
      <c r="D4992" s="201">
        <v>0</v>
      </c>
      <c r="E4992" s="201">
        <v>0</v>
      </c>
      <c r="F4992">
        <v>265</v>
      </c>
      <c r="G4992">
        <v>95</v>
      </c>
      <c r="H4992">
        <v>0</v>
      </c>
      <c r="I4992">
        <v>38</v>
      </c>
      <c r="J4992">
        <v>-650</v>
      </c>
      <c r="K4992" s="201">
        <v>-930</v>
      </c>
    </row>
    <row r="4993" spans="1:11" x14ac:dyDescent="0.25">
      <c r="A4993"/>
      <c r="B4993" s="201">
        <v>-2367</v>
      </c>
      <c r="C4993">
        <v>0</v>
      </c>
      <c r="D4993" s="201">
        <v>0</v>
      </c>
      <c r="E4993" s="201">
        <v>0</v>
      </c>
      <c r="F4993">
        <v>0</v>
      </c>
      <c r="G4993">
        <v>0</v>
      </c>
      <c r="H4993">
        <v>66</v>
      </c>
      <c r="I4993">
        <v>0</v>
      </c>
      <c r="J4993">
        <v>-158</v>
      </c>
      <c r="K4993" s="201">
        <v>-864</v>
      </c>
    </row>
    <row r="4994" spans="1:11" x14ac:dyDescent="0.25">
      <c r="A4994"/>
      <c r="B4994" s="201">
        <v>-1743</v>
      </c>
      <c r="C4994">
        <v>0</v>
      </c>
      <c r="D4994" s="201">
        <v>975</v>
      </c>
      <c r="E4994" s="201">
        <v>-5513</v>
      </c>
      <c r="F4994">
        <v>107</v>
      </c>
      <c r="G4994">
        <v>-553</v>
      </c>
      <c r="H4994">
        <v>583</v>
      </c>
      <c r="I4994">
        <v>157</v>
      </c>
      <c r="J4994">
        <v>-1145</v>
      </c>
      <c r="K4994" s="201">
        <v>-3938</v>
      </c>
    </row>
    <row r="4995" spans="1:11" x14ac:dyDescent="0.25">
      <c r="A4995"/>
      <c r="B4995" s="201">
        <v>0</v>
      </c>
      <c r="C4995">
        <v>-340</v>
      </c>
      <c r="D4995" s="201">
        <v>0</v>
      </c>
      <c r="E4995" s="201">
        <v>0</v>
      </c>
      <c r="F4995">
        <v>-1677</v>
      </c>
      <c r="G4995">
        <v>-893</v>
      </c>
      <c r="H4995">
        <v>0</v>
      </c>
      <c r="I4995">
        <v>-406</v>
      </c>
      <c r="J4995">
        <v>0</v>
      </c>
      <c r="K4995" s="201">
        <v>0</v>
      </c>
    </row>
    <row r="4996" spans="1:11" x14ac:dyDescent="0.25">
      <c r="A4996"/>
      <c r="B4996" s="201">
        <v>224</v>
      </c>
      <c r="C4996">
        <v>0</v>
      </c>
      <c r="D4996" s="201">
        <v>-480</v>
      </c>
      <c r="E4996" s="201">
        <v>-496</v>
      </c>
      <c r="F4996">
        <v>-1550</v>
      </c>
      <c r="G4996">
        <v>0</v>
      </c>
      <c r="H4996">
        <v>0</v>
      </c>
      <c r="I4996">
        <v>0</v>
      </c>
      <c r="J4996">
        <v>0</v>
      </c>
      <c r="K4996" s="201">
        <v>0</v>
      </c>
    </row>
    <row r="4997" spans="1:11" x14ac:dyDescent="0.25">
      <c r="A4997"/>
      <c r="B4997" s="201">
        <v>231</v>
      </c>
      <c r="C4997">
        <v>0</v>
      </c>
      <c r="D4997" s="201">
        <v>31</v>
      </c>
      <c r="E4997" s="201">
        <v>-546</v>
      </c>
      <c r="F4997">
        <v>-1128</v>
      </c>
      <c r="G4997">
        <v>0</v>
      </c>
      <c r="H4997">
        <v>1716</v>
      </c>
      <c r="I4997">
        <v>-7795</v>
      </c>
      <c r="J4997">
        <v>28</v>
      </c>
      <c r="K4997" s="201">
        <v>0</v>
      </c>
    </row>
    <row r="4998" spans="1:11" x14ac:dyDescent="0.25">
      <c r="A4998"/>
      <c r="B4998" s="201">
        <v>0</v>
      </c>
      <c r="C4998">
        <v>0</v>
      </c>
      <c r="D4998" s="201">
        <v>-915</v>
      </c>
      <c r="E4998" s="201">
        <v>-3062</v>
      </c>
      <c r="F4998">
        <v>95</v>
      </c>
      <c r="G4998">
        <v>-785</v>
      </c>
      <c r="H4998">
        <v>-911</v>
      </c>
      <c r="I4998">
        <v>0</v>
      </c>
      <c r="J4998">
        <v>-1215</v>
      </c>
      <c r="K4998" s="201">
        <v>0</v>
      </c>
    </row>
    <row r="4999" spans="1:11" x14ac:dyDescent="0.25">
      <c r="A4999"/>
      <c r="B4999" s="201">
        <v>0</v>
      </c>
      <c r="C4999">
        <v>-96</v>
      </c>
      <c r="D4999" s="201">
        <v>0</v>
      </c>
      <c r="E4999" s="201">
        <v>62</v>
      </c>
      <c r="F4999">
        <v>0</v>
      </c>
      <c r="G4999">
        <v>-49</v>
      </c>
      <c r="H4999">
        <v>0</v>
      </c>
      <c r="I4999">
        <v>0</v>
      </c>
      <c r="J4999">
        <v>0</v>
      </c>
      <c r="K4999" s="201">
        <v>0</v>
      </c>
    </row>
    <row r="5000" spans="1:11" x14ac:dyDescent="0.25">
      <c r="A5000"/>
      <c r="B5000" s="201">
        <v>0</v>
      </c>
      <c r="C5000">
        <v>0</v>
      </c>
      <c r="D5000" s="201">
        <v>0</v>
      </c>
      <c r="E5000" s="201">
        <v>0</v>
      </c>
      <c r="F5000">
        <v>40</v>
      </c>
      <c r="G5000">
        <v>0</v>
      </c>
      <c r="H5000">
        <v>-156</v>
      </c>
      <c r="I5000">
        <v>-533</v>
      </c>
      <c r="J5000">
        <v>-1317</v>
      </c>
      <c r="K5000" s="201">
        <v>0</v>
      </c>
    </row>
    <row r="5001" spans="1:11" x14ac:dyDescent="0.25">
      <c r="A5001"/>
      <c r="B5001" s="201">
        <v>2456</v>
      </c>
      <c r="C5001">
        <v>1616</v>
      </c>
      <c r="D5001" s="201">
        <v>0</v>
      </c>
      <c r="E5001" s="201">
        <v>0</v>
      </c>
      <c r="F5001">
        <v>0</v>
      </c>
      <c r="G5001">
        <v>0</v>
      </c>
      <c r="H5001">
        <v>0</v>
      </c>
      <c r="I5001">
        <v>-6478</v>
      </c>
      <c r="J5001">
        <v>-1209</v>
      </c>
      <c r="K5001" s="201">
        <v>-3022</v>
      </c>
    </row>
    <row r="5002" spans="1:11" x14ac:dyDescent="0.25">
      <c r="A5002"/>
      <c r="B5002" s="201">
        <v>-2560</v>
      </c>
      <c r="C5002" s="201">
        <v>-1391</v>
      </c>
      <c r="D5002" s="201">
        <v>-5560</v>
      </c>
      <c r="E5002" s="201">
        <v>0</v>
      </c>
      <c r="F5002">
        <v>0</v>
      </c>
      <c r="G5002">
        <v>0</v>
      </c>
      <c r="H5002">
        <v>0</v>
      </c>
      <c r="I5002">
        <v>1086</v>
      </c>
      <c r="J5002">
        <v>0</v>
      </c>
      <c r="K5002" s="201">
        <v>1234</v>
      </c>
    </row>
    <row r="5003" spans="1:11" x14ac:dyDescent="0.25">
      <c r="A5003"/>
      <c r="B5003" s="201">
        <v>0</v>
      </c>
      <c r="C5003">
        <v>0</v>
      </c>
      <c r="D5003" s="201">
        <v>-1747</v>
      </c>
      <c r="E5003" s="201">
        <v>40</v>
      </c>
      <c r="F5003">
        <v>0</v>
      </c>
      <c r="G5003">
        <v>0</v>
      </c>
      <c r="H5003">
        <v>0</v>
      </c>
      <c r="I5003">
        <v>0</v>
      </c>
      <c r="J5003">
        <v>73</v>
      </c>
      <c r="K5003" s="201">
        <v>0</v>
      </c>
    </row>
    <row r="5004" spans="1:11" x14ac:dyDescent="0.25">
      <c r="B5004" s="201">
        <v>1527</v>
      </c>
      <c r="C5004">
        <v>-2007</v>
      </c>
      <c r="D5004" s="201">
        <v>-3301</v>
      </c>
      <c r="E5004" s="201">
        <v>-2944</v>
      </c>
      <c r="F5004">
        <v>-294</v>
      </c>
      <c r="G5004">
        <v>-2285</v>
      </c>
      <c r="H5004">
        <v>-921</v>
      </c>
      <c r="I5004">
        <v>1407</v>
      </c>
      <c r="J5004">
        <v>1878</v>
      </c>
      <c r="K5004" s="201">
        <v>3027</v>
      </c>
    </row>
    <row r="5005" spans="1:11" x14ac:dyDescent="0.25">
      <c r="A5005"/>
      <c r="B5005" s="201">
        <v>0</v>
      </c>
      <c r="C5005">
        <v>0</v>
      </c>
      <c r="D5005" s="201">
        <v>0</v>
      </c>
      <c r="E5005" s="201">
        <v>0</v>
      </c>
      <c r="F5005">
        <v>0</v>
      </c>
      <c r="G5005">
        <v>0</v>
      </c>
      <c r="H5005">
        <v>0</v>
      </c>
      <c r="I5005">
        <v>451</v>
      </c>
      <c r="J5005">
        <v>-3356</v>
      </c>
      <c r="K5005" s="201">
        <v>-7529</v>
      </c>
    </row>
    <row r="5006" spans="1:11" x14ac:dyDescent="0.25">
      <c r="A5006"/>
      <c r="B5006" s="201">
        <v>-1865</v>
      </c>
      <c r="C5006">
        <v>-5651</v>
      </c>
      <c r="D5006" s="201">
        <v>780</v>
      </c>
      <c r="E5006" s="201">
        <v>0</v>
      </c>
      <c r="F5006">
        <v>0</v>
      </c>
      <c r="G5006">
        <v>-351</v>
      </c>
      <c r="H5006">
        <v>0</v>
      </c>
      <c r="I5006">
        <v>-1184</v>
      </c>
      <c r="J5006">
        <v>529</v>
      </c>
      <c r="K5006" s="201">
        <v>0</v>
      </c>
    </row>
    <row r="5007" spans="1:11" x14ac:dyDescent="0.25">
      <c r="A5007"/>
      <c r="B5007" s="201">
        <v>0</v>
      </c>
      <c r="C5007">
        <v>0</v>
      </c>
      <c r="D5007" s="201">
        <v>0</v>
      </c>
      <c r="E5007" s="201">
        <v>-532</v>
      </c>
      <c r="F5007">
        <v>0</v>
      </c>
      <c r="G5007">
        <v>2962</v>
      </c>
      <c r="H5007">
        <v>6847</v>
      </c>
      <c r="I5007">
        <v>0</v>
      </c>
      <c r="J5007">
        <v>0</v>
      </c>
      <c r="K5007" s="201">
        <v>0</v>
      </c>
    </row>
    <row r="5008" spans="1:11" x14ac:dyDescent="0.25">
      <c r="A5008"/>
      <c r="B5008" s="201">
        <v>0</v>
      </c>
      <c r="C5008">
        <v>0</v>
      </c>
      <c r="D5008" s="201">
        <v>0</v>
      </c>
      <c r="E5008" s="201">
        <v>0</v>
      </c>
      <c r="F5008">
        <v>0</v>
      </c>
      <c r="G5008">
        <v>0</v>
      </c>
      <c r="H5008">
        <v>0</v>
      </c>
      <c r="I5008">
        <v>0</v>
      </c>
      <c r="J5008">
        <v>0</v>
      </c>
      <c r="K5008" s="201">
        <v>0</v>
      </c>
    </row>
    <row r="5009" spans="1:11" x14ac:dyDescent="0.25">
      <c r="A5009"/>
      <c r="B5009" s="201">
        <v>0</v>
      </c>
      <c r="C5009">
        <v>0</v>
      </c>
      <c r="D5009" s="201">
        <v>437</v>
      </c>
      <c r="E5009" s="201">
        <v>0</v>
      </c>
      <c r="F5009">
        <v>0</v>
      </c>
      <c r="G5009">
        <v>0</v>
      </c>
      <c r="H5009">
        <v>0</v>
      </c>
      <c r="I5009">
        <v>0</v>
      </c>
      <c r="J5009">
        <v>-1060</v>
      </c>
      <c r="K5009" s="201">
        <v>3748</v>
      </c>
    </row>
    <row r="5010" spans="1:11" x14ac:dyDescent="0.25">
      <c r="A5010"/>
      <c r="B5010" s="201">
        <v>4123</v>
      </c>
      <c r="C5010">
        <v>52235</v>
      </c>
      <c r="D5010" s="201">
        <v>21612</v>
      </c>
      <c r="E5010" s="201">
        <v>22580</v>
      </c>
      <c r="F5010">
        <v>21140</v>
      </c>
      <c r="G5010">
        <v>-75</v>
      </c>
      <c r="H5010">
        <v>340</v>
      </c>
      <c r="I5010">
        <v>-913</v>
      </c>
      <c r="J5010">
        <v>5425</v>
      </c>
      <c r="K5010" s="201">
        <v>3358</v>
      </c>
    </row>
    <row r="5011" spans="1:11" x14ac:dyDescent="0.25">
      <c r="A5011"/>
      <c r="B5011" s="201">
        <v>44987</v>
      </c>
      <c r="C5011">
        <v>15987</v>
      </c>
      <c r="D5011" s="201">
        <v>15998</v>
      </c>
      <c r="E5011" s="201">
        <v>14659</v>
      </c>
      <c r="F5011">
        <v>1193</v>
      </c>
      <c r="G5011">
        <v>0</v>
      </c>
      <c r="H5011">
        <v>-610</v>
      </c>
      <c r="I5011">
        <v>-2288</v>
      </c>
      <c r="J5011">
        <v>295</v>
      </c>
      <c r="K5011" s="201">
        <v>192</v>
      </c>
    </row>
    <row r="5012" spans="1:11" x14ac:dyDescent="0.25">
      <c r="A5012"/>
      <c r="B5012" s="201">
        <v>509</v>
      </c>
      <c r="C5012">
        <v>0</v>
      </c>
      <c r="D5012" s="201">
        <v>0</v>
      </c>
      <c r="E5012" s="201">
        <v>141</v>
      </c>
      <c r="F5012">
        <v>0</v>
      </c>
      <c r="G5012">
        <v>0</v>
      </c>
      <c r="H5012">
        <v>0</v>
      </c>
      <c r="I5012">
        <v>443</v>
      </c>
      <c r="J5012">
        <v>-1152</v>
      </c>
      <c r="K5012" s="201">
        <v>0</v>
      </c>
    </row>
    <row r="5013" spans="1:11" x14ac:dyDescent="0.25">
      <c r="A5013"/>
      <c r="B5013" s="201">
        <v>0</v>
      </c>
      <c r="C5013">
        <v>0</v>
      </c>
      <c r="D5013" s="201">
        <v>0</v>
      </c>
      <c r="E5013" s="201">
        <v>0</v>
      </c>
      <c r="F5013">
        <v>0</v>
      </c>
      <c r="G5013">
        <v>921</v>
      </c>
      <c r="H5013">
        <v>0</v>
      </c>
      <c r="I5013">
        <v>0</v>
      </c>
      <c r="J5013">
        <v>-51</v>
      </c>
      <c r="K5013" s="201">
        <v>0</v>
      </c>
    </row>
    <row r="5014" spans="1:11" x14ac:dyDescent="0.25">
      <c r="A5014"/>
      <c r="B5014" s="201">
        <v>32</v>
      </c>
      <c r="C5014">
        <v>0</v>
      </c>
      <c r="D5014" s="201">
        <v>469</v>
      </c>
      <c r="E5014" s="201">
        <v>-682</v>
      </c>
      <c r="F5014">
        <v>-191</v>
      </c>
      <c r="G5014">
        <v>0</v>
      </c>
      <c r="H5014">
        <v>-914</v>
      </c>
      <c r="I5014">
        <v>-2227</v>
      </c>
      <c r="J5014">
        <v>457</v>
      </c>
      <c r="K5014" s="201">
        <v>473</v>
      </c>
    </row>
    <row r="5015" spans="1:11" x14ac:dyDescent="0.25">
      <c r="A5015"/>
      <c r="B5015" s="201">
        <v>568</v>
      </c>
      <c r="C5015">
        <v>287</v>
      </c>
      <c r="D5015" s="201">
        <v>0</v>
      </c>
      <c r="E5015" s="201">
        <v>-7</v>
      </c>
      <c r="F5015">
        <v>0</v>
      </c>
      <c r="G5015">
        <v>0</v>
      </c>
      <c r="H5015">
        <v>0</v>
      </c>
      <c r="I5015">
        <v>0</v>
      </c>
      <c r="J5015">
        <v>0</v>
      </c>
      <c r="K5015" s="201">
        <v>-487</v>
      </c>
    </row>
    <row r="5016" spans="1:11" x14ac:dyDescent="0.25">
      <c r="A5016"/>
      <c r="B5016" s="201">
        <v>0</v>
      </c>
      <c r="C5016">
        <v>0</v>
      </c>
      <c r="D5016" s="201">
        <v>0</v>
      </c>
      <c r="E5016" s="201">
        <v>-66</v>
      </c>
      <c r="F5016">
        <v>0</v>
      </c>
      <c r="G5016">
        <v>76</v>
      </c>
      <c r="H5016">
        <v>0</v>
      </c>
      <c r="I5016">
        <v>0</v>
      </c>
      <c r="J5016">
        <v>0</v>
      </c>
      <c r="K5016" s="201">
        <v>0</v>
      </c>
    </row>
    <row r="5017" spans="1:11" x14ac:dyDescent="0.25">
      <c r="A5017"/>
      <c r="B5017" s="201">
        <v>0</v>
      </c>
      <c r="C5017">
        <v>132</v>
      </c>
      <c r="D5017" s="201">
        <v>0</v>
      </c>
      <c r="E5017" s="201">
        <v>233</v>
      </c>
      <c r="F5017">
        <v>-174</v>
      </c>
      <c r="G5017">
        <v>0</v>
      </c>
      <c r="H5017">
        <v>0</v>
      </c>
      <c r="I5017">
        <v>-6751</v>
      </c>
      <c r="J5017">
        <v>-5923</v>
      </c>
      <c r="K5017" s="201">
        <v>0</v>
      </c>
    </row>
    <row r="5018" spans="1:11" x14ac:dyDescent="0.25">
      <c r="B5018" s="201">
        <v>-2313</v>
      </c>
      <c r="C5018">
        <v>0</v>
      </c>
      <c r="D5018" s="201">
        <v>0</v>
      </c>
      <c r="E5018" s="201">
        <v>0</v>
      </c>
      <c r="F5018">
        <v>0</v>
      </c>
      <c r="G5018">
        <v>1165</v>
      </c>
      <c r="H5018">
        <v>793</v>
      </c>
      <c r="I5018">
        <v>322</v>
      </c>
      <c r="J5018">
        <v>0</v>
      </c>
      <c r="K5018" s="201">
        <v>0</v>
      </c>
    </row>
    <row r="5019" spans="1:11" x14ac:dyDescent="0.25">
      <c r="B5019" s="201">
        <v>-224</v>
      </c>
      <c r="C5019">
        <v>287</v>
      </c>
      <c r="D5019" s="201">
        <v>0</v>
      </c>
      <c r="E5019" s="201">
        <v>1151</v>
      </c>
      <c r="F5019">
        <v>1641</v>
      </c>
      <c r="G5019">
        <v>-117</v>
      </c>
      <c r="H5019">
        <v>1575</v>
      </c>
      <c r="I5019">
        <v>679</v>
      </c>
      <c r="J5019">
        <v>713</v>
      </c>
      <c r="K5019" s="201">
        <v>-760</v>
      </c>
    </row>
    <row r="5020" spans="1:11" x14ac:dyDescent="0.25">
      <c r="A5020"/>
      <c r="B5020" s="201">
        <v>0</v>
      </c>
      <c r="C5020">
        <v>0</v>
      </c>
      <c r="D5020" s="201">
        <v>0</v>
      </c>
      <c r="E5020" s="201">
        <v>0</v>
      </c>
      <c r="F5020">
        <v>0</v>
      </c>
      <c r="G5020">
        <v>3027</v>
      </c>
      <c r="H5020">
        <v>0</v>
      </c>
      <c r="I5020">
        <v>-1138</v>
      </c>
      <c r="J5020">
        <v>5019</v>
      </c>
      <c r="K5020" s="201">
        <v>1413</v>
      </c>
    </row>
    <row r="5021" spans="1:11" x14ac:dyDescent="0.25">
      <c r="A5021"/>
      <c r="B5021" s="201">
        <v>0</v>
      </c>
      <c r="C5021">
        <v>1684</v>
      </c>
      <c r="D5021" s="201">
        <v>-12708</v>
      </c>
      <c r="E5021" s="201">
        <v>-2204</v>
      </c>
      <c r="F5021">
        <v>1288</v>
      </c>
      <c r="G5021">
        <v>-1299</v>
      </c>
      <c r="H5021">
        <v>0</v>
      </c>
      <c r="I5021">
        <v>-1625</v>
      </c>
      <c r="J5021">
        <v>-1453</v>
      </c>
      <c r="K5021" s="201">
        <v>-2744</v>
      </c>
    </row>
    <row r="5022" spans="1:11" x14ac:dyDescent="0.25">
      <c r="A5022"/>
      <c r="B5022" s="201">
        <v>249</v>
      </c>
      <c r="C5022">
        <v>0</v>
      </c>
      <c r="D5022" s="201">
        <v>188</v>
      </c>
      <c r="E5022" s="201">
        <v>-178</v>
      </c>
      <c r="F5022">
        <v>0</v>
      </c>
      <c r="G5022">
        <v>0</v>
      </c>
      <c r="H5022">
        <v>0</v>
      </c>
      <c r="I5022">
        <v>-2397</v>
      </c>
      <c r="J5022">
        <v>-10502</v>
      </c>
      <c r="K5022" s="201">
        <v>0</v>
      </c>
    </row>
    <row r="5023" spans="1:11" x14ac:dyDescent="0.25">
      <c r="A5023"/>
      <c r="B5023" s="201">
        <v>-6103</v>
      </c>
      <c r="C5023">
        <v>-454</v>
      </c>
      <c r="D5023" s="201">
        <v>548</v>
      </c>
      <c r="E5023" s="201">
        <v>1568</v>
      </c>
      <c r="F5023">
        <v>0</v>
      </c>
      <c r="G5023">
        <v>0</v>
      </c>
      <c r="H5023">
        <v>0</v>
      </c>
      <c r="I5023">
        <v>0</v>
      </c>
      <c r="J5023">
        <v>0</v>
      </c>
      <c r="K5023" s="201">
        <v>-628</v>
      </c>
    </row>
    <row r="5024" spans="1:11" x14ac:dyDescent="0.25">
      <c r="A5024"/>
      <c r="B5024" s="201">
        <v>0</v>
      </c>
      <c r="C5024">
        <v>-1310</v>
      </c>
      <c r="D5024" s="201">
        <v>-11</v>
      </c>
      <c r="E5024" s="201">
        <v>699</v>
      </c>
      <c r="F5024">
        <v>0</v>
      </c>
      <c r="G5024">
        <v>800</v>
      </c>
      <c r="H5024">
        <v>-6510</v>
      </c>
      <c r="I5024">
        <v>754</v>
      </c>
      <c r="J5024">
        <v>254</v>
      </c>
      <c r="K5024" s="201">
        <v>1482</v>
      </c>
    </row>
    <row r="5025" spans="1:11" x14ac:dyDescent="0.25">
      <c r="A5025"/>
      <c r="B5025" s="201">
        <v>-13</v>
      </c>
      <c r="C5025">
        <v>-241</v>
      </c>
      <c r="D5025" s="201">
        <v>-740</v>
      </c>
      <c r="E5025" s="201">
        <v>0</v>
      </c>
      <c r="F5025">
        <v>-75</v>
      </c>
      <c r="G5025">
        <v>0</v>
      </c>
      <c r="H5025">
        <v>0</v>
      </c>
      <c r="I5025">
        <v>-957</v>
      </c>
      <c r="J5025">
        <v>-77</v>
      </c>
      <c r="K5025" s="201">
        <v>0</v>
      </c>
    </row>
    <row r="5026" spans="1:11" x14ac:dyDescent="0.25">
      <c r="B5026" s="201">
        <v>-110</v>
      </c>
      <c r="C5026">
        <v>0</v>
      </c>
      <c r="D5026" s="201">
        <v>0</v>
      </c>
      <c r="E5026" s="201">
        <v>-77</v>
      </c>
      <c r="F5026">
        <v>0</v>
      </c>
      <c r="G5026">
        <v>-250</v>
      </c>
      <c r="H5026">
        <v>-116</v>
      </c>
      <c r="I5026">
        <v>-419</v>
      </c>
      <c r="J5026">
        <v>0</v>
      </c>
      <c r="K5026" s="201">
        <v>0</v>
      </c>
    </row>
    <row r="5027" spans="1:11" x14ac:dyDescent="0.25">
      <c r="A5027"/>
      <c r="B5027" s="201">
        <v>0</v>
      </c>
      <c r="C5027">
        <v>0</v>
      </c>
      <c r="D5027" s="201">
        <v>0</v>
      </c>
      <c r="E5027" s="201">
        <v>-7</v>
      </c>
      <c r="F5027">
        <v>0</v>
      </c>
      <c r="G5027">
        <v>-266</v>
      </c>
      <c r="H5027">
        <v>-803</v>
      </c>
      <c r="I5027">
        <v>-101</v>
      </c>
      <c r="J5027">
        <v>0</v>
      </c>
      <c r="K5027" s="201">
        <v>1482</v>
      </c>
    </row>
    <row r="5028" spans="1:11" x14ac:dyDescent="0.25">
      <c r="A5028"/>
      <c r="B5028" s="201">
        <v>-10594</v>
      </c>
      <c r="C5028">
        <v>78</v>
      </c>
      <c r="D5028" s="201">
        <v>0</v>
      </c>
      <c r="E5028" s="201">
        <v>0</v>
      </c>
      <c r="F5028">
        <v>0</v>
      </c>
      <c r="G5028">
        <v>-328</v>
      </c>
      <c r="H5028">
        <v>-633</v>
      </c>
      <c r="I5028">
        <v>-87</v>
      </c>
      <c r="J5028">
        <v>21</v>
      </c>
      <c r="K5028" s="201">
        <v>94</v>
      </c>
    </row>
    <row r="5029" spans="1:11" x14ac:dyDescent="0.25">
      <c r="A5029"/>
      <c r="B5029" s="201">
        <v>0</v>
      </c>
      <c r="C5029">
        <v>-415</v>
      </c>
      <c r="D5029" s="201">
        <v>0</v>
      </c>
      <c r="E5029" s="201">
        <v>0</v>
      </c>
      <c r="F5029">
        <v>161</v>
      </c>
      <c r="G5029">
        <v>0</v>
      </c>
      <c r="H5029">
        <v>-11</v>
      </c>
      <c r="I5029">
        <v>0</v>
      </c>
      <c r="J5029">
        <v>-187</v>
      </c>
      <c r="K5029" s="201">
        <v>0</v>
      </c>
    </row>
    <row r="5030" spans="1:11" x14ac:dyDescent="0.25">
      <c r="A5030"/>
      <c r="B5030" s="201">
        <v>0</v>
      </c>
      <c r="C5030">
        <v>0</v>
      </c>
      <c r="D5030" s="201">
        <v>0</v>
      </c>
      <c r="E5030" s="201">
        <v>0</v>
      </c>
      <c r="F5030">
        <v>0</v>
      </c>
      <c r="G5030">
        <v>0</v>
      </c>
      <c r="H5030">
        <v>0</v>
      </c>
      <c r="I5030">
        <v>-114</v>
      </c>
      <c r="J5030">
        <v>0</v>
      </c>
      <c r="K5030" s="201">
        <v>-172</v>
      </c>
    </row>
    <row r="5031" spans="1:11" x14ac:dyDescent="0.25">
      <c r="B5031" s="201">
        <v>-540</v>
      </c>
      <c r="C5031">
        <v>-5</v>
      </c>
      <c r="D5031" s="201">
        <v>0</v>
      </c>
      <c r="E5031" s="201">
        <v>2834</v>
      </c>
      <c r="F5031">
        <v>1930</v>
      </c>
      <c r="G5031">
        <v>0</v>
      </c>
      <c r="H5031">
        <v>0</v>
      </c>
      <c r="I5031">
        <v>0</v>
      </c>
      <c r="J5031">
        <v>0</v>
      </c>
      <c r="K5031" s="201">
        <v>0</v>
      </c>
    </row>
    <row r="5032" spans="1:11" x14ac:dyDescent="0.25">
      <c r="A5032"/>
      <c r="B5032" s="201">
        <v>-3794</v>
      </c>
      <c r="C5032">
        <v>-1928</v>
      </c>
      <c r="D5032" s="201">
        <v>-3648</v>
      </c>
      <c r="E5032" s="201">
        <v>-2909</v>
      </c>
      <c r="F5032">
        <v>-1782</v>
      </c>
      <c r="G5032">
        <v>-6100</v>
      </c>
      <c r="H5032">
        <v>0</v>
      </c>
      <c r="I5032">
        <v>0</v>
      </c>
      <c r="J5032">
        <v>0</v>
      </c>
      <c r="K5032" s="201">
        <v>0</v>
      </c>
    </row>
    <row r="5033" spans="1:11" x14ac:dyDescent="0.25">
      <c r="B5033" s="201">
        <v>-679</v>
      </c>
      <c r="C5033">
        <v>0</v>
      </c>
      <c r="D5033" s="201">
        <v>25</v>
      </c>
      <c r="E5033" s="201">
        <v>0</v>
      </c>
      <c r="F5033">
        <v>0</v>
      </c>
      <c r="G5033">
        <v>-1473</v>
      </c>
      <c r="H5033">
        <v>1018</v>
      </c>
      <c r="I5033">
        <v>0</v>
      </c>
      <c r="J5033">
        <v>0</v>
      </c>
      <c r="K5033" s="201">
        <v>0</v>
      </c>
    </row>
    <row r="5034" spans="1:11" x14ac:dyDescent="0.25">
      <c r="A5034"/>
      <c r="B5034" s="201">
        <v>0</v>
      </c>
      <c r="C5034">
        <v>29</v>
      </c>
      <c r="D5034" s="201">
        <v>0</v>
      </c>
      <c r="E5034" s="201">
        <v>1549</v>
      </c>
      <c r="F5034">
        <v>-2730</v>
      </c>
      <c r="G5034">
        <v>-3269</v>
      </c>
      <c r="H5034">
        <v>-4802</v>
      </c>
      <c r="I5034">
        <v>-1731</v>
      </c>
      <c r="J5034">
        <v>-2860</v>
      </c>
      <c r="K5034" s="201">
        <v>-2385</v>
      </c>
    </row>
    <row r="5035" spans="1:11" x14ac:dyDescent="0.25">
      <c r="A5035"/>
      <c r="B5035" s="201">
        <v>-382</v>
      </c>
      <c r="C5035">
        <v>-66</v>
      </c>
      <c r="D5035" s="201">
        <v>47</v>
      </c>
      <c r="E5035" s="201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 s="201">
        <v>0</v>
      </c>
    </row>
    <row r="5036" spans="1:11" x14ac:dyDescent="0.25">
      <c r="B5036" s="201">
        <v>-276</v>
      </c>
      <c r="C5036">
        <v>1399</v>
      </c>
      <c r="D5036" s="201">
        <v>2279</v>
      </c>
      <c r="E5036" s="201">
        <v>143</v>
      </c>
      <c r="F5036">
        <v>1773</v>
      </c>
      <c r="G5036">
        <v>1601</v>
      </c>
      <c r="H5036">
        <v>0</v>
      </c>
      <c r="I5036">
        <v>0</v>
      </c>
      <c r="J5036">
        <v>-1824</v>
      </c>
      <c r="K5036" s="201">
        <v>0</v>
      </c>
    </row>
    <row r="5037" spans="1:11" x14ac:dyDescent="0.25">
      <c r="A5037"/>
      <c r="B5037" s="201">
        <v>338</v>
      </c>
      <c r="C5037">
        <v>-1768</v>
      </c>
      <c r="D5037" s="201">
        <v>0</v>
      </c>
      <c r="E5037" s="201">
        <v>0</v>
      </c>
      <c r="F5037">
        <v>0</v>
      </c>
      <c r="G5037">
        <v>0</v>
      </c>
      <c r="H5037">
        <v>-2167</v>
      </c>
      <c r="I5037">
        <v>0</v>
      </c>
      <c r="J5037">
        <v>540</v>
      </c>
      <c r="K5037" s="201">
        <v>1474</v>
      </c>
    </row>
    <row r="5038" spans="1:11" x14ac:dyDescent="0.25">
      <c r="A5038"/>
      <c r="B5038" s="201">
        <v>0</v>
      </c>
      <c r="C5038">
        <v>0</v>
      </c>
      <c r="D5038" s="201">
        <v>0</v>
      </c>
      <c r="E5038" s="201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 s="201">
        <v>0</v>
      </c>
    </row>
    <row r="5039" spans="1:11" x14ac:dyDescent="0.25">
      <c r="A5039"/>
      <c r="B5039" s="201">
        <v>0</v>
      </c>
      <c r="C5039">
        <v>0</v>
      </c>
      <c r="D5039" s="201">
        <v>0</v>
      </c>
      <c r="E5039" s="201">
        <v>0</v>
      </c>
      <c r="F5039">
        <v>0</v>
      </c>
      <c r="G5039">
        <v>-1168</v>
      </c>
      <c r="H5039">
        <v>0</v>
      </c>
      <c r="I5039">
        <v>0</v>
      </c>
      <c r="J5039">
        <v>0</v>
      </c>
      <c r="K5039" s="201">
        <v>0</v>
      </c>
    </row>
    <row r="5040" spans="1:11" x14ac:dyDescent="0.25">
      <c r="A5040"/>
      <c r="B5040" s="201">
        <v>0</v>
      </c>
      <c r="C5040">
        <v>-96</v>
      </c>
      <c r="D5040" s="201">
        <v>4074</v>
      </c>
      <c r="E5040" s="201">
        <v>4229</v>
      </c>
      <c r="F5040">
        <v>21850</v>
      </c>
      <c r="G5040">
        <v>47383</v>
      </c>
      <c r="H5040">
        <v>25016</v>
      </c>
      <c r="I5040">
        <v>25931</v>
      </c>
      <c r="J5040">
        <v>-1144</v>
      </c>
      <c r="K5040" s="201">
        <v>-366</v>
      </c>
    </row>
    <row r="5041" spans="1:11" x14ac:dyDescent="0.25">
      <c r="B5041" s="201">
        <v>-287</v>
      </c>
      <c r="C5041">
        <v>5902</v>
      </c>
      <c r="D5041" s="201">
        <v>3896</v>
      </c>
      <c r="E5041" s="201">
        <v>17169</v>
      </c>
      <c r="F5041">
        <v>35731</v>
      </c>
      <c r="G5041">
        <v>18146</v>
      </c>
      <c r="H5041">
        <v>18393</v>
      </c>
      <c r="I5041">
        <v>-118</v>
      </c>
      <c r="J5041">
        <v>0</v>
      </c>
      <c r="K5041" s="201">
        <v>23413</v>
      </c>
    </row>
    <row r="5042" spans="1:11" x14ac:dyDescent="0.25">
      <c r="A5042"/>
      <c r="B5042" s="201">
        <v>-614</v>
      </c>
      <c r="C5042">
        <v>-2318</v>
      </c>
      <c r="D5042" s="201">
        <v>119</v>
      </c>
      <c r="E5042" s="201">
        <v>34</v>
      </c>
      <c r="F5042">
        <v>208</v>
      </c>
      <c r="G5042">
        <v>0</v>
      </c>
      <c r="H5042">
        <v>0</v>
      </c>
      <c r="I5042">
        <v>108</v>
      </c>
      <c r="J5042">
        <v>0</v>
      </c>
      <c r="K5042" s="201">
        <v>0</v>
      </c>
    </row>
    <row r="5043" spans="1:11" x14ac:dyDescent="0.25">
      <c r="A5043"/>
      <c r="B5043" s="201">
        <v>0</v>
      </c>
      <c r="C5043">
        <v>408</v>
      </c>
      <c r="D5043" s="201">
        <v>-490</v>
      </c>
      <c r="E5043" s="201">
        <v>0</v>
      </c>
      <c r="F5043">
        <v>0</v>
      </c>
      <c r="G5043">
        <v>0</v>
      </c>
      <c r="H5043">
        <v>0</v>
      </c>
      <c r="I5043">
        <v>0</v>
      </c>
      <c r="J5043">
        <v>0</v>
      </c>
      <c r="K5043" s="201">
        <v>858</v>
      </c>
    </row>
    <row r="5044" spans="1:11" x14ac:dyDescent="0.25">
      <c r="A5044"/>
      <c r="B5044" s="201">
        <v>0</v>
      </c>
      <c r="C5044">
        <v>0</v>
      </c>
      <c r="D5044" s="201">
        <v>-26</v>
      </c>
      <c r="E5044" s="201">
        <v>0</v>
      </c>
      <c r="F5044">
        <v>55</v>
      </c>
      <c r="G5044">
        <v>0</v>
      </c>
      <c r="H5044">
        <v>520</v>
      </c>
      <c r="I5044">
        <v>-677</v>
      </c>
      <c r="J5044">
        <v>-238</v>
      </c>
      <c r="K5044" s="201">
        <v>0</v>
      </c>
    </row>
    <row r="5045" spans="1:11" x14ac:dyDescent="0.25">
      <c r="B5045" s="201">
        <v>-729</v>
      </c>
      <c r="C5045">
        <v>-2357</v>
      </c>
      <c r="D5045" s="201">
        <v>296</v>
      </c>
      <c r="E5045" s="201">
        <v>133</v>
      </c>
      <c r="F5045">
        <v>235</v>
      </c>
      <c r="G5045">
        <v>310</v>
      </c>
      <c r="H5045">
        <v>0</v>
      </c>
      <c r="I5045">
        <v>-21</v>
      </c>
      <c r="J5045">
        <v>0</v>
      </c>
      <c r="K5045" s="201">
        <v>0</v>
      </c>
    </row>
    <row r="5046" spans="1:11" x14ac:dyDescent="0.25">
      <c r="A5046"/>
      <c r="B5046" s="201">
        <v>0</v>
      </c>
      <c r="C5046">
        <v>0</v>
      </c>
      <c r="D5046" s="201">
        <v>0</v>
      </c>
      <c r="E5046" s="201">
        <v>-188</v>
      </c>
      <c r="F5046">
        <v>0</v>
      </c>
      <c r="G5046">
        <v>0</v>
      </c>
      <c r="H5046">
        <v>0</v>
      </c>
      <c r="I5046">
        <v>-65</v>
      </c>
      <c r="J5046">
        <v>0</v>
      </c>
      <c r="K5046" s="201">
        <v>77</v>
      </c>
    </row>
    <row r="5047" spans="1:11" x14ac:dyDescent="0.25">
      <c r="A5047"/>
      <c r="B5047" s="201">
        <v>0</v>
      </c>
      <c r="C5047">
        <v>0</v>
      </c>
      <c r="D5047" s="201">
        <v>0</v>
      </c>
      <c r="E5047" s="201">
        <v>0</v>
      </c>
      <c r="F5047">
        <v>0</v>
      </c>
      <c r="G5047">
        <v>104</v>
      </c>
      <c r="H5047">
        <v>0</v>
      </c>
      <c r="I5047">
        <v>204</v>
      </c>
      <c r="J5047">
        <v>-85</v>
      </c>
      <c r="K5047" s="201">
        <v>0</v>
      </c>
    </row>
    <row r="5048" spans="1:11" x14ac:dyDescent="0.25">
      <c r="A5048"/>
      <c r="B5048" s="201">
        <v>0</v>
      </c>
      <c r="C5048">
        <v>-6196</v>
      </c>
      <c r="D5048" s="201">
        <v>-6178</v>
      </c>
      <c r="E5048" s="201">
        <v>0</v>
      </c>
      <c r="F5048">
        <v>-188</v>
      </c>
      <c r="G5048">
        <v>0</v>
      </c>
      <c r="H5048">
        <v>0</v>
      </c>
      <c r="I5048">
        <v>0</v>
      </c>
      <c r="J5048">
        <v>0</v>
      </c>
      <c r="K5048" s="201">
        <v>-134</v>
      </c>
    </row>
    <row r="5049" spans="1:11" x14ac:dyDescent="0.25">
      <c r="A5049"/>
      <c r="B5049" s="201">
        <v>838</v>
      </c>
      <c r="C5049">
        <v>133</v>
      </c>
      <c r="D5049" s="201">
        <v>0</v>
      </c>
      <c r="E5049" s="201">
        <v>0</v>
      </c>
      <c r="F5049">
        <v>-1315</v>
      </c>
      <c r="G5049">
        <v>510</v>
      </c>
      <c r="H5049">
        <v>0</v>
      </c>
      <c r="I5049">
        <v>305</v>
      </c>
      <c r="J5049">
        <v>503</v>
      </c>
      <c r="K5049" s="201">
        <v>145</v>
      </c>
    </row>
    <row r="5050" spans="1:11" x14ac:dyDescent="0.25">
      <c r="A5050"/>
      <c r="B5050" s="201">
        <v>393</v>
      </c>
      <c r="C5050">
        <v>509</v>
      </c>
      <c r="D5050" s="201">
        <v>915</v>
      </c>
      <c r="E5050" s="201">
        <v>-933</v>
      </c>
      <c r="F5050">
        <v>0</v>
      </c>
      <c r="G5050">
        <v>0</v>
      </c>
      <c r="H5050">
        <v>0</v>
      </c>
      <c r="I5050">
        <v>0</v>
      </c>
      <c r="J5050">
        <v>0</v>
      </c>
      <c r="K5050" s="201">
        <v>2850</v>
      </c>
    </row>
    <row r="5051" spans="1:11" x14ac:dyDescent="0.25">
      <c r="A5051"/>
      <c r="B5051" s="201">
        <v>0</v>
      </c>
      <c r="C5051">
        <v>-1143</v>
      </c>
      <c r="D5051" s="201">
        <v>4907</v>
      </c>
      <c r="E5051" s="201">
        <v>1442</v>
      </c>
      <c r="F5051">
        <v>0</v>
      </c>
      <c r="G5051">
        <v>1155</v>
      </c>
      <c r="H5051">
        <v>-6634</v>
      </c>
      <c r="I5051">
        <v>755</v>
      </c>
      <c r="J5051">
        <v>-308</v>
      </c>
      <c r="K5051" s="201">
        <v>1774</v>
      </c>
    </row>
    <row r="5052" spans="1:11" x14ac:dyDescent="0.25">
      <c r="A5052"/>
      <c r="B5052" s="201">
        <v>0</v>
      </c>
      <c r="C5052">
        <v>-606</v>
      </c>
      <c r="D5052" s="201">
        <v>-1158</v>
      </c>
      <c r="E5052" s="201">
        <v>-3</v>
      </c>
      <c r="F5052">
        <v>-213</v>
      </c>
      <c r="G5052">
        <v>0</v>
      </c>
      <c r="H5052">
        <v>323</v>
      </c>
      <c r="I5052">
        <v>-1023</v>
      </c>
      <c r="J5052">
        <v>0</v>
      </c>
      <c r="K5052" s="201">
        <v>0</v>
      </c>
    </row>
    <row r="5053" spans="1:11" x14ac:dyDescent="0.25">
      <c r="A5053"/>
      <c r="B5053" s="201">
        <v>0</v>
      </c>
      <c r="C5053">
        <v>-206</v>
      </c>
      <c r="D5053" s="201">
        <v>-156</v>
      </c>
      <c r="E5053" s="201">
        <v>0</v>
      </c>
      <c r="F5053">
        <v>-26</v>
      </c>
      <c r="G5053">
        <v>-331</v>
      </c>
      <c r="H5053">
        <v>-125</v>
      </c>
      <c r="I5053">
        <v>-821</v>
      </c>
      <c r="J5053">
        <v>0</v>
      </c>
      <c r="K5053" s="201">
        <v>0</v>
      </c>
    </row>
    <row r="5054" spans="1:11" x14ac:dyDescent="0.25">
      <c r="A5054"/>
      <c r="B5054" s="201">
        <v>0</v>
      </c>
      <c r="C5054">
        <v>0</v>
      </c>
      <c r="D5054" s="201">
        <v>0</v>
      </c>
      <c r="E5054" s="201">
        <v>15</v>
      </c>
      <c r="F5054">
        <v>0</v>
      </c>
      <c r="G5054">
        <v>-265</v>
      </c>
      <c r="H5054">
        <v>-1060</v>
      </c>
      <c r="I5054">
        <v>-347</v>
      </c>
      <c r="J5054">
        <v>0</v>
      </c>
      <c r="K5054" s="201">
        <v>376</v>
      </c>
    </row>
    <row r="5055" spans="1:11" x14ac:dyDescent="0.25">
      <c r="A5055"/>
      <c r="B5055" s="201">
        <v>-13775</v>
      </c>
      <c r="C5055">
        <v>-3815</v>
      </c>
      <c r="D5055" s="201">
        <v>3040</v>
      </c>
      <c r="E5055" s="201">
        <v>-3488</v>
      </c>
      <c r="F5055">
        <v>-1506</v>
      </c>
      <c r="G5055">
        <v>-337</v>
      </c>
      <c r="H5055">
        <v>207</v>
      </c>
      <c r="I5055">
        <v>0</v>
      </c>
      <c r="J5055">
        <v>644</v>
      </c>
      <c r="K5055" s="201">
        <v>0</v>
      </c>
    </row>
    <row r="5056" spans="1:11" x14ac:dyDescent="0.25">
      <c r="A5056"/>
      <c r="B5056" s="201">
        <v>0</v>
      </c>
      <c r="C5056">
        <v>-115</v>
      </c>
      <c r="D5056" s="201">
        <v>907</v>
      </c>
      <c r="E5056" s="201">
        <v>0</v>
      </c>
      <c r="F5056">
        <v>5278</v>
      </c>
      <c r="G5056">
        <v>0</v>
      </c>
      <c r="H5056">
        <v>0</v>
      </c>
      <c r="I5056">
        <v>-255</v>
      </c>
      <c r="J5056">
        <v>0</v>
      </c>
      <c r="K5056" s="201">
        <v>1449</v>
      </c>
    </row>
    <row r="5057" spans="1:11" x14ac:dyDescent="0.25">
      <c r="A5057"/>
      <c r="B5057" s="201">
        <v>823</v>
      </c>
      <c r="C5057">
        <v>5047</v>
      </c>
      <c r="D5057" s="201">
        <v>0</v>
      </c>
      <c r="E5057" s="201">
        <v>0</v>
      </c>
      <c r="F5057">
        <v>0</v>
      </c>
      <c r="G5057">
        <v>0</v>
      </c>
      <c r="H5057">
        <v>0</v>
      </c>
      <c r="I5057">
        <v>-67</v>
      </c>
      <c r="J5057">
        <v>0</v>
      </c>
      <c r="K5057" s="201">
        <v>-594</v>
      </c>
    </row>
    <row r="5058" spans="1:11" x14ac:dyDescent="0.25">
      <c r="A5058"/>
      <c r="B5058" s="201">
        <v>299</v>
      </c>
      <c r="C5058">
        <v>1331</v>
      </c>
      <c r="D5058" s="201">
        <v>0</v>
      </c>
      <c r="E5058" s="201">
        <v>1584</v>
      </c>
      <c r="F5058">
        <v>-10618</v>
      </c>
      <c r="G5058">
        <v>-105</v>
      </c>
      <c r="H5058">
        <v>0</v>
      </c>
      <c r="I5058">
        <v>0</v>
      </c>
      <c r="J5058">
        <v>0</v>
      </c>
      <c r="K5058" s="201">
        <v>-634</v>
      </c>
    </row>
    <row r="5059" spans="1:11" x14ac:dyDescent="0.25">
      <c r="A5059"/>
      <c r="B5059" s="201">
        <v>-903</v>
      </c>
      <c r="C5059">
        <v>-188</v>
      </c>
      <c r="D5059" s="201">
        <v>20</v>
      </c>
      <c r="E5059" s="201">
        <v>95</v>
      </c>
      <c r="F5059">
        <v>0</v>
      </c>
      <c r="G5059">
        <v>-375</v>
      </c>
      <c r="H5059">
        <v>0</v>
      </c>
      <c r="I5059">
        <v>0</v>
      </c>
      <c r="J5059">
        <v>164</v>
      </c>
      <c r="K5059" s="201">
        <v>0</v>
      </c>
    </row>
    <row r="5060" spans="1:11" x14ac:dyDescent="0.25">
      <c r="B5060" s="201">
        <v>-192</v>
      </c>
      <c r="C5060">
        <v>0</v>
      </c>
      <c r="D5060" s="201">
        <v>-158</v>
      </c>
      <c r="E5060" s="201">
        <v>0</v>
      </c>
      <c r="F5060">
        <v>0</v>
      </c>
      <c r="G5060">
        <v>0</v>
      </c>
      <c r="H5060">
        <v>0</v>
      </c>
      <c r="I5060">
        <v>0</v>
      </c>
      <c r="J5060">
        <v>0</v>
      </c>
      <c r="K5060" s="201">
        <v>0</v>
      </c>
    </row>
    <row r="5061" spans="1:11" x14ac:dyDescent="0.25">
      <c r="A5061"/>
      <c r="B5061" s="201">
        <v>0</v>
      </c>
      <c r="C5061">
        <v>-7</v>
      </c>
      <c r="D5061" s="201">
        <v>0</v>
      </c>
      <c r="E5061" s="201">
        <v>-202</v>
      </c>
      <c r="F5061">
        <v>-473</v>
      </c>
      <c r="G5061">
        <v>32</v>
      </c>
      <c r="H5061">
        <v>0</v>
      </c>
      <c r="I5061">
        <v>2802</v>
      </c>
      <c r="J5061">
        <v>1940</v>
      </c>
      <c r="K5061" s="201">
        <v>0</v>
      </c>
    </row>
    <row r="5062" spans="1:11" x14ac:dyDescent="0.25">
      <c r="A5062"/>
      <c r="B5062" s="201">
        <v>0</v>
      </c>
      <c r="C5062">
        <v>0</v>
      </c>
      <c r="D5062" s="201">
        <v>0</v>
      </c>
      <c r="E5062" s="201">
        <v>0</v>
      </c>
      <c r="F5062">
        <v>-3944</v>
      </c>
      <c r="G5062">
        <v>-1671</v>
      </c>
      <c r="H5062">
        <v>-3695</v>
      </c>
      <c r="I5062">
        <v>-2952</v>
      </c>
      <c r="J5062">
        <v>-1808</v>
      </c>
      <c r="K5062" s="201">
        <v>-6152</v>
      </c>
    </row>
    <row r="5063" spans="1:11" x14ac:dyDescent="0.25">
      <c r="A5063"/>
      <c r="B5063" s="201">
        <v>0</v>
      </c>
      <c r="C5063">
        <v>0</v>
      </c>
      <c r="D5063" s="201">
        <v>0</v>
      </c>
      <c r="E5063" s="201">
        <v>0</v>
      </c>
      <c r="F5063">
        <v>244</v>
      </c>
      <c r="G5063">
        <v>0</v>
      </c>
      <c r="H5063">
        <v>577</v>
      </c>
      <c r="I5063">
        <v>0</v>
      </c>
      <c r="J5063">
        <v>0</v>
      </c>
      <c r="K5063" s="201">
        <v>-1484</v>
      </c>
    </row>
    <row r="5064" spans="1:11" x14ac:dyDescent="0.25">
      <c r="A5064"/>
      <c r="B5064" s="201">
        <v>866</v>
      </c>
      <c r="C5064">
        <v>0</v>
      </c>
      <c r="D5064" s="201">
        <v>0</v>
      </c>
      <c r="E5064" s="201">
        <v>0</v>
      </c>
      <c r="F5064">
        <v>0</v>
      </c>
      <c r="G5064">
        <v>342</v>
      </c>
      <c r="H5064">
        <v>0</v>
      </c>
      <c r="I5064">
        <v>1493</v>
      </c>
      <c r="J5064">
        <v>-2750</v>
      </c>
      <c r="K5064" s="201">
        <v>-3391</v>
      </c>
    </row>
    <row r="5065" spans="1:11" x14ac:dyDescent="0.25">
      <c r="A5065"/>
      <c r="B5065" s="201">
        <v>-4561</v>
      </c>
      <c r="C5065">
        <v>-465</v>
      </c>
      <c r="D5065" s="201">
        <v>-2270</v>
      </c>
      <c r="E5065" s="201">
        <v>-1740</v>
      </c>
      <c r="F5065">
        <v>408</v>
      </c>
      <c r="G5065">
        <v>897</v>
      </c>
      <c r="H5065">
        <v>871</v>
      </c>
      <c r="I5065">
        <v>0</v>
      </c>
      <c r="J5065">
        <v>0</v>
      </c>
      <c r="K5065" s="201">
        <v>0</v>
      </c>
    </row>
    <row r="5066" spans="1:11" x14ac:dyDescent="0.25">
      <c r="A5066"/>
      <c r="B5066" s="201">
        <v>0</v>
      </c>
      <c r="C5066">
        <v>0</v>
      </c>
      <c r="D5066" s="201">
        <v>0</v>
      </c>
      <c r="E5066" s="201">
        <v>0</v>
      </c>
      <c r="F5066">
        <v>-2126</v>
      </c>
      <c r="G5066">
        <v>57</v>
      </c>
      <c r="H5066">
        <v>-1068</v>
      </c>
      <c r="I5066">
        <v>1081</v>
      </c>
      <c r="J5066">
        <v>-865</v>
      </c>
      <c r="K5066" s="201">
        <v>1240</v>
      </c>
    </row>
    <row r="5067" spans="1:11" x14ac:dyDescent="0.25">
      <c r="A5067"/>
      <c r="B5067" s="201">
        <v>0</v>
      </c>
      <c r="C5067" s="201">
        <v>0</v>
      </c>
      <c r="D5067" s="201">
        <v>-1540</v>
      </c>
      <c r="E5067" s="201">
        <v>0</v>
      </c>
      <c r="F5067">
        <v>-184</v>
      </c>
      <c r="G5067">
        <v>-2012</v>
      </c>
      <c r="H5067">
        <v>0</v>
      </c>
      <c r="I5067">
        <v>0</v>
      </c>
      <c r="J5067">
        <v>0</v>
      </c>
      <c r="K5067" s="201">
        <v>0</v>
      </c>
    </row>
    <row r="5068" spans="1:11" x14ac:dyDescent="0.25">
      <c r="A5068"/>
      <c r="B5068" s="201">
        <v>-1956</v>
      </c>
      <c r="C5068">
        <v>0</v>
      </c>
      <c r="D5068" s="201">
        <v>882</v>
      </c>
      <c r="E5068" s="201">
        <v>1809</v>
      </c>
      <c r="F5068">
        <v>0</v>
      </c>
      <c r="G5068">
        <v>0</v>
      </c>
      <c r="H5068">
        <v>0</v>
      </c>
      <c r="I5068">
        <v>0</v>
      </c>
      <c r="J5068">
        <v>0</v>
      </c>
      <c r="K5068" s="201">
        <v>0</v>
      </c>
    </row>
    <row r="5069" spans="1:11" x14ac:dyDescent="0.25">
      <c r="A5069"/>
      <c r="B5069" s="201">
        <v>0</v>
      </c>
      <c r="C5069">
        <v>0</v>
      </c>
      <c r="D5069" s="201">
        <v>0</v>
      </c>
      <c r="E5069" s="201">
        <v>0</v>
      </c>
      <c r="F5069">
        <v>0</v>
      </c>
      <c r="G5069">
        <v>0</v>
      </c>
      <c r="H5069">
        <v>0</v>
      </c>
      <c r="I5069">
        <v>0</v>
      </c>
      <c r="J5069">
        <v>0</v>
      </c>
      <c r="K5069" s="201">
        <v>-1007</v>
      </c>
    </row>
    <row r="5070" spans="1:11" x14ac:dyDescent="0.25">
      <c r="A5070"/>
      <c r="B5070" s="201">
        <v>0</v>
      </c>
      <c r="C5070">
        <v>0</v>
      </c>
      <c r="D5070" s="201">
        <v>0</v>
      </c>
      <c r="E5070" s="201">
        <v>0</v>
      </c>
      <c r="F5070">
        <v>0</v>
      </c>
      <c r="G5070">
        <v>-342</v>
      </c>
      <c r="H5070">
        <v>4082</v>
      </c>
      <c r="I5070">
        <v>4506</v>
      </c>
      <c r="J5070">
        <v>23182</v>
      </c>
      <c r="K5070" s="201">
        <v>25039</v>
      </c>
    </row>
    <row r="5071" spans="1:11" x14ac:dyDescent="0.25">
      <c r="A5071"/>
      <c r="B5071" s="201">
        <v>47522</v>
      </c>
      <c r="C5071">
        <v>26020</v>
      </c>
      <c r="D5071" s="201">
        <v>-1081</v>
      </c>
      <c r="E5071" s="201">
        <v>-303</v>
      </c>
      <c r="F5071">
        <v>-125</v>
      </c>
      <c r="G5071">
        <v>5907</v>
      </c>
      <c r="H5071">
        <v>4051</v>
      </c>
      <c r="I5071">
        <v>17391</v>
      </c>
      <c r="J5071">
        <v>19092</v>
      </c>
      <c r="K5071" s="201">
        <v>34419</v>
      </c>
    </row>
    <row r="5072" spans="1:11" x14ac:dyDescent="0.25">
      <c r="A5072"/>
      <c r="B5072" s="201">
        <v>18388</v>
      </c>
      <c r="C5072">
        <v>-39</v>
      </c>
      <c r="D5072" s="201">
        <v>0</v>
      </c>
      <c r="E5072" s="201">
        <v>25451</v>
      </c>
      <c r="F5072">
        <v>19290</v>
      </c>
      <c r="G5072">
        <v>-156</v>
      </c>
      <c r="H5072">
        <v>146</v>
      </c>
      <c r="I5072">
        <v>181</v>
      </c>
      <c r="J5072">
        <v>136</v>
      </c>
      <c r="K5072" s="201">
        <v>390</v>
      </c>
    </row>
    <row r="5073" spans="1:11" x14ac:dyDescent="0.25">
      <c r="A5073"/>
      <c r="B5073" s="201">
        <v>0</v>
      </c>
      <c r="C5073">
        <v>0</v>
      </c>
      <c r="D5073" s="201">
        <v>62</v>
      </c>
      <c r="E5073" s="201">
        <v>0</v>
      </c>
      <c r="F5073">
        <v>0</v>
      </c>
      <c r="G5073">
        <v>0</v>
      </c>
      <c r="H5073">
        <v>-56</v>
      </c>
      <c r="I5073">
        <v>-323</v>
      </c>
      <c r="J5073">
        <v>0</v>
      </c>
      <c r="K5073" s="201">
        <v>0</v>
      </c>
    </row>
    <row r="5074" spans="1:11" x14ac:dyDescent="0.25">
      <c r="A5074"/>
      <c r="B5074" s="201">
        <v>0</v>
      </c>
      <c r="C5074">
        <v>0</v>
      </c>
      <c r="D5074" s="201">
        <v>0</v>
      </c>
      <c r="E5074" s="201">
        <v>0</v>
      </c>
      <c r="F5074">
        <v>700</v>
      </c>
      <c r="G5074">
        <v>0</v>
      </c>
      <c r="H5074">
        <v>0</v>
      </c>
      <c r="I5074">
        <v>-20</v>
      </c>
      <c r="J5074">
        <v>0</v>
      </c>
      <c r="K5074" s="201">
        <v>24</v>
      </c>
    </row>
    <row r="5075" spans="1:11" x14ac:dyDescent="0.25">
      <c r="A5075"/>
      <c r="B5075" s="201">
        <v>0</v>
      </c>
      <c r="C5075">
        <v>439</v>
      </c>
      <c r="D5075" s="201">
        <v>-520</v>
      </c>
      <c r="E5075" s="201">
        <v>-159</v>
      </c>
      <c r="F5075">
        <v>0</v>
      </c>
      <c r="G5075">
        <v>-723</v>
      </c>
      <c r="H5075">
        <v>199</v>
      </c>
      <c r="I5075">
        <v>377</v>
      </c>
      <c r="J5075">
        <v>397</v>
      </c>
      <c r="K5075" s="201">
        <v>318</v>
      </c>
    </row>
    <row r="5076" spans="1:11" x14ac:dyDescent="0.25">
      <c r="A5076"/>
      <c r="B5076" s="201">
        <v>497</v>
      </c>
      <c r="C5076">
        <v>0</v>
      </c>
      <c r="D5076" s="201">
        <v>-17</v>
      </c>
      <c r="E5076" s="201">
        <v>0</v>
      </c>
      <c r="F5076">
        <v>0</v>
      </c>
      <c r="G5076">
        <v>0</v>
      </c>
      <c r="H5076">
        <v>0</v>
      </c>
      <c r="I5076">
        <v>0</v>
      </c>
      <c r="J5076">
        <v>-185</v>
      </c>
      <c r="K5076" s="201">
        <v>0</v>
      </c>
    </row>
    <row r="5077" spans="1:11" x14ac:dyDescent="0.25">
      <c r="A5077"/>
      <c r="B5077" s="201">
        <v>0</v>
      </c>
      <c r="C5077">
        <v>0</v>
      </c>
      <c r="D5077" s="201">
        <v>62</v>
      </c>
      <c r="E5077" s="201">
        <v>0</v>
      </c>
      <c r="F5077">
        <v>43</v>
      </c>
      <c r="G5077">
        <v>0</v>
      </c>
      <c r="H5077">
        <v>0</v>
      </c>
      <c r="I5077">
        <v>0</v>
      </c>
      <c r="J5077">
        <v>0</v>
      </c>
      <c r="K5077" s="201">
        <v>0</v>
      </c>
    </row>
    <row r="5078" spans="1:11" x14ac:dyDescent="0.25">
      <c r="A5078"/>
      <c r="B5078" s="201">
        <v>8</v>
      </c>
      <c r="C5078">
        <v>0</v>
      </c>
      <c r="D5078" s="201">
        <v>188</v>
      </c>
      <c r="E5078" s="201">
        <v>-37</v>
      </c>
      <c r="F5078">
        <v>0</v>
      </c>
      <c r="G5078">
        <v>0</v>
      </c>
      <c r="H5078">
        <v>-5102</v>
      </c>
      <c r="I5078">
        <v>-3293</v>
      </c>
      <c r="J5078">
        <v>0</v>
      </c>
      <c r="K5078" s="201">
        <v>-815</v>
      </c>
    </row>
    <row r="5079" spans="1:11" x14ac:dyDescent="0.25">
      <c r="A5079"/>
      <c r="B5079" s="201">
        <v>0</v>
      </c>
      <c r="C5079">
        <v>0</v>
      </c>
      <c r="D5079" s="201">
        <v>0</v>
      </c>
      <c r="E5079" s="201">
        <v>0</v>
      </c>
      <c r="F5079">
        <v>-86</v>
      </c>
      <c r="G5079">
        <v>996</v>
      </c>
      <c r="H5079">
        <v>912</v>
      </c>
      <c r="I5079">
        <v>0</v>
      </c>
      <c r="J5079">
        <v>0</v>
      </c>
      <c r="K5079" s="201">
        <v>38</v>
      </c>
    </row>
    <row r="5080" spans="1:11" x14ac:dyDescent="0.25">
      <c r="A5080"/>
      <c r="B5080" s="201">
        <v>-314</v>
      </c>
      <c r="C5080">
        <v>0</v>
      </c>
      <c r="D5080" s="201">
        <v>240</v>
      </c>
      <c r="E5080" s="201">
        <v>2981</v>
      </c>
      <c r="F5080">
        <v>18</v>
      </c>
      <c r="G5080">
        <v>1715</v>
      </c>
      <c r="H5080">
        <v>-153</v>
      </c>
      <c r="I5080">
        <v>91</v>
      </c>
      <c r="J5080">
        <v>5</v>
      </c>
      <c r="K5080" s="201">
        <v>0</v>
      </c>
    </row>
    <row r="5081" spans="1:11" x14ac:dyDescent="0.25">
      <c r="A5081"/>
      <c r="B5081" s="201">
        <v>0</v>
      </c>
      <c r="C5081">
        <v>0</v>
      </c>
      <c r="D5081" s="201">
        <v>0</v>
      </c>
      <c r="E5081" s="201">
        <v>0</v>
      </c>
      <c r="F5081">
        <v>2628</v>
      </c>
      <c r="G5081">
        <v>0</v>
      </c>
      <c r="H5081">
        <v>-717</v>
      </c>
      <c r="I5081">
        <v>3804</v>
      </c>
      <c r="J5081">
        <v>592</v>
      </c>
      <c r="K5081" s="201">
        <v>0</v>
      </c>
    </row>
    <row r="5082" spans="1:11" x14ac:dyDescent="0.25">
      <c r="A5082"/>
      <c r="B5082" s="201">
        <v>807</v>
      </c>
      <c r="C5082">
        <v>-3770</v>
      </c>
      <c r="D5082" s="201">
        <v>149</v>
      </c>
      <c r="E5082" s="201">
        <v>45</v>
      </c>
      <c r="F5082">
        <v>825</v>
      </c>
      <c r="G5082">
        <v>0</v>
      </c>
      <c r="H5082">
        <v>-98</v>
      </c>
      <c r="I5082">
        <v>-660</v>
      </c>
      <c r="J5082">
        <v>272</v>
      </c>
      <c r="K5082" s="201">
        <v>-119</v>
      </c>
    </row>
    <row r="5083" spans="1:11" x14ac:dyDescent="0.25">
      <c r="A5083"/>
      <c r="B5083" s="201">
        <v>0</v>
      </c>
      <c r="C5083">
        <v>313</v>
      </c>
      <c r="D5083" s="201">
        <v>-960</v>
      </c>
      <c r="E5083" s="201">
        <v>0</v>
      </c>
      <c r="F5083">
        <v>0</v>
      </c>
      <c r="G5083">
        <v>0</v>
      </c>
      <c r="H5083">
        <v>-155</v>
      </c>
      <c r="I5083">
        <v>-437</v>
      </c>
      <c r="J5083">
        <v>0</v>
      </c>
      <c r="K5083" s="201">
        <v>-159</v>
      </c>
    </row>
    <row r="5084" spans="1:11" x14ac:dyDescent="0.25">
      <c r="A5084"/>
      <c r="B5084" s="201">
        <v>80</v>
      </c>
      <c r="C5084">
        <v>72</v>
      </c>
      <c r="D5084" s="201">
        <v>-120</v>
      </c>
      <c r="E5084" s="201">
        <v>0</v>
      </c>
      <c r="F5084">
        <v>0</v>
      </c>
      <c r="G5084">
        <v>0</v>
      </c>
      <c r="H5084">
        <v>0</v>
      </c>
      <c r="I5084">
        <v>0</v>
      </c>
      <c r="J5084">
        <v>-298</v>
      </c>
      <c r="K5084" s="201">
        <v>0</v>
      </c>
    </row>
    <row r="5085" spans="1:11" x14ac:dyDescent="0.25">
      <c r="B5085" s="201">
        <v>-249</v>
      </c>
      <c r="C5085">
        <v>-698</v>
      </c>
      <c r="D5085" s="201">
        <v>-99</v>
      </c>
      <c r="E5085" s="201">
        <v>0</v>
      </c>
      <c r="F5085">
        <v>349</v>
      </c>
      <c r="G5085">
        <v>-3680</v>
      </c>
      <c r="H5085">
        <v>-193</v>
      </c>
      <c r="I5085">
        <v>221</v>
      </c>
      <c r="J5085">
        <v>591</v>
      </c>
      <c r="K5085" s="201">
        <v>17</v>
      </c>
    </row>
    <row r="5086" spans="1:11" x14ac:dyDescent="0.25">
      <c r="A5086"/>
      <c r="B5086" s="201">
        <v>-142</v>
      </c>
      <c r="C5086">
        <v>-730</v>
      </c>
      <c r="D5086" s="201">
        <v>0</v>
      </c>
      <c r="E5086" s="201">
        <v>38</v>
      </c>
      <c r="F5086">
        <v>0</v>
      </c>
      <c r="G5086">
        <v>0</v>
      </c>
      <c r="H5086">
        <v>-802</v>
      </c>
      <c r="I5086">
        <v>-2</v>
      </c>
      <c r="J5086">
        <v>0</v>
      </c>
      <c r="K5086" s="201">
        <v>59</v>
      </c>
    </row>
    <row r="5087" spans="1:11" x14ac:dyDescent="0.25">
      <c r="A5087"/>
      <c r="B5087" s="201">
        <v>0</v>
      </c>
      <c r="C5087">
        <v>0</v>
      </c>
      <c r="D5087" s="201">
        <v>0</v>
      </c>
      <c r="E5087" s="201">
        <v>0</v>
      </c>
      <c r="F5087">
        <v>111</v>
      </c>
      <c r="G5087">
        <v>-13</v>
      </c>
      <c r="H5087">
        <v>241</v>
      </c>
      <c r="I5087">
        <v>0</v>
      </c>
      <c r="J5087">
        <v>0</v>
      </c>
      <c r="K5087" s="201">
        <v>0</v>
      </c>
    </row>
    <row r="5088" spans="1:11" x14ac:dyDescent="0.25">
      <c r="A5088"/>
      <c r="B5088" s="201">
        <v>0</v>
      </c>
      <c r="C5088">
        <v>0</v>
      </c>
      <c r="D5088" s="201">
        <v>-227</v>
      </c>
      <c r="E5088" s="201">
        <v>0</v>
      </c>
      <c r="F5088">
        <v>-323</v>
      </c>
      <c r="G5088">
        <v>-275</v>
      </c>
      <c r="H5088">
        <v>130</v>
      </c>
      <c r="I5088">
        <v>0</v>
      </c>
      <c r="J5088">
        <v>1077</v>
      </c>
      <c r="K5088" s="201">
        <v>-17616</v>
      </c>
    </row>
    <row r="5089" spans="1:11" x14ac:dyDescent="0.25">
      <c r="A5089"/>
      <c r="B5089" s="201">
        <v>-4120</v>
      </c>
      <c r="C5089">
        <v>0</v>
      </c>
      <c r="D5089" s="201">
        <v>0</v>
      </c>
      <c r="E5089" s="201">
        <v>0</v>
      </c>
      <c r="F5089">
        <v>-2496</v>
      </c>
      <c r="G5089">
        <v>-2036</v>
      </c>
      <c r="H5089">
        <v>-3577</v>
      </c>
      <c r="I5089">
        <v>747</v>
      </c>
      <c r="J5089">
        <v>788</v>
      </c>
      <c r="K5089" s="201">
        <v>0</v>
      </c>
    </row>
    <row r="5090" spans="1:11" x14ac:dyDescent="0.25">
      <c r="A5090"/>
      <c r="B5090" s="201">
        <v>899</v>
      </c>
      <c r="C5090">
        <v>0</v>
      </c>
      <c r="D5090" s="201">
        <v>0</v>
      </c>
      <c r="E5090" s="201">
        <v>1127</v>
      </c>
      <c r="F5090">
        <v>0</v>
      </c>
      <c r="G5090">
        <v>-13378</v>
      </c>
      <c r="H5090">
        <v>0</v>
      </c>
      <c r="I5090">
        <v>-7501</v>
      </c>
      <c r="J5090">
        <v>0</v>
      </c>
      <c r="K5090" s="201">
        <v>0</v>
      </c>
    </row>
    <row r="5091" spans="1:11" x14ac:dyDescent="0.25">
      <c r="A5091"/>
      <c r="B5091" s="201">
        <v>0</v>
      </c>
      <c r="C5091">
        <v>0</v>
      </c>
      <c r="D5091" s="201">
        <v>0</v>
      </c>
      <c r="E5091" s="201">
        <v>0</v>
      </c>
      <c r="F5091">
        <v>0</v>
      </c>
      <c r="G5091">
        <v>0</v>
      </c>
      <c r="H5091">
        <v>-821</v>
      </c>
      <c r="I5091">
        <v>0</v>
      </c>
      <c r="J5091">
        <v>-1767</v>
      </c>
      <c r="K5091" s="201">
        <v>1091</v>
      </c>
    </row>
    <row r="5092" spans="1:11" x14ac:dyDescent="0.25">
      <c r="B5092" s="201">
        <v>1345</v>
      </c>
      <c r="C5092">
        <v>0</v>
      </c>
      <c r="D5092" s="201">
        <v>2557</v>
      </c>
      <c r="E5092" s="201">
        <v>4664</v>
      </c>
      <c r="F5092">
        <v>0</v>
      </c>
      <c r="G5092">
        <v>0</v>
      </c>
      <c r="H5092">
        <v>0</v>
      </c>
      <c r="I5092">
        <v>0</v>
      </c>
      <c r="J5092">
        <v>0</v>
      </c>
      <c r="K5092" s="201">
        <v>-3395</v>
      </c>
    </row>
    <row r="5093" spans="1:11" x14ac:dyDescent="0.25">
      <c r="A5093"/>
      <c r="B5093" s="201">
        <v>-1413</v>
      </c>
      <c r="C5093">
        <v>-3323</v>
      </c>
      <c r="D5093" s="201">
        <v>-2714</v>
      </c>
      <c r="E5093" s="201">
        <v>-1654</v>
      </c>
      <c r="F5093">
        <v>-5683</v>
      </c>
      <c r="G5093">
        <v>0</v>
      </c>
      <c r="H5093">
        <v>0</v>
      </c>
      <c r="I5093">
        <v>0</v>
      </c>
      <c r="J5093">
        <v>0</v>
      </c>
      <c r="K5093" s="201">
        <v>-691</v>
      </c>
    </row>
    <row r="5094" spans="1:11" x14ac:dyDescent="0.25">
      <c r="A5094"/>
      <c r="B5094" s="201">
        <v>0</v>
      </c>
      <c r="C5094">
        <v>153</v>
      </c>
      <c r="D5094" s="201">
        <v>0</v>
      </c>
      <c r="E5094" s="201">
        <v>0</v>
      </c>
      <c r="F5094">
        <v>-1388</v>
      </c>
      <c r="G5094">
        <v>626</v>
      </c>
      <c r="H5094">
        <v>0</v>
      </c>
      <c r="I5094">
        <v>0</v>
      </c>
      <c r="J5094">
        <v>0</v>
      </c>
      <c r="K5094" s="201">
        <v>0</v>
      </c>
    </row>
    <row r="5095" spans="1:11" x14ac:dyDescent="0.25">
      <c r="A5095"/>
      <c r="B5095" s="201">
        <v>-94</v>
      </c>
      <c r="C5095">
        <v>0</v>
      </c>
      <c r="D5095" s="201">
        <v>1284</v>
      </c>
      <c r="E5095" s="201">
        <v>-2313</v>
      </c>
      <c r="F5095">
        <v>-2887</v>
      </c>
      <c r="G5095">
        <v>-3907</v>
      </c>
      <c r="H5095">
        <v>862</v>
      </c>
      <c r="I5095">
        <v>-1194</v>
      </c>
      <c r="J5095">
        <v>-1616</v>
      </c>
      <c r="K5095" s="201">
        <v>-266</v>
      </c>
    </row>
    <row r="5096" spans="1:11" x14ac:dyDescent="0.25">
      <c r="A5096"/>
      <c r="B5096" s="201">
        <v>408</v>
      </c>
      <c r="C5096">
        <v>1183</v>
      </c>
      <c r="D5096" s="201">
        <v>0</v>
      </c>
      <c r="E5096" s="201">
        <v>0</v>
      </c>
      <c r="F5096">
        <v>0</v>
      </c>
      <c r="G5096">
        <v>0</v>
      </c>
      <c r="H5096">
        <v>0</v>
      </c>
      <c r="I5096">
        <v>0</v>
      </c>
      <c r="J5096">
        <v>0</v>
      </c>
      <c r="K5096" s="201">
        <v>496</v>
      </c>
    </row>
    <row r="5097" spans="1:11" x14ac:dyDescent="0.25">
      <c r="A5097"/>
      <c r="B5097" s="201">
        <v>-394</v>
      </c>
      <c r="C5097">
        <v>4012</v>
      </c>
      <c r="D5097" s="201">
        <v>-147</v>
      </c>
      <c r="E5097" s="201">
        <v>1943</v>
      </c>
      <c r="F5097">
        <v>712</v>
      </c>
      <c r="G5097">
        <v>0</v>
      </c>
      <c r="H5097">
        <v>0</v>
      </c>
      <c r="I5097">
        <v>-1361</v>
      </c>
      <c r="J5097">
        <v>0</v>
      </c>
      <c r="K5097" s="201">
        <v>438</v>
      </c>
    </row>
    <row r="5098" spans="1:11" x14ac:dyDescent="0.25">
      <c r="A5098"/>
      <c r="B5098" s="201">
        <v>-1218</v>
      </c>
      <c r="C5098">
        <v>0</v>
      </c>
      <c r="D5098" s="201">
        <v>0</v>
      </c>
      <c r="E5098" s="201">
        <v>0</v>
      </c>
      <c r="F5098">
        <v>0</v>
      </c>
      <c r="G5098">
        <v>-2205</v>
      </c>
      <c r="H5098">
        <v>0</v>
      </c>
      <c r="I5098">
        <v>640</v>
      </c>
      <c r="J5098">
        <v>1317</v>
      </c>
      <c r="K5098" s="201">
        <v>0</v>
      </c>
    </row>
    <row r="5099" spans="1:11" x14ac:dyDescent="0.25">
      <c r="A5099"/>
      <c r="B5099" s="201">
        <v>0</v>
      </c>
      <c r="C5099">
        <v>0</v>
      </c>
      <c r="D5099" s="201">
        <v>0</v>
      </c>
      <c r="E5099" s="201">
        <v>0</v>
      </c>
      <c r="F5099">
        <v>0</v>
      </c>
      <c r="G5099">
        <v>0</v>
      </c>
      <c r="H5099">
        <v>0</v>
      </c>
      <c r="I5099">
        <v>0</v>
      </c>
      <c r="J5099">
        <v>0</v>
      </c>
      <c r="K5099" s="201">
        <v>0</v>
      </c>
    </row>
    <row r="5100" spans="1:11" x14ac:dyDescent="0.25">
      <c r="A5100"/>
      <c r="B5100" s="201">
        <v>0</v>
      </c>
      <c r="C5100">
        <v>0</v>
      </c>
      <c r="D5100" s="201">
        <v>0</v>
      </c>
      <c r="E5100" s="201">
        <v>0</v>
      </c>
      <c r="F5100">
        <v>-912</v>
      </c>
      <c r="G5100">
        <v>0</v>
      </c>
      <c r="H5100">
        <v>0</v>
      </c>
      <c r="I5100">
        <v>0</v>
      </c>
      <c r="J5100">
        <v>0</v>
      </c>
      <c r="K5100" s="201">
        <v>0</v>
      </c>
    </row>
    <row r="5101" spans="1:11" x14ac:dyDescent="0.25">
      <c r="A5101"/>
      <c r="B5101" s="201">
        <v>-159</v>
      </c>
      <c r="C5101">
        <v>3376</v>
      </c>
      <c r="D5101" s="201">
        <v>2974</v>
      </c>
      <c r="E5101" s="201">
        <v>20961</v>
      </c>
      <c r="F5101">
        <v>23790</v>
      </c>
      <c r="G5101">
        <v>23816</v>
      </c>
      <c r="H5101">
        <v>50913</v>
      </c>
      <c r="I5101">
        <v>-736</v>
      </c>
      <c r="J5101">
        <v>-160</v>
      </c>
      <c r="K5101" s="201">
        <v>-101</v>
      </c>
    </row>
    <row r="5102" spans="1:11" x14ac:dyDescent="0.25">
      <c r="B5102" s="201">
        <v>5003</v>
      </c>
      <c r="C5102">
        <v>2862</v>
      </c>
      <c r="D5102" s="201">
        <v>15901</v>
      </c>
      <c r="E5102" s="201">
        <v>17992</v>
      </c>
      <c r="F5102">
        <v>17179</v>
      </c>
      <c r="G5102">
        <v>34917</v>
      </c>
      <c r="H5102">
        <v>-39</v>
      </c>
      <c r="I5102">
        <v>0</v>
      </c>
      <c r="J5102">
        <v>20620</v>
      </c>
      <c r="K5102" s="201">
        <v>23755</v>
      </c>
    </row>
    <row r="5103" spans="1:11" x14ac:dyDescent="0.25">
      <c r="B5103" s="201">
        <v>23870</v>
      </c>
      <c r="C5103">
        <v>-45</v>
      </c>
      <c r="D5103" s="201">
        <v>-1469</v>
      </c>
      <c r="E5103" s="201">
        <v>158</v>
      </c>
      <c r="F5103">
        <v>-59</v>
      </c>
      <c r="G5103">
        <v>122</v>
      </c>
      <c r="H5103">
        <v>0</v>
      </c>
      <c r="I5103">
        <v>0</v>
      </c>
      <c r="J5103">
        <v>-57</v>
      </c>
      <c r="K5103" s="201">
        <v>0</v>
      </c>
    </row>
    <row r="5104" spans="1:11" x14ac:dyDescent="0.25">
      <c r="A5104"/>
      <c r="B5104" s="201">
        <v>0</v>
      </c>
      <c r="C5104">
        <v>0</v>
      </c>
      <c r="D5104" s="201">
        <v>-479</v>
      </c>
      <c r="E5104" s="201">
        <v>728</v>
      </c>
      <c r="F5104">
        <v>0</v>
      </c>
      <c r="G5104">
        <v>0</v>
      </c>
      <c r="H5104">
        <v>0</v>
      </c>
      <c r="I5104">
        <v>0</v>
      </c>
      <c r="J5104">
        <v>0</v>
      </c>
      <c r="K5104" s="201">
        <v>0</v>
      </c>
    </row>
    <row r="5105" spans="1:11" x14ac:dyDescent="0.25">
      <c r="A5105"/>
      <c r="B5105" s="201">
        <v>427</v>
      </c>
      <c r="C5105">
        <v>0</v>
      </c>
      <c r="D5105" s="201">
        <v>0</v>
      </c>
      <c r="E5105" s="201">
        <v>141</v>
      </c>
      <c r="F5105">
        <v>0</v>
      </c>
      <c r="G5105">
        <v>-137</v>
      </c>
      <c r="H5105">
        <v>0</v>
      </c>
      <c r="I5105">
        <v>225</v>
      </c>
      <c r="J5105">
        <v>-111</v>
      </c>
      <c r="K5105" s="201">
        <v>-84</v>
      </c>
    </row>
    <row r="5106" spans="1:11" x14ac:dyDescent="0.25">
      <c r="A5106"/>
      <c r="B5106" s="201">
        <v>0</v>
      </c>
      <c r="C5106">
        <v>-167</v>
      </c>
      <c r="D5106" s="201">
        <v>-1407</v>
      </c>
      <c r="E5106" s="201">
        <v>244</v>
      </c>
      <c r="F5106">
        <v>236</v>
      </c>
      <c r="G5106">
        <v>62</v>
      </c>
      <c r="H5106">
        <v>252</v>
      </c>
      <c r="I5106">
        <v>0</v>
      </c>
      <c r="J5106">
        <v>-2</v>
      </c>
      <c r="K5106" s="201">
        <v>0</v>
      </c>
    </row>
    <row r="5107" spans="1:11" x14ac:dyDescent="0.25">
      <c r="A5107"/>
      <c r="B5107" s="201">
        <v>0</v>
      </c>
      <c r="C5107">
        <v>0</v>
      </c>
      <c r="D5107" s="201">
        <v>0</v>
      </c>
      <c r="E5107" s="201">
        <v>0</v>
      </c>
      <c r="F5107">
        <v>23</v>
      </c>
      <c r="G5107">
        <v>0</v>
      </c>
      <c r="H5107">
        <v>0</v>
      </c>
      <c r="I5107">
        <v>0</v>
      </c>
      <c r="J5107">
        <v>-151</v>
      </c>
      <c r="K5107" s="201">
        <v>0</v>
      </c>
    </row>
    <row r="5108" spans="1:11" x14ac:dyDescent="0.25">
      <c r="A5108"/>
      <c r="B5108" s="201">
        <v>-23</v>
      </c>
      <c r="C5108">
        <v>0</v>
      </c>
      <c r="D5108" s="201">
        <v>0</v>
      </c>
      <c r="E5108" s="201">
        <v>0</v>
      </c>
      <c r="F5108">
        <v>0</v>
      </c>
      <c r="G5108">
        <v>0</v>
      </c>
      <c r="H5108">
        <v>-62</v>
      </c>
      <c r="I5108">
        <v>0</v>
      </c>
      <c r="J5108">
        <v>188</v>
      </c>
      <c r="K5108" s="201">
        <v>-30</v>
      </c>
    </row>
    <row r="5109" spans="1:11" x14ac:dyDescent="0.25">
      <c r="A5109"/>
      <c r="B5109" s="201">
        <v>0</v>
      </c>
      <c r="C5109">
        <v>0</v>
      </c>
      <c r="D5109" s="201">
        <v>2616</v>
      </c>
      <c r="E5109" s="201">
        <v>-14705</v>
      </c>
      <c r="F5109">
        <v>0</v>
      </c>
      <c r="G5109">
        <v>-2045</v>
      </c>
      <c r="H5109">
        <v>0</v>
      </c>
      <c r="I5109">
        <v>0</v>
      </c>
      <c r="J5109">
        <v>0</v>
      </c>
      <c r="K5109" s="201">
        <v>0</v>
      </c>
    </row>
    <row r="5110" spans="1:11" x14ac:dyDescent="0.25">
      <c r="A5110"/>
      <c r="B5110" s="201">
        <v>697</v>
      </c>
      <c r="C5110">
        <v>-185</v>
      </c>
      <c r="D5110" s="201">
        <v>-183</v>
      </c>
      <c r="E5110" s="201">
        <v>0</v>
      </c>
      <c r="F5110">
        <v>0</v>
      </c>
      <c r="G5110">
        <v>-523</v>
      </c>
      <c r="H5110">
        <v>980</v>
      </c>
      <c r="I5110">
        <v>0</v>
      </c>
      <c r="J5110">
        <v>1585</v>
      </c>
      <c r="K5110" s="201">
        <v>599</v>
      </c>
    </row>
    <row r="5111" spans="1:11" x14ac:dyDescent="0.25">
      <c r="A5111"/>
      <c r="B5111" s="201">
        <v>756</v>
      </c>
      <c r="C5111">
        <v>1073</v>
      </c>
      <c r="D5111" s="201">
        <v>-1419</v>
      </c>
      <c r="E5111" s="201">
        <v>315</v>
      </c>
      <c r="F5111">
        <v>-963</v>
      </c>
      <c r="G5111">
        <v>0</v>
      </c>
      <c r="H5111">
        <v>0</v>
      </c>
      <c r="I5111">
        <v>0</v>
      </c>
      <c r="J5111">
        <v>0</v>
      </c>
      <c r="K5111" s="201">
        <v>0</v>
      </c>
    </row>
    <row r="5112" spans="1:11" x14ac:dyDescent="0.25">
      <c r="A5112"/>
      <c r="B5112" s="201">
        <v>-1441</v>
      </c>
      <c r="C5112">
        <v>0</v>
      </c>
      <c r="D5112" s="201">
        <v>2527</v>
      </c>
      <c r="E5112" s="201">
        <v>1785</v>
      </c>
      <c r="F5112">
        <v>1093</v>
      </c>
      <c r="G5112">
        <v>0</v>
      </c>
      <c r="H5112">
        <v>-67</v>
      </c>
      <c r="I5112">
        <v>-4627</v>
      </c>
      <c r="J5112">
        <v>-117</v>
      </c>
      <c r="K5112" s="201">
        <v>633</v>
      </c>
    </row>
    <row r="5113" spans="1:11" x14ac:dyDescent="0.25">
      <c r="A5113"/>
      <c r="B5113" s="201">
        <v>277</v>
      </c>
      <c r="C5113">
        <v>0</v>
      </c>
      <c r="D5113" s="201">
        <v>-207</v>
      </c>
      <c r="E5113" s="201">
        <v>-1258</v>
      </c>
      <c r="F5113">
        <v>-1139</v>
      </c>
      <c r="G5113">
        <v>461</v>
      </c>
      <c r="H5113">
        <v>0</v>
      </c>
      <c r="I5113">
        <v>-147</v>
      </c>
      <c r="J5113">
        <v>-1322</v>
      </c>
      <c r="K5113" s="201">
        <v>0</v>
      </c>
    </row>
    <row r="5114" spans="1:11" x14ac:dyDescent="0.25">
      <c r="A5114"/>
      <c r="B5114" s="201">
        <v>0</v>
      </c>
      <c r="C5114">
        <v>0</v>
      </c>
      <c r="D5114" s="201">
        <v>-913</v>
      </c>
      <c r="E5114" s="201">
        <v>-2808</v>
      </c>
      <c r="F5114">
        <v>0</v>
      </c>
      <c r="G5114">
        <v>-1760</v>
      </c>
      <c r="H5114">
        <v>683</v>
      </c>
      <c r="I5114">
        <v>470</v>
      </c>
      <c r="J5114">
        <v>785</v>
      </c>
      <c r="K5114" s="201">
        <v>0</v>
      </c>
    </row>
    <row r="5115" spans="1:11" x14ac:dyDescent="0.25">
      <c r="A5115"/>
      <c r="B5115" s="201">
        <v>0</v>
      </c>
      <c r="C5115">
        <v>0</v>
      </c>
      <c r="D5115" s="201">
        <v>0</v>
      </c>
      <c r="E5115" s="201">
        <v>0</v>
      </c>
      <c r="F5115">
        <v>-1289</v>
      </c>
      <c r="G5115">
        <v>0</v>
      </c>
      <c r="H5115">
        <v>-462</v>
      </c>
      <c r="I5115">
        <v>783</v>
      </c>
      <c r="J5115">
        <v>465</v>
      </c>
      <c r="K5115" s="201">
        <v>0</v>
      </c>
    </row>
    <row r="5116" spans="1:11" x14ac:dyDescent="0.25">
      <c r="A5116"/>
      <c r="B5116" s="201">
        <v>208</v>
      </c>
      <c r="C5116">
        <v>-4765</v>
      </c>
      <c r="D5116" s="201">
        <v>323</v>
      </c>
      <c r="E5116" s="201">
        <v>-562</v>
      </c>
      <c r="F5116">
        <v>346</v>
      </c>
      <c r="G5116">
        <v>-21</v>
      </c>
      <c r="H5116">
        <v>-215</v>
      </c>
      <c r="I5116">
        <v>-1142</v>
      </c>
      <c r="J5116">
        <v>0</v>
      </c>
      <c r="K5116" s="201">
        <v>-77</v>
      </c>
    </row>
    <row r="5117" spans="1:11" x14ac:dyDescent="0.25">
      <c r="A5117"/>
      <c r="B5117" s="201">
        <v>0</v>
      </c>
      <c r="C5117">
        <v>0</v>
      </c>
      <c r="D5117" s="201">
        <v>-932</v>
      </c>
      <c r="E5117" s="201">
        <v>-116</v>
      </c>
      <c r="F5117">
        <v>0</v>
      </c>
      <c r="G5117">
        <v>-642</v>
      </c>
      <c r="H5117">
        <v>0</v>
      </c>
      <c r="I5117">
        <v>0</v>
      </c>
      <c r="J5117">
        <v>115</v>
      </c>
      <c r="K5117" s="201">
        <v>0</v>
      </c>
    </row>
    <row r="5118" spans="1:11" x14ac:dyDescent="0.25">
      <c r="A5118"/>
      <c r="B5118" s="201">
        <v>-459</v>
      </c>
      <c r="C5118">
        <v>16</v>
      </c>
      <c r="D5118" s="201">
        <v>-543</v>
      </c>
      <c r="E5118" s="201">
        <v>0</v>
      </c>
      <c r="F5118">
        <v>0</v>
      </c>
      <c r="G5118">
        <v>0</v>
      </c>
      <c r="H5118">
        <v>0</v>
      </c>
      <c r="I5118">
        <v>0</v>
      </c>
      <c r="J5118">
        <v>-721</v>
      </c>
      <c r="K5118" s="201">
        <v>0</v>
      </c>
    </row>
    <row r="5119" spans="1:11" x14ac:dyDescent="0.25">
      <c r="A5119"/>
      <c r="B5119" s="201">
        <v>-371</v>
      </c>
      <c r="C5119">
        <v>-214</v>
      </c>
      <c r="D5119" s="201">
        <v>-109</v>
      </c>
      <c r="E5119" s="201">
        <v>0</v>
      </c>
      <c r="F5119">
        <v>-295</v>
      </c>
      <c r="G5119">
        <v>-7101</v>
      </c>
      <c r="H5119">
        <v>71</v>
      </c>
      <c r="I5119">
        <v>0</v>
      </c>
      <c r="J5119">
        <v>0</v>
      </c>
      <c r="K5119" s="201">
        <v>0</v>
      </c>
    </row>
    <row r="5120" spans="1:11" x14ac:dyDescent="0.25">
      <c r="A5120"/>
      <c r="B5120" s="201">
        <v>8</v>
      </c>
      <c r="C5120">
        <v>-532</v>
      </c>
      <c r="D5120" s="201">
        <v>352</v>
      </c>
      <c r="E5120" s="201">
        <v>17</v>
      </c>
      <c r="F5120">
        <v>64</v>
      </c>
      <c r="G5120">
        <v>0</v>
      </c>
      <c r="H5120">
        <v>-427</v>
      </c>
      <c r="I5120">
        <v>0</v>
      </c>
      <c r="J5120">
        <v>0</v>
      </c>
      <c r="K5120" s="201">
        <v>-46</v>
      </c>
    </row>
    <row r="5121" spans="1:11" x14ac:dyDescent="0.25">
      <c r="A5121"/>
      <c r="B5121" s="201">
        <v>0</v>
      </c>
      <c r="C5121">
        <v>725</v>
      </c>
      <c r="D5121" s="201">
        <v>0</v>
      </c>
      <c r="E5121" s="201">
        <v>499</v>
      </c>
      <c r="F5121">
        <v>0</v>
      </c>
      <c r="G5121">
        <v>0</v>
      </c>
      <c r="H5121">
        <v>0</v>
      </c>
      <c r="I5121">
        <v>0</v>
      </c>
      <c r="J5121">
        <v>0</v>
      </c>
      <c r="K5121" s="201">
        <v>0</v>
      </c>
    </row>
    <row r="5122" spans="1:11" x14ac:dyDescent="0.25">
      <c r="A5122"/>
      <c r="B5122" s="201">
        <v>0</v>
      </c>
      <c r="C5122">
        <v>0</v>
      </c>
      <c r="D5122" s="201">
        <v>-463</v>
      </c>
      <c r="E5122" s="201">
        <v>0</v>
      </c>
      <c r="F5122">
        <v>-307</v>
      </c>
      <c r="G5122">
        <v>-292</v>
      </c>
      <c r="H5122">
        <v>0</v>
      </c>
      <c r="I5122">
        <v>0</v>
      </c>
      <c r="J5122">
        <v>1150</v>
      </c>
      <c r="K5122" s="201">
        <v>1948</v>
      </c>
    </row>
    <row r="5123" spans="1:11" x14ac:dyDescent="0.25">
      <c r="A5123"/>
      <c r="B5123" s="201">
        <v>0</v>
      </c>
      <c r="C5123">
        <v>0</v>
      </c>
      <c r="D5123" s="201">
        <v>0</v>
      </c>
      <c r="E5123" s="201">
        <v>0</v>
      </c>
      <c r="F5123">
        <v>0</v>
      </c>
      <c r="G5123">
        <v>-2951</v>
      </c>
      <c r="H5123">
        <v>-715</v>
      </c>
      <c r="I5123">
        <v>-2689</v>
      </c>
      <c r="J5123">
        <v>-2173</v>
      </c>
      <c r="K5123" s="201">
        <v>-1360</v>
      </c>
    </row>
    <row r="5124" spans="1:11" x14ac:dyDescent="0.25">
      <c r="B5124" s="201">
        <v>-4879</v>
      </c>
      <c r="C5124">
        <v>0</v>
      </c>
      <c r="D5124" s="201">
        <v>0</v>
      </c>
      <c r="E5124" s="201">
        <v>0</v>
      </c>
      <c r="F5124">
        <v>0</v>
      </c>
      <c r="G5124">
        <v>1576</v>
      </c>
      <c r="H5124">
        <v>0</v>
      </c>
      <c r="I5124">
        <v>1300</v>
      </c>
      <c r="J5124">
        <v>0</v>
      </c>
      <c r="K5124" s="201">
        <v>0</v>
      </c>
    </row>
    <row r="5125" spans="1:11" x14ac:dyDescent="0.25">
      <c r="A5125"/>
      <c r="B5125" s="201">
        <v>-1197</v>
      </c>
      <c r="C5125">
        <v>826</v>
      </c>
      <c r="D5125" s="201">
        <v>0</v>
      </c>
      <c r="E5125" s="201">
        <v>0</v>
      </c>
      <c r="F5125">
        <v>0</v>
      </c>
      <c r="G5125">
        <v>0</v>
      </c>
      <c r="H5125">
        <v>-629</v>
      </c>
      <c r="I5125">
        <v>0</v>
      </c>
      <c r="J5125">
        <v>832</v>
      </c>
      <c r="K5125" s="201">
        <v>-1581</v>
      </c>
    </row>
    <row r="5126" spans="1:11" x14ac:dyDescent="0.25">
      <c r="A5126"/>
      <c r="B5126" s="201">
        <v>-2344</v>
      </c>
      <c r="C5126">
        <v>-3152</v>
      </c>
      <c r="D5126" s="201">
        <v>-929</v>
      </c>
      <c r="E5126" s="201">
        <v>-524</v>
      </c>
      <c r="F5126">
        <v>-199</v>
      </c>
      <c r="G5126">
        <v>334</v>
      </c>
      <c r="H5126">
        <v>-5</v>
      </c>
      <c r="I5126">
        <v>246</v>
      </c>
      <c r="J5126">
        <v>0</v>
      </c>
      <c r="K5126" s="201">
        <v>0</v>
      </c>
    </row>
    <row r="5127" spans="1:11" x14ac:dyDescent="0.25">
      <c r="A5127"/>
      <c r="B5127" s="201">
        <v>0</v>
      </c>
      <c r="C5127">
        <v>0</v>
      </c>
      <c r="D5127" s="201">
        <v>0</v>
      </c>
      <c r="E5127" s="201">
        <v>0</v>
      </c>
      <c r="F5127">
        <v>0</v>
      </c>
      <c r="G5127">
        <v>377</v>
      </c>
      <c r="H5127">
        <v>-1694</v>
      </c>
      <c r="I5127">
        <v>-4420</v>
      </c>
      <c r="J5127">
        <v>-1144</v>
      </c>
      <c r="K5127" s="201">
        <v>-3381</v>
      </c>
    </row>
    <row r="5128" spans="1:11" x14ac:dyDescent="0.25">
      <c r="A5128"/>
      <c r="B5128" s="201">
        <v>1748</v>
      </c>
      <c r="C5128">
        <v>0</v>
      </c>
      <c r="D5128" s="201">
        <v>0</v>
      </c>
      <c r="E5128" s="201">
        <v>-401</v>
      </c>
      <c r="F5128">
        <v>0</v>
      </c>
      <c r="G5128">
        <v>-780</v>
      </c>
      <c r="H5128">
        <v>768</v>
      </c>
      <c r="I5128">
        <v>0</v>
      </c>
      <c r="J5128">
        <v>0</v>
      </c>
      <c r="K5128" s="201">
        <v>0</v>
      </c>
    </row>
    <row r="5129" spans="1:11" x14ac:dyDescent="0.25">
      <c r="A5129"/>
      <c r="B5129" s="201">
        <v>0</v>
      </c>
      <c r="C5129">
        <v>-971</v>
      </c>
      <c r="D5129" s="201">
        <v>0</v>
      </c>
      <c r="E5129" s="201">
        <v>188</v>
      </c>
      <c r="F5129">
        <v>1659</v>
      </c>
      <c r="G5129">
        <v>0</v>
      </c>
      <c r="H5129">
        <v>0</v>
      </c>
      <c r="I5129">
        <v>0</v>
      </c>
      <c r="J5129">
        <v>0</v>
      </c>
      <c r="K5129" s="201">
        <v>0</v>
      </c>
    </row>
    <row r="5130" spans="1:11" x14ac:dyDescent="0.25">
      <c r="A5130"/>
      <c r="B5130" s="201">
        <v>0</v>
      </c>
      <c r="C5130">
        <v>0</v>
      </c>
      <c r="D5130" s="201">
        <v>0</v>
      </c>
      <c r="E5130" s="201">
        <v>0</v>
      </c>
      <c r="F5130">
        <v>0</v>
      </c>
      <c r="G5130">
        <v>0</v>
      </c>
      <c r="H5130">
        <v>0</v>
      </c>
      <c r="I5130">
        <v>0</v>
      </c>
      <c r="J5130">
        <v>0</v>
      </c>
      <c r="K5130" s="201">
        <v>0</v>
      </c>
    </row>
    <row r="5131" spans="1:11" x14ac:dyDescent="0.25">
      <c r="A5131"/>
      <c r="B5131" s="201">
        <v>-657</v>
      </c>
      <c r="C5131">
        <v>0</v>
      </c>
      <c r="D5131" s="201">
        <v>0</v>
      </c>
      <c r="E5131" s="201">
        <v>0</v>
      </c>
      <c r="F5131">
        <v>0</v>
      </c>
      <c r="G5131">
        <v>0</v>
      </c>
      <c r="H5131">
        <v>-22</v>
      </c>
      <c r="I5131">
        <v>3195</v>
      </c>
      <c r="J5131">
        <v>3292</v>
      </c>
      <c r="K5131" s="201">
        <v>37626</v>
      </c>
    </row>
    <row r="5132" spans="1:11" x14ac:dyDescent="0.25">
      <c r="A5132"/>
      <c r="B5132" s="201">
        <v>19378</v>
      </c>
      <c r="C5132">
        <v>19675</v>
      </c>
      <c r="D5132" s="201">
        <v>18410</v>
      </c>
      <c r="E5132" s="201">
        <v>143</v>
      </c>
      <c r="F5132">
        <v>-100</v>
      </c>
      <c r="G5132">
        <v>-208</v>
      </c>
      <c r="H5132">
        <v>4647</v>
      </c>
      <c r="I5132">
        <v>2973</v>
      </c>
      <c r="J5132">
        <v>28978</v>
      </c>
      <c r="K5132" s="201">
        <v>14965</v>
      </c>
    </row>
    <row r="5133" spans="1:11" x14ac:dyDescent="0.25">
      <c r="A5133"/>
      <c r="B5133" s="201">
        <v>14494</v>
      </c>
      <c r="C5133">
        <v>13144</v>
      </c>
      <c r="D5133" s="201">
        <v>704</v>
      </c>
      <c r="E5133" s="201">
        <v>0</v>
      </c>
      <c r="F5133">
        <v>23551</v>
      </c>
      <c r="G5133">
        <v>23855</v>
      </c>
      <c r="H5133">
        <v>22963</v>
      </c>
      <c r="I5133">
        <v>19766</v>
      </c>
      <c r="J5133">
        <v>-6238</v>
      </c>
      <c r="K5133" s="201">
        <v>-1698</v>
      </c>
    </row>
    <row r="5134" spans="1:11" x14ac:dyDescent="0.25">
      <c r="A5134"/>
      <c r="B5134" s="201">
        <v>949</v>
      </c>
      <c r="C5134">
        <v>360</v>
      </c>
      <c r="D5134" s="201">
        <v>1058</v>
      </c>
      <c r="E5134" s="201">
        <v>0</v>
      </c>
      <c r="F5134">
        <v>0</v>
      </c>
      <c r="G5134">
        <v>-180</v>
      </c>
      <c r="H5134">
        <v>0</v>
      </c>
      <c r="I5134">
        <v>0</v>
      </c>
      <c r="J5134">
        <v>0</v>
      </c>
      <c r="K5134" s="201">
        <v>-983</v>
      </c>
    </row>
    <row r="5135" spans="1:11" x14ac:dyDescent="0.25">
      <c r="A5135"/>
      <c r="B5135" s="201">
        <v>1177</v>
      </c>
      <c r="C5135">
        <v>0</v>
      </c>
      <c r="D5135" s="201">
        <v>0</v>
      </c>
      <c r="E5135" s="201">
        <v>0</v>
      </c>
      <c r="F5135">
        <v>0</v>
      </c>
      <c r="G5135">
        <v>0</v>
      </c>
      <c r="H5135">
        <v>0</v>
      </c>
      <c r="I5135">
        <v>758</v>
      </c>
      <c r="J5135">
        <v>0</v>
      </c>
      <c r="K5135" s="201">
        <v>0</v>
      </c>
    </row>
    <row r="5136" spans="1:11" x14ac:dyDescent="0.25">
      <c r="B5136" s="201">
        <v>-215</v>
      </c>
      <c r="C5136">
        <v>0</v>
      </c>
      <c r="D5136" s="201">
        <v>241</v>
      </c>
      <c r="E5136" s="201">
        <v>0</v>
      </c>
      <c r="F5136">
        <v>417</v>
      </c>
      <c r="G5136">
        <v>3605</v>
      </c>
      <c r="H5136">
        <v>1767</v>
      </c>
      <c r="I5136">
        <v>0</v>
      </c>
      <c r="J5136">
        <v>-1870</v>
      </c>
      <c r="K5136" s="201">
        <v>-1549</v>
      </c>
    </row>
    <row r="5137" spans="1:11" x14ac:dyDescent="0.25">
      <c r="A5137"/>
      <c r="B5137" s="201">
        <v>256</v>
      </c>
      <c r="C5137">
        <v>1618</v>
      </c>
      <c r="D5137" s="201">
        <v>1690</v>
      </c>
      <c r="E5137" s="201">
        <v>1210</v>
      </c>
      <c r="F5137">
        <v>0</v>
      </c>
      <c r="G5137">
        <v>-350</v>
      </c>
      <c r="H5137">
        <v>0</v>
      </c>
      <c r="I5137">
        <v>0</v>
      </c>
      <c r="J5137">
        <v>0</v>
      </c>
      <c r="K5137" s="201">
        <v>0</v>
      </c>
    </row>
    <row r="5138" spans="1:11" x14ac:dyDescent="0.25">
      <c r="A5138"/>
      <c r="B5138" s="201">
        <v>0</v>
      </c>
      <c r="C5138">
        <v>129</v>
      </c>
      <c r="D5138" s="201">
        <v>0</v>
      </c>
      <c r="E5138" s="201">
        <v>0</v>
      </c>
      <c r="F5138">
        <v>0</v>
      </c>
      <c r="G5138">
        <v>780</v>
      </c>
      <c r="H5138">
        <v>0</v>
      </c>
      <c r="I5138">
        <v>284</v>
      </c>
      <c r="J5138">
        <v>0</v>
      </c>
      <c r="K5138" s="201">
        <v>0</v>
      </c>
    </row>
    <row r="5139" spans="1:11" x14ac:dyDescent="0.25">
      <c r="A5139"/>
      <c r="B5139" s="201">
        <v>0</v>
      </c>
      <c r="C5139">
        <v>0</v>
      </c>
      <c r="D5139" s="201">
        <v>0</v>
      </c>
      <c r="E5139" s="201">
        <v>-47</v>
      </c>
      <c r="F5139">
        <v>0</v>
      </c>
      <c r="G5139">
        <v>-2</v>
      </c>
      <c r="H5139">
        <v>345</v>
      </c>
      <c r="I5139">
        <v>0</v>
      </c>
      <c r="J5139">
        <v>0</v>
      </c>
      <c r="K5139" s="201">
        <v>5049</v>
      </c>
    </row>
    <row r="5140" spans="1:11" x14ac:dyDescent="0.25">
      <c r="B5140" s="201">
        <v>-2656</v>
      </c>
      <c r="C5140" s="201">
        <v>0</v>
      </c>
      <c r="D5140" s="201">
        <v>-1436</v>
      </c>
      <c r="E5140" s="201">
        <v>0</v>
      </c>
      <c r="F5140">
        <v>0</v>
      </c>
      <c r="G5140">
        <v>0</v>
      </c>
      <c r="H5140">
        <v>0</v>
      </c>
      <c r="I5140">
        <v>88</v>
      </c>
      <c r="J5140">
        <v>-2010</v>
      </c>
      <c r="K5140" s="201">
        <v>-696</v>
      </c>
    </row>
    <row r="5141" spans="1:11" x14ac:dyDescent="0.25">
      <c r="A5141"/>
      <c r="B5141" s="201">
        <v>0</v>
      </c>
      <c r="C5141">
        <v>0</v>
      </c>
      <c r="D5141" s="201">
        <v>293</v>
      </c>
      <c r="E5141" s="201">
        <v>-119</v>
      </c>
      <c r="F5141">
        <v>0</v>
      </c>
      <c r="G5141">
        <v>-506</v>
      </c>
      <c r="H5141">
        <v>-1335</v>
      </c>
      <c r="I5141">
        <v>61</v>
      </c>
      <c r="J5141">
        <v>-1127</v>
      </c>
      <c r="K5141" s="201">
        <v>-1860</v>
      </c>
    </row>
    <row r="5142" spans="1:11" x14ac:dyDescent="0.25">
      <c r="A5142"/>
      <c r="B5142" s="201">
        <v>-1609</v>
      </c>
      <c r="C5142">
        <v>-1872</v>
      </c>
      <c r="D5142" s="201">
        <v>0</v>
      </c>
      <c r="E5142" s="201">
        <v>0</v>
      </c>
      <c r="F5142">
        <v>0</v>
      </c>
      <c r="G5142">
        <v>0</v>
      </c>
      <c r="H5142">
        <v>0</v>
      </c>
      <c r="I5142">
        <v>-3510</v>
      </c>
      <c r="J5142">
        <v>0</v>
      </c>
      <c r="K5142" s="201">
        <v>-3295</v>
      </c>
    </row>
    <row r="5143" spans="1:11" x14ac:dyDescent="0.25">
      <c r="A5143"/>
      <c r="B5143" s="201">
        <v>-2184</v>
      </c>
      <c r="C5143">
        <v>-1310</v>
      </c>
      <c r="D5143" s="201">
        <v>0</v>
      </c>
      <c r="E5143" s="201">
        <v>-13928</v>
      </c>
      <c r="F5143">
        <v>-21294</v>
      </c>
      <c r="G5143">
        <v>16908</v>
      </c>
      <c r="H5143">
        <v>41041</v>
      </c>
      <c r="I5143">
        <v>25908</v>
      </c>
      <c r="J5143">
        <v>0</v>
      </c>
      <c r="K5143" s="201">
        <v>19009</v>
      </c>
    </row>
    <row r="5144" spans="1:11" x14ac:dyDescent="0.25">
      <c r="A5144"/>
      <c r="B5144" s="201">
        <v>22391</v>
      </c>
      <c r="C5144" s="201">
        <v>21750</v>
      </c>
      <c r="D5144" s="201">
        <v>14549</v>
      </c>
      <c r="E5144" s="201">
        <v>0</v>
      </c>
      <c r="F5144">
        <v>11677</v>
      </c>
      <c r="G5144">
        <v>45065</v>
      </c>
      <c r="H5144">
        <v>0</v>
      </c>
      <c r="I5144">
        <v>0</v>
      </c>
      <c r="J5144">
        <v>0</v>
      </c>
      <c r="K5144" s="201">
        <v>2610</v>
      </c>
    </row>
    <row r="5145" spans="1:11" x14ac:dyDescent="0.25">
      <c r="B5145" s="201">
        <v>12867</v>
      </c>
      <c r="C5145">
        <v>0</v>
      </c>
      <c r="D5145" s="201">
        <v>13681</v>
      </c>
      <c r="E5145" s="201">
        <v>18239</v>
      </c>
      <c r="F5145">
        <v>17562</v>
      </c>
      <c r="G5145">
        <v>23251</v>
      </c>
      <c r="H5145">
        <v>0</v>
      </c>
      <c r="I5145">
        <v>0</v>
      </c>
      <c r="J5145">
        <v>0</v>
      </c>
      <c r="K5145" s="201">
        <v>0</v>
      </c>
    </row>
    <row r="5146" spans="1:11" x14ac:dyDescent="0.25">
      <c r="A5146"/>
      <c r="B5146" s="201">
        <v>0</v>
      </c>
      <c r="C5146">
        <v>-5562</v>
      </c>
      <c r="D5146" s="201">
        <v>0</v>
      </c>
      <c r="E5146" s="201">
        <v>-6533</v>
      </c>
      <c r="F5146">
        <v>7459</v>
      </c>
      <c r="G5146">
        <v>15582</v>
      </c>
      <c r="H5146">
        <v>0</v>
      </c>
      <c r="I5146">
        <v>1315</v>
      </c>
      <c r="J5146">
        <v>-4553</v>
      </c>
      <c r="K5146" s="201">
        <v>-905</v>
      </c>
    </row>
    <row r="5147" spans="1:11" x14ac:dyDescent="0.25">
      <c r="A5147"/>
      <c r="B5147" s="201">
        <v>-3078</v>
      </c>
      <c r="C5147">
        <v>69</v>
      </c>
      <c r="D5147" s="201">
        <v>182</v>
      </c>
      <c r="E5147" s="201">
        <v>8</v>
      </c>
      <c r="F5147">
        <v>-844</v>
      </c>
      <c r="G5147">
        <v>0</v>
      </c>
      <c r="H5147">
        <v>-2694</v>
      </c>
      <c r="I5147">
        <v>0</v>
      </c>
      <c r="J5147">
        <v>0</v>
      </c>
      <c r="K5147" s="201">
        <v>6051</v>
      </c>
    </row>
    <row r="5148" spans="1:11" x14ac:dyDescent="0.25">
      <c r="A5148"/>
      <c r="B5148" s="201">
        <v>190</v>
      </c>
      <c r="C5148">
        <v>0</v>
      </c>
      <c r="D5148" s="201">
        <v>1007</v>
      </c>
      <c r="E5148" s="201">
        <v>0</v>
      </c>
      <c r="F5148">
        <v>0</v>
      </c>
      <c r="G5148">
        <v>70</v>
      </c>
      <c r="H5148">
        <v>0</v>
      </c>
      <c r="I5148">
        <v>-1827</v>
      </c>
      <c r="J5148">
        <v>-2349</v>
      </c>
      <c r="K5148" s="201">
        <v>-3187</v>
      </c>
    </row>
    <row r="5149" spans="1:11" x14ac:dyDescent="0.25">
      <c r="A5149"/>
      <c r="B5149" s="201">
        <v>0</v>
      </c>
      <c r="C5149">
        <v>0</v>
      </c>
      <c r="D5149" s="201">
        <v>0</v>
      </c>
      <c r="E5149" s="201">
        <v>0</v>
      </c>
      <c r="F5149">
        <v>0</v>
      </c>
      <c r="G5149">
        <v>-557</v>
      </c>
      <c r="H5149">
        <v>0</v>
      </c>
      <c r="I5149">
        <v>-734</v>
      </c>
      <c r="J5149">
        <v>-2731</v>
      </c>
      <c r="K5149" s="201">
        <v>-3026</v>
      </c>
    </row>
    <row r="5150" spans="1:11" x14ac:dyDescent="0.25">
      <c r="A5150"/>
      <c r="B5150" s="201">
        <v>0</v>
      </c>
      <c r="C5150">
        <v>1748</v>
      </c>
      <c r="D5150" s="201">
        <v>-8335</v>
      </c>
      <c r="E5150" s="201">
        <v>-523</v>
      </c>
      <c r="F5150">
        <v>0</v>
      </c>
      <c r="G5150">
        <v>0</v>
      </c>
      <c r="H5150">
        <v>0</v>
      </c>
      <c r="I5150">
        <v>363</v>
      </c>
      <c r="J5150">
        <v>134</v>
      </c>
      <c r="K5150" s="201">
        <v>-574</v>
      </c>
    </row>
    <row r="5151" spans="1:11" x14ac:dyDescent="0.25">
      <c r="A5151"/>
      <c r="B5151" s="201">
        <v>-1411</v>
      </c>
      <c r="C5151">
        <v>165</v>
      </c>
      <c r="D5151" s="201">
        <v>0</v>
      </c>
      <c r="E5151" s="201">
        <v>4890</v>
      </c>
      <c r="F5151">
        <v>0</v>
      </c>
      <c r="G5151">
        <v>0</v>
      </c>
      <c r="H5151">
        <v>-44</v>
      </c>
      <c r="I5151">
        <v>0</v>
      </c>
      <c r="J5151">
        <v>-68</v>
      </c>
      <c r="K5151" s="201">
        <v>0</v>
      </c>
    </row>
    <row r="5152" spans="1:11" x14ac:dyDescent="0.25">
      <c r="B5152" s="201">
        <v>-262</v>
      </c>
      <c r="C5152">
        <v>0</v>
      </c>
      <c r="D5152" s="201">
        <v>0</v>
      </c>
      <c r="E5152" s="201">
        <v>0</v>
      </c>
      <c r="F5152">
        <v>0</v>
      </c>
      <c r="G5152">
        <v>0</v>
      </c>
      <c r="H5152">
        <v>0</v>
      </c>
      <c r="I5152">
        <v>0</v>
      </c>
      <c r="J5152">
        <v>0</v>
      </c>
      <c r="K5152" s="201">
        <v>-1241</v>
      </c>
    </row>
    <row r="5153" spans="1:11" x14ac:dyDescent="0.25">
      <c r="A5153"/>
      <c r="B5153" s="201">
        <v>0</v>
      </c>
      <c r="C5153">
        <v>-807</v>
      </c>
      <c r="D5153" s="201">
        <v>-1357</v>
      </c>
      <c r="E5153" s="201">
        <v>-1366</v>
      </c>
      <c r="F5153">
        <v>0</v>
      </c>
      <c r="G5153">
        <v>3877</v>
      </c>
      <c r="H5153">
        <v>2504</v>
      </c>
      <c r="I5153">
        <v>0</v>
      </c>
      <c r="J5153">
        <v>0</v>
      </c>
      <c r="K5153" s="201">
        <v>0</v>
      </c>
    </row>
    <row r="5154" spans="1:11" x14ac:dyDescent="0.25">
      <c r="A5154"/>
      <c r="B5154" s="201">
        <v>0</v>
      </c>
      <c r="C5154">
        <v>0</v>
      </c>
      <c r="D5154" s="201">
        <v>-3579</v>
      </c>
      <c r="E5154" s="201">
        <v>-3148</v>
      </c>
      <c r="F5154">
        <v>-4807</v>
      </c>
      <c r="G5154">
        <v>-3427</v>
      </c>
      <c r="H5154">
        <v>-2513</v>
      </c>
      <c r="I5154">
        <v>4283</v>
      </c>
      <c r="J5154">
        <v>0</v>
      </c>
      <c r="K5154" s="201">
        <v>0</v>
      </c>
    </row>
    <row r="5155" spans="1:11" x14ac:dyDescent="0.25">
      <c r="A5155"/>
      <c r="B5155" s="201">
        <v>0</v>
      </c>
      <c r="C5155">
        <v>0</v>
      </c>
      <c r="D5155" s="201">
        <v>246</v>
      </c>
      <c r="E5155" s="201">
        <v>0</v>
      </c>
      <c r="F5155">
        <v>694</v>
      </c>
      <c r="G5155">
        <v>0</v>
      </c>
      <c r="H5155">
        <v>0</v>
      </c>
      <c r="I5155">
        <v>-2030</v>
      </c>
      <c r="J5155">
        <v>-993</v>
      </c>
      <c r="K5155" s="201">
        <v>0</v>
      </c>
    </row>
    <row r="5156" spans="1:11" x14ac:dyDescent="0.25">
      <c r="A5156"/>
      <c r="B5156" s="201">
        <v>0</v>
      </c>
      <c r="C5156">
        <v>0</v>
      </c>
      <c r="D5156" s="201">
        <v>0</v>
      </c>
      <c r="E5156" s="201">
        <v>-2265</v>
      </c>
      <c r="F5156">
        <v>0</v>
      </c>
      <c r="G5156">
        <v>-719</v>
      </c>
      <c r="H5156">
        <v>-2779</v>
      </c>
      <c r="I5156">
        <v>-3941</v>
      </c>
      <c r="J5156">
        <v>-6389</v>
      </c>
      <c r="K5156" s="201">
        <v>-4935</v>
      </c>
    </row>
    <row r="5157" spans="1:11" x14ac:dyDescent="0.25">
      <c r="A5157"/>
      <c r="B5157" s="201">
        <v>-9049</v>
      </c>
      <c r="C5157">
        <v>-8778</v>
      </c>
      <c r="D5157" s="201">
        <v>108</v>
      </c>
      <c r="E5157" s="201">
        <v>-3984</v>
      </c>
      <c r="F5157">
        <v>-2466</v>
      </c>
      <c r="G5157">
        <v>0</v>
      </c>
      <c r="H5157">
        <v>0</v>
      </c>
      <c r="I5157">
        <v>0</v>
      </c>
      <c r="J5157">
        <v>0</v>
      </c>
      <c r="K5157" s="201">
        <v>0</v>
      </c>
    </row>
    <row r="5158" spans="1:11" x14ac:dyDescent="0.25">
      <c r="A5158"/>
      <c r="B5158" s="201">
        <v>0</v>
      </c>
      <c r="C5158">
        <v>0</v>
      </c>
      <c r="D5158" s="201">
        <v>393</v>
      </c>
      <c r="E5158" s="201">
        <v>-146</v>
      </c>
      <c r="F5158">
        <v>-1689</v>
      </c>
      <c r="G5158">
        <v>106</v>
      </c>
      <c r="H5158">
        <v>-2175</v>
      </c>
      <c r="I5158">
        <v>-1150</v>
      </c>
      <c r="J5158">
        <v>0</v>
      </c>
      <c r="K5158" s="201">
        <v>0</v>
      </c>
    </row>
    <row r="5159" spans="1:11" x14ac:dyDescent="0.25">
      <c r="B5159" s="201">
        <v>-2310</v>
      </c>
      <c r="C5159">
        <v>0</v>
      </c>
      <c r="D5159" s="201">
        <v>858</v>
      </c>
      <c r="E5159" s="201">
        <v>2728</v>
      </c>
      <c r="F5159">
        <v>0</v>
      </c>
      <c r="G5159">
        <v>0</v>
      </c>
      <c r="H5159">
        <v>0</v>
      </c>
      <c r="I5159">
        <v>0</v>
      </c>
      <c r="J5159">
        <v>-4837</v>
      </c>
      <c r="K5159" s="201">
        <v>0</v>
      </c>
    </row>
    <row r="5160" spans="1:11" x14ac:dyDescent="0.25">
      <c r="B5160" s="201">
        <v>-2285</v>
      </c>
      <c r="C5160">
        <v>-511</v>
      </c>
      <c r="D5160" s="201">
        <v>0</v>
      </c>
      <c r="E5160" s="201">
        <v>0</v>
      </c>
      <c r="F5160">
        <v>0</v>
      </c>
      <c r="G5160">
        <v>0</v>
      </c>
      <c r="H5160">
        <v>0</v>
      </c>
      <c r="I5160">
        <v>0</v>
      </c>
      <c r="J5160">
        <v>0</v>
      </c>
      <c r="K5160" s="201">
        <v>0</v>
      </c>
    </row>
    <row r="5161" spans="1:11" x14ac:dyDescent="0.25">
      <c r="A5161"/>
      <c r="B5161" s="201">
        <v>0</v>
      </c>
      <c r="C5161">
        <v>0</v>
      </c>
      <c r="D5161" s="201">
        <v>0</v>
      </c>
      <c r="E5161" s="201">
        <v>0</v>
      </c>
      <c r="F5161">
        <v>0</v>
      </c>
      <c r="G5161">
        <v>0</v>
      </c>
      <c r="H5161">
        <v>0</v>
      </c>
      <c r="I5161">
        <v>782</v>
      </c>
      <c r="J5161">
        <v>0</v>
      </c>
      <c r="K5161" s="201">
        <v>0</v>
      </c>
    </row>
    <row r="5162" spans="1:11" x14ac:dyDescent="0.25">
      <c r="A5162"/>
      <c r="B5162" s="201">
        <v>0</v>
      </c>
      <c r="C5162">
        <v>0</v>
      </c>
      <c r="D5162" s="201">
        <v>0</v>
      </c>
      <c r="E5162" s="201">
        <v>-828</v>
      </c>
      <c r="F5162">
        <v>2910</v>
      </c>
      <c r="G5162">
        <v>2877</v>
      </c>
      <c r="H5162">
        <v>15774</v>
      </c>
      <c r="I5162">
        <v>49203</v>
      </c>
      <c r="J5162">
        <v>16588</v>
      </c>
      <c r="K5162" s="201">
        <v>18374</v>
      </c>
    </row>
    <row r="5163" spans="1:11" x14ac:dyDescent="0.25">
      <c r="B5163" s="201">
        <v>1702</v>
      </c>
      <c r="C5163">
        <v>947</v>
      </c>
      <c r="D5163" s="201">
        <v>177</v>
      </c>
      <c r="E5163" s="201">
        <v>4536</v>
      </c>
      <c r="F5163">
        <v>3155</v>
      </c>
      <c r="G5163">
        <v>14703</v>
      </c>
      <c r="H5163">
        <v>27338</v>
      </c>
      <c r="I5163">
        <v>13286</v>
      </c>
      <c r="J5163">
        <v>13873</v>
      </c>
      <c r="K5163" s="201">
        <v>1506</v>
      </c>
    </row>
    <row r="5164" spans="1:11" x14ac:dyDescent="0.25">
      <c r="A5164"/>
      <c r="B5164" s="201">
        <v>0</v>
      </c>
      <c r="C5164">
        <v>17013</v>
      </c>
      <c r="D5164" s="201">
        <v>29823</v>
      </c>
      <c r="E5164" s="201">
        <v>22535</v>
      </c>
      <c r="F5164">
        <v>20661</v>
      </c>
      <c r="G5164">
        <v>15100</v>
      </c>
      <c r="H5164">
        <v>0</v>
      </c>
      <c r="I5164">
        <v>-2198</v>
      </c>
      <c r="J5164">
        <v>130</v>
      </c>
      <c r="K5164" s="201">
        <v>-10</v>
      </c>
    </row>
    <row r="5165" spans="1:11" x14ac:dyDescent="0.25">
      <c r="A5165"/>
      <c r="B5165" s="201">
        <v>140</v>
      </c>
      <c r="C5165">
        <v>0</v>
      </c>
      <c r="D5165" s="201">
        <v>0</v>
      </c>
      <c r="E5165" s="201">
        <v>-12</v>
      </c>
      <c r="F5165">
        <v>0</v>
      </c>
      <c r="G5165">
        <v>0</v>
      </c>
      <c r="H5165">
        <v>0</v>
      </c>
      <c r="I5165">
        <v>24</v>
      </c>
      <c r="J5165">
        <v>148</v>
      </c>
      <c r="K5165" s="201">
        <v>0</v>
      </c>
    </row>
    <row r="5166" spans="1:11" x14ac:dyDescent="0.25">
      <c r="A5166"/>
      <c r="B5166" s="201">
        <v>0</v>
      </c>
      <c r="C5166">
        <v>0</v>
      </c>
      <c r="D5166" s="201">
        <v>0</v>
      </c>
      <c r="E5166" s="201">
        <v>0</v>
      </c>
      <c r="F5166">
        <v>0</v>
      </c>
      <c r="G5166">
        <v>592</v>
      </c>
      <c r="H5166">
        <v>0</v>
      </c>
      <c r="I5166">
        <v>0</v>
      </c>
      <c r="J5166">
        <v>42</v>
      </c>
      <c r="K5166" s="201">
        <v>0</v>
      </c>
    </row>
    <row r="5167" spans="1:11" x14ac:dyDescent="0.25">
      <c r="A5167"/>
      <c r="B5167" s="201">
        <v>-37</v>
      </c>
      <c r="C5167">
        <v>0</v>
      </c>
      <c r="D5167" s="201">
        <v>373</v>
      </c>
      <c r="E5167" s="201">
        <v>-388</v>
      </c>
      <c r="F5167">
        <v>-222</v>
      </c>
      <c r="G5167">
        <v>0</v>
      </c>
      <c r="H5167">
        <v>-549</v>
      </c>
      <c r="I5167">
        <v>-2273</v>
      </c>
      <c r="J5167">
        <v>366</v>
      </c>
      <c r="K5167" s="201">
        <v>77</v>
      </c>
    </row>
    <row r="5168" spans="1:11" x14ac:dyDescent="0.25">
      <c r="A5168"/>
      <c r="B5168" s="201">
        <v>-8</v>
      </c>
      <c r="C5168">
        <v>331</v>
      </c>
      <c r="D5168" s="201">
        <v>0</v>
      </c>
      <c r="E5168" s="201">
        <v>-11</v>
      </c>
      <c r="F5168">
        <v>0</v>
      </c>
      <c r="G5168">
        <v>0</v>
      </c>
      <c r="H5168">
        <v>0</v>
      </c>
      <c r="I5168">
        <v>0</v>
      </c>
      <c r="J5168">
        <v>0</v>
      </c>
      <c r="K5168" s="201">
        <v>-41</v>
      </c>
    </row>
    <row r="5169" spans="1:11" x14ac:dyDescent="0.25">
      <c r="A5169"/>
      <c r="B5169" s="201">
        <v>0</v>
      </c>
      <c r="C5169">
        <v>0</v>
      </c>
      <c r="D5169" s="201">
        <v>0</v>
      </c>
      <c r="E5169" s="201">
        <v>-220</v>
      </c>
      <c r="F5169">
        <v>0</v>
      </c>
      <c r="G5169">
        <v>-8</v>
      </c>
      <c r="H5169">
        <v>0</v>
      </c>
      <c r="I5169">
        <v>0</v>
      </c>
      <c r="J5169">
        <v>0</v>
      </c>
      <c r="K5169" s="201">
        <v>0</v>
      </c>
    </row>
    <row r="5170" spans="1:11" x14ac:dyDescent="0.25">
      <c r="A5170"/>
      <c r="B5170" s="201">
        <v>0</v>
      </c>
      <c r="C5170">
        <v>46</v>
      </c>
      <c r="D5170" s="201">
        <v>0</v>
      </c>
      <c r="E5170" s="201">
        <v>194</v>
      </c>
      <c r="F5170">
        <v>192</v>
      </c>
      <c r="G5170">
        <v>0</v>
      </c>
      <c r="H5170">
        <v>0</v>
      </c>
      <c r="I5170">
        <v>1703</v>
      </c>
      <c r="J5170">
        <v>-7996</v>
      </c>
      <c r="K5170" s="201">
        <v>0</v>
      </c>
    </row>
    <row r="5171" spans="1:11" x14ac:dyDescent="0.25">
      <c r="A5171"/>
      <c r="B5171" s="201">
        <v>533</v>
      </c>
      <c r="C5171">
        <v>0</v>
      </c>
      <c r="D5171" s="201">
        <v>0</v>
      </c>
      <c r="E5171" s="201">
        <v>0</v>
      </c>
      <c r="F5171">
        <v>0</v>
      </c>
      <c r="G5171">
        <v>49</v>
      </c>
      <c r="H5171">
        <v>54</v>
      </c>
      <c r="I5171">
        <v>76</v>
      </c>
      <c r="J5171">
        <v>0</v>
      </c>
      <c r="K5171" s="201">
        <v>0</v>
      </c>
    </row>
    <row r="5172" spans="1:11" x14ac:dyDescent="0.25">
      <c r="A5172"/>
      <c r="B5172" s="201">
        <v>57</v>
      </c>
      <c r="C5172">
        <v>-160</v>
      </c>
      <c r="D5172" s="201">
        <v>0</v>
      </c>
      <c r="E5172" s="201">
        <v>4</v>
      </c>
      <c r="F5172">
        <v>470</v>
      </c>
      <c r="G5172">
        <v>-109</v>
      </c>
      <c r="H5172">
        <v>278</v>
      </c>
      <c r="I5172">
        <v>138</v>
      </c>
      <c r="J5172">
        <v>173</v>
      </c>
      <c r="K5172" s="201">
        <v>719</v>
      </c>
    </row>
    <row r="5173" spans="1:11" x14ac:dyDescent="0.25">
      <c r="A5173"/>
      <c r="B5173" s="201">
        <v>0</v>
      </c>
      <c r="C5173">
        <v>0</v>
      </c>
      <c r="D5173" s="201">
        <v>0</v>
      </c>
      <c r="E5173" s="201">
        <v>0</v>
      </c>
      <c r="F5173">
        <v>0</v>
      </c>
      <c r="G5173">
        <v>-116</v>
      </c>
      <c r="H5173">
        <v>0</v>
      </c>
      <c r="I5173">
        <v>45</v>
      </c>
      <c r="J5173">
        <v>-1230</v>
      </c>
      <c r="K5173" s="201">
        <v>-507</v>
      </c>
    </row>
    <row r="5174" spans="1:11" x14ac:dyDescent="0.25">
      <c r="A5174"/>
      <c r="B5174" s="201">
        <v>0</v>
      </c>
      <c r="C5174">
        <v>-2368</v>
      </c>
      <c r="D5174" s="201">
        <v>-6763</v>
      </c>
      <c r="E5174" s="201">
        <v>699</v>
      </c>
      <c r="F5174">
        <v>1722</v>
      </c>
      <c r="G5174">
        <v>634</v>
      </c>
      <c r="H5174">
        <v>0</v>
      </c>
      <c r="I5174">
        <v>-209</v>
      </c>
      <c r="J5174">
        <v>-635</v>
      </c>
      <c r="K5174" s="201">
        <v>321</v>
      </c>
    </row>
    <row r="5175" spans="1:11" x14ac:dyDescent="0.25">
      <c r="A5175"/>
      <c r="B5175" s="201">
        <v>448</v>
      </c>
      <c r="C5175">
        <v>0</v>
      </c>
      <c r="D5175" s="201">
        <v>370</v>
      </c>
      <c r="E5175" s="201">
        <v>-2785</v>
      </c>
      <c r="F5175">
        <v>0</v>
      </c>
      <c r="G5175">
        <v>0</v>
      </c>
      <c r="H5175">
        <v>0</v>
      </c>
      <c r="I5175">
        <v>91</v>
      </c>
      <c r="J5175">
        <v>35</v>
      </c>
      <c r="K5175" s="201">
        <v>0</v>
      </c>
    </row>
    <row r="5176" spans="1:11" x14ac:dyDescent="0.25">
      <c r="A5176"/>
      <c r="B5176" s="201">
        <v>200</v>
      </c>
      <c r="C5176">
        <v>267</v>
      </c>
      <c r="D5176" s="201">
        <v>619</v>
      </c>
      <c r="E5176" s="201">
        <v>-260</v>
      </c>
      <c r="F5176">
        <v>0</v>
      </c>
      <c r="G5176">
        <v>0</v>
      </c>
      <c r="H5176">
        <v>0</v>
      </c>
      <c r="I5176">
        <v>0</v>
      </c>
      <c r="J5176">
        <v>0</v>
      </c>
      <c r="K5176" s="201">
        <v>517</v>
      </c>
    </row>
    <row r="5177" spans="1:11" x14ac:dyDescent="0.25">
      <c r="A5177"/>
      <c r="B5177" s="201">
        <v>0</v>
      </c>
      <c r="C5177">
        <v>-50</v>
      </c>
      <c r="D5177" s="201">
        <v>3127</v>
      </c>
      <c r="E5177" s="201">
        <v>1271</v>
      </c>
      <c r="F5177">
        <v>0</v>
      </c>
      <c r="G5177">
        <v>724</v>
      </c>
      <c r="H5177">
        <v>-13078</v>
      </c>
      <c r="I5177">
        <v>-3317</v>
      </c>
      <c r="J5177">
        <v>-6697</v>
      </c>
      <c r="K5177" s="201">
        <v>-3840</v>
      </c>
    </row>
    <row r="5178" spans="1:11" x14ac:dyDescent="0.25">
      <c r="B5178" s="201">
        <v>-1184</v>
      </c>
      <c r="C5178">
        <v>-1680</v>
      </c>
      <c r="D5178" s="201">
        <v>-1173</v>
      </c>
      <c r="E5178" s="201">
        <v>0</v>
      </c>
      <c r="F5178">
        <v>121</v>
      </c>
      <c r="G5178">
        <v>0</v>
      </c>
      <c r="H5178">
        <v>0</v>
      </c>
      <c r="I5178">
        <v>-1069</v>
      </c>
      <c r="J5178">
        <v>-214</v>
      </c>
      <c r="K5178" s="201">
        <v>0</v>
      </c>
    </row>
    <row r="5179" spans="1:11" x14ac:dyDescent="0.25">
      <c r="B5179" s="201">
        <v>1064</v>
      </c>
      <c r="C5179">
        <v>0</v>
      </c>
      <c r="D5179" s="201">
        <v>0</v>
      </c>
      <c r="E5179" s="201">
        <v>-11</v>
      </c>
      <c r="F5179">
        <v>0</v>
      </c>
      <c r="G5179">
        <v>-390</v>
      </c>
      <c r="H5179">
        <v>1088</v>
      </c>
      <c r="I5179">
        <v>-558</v>
      </c>
      <c r="J5179">
        <v>0</v>
      </c>
      <c r="K5179" s="201">
        <v>0</v>
      </c>
    </row>
    <row r="5180" spans="1:11" x14ac:dyDescent="0.25">
      <c r="A5180"/>
      <c r="B5180" s="201">
        <v>0</v>
      </c>
      <c r="C5180">
        <v>0</v>
      </c>
      <c r="D5180" s="201">
        <v>0</v>
      </c>
      <c r="E5180" s="201">
        <v>1545</v>
      </c>
      <c r="F5180">
        <v>0</v>
      </c>
      <c r="G5180">
        <v>-3145</v>
      </c>
      <c r="H5180">
        <v>1845</v>
      </c>
      <c r="I5180">
        <v>1025</v>
      </c>
      <c r="J5180">
        <v>0</v>
      </c>
      <c r="K5180" s="201">
        <v>2085</v>
      </c>
    </row>
    <row r="5181" spans="1:11" x14ac:dyDescent="0.25">
      <c r="A5181"/>
      <c r="B5181" s="201">
        <v>-10895</v>
      </c>
      <c r="C5181">
        <v>17</v>
      </c>
      <c r="D5181" s="201">
        <v>0</v>
      </c>
      <c r="E5181" s="201">
        <v>0</v>
      </c>
      <c r="F5181">
        <v>0</v>
      </c>
      <c r="G5181">
        <v>-617</v>
      </c>
      <c r="H5181">
        <v>-1082</v>
      </c>
      <c r="I5181">
        <v>-101</v>
      </c>
      <c r="J5181">
        <v>3</v>
      </c>
      <c r="K5181" s="201">
        <v>88</v>
      </c>
    </row>
    <row r="5182" spans="1:11" x14ac:dyDescent="0.25">
      <c r="A5182"/>
      <c r="B5182" s="201">
        <v>0</v>
      </c>
      <c r="C5182">
        <v>-304</v>
      </c>
      <c r="D5182" s="201">
        <v>0</v>
      </c>
      <c r="E5182" s="201">
        <v>0</v>
      </c>
      <c r="F5182">
        <v>330</v>
      </c>
      <c r="G5182">
        <v>0</v>
      </c>
      <c r="H5182">
        <v>148</v>
      </c>
      <c r="I5182">
        <v>0</v>
      </c>
      <c r="J5182">
        <v>54</v>
      </c>
      <c r="K5182" s="201">
        <v>0</v>
      </c>
    </row>
    <row r="5183" spans="1:11" x14ac:dyDescent="0.25">
      <c r="A5183"/>
      <c r="B5183" s="201">
        <v>0</v>
      </c>
      <c r="C5183">
        <v>0</v>
      </c>
      <c r="D5183" s="201">
        <v>0</v>
      </c>
      <c r="E5183" s="201">
        <v>0</v>
      </c>
      <c r="F5183">
        <v>0</v>
      </c>
      <c r="G5183">
        <v>0</v>
      </c>
      <c r="H5183">
        <v>0</v>
      </c>
      <c r="I5183">
        <v>161</v>
      </c>
      <c r="J5183">
        <v>0</v>
      </c>
      <c r="K5183" s="201">
        <v>-378</v>
      </c>
    </row>
    <row r="5184" spans="1:11" x14ac:dyDescent="0.25">
      <c r="A5184"/>
      <c r="B5184" s="201">
        <v>-970</v>
      </c>
      <c r="C5184">
        <v>-30</v>
      </c>
      <c r="D5184" s="201">
        <v>0</v>
      </c>
      <c r="E5184" s="201">
        <v>2828</v>
      </c>
      <c r="F5184">
        <v>2575</v>
      </c>
      <c r="G5184">
        <v>0</v>
      </c>
      <c r="H5184">
        <v>0</v>
      </c>
      <c r="I5184">
        <v>0</v>
      </c>
      <c r="J5184">
        <v>0</v>
      </c>
      <c r="K5184" s="201">
        <v>0</v>
      </c>
    </row>
    <row r="5185" spans="1:11" x14ac:dyDescent="0.25">
      <c r="A5185"/>
      <c r="B5185" s="201">
        <v>-4621</v>
      </c>
      <c r="C5185">
        <v>-1780</v>
      </c>
      <c r="D5185" s="201">
        <v>-4053</v>
      </c>
      <c r="E5185" s="201">
        <v>-3265</v>
      </c>
      <c r="F5185">
        <v>-2061</v>
      </c>
      <c r="G5185">
        <v>-6896</v>
      </c>
      <c r="H5185">
        <v>0</v>
      </c>
      <c r="I5185">
        <v>0</v>
      </c>
      <c r="J5185">
        <v>0</v>
      </c>
      <c r="K5185" s="201">
        <v>0</v>
      </c>
    </row>
    <row r="5186" spans="1:11" x14ac:dyDescent="0.25">
      <c r="A5186"/>
      <c r="B5186" s="201">
        <v>599</v>
      </c>
      <c r="C5186">
        <v>0</v>
      </c>
      <c r="D5186" s="201">
        <v>783</v>
      </c>
      <c r="E5186" s="201">
        <v>0</v>
      </c>
      <c r="F5186">
        <v>0</v>
      </c>
      <c r="G5186">
        <v>-1610</v>
      </c>
      <c r="H5186">
        <v>1092</v>
      </c>
      <c r="I5186">
        <v>0</v>
      </c>
      <c r="J5186">
        <v>0</v>
      </c>
      <c r="K5186" s="201">
        <v>0</v>
      </c>
    </row>
    <row r="5187" spans="1:11" x14ac:dyDescent="0.25">
      <c r="A5187"/>
      <c r="B5187" s="201">
        <v>0</v>
      </c>
      <c r="C5187">
        <v>623</v>
      </c>
      <c r="D5187" s="201">
        <v>0</v>
      </c>
      <c r="E5187" s="201">
        <v>1217</v>
      </c>
      <c r="F5187">
        <v>-3198</v>
      </c>
      <c r="G5187">
        <v>-3791</v>
      </c>
      <c r="H5187">
        <v>-5165</v>
      </c>
      <c r="I5187">
        <v>-771</v>
      </c>
      <c r="J5187">
        <v>-445</v>
      </c>
      <c r="K5187" s="201">
        <v>-1474</v>
      </c>
    </row>
    <row r="5188" spans="1:11" x14ac:dyDescent="0.25">
      <c r="A5188"/>
      <c r="B5188" s="201">
        <v>115</v>
      </c>
      <c r="C5188">
        <v>964</v>
      </c>
      <c r="D5188" s="201">
        <v>1558</v>
      </c>
      <c r="E5188" s="201">
        <v>0</v>
      </c>
      <c r="F5188">
        <v>0</v>
      </c>
      <c r="G5188">
        <v>0</v>
      </c>
      <c r="H5188">
        <v>0</v>
      </c>
      <c r="I5188">
        <v>0</v>
      </c>
      <c r="J5188">
        <v>0</v>
      </c>
      <c r="K5188" s="201">
        <v>0</v>
      </c>
    </row>
    <row r="5189" spans="1:11" x14ac:dyDescent="0.25">
      <c r="A5189"/>
      <c r="B5189" s="201">
        <v>-1241</v>
      </c>
      <c r="C5189">
        <v>72</v>
      </c>
      <c r="D5189" s="201">
        <v>-1165</v>
      </c>
      <c r="E5189" s="201">
        <v>883</v>
      </c>
      <c r="F5189">
        <v>-1040</v>
      </c>
      <c r="G5189">
        <v>1576</v>
      </c>
      <c r="H5189">
        <v>0</v>
      </c>
      <c r="I5189">
        <v>0</v>
      </c>
      <c r="J5189">
        <v>-1148</v>
      </c>
      <c r="K5189" s="201">
        <v>0</v>
      </c>
    </row>
    <row r="5190" spans="1:11" x14ac:dyDescent="0.25">
      <c r="B5190" s="201">
        <v>-222</v>
      </c>
      <c r="C5190">
        <v>-2916</v>
      </c>
      <c r="D5190" s="201">
        <v>0</v>
      </c>
      <c r="E5190" s="201">
        <v>0</v>
      </c>
      <c r="F5190">
        <v>0</v>
      </c>
      <c r="G5190">
        <v>0</v>
      </c>
      <c r="H5190">
        <v>261</v>
      </c>
      <c r="I5190">
        <v>0</v>
      </c>
      <c r="J5190">
        <v>1001</v>
      </c>
      <c r="K5190" s="201">
        <v>2082</v>
      </c>
    </row>
    <row r="5191" spans="1:11" x14ac:dyDescent="0.25">
      <c r="A5191"/>
      <c r="B5191" s="201">
        <v>0</v>
      </c>
      <c r="C5191">
        <v>0</v>
      </c>
      <c r="D5191" s="201">
        <v>0</v>
      </c>
      <c r="E5191" s="201">
        <v>0</v>
      </c>
      <c r="F5191">
        <v>0</v>
      </c>
      <c r="G5191">
        <v>0</v>
      </c>
      <c r="H5191">
        <v>0</v>
      </c>
      <c r="I5191">
        <v>0</v>
      </c>
      <c r="J5191">
        <v>0</v>
      </c>
      <c r="K5191" s="201">
        <v>0</v>
      </c>
    </row>
    <row r="5192" spans="1:11" x14ac:dyDescent="0.25">
      <c r="A5192"/>
      <c r="B5192" s="201">
        <v>0</v>
      </c>
      <c r="C5192">
        <v>0</v>
      </c>
      <c r="D5192" s="201">
        <v>0</v>
      </c>
      <c r="E5192" s="201">
        <v>0</v>
      </c>
      <c r="F5192">
        <v>0</v>
      </c>
      <c r="G5192">
        <v>-569</v>
      </c>
      <c r="H5192">
        <v>0</v>
      </c>
      <c r="I5192">
        <v>0</v>
      </c>
      <c r="J5192">
        <v>0</v>
      </c>
      <c r="K5192" s="201">
        <v>0</v>
      </c>
    </row>
    <row r="5193" spans="1:11" x14ac:dyDescent="0.25">
      <c r="A5193"/>
      <c r="B5193" s="201">
        <v>0</v>
      </c>
      <c r="C5193">
        <v>4</v>
      </c>
      <c r="D5193" s="201">
        <v>4131</v>
      </c>
      <c r="E5193" s="201">
        <v>4576</v>
      </c>
      <c r="F5193">
        <v>24311</v>
      </c>
      <c r="G5193">
        <v>25198</v>
      </c>
      <c r="H5193">
        <v>50996</v>
      </c>
      <c r="I5193">
        <v>26685</v>
      </c>
      <c r="J5193">
        <v>1425</v>
      </c>
      <c r="K5193" s="201">
        <v>-137</v>
      </c>
    </row>
    <row r="5194" spans="1:11" x14ac:dyDescent="0.25">
      <c r="B5194" s="201">
        <v>-135</v>
      </c>
      <c r="C5194">
        <v>6102</v>
      </c>
      <c r="D5194" s="201">
        <v>4146</v>
      </c>
      <c r="E5194" s="201">
        <v>19714</v>
      </c>
      <c r="F5194">
        <v>19051</v>
      </c>
      <c r="G5194">
        <v>35623</v>
      </c>
      <c r="H5194">
        <v>19241</v>
      </c>
      <c r="I5194">
        <v>2372</v>
      </c>
      <c r="J5194">
        <v>0</v>
      </c>
      <c r="K5194" s="201">
        <v>26102</v>
      </c>
    </row>
    <row r="5195" spans="1:11" x14ac:dyDescent="0.25">
      <c r="A5195"/>
      <c r="B5195" s="201">
        <v>31167</v>
      </c>
      <c r="C5195" s="201">
        <v>42143</v>
      </c>
      <c r="D5195" s="201">
        <v>28479</v>
      </c>
      <c r="E5195" s="201">
        <v>23620</v>
      </c>
      <c r="F5195">
        <v>17644</v>
      </c>
      <c r="G5195">
        <v>-198</v>
      </c>
      <c r="H5195">
        <v>41</v>
      </c>
      <c r="I5195">
        <v>323</v>
      </c>
      <c r="J5195">
        <v>107</v>
      </c>
      <c r="K5195" s="201">
        <v>30</v>
      </c>
    </row>
    <row r="5196" spans="1:11" x14ac:dyDescent="0.25">
      <c r="A5196"/>
      <c r="B5196" s="201">
        <v>0</v>
      </c>
      <c r="C5196">
        <v>0</v>
      </c>
      <c r="D5196" s="201">
        <v>-67</v>
      </c>
      <c r="E5196" s="201">
        <v>0</v>
      </c>
      <c r="F5196">
        <v>0</v>
      </c>
      <c r="G5196">
        <v>0</v>
      </c>
      <c r="H5196">
        <v>-317</v>
      </c>
      <c r="I5196">
        <v>94</v>
      </c>
      <c r="J5196">
        <v>0</v>
      </c>
      <c r="K5196" s="201">
        <v>0</v>
      </c>
    </row>
    <row r="5197" spans="1:11" x14ac:dyDescent="0.25">
      <c r="A5197"/>
      <c r="B5197" s="201">
        <v>0</v>
      </c>
      <c r="C5197">
        <v>0</v>
      </c>
      <c r="D5197" s="201">
        <v>0</v>
      </c>
      <c r="E5197" s="201">
        <v>0</v>
      </c>
      <c r="F5197">
        <v>562</v>
      </c>
      <c r="G5197">
        <v>0</v>
      </c>
      <c r="H5197">
        <v>0</v>
      </c>
      <c r="I5197">
        <v>44</v>
      </c>
      <c r="J5197">
        <v>0</v>
      </c>
      <c r="K5197" s="201">
        <v>-32</v>
      </c>
    </row>
    <row r="5198" spans="1:11" x14ac:dyDescent="0.25">
      <c r="A5198"/>
      <c r="B5198" s="201">
        <v>0</v>
      </c>
      <c r="C5198">
        <v>384</v>
      </c>
      <c r="D5198" s="201">
        <v>-96</v>
      </c>
      <c r="E5198" s="201">
        <v>-125</v>
      </c>
      <c r="F5198">
        <v>0</v>
      </c>
      <c r="G5198">
        <v>-649</v>
      </c>
      <c r="H5198">
        <v>186</v>
      </c>
      <c r="I5198">
        <v>324</v>
      </c>
      <c r="J5198">
        <v>210</v>
      </c>
      <c r="K5198" s="201">
        <v>160</v>
      </c>
    </row>
    <row r="5199" spans="1:11" x14ac:dyDescent="0.25">
      <c r="A5199"/>
      <c r="B5199" s="201">
        <v>410</v>
      </c>
      <c r="C5199">
        <v>0</v>
      </c>
      <c r="D5199" s="201">
        <v>-15</v>
      </c>
      <c r="E5199" s="201">
        <v>0</v>
      </c>
      <c r="F5199">
        <v>0</v>
      </c>
      <c r="G5199">
        <v>0</v>
      </c>
      <c r="H5199">
        <v>0</v>
      </c>
      <c r="I5199">
        <v>0</v>
      </c>
      <c r="J5199">
        <v>-7</v>
      </c>
      <c r="K5199" s="201">
        <v>0</v>
      </c>
    </row>
    <row r="5200" spans="1:11" x14ac:dyDescent="0.25">
      <c r="A5200"/>
      <c r="B5200" s="201">
        <v>0</v>
      </c>
      <c r="C5200">
        <v>0</v>
      </c>
      <c r="D5200" s="201">
        <v>-49</v>
      </c>
      <c r="E5200" s="201">
        <v>0</v>
      </c>
      <c r="F5200">
        <v>-11</v>
      </c>
      <c r="G5200">
        <v>0</v>
      </c>
      <c r="H5200">
        <v>0</v>
      </c>
      <c r="I5200">
        <v>0</v>
      </c>
      <c r="J5200">
        <v>0</v>
      </c>
      <c r="K5200" s="201">
        <v>0</v>
      </c>
    </row>
    <row r="5201" spans="1:11" x14ac:dyDescent="0.25">
      <c r="A5201"/>
      <c r="B5201" s="201">
        <v>21</v>
      </c>
      <c r="C5201">
        <v>0</v>
      </c>
      <c r="D5201" s="201">
        <v>263</v>
      </c>
      <c r="E5201" s="201">
        <v>265</v>
      </c>
      <c r="F5201">
        <v>0</v>
      </c>
      <c r="G5201">
        <v>0</v>
      </c>
      <c r="H5201">
        <v>842</v>
      </c>
      <c r="I5201">
        <v>-4304</v>
      </c>
      <c r="J5201">
        <v>0</v>
      </c>
      <c r="K5201" s="201">
        <v>540</v>
      </c>
    </row>
    <row r="5202" spans="1:11" x14ac:dyDescent="0.25">
      <c r="A5202"/>
      <c r="B5202" s="201">
        <v>0</v>
      </c>
      <c r="C5202">
        <v>0</v>
      </c>
      <c r="D5202" s="201">
        <v>0</v>
      </c>
      <c r="E5202" s="201">
        <v>0</v>
      </c>
      <c r="F5202">
        <v>329</v>
      </c>
      <c r="G5202">
        <v>82</v>
      </c>
      <c r="H5202">
        <v>74</v>
      </c>
      <c r="I5202">
        <v>0</v>
      </c>
      <c r="J5202">
        <v>0</v>
      </c>
      <c r="K5202" s="201">
        <v>-87</v>
      </c>
    </row>
    <row r="5203" spans="1:11" x14ac:dyDescent="0.25">
      <c r="A5203"/>
      <c r="B5203" s="201">
        <v>57</v>
      </c>
      <c r="C5203">
        <v>0</v>
      </c>
      <c r="D5203" s="201">
        <v>93</v>
      </c>
      <c r="E5203" s="201">
        <v>-369</v>
      </c>
      <c r="F5203">
        <v>61</v>
      </c>
      <c r="G5203">
        <v>-49</v>
      </c>
      <c r="H5203">
        <v>315</v>
      </c>
      <c r="I5203">
        <v>177</v>
      </c>
      <c r="J5203">
        <v>304</v>
      </c>
      <c r="K5203" s="201">
        <v>0</v>
      </c>
    </row>
    <row r="5204" spans="1:11" x14ac:dyDescent="0.25">
      <c r="A5204"/>
      <c r="B5204" s="201">
        <v>0</v>
      </c>
      <c r="C5204">
        <v>0</v>
      </c>
      <c r="D5204" s="201">
        <v>0</v>
      </c>
      <c r="E5204" s="201">
        <v>0</v>
      </c>
      <c r="F5204">
        <v>-5</v>
      </c>
      <c r="G5204">
        <v>0</v>
      </c>
      <c r="H5204">
        <v>-139</v>
      </c>
      <c r="I5204">
        <v>-833</v>
      </c>
      <c r="J5204">
        <v>-307</v>
      </c>
      <c r="K5204" s="201">
        <v>0</v>
      </c>
    </row>
    <row r="5205" spans="1:11" x14ac:dyDescent="0.25">
      <c r="A5205"/>
      <c r="B5205" s="201">
        <v>-2848</v>
      </c>
      <c r="C5205">
        <v>-4028</v>
      </c>
      <c r="D5205" s="201">
        <v>955</v>
      </c>
      <c r="E5205" s="201">
        <v>762</v>
      </c>
      <c r="F5205">
        <v>696</v>
      </c>
      <c r="G5205">
        <v>0</v>
      </c>
      <c r="H5205">
        <v>-610</v>
      </c>
      <c r="I5205">
        <v>-392</v>
      </c>
      <c r="J5205">
        <v>230</v>
      </c>
      <c r="K5205" s="201">
        <v>556</v>
      </c>
    </row>
    <row r="5206" spans="1:11" x14ac:dyDescent="0.25">
      <c r="A5206"/>
      <c r="B5206" s="201">
        <v>0</v>
      </c>
      <c r="C5206">
        <v>-7</v>
      </c>
      <c r="D5206" s="201">
        <v>-2466</v>
      </c>
      <c r="E5206" s="201">
        <v>0</v>
      </c>
      <c r="F5206">
        <v>0</v>
      </c>
      <c r="G5206">
        <v>0</v>
      </c>
      <c r="H5206">
        <v>-131</v>
      </c>
      <c r="I5206">
        <v>1097</v>
      </c>
      <c r="J5206">
        <v>0</v>
      </c>
      <c r="K5206" s="201">
        <v>719</v>
      </c>
    </row>
    <row r="5207" spans="1:11" x14ac:dyDescent="0.25">
      <c r="A5207"/>
      <c r="B5207" s="201">
        <v>-188</v>
      </c>
      <c r="C5207">
        <v>19</v>
      </c>
      <c r="D5207" s="201">
        <v>-43</v>
      </c>
      <c r="E5207" s="201">
        <v>0</v>
      </c>
      <c r="F5207">
        <v>0</v>
      </c>
      <c r="G5207">
        <v>0</v>
      </c>
      <c r="H5207">
        <v>0</v>
      </c>
      <c r="I5207">
        <v>0</v>
      </c>
      <c r="J5207">
        <v>1668</v>
      </c>
      <c r="K5207" s="201">
        <v>0</v>
      </c>
    </row>
    <row r="5208" spans="1:11" x14ac:dyDescent="0.25">
      <c r="B5208" s="201">
        <v>-422</v>
      </c>
      <c r="C5208">
        <v>2405</v>
      </c>
      <c r="D5208" s="201">
        <v>366</v>
      </c>
      <c r="E5208" s="201">
        <v>0</v>
      </c>
      <c r="F5208">
        <v>586</v>
      </c>
      <c r="G5208">
        <v>-3813</v>
      </c>
      <c r="H5208">
        <v>-192</v>
      </c>
      <c r="I5208">
        <v>37</v>
      </c>
      <c r="J5208">
        <v>134</v>
      </c>
      <c r="K5208" s="201">
        <v>64</v>
      </c>
    </row>
    <row r="5209" spans="1:11" x14ac:dyDescent="0.25">
      <c r="B5209" s="201">
        <v>-277</v>
      </c>
      <c r="C5209">
        <v>-1073</v>
      </c>
      <c r="D5209" s="201">
        <v>0</v>
      </c>
      <c r="E5209" s="201">
        <v>-23</v>
      </c>
      <c r="F5209">
        <v>0</v>
      </c>
      <c r="G5209">
        <v>0</v>
      </c>
      <c r="H5209">
        <v>-883</v>
      </c>
      <c r="I5209">
        <v>-41</v>
      </c>
      <c r="J5209">
        <v>0</v>
      </c>
      <c r="K5209" s="201">
        <v>-39</v>
      </c>
    </row>
    <row r="5210" spans="1:11" x14ac:dyDescent="0.25">
      <c r="A5210"/>
      <c r="B5210" s="201">
        <v>0</v>
      </c>
      <c r="C5210">
        <v>0</v>
      </c>
      <c r="D5210" s="201">
        <v>5</v>
      </c>
      <c r="E5210" s="201">
        <v>0</v>
      </c>
      <c r="F5210">
        <v>37</v>
      </c>
      <c r="G5210">
        <v>9</v>
      </c>
      <c r="H5210">
        <v>63</v>
      </c>
      <c r="I5210">
        <v>0</v>
      </c>
      <c r="J5210">
        <v>0</v>
      </c>
      <c r="K5210" s="201">
        <v>0</v>
      </c>
    </row>
    <row r="5211" spans="1:11" x14ac:dyDescent="0.25">
      <c r="A5211"/>
      <c r="B5211" s="201">
        <v>0</v>
      </c>
      <c r="C5211">
        <v>0</v>
      </c>
      <c r="D5211" s="201">
        <v>-347</v>
      </c>
      <c r="E5211" s="201">
        <v>0</v>
      </c>
      <c r="F5211">
        <v>-583</v>
      </c>
      <c r="G5211">
        <v>-735</v>
      </c>
      <c r="H5211">
        <v>-15</v>
      </c>
      <c r="I5211">
        <v>0</v>
      </c>
      <c r="J5211">
        <v>457</v>
      </c>
      <c r="K5211" s="201">
        <v>-21796</v>
      </c>
    </row>
    <row r="5212" spans="1:11" x14ac:dyDescent="0.25">
      <c r="A5212"/>
      <c r="B5212" s="201">
        <v>-2896</v>
      </c>
      <c r="C5212">
        <v>0</v>
      </c>
      <c r="D5212" s="201">
        <v>0</v>
      </c>
      <c r="E5212" s="201">
        <v>0</v>
      </c>
      <c r="F5212">
        <v>-1030</v>
      </c>
      <c r="G5212">
        <v>1415</v>
      </c>
      <c r="H5212">
        <v>3102</v>
      </c>
      <c r="I5212">
        <v>-322</v>
      </c>
      <c r="J5212">
        <v>-214</v>
      </c>
      <c r="K5212" s="201">
        <v>0</v>
      </c>
    </row>
    <row r="5213" spans="1:11" x14ac:dyDescent="0.25">
      <c r="A5213"/>
      <c r="B5213" s="201">
        <v>-580</v>
      </c>
      <c r="C5213">
        <v>0</v>
      </c>
      <c r="D5213" s="201">
        <v>0</v>
      </c>
      <c r="E5213" s="201">
        <v>-145</v>
      </c>
      <c r="F5213">
        <v>0</v>
      </c>
      <c r="G5213">
        <v>-1273</v>
      </c>
      <c r="H5213">
        <v>0</v>
      </c>
      <c r="I5213">
        <v>-895</v>
      </c>
      <c r="J5213">
        <v>0</v>
      </c>
      <c r="K5213" s="201">
        <v>0</v>
      </c>
    </row>
    <row r="5214" spans="1:11" x14ac:dyDescent="0.25">
      <c r="A5214"/>
      <c r="B5214" s="201">
        <v>0</v>
      </c>
      <c r="C5214">
        <v>0</v>
      </c>
      <c r="D5214" s="201">
        <v>0</v>
      </c>
      <c r="E5214" s="201">
        <v>0</v>
      </c>
      <c r="F5214">
        <v>0</v>
      </c>
      <c r="G5214">
        <v>0</v>
      </c>
      <c r="H5214">
        <v>-249</v>
      </c>
      <c r="I5214">
        <v>0</v>
      </c>
      <c r="J5214">
        <v>-2329</v>
      </c>
      <c r="K5214" s="201">
        <v>3450</v>
      </c>
    </row>
    <row r="5215" spans="1:11" x14ac:dyDescent="0.25">
      <c r="B5215" s="201">
        <v>1873</v>
      </c>
      <c r="C5215">
        <v>0</v>
      </c>
      <c r="D5215" s="201">
        <v>2710</v>
      </c>
      <c r="E5215" s="201">
        <v>4779</v>
      </c>
      <c r="F5215">
        <v>0</v>
      </c>
      <c r="G5215">
        <v>0</v>
      </c>
      <c r="H5215">
        <v>0</v>
      </c>
      <c r="I5215">
        <v>0</v>
      </c>
      <c r="J5215">
        <v>0</v>
      </c>
      <c r="K5215" s="201">
        <v>-3790</v>
      </c>
    </row>
    <row r="5216" spans="1:11" x14ac:dyDescent="0.25">
      <c r="B5216" s="201">
        <v>-1386</v>
      </c>
      <c r="C5216">
        <v>-3572</v>
      </c>
      <c r="D5216" s="201">
        <v>-2890</v>
      </c>
      <c r="E5216" s="201">
        <v>-1867</v>
      </c>
      <c r="F5216">
        <v>-6260</v>
      </c>
      <c r="G5216">
        <v>0</v>
      </c>
      <c r="H5216">
        <v>0</v>
      </c>
      <c r="I5216">
        <v>0</v>
      </c>
      <c r="J5216">
        <v>0</v>
      </c>
      <c r="K5216" s="201">
        <v>-153</v>
      </c>
    </row>
    <row r="5217" spans="1:11" x14ac:dyDescent="0.25">
      <c r="A5217"/>
      <c r="B5217" s="201">
        <v>0</v>
      </c>
      <c r="C5217">
        <v>334</v>
      </c>
      <c r="D5217" s="201">
        <v>0</v>
      </c>
      <c r="E5217" s="201">
        <v>0</v>
      </c>
      <c r="F5217">
        <v>-1767</v>
      </c>
      <c r="G5217">
        <v>701</v>
      </c>
      <c r="H5217">
        <v>0</v>
      </c>
      <c r="I5217">
        <v>0</v>
      </c>
      <c r="J5217">
        <v>0</v>
      </c>
      <c r="K5217" s="201">
        <v>0</v>
      </c>
    </row>
    <row r="5218" spans="1:11" x14ac:dyDescent="0.25">
      <c r="A5218"/>
      <c r="B5218" s="201">
        <v>43</v>
      </c>
      <c r="C5218">
        <v>0</v>
      </c>
      <c r="D5218" s="201">
        <v>999</v>
      </c>
      <c r="E5218" s="201">
        <v>-2627</v>
      </c>
      <c r="F5218">
        <v>-3191</v>
      </c>
      <c r="G5218">
        <v>-3986</v>
      </c>
      <c r="H5218">
        <v>550</v>
      </c>
      <c r="I5218">
        <v>-1420</v>
      </c>
      <c r="J5218">
        <v>-1273</v>
      </c>
      <c r="K5218" s="201">
        <v>-116</v>
      </c>
    </row>
    <row r="5219" spans="1:11" x14ac:dyDescent="0.25">
      <c r="A5219"/>
      <c r="B5219" s="201">
        <v>545</v>
      </c>
      <c r="C5219">
        <v>1323</v>
      </c>
      <c r="D5219" s="201">
        <v>0</v>
      </c>
      <c r="E5219" s="201">
        <v>0</v>
      </c>
      <c r="F5219">
        <v>0</v>
      </c>
      <c r="G5219">
        <v>0</v>
      </c>
      <c r="H5219">
        <v>0</v>
      </c>
      <c r="I5219">
        <v>0</v>
      </c>
      <c r="J5219">
        <v>0</v>
      </c>
      <c r="K5219" s="201">
        <v>1017</v>
      </c>
    </row>
    <row r="5220" spans="1:11" x14ac:dyDescent="0.25">
      <c r="A5220"/>
      <c r="B5220" s="201">
        <v>-112</v>
      </c>
      <c r="C5220">
        <v>2131</v>
      </c>
      <c r="D5220" s="201">
        <v>-30</v>
      </c>
      <c r="E5220" s="201">
        <v>1080</v>
      </c>
      <c r="F5220">
        <v>766</v>
      </c>
      <c r="G5220">
        <v>0</v>
      </c>
      <c r="H5220">
        <v>0</v>
      </c>
      <c r="I5220">
        <v>-1193</v>
      </c>
      <c r="J5220">
        <v>0</v>
      </c>
      <c r="K5220" s="201">
        <v>240</v>
      </c>
    </row>
    <row r="5221" spans="1:11" x14ac:dyDescent="0.25">
      <c r="B5221" s="201">
        <v>-1185</v>
      </c>
      <c r="C5221">
        <v>0</v>
      </c>
      <c r="D5221" s="201">
        <v>0</v>
      </c>
      <c r="E5221" s="201">
        <v>0</v>
      </c>
      <c r="F5221">
        <v>0</v>
      </c>
      <c r="G5221">
        <v>-295</v>
      </c>
      <c r="H5221">
        <v>0</v>
      </c>
      <c r="I5221">
        <v>1200</v>
      </c>
      <c r="J5221">
        <v>2148</v>
      </c>
      <c r="K5221" s="201">
        <v>0</v>
      </c>
    </row>
    <row r="5222" spans="1:11" x14ac:dyDescent="0.25">
      <c r="A5222"/>
      <c r="B5222" s="201">
        <v>0</v>
      </c>
      <c r="C5222">
        <v>0</v>
      </c>
      <c r="D5222" s="201">
        <v>0</v>
      </c>
      <c r="E5222" s="201">
        <v>0</v>
      </c>
      <c r="F5222">
        <v>0</v>
      </c>
      <c r="G5222">
        <v>0</v>
      </c>
      <c r="H5222">
        <v>0</v>
      </c>
      <c r="I5222">
        <v>0</v>
      </c>
      <c r="J5222">
        <v>0</v>
      </c>
      <c r="K5222" s="201">
        <v>0</v>
      </c>
    </row>
    <row r="5223" spans="1:11" x14ac:dyDescent="0.25">
      <c r="A5223"/>
      <c r="B5223" s="201">
        <v>0</v>
      </c>
      <c r="C5223">
        <v>0</v>
      </c>
      <c r="D5223" s="201">
        <v>0</v>
      </c>
      <c r="E5223" s="201">
        <v>0</v>
      </c>
      <c r="F5223">
        <v>31</v>
      </c>
      <c r="G5223">
        <v>0</v>
      </c>
      <c r="H5223">
        <v>0</v>
      </c>
      <c r="I5223">
        <v>0</v>
      </c>
      <c r="J5223">
        <v>0</v>
      </c>
      <c r="K5223" s="201">
        <v>0</v>
      </c>
    </row>
    <row r="5224" spans="1:11" x14ac:dyDescent="0.25">
      <c r="A5224"/>
      <c r="B5224" s="201">
        <v>-177</v>
      </c>
      <c r="C5224">
        <v>3338</v>
      </c>
      <c r="D5224" s="201">
        <v>3016</v>
      </c>
      <c r="E5224" s="201">
        <v>19798</v>
      </c>
      <c r="F5224">
        <v>23863</v>
      </c>
      <c r="G5224">
        <v>23638</v>
      </c>
      <c r="H5224">
        <v>55905</v>
      </c>
      <c r="I5224">
        <v>1518</v>
      </c>
      <c r="J5224">
        <v>76</v>
      </c>
      <c r="K5224" s="201">
        <v>-226</v>
      </c>
    </row>
    <row r="5225" spans="1:11" x14ac:dyDescent="0.25">
      <c r="B5225" s="201">
        <v>5086</v>
      </c>
      <c r="C5225">
        <v>2858</v>
      </c>
      <c r="D5225" s="201">
        <v>16208</v>
      </c>
      <c r="E5225" s="201">
        <v>18298</v>
      </c>
      <c r="F5225">
        <v>17345</v>
      </c>
      <c r="G5225">
        <v>36041</v>
      </c>
      <c r="H5225">
        <v>1937</v>
      </c>
      <c r="I5225">
        <v>0</v>
      </c>
      <c r="J5225">
        <v>22358</v>
      </c>
      <c r="K5225" s="201">
        <v>28130</v>
      </c>
    </row>
    <row r="5226" spans="1:11" x14ac:dyDescent="0.25">
      <c r="B5226" s="201">
        <v>28251</v>
      </c>
      <c r="C5226">
        <v>37639</v>
      </c>
      <c r="D5226" s="201">
        <v>19136</v>
      </c>
      <c r="E5226" s="201">
        <v>19182</v>
      </c>
      <c r="F5226">
        <v>26449</v>
      </c>
      <c r="G5226">
        <v>114</v>
      </c>
      <c r="H5226">
        <v>-1522</v>
      </c>
      <c r="I5226">
        <v>197</v>
      </c>
      <c r="J5226">
        <v>-114</v>
      </c>
      <c r="K5226" s="201">
        <v>-13</v>
      </c>
    </row>
    <row r="5227" spans="1:11" x14ac:dyDescent="0.25">
      <c r="A5227"/>
      <c r="B5227" s="201">
        <v>0</v>
      </c>
      <c r="C5227">
        <v>0</v>
      </c>
      <c r="D5227" s="201">
        <v>-16</v>
      </c>
      <c r="E5227" s="201">
        <v>0</v>
      </c>
      <c r="F5227">
        <v>0</v>
      </c>
      <c r="G5227">
        <v>0</v>
      </c>
      <c r="H5227">
        <v>-625</v>
      </c>
      <c r="I5227">
        <v>1018</v>
      </c>
      <c r="J5227">
        <v>0</v>
      </c>
      <c r="K5227" s="201">
        <v>0</v>
      </c>
    </row>
    <row r="5228" spans="1:11" x14ac:dyDescent="0.25">
      <c r="A5228"/>
      <c r="B5228" s="201">
        <v>0</v>
      </c>
      <c r="C5228">
        <v>0</v>
      </c>
      <c r="D5228" s="201">
        <v>0</v>
      </c>
      <c r="E5228" s="201">
        <v>0</v>
      </c>
      <c r="F5228">
        <v>415</v>
      </c>
      <c r="G5228">
        <v>0</v>
      </c>
      <c r="H5228">
        <v>0</v>
      </c>
      <c r="I5228">
        <v>133</v>
      </c>
      <c r="J5228">
        <v>0</v>
      </c>
      <c r="K5228" s="201">
        <v>-103</v>
      </c>
    </row>
    <row r="5229" spans="1:11" x14ac:dyDescent="0.25">
      <c r="A5229"/>
      <c r="B5229" s="201">
        <v>0</v>
      </c>
      <c r="C5229">
        <v>258</v>
      </c>
      <c r="D5229" s="201">
        <v>-158</v>
      </c>
      <c r="E5229" s="201">
        <v>-121</v>
      </c>
      <c r="F5229">
        <v>0</v>
      </c>
      <c r="G5229">
        <v>-75</v>
      </c>
      <c r="H5229">
        <v>-1495</v>
      </c>
      <c r="I5229">
        <v>212</v>
      </c>
      <c r="J5229">
        <v>152</v>
      </c>
      <c r="K5229" s="201">
        <v>-59</v>
      </c>
    </row>
    <row r="5230" spans="1:11" x14ac:dyDescent="0.25">
      <c r="A5230"/>
      <c r="B5230" s="201">
        <v>255</v>
      </c>
      <c r="C5230">
        <v>0</v>
      </c>
      <c r="D5230" s="201">
        <v>-14</v>
      </c>
      <c r="E5230" s="201">
        <v>0</v>
      </c>
      <c r="F5230">
        <v>0</v>
      </c>
      <c r="G5230">
        <v>0</v>
      </c>
      <c r="H5230">
        <v>0</v>
      </c>
      <c r="I5230">
        <v>0</v>
      </c>
      <c r="J5230">
        <v>139</v>
      </c>
      <c r="K5230" s="201">
        <v>0</v>
      </c>
    </row>
    <row r="5231" spans="1:11" x14ac:dyDescent="0.25">
      <c r="A5231"/>
      <c r="B5231" s="201">
        <v>0</v>
      </c>
      <c r="C5231">
        <v>0</v>
      </c>
      <c r="D5231" s="201">
        <v>-173</v>
      </c>
      <c r="E5231" s="201">
        <v>0</v>
      </c>
      <c r="F5231">
        <v>-14</v>
      </c>
      <c r="G5231">
        <v>0</v>
      </c>
      <c r="H5231">
        <v>0</v>
      </c>
      <c r="I5231">
        <v>0</v>
      </c>
      <c r="J5231">
        <v>0</v>
      </c>
      <c r="K5231" s="201">
        <v>0</v>
      </c>
    </row>
    <row r="5232" spans="1:11" x14ac:dyDescent="0.25">
      <c r="A5232"/>
      <c r="B5232" s="201">
        <v>-60</v>
      </c>
      <c r="C5232">
        <v>0</v>
      </c>
      <c r="D5232" s="201">
        <v>232</v>
      </c>
      <c r="E5232" s="201">
        <v>-29</v>
      </c>
      <c r="F5232">
        <v>0</v>
      </c>
      <c r="G5232">
        <v>0</v>
      </c>
      <c r="H5232">
        <v>2710</v>
      </c>
      <c r="I5232">
        <v>-14800</v>
      </c>
      <c r="J5232">
        <v>0</v>
      </c>
      <c r="K5232" s="201">
        <v>-2118</v>
      </c>
    </row>
    <row r="5233" spans="1:11" x14ac:dyDescent="0.25">
      <c r="A5233"/>
      <c r="B5233" s="201">
        <v>0</v>
      </c>
      <c r="C5233">
        <v>0</v>
      </c>
      <c r="D5233" s="201">
        <v>0</v>
      </c>
      <c r="E5233" s="201">
        <v>0</v>
      </c>
      <c r="F5233">
        <v>-195</v>
      </c>
      <c r="G5233">
        <v>-262</v>
      </c>
      <c r="H5233">
        <v>-341</v>
      </c>
      <c r="I5233">
        <v>0</v>
      </c>
      <c r="J5233">
        <v>0</v>
      </c>
      <c r="K5233" s="201">
        <v>-1084</v>
      </c>
    </row>
    <row r="5234" spans="1:11" x14ac:dyDescent="0.25">
      <c r="B5234" s="201">
        <v>1132</v>
      </c>
      <c r="C5234">
        <v>0</v>
      </c>
      <c r="D5234" s="201">
        <v>1211</v>
      </c>
      <c r="E5234" s="201">
        <v>-249</v>
      </c>
      <c r="F5234">
        <v>1286</v>
      </c>
      <c r="G5234">
        <v>48</v>
      </c>
      <c r="H5234">
        <v>-1723</v>
      </c>
      <c r="I5234">
        <v>467</v>
      </c>
      <c r="J5234">
        <v>-1281</v>
      </c>
      <c r="K5234" s="201">
        <v>0</v>
      </c>
    </row>
    <row r="5235" spans="1:11" x14ac:dyDescent="0.25">
      <c r="A5235"/>
      <c r="B5235" s="201">
        <v>0</v>
      </c>
      <c r="C5235">
        <v>0</v>
      </c>
      <c r="D5235" s="201">
        <v>0</v>
      </c>
      <c r="E5235" s="201">
        <v>0</v>
      </c>
      <c r="F5235">
        <v>-1530</v>
      </c>
      <c r="G5235">
        <v>0</v>
      </c>
      <c r="H5235">
        <v>2641</v>
      </c>
      <c r="I5235">
        <v>1802</v>
      </c>
      <c r="J5235">
        <v>1215</v>
      </c>
      <c r="K5235" s="201">
        <v>0</v>
      </c>
    </row>
    <row r="5236" spans="1:11" x14ac:dyDescent="0.25">
      <c r="A5236"/>
      <c r="B5236" s="201">
        <v>164</v>
      </c>
      <c r="C5236">
        <v>-4671</v>
      </c>
      <c r="D5236" s="201">
        <v>280</v>
      </c>
      <c r="E5236" s="201">
        <v>-141</v>
      </c>
      <c r="F5236">
        <v>357</v>
      </c>
      <c r="G5236">
        <v>0</v>
      </c>
      <c r="H5236">
        <v>-152</v>
      </c>
      <c r="I5236">
        <v>-997</v>
      </c>
      <c r="J5236">
        <v>302</v>
      </c>
      <c r="K5236" s="201">
        <v>-101</v>
      </c>
    </row>
    <row r="5237" spans="1:11" x14ac:dyDescent="0.25">
      <c r="A5237"/>
      <c r="B5237" s="201">
        <v>0</v>
      </c>
      <c r="C5237">
        <v>271</v>
      </c>
      <c r="D5237" s="201">
        <v>-1010</v>
      </c>
      <c r="E5237" s="201">
        <v>0</v>
      </c>
      <c r="F5237">
        <v>0</v>
      </c>
      <c r="G5237">
        <v>0</v>
      </c>
      <c r="H5237">
        <v>560</v>
      </c>
      <c r="I5237">
        <v>1566</v>
      </c>
      <c r="J5237">
        <v>0</v>
      </c>
      <c r="K5237" s="201">
        <v>975</v>
      </c>
    </row>
    <row r="5238" spans="1:11" x14ac:dyDescent="0.25">
      <c r="A5238"/>
      <c r="B5238" s="201">
        <v>-470</v>
      </c>
      <c r="C5238">
        <v>-60</v>
      </c>
      <c r="D5238" s="201">
        <v>-410</v>
      </c>
      <c r="E5238" s="201">
        <v>0</v>
      </c>
      <c r="F5238">
        <v>0</v>
      </c>
      <c r="G5238">
        <v>0</v>
      </c>
      <c r="H5238">
        <v>0</v>
      </c>
      <c r="I5238">
        <v>0</v>
      </c>
      <c r="J5238">
        <v>-662</v>
      </c>
      <c r="K5238" s="201">
        <v>0</v>
      </c>
    </row>
    <row r="5239" spans="1:11" x14ac:dyDescent="0.25">
      <c r="A5239"/>
      <c r="B5239" s="201">
        <v>-449</v>
      </c>
      <c r="C5239">
        <v>-396</v>
      </c>
      <c r="D5239" s="201">
        <v>-164</v>
      </c>
      <c r="E5239" s="201">
        <v>0</v>
      </c>
      <c r="F5239">
        <v>-1051</v>
      </c>
      <c r="G5239">
        <v>-5091</v>
      </c>
      <c r="H5239">
        <v>-475</v>
      </c>
      <c r="I5239">
        <v>1456</v>
      </c>
      <c r="J5239">
        <v>13</v>
      </c>
      <c r="K5239" s="201">
        <v>-171</v>
      </c>
    </row>
    <row r="5240" spans="1:11" x14ac:dyDescent="0.25">
      <c r="A5240"/>
      <c r="B5240" s="201">
        <v>344</v>
      </c>
      <c r="C5240">
        <v>-638</v>
      </c>
      <c r="D5240" s="201">
        <v>0</v>
      </c>
      <c r="E5240" s="201">
        <v>616</v>
      </c>
      <c r="F5240">
        <v>0</v>
      </c>
      <c r="G5240">
        <v>0</v>
      </c>
      <c r="H5240">
        <v>-1276</v>
      </c>
      <c r="I5240">
        <v>631</v>
      </c>
      <c r="J5240">
        <v>0</v>
      </c>
      <c r="K5240" s="201">
        <v>1427</v>
      </c>
    </row>
    <row r="5241" spans="1:11" x14ac:dyDescent="0.25">
      <c r="A5241"/>
      <c r="B5241" s="201">
        <v>0</v>
      </c>
      <c r="C5241">
        <v>0</v>
      </c>
      <c r="D5241" s="201">
        <v>-396</v>
      </c>
      <c r="E5241" s="201">
        <v>0</v>
      </c>
      <c r="F5241">
        <v>1303</v>
      </c>
      <c r="G5241">
        <v>599</v>
      </c>
      <c r="H5241">
        <v>2165</v>
      </c>
      <c r="I5241">
        <v>0</v>
      </c>
      <c r="J5241">
        <v>0</v>
      </c>
      <c r="K5241" s="201">
        <v>0</v>
      </c>
    </row>
    <row r="5242" spans="1:11" x14ac:dyDescent="0.25">
      <c r="A5242"/>
      <c r="B5242" s="201">
        <v>0</v>
      </c>
      <c r="C5242">
        <v>0</v>
      </c>
      <c r="D5242" s="201">
        <v>-603</v>
      </c>
      <c r="E5242" s="201">
        <v>0</v>
      </c>
      <c r="F5242">
        <v>-388</v>
      </c>
      <c r="G5242">
        <v>996</v>
      </c>
      <c r="H5242">
        <v>803</v>
      </c>
      <c r="I5242">
        <v>0</v>
      </c>
      <c r="J5242">
        <v>-6</v>
      </c>
      <c r="K5242" s="201">
        <v>-7114</v>
      </c>
    </row>
    <row r="5243" spans="1:11" x14ac:dyDescent="0.25">
      <c r="A5243"/>
      <c r="B5243" s="201">
        <v>73</v>
      </c>
      <c r="C5243">
        <v>0</v>
      </c>
      <c r="D5243" s="201">
        <v>0</v>
      </c>
      <c r="E5243" s="201">
        <v>0</v>
      </c>
      <c r="F5243">
        <v>-154</v>
      </c>
      <c r="G5243">
        <v>-806</v>
      </c>
      <c r="H5243">
        <v>241</v>
      </c>
      <c r="I5243">
        <v>17</v>
      </c>
      <c r="J5243">
        <v>68</v>
      </c>
      <c r="K5243" s="201">
        <v>0</v>
      </c>
    </row>
    <row r="5244" spans="1:11" x14ac:dyDescent="0.25">
      <c r="B5244" s="201">
        <v>-444</v>
      </c>
      <c r="C5244">
        <v>0</v>
      </c>
      <c r="D5244" s="201">
        <v>0</v>
      </c>
      <c r="E5244" s="201">
        <v>-160</v>
      </c>
      <c r="F5244">
        <v>0</v>
      </c>
      <c r="G5244">
        <v>846</v>
      </c>
      <c r="H5244">
        <v>0</v>
      </c>
      <c r="I5244">
        <v>433</v>
      </c>
      <c r="J5244">
        <v>0</v>
      </c>
      <c r="K5244" s="201">
        <v>0</v>
      </c>
    </row>
    <row r="5245" spans="1:11" x14ac:dyDescent="0.25">
      <c r="A5245"/>
      <c r="B5245" s="201">
        <v>0</v>
      </c>
      <c r="C5245">
        <v>0</v>
      </c>
      <c r="D5245" s="201">
        <v>0</v>
      </c>
      <c r="E5245" s="201">
        <v>0</v>
      </c>
      <c r="F5245">
        <v>0</v>
      </c>
      <c r="G5245">
        <v>0</v>
      </c>
      <c r="H5245">
        <v>-438</v>
      </c>
      <c r="I5245">
        <v>0</v>
      </c>
      <c r="J5245">
        <v>-322</v>
      </c>
      <c r="K5245" s="201">
        <v>-273</v>
      </c>
    </row>
    <row r="5246" spans="1:11" x14ac:dyDescent="0.25">
      <c r="A5246"/>
      <c r="B5246" s="201">
        <v>9</v>
      </c>
      <c r="C5246">
        <v>0</v>
      </c>
      <c r="D5246" s="201">
        <v>1332</v>
      </c>
      <c r="E5246" s="201">
        <v>1751</v>
      </c>
      <c r="F5246">
        <v>0</v>
      </c>
      <c r="G5246">
        <v>0</v>
      </c>
      <c r="H5246">
        <v>0</v>
      </c>
      <c r="I5246">
        <v>0</v>
      </c>
      <c r="J5246">
        <v>0</v>
      </c>
      <c r="K5246" s="201">
        <v>-3111</v>
      </c>
    </row>
    <row r="5247" spans="1:11" x14ac:dyDescent="0.25">
      <c r="B5247" s="201">
        <v>-761</v>
      </c>
      <c r="C5247">
        <v>-2726</v>
      </c>
      <c r="D5247" s="201">
        <v>-2155</v>
      </c>
      <c r="E5247" s="201">
        <v>-1338</v>
      </c>
      <c r="F5247">
        <v>-4801</v>
      </c>
      <c r="G5247">
        <v>0</v>
      </c>
      <c r="H5247">
        <v>0</v>
      </c>
      <c r="I5247">
        <v>0</v>
      </c>
      <c r="J5247">
        <v>0</v>
      </c>
      <c r="K5247" s="201">
        <v>2171</v>
      </c>
    </row>
    <row r="5248" spans="1:11" x14ac:dyDescent="0.25">
      <c r="A5248"/>
      <c r="B5248" s="201">
        <v>0</v>
      </c>
      <c r="C5248">
        <v>1580</v>
      </c>
      <c r="D5248" s="201">
        <v>0</v>
      </c>
      <c r="E5248" s="201">
        <v>0</v>
      </c>
      <c r="F5248">
        <v>-1289</v>
      </c>
      <c r="G5248">
        <v>712</v>
      </c>
      <c r="H5248">
        <v>0</v>
      </c>
      <c r="I5248">
        <v>0</v>
      </c>
      <c r="J5248">
        <v>0</v>
      </c>
      <c r="K5248" s="201">
        <v>0</v>
      </c>
    </row>
    <row r="5249" spans="1:11" x14ac:dyDescent="0.25">
      <c r="A5249"/>
      <c r="B5249" s="201">
        <v>-560</v>
      </c>
      <c r="C5249">
        <v>0</v>
      </c>
      <c r="D5249" s="201">
        <v>851</v>
      </c>
      <c r="E5249" s="201">
        <v>-1656</v>
      </c>
      <c r="F5249">
        <v>-2391</v>
      </c>
      <c r="G5249">
        <v>-3123</v>
      </c>
      <c r="H5249">
        <v>-840</v>
      </c>
      <c r="I5249">
        <v>-738</v>
      </c>
      <c r="J5249">
        <v>13</v>
      </c>
      <c r="K5249" s="201">
        <v>473</v>
      </c>
    </row>
    <row r="5250" spans="1:11" x14ac:dyDescent="0.25">
      <c r="A5250"/>
      <c r="B5250" s="201">
        <v>-57</v>
      </c>
      <c r="C5250">
        <v>393</v>
      </c>
      <c r="D5250" s="201">
        <v>0</v>
      </c>
      <c r="E5250" s="201">
        <v>0</v>
      </c>
      <c r="F5250">
        <v>0</v>
      </c>
      <c r="G5250">
        <v>0</v>
      </c>
      <c r="H5250">
        <v>0</v>
      </c>
      <c r="I5250">
        <v>0</v>
      </c>
      <c r="J5250">
        <v>0</v>
      </c>
      <c r="K5250" s="201">
        <v>-32</v>
      </c>
    </row>
    <row r="5251" spans="1:11" x14ac:dyDescent="0.25">
      <c r="A5251"/>
      <c r="B5251" s="201">
        <v>-2276</v>
      </c>
      <c r="C5251">
        <v>-6183</v>
      </c>
      <c r="D5251" s="201">
        <v>-1226</v>
      </c>
      <c r="E5251" s="201">
        <v>-4354</v>
      </c>
      <c r="F5251">
        <v>1819</v>
      </c>
      <c r="G5251">
        <v>0</v>
      </c>
      <c r="H5251">
        <v>0</v>
      </c>
      <c r="I5251">
        <v>-270</v>
      </c>
      <c r="J5251">
        <v>0</v>
      </c>
      <c r="K5251" s="201">
        <v>-841</v>
      </c>
    </row>
    <row r="5252" spans="1:11" x14ac:dyDescent="0.25">
      <c r="A5252"/>
      <c r="B5252" s="201">
        <v>946</v>
      </c>
      <c r="C5252">
        <v>0</v>
      </c>
      <c r="D5252" s="201">
        <v>0</v>
      </c>
      <c r="E5252" s="201">
        <v>0</v>
      </c>
      <c r="F5252">
        <v>0</v>
      </c>
      <c r="G5252">
        <v>-1358</v>
      </c>
      <c r="H5252">
        <v>0</v>
      </c>
      <c r="I5252">
        <v>524</v>
      </c>
      <c r="J5252">
        <v>2073</v>
      </c>
      <c r="K5252" s="201">
        <v>0</v>
      </c>
    </row>
    <row r="5253" spans="1:11" x14ac:dyDescent="0.25">
      <c r="A5253"/>
      <c r="B5253" s="201">
        <v>0</v>
      </c>
      <c r="C5253">
        <v>0</v>
      </c>
      <c r="D5253" s="201">
        <v>0</v>
      </c>
      <c r="E5253" s="201">
        <v>0</v>
      </c>
      <c r="F5253">
        <v>0</v>
      </c>
      <c r="G5253">
        <v>0</v>
      </c>
      <c r="H5253">
        <v>0</v>
      </c>
      <c r="I5253">
        <v>0</v>
      </c>
      <c r="J5253">
        <v>0</v>
      </c>
      <c r="K5253" s="201">
        <v>0</v>
      </c>
    </row>
    <row r="5254" spans="1:11" x14ac:dyDescent="0.25">
      <c r="A5254"/>
      <c r="B5254" s="201">
        <v>0</v>
      </c>
      <c r="C5254">
        <v>0</v>
      </c>
      <c r="D5254" s="201">
        <v>0</v>
      </c>
      <c r="E5254" s="201">
        <v>0</v>
      </c>
      <c r="F5254">
        <v>-517</v>
      </c>
      <c r="G5254">
        <v>0</v>
      </c>
      <c r="H5254">
        <v>0</v>
      </c>
      <c r="I5254">
        <v>0</v>
      </c>
      <c r="J5254">
        <v>0</v>
      </c>
      <c r="K5254" s="201">
        <v>0</v>
      </c>
    </row>
    <row r="5255" spans="1:11" x14ac:dyDescent="0.25">
      <c r="A5255"/>
      <c r="B5255" s="201">
        <v>-161</v>
      </c>
      <c r="C5255">
        <v>3080</v>
      </c>
      <c r="D5255" s="201">
        <v>3280</v>
      </c>
      <c r="E5255" s="201">
        <v>36142</v>
      </c>
      <c r="F5255">
        <v>18541</v>
      </c>
      <c r="G5255">
        <v>20071</v>
      </c>
      <c r="H5255">
        <v>17501</v>
      </c>
      <c r="I5255">
        <v>419</v>
      </c>
      <c r="J5255">
        <v>-47</v>
      </c>
      <c r="K5255" s="201">
        <v>-250</v>
      </c>
    </row>
    <row r="5256" spans="1:11" x14ac:dyDescent="0.25">
      <c r="B5256" s="201">
        <v>4519</v>
      </c>
      <c r="C5256">
        <v>2903</v>
      </c>
      <c r="D5256" s="201">
        <v>28550</v>
      </c>
      <c r="E5256" s="201">
        <v>14340</v>
      </c>
      <c r="F5256">
        <v>14515</v>
      </c>
      <c r="G5256">
        <v>12417</v>
      </c>
      <c r="H5256">
        <v>970</v>
      </c>
      <c r="I5256">
        <v>0</v>
      </c>
      <c r="J5256">
        <v>27088</v>
      </c>
      <c r="K5256" s="201">
        <v>21879</v>
      </c>
    </row>
    <row r="5257" spans="1:11" x14ac:dyDescent="0.25">
      <c r="B5257" s="201">
        <v>24068</v>
      </c>
      <c r="C5257">
        <v>17716</v>
      </c>
      <c r="D5257" s="201">
        <v>23693</v>
      </c>
      <c r="E5257" s="201">
        <v>16226</v>
      </c>
      <c r="F5257">
        <v>22702</v>
      </c>
      <c r="G5257">
        <v>19623</v>
      </c>
      <c r="H5257">
        <v>29</v>
      </c>
      <c r="I5257">
        <v>-2221</v>
      </c>
      <c r="J5257">
        <v>354</v>
      </c>
      <c r="K5257" s="201">
        <v>52</v>
      </c>
    </row>
    <row r="5258" spans="1:11" x14ac:dyDescent="0.25">
      <c r="A5258"/>
      <c r="B5258" s="201">
        <v>333</v>
      </c>
      <c r="C5258">
        <v>0</v>
      </c>
      <c r="D5258" s="201">
        <v>0</v>
      </c>
      <c r="E5258" s="201">
        <v>115</v>
      </c>
      <c r="F5258">
        <v>0</v>
      </c>
      <c r="G5258">
        <v>0</v>
      </c>
      <c r="H5258">
        <v>0</v>
      </c>
      <c r="I5258">
        <v>-86</v>
      </c>
      <c r="J5258">
        <v>130</v>
      </c>
      <c r="K5258" s="201">
        <v>0</v>
      </c>
    </row>
    <row r="5259" spans="1:11" x14ac:dyDescent="0.25">
      <c r="A5259"/>
      <c r="B5259" s="201">
        <v>0</v>
      </c>
      <c r="C5259">
        <v>0</v>
      </c>
      <c r="D5259" s="201">
        <v>0</v>
      </c>
      <c r="E5259" s="201">
        <v>0</v>
      </c>
      <c r="F5259">
        <v>0</v>
      </c>
      <c r="G5259">
        <v>635</v>
      </c>
      <c r="H5259">
        <v>0</v>
      </c>
      <c r="I5259">
        <v>0</v>
      </c>
      <c r="J5259">
        <v>4</v>
      </c>
      <c r="K5259" s="201">
        <v>0</v>
      </c>
    </row>
    <row r="5260" spans="1:11" x14ac:dyDescent="0.25">
      <c r="A5260"/>
      <c r="B5260" s="201">
        <v>-17</v>
      </c>
      <c r="C5260">
        <v>0</v>
      </c>
      <c r="D5260" s="201">
        <v>357</v>
      </c>
      <c r="E5260" s="201">
        <v>-537</v>
      </c>
      <c r="F5260">
        <v>-202</v>
      </c>
      <c r="G5260">
        <v>0</v>
      </c>
      <c r="H5260">
        <v>-623</v>
      </c>
      <c r="I5260">
        <v>-2147</v>
      </c>
      <c r="J5260">
        <v>449</v>
      </c>
      <c r="K5260" s="201">
        <v>389</v>
      </c>
    </row>
    <row r="5261" spans="1:11" x14ac:dyDescent="0.25">
      <c r="A5261"/>
      <c r="B5261" s="201">
        <v>273</v>
      </c>
      <c r="C5261">
        <v>393</v>
      </c>
      <c r="D5261" s="201">
        <v>0</v>
      </c>
      <c r="E5261" s="201">
        <v>-35</v>
      </c>
      <c r="F5261">
        <v>0</v>
      </c>
      <c r="G5261">
        <v>0</v>
      </c>
      <c r="H5261">
        <v>0</v>
      </c>
      <c r="I5261">
        <v>0</v>
      </c>
      <c r="J5261">
        <v>0</v>
      </c>
      <c r="K5261" s="201">
        <v>15</v>
      </c>
    </row>
    <row r="5262" spans="1:11" x14ac:dyDescent="0.25">
      <c r="A5262"/>
      <c r="B5262" s="201">
        <v>0</v>
      </c>
      <c r="C5262">
        <v>0</v>
      </c>
      <c r="D5262" s="201">
        <v>0</v>
      </c>
      <c r="E5262" s="201">
        <v>-291</v>
      </c>
      <c r="F5262">
        <v>0</v>
      </c>
      <c r="G5262">
        <v>-13</v>
      </c>
      <c r="H5262">
        <v>0</v>
      </c>
      <c r="I5262">
        <v>0</v>
      </c>
      <c r="J5262">
        <v>0</v>
      </c>
      <c r="K5262" s="201">
        <v>0</v>
      </c>
    </row>
    <row r="5263" spans="1:11" x14ac:dyDescent="0.25">
      <c r="A5263"/>
      <c r="B5263" s="201">
        <v>0</v>
      </c>
      <c r="C5263">
        <v>22</v>
      </c>
      <c r="D5263" s="201">
        <v>0</v>
      </c>
      <c r="E5263" s="201">
        <v>213</v>
      </c>
      <c r="F5263">
        <v>43</v>
      </c>
      <c r="G5263">
        <v>0</v>
      </c>
      <c r="H5263">
        <v>0</v>
      </c>
      <c r="I5263">
        <v>1428</v>
      </c>
      <c r="J5263">
        <v>-7460</v>
      </c>
      <c r="K5263" s="201">
        <v>0</v>
      </c>
    </row>
    <row r="5264" spans="1:11" x14ac:dyDescent="0.25">
      <c r="B5264" s="201">
        <v>1357</v>
      </c>
      <c r="C5264">
        <v>0</v>
      </c>
      <c r="D5264" s="201">
        <v>0</v>
      </c>
      <c r="E5264" s="201">
        <v>0</v>
      </c>
      <c r="F5264">
        <v>0</v>
      </c>
      <c r="G5264">
        <v>6</v>
      </c>
      <c r="H5264">
        <v>85</v>
      </c>
      <c r="I5264">
        <v>80</v>
      </c>
      <c r="J5264">
        <v>0</v>
      </c>
      <c r="K5264" s="201">
        <v>0</v>
      </c>
    </row>
    <row r="5265" spans="1:11" x14ac:dyDescent="0.25">
      <c r="A5265"/>
      <c r="B5265" s="201">
        <v>-26</v>
      </c>
      <c r="C5265">
        <v>-201</v>
      </c>
      <c r="D5265" s="201">
        <v>0</v>
      </c>
      <c r="E5265" s="201">
        <v>-600</v>
      </c>
      <c r="F5265">
        <v>187</v>
      </c>
      <c r="G5265">
        <v>59</v>
      </c>
      <c r="H5265">
        <v>-106</v>
      </c>
      <c r="I5265">
        <v>144</v>
      </c>
      <c r="J5265">
        <v>133</v>
      </c>
      <c r="K5265" s="201">
        <v>697</v>
      </c>
    </row>
    <row r="5266" spans="1:11" x14ac:dyDescent="0.25">
      <c r="A5266"/>
      <c r="B5266" s="201">
        <v>0</v>
      </c>
      <c r="C5266">
        <v>0</v>
      </c>
      <c r="D5266" s="201">
        <v>0</v>
      </c>
      <c r="E5266" s="201">
        <v>0</v>
      </c>
      <c r="F5266">
        <v>0</v>
      </c>
      <c r="G5266">
        <v>-184</v>
      </c>
      <c r="H5266">
        <v>0</v>
      </c>
      <c r="I5266">
        <v>-199</v>
      </c>
      <c r="J5266">
        <v>-1284</v>
      </c>
      <c r="K5266" s="201">
        <v>-498</v>
      </c>
    </row>
    <row r="5267" spans="1:11" x14ac:dyDescent="0.25">
      <c r="A5267"/>
      <c r="B5267" s="201">
        <v>0</v>
      </c>
      <c r="C5267">
        <v>2123</v>
      </c>
      <c r="D5267" s="201">
        <v>-14030</v>
      </c>
      <c r="E5267" s="201">
        <v>-2178</v>
      </c>
      <c r="F5267">
        <v>-4257</v>
      </c>
      <c r="G5267">
        <v>-3393</v>
      </c>
      <c r="H5267">
        <v>0</v>
      </c>
      <c r="I5267">
        <v>-713</v>
      </c>
      <c r="J5267">
        <v>416</v>
      </c>
      <c r="K5267" s="201">
        <v>194</v>
      </c>
    </row>
    <row r="5268" spans="1:11" x14ac:dyDescent="0.25">
      <c r="B5268" s="201">
        <v>-309</v>
      </c>
      <c r="C5268">
        <v>0</v>
      </c>
      <c r="D5268" s="201">
        <v>563</v>
      </c>
      <c r="E5268" s="201">
        <v>-1162</v>
      </c>
      <c r="F5268">
        <v>0</v>
      </c>
      <c r="G5268">
        <v>0</v>
      </c>
      <c r="H5268">
        <v>0</v>
      </c>
      <c r="I5268">
        <v>2035</v>
      </c>
      <c r="J5268">
        <v>-1849</v>
      </c>
      <c r="K5268" s="201">
        <v>0</v>
      </c>
    </row>
    <row r="5269" spans="1:11" x14ac:dyDescent="0.25">
      <c r="A5269"/>
      <c r="B5269" s="201">
        <v>-1695</v>
      </c>
      <c r="C5269">
        <v>-1358</v>
      </c>
      <c r="D5269" s="201">
        <v>761</v>
      </c>
      <c r="E5269" s="201">
        <v>-427</v>
      </c>
      <c r="F5269">
        <v>0</v>
      </c>
      <c r="G5269">
        <v>0</v>
      </c>
      <c r="H5269">
        <v>0</v>
      </c>
      <c r="I5269">
        <v>0</v>
      </c>
      <c r="J5269">
        <v>0</v>
      </c>
      <c r="K5269" s="201">
        <v>-385</v>
      </c>
    </row>
    <row r="5270" spans="1:11" x14ac:dyDescent="0.25">
      <c r="A5270"/>
      <c r="B5270" s="201">
        <v>0</v>
      </c>
      <c r="C5270">
        <v>-2192</v>
      </c>
      <c r="D5270" s="201">
        <v>1125</v>
      </c>
      <c r="E5270" s="201">
        <v>1055</v>
      </c>
      <c r="F5270">
        <v>0</v>
      </c>
      <c r="G5270">
        <v>-2453</v>
      </c>
      <c r="H5270">
        <v>-6557</v>
      </c>
      <c r="I5270">
        <v>104</v>
      </c>
      <c r="J5270">
        <v>-19</v>
      </c>
      <c r="K5270" s="201">
        <v>683</v>
      </c>
    </row>
    <row r="5271" spans="1:11" x14ac:dyDescent="0.25">
      <c r="B5271" s="201">
        <v>-173</v>
      </c>
      <c r="C5271">
        <v>-758</v>
      </c>
      <c r="D5271" s="201">
        <v>-1134</v>
      </c>
      <c r="E5271" s="201">
        <v>0</v>
      </c>
      <c r="F5271">
        <v>737</v>
      </c>
      <c r="G5271">
        <v>0</v>
      </c>
      <c r="H5271">
        <v>0</v>
      </c>
      <c r="I5271">
        <v>-2117</v>
      </c>
      <c r="J5271">
        <v>-104</v>
      </c>
      <c r="K5271" s="201">
        <v>0</v>
      </c>
    </row>
    <row r="5272" spans="1:11" x14ac:dyDescent="0.25">
      <c r="A5272"/>
      <c r="B5272" s="201">
        <v>-291</v>
      </c>
      <c r="C5272">
        <v>0</v>
      </c>
      <c r="D5272" s="201">
        <v>0</v>
      </c>
      <c r="E5272" s="201">
        <v>-102</v>
      </c>
      <c r="F5272">
        <v>0</v>
      </c>
      <c r="G5272">
        <v>181</v>
      </c>
      <c r="H5272">
        <v>196</v>
      </c>
      <c r="I5272">
        <v>-659</v>
      </c>
      <c r="J5272">
        <v>0</v>
      </c>
      <c r="K5272" s="201">
        <v>0</v>
      </c>
    </row>
    <row r="5273" spans="1:11" x14ac:dyDescent="0.25">
      <c r="A5273"/>
      <c r="B5273" s="201">
        <v>0</v>
      </c>
      <c r="C5273">
        <v>0</v>
      </c>
      <c r="D5273" s="201">
        <v>0</v>
      </c>
      <c r="E5273" s="201">
        <v>136</v>
      </c>
      <c r="F5273">
        <v>0</v>
      </c>
      <c r="G5273">
        <v>176</v>
      </c>
      <c r="H5273">
        <v>3712</v>
      </c>
      <c r="I5273">
        <v>1267</v>
      </c>
      <c r="J5273">
        <v>0</v>
      </c>
      <c r="K5273" s="201">
        <v>1744</v>
      </c>
    </row>
    <row r="5274" spans="1:11" x14ac:dyDescent="0.25">
      <c r="A5274"/>
      <c r="B5274" s="201">
        <v>-11086</v>
      </c>
      <c r="C5274">
        <v>19</v>
      </c>
      <c r="D5274" s="201">
        <v>0</v>
      </c>
      <c r="E5274" s="201">
        <v>0</v>
      </c>
      <c r="F5274">
        <v>0</v>
      </c>
      <c r="G5274">
        <v>-535</v>
      </c>
      <c r="H5274">
        <v>-1134</v>
      </c>
      <c r="I5274">
        <v>-284</v>
      </c>
      <c r="J5274">
        <v>144</v>
      </c>
      <c r="K5274" s="201">
        <v>197</v>
      </c>
    </row>
    <row r="5275" spans="1:11" x14ac:dyDescent="0.25">
      <c r="A5275"/>
      <c r="B5275" s="201">
        <v>0</v>
      </c>
      <c r="C5275">
        <v>-283</v>
      </c>
      <c r="D5275" s="201">
        <v>0</v>
      </c>
      <c r="E5275" s="201">
        <v>0</v>
      </c>
      <c r="F5275">
        <v>266</v>
      </c>
      <c r="G5275">
        <v>0</v>
      </c>
      <c r="H5275">
        <v>-66</v>
      </c>
      <c r="I5275">
        <v>0</v>
      </c>
      <c r="J5275">
        <v>-119</v>
      </c>
      <c r="K5275" s="201">
        <v>0</v>
      </c>
    </row>
    <row r="5276" spans="1:11" x14ac:dyDescent="0.25">
      <c r="A5276"/>
      <c r="B5276" s="201">
        <v>0</v>
      </c>
      <c r="C5276">
        <v>0</v>
      </c>
      <c r="D5276" s="201">
        <v>0</v>
      </c>
      <c r="E5276" s="201">
        <v>0</v>
      </c>
      <c r="F5276">
        <v>0</v>
      </c>
      <c r="G5276">
        <v>0</v>
      </c>
      <c r="H5276">
        <v>0</v>
      </c>
      <c r="I5276">
        <v>-272</v>
      </c>
      <c r="J5276">
        <v>0</v>
      </c>
      <c r="K5276" s="201">
        <v>-466</v>
      </c>
    </row>
    <row r="5277" spans="1:11" x14ac:dyDescent="0.25">
      <c r="B5277" s="201">
        <v>-787</v>
      </c>
      <c r="C5277">
        <v>-46</v>
      </c>
      <c r="D5277" s="201">
        <v>0</v>
      </c>
      <c r="E5277" s="201">
        <v>3249</v>
      </c>
      <c r="F5277">
        <v>2363</v>
      </c>
      <c r="G5277">
        <v>0</v>
      </c>
      <c r="H5277">
        <v>0</v>
      </c>
      <c r="I5277">
        <v>0</v>
      </c>
      <c r="J5277">
        <v>0</v>
      </c>
      <c r="K5277" s="201">
        <v>0</v>
      </c>
    </row>
    <row r="5278" spans="1:11" x14ac:dyDescent="0.25">
      <c r="B5278" s="201">
        <v>-4605</v>
      </c>
      <c r="C5278">
        <v>-2101</v>
      </c>
      <c r="D5278" s="201">
        <v>-4018</v>
      </c>
      <c r="E5278" s="201">
        <v>-3180</v>
      </c>
      <c r="F5278">
        <v>-2027</v>
      </c>
      <c r="G5278">
        <v>-6545</v>
      </c>
      <c r="H5278">
        <v>0</v>
      </c>
      <c r="I5278">
        <v>0</v>
      </c>
      <c r="J5278">
        <v>0</v>
      </c>
      <c r="K5278" s="201">
        <v>0</v>
      </c>
    </row>
    <row r="5279" spans="1:11" x14ac:dyDescent="0.25">
      <c r="A5279"/>
      <c r="B5279" s="201">
        <v>64</v>
      </c>
      <c r="C5279">
        <v>0</v>
      </c>
      <c r="D5279" s="201">
        <v>351</v>
      </c>
      <c r="E5279" s="201">
        <v>0</v>
      </c>
      <c r="F5279">
        <v>0</v>
      </c>
      <c r="G5279">
        <v>-1828</v>
      </c>
      <c r="H5279">
        <v>1115</v>
      </c>
      <c r="I5279">
        <v>0</v>
      </c>
      <c r="J5279">
        <v>0</v>
      </c>
      <c r="K5279" s="201">
        <v>0</v>
      </c>
    </row>
    <row r="5280" spans="1:11" x14ac:dyDescent="0.25">
      <c r="A5280"/>
      <c r="B5280" s="201">
        <v>0</v>
      </c>
      <c r="C5280">
        <v>-134</v>
      </c>
      <c r="D5280" s="201">
        <v>0</v>
      </c>
      <c r="E5280" s="201">
        <v>1286</v>
      </c>
      <c r="F5280">
        <v>-3232</v>
      </c>
      <c r="G5280">
        <v>-3699</v>
      </c>
      <c r="H5280">
        <v>-5305</v>
      </c>
      <c r="I5280">
        <v>-1678</v>
      </c>
      <c r="J5280">
        <v>-1554</v>
      </c>
      <c r="K5280" s="201">
        <v>-1646</v>
      </c>
    </row>
    <row r="5281" spans="1:11" x14ac:dyDescent="0.25">
      <c r="A5281"/>
      <c r="B5281" s="201">
        <v>-404</v>
      </c>
      <c r="C5281">
        <v>-158</v>
      </c>
      <c r="D5281" s="201">
        <v>608</v>
      </c>
      <c r="E5281" s="201">
        <v>0</v>
      </c>
      <c r="F5281">
        <v>0</v>
      </c>
      <c r="G5281">
        <v>0</v>
      </c>
      <c r="H5281">
        <v>0</v>
      </c>
      <c r="I5281">
        <v>0</v>
      </c>
      <c r="J5281">
        <v>0</v>
      </c>
      <c r="K5281" s="201">
        <v>0</v>
      </c>
    </row>
    <row r="5282" spans="1:11" x14ac:dyDescent="0.25">
      <c r="B5282" s="201">
        <v>-315</v>
      </c>
      <c r="C5282">
        <v>645</v>
      </c>
      <c r="D5282" s="201">
        <v>434</v>
      </c>
      <c r="E5282" s="201">
        <v>92</v>
      </c>
      <c r="F5282">
        <v>890</v>
      </c>
      <c r="G5282">
        <v>1894</v>
      </c>
      <c r="H5282">
        <v>0</v>
      </c>
      <c r="I5282">
        <v>0</v>
      </c>
      <c r="J5282">
        <v>-1379</v>
      </c>
      <c r="K5282" s="201">
        <v>0</v>
      </c>
    </row>
    <row r="5283" spans="1:11" x14ac:dyDescent="0.25">
      <c r="A5283"/>
      <c r="B5283" s="201">
        <v>482</v>
      </c>
      <c r="C5283">
        <v>-2099</v>
      </c>
      <c r="D5283" s="201">
        <v>0</v>
      </c>
      <c r="E5283" s="201">
        <v>0</v>
      </c>
      <c r="F5283">
        <v>0</v>
      </c>
      <c r="G5283">
        <v>0</v>
      </c>
      <c r="H5283">
        <v>-73</v>
      </c>
      <c r="I5283">
        <v>0</v>
      </c>
      <c r="J5283">
        <v>777</v>
      </c>
      <c r="K5283" s="201">
        <v>2034</v>
      </c>
    </row>
    <row r="5284" spans="1:11" x14ac:dyDescent="0.25">
      <c r="A5284"/>
      <c r="B5284" s="201">
        <v>0</v>
      </c>
      <c r="C5284">
        <v>0</v>
      </c>
      <c r="D5284" s="201">
        <v>0</v>
      </c>
      <c r="E5284" s="201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 s="201">
        <v>0</v>
      </c>
    </row>
    <row r="5285" spans="1:11" x14ac:dyDescent="0.25">
      <c r="A5285"/>
      <c r="B5285" s="201">
        <v>0</v>
      </c>
      <c r="C5285">
        <v>0</v>
      </c>
      <c r="D5285" s="201">
        <v>0</v>
      </c>
      <c r="E5285" s="201">
        <v>0</v>
      </c>
      <c r="F5285">
        <v>0</v>
      </c>
      <c r="G5285">
        <v>-534</v>
      </c>
      <c r="H5285">
        <v>0</v>
      </c>
      <c r="I5285">
        <v>0</v>
      </c>
      <c r="J5285">
        <v>0</v>
      </c>
      <c r="K5285" s="201">
        <v>0</v>
      </c>
    </row>
    <row r="5286" spans="1:11" x14ac:dyDescent="0.25">
      <c r="A5286"/>
      <c r="B5286" s="201">
        <v>0</v>
      </c>
      <c r="C5286">
        <v>-40</v>
      </c>
      <c r="D5286" s="201">
        <v>4037</v>
      </c>
      <c r="E5286" s="201">
        <v>4264</v>
      </c>
      <c r="F5286">
        <v>23249</v>
      </c>
      <c r="G5286">
        <v>49641</v>
      </c>
      <c r="H5286">
        <v>24579</v>
      </c>
      <c r="I5286">
        <v>26412</v>
      </c>
      <c r="J5286">
        <v>1466</v>
      </c>
      <c r="K5286" s="201">
        <v>-102</v>
      </c>
    </row>
    <row r="5287" spans="1:11" x14ac:dyDescent="0.25">
      <c r="A5287"/>
      <c r="B5287" s="201">
        <v>-177</v>
      </c>
      <c r="C5287">
        <v>5995</v>
      </c>
      <c r="D5287" s="201">
        <v>3907</v>
      </c>
      <c r="E5287" s="201">
        <v>18663</v>
      </c>
      <c r="F5287">
        <v>36624</v>
      </c>
      <c r="G5287">
        <v>17812</v>
      </c>
      <c r="H5287">
        <v>19185</v>
      </c>
      <c r="I5287">
        <v>2276</v>
      </c>
      <c r="J5287">
        <v>0</v>
      </c>
      <c r="K5287" s="201">
        <v>25238</v>
      </c>
    </row>
    <row r="5288" spans="1:11" x14ac:dyDescent="0.25">
      <c r="B5288" s="201">
        <v>44229</v>
      </c>
      <c r="C5288">
        <v>30428</v>
      </c>
      <c r="D5288" s="201">
        <v>27641</v>
      </c>
      <c r="E5288" s="201">
        <v>22489</v>
      </c>
      <c r="F5288">
        <v>34834</v>
      </c>
      <c r="G5288">
        <v>32706</v>
      </c>
      <c r="H5288">
        <v>29343</v>
      </c>
      <c r="I5288">
        <v>20988</v>
      </c>
      <c r="J5288">
        <v>-4811</v>
      </c>
      <c r="K5288" s="201">
        <v>-1819</v>
      </c>
    </row>
    <row r="5289" spans="1:11" x14ac:dyDescent="0.25">
      <c r="A5289"/>
      <c r="B5289" s="201">
        <v>1018</v>
      </c>
      <c r="C5289">
        <v>615</v>
      </c>
      <c r="D5289" s="201">
        <v>1334</v>
      </c>
      <c r="E5289" s="201">
        <v>0</v>
      </c>
      <c r="F5289">
        <v>0</v>
      </c>
      <c r="G5289">
        <v>-183</v>
      </c>
      <c r="H5289">
        <v>0</v>
      </c>
      <c r="I5289">
        <v>0</v>
      </c>
      <c r="J5289">
        <v>0</v>
      </c>
      <c r="K5289" s="201">
        <v>-275</v>
      </c>
    </row>
    <row r="5290" spans="1:11" x14ac:dyDescent="0.25">
      <c r="A5290"/>
      <c r="B5290" s="201">
        <v>228</v>
      </c>
      <c r="C5290">
        <v>0</v>
      </c>
      <c r="D5290" s="201">
        <v>0</v>
      </c>
      <c r="E5290" s="201">
        <v>0</v>
      </c>
      <c r="F5290">
        <v>0</v>
      </c>
      <c r="G5290">
        <v>0</v>
      </c>
      <c r="H5290">
        <v>0</v>
      </c>
      <c r="I5290">
        <v>717</v>
      </c>
      <c r="J5290">
        <v>0</v>
      </c>
      <c r="K5290" s="201">
        <v>0</v>
      </c>
    </row>
    <row r="5291" spans="1:11" x14ac:dyDescent="0.25">
      <c r="A5291"/>
      <c r="B5291" s="201">
        <v>-306</v>
      </c>
      <c r="C5291">
        <v>0</v>
      </c>
      <c r="D5291" s="201">
        <v>218</v>
      </c>
      <c r="E5291" s="201">
        <v>0</v>
      </c>
      <c r="F5291">
        <v>255</v>
      </c>
      <c r="G5291">
        <v>2546</v>
      </c>
      <c r="H5291">
        <v>1350</v>
      </c>
      <c r="I5291">
        <v>0</v>
      </c>
      <c r="J5291">
        <v>-1671</v>
      </c>
      <c r="K5291" s="201">
        <v>-1921</v>
      </c>
    </row>
    <row r="5292" spans="1:11" x14ac:dyDescent="0.25">
      <c r="B5292" s="201">
        <v>1543</v>
      </c>
      <c r="C5292">
        <v>1664</v>
      </c>
      <c r="D5292" s="201">
        <v>1602</v>
      </c>
      <c r="E5292" s="201">
        <v>736</v>
      </c>
      <c r="F5292">
        <v>0</v>
      </c>
      <c r="G5292">
        <v>-257</v>
      </c>
      <c r="H5292">
        <v>0</v>
      </c>
      <c r="I5292">
        <v>0</v>
      </c>
      <c r="J5292">
        <v>0</v>
      </c>
      <c r="K5292" s="201">
        <v>0</v>
      </c>
    </row>
    <row r="5293" spans="1:11" x14ac:dyDescent="0.25">
      <c r="A5293"/>
      <c r="B5293" s="201">
        <v>0</v>
      </c>
      <c r="C5293">
        <v>-187</v>
      </c>
      <c r="D5293" s="201">
        <v>0</v>
      </c>
      <c r="E5293" s="201">
        <v>0</v>
      </c>
      <c r="F5293">
        <v>0</v>
      </c>
      <c r="G5293">
        <v>162</v>
      </c>
      <c r="H5293">
        <v>0</v>
      </c>
      <c r="I5293">
        <v>289</v>
      </c>
      <c r="J5293">
        <v>0</v>
      </c>
      <c r="K5293" s="201">
        <v>0</v>
      </c>
    </row>
    <row r="5294" spans="1:11" x14ac:dyDescent="0.25">
      <c r="A5294"/>
      <c r="B5294" s="201">
        <v>0</v>
      </c>
      <c r="C5294">
        <v>0</v>
      </c>
      <c r="D5294" s="201">
        <v>0</v>
      </c>
      <c r="E5294" s="201">
        <v>-274</v>
      </c>
      <c r="F5294">
        <v>0</v>
      </c>
      <c r="G5294">
        <v>-93</v>
      </c>
      <c r="H5294">
        <v>-19</v>
      </c>
      <c r="I5294">
        <v>0</v>
      </c>
      <c r="J5294">
        <v>0</v>
      </c>
      <c r="K5294" s="201">
        <v>4231</v>
      </c>
    </row>
    <row r="5295" spans="1:11" x14ac:dyDescent="0.25">
      <c r="B5295" s="201">
        <v>-3166</v>
      </c>
      <c r="C5295">
        <v>0</v>
      </c>
      <c r="D5295" s="201">
        <v>-1150</v>
      </c>
      <c r="E5295" s="201">
        <v>0</v>
      </c>
      <c r="F5295">
        <v>0</v>
      </c>
      <c r="G5295">
        <v>0</v>
      </c>
      <c r="H5295">
        <v>0</v>
      </c>
      <c r="I5295">
        <v>1857</v>
      </c>
      <c r="J5295">
        <v>-1474</v>
      </c>
      <c r="K5295" s="201">
        <v>-928</v>
      </c>
    </row>
    <row r="5296" spans="1:11" x14ac:dyDescent="0.25">
      <c r="A5296"/>
      <c r="B5296" s="201">
        <v>0</v>
      </c>
      <c r="C5296">
        <v>0</v>
      </c>
      <c r="D5296" s="201">
        <v>-164</v>
      </c>
      <c r="E5296" s="201">
        <v>-288</v>
      </c>
      <c r="F5296">
        <v>0</v>
      </c>
      <c r="G5296">
        <v>-35</v>
      </c>
      <c r="H5296">
        <v>-621</v>
      </c>
      <c r="I5296">
        <v>95</v>
      </c>
      <c r="J5296">
        <v>-545</v>
      </c>
      <c r="K5296" s="201">
        <v>-1164</v>
      </c>
    </row>
    <row r="5297" spans="1:11" x14ac:dyDescent="0.25">
      <c r="A5297"/>
      <c r="B5297" s="201">
        <v>-663</v>
      </c>
      <c r="C5297">
        <v>-898</v>
      </c>
      <c r="D5297" s="201">
        <v>0</v>
      </c>
      <c r="E5297" s="201">
        <v>0</v>
      </c>
      <c r="F5297">
        <v>0</v>
      </c>
      <c r="G5297">
        <v>0</v>
      </c>
      <c r="H5297">
        <v>0</v>
      </c>
      <c r="I5297">
        <v>-3474</v>
      </c>
      <c r="J5297">
        <v>0</v>
      </c>
      <c r="K5297" s="201">
        <v>-3610</v>
      </c>
    </row>
    <row r="5298" spans="1:11" x14ac:dyDescent="0.25">
      <c r="A5298"/>
      <c r="B5298" s="201">
        <v>-1235</v>
      </c>
      <c r="C5298">
        <v>-711</v>
      </c>
      <c r="D5298" s="201">
        <v>0</v>
      </c>
      <c r="E5298" s="201">
        <v>2109</v>
      </c>
      <c r="F5298">
        <v>-5153</v>
      </c>
      <c r="G5298">
        <v>-1018</v>
      </c>
      <c r="H5298">
        <v>-3019</v>
      </c>
      <c r="I5298">
        <v>107</v>
      </c>
      <c r="J5298">
        <v>0</v>
      </c>
      <c r="K5298" s="201">
        <v>-707</v>
      </c>
    </row>
    <row r="5299" spans="1:11" x14ac:dyDescent="0.25">
      <c r="A5299"/>
      <c r="B5299" s="201">
        <v>-1472</v>
      </c>
      <c r="C5299" s="201">
        <v>557</v>
      </c>
      <c r="D5299" s="201">
        <v>-2452</v>
      </c>
      <c r="E5299" s="201">
        <v>0</v>
      </c>
      <c r="F5299">
        <v>272</v>
      </c>
      <c r="G5299">
        <v>6298</v>
      </c>
      <c r="H5299">
        <v>0</v>
      </c>
      <c r="I5299">
        <v>0</v>
      </c>
      <c r="J5299">
        <v>0</v>
      </c>
      <c r="K5299" s="201">
        <v>446</v>
      </c>
    </row>
    <row r="5300" spans="1:11" x14ac:dyDescent="0.25">
      <c r="A5300"/>
      <c r="B5300" s="201">
        <v>66</v>
      </c>
      <c r="C5300">
        <v>0</v>
      </c>
      <c r="D5300" s="201">
        <v>-122</v>
      </c>
      <c r="E5300" s="201">
        <v>-1474</v>
      </c>
      <c r="F5300">
        <v>-2225</v>
      </c>
      <c r="G5300">
        <v>-2649</v>
      </c>
      <c r="H5300">
        <v>0</v>
      </c>
      <c r="I5300">
        <v>0</v>
      </c>
      <c r="J5300">
        <v>0</v>
      </c>
      <c r="K5300" s="201">
        <v>0</v>
      </c>
    </row>
    <row r="5301" spans="1:11" x14ac:dyDescent="0.25">
      <c r="A5301"/>
      <c r="B5301" s="201">
        <v>0</v>
      </c>
      <c r="C5301">
        <v>-1369</v>
      </c>
      <c r="D5301" s="201">
        <v>0</v>
      </c>
      <c r="E5301" s="201">
        <v>-401</v>
      </c>
      <c r="F5301">
        <v>-2869</v>
      </c>
      <c r="G5301">
        <v>-3612</v>
      </c>
      <c r="H5301">
        <v>0</v>
      </c>
      <c r="I5301">
        <v>-8378</v>
      </c>
      <c r="J5301">
        <v>-16659</v>
      </c>
      <c r="K5301" s="201">
        <v>15540</v>
      </c>
    </row>
    <row r="5302" spans="1:11" x14ac:dyDescent="0.25">
      <c r="A5302"/>
      <c r="B5302" s="201">
        <v>32631</v>
      </c>
      <c r="C5302" s="201">
        <v>24319</v>
      </c>
      <c r="D5302" s="201">
        <v>11686</v>
      </c>
      <c r="E5302" s="201">
        <v>16440</v>
      </c>
      <c r="F5302">
        <v>13256</v>
      </c>
      <c r="G5302">
        <v>0</v>
      </c>
      <c r="H5302">
        <v>9436</v>
      </c>
      <c r="I5302">
        <v>0</v>
      </c>
      <c r="J5302">
        <v>0</v>
      </c>
      <c r="K5302" s="201">
        <v>47087</v>
      </c>
    </row>
    <row r="5303" spans="1:11" x14ac:dyDescent="0.25">
      <c r="B5303" s="201">
        <v>6645</v>
      </c>
      <c r="C5303">
        <v>0</v>
      </c>
      <c r="D5303" s="201">
        <v>10799</v>
      </c>
      <c r="E5303" s="201">
        <v>0</v>
      </c>
      <c r="F5303">
        <v>0</v>
      </c>
      <c r="G5303">
        <v>5853</v>
      </c>
      <c r="H5303">
        <v>0</v>
      </c>
      <c r="I5303">
        <v>8663</v>
      </c>
      <c r="J5303">
        <v>13622</v>
      </c>
      <c r="K5303" s="201">
        <v>15928</v>
      </c>
    </row>
    <row r="5304" spans="1:11" x14ac:dyDescent="0.25">
      <c r="A5304"/>
      <c r="B5304" s="201">
        <v>0</v>
      </c>
      <c r="C5304">
        <v>0</v>
      </c>
      <c r="D5304" s="201">
        <v>0</v>
      </c>
      <c r="E5304" s="201">
        <v>0</v>
      </c>
      <c r="F5304">
        <v>0</v>
      </c>
      <c r="G5304">
        <v>-9204</v>
      </c>
      <c r="H5304">
        <v>0</v>
      </c>
      <c r="I5304">
        <v>-10951</v>
      </c>
      <c r="J5304">
        <v>7538</v>
      </c>
      <c r="K5304" s="201">
        <v>21638</v>
      </c>
    </row>
    <row r="5305" spans="1:11" x14ac:dyDescent="0.25">
      <c r="A5305"/>
      <c r="B5305" s="201">
        <v>0</v>
      </c>
      <c r="C5305">
        <v>851</v>
      </c>
      <c r="D5305" s="201">
        <v>-9176</v>
      </c>
      <c r="E5305" s="201">
        <v>-471</v>
      </c>
      <c r="F5305">
        <v>0</v>
      </c>
      <c r="G5305">
        <v>0</v>
      </c>
      <c r="H5305">
        <v>0</v>
      </c>
      <c r="I5305">
        <v>456</v>
      </c>
      <c r="J5305">
        <v>4</v>
      </c>
      <c r="K5305" s="201">
        <v>506</v>
      </c>
    </row>
    <row r="5306" spans="1:11" x14ac:dyDescent="0.25">
      <c r="A5306"/>
      <c r="B5306" s="201">
        <v>-445</v>
      </c>
      <c r="C5306">
        <v>66</v>
      </c>
      <c r="D5306" s="201">
        <v>0</v>
      </c>
      <c r="E5306" s="201">
        <v>6612</v>
      </c>
      <c r="F5306">
        <v>0</v>
      </c>
      <c r="G5306">
        <v>0</v>
      </c>
      <c r="H5306">
        <v>-112</v>
      </c>
      <c r="I5306">
        <v>0</v>
      </c>
      <c r="J5306">
        <v>180</v>
      </c>
      <c r="K5306" s="201">
        <v>0</v>
      </c>
    </row>
    <row r="5307" spans="1:11" x14ac:dyDescent="0.25">
      <c r="A5307"/>
      <c r="B5307" s="201">
        <v>-44</v>
      </c>
      <c r="C5307">
        <v>0</v>
      </c>
      <c r="D5307" s="201">
        <v>0</v>
      </c>
      <c r="E5307" s="201">
        <v>0</v>
      </c>
      <c r="F5307">
        <v>0</v>
      </c>
      <c r="G5307">
        <v>0</v>
      </c>
      <c r="H5307">
        <v>0</v>
      </c>
      <c r="I5307">
        <v>0</v>
      </c>
      <c r="J5307">
        <v>0</v>
      </c>
      <c r="K5307" s="201">
        <v>-1314</v>
      </c>
    </row>
    <row r="5308" spans="1:11" x14ac:dyDescent="0.25">
      <c r="A5308"/>
      <c r="B5308" s="201">
        <v>0</v>
      </c>
      <c r="C5308">
        <v>-1118</v>
      </c>
      <c r="D5308" s="201">
        <v>-765</v>
      </c>
      <c r="E5308" s="201">
        <v>-735</v>
      </c>
      <c r="F5308">
        <v>0</v>
      </c>
      <c r="G5308">
        <v>3550</v>
      </c>
      <c r="H5308">
        <v>2233</v>
      </c>
      <c r="I5308">
        <v>0</v>
      </c>
      <c r="J5308">
        <v>0</v>
      </c>
      <c r="K5308" s="201">
        <v>0</v>
      </c>
    </row>
    <row r="5309" spans="1:11" x14ac:dyDescent="0.25">
      <c r="A5309"/>
      <c r="B5309" s="201">
        <v>0</v>
      </c>
      <c r="C5309">
        <v>0</v>
      </c>
      <c r="D5309" s="201">
        <v>-3871</v>
      </c>
      <c r="E5309" s="201">
        <v>-1511</v>
      </c>
      <c r="F5309">
        <v>-4807</v>
      </c>
      <c r="G5309">
        <v>-3400</v>
      </c>
      <c r="H5309">
        <v>-2070</v>
      </c>
      <c r="I5309">
        <v>3215</v>
      </c>
      <c r="J5309">
        <v>0</v>
      </c>
      <c r="K5309" s="201">
        <v>0</v>
      </c>
    </row>
    <row r="5310" spans="1:11" x14ac:dyDescent="0.25">
      <c r="A5310"/>
      <c r="B5310" s="201">
        <v>0</v>
      </c>
      <c r="C5310">
        <v>0</v>
      </c>
      <c r="D5310" s="201">
        <v>-272</v>
      </c>
      <c r="E5310" s="201">
        <v>0</v>
      </c>
      <c r="F5310">
        <v>145</v>
      </c>
      <c r="G5310">
        <v>0</v>
      </c>
      <c r="H5310">
        <v>0</v>
      </c>
      <c r="I5310">
        <v>-1996</v>
      </c>
      <c r="J5310">
        <v>-378</v>
      </c>
      <c r="K5310" s="201">
        <v>0</v>
      </c>
    </row>
    <row r="5311" spans="1:11" x14ac:dyDescent="0.25">
      <c r="A5311"/>
      <c r="B5311" s="201">
        <v>0</v>
      </c>
      <c r="C5311">
        <v>0</v>
      </c>
      <c r="D5311" s="201">
        <v>0</v>
      </c>
      <c r="E5311" s="201">
        <v>-1752</v>
      </c>
      <c r="F5311">
        <v>0</v>
      </c>
      <c r="G5311">
        <v>-409</v>
      </c>
      <c r="H5311">
        <v>-3119</v>
      </c>
      <c r="I5311">
        <v>-4633</v>
      </c>
      <c r="J5311">
        <v>-5630</v>
      </c>
      <c r="K5311" s="201">
        <v>-4461</v>
      </c>
    </row>
    <row r="5312" spans="1:11" x14ac:dyDescent="0.25">
      <c r="A5312"/>
      <c r="B5312" s="201">
        <v>-7194</v>
      </c>
      <c r="C5312">
        <v>-7879</v>
      </c>
      <c r="D5312" s="201">
        <v>-3362</v>
      </c>
      <c r="E5312" s="201">
        <v>-4221</v>
      </c>
      <c r="F5312">
        <v>-2350</v>
      </c>
      <c r="G5312">
        <v>0</v>
      </c>
      <c r="H5312">
        <v>0</v>
      </c>
      <c r="I5312">
        <v>0</v>
      </c>
      <c r="J5312">
        <v>0</v>
      </c>
      <c r="K5312" s="201">
        <v>0</v>
      </c>
    </row>
    <row r="5313" spans="1:11" x14ac:dyDescent="0.25">
      <c r="A5313"/>
      <c r="B5313" s="201">
        <v>0</v>
      </c>
      <c r="C5313">
        <v>0</v>
      </c>
      <c r="D5313" s="201">
        <v>-3012</v>
      </c>
      <c r="E5313" s="201">
        <v>-160</v>
      </c>
      <c r="F5313">
        <v>353</v>
      </c>
      <c r="G5313">
        <v>-1208</v>
      </c>
      <c r="H5313">
        <v>168</v>
      </c>
      <c r="I5313">
        <v>444</v>
      </c>
      <c r="J5313">
        <v>0</v>
      </c>
      <c r="K5313" s="201">
        <v>0</v>
      </c>
    </row>
    <row r="5314" spans="1:11" x14ac:dyDescent="0.25">
      <c r="B5314" s="201">
        <v>-2485</v>
      </c>
      <c r="C5314">
        <v>0</v>
      </c>
      <c r="D5314" s="201">
        <v>67</v>
      </c>
      <c r="E5314" s="201">
        <v>2797</v>
      </c>
      <c r="F5314">
        <v>0</v>
      </c>
      <c r="G5314">
        <v>0</v>
      </c>
      <c r="H5314">
        <v>0</v>
      </c>
      <c r="I5314">
        <v>0</v>
      </c>
      <c r="J5314">
        <v>-4634</v>
      </c>
      <c r="K5314" s="201">
        <v>0</v>
      </c>
    </row>
    <row r="5315" spans="1:11" x14ac:dyDescent="0.25">
      <c r="A5315"/>
      <c r="B5315" s="201">
        <v>-1447</v>
      </c>
      <c r="C5315">
        <v>410</v>
      </c>
      <c r="D5315" s="201">
        <v>0</v>
      </c>
      <c r="E5315" s="201">
        <v>0</v>
      </c>
      <c r="F5315">
        <v>0</v>
      </c>
      <c r="G5315">
        <v>0</v>
      </c>
      <c r="H5315">
        <v>0</v>
      </c>
      <c r="I5315">
        <v>0</v>
      </c>
      <c r="J5315">
        <v>0</v>
      </c>
      <c r="K5315" s="201">
        <v>0</v>
      </c>
    </row>
    <row r="5316" spans="1:11" x14ac:dyDescent="0.25">
      <c r="A5316"/>
      <c r="B5316" s="201">
        <v>0</v>
      </c>
      <c r="C5316">
        <v>0</v>
      </c>
      <c r="D5316" s="201">
        <v>0</v>
      </c>
      <c r="E5316" s="201">
        <v>0</v>
      </c>
      <c r="F5316">
        <v>0</v>
      </c>
      <c r="G5316">
        <v>0</v>
      </c>
      <c r="H5316">
        <v>0</v>
      </c>
      <c r="I5316">
        <v>569</v>
      </c>
      <c r="J5316">
        <v>0</v>
      </c>
      <c r="K5316" s="201">
        <v>0</v>
      </c>
    </row>
    <row r="5317" spans="1:11" x14ac:dyDescent="0.25">
      <c r="A5317"/>
      <c r="B5317" s="201">
        <v>0</v>
      </c>
      <c r="C5317">
        <v>0</v>
      </c>
      <c r="D5317" s="201">
        <v>0</v>
      </c>
      <c r="E5317" s="201">
        <v>-220</v>
      </c>
      <c r="F5317">
        <v>3035</v>
      </c>
      <c r="G5317">
        <v>3415</v>
      </c>
      <c r="H5317">
        <v>16862</v>
      </c>
      <c r="I5317">
        <v>17407</v>
      </c>
      <c r="J5317">
        <v>47862</v>
      </c>
      <c r="K5317" s="201">
        <v>19170</v>
      </c>
    </row>
    <row r="5318" spans="1:11" x14ac:dyDescent="0.25">
      <c r="A5318"/>
      <c r="B5318" s="201">
        <v>1259</v>
      </c>
      <c r="C5318">
        <v>811</v>
      </c>
      <c r="D5318" s="201">
        <v>631</v>
      </c>
      <c r="E5318" s="201">
        <v>4673</v>
      </c>
      <c r="F5318">
        <v>3474</v>
      </c>
      <c r="G5318">
        <v>15340</v>
      </c>
      <c r="H5318">
        <v>14477</v>
      </c>
      <c r="I5318">
        <v>24838</v>
      </c>
      <c r="J5318">
        <v>14057</v>
      </c>
      <c r="K5318" s="201">
        <v>1073</v>
      </c>
    </row>
    <row r="5319" spans="1:11" x14ac:dyDescent="0.25">
      <c r="A5319"/>
      <c r="B5319" s="201">
        <v>0</v>
      </c>
      <c r="C5319">
        <v>18114</v>
      </c>
      <c r="D5319" s="201">
        <v>22749</v>
      </c>
      <c r="E5319" s="201">
        <v>35528</v>
      </c>
      <c r="F5319">
        <v>20769</v>
      </c>
      <c r="G5319">
        <v>16892</v>
      </c>
      <c r="H5319">
        <v>18775</v>
      </c>
      <c r="I5319">
        <v>35629</v>
      </c>
      <c r="J5319">
        <v>21942</v>
      </c>
      <c r="K5319" s="201">
        <v>17528</v>
      </c>
    </row>
    <row r="5320" spans="1:11" x14ac:dyDescent="0.25">
      <c r="B5320" s="201">
        <v>17135</v>
      </c>
      <c r="C5320">
        <v>-139</v>
      </c>
      <c r="D5320" s="201">
        <v>6</v>
      </c>
      <c r="E5320" s="201">
        <v>262</v>
      </c>
      <c r="F5320">
        <v>89</v>
      </c>
      <c r="G5320">
        <v>37</v>
      </c>
      <c r="H5320">
        <v>0</v>
      </c>
      <c r="I5320">
        <v>0</v>
      </c>
      <c r="J5320">
        <v>-15</v>
      </c>
      <c r="K5320" s="201">
        <v>0</v>
      </c>
    </row>
    <row r="5321" spans="1:11" x14ac:dyDescent="0.25">
      <c r="A5321"/>
      <c r="B5321" s="201">
        <v>0</v>
      </c>
      <c r="C5321">
        <v>0</v>
      </c>
      <c r="D5321" s="201">
        <v>-236</v>
      </c>
      <c r="E5321" s="201">
        <v>64</v>
      </c>
      <c r="F5321">
        <v>0</v>
      </c>
      <c r="G5321">
        <v>0</v>
      </c>
      <c r="H5321">
        <v>0</v>
      </c>
      <c r="I5321">
        <v>0</v>
      </c>
      <c r="J5321">
        <v>0</v>
      </c>
      <c r="K5321" s="201">
        <v>0</v>
      </c>
    </row>
    <row r="5322" spans="1:11" x14ac:dyDescent="0.25">
      <c r="A5322"/>
      <c r="B5322" s="201">
        <v>518</v>
      </c>
      <c r="C5322">
        <v>0</v>
      </c>
      <c r="D5322" s="201">
        <v>0</v>
      </c>
      <c r="E5322" s="201">
        <v>32</v>
      </c>
      <c r="F5322">
        <v>0</v>
      </c>
      <c r="G5322">
        <v>-35</v>
      </c>
      <c r="H5322">
        <v>0</v>
      </c>
      <c r="I5322">
        <v>341</v>
      </c>
      <c r="J5322">
        <v>-185</v>
      </c>
      <c r="K5322" s="201">
        <v>-135</v>
      </c>
    </row>
    <row r="5323" spans="1:11" x14ac:dyDescent="0.25">
      <c r="A5323"/>
      <c r="B5323" s="201">
        <v>0</v>
      </c>
      <c r="C5323">
        <v>-627</v>
      </c>
      <c r="D5323" s="201">
        <v>69</v>
      </c>
      <c r="E5323" s="201">
        <v>285</v>
      </c>
      <c r="F5323">
        <v>228</v>
      </c>
      <c r="G5323">
        <v>165</v>
      </c>
      <c r="H5323">
        <v>351</v>
      </c>
      <c r="I5323">
        <v>0</v>
      </c>
      <c r="J5323">
        <v>-26</v>
      </c>
      <c r="K5323" s="201">
        <v>0</v>
      </c>
    </row>
    <row r="5324" spans="1:11" x14ac:dyDescent="0.25">
      <c r="A5324"/>
      <c r="B5324" s="201">
        <v>0</v>
      </c>
      <c r="C5324">
        <v>0</v>
      </c>
      <c r="D5324" s="201">
        <v>0</v>
      </c>
      <c r="E5324" s="201">
        <v>0</v>
      </c>
      <c r="F5324">
        <v>-5</v>
      </c>
      <c r="G5324">
        <v>0</v>
      </c>
      <c r="H5324">
        <v>0</v>
      </c>
      <c r="I5324">
        <v>0</v>
      </c>
      <c r="J5324">
        <v>-34</v>
      </c>
      <c r="K5324" s="201">
        <v>0</v>
      </c>
    </row>
    <row r="5325" spans="1:11" x14ac:dyDescent="0.25">
      <c r="A5325"/>
      <c r="B5325" s="201">
        <v>-7</v>
      </c>
      <c r="C5325">
        <v>0</v>
      </c>
      <c r="D5325" s="201">
        <v>0</v>
      </c>
      <c r="E5325" s="201">
        <v>0</v>
      </c>
      <c r="F5325">
        <v>0</v>
      </c>
      <c r="G5325">
        <v>0</v>
      </c>
      <c r="H5325">
        <v>17</v>
      </c>
      <c r="I5325">
        <v>0</v>
      </c>
      <c r="J5325">
        <v>244</v>
      </c>
      <c r="K5325" s="201">
        <v>224</v>
      </c>
    </row>
    <row r="5326" spans="1:11" x14ac:dyDescent="0.25">
      <c r="A5326"/>
      <c r="B5326" s="201">
        <v>0</v>
      </c>
      <c r="C5326">
        <v>0</v>
      </c>
      <c r="D5326" s="201">
        <v>400</v>
      </c>
      <c r="E5326" s="201">
        <v>-3806</v>
      </c>
      <c r="F5326">
        <v>0</v>
      </c>
      <c r="G5326">
        <v>547</v>
      </c>
      <c r="H5326">
        <v>0</v>
      </c>
      <c r="I5326">
        <v>0</v>
      </c>
      <c r="J5326">
        <v>0</v>
      </c>
      <c r="K5326" s="201">
        <v>0</v>
      </c>
    </row>
    <row r="5327" spans="1:11" x14ac:dyDescent="0.25">
      <c r="A5327"/>
      <c r="B5327" s="201">
        <v>334</v>
      </c>
      <c r="C5327">
        <v>127</v>
      </c>
      <c r="D5327" s="201">
        <v>81</v>
      </c>
      <c r="E5327" s="201">
        <v>0</v>
      </c>
      <c r="F5327">
        <v>0</v>
      </c>
      <c r="G5327">
        <v>-136</v>
      </c>
      <c r="H5327">
        <v>48</v>
      </c>
      <c r="I5327">
        <v>0</v>
      </c>
      <c r="J5327">
        <v>89</v>
      </c>
      <c r="K5327" s="201">
        <v>-300</v>
      </c>
    </row>
    <row r="5328" spans="1:11" x14ac:dyDescent="0.25">
      <c r="A5328"/>
      <c r="B5328" s="201">
        <v>88</v>
      </c>
      <c r="C5328">
        <v>-26</v>
      </c>
      <c r="D5328" s="201">
        <v>301</v>
      </c>
      <c r="E5328" s="201">
        <v>200</v>
      </c>
      <c r="F5328">
        <v>343</v>
      </c>
      <c r="G5328">
        <v>0</v>
      </c>
      <c r="H5328">
        <v>0</v>
      </c>
      <c r="I5328">
        <v>0</v>
      </c>
      <c r="J5328">
        <v>0</v>
      </c>
      <c r="K5328" s="201">
        <v>0</v>
      </c>
    </row>
    <row r="5329" spans="1:11" x14ac:dyDescent="0.25">
      <c r="A5329"/>
      <c r="B5329" s="201">
        <v>23</v>
      </c>
      <c r="C5329">
        <v>0</v>
      </c>
      <c r="D5329" s="201">
        <v>-173</v>
      </c>
      <c r="E5329" s="201">
        <v>-515</v>
      </c>
      <c r="F5329">
        <v>-256</v>
      </c>
      <c r="G5329">
        <v>0</v>
      </c>
      <c r="H5329">
        <v>875</v>
      </c>
      <c r="I5329">
        <v>-3464</v>
      </c>
      <c r="J5329">
        <v>-3</v>
      </c>
      <c r="K5329" s="201">
        <v>41</v>
      </c>
    </row>
    <row r="5330" spans="1:11" x14ac:dyDescent="0.25">
      <c r="A5330"/>
      <c r="B5330" s="201">
        <v>341</v>
      </c>
      <c r="C5330">
        <v>0</v>
      </c>
      <c r="D5330" s="201">
        <v>-331</v>
      </c>
      <c r="E5330" s="201">
        <v>-978</v>
      </c>
      <c r="F5330">
        <v>69</v>
      </c>
      <c r="G5330">
        <v>-68</v>
      </c>
      <c r="H5330">
        <v>0</v>
      </c>
      <c r="I5330">
        <v>269</v>
      </c>
      <c r="J5330">
        <v>-882</v>
      </c>
      <c r="K5330" s="201">
        <v>0</v>
      </c>
    </row>
    <row r="5331" spans="1:11" x14ac:dyDescent="0.25">
      <c r="A5331"/>
      <c r="B5331" s="201">
        <v>0</v>
      </c>
      <c r="C5331">
        <v>0</v>
      </c>
      <c r="D5331" s="201">
        <v>75</v>
      </c>
      <c r="E5331" s="201">
        <v>-480</v>
      </c>
      <c r="F5331">
        <v>0</v>
      </c>
      <c r="G5331">
        <v>-237</v>
      </c>
      <c r="H5331">
        <v>35</v>
      </c>
      <c r="I5331">
        <v>21</v>
      </c>
      <c r="J5331">
        <v>-135</v>
      </c>
      <c r="K5331" s="201">
        <v>0</v>
      </c>
    </row>
    <row r="5332" spans="1:11" x14ac:dyDescent="0.25">
      <c r="A5332"/>
      <c r="B5332" s="201">
        <v>0</v>
      </c>
      <c r="C5332">
        <v>0</v>
      </c>
      <c r="D5332" s="201">
        <v>0</v>
      </c>
      <c r="E5332" s="201">
        <v>0</v>
      </c>
      <c r="F5332">
        <v>-465</v>
      </c>
      <c r="G5332">
        <v>0</v>
      </c>
      <c r="H5332">
        <v>-513</v>
      </c>
      <c r="I5332">
        <v>-1008</v>
      </c>
      <c r="J5332">
        <v>-187</v>
      </c>
      <c r="K5332" s="201">
        <v>0</v>
      </c>
    </row>
    <row r="5333" spans="1:11" x14ac:dyDescent="0.25">
      <c r="A5333"/>
      <c r="B5333" s="201">
        <v>-1623</v>
      </c>
      <c r="C5333">
        <v>-3760</v>
      </c>
      <c r="D5333" s="201">
        <v>582</v>
      </c>
      <c r="E5333" s="201">
        <v>253</v>
      </c>
      <c r="F5333">
        <v>766</v>
      </c>
      <c r="G5333">
        <v>-184</v>
      </c>
      <c r="H5333">
        <v>-775</v>
      </c>
      <c r="I5333">
        <v>-529</v>
      </c>
      <c r="J5333">
        <v>0</v>
      </c>
      <c r="K5333" s="201">
        <v>538</v>
      </c>
    </row>
    <row r="5334" spans="1:11" x14ac:dyDescent="0.25">
      <c r="A5334"/>
      <c r="B5334" s="201">
        <v>0</v>
      </c>
      <c r="C5334">
        <v>0</v>
      </c>
      <c r="D5334" s="201">
        <v>-1897</v>
      </c>
      <c r="E5334" s="201">
        <v>63</v>
      </c>
      <c r="F5334">
        <v>0</v>
      </c>
      <c r="G5334">
        <v>205</v>
      </c>
      <c r="H5334">
        <v>0</v>
      </c>
      <c r="I5334">
        <v>0</v>
      </c>
      <c r="J5334">
        <v>-37</v>
      </c>
      <c r="K5334" s="201">
        <v>0</v>
      </c>
    </row>
    <row r="5335" spans="1:11" x14ac:dyDescent="0.25">
      <c r="A5335"/>
      <c r="B5335" s="201">
        <v>-290</v>
      </c>
      <c r="C5335">
        <v>-43</v>
      </c>
      <c r="D5335" s="201">
        <v>-288</v>
      </c>
      <c r="E5335" s="201">
        <v>0</v>
      </c>
      <c r="F5335">
        <v>0</v>
      </c>
      <c r="G5335">
        <v>0</v>
      </c>
      <c r="H5335">
        <v>0</v>
      </c>
      <c r="I5335">
        <v>0</v>
      </c>
      <c r="J5335">
        <v>362</v>
      </c>
      <c r="K5335" s="201">
        <v>0</v>
      </c>
    </row>
    <row r="5336" spans="1:11" x14ac:dyDescent="0.25">
      <c r="A5336"/>
      <c r="B5336" s="201">
        <v>7</v>
      </c>
      <c r="C5336">
        <v>2510</v>
      </c>
      <c r="D5336" s="201">
        <v>553</v>
      </c>
      <c r="E5336" s="201">
        <v>0</v>
      </c>
      <c r="F5336">
        <v>329</v>
      </c>
      <c r="G5336">
        <v>-18378</v>
      </c>
      <c r="H5336">
        <v>-2242</v>
      </c>
      <c r="I5336">
        <v>0</v>
      </c>
      <c r="J5336">
        <v>0</v>
      </c>
      <c r="K5336" s="201">
        <v>0</v>
      </c>
    </row>
    <row r="5337" spans="1:11" x14ac:dyDescent="0.25">
      <c r="B5337" s="201">
        <v>-572</v>
      </c>
      <c r="C5337">
        <v>1561</v>
      </c>
      <c r="D5337" s="201">
        <v>1798</v>
      </c>
      <c r="E5337" s="201">
        <v>-413</v>
      </c>
      <c r="F5337">
        <v>-363</v>
      </c>
      <c r="G5337">
        <v>0</v>
      </c>
      <c r="H5337">
        <v>-743</v>
      </c>
      <c r="I5337">
        <v>0</v>
      </c>
      <c r="J5337">
        <v>0</v>
      </c>
      <c r="K5337" s="201">
        <v>-853</v>
      </c>
    </row>
    <row r="5338" spans="1:11" x14ac:dyDescent="0.25">
      <c r="A5338"/>
      <c r="B5338" s="201">
        <v>0</v>
      </c>
      <c r="C5338">
        <v>-2092</v>
      </c>
      <c r="D5338" s="201">
        <v>0</v>
      </c>
      <c r="E5338" s="201">
        <v>-1861</v>
      </c>
      <c r="F5338">
        <v>0</v>
      </c>
      <c r="G5338">
        <v>0</v>
      </c>
      <c r="H5338">
        <v>0</v>
      </c>
      <c r="I5338">
        <v>0</v>
      </c>
      <c r="J5338">
        <v>0</v>
      </c>
      <c r="K5338" s="201">
        <v>0</v>
      </c>
    </row>
    <row r="5339" spans="1:11" x14ac:dyDescent="0.25">
      <c r="A5339"/>
      <c r="B5339" s="201">
        <v>0</v>
      </c>
      <c r="C5339">
        <v>0</v>
      </c>
      <c r="D5339" s="201">
        <v>-281</v>
      </c>
      <c r="E5339" s="201">
        <v>0</v>
      </c>
      <c r="F5339">
        <v>-1767</v>
      </c>
      <c r="G5339">
        <v>2773</v>
      </c>
      <c r="H5339">
        <v>1757</v>
      </c>
      <c r="I5339">
        <v>0</v>
      </c>
      <c r="J5339">
        <v>2480</v>
      </c>
      <c r="K5339" s="201">
        <v>4297</v>
      </c>
    </row>
    <row r="5340" spans="1:11" x14ac:dyDescent="0.25">
      <c r="A5340"/>
      <c r="B5340" s="201">
        <v>0</v>
      </c>
      <c r="C5340">
        <v>0</v>
      </c>
      <c r="D5340" s="201">
        <v>0</v>
      </c>
      <c r="E5340" s="201">
        <v>0</v>
      </c>
      <c r="F5340">
        <v>0</v>
      </c>
      <c r="G5340">
        <v>-3454</v>
      </c>
      <c r="H5340">
        <v>-1283</v>
      </c>
      <c r="I5340">
        <v>-3201</v>
      </c>
      <c r="J5340">
        <v>-2578</v>
      </c>
      <c r="K5340" s="201">
        <v>-1627</v>
      </c>
    </row>
    <row r="5341" spans="1:11" x14ac:dyDescent="0.25">
      <c r="B5341" s="201">
        <v>-5567</v>
      </c>
      <c r="C5341">
        <v>0</v>
      </c>
      <c r="D5341" s="201">
        <v>0</v>
      </c>
      <c r="E5341" s="201">
        <v>0</v>
      </c>
      <c r="F5341">
        <v>0</v>
      </c>
      <c r="G5341">
        <v>-261</v>
      </c>
      <c r="H5341">
        <v>0</v>
      </c>
      <c r="I5341">
        <v>209</v>
      </c>
      <c r="J5341">
        <v>0</v>
      </c>
      <c r="K5341" s="201">
        <v>0</v>
      </c>
    </row>
    <row r="5342" spans="1:11" x14ac:dyDescent="0.25">
      <c r="A5342"/>
      <c r="B5342" s="201">
        <v>-1563</v>
      </c>
      <c r="C5342">
        <v>611</v>
      </c>
      <c r="D5342" s="201">
        <v>0</v>
      </c>
      <c r="E5342" s="201">
        <v>0</v>
      </c>
      <c r="F5342">
        <v>0</v>
      </c>
      <c r="G5342">
        <v>0</v>
      </c>
      <c r="H5342">
        <v>-178</v>
      </c>
      <c r="I5342">
        <v>0</v>
      </c>
      <c r="J5342">
        <v>1049</v>
      </c>
      <c r="K5342" s="201">
        <v>-2368</v>
      </c>
    </row>
    <row r="5343" spans="1:11" x14ac:dyDescent="0.25">
      <c r="A5343"/>
      <c r="B5343" s="201">
        <v>-2868</v>
      </c>
      <c r="C5343">
        <v>-3581</v>
      </c>
      <c r="D5343" s="201">
        <v>444</v>
      </c>
      <c r="E5343" s="201">
        <v>-1267</v>
      </c>
      <c r="F5343">
        <v>-1324</v>
      </c>
      <c r="G5343">
        <v>-140</v>
      </c>
      <c r="H5343">
        <v>447</v>
      </c>
      <c r="I5343">
        <v>1184</v>
      </c>
      <c r="J5343">
        <v>0</v>
      </c>
      <c r="K5343" s="201">
        <v>0</v>
      </c>
    </row>
    <row r="5344" spans="1:11" x14ac:dyDescent="0.25">
      <c r="A5344"/>
      <c r="B5344" s="201">
        <v>0</v>
      </c>
      <c r="C5344">
        <v>0</v>
      </c>
      <c r="D5344" s="201">
        <v>0</v>
      </c>
      <c r="E5344" s="201">
        <v>0</v>
      </c>
      <c r="F5344">
        <v>0</v>
      </c>
      <c r="G5344">
        <v>938</v>
      </c>
      <c r="H5344">
        <v>-196</v>
      </c>
      <c r="I5344">
        <v>2402</v>
      </c>
      <c r="J5344">
        <v>-30</v>
      </c>
      <c r="K5344" s="201">
        <v>1337</v>
      </c>
    </row>
    <row r="5345" spans="1:11" x14ac:dyDescent="0.25">
      <c r="A5345"/>
      <c r="B5345" s="201">
        <v>675</v>
      </c>
      <c r="C5345">
        <v>0</v>
      </c>
      <c r="D5345" s="201">
        <v>0</v>
      </c>
      <c r="E5345" s="201">
        <v>-1134</v>
      </c>
      <c r="F5345">
        <v>0</v>
      </c>
      <c r="G5345">
        <v>437</v>
      </c>
      <c r="H5345">
        <v>-856</v>
      </c>
      <c r="I5345">
        <v>0</v>
      </c>
      <c r="J5345">
        <v>0</v>
      </c>
      <c r="K5345" s="201">
        <v>0</v>
      </c>
    </row>
    <row r="5346" spans="1:11" x14ac:dyDescent="0.25">
      <c r="A5346"/>
      <c r="B5346" s="201">
        <v>0</v>
      </c>
      <c r="C5346">
        <v>-750</v>
      </c>
      <c r="D5346" s="201">
        <v>0</v>
      </c>
      <c r="E5346" s="201">
        <v>1120</v>
      </c>
      <c r="F5346">
        <v>2007</v>
      </c>
      <c r="G5346">
        <v>0</v>
      </c>
      <c r="H5346">
        <v>0</v>
      </c>
      <c r="I5346">
        <v>0</v>
      </c>
      <c r="J5346">
        <v>0</v>
      </c>
      <c r="K5346" s="201">
        <v>0</v>
      </c>
    </row>
    <row r="5347" spans="1:11" x14ac:dyDescent="0.25">
      <c r="A5347"/>
      <c r="B5347" s="201">
        <v>0</v>
      </c>
      <c r="C5347">
        <v>0</v>
      </c>
      <c r="D5347" s="201">
        <v>0</v>
      </c>
      <c r="E5347" s="201">
        <v>0</v>
      </c>
      <c r="F5347">
        <v>0</v>
      </c>
      <c r="G5347">
        <v>0</v>
      </c>
      <c r="H5347">
        <v>0</v>
      </c>
      <c r="I5347">
        <v>0</v>
      </c>
      <c r="J5347">
        <v>0</v>
      </c>
      <c r="K5347" s="201">
        <v>0</v>
      </c>
    </row>
    <row r="5348" spans="1:11" x14ac:dyDescent="0.25">
      <c r="A5348"/>
      <c r="B5348" s="201">
        <v>-39</v>
      </c>
      <c r="C5348">
        <v>0</v>
      </c>
      <c r="D5348" s="201">
        <v>0</v>
      </c>
      <c r="E5348" s="201">
        <v>0</v>
      </c>
      <c r="F5348">
        <v>0</v>
      </c>
      <c r="G5348">
        <v>0</v>
      </c>
      <c r="H5348">
        <v>-84</v>
      </c>
      <c r="I5348">
        <v>3104</v>
      </c>
      <c r="J5348">
        <v>2860</v>
      </c>
      <c r="K5348" s="201">
        <v>18270</v>
      </c>
    </row>
    <row r="5349" spans="1:11" x14ac:dyDescent="0.25">
      <c r="A5349"/>
      <c r="B5349" s="201">
        <v>21769</v>
      </c>
      <c r="C5349">
        <v>22184</v>
      </c>
      <c r="D5349" s="201">
        <v>48278</v>
      </c>
      <c r="E5349" s="201">
        <v>640</v>
      </c>
      <c r="F5349">
        <v>15</v>
      </c>
      <c r="G5349">
        <v>-168</v>
      </c>
      <c r="H5349">
        <v>4678</v>
      </c>
      <c r="I5349">
        <v>2707</v>
      </c>
      <c r="J5349">
        <v>14751</v>
      </c>
      <c r="K5349" s="201">
        <v>16653</v>
      </c>
    </row>
    <row r="5350" spans="1:11" x14ac:dyDescent="0.25">
      <c r="B5350" s="201">
        <v>15943</v>
      </c>
      <c r="C5350">
        <v>31180</v>
      </c>
      <c r="D5350" s="201">
        <v>1236</v>
      </c>
      <c r="E5350" s="201">
        <v>0</v>
      </c>
      <c r="F5350">
        <v>20087</v>
      </c>
      <c r="G5350">
        <v>25371</v>
      </c>
      <c r="H5350">
        <v>25395</v>
      </c>
      <c r="I5350">
        <v>36468</v>
      </c>
      <c r="J5350">
        <v>17906</v>
      </c>
      <c r="K5350" s="201">
        <v>19415</v>
      </c>
    </row>
    <row r="5351" spans="1:11" x14ac:dyDescent="0.25">
      <c r="A5351"/>
      <c r="B5351" s="201">
        <v>27141</v>
      </c>
      <c r="C5351">
        <v>38961</v>
      </c>
      <c r="D5351" s="201">
        <v>17422</v>
      </c>
      <c r="E5351" s="201">
        <v>23068</v>
      </c>
      <c r="F5351">
        <v>17350</v>
      </c>
      <c r="G5351">
        <v>336</v>
      </c>
      <c r="H5351">
        <v>-1099</v>
      </c>
      <c r="I5351">
        <v>261</v>
      </c>
      <c r="J5351">
        <v>-147</v>
      </c>
      <c r="K5351" s="201">
        <v>31</v>
      </c>
    </row>
    <row r="5352" spans="1:11" x14ac:dyDescent="0.25">
      <c r="A5352"/>
      <c r="B5352" s="201">
        <v>0</v>
      </c>
      <c r="C5352">
        <v>0</v>
      </c>
      <c r="D5352" s="201">
        <v>18</v>
      </c>
      <c r="E5352" s="201">
        <v>0</v>
      </c>
      <c r="F5352">
        <v>0</v>
      </c>
      <c r="G5352">
        <v>0</v>
      </c>
      <c r="H5352">
        <v>-691</v>
      </c>
      <c r="I5352">
        <v>777</v>
      </c>
      <c r="J5352">
        <v>0</v>
      </c>
      <c r="K5352" s="201">
        <v>0</v>
      </c>
    </row>
    <row r="5353" spans="1:11" x14ac:dyDescent="0.25">
      <c r="A5353"/>
      <c r="B5353" s="201">
        <v>0</v>
      </c>
      <c r="C5353">
        <v>0</v>
      </c>
      <c r="D5353" s="201">
        <v>0</v>
      </c>
      <c r="E5353" s="201">
        <v>0</v>
      </c>
      <c r="F5353">
        <v>300</v>
      </c>
      <c r="G5353">
        <v>0</v>
      </c>
      <c r="H5353">
        <v>0</v>
      </c>
      <c r="I5353">
        <v>117</v>
      </c>
      <c r="J5353">
        <v>0</v>
      </c>
      <c r="K5353" s="201">
        <v>-115</v>
      </c>
    </row>
    <row r="5354" spans="1:11" x14ac:dyDescent="0.25">
      <c r="A5354"/>
      <c r="B5354" s="201">
        <v>0</v>
      </c>
      <c r="C5354">
        <v>141</v>
      </c>
      <c r="D5354" s="201">
        <v>-271</v>
      </c>
      <c r="E5354" s="201">
        <v>-175</v>
      </c>
      <c r="F5354">
        <v>0</v>
      </c>
      <c r="G5354">
        <v>-35</v>
      </c>
      <c r="H5354">
        <v>-1088</v>
      </c>
      <c r="I5354">
        <v>165</v>
      </c>
      <c r="J5354">
        <v>116</v>
      </c>
      <c r="K5354" s="201">
        <v>-50</v>
      </c>
    </row>
    <row r="5355" spans="1:11" x14ac:dyDescent="0.25">
      <c r="A5355"/>
      <c r="B5355" s="201">
        <v>199</v>
      </c>
      <c r="C5355">
        <v>0</v>
      </c>
      <c r="D5355" s="201">
        <v>-14</v>
      </c>
      <c r="E5355" s="201">
        <v>0</v>
      </c>
      <c r="F5355">
        <v>0</v>
      </c>
      <c r="G5355">
        <v>0</v>
      </c>
      <c r="H5355">
        <v>0</v>
      </c>
      <c r="I5355">
        <v>0</v>
      </c>
      <c r="J5355">
        <v>147</v>
      </c>
      <c r="K5355" s="201">
        <v>0</v>
      </c>
    </row>
    <row r="5356" spans="1:11" x14ac:dyDescent="0.25">
      <c r="A5356"/>
      <c r="B5356" s="201">
        <v>0</v>
      </c>
      <c r="C5356">
        <v>0</v>
      </c>
      <c r="D5356" s="201">
        <v>-275</v>
      </c>
      <c r="E5356" s="201">
        <v>0</v>
      </c>
      <c r="F5356">
        <v>-52</v>
      </c>
      <c r="G5356">
        <v>0</v>
      </c>
      <c r="H5356">
        <v>0</v>
      </c>
      <c r="I5356">
        <v>0</v>
      </c>
      <c r="J5356">
        <v>0</v>
      </c>
      <c r="K5356" s="201">
        <v>0</v>
      </c>
    </row>
    <row r="5357" spans="1:11" x14ac:dyDescent="0.25">
      <c r="A5357"/>
      <c r="B5357" s="201">
        <v>-42</v>
      </c>
      <c r="C5357">
        <v>0</v>
      </c>
      <c r="D5357" s="201">
        <v>197</v>
      </c>
      <c r="E5357" s="201">
        <v>-38</v>
      </c>
      <c r="F5357">
        <v>0</v>
      </c>
      <c r="G5357">
        <v>0</v>
      </c>
      <c r="H5357">
        <v>1759</v>
      </c>
      <c r="I5357">
        <v>-10300</v>
      </c>
      <c r="J5357">
        <v>0</v>
      </c>
      <c r="K5357" s="201">
        <v>-1245</v>
      </c>
    </row>
    <row r="5358" spans="1:11" x14ac:dyDescent="0.25">
      <c r="A5358"/>
      <c r="B5358" s="201">
        <v>0</v>
      </c>
      <c r="C5358">
        <v>0</v>
      </c>
      <c r="D5358" s="201">
        <v>0</v>
      </c>
      <c r="E5358" s="201">
        <v>0</v>
      </c>
      <c r="F5358">
        <v>8</v>
      </c>
      <c r="G5358">
        <v>14</v>
      </c>
      <c r="H5358">
        <v>217</v>
      </c>
      <c r="I5358">
        <v>0</v>
      </c>
      <c r="J5358">
        <v>0</v>
      </c>
      <c r="K5358" s="201">
        <v>-411</v>
      </c>
    </row>
    <row r="5359" spans="1:11" x14ac:dyDescent="0.25">
      <c r="A5359"/>
      <c r="B5359" s="201">
        <v>423</v>
      </c>
      <c r="C5359">
        <v>0</v>
      </c>
      <c r="D5359" s="201">
        <v>1055</v>
      </c>
      <c r="E5359" s="201">
        <v>2094</v>
      </c>
      <c r="F5359">
        <v>694</v>
      </c>
      <c r="G5359">
        <v>1276</v>
      </c>
      <c r="H5359">
        <v>-1735</v>
      </c>
      <c r="I5359">
        <v>-178</v>
      </c>
      <c r="J5359">
        <v>-622</v>
      </c>
      <c r="K5359" s="201">
        <v>0</v>
      </c>
    </row>
    <row r="5360" spans="1:11" x14ac:dyDescent="0.25">
      <c r="A5360"/>
      <c r="B5360" s="201">
        <v>0</v>
      </c>
      <c r="C5360">
        <v>0</v>
      </c>
      <c r="D5360" s="201">
        <v>0</v>
      </c>
      <c r="E5360" s="201">
        <v>0</v>
      </c>
      <c r="F5360">
        <v>-629</v>
      </c>
      <c r="G5360">
        <v>0</v>
      </c>
      <c r="H5360">
        <v>1422</v>
      </c>
      <c r="I5360">
        <v>1628</v>
      </c>
      <c r="J5360">
        <v>623</v>
      </c>
      <c r="K5360" s="201">
        <v>0</v>
      </c>
    </row>
    <row r="5361" spans="1:11" x14ac:dyDescent="0.25">
      <c r="A5361"/>
      <c r="B5361" s="201">
        <v>553</v>
      </c>
      <c r="C5361">
        <v>-3793</v>
      </c>
      <c r="D5361" s="201">
        <v>232</v>
      </c>
      <c r="E5361" s="201">
        <v>122</v>
      </c>
      <c r="F5361">
        <v>136</v>
      </c>
      <c r="G5361">
        <v>0</v>
      </c>
      <c r="H5361">
        <v>-4</v>
      </c>
      <c r="I5361">
        <v>-701</v>
      </c>
      <c r="J5361">
        <v>377</v>
      </c>
      <c r="K5361" s="201">
        <v>-44</v>
      </c>
    </row>
    <row r="5362" spans="1:11" x14ac:dyDescent="0.25">
      <c r="A5362"/>
      <c r="B5362" s="201">
        <v>0</v>
      </c>
      <c r="C5362">
        <v>229</v>
      </c>
      <c r="D5362" s="201">
        <v>-700</v>
      </c>
      <c r="E5362" s="201">
        <v>0</v>
      </c>
      <c r="F5362">
        <v>0</v>
      </c>
      <c r="G5362">
        <v>0</v>
      </c>
      <c r="H5362">
        <v>460</v>
      </c>
      <c r="I5362">
        <v>1346</v>
      </c>
      <c r="J5362">
        <v>0</v>
      </c>
      <c r="K5362" s="201">
        <v>1061</v>
      </c>
    </row>
    <row r="5363" spans="1:11" x14ac:dyDescent="0.25">
      <c r="A5363"/>
      <c r="B5363" s="201">
        <v>-307</v>
      </c>
      <c r="C5363">
        <v>51</v>
      </c>
      <c r="D5363" s="201">
        <v>4</v>
      </c>
      <c r="E5363" s="201">
        <v>0</v>
      </c>
      <c r="F5363">
        <v>0</v>
      </c>
      <c r="G5363">
        <v>0</v>
      </c>
      <c r="H5363">
        <v>0</v>
      </c>
      <c r="I5363">
        <v>0</v>
      </c>
      <c r="J5363">
        <v>-205</v>
      </c>
      <c r="K5363" s="201">
        <v>0</v>
      </c>
    </row>
    <row r="5364" spans="1:11" x14ac:dyDescent="0.25">
      <c r="A5364"/>
      <c r="B5364" s="201">
        <v>-204</v>
      </c>
      <c r="C5364">
        <v>-345</v>
      </c>
      <c r="D5364" s="201">
        <v>-143</v>
      </c>
      <c r="E5364" s="201">
        <v>0</v>
      </c>
      <c r="F5364">
        <v>684</v>
      </c>
      <c r="G5364">
        <v>-3794</v>
      </c>
      <c r="H5364">
        <v>259</v>
      </c>
      <c r="I5364">
        <v>-188</v>
      </c>
      <c r="J5364">
        <v>228</v>
      </c>
      <c r="K5364" s="201">
        <v>-38</v>
      </c>
    </row>
    <row r="5365" spans="1:11" x14ac:dyDescent="0.25">
      <c r="A5365"/>
      <c r="B5365" s="201">
        <v>-200</v>
      </c>
      <c r="C5365">
        <v>-1008</v>
      </c>
      <c r="D5365" s="201">
        <v>0</v>
      </c>
      <c r="E5365" s="201">
        <v>-33</v>
      </c>
      <c r="F5365">
        <v>0</v>
      </c>
      <c r="G5365">
        <v>0</v>
      </c>
      <c r="H5365">
        <v>-646</v>
      </c>
      <c r="I5365">
        <v>-75</v>
      </c>
      <c r="J5365">
        <v>0</v>
      </c>
      <c r="K5365" s="201">
        <v>-453</v>
      </c>
    </row>
    <row r="5366" spans="1:11" x14ac:dyDescent="0.25">
      <c r="A5366"/>
      <c r="B5366" s="201">
        <v>0</v>
      </c>
      <c r="C5366">
        <v>0</v>
      </c>
      <c r="D5366" s="201">
        <v>206</v>
      </c>
      <c r="E5366" s="201">
        <v>0</v>
      </c>
      <c r="F5366">
        <v>-435</v>
      </c>
      <c r="G5366">
        <v>63</v>
      </c>
      <c r="H5366">
        <v>-310</v>
      </c>
      <c r="I5366">
        <v>0</v>
      </c>
      <c r="J5366">
        <v>0</v>
      </c>
      <c r="K5366" s="201">
        <v>0</v>
      </c>
    </row>
    <row r="5367" spans="1:11" x14ac:dyDescent="0.25">
      <c r="A5367"/>
      <c r="B5367" s="201">
        <v>0</v>
      </c>
      <c r="C5367">
        <v>0</v>
      </c>
      <c r="D5367" s="201">
        <v>-188</v>
      </c>
      <c r="E5367" s="201">
        <v>0</v>
      </c>
      <c r="F5367">
        <v>-186</v>
      </c>
      <c r="G5367">
        <v>-206</v>
      </c>
      <c r="H5367">
        <v>-70</v>
      </c>
      <c r="I5367">
        <v>0</v>
      </c>
      <c r="J5367">
        <v>-882</v>
      </c>
      <c r="K5367" s="201">
        <v>-5417</v>
      </c>
    </row>
    <row r="5368" spans="1:11" x14ac:dyDescent="0.25">
      <c r="A5368"/>
      <c r="B5368" s="201">
        <v>-527</v>
      </c>
      <c r="C5368">
        <v>0</v>
      </c>
      <c r="D5368" s="201">
        <v>0</v>
      </c>
      <c r="E5368" s="201">
        <v>0</v>
      </c>
      <c r="F5368">
        <v>-637</v>
      </c>
      <c r="G5368">
        <v>-1907</v>
      </c>
      <c r="H5368">
        <v>-2399</v>
      </c>
      <c r="I5368">
        <v>924</v>
      </c>
      <c r="J5368">
        <v>658</v>
      </c>
      <c r="K5368" s="201">
        <v>0</v>
      </c>
    </row>
    <row r="5369" spans="1:11" x14ac:dyDescent="0.25">
      <c r="A5369"/>
      <c r="B5369" s="201">
        <v>-401</v>
      </c>
      <c r="C5369">
        <v>0</v>
      </c>
      <c r="D5369" s="201">
        <v>0</v>
      </c>
      <c r="E5369" s="201">
        <v>114</v>
      </c>
      <c r="F5369">
        <v>0</v>
      </c>
      <c r="G5369">
        <v>-6246</v>
      </c>
      <c r="H5369">
        <v>0</v>
      </c>
      <c r="I5369">
        <v>-3884</v>
      </c>
      <c r="J5369">
        <v>0</v>
      </c>
      <c r="K5369" s="201">
        <v>0</v>
      </c>
    </row>
    <row r="5370" spans="1:11" x14ac:dyDescent="0.25">
      <c r="A5370"/>
      <c r="B5370" s="201">
        <v>0</v>
      </c>
      <c r="C5370">
        <v>0</v>
      </c>
      <c r="D5370" s="201">
        <v>0</v>
      </c>
      <c r="E5370" s="201">
        <v>0</v>
      </c>
      <c r="F5370">
        <v>0</v>
      </c>
      <c r="G5370">
        <v>0</v>
      </c>
      <c r="H5370">
        <v>-658</v>
      </c>
      <c r="I5370">
        <v>0</v>
      </c>
      <c r="J5370">
        <v>-524</v>
      </c>
      <c r="K5370" s="201">
        <v>1217</v>
      </c>
    </row>
    <row r="5371" spans="1:11" x14ac:dyDescent="0.25">
      <c r="A5371"/>
      <c r="B5371" s="201">
        <v>965</v>
      </c>
      <c r="C5371">
        <v>0</v>
      </c>
      <c r="D5371" s="201">
        <v>1702</v>
      </c>
      <c r="E5371" s="201">
        <v>1416</v>
      </c>
      <c r="F5371">
        <v>0</v>
      </c>
      <c r="G5371">
        <v>0</v>
      </c>
      <c r="H5371">
        <v>0</v>
      </c>
      <c r="I5371">
        <v>0</v>
      </c>
      <c r="J5371">
        <v>0</v>
      </c>
      <c r="K5371" s="201">
        <v>-2375</v>
      </c>
    </row>
    <row r="5372" spans="1:11" x14ac:dyDescent="0.25">
      <c r="A5372"/>
      <c r="B5372" s="201">
        <v>-460</v>
      </c>
      <c r="C5372">
        <v>-2223</v>
      </c>
      <c r="D5372" s="201">
        <v>-1750</v>
      </c>
      <c r="E5372" s="201">
        <v>-1057</v>
      </c>
      <c r="F5372">
        <v>-3683</v>
      </c>
      <c r="G5372">
        <v>0</v>
      </c>
      <c r="H5372">
        <v>0</v>
      </c>
      <c r="I5372">
        <v>0</v>
      </c>
      <c r="J5372">
        <v>0</v>
      </c>
      <c r="K5372" s="201">
        <v>1996</v>
      </c>
    </row>
    <row r="5373" spans="1:11" x14ac:dyDescent="0.25">
      <c r="A5373"/>
      <c r="B5373" s="201">
        <v>0</v>
      </c>
      <c r="C5373">
        <v>1672</v>
      </c>
      <c r="D5373" s="201">
        <v>0</v>
      </c>
      <c r="E5373" s="201">
        <v>0</v>
      </c>
      <c r="F5373">
        <v>-955</v>
      </c>
      <c r="G5373">
        <v>560</v>
      </c>
      <c r="H5373">
        <v>0</v>
      </c>
      <c r="I5373">
        <v>0</v>
      </c>
      <c r="J5373">
        <v>0</v>
      </c>
      <c r="K5373" s="201">
        <v>0</v>
      </c>
    </row>
    <row r="5374" spans="1:11" x14ac:dyDescent="0.25">
      <c r="A5374"/>
      <c r="B5374" s="201">
        <v>-96</v>
      </c>
      <c r="C5374">
        <v>0</v>
      </c>
      <c r="D5374" s="201">
        <v>739</v>
      </c>
      <c r="E5374" s="201">
        <v>-1469</v>
      </c>
      <c r="F5374">
        <v>-2005</v>
      </c>
      <c r="G5374">
        <v>-2569</v>
      </c>
      <c r="H5374">
        <v>-860</v>
      </c>
      <c r="I5374">
        <v>-608</v>
      </c>
      <c r="J5374">
        <v>-234</v>
      </c>
      <c r="K5374" s="201">
        <v>329</v>
      </c>
    </row>
    <row r="5375" spans="1:11" x14ac:dyDescent="0.25">
      <c r="A5375"/>
      <c r="B5375" s="201">
        <v>72</v>
      </c>
      <c r="C5375">
        <v>446</v>
      </c>
      <c r="D5375" s="201">
        <v>0</v>
      </c>
      <c r="E5375" s="201">
        <v>0</v>
      </c>
      <c r="F5375">
        <v>0</v>
      </c>
      <c r="G5375">
        <v>0</v>
      </c>
      <c r="H5375">
        <v>0</v>
      </c>
      <c r="I5375">
        <v>0</v>
      </c>
      <c r="J5375">
        <v>0</v>
      </c>
      <c r="K5375" s="201">
        <v>179</v>
      </c>
    </row>
    <row r="5376" spans="1:11" x14ac:dyDescent="0.25">
      <c r="A5376"/>
      <c r="B5376" s="201">
        <v>-2108</v>
      </c>
      <c r="C5376">
        <v>-4651</v>
      </c>
      <c r="D5376" s="201">
        <v>-1214</v>
      </c>
      <c r="E5376" s="201">
        <v>-3607</v>
      </c>
      <c r="F5376">
        <v>1965</v>
      </c>
      <c r="G5376">
        <v>0</v>
      </c>
      <c r="H5376">
        <v>0</v>
      </c>
      <c r="I5376">
        <v>-205</v>
      </c>
      <c r="J5376">
        <v>0</v>
      </c>
      <c r="K5376" s="201">
        <v>-596</v>
      </c>
    </row>
    <row r="5377" spans="1:11" x14ac:dyDescent="0.25">
      <c r="A5377"/>
      <c r="B5377" s="201">
        <v>1335</v>
      </c>
      <c r="C5377">
        <v>0</v>
      </c>
      <c r="D5377" s="201">
        <v>0</v>
      </c>
      <c r="E5377" s="201">
        <v>0</v>
      </c>
      <c r="F5377">
        <v>0</v>
      </c>
      <c r="G5377">
        <v>-375</v>
      </c>
      <c r="H5377">
        <v>0</v>
      </c>
      <c r="I5377">
        <v>176</v>
      </c>
      <c r="J5377">
        <v>1715</v>
      </c>
      <c r="K5377" s="201">
        <v>0</v>
      </c>
    </row>
    <row r="5378" spans="1:11" x14ac:dyDescent="0.25">
      <c r="A5378"/>
      <c r="B5378" s="201">
        <v>0</v>
      </c>
      <c r="C5378">
        <v>0</v>
      </c>
      <c r="D5378" s="201">
        <v>0</v>
      </c>
      <c r="E5378" s="201">
        <v>0</v>
      </c>
      <c r="F5378">
        <v>0</v>
      </c>
      <c r="G5378">
        <v>0</v>
      </c>
      <c r="H5378">
        <v>0</v>
      </c>
      <c r="I5378">
        <v>0</v>
      </c>
      <c r="J5378">
        <v>0</v>
      </c>
      <c r="K5378" s="201">
        <v>0</v>
      </c>
    </row>
    <row r="5379" spans="1:11" x14ac:dyDescent="0.25">
      <c r="A5379"/>
      <c r="B5379" s="201">
        <v>0</v>
      </c>
      <c r="C5379">
        <v>0</v>
      </c>
      <c r="D5379" s="201">
        <v>0</v>
      </c>
      <c r="E5379" s="201">
        <v>0</v>
      </c>
      <c r="F5379">
        <v>-235</v>
      </c>
      <c r="G5379">
        <v>0</v>
      </c>
      <c r="H5379">
        <v>0</v>
      </c>
      <c r="I5379">
        <v>0</v>
      </c>
      <c r="J5379">
        <v>0</v>
      </c>
      <c r="K5379" s="201">
        <v>0</v>
      </c>
    </row>
    <row r="5380" spans="1:11" x14ac:dyDescent="0.25">
      <c r="A5380"/>
      <c r="B5380" s="201">
        <v>130</v>
      </c>
      <c r="C5380">
        <v>2370</v>
      </c>
      <c r="D5380" s="201">
        <v>2494</v>
      </c>
      <c r="E5380" s="201">
        <v>24601</v>
      </c>
      <c r="F5380">
        <v>14870</v>
      </c>
      <c r="G5380">
        <v>15441</v>
      </c>
      <c r="H5380">
        <v>14803</v>
      </c>
      <c r="I5380">
        <v>148</v>
      </c>
      <c r="J5380">
        <v>-31</v>
      </c>
      <c r="K5380" s="201">
        <v>-166</v>
      </c>
    </row>
    <row r="5381" spans="1:11" x14ac:dyDescent="0.25">
      <c r="A5381"/>
      <c r="B5381" s="201">
        <v>3500</v>
      </c>
      <c r="C5381">
        <v>2210</v>
      </c>
      <c r="D5381" s="201">
        <v>20054</v>
      </c>
      <c r="E5381" s="201">
        <v>11474</v>
      </c>
      <c r="F5381">
        <v>11328</v>
      </c>
      <c r="G5381">
        <v>10591</v>
      </c>
      <c r="H5381">
        <v>728</v>
      </c>
      <c r="I5381">
        <v>0</v>
      </c>
      <c r="J5381">
        <v>21592</v>
      </c>
      <c r="K5381" s="201">
        <v>17217</v>
      </c>
    </row>
    <row r="5382" spans="1:11" x14ac:dyDescent="0.25">
      <c r="A5382"/>
      <c r="B5382" s="201">
        <v>17865</v>
      </c>
      <c r="C5382">
        <v>16070</v>
      </c>
      <c r="D5382" s="201">
        <v>16522</v>
      </c>
      <c r="E5382" s="201">
        <v>13023</v>
      </c>
      <c r="F5382">
        <v>18076</v>
      </c>
      <c r="G5382">
        <v>15548</v>
      </c>
      <c r="H5382">
        <v>19166</v>
      </c>
      <c r="I5382">
        <v>17423</v>
      </c>
      <c r="J5382">
        <v>13192</v>
      </c>
      <c r="K5382" s="201">
        <v>13997</v>
      </c>
    </row>
    <row r="5383" spans="1:11" x14ac:dyDescent="0.25">
      <c r="A5383"/>
      <c r="B5383" s="201">
        <v>-137</v>
      </c>
      <c r="C5383">
        <v>-1713</v>
      </c>
      <c r="D5383" s="201">
        <v>469</v>
      </c>
      <c r="E5383" s="201">
        <v>-12</v>
      </c>
      <c r="F5383">
        <v>191</v>
      </c>
      <c r="G5383">
        <v>0</v>
      </c>
      <c r="H5383">
        <v>0</v>
      </c>
      <c r="I5383">
        <v>77</v>
      </c>
      <c r="J5383">
        <v>0</v>
      </c>
      <c r="K5383" s="201">
        <v>0</v>
      </c>
    </row>
    <row r="5384" spans="1:11" x14ac:dyDescent="0.25">
      <c r="A5384"/>
      <c r="B5384" s="201">
        <v>0</v>
      </c>
      <c r="C5384">
        <v>-60</v>
      </c>
      <c r="D5384" s="201">
        <v>68</v>
      </c>
      <c r="E5384" s="201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 s="201">
        <v>543</v>
      </c>
    </row>
    <row r="5385" spans="1:11" x14ac:dyDescent="0.25">
      <c r="A5385"/>
      <c r="B5385" s="201">
        <v>0</v>
      </c>
      <c r="C5385">
        <v>0</v>
      </c>
      <c r="D5385" s="201">
        <v>3</v>
      </c>
      <c r="E5385" s="201">
        <v>0</v>
      </c>
      <c r="F5385">
        <v>-8</v>
      </c>
      <c r="G5385">
        <v>0</v>
      </c>
      <c r="H5385">
        <v>326</v>
      </c>
      <c r="I5385">
        <v>-567</v>
      </c>
      <c r="J5385">
        <v>-317</v>
      </c>
      <c r="K5385" s="201">
        <v>0</v>
      </c>
    </row>
    <row r="5386" spans="1:11" x14ac:dyDescent="0.25">
      <c r="A5386"/>
      <c r="B5386" s="201">
        <v>-583</v>
      </c>
      <c r="C5386">
        <v>-1708</v>
      </c>
      <c r="D5386" s="201">
        <v>349</v>
      </c>
      <c r="E5386" s="201">
        <v>266</v>
      </c>
      <c r="F5386">
        <v>275</v>
      </c>
      <c r="G5386">
        <v>313</v>
      </c>
      <c r="H5386">
        <v>0</v>
      </c>
      <c r="I5386">
        <v>-10</v>
      </c>
      <c r="J5386">
        <v>0</v>
      </c>
      <c r="K5386" s="201">
        <v>0</v>
      </c>
    </row>
    <row r="5387" spans="1:11" x14ac:dyDescent="0.25">
      <c r="A5387"/>
      <c r="B5387" s="201">
        <v>0</v>
      </c>
      <c r="C5387">
        <v>0</v>
      </c>
      <c r="D5387" s="201">
        <v>0</v>
      </c>
      <c r="E5387" s="201">
        <v>4</v>
      </c>
      <c r="F5387">
        <v>0</v>
      </c>
      <c r="G5387">
        <v>0</v>
      </c>
      <c r="H5387">
        <v>0</v>
      </c>
      <c r="I5387">
        <v>-335</v>
      </c>
      <c r="J5387">
        <v>0</v>
      </c>
      <c r="K5387" s="201">
        <v>3</v>
      </c>
    </row>
    <row r="5388" spans="1:11" x14ac:dyDescent="0.25">
      <c r="A5388"/>
      <c r="B5388" s="201">
        <v>0</v>
      </c>
      <c r="C5388">
        <v>0</v>
      </c>
      <c r="D5388" s="201">
        <v>0</v>
      </c>
      <c r="E5388" s="201">
        <v>0</v>
      </c>
      <c r="F5388">
        <v>0</v>
      </c>
      <c r="G5388">
        <v>29</v>
      </c>
      <c r="H5388">
        <v>0</v>
      </c>
      <c r="I5388">
        <v>186</v>
      </c>
      <c r="J5388">
        <v>32</v>
      </c>
      <c r="K5388" s="201">
        <v>0</v>
      </c>
    </row>
    <row r="5389" spans="1:11" x14ac:dyDescent="0.25">
      <c r="A5389"/>
      <c r="B5389" s="201">
        <v>0</v>
      </c>
      <c r="C5389">
        <v>1205</v>
      </c>
      <c r="D5389" s="201">
        <v>-5997</v>
      </c>
      <c r="E5389" s="201">
        <v>0</v>
      </c>
      <c r="F5389">
        <v>1037</v>
      </c>
      <c r="G5389">
        <v>0</v>
      </c>
      <c r="H5389">
        <v>0</v>
      </c>
      <c r="I5389">
        <v>0</v>
      </c>
      <c r="J5389">
        <v>0</v>
      </c>
      <c r="K5389" s="201">
        <v>-91</v>
      </c>
    </row>
    <row r="5390" spans="1:11" x14ac:dyDescent="0.25">
      <c r="A5390"/>
      <c r="B5390" s="201">
        <v>27</v>
      </c>
      <c r="C5390">
        <v>57</v>
      </c>
      <c r="D5390" s="201">
        <v>0</v>
      </c>
      <c r="E5390" s="201">
        <v>0</v>
      </c>
      <c r="F5390">
        <v>17</v>
      </c>
      <c r="G5390">
        <v>-136</v>
      </c>
      <c r="H5390">
        <v>0</v>
      </c>
      <c r="I5390">
        <v>-371</v>
      </c>
      <c r="J5390">
        <v>84</v>
      </c>
      <c r="K5390" s="201">
        <v>29</v>
      </c>
    </row>
    <row r="5391" spans="1:11" x14ac:dyDescent="0.25">
      <c r="A5391"/>
      <c r="B5391" s="201">
        <v>-167</v>
      </c>
      <c r="C5391">
        <v>50</v>
      </c>
      <c r="D5391" s="201">
        <v>168</v>
      </c>
      <c r="E5391" s="201">
        <v>528</v>
      </c>
      <c r="F5391">
        <v>0</v>
      </c>
      <c r="G5391">
        <v>0</v>
      </c>
      <c r="H5391">
        <v>0</v>
      </c>
      <c r="I5391">
        <v>0</v>
      </c>
      <c r="J5391">
        <v>0</v>
      </c>
      <c r="K5391" s="201">
        <v>-73</v>
      </c>
    </row>
    <row r="5392" spans="1:11" x14ac:dyDescent="0.25">
      <c r="A5392"/>
      <c r="B5392" s="201">
        <v>0</v>
      </c>
      <c r="C5392">
        <v>-113</v>
      </c>
      <c r="D5392" s="201">
        <v>-1084</v>
      </c>
      <c r="E5392" s="201">
        <v>-445</v>
      </c>
      <c r="F5392">
        <v>0</v>
      </c>
      <c r="G5392">
        <v>1362</v>
      </c>
      <c r="H5392">
        <v>-9957</v>
      </c>
      <c r="I5392">
        <v>-685</v>
      </c>
      <c r="J5392">
        <v>-2353</v>
      </c>
      <c r="K5392" s="201">
        <v>-1047</v>
      </c>
    </row>
    <row r="5393" spans="1:11" x14ac:dyDescent="0.25">
      <c r="A5393"/>
      <c r="B5393" s="201">
        <v>0</v>
      </c>
      <c r="C5393">
        <v>-833</v>
      </c>
      <c r="D5393" s="201">
        <v>330</v>
      </c>
      <c r="E5393" s="201">
        <v>180</v>
      </c>
      <c r="F5393">
        <v>-59</v>
      </c>
      <c r="G5393">
        <v>0</v>
      </c>
      <c r="H5393">
        <v>279</v>
      </c>
      <c r="I5393">
        <v>-1073</v>
      </c>
      <c r="J5393">
        <v>0</v>
      </c>
      <c r="K5393" s="201">
        <v>0</v>
      </c>
    </row>
    <row r="5394" spans="1:11" x14ac:dyDescent="0.25">
      <c r="A5394"/>
      <c r="B5394" s="201">
        <v>0</v>
      </c>
      <c r="C5394">
        <v>1299</v>
      </c>
      <c r="D5394" s="201">
        <v>328</v>
      </c>
      <c r="E5394" s="201">
        <v>0</v>
      </c>
      <c r="F5394">
        <v>-477</v>
      </c>
      <c r="G5394">
        <v>-1562</v>
      </c>
      <c r="H5394">
        <v>35</v>
      </c>
      <c r="I5394">
        <v>-256</v>
      </c>
      <c r="J5394">
        <v>0</v>
      </c>
      <c r="K5394" s="201">
        <v>0</v>
      </c>
    </row>
    <row r="5395" spans="1:11" x14ac:dyDescent="0.25">
      <c r="A5395"/>
      <c r="B5395" s="201">
        <v>0</v>
      </c>
      <c r="C5395">
        <v>0</v>
      </c>
      <c r="D5395" s="201">
        <v>0</v>
      </c>
      <c r="E5395" s="201">
        <v>77</v>
      </c>
      <c r="F5395">
        <v>0</v>
      </c>
      <c r="G5395">
        <v>-2401</v>
      </c>
      <c r="H5395">
        <v>1284</v>
      </c>
      <c r="I5395">
        <v>259</v>
      </c>
      <c r="J5395">
        <v>0</v>
      </c>
      <c r="K5395" s="201">
        <v>592</v>
      </c>
    </row>
    <row r="5396" spans="1:11" x14ac:dyDescent="0.25">
      <c r="A5396"/>
      <c r="B5396" s="201">
        <v>-5440</v>
      </c>
      <c r="C5396">
        <v>482</v>
      </c>
      <c r="D5396" s="201">
        <v>939</v>
      </c>
      <c r="E5396" s="201">
        <v>657</v>
      </c>
      <c r="F5396">
        <v>-30</v>
      </c>
      <c r="G5396">
        <v>-270</v>
      </c>
      <c r="H5396">
        <v>-823</v>
      </c>
      <c r="I5396">
        <v>0</v>
      </c>
      <c r="J5396">
        <v>-37</v>
      </c>
      <c r="K5396" s="201">
        <v>0</v>
      </c>
    </row>
    <row r="5397" spans="1:11" x14ac:dyDescent="0.25">
      <c r="A5397"/>
      <c r="B5397" s="201">
        <v>0</v>
      </c>
      <c r="C5397">
        <v>-731</v>
      </c>
      <c r="D5397" s="201">
        <v>-14</v>
      </c>
      <c r="E5397" s="201">
        <v>0</v>
      </c>
      <c r="F5397">
        <v>208</v>
      </c>
      <c r="G5397">
        <v>0</v>
      </c>
      <c r="H5397">
        <v>0</v>
      </c>
      <c r="I5397">
        <v>-19</v>
      </c>
      <c r="J5397">
        <v>0</v>
      </c>
      <c r="K5397" s="201">
        <v>-151</v>
      </c>
    </row>
    <row r="5398" spans="1:11" x14ac:dyDescent="0.25">
      <c r="A5398"/>
      <c r="B5398" s="201">
        <v>-74</v>
      </c>
      <c r="C5398">
        <v>-5</v>
      </c>
      <c r="D5398" s="201">
        <v>0</v>
      </c>
      <c r="E5398" s="201">
        <v>0</v>
      </c>
      <c r="F5398">
        <v>0</v>
      </c>
      <c r="G5398">
        <v>0</v>
      </c>
      <c r="H5398">
        <v>0</v>
      </c>
      <c r="I5398">
        <v>193</v>
      </c>
      <c r="J5398">
        <v>0</v>
      </c>
      <c r="K5398" s="201">
        <v>-171</v>
      </c>
    </row>
    <row r="5399" spans="1:11" x14ac:dyDescent="0.25">
      <c r="B5399" s="201">
        <v>-1161</v>
      </c>
      <c r="C5399">
        <v>-106</v>
      </c>
      <c r="D5399" s="201">
        <v>0</v>
      </c>
      <c r="E5399" s="201">
        <v>-9366</v>
      </c>
      <c r="F5399">
        <v>-9383</v>
      </c>
      <c r="G5399">
        <v>-290</v>
      </c>
      <c r="H5399">
        <v>0</v>
      </c>
      <c r="I5399">
        <v>0</v>
      </c>
      <c r="J5399">
        <v>0</v>
      </c>
      <c r="K5399" s="201">
        <v>-384</v>
      </c>
    </row>
    <row r="5400" spans="1:11" x14ac:dyDescent="0.25">
      <c r="A5400"/>
      <c r="B5400" s="201">
        <v>46</v>
      </c>
      <c r="C5400">
        <v>1792</v>
      </c>
      <c r="D5400" s="201">
        <v>866</v>
      </c>
      <c r="E5400" s="201">
        <v>225</v>
      </c>
      <c r="F5400">
        <v>0</v>
      </c>
      <c r="G5400">
        <v>-1778</v>
      </c>
      <c r="H5400">
        <v>0</v>
      </c>
      <c r="I5400">
        <v>0</v>
      </c>
      <c r="J5400">
        <v>-286</v>
      </c>
      <c r="K5400" s="201">
        <v>0</v>
      </c>
    </row>
    <row r="5401" spans="1:11" x14ac:dyDescent="0.25">
      <c r="A5401"/>
      <c r="B5401" s="201">
        <v>914</v>
      </c>
      <c r="C5401">
        <v>0</v>
      </c>
      <c r="D5401" s="201">
        <v>1179</v>
      </c>
      <c r="E5401" s="201">
        <v>0</v>
      </c>
      <c r="F5401">
        <v>0</v>
      </c>
      <c r="G5401">
        <v>0</v>
      </c>
      <c r="H5401">
        <v>0</v>
      </c>
      <c r="I5401">
        <v>0</v>
      </c>
      <c r="J5401">
        <v>0</v>
      </c>
      <c r="K5401" s="201">
        <v>0</v>
      </c>
    </row>
    <row r="5402" spans="1:11" x14ac:dyDescent="0.25">
      <c r="A5402"/>
      <c r="B5402" s="201">
        <v>0</v>
      </c>
      <c r="C5402">
        <v>2490</v>
      </c>
      <c r="D5402" s="201">
        <v>0</v>
      </c>
      <c r="E5402" s="201">
        <v>-14</v>
      </c>
      <c r="F5402">
        <v>5176</v>
      </c>
      <c r="G5402">
        <v>2077</v>
      </c>
      <c r="H5402">
        <v>0</v>
      </c>
      <c r="I5402">
        <v>2644</v>
      </c>
      <c r="J5402">
        <v>2052</v>
      </c>
      <c r="K5402" s="201">
        <v>0</v>
      </c>
    </row>
    <row r="5403" spans="1:11" x14ac:dyDescent="0.25">
      <c r="A5403"/>
      <c r="B5403" s="201">
        <v>0</v>
      </c>
      <c r="C5403">
        <v>0</v>
      </c>
      <c r="D5403" s="201">
        <v>0</v>
      </c>
      <c r="E5403" s="201">
        <v>0</v>
      </c>
      <c r="F5403">
        <v>-3676</v>
      </c>
      <c r="G5403">
        <v>-1763</v>
      </c>
      <c r="H5403">
        <v>-3301</v>
      </c>
      <c r="I5403">
        <v>-2583</v>
      </c>
      <c r="J5403">
        <v>-1634</v>
      </c>
      <c r="K5403" s="201">
        <v>-5260</v>
      </c>
    </row>
    <row r="5404" spans="1:11" x14ac:dyDescent="0.25">
      <c r="A5404"/>
      <c r="B5404" s="201">
        <v>0</v>
      </c>
      <c r="C5404">
        <v>0</v>
      </c>
      <c r="D5404" s="201">
        <v>0</v>
      </c>
      <c r="E5404" s="201">
        <v>0</v>
      </c>
      <c r="F5404">
        <v>181</v>
      </c>
      <c r="G5404">
        <v>0</v>
      </c>
      <c r="H5404">
        <v>278</v>
      </c>
      <c r="I5404">
        <v>0</v>
      </c>
      <c r="J5404">
        <v>0</v>
      </c>
      <c r="K5404" s="201">
        <v>-1449</v>
      </c>
    </row>
    <row r="5405" spans="1:11" x14ac:dyDescent="0.25">
      <c r="A5405"/>
      <c r="B5405" s="201">
        <v>841</v>
      </c>
      <c r="C5405">
        <v>0</v>
      </c>
      <c r="D5405" s="201">
        <v>0</v>
      </c>
      <c r="E5405" s="201">
        <v>0</v>
      </c>
      <c r="F5405">
        <v>0</v>
      </c>
      <c r="G5405">
        <v>148</v>
      </c>
      <c r="H5405">
        <v>0</v>
      </c>
      <c r="I5405">
        <v>1154</v>
      </c>
      <c r="J5405">
        <v>-2745</v>
      </c>
      <c r="K5405" s="201">
        <v>-3148</v>
      </c>
    </row>
    <row r="5406" spans="1:11" x14ac:dyDescent="0.25">
      <c r="A5406"/>
      <c r="B5406" s="201">
        <v>-4313</v>
      </c>
      <c r="C5406">
        <v>-1595</v>
      </c>
      <c r="D5406" s="201">
        <v>-1783</v>
      </c>
      <c r="E5406" s="201">
        <v>-1876</v>
      </c>
      <c r="F5406">
        <v>-203</v>
      </c>
      <c r="G5406">
        <v>28</v>
      </c>
      <c r="H5406">
        <v>417</v>
      </c>
      <c r="I5406">
        <v>0</v>
      </c>
      <c r="J5406">
        <v>0</v>
      </c>
      <c r="K5406" s="201">
        <v>0</v>
      </c>
    </row>
    <row r="5407" spans="1:11" x14ac:dyDescent="0.25">
      <c r="A5407"/>
      <c r="B5407" s="201">
        <v>0</v>
      </c>
      <c r="C5407">
        <v>0</v>
      </c>
      <c r="D5407" s="201">
        <v>0</v>
      </c>
      <c r="E5407" s="201">
        <v>0</v>
      </c>
      <c r="F5407">
        <v>-155</v>
      </c>
      <c r="G5407">
        <v>534</v>
      </c>
      <c r="H5407">
        <v>-203</v>
      </c>
      <c r="I5407">
        <v>121</v>
      </c>
      <c r="J5407">
        <v>387</v>
      </c>
      <c r="K5407" s="201">
        <v>1855</v>
      </c>
    </row>
    <row r="5408" spans="1:11" x14ac:dyDescent="0.25">
      <c r="A5408"/>
      <c r="B5408" s="201">
        <v>0</v>
      </c>
      <c r="C5408" s="201">
        <v>0</v>
      </c>
      <c r="D5408" s="201">
        <v>-1182</v>
      </c>
      <c r="E5408" s="201">
        <v>0</v>
      </c>
      <c r="F5408">
        <v>66</v>
      </c>
      <c r="G5408">
        <v>-1246</v>
      </c>
      <c r="H5408">
        <v>0</v>
      </c>
      <c r="I5408">
        <v>0</v>
      </c>
      <c r="J5408">
        <v>0</v>
      </c>
      <c r="K5408" s="201">
        <v>0</v>
      </c>
    </row>
    <row r="5409" spans="1:11" x14ac:dyDescent="0.25">
      <c r="A5409"/>
      <c r="B5409" s="201">
        <v>0</v>
      </c>
      <c r="C5409">
        <v>0</v>
      </c>
      <c r="D5409" s="201">
        <v>774</v>
      </c>
      <c r="E5409" s="201">
        <v>1785</v>
      </c>
      <c r="F5409">
        <v>0</v>
      </c>
      <c r="G5409">
        <v>0</v>
      </c>
      <c r="H5409">
        <v>0</v>
      </c>
      <c r="I5409">
        <v>0</v>
      </c>
      <c r="J5409">
        <v>0</v>
      </c>
      <c r="K5409" s="201">
        <v>0</v>
      </c>
    </row>
    <row r="5410" spans="1:11" x14ac:dyDescent="0.25">
      <c r="A5410"/>
      <c r="B5410" s="201">
        <v>0</v>
      </c>
      <c r="C5410">
        <v>0</v>
      </c>
      <c r="D5410" s="201">
        <v>0</v>
      </c>
      <c r="E5410" s="201">
        <v>0</v>
      </c>
      <c r="F5410">
        <v>0</v>
      </c>
      <c r="G5410">
        <v>0</v>
      </c>
      <c r="H5410">
        <v>0</v>
      </c>
      <c r="I5410">
        <v>0</v>
      </c>
      <c r="J5410">
        <v>0</v>
      </c>
      <c r="K5410" s="201">
        <v>-138</v>
      </c>
    </row>
    <row r="5411" spans="1:11" x14ac:dyDescent="0.25">
      <c r="A5411"/>
      <c r="B5411" s="201">
        <v>0</v>
      </c>
      <c r="C5411">
        <v>0</v>
      </c>
      <c r="D5411" s="201">
        <v>0</v>
      </c>
      <c r="E5411" s="201">
        <v>0</v>
      </c>
      <c r="F5411">
        <v>0</v>
      </c>
      <c r="G5411">
        <v>-20</v>
      </c>
      <c r="H5411">
        <v>3334</v>
      </c>
      <c r="I5411">
        <v>3578</v>
      </c>
      <c r="J5411">
        <v>19362</v>
      </c>
      <c r="K5411" s="201">
        <v>36995</v>
      </c>
    </row>
    <row r="5412" spans="1:11" x14ac:dyDescent="0.25">
      <c r="A5412"/>
      <c r="B5412" s="201">
        <v>21434</v>
      </c>
      <c r="C5412">
        <v>22559</v>
      </c>
      <c r="D5412" s="201">
        <v>911</v>
      </c>
      <c r="E5412" s="201">
        <v>-44</v>
      </c>
      <c r="F5412">
        <v>-171</v>
      </c>
      <c r="G5412">
        <v>4958</v>
      </c>
      <c r="H5412">
        <v>3241</v>
      </c>
      <c r="I5412">
        <v>15483</v>
      </c>
      <c r="J5412">
        <v>27851</v>
      </c>
      <c r="K5412" s="201">
        <v>15635</v>
      </c>
    </row>
    <row r="5413" spans="1:11" x14ac:dyDescent="0.25">
      <c r="A5413"/>
      <c r="B5413" s="201">
        <v>15356</v>
      </c>
      <c r="C5413">
        <v>1749</v>
      </c>
      <c r="D5413" s="201">
        <v>0</v>
      </c>
      <c r="E5413" s="201">
        <v>20770</v>
      </c>
      <c r="F5413">
        <v>35203</v>
      </c>
      <c r="G5413">
        <v>25100</v>
      </c>
      <c r="H5413">
        <v>22578</v>
      </c>
      <c r="I5413">
        <v>18537</v>
      </c>
      <c r="J5413">
        <v>26403</v>
      </c>
      <c r="K5413" s="201">
        <v>27523</v>
      </c>
    </row>
    <row r="5414" spans="1:11" x14ac:dyDescent="0.25">
      <c r="B5414" s="201">
        <v>24721</v>
      </c>
      <c r="C5414">
        <v>18175</v>
      </c>
      <c r="D5414" s="201">
        <v>40599</v>
      </c>
      <c r="E5414" s="201">
        <v>20031</v>
      </c>
      <c r="F5414">
        <v>21917</v>
      </c>
      <c r="G5414">
        <v>13218</v>
      </c>
      <c r="H5414">
        <v>30</v>
      </c>
      <c r="I5414">
        <v>-1734</v>
      </c>
      <c r="J5414">
        <v>309</v>
      </c>
      <c r="K5414" s="201">
        <v>-60</v>
      </c>
    </row>
    <row r="5415" spans="1:11" x14ac:dyDescent="0.25">
      <c r="A5415"/>
      <c r="B5415" s="201">
        <v>81</v>
      </c>
      <c r="C5415">
        <v>0</v>
      </c>
      <c r="D5415" s="201">
        <v>0</v>
      </c>
      <c r="E5415" s="201">
        <v>41</v>
      </c>
      <c r="F5415">
        <v>0</v>
      </c>
      <c r="G5415">
        <v>0</v>
      </c>
      <c r="H5415">
        <v>0</v>
      </c>
      <c r="I5415">
        <v>127</v>
      </c>
      <c r="J5415">
        <v>44</v>
      </c>
      <c r="K5415" s="201">
        <v>0</v>
      </c>
    </row>
    <row r="5416" spans="1:11" x14ac:dyDescent="0.25">
      <c r="A5416"/>
      <c r="B5416" s="201">
        <v>0</v>
      </c>
      <c r="C5416">
        <v>0</v>
      </c>
      <c r="D5416" s="201">
        <v>0</v>
      </c>
      <c r="E5416" s="201">
        <v>0</v>
      </c>
      <c r="F5416">
        <v>0</v>
      </c>
      <c r="G5416">
        <v>528</v>
      </c>
      <c r="H5416">
        <v>0</v>
      </c>
      <c r="I5416">
        <v>0</v>
      </c>
      <c r="J5416">
        <v>37</v>
      </c>
      <c r="K5416" s="201">
        <v>0</v>
      </c>
    </row>
    <row r="5417" spans="1:11" x14ac:dyDescent="0.25">
      <c r="A5417"/>
      <c r="B5417" s="201">
        <v>-37</v>
      </c>
      <c r="C5417">
        <v>0</v>
      </c>
      <c r="D5417" s="201">
        <v>316</v>
      </c>
      <c r="E5417" s="201">
        <v>-662</v>
      </c>
      <c r="F5417">
        <v>-386</v>
      </c>
      <c r="G5417">
        <v>0</v>
      </c>
      <c r="H5417">
        <v>-518</v>
      </c>
      <c r="I5417">
        <v>-1781</v>
      </c>
      <c r="J5417">
        <v>311</v>
      </c>
      <c r="K5417" s="201">
        <v>111</v>
      </c>
    </row>
    <row r="5418" spans="1:11" x14ac:dyDescent="0.25">
      <c r="A5418"/>
      <c r="B5418" s="201">
        <v>113</v>
      </c>
      <c r="C5418">
        <v>242</v>
      </c>
      <c r="D5418" s="201">
        <v>0</v>
      </c>
      <c r="E5418" s="201">
        <v>-6</v>
      </c>
      <c r="F5418">
        <v>0</v>
      </c>
      <c r="G5418">
        <v>0</v>
      </c>
      <c r="H5418">
        <v>0</v>
      </c>
      <c r="I5418">
        <v>0</v>
      </c>
      <c r="J5418">
        <v>0</v>
      </c>
      <c r="K5418" s="201">
        <v>-53</v>
      </c>
    </row>
    <row r="5419" spans="1:11" x14ac:dyDescent="0.25">
      <c r="A5419"/>
      <c r="B5419" s="201">
        <v>0</v>
      </c>
      <c r="C5419">
        <v>0</v>
      </c>
      <c r="D5419" s="201">
        <v>0</v>
      </c>
      <c r="E5419" s="201">
        <v>-290</v>
      </c>
      <c r="F5419">
        <v>0</v>
      </c>
      <c r="G5419">
        <v>10</v>
      </c>
      <c r="H5419">
        <v>0</v>
      </c>
      <c r="I5419">
        <v>0</v>
      </c>
      <c r="J5419">
        <v>0</v>
      </c>
      <c r="K5419" s="201">
        <v>0</v>
      </c>
    </row>
    <row r="5420" spans="1:11" x14ac:dyDescent="0.25">
      <c r="A5420"/>
      <c r="B5420" s="201">
        <v>0</v>
      </c>
      <c r="C5420">
        <v>54</v>
      </c>
      <c r="D5420" s="201">
        <v>0</v>
      </c>
      <c r="E5420" s="201">
        <v>196</v>
      </c>
      <c r="F5420">
        <v>56</v>
      </c>
      <c r="G5420">
        <v>0</v>
      </c>
      <c r="H5420">
        <v>0</v>
      </c>
      <c r="I5420">
        <v>872</v>
      </c>
      <c r="J5420">
        <v>-6366</v>
      </c>
      <c r="K5420" s="201">
        <v>0</v>
      </c>
    </row>
    <row r="5421" spans="1:11" x14ac:dyDescent="0.25">
      <c r="A5421"/>
      <c r="B5421" s="201">
        <v>453</v>
      </c>
      <c r="C5421">
        <v>0</v>
      </c>
      <c r="D5421" s="201">
        <v>0</v>
      </c>
      <c r="E5421" s="201">
        <v>0</v>
      </c>
      <c r="F5421">
        <v>0</v>
      </c>
      <c r="G5421">
        <v>-2</v>
      </c>
      <c r="H5421">
        <v>63</v>
      </c>
      <c r="I5421">
        <v>82</v>
      </c>
      <c r="J5421">
        <v>0</v>
      </c>
      <c r="K5421" s="201">
        <v>0</v>
      </c>
    </row>
    <row r="5422" spans="1:11" x14ac:dyDescent="0.25">
      <c r="A5422"/>
      <c r="B5422" s="201">
        <v>45</v>
      </c>
      <c r="C5422">
        <v>-138</v>
      </c>
      <c r="D5422" s="201">
        <v>0</v>
      </c>
      <c r="E5422" s="201">
        <v>-6</v>
      </c>
      <c r="F5422">
        <v>380</v>
      </c>
      <c r="G5422">
        <v>-153</v>
      </c>
      <c r="H5422">
        <v>218</v>
      </c>
      <c r="I5422">
        <v>12</v>
      </c>
      <c r="J5422">
        <v>186</v>
      </c>
      <c r="K5422" s="201">
        <v>576</v>
      </c>
    </row>
    <row r="5423" spans="1:11" x14ac:dyDescent="0.25">
      <c r="A5423"/>
      <c r="B5423" s="201">
        <v>0</v>
      </c>
      <c r="C5423">
        <v>0</v>
      </c>
      <c r="D5423" s="201">
        <v>0</v>
      </c>
      <c r="E5423" s="201">
        <v>0</v>
      </c>
      <c r="F5423">
        <v>0</v>
      </c>
      <c r="G5423">
        <v>-74</v>
      </c>
      <c r="H5423">
        <v>0</v>
      </c>
      <c r="I5423">
        <v>57</v>
      </c>
      <c r="J5423">
        <v>-895</v>
      </c>
      <c r="K5423" s="201">
        <v>-423</v>
      </c>
    </row>
    <row r="5424" spans="1:11" x14ac:dyDescent="0.25">
      <c r="A5424"/>
      <c r="B5424" s="201">
        <v>0</v>
      </c>
      <c r="C5424">
        <v>603</v>
      </c>
      <c r="D5424" s="201">
        <v>-5479</v>
      </c>
      <c r="E5424" s="201">
        <v>466</v>
      </c>
      <c r="F5424">
        <v>717</v>
      </c>
      <c r="G5424">
        <v>949</v>
      </c>
      <c r="H5424">
        <v>0</v>
      </c>
      <c r="I5424">
        <v>-467</v>
      </c>
      <c r="J5424">
        <v>-1087</v>
      </c>
      <c r="K5424" s="201">
        <v>-15</v>
      </c>
    </row>
    <row r="5425" spans="1:11" x14ac:dyDescent="0.25">
      <c r="A5425"/>
      <c r="B5425" s="201">
        <v>-93</v>
      </c>
      <c r="C5425">
        <v>0</v>
      </c>
      <c r="D5425" s="201">
        <v>318</v>
      </c>
      <c r="E5425" s="201">
        <v>-801</v>
      </c>
      <c r="F5425">
        <v>0</v>
      </c>
      <c r="G5425">
        <v>0</v>
      </c>
      <c r="H5425">
        <v>0</v>
      </c>
      <c r="I5425">
        <v>23</v>
      </c>
      <c r="J5425">
        <v>85</v>
      </c>
      <c r="K5425" s="201">
        <v>0</v>
      </c>
    </row>
    <row r="5426" spans="1:11" x14ac:dyDescent="0.25">
      <c r="A5426"/>
      <c r="B5426" s="201">
        <v>-11</v>
      </c>
      <c r="C5426">
        <v>-123</v>
      </c>
      <c r="D5426" s="201">
        <v>-93</v>
      </c>
      <c r="E5426" s="201">
        <v>-79</v>
      </c>
      <c r="F5426">
        <v>0</v>
      </c>
      <c r="G5426">
        <v>0</v>
      </c>
      <c r="H5426">
        <v>0</v>
      </c>
      <c r="I5426">
        <v>0</v>
      </c>
      <c r="J5426">
        <v>0</v>
      </c>
      <c r="K5426" s="201">
        <v>144</v>
      </c>
    </row>
    <row r="5427" spans="1:11" x14ac:dyDescent="0.25">
      <c r="A5427"/>
      <c r="B5427" s="201">
        <v>0</v>
      </c>
      <c r="C5427">
        <v>-272</v>
      </c>
      <c r="D5427" s="201">
        <v>-1536</v>
      </c>
      <c r="E5427" s="201">
        <v>-349</v>
      </c>
      <c r="F5427">
        <v>0</v>
      </c>
      <c r="G5427">
        <v>-13</v>
      </c>
      <c r="H5427">
        <v>-9599</v>
      </c>
      <c r="I5427">
        <v>-1086</v>
      </c>
      <c r="J5427">
        <v>-3541</v>
      </c>
      <c r="K5427" s="201">
        <v>-1522</v>
      </c>
    </row>
    <row r="5428" spans="1:11" x14ac:dyDescent="0.25">
      <c r="B5428" s="201">
        <v>-796</v>
      </c>
      <c r="C5428">
        <v>-957</v>
      </c>
      <c r="D5428" s="201">
        <v>-72</v>
      </c>
      <c r="E5428" s="201">
        <v>0</v>
      </c>
      <c r="F5428">
        <v>55</v>
      </c>
      <c r="G5428">
        <v>0</v>
      </c>
      <c r="H5428">
        <v>0</v>
      </c>
      <c r="I5428">
        <v>-1271</v>
      </c>
      <c r="J5428">
        <v>-259</v>
      </c>
      <c r="K5428" s="201">
        <v>0</v>
      </c>
    </row>
    <row r="5429" spans="1:11" x14ac:dyDescent="0.25">
      <c r="B5429" s="201">
        <v>1794</v>
      </c>
      <c r="C5429">
        <v>0</v>
      </c>
      <c r="D5429" s="201">
        <v>0</v>
      </c>
      <c r="E5429" s="201">
        <v>68</v>
      </c>
      <c r="F5429">
        <v>0</v>
      </c>
      <c r="G5429">
        <v>-1185</v>
      </c>
      <c r="H5429">
        <v>408</v>
      </c>
      <c r="I5429">
        <v>-631</v>
      </c>
      <c r="J5429">
        <v>0</v>
      </c>
      <c r="K5429" s="201">
        <v>0</v>
      </c>
    </row>
    <row r="5430" spans="1:11" x14ac:dyDescent="0.25">
      <c r="A5430"/>
      <c r="B5430" s="201">
        <v>0</v>
      </c>
      <c r="C5430">
        <v>0</v>
      </c>
      <c r="D5430" s="201">
        <v>0</v>
      </c>
      <c r="E5430" s="201">
        <v>1097</v>
      </c>
      <c r="F5430">
        <v>0</v>
      </c>
      <c r="G5430">
        <v>-2404</v>
      </c>
      <c r="H5430">
        <v>1855</v>
      </c>
      <c r="I5430">
        <v>356</v>
      </c>
      <c r="J5430">
        <v>0</v>
      </c>
      <c r="K5430" s="201">
        <v>-7164</v>
      </c>
    </row>
    <row r="5431" spans="1:11" x14ac:dyDescent="0.25">
      <c r="A5431"/>
      <c r="B5431" s="201">
        <v>-9215</v>
      </c>
      <c r="C5431">
        <v>97</v>
      </c>
      <c r="D5431" s="201">
        <v>0</v>
      </c>
      <c r="E5431" s="201">
        <v>0</v>
      </c>
      <c r="F5431">
        <v>0</v>
      </c>
      <c r="G5431">
        <v>-11</v>
      </c>
      <c r="H5431">
        <v>395</v>
      </c>
      <c r="I5431">
        <v>260</v>
      </c>
      <c r="J5431">
        <v>806</v>
      </c>
      <c r="K5431" s="201">
        <v>50</v>
      </c>
    </row>
    <row r="5432" spans="1:11" x14ac:dyDescent="0.25">
      <c r="A5432"/>
      <c r="B5432" s="201">
        <v>0</v>
      </c>
      <c r="C5432">
        <v>-2174</v>
      </c>
      <c r="D5432" s="201">
        <v>0</v>
      </c>
      <c r="E5432" s="201">
        <v>0</v>
      </c>
      <c r="F5432">
        <v>-1343</v>
      </c>
      <c r="G5432">
        <v>0</v>
      </c>
      <c r="H5432">
        <v>-381</v>
      </c>
      <c r="I5432">
        <v>0</v>
      </c>
      <c r="J5432">
        <v>-53</v>
      </c>
      <c r="K5432" s="201">
        <v>0</v>
      </c>
    </row>
    <row r="5433" spans="1:11" x14ac:dyDescent="0.25">
      <c r="A5433"/>
      <c r="B5433" s="201">
        <v>0</v>
      </c>
      <c r="C5433">
        <v>0</v>
      </c>
      <c r="D5433" s="201">
        <v>0</v>
      </c>
      <c r="E5433" s="201">
        <v>0</v>
      </c>
      <c r="F5433">
        <v>0</v>
      </c>
      <c r="G5433">
        <v>0</v>
      </c>
      <c r="H5433">
        <v>0</v>
      </c>
      <c r="I5433">
        <v>199</v>
      </c>
      <c r="J5433">
        <v>0</v>
      </c>
      <c r="K5433" s="201">
        <v>1</v>
      </c>
    </row>
    <row r="5434" spans="1:11" x14ac:dyDescent="0.25">
      <c r="B5434" s="201">
        <v>5223</v>
      </c>
      <c r="C5434">
        <v>2461</v>
      </c>
      <c r="D5434" s="201">
        <v>0</v>
      </c>
      <c r="E5434" s="201">
        <v>2141</v>
      </c>
      <c r="F5434">
        <v>2144</v>
      </c>
      <c r="G5434">
        <v>0</v>
      </c>
      <c r="H5434">
        <v>0</v>
      </c>
      <c r="I5434">
        <v>0</v>
      </c>
      <c r="J5434">
        <v>0</v>
      </c>
      <c r="K5434" s="201">
        <v>0</v>
      </c>
    </row>
    <row r="5435" spans="1:11" x14ac:dyDescent="0.25">
      <c r="A5435"/>
      <c r="B5435" s="201">
        <v>-3613</v>
      </c>
      <c r="C5435">
        <v>-1455</v>
      </c>
      <c r="D5435" s="201">
        <v>-3291</v>
      </c>
      <c r="E5435" s="201">
        <v>-2601</v>
      </c>
      <c r="F5435">
        <v>-1632</v>
      </c>
      <c r="G5435">
        <v>-5356</v>
      </c>
      <c r="H5435">
        <v>0</v>
      </c>
      <c r="I5435">
        <v>0</v>
      </c>
      <c r="J5435">
        <v>0</v>
      </c>
      <c r="K5435" s="201">
        <v>0</v>
      </c>
    </row>
    <row r="5436" spans="1:11" x14ac:dyDescent="0.25">
      <c r="A5436"/>
      <c r="B5436" s="201">
        <v>474</v>
      </c>
      <c r="C5436">
        <v>0</v>
      </c>
      <c r="D5436" s="201">
        <v>602</v>
      </c>
      <c r="E5436" s="201">
        <v>0</v>
      </c>
      <c r="F5436">
        <v>0</v>
      </c>
      <c r="G5436">
        <v>-1222</v>
      </c>
      <c r="H5436">
        <v>805</v>
      </c>
      <c r="I5436">
        <v>0</v>
      </c>
      <c r="J5436">
        <v>0</v>
      </c>
      <c r="K5436" s="201">
        <v>0</v>
      </c>
    </row>
    <row r="5437" spans="1:11" x14ac:dyDescent="0.25">
      <c r="A5437"/>
      <c r="B5437" s="201">
        <v>0</v>
      </c>
      <c r="C5437">
        <v>372</v>
      </c>
      <c r="D5437" s="201">
        <v>0</v>
      </c>
      <c r="E5437" s="201">
        <v>1041</v>
      </c>
      <c r="F5437">
        <v>-2755</v>
      </c>
      <c r="G5437">
        <v>-3231</v>
      </c>
      <c r="H5437">
        <v>-4246</v>
      </c>
      <c r="I5437">
        <v>-1002</v>
      </c>
      <c r="J5437">
        <v>-748</v>
      </c>
      <c r="K5437" s="201">
        <v>-1873</v>
      </c>
    </row>
    <row r="5438" spans="1:11" x14ac:dyDescent="0.25">
      <c r="A5438"/>
      <c r="B5438" s="201">
        <v>49</v>
      </c>
      <c r="C5438">
        <v>712</v>
      </c>
      <c r="D5438" s="201">
        <v>1063</v>
      </c>
      <c r="E5438" s="201">
        <v>0</v>
      </c>
      <c r="F5438">
        <v>0</v>
      </c>
      <c r="G5438">
        <v>0</v>
      </c>
      <c r="H5438">
        <v>0</v>
      </c>
      <c r="I5438">
        <v>0</v>
      </c>
      <c r="J5438">
        <v>0</v>
      </c>
      <c r="K5438" s="201">
        <v>0</v>
      </c>
    </row>
    <row r="5439" spans="1:11" x14ac:dyDescent="0.25">
      <c r="B5439" s="201">
        <v>-1075</v>
      </c>
      <c r="C5439">
        <v>103</v>
      </c>
      <c r="D5439" s="201">
        <v>-807</v>
      </c>
      <c r="E5439" s="201">
        <v>844</v>
      </c>
      <c r="F5439">
        <v>-803</v>
      </c>
      <c r="G5439">
        <v>1673</v>
      </c>
      <c r="H5439">
        <v>0</v>
      </c>
      <c r="I5439">
        <v>0</v>
      </c>
      <c r="J5439">
        <v>-975</v>
      </c>
      <c r="K5439" s="201">
        <v>0</v>
      </c>
    </row>
    <row r="5440" spans="1:11" x14ac:dyDescent="0.25">
      <c r="B5440" s="201">
        <v>-214</v>
      </c>
      <c r="C5440">
        <v>-2035</v>
      </c>
      <c r="D5440" s="201">
        <v>0</v>
      </c>
      <c r="E5440" s="201">
        <v>0</v>
      </c>
      <c r="F5440">
        <v>0</v>
      </c>
      <c r="G5440">
        <v>0</v>
      </c>
      <c r="H5440">
        <v>-120</v>
      </c>
      <c r="I5440">
        <v>0</v>
      </c>
      <c r="J5440">
        <v>648</v>
      </c>
      <c r="K5440" s="201">
        <v>1560</v>
      </c>
    </row>
    <row r="5441" spans="1:11" x14ac:dyDescent="0.25">
      <c r="A5441"/>
      <c r="B5441" s="201">
        <v>0</v>
      </c>
      <c r="C5441">
        <v>0</v>
      </c>
      <c r="D5441" s="201">
        <v>0</v>
      </c>
      <c r="E5441" s="201">
        <v>0</v>
      </c>
      <c r="F5441">
        <v>0</v>
      </c>
      <c r="G5441">
        <v>0</v>
      </c>
      <c r="H5441">
        <v>0</v>
      </c>
      <c r="I5441">
        <v>0</v>
      </c>
      <c r="J5441">
        <v>0</v>
      </c>
      <c r="K5441" s="201">
        <v>0</v>
      </c>
    </row>
    <row r="5442" spans="1:11" x14ac:dyDescent="0.25">
      <c r="A5442"/>
      <c r="B5442" s="201">
        <v>0</v>
      </c>
      <c r="C5442">
        <v>0</v>
      </c>
      <c r="D5442" s="201">
        <v>0</v>
      </c>
      <c r="E5442" s="201">
        <v>0</v>
      </c>
      <c r="F5442">
        <v>0</v>
      </c>
      <c r="G5442">
        <v>-210</v>
      </c>
      <c r="H5442">
        <v>0</v>
      </c>
      <c r="I5442">
        <v>0</v>
      </c>
      <c r="J5442">
        <v>0</v>
      </c>
      <c r="K5442" s="201">
        <v>0</v>
      </c>
    </row>
    <row r="5443" spans="1:11" x14ac:dyDescent="0.25">
      <c r="A5443"/>
      <c r="B5443" s="201">
        <v>0</v>
      </c>
      <c r="C5443">
        <v>49</v>
      </c>
      <c r="D5443" s="201">
        <v>3389</v>
      </c>
      <c r="E5443" s="201">
        <v>3725</v>
      </c>
      <c r="F5443">
        <v>19893</v>
      </c>
      <c r="G5443">
        <v>21408</v>
      </c>
      <c r="H5443">
        <v>36779</v>
      </c>
      <c r="I5443">
        <v>22595</v>
      </c>
      <c r="J5443">
        <v>730</v>
      </c>
      <c r="K5443" s="201">
        <v>-80</v>
      </c>
    </row>
    <row r="5444" spans="1:11" x14ac:dyDescent="0.25">
      <c r="B5444" s="201">
        <v>-129</v>
      </c>
      <c r="C5444">
        <v>5023</v>
      </c>
      <c r="D5444" s="201">
        <v>3366</v>
      </c>
      <c r="E5444" s="201">
        <v>16067</v>
      </c>
      <c r="F5444">
        <v>16634</v>
      </c>
      <c r="G5444">
        <v>26168</v>
      </c>
      <c r="H5444">
        <v>15150</v>
      </c>
      <c r="I5444">
        <v>1630</v>
      </c>
      <c r="J5444">
        <v>0</v>
      </c>
      <c r="K5444" s="201">
        <v>21190</v>
      </c>
    </row>
    <row r="5445" spans="1:11" x14ac:dyDescent="0.25">
      <c r="B5445" s="201">
        <v>24959</v>
      </c>
      <c r="C5445">
        <v>35488</v>
      </c>
      <c r="D5445" s="201">
        <v>22742</v>
      </c>
      <c r="E5445" s="201">
        <v>18983</v>
      </c>
      <c r="F5445">
        <v>19951</v>
      </c>
      <c r="G5445">
        <v>37222</v>
      </c>
      <c r="H5445">
        <v>24750</v>
      </c>
      <c r="I5445">
        <v>18519</v>
      </c>
      <c r="J5445">
        <v>26540</v>
      </c>
      <c r="K5445" s="201">
        <v>29571</v>
      </c>
    </row>
    <row r="5446" spans="1:11" x14ac:dyDescent="0.25">
      <c r="A5446"/>
      <c r="B5446" s="201">
        <v>21961</v>
      </c>
      <c r="C5446">
        <v>15095</v>
      </c>
      <c r="D5446" s="201">
        <v>9662</v>
      </c>
      <c r="E5446" s="201">
        <v>-39</v>
      </c>
      <c r="F5446">
        <v>94</v>
      </c>
      <c r="G5446">
        <v>45</v>
      </c>
      <c r="H5446">
        <v>-102</v>
      </c>
      <c r="I5446">
        <v>112</v>
      </c>
      <c r="J5446">
        <v>0</v>
      </c>
      <c r="K5446" s="201">
        <v>0</v>
      </c>
    </row>
    <row r="5447" spans="1:11" x14ac:dyDescent="0.25">
      <c r="A5447"/>
      <c r="B5447" s="201">
        <v>138</v>
      </c>
      <c r="C5447">
        <v>0</v>
      </c>
      <c r="D5447" s="201">
        <v>0</v>
      </c>
      <c r="E5447" s="201">
        <v>0</v>
      </c>
      <c r="F5447">
        <v>-509</v>
      </c>
      <c r="G5447">
        <v>74</v>
      </c>
      <c r="H5447">
        <v>0</v>
      </c>
      <c r="I5447">
        <v>0</v>
      </c>
      <c r="J5447">
        <v>0</v>
      </c>
      <c r="K5447" s="201">
        <v>0</v>
      </c>
    </row>
    <row r="5448" spans="1:11" x14ac:dyDescent="0.25">
      <c r="A5448"/>
      <c r="B5448" s="201">
        <v>0</v>
      </c>
      <c r="C5448">
        <v>0</v>
      </c>
      <c r="D5448" s="201">
        <v>366</v>
      </c>
      <c r="E5448" s="201">
        <v>0</v>
      </c>
      <c r="F5448">
        <v>0</v>
      </c>
      <c r="G5448">
        <v>42</v>
      </c>
      <c r="H5448">
        <v>0</v>
      </c>
      <c r="I5448">
        <v>-20</v>
      </c>
      <c r="J5448">
        <v>0</v>
      </c>
      <c r="K5448" s="201">
        <v>263</v>
      </c>
    </row>
    <row r="5449" spans="1:11" x14ac:dyDescent="0.25">
      <c r="B5449" s="201">
        <v>-225</v>
      </c>
      <c r="C5449">
        <v>-657</v>
      </c>
      <c r="D5449" s="201">
        <v>0</v>
      </c>
      <c r="E5449" s="201">
        <v>-365</v>
      </c>
      <c r="F5449">
        <v>-47</v>
      </c>
      <c r="G5449">
        <v>221</v>
      </c>
      <c r="H5449">
        <v>523</v>
      </c>
      <c r="I5449">
        <v>248</v>
      </c>
      <c r="J5449">
        <v>209</v>
      </c>
      <c r="K5449" s="201">
        <v>0</v>
      </c>
    </row>
    <row r="5450" spans="1:11" x14ac:dyDescent="0.25">
      <c r="A5450"/>
      <c r="B5450" s="201">
        <v>-19</v>
      </c>
      <c r="C5450">
        <v>0</v>
      </c>
      <c r="D5450" s="201">
        <v>0</v>
      </c>
      <c r="E5450" s="201">
        <v>0</v>
      </c>
      <c r="F5450">
        <v>0</v>
      </c>
      <c r="G5450">
        <v>0</v>
      </c>
      <c r="H5450">
        <v>-79</v>
      </c>
      <c r="I5450">
        <v>0</v>
      </c>
      <c r="J5450">
        <v>0</v>
      </c>
      <c r="K5450" s="201">
        <v>0</v>
      </c>
    </row>
    <row r="5451" spans="1:11" x14ac:dyDescent="0.25">
      <c r="A5451"/>
      <c r="B5451" s="201">
        <v>-60</v>
      </c>
      <c r="C5451">
        <v>0</v>
      </c>
      <c r="D5451" s="201">
        <v>49</v>
      </c>
      <c r="E5451" s="201">
        <v>0</v>
      </c>
      <c r="F5451">
        <v>0</v>
      </c>
      <c r="G5451">
        <v>0</v>
      </c>
      <c r="H5451">
        <v>0</v>
      </c>
      <c r="I5451">
        <v>0</v>
      </c>
      <c r="J5451">
        <v>5</v>
      </c>
      <c r="K5451" s="201">
        <v>0</v>
      </c>
    </row>
    <row r="5452" spans="1:11" x14ac:dyDescent="0.25">
      <c r="A5452"/>
      <c r="B5452" s="201">
        <v>-14</v>
      </c>
      <c r="C5452">
        <v>-147</v>
      </c>
      <c r="D5452" s="201">
        <v>0</v>
      </c>
      <c r="E5452" s="201">
        <v>0</v>
      </c>
      <c r="F5452">
        <v>1798</v>
      </c>
      <c r="G5452">
        <v>-1492</v>
      </c>
      <c r="H5452">
        <v>0</v>
      </c>
      <c r="I5452">
        <v>-138</v>
      </c>
      <c r="J5452">
        <v>0</v>
      </c>
      <c r="K5452" s="201">
        <v>0</v>
      </c>
    </row>
    <row r="5453" spans="1:11" x14ac:dyDescent="0.25">
      <c r="A5453"/>
      <c r="B5453" s="201">
        <v>0</v>
      </c>
      <c r="C5453">
        <v>0</v>
      </c>
      <c r="D5453" s="201">
        <v>660</v>
      </c>
      <c r="E5453" s="201">
        <v>-1614</v>
      </c>
      <c r="F5453">
        <v>-1494</v>
      </c>
      <c r="G5453">
        <v>0</v>
      </c>
      <c r="H5453">
        <v>0</v>
      </c>
      <c r="I5453">
        <v>85</v>
      </c>
      <c r="J5453">
        <v>70</v>
      </c>
      <c r="K5453" s="201">
        <v>0</v>
      </c>
    </row>
    <row r="5454" spans="1:11" x14ac:dyDescent="0.25">
      <c r="A5454"/>
      <c r="B5454" s="201">
        <v>47</v>
      </c>
      <c r="C5454">
        <v>-827</v>
      </c>
      <c r="D5454" s="201">
        <v>82</v>
      </c>
      <c r="E5454" s="201">
        <v>-433</v>
      </c>
      <c r="F5454">
        <v>-562</v>
      </c>
      <c r="G5454">
        <v>-161</v>
      </c>
      <c r="H5454">
        <v>-310</v>
      </c>
      <c r="I5454">
        <v>0</v>
      </c>
      <c r="J5454">
        <v>0</v>
      </c>
      <c r="K5454" s="201">
        <v>0</v>
      </c>
    </row>
    <row r="5455" spans="1:11" x14ac:dyDescent="0.25">
      <c r="A5455"/>
      <c r="B5455" s="201">
        <v>0</v>
      </c>
      <c r="C5455">
        <v>0</v>
      </c>
      <c r="D5455" s="201">
        <v>-1570</v>
      </c>
      <c r="E5455" s="201">
        <v>0</v>
      </c>
      <c r="F5455">
        <v>-1551</v>
      </c>
      <c r="G5455">
        <v>-1069</v>
      </c>
      <c r="H5455">
        <v>-998</v>
      </c>
      <c r="I5455">
        <v>0</v>
      </c>
      <c r="J5455">
        <v>560</v>
      </c>
      <c r="K5455" s="201">
        <v>-2445</v>
      </c>
    </row>
    <row r="5456" spans="1:11" x14ac:dyDescent="0.25">
      <c r="A5456"/>
      <c r="B5456" s="201">
        <v>-159</v>
      </c>
      <c r="C5456">
        <v>-56</v>
      </c>
      <c r="D5456" s="201">
        <v>-93</v>
      </c>
      <c r="E5456" s="201">
        <v>0</v>
      </c>
      <c r="F5456">
        <v>148</v>
      </c>
      <c r="G5456">
        <v>-35</v>
      </c>
      <c r="H5456">
        <v>17</v>
      </c>
      <c r="I5456">
        <v>-1421</v>
      </c>
      <c r="J5456">
        <v>0</v>
      </c>
      <c r="K5456" s="201">
        <v>505</v>
      </c>
    </row>
    <row r="5457" spans="1:11" x14ac:dyDescent="0.25">
      <c r="A5457"/>
      <c r="B5457" s="201">
        <v>3765</v>
      </c>
      <c r="C5457">
        <v>0</v>
      </c>
      <c r="D5457" s="201">
        <v>0</v>
      </c>
      <c r="E5457" s="201">
        <v>0</v>
      </c>
      <c r="F5457">
        <v>222</v>
      </c>
      <c r="G5457">
        <v>-500</v>
      </c>
      <c r="H5457">
        <v>0</v>
      </c>
      <c r="I5457">
        <v>-249</v>
      </c>
      <c r="J5457">
        <v>-73</v>
      </c>
      <c r="K5457" s="201">
        <v>-10</v>
      </c>
    </row>
    <row r="5458" spans="1:11" x14ac:dyDescent="0.25">
      <c r="A5458"/>
      <c r="B5458" s="201">
        <v>-81</v>
      </c>
      <c r="C5458">
        <v>0</v>
      </c>
      <c r="D5458" s="201">
        <v>0</v>
      </c>
      <c r="E5458" s="201">
        <v>0</v>
      </c>
      <c r="F5458">
        <v>0</v>
      </c>
      <c r="G5458">
        <v>0</v>
      </c>
      <c r="H5458">
        <v>-1072</v>
      </c>
      <c r="I5458">
        <v>0</v>
      </c>
      <c r="J5458">
        <v>-1081</v>
      </c>
      <c r="K5458" s="201">
        <v>-1194</v>
      </c>
    </row>
    <row r="5459" spans="1:11" x14ac:dyDescent="0.25">
      <c r="A5459"/>
      <c r="B5459" s="201">
        <v>-1439</v>
      </c>
      <c r="C5459">
        <v>0</v>
      </c>
      <c r="D5459" s="201">
        <v>-268</v>
      </c>
      <c r="E5459" s="201">
        <v>-2593</v>
      </c>
      <c r="F5459">
        <v>81</v>
      </c>
      <c r="G5459">
        <v>121</v>
      </c>
      <c r="H5459">
        <v>-39</v>
      </c>
      <c r="I5459">
        <v>-24</v>
      </c>
      <c r="J5459">
        <v>506</v>
      </c>
      <c r="K5459" s="201">
        <v>-232</v>
      </c>
    </row>
    <row r="5460" spans="1:11" x14ac:dyDescent="0.25">
      <c r="A5460"/>
      <c r="B5460" s="201">
        <v>0</v>
      </c>
      <c r="C5460">
        <v>-668</v>
      </c>
      <c r="D5460" s="201">
        <v>0</v>
      </c>
      <c r="E5460" s="201">
        <v>0</v>
      </c>
      <c r="F5460">
        <v>5144</v>
      </c>
      <c r="G5460">
        <v>-197</v>
      </c>
      <c r="H5460">
        <v>0</v>
      </c>
      <c r="I5460">
        <v>-625</v>
      </c>
      <c r="J5460">
        <v>0</v>
      </c>
      <c r="K5460" s="201">
        <v>0</v>
      </c>
    </row>
    <row r="5461" spans="1:11" x14ac:dyDescent="0.25">
      <c r="A5461"/>
      <c r="B5461" s="201">
        <v>27</v>
      </c>
      <c r="C5461">
        <v>0</v>
      </c>
      <c r="D5461" s="201">
        <v>-46</v>
      </c>
      <c r="E5461" s="201">
        <v>-22</v>
      </c>
      <c r="F5461">
        <v>162</v>
      </c>
      <c r="G5461">
        <v>0</v>
      </c>
      <c r="H5461">
        <v>0</v>
      </c>
      <c r="I5461">
        <v>0</v>
      </c>
      <c r="J5461">
        <v>0</v>
      </c>
      <c r="K5461" s="201">
        <v>0</v>
      </c>
    </row>
    <row r="5462" spans="1:11" x14ac:dyDescent="0.25">
      <c r="B5462" s="201">
        <v>-701</v>
      </c>
      <c r="C5462" s="201">
        <v>0</v>
      </c>
      <c r="D5462" s="201">
        <v>-1042</v>
      </c>
      <c r="E5462" s="201">
        <v>-635</v>
      </c>
      <c r="F5462">
        <v>-762</v>
      </c>
      <c r="G5462">
        <v>0</v>
      </c>
      <c r="H5462">
        <v>-18700</v>
      </c>
      <c r="I5462">
        <v>-22382</v>
      </c>
      <c r="J5462">
        <v>3797</v>
      </c>
      <c r="K5462" s="201">
        <v>0</v>
      </c>
    </row>
    <row r="5463" spans="1:11" x14ac:dyDescent="0.25">
      <c r="A5463"/>
      <c r="B5463" s="201">
        <v>0</v>
      </c>
      <c r="C5463">
        <v>0</v>
      </c>
      <c r="D5463" s="201">
        <v>8583</v>
      </c>
      <c r="E5463" s="201">
        <v>7063</v>
      </c>
      <c r="F5463">
        <v>5405</v>
      </c>
      <c r="G5463">
        <v>16359</v>
      </c>
      <c r="H5463">
        <v>13182</v>
      </c>
      <c r="I5463">
        <v>0</v>
      </c>
      <c r="J5463">
        <v>38758</v>
      </c>
      <c r="K5463" s="201">
        <v>0</v>
      </c>
    </row>
    <row r="5464" spans="1:11" x14ac:dyDescent="0.25">
      <c r="A5464"/>
      <c r="B5464" s="201">
        <v>0</v>
      </c>
      <c r="C5464">
        <v>17816</v>
      </c>
      <c r="D5464" s="201">
        <v>0</v>
      </c>
      <c r="E5464" s="201">
        <v>9885</v>
      </c>
      <c r="F5464">
        <v>0</v>
      </c>
      <c r="G5464">
        <v>8770</v>
      </c>
      <c r="H5464">
        <v>0</v>
      </c>
      <c r="I5464">
        <v>0</v>
      </c>
      <c r="J5464">
        <v>0</v>
      </c>
      <c r="K5464" s="201">
        <v>0</v>
      </c>
    </row>
    <row r="5465" spans="1:11" x14ac:dyDescent="0.25">
      <c r="A5465"/>
      <c r="B5465" s="201">
        <v>0</v>
      </c>
      <c r="C5465">
        <v>0</v>
      </c>
      <c r="D5465" s="201">
        <v>0</v>
      </c>
      <c r="E5465" s="201">
        <v>0</v>
      </c>
      <c r="F5465">
        <v>-1295</v>
      </c>
      <c r="G5465">
        <v>0</v>
      </c>
      <c r="H5465">
        <v>-4549</v>
      </c>
      <c r="I5465">
        <v>6587</v>
      </c>
      <c r="J5465">
        <v>16225</v>
      </c>
      <c r="K5465" s="201">
        <v>0</v>
      </c>
    </row>
    <row r="5466" spans="1:11" x14ac:dyDescent="0.25">
      <c r="A5466"/>
      <c r="B5466" s="201">
        <v>1974</v>
      </c>
      <c r="C5466">
        <v>3902</v>
      </c>
      <c r="D5466" s="201">
        <v>0</v>
      </c>
      <c r="E5466" s="201">
        <v>0</v>
      </c>
      <c r="F5466">
        <v>0</v>
      </c>
      <c r="G5466">
        <v>0</v>
      </c>
      <c r="H5466">
        <v>0</v>
      </c>
      <c r="I5466">
        <v>-2018</v>
      </c>
      <c r="J5466">
        <v>-1211</v>
      </c>
      <c r="K5466" s="201">
        <v>-4064</v>
      </c>
    </row>
    <row r="5467" spans="1:11" x14ac:dyDescent="0.25">
      <c r="A5467"/>
      <c r="B5467" s="201">
        <v>-3347</v>
      </c>
      <c r="C5467">
        <v>-1387</v>
      </c>
      <c r="D5467" s="201">
        <v>-809</v>
      </c>
      <c r="E5467" s="201">
        <v>0</v>
      </c>
      <c r="F5467">
        <v>0</v>
      </c>
      <c r="G5467">
        <v>0</v>
      </c>
      <c r="H5467">
        <v>0</v>
      </c>
      <c r="I5467">
        <v>-331</v>
      </c>
      <c r="J5467">
        <v>0</v>
      </c>
      <c r="K5467" s="201">
        <v>110</v>
      </c>
    </row>
    <row r="5468" spans="1:11" x14ac:dyDescent="0.25">
      <c r="A5468"/>
      <c r="B5468" s="201">
        <v>0</v>
      </c>
      <c r="C5468">
        <v>0</v>
      </c>
      <c r="D5468" s="201">
        <v>-1428</v>
      </c>
      <c r="E5468" s="201">
        <v>462</v>
      </c>
      <c r="F5468">
        <v>0</v>
      </c>
      <c r="G5468">
        <v>0</v>
      </c>
      <c r="H5468">
        <v>0</v>
      </c>
      <c r="I5468">
        <v>0</v>
      </c>
      <c r="J5468">
        <v>-918</v>
      </c>
      <c r="K5468" s="201">
        <v>0</v>
      </c>
    </row>
    <row r="5469" spans="1:11" x14ac:dyDescent="0.25">
      <c r="B5469" s="201">
        <v>-196</v>
      </c>
      <c r="C5469">
        <v>-2096</v>
      </c>
      <c r="D5469" s="201">
        <v>-3629</v>
      </c>
      <c r="E5469" s="201">
        <v>-3032</v>
      </c>
      <c r="F5469">
        <v>-758</v>
      </c>
      <c r="G5469">
        <v>-167</v>
      </c>
      <c r="H5469">
        <v>-83</v>
      </c>
      <c r="I5469">
        <v>55</v>
      </c>
      <c r="J5469">
        <v>-1837</v>
      </c>
      <c r="K5469" s="201">
        <v>-419</v>
      </c>
    </row>
    <row r="5470" spans="1:11" x14ac:dyDescent="0.25">
      <c r="A5470"/>
      <c r="B5470" s="201">
        <v>0</v>
      </c>
      <c r="C5470">
        <v>0</v>
      </c>
      <c r="D5470" s="201">
        <v>0</v>
      </c>
      <c r="E5470" s="201">
        <v>0</v>
      </c>
      <c r="F5470">
        <v>0</v>
      </c>
      <c r="G5470">
        <v>0</v>
      </c>
      <c r="H5470">
        <v>0</v>
      </c>
      <c r="I5470">
        <v>-3143</v>
      </c>
      <c r="J5470">
        <v>-164</v>
      </c>
      <c r="K5470" s="201">
        <v>-1145</v>
      </c>
    </row>
    <row r="5471" spans="1:11" x14ac:dyDescent="0.25">
      <c r="A5471"/>
      <c r="B5471" s="201">
        <v>-208</v>
      </c>
      <c r="C5471">
        <v>-1507</v>
      </c>
      <c r="D5471" s="201">
        <v>690</v>
      </c>
      <c r="E5471" s="201">
        <v>0</v>
      </c>
      <c r="F5471">
        <v>0</v>
      </c>
      <c r="G5471">
        <v>-504</v>
      </c>
      <c r="H5471">
        <v>0</v>
      </c>
      <c r="I5471">
        <v>579</v>
      </c>
      <c r="J5471">
        <v>-330</v>
      </c>
      <c r="K5471" s="201">
        <v>0</v>
      </c>
    </row>
    <row r="5472" spans="1:11" x14ac:dyDescent="0.25">
      <c r="A5472"/>
      <c r="B5472" s="201">
        <v>0</v>
      </c>
      <c r="C5472">
        <v>0</v>
      </c>
      <c r="D5472" s="201">
        <v>0</v>
      </c>
      <c r="E5472" s="201">
        <v>240</v>
      </c>
      <c r="F5472">
        <v>0</v>
      </c>
      <c r="G5472">
        <v>-1232</v>
      </c>
      <c r="H5472">
        <v>40</v>
      </c>
      <c r="I5472">
        <v>0</v>
      </c>
      <c r="J5472">
        <v>0</v>
      </c>
      <c r="K5472" s="201">
        <v>0</v>
      </c>
    </row>
    <row r="5473" spans="1:11" x14ac:dyDescent="0.25">
      <c r="A5473"/>
      <c r="B5473" s="201">
        <v>0</v>
      </c>
      <c r="C5473">
        <v>0</v>
      </c>
      <c r="D5473" s="201">
        <v>0</v>
      </c>
      <c r="E5473" s="201">
        <v>0</v>
      </c>
      <c r="F5473">
        <v>0</v>
      </c>
      <c r="G5473">
        <v>0</v>
      </c>
      <c r="H5473">
        <v>0</v>
      </c>
      <c r="I5473">
        <v>0</v>
      </c>
      <c r="J5473">
        <v>0</v>
      </c>
      <c r="K5473" s="201">
        <v>0</v>
      </c>
    </row>
    <row r="5474" spans="1:11" x14ac:dyDescent="0.25">
      <c r="A5474"/>
      <c r="B5474" s="201">
        <v>0</v>
      </c>
      <c r="C5474">
        <v>0</v>
      </c>
      <c r="D5474" s="201">
        <v>-44</v>
      </c>
      <c r="E5474" s="201">
        <v>0</v>
      </c>
      <c r="F5474">
        <v>0</v>
      </c>
      <c r="G5474">
        <v>0</v>
      </c>
      <c r="H5474">
        <v>0</v>
      </c>
      <c r="I5474">
        <v>0</v>
      </c>
      <c r="J5474">
        <v>-421</v>
      </c>
      <c r="K5474" s="201">
        <v>2203</v>
      </c>
    </row>
    <row r="5475" spans="1:11" x14ac:dyDescent="0.25">
      <c r="A5475"/>
      <c r="B5475" s="201">
        <v>2237</v>
      </c>
      <c r="C5475">
        <v>13387</v>
      </c>
      <c r="D5475" s="201">
        <v>15883</v>
      </c>
      <c r="E5475" s="201">
        <v>16032</v>
      </c>
      <c r="F5475">
        <v>31054</v>
      </c>
      <c r="G5475">
        <v>970</v>
      </c>
      <c r="H5475">
        <v>285</v>
      </c>
      <c r="I5475">
        <v>135</v>
      </c>
      <c r="J5475">
        <v>3648</v>
      </c>
      <c r="K5475" s="201">
        <v>2382</v>
      </c>
    </row>
    <row r="5476" spans="1:11" x14ac:dyDescent="0.25">
      <c r="A5476"/>
      <c r="B5476" s="201">
        <v>12006</v>
      </c>
      <c r="C5476">
        <v>12731</v>
      </c>
      <c r="D5476" s="201">
        <v>12008</v>
      </c>
      <c r="E5476" s="201">
        <v>17857</v>
      </c>
      <c r="F5476">
        <v>543</v>
      </c>
      <c r="G5476">
        <v>0</v>
      </c>
      <c r="H5476">
        <v>14087</v>
      </c>
      <c r="I5476">
        <v>18566</v>
      </c>
      <c r="J5476">
        <v>18564</v>
      </c>
      <c r="K5476" s="201">
        <v>25022</v>
      </c>
    </row>
    <row r="5477" spans="1:11" x14ac:dyDescent="0.25">
      <c r="A5477"/>
      <c r="B5477" s="201">
        <v>13420</v>
      </c>
      <c r="C5477">
        <v>15953</v>
      </c>
      <c r="D5477" s="201">
        <v>20138</v>
      </c>
      <c r="E5477" s="201">
        <v>25815</v>
      </c>
      <c r="F5477">
        <v>13086</v>
      </c>
      <c r="G5477">
        <v>19380</v>
      </c>
      <c r="H5477">
        <v>16885</v>
      </c>
      <c r="I5477">
        <v>25813</v>
      </c>
      <c r="J5477">
        <v>8633</v>
      </c>
      <c r="K5477" s="201">
        <v>13442</v>
      </c>
    </row>
    <row r="5478" spans="1:11" x14ac:dyDescent="0.25">
      <c r="A5478"/>
      <c r="B5478" s="201">
        <v>13047</v>
      </c>
      <c r="C5478">
        <v>-41</v>
      </c>
      <c r="D5478" s="201">
        <v>-1367</v>
      </c>
      <c r="E5478" s="201">
        <v>111</v>
      </c>
      <c r="F5478">
        <v>-182</v>
      </c>
      <c r="G5478">
        <v>203</v>
      </c>
      <c r="H5478">
        <v>0</v>
      </c>
      <c r="I5478">
        <v>0</v>
      </c>
      <c r="J5478">
        <v>-43</v>
      </c>
      <c r="K5478" s="201">
        <v>0</v>
      </c>
    </row>
    <row r="5479" spans="1:11" x14ac:dyDescent="0.25">
      <c r="A5479"/>
      <c r="B5479" s="201">
        <v>0</v>
      </c>
      <c r="C5479">
        <v>0</v>
      </c>
      <c r="D5479" s="201">
        <v>-436</v>
      </c>
      <c r="E5479" s="201">
        <v>808</v>
      </c>
      <c r="F5479">
        <v>0</v>
      </c>
      <c r="G5479">
        <v>0</v>
      </c>
      <c r="H5479">
        <v>0</v>
      </c>
      <c r="I5479">
        <v>0</v>
      </c>
      <c r="J5479">
        <v>0</v>
      </c>
      <c r="K5479" s="201">
        <v>0</v>
      </c>
    </row>
    <row r="5480" spans="1:11" x14ac:dyDescent="0.25">
      <c r="A5480"/>
      <c r="B5480" s="201">
        <v>127</v>
      </c>
      <c r="C5480">
        <v>0</v>
      </c>
      <c r="D5480" s="201">
        <v>0</v>
      </c>
      <c r="E5480" s="201">
        <v>100</v>
      </c>
      <c r="F5480">
        <v>0</v>
      </c>
      <c r="G5480">
        <v>-103</v>
      </c>
      <c r="H5480">
        <v>0</v>
      </c>
      <c r="I5480">
        <v>272</v>
      </c>
      <c r="J5480">
        <v>-118</v>
      </c>
      <c r="K5480" s="201">
        <v>-64</v>
      </c>
    </row>
    <row r="5481" spans="1:11" x14ac:dyDescent="0.25">
      <c r="A5481"/>
      <c r="B5481" s="201">
        <v>0</v>
      </c>
      <c r="C5481">
        <v>-88</v>
      </c>
      <c r="D5481" s="201">
        <v>-1232</v>
      </c>
      <c r="E5481" s="201">
        <v>133</v>
      </c>
      <c r="F5481">
        <v>211</v>
      </c>
      <c r="G5481">
        <v>360</v>
      </c>
      <c r="H5481">
        <v>394</v>
      </c>
      <c r="I5481">
        <v>0</v>
      </c>
      <c r="J5481">
        <v>-59</v>
      </c>
      <c r="K5481" s="201">
        <v>0</v>
      </c>
    </row>
    <row r="5482" spans="1:11" x14ac:dyDescent="0.25">
      <c r="A5482"/>
      <c r="B5482" s="201">
        <v>0</v>
      </c>
      <c r="C5482">
        <v>0</v>
      </c>
      <c r="D5482" s="201">
        <v>0</v>
      </c>
      <c r="E5482" s="201">
        <v>0</v>
      </c>
      <c r="F5482">
        <v>210</v>
      </c>
      <c r="G5482">
        <v>0</v>
      </c>
      <c r="H5482">
        <v>0</v>
      </c>
      <c r="I5482">
        <v>0</v>
      </c>
      <c r="J5482">
        <v>-308</v>
      </c>
      <c r="K5482" s="201">
        <v>0</v>
      </c>
    </row>
    <row r="5483" spans="1:11" x14ac:dyDescent="0.25">
      <c r="A5483"/>
      <c r="B5483" s="201">
        <v>-64</v>
      </c>
      <c r="C5483">
        <v>0</v>
      </c>
      <c r="D5483" s="201">
        <v>0</v>
      </c>
      <c r="E5483" s="201">
        <v>0</v>
      </c>
      <c r="F5483">
        <v>0</v>
      </c>
      <c r="G5483">
        <v>0</v>
      </c>
      <c r="H5483">
        <v>-43</v>
      </c>
      <c r="I5483">
        <v>0</v>
      </c>
      <c r="J5483">
        <v>88</v>
      </c>
      <c r="K5483" s="201">
        <v>-172</v>
      </c>
    </row>
    <row r="5484" spans="1:11" x14ac:dyDescent="0.25">
      <c r="A5484"/>
      <c r="B5484" s="201">
        <v>0</v>
      </c>
      <c r="C5484">
        <v>0</v>
      </c>
      <c r="D5484" s="201">
        <v>1150</v>
      </c>
      <c r="E5484" s="201">
        <v>-10956</v>
      </c>
      <c r="F5484">
        <v>0</v>
      </c>
      <c r="G5484">
        <v>-864</v>
      </c>
      <c r="H5484">
        <v>0</v>
      </c>
      <c r="I5484">
        <v>0</v>
      </c>
      <c r="J5484">
        <v>0</v>
      </c>
      <c r="K5484" s="201">
        <v>0</v>
      </c>
    </row>
    <row r="5485" spans="1:11" x14ac:dyDescent="0.25">
      <c r="B5485" s="201">
        <v>-266</v>
      </c>
      <c r="C5485">
        <v>545</v>
      </c>
      <c r="D5485" s="201">
        <v>586</v>
      </c>
      <c r="E5485" s="201">
        <v>0</v>
      </c>
      <c r="F5485">
        <v>0</v>
      </c>
      <c r="G5485">
        <v>-463</v>
      </c>
      <c r="H5485">
        <v>1116</v>
      </c>
      <c r="I5485">
        <v>0</v>
      </c>
      <c r="J5485">
        <v>1345</v>
      </c>
      <c r="K5485" s="201">
        <v>560</v>
      </c>
    </row>
    <row r="5486" spans="1:11" x14ac:dyDescent="0.25">
      <c r="A5486"/>
      <c r="B5486" s="201">
        <v>879</v>
      </c>
      <c r="C5486">
        <v>933</v>
      </c>
      <c r="D5486" s="201">
        <v>-1759</v>
      </c>
      <c r="E5486" s="201">
        <v>197</v>
      </c>
      <c r="F5486">
        <v>495</v>
      </c>
      <c r="G5486">
        <v>0</v>
      </c>
      <c r="H5486">
        <v>0</v>
      </c>
      <c r="I5486">
        <v>0</v>
      </c>
      <c r="J5486">
        <v>0</v>
      </c>
      <c r="K5486" s="201">
        <v>0</v>
      </c>
    </row>
    <row r="5487" spans="1:11" x14ac:dyDescent="0.25">
      <c r="A5487"/>
      <c r="B5487" s="201">
        <v>-155</v>
      </c>
      <c r="C5487">
        <v>0</v>
      </c>
      <c r="D5487" s="201">
        <v>-817</v>
      </c>
      <c r="E5487" s="201">
        <v>1825</v>
      </c>
      <c r="F5487">
        <v>702</v>
      </c>
      <c r="G5487">
        <v>0</v>
      </c>
      <c r="H5487">
        <v>190</v>
      </c>
      <c r="I5487">
        <v>-4796</v>
      </c>
      <c r="J5487">
        <v>193</v>
      </c>
      <c r="K5487" s="201">
        <v>146</v>
      </c>
    </row>
    <row r="5488" spans="1:11" x14ac:dyDescent="0.25">
      <c r="A5488"/>
      <c r="B5488" s="201">
        <v>194</v>
      </c>
      <c r="C5488">
        <v>0</v>
      </c>
      <c r="D5488" s="201">
        <v>-78</v>
      </c>
      <c r="E5488" s="201">
        <v>-191</v>
      </c>
      <c r="F5488">
        <v>449</v>
      </c>
      <c r="G5488">
        <v>-48</v>
      </c>
      <c r="H5488">
        <v>0</v>
      </c>
      <c r="I5488">
        <v>262</v>
      </c>
      <c r="J5488">
        <v>-218</v>
      </c>
      <c r="K5488" s="201">
        <v>0</v>
      </c>
    </row>
    <row r="5489" spans="1:11" x14ac:dyDescent="0.25">
      <c r="A5489"/>
      <c r="B5489" s="201">
        <v>0</v>
      </c>
      <c r="C5489">
        <v>0</v>
      </c>
      <c r="D5489" s="201">
        <v>536</v>
      </c>
      <c r="E5489" s="201">
        <v>950</v>
      </c>
      <c r="F5489">
        <v>0</v>
      </c>
      <c r="G5489">
        <v>602</v>
      </c>
      <c r="H5489">
        <v>-497</v>
      </c>
      <c r="I5489">
        <v>2</v>
      </c>
      <c r="J5489">
        <v>-109</v>
      </c>
      <c r="K5489" s="201">
        <v>0</v>
      </c>
    </row>
    <row r="5490" spans="1:11" x14ac:dyDescent="0.25">
      <c r="A5490"/>
      <c r="B5490" s="201">
        <v>0</v>
      </c>
      <c r="C5490">
        <v>0</v>
      </c>
      <c r="D5490" s="201">
        <v>0</v>
      </c>
      <c r="E5490" s="201">
        <v>0</v>
      </c>
      <c r="F5490">
        <v>-752</v>
      </c>
      <c r="G5490">
        <v>0</v>
      </c>
      <c r="H5490">
        <v>-583</v>
      </c>
      <c r="I5490">
        <v>-328</v>
      </c>
      <c r="J5490">
        <v>-104</v>
      </c>
      <c r="K5490" s="201">
        <v>0</v>
      </c>
    </row>
    <row r="5491" spans="1:11" x14ac:dyDescent="0.25">
      <c r="A5491"/>
      <c r="B5491" s="201">
        <v>308</v>
      </c>
      <c r="C5491">
        <v>-4762</v>
      </c>
      <c r="D5491" s="201">
        <v>237</v>
      </c>
      <c r="E5491" s="201">
        <v>-111</v>
      </c>
      <c r="F5491">
        <v>272</v>
      </c>
      <c r="G5491">
        <v>-180</v>
      </c>
      <c r="H5491">
        <v>-209</v>
      </c>
      <c r="I5491">
        <v>-644</v>
      </c>
      <c r="J5491">
        <v>0</v>
      </c>
      <c r="K5491" s="201">
        <v>-83</v>
      </c>
    </row>
    <row r="5492" spans="1:11" x14ac:dyDescent="0.25">
      <c r="A5492"/>
      <c r="B5492" s="201">
        <v>0</v>
      </c>
      <c r="C5492">
        <v>0</v>
      </c>
      <c r="D5492" s="201">
        <v>-133</v>
      </c>
      <c r="E5492" s="201">
        <v>-104</v>
      </c>
      <c r="F5492">
        <v>0</v>
      </c>
      <c r="G5492">
        <v>-449</v>
      </c>
      <c r="H5492">
        <v>0</v>
      </c>
      <c r="I5492">
        <v>0</v>
      </c>
      <c r="J5492">
        <v>176</v>
      </c>
      <c r="K5492" s="201">
        <v>0</v>
      </c>
    </row>
    <row r="5493" spans="1:11" x14ac:dyDescent="0.25">
      <c r="A5493"/>
      <c r="B5493" s="201">
        <v>-529</v>
      </c>
      <c r="C5493">
        <v>67</v>
      </c>
      <c r="D5493" s="201">
        <v>-373</v>
      </c>
      <c r="E5493" s="201">
        <v>0</v>
      </c>
      <c r="F5493">
        <v>0</v>
      </c>
      <c r="G5493">
        <v>0</v>
      </c>
      <c r="H5493">
        <v>0</v>
      </c>
      <c r="I5493">
        <v>0</v>
      </c>
      <c r="J5493">
        <v>-696</v>
      </c>
      <c r="K5493" s="201">
        <v>0</v>
      </c>
    </row>
    <row r="5494" spans="1:11" x14ac:dyDescent="0.25">
      <c r="B5494" s="201">
        <v>-612</v>
      </c>
      <c r="C5494">
        <v>-281</v>
      </c>
      <c r="D5494" s="201">
        <v>-109</v>
      </c>
      <c r="E5494" s="201">
        <v>0</v>
      </c>
      <c r="F5494">
        <v>-9</v>
      </c>
      <c r="G5494">
        <v>-7193</v>
      </c>
      <c r="H5494">
        <v>24</v>
      </c>
      <c r="I5494">
        <v>0</v>
      </c>
      <c r="J5494">
        <v>0</v>
      </c>
      <c r="K5494" s="201">
        <v>0</v>
      </c>
    </row>
    <row r="5495" spans="1:11" x14ac:dyDescent="0.25">
      <c r="A5495"/>
      <c r="B5495" s="201">
        <v>0</v>
      </c>
      <c r="C5495">
        <v>-51</v>
      </c>
      <c r="D5495" s="201">
        <v>438</v>
      </c>
      <c r="E5495" s="201">
        <v>-106</v>
      </c>
      <c r="F5495">
        <v>-83</v>
      </c>
      <c r="G5495">
        <v>0</v>
      </c>
      <c r="H5495">
        <v>21</v>
      </c>
      <c r="I5495">
        <v>0</v>
      </c>
      <c r="J5495">
        <v>0</v>
      </c>
      <c r="K5495" s="201">
        <v>5</v>
      </c>
    </row>
    <row r="5496" spans="1:11" x14ac:dyDescent="0.25">
      <c r="A5496"/>
      <c r="B5496" s="201">
        <v>0</v>
      </c>
      <c r="C5496">
        <v>780</v>
      </c>
      <c r="D5496" s="201">
        <v>0</v>
      </c>
      <c r="E5496" s="201">
        <v>589</v>
      </c>
      <c r="F5496">
        <v>0</v>
      </c>
      <c r="G5496">
        <v>0</v>
      </c>
      <c r="H5496">
        <v>0</v>
      </c>
      <c r="I5496">
        <v>0</v>
      </c>
      <c r="J5496">
        <v>0</v>
      </c>
      <c r="K5496" s="201">
        <v>0</v>
      </c>
    </row>
    <row r="5497" spans="1:11" x14ac:dyDescent="0.25">
      <c r="A5497"/>
      <c r="B5497" s="201">
        <v>0</v>
      </c>
      <c r="C5497">
        <v>0</v>
      </c>
      <c r="D5497" s="201">
        <v>-422</v>
      </c>
      <c r="E5497" s="201">
        <v>0</v>
      </c>
      <c r="F5497">
        <v>-376</v>
      </c>
      <c r="G5497">
        <v>-433</v>
      </c>
      <c r="H5497">
        <v>-129</v>
      </c>
      <c r="I5497">
        <v>0</v>
      </c>
      <c r="J5497">
        <v>684</v>
      </c>
      <c r="K5497" s="201">
        <v>2061</v>
      </c>
    </row>
    <row r="5498" spans="1:11" x14ac:dyDescent="0.25">
      <c r="A5498"/>
      <c r="B5498" s="201">
        <v>0</v>
      </c>
      <c r="C5498">
        <v>0</v>
      </c>
      <c r="D5498" s="201">
        <v>0</v>
      </c>
      <c r="E5498" s="201">
        <v>0</v>
      </c>
      <c r="F5498">
        <v>0</v>
      </c>
      <c r="G5498">
        <v>-2872</v>
      </c>
      <c r="H5498">
        <v>-2974</v>
      </c>
      <c r="I5498">
        <v>-829</v>
      </c>
      <c r="J5498">
        <v>-747</v>
      </c>
      <c r="K5498" s="201">
        <v>-1053</v>
      </c>
    </row>
    <row r="5499" spans="1:11" x14ac:dyDescent="0.25">
      <c r="B5499" s="201">
        <v>-2843</v>
      </c>
      <c r="C5499">
        <v>0</v>
      </c>
      <c r="D5499" s="201">
        <v>0</v>
      </c>
      <c r="E5499" s="201">
        <v>0</v>
      </c>
      <c r="F5499">
        <v>0</v>
      </c>
      <c r="G5499">
        <v>-4970</v>
      </c>
      <c r="H5499">
        <v>0</v>
      </c>
      <c r="I5499">
        <v>-2481</v>
      </c>
      <c r="J5499">
        <v>0</v>
      </c>
      <c r="K5499" s="201">
        <v>0</v>
      </c>
    </row>
    <row r="5500" spans="1:11" x14ac:dyDescent="0.25">
      <c r="A5500"/>
      <c r="B5500" s="201">
        <v>-75</v>
      </c>
      <c r="C5500">
        <v>388</v>
      </c>
      <c r="D5500" s="201">
        <v>0</v>
      </c>
      <c r="E5500" s="201">
        <v>0</v>
      </c>
      <c r="F5500">
        <v>0</v>
      </c>
      <c r="G5500">
        <v>0</v>
      </c>
      <c r="H5500">
        <v>-1219</v>
      </c>
      <c r="I5500">
        <v>0</v>
      </c>
      <c r="J5500">
        <v>276</v>
      </c>
      <c r="K5500" s="201">
        <v>-140</v>
      </c>
    </row>
    <row r="5501" spans="1:11" x14ac:dyDescent="0.25">
      <c r="A5501"/>
      <c r="B5501" s="201">
        <v>-658</v>
      </c>
      <c r="C5501">
        <v>-2021</v>
      </c>
      <c r="D5501" s="201">
        <v>-766</v>
      </c>
      <c r="E5501" s="201">
        <v>-630</v>
      </c>
      <c r="F5501">
        <v>-24</v>
      </c>
      <c r="G5501">
        <v>759</v>
      </c>
      <c r="H5501">
        <v>388</v>
      </c>
      <c r="I5501">
        <v>147</v>
      </c>
      <c r="J5501">
        <v>0</v>
      </c>
      <c r="K5501" s="201">
        <v>0</v>
      </c>
    </row>
    <row r="5502" spans="1:11" x14ac:dyDescent="0.25">
      <c r="A5502"/>
      <c r="B5502" s="201">
        <v>0</v>
      </c>
      <c r="C5502">
        <v>0</v>
      </c>
      <c r="D5502" s="201">
        <v>0</v>
      </c>
      <c r="E5502" s="201">
        <v>0</v>
      </c>
      <c r="F5502">
        <v>0</v>
      </c>
      <c r="G5502">
        <v>272</v>
      </c>
      <c r="H5502">
        <v>-2390</v>
      </c>
      <c r="I5502">
        <v>-4083</v>
      </c>
      <c r="J5502">
        <v>-1318</v>
      </c>
      <c r="K5502" s="201">
        <v>-3206</v>
      </c>
    </row>
    <row r="5503" spans="1:11" x14ac:dyDescent="0.25">
      <c r="A5503"/>
      <c r="B5503" s="201">
        <v>2470</v>
      </c>
      <c r="C5503">
        <v>0</v>
      </c>
      <c r="D5503" s="201">
        <v>0</v>
      </c>
      <c r="E5503" s="201">
        <v>-288</v>
      </c>
      <c r="F5503">
        <v>0</v>
      </c>
      <c r="G5503">
        <v>-933</v>
      </c>
      <c r="H5503">
        <v>1574</v>
      </c>
      <c r="I5503">
        <v>0</v>
      </c>
      <c r="J5503">
        <v>0</v>
      </c>
      <c r="K5503" s="201">
        <v>0</v>
      </c>
    </row>
    <row r="5504" spans="1:11" x14ac:dyDescent="0.25">
      <c r="A5504"/>
      <c r="B5504" s="201">
        <v>0</v>
      </c>
      <c r="C5504">
        <v>-305</v>
      </c>
      <c r="D5504" s="201">
        <v>0</v>
      </c>
      <c r="E5504" s="201">
        <v>-222</v>
      </c>
      <c r="F5504">
        <v>834</v>
      </c>
      <c r="G5504">
        <v>0</v>
      </c>
      <c r="H5504">
        <v>0</v>
      </c>
      <c r="I5504">
        <v>0</v>
      </c>
      <c r="J5504">
        <v>0</v>
      </c>
      <c r="K5504" s="201">
        <v>0</v>
      </c>
    </row>
    <row r="5505" spans="1:11" x14ac:dyDescent="0.25">
      <c r="A5505"/>
      <c r="B5505" s="201">
        <v>0</v>
      </c>
      <c r="C5505">
        <v>0</v>
      </c>
      <c r="D5505" s="201">
        <v>0</v>
      </c>
      <c r="E5505" s="201">
        <v>0</v>
      </c>
      <c r="F5505">
        <v>0</v>
      </c>
      <c r="G5505">
        <v>0</v>
      </c>
      <c r="H5505">
        <v>0</v>
      </c>
      <c r="I5505">
        <v>0</v>
      </c>
      <c r="J5505">
        <v>0</v>
      </c>
      <c r="K5505" s="201">
        <v>0</v>
      </c>
    </row>
    <row r="5506" spans="1:11" x14ac:dyDescent="0.25">
      <c r="A5506"/>
      <c r="B5506" s="201">
        <v>202</v>
      </c>
      <c r="C5506">
        <v>0</v>
      </c>
      <c r="D5506" s="201">
        <v>0</v>
      </c>
      <c r="E5506" s="201">
        <v>0</v>
      </c>
      <c r="F5506">
        <v>0</v>
      </c>
      <c r="G5506">
        <v>0</v>
      </c>
      <c r="H5506">
        <v>-4</v>
      </c>
      <c r="I5506">
        <v>3027</v>
      </c>
      <c r="J5506">
        <v>3085</v>
      </c>
      <c r="K5506" s="201">
        <v>30693</v>
      </c>
    </row>
    <row r="5507" spans="1:11" x14ac:dyDescent="0.25">
      <c r="A5507"/>
      <c r="B5507" s="201">
        <v>18795</v>
      </c>
      <c r="C5507" s="201">
        <v>19584</v>
      </c>
      <c r="D5507" s="201">
        <v>18591</v>
      </c>
      <c r="E5507" s="201">
        <v>669</v>
      </c>
      <c r="F5507">
        <v>-49</v>
      </c>
      <c r="G5507">
        <v>-70</v>
      </c>
      <c r="H5507">
        <v>4481</v>
      </c>
      <c r="I5507">
        <v>2799</v>
      </c>
      <c r="J5507">
        <v>23725</v>
      </c>
      <c r="K5507" s="201">
        <v>14825</v>
      </c>
    </row>
    <row r="5508" spans="1:11" x14ac:dyDescent="0.25">
      <c r="B5508" s="201">
        <v>14652</v>
      </c>
      <c r="C5508">
        <v>13499</v>
      </c>
      <c r="D5508" s="201">
        <v>1079</v>
      </c>
      <c r="E5508" s="201">
        <v>0</v>
      </c>
      <c r="F5508">
        <v>23842</v>
      </c>
      <c r="G5508">
        <v>21513</v>
      </c>
      <c r="H5508">
        <v>22514</v>
      </c>
      <c r="I5508">
        <v>20045</v>
      </c>
      <c r="J5508">
        <v>23492</v>
      </c>
      <c r="K5508" s="201">
        <v>17103</v>
      </c>
    </row>
    <row r="5509" spans="1:11" x14ac:dyDescent="0.25">
      <c r="A5509"/>
      <c r="B5509" s="201">
        <v>23422</v>
      </c>
      <c r="C5509">
        <v>19795</v>
      </c>
      <c r="D5509" s="201">
        <v>22030</v>
      </c>
      <c r="E5509" s="201">
        <v>22738</v>
      </c>
      <c r="F5509">
        <v>17525</v>
      </c>
      <c r="G5509">
        <v>17907</v>
      </c>
      <c r="H5509">
        <v>16797</v>
      </c>
      <c r="I5509">
        <v>18704</v>
      </c>
      <c r="J5509">
        <v>19054</v>
      </c>
      <c r="K5509" s="201">
        <v>13544</v>
      </c>
    </row>
    <row r="5510" spans="1:11" x14ac:dyDescent="0.25">
      <c r="A5510"/>
      <c r="B5510" s="201">
        <v>15</v>
      </c>
      <c r="C5510">
        <v>-1884</v>
      </c>
      <c r="D5510" s="201">
        <v>212</v>
      </c>
      <c r="E5510" s="201">
        <v>-101</v>
      </c>
      <c r="F5510">
        <v>132</v>
      </c>
      <c r="G5510">
        <v>0</v>
      </c>
      <c r="H5510">
        <v>0</v>
      </c>
      <c r="I5510">
        <v>-29</v>
      </c>
      <c r="J5510">
        <v>0</v>
      </c>
      <c r="K5510" s="201">
        <v>0</v>
      </c>
    </row>
    <row r="5511" spans="1:11" x14ac:dyDescent="0.25">
      <c r="A5511"/>
      <c r="B5511" s="201">
        <v>0</v>
      </c>
      <c r="C5511">
        <v>-106</v>
      </c>
      <c r="D5511" s="201">
        <v>45</v>
      </c>
      <c r="E5511" s="201">
        <v>0</v>
      </c>
      <c r="F5511">
        <v>0</v>
      </c>
      <c r="G5511">
        <v>0</v>
      </c>
      <c r="H5511">
        <v>0</v>
      </c>
      <c r="I5511">
        <v>0</v>
      </c>
      <c r="J5511">
        <v>0</v>
      </c>
      <c r="K5511" s="201">
        <v>354</v>
      </c>
    </row>
    <row r="5512" spans="1:11" x14ac:dyDescent="0.25">
      <c r="A5512"/>
      <c r="B5512" s="201">
        <v>0</v>
      </c>
      <c r="C5512">
        <v>0</v>
      </c>
      <c r="D5512" s="201">
        <v>30</v>
      </c>
      <c r="E5512" s="201">
        <v>0</v>
      </c>
      <c r="F5512">
        <v>-42</v>
      </c>
      <c r="G5512">
        <v>0</v>
      </c>
      <c r="H5512">
        <v>428</v>
      </c>
      <c r="I5512">
        <v>-441</v>
      </c>
      <c r="J5512">
        <v>-241</v>
      </c>
      <c r="K5512" s="201">
        <v>0</v>
      </c>
    </row>
    <row r="5513" spans="1:11" x14ac:dyDescent="0.25">
      <c r="A5513"/>
      <c r="B5513" s="201">
        <v>-647</v>
      </c>
      <c r="C5513">
        <v>-1829</v>
      </c>
      <c r="D5513" s="201">
        <v>354</v>
      </c>
      <c r="E5513" s="201">
        <v>144</v>
      </c>
      <c r="F5513">
        <v>182</v>
      </c>
      <c r="G5513">
        <v>54</v>
      </c>
      <c r="H5513">
        <v>0</v>
      </c>
      <c r="I5513">
        <v>17</v>
      </c>
      <c r="J5513">
        <v>0</v>
      </c>
      <c r="K5513" s="201">
        <v>0</v>
      </c>
    </row>
    <row r="5514" spans="1:11" x14ac:dyDescent="0.25">
      <c r="A5514"/>
      <c r="B5514" s="201">
        <v>0</v>
      </c>
      <c r="C5514">
        <v>0</v>
      </c>
      <c r="D5514" s="201">
        <v>0</v>
      </c>
      <c r="E5514" s="201">
        <v>-13</v>
      </c>
      <c r="F5514">
        <v>0</v>
      </c>
      <c r="G5514">
        <v>0</v>
      </c>
      <c r="H5514">
        <v>0</v>
      </c>
      <c r="I5514">
        <v>-381</v>
      </c>
      <c r="J5514">
        <v>0</v>
      </c>
      <c r="K5514" s="201">
        <v>42</v>
      </c>
    </row>
    <row r="5515" spans="1:11" x14ac:dyDescent="0.25">
      <c r="A5515"/>
      <c r="B5515" s="201">
        <v>0</v>
      </c>
      <c r="C5515">
        <v>0</v>
      </c>
      <c r="D5515" s="201">
        <v>0</v>
      </c>
      <c r="E5515" s="201">
        <v>0</v>
      </c>
      <c r="F5515">
        <v>0</v>
      </c>
      <c r="G5515">
        <v>97</v>
      </c>
      <c r="H5515">
        <v>0</v>
      </c>
      <c r="I5515">
        <v>169</v>
      </c>
      <c r="J5515">
        <v>27</v>
      </c>
      <c r="K5515" s="201">
        <v>0</v>
      </c>
    </row>
    <row r="5516" spans="1:11" x14ac:dyDescent="0.25">
      <c r="A5516"/>
      <c r="B5516" s="201">
        <v>0</v>
      </c>
      <c r="C5516">
        <v>1021</v>
      </c>
      <c r="D5516" s="201">
        <v>-7200</v>
      </c>
      <c r="E5516" s="201">
        <v>0</v>
      </c>
      <c r="F5516">
        <v>1343</v>
      </c>
      <c r="G5516">
        <v>0</v>
      </c>
      <c r="H5516">
        <v>0</v>
      </c>
      <c r="I5516">
        <v>0</v>
      </c>
      <c r="J5516">
        <v>0</v>
      </c>
      <c r="K5516" s="201">
        <v>-207</v>
      </c>
    </row>
    <row r="5517" spans="1:11" x14ac:dyDescent="0.25">
      <c r="A5517"/>
      <c r="B5517" s="201">
        <v>-14</v>
      </c>
      <c r="C5517">
        <v>33</v>
      </c>
      <c r="D5517" s="201">
        <v>0</v>
      </c>
      <c r="E5517" s="201">
        <v>0</v>
      </c>
      <c r="F5517">
        <v>-20</v>
      </c>
      <c r="G5517">
        <v>-180</v>
      </c>
      <c r="H5517">
        <v>0</v>
      </c>
      <c r="I5517">
        <v>-516</v>
      </c>
      <c r="J5517">
        <v>147</v>
      </c>
      <c r="K5517" s="201">
        <v>32</v>
      </c>
    </row>
    <row r="5518" spans="1:11" x14ac:dyDescent="0.25">
      <c r="A5518"/>
      <c r="B5518" s="201">
        <v>-110</v>
      </c>
      <c r="C5518">
        <v>-49</v>
      </c>
      <c r="D5518" s="201">
        <v>115</v>
      </c>
      <c r="E5518" s="201">
        <v>365</v>
      </c>
      <c r="F5518">
        <v>0</v>
      </c>
      <c r="G5518">
        <v>0</v>
      </c>
      <c r="H5518">
        <v>0</v>
      </c>
      <c r="I5518">
        <v>0</v>
      </c>
      <c r="J5518">
        <v>0</v>
      </c>
      <c r="K5518" s="201">
        <v>154</v>
      </c>
    </row>
    <row r="5519" spans="1:11" x14ac:dyDescent="0.25">
      <c r="A5519"/>
      <c r="B5519" s="201">
        <v>0</v>
      </c>
      <c r="C5519">
        <v>101</v>
      </c>
      <c r="D5519" s="201">
        <v>-1187</v>
      </c>
      <c r="E5519" s="201">
        <v>-358</v>
      </c>
      <c r="F5519">
        <v>0</v>
      </c>
      <c r="G5519">
        <v>1506</v>
      </c>
      <c r="H5519">
        <v>-12177</v>
      </c>
      <c r="I5519">
        <v>-2723</v>
      </c>
      <c r="J5519">
        <v>-4064</v>
      </c>
      <c r="K5519" s="201">
        <v>-2415</v>
      </c>
    </row>
    <row r="5520" spans="1:11" x14ac:dyDescent="0.25">
      <c r="A5520"/>
      <c r="B5520" s="201">
        <v>0</v>
      </c>
      <c r="C5520">
        <v>-2261</v>
      </c>
      <c r="D5520" s="201">
        <v>-2049</v>
      </c>
      <c r="E5520" s="201">
        <v>-1952</v>
      </c>
      <c r="F5520">
        <v>647</v>
      </c>
      <c r="G5520">
        <v>0</v>
      </c>
      <c r="H5520">
        <v>-1330</v>
      </c>
      <c r="I5520">
        <v>-1688</v>
      </c>
      <c r="J5520">
        <v>0</v>
      </c>
      <c r="K5520" s="201">
        <v>0</v>
      </c>
    </row>
    <row r="5521" spans="1:11" x14ac:dyDescent="0.25">
      <c r="A5521"/>
      <c r="B5521" s="201">
        <v>0</v>
      </c>
      <c r="C5521">
        <v>1782</v>
      </c>
      <c r="D5521" s="201">
        <v>-796</v>
      </c>
      <c r="E5521" s="201">
        <v>0</v>
      </c>
      <c r="F5521">
        <v>-594</v>
      </c>
      <c r="G5521">
        <v>-2252</v>
      </c>
      <c r="H5521">
        <v>6</v>
      </c>
      <c r="I5521">
        <v>1424</v>
      </c>
      <c r="J5521">
        <v>0</v>
      </c>
      <c r="K5521" s="201">
        <v>0</v>
      </c>
    </row>
    <row r="5522" spans="1:11" x14ac:dyDescent="0.25">
      <c r="A5522"/>
      <c r="B5522" s="201">
        <v>0</v>
      </c>
      <c r="C5522">
        <v>0</v>
      </c>
      <c r="D5522" s="201">
        <v>0</v>
      </c>
      <c r="E5522" s="201">
        <v>-47</v>
      </c>
      <c r="F5522">
        <v>0</v>
      </c>
      <c r="G5522">
        <v>-2118</v>
      </c>
      <c r="H5522">
        <v>2001</v>
      </c>
      <c r="I5522">
        <v>695</v>
      </c>
      <c r="J5522">
        <v>0</v>
      </c>
      <c r="K5522" s="201">
        <v>679</v>
      </c>
    </row>
    <row r="5523" spans="1:11" x14ac:dyDescent="0.25">
      <c r="A5523"/>
      <c r="B5523" s="201">
        <v>-6040</v>
      </c>
      <c r="C5523">
        <v>679</v>
      </c>
      <c r="D5523" s="201">
        <v>1428</v>
      </c>
      <c r="E5523" s="201">
        <v>852</v>
      </c>
      <c r="F5523">
        <v>-19</v>
      </c>
      <c r="G5523">
        <v>-175</v>
      </c>
      <c r="H5523">
        <v>-414</v>
      </c>
      <c r="I5523">
        <v>0</v>
      </c>
      <c r="J5523">
        <v>-217</v>
      </c>
      <c r="K5523" s="201">
        <v>0</v>
      </c>
    </row>
    <row r="5524" spans="1:11" x14ac:dyDescent="0.25">
      <c r="A5524"/>
      <c r="B5524" s="201">
        <v>0</v>
      </c>
      <c r="C5524">
        <v>-888</v>
      </c>
      <c r="D5524" s="201">
        <v>-65</v>
      </c>
      <c r="E5524" s="201">
        <v>0</v>
      </c>
      <c r="F5524">
        <v>161</v>
      </c>
      <c r="G5524">
        <v>0</v>
      </c>
      <c r="H5524">
        <v>0</v>
      </c>
      <c r="I5524">
        <v>-33</v>
      </c>
      <c r="J5524">
        <v>0</v>
      </c>
      <c r="K5524" s="201">
        <v>-143</v>
      </c>
    </row>
    <row r="5525" spans="1:11" x14ac:dyDescent="0.25">
      <c r="B5525" s="201">
        <v>-129</v>
      </c>
      <c r="C5525">
        <v>-365</v>
      </c>
      <c r="D5525" s="201">
        <v>0</v>
      </c>
      <c r="E5525" s="201">
        <v>0</v>
      </c>
      <c r="F5525">
        <v>0</v>
      </c>
      <c r="G5525">
        <v>0</v>
      </c>
      <c r="H5525">
        <v>0</v>
      </c>
      <c r="I5525">
        <v>87</v>
      </c>
      <c r="J5525">
        <v>0</v>
      </c>
      <c r="K5525" s="201">
        <v>-633</v>
      </c>
    </row>
    <row r="5526" spans="1:11" x14ac:dyDescent="0.25">
      <c r="B5526" s="201">
        <v>-1577</v>
      </c>
      <c r="C5526">
        <v>-125</v>
      </c>
      <c r="D5526" s="201">
        <v>0</v>
      </c>
      <c r="E5526" s="201">
        <v>1488</v>
      </c>
      <c r="F5526">
        <v>-10139</v>
      </c>
      <c r="G5526">
        <v>53</v>
      </c>
      <c r="H5526">
        <v>0</v>
      </c>
      <c r="I5526">
        <v>0</v>
      </c>
      <c r="J5526">
        <v>0</v>
      </c>
      <c r="K5526" s="201">
        <v>-337</v>
      </c>
    </row>
    <row r="5527" spans="1:11" x14ac:dyDescent="0.25">
      <c r="B5527" s="201">
        <v>-448</v>
      </c>
      <c r="C5527">
        <v>-22</v>
      </c>
      <c r="D5527" s="201">
        <v>14</v>
      </c>
      <c r="E5527" s="201">
        <v>125</v>
      </c>
      <c r="F5527">
        <v>0</v>
      </c>
      <c r="G5527">
        <v>-302</v>
      </c>
      <c r="H5527">
        <v>0</v>
      </c>
      <c r="I5527">
        <v>0</v>
      </c>
      <c r="J5527">
        <v>254</v>
      </c>
      <c r="K5527" s="201">
        <v>0</v>
      </c>
    </row>
    <row r="5528" spans="1:11" x14ac:dyDescent="0.25">
      <c r="A5528"/>
      <c r="B5528" s="201">
        <v>-133</v>
      </c>
      <c r="C5528">
        <v>0</v>
      </c>
      <c r="D5528" s="201">
        <v>-251</v>
      </c>
      <c r="E5528" s="201">
        <v>0</v>
      </c>
      <c r="F5528">
        <v>0</v>
      </c>
      <c r="G5528">
        <v>0</v>
      </c>
      <c r="H5528">
        <v>0</v>
      </c>
      <c r="I5528">
        <v>0</v>
      </c>
      <c r="J5528">
        <v>0</v>
      </c>
      <c r="K5528" s="201">
        <v>0</v>
      </c>
    </row>
    <row r="5529" spans="1:11" x14ac:dyDescent="0.25">
      <c r="A5529"/>
      <c r="B5529" s="201">
        <v>0</v>
      </c>
      <c r="C5529">
        <v>-122</v>
      </c>
      <c r="D5529" s="201">
        <v>0</v>
      </c>
      <c r="E5529" s="201">
        <v>-427</v>
      </c>
      <c r="F5529">
        <v>-971</v>
      </c>
      <c r="G5529">
        <v>-86</v>
      </c>
      <c r="H5529">
        <v>0</v>
      </c>
      <c r="I5529">
        <v>-2563</v>
      </c>
      <c r="J5529">
        <v>1944</v>
      </c>
      <c r="K5529" s="201">
        <v>0</v>
      </c>
    </row>
    <row r="5530" spans="1:11" x14ac:dyDescent="0.25">
      <c r="A5530"/>
      <c r="B5530" s="201">
        <v>0</v>
      </c>
      <c r="C5530">
        <v>0</v>
      </c>
      <c r="D5530" s="201">
        <v>0</v>
      </c>
      <c r="E5530" s="201">
        <v>0</v>
      </c>
      <c r="F5530">
        <v>-2402</v>
      </c>
      <c r="G5530">
        <v>998</v>
      </c>
      <c r="H5530">
        <v>-3187</v>
      </c>
      <c r="I5530">
        <v>-3051</v>
      </c>
      <c r="J5530">
        <v>-2645</v>
      </c>
      <c r="K5530" s="201">
        <v>-8246</v>
      </c>
    </row>
    <row r="5531" spans="1:11" x14ac:dyDescent="0.25">
      <c r="A5531"/>
      <c r="B5531" s="201">
        <v>0</v>
      </c>
      <c r="C5531">
        <v>0</v>
      </c>
      <c r="D5531" s="201">
        <v>0</v>
      </c>
      <c r="E5531" s="201">
        <v>0</v>
      </c>
      <c r="F5531">
        <v>1564</v>
      </c>
      <c r="G5531">
        <v>0</v>
      </c>
      <c r="H5531">
        <v>1923</v>
      </c>
      <c r="I5531">
        <v>0</v>
      </c>
      <c r="J5531">
        <v>0</v>
      </c>
      <c r="K5531" s="201">
        <v>-2840</v>
      </c>
    </row>
    <row r="5532" spans="1:11" x14ac:dyDescent="0.25">
      <c r="A5532"/>
      <c r="B5532" s="201">
        <v>497</v>
      </c>
      <c r="C5532">
        <v>0</v>
      </c>
      <c r="D5532" s="201">
        <v>0</v>
      </c>
      <c r="E5532" s="201">
        <v>0</v>
      </c>
      <c r="F5532">
        <v>0</v>
      </c>
      <c r="G5532">
        <v>1191</v>
      </c>
      <c r="H5532">
        <v>0</v>
      </c>
      <c r="I5532">
        <v>2156</v>
      </c>
      <c r="J5532">
        <v>3090</v>
      </c>
      <c r="K5532" s="201">
        <v>-1212</v>
      </c>
    </row>
    <row r="5533" spans="1:11" x14ac:dyDescent="0.25">
      <c r="A5533"/>
      <c r="B5533" s="201">
        <v>-3153</v>
      </c>
      <c r="C5533">
        <v>-1301</v>
      </c>
      <c r="D5533" s="201">
        <v>-1917</v>
      </c>
      <c r="E5533" s="201">
        <v>-1978</v>
      </c>
      <c r="F5533">
        <v>-21</v>
      </c>
      <c r="G5533">
        <v>366</v>
      </c>
      <c r="H5533">
        <v>436</v>
      </c>
      <c r="I5533">
        <v>0</v>
      </c>
      <c r="J5533">
        <v>0</v>
      </c>
      <c r="K5533" s="201">
        <v>0</v>
      </c>
    </row>
    <row r="5534" spans="1:11" x14ac:dyDescent="0.25">
      <c r="A5534"/>
      <c r="B5534" s="201">
        <v>0</v>
      </c>
      <c r="C5534">
        <v>0</v>
      </c>
      <c r="D5534" s="201">
        <v>0</v>
      </c>
      <c r="E5534" s="201">
        <v>0</v>
      </c>
      <c r="F5534">
        <v>-377</v>
      </c>
      <c r="G5534">
        <v>694</v>
      </c>
      <c r="H5534">
        <v>-146</v>
      </c>
      <c r="I5534">
        <v>84</v>
      </c>
      <c r="J5534">
        <v>186</v>
      </c>
      <c r="K5534" s="201">
        <v>2221</v>
      </c>
    </row>
    <row r="5535" spans="1:11" x14ac:dyDescent="0.25">
      <c r="A5535"/>
      <c r="B5535" s="201">
        <v>0</v>
      </c>
      <c r="C5535" s="201">
        <v>0</v>
      </c>
      <c r="D5535" s="201">
        <v>-1214</v>
      </c>
      <c r="E5535" s="201">
        <v>0</v>
      </c>
      <c r="F5535">
        <v>199</v>
      </c>
      <c r="G5535">
        <v>-2111</v>
      </c>
      <c r="H5535">
        <v>0</v>
      </c>
      <c r="I5535">
        <v>0</v>
      </c>
      <c r="J5535">
        <v>0</v>
      </c>
      <c r="K5535" s="201">
        <v>0</v>
      </c>
    </row>
    <row r="5536" spans="1:11" x14ac:dyDescent="0.25">
      <c r="A5536"/>
      <c r="B5536" s="201">
        <v>710</v>
      </c>
      <c r="C5536">
        <v>0</v>
      </c>
      <c r="D5536" s="201">
        <v>752</v>
      </c>
      <c r="E5536" s="201">
        <v>1515</v>
      </c>
      <c r="F5536">
        <v>0</v>
      </c>
      <c r="G5536">
        <v>0</v>
      </c>
      <c r="H5536">
        <v>0</v>
      </c>
      <c r="I5536">
        <v>0</v>
      </c>
      <c r="J5536">
        <v>0</v>
      </c>
      <c r="K5536" s="201">
        <v>0</v>
      </c>
    </row>
    <row r="5537" spans="1:11" x14ac:dyDescent="0.25">
      <c r="A5537"/>
      <c r="B5537" s="201">
        <v>0</v>
      </c>
      <c r="C5537">
        <v>0</v>
      </c>
      <c r="D5537" s="201">
        <v>0</v>
      </c>
      <c r="E5537" s="201">
        <v>0</v>
      </c>
      <c r="F5537">
        <v>0</v>
      </c>
      <c r="G5537">
        <v>0</v>
      </c>
      <c r="H5537">
        <v>0</v>
      </c>
      <c r="I5537">
        <v>0</v>
      </c>
      <c r="J5537">
        <v>0</v>
      </c>
      <c r="K5537" s="201">
        <v>556</v>
      </c>
    </row>
    <row r="5538" spans="1:11" x14ac:dyDescent="0.25">
      <c r="A5538"/>
      <c r="B5538" s="201">
        <v>0</v>
      </c>
      <c r="C5538">
        <v>0</v>
      </c>
      <c r="D5538" s="201">
        <v>0</v>
      </c>
      <c r="E5538" s="201">
        <v>0</v>
      </c>
      <c r="F5538">
        <v>0</v>
      </c>
      <c r="G5538">
        <v>24</v>
      </c>
      <c r="H5538">
        <v>4016</v>
      </c>
      <c r="I5538">
        <v>4241</v>
      </c>
      <c r="J5538">
        <v>23229</v>
      </c>
      <c r="K5538" s="201">
        <v>44741</v>
      </c>
    </row>
    <row r="5539" spans="1:11" x14ac:dyDescent="0.25">
      <c r="A5539"/>
      <c r="B5539" s="201">
        <v>25893</v>
      </c>
      <c r="C5539">
        <v>26513</v>
      </c>
      <c r="D5539" s="201">
        <v>706</v>
      </c>
      <c r="E5539" s="201">
        <v>38</v>
      </c>
      <c r="F5539">
        <v>-364</v>
      </c>
      <c r="G5539">
        <v>6045</v>
      </c>
      <c r="H5539">
        <v>3894</v>
      </c>
      <c r="I5539">
        <v>19160</v>
      </c>
      <c r="J5539">
        <v>33453</v>
      </c>
      <c r="K5539" s="201">
        <v>19297</v>
      </c>
    </row>
    <row r="5540" spans="1:11" x14ac:dyDescent="0.25">
      <c r="A5540"/>
      <c r="B5540" s="201">
        <v>19053</v>
      </c>
      <c r="C5540">
        <v>1473</v>
      </c>
      <c r="D5540" s="201">
        <v>0</v>
      </c>
      <c r="E5540" s="201">
        <v>24608</v>
      </c>
      <c r="F5540">
        <v>39853</v>
      </c>
      <c r="G5540">
        <v>30261</v>
      </c>
      <c r="H5540">
        <v>27644</v>
      </c>
      <c r="I5540">
        <v>21932</v>
      </c>
      <c r="J5540">
        <v>33130</v>
      </c>
      <c r="K5540" s="201">
        <v>32037</v>
      </c>
    </row>
    <row r="5541" spans="1:11" x14ac:dyDescent="0.25">
      <c r="B5541" s="201">
        <v>29206</v>
      </c>
      <c r="C5541">
        <v>21649</v>
      </c>
      <c r="D5541" s="201">
        <v>45813</v>
      </c>
      <c r="E5541" s="201">
        <v>24179</v>
      </c>
      <c r="F5541">
        <v>26325</v>
      </c>
      <c r="G5541">
        <v>17139</v>
      </c>
      <c r="H5541">
        <v>36109</v>
      </c>
      <c r="I5541">
        <v>26335</v>
      </c>
      <c r="J5541">
        <v>19393</v>
      </c>
      <c r="K5541" s="201">
        <v>21638</v>
      </c>
    </row>
    <row r="5542" spans="1:11" x14ac:dyDescent="0.25">
      <c r="A5542"/>
      <c r="B5542" s="201">
        <v>-66</v>
      </c>
      <c r="C5542">
        <v>-1990</v>
      </c>
      <c r="D5542" s="201">
        <v>103</v>
      </c>
      <c r="E5542" s="201">
        <v>-139</v>
      </c>
      <c r="F5542">
        <v>4</v>
      </c>
      <c r="G5542">
        <v>0</v>
      </c>
      <c r="H5542">
        <v>0</v>
      </c>
      <c r="I5542">
        <v>-10</v>
      </c>
      <c r="J5542">
        <v>0</v>
      </c>
      <c r="K5542" s="201">
        <v>0</v>
      </c>
    </row>
    <row r="5543" spans="1:11" x14ac:dyDescent="0.25">
      <c r="A5543"/>
      <c r="B5543" s="201">
        <v>0</v>
      </c>
      <c r="C5543">
        <v>36</v>
      </c>
      <c r="D5543" s="201">
        <v>39</v>
      </c>
      <c r="E5543" s="201">
        <v>0</v>
      </c>
      <c r="F5543">
        <v>0</v>
      </c>
      <c r="G5543">
        <v>0</v>
      </c>
      <c r="H5543">
        <v>0</v>
      </c>
      <c r="I5543">
        <v>0</v>
      </c>
      <c r="J5543">
        <v>0</v>
      </c>
      <c r="K5543" s="201">
        <v>309</v>
      </c>
    </row>
    <row r="5544" spans="1:11" x14ac:dyDescent="0.25">
      <c r="A5544"/>
      <c r="B5544" s="201">
        <v>0</v>
      </c>
      <c r="C5544">
        <v>0</v>
      </c>
      <c r="D5544" s="201">
        <v>66</v>
      </c>
      <c r="E5544" s="201">
        <v>0</v>
      </c>
      <c r="F5544">
        <v>-70</v>
      </c>
      <c r="G5544">
        <v>0</v>
      </c>
      <c r="H5544">
        <v>404</v>
      </c>
      <c r="I5544">
        <v>-407</v>
      </c>
      <c r="J5544">
        <v>-233</v>
      </c>
      <c r="K5544" s="201">
        <v>0</v>
      </c>
    </row>
    <row r="5545" spans="1:11" x14ac:dyDescent="0.25">
      <c r="B5545" s="201">
        <v>-630</v>
      </c>
      <c r="C5545">
        <v>-1921</v>
      </c>
      <c r="D5545" s="201">
        <v>258</v>
      </c>
      <c r="E5545" s="201">
        <v>-86</v>
      </c>
      <c r="F5545">
        <v>20</v>
      </c>
      <c r="G5545">
        <v>190</v>
      </c>
      <c r="H5545">
        <v>0</v>
      </c>
      <c r="I5545">
        <v>14</v>
      </c>
      <c r="J5545">
        <v>0</v>
      </c>
      <c r="K5545" s="201">
        <v>0</v>
      </c>
    </row>
    <row r="5546" spans="1:11" x14ac:dyDescent="0.25">
      <c r="A5546"/>
      <c r="B5546" s="201">
        <v>0</v>
      </c>
      <c r="C5546">
        <v>0</v>
      </c>
      <c r="D5546" s="201">
        <v>0</v>
      </c>
      <c r="E5546" s="201">
        <v>-67</v>
      </c>
      <c r="F5546">
        <v>0</v>
      </c>
      <c r="G5546">
        <v>0</v>
      </c>
      <c r="H5546">
        <v>0</v>
      </c>
      <c r="I5546">
        <v>-275</v>
      </c>
      <c r="J5546">
        <v>0</v>
      </c>
      <c r="K5546" s="201">
        <v>40</v>
      </c>
    </row>
    <row r="5547" spans="1:11" x14ac:dyDescent="0.25">
      <c r="A5547"/>
      <c r="B5547" s="201">
        <v>0</v>
      </c>
      <c r="C5547">
        <v>0</v>
      </c>
      <c r="D5547" s="201">
        <v>0</v>
      </c>
      <c r="E5547" s="201">
        <v>0</v>
      </c>
      <c r="F5547">
        <v>0</v>
      </c>
      <c r="G5547">
        <v>139</v>
      </c>
      <c r="H5547">
        <v>0</v>
      </c>
      <c r="I5547">
        <v>190</v>
      </c>
      <c r="J5547">
        <v>96</v>
      </c>
      <c r="K5547" s="201">
        <v>0</v>
      </c>
    </row>
    <row r="5548" spans="1:11" x14ac:dyDescent="0.25">
      <c r="A5548"/>
      <c r="B5548" s="201">
        <v>0</v>
      </c>
      <c r="C5548">
        <v>998</v>
      </c>
      <c r="D5548" s="201">
        <v>-7582</v>
      </c>
      <c r="E5548" s="201">
        <v>0</v>
      </c>
      <c r="F5548">
        <v>613</v>
      </c>
      <c r="G5548">
        <v>0</v>
      </c>
      <c r="H5548">
        <v>0</v>
      </c>
      <c r="I5548">
        <v>0</v>
      </c>
      <c r="J5548">
        <v>0</v>
      </c>
      <c r="K5548" s="201">
        <v>-8</v>
      </c>
    </row>
    <row r="5549" spans="1:11" x14ac:dyDescent="0.25">
      <c r="A5549"/>
      <c r="B5549" s="201">
        <v>32</v>
      </c>
      <c r="C5549">
        <v>54</v>
      </c>
      <c r="D5549" s="201">
        <v>0</v>
      </c>
      <c r="E5549" s="201">
        <v>0</v>
      </c>
      <c r="F5549">
        <v>12</v>
      </c>
      <c r="G5549">
        <v>-129</v>
      </c>
      <c r="H5549">
        <v>0</v>
      </c>
      <c r="I5549">
        <v>-14</v>
      </c>
      <c r="J5549">
        <v>359</v>
      </c>
      <c r="K5549" s="201">
        <v>-155</v>
      </c>
    </row>
    <row r="5550" spans="1:11" x14ac:dyDescent="0.25">
      <c r="A5550"/>
      <c r="B5550" s="201">
        <v>216</v>
      </c>
      <c r="C5550">
        <v>-36</v>
      </c>
      <c r="D5550" s="201">
        <v>157</v>
      </c>
      <c r="E5550" s="201">
        <v>489</v>
      </c>
      <c r="F5550">
        <v>0</v>
      </c>
      <c r="G5550">
        <v>0</v>
      </c>
      <c r="H5550">
        <v>0</v>
      </c>
      <c r="I5550">
        <v>0</v>
      </c>
      <c r="J5550">
        <v>0</v>
      </c>
      <c r="K5550" s="201">
        <v>44</v>
      </c>
    </row>
    <row r="5551" spans="1:11" x14ac:dyDescent="0.25">
      <c r="A5551"/>
      <c r="B5551" s="201">
        <v>0</v>
      </c>
      <c r="C5551">
        <v>119</v>
      </c>
      <c r="D5551" s="201">
        <v>-994</v>
      </c>
      <c r="E5551" s="201">
        <v>-344</v>
      </c>
      <c r="F5551">
        <v>0</v>
      </c>
      <c r="G5551">
        <v>688</v>
      </c>
      <c r="H5551">
        <v>-6375</v>
      </c>
      <c r="I5551">
        <v>602</v>
      </c>
      <c r="J5551">
        <v>888</v>
      </c>
      <c r="K5551" s="201">
        <v>1129</v>
      </c>
    </row>
    <row r="5552" spans="1:11" x14ac:dyDescent="0.25">
      <c r="A5552"/>
      <c r="B5552" s="201">
        <v>0</v>
      </c>
      <c r="C5552">
        <v>-511</v>
      </c>
      <c r="D5552" s="201">
        <v>-654</v>
      </c>
      <c r="E5552" s="201">
        <v>229</v>
      </c>
      <c r="F5552">
        <v>-227</v>
      </c>
      <c r="G5552">
        <v>0</v>
      </c>
      <c r="H5552">
        <v>406</v>
      </c>
      <c r="I5552">
        <v>-993</v>
      </c>
      <c r="J5552">
        <v>0</v>
      </c>
      <c r="K5552" s="201">
        <v>0</v>
      </c>
    </row>
    <row r="5553" spans="1:11" x14ac:dyDescent="0.25">
      <c r="A5553"/>
      <c r="B5553" s="201">
        <v>0</v>
      </c>
      <c r="C5553">
        <v>43</v>
      </c>
      <c r="D5553" s="201">
        <v>141</v>
      </c>
      <c r="E5553" s="201">
        <v>0</v>
      </c>
      <c r="F5553">
        <v>5</v>
      </c>
      <c r="G5553">
        <v>-114</v>
      </c>
      <c r="H5553">
        <v>-124</v>
      </c>
      <c r="I5553">
        <v>-491</v>
      </c>
      <c r="J5553">
        <v>0</v>
      </c>
      <c r="K5553" s="201">
        <v>0</v>
      </c>
    </row>
    <row r="5554" spans="1:11" x14ac:dyDescent="0.25">
      <c r="A5554"/>
      <c r="B5554" s="201">
        <v>0</v>
      </c>
      <c r="C5554">
        <v>0</v>
      </c>
      <c r="D5554" s="201">
        <v>0</v>
      </c>
      <c r="E5554" s="201">
        <v>-90</v>
      </c>
      <c r="F5554">
        <v>0</v>
      </c>
      <c r="G5554">
        <v>-576</v>
      </c>
      <c r="H5554">
        <v>-1388</v>
      </c>
      <c r="I5554">
        <v>-208</v>
      </c>
      <c r="J5554">
        <v>0</v>
      </c>
      <c r="K5554" s="201">
        <v>721</v>
      </c>
    </row>
    <row r="5555" spans="1:11" x14ac:dyDescent="0.25">
      <c r="A5555"/>
      <c r="B5555" s="201">
        <v>-13110</v>
      </c>
      <c r="C5555">
        <v>-2829</v>
      </c>
      <c r="D5555" s="201">
        <v>-3701</v>
      </c>
      <c r="E5555" s="201">
        <v>-2233</v>
      </c>
      <c r="F5555">
        <v>-1397</v>
      </c>
      <c r="G5555">
        <v>-2231</v>
      </c>
      <c r="H5555">
        <v>-2008</v>
      </c>
      <c r="I5555">
        <v>0</v>
      </c>
      <c r="J5555">
        <v>976</v>
      </c>
      <c r="K5555" s="201">
        <v>0</v>
      </c>
    </row>
    <row r="5556" spans="1:11" x14ac:dyDescent="0.25">
      <c r="A5556"/>
      <c r="B5556" s="201">
        <v>0</v>
      </c>
      <c r="C5556">
        <v>-1772</v>
      </c>
      <c r="D5556" s="201">
        <v>56</v>
      </c>
      <c r="E5556" s="201">
        <v>0</v>
      </c>
      <c r="F5556">
        <v>1256</v>
      </c>
      <c r="G5556">
        <v>0</v>
      </c>
      <c r="H5556">
        <v>0</v>
      </c>
      <c r="I5556">
        <v>347</v>
      </c>
      <c r="J5556">
        <v>0</v>
      </c>
      <c r="K5556" s="201">
        <v>-1038</v>
      </c>
    </row>
    <row r="5557" spans="1:11" x14ac:dyDescent="0.25">
      <c r="A5557"/>
      <c r="B5557" s="201">
        <v>855</v>
      </c>
      <c r="C5557">
        <v>1976</v>
      </c>
      <c r="D5557" s="201">
        <v>0</v>
      </c>
      <c r="E5557" s="201">
        <v>0</v>
      </c>
      <c r="F5557">
        <v>0</v>
      </c>
      <c r="G5557">
        <v>0</v>
      </c>
      <c r="H5557">
        <v>0</v>
      </c>
      <c r="I5557">
        <v>676</v>
      </c>
      <c r="J5557">
        <v>0</v>
      </c>
      <c r="K5557" s="201">
        <v>-933</v>
      </c>
    </row>
    <row r="5558" spans="1:11" x14ac:dyDescent="0.25">
      <c r="B5558" s="201">
        <v>1928</v>
      </c>
      <c r="C5558">
        <v>303</v>
      </c>
      <c r="D5558" s="201">
        <v>0</v>
      </c>
      <c r="E5558" s="201">
        <v>1273</v>
      </c>
      <c r="F5558">
        <v>-10292</v>
      </c>
      <c r="G5558">
        <v>-79</v>
      </c>
      <c r="H5558">
        <v>0</v>
      </c>
      <c r="I5558">
        <v>0</v>
      </c>
      <c r="J5558">
        <v>0</v>
      </c>
      <c r="K5558" s="201">
        <v>-583</v>
      </c>
    </row>
    <row r="5559" spans="1:11" x14ac:dyDescent="0.25">
      <c r="A5559"/>
      <c r="B5559" s="201">
        <v>-602</v>
      </c>
      <c r="C5559">
        <v>76</v>
      </c>
      <c r="D5559" s="201">
        <v>-1</v>
      </c>
      <c r="E5559" s="201">
        <v>103</v>
      </c>
      <c r="F5559">
        <v>0</v>
      </c>
      <c r="G5559">
        <v>-262</v>
      </c>
      <c r="H5559">
        <v>0</v>
      </c>
      <c r="I5559">
        <v>0</v>
      </c>
      <c r="J5559">
        <v>348</v>
      </c>
      <c r="K5559" s="201">
        <v>0</v>
      </c>
    </row>
    <row r="5560" spans="1:11" x14ac:dyDescent="0.25">
      <c r="A5560"/>
      <c r="B5560" s="201">
        <v>135</v>
      </c>
      <c r="C5560">
        <v>0</v>
      </c>
      <c r="D5560" s="201">
        <v>15</v>
      </c>
      <c r="E5560" s="201">
        <v>0</v>
      </c>
      <c r="F5560">
        <v>0</v>
      </c>
      <c r="G5560">
        <v>0</v>
      </c>
      <c r="H5560">
        <v>0</v>
      </c>
      <c r="I5560">
        <v>0</v>
      </c>
      <c r="J5560">
        <v>0</v>
      </c>
      <c r="K5560" s="201">
        <v>0</v>
      </c>
    </row>
    <row r="5561" spans="1:11" x14ac:dyDescent="0.25">
      <c r="A5561"/>
      <c r="B5561" s="201">
        <v>0</v>
      </c>
      <c r="C5561">
        <v>-61</v>
      </c>
      <c r="D5561" s="201">
        <v>0</v>
      </c>
      <c r="E5561" s="201">
        <v>-462</v>
      </c>
      <c r="F5561">
        <v>-841</v>
      </c>
      <c r="G5561">
        <v>-68</v>
      </c>
      <c r="H5561">
        <v>0</v>
      </c>
      <c r="I5561">
        <v>-1009</v>
      </c>
      <c r="J5561">
        <v>2151</v>
      </c>
      <c r="K5561" s="201">
        <v>0</v>
      </c>
    </row>
    <row r="5562" spans="1:11" x14ac:dyDescent="0.25">
      <c r="A5562"/>
      <c r="B5562" s="201">
        <v>0</v>
      </c>
      <c r="C5562">
        <v>0</v>
      </c>
      <c r="D5562" s="201">
        <v>0</v>
      </c>
      <c r="E5562" s="201">
        <v>0</v>
      </c>
      <c r="F5562">
        <v>-2988</v>
      </c>
      <c r="G5562">
        <v>-1133</v>
      </c>
      <c r="H5562">
        <v>-2998</v>
      </c>
      <c r="I5562">
        <v>-2891</v>
      </c>
      <c r="J5562">
        <v>-1721</v>
      </c>
      <c r="K5562" s="201">
        <v>-8033</v>
      </c>
    </row>
    <row r="5563" spans="1:11" x14ac:dyDescent="0.25">
      <c r="A5563"/>
      <c r="B5563" s="201">
        <v>0</v>
      </c>
      <c r="C5563">
        <v>0</v>
      </c>
      <c r="D5563" s="201">
        <v>0</v>
      </c>
      <c r="E5563" s="201">
        <v>0</v>
      </c>
      <c r="F5563">
        <v>324</v>
      </c>
      <c r="G5563">
        <v>0</v>
      </c>
      <c r="H5563">
        <v>839</v>
      </c>
      <c r="I5563">
        <v>0</v>
      </c>
      <c r="J5563">
        <v>0</v>
      </c>
      <c r="K5563" s="201">
        <v>-3213</v>
      </c>
    </row>
    <row r="5564" spans="1:11" x14ac:dyDescent="0.25">
      <c r="A5564"/>
      <c r="B5564" s="201">
        <v>466</v>
      </c>
      <c r="C5564">
        <v>0</v>
      </c>
      <c r="D5564" s="201">
        <v>0</v>
      </c>
      <c r="E5564" s="201">
        <v>0</v>
      </c>
      <c r="F5564">
        <v>0</v>
      </c>
      <c r="G5564">
        <v>-238</v>
      </c>
      <c r="H5564">
        <v>0</v>
      </c>
      <c r="I5564">
        <v>1930</v>
      </c>
      <c r="J5564">
        <v>2546</v>
      </c>
      <c r="K5564" s="201">
        <v>-854</v>
      </c>
    </row>
    <row r="5565" spans="1:11" x14ac:dyDescent="0.25">
      <c r="A5565"/>
      <c r="B5565" s="201">
        <v>-3609</v>
      </c>
      <c r="C5565">
        <v>-534</v>
      </c>
      <c r="D5565" s="201">
        <v>-713</v>
      </c>
      <c r="E5565" s="201">
        <v>-1773</v>
      </c>
      <c r="F5565">
        <v>484</v>
      </c>
      <c r="G5565">
        <v>1503</v>
      </c>
      <c r="H5565">
        <v>1269</v>
      </c>
      <c r="I5565">
        <v>0</v>
      </c>
      <c r="J5565">
        <v>0</v>
      </c>
      <c r="K5565" s="201">
        <v>0</v>
      </c>
    </row>
    <row r="5566" spans="1:11" x14ac:dyDescent="0.25">
      <c r="A5566"/>
      <c r="B5566" s="201">
        <v>0</v>
      </c>
      <c r="C5566">
        <v>0</v>
      </c>
      <c r="D5566" s="201">
        <v>0</v>
      </c>
      <c r="E5566" s="201">
        <v>0</v>
      </c>
      <c r="F5566">
        <v>-1311</v>
      </c>
      <c r="G5566">
        <v>111</v>
      </c>
      <c r="H5566">
        <v>-1069</v>
      </c>
      <c r="I5566">
        <v>870</v>
      </c>
      <c r="J5566">
        <v>-1024</v>
      </c>
      <c r="K5566" s="201">
        <v>1834</v>
      </c>
    </row>
    <row r="5567" spans="1:11" x14ac:dyDescent="0.25">
      <c r="A5567"/>
      <c r="B5567" s="201">
        <v>0</v>
      </c>
      <c r="C5567" s="201">
        <v>0</v>
      </c>
      <c r="D5567" s="201">
        <v>-1015</v>
      </c>
      <c r="E5567" s="201">
        <v>0</v>
      </c>
      <c r="F5567">
        <v>-172</v>
      </c>
      <c r="G5567">
        <v>-2598</v>
      </c>
      <c r="H5567">
        <v>0</v>
      </c>
      <c r="I5567">
        <v>0</v>
      </c>
      <c r="J5567">
        <v>0</v>
      </c>
      <c r="K5567" s="201">
        <v>0</v>
      </c>
    </row>
    <row r="5568" spans="1:11" x14ac:dyDescent="0.25">
      <c r="A5568"/>
      <c r="B5568" s="201">
        <v>394</v>
      </c>
      <c r="C5568">
        <v>0</v>
      </c>
      <c r="D5568" s="201">
        <v>873</v>
      </c>
      <c r="E5568" s="201">
        <v>1592</v>
      </c>
      <c r="F5568">
        <v>0</v>
      </c>
      <c r="G5568">
        <v>0</v>
      </c>
      <c r="H5568">
        <v>0</v>
      </c>
      <c r="I5568">
        <v>0</v>
      </c>
      <c r="J5568">
        <v>0</v>
      </c>
      <c r="K5568" s="201">
        <v>0</v>
      </c>
    </row>
    <row r="5569" spans="1:11" x14ac:dyDescent="0.25">
      <c r="A5569"/>
      <c r="B5569" s="201">
        <v>0</v>
      </c>
      <c r="C5569">
        <v>0</v>
      </c>
      <c r="D5569" s="201">
        <v>0</v>
      </c>
      <c r="E5569" s="201">
        <v>0</v>
      </c>
      <c r="F5569">
        <v>0</v>
      </c>
      <c r="G5569">
        <v>0</v>
      </c>
      <c r="H5569">
        <v>0</v>
      </c>
      <c r="I5569">
        <v>0</v>
      </c>
      <c r="J5569">
        <v>0</v>
      </c>
      <c r="K5569" s="201">
        <v>396</v>
      </c>
    </row>
    <row r="5570" spans="1:11" x14ac:dyDescent="0.25">
      <c r="A5570"/>
      <c r="B5570" s="201">
        <v>0</v>
      </c>
      <c r="C5570">
        <v>0</v>
      </c>
      <c r="D5570" s="201">
        <v>0</v>
      </c>
      <c r="E5570" s="201">
        <v>0</v>
      </c>
      <c r="F5570">
        <v>0</v>
      </c>
      <c r="G5570">
        <v>-6</v>
      </c>
      <c r="H5570">
        <v>4102</v>
      </c>
      <c r="I5570">
        <v>4423</v>
      </c>
      <c r="J5570">
        <v>23969</v>
      </c>
      <c r="K5570" s="201">
        <v>25908</v>
      </c>
    </row>
    <row r="5571" spans="1:11" x14ac:dyDescent="0.25">
      <c r="A5571"/>
      <c r="B5571" s="201">
        <v>45076</v>
      </c>
      <c r="C5571">
        <v>26751</v>
      </c>
      <c r="D5571" s="201">
        <v>816</v>
      </c>
      <c r="E5571" s="201">
        <v>57</v>
      </c>
      <c r="F5571">
        <v>-337</v>
      </c>
      <c r="G5571">
        <v>6149</v>
      </c>
      <c r="H5571">
        <v>4013</v>
      </c>
      <c r="I5571">
        <v>19831</v>
      </c>
      <c r="J5571">
        <v>20595</v>
      </c>
      <c r="K5571" s="201">
        <v>32011</v>
      </c>
    </row>
    <row r="5572" spans="1:11" x14ac:dyDescent="0.25">
      <c r="A5572"/>
      <c r="B5572" s="201">
        <v>19291</v>
      </c>
      <c r="C5572">
        <v>1532</v>
      </c>
      <c r="D5572" s="201">
        <v>0</v>
      </c>
      <c r="E5572" s="201">
        <v>25351</v>
      </c>
      <c r="F5572">
        <v>30292</v>
      </c>
      <c r="G5572">
        <v>40410</v>
      </c>
      <c r="H5572">
        <v>27840</v>
      </c>
      <c r="I5572">
        <v>22683</v>
      </c>
      <c r="J5572">
        <v>23564</v>
      </c>
      <c r="K5572" s="201">
        <v>48243</v>
      </c>
    </row>
    <row r="5573" spans="1:11" x14ac:dyDescent="0.25">
      <c r="B5573" s="201">
        <v>29424</v>
      </c>
      <c r="C5573" s="201">
        <v>22228</v>
      </c>
      <c r="D5573" s="201">
        <v>32178</v>
      </c>
      <c r="E5573" s="201">
        <v>33590</v>
      </c>
      <c r="F5573">
        <v>26781</v>
      </c>
      <c r="G5573">
        <v>17635</v>
      </c>
      <c r="H5573">
        <v>26581</v>
      </c>
      <c r="I5573">
        <v>36372</v>
      </c>
      <c r="J5573">
        <v>19684</v>
      </c>
      <c r="K5573" s="201">
        <v>23468</v>
      </c>
    </row>
    <row r="5574" spans="1:11" x14ac:dyDescent="0.25">
      <c r="A5574"/>
      <c r="B5574" s="201">
        <v>22569</v>
      </c>
      <c r="C5574">
        <v>118</v>
      </c>
      <c r="D5574" s="201">
        <v>-921</v>
      </c>
      <c r="E5574" s="201">
        <v>265</v>
      </c>
      <c r="F5574">
        <v>122</v>
      </c>
      <c r="G5574">
        <v>129</v>
      </c>
      <c r="H5574">
        <v>0</v>
      </c>
      <c r="I5574">
        <v>0</v>
      </c>
      <c r="J5574">
        <v>1</v>
      </c>
      <c r="K5574" s="201">
        <v>0</v>
      </c>
    </row>
    <row r="5575" spans="1:11" x14ac:dyDescent="0.25">
      <c r="A5575"/>
      <c r="B5575" s="201">
        <v>0</v>
      </c>
      <c r="C5575">
        <v>0</v>
      </c>
      <c r="D5575" s="201">
        <v>-329</v>
      </c>
      <c r="E5575" s="201">
        <v>52</v>
      </c>
      <c r="F5575">
        <v>0</v>
      </c>
      <c r="G5575">
        <v>0</v>
      </c>
      <c r="H5575">
        <v>0</v>
      </c>
      <c r="I5575">
        <v>0</v>
      </c>
      <c r="J5575">
        <v>0</v>
      </c>
      <c r="K5575" s="201">
        <v>0</v>
      </c>
    </row>
    <row r="5576" spans="1:11" x14ac:dyDescent="0.25">
      <c r="A5576"/>
      <c r="B5576" s="201">
        <v>328</v>
      </c>
      <c r="C5576">
        <v>0</v>
      </c>
      <c r="D5576" s="201">
        <v>0</v>
      </c>
      <c r="E5576" s="201">
        <v>8</v>
      </c>
      <c r="F5576">
        <v>0</v>
      </c>
      <c r="G5576">
        <v>-14</v>
      </c>
      <c r="H5576">
        <v>0</v>
      </c>
      <c r="I5576">
        <v>436</v>
      </c>
      <c r="J5576">
        <v>-311</v>
      </c>
      <c r="K5576" s="201">
        <v>-111</v>
      </c>
    </row>
    <row r="5577" spans="1:11" x14ac:dyDescent="0.25">
      <c r="A5577"/>
      <c r="B5577" s="201">
        <v>0</v>
      </c>
      <c r="C5577">
        <v>-635</v>
      </c>
      <c r="D5577" s="201">
        <v>-846</v>
      </c>
      <c r="E5577" s="201">
        <v>355</v>
      </c>
      <c r="F5577">
        <v>184</v>
      </c>
      <c r="G5577">
        <v>99</v>
      </c>
      <c r="H5577">
        <v>280</v>
      </c>
      <c r="I5577">
        <v>0</v>
      </c>
      <c r="J5577">
        <v>10</v>
      </c>
      <c r="K5577" s="201">
        <v>0</v>
      </c>
    </row>
    <row r="5578" spans="1:11" x14ac:dyDescent="0.25">
      <c r="A5578"/>
      <c r="B5578" s="201">
        <v>0</v>
      </c>
      <c r="C5578">
        <v>0</v>
      </c>
      <c r="D5578" s="201">
        <v>0</v>
      </c>
      <c r="E5578" s="201">
        <v>0</v>
      </c>
      <c r="F5578">
        <v>-5</v>
      </c>
      <c r="G5578">
        <v>0</v>
      </c>
      <c r="H5578">
        <v>0</v>
      </c>
      <c r="I5578">
        <v>0</v>
      </c>
      <c r="J5578">
        <v>-44</v>
      </c>
      <c r="K5578" s="201">
        <v>0</v>
      </c>
    </row>
    <row r="5579" spans="1:11" x14ac:dyDescent="0.25">
      <c r="A5579"/>
      <c r="B5579" s="201">
        <v>23</v>
      </c>
      <c r="C5579">
        <v>0</v>
      </c>
      <c r="D5579" s="201">
        <v>0</v>
      </c>
      <c r="E5579" s="201">
        <v>0</v>
      </c>
      <c r="F5579">
        <v>0</v>
      </c>
      <c r="G5579">
        <v>0</v>
      </c>
      <c r="H5579">
        <v>27</v>
      </c>
      <c r="I5579">
        <v>0</v>
      </c>
      <c r="J5579">
        <v>229</v>
      </c>
      <c r="K5579" s="201">
        <v>118</v>
      </c>
    </row>
    <row r="5580" spans="1:11" x14ac:dyDescent="0.25">
      <c r="A5580"/>
      <c r="B5580" s="201">
        <v>0</v>
      </c>
      <c r="C5580">
        <v>0</v>
      </c>
      <c r="D5580" s="201">
        <v>1027</v>
      </c>
      <c r="E5580" s="201">
        <v>-5535</v>
      </c>
      <c r="F5580">
        <v>0</v>
      </c>
      <c r="G5580">
        <v>608</v>
      </c>
      <c r="H5580">
        <v>0</v>
      </c>
      <c r="I5580">
        <v>0</v>
      </c>
      <c r="J5580">
        <v>0</v>
      </c>
      <c r="K5580" s="201">
        <v>0</v>
      </c>
    </row>
    <row r="5581" spans="1:11" x14ac:dyDescent="0.25">
      <c r="A5581"/>
      <c r="B5581" s="201">
        <v>464</v>
      </c>
      <c r="C5581">
        <v>-85</v>
      </c>
      <c r="D5581" s="201">
        <v>-149</v>
      </c>
      <c r="E5581" s="201">
        <v>0</v>
      </c>
      <c r="F5581">
        <v>0</v>
      </c>
      <c r="G5581">
        <v>-48</v>
      </c>
      <c r="H5581">
        <v>28</v>
      </c>
      <c r="I5581">
        <v>0</v>
      </c>
      <c r="J5581">
        <v>41</v>
      </c>
      <c r="K5581" s="201">
        <v>-267</v>
      </c>
    </row>
    <row r="5582" spans="1:11" x14ac:dyDescent="0.25">
      <c r="A5582"/>
      <c r="B5582" s="201">
        <v>69</v>
      </c>
      <c r="C5582">
        <v>-73</v>
      </c>
      <c r="D5582" s="201">
        <v>164</v>
      </c>
      <c r="E5582" s="201">
        <v>91</v>
      </c>
      <c r="F5582">
        <v>220</v>
      </c>
      <c r="G5582">
        <v>0</v>
      </c>
      <c r="H5582">
        <v>0</v>
      </c>
      <c r="I5582">
        <v>0</v>
      </c>
      <c r="J5582">
        <v>0</v>
      </c>
      <c r="K5582" s="201">
        <v>0</v>
      </c>
    </row>
    <row r="5583" spans="1:11" x14ac:dyDescent="0.25">
      <c r="A5583"/>
      <c r="B5583" s="201">
        <v>-167</v>
      </c>
      <c r="C5583">
        <v>0</v>
      </c>
      <c r="D5583" s="201">
        <v>-94</v>
      </c>
      <c r="E5583" s="201">
        <v>-789</v>
      </c>
      <c r="F5583">
        <v>-236</v>
      </c>
      <c r="G5583">
        <v>0</v>
      </c>
      <c r="H5583">
        <v>962</v>
      </c>
      <c r="I5583">
        <v>-5362</v>
      </c>
      <c r="J5583">
        <v>2</v>
      </c>
      <c r="K5583" s="201">
        <v>107</v>
      </c>
    </row>
    <row r="5584" spans="1:11" x14ac:dyDescent="0.25">
      <c r="A5584"/>
      <c r="B5584" s="201">
        <v>187</v>
      </c>
      <c r="C5584">
        <v>0</v>
      </c>
      <c r="D5584" s="201">
        <v>-289</v>
      </c>
      <c r="E5584" s="201">
        <v>-636</v>
      </c>
      <c r="F5584">
        <v>316</v>
      </c>
      <c r="G5584">
        <v>-143</v>
      </c>
      <c r="H5584">
        <v>0</v>
      </c>
      <c r="I5584">
        <v>324</v>
      </c>
      <c r="J5584">
        <v>-469</v>
      </c>
      <c r="K5584" s="201">
        <v>0</v>
      </c>
    </row>
    <row r="5585" spans="1:11" x14ac:dyDescent="0.25">
      <c r="A5585"/>
      <c r="B5585" s="201">
        <v>0</v>
      </c>
      <c r="C5585">
        <v>0</v>
      </c>
      <c r="D5585" s="201">
        <v>120</v>
      </c>
      <c r="E5585" s="201">
        <v>-254</v>
      </c>
      <c r="F5585">
        <v>0</v>
      </c>
      <c r="G5585">
        <v>-148</v>
      </c>
      <c r="H5585">
        <v>38</v>
      </c>
      <c r="I5585">
        <v>-2</v>
      </c>
      <c r="J5585">
        <v>-197</v>
      </c>
      <c r="K5585" s="201">
        <v>0</v>
      </c>
    </row>
    <row r="5586" spans="1:11" x14ac:dyDescent="0.25">
      <c r="A5586"/>
      <c r="B5586" s="201">
        <v>0</v>
      </c>
      <c r="C5586">
        <v>0</v>
      </c>
      <c r="D5586" s="201">
        <v>0</v>
      </c>
      <c r="E5586" s="201">
        <v>0</v>
      </c>
      <c r="F5586">
        <v>-373</v>
      </c>
      <c r="G5586">
        <v>0</v>
      </c>
      <c r="H5586">
        <v>-544</v>
      </c>
      <c r="I5586">
        <v>-900</v>
      </c>
      <c r="J5586">
        <v>-126</v>
      </c>
      <c r="K5586" s="201">
        <v>0</v>
      </c>
    </row>
    <row r="5587" spans="1:11" x14ac:dyDescent="0.25">
      <c r="A5587"/>
      <c r="B5587" s="201">
        <v>498</v>
      </c>
      <c r="C5587">
        <v>-5068</v>
      </c>
      <c r="D5587" s="201">
        <v>-172</v>
      </c>
      <c r="E5587" s="201">
        <v>221</v>
      </c>
      <c r="F5587">
        <v>132</v>
      </c>
      <c r="G5587">
        <v>162</v>
      </c>
      <c r="H5587">
        <v>-322</v>
      </c>
      <c r="I5587">
        <v>-840</v>
      </c>
      <c r="J5587">
        <v>0</v>
      </c>
      <c r="K5587" s="201">
        <v>-65</v>
      </c>
    </row>
    <row r="5588" spans="1:11" x14ac:dyDescent="0.25">
      <c r="A5588"/>
      <c r="B5588" s="201">
        <v>0</v>
      </c>
      <c r="C5588">
        <v>0</v>
      </c>
      <c r="D5588" s="201">
        <v>-396</v>
      </c>
      <c r="E5588" s="201">
        <v>-75</v>
      </c>
      <c r="F5588">
        <v>0</v>
      </c>
      <c r="G5588">
        <v>-135</v>
      </c>
      <c r="H5588">
        <v>0</v>
      </c>
      <c r="I5588">
        <v>0</v>
      </c>
      <c r="J5588">
        <v>8</v>
      </c>
      <c r="K5588" s="201">
        <v>0</v>
      </c>
    </row>
    <row r="5589" spans="1:11" x14ac:dyDescent="0.25">
      <c r="A5589"/>
      <c r="B5589" s="201">
        <v>-14</v>
      </c>
      <c r="C5589">
        <v>-24</v>
      </c>
      <c r="D5589" s="201">
        <v>-6</v>
      </c>
      <c r="E5589" s="201">
        <v>0</v>
      </c>
      <c r="F5589">
        <v>0</v>
      </c>
      <c r="G5589">
        <v>0</v>
      </c>
      <c r="H5589">
        <v>0</v>
      </c>
      <c r="I5589">
        <v>0</v>
      </c>
      <c r="J5589">
        <v>-206</v>
      </c>
      <c r="K5589" s="201">
        <v>0</v>
      </c>
    </row>
    <row r="5590" spans="1:11" x14ac:dyDescent="0.25">
      <c r="A5590"/>
      <c r="B5590" s="201">
        <v>-757</v>
      </c>
      <c r="C5590">
        <v>-570</v>
      </c>
      <c r="D5590" s="201">
        <v>-11</v>
      </c>
      <c r="E5590" s="201">
        <v>0</v>
      </c>
      <c r="F5590">
        <v>869</v>
      </c>
      <c r="G5590">
        <v>-21164</v>
      </c>
      <c r="H5590">
        <v>-3026</v>
      </c>
      <c r="I5590">
        <v>0</v>
      </c>
      <c r="J5590">
        <v>0</v>
      </c>
      <c r="K5590" s="201">
        <v>0</v>
      </c>
    </row>
    <row r="5591" spans="1:11" x14ac:dyDescent="0.25">
      <c r="B5591" s="201">
        <v>-2521</v>
      </c>
      <c r="C5591">
        <v>-1511</v>
      </c>
      <c r="D5591" s="201">
        <v>-917</v>
      </c>
      <c r="E5591" s="201">
        <v>788</v>
      </c>
      <c r="F5591">
        <v>1043</v>
      </c>
      <c r="G5591">
        <v>0</v>
      </c>
      <c r="H5591">
        <v>-461</v>
      </c>
      <c r="I5591">
        <v>0</v>
      </c>
      <c r="J5591">
        <v>0</v>
      </c>
      <c r="K5591" s="201">
        <v>227</v>
      </c>
    </row>
    <row r="5592" spans="1:11" x14ac:dyDescent="0.25">
      <c r="A5592"/>
      <c r="B5592" s="201">
        <v>0</v>
      </c>
      <c r="C5592">
        <v>-1389</v>
      </c>
      <c r="D5592" s="201">
        <v>0</v>
      </c>
      <c r="E5592" s="201">
        <v>-967</v>
      </c>
      <c r="F5592">
        <v>0</v>
      </c>
      <c r="G5592">
        <v>0</v>
      </c>
      <c r="H5592">
        <v>0</v>
      </c>
      <c r="I5592">
        <v>0</v>
      </c>
      <c r="J5592">
        <v>0</v>
      </c>
      <c r="K5592" s="201">
        <v>0</v>
      </c>
    </row>
    <row r="5593" spans="1:11" x14ac:dyDescent="0.25">
      <c r="A5593"/>
      <c r="B5593" s="201">
        <v>0</v>
      </c>
      <c r="C5593">
        <v>0</v>
      </c>
      <c r="D5593" s="201">
        <v>-427</v>
      </c>
      <c r="E5593" s="201">
        <v>0</v>
      </c>
      <c r="F5593">
        <v>-2302</v>
      </c>
      <c r="G5593">
        <v>2885</v>
      </c>
      <c r="H5593">
        <v>989</v>
      </c>
      <c r="I5593">
        <v>0</v>
      </c>
      <c r="J5593">
        <v>-1668</v>
      </c>
      <c r="K5593" s="201">
        <v>2682</v>
      </c>
    </row>
    <row r="5594" spans="1:11" x14ac:dyDescent="0.25">
      <c r="A5594"/>
      <c r="B5594" s="201">
        <v>0</v>
      </c>
      <c r="C5594">
        <v>0</v>
      </c>
      <c r="D5594" s="201">
        <v>0</v>
      </c>
      <c r="E5594" s="201">
        <v>0</v>
      </c>
      <c r="F5594">
        <v>0</v>
      </c>
      <c r="G5594">
        <v>-1874</v>
      </c>
      <c r="H5594">
        <v>-195</v>
      </c>
      <c r="I5594">
        <v>-1251</v>
      </c>
      <c r="J5594">
        <v>-851</v>
      </c>
      <c r="K5594" s="201">
        <v>-915</v>
      </c>
    </row>
    <row r="5595" spans="1:11" x14ac:dyDescent="0.25">
      <c r="B5595" s="201">
        <v>-4604</v>
      </c>
      <c r="C5595">
        <v>0</v>
      </c>
      <c r="D5595" s="201">
        <v>0</v>
      </c>
      <c r="E5595" s="201">
        <v>0</v>
      </c>
      <c r="F5595">
        <v>0</v>
      </c>
      <c r="G5595">
        <v>3348</v>
      </c>
      <c r="H5595">
        <v>0</v>
      </c>
      <c r="I5595">
        <v>2217</v>
      </c>
      <c r="J5595">
        <v>0</v>
      </c>
      <c r="K5595" s="201">
        <v>0</v>
      </c>
    </row>
    <row r="5596" spans="1:11" x14ac:dyDescent="0.25">
      <c r="A5596"/>
      <c r="B5596" s="201">
        <v>-993</v>
      </c>
      <c r="C5596">
        <v>397</v>
      </c>
      <c r="D5596" s="201">
        <v>0</v>
      </c>
      <c r="E5596" s="201">
        <v>0</v>
      </c>
      <c r="F5596">
        <v>0</v>
      </c>
      <c r="G5596">
        <v>0</v>
      </c>
      <c r="H5596">
        <v>996</v>
      </c>
      <c r="I5596">
        <v>0</v>
      </c>
      <c r="J5596">
        <v>1509</v>
      </c>
      <c r="K5596" s="201">
        <v>1615</v>
      </c>
    </row>
    <row r="5597" spans="1:11" x14ac:dyDescent="0.25">
      <c r="A5597"/>
      <c r="B5597" s="201">
        <v>-1295</v>
      </c>
      <c r="C5597">
        <v>-3835</v>
      </c>
      <c r="D5597" s="201">
        <v>853</v>
      </c>
      <c r="E5597" s="201">
        <v>-1303</v>
      </c>
      <c r="F5597">
        <v>-1224</v>
      </c>
      <c r="G5597">
        <v>-322</v>
      </c>
      <c r="H5597">
        <v>556</v>
      </c>
      <c r="I5597">
        <v>1385</v>
      </c>
      <c r="J5597">
        <v>0</v>
      </c>
      <c r="K5597" s="201">
        <v>0</v>
      </c>
    </row>
    <row r="5598" spans="1:11" x14ac:dyDescent="0.25">
      <c r="A5598"/>
      <c r="B5598" s="201">
        <v>0</v>
      </c>
      <c r="C5598">
        <v>0</v>
      </c>
      <c r="D5598" s="201">
        <v>0</v>
      </c>
      <c r="E5598" s="201">
        <v>0</v>
      </c>
      <c r="F5598">
        <v>0</v>
      </c>
      <c r="G5598">
        <v>960</v>
      </c>
      <c r="H5598">
        <v>-239</v>
      </c>
      <c r="I5598">
        <v>1466</v>
      </c>
      <c r="J5598">
        <v>-97</v>
      </c>
      <c r="K5598" s="201">
        <v>718</v>
      </c>
    </row>
    <row r="5599" spans="1:11" x14ac:dyDescent="0.25">
      <c r="A5599"/>
      <c r="B5599" s="201">
        <v>652</v>
      </c>
      <c r="C5599">
        <v>0</v>
      </c>
      <c r="D5599" s="201">
        <v>0</v>
      </c>
      <c r="E5599" s="201">
        <v>-1131</v>
      </c>
      <c r="F5599">
        <v>0</v>
      </c>
      <c r="G5599">
        <v>144</v>
      </c>
      <c r="H5599">
        <v>-178</v>
      </c>
      <c r="I5599">
        <v>0</v>
      </c>
      <c r="J5599">
        <v>0</v>
      </c>
      <c r="K5599" s="201">
        <v>0</v>
      </c>
    </row>
    <row r="5600" spans="1:11" x14ac:dyDescent="0.25">
      <c r="A5600"/>
      <c r="B5600" s="201">
        <v>0</v>
      </c>
      <c r="C5600">
        <v>326</v>
      </c>
      <c r="D5600" s="201">
        <v>0</v>
      </c>
      <c r="E5600" s="201">
        <v>1134</v>
      </c>
      <c r="F5600">
        <v>1646</v>
      </c>
      <c r="G5600">
        <v>0</v>
      </c>
      <c r="H5600">
        <v>0</v>
      </c>
      <c r="I5600">
        <v>0</v>
      </c>
      <c r="J5600">
        <v>0</v>
      </c>
      <c r="K5600" s="201">
        <v>0</v>
      </c>
    </row>
    <row r="5601" spans="1:11" x14ac:dyDescent="0.25">
      <c r="A5601"/>
      <c r="B5601" s="201">
        <v>0</v>
      </c>
      <c r="C5601">
        <v>0</v>
      </c>
      <c r="D5601" s="201">
        <v>0</v>
      </c>
      <c r="E5601" s="201">
        <v>0</v>
      </c>
      <c r="F5601">
        <v>0</v>
      </c>
      <c r="G5601">
        <v>0</v>
      </c>
      <c r="H5601">
        <v>0</v>
      </c>
      <c r="I5601">
        <v>0</v>
      </c>
      <c r="J5601">
        <v>0</v>
      </c>
      <c r="K5601" s="201">
        <v>0</v>
      </c>
    </row>
    <row r="5602" spans="1:11" x14ac:dyDescent="0.25">
      <c r="A5602"/>
      <c r="B5602" s="201">
        <v>942</v>
      </c>
      <c r="C5602">
        <v>0</v>
      </c>
      <c r="D5602" s="201">
        <v>0</v>
      </c>
      <c r="E5602" s="201">
        <v>0</v>
      </c>
      <c r="F5602">
        <v>0</v>
      </c>
      <c r="G5602">
        <v>0</v>
      </c>
      <c r="H5602">
        <v>-173</v>
      </c>
      <c r="I5602">
        <v>3532</v>
      </c>
      <c r="J5602">
        <v>3417</v>
      </c>
      <c r="K5602" s="201">
        <v>20661</v>
      </c>
    </row>
    <row r="5603" spans="1:11" x14ac:dyDescent="0.25">
      <c r="A5603"/>
      <c r="B5603" s="201">
        <v>24581</v>
      </c>
      <c r="C5603" s="201">
        <v>24795</v>
      </c>
      <c r="D5603" s="201">
        <v>48862</v>
      </c>
      <c r="E5603" s="201">
        <v>1302</v>
      </c>
      <c r="F5603">
        <v>135</v>
      </c>
      <c r="G5603">
        <v>-240</v>
      </c>
      <c r="H5603">
        <v>5450</v>
      </c>
      <c r="I5603">
        <v>3344</v>
      </c>
      <c r="J5603">
        <v>17401</v>
      </c>
      <c r="K5603" s="201">
        <v>19443</v>
      </c>
    </row>
    <row r="5604" spans="1:11" x14ac:dyDescent="0.25">
      <c r="B5604" s="201">
        <v>18523</v>
      </c>
      <c r="C5604">
        <v>32211</v>
      </c>
      <c r="D5604" s="201">
        <v>1183</v>
      </c>
      <c r="E5604" s="201">
        <v>0</v>
      </c>
      <c r="F5604">
        <v>22754</v>
      </c>
      <c r="G5604">
        <v>28554</v>
      </c>
      <c r="H5604">
        <v>28651</v>
      </c>
      <c r="I5604">
        <v>36998</v>
      </c>
      <c r="J5604">
        <v>20287</v>
      </c>
      <c r="K5604" s="201">
        <v>22287</v>
      </c>
    </row>
    <row r="5605" spans="1:11" x14ac:dyDescent="0.25">
      <c r="A5605"/>
      <c r="B5605" s="201">
        <v>30649</v>
      </c>
      <c r="C5605">
        <v>43026</v>
      </c>
      <c r="D5605" s="201">
        <v>20119</v>
      </c>
      <c r="E5605" s="201">
        <v>30166</v>
      </c>
      <c r="F5605">
        <v>22798</v>
      </c>
      <c r="G5605">
        <v>36858</v>
      </c>
      <c r="H5605">
        <v>15994</v>
      </c>
      <c r="I5605">
        <v>24988</v>
      </c>
      <c r="J5605">
        <v>25038</v>
      </c>
      <c r="K5605" s="201">
        <v>26075</v>
      </c>
    </row>
    <row r="5606" spans="1:11" x14ac:dyDescent="0.25">
      <c r="A5606"/>
      <c r="B5606" s="201">
        <v>19162</v>
      </c>
      <c r="C5606">
        <v>26188</v>
      </c>
      <c r="D5606" s="201">
        <v>26570</v>
      </c>
      <c r="E5606" s="201">
        <v>-2051</v>
      </c>
      <c r="F5606">
        <v>23619</v>
      </c>
      <c r="G5606">
        <v>1057</v>
      </c>
      <c r="H5606">
        <v>-34498</v>
      </c>
      <c r="I5606">
        <v>-29805</v>
      </c>
      <c r="J5606">
        <v>0</v>
      </c>
      <c r="K5606" s="201">
        <v>0</v>
      </c>
    </row>
    <row r="5607" spans="1:11" x14ac:dyDescent="0.25">
      <c r="A5607"/>
      <c r="B5607" s="201">
        <v>19</v>
      </c>
      <c r="C5607">
        <v>0</v>
      </c>
      <c r="D5607" s="201">
        <v>0</v>
      </c>
      <c r="E5607" s="201">
        <v>0</v>
      </c>
      <c r="F5607">
        <v>328</v>
      </c>
      <c r="G5607">
        <v>1896</v>
      </c>
      <c r="H5607">
        <v>0</v>
      </c>
      <c r="I5607">
        <v>0</v>
      </c>
      <c r="J5607">
        <v>0</v>
      </c>
      <c r="K5607" s="201">
        <v>0</v>
      </c>
    </row>
    <row r="5608" spans="1:11" x14ac:dyDescent="0.25">
      <c r="A5608"/>
      <c r="B5608" s="201">
        <v>0</v>
      </c>
      <c r="C5608" s="201">
        <v>0</v>
      </c>
      <c r="D5608" s="201">
        <v>-1788</v>
      </c>
      <c r="E5608" s="201">
        <v>0</v>
      </c>
      <c r="F5608">
        <v>0</v>
      </c>
      <c r="G5608">
        <v>1016</v>
      </c>
      <c r="H5608">
        <v>0</v>
      </c>
      <c r="I5608">
        <v>-1224</v>
      </c>
      <c r="J5608">
        <v>0</v>
      </c>
      <c r="K5608" s="201">
        <v>1056</v>
      </c>
    </row>
    <row r="5609" spans="1:11" x14ac:dyDescent="0.25">
      <c r="B5609" s="201">
        <v>2513</v>
      </c>
      <c r="C5609">
        <v>-1031</v>
      </c>
      <c r="D5609" s="201">
        <v>0</v>
      </c>
      <c r="E5609" s="201">
        <v>-35296</v>
      </c>
      <c r="F5609">
        <v>10375</v>
      </c>
      <c r="G5609">
        <v>24401</v>
      </c>
      <c r="H5609">
        <v>25607</v>
      </c>
      <c r="I5609">
        <v>33106</v>
      </c>
      <c r="J5609">
        <v>27388</v>
      </c>
      <c r="K5609" s="201">
        <v>0</v>
      </c>
    </row>
    <row r="5610" spans="1:11" x14ac:dyDescent="0.25">
      <c r="A5610"/>
      <c r="B5610" s="201">
        <v>771</v>
      </c>
      <c r="C5610">
        <v>0</v>
      </c>
      <c r="D5610" s="201">
        <v>0</v>
      </c>
      <c r="E5610" s="201">
        <v>0</v>
      </c>
      <c r="F5610">
        <v>0</v>
      </c>
      <c r="G5610">
        <v>0</v>
      </c>
      <c r="H5610">
        <v>1177</v>
      </c>
      <c r="I5610">
        <v>0</v>
      </c>
      <c r="J5610">
        <v>0</v>
      </c>
      <c r="K5610" s="201">
        <v>0</v>
      </c>
    </row>
    <row r="5611" spans="1:11" x14ac:dyDescent="0.25">
      <c r="B5611" s="201">
        <v>-5839</v>
      </c>
      <c r="C5611">
        <v>0</v>
      </c>
      <c r="D5611" s="201">
        <v>2182</v>
      </c>
      <c r="E5611" s="201">
        <v>0</v>
      </c>
      <c r="F5611">
        <v>0</v>
      </c>
      <c r="G5611">
        <v>0</v>
      </c>
      <c r="H5611">
        <v>0</v>
      </c>
      <c r="I5611">
        <v>0</v>
      </c>
      <c r="J5611">
        <v>-1266</v>
      </c>
      <c r="K5611" s="201">
        <v>0</v>
      </c>
    </row>
    <row r="5612" spans="1:11" x14ac:dyDescent="0.25">
      <c r="A5612"/>
      <c r="B5612" s="201">
        <v>1073</v>
      </c>
      <c r="C5612">
        <v>7264</v>
      </c>
      <c r="D5612" s="201">
        <v>0</v>
      </c>
      <c r="E5612" s="201">
        <v>0</v>
      </c>
      <c r="F5612">
        <v>3013</v>
      </c>
      <c r="G5612">
        <v>858</v>
      </c>
      <c r="H5612">
        <v>0</v>
      </c>
      <c r="I5612">
        <v>-2089</v>
      </c>
      <c r="J5612">
        <v>0</v>
      </c>
      <c r="K5612" s="201">
        <v>0</v>
      </c>
    </row>
    <row r="5613" spans="1:11" x14ac:dyDescent="0.25">
      <c r="A5613"/>
      <c r="B5613" s="201">
        <v>0</v>
      </c>
      <c r="C5613">
        <v>0</v>
      </c>
      <c r="D5613" s="201">
        <v>-697</v>
      </c>
      <c r="E5613" s="201">
        <v>-702</v>
      </c>
      <c r="F5613">
        <v>-177</v>
      </c>
      <c r="G5613">
        <v>0</v>
      </c>
      <c r="H5613">
        <v>0</v>
      </c>
      <c r="I5613">
        <v>321</v>
      </c>
      <c r="J5613">
        <v>-25</v>
      </c>
      <c r="K5613" s="201">
        <v>0</v>
      </c>
    </row>
    <row r="5614" spans="1:11" x14ac:dyDescent="0.25">
      <c r="A5614"/>
      <c r="B5614" s="201">
        <v>-551</v>
      </c>
      <c r="C5614">
        <v>-54</v>
      </c>
      <c r="D5614" s="201">
        <v>36</v>
      </c>
      <c r="E5614" s="201">
        <v>-57</v>
      </c>
      <c r="F5614">
        <v>1162</v>
      </c>
      <c r="G5614">
        <v>-172</v>
      </c>
      <c r="H5614">
        <v>-737</v>
      </c>
      <c r="I5614">
        <v>0</v>
      </c>
      <c r="J5614">
        <v>0</v>
      </c>
      <c r="K5614" s="201">
        <v>0</v>
      </c>
    </row>
    <row r="5615" spans="1:11" x14ac:dyDescent="0.25">
      <c r="A5615"/>
      <c r="B5615" s="201">
        <v>0</v>
      </c>
      <c r="C5615">
        <v>0</v>
      </c>
      <c r="D5615" s="201">
        <v>453</v>
      </c>
      <c r="E5615" s="201">
        <v>0</v>
      </c>
      <c r="F5615">
        <v>1645</v>
      </c>
      <c r="G5615">
        <v>255</v>
      </c>
      <c r="H5615">
        <v>31</v>
      </c>
      <c r="I5615">
        <v>0</v>
      </c>
      <c r="J5615">
        <v>-3001</v>
      </c>
      <c r="K5615" s="201">
        <v>-985</v>
      </c>
    </row>
    <row r="5616" spans="1:11" x14ac:dyDescent="0.25">
      <c r="A5616"/>
      <c r="B5616" s="201">
        <v>-679</v>
      </c>
      <c r="C5616">
        <v>-2049</v>
      </c>
      <c r="D5616" s="201">
        <v>-1788</v>
      </c>
      <c r="E5616" s="201">
        <v>0</v>
      </c>
      <c r="F5616">
        <v>1415</v>
      </c>
      <c r="G5616">
        <v>-1423</v>
      </c>
      <c r="H5616">
        <v>-1052</v>
      </c>
      <c r="I5616">
        <v>186</v>
      </c>
      <c r="J5616">
        <v>0</v>
      </c>
      <c r="K5616" s="201">
        <v>-162</v>
      </c>
    </row>
    <row r="5617" spans="1:11" x14ac:dyDescent="0.25">
      <c r="A5617"/>
      <c r="B5617" s="201">
        <v>408</v>
      </c>
      <c r="C5617">
        <v>0</v>
      </c>
      <c r="D5617" s="201">
        <v>0</v>
      </c>
      <c r="E5617" s="201">
        <v>0</v>
      </c>
      <c r="F5617">
        <v>-488</v>
      </c>
      <c r="G5617">
        <v>712</v>
      </c>
      <c r="H5617">
        <v>0</v>
      </c>
      <c r="I5617">
        <v>231</v>
      </c>
      <c r="J5617">
        <v>3804</v>
      </c>
      <c r="K5617" s="201">
        <v>338</v>
      </c>
    </row>
    <row r="5618" spans="1:11" x14ac:dyDescent="0.25">
      <c r="A5618"/>
      <c r="B5618" s="201">
        <v>211</v>
      </c>
      <c r="C5618">
        <v>0</v>
      </c>
      <c r="D5618" s="201">
        <v>0</v>
      </c>
      <c r="E5618" s="201">
        <v>0</v>
      </c>
      <c r="F5618">
        <v>0</v>
      </c>
      <c r="G5618">
        <v>0</v>
      </c>
      <c r="H5618">
        <v>7141</v>
      </c>
      <c r="I5618">
        <v>0</v>
      </c>
      <c r="J5618">
        <v>394</v>
      </c>
      <c r="K5618" s="201">
        <v>97</v>
      </c>
    </row>
    <row r="5619" spans="1:11" x14ac:dyDescent="0.25">
      <c r="A5619"/>
      <c r="B5619" s="201">
        <v>-70</v>
      </c>
      <c r="C5619">
        <v>0</v>
      </c>
      <c r="D5619" s="201">
        <v>-3013</v>
      </c>
      <c r="E5619" s="201">
        <v>-809</v>
      </c>
      <c r="F5619">
        <v>-519</v>
      </c>
      <c r="G5619">
        <v>-1565</v>
      </c>
      <c r="H5619">
        <v>-1184</v>
      </c>
      <c r="I5619">
        <v>4067</v>
      </c>
      <c r="J5619">
        <v>1848</v>
      </c>
      <c r="K5619" s="201">
        <v>902</v>
      </c>
    </row>
    <row r="5620" spans="1:11" x14ac:dyDescent="0.25">
      <c r="A5620"/>
      <c r="B5620" s="201">
        <v>0</v>
      </c>
      <c r="C5620">
        <v>-3</v>
      </c>
      <c r="D5620" s="201">
        <v>0</v>
      </c>
      <c r="E5620" s="201">
        <v>0</v>
      </c>
      <c r="F5620">
        <v>400</v>
      </c>
      <c r="G5620">
        <v>13</v>
      </c>
      <c r="H5620">
        <v>0</v>
      </c>
      <c r="I5620">
        <v>268</v>
      </c>
      <c r="J5620">
        <v>0</v>
      </c>
      <c r="K5620" s="201">
        <v>0</v>
      </c>
    </row>
    <row r="5621" spans="1:11" x14ac:dyDescent="0.25">
      <c r="A5621"/>
      <c r="B5621" s="201">
        <v>-53</v>
      </c>
      <c r="C5621">
        <v>0</v>
      </c>
      <c r="D5621" s="201">
        <v>2187</v>
      </c>
      <c r="E5621" s="201">
        <v>-104</v>
      </c>
      <c r="F5621">
        <v>-218</v>
      </c>
      <c r="G5621">
        <v>0</v>
      </c>
      <c r="H5621">
        <v>0</v>
      </c>
      <c r="I5621">
        <v>0</v>
      </c>
      <c r="J5621">
        <v>0</v>
      </c>
      <c r="K5621" s="201">
        <v>0</v>
      </c>
    </row>
    <row r="5622" spans="1:11" x14ac:dyDescent="0.25">
      <c r="B5622" s="201">
        <v>6714</v>
      </c>
      <c r="C5622">
        <v>0</v>
      </c>
      <c r="D5622" s="201">
        <v>-88</v>
      </c>
      <c r="E5622" s="201">
        <v>301</v>
      </c>
      <c r="F5622">
        <v>137</v>
      </c>
      <c r="G5622">
        <v>0</v>
      </c>
      <c r="H5622">
        <v>2361</v>
      </c>
      <c r="I5622">
        <v>-485</v>
      </c>
      <c r="J5622">
        <v>-294</v>
      </c>
      <c r="K5622" s="201">
        <v>0</v>
      </c>
    </row>
    <row r="5623" spans="1:11" x14ac:dyDescent="0.25">
      <c r="A5623"/>
      <c r="B5623" s="201">
        <v>0</v>
      </c>
      <c r="C5623">
        <v>0</v>
      </c>
      <c r="D5623" s="201">
        <v>2518</v>
      </c>
      <c r="E5623" s="201">
        <v>478</v>
      </c>
      <c r="F5623">
        <v>-187</v>
      </c>
      <c r="G5623">
        <v>95</v>
      </c>
      <c r="H5623">
        <v>-181</v>
      </c>
      <c r="I5623">
        <v>0</v>
      </c>
      <c r="J5623">
        <v>527</v>
      </c>
      <c r="K5623" s="201">
        <v>0</v>
      </c>
    </row>
    <row r="5624" spans="1:11" x14ac:dyDescent="0.25">
      <c r="A5624"/>
      <c r="B5624" s="201">
        <v>0</v>
      </c>
      <c r="C5624">
        <v>233</v>
      </c>
      <c r="D5624" s="201">
        <v>0</v>
      </c>
      <c r="E5624" s="201">
        <v>492</v>
      </c>
      <c r="F5624">
        <v>0</v>
      </c>
      <c r="G5624">
        <v>226</v>
      </c>
      <c r="H5624">
        <v>0</v>
      </c>
      <c r="I5624">
        <v>0</v>
      </c>
      <c r="J5624">
        <v>0</v>
      </c>
      <c r="K5624" s="201">
        <v>0</v>
      </c>
    </row>
    <row r="5625" spans="1:11" x14ac:dyDescent="0.25">
      <c r="A5625"/>
      <c r="B5625" s="201">
        <v>0</v>
      </c>
      <c r="C5625">
        <v>0</v>
      </c>
      <c r="D5625" s="201">
        <v>0</v>
      </c>
      <c r="E5625" s="201">
        <v>0</v>
      </c>
      <c r="F5625">
        <v>4913</v>
      </c>
      <c r="G5625">
        <v>0</v>
      </c>
      <c r="H5625">
        <v>416</v>
      </c>
      <c r="I5625">
        <v>-531</v>
      </c>
      <c r="J5625">
        <v>366</v>
      </c>
      <c r="K5625" s="201">
        <v>0</v>
      </c>
    </row>
    <row r="5626" spans="1:11" x14ac:dyDescent="0.25">
      <c r="A5626"/>
      <c r="B5626" s="201">
        <v>-2620</v>
      </c>
      <c r="C5626">
        <v>-171</v>
      </c>
      <c r="D5626" s="201">
        <v>0</v>
      </c>
      <c r="E5626" s="201">
        <v>0</v>
      </c>
      <c r="F5626">
        <v>0</v>
      </c>
      <c r="G5626">
        <v>0</v>
      </c>
      <c r="H5626">
        <v>0</v>
      </c>
      <c r="I5626">
        <v>-171</v>
      </c>
      <c r="J5626">
        <v>-566</v>
      </c>
      <c r="K5626" s="201">
        <v>-139</v>
      </c>
    </row>
    <row r="5627" spans="1:11" x14ac:dyDescent="0.25">
      <c r="A5627"/>
      <c r="B5627" s="201">
        <v>-184</v>
      </c>
      <c r="C5627">
        <v>209</v>
      </c>
      <c r="D5627" s="201">
        <v>109</v>
      </c>
      <c r="E5627" s="201">
        <v>0</v>
      </c>
      <c r="F5627">
        <v>0</v>
      </c>
      <c r="G5627">
        <v>0</v>
      </c>
      <c r="H5627">
        <v>0</v>
      </c>
      <c r="I5627">
        <v>281</v>
      </c>
      <c r="J5627">
        <v>0</v>
      </c>
      <c r="K5627" s="201">
        <v>200</v>
      </c>
    </row>
    <row r="5628" spans="1:11" x14ac:dyDescent="0.25">
      <c r="A5628"/>
      <c r="B5628" s="201">
        <v>0</v>
      </c>
      <c r="C5628">
        <v>0</v>
      </c>
      <c r="D5628" s="201">
        <v>-1050</v>
      </c>
      <c r="E5628" s="201">
        <v>334</v>
      </c>
      <c r="F5628">
        <v>0</v>
      </c>
      <c r="G5628">
        <v>0</v>
      </c>
      <c r="H5628">
        <v>0</v>
      </c>
      <c r="I5628">
        <v>0</v>
      </c>
      <c r="J5628">
        <v>7951</v>
      </c>
      <c r="K5628" s="201">
        <v>0</v>
      </c>
    </row>
    <row r="5629" spans="1:11" x14ac:dyDescent="0.25">
      <c r="A5629"/>
      <c r="B5629" s="201">
        <v>247</v>
      </c>
      <c r="C5629">
        <v>-353</v>
      </c>
      <c r="D5629" s="201">
        <v>1295</v>
      </c>
      <c r="E5629" s="201">
        <v>-73</v>
      </c>
      <c r="F5629">
        <v>2174</v>
      </c>
      <c r="G5629">
        <v>11379</v>
      </c>
      <c r="H5629">
        <v>10109</v>
      </c>
      <c r="I5629">
        <v>-12026</v>
      </c>
      <c r="J5629">
        <v>-10211</v>
      </c>
      <c r="K5629" s="201">
        <v>-7418</v>
      </c>
    </row>
    <row r="5630" spans="1:11" x14ac:dyDescent="0.25">
      <c r="A5630"/>
      <c r="B5630" s="201">
        <v>0</v>
      </c>
      <c r="C5630">
        <v>0</v>
      </c>
      <c r="D5630" s="201">
        <v>0</v>
      </c>
      <c r="E5630" s="201">
        <v>0</v>
      </c>
      <c r="F5630">
        <v>0</v>
      </c>
      <c r="G5630">
        <v>0</v>
      </c>
      <c r="H5630">
        <v>0</v>
      </c>
      <c r="I5630">
        <v>-1714</v>
      </c>
      <c r="J5630">
        <v>1561</v>
      </c>
      <c r="K5630" s="201">
        <v>-2407</v>
      </c>
    </row>
    <row r="5631" spans="1:11" x14ac:dyDescent="0.25">
      <c r="A5631"/>
      <c r="B5631" s="201">
        <v>120</v>
      </c>
      <c r="C5631">
        <v>-1586</v>
      </c>
      <c r="D5631" s="201">
        <v>-8083</v>
      </c>
      <c r="E5631" s="201">
        <v>0</v>
      </c>
      <c r="F5631">
        <v>0</v>
      </c>
      <c r="G5631">
        <v>6167</v>
      </c>
      <c r="H5631">
        <v>0</v>
      </c>
      <c r="I5631">
        <v>4514</v>
      </c>
      <c r="J5631">
        <v>-35770</v>
      </c>
      <c r="K5631" s="201">
        <v>0</v>
      </c>
    </row>
    <row r="5632" spans="1:11" x14ac:dyDescent="0.25">
      <c r="A5632"/>
      <c r="B5632" s="201">
        <v>0</v>
      </c>
      <c r="C5632">
        <v>0</v>
      </c>
      <c r="D5632" s="201">
        <v>0</v>
      </c>
      <c r="E5632" s="201">
        <v>-483</v>
      </c>
      <c r="F5632">
        <v>0</v>
      </c>
      <c r="G5632">
        <v>1891</v>
      </c>
      <c r="H5632">
        <v>635</v>
      </c>
      <c r="I5632">
        <v>0</v>
      </c>
      <c r="J5632">
        <v>0</v>
      </c>
      <c r="K5632" s="201">
        <v>0</v>
      </c>
    </row>
    <row r="5633" spans="1:11" x14ac:dyDescent="0.25">
      <c r="A5633"/>
      <c r="B5633" s="201">
        <v>0</v>
      </c>
      <c r="C5633">
        <v>0</v>
      </c>
      <c r="D5633" s="201">
        <v>0</v>
      </c>
      <c r="E5633" s="201">
        <v>0</v>
      </c>
      <c r="F5633">
        <v>0</v>
      </c>
      <c r="G5633">
        <v>0</v>
      </c>
      <c r="H5633">
        <v>0</v>
      </c>
      <c r="I5633">
        <v>0</v>
      </c>
      <c r="J5633">
        <v>0</v>
      </c>
      <c r="K5633" s="201">
        <v>0</v>
      </c>
    </row>
    <row r="5634" spans="1:11" x14ac:dyDescent="0.25">
      <c r="A5634"/>
      <c r="B5634" s="201">
        <v>0</v>
      </c>
      <c r="C5634">
        <v>0</v>
      </c>
      <c r="D5634" s="201">
        <v>-280</v>
      </c>
      <c r="E5634" s="201">
        <v>0</v>
      </c>
      <c r="F5634">
        <v>0</v>
      </c>
      <c r="G5634">
        <v>0</v>
      </c>
      <c r="H5634">
        <v>0</v>
      </c>
      <c r="I5634">
        <v>0</v>
      </c>
      <c r="J5634">
        <v>79</v>
      </c>
      <c r="K5634" s="201">
        <v>-27028</v>
      </c>
    </row>
    <row r="5635" spans="1:11" x14ac:dyDescent="0.25">
      <c r="A5635"/>
      <c r="B5635" s="201">
        <v>-12839</v>
      </c>
      <c r="C5635">
        <v>-6449</v>
      </c>
      <c r="D5635" s="201">
        <v>2814</v>
      </c>
      <c r="E5635" s="201">
        <v>3506</v>
      </c>
      <c r="F5635">
        <v>1156</v>
      </c>
      <c r="G5635">
        <v>-2485</v>
      </c>
      <c r="H5635">
        <v>-54</v>
      </c>
      <c r="I5635">
        <v>-446</v>
      </c>
      <c r="J5635">
        <v>-19066</v>
      </c>
      <c r="K5635" s="201">
        <v>-11502</v>
      </c>
    </row>
    <row r="5636" spans="1:11" x14ac:dyDescent="0.25">
      <c r="A5636"/>
      <c r="B5636" s="201">
        <v>-7418</v>
      </c>
      <c r="C5636">
        <v>2823</v>
      </c>
      <c r="D5636" s="201">
        <v>1051</v>
      </c>
      <c r="E5636" s="201">
        <v>-1347</v>
      </c>
      <c r="F5636">
        <v>-5143</v>
      </c>
      <c r="G5636">
        <v>0</v>
      </c>
      <c r="H5636">
        <v>-3626</v>
      </c>
      <c r="I5636">
        <v>1715</v>
      </c>
      <c r="J5636">
        <v>1935</v>
      </c>
      <c r="K5636" s="201">
        <v>145</v>
      </c>
    </row>
    <row r="5637" spans="1:11" x14ac:dyDescent="0.25">
      <c r="A5637"/>
      <c r="B5637" s="201">
        <v>-1965</v>
      </c>
      <c r="C5637">
        <v>834</v>
      </c>
      <c r="D5637" s="201">
        <v>2014</v>
      </c>
      <c r="E5637" s="201">
        <v>81</v>
      </c>
      <c r="F5637">
        <v>-1841</v>
      </c>
      <c r="G5637">
        <v>1586</v>
      </c>
      <c r="H5637">
        <v>1434</v>
      </c>
      <c r="I5637">
        <v>136</v>
      </c>
      <c r="J5637">
        <v>-1376</v>
      </c>
      <c r="K5637" s="201">
        <v>1186</v>
      </c>
    </row>
    <row r="5638" spans="1:11" x14ac:dyDescent="0.25">
      <c r="A5638"/>
      <c r="B5638" s="201">
        <v>1646</v>
      </c>
      <c r="C5638">
        <v>868</v>
      </c>
      <c r="D5638" s="201">
        <v>-1527</v>
      </c>
      <c r="E5638" s="201">
        <v>1615</v>
      </c>
      <c r="F5638">
        <v>1908</v>
      </c>
      <c r="G5638">
        <v>88</v>
      </c>
      <c r="H5638">
        <v>-5014</v>
      </c>
      <c r="I5638">
        <v>180</v>
      </c>
      <c r="J5638">
        <v>-4381</v>
      </c>
      <c r="K5638" s="201">
        <v>-2693</v>
      </c>
    </row>
    <row r="5639" spans="1:11" x14ac:dyDescent="0.25">
      <c r="A5639"/>
      <c r="B5639" s="201">
        <v>-2760</v>
      </c>
      <c r="C5639">
        <v>0</v>
      </c>
      <c r="D5639" s="201">
        <v>0</v>
      </c>
      <c r="E5639" s="201">
        <v>-711</v>
      </c>
      <c r="F5639">
        <v>0</v>
      </c>
      <c r="G5639">
        <v>0</v>
      </c>
      <c r="H5639">
        <v>0</v>
      </c>
      <c r="I5639">
        <v>5056</v>
      </c>
      <c r="J5639">
        <v>-2828</v>
      </c>
      <c r="K5639" s="201">
        <v>0</v>
      </c>
    </row>
    <row r="5640" spans="1:11" x14ac:dyDescent="0.25">
      <c r="A5640"/>
      <c r="B5640" s="201">
        <v>0</v>
      </c>
      <c r="C5640">
        <v>0</v>
      </c>
      <c r="D5640" s="201">
        <v>0</v>
      </c>
      <c r="E5640" s="201">
        <v>0</v>
      </c>
      <c r="F5640">
        <v>0</v>
      </c>
      <c r="G5640">
        <v>-3983</v>
      </c>
      <c r="H5640">
        <v>0</v>
      </c>
      <c r="I5640">
        <v>0</v>
      </c>
      <c r="J5640">
        <v>395</v>
      </c>
      <c r="K5640" s="201">
        <v>0</v>
      </c>
    </row>
    <row r="5641" spans="1:11" x14ac:dyDescent="0.25">
      <c r="A5641"/>
      <c r="B5641" s="201">
        <v>-428</v>
      </c>
      <c r="C5641">
        <v>0</v>
      </c>
      <c r="D5641" s="201">
        <v>9</v>
      </c>
      <c r="E5641" s="201">
        <v>2887</v>
      </c>
      <c r="F5641">
        <v>1441</v>
      </c>
      <c r="G5641">
        <v>0</v>
      </c>
      <c r="H5641">
        <v>1438</v>
      </c>
      <c r="I5641">
        <v>368</v>
      </c>
      <c r="J5641">
        <v>-2099</v>
      </c>
      <c r="K5641" s="201">
        <v>-2222</v>
      </c>
    </row>
    <row r="5642" spans="1:11" x14ac:dyDescent="0.25">
      <c r="B5642" s="201">
        <v>-1712</v>
      </c>
      <c r="C5642">
        <v>-1696</v>
      </c>
      <c r="D5642" s="201">
        <v>0</v>
      </c>
      <c r="E5642" s="201">
        <v>134</v>
      </c>
      <c r="F5642">
        <v>0</v>
      </c>
      <c r="G5642">
        <v>0</v>
      </c>
      <c r="H5642">
        <v>0</v>
      </c>
      <c r="I5642">
        <v>0</v>
      </c>
      <c r="J5642">
        <v>0</v>
      </c>
      <c r="K5642" s="201">
        <v>-329</v>
      </c>
    </row>
    <row r="5643" spans="1:11" x14ac:dyDescent="0.25">
      <c r="A5643"/>
      <c r="B5643" s="201">
        <v>0</v>
      </c>
      <c r="C5643">
        <v>0</v>
      </c>
      <c r="D5643" s="201">
        <v>0</v>
      </c>
      <c r="E5643" s="201">
        <v>271</v>
      </c>
      <c r="F5643">
        <v>0</v>
      </c>
      <c r="G5643">
        <v>-31</v>
      </c>
      <c r="H5643">
        <v>0</v>
      </c>
      <c r="I5643">
        <v>0</v>
      </c>
      <c r="J5643">
        <v>0</v>
      </c>
      <c r="K5643" s="201">
        <v>0</v>
      </c>
    </row>
    <row r="5644" spans="1:11" x14ac:dyDescent="0.25">
      <c r="A5644"/>
      <c r="B5644" s="201">
        <v>0</v>
      </c>
      <c r="C5644">
        <v>1171</v>
      </c>
      <c r="D5644" s="201">
        <v>0</v>
      </c>
      <c r="E5644" s="201">
        <v>333</v>
      </c>
      <c r="F5644">
        <v>362</v>
      </c>
      <c r="G5644">
        <v>0</v>
      </c>
      <c r="H5644">
        <v>0</v>
      </c>
      <c r="I5644">
        <v>-10899</v>
      </c>
      <c r="J5644">
        <v>7534</v>
      </c>
      <c r="K5644" s="201">
        <v>0</v>
      </c>
    </row>
    <row r="5645" spans="1:11" x14ac:dyDescent="0.25">
      <c r="A5645"/>
      <c r="B5645" s="201">
        <v>11240</v>
      </c>
      <c r="C5645">
        <v>0</v>
      </c>
      <c r="D5645" s="201">
        <v>0</v>
      </c>
      <c r="E5645" s="201">
        <v>0</v>
      </c>
      <c r="F5645">
        <v>0</v>
      </c>
      <c r="G5645">
        <v>6009</v>
      </c>
      <c r="H5645">
        <v>1724</v>
      </c>
      <c r="I5645">
        <v>1368</v>
      </c>
      <c r="J5645">
        <v>0</v>
      </c>
      <c r="K5645" s="201">
        <v>0</v>
      </c>
    </row>
    <row r="5646" spans="1:11" x14ac:dyDescent="0.25">
      <c r="A5646"/>
      <c r="B5646" s="201">
        <v>1489</v>
      </c>
      <c r="C5646">
        <v>-3935</v>
      </c>
      <c r="D5646" s="201">
        <v>0</v>
      </c>
      <c r="E5646" s="201">
        <v>5247</v>
      </c>
      <c r="F5646">
        <v>2675</v>
      </c>
      <c r="G5646">
        <v>1282</v>
      </c>
      <c r="H5646">
        <v>-484</v>
      </c>
      <c r="I5646">
        <v>858</v>
      </c>
      <c r="J5646">
        <v>870</v>
      </c>
      <c r="K5646" s="201">
        <v>4216</v>
      </c>
    </row>
    <row r="5647" spans="1:11" x14ac:dyDescent="0.25">
      <c r="A5647"/>
      <c r="B5647" s="201">
        <v>0</v>
      </c>
      <c r="C5647">
        <v>0</v>
      </c>
      <c r="D5647" s="201">
        <v>0</v>
      </c>
      <c r="E5647" s="201">
        <v>0</v>
      </c>
      <c r="F5647">
        <v>0</v>
      </c>
      <c r="G5647">
        <v>10015</v>
      </c>
      <c r="H5647">
        <v>0</v>
      </c>
      <c r="I5647">
        <v>-3945</v>
      </c>
      <c r="J5647">
        <v>5806</v>
      </c>
      <c r="K5647" s="201">
        <v>-485</v>
      </c>
    </row>
    <row r="5648" spans="1:11" x14ac:dyDescent="0.25">
      <c r="A5648"/>
      <c r="B5648" s="201">
        <v>0</v>
      </c>
      <c r="C5648">
        <v>-4102</v>
      </c>
      <c r="D5648" s="201">
        <v>488</v>
      </c>
      <c r="E5648" s="201">
        <v>579</v>
      </c>
      <c r="F5648">
        <v>-5336</v>
      </c>
      <c r="G5648">
        <v>-5737</v>
      </c>
      <c r="H5648">
        <v>0</v>
      </c>
      <c r="I5648">
        <v>-2355</v>
      </c>
      <c r="J5648">
        <v>-5160</v>
      </c>
      <c r="K5648" s="201">
        <v>-2314</v>
      </c>
    </row>
    <row r="5649" spans="1:11" x14ac:dyDescent="0.25">
      <c r="A5649"/>
      <c r="B5649" s="201">
        <v>-55</v>
      </c>
      <c r="C5649">
        <v>0</v>
      </c>
      <c r="D5649" s="201">
        <v>22</v>
      </c>
      <c r="E5649" s="201">
        <v>134</v>
      </c>
      <c r="F5649">
        <v>0</v>
      </c>
      <c r="G5649">
        <v>0</v>
      </c>
      <c r="H5649">
        <v>0</v>
      </c>
      <c r="I5649">
        <v>-757</v>
      </c>
      <c r="J5649">
        <v>2752</v>
      </c>
      <c r="K5649" s="201">
        <v>0</v>
      </c>
    </row>
    <row r="5650" spans="1:11" x14ac:dyDescent="0.25">
      <c r="A5650"/>
      <c r="B5650" s="201">
        <v>2898</v>
      </c>
      <c r="C5650">
        <v>-246</v>
      </c>
      <c r="D5650" s="201">
        <v>41</v>
      </c>
      <c r="E5650" s="201">
        <v>-59</v>
      </c>
      <c r="F5650">
        <v>0</v>
      </c>
      <c r="G5650">
        <v>0</v>
      </c>
      <c r="H5650">
        <v>0</v>
      </c>
      <c r="I5650">
        <v>0</v>
      </c>
      <c r="J5650">
        <v>0</v>
      </c>
      <c r="K5650" s="201">
        <v>11776</v>
      </c>
    </row>
    <row r="5651" spans="1:11" x14ac:dyDescent="0.25">
      <c r="A5651"/>
      <c r="B5651" s="201">
        <v>0</v>
      </c>
      <c r="C5651">
        <v>302</v>
      </c>
      <c r="D5651" s="201">
        <v>156</v>
      </c>
      <c r="E5651" s="201">
        <v>232</v>
      </c>
      <c r="F5651">
        <v>0</v>
      </c>
      <c r="G5651">
        <v>-3661</v>
      </c>
      <c r="H5651">
        <v>-100</v>
      </c>
      <c r="I5651">
        <v>73</v>
      </c>
      <c r="J5651">
        <v>-5851</v>
      </c>
      <c r="K5651" s="201">
        <v>-5841</v>
      </c>
    </row>
    <row r="5652" spans="1:11" x14ac:dyDescent="0.25">
      <c r="A5652"/>
      <c r="B5652" s="201">
        <v>-2209</v>
      </c>
      <c r="C5652" s="201">
        <v>-3247</v>
      </c>
      <c r="D5652" s="201">
        <v>-3374</v>
      </c>
      <c r="E5652" s="201">
        <v>0</v>
      </c>
      <c r="F5652">
        <v>106</v>
      </c>
      <c r="G5652">
        <v>0</v>
      </c>
      <c r="H5652">
        <v>0</v>
      </c>
      <c r="I5652">
        <v>-248</v>
      </c>
      <c r="J5652">
        <v>16</v>
      </c>
      <c r="K5652" s="201">
        <v>0</v>
      </c>
    </row>
    <row r="5653" spans="1:11" x14ac:dyDescent="0.25">
      <c r="A5653"/>
      <c r="B5653" s="201">
        <v>268</v>
      </c>
      <c r="C5653">
        <v>0</v>
      </c>
      <c r="D5653" s="201">
        <v>0</v>
      </c>
      <c r="E5653" s="201">
        <v>630</v>
      </c>
      <c r="F5653">
        <v>0</v>
      </c>
      <c r="G5653">
        <v>-74</v>
      </c>
      <c r="H5653">
        <v>-71</v>
      </c>
      <c r="I5653">
        <v>-907</v>
      </c>
      <c r="J5653">
        <v>0</v>
      </c>
      <c r="K5653" s="201">
        <v>0</v>
      </c>
    </row>
    <row r="5654" spans="1:11" x14ac:dyDescent="0.25">
      <c r="A5654"/>
      <c r="B5654" s="201">
        <v>0</v>
      </c>
      <c r="C5654">
        <v>0</v>
      </c>
      <c r="D5654" s="201">
        <v>0</v>
      </c>
      <c r="E5654" s="201">
        <v>10895</v>
      </c>
      <c r="F5654">
        <v>0</v>
      </c>
      <c r="G5654">
        <v>831</v>
      </c>
      <c r="H5654">
        <v>398</v>
      </c>
      <c r="I5654">
        <v>92</v>
      </c>
      <c r="J5654">
        <v>0</v>
      </c>
      <c r="K5654" s="201">
        <v>3598</v>
      </c>
    </row>
    <row r="5655" spans="1:11" x14ac:dyDescent="0.25">
      <c r="A5655"/>
      <c r="B5655" s="201">
        <v>697</v>
      </c>
      <c r="C5655">
        <v>2058</v>
      </c>
      <c r="D5655" s="201">
        <v>0</v>
      </c>
      <c r="E5655" s="201">
        <v>0</v>
      </c>
      <c r="F5655">
        <v>0</v>
      </c>
      <c r="G5655">
        <v>-739</v>
      </c>
      <c r="H5655">
        <v>-2118</v>
      </c>
      <c r="I5655">
        <v>414</v>
      </c>
      <c r="J5655">
        <v>-965</v>
      </c>
      <c r="K5655" s="201">
        <v>-614</v>
      </c>
    </row>
    <row r="5656" spans="1:11" x14ac:dyDescent="0.25">
      <c r="A5656"/>
      <c r="B5656" s="201">
        <v>0</v>
      </c>
      <c r="C5656">
        <v>814</v>
      </c>
      <c r="D5656" s="201">
        <v>0</v>
      </c>
      <c r="E5656" s="201">
        <v>0</v>
      </c>
      <c r="F5656">
        <v>49</v>
      </c>
      <c r="G5656">
        <v>0</v>
      </c>
      <c r="H5656">
        <v>1726</v>
      </c>
      <c r="I5656">
        <v>0</v>
      </c>
      <c r="J5656">
        <v>2267</v>
      </c>
      <c r="K5656" s="201">
        <v>0</v>
      </c>
    </row>
    <row r="5657" spans="1:11" x14ac:dyDescent="0.25">
      <c r="A5657"/>
      <c r="B5657" s="201">
        <v>0</v>
      </c>
      <c r="C5657">
        <v>0</v>
      </c>
      <c r="D5657" s="201">
        <v>0</v>
      </c>
      <c r="E5657" s="201">
        <v>0</v>
      </c>
      <c r="F5657">
        <v>0</v>
      </c>
      <c r="G5657">
        <v>0</v>
      </c>
      <c r="H5657">
        <v>0</v>
      </c>
      <c r="I5657">
        <v>8182</v>
      </c>
      <c r="J5657">
        <v>0</v>
      </c>
      <c r="K5657" s="201">
        <v>677</v>
      </c>
    </row>
    <row r="5658" spans="1:11" x14ac:dyDescent="0.25">
      <c r="B5658" s="201">
        <v>-704</v>
      </c>
      <c r="C5658">
        <v>189</v>
      </c>
      <c r="D5658" s="201">
        <v>0</v>
      </c>
      <c r="E5658" s="201">
        <v>-3982</v>
      </c>
      <c r="F5658">
        <v>-542</v>
      </c>
      <c r="G5658">
        <v>0</v>
      </c>
      <c r="H5658">
        <v>0</v>
      </c>
      <c r="I5658">
        <v>0</v>
      </c>
      <c r="J5658">
        <v>0</v>
      </c>
      <c r="K5658" s="201">
        <v>0</v>
      </c>
    </row>
    <row r="5659" spans="1:11" x14ac:dyDescent="0.25">
      <c r="B5659" s="201">
        <v>-617</v>
      </c>
      <c r="C5659">
        <v>3190</v>
      </c>
      <c r="D5659" s="201">
        <v>-1110</v>
      </c>
      <c r="E5659" s="201">
        <v>-565</v>
      </c>
      <c r="F5659">
        <v>-287</v>
      </c>
      <c r="G5659">
        <v>-588</v>
      </c>
      <c r="H5659">
        <v>0</v>
      </c>
      <c r="I5659">
        <v>0</v>
      </c>
      <c r="J5659">
        <v>0</v>
      </c>
      <c r="K5659" s="201">
        <v>0</v>
      </c>
    </row>
    <row r="5660" spans="1:11" x14ac:dyDescent="0.25">
      <c r="B5660" s="201">
        <v>4304</v>
      </c>
      <c r="C5660">
        <v>0</v>
      </c>
      <c r="D5660" s="201">
        <v>3828</v>
      </c>
      <c r="E5660" s="201">
        <v>0</v>
      </c>
      <c r="F5660">
        <v>0</v>
      </c>
      <c r="G5660">
        <v>-651</v>
      </c>
      <c r="H5660">
        <v>191</v>
      </c>
      <c r="I5660">
        <v>0</v>
      </c>
      <c r="J5660">
        <v>0</v>
      </c>
      <c r="K5660" s="201">
        <v>0</v>
      </c>
    </row>
    <row r="5661" spans="1:11" x14ac:dyDescent="0.25">
      <c r="A5661"/>
      <c r="B5661" s="201">
        <v>0</v>
      </c>
      <c r="C5661">
        <v>12668</v>
      </c>
      <c r="D5661" s="201">
        <v>0</v>
      </c>
      <c r="E5661" s="201">
        <v>654</v>
      </c>
      <c r="F5661">
        <v>-449</v>
      </c>
      <c r="G5661">
        <v>-79</v>
      </c>
      <c r="H5661">
        <v>3716</v>
      </c>
      <c r="I5661">
        <v>-357</v>
      </c>
      <c r="J5661">
        <v>20519</v>
      </c>
      <c r="K5661" s="201">
        <v>22604</v>
      </c>
    </row>
    <row r="5662" spans="1:11" x14ac:dyDescent="0.25">
      <c r="A5662"/>
      <c r="B5662" s="201">
        <v>11188</v>
      </c>
      <c r="C5662">
        <v>10201</v>
      </c>
      <c r="D5662" s="201">
        <v>5705</v>
      </c>
      <c r="E5662" s="201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 s="201">
        <v>0</v>
      </c>
    </row>
    <row r="5663" spans="1:11" x14ac:dyDescent="0.25">
      <c r="B5663" s="201">
        <v>-3599</v>
      </c>
      <c r="C5663">
        <v>-2877</v>
      </c>
      <c r="D5663" s="201">
        <v>-14519</v>
      </c>
      <c r="E5663" s="201">
        <v>-2246</v>
      </c>
      <c r="F5663">
        <v>-11505</v>
      </c>
      <c r="G5663">
        <v>-830</v>
      </c>
      <c r="H5663">
        <v>0</v>
      </c>
      <c r="I5663">
        <v>0</v>
      </c>
      <c r="J5663">
        <v>10574</v>
      </c>
      <c r="K5663" s="201">
        <v>0</v>
      </c>
    </row>
    <row r="5664" spans="1:11" x14ac:dyDescent="0.25">
      <c r="B5664" s="201">
        <v>5967</v>
      </c>
      <c r="C5664">
        <v>-55185</v>
      </c>
      <c r="D5664" s="201">
        <v>0</v>
      </c>
      <c r="E5664" s="201">
        <v>0</v>
      </c>
      <c r="F5664">
        <v>0</v>
      </c>
      <c r="G5664">
        <v>0</v>
      </c>
      <c r="H5664">
        <v>2486</v>
      </c>
      <c r="I5664">
        <v>0</v>
      </c>
      <c r="J5664">
        <v>2859</v>
      </c>
      <c r="K5664" s="201">
        <v>3266</v>
      </c>
    </row>
    <row r="5665" spans="1:11" x14ac:dyDescent="0.25">
      <c r="A5665"/>
      <c r="B5665" s="201">
        <v>0</v>
      </c>
      <c r="C5665">
        <v>0</v>
      </c>
      <c r="D5665" s="201">
        <v>0</v>
      </c>
      <c r="E5665" s="201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 s="201">
        <v>0</v>
      </c>
    </row>
    <row r="5666" spans="1:11" x14ac:dyDescent="0.25">
      <c r="A5666"/>
      <c r="B5666" s="201">
        <v>0</v>
      </c>
      <c r="C5666">
        <v>0</v>
      </c>
      <c r="D5666" s="201">
        <v>0</v>
      </c>
      <c r="E5666" s="201">
        <v>0</v>
      </c>
      <c r="F5666">
        <v>0</v>
      </c>
      <c r="G5666">
        <v>-156</v>
      </c>
      <c r="H5666">
        <v>0</v>
      </c>
      <c r="I5666">
        <v>0</v>
      </c>
      <c r="J5666">
        <v>0</v>
      </c>
      <c r="K5666" s="201">
        <v>0</v>
      </c>
    </row>
    <row r="5667" spans="1:11" x14ac:dyDescent="0.25">
      <c r="A5667"/>
      <c r="B5667" s="201">
        <v>0</v>
      </c>
      <c r="C5667">
        <v>-203</v>
      </c>
      <c r="D5667" s="201">
        <v>196</v>
      </c>
      <c r="E5667" s="201">
        <v>466</v>
      </c>
      <c r="F5667">
        <v>-19476</v>
      </c>
      <c r="G5667">
        <v>-2856</v>
      </c>
      <c r="H5667">
        <v>-1555</v>
      </c>
      <c r="I5667">
        <v>-2906</v>
      </c>
      <c r="J5667">
        <v>-2481</v>
      </c>
      <c r="K5667" s="201">
        <v>599</v>
      </c>
    </row>
    <row r="5668" spans="1:11" x14ac:dyDescent="0.25">
      <c r="B5668" s="201">
        <v>-915</v>
      </c>
      <c r="C5668">
        <v>-460</v>
      </c>
      <c r="D5668" s="201">
        <v>-654</v>
      </c>
      <c r="E5668" s="201">
        <v>-11478</v>
      </c>
      <c r="F5668">
        <v>199</v>
      </c>
      <c r="G5668">
        <v>269</v>
      </c>
      <c r="H5668">
        <v>-1318</v>
      </c>
      <c r="I5668">
        <v>162</v>
      </c>
      <c r="J5668">
        <v>0</v>
      </c>
      <c r="K5668" s="201">
        <v>-13577</v>
      </c>
    </row>
    <row r="5669" spans="1:11" x14ac:dyDescent="0.25">
      <c r="B5669" s="201">
        <v>3811</v>
      </c>
      <c r="C5669">
        <v>4016</v>
      </c>
      <c r="D5669" s="201">
        <v>-3653</v>
      </c>
      <c r="E5669" s="201">
        <v>-4096</v>
      </c>
      <c r="F5669">
        <v>-1934</v>
      </c>
      <c r="G5669">
        <v>1384</v>
      </c>
      <c r="H5669">
        <v>-1128</v>
      </c>
      <c r="I5669">
        <v>-4085</v>
      </c>
      <c r="J5669">
        <v>96</v>
      </c>
      <c r="K5669" s="201">
        <v>-1613</v>
      </c>
    </row>
    <row r="5670" spans="1:11" x14ac:dyDescent="0.25">
      <c r="A5670"/>
      <c r="B5670" s="201">
        <v>-1178</v>
      </c>
      <c r="C5670">
        <v>-2396</v>
      </c>
      <c r="D5670" s="201">
        <v>661</v>
      </c>
      <c r="E5670" s="201">
        <v>1767</v>
      </c>
      <c r="F5670">
        <v>529</v>
      </c>
      <c r="G5670">
        <v>-2321</v>
      </c>
      <c r="H5670">
        <v>1118</v>
      </c>
      <c r="I5670">
        <v>2180</v>
      </c>
      <c r="J5670">
        <v>-809</v>
      </c>
      <c r="K5670" s="201">
        <v>30628</v>
      </c>
    </row>
    <row r="5671" spans="1:11" x14ac:dyDescent="0.25">
      <c r="A5671"/>
      <c r="B5671" s="201">
        <v>-8690</v>
      </c>
      <c r="C5671">
        <v>-478</v>
      </c>
      <c r="D5671" s="201">
        <v>-4777</v>
      </c>
      <c r="E5671" s="201">
        <v>-2826</v>
      </c>
      <c r="F5671">
        <v>-2779</v>
      </c>
      <c r="G5671">
        <v>0</v>
      </c>
      <c r="H5671">
        <v>0</v>
      </c>
      <c r="I5671">
        <v>-1382</v>
      </c>
      <c r="J5671">
        <v>0</v>
      </c>
      <c r="K5671" s="201">
        <v>0</v>
      </c>
    </row>
    <row r="5672" spans="1:11" x14ac:dyDescent="0.25">
      <c r="A5672"/>
      <c r="B5672" s="201">
        <v>0</v>
      </c>
      <c r="C5672">
        <v>1805</v>
      </c>
      <c r="D5672" s="201">
        <v>1903</v>
      </c>
      <c r="E5672" s="201">
        <v>0</v>
      </c>
      <c r="F5672">
        <v>0</v>
      </c>
      <c r="G5672">
        <v>0</v>
      </c>
      <c r="H5672">
        <v>0</v>
      </c>
      <c r="I5672">
        <v>0</v>
      </c>
      <c r="J5672">
        <v>0</v>
      </c>
      <c r="K5672" s="201">
        <v>-4166</v>
      </c>
    </row>
    <row r="5673" spans="1:11" x14ac:dyDescent="0.25">
      <c r="A5673"/>
      <c r="B5673" s="76">
        <v>0</v>
      </c>
      <c r="C5673">
        <v>0</v>
      </c>
      <c r="D5673" s="201">
        <v>555</v>
      </c>
      <c r="E5673" s="201">
        <v>0</v>
      </c>
      <c r="F5673">
        <v>-468</v>
      </c>
      <c r="G5673">
        <v>0</v>
      </c>
      <c r="H5673">
        <v>33</v>
      </c>
      <c r="I5673">
        <v>7192</v>
      </c>
      <c r="J5673">
        <v>2474</v>
      </c>
      <c r="K5673" s="201">
        <v>0</v>
      </c>
    </row>
    <row r="5674" spans="1:11" x14ac:dyDescent="0.25">
      <c r="A5674"/>
      <c r="B5674" s="201">
        <v>1104</v>
      </c>
      <c r="C5674" s="201">
        <v>-15</v>
      </c>
      <c r="D5674" s="201">
        <v>-2148</v>
      </c>
      <c r="E5674" s="201">
        <v>-1620</v>
      </c>
      <c r="F5674">
        <v>-1068</v>
      </c>
      <c r="G5674">
        <v>-561</v>
      </c>
      <c r="H5674">
        <v>0</v>
      </c>
      <c r="I5674">
        <v>58</v>
      </c>
      <c r="J5674">
        <v>0</v>
      </c>
      <c r="K5674" s="201">
        <v>0</v>
      </c>
    </row>
    <row r="5675" spans="1:11" x14ac:dyDescent="0.25">
      <c r="A5675"/>
      <c r="B5675" s="201">
        <v>0</v>
      </c>
      <c r="C5675">
        <v>0</v>
      </c>
      <c r="D5675" s="201">
        <v>0</v>
      </c>
      <c r="E5675" s="201">
        <v>-155</v>
      </c>
      <c r="F5675">
        <v>0</v>
      </c>
      <c r="G5675">
        <v>0</v>
      </c>
      <c r="H5675">
        <v>0</v>
      </c>
      <c r="I5675">
        <v>452</v>
      </c>
      <c r="J5675">
        <v>0</v>
      </c>
      <c r="K5675" s="201">
        <v>-94</v>
      </c>
    </row>
    <row r="5676" spans="1:11" x14ac:dyDescent="0.25">
      <c r="A5676"/>
      <c r="B5676" s="201">
        <v>0</v>
      </c>
      <c r="C5676">
        <v>0</v>
      </c>
      <c r="D5676" s="201">
        <v>0</v>
      </c>
      <c r="E5676" s="201">
        <v>0</v>
      </c>
      <c r="F5676">
        <v>0</v>
      </c>
      <c r="G5676">
        <v>982</v>
      </c>
      <c r="H5676">
        <v>0</v>
      </c>
      <c r="I5676">
        <v>-37</v>
      </c>
      <c r="J5676">
        <v>839</v>
      </c>
      <c r="K5676" s="201">
        <v>0</v>
      </c>
    </row>
    <row r="5677" spans="1:11" x14ac:dyDescent="0.25">
      <c r="A5677"/>
      <c r="B5677" s="201">
        <v>0</v>
      </c>
      <c r="C5677">
        <v>4652</v>
      </c>
      <c r="D5677" s="201">
        <v>-1056</v>
      </c>
      <c r="E5677" s="201">
        <v>0</v>
      </c>
      <c r="F5677">
        <v>-4381</v>
      </c>
      <c r="G5677">
        <v>0</v>
      </c>
      <c r="H5677">
        <v>0</v>
      </c>
      <c r="I5677">
        <v>0</v>
      </c>
      <c r="J5677">
        <v>0</v>
      </c>
      <c r="K5677" s="201">
        <v>-278</v>
      </c>
    </row>
    <row r="5678" spans="1:11" x14ac:dyDescent="0.25">
      <c r="A5678"/>
      <c r="B5678" s="201">
        <v>-1364</v>
      </c>
      <c r="C5678">
        <v>-724</v>
      </c>
      <c r="D5678" s="201">
        <v>0</v>
      </c>
      <c r="E5678" s="201">
        <v>0</v>
      </c>
      <c r="F5678">
        <v>476</v>
      </c>
      <c r="G5678">
        <v>1342</v>
      </c>
      <c r="H5678">
        <v>0</v>
      </c>
      <c r="I5678">
        <v>-540</v>
      </c>
      <c r="J5678">
        <v>1341</v>
      </c>
      <c r="K5678" s="201">
        <v>362</v>
      </c>
    </row>
    <row r="5679" spans="1:11" x14ac:dyDescent="0.25">
      <c r="A5679"/>
      <c r="B5679" s="201">
        <v>1604</v>
      </c>
      <c r="C5679">
        <v>448</v>
      </c>
      <c r="D5679" s="201">
        <v>778</v>
      </c>
      <c r="E5679" s="201">
        <v>112</v>
      </c>
      <c r="F5679">
        <v>0</v>
      </c>
      <c r="G5679">
        <v>0</v>
      </c>
      <c r="H5679">
        <v>0</v>
      </c>
      <c r="I5679">
        <v>0</v>
      </c>
      <c r="J5679">
        <v>0</v>
      </c>
      <c r="K5679" s="201">
        <v>2021</v>
      </c>
    </row>
    <row r="5680" spans="1:11" x14ac:dyDescent="0.25">
      <c r="A5680"/>
      <c r="B5680" s="201">
        <v>0</v>
      </c>
      <c r="C5680">
        <v>13</v>
      </c>
      <c r="D5680" s="201">
        <v>471</v>
      </c>
      <c r="E5680" s="201">
        <v>-752</v>
      </c>
      <c r="F5680">
        <v>0</v>
      </c>
      <c r="G5680">
        <v>-8777</v>
      </c>
      <c r="H5680">
        <v>-3806</v>
      </c>
      <c r="I5680">
        <v>2243</v>
      </c>
      <c r="J5680">
        <v>18615</v>
      </c>
      <c r="K5680" s="201">
        <v>16851</v>
      </c>
    </row>
    <row r="5681" spans="1:11" x14ac:dyDescent="0.25">
      <c r="A5681"/>
      <c r="B5681" s="201">
        <v>0</v>
      </c>
      <c r="C5681">
        <v>3892</v>
      </c>
      <c r="D5681" s="201">
        <v>5369</v>
      </c>
      <c r="E5681" s="201">
        <v>9936</v>
      </c>
      <c r="F5681">
        <v>996</v>
      </c>
      <c r="G5681">
        <v>0</v>
      </c>
      <c r="H5681">
        <v>-886</v>
      </c>
      <c r="I5681">
        <v>-232</v>
      </c>
      <c r="J5681">
        <v>0</v>
      </c>
      <c r="K5681" s="201">
        <v>0</v>
      </c>
    </row>
    <row r="5682" spans="1:11" x14ac:dyDescent="0.25">
      <c r="A5682"/>
      <c r="B5682" s="201">
        <v>0</v>
      </c>
      <c r="C5682">
        <v>620</v>
      </c>
      <c r="D5682" s="201">
        <v>-1307</v>
      </c>
      <c r="E5682" s="201">
        <v>0</v>
      </c>
      <c r="F5682">
        <v>-1471</v>
      </c>
      <c r="G5682">
        <v>1108</v>
      </c>
      <c r="H5682">
        <v>-138</v>
      </c>
      <c r="I5682">
        <v>-22</v>
      </c>
      <c r="J5682">
        <v>0</v>
      </c>
      <c r="K5682" s="201">
        <v>0</v>
      </c>
    </row>
    <row r="5683" spans="1:11" x14ac:dyDescent="0.25">
      <c r="A5683"/>
      <c r="B5683" s="201">
        <v>0</v>
      </c>
      <c r="C5683">
        <v>0</v>
      </c>
      <c r="D5683" s="201">
        <v>0</v>
      </c>
      <c r="E5683" s="201">
        <v>8645</v>
      </c>
      <c r="F5683">
        <v>0</v>
      </c>
      <c r="G5683">
        <v>1111</v>
      </c>
      <c r="H5683">
        <v>4691</v>
      </c>
      <c r="I5683">
        <v>641</v>
      </c>
      <c r="J5683">
        <v>0</v>
      </c>
      <c r="K5683" s="201">
        <v>-3508</v>
      </c>
    </row>
    <row r="5684" spans="1:11" x14ac:dyDescent="0.25">
      <c r="A5684"/>
      <c r="B5684" s="201">
        <v>-1197</v>
      </c>
      <c r="C5684">
        <v>-36</v>
      </c>
      <c r="D5684" s="201">
        <v>-10369</v>
      </c>
      <c r="E5684" s="201">
        <v>-7238</v>
      </c>
      <c r="F5684">
        <v>-2602</v>
      </c>
      <c r="G5684">
        <v>-2814</v>
      </c>
      <c r="H5684">
        <v>-2416</v>
      </c>
      <c r="I5684">
        <v>0</v>
      </c>
      <c r="J5684">
        <v>79</v>
      </c>
      <c r="K5684" s="201">
        <v>0</v>
      </c>
    </row>
    <row r="5685" spans="1:11" x14ac:dyDescent="0.25">
      <c r="A5685"/>
      <c r="B5685" s="201">
        <v>0</v>
      </c>
      <c r="C5685">
        <v>-176</v>
      </c>
      <c r="D5685" s="201">
        <v>219</v>
      </c>
      <c r="E5685" s="201">
        <v>0</v>
      </c>
      <c r="F5685">
        <v>1014</v>
      </c>
      <c r="G5685">
        <v>0</v>
      </c>
      <c r="H5685">
        <v>0</v>
      </c>
      <c r="I5685">
        <v>97</v>
      </c>
      <c r="J5685">
        <v>0</v>
      </c>
      <c r="K5685" s="201">
        <v>99</v>
      </c>
    </row>
    <row r="5686" spans="1:11" x14ac:dyDescent="0.25">
      <c r="A5686"/>
      <c r="B5686" s="201">
        <v>135</v>
      </c>
      <c r="C5686">
        <v>-239</v>
      </c>
      <c r="D5686" s="201">
        <v>0</v>
      </c>
      <c r="E5686" s="201">
        <v>0</v>
      </c>
      <c r="F5686">
        <v>0</v>
      </c>
      <c r="G5686">
        <v>0</v>
      </c>
      <c r="H5686">
        <v>0</v>
      </c>
      <c r="I5686">
        <v>11312</v>
      </c>
      <c r="J5686">
        <v>0</v>
      </c>
      <c r="K5686" s="201">
        <v>1677</v>
      </c>
    </row>
    <row r="5687" spans="1:11" x14ac:dyDescent="0.25">
      <c r="A5687"/>
      <c r="B5687" s="201">
        <v>153</v>
      </c>
      <c r="C5687">
        <v>112</v>
      </c>
      <c r="D5687" s="201">
        <v>0</v>
      </c>
      <c r="E5687" s="201">
        <v>4026</v>
      </c>
      <c r="F5687">
        <v>-162</v>
      </c>
      <c r="G5687">
        <v>2556</v>
      </c>
      <c r="H5687">
        <v>0</v>
      </c>
      <c r="I5687">
        <v>0</v>
      </c>
      <c r="J5687">
        <v>0</v>
      </c>
      <c r="K5687" s="201">
        <v>-179</v>
      </c>
    </row>
    <row r="5688" spans="1:11" x14ac:dyDescent="0.25">
      <c r="B5688" s="201">
        <v>-1363</v>
      </c>
      <c r="C5688">
        <v>-150</v>
      </c>
      <c r="D5688" s="201">
        <v>-1286</v>
      </c>
      <c r="E5688" s="201">
        <v>-878</v>
      </c>
      <c r="F5688">
        <v>0</v>
      </c>
      <c r="G5688">
        <v>1062</v>
      </c>
      <c r="H5688">
        <v>0</v>
      </c>
      <c r="I5688">
        <v>0</v>
      </c>
      <c r="J5688">
        <v>91</v>
      </c>
      <c r="K5688" s="201">
        <v>0</v>
      </c>
    </row>
    <row r="5689" spans="1:11" x14ac:dyDescent="0.25">
      <c r="A5689"/>
      <c r="B5689" s="201">
        <v>868</v>
      </c>
      <c r="C5689">
        <v>0</v>
      </c>
      <c r="D5689" s="201">
        <v>1320</v>
      </c>
      <c r="E5689" s="201">
        <v>0</v>
      </c>
      <c r="F5689">
        <v>0</v>
      </c>
      <c r="G5689">
        <v>0</v>
      </c>
      <c r="H5689">
        <v>0</v>
      </c>
      <c r="I5689">
        <v>0</v>
      </c>
      <c r="J5689">
        <v>0</v>
      </c>
      <c r="K5689" s="201">
        <v>0</v>
      </c>
    </row>
    <row r="5690" spans="1:11" x14ac:dyDescent="0.25">
      <c r="A5690"/>
      <c r="B5690" s="201">
        <v>0</v>
      </c>
      <c r="C5690">
        <v>8691</v>
      </c>
      <c r="D5690" s="201">
        <v>0</v>
      </c>
      <c r="E5690" s="201">
        <v>841</v>
      </c>
      <c r="F5690">
        <v>-1053</v>
      </c>
      <c r="G5690">
        <v>253</v>
      </c>
      <c r="H5690">
        <v>0</v>
      </c>
      <c r="I5690">
        <v>-4154</v>
      </c>
      <c r="J5690">
        <v>-769</v>
      </c>
      <c r="K5690" s="201">
        <v>0</v>
      </c>
    </row>
    <row r="5691" spans="1:11" x14ac:dyDescent="0.25">
      <c r="A5691"/>
      <c r="B5691" s="201">
        <v>0</v>
      </c>
      <c r="C5691">
        <v>0</v>
      </c>
      <c r="D5691" s="201">
        <v>0</v>
      </c>
      <c r="E5691" s="201">
        <v>0</v>
      </c>
      <c r="F5691">
        <v>637</v>
      </c>
      <c r="G5691">
        <v>3485</v>
      </c>
      <c r="H5691">
        <v>-1471</v>
      </c>
      <c r="I5691">
        <v>-830</v>
      </c>
      <c r="J5691">
        <v>-244</v>
      </c>
      <c r="K5691" s="201">
        <v>-573</v>
      </c>
    </row>
    <row r="5692" spans="1:11" x14ac:dyDescent="0.25">
      <c r="A5692"/>
      <c r="B5692" s="201">
        <v>0</v>
      </c>
      <c r="C5692">
        <v>0</v>
      </c>
      <c r="D5692" s="201">
        <v>0</v>
      </c>
      <c r="E5692" s="201">
        <v>0</v>
      </c>
      <c r="F5692">
        <v>1415</v>
      </c>
      <c r="G5692">
        <v>0</v>
      </c>
      <c r="H5692">
        <v>906</v>
      </c>
      <c r="I5692">
        <v>0</v>
      </c>
      <c r="J5692">
        <v>0</v>
      </c>
      <c r="K5692" s="201">
        <v>832</v>
      </c>
    </row>
    <row r="5693" spans="1:11" x14ac:dyDescent="0.25">
      <c r="B5693" s="201">
        <v>-523</v>
      </c>
      <c r="C5693">
        <v>0</v>
      </c>
      <c r="D5693" s="201">
        <v>0</v>
      </c>
      <c r="E5693" s="201">
        <v>0</v>
      </c>
      <c r="F5693">
        <v>0</v>
      </c>
      <c r="G5693">
        <v>13111</v>
      </c>
      <c r="H5693">
        <v>0</v>
      </c>
      <c r="I5693">
        <v>722</v>
      </c>
      <c r="J5693">
        <v>-465</v>
      </c>
      <c r="K5693" s="201">
        <v>-14</v>
      </c>
    </row>
    <row r="5694" spans="1:11" x14ac:dyDescent="0.25">
      <c r="A5694"/>
      <c r="B5694" s="201">
        <v>3922</v>
      </c>
      <c r="C5694">
        <v>-389</v>
      </c>
      <c r="D5694" s="201">
        <v>22071</v>
      </c>
      <c r="E5694" s="201">
        <v>18513</v>
      </c>
      <c r="F5694">
        <v>12883</v>
      </c>
      <c r="G5694">
        <v>10587</v>
      </c>
      <c r="H5694">
        <v>5714</v>
      </c>
      <c r="I5694">
        <v>0</v>
      </c>
      <c r="J5694">
        <v>0</v>
      </c>
      <c r="K5694" s="201">
        <v>0</v>
      </c>
    </row>
    <row r="5695" spans="1:11" x14ac:dyDescent="0.25">
      <c r="A5695"/>
      <c r="B5695" s="201">
        <v>0</v>
      </c>
      <c r="C5695">
        <v>0</v>
      </c>
      <c r="D5695" s="201">
        <v>0</v>
      </c>
      <c r="E5695" s="201">
        <v>0</v>
      </c>
      <c r="F5695">
        <v>-3754</v>
      </c>
      <c r="G5695">
        <v>1763</v>
      </c>
      <c r="H5695">
        <v>-3502</v>
      </c>
      <c r="I5695">
        <v>69</v>
      </c>
      <c r="J5695">
        <v>-3124</v>
      </c>
      <c r="K5695" s="201">
        <v>-1132</v>
      </c>
    </row>
    <row r="5696" spans="1:11" x14ac:dyDescent="0.25">
      <c r="A5696"/>
      <c r="B5696" s="201">
        <v>0</v>
      </c>
      <c r="C5696" s="201">
        <v>0</v>
      </c>
      <c r="D5696" s="201">
        <v>10581</v>
      </c>
      <c r="E5696" s="201">
        <v>0</v>
      </c>
      <c r="F5696">
        <v>7865</v>
      </c>
      <c r="G5696">
        <v>-60900</v>
      </c>
      <c r="H5696">
        <v>0</v>
      </c>
      <c r="I5696">
        <v>0</v>
      </c>
      <c r="J5696">
        <v>0</v>
      </c>
      <c r="K5696" s="201">
        <v>0</v>
      </c>
    </row>
    <row r="5697" spans="1:11" x14ac:dyDescent="0.25">
      <c r="A5697"/>
      <c r="B5697" s="201">
        <v>-3405</v>
      </c>
      <c r="C5697">
        <v>0</v>
      </c>
      <c r="D5697" s="201">
        <v>764</v>
      </c>
      <c r="E5697" s="201">
        <v>489</v>
      </c>
      <c r="F5697">
        <v>0</v>
      </c>
      <c r="G5697">
        <v>0</v>
      </c>
      <c r="H5697">
        <v>0</v>
      </c>
      <c r="I5697">
        <v>0</v>
      </c>
      <c r="J5697">
        <v>0</v>
      </c>
      <c r="K5697" s="201">
        <v>0</v>
      </c>
    </row>
    <row r="5698" spans="1:11" x14ac:dyDescent="0.25">
      <c r="A5698"/>
      <c r="B5698" s="201">
        <v>0</v>
      </c>
      <c r="C5698">
        <v>0</v>
      </c>
      <c r="D5698" s="201">
        <v>0</v>
      </c>
      <c r="E5698" s="201">
        <v>0</v>
      </c>
      <c r="F5698">
        <v>0</v>
      </c>
      <c r="G5698">
        <v>0</v>
      </c>
      <c r="H5698">
        <v>0</v>
      </c>
      <c r="I5698">
        <v>0</v>
      </c>
      <c r="J5698">
        <v>0</v>
      </c>
      <c r="K5698" s="201">
        <v>-51</v>
      </c>
    </row>
    <row r="5699" spans="1:11" x14ac:dyDescent="0.25">
      <c r="A5699"/>
      <c r="B5699" s="201">
        <v>0</v>
      </c>
      <c r="C5699">
        <v>0</v>
      </c>
      <c r="D5699" s="201">
        <v>0</v>
      </c>
      <c r="E5699" s="201">
        <v>0</v>
      </c>
      <c r="F5699">
        <v>0</v>
      </c>
      <c r="G5699">
        <v>8</v>
      </c>
      <c r="H5699">
        <v>715</v>
      </c>
      <c r="I5699">
        <v>633</v>
      </c>
      <c r="J5699">
        <v>3728</v>
      </c>
      <c r="K5699" s="201">
        <v>9946</v>
      </c>
    </row>
    <row r="5700" spans="1:11" x14ac:dyDescent="0.25">
      <c r="A5700"/>
      <c r="B5700" s="201">
        <v>-1033</v>
      </c>
      <c r="C5700">
        <v>-1333</v>
      </c>
      <c r="D5700" s="201">
        <v>-3327</v>
      </c>
      <c r="E5700" s="201">
        <v>775</v>
      </c>
      <c r="F5700">
        <v>-527</v>
      </c>
      <c r="G5700">
        <v>399</v>
      </c>
      <c r="H5700">
        <v>-159</v>
      </c>
      <c r="I5700">
        <v>2366</v>
      </c>
      <c r="J5700">
        <v>2971</v>
      </c>
      <c r="K5700" s="201">
        <v>1198</v>
      </c>
    </row>
    <row r="5701" spans="1:11" x14ac:dyDescent="0.25">
      <c r="A5701"/>
      <c r="B5701" s="201">
        <v>-83</v>
      </c>
      <c r="C5701">
        <v>-401</v>
      </c>
      <c r="D5701" s="201">
        <v>0</v>
      </c>
      <c r="E5701" s="201">
        <v>3052</v>
      </c>
      <c r="F5701">
        <v>2200</v>
      </c>
      <c r="G5701">
        <v>2671</v>
      </c>
      <c r="H5701">
        <v>402</v>
      </c>
      <c r="I5701">
        <v>-2795</v>
      </c>
      <c r="J5701">
        <v>9697</v>
      </c>
      <c r="K5701" s="201">
        <v>5009</v>
      </c>
    </row>
    <row r="5702" spans="1:11" x14ac:dyDescent="0.25">
      <c r="B5702" s="201">
        <v>-2834</v>
      </c>
      <c r="C5702">
        <v>2480</v>
      </c>
      <c r="D5702" s="201">
        <v>151</v>
      </c>
      <c r="E5702" s="201">
        <v>-1208</v>
      </c>
      <c r="F5702">
        <v>144</v>
      </c>
      <c r="G5702">
        <v>1582</v>
      </c>
      <c r="H5702">
        <v>872</v>
      </c>
      <c r="I5702">
        <v>2998</v>
      </c>
      <c r="J5702">
        <v>1459</v>
      </c>
      <c r="K5702" s="201">
        <v>2140</v>
      </c>
    </row>
    <row r="5703" spans="1:11" x14ac:dyDescent="0.25">
      <c r="A5703"/>
      <c r="B5703" s="201">
        <v>1236</v>
      </c>
      <c r="C5703">
        <v>3790</v>
      </c>
      <c r="D5703" s="201">
        <v>141</v>
      </c>
      <c r="E5703" s="201">
        <v>29761</v>
      </c>
      <c r="F5703">
        <v>47371</v>
      </c>
      <c r="G5703">
        <v>-7887</v>
      </c>
      <c r="H5703">
        <v>-343</v>
      </c>
      <c r="I5703">
        <v>-3901</v>
      </c>
      <c r="J5703">
        <v>-2870</v>
      </c>
      <c r="K5703" s="201">
        <v>-2608</v>
      </c>
    </row>
    <row r="5704" spans="1:11" x14ac:dyDescent="0.25">
      <c r="A5704"/>
      <c r="B5704" s="201">
        <v>0</v>
      </c>
      <c r="C5704">
        <v>0</v>
      </c>
      <c r="D5704" s="201">
        <v>-577</v>
      </c>
      <c r="E5704" s="201">
        <v>0</v>
      </c>
      <c r="F5704">
        <v>0</v>
      </c>
      <c r="G5704">
        <v>0</v>
      </c>
      <c r="H5704">
        <v>1384</v>
      </c>
      <c r="I5704">
        <v>992</v>
      </c>
      <c r="J5704">
        <v>0</v>
      </c>
      <c r="K5704" s="201">
        <v>0</v>
      </c>
    </row>
    <row r="5705" spans="1:11" x14ac:dyDescent="0.25">
      <c r="A5705"/>
      <c r="B5705" s="201">
        <v>0</v>
      </c>
      <c r="C5705">
        <v>0</v>
      </c>
      <c r="D5705" s="201">
        <v>0</v>
      </c>
      <c r="E5705" s="201">
        <v>0</v>
      </c>
      <c r="F5705">
        <v>-4182</v>
      </c>
      <c r="G5705">
        <v>0</v>
      </c>
      <c r="H5705">
        <v>0</v>
      </c>
      <c r="I5705">
        <v>471</v>
      </c>
      <c r="J5705">
        <v>0</v>
      </c>
      <c r="K5705" s="201">
        <v>-414</v>
      </c>
    </row>
    <row r="5706" spans="1:11" x14ac:dyDescent="0.25">
      <c r="A5706"/>
      <c r="B5706" s="201">
        <v>0</v>
      </c>
      <c r="C5706">
        <v>29</v>
      </c>
      <c r="D5706" s="201">
        <v>6182</v>
      </c>
      <c r="E5706" s="201">
        <v>2396</v>
      </c>
      <c r="F5706">
        <v>0</v>
      </c>
      <c r="G5706">
        <v>1255</v>
      </c>
      <c r="H5706">
        <v>49</v>
      </c>
      <c r="I5706">
        <v>-1510</v>
      </c>
      <c r="J5706">
        <v>-1507</v>
      </c>
      <c r="K5706" s="201">
        <v>-958</v>
      </c>
    </row>
    <row r="5707" spans="1:11" x14ac:dyDescent="0.25">
      <c r="B5707" s="201">
        <v>-922</v>
      </c>
      <c r="C5707">
        <v>0</v>
      </c>
      <c r="D5707" s="201">
        <v>-1</v>
      </c>
      <c r="E5707" s="201">
        <v>0</v>
      </c>
      <c r="F5707">
        <v>0</v>
      </c>
      <c r="G5707">
        <v>0</v>
      </c>
      <c r="H5707">
        <v>0</v>
      </c>
      <c r="I5707">
        <v>0</v>
      </c>
      <c r="J5707">
        <v>-224</v>
      </c>
      <c r="K5707" s="201">
        <v>0</v>
      </c>
    </row>
    <row r="5708" spans="1:11" x14ac:dyDescent="0.25">
      <c r="A5708"/>
      <c r="B5708" s="201">
        <v>0</v>
      </c>
      <c r="C5708">
        <v>0</v>
      </c>
      <c r="D5708" s="201">
        <v>154</v>
      </c>
      <c r="E5708" s="201">
        <v>0</v>
      </c>
      <c r="F5708">
        <v>-153</v>
      </c>
      <c r="G5708">
        <v>0</v>
      </c>
      <c r="H5708">
        <v>0</v>
      </c>
      <c r="I5708">
        <v>0</v>
      </c>
      <c r="J5708">
        <v>0</v>
      </c>
      <c r="K5708" s="201">
        <v>0</v>
      </c>
    </row>
    <row r="5709" spans="1:11" x14ac:dyDescent="0.25">
      <c r="A5709"/>
      <c r="B5709" s="201">
        <v>831</v>
      </c>
      <c r="C5709">
        <v>0</v>
      </c>
      <c r="D5709" s="201">
        <v>-85</v>
      </c>
      <c r="E5709" s="201">
        <v>558</v>
      </c>
      <c r="F5709">
        <v>0</v>
      </c>
      <c r="G5709">
        <v>0</v>
      </c>
      <c r="H5709">
        <v>4145</v>
      </c>
      <c r="I5709">
        <v>-628</v>
      </c>
      <c r="J5709">
        <v>0</v>
      </c>
      <c r="K5709" s="201">
        <v>-3299</v>
      </c>
    </row>
    <row r="5710" spans="1:11" x14ac:dyDescent="0.25">
      <c r="A5710"/>
      <c r="B5710" s="201">
        <v>0</v>
      </c>
      <c r="C5710">
        <v>0</v>
      </c>
      <c r="D5710" s="201">
        <v>0</v>
      </c>
      <c r="E5710" s="201">
        <v>0</v>
      </c>
      <c r="F5710">
        <v>750</v>
      </c>
      <c r="G5710">
        <v>-1256</v>
      </c>
      <c r="H5710">
        <v>-637</v>
      </c>
      <c r="I5710">
        <v>0</v>
      </c>
      <c r="J5710">
        <v>0</v>
      </c>
      <c r="K5710" s="201">
        <v>429</v>
      </c>
    </row>
    <row r="5711" spans="1:11" x14ac:dyDescent="0.25">
      <c r="B5711" s="201">
        <v>1304</v>
      </c>
      <c r="C5711">
        <v>0</v>
      </c>
      <c r="D5711" s="201">
        <v>-453</v>
      </c>
      <c r="E5711" s="201">
        <v>1595</v>
      </c>
      <c r="F5711">
        <v>25</v>
      </c>
      <c r="G5711">
        <v>2229</v>
      </c>
      <c r="H5711">
        <v>713</v>
      </c>
      <c r="I5711">
        <v>823</v>
      </c>
      <c r="J5711">
        <v>200</v>
      </c>
      <c r="K5711" s="201">
        <v>0</v>
      </c>
    </row>
    <row r="5712" spans="1:11" x14ac:dyDescent="0.25">
      <c r="A5712"/>
      <c r="B5712" s="201">
        <v>0</v>
      </c>
      <c r="C5712">
        <v>0</v>
      </c>
      <c r="D5712" s="201">
        <v>0</v>
      </c>
      <c r="E5712" s="201">
        <v>0</v>
      </c>
      <c r="F5712">
        <v>2285</v>
      </c>
      <c r="G5712">
        <v>0</v>
      </c>
      <c r="H5712">
        <v>-249</v>
      </c>
      <c r="I5712">
        <v>465</v>
      </c>
      <c r="J5712">
        <v>-835</v>
      </c>
      <c r="K5712" s="201">
        <v>0</v>
      </c>
    </row>
    <row r="5713" spans="1:11" x14ac:dyDescent="0.25">
      <c r="A5713"/>
      <c r="B5713" s="201">
        <v>-4195</v>
      </c>
      <c r="C5713">
        <v>-547</v>
      </c>
      <c r="D5713" s="201">
        <v>646</v>
      </c>
      <c r="E5713" s="201">
        <v>-8700</v>
      </c>
      <c r="F5713">
        <v>-6926</v>
      </c>
      <c r="G5713">
        <v>0</v>
      </c>
      <c r="H5713">
        <v>-2170</v>
      </c>
      <c r="I5713">
        <v>-4638</v>
      </c>
      <c r="J5713">
        <v>-1524</v>
      </c>
      <c r="K5713" s="201">
        <v>-155</v>
      </c>
    </row>
    <row r="5714" spans="1:11" x14ac:dyDescent="0.25">
      <c r="A5714"/>
      <c r="B5714" s="201">
        <v>0</v>
      </c>
      <c r="C5714">
        <v>58</v>
      </c>
      <c r="D5714" s="201">
        <v>88</v>
      </c>
      <c r="E5714" s="201">
        <v>0</v>
      </c>
      <c r="F5714">
        <v>0</v>
      </c>
      <c r="G5714">
        <v>0</v>
      </c>
      <c r="H5714">
        <v>-332</v>
      </c>
      <c r="I5714">
        <v>1090</v>
      </c>
      <c r="J5714">
        <v>0</v>
      </c>
      <c r="K5714" s="201">
        <v>1384</v>
      </c>
    </row>
    <row r="5715" spans="1:11" x14ac:dyDescent="0.25">
      <c r="A5715"/>
      <c r="B5715" s="201">
        <v>-243</v>
      </c>
      <c r="C5715">
        <v>101</v>
      </c>
      <c r="D5715" s="201">
        <v>347</v>
      </c>
      <c r="E5715" s="201">
        <v>0</v>
      </c>
      <c r="F5715">
        <v>0</v>
      </c>
      <c r="G5715">
        <v>0</v>
      </c>
      <c r="H5715">
        <v>0</v>
      </c>
      <c r="I5715">
        <v>0</v>
      </c>
      <c r="J5715">
        <v>12352</v>
      </c>
      <c r="K5715" s="201">
        <v>0</v>
      </c>
    </row>
    <row r="5716" spans="1:11" x14ac:dyDescent="0.25">
      <c r="B5716" s="201">
        <v>1299</v>
      </c>
      <c r="C5716">
        <v>33</v>
      </c>
      <c r="D5716" s="201">
        <v>-54</v>
      </c>
      <c r="E5716" s="201">
        <v>0</v>
      </c>
      <c r="F5716">
        <v>-2694</v>
      </c>
      <c r="G5716">
        <v>-2719</v>
      </c>
      <c r="H5716">
        <v>1136</v>
      </c>
      <c r="I5716">
        <v>15019</v>
      </c>
      <c r="J5716">
        <v>14783</v>
      </c>
      <c r="K5716" s="201">
        <v>4483</v>
      </c>
    </row>
    <row r="5717" spans="1:11" x14ac:dyDescent="0.25">
      <c r="B5717" s="201">
        <v>1950</v>
      </c>
      <c r="C5717">
        <v>3193</v>
      </c>
      <c r="D5717" s="201">
        <v>0</v>
      </c>
      <c r="E5717" s="201">
        <v>1456</v>
      </c>
      <c r="F5717">
        <v>0</v>
      </c>
      <c r="G5717">
        <v>0</v>
      </c>
      <c r="H5717">
        <v>886</v>
      </c>
      <c r="I5717">
        <v>-635</v>
      </c>
      <c r="J5717">
        <v>0</v>
      </c>
      <c r="K5717" s="201">
        <v>333</v>
      </c>
    </row>
    <row r="5718" spans="1:11" x14ac:dyDescent="0.25">
      <c r="A5718"/>
      <c r="B5718" s="201">
        <v>0</v>
      </c>
      <c r="C5718">
        <v>0</v>
      </c>
      <c r="D5718" s="201">
        <v>-768</v>
      </c>
      <c r="E5718" s="201">
        <v>0</v>
      </c>
      <c r="F5718">
        <v>-2487</v>
      </c>
      <c r="G5718">
        <v>-1754</v>
      </c>
      <c r="H5718">
        <v>-1927</v>
      </c>
      <c r="I5718">
        <v>0</v>
      </c>
      <c r="J5718">
        <v>0</v>
      </c>
      <c r="K5718" s="201">
        <v>0</v>
      </c>
    </row>
    <row r="5719" spans="1:11" x14ac:dyDescent="0.25">
      <c r="A5719"/>
      <c r="B5719" s="201">
        <v>0</v>
      </c>
      <c r="C5719">
        <v>0</v>
      </c>
      <c r="D5719" s="201">
        <v>2628</v>
      </c>
      <c r="E5719" s="201">
        <v>0</v>
      </c>
      <c r="F5719">
        <v>797</v>
      </c>
      <c r="G5719">
        <v>5120</v>
      </c>
      <c r="H5719">
        <v>2461</v>
      </c>
      <c r="I5719">
        <v>0</v>
      </c>
      <c r="J5719">
        <v>3890</v>
      </c>
      <c r="K5719" s="201">
        <v>-1287</v>
      </c>
    </row>
    <row r="5720" spans="1:11" x14ac:dyDescent="0.25">
      <c r="A5720"/>
      <c r="B5720" s="201">
        <v>2193</v>
      </c>
      <c r="C5720">
        <v>0</v>
      </c>
      <c r="D5720" s="201">
        <v>0</v>
      </c>
      <c r="E5720" s="201">
        <v>0</v>
      </c>
      <c r="F5720">
        <v>-166</v>
      </c>
      <c r="G5720">
        <v>-993</v>
      </c>
      <c r="H5720">
        <v>1002</v>
      </c>
      <c r="I5720">
        <v>-1066</v>
      </c>
      <c r="J5720">
        <v>-705</v>
      </c>
      <c r="K5720" s="201">
        <v>0</v>
      </c>
    </row>
    <row r="5721" spans="1:11" x14ac:dyDescent="0.25">
      <c r="A5721"/>
      <c r="B5721" s="201">
        <v>891</v>
      </c>
      <c r="C5721">
        <v>0</v>
      </c>
      <c r="D5721" s="201">
        <v>0</v>
      </c>
      <c r="E5721" s="201">
        <v>385</v>
      </c>
      <c r="F5721">
        <v>0</v>
      </c>
      <c r="G5721">
        <v>1036</v>
      </c>
      <c r="H5721">
        <v>0</v>
      </c>
      <c r="I5721">
        <v>1500</v>
      </c>
      <c r="J5721">
        <v>0</v>
      </c>
      <c r="K5721" s="201">
        <v>0</v>
      </c>
    </row>
    <row r="5722" spans="1:11" x14ac:dyDescent="0.25">
      <c r="A5722"/>
      <c r="B5722" s="201">
        <v>0</v>
      </c>
      <c r="C5722">
        <v>0</v>
      </c>
      <c r="D5722" s="201">
        <v>0</v>
      </c>
      <c r="E5722" s="201">
        <v>0</v>
      </c>
      <c r="F5722">
        <v>0</v>
      </c>
      <c r="G5722">
        <v>0</v>
      </c>
      <c r="H5722">
        <v>8333</v>
      </c>
      <c r="I5722">
        <v>0</v>
      </c>
      <c r="J5722">
        <v>602</v>
      </c>
      <c r="K5722" s="201">
        <v>-835</v>
      </c>
    </row>
    <row r="5723" spans="1:11" x14ac:dyDescent="0.25">
      <c r="A5723"/>
      <c r="B5723" s="201">
        <v>68</v>
      </c>
      <c r="C5723">
        <v>0</v>
      </c>
      <c r="D5723" s="201">
        <v>-4121</v>
      </c>
      <c r="E5723" s="201">
        <v>-889</v>
      </c>
      <c r="F5723">
        <v>0</v>
      </c>
      <c r="G5723">
        <v>0</v>
      </c>
      <c r="H5723">
        <v>0</v>
      </c>
      <c r="I5723">
        <v>0</v>
      </c>
      <c r="J5723">
        <v>0</v>
      </c>
      <c r="K5723" s="201">
        <v>635</v>
      </c>
    </row>
    <row r="5724" spans="1:11" x14ac:dyDescent="0.25">
      <c r="B5724" s="201">
        <v>4254</v>
      </c>
      <c r="C5724">
        <v>-1554</v>
      </c>
      <c r="D5724" s="201">
        <v>-887</v>
      </c>
      <c r="E5724" s="201">
        <v>-365</v>
      </c>
      <c r="F5724">
        <v>-674</v>
      </c>
      <c r="G5724">
        <v>0</v>
      </c>
      <c r="H5724">
        <v>0</v>
      </c>
      <c r="I5724">
        <v>0</v>
      </c>
      <c r="J5724">
        <v>0</v>
      </c>
      <c r="K5724" s="201">
        <v>2016</v>
      </c>
    </row>
    <row r="5725" spans="1:11" x14ac:dyDescent="0.25">
      <c r="A5725"/>
      <c r="B5725" s="201">
        <v>0</v>
      </c>
      <c r="C5725">
        <v>1874</v>
      </c>
      <c r="D5725" s="201">
        <v>0</v>
      </c>
      <c r="E5725" s="201">
        <v>0</v>
      </c>
      <c r="F5725">
        <v>626</v>
      </c>
      <c r="G5725">
        <v>123</v>
      </c>
      <c r="H5725">
        <v>0</v>
      </c>
      <c r="I5725">
        <v>0</v>
      </c>
      <c r="J5725">
        <v>0</v>
      </c>
      <c r="K5725" s="201">
        <v>0</v>
      </c>
    </row>
    <row r="5726" spans="1:11" x14ac:dyDescent="0.25">
      <c r="B5726" s="201">
        <v>13138</v>
      </c>
      <c r="C5726">
        <v>0</v>
      </c>
      <c r="D5726" s="201">
        <v>927</v>
      </c>
      <c r="E5726" s="201">
        <v>-672</v>
      </c>
      <c r="F5726">
        <v>-153</v>
      </c>
      <c r="G5726">
        <v>4230</v>
      </c>
      <c r="H5726">
        <v>139</v>
      </c>
      <c r="I5726">
        <v>23220</v>
      </c>
      <c r="J5726">
        <v>19801</v>
      </c>
      <c r="K5726" s="201">
        <v>10922</v>
      </c>
    </row>
    <row r="5727" spans="1:11" x14ac:dyDescent="0.25">
      <c r="A5727"/>
      <c r="B5727" s="77">
        <v>10156</v>
      </c>
      <c r="C5727">
        <v>5380</v>
      </c>
      <c r="D5727" s="201">
        <v>0</v>
      </c>
      <c r="E5727" s="201">
        <v>0</v>
      </c>
      <c r="F5727">
        <v>0</v>
      </c>
      <c r="G5727">
        <v>0</v>
      </c>
      <c r="H5727">
        <v>0</v>
      </c>
      <c r="I5727">
        <v>0</v>
      </c>
      <c r="J5727">
        <v>0</v>
      </c>
      <c r="K5727" s="201">
        <v>-4655</v>
      </c>
    </row>
    <row r="5728" spans="1:11" x14ac:dyDescent="0.25">
      <c r="A5728"/>
      <c r="B5728" s="201">
        <v>1515</v>
      </c>
      <c r="C5728">
        <v>-5536</v>
      </c>
      <c r="D5728" s="201">
        <v>1001</v>
      </c>
      <c r="E5728" s="201">
        <v>-6218</v>
      </c>
      <c r="F5728">
        <v>-783</v>
      </c>
      <c r="G5728">
        <v>0</v>
      </c>
      <c r="H5728">
        <v>0</v>
      </c>
      <c r="I5728">
        <v>10504</v>
      </c>
      <c r="J5728">
        <v>0</v>
      </c>
      <c r="K5728" s="201">
        <v>7848</v>
      </c>
    </row>
    <row r="5729" spans="1:11" x14ac:dyDescent="0.25">
      <c r="B5729" s="201">
        <v>-60948</v>
      </c>
      <c r="C5729">
        <v>0</v>
      </c>
      <c r="D5729" s="201">
        <v>0</v>
      </c>
      <c r="E5729" s="201">
        <v>0</v>
      </c>
      <c r="F5729">
        <v>0</v>
      </c>
      <c r="G5729">
        <v>-3190</v>
      </c>
      <c r="H5729">
        <v>0</v>
      </c>
      <c r="I5729">
        <v>1193</v>
      </c>
      <c r="J5729">
        <v>1254</v>
      </c>
      <c r="K5729" s="201">
        <v>0</v>
      </c>
    </row>
    <row r="5730" spans="1:11" x14ac:dyDescent="0.25">
      <c r="A5730"/>
      <c r="B5730" s="201">
        <v>0</v>
      </c>
      <c r="C5730">
        <v>0</v>
      </c>
      <c r="D5730" s="201">
        <v>0</v>
      </c>
      <c r="E5730" s="201">
        <v>0</v>
      </c>
      <c r="F5730">
        <v>0</v>
      </c>
      <c r="G5730">
        <v>0</v>
      </c>
      <c r="H5730">
        <v>0</v>
      </c>
      <c r="I5730">
        <v>0</v>
      </c>
      <c r="J5730">
        <v>0</v>
      </c>
      <c r="K5730" s="201">
        <v>0</v>
      </c>
    </row>
    <row r="5731" spans="1:11" x14ac:dyDescent="0.25">
      <c r="A5731"/>
      <c r="B5731" s="201">
        <v>0</v>
      </c>
      <c r="C5731">
        <v>0</v>
      </c>
      <c r="D5731" s="201">
        <v>0</v>
      </c>
      <c r="E5731" s="201">
        <v>0</v>
      </c>
      <c r="F5731">
        <v>-320</v>
      </c>
      <c r="G5731">
        <v>0</v>
      </c>
      <c r="H5731">
        <v>0</v>
      </c>
      <c r="I5731">
        <v>0</v>
      </c>
      <c r="J5731">
        <v>0</v>
      </c>
      <c r="K5731" s="201">
        <v>0</v>
      </c>
    </row>
    <row r="5732" spans="1:11" x14ac:dyDescent="0.25">
      <c r="A5732"/>
      <c r="B5732" s="201">
        <v>-50</v>
      </c>
      <c r="C5732">
        <v>646</v>
      </c>
      <c r="D5732" s="201">
        <v>685</v>
      </c>
      <c r="E5732" s="201">
        <v>2990</v>
      </c>
      <c r="F5732">
        <v>-2055</v>
      </c>
      <c r="G5732">
        <v>6143</v>
      </c>
      <c r="H5732">
        <v>2780</v>
      </c>
      <c r="I5732">
        <v>-3334</v>
      </c>
      <c r="J5732">
        <v>680</v>
      </c>
      <c r="K5732" s="201">
        <v>-344</v>
      </c>
    </row>
    <row r="5733" spans="1:11" x14ac:dyDescent="0.25">
      <c r="A5733"/>
      <c r="B5733" s="201">
        <v>370</v>
      </c>
      <c r="C5733">
        <v>-201</v>
      </c>
      <c r="D5733" s="201">
        <v>1816</v>
      </c>
      <c r="E5733" s="201">
        <v>862</v>
      </c>
      <c r="F5733">
        <v>1810</v>
      </c>
      <c r="G5733">
        <v>1399</v>
      </c>
      <c r="H5733">
        <v>-684</v>
      </c>
      <c r="I5733">
        <v>0</v>
      </c>
      <c r="J5733">
        <v>2709</v>
      </c>
      <c r="K5733" s="201">
        <v>1647</v>
      </c>
    </row>
    <row r="5734" spans="1:11" x14ac:dyDescent="0.25">
      <c r="B5734" s="201">
        <v>1912</v>
      </c>
      <c r="C5734">
        <v>1555</v>
      </c>
      <c r="D5734" s="201">
        <v>2300</v>
      </c>
      <c r="E5734" s="201">
        <v>-1692</v>
      </c>
      <c r="F5734">
        <v>-262</v>
      </c>
      <c r="G5734">
        <v>1737</v>
      </c>
      <c r="H5734">
        <v>-4021</v>
      </c>
      <c r="I5734">
        <v>4526</v>
      </c>
      <c r="J5734">
        <v>7403</v>
      </c>
      <c r="K5734" s="201">
        <v>-820</v>
      </c>
    </row>
    <row r="5735" spans="1:11" x14ac:dyDescent="0.25">
      <c r="A5735"/>
      <c r="B5735" s="201">
        <v>1177</v>
      </c>
      <c r="C5735">
        <v>1749</v>
      </c>
      <c r="D5735" s="201">
        <v>1307</v>
      </c>
      <c r="E5735" s="201">
        <v>2080</v>
      </c>
      <c r="F5735">
        <v>2120</v>
      </c>
      <c r="G5735">
        <v>2487</v>
      </c>
      <c r="H5735">
        <v>1640</v>
      </c>
      <c r="I5735">
        <v>1509</v>
      </c>
      <c r="J5735">
        <v>30465</v>
      </c>
      <c r="K5735" s="201">
        <v>49571</v>
      </c>
    </row>
    <row r="5736" spans="1:11" x14ac:dyDescent="0.25">
      <c r="A5736"/>
      <c r="B5736" s="201">
        <v>50504</v>
      </c>
      <c r="C5736">
        <v>-4354</v>
      </c>
      <c r="D5736" s="201">
        <v>-252</v>
      </c>
      <c r="E5736" s="201">
        <v>-2179</v>
      </c>
      <c r="F5736">
        <v>-2926</v>
      </c>
      <c r="G5736">
        <v>-2781</v>
      </c>
      <c r="H5736">
        <v>0</v>
      </c>
      <c r="I5736">
        <v>0</v>
      </c>
      <c r="J5736">
        <v>-379</v>
      </c>
      <c r="K5736" s="201">
        <v>0</v>
      </c>
    </row>
    <row r="5737" spans="1:11" x14ac:dyDescent="0.25">
      <c r="A5737"/>
      <c r="B5737" s="201">
        <v>0</v>
      </c>
      <c r="C5737">
        <v>0</v>
      </c>
      <c r="D5737" s="201">
        <v>1991</v>
      </c>
      <c r="E5737" s="201">
        <v>760</v>
      </c>
      <c r="F5737">
        <v>0</v>
      </c>
      <c r="G5737">
        <v>0</v>
      </c>
      <c r="H5737">
        <v>0</v>
      </c>
      <c r="I5737">
        <v>0</v>
      </c>
      <c r="J5737">
        <v>0</v>
      </c>
      <c r="K5737" s="201">
        <v>0</v>
      </c>
    </row>
    <row r="5738" spans="1:11" x14ac:dyDescent="0.25">
      <c r="B5738" s="201">
        <v>-3790</v>
      </c>
      <c r="C5738">
        <v>0</v>
      </c>
      <c r="D5738" s="201">
        <v>0</v>
      </c>
      <c r="E5738" s="201">
        <v>602</v>
      </c>
      <c r="F5738">
        <v>0</v>
      </c>
      <c r="G5738">
        <v>-506</v>
      </c>
      <c r="H5738">
        <v>0</v>
      </c>
      <c r="I5738">
        <v>8</v>
      </c>
      <c r="J5738">
        <v>3392</v>
      </c>
      <c r="K5738" s="201">
        <v>889</v>
      </c>
    </row>
    <row r="5739" spans="1:11" x14ac:dyDescent="0.25">
      <c r="A5739"/>
      <c r="B5739" s="201">
        <v>0</v>
      </c>
      <c r="C5739">
        <v>1794</v>
      </c>
      <c r="D5739" s="201">
        <v>-50</v>
      </c>
      <c r="E5739" s="201">
        <v>-1902</v>
      </c>
      <c r="F5739">
        <v>-1796</v>
      </c>
      <c r="G5739">
        <v>-1541</v>
      </c>
      <c r="H5739">
        <v>-914</v>
      </c>
      <c r="I5739">
        <v>0</v>
      </c>
      <c r="J5739">
        <v>90</v>
      </c>
      <c r="K5739" s="201">
        <v>0</v>
      </c>
    </row>
    <row r="5740" spans="1:11" x14ac:dyDescent="0.25">
      <c r="A5740"/>
      <c r="B5740" s="201">
        <v>0</v>
      </c>
      <c r="C5740">
        <v>0</v>
      </c>
      <c r="D5740" s="201">
        <v>0</v>
      </c>
      <c r="E5740" s="201">
        <v>0</v>
      </c>
      <c r="F5740">
        <v>-192</v>
      </c>
      <c r="G5740">
        <v>0</v>
      </c>
      <c r="H5740">
        <v>0</v>
      </c>
      <c r="I5740">
        <v>0</v>
      </c>
      <c r="J5740">
        <v>448</v>
      </c>
      <c r="K5740" s="201">
        <v>0</v>
      </c>
    </row>
    <row r="5741" spans="1:11" x14ac:dyDescent="0.25">
      <c r="A5741"/>
      <c r="B5741" s="201">
        <v>-78</v>
      </c>
      <c r="C5741">
        <v>0</v>
      </c>
      <c r="D5741" s="201">
        <v>0</v>
      </c>
      <c r="E5741" s="201">
        <v>0</v>
      </c>
      <c r="F5741">
        <v>0</v>
      </c>
      <c r="G5741">
        <v>0</v>
      </c>
      <c r="H5741">
        <v>866</v>
      </c>
      <c r="I5741">
        <v>0</v>
      </c>
      <c r="J5741">
        <v>12</v>
      </c>
      <c r="K5741" s="201">
        <v>162</v>
      </c>
    </row>
    <row r="5742" spans="1:11" x14ac:dyDescent="0.25">
      <c r="A5742"/>
      <c r="B5742" s="201">
        <v>0</v>
      </c>
      <c r="C5742">
        <v>0</v>
      </c>
      <c r="D5742" s="201">
        <v>4630</v>
      </c>
      <c r="E5742" s="201">
        <v>-495</v>
      </c>
      <c r="F5742">
        <v>0</v>
      </c>
      <c r="G5742">
        <v>-2548</v>
      </c>
      <c r="H5742">
        <v>0</v>
      </c>
      <c r="I5742">
        <v>0</v>
      </c>
      <c r="J5742">
        <v>0</v>
      </c>
      <c r="K5742" s="201">
        <v>0</v>
      </c>
    </row>
    <row r="5743" spans="1:11" x14ac:dyDescent="0.25">
      <c r="A5743"/>
      <c r="B5743" s="201">
        <v>246</v>
      </c>
      <c r="C5743">
        <v>-1528</v>
      </c>
      <c r="D5743" s="201">
        <v>-856</v>
      </c>
      <c r="E5743" s="201">
        <v>0</v>
      </c>
      <c r="F5743">
        <v>0</v>
      </c>
      <c r="G5743">
        <v>443</v>
      </c>
      <c r="H5743">
        <v>1235</v>
      </c>
      <c r="I5743">
        <v>0</v>
      </c>
      <c r="J5743">
        <v>-108</v>
      </c>
      <c r="K5743" s="201">
        <v>725</v>
      </c>
    </row>
    <row r="5744" spans="1:11" x14ac:dyDescent="0.25">
      <c r="A5744"/>
      <c r="B5744" s="201">
        <v>443</v>
      </c>
      <c r="C5744">
        <v>1646</v>
      </c>
      <c r="D5744" s="201">
        <v>806</v>
      </c>
      <c r="E5744" s="201">
        <v>720</v>
      </c>
      <c r="F5744">
        <v>151</v>
      </c>
      <c r="G5744">
        <v>0</v>
      </c>
      <c r="H5744">
        <v>0</v>
      </c>
      <c r="I5744">
        <v>0</v>
      </c>
      <c r="J5744">
        <v>0</v>
      </c>
      <c r="K5744" s="201">
        <v>0</v>
      </c>
    </row>
    <row r="5745" spans="1:11" x14ac:dyDescent="0.25">
      <c r="A5745"/>
      <c r="B5745" s="201">
        <v>2132</v>
      </c>
      <c r="C5745">
        <v>0</v>
      </c>
      <c r="D5745" s="201">
        <v>-240</v>
      </c>
      <c r="E5745" s="201">
        <v>364</v>
      </c>
      <c r="F5745">
        <v>-692</v>
      </c>
      <c r="G5745">
        <v>0</v>
      </c>
      <c r="H5745">
        <v>-3724</v>
      </c>
      <c r="I5745">
        <v>-299</v>
      </c>
      <c r="J5745">
        <v>629</v>
      </c>
      <c r="K5745" s="201">
        <v>-5647</v>
      </c>
    </row>
    <row r="5746" spans="1:11" x14ac:dyDescent="0.25">
      <c r="B5746" s="201">
        <v>-5167</v>
      </c>
      <c r="C5746">
        <v>0</v>
      </c>
      <c r="D5746" s="201">
        <v>-1879</v>
      </c>
      <c r="E5746" s="201">
        <v>-3951</v>
      </c>
      <c r="F5746">
        <v>-1832</v>
      </c>
      <c r="G5746">
        <v>-361</v>
      </c>
      <c r="H5746">
        <v>0</v>
      </c>
      <c r="I5746">
        <v>152</v>
      </c>
      <c r="J5746">
        <v>238</v>
      </c>
      <c r="K5746" s="201">
        <v>0</v>
      </c>
    </row>
    <row r="5747" spans="1:11" x14ac:dyDescent="0.25">
      <c r="A5747"/>
      <c r="B5747" s="201">
        <v>0</v>
      </c>
      <c r="C5747">
        <v>0</v>
      </c>
      <c r="D5747" s="201">
        <v>-294</v>
      </c>
      <c r="E5747" s="201">
        <v>572</v>
      </c>
      <c r="F5747">
        <v>0</v>
      </c>
      <c r="G5747">
        <v>1114</v>
      </c>
      <c r="H5747">
        <v>-97</v>
      </c>
      <c r="I5747">
        <v>-79</v>
      </c>
      <c r="J5747">
        <v>114</v>
      </c>
      <c r="K5747" s="201">
        <v>0</v>
      </c>
    </row>
    <row r="5748" spans="1:11" x14ac:dyDescent="0.25">
      <c r="A5748"/>
      <c r="B5748" s="201">
        <v>0</v>
      </c>
      <c r="C5748">
        <v>0</v>
      </c>
      <c r="D5748" s="201">
        <v>0</v>
      </c>
      <c r="E5748" s="201">
        <v>0</v>
      </c>
      <c r="F5748">
        <v>11753</v>
      </c>
      <c r="G5748">
        <v>0</v>
      </c>
      <c r="H5748">
        <v>708</v>
      </c>
      <c r="I5748">
        <v>199</v>
      </c>
      <c r="J5748">
        <v>295</v>
      </c>
      <c r="K5748" s="201">
        <v>0</v>
      </c>
    </row>
    <row r="5749" spans="1:11" x14ac:dyDescent="0.25">
      <c r="A5749"/>
      <c r="B5749" s="201">
        <v>-2413</v>
      </c>
      <c r="C5749">
        <v>-1031</v>
      </c>
      <c r="D5749" s="201">
        <v>-428</v>
      </c>
      <c r="E5749" s="201">
        <v>-6402</v>
      </c>
      <c r="F5749">
        <v>-5420</v>
      </c>
      <c r="G5749">
        <v>-2406</v>
      </c>
      <c r="H5749">
        <v>-2493</v>
      </c>
      <c r="I5749">
        <v>-1954</v>
      </c>
      <c r="J5749">
        <v>0</v>
      </c>
      <c r="K5749" s="201">
        <v>77</v>
      </c>
    </row>
    <row r="5750" spans="1:11" x14ac:dyDescent="0.25">
      <c r="A5750"/>
      <c r="B5750" s="201">
        <v>0</v>
      </c>
      <c r="C5750">
        <v>0</v>
      </c>
      <c r="D5750" s="201">
        <v>-5</v>
      </c>
      <c r="E5750" s="201">
        <v>103</v>
      </c>
      <c r="F5750">
        <v>0</v>
      </c>
      <c r="G5750">
        <v>750</v>
      </c>
      <c r="H5750">
        <v>0</v>
      </c>
      <c r="I5750">
        <v>0</v>
      </c>
      <c r="J5750">
        <v>150</v>
      </c>
      <c r="K5750" s="201">
        <v>0</v>
      </c>
    </row>
    <row r="5751" spans="1:11" x14ac:dyDescent="0.25">
      <c r="A5751"/>
      <c r="B5751" s="201">
        <v>437</v>
      </c>
      <c r="C5751">
        <v>-56</v>
      </c>
      <c r="D5751" s="201">
        <v>-312</v>
      </c>
      <c r="E5751" s="201">
        <v>0</v>
      </c>
      <c r="F5751">
        <v>0</v>
      </c>
      <c r="G5751">
        <v>0</v>
      </c>
      <c r="H5751">
        <v>0</v>
      </c>
      <c r="I5751">
        <v>0</v>
      </c>
      <c r="J5751">
        <v>9897</v>
      </c>
      <c r="K5751" s="201">
        <v>0</v>
      </c>
    </row>
    <row r="5752" spans="1:11" x14ac:dyDescent="0.25">
      <c r="B5752" s="201">
        <v>1465</v>
      </c>
      <c r="C5752">
        <v>446</v>
      </c>
      <c r="D5752" s="201">
        <v>273</v>
      </c>
      <c r="E5752" s="201">
        <v>0</v>
      </c>
      <c r="F5752">
        <v>-3965</v>
      </c>
      <c r="G5752">
        <v>-1496</v>
      </c>
      <c r="H5752">
        <v>-5795</v>
      </c>
      <c r="I5752">
        <v>0</v>
      </c>
      <c r="J5752">
        <v>0</v>
      </c>
      <c r="K5752" s="201">
        <v>0</v>
      </c>
    </row>
    <row r="5753" spans="1:11" x14ac:dyDescent="0.25">
      <c r="B5753" s="201">
        <v>1302</v>
      </c>
      <c r="C5753">
        <v>3267</v>
      </c>
      <c r="D5753" s="201">
        <v>6481</v>
      </c>
      <c r="E5753" s="201">
        <v>4683</v>
      </c>
      <c r="F5753">
        <v>3252</v>
      </c>
      <c r="G5753">
        <v>0</v>
      </c>
      <c r="H5753">
        <v>-1199</v>
      </c>
      <c r="I5753">
        <v>0</v>
      </c>
      <c r="J5753">
        <v>0</v>
      </c>
      <c r="K5753" s="201">
        <v>2730</v>
      </c>
    </row>
    <row r="5754" spans="1:11" x14ac:dyDescent="0.25">
      <c r="A5754"/>
      <c r="B5754" s="201">
        <v>0</v>
      </c>
      <c r="C5754">
        <v>-1918</v>
      </c>
      <c r="D5754" s="201">
        <v>0</v>
      </c>
      <c r="E5754" s="201">
        <v>-5336</v>
      </c>
      <c r="F5754">
        <v>0</v>
      </c>
      <c r="G5754">
        <v>0</v>
      </c>
      <c r="H5754">
        <v>0</v>
      </c>
      <c r="I5754">
        <v>0</v>
      </c>
      <c r="J5754">
        <v>0</v>
      </c>
      <c r="K5754" s="201">
        <v>0</v>
      </c>
    </row>
    <row r="5755" spans="1:11" x14ac:dyDescent="0.25">
      <c r="A5755"/>
      <c r="B5755" s="201">
        <v>0</v>
      </c>
      <c r="C5755">
        <v>0</v>
      </c>
      <c r="D5755" s="201">
        <v>2478</v>
      </c>
      <c r="E5755" s="201">
        <v>0</v>
      </c>
      <c r="F5755">
        <v>334</v>
      </c>
      <c r="G5755">
        <v>4833</v>
      </c>
      <c r="H5755">
        <v>-328</v>
      </c>
      <c r="I5755">
        <v>0</v>
      </c>
      <c r="J5755">
        <v>-2988</v>
      </c>
      <c r="K5755" s="201">
        <v>-871</v>
      </c>
    </row>
    <row r="5756" spans="1:11" x14ac:dyDescent="0.25">
      <c r="A5756"/>
      <c r="B5756" s="201">
        <v>0</v>
      </c>
      <c r="C5756">
        <v>0</v>
      </c>
      <c r="D5756" s="201">
        <v>0</v>
      </c>
      <c r="E5756" s="201">
        <v>0</v>
      </c>
      <c r="F5756">
        <v>0</v>
      </c>
      <c r="G5756">
        <v>460</v>
      </c>
      <c r="H5756">
        <v>3265</v>
      </c>
      <c r="I5756">
        <v>-1690</v>
      </c>
      <c r="J5756">
        <v>-1047</v>
      </c>
      <c r="K5756" s="201">
        <v>-264</v>
      </c>
    </row>
    <row r="5757" spans="1:11" x14ac:dyDescent="0.25">
      <c r="B5757" s="201">
        <v>-294</v>
      </c>
      <c r="C5757">
        <v>0</v>
      </c>
      <c r="D5757" s="201">
        <v>0</v>
      </c>
      <c r="E5757" s="201">
        <v>0</v>
      </c>
      <c r="F5757">
        <v>0</v>
      </c>
      <c r="G5757">
        <v>773</v>
      </c>
      <c r="H5757">
        <v>0</v>
      </c>
      <c r="I5757">
        <v>1112</v>
      </c>
      <c r="J5757">
        <v>0</v>
      </c>
      <c r="K5757" s="201">
        <v>0</v>
      </c>
    </row>
    <row r="5758" spans="1:11" x14ac:dyDescent="0.25">
      <c r="A5758"/>
      <c r="B5758" s="201">
        <v>107</v>
      </c>
      <c r="C5758">
        <v>862</v>
      </c>
      <c r="D5758" s="201">
        <v>0</v>
      </c>
      <c r="E5758" s="201">
        <v>0</v>
      </c>
      <c r="F5758">
        <v>0</v>
      </c>
      <c r="G5758">
        <v>0</v>
      </c>
      <c r="H5758">
        <v>12346</v>
      </c>
      <c r="I5758">
        <v>0</v>
      </c>
      <c r="J5758">
        <v>796</v>
      </c>
      <c r="K5758" s="201">
        <v>-876</v>
      </c>
    </row>
    <row r="5759" spans="1:11" x14ac:dyDescent="0.25">
      <c r="A5759"/>
      <c r="B5759" s="201">
        <v>97</v>
      </c>
      <c r="C5759">
        <v>4283</v>
      </c>
      <c r="D5759" s="201">
        <v>3283</v>
      </c>
      <c r="E5759" s="201">
        <v>25881</v>
      </c>
      <c r="F5759">
        <v>22425</v>
      </c>
      <c r="G5759">
        <v>11478</v>
      </c>
      <c r="H5759">
        <v>10395</v>
      </c>
      <c r="I5759">
        <v>6963</v>
      </c>
      <c r="J5759">
        <v>0</v>
      </c>
      <c r="K5759" s="201">
        <v>0</v>
      </c>
    </row>
    <row r="5760" spans="1:11" x14ac:dyDescent="0.25">
      <c r="A5760"/>
      <c r="B5760" s="201">
        <v>0</v>
      </c>
      <c r="C5760">
        <v>0</v>
      </c>
      <c r="D5760" s="201">
        <v>0</v>
      </c>
      <c r="E5760" s="201">
        <v>0</v>
      </c>
      <c r="F5760">
        <v>0</v>
      </c>
      <c r="G5760">
        <v>-3315</v>
      </c>
      <c r="H5760">
        <v>711</v>
      </c>
      <c r="I5760">
        <v>-1886</v>
      </c>
      <c r="J5760">
        <v>-475</v>
      </c>
      <c r="K5760" s="201">
        <v>-2224</v>
      </c>
    </row>
    <row r="5761" spans="1:11" x14ac:dyDescent="0.25">
      <c r="A5761"/>
      <c r="B5761" s="201">
        <v>-2074</v>
      </c>
      <c r="C5761">
        <v>0</v>
      </c>
      <c r="D5761" s="201">
        <v>0</v>
      </c>
      <c r="E5761" s="201">
        <v>10305</v>
      </c>
      <c r="F5761">
        <v>0</v>
      </c>
      <c r="G5761">
        <v>7059</v>
      </c>
      <c r="H5761">
        <v>-53997</v>
      </c>
      <c r="I5761">
        <v>0</v>
      </c>
      <c r="J5761">
        <v>0</v>
      </c>
      <c r="K5761" s="201">
        <v>0</v>
      </c>
    </row>
    <row r="5762" spans="1:11" x14ac:dyDescent="0.25">
      <c r="A5762"/>
      <c r="B5762" s="201">
        <v>0</v>
      </c>
      <c r="C5762">
        <v>907</v>
      </c>
      <c r="D5762" s="201">
        <v>0</v>
      </c>
      <c r="E5762" s="201">
        <v>1150</v>
      </c>
      <c r="F5762">
        <v>734</v>
      </c>
      <c r="G5762">
        <v>0</v>
      </c>
      <c r="H5762">
        <v>0</v>
      </c>
      <c r="I5762">
        <v>0</v>
      </c>
      <c r="J5762">
        <v>0</v>
      </c>
      <c r="K5762" s="201">
        <v>0</v>
      </c>
    </row>
    <row r="5763" spans="1:11" x14ac:dyDescent="0.25">
      <c r="A5763"/>
      <c r="B5763" s="201">
        <v>0</v>
      </c>
      <c r="C5763">
        <v>0</v>
      </c>
      <c r="D5763" s="201">
        <v>0</v>
      </c>
      <c r="E5763" s="201">
        <v>0</v>
      </c>
      <c r="F5763">
        <v>0</v>
      </c>
      <c r="G5763">
        <v>0</v>
      </c>
      <c r="H5763">
        <v>0</v>
      </c>
      <c r="I5763">
        <v>0</v>
      </c>
      <c r="J5763">
        <v>0</v>
      </c>
      <c r="K5763" s="201">
        <v>0</v>
      </c>
    </row>
    <row r="5764" spans="1:11" x14ac:dyDescent="0.25">
      <c r="B5764" s="201">
        <v>-359</v>
      </c>
      <c r="C5764">
        <v>0</v>
      </c>
      <c r="D5764" s="201">
        <v>0</v>
      </c>
      <c r="E5764" s="201">
        <v>0</v>
      </c>
      <c r="F5764">
        <v>0</v>
      </c>
      <c r="G5764">
        <v>0</v>
      </c>
      <c r="H5764">
        <v>282</v>
      </c>
      <c r="I5764">
        <v>555</v>
      </c>
      <c r="J5764">
        <v>639</v>
      </c>
      <c r="K5764" s="201">
        <v>2319</v>
      </c>
    </row>
    <row r="5765" spans="1:11" x14ac:dyDescent="0.25">
      <c r="A5765"/>
      <c r="B5765" s="201">
        <v>-1609</v>
      </c>
      <c r="C5765">
        <v>-1060</v>
      </c>
      <c r="D5765" s="201">
        <v>4419</v>
      </c>
      <c r="E5765" s="201">
        <v>-2967</v>
      </c>
      <c r="F5765">
        <v>70</v>
      </c>
      <c r="G5765">
        <v>-569</v>
      </c>
      <c r="H5765">
        <v>343</v>
      </c>
      <c r="I5765">
        <v>-75</v>
      </c>
      <c r="J5765">
        <v>1596</v>
      </c>
      <c r="K5765" s="201">
        <v>892</v>
      </c>
    </row>
    <row r="5766" spans="1:11" x14ac:dyDescent="0.25">
      <c r="A5766"/>
      <c r="B5766" s="201">
        <v>821</v>
      </c>
      <c r="C5766">
        <v>-1022</v>
      </c>
      <c r="D5766" s="201">
        <v>-488</v>
      </c>
      <c r="E5766" s="201">
        <v>0</v>
      </c>
      <c r="F5766">
        <v>1766</v>
      </c>
      <c r="G5766">
        <v>1069</v>
      </c>
      <c r="H5766">
        <v>1775</v>
      </c>
      <c r="I5766">
        <v>1912</v>
      </c>
      <c r="J5766">
        <v>1660</v>
      </c>
      <c r="K5766" s="201">
        <v>-1448</v>
      </c>
    </row>
    <row r="5767" spans="1:11" x14ac:dyDescent="0.25">
      <c r="A5767"/>
      <c r="B5767" s="201">
        <v>1782</v>
      </c>
      <c r="C5767">
        <v>1713</v>
      </c>
      <c r="D5767" s="201">
        <v>1221</v>
      </c>
      <c r="E5767" s="201">
        <v>874</v>
      </c>
      <c r="F5767">
        <v>-926</v>
      </c>
      <c r="G5767">
        <v>1282</v>
      </c>
      <c r="H5767">
        <v>-7839</v>
      </c>
      <c r="I5767">
        <v>5895</v>
      </c>
      <c r="J5767">
        <v>5014</v>
      </c>
      <c r="K5767" s="201">
        <v>-1417</v>
      </c>
    </row>
    <row r="5768" spans="1:11" x14ac:dyDescent="0.25">
      <c r="A5768"/>
      <c r="B5768" s="201">
        <v>1304</v>
      </c>
      <c r="C5768">
        <v>1717</v>
      </c>
      <c r="D5768" s="201">
        <v>2650</v>
      </c>
      <c r="E5768" s="201">
        <v>1250</v>
      </c>
      <c r="F5768">
        <v>25835</v>
      </c>
      <c r="G5768">
        <v>42781</v>
      </c>
      <c r="H5768">
        <v>43456</v>
      </c>
      <c r="I5768">
        <v>45724</v>
      </c>
      <c r="J5768">
        <v>-6278</v>
      </c>
      <c r="K5768" s="201">
        <v>49</v>
      </c>
    </row>
    <row r="5769" spans="1:11" x14ac:dyDescent="0.25">
      <c r="A5769"/>
      <c r="B5769" s="201">
        <v>-3096</v>
      </c>
      <c r="C5769">
        <v>-3424</v>
      </c>
      <c r="D5769" s="201">
        <v>-3078</v>
      </c>
      <c r="E5769" s="201">
        <v>0</v>
      </c>
      <c r="F5769">
        <v>0</v>
      </c>
      <c r="G5769">
        <v>-2019</v>
      </c>
      <c r="H5769">
        <v>0</v>
      </c>
      <c r="I5769">
        <v>0</v>
      </c>
      <c r="J5769">
        <v>0</v>
      </c>
      <c r="K5769" s="201">
        <v>2123</v>
      </c>
    </row>
    <row r="5770" spans="1:11" x14ac:dyDescent="0.25">
      <c r="A5770"/>
      <c r="B5770" s="201">
        <v>797</v>
      </c>
      <c r="C5770">
        <v>0</v>
      </c>
      <c r="D5770" s="201">
        <v>0</v>
      </c>
      <c r="E5770" s="201">
        <v>0</v>
      </c>
      <c r="F5770">
        <v>0</v>
      </c>
      <c r="G5770">
        <v>0</v>
      </c>
      <c r="H5770">
        <v>0</v>
      </c>
      <c r="I5770">
        <v>-2457</v>
      </c>
      <c r="J5770">
        <v>0</v>
      </c>
      <c r="K5770" s="201">
        <v>0</v>
      </c>
    </row>
    <row r="5771" spans="1:11" x14ac:dyDescent="0.25">
      <c r="A5771"/>
      <c r="B5771" s="201">
        <v>747</v>
      </c>
      <c r="C5771">
        <v>0</v>
      </c>
      <c r="D5771" s="201">
        <v>-646</v>
      </c>
      <c r="E5771" s="201">
        <v>0</v>
      </c>
      <c r="F5771">
        <v>-64</v>
      </c>
      <c r="G5771">
        <v>4750</v>
      </c>
      <c r="H5771">
        <v>1174</v>
      </c>
      <c r="I5771">
        <v>0</v>
      </c>
      <c r="J5771">
        <v>1586</v>
      </c>
      <c r="K5771" s="201">
        <v>370</v>
      </c>
    </row>
    <row r="5772" spans="1:11" x14ac:dyDescent="0.25">
      <c r="B5772" s="201">
        <v>-1459</v>
      </c>
      <c r="C5772" s="201">
        <v>-1535</v>
      </c>
      <c r="D5772" s="201">
        <v>-1454</v>
      </c>
      <c r="E5772" s="201">
        <v>-1230</v>
      </c>
      <c r="F5772">
        <v>0</v>
      </c>
      <c r="G5772">
        <v>155</v>
      </c>
      <c r="H5772">
        <v>0</v>
      </c>
      <c r="I5772">
        <v>0</v>
      </c>
      <c r="J5772">
        <v>0</v>
      </c>
      <c r="K5772" s="201">
        <v>0</v>
      </c>
    </row>
    <row r="5773" spans="1:11" x14ac:dyDescent="0.25">
      <c r="A5773"/>
      <c r="B5773" s="201">
        <v>0</v>
      </c>
      <c r="C5773">
        <v>-285</v>
      </c>
      <c r="D5773" s="201">
        <v>0</v>
      </c>
      <c r="E5773" s="201">
        <v>0</v>
      </c>
      <c r="F5773">
        <v>0</v>
      </c>
      <c r="G5773">
        <v>639</v>
      </c>
      <c r="H5773">
        <v>0</v>
      </c>
      <c r="I5773">
        <v>-77</v>
      </c>
      <c r="J5773">
        <v>0</v>
      </c>
      <c r="K5773" s="201">
        <v>0</v>
      </c>
    </row>
    <row r="5774" spans="1:11" x14ac:dyDescent="0.25">
      <c r="A5774"/>
      <c r="B5774" s="201">
        <v>0</v>
      </c>
      <c r="C5774">
        <v>0</v>
      </c>
      <c r="D5774" s="201">
        <v>0</v>
      </c>
      <c r="E5774" s="201">
        <v>1066</v>
      </c>
      <c r="F5774">
        <v>0</v>
      </c>
      <c r="G5774">
        <v>-272</v>
      </c>
      <c r="H5774">
        <v>247</v>
      </c>
      <c r="I5774">
        <v>0</v>
      </c>
      <c r="J5774">
        <v>0</v>
      </c>
      <c r="K5774" s="201">
        <v>5628</v>
      </c>
    </row>
    <row r="5775" spans="1:11" x14ac:dyDescent="0.25">
      <c r="A5775"/>
      <c r="B5775" s="201">
        <v>-554</v>
      </c>
      <c r="C5775">
        <v>0</v>
      </c>
      <c r="D5775" s="201">
        <v>-3663</v>
      </c>
      <c r="E5775" s="201">
        <v>0</v>
      </c>
      <c r="F5775">
        <v>0</v>
      </c>
      <c r="G5775">
        <v>0</v>
      </c>
      <c r="H5775">
        <v>0</v>
      </c>
      <c r="I5775">
        <v>-643</v>
      </c>
      <c r="J5775">
        <v>-1324</v>
      </c>
      <c r="K5775" s="201">
        <v>-640</v>
      </c>
    </row>
    <row r="5776" spans="1:11" x14ac:dyDescent="0.25">
      <c r="A5776"/>
      <c r="B5776" s="201">
        <v>0</v>
      </c>
      <c r="C5776">
        <v>0</v>
      </c>
      <c r="D5776" s="201">
        <v>508</v>
      </c>
      <c r="E5776" s="201">
        <v>853</v>
      </c>
      <c r="F5776">
        <v>0</v>
      </c>
      <c r="G5776">
        <v>-445</v>
      </c>
      <c r="H5776">
        <v>881</v>
      </c>
      <c r="I5776">
        <v>454</v>
      </c>
      <c r="J5776">
        <v>1335</v>
      </c>
      <c r="K5776" s="201">
        <v>747</v>
      </c>
    </row>
    <row r="5777" spans="1:11" x14ac:dyDescent="0.25">
      <c r="A5777"/>
      <c r="B5777" s="201">
        <v>571</v>
      </c>
      <c r="C5777">
        <v>63</v>
      </c>
      <c r="D5777" s="201">
        <v>0</v>
      </c>
      <c r="E5777" s="201">
        <v>0</v>
      </c>
      <c r="F5777">
        <v>0</v>
      </c>
      <c r="G5777">
        <v>0</v>
      </c>
      <c r="H5777">
        <v>0</v>
      </c>
      <c r="I5777">
        <v>1582</v>
      </c>
      <c r="J5777">
        <v>0</v>
      </c>
      <c r="K5777" s="201">
        <v>-49</v>
      </c>
    </row>
    <row r="5778" spans="1:11" x14ac:dyDescent="0.25">
      <c r="A5778"/>
      <c r="B5778" s="201">
        <v>398</v>
      </c>
      <c r="C5778">
        <v>-842</v>
      </c>
      <c r="D5778" s="201">
        <v>0</v>
      </c>
      <c r="E5778" s="201">
        <v>-4331</v>
      </c>
      <c r="F5778">
        <v>28</v>
      </c>
      <c r="G5778">
        <v>2317</v>
      </c>
      <c r="H5778">
        <v>-6599</v>
      </c>
      <c r="I5778">
        <v>-5215</v>
      </c>
      <c r="J5778">
        <v>0</v>
      </c>
      <c r="K5778" s="201">
        <v>-1257</v>
      </c>
    </row>
    <row r="5779" spans="1:11" x14ac:dyDescent="0.25">
      <c r="A5779"/>
      <c r="B5779" s="201">
        <v>-4093</v>
      </c>
      <c r="C5779">
        <v>-2465</v>
      </c>
      <c r="D5779" s="201">
        <v>84</v>
      </c>
      <c r="E5779" s="201">
        <v>0</v>
      </c>
      <c r="F5779">
        <v>-34</v>
      </c>
      <c r="G5779">
        <v>752</v>
      </c>
      <c r="H5779">
        <v>0</v>
      </c>
      <c r="I5779">
        <v>0</v>
      </c>
      <c r="J5779">
        <v>0</v>
      </c>
      <c r="K5779" s="201">
        <v>-376</v>
      </c>
    </row>
    <row r="5780" spans="1:11" x14ac:dyDescent="0.25">
      <c r="A5780"/>
      <c r="B5780" s="201">
        <v>492</v>
      </c>
      <c r="C5780">
        <v>0</v>
      </c>
      <c r="D5780" s="201">
        <v>857</v>
      </c>
      <c r="E5780" s="201">
        <v>37</v>
      </c>
      <c r="F5780">
        <v>-123</v>
      </c>
      <c r="G5780">
        <v>182</v>
      </c>
      <c r="H5780">
        <v>0</v>
      </c>
      <c r="I5780">
        <v>0</v>
      </c>
      <c r="J5780">
        <v>0</v>
      </c>
      <c r="K5780" s="201">
        <v>0</v>
      </c>
    </row>
    <row r="5781" spans="1:11" x14ac:dyDescent="0.25">
      <c r="A5781"/>
      <c r="B5781" s="201">
        <v>0</v>
      </c>
      <c r="C5781">
        <v>12476</v>
      </c>
      <c r="D5781" s="201">
        <v>0</v>
      </c>
      <c r="E5781" s="201">
        <v>409</v>
      </c>
      <c r="F5781">
        <v>497</v>
      </c>
      <c r="G5781">
        <v>189</v>
      </c>
      <c r="H5781">
        <v>0</v>
      </c>
      <c r="I5781">
        <v>-3797</v>
      </c>
      <c r="J5781">
        <v>-501</v>
      </c>
      <c r="K5781" s="201">
        <v>1035</v>
      </c>
    </row>
    <row r="5782" spans="1:11" x14ac:dyDescent="0.25">
      <c r="A5782"/>
      <c r="B5782" s="201">
        <v>-7524</v>
      </c>
      <c r="C5782">
        <v>-5698</v>
      </c>
      <c r="D5782" s="201">
        <v>-2567</v>
      </c>
      <c r="E5782" s="201">
        <v>-1989</v>
      </c>
      <c r="F5782">
        <v>-1874</v>
      </c>
      <c r="G5782">
        <v>0</v>
      </c>
      <c r="H5782">
        <v>157</v>
      </c>
      <c r="I5782">
        <v>0</v>
      </c>
      <c r="J5782">
        <v>0</v>
      </c>
      <c r="K5782" s="201">
        <v>416</v>
      </c>
    </row>
    <row r="5783" spans="1:11" x14ac:dyDescent="0.25">
      <c r="A5783"/>
      <c r="B5783" s="201">
        <v>124</v>
      </c>
      <c r="C5783">
        <v>0</v>
      </c>
      <c r="D5783" s="201">
        <v>946</v>
      </c>
      <c r="E5783" s="201">
        <v>0</v>
      </c>
      <c r="F5783">
        <v>0</v>
      </c>
      <c r="G5783">
        <v>229</v>
      </c>
      <c r="H5783">
        <v>0</v>
      </c>
      <c r="I5783">
        <v>667</v>
      </c>
      <c r="J5783">
        <v>-2</v>
      </c>
      <c r="K5783" s="201">
        <v>-163</v>
      </c>
    </row>
    <row r="5784" spans="1:11" x14ac:dyDescent="0.25">
      <c r="A5784"/>
      <c r="B5784" s="201">
        <v>0</v>
      </c>
      <c r="C5784">
        <v>0</v>
      </c>
      <c r="D5784" s="201">
        <v>0</v>
      </c>
      <c r="E5784" s="201">
        <v>0</v>
      </c>
      <c r="F5784">
        <v>0</v>
      </c>
      <c r="G5784">
        <v>11664</v>
      </c>
      <c r="H5784">
        <v>0</v>
      </c>
      <c r="I5784">
        <v>1165</v>
      </c>
      <c r="J5784">
        <v>253</v>
      </c>
      <c r="K5784" s="201">
        <v>36</v>
      </c>
    </row>
    <row r="5785" spans="1:11" x14ac:dyDescent="0.25">
      <c r="A5785"/>
      <c r="B5785" s="201">
        <v>0</v>
      </c>
      <c r="C5785">
        <v>4919</v>
      </c>
      <c r="D5785" s="201">
        <v>847</v>
      </c>
      <c r="E5785" s="201">
        <v>2184</v>
      </c>
      <c r="F5785">
        <v>0</v>
      </c>
      <c r="G5785">
        <v>0</v>
      </c>
      <c r="H5785">
        <v>0</v>
      </c>
      <c r="I5785">
        <v>408</v>
      </c>
      <c r="J5785">
        <v>-975</v>
      </c>
      <c r="K5785" s="201">
        <v>-329</v>
      </c>
    </row>
    <row r="5786" spans="1:11" x14ac:dyDescent="0.25">
      <c r="A5786"/>
      <c r="B5786" s="201">
        <v>-1401</v>
      </c>
      <c r="C5786">
        <v>-995</v>
      </c>
      <c r="D5786" s="201">
        <v>0</v>
      </c>
      <c r="E5786" s="201">
        <v>1341</v>
      </c>
      <c r="F5786">
        <v>0</v>
      </c>
      <c r="G5786">
        <v>0</v>
      </c>
      <c r="H5786">
        <v>55</v>
      </c>
      <c r="I5786">
        <v>0</v>
      </c>
      <c r="J5786">
        <v>799</v>
      </c>
      <c r="K5786" s="201">
        <v>0</v>
      </c>
    </row>
    <row r="5787" spans="1:11" x14ac:dyDescent="0.25">
      <c r="A5787"/>
      <c r="B5787" s="201">
        <v>1373</v>
      </c>
      <c r="C5787">
        <v>0</v>
      </c>
      <c r="D5787" s="201">
        <v>0</v>
      </c>
      <c r="E5787" s="201">
        <v>0</v>
      </c>
      <c r="F5787">
        <v>0</v>
      </c>
      <c r="G5787">
        <v>0</v>
      </c>
      <c r="H5787">
        <v>0</v>
      </c>
      <c r="I5787">
        <v>0</v>
      </c>
      <c r="J5787">
        <v>0</v>
      </c>
      <c r="K5787" s="201">
        <v>8668</v>
      </c>
    </row>
    <row r="5788" spans="1:11" x14ac:dyDescent="0.25">
      <c r="A5788"/>
      <c r="B5788" s="201">
        <v>0</v>
      </c>
      <c r="C5788">
        <v>619</v>
      </c>
      <c r="D5788" s="201">
        <v>-1221</v>
      </c>
      <c r="E5788" s="201">
        <v>123</v>
      </c>
      <c r="F5788">
        <v>0</v>
      </c>
      <c r="G5788">
        <v>-3244</v>
      </c>
      <c r="H5788">
        <v>-1520</v>
      </c>
      <c r="I5788">
        <v>0</v>
      </c>
      <c r="J5788">
        <v>0</v>
      </c>
      <c r="K5788" s="201">
        <v>0</v>
      </c>
    </row>
    <row r="5789" spans="1:11" x14ac:dyDescent="0.25">
      <c r="A5789"/>
      <c r="B5789" s="201">
        <v>0</v>
      </c>
      <c r="C5789">
        <v>0</v>
      </c>
      <c r="D5789" s="201">
        <v>-44</v>
      </c>
      <c r="E5789" s="201">
        <v>5522</v>
      </c>
      <c r="F5789">
        <v>1678</v>
      </c>
      <c r="G5789">
        <v>1366</v>
      </c>
      <c r="H5789">
        <v>-902</v>
      </c>
      <c r="I5789">
        <v>1641</v>
      </c>
      <c r="J5789">
        <v>0</v>
      </c>
      <c r="K5789" s="201">
        <v>0</v>
      </c>
    </row>
    <row r="5790" spans="1:11" x14ac:dyDescent="0.25">
      <c r="A5790"/>
      <c r="B5790" s="201">
        <v>0</v>
      </c>
      <c r="C5790">
        <v>0</v>
      </c>
      <c r="D5790" s="201">
        <v>-3038</v>
      </c>
      <c r="E5790" s="201">
        <v>0</v>
      </c>
      <c r="F5790">
        <v>-1979</v>
      </c>
      <c r="G5790">
        <v>0</v>
      </c>
      <c r="H5790">
        <v>0</v>
      </c>
      <c r="I5790">
        <v>-570</v>
      </c>
      <c r="J5790">
        <v>6509</v>
      </c>
      <c r="K5790" s="201">
        <v>0</v>
      </c>
    </row>
    <row r="5791" spans="1:11" x14ac:dyDescent="0.25">
      <c r="A5791"/>
      <c r="B5791" s="201">
        <v>0</v>
      </c>
      <c r="C5791">
        <v>0</v>
      </c>
      <c r="D5791" s="201">
        <v>0</v>
      </c>
      <c r="E5791" s="201">
        <v>6994</v>
      </c>
      <c r="F5791">
        <v>0</v>
      </c>
      <c r="G5791">
        <v>4547</v>
      </c>
      <c r="H5791">
        <v>5475</v>
      </c>
      <c r="I5791">
        <v>763</v>
      </c>
      <c r="J5791">
        <v>-21274</v>
      </c>
      <c r="K5791" s="201">
        <v>-6122</v>
      </c>
    </row>
    <row r="5792" spans="1:11" x14ac:dyDescent="0.25">
      <c r="A5792"/>
      <c r="B5792" s="201">
        <v>25422</v>
      </c>
      <c r="C5792">
        <v>21908</v>
      </c>
      <c r="D5792" s="201">
        <v>10152</v>
      </c>
      <c r="E5792" s="201">
        <v>9194</v>
      </c>
      <c r="F5792">
        <v>4574</v>
      </c>
      <c r="G5792">
        <v>0</v>
      </c>
      <c r="H5792">
        <v>0</v>
      </c>
      <c r="I5792">
        <v>0</v>
      </c>
      <c r="J5792">
        <v>0</v>
      </c>
      <c r="K5792" s="201">
        <v>0</v>
      </c>
    </row>
    <row r="5793" spans="1:11" x14ac:dyDescent="0.25">
      <c r="A5793"/>
      <c r="B5793" s="201">
        <v>0</v>
      </c>
      <c r="C5793">
        <v>0</v>
      </c>
      <c r="D5793" s="201">
        <v>-3785</v>
      </c>
      <c r="E5793" s="201">
        <v>1257</v>
      </c>
      <c r="F5793">
        <v>-2884</v>
      </c>
      <c r="G5793">
        <v>-482</v>
      </c>
      <c r="H5793">
        <v>-3475</v>
      </c>
      <c r="I5793">
        <v>-2736</v>
      </c>
      <c r="J5793">
        <v>0</v>
      </c>
      <c r="K5793" s="201">
        <v>0</v>
      </c>
    </row>
    <row r="5794" spans="1:11" x14ac:dyDescent="0.25">
      <c r="B5794" s="201">
        <v>12285</v>
      </c>
      <c r="C5794">
        <v>0</v>
      </c>
      <c r="D5794" s="201">
        <v>8187</v>
      </c>
      <c r="E5794" s="201">
        <v>-61052</v>
      </c>
      <c r="F5794">
        <v>0</v>
      </c>
      <c r="G5794">
        <v>0</v>
      </c>
      <c r="H5794">
        <v>0</v>
      </c>
      <c r="I5794">
        <v>0</v>
      </c>
      <c r="J5794">
        <v>-1619</v>
      </c>
      <c r="K5794" s="201">
        <v>0</v>
      </c>
    </row>
    <row r="5795" spans="1:11" x14ac:dyDescent="0.25">
      <c r="B5795" s="201">
        <v>-1151</v>
      </c>
      <c r="C5795">
        <v>-1560</v>
      </c>
      <c r="D5795" s="201">
        <v>0</v>
      </c>
      <c r="E5795" s="201">
        <v>0</v>
      </c>
      <c r="F5795">
        <v>0</v>
      </c>
      <c r="G5795">
        <v>0</v>
      </c>
      <c r="H5795">
        <v>0</v>
      </c>
      <c r="I5795">
        <v>0</v>
      </c>
      <c r="J5795">
        <v>0</v>
      </c>
      <c r="K5795" s="201">
        <v>0</v>
      </c>
    </row>
    <row r="5796" spans="1:11" x14ac:dyDescent="0.25">
      <c r="A5796"/>
      <c r="B5796" s="201">
        <v>0</v>
      </c>
      <c r="C5796">
        <v>0</v>
      </c>
      <c r="D5796" s="201">
        <v>0</v>
      </c>
      <c r="E5796" s="201">
        <v>0</v>
      </c>
      <c r="F5796">
        <v>0</v>
      </c>
      <c r="G5796">
        <v>0</v>
      </c>
      <c r="H5796">
        <v>0</v>
      </c>
      <c r="I5796">
        <v>-2138</v>
      </c>
      <c r="J5796">
        <v>0</v>
      </c>
      <c r="K5796" s="201">
        <v>0</v>
      </c>
    </row>
    <row r="5797" spans="1:11" x14ac:dyDescent="0.25">
      <c r="A5797"/>
      <c r="B5797" s="201">
        <v>0</v>
      </c>
      <c r="C5797">
        <v>0</v>
      </c>
      <c r="D5797" s="201">
        <v>0</v>
      </c>
      <c r="E5797" s="201">
        <v>-333</v>
      </c>
      <c r="F5797">
        <v>563</v>
      </c>
      <c r="G5797">
        <v>678</v>
      </c>
      <c r="H5797">
        <v>4819</v>
      </c>
      <c r="I5797">
        <v>544</v>
      </c>
      <c r="J5797">
        <v>142</v>
      </c>
      <c r="K5797" s="201">
        <v>-1172</v>
      </c>
    </row>
    <row r="5798" spans="1:11" x14ac:dyDescent="0.25">
      <c r="B5798" s="201">
        <v>-835</v>
      </c>
      <c r="C5798">
        <v>408</v>
      </c>
      <c r="D5798" s="201">
        <v>-819</v>
      </c>
      <c r="E5798" s="201">
        <v>1243</v>
      </c>
      <c r="F5798">
        <v>584</v>
      </c>
      <c r="G5798">
        <v>4935</v>
      </c>
      <c r="H5798">
        <v>4391</v>
      </c>
      <c r="I5798">
        <v>3577</v>
      </c>
      <c r="J5798">
        <v>1263</v>
      </c>
      <c r="K5798" s="201">
        <v>-2521</v>
      </c>
    </row>
    <row r="5799" spans="1:11" x14ac:dyDescent="0.25">
      <c r="A5799"/>
      <c r="B5799" s="201">
        <v>0</v>
      </c>
      <c r="C5799">
        <v>4171</v>
      </c>
      <c r="D5799" s="201">
        <v>3903</v>
      </c>
      <c r="E5799" s="201">
        <v>4307</v>
      </c>
      <c r="F5799">
        <v>1268</v>
      </c>
      <c r="G5799">
        <v>3478</v>
      </c>
      <c r="H5799">
        <v>1191</v>
      </c>
      <c r="I5799">
        <v>4720</v>
      </c>
      <c r="J5799">
        <v>882</v>
      </c>
      <c r="K5799" s="201">
        <v>3509</v>
      </c>
    </row>
    <row r="5800" spans="1:11" x14ac:dyDescent="0.25">
      <c r="B5800" s="201">
        <v>3951</v>
      </c>
      <c r="C5800">
        <v>1197</v>
      </c>
      <c r="D5800" s="201">
        <v>1029</v>
      </c>
      <c r="E5800" s="201">
        <v>2107</v>
      </c>
      <c r="F5800">
        <v>3421</v>
      </c>
      <c r="G5800">
        <v>4318</v>
      </c>
      <c r="H5800">
        <v>2226</v>
      </c>
      <c r="I5800">
        <v>-2621</v>
      </c>
      <c r="J5800">
        <v>7641</v>
      </c>
      <c r="K5800" s="201">
        <v>6965</v>
      </c>
    </row>
    <row r="5801" spans="1:11" x14ac:dyDescent="0.25">
      <c r="A5801"/>
      <c r="B5801" s="201">
        <v>-2614</v>
      </c>
      <c r="C5801">
        <v>30259</v>
      </c>
      <c r="D5801" s="201">
        <v>48000</v>
      </c>
      <c r="E5801" s="201">
        <v>51649</v>
      </c>
      <c r="F5801">
        <v>51222</v>
      </c>
      <c r="G5801">
        <v>44156</v>
      </c>
      <c r="H5801">
        <v>-1565</v>
      </c>
      <c r="I5801">
        <v>448</v>
      </c>
      <c r="J5801">
        <v>-1144</v>
      </c>
      <c r="K5801" s="201">
        <v>2211</v>
      </c>
    </row>
    <row r="5802" spans="1:11" x14ac:dyDescent="0.25">
      <c r="A5802"/>
      <c r="B5802" s="201">
        <v>3637</v>
      </c>
      <c r="C5802">
        <v>0</v>
      </c>
      <c r="D5802" s="201">
        <v>0</v>
      </c>
      <c r="E5802" s="201">
        <v>-13</v>
      </c>
      <c r="F5802">
        <v>0</v>
      </c>
      <c r="G5802">
        <v>0</v>
      </c>
      <c r="H5802">
        <v>0</v>
      </c>
      <c r="I5802">
        <v>1269</v>
      </c>
      <c r="J5802">
        <v>-2134</v>
      </c>
      <c r="K5802" s="201">
        <v>0</v>
      </c>
    </row>
    <row r="5803" spans="1:11" x14ac:dyDescent="0.25">
      <c r="A5803"/>
      <c r="B5803" s="201">
        <v>0</v>
      </c>
      <c r="C5803">
        <v>0</v>
      </c>
      <c r="D5803" s="201">
        <v>0</v>
      </c>
      <c r="E5803" s="201">
        <v>0</v>
      </c>
      <c r="F5803">
        <v>0</v>
      </c>
      <c r="G5803">
        <v>-327</v>
      </c>
      <c r="H5803">
        <v>0</v>
      </c>
      <c r="I5803">
        <v>0</v>
      </c>
      <c r="J5803">
        <v>-1103</v>
      </c>
      <c r="K5803" s="201">
        <v>0</v>
      </c>
    </row>
    <row r="5804" spans="1:11" x14ac:dyDescent="0.25">
      <c r="B5804" s="201">
        <v>1131</v>
      </c>
      <c r="C5804">
        <v>0</v>
      </c>
      <c r="D5804" s="201">
        <v>43</v>
      </c>
      <c r="E5804" s="201">
        <v>386</v>
      </c>
      <c r="F5804">
        <v>275</v>
      </c>
      <c r="G5804">
        <v>0</v>
      </c>
      <c r="H5804">
        <v>-5511</v>
      </c>
      <c r="I5804">
        <v>-504</v>
      </c>
      <c r="J5804">
        <v>2104</v>
      </c>
      <c r="K5804" s="201">
        <v>3107</v>
      </c>
    </row>
    <row r="5805" spans="1:11" x14ac:dyDescent="0.25">
      <c r="B5805" s="201">
        <v>3306</v>
      </c>
      <c r="C5805">
        <v>-973</v>
      </c>
      <c r="D5805" s="201">
        <v>0</v>
      </c>
      <c r="E5805" s="201">
        <v>288</v>
      </c>
      <c r="F5805">
        <v>0</v>
      </c>
      <c r="G5805">
        <v>0</v>
      </c>
      <c r="H5805">
        <v>0</v>
      </c>
      <c r="I5805">
        <v>0</v>
      </c>
      <c r="J5805">
        <v>0</v>
      </c>
      <c r="K5805" s="201">
        <v>-179</v>
      </c>
    </row>
    <row r="5806" spans="1:11" x14ac:dyDescent="0.25">
      <c r="A5806"/>
      <c r="B5806" s="201">
        <v>0</v>
      </c>
      <c r="C5806">
        <v>0</v>
      </c>
      <c r="D5806" s="201">
        <v>0</v>
      </c>
      <c r="E5806" s="201">
        <v>739</v>
      </c>
      <c r="F5806">
        <v>0</v>
      </c>
      <c r="G5806">
        <v>815</v>
      </c>
      <c r="H5806">
        <v>0</v>
      </c>
      <c r="I5806">
        <v>0</v>
      </c>
      <c r="J5806">
        <v>0</v>
      </c>
      <c r="K5806" s="201">
        <v>0</v>
      </c>
    </row>
    <row r="5807" spans="1:11" x14ac:dyDescent="0.25">
      <c r="A5807"/>
      <c r="B5807" s="201">
        <v>0</v>
      </c>
      <c r="C5807">
        <v>0</v>
      </c>
      <c r="D5807" s="201">
        <v>0</v>
      </c>
      <c r="E5807" s="201">
        <v>-370</v>
      </c>
      <c r="F5807">
        <v>2833</v>
      </c>
      <c r="G5807">
        <v>0</v>
      </c>
      <c r="H5807">
        <v>0</v>
      </c>
      <c r="I5807">
        <v>10947</v>
      </c>
      <c r="J5807">
        <v>145</v>
      </c>
      <c r="K5807" s="201">
        <v>0</v>
      </c>
    </row>
    <row r="5808" spans="1:11" x14ac:dyDescent="0.25">
      <c r="A5808"/>
      <c r="B5808" s="201">
        <v>6249</v>
      </c>
      <c r="C5808">
        <v>0</v>
      </c>
      <c r="D5808" s="201">
        <v>0</v>
      </c>
      <c r="E5808" s="201">
        <v>0</v>
      </c>
      <c r="F5808">
        <v>0</v>
      </c>
      <c r="G5808">
        <v>4813</v>
      </c>
      <c r="H5808">
        <v>2443</v>
      </c>
      <c r="I5808">
        <v>818</v>
      </c>
      <c r="J5808">
        <v>0</v>
      </c>
      <c r="K5808" s="201">
        <v>0</v>
      </c>
    </row>
    <row r="5809" spans="1:11" x14ac:dyDescent="0.25">
      <c r="B5809" s="201">
        <v>-222</v>
      </c>
      <c r="C5809">
        <v>-556</v>
      </c>
      <c r="D5809" s="201">
        <v>0</v>
      </c>
      <c r="E5809" s="201">
        <v>2882</v>
      </c>
      <c r="F5809">
        <v>2515</v>
      </c>
      <c r="G5809">
        <v>341</v>
      </c>
      <c r="H5809">
        <v>1103</v>
      </c>
      <c r="I5809">
        <v>-779</v>
      </c>
      <c r="J5809">
        <v>1142</v>
      </c>
      <c r="K5809" s="201">
        <v>3604</v>
      </c>
    </row>
    <row r="5810" spans="1:11" x14ac:dyDescent="0.25">
      <c r="A5810"/>
      <c r="B5810" s="201">
        <v>0</v>
      </c>
      <c r="C5810">
        <v>0</v>
      </c>
      <c r="D5810" s="201">
        <v>0</v>
      </c>
      <c r="E5810" s="201">
        <v>0</v>
      </c>
      <c r="F5810">
        <v>0</v>
      </c>
      <c r="G5810">
        <v>-15732</v>
      </c>
      <c r="H5810">
        <v>0</v>
      </c>
      <c r="I5810">
        <v>5838</v>
      </c>
      <c r="J5810">
        <v>4599</v>
      </c>
      <c r="K5810" s="201">
        <v>-562</v>
      </c>
    </row>
    <row r="5811" spans="1:11" x14ac:dyDescent="0.25">
      <c r="A5811"/>
      <c r="B5811" s="201">
        <v>0</v>
      </c>
      <c r="C5811">
        <v>-2515</v>
      </c>
      <c r="D5811" s="201">
        <v>-789</v>
      </c>
      <c r="E5811" s="201">
        <v>-1293</v>
      </c>
      <c r="F5811">
        <v>-2831</v>
      </c>
      <c r="G5811">
        <v>-2528</v>
      </c>
      <c r="H5811">
        <v>0</v>
      </c>
      <c r="I5811">
        <v>4603</v>
      </c>
      <c r="J5811">
        <v>9424</v>
      </c>
      <c r="K5811" s="201">
        <v>-1391</v>
      </c>
    </row>
    <row r="5812" spans="1:11" x14ac:dyDescent="0.25">
      <c r="A5812"/>
      <c r="B5812" s="201">
        <v>148</v>
      </c>
      <c r="C5812">
        <v>0</v>
      </c>
      <c r="D5812" s="201">
        <v>-67</v>
      </c>
      <c r="E5812" s="201">
        <v>1476</v>
      </c>
      <c r="F5812">
        <v>0</v>
      </c>
      <c r="G5812">
        <v>0</v>
      </c>
      <c r="H5812">
        <v>0</v>
      </c>
      <c r="I5812">
        <v>-1220</v>
      </c>
      <c r="J5812">
        <v>-478</v>
      </c>
      <c r="K5812" s="201">
        <v>0</v>
      </c>
    </row>
    <row r="5813" spans="1:11" x14ac:dyDescent="0.25">
      <c r="A5813"/>
      <c r="B5813" s="201">
        <v>-818</v>
      </c>
      <c r="C5813">
        <v>1737</v>
      </c>
      <c r="D5813" s="201">
        <v>184</v>
      </c>
      <c r="E5813" s="201">
        <v>-125</v>
      </c>
      <c r="F5813">
        <v>0</v>
      </c>
      <c r="G5813">
        <v>0</v>
      </c>
      <c r="H5813">
        <v>0</v>
      </c>
      <c r="I5813">
        <v>0</v>
      </c>
      <c r="J5813">
        <v>0</v>
      </c>
      <c r="K5813" s="201">
        <v>5694</v>
      </c>
    </row>
    <row r="5814" spans="1:11" x14ac:dyDescent="0.25">
      <c r="A5814"/>
      <c r="B5814" s="201">
        <v>0</v>
      </c>
      <c r="C5814">
        <v>582</v>
      </c>
      <c r="D5814" s="201">
        <v>-203</v>
      </c>
      <c r="E5814" s="201">
        <v>130</v>
      </c>
      <c r="F5814">
        <v>0</v>
      </c>
      <c r="G5814">
        <v>-1640</v>
      </c>
      <c r="H5814">
        <v>-1323</v>
      </c>
      <c r="I5814">
        <v>-938</v>
      </c>
      <c r="J5814">
        <v>-1477</v>
      </c>
      <c r="K5814" s="201">
        <v>-1888</v>
      </c>
    </row>
    <row r="5815" spans="1:11" x14ac:dyDescent="0.25">
      <c r="B5815" s="201">
        <v>3894</v>
      </c>
      <c r="C5815">
        <v>5330</v>
      </c>
      <c r="D5815" s="201">
        <v>10892</v>
      </c>
      <c r="E5815" s="201">
        <v>0</v>
      </c>
      <c r="F5815">
        <v>-17</v>
      </c>
      <c r="G5815">
        <v>0</v>
      </c>
      <c r="H5815">
        <v>0</v>
      </c>
      <c r="I5815">
        <v>1816</v>
      </c>
      <c r="J5815">
        <v>166</v>
      </c>
      <c r="K5815" s="201">
        <v>0</v>
      </c>
    </row>
    <row r="5816" spans="1:11" x14ac:dyDescent="0.25">
      <c r="A5816"/>
      <c r="B5816" s="201">
        <v>161</v>
      </c>
      <c r="C5816">
        <v>0</v>
      </c>
      <c r="D5816" s="201">
        <v>0</v>
      </c>
      <c r="E5816" s="201">
        <v>-222</v>
      </c>
      <c r="F5816">
        <v>0</v>
      </c>
      <c r="G5816">
        <v>94</v>
      </c>
      <c r="H5816">
        <v>-214</v>
      </c>
      <c r="I5816">
        <v>254</v>
      </c>
      <c r="J5816">
        <v>0</v>
      </c>
      <c r="K5816" s="201">
        <v>0</v>
      </c>
    </row>
    <row r="5817" spans="1:11" x14ac:dyDescent="0.25">
      <c r="A5817"/>
      <c r="B5817" s="201">
        <v>0</v>
      </c>
      <c r="C5817">
        <v>0</v>
      </c>
      <c r="D5817" s="201">
        <v>0</v>
      </c>
      <c r="E5817" s="201">
        <v>4125</v>
      </c>
      <c r="F5817">
        <v>0</v>
      </c>
      <c r="G5817">
        <v>723</v>
      </c>
      <c r="H5817">
        <v>162</v>
      </c>
      <c r="I5817">
        <v>254</v>
      </c>
      <c r="J5817">
        <v>0</v>
      </c>
      <c r="K5817" s="201">
        <v>1796</v>
      </c>
    </row>
    <row r="5818" spans="1:11" x14ac:dyDescent="0.25">
      <c r="A5818"/>
      <c r="B5818" s="201">
        <v>-795</v>
      </c>
      <c r="C5818">
        <v>-195</v>
      </c>
      <c r="D5818" s="201">
        <v>0</v>
      </c>
      <c r="E5818" s="201">
        <v>0</v>
      </c>
      <c r="F5818">
        <v>0</v>
      </c>
      <c r="G5818">
        <v>4127</v>
      </c>
      <c r="H5818">
        <v>7891</v>
      </c>
      <c r="I5818">
        <v>-343</v>
      </c>
      <c r="J5818">
        <v>-217</v>
      </c>
      <c r="K5818" s="201">
        <v>-200</v>
      </c>
    </row>
    <row r="5819" spans="1:11" x14ac:dyDescent="0.25">
      <c r="A5819"/>
      <c r="B5819" s="201">
        <v>0</v>
      </c>
      <c r="C5819">
        <v>1368</v>
      </c>
      <c r="D5819" s="201">
        <v>0</v>
      </c>
      <c r="E5819" s="201">
        <v>0</v>
      </c>
      <c r="F5819">
        <v>-279</v>
      </c>
      <c r="G5819">
        <v>0</v>
      </c>
      <c r="H5819">
        <v>-226</v>
      </c>
      <c r="I5819">
        <v>0</v>
      </c>
      <c r="J5819">
        <v>-305</v>
      </c>
      <c r="K5819" s="201">
        <v>0</v>
      </c>
    </row>
    <row r="5820" spans="1:11" x14ac:dyDescent="0.25">
      <c r="A5820"/>
      <c r="B5820" s="201">
        <v>0</v>
      </c>
      <c r="C5820">
        <v>0</v>
      </c>
      <c r="D5820" s="201">
        <v>0</v>
      </c>
      <c r="E5820" s="201">
        <v>0</v>
      </c>
      <c r="F5820">
        <v>0</v>
      </c>
      <c r="G5820">
        <v>0</v>
      </c>
      <c r="H5820">
        <v>0</v>
      </c>
      <c r="I5820">
        <v>3692</v>
      </c>
      <c r="J5820">
        <v>0</v>
      </c>
      <c r="K5820" s="201">
        <v>490</v>
      </c>
    </row>
    <row r="5821" spans="1:11" x14ac:dyDescent="0.25">
      <c r="B5821" s="201">
        <v>-636</v>
      </c>
      <c r="C5821">
        <v>196</v>
      </c>
      <c r="D5821" s="201">
        <v>0</v>
      </c>
      <c r="E5821" s="201">
        <v>-277</v>
      </c>
      <c r="F5821">
        <v>-887</v>
      </c>
      <c r="G5821">
        <v>0</v>
      </c>
      <c r="H5821">
        <v>0</v>
      </c>
      <c r="I5821">
        <v>0</v>
      </c>
      <c r="J5821">
        <v>0</v>
      </c>
      <c r="K5821" s="201">
        <v>0</v>
      </c>
    </row>
    <row r="5822" spans="1:11" x14ac:dyDescent="0.25">
      <c r="B5822" s="201">
        <v>10266</v>
      </c>
      <c r="C5822" s="201">
        <v>-2287</v>
      </c>
      <c r="D5822" s="201">
        <v>-1190</v>
      </c>
      <c r="E5822" s="201">
        <v>-754</v>
      </c>
      <c r="F5822">
        <v>-128</v>
      </c>
      <c r="G5822">
        <v>802</v>
      </c>
      <c r="H5822">
        <v>0</v>
      </c>
      <c r="I5822">
        <v>0</v>
      </c>
      <c r="J5822">
        <v>0</v>
      </c>
      <c r="K5822" s="201">
        <v>0</v>
      </c>
    </row>
    <row r="5823" spans="1:11" x14ac:dyDescent="0.25">
      <c r="B5823" s="201">
        <v>-773</v>
      </c>
      <c r="C5823">
        <v>0</v>
      </c>
      <c r="D5823" s="201">
        <v>-662</v>
      </c>
      <c r="E5823" s="201">
        <v>0</v>
      </c>
      <c r="F5823">
        <v>0</v>
      </c>
      <c r="G5823">
        <v>-1272</v>
      </c>
      <c r="H5823">
        <v>-5</v>
      </c>
      <c r="I5823">
        <v>0</v>
      </c>
      <c r="J5823">
        <v>0</v>
      </c>
      <c r="K5823" s="201">
        <v>0</v>
      </c>
    </row>
    <row r="5824" spans="1:11" x14ac:dyDescent="0.25">
      <c r="A5824"/>
      <c r="B5824" s="201">
        <v>0</v>
      </c>
      <c r="C5824">
        <v>4626</v>
      </c>
      <c r="D5824" s="201">
        <v>0</v>
      </c>
      <c r="E5824" s="201">
        <v>1253</v>
      </c>
      <c r="F5824">
        <v>-664</v>
      </c>
      <c r="G5824">
        <v>653</v>
      </c>
      <c r="H5824">
        <v>-796</v>
      </c>
      <c r="I5824">
        <v>1873</v>
      </c>
      <c r="J5824">
        <v>5216</v>
      </c>
      <c r="K5824" s="201">
        <v>5192</v>
      </c>
    </row>
    <row r="5825" spans="1:11" x14ac:dyDescent="0.25">
      <c r="A5825"/>
      <c r="B5825" s="201">
        <v>-16712</v>
      </c>
      <c r="C5825" s="201">
        <v>-22057</v>
      </c>
      <c r="D5825" s="201">
        <v>-27882</v>
      </c>
      <c r="E5825" s="201">
        <v>0</v>
      </c>
      <c r="F5825">
        <v>0</v>
      </c>
      <c r="G5825">
        <v>0</v>
      </c>
      <c r="H5825">
        <v>0</v>
      </c>
      <c r="I5825">
        <v>0</v>
      </c>
      <c r="J5825">
        <v>0</v>
      </c>
      <c r="K5825" s="201">
        <v>0</v>
      </c>
    </row>
    <row r="5826" spans="1:11" x14ac:dyDescent="0.25">
      <c r="A5826"/>
      <c r="B5826" s="201">
        <v>924</v>
      </c>
      <c r="C5826">
        <v>1243</v>
      </c>
      <c r="D5826" s="201">
        <v>-1811</v>
      </c>
      <c r="E5826" s="201">
        <v>788</v>
      </c>
      <c r="F5826">
        <v>423</v>
      </c>
      <c r="G5826">
        <v>-1334</v>
      </c>
      <c r="H5826">
        <v>0</v>
      </c>
      <c r="I5826">
        <v>0</v>
      </c>
      <c r="J5826">
        <v>1508</v>
      </c>
      <c r="K5826" s="201">
        <v>0</v>
      </c>
    </row>
    <row r="5827" spans="1:11" x14ac:dyDescent="0.25">
      <c r="B5827" s="201">
        <v>4078</v>
      </c>
      <c r="C5827">
        <v>-30082</v>
      </c>
      <c r="D5827" s="201">
        <v>0</v>
      </c>
      <c r="E5827" s="201">
        <v>0</v>
      </c>
      <c r="F5827">
        <v>0</v>
      </c>
      <c r="G5827">
        <v>0</v>
      </c>
      <c r="H5827">
        <v>334</v>
      </c>
      <c r="I5827">
        <v>0</v>
      </c>
      <c r="J5827">
        <v>-2885</v>
      </c>
      <c r="K5827" s="201">
        <v>-7893</v>
      </c>
    </row>
    <row r="5828" spans="1:11" x14ac:dyDescent="0.25">
      <c r="A5828"/>
      <c r="B5828" s="201">
        <v>0</v>
      </c>
      <c r="C5828">
        <v>0</v>
      </c>
      <c r="D5828" s="201">
        <v>0</v>
      </c>
      <c r="E5828" s="201">
        <v>0</v>
      </c>
      <c r="F5828">
        <v>0</v>
      </c>
      <c r="G5828">
        <v>0</v>
      </c>
      <c r="H5828">
        <v>0</v>
      </c>
      <c r="I5828">
        <v>0</v>
      </c>
      <c r="J5828">
        <v>0</v>
      </c>
      <c r="K5828" s="201">
        <v>0</v>
      </c>
    </row>
    <row r="5829" spans="1:11" x14ac:dyDescent="0.25">
      <c r="A5829"/>
      <c r="B5829" s="201">
        <v>0</v>
      </c>
      <c r="C5829">
        <v>0</v>
      </c>
      <c r="D5829" s="201">
        <v>0</v>
      </c>
      <c r="E5829" s="201">
        <v>0</v>
      </c>
      <c r="F5829">
        <v>0</v>
      </c>
      <c r="G5829">
        <v>-145</v>
      </c>
      <c r="H5829">
        <v>0</v>
      </c>
      <c r="I5829">
        <v>0</v>
      </c>
      <c r="J5829">
        <v>0</v>
      </c>
      <c r="K5829" s="201">
        <v>0</v>
      </c>
    </row>
    <row r="5830" spans="1:11" x14ac:dyDescent="0.25">
      <c r="A5830"/>
      <c r="B5830" s="201">
        <v>0</v>
      </c>
      <c r="C5830">
        <v>-14</v>
      </c>
      <c r="D5830" s="201">
        <v>-390</v>
      </c>
      <c r="E5830" s="201">
        <v>-168</v>
      </c>
      <c r="F5830">
        <v>-12700</v>
      </c>
      <c r="G5830">
        <v>644</v>
      </c>
      <c r="H5830">
        <v>1595</v>
      </c>
      <c r="I5830">
        <v>884</v>
      </c>
      <c r="J5830">
        <v>-1368</v>
      </c>
      <c r="K5830" s="201">
        <v>114</v>
      </c>
    </row>
    <row r="5831" spans="1:11" x14ac:dyDescent="0.25">
      <c r="A5831"/>
      <c r="B5831" s="201">
        <v>1358</v>
      </c>
      <c r="C5831">
        <v>835</v>
      </c>
      <c r="D5831" s="201">
        <v>1798</v>
      </c>
      <c r="E5831" s="201">
        <v>-18753</v>
      </c>
      <c r="F5831">
        <v>-2187</v>
      </c>
      <c r="G5831">
        <v>-2009</v>
      </c>
      <c r="H5831">
        <v>-1889</v>
      </c>
      <c r="I5831">
        <v>-5515</v>
      </c>
      <c r="J5831">
        <v>0</v>
      </c>
      <c r="K5831" s="201">
        <v>-12911</v>
      </c>
    </row>
    <row r="5832" spans="1:11" x14ac:dyDescent="0.25">
      <c r="B5832" s="201">
        <v>5371</v>
      </c>
      <c r="C5832">
        <v>6239</v>
      </c>
      <c r="D5832" s="201">
        <v>2647</v>
      </c>
      <c r="E5832" s="201">
        <v>-3305</v>
      </c>
      <c r="F5832">
        <v>1222</v>
      </c>
      <c r="G5832">
        <v>1497</v>
      </c>
      <c r="H5832">
        <v>678</v>
      </c>
      <c r="I5832">
        <v>-4205</v>
      </c>
      <c r="J5832">
        <v>1396</v>
      </c>
      <c r="K5832" s="201">
        <v>2586</v>
      </c>
    </row>
    <row r="5833" spans="1:11" x14ac:dyDescent="0.25">
      <c r="A5833"/>
      <c r="B5833" s="201">
        <v>789</v>
      </c>
      <c r="C5833">
        <v>-2820</v>
      </c>
      <c r="D5833" s="201">
        <v>1317</v>
      </c>
      <c r="E5833" s="201">
        <v>1845</v>
      </c>
      <c r="F5833">
        <v>2017</v>
      </c>
      <c r="G5833">
        <v>-2096</v>
      </c>
      <c r="H5833">
        <v>1653</v>
      </c>
      <c r="I5833">
        <v>1935</v>
      </c>
      <c r="J5833">
        <v>792</v>
      </c>
      <c r="K5833" s="201">
        <v>28956</v>
      </c>
    </row>
    <row r="5834" spans="1:11" x14ac:dyDescent="0.25">
      <c r="A5834"/>
      <c r="B5834" s="201">
        <v>40229</v>
      </c>
      <c r="C5834">
        <v>24670</v>
      </c>
      <c r="D5834" s="201">
        <v>25837</v>
      </c>
      <c r="E5834" s="201">
        <v>21740</v>
      </c>
      <c r="F5834">
        <v>25189</v>
      </c>
      <c r="G5834">
        <v>-1151</v>
      </c>
      <c r="H5834">
        <v>-309</v>
      </c>
      <c r="I5834">
        <v>-644</v>
      </c>
      <c r="J5834">
        <v>2859</v>
      </c>
      <c r="K5834" s="201">
        <v>1933</v>
      </c>
    </row>
    <row r="5835" spans="1:11" x14ac:dyDescent="0.25">
      <c r="A5835"/>
      <c r="B5835" s="201">
        <v>0</v>
      </c>
      <c r="C5835">
        <v>0</v>
      </c>
      <c r="D5835" s="201">
        <v>-171</v>
      </c>
      <c r="E5835" s="201">
        <v>0</v>
      </c>
      <c r="F5835">
        <v>0</v>
      </c>
      <c r="G5835">
        <v>0</v>
      </c>
      <c r="H5835">
        <v>-74</v>
      </c>
      <c r="I5835">
        <v>342</v>
      </c>
      <c r="J5835">
        <v>0</v>
      </c>
      <c r="K5835" s="201">
        <v>0</v>
      </c>
    </row>
    <row r="5836" spans="1:11" x14ac:dyDescent="0.25">
      <c r="A5836"/>
      <c r="B5836" s="201">
        <v>0</v>
      </c>
      <c r="C5836">
        <v>0</v>
      </c>
      <c r="D5836" s="201">
        <v>0</v>
      </c>
      <c r="E5836" s="201">
        <v>0</v>
      </c>
      <c r="F5836">
        <v>-336</v>
      </c>
      <c r="G5836">
        <v>0</v>
      </c>
      <c r="H5836">
        <v>0</v>
      </c>
      <c r="I5836">
        <v>-813</v>
      </c>
      <c r="J5836">
        <v>0</v>
      </c>
      <c r="K5836" s="201">
        <v>959</v>
      </c>
    </row>
    <row r="5837" spans="1:11" x14ac:dyDescent="0.25">
      <c r="A5837"/>
      <c r="B5837" s="201">
        <v>0</v>
      </c>
      <c r="C5837">
        <v>-12</v>
      </c>
      <c r="D5837" s="201">
        <v>1127</v>
      </c>
      <c r="E5837" s="201">
        <v>272</v>
      </c>
      <c r="F5837">
        <v>0</v>
      </c>
      <c r="G5837">
        <v>-8112</v>
      </c>
      <c r="H5837">
        <v>-1193</v>
      </c>
      <c r="I5837">
        <v>2706</v>
      </c>
      <c r="J5837">
        <v>1241</v>
      </c>
      <c r="K5837" s="201">
        <v>3140</v>
      </c>
    </row>
    <row r="5838" spans="1:11" x14ac:dyDescent="0.25">
      <c r="B5838" s="201">
        <v>1916</v>
      </c>
      <c r="C5838">
        <v>0</v>
      </c>
      <c r="D5838" s="201">
        <v>253</v>
      </c>
      <c r="E5838" s="201">
        <v>0</v>
      </c>
      <c r="F5838">
        <v>0</v>
      </c>
      <c r="G5838">
        <v>0</v>
      </c>
      <c r="H5838">
        <v>0</v>
      </c>
      <c r="I5838">
        <v>0</v>
      </c>
      <c r="J5838">
        <v>1145</v>
      </c>
      <c r="K5838" s="201">
        <v>0</v>
      </c>
    </row>
    <row r="5839" spans="1:11" x14ac:dyDescent="0.25">
      <c r="A5839"/>
      <c r="B5839" s="201">
        <v>0</v>
      </c>
      <c r="C5839">
        <v>0</v>
      </c>
      <c r="D5839" s="201">
        <v>156</v>
      </c>
      <c r="E5839" s="201">
        <v>0</v>
      </c>
      <c r="F5839">
        <v>-197</v>
      </c>
      <c r="G5839">
        <v>0</v>
      </c>
      <c r="H5839">
        <v>0</v>
      </c>
      <c r="I5839">
        <v>0</v>
      </c>
      <c r="J5839">
        <v>0</v>
      </c>
      <c r="K5839" s="201">
        <v>0</v>
      </c>
    </row>
    <row r="5840" spans="1:11" x14ac:dyDescent="0.25">
      <c r="A5840"/>
      <c r="B5840" s="201">
        <v>-325</v>
      </c>
      <c r="C5840">
        <v>0</v>
      </c>
      <c r="D5840" s="201">
        <v>180</v>
      </c>
      <c r="E5840" s="201">
        <v>7708</v>
      </c>
      <c r="F5840">
        <v>0</v>
      </c>
      <c r="G5840">
        <v>0</v>
      </c>
      <c r="H5840">
        <v>-632</v>
      </c>
      <c r="I5840">
        <v>303</v>
      </c>
      <c r="J5840">
        <v>0</v>
      </c>
      <c r="K5840" s="201">
        <v>-4765</v>
      </c>
    </row>
    <row r="5841" spans="1:11" x14ac:dyDescent="0.25">
      <c r="A5841"/>
      <c r="B5841" s="201">
        <v>0</v>
      </c>
      <c r="C5841">
        <v>0</v>
      </c>
      <c r="D5841" s="201">
        <v>0</v>
      </c>
      <c r="E5841" s="201">
        <v>0</v>
      </c>
      <c r="F5841">
        <v>-4369</v>
      </c>
      <c r="G5841">
        <v>-691</v>
      </c>
      <c r="H5841">
        <v>-105</v>
      </c>
      <c r="I5841">
        <v>0</v>
      </c>
      <c r="J5841">
        <v>0</v>
      </c>
      <c r="K5841" s="201">
        <v>478</v>
      </c>
    </row>
    <row r="5842" spans="1:11" x14ac:dyDescent="0.25">
      <c r="B5842" s="201">
        <v>-313</v>
      </c>
      <c r="C5842">
        <v>0</v>
      </c>
      <c r="D5842" s="201">
        <v>-1088</v>
      </c>
      <c r="E5842" s="201">
        <v>-1205</v>
      </c>
      <c r="F5842">
        <v>-477</v>
      </c>
      <c r="G5842">
        <v>-1166</v>
      </c>
      <c r="H5842">
        <v>1246</v>
      </c>
      <c r="I5842">
        <v>-271</v>
      </c>
      <c r="J5842">
        <v>-2288</v>
      </c>
      <c r="K5842" s="201">
        <v>0</v>
      </c>
    </row>
    <row r="5843" spans="1:11" x14ac:dyDescent="0.25">
      <c r="A5843"/>
      <c r="B5843" s="201">
        <v>0</v>
      </c>
      <c r="C5843">
        <v>0</v>
      </c>
      <c r="D5843" s="201">
        <v>0</v>
      </c>
      <c r="E5843" s="201">
        <v>0</v>
      </c>
      <c r="F5843">
        <v>5784</v>
      </c>
      <c r="G5843">
        <v>0</v>
      </c>
      <c r="H5843">
        <v>-501</v>
      </c>
      <c r="I5843">
        <v>-334</v>
      </c>
      <c r="J5843">
        <v>850</v>
      </c>
      <c r="K5843" s="201">
        <v>0</v>
      </c>
    </row>
    <row r="5844" spans="1:11" x14ac:dyDescent="0.25">
      <c r="A5844"/>
      <c r="B5844" s="201">
        <v>-6429</v>
      </c>
      <c r="C5844">
        <v>-737</v>
      </c>
      <c r="D5844" s="201">
        <v>3362</v>
      </c>
      <c r="E5844" s="201">
        <v>7225</v>
      </c>
      <c r="F5844">
        <v>6574</v>
      </c>
      <c r="G5844">
        <v>0</v>
      </c>
      <c r="H5844">
        <v>-17007</v>
      </c>
      <c r="I5844">
        <v>-20041</v>
      </c>
      <c r="J5844">
        <v>-5594</v>
      </c>
      <c r="K5844" s="201">
        <v>24</v>
      </c>
    </row>
    <row r="5845" spans="1:11" x14ac:dyDescent="0.25">
      <c r="A5845"/>
      <c r="B5845" s="201">
        <v>0</v>
      </c>
      <c r="C5845">
        <v>179</v>
      </c>
      <c r="D5845" s="201">
        <v>-610</v>
      </c>
      <c r="E5845" s="201">
        <v>0</v>
      </c>
      <c r="F5845">
        <v>0</v>
      </c>
      <c r="G5845">
        <v>0</v>
      </c>
      <c r="H5845">
        <v>990</v>
      </c>
      <c r="I5845">
        <v>-1425</v>
      </c>
      <c r="J5845">
        <v>0</v>
      </c>
      <c r="K5845" s="201">
        <v>377</v>
      </c>
    </row>
    <row r="5846" spans="1:11" x14ac:dyDescent="0.25">
      <c r="A5846"/>
      <c r="B5846" s="201">
        <v>-7993</v>
      </c>
      <c r="C5846">
        <v>-875</v>
      </c>
      <c r="D5846" s="201">
        <v>1355</v>
      </c>
      <c r="E5846" s="201">
        <v>0</v>
      </c>
      <c r="F5846">
        <v>0</v>
      </c>
      <c r="G5846">
        <v>0</v>
      </c>
      <c r="H5846">
        <v>0</v>
      </c>
      <c r="I5846">
        <v>0</v>
      </c>
      <c r="J5846">
        <v>7031</v>
      </c>
      <c r="K5846" s="201">
        <v>0</v>
      </c>
    </row>
    <row r="5847" spans="1:11" x14ac:dyDescent="0.25">
      <c r="A5847"/>
      <c r="B5847" s="201">
        <v>196</v>
      </c>
      <c r="C5847">
        <v>3639</v>
      </c>
      <c r="D5847" s="201">
        <v>682</v>
      </c>
      <c r="E5847" s="201">
        <v>0</v>
      </c>
      <c r="F5847">
        <v>-701</v>
      </c>
      <c r="G5847">
        <v>-1193</v>
      </c>
      <c r="H5847">
        <v>-1500</v>
      </c>
      <c r="I5847">
        <v>-4924</v>
      </c>
      <c r="J5847">
        <v>-2736</v>
      </c>
      <c r="K5847" s="201">
        <v>5284</v>
      </c>
    </row>
    <row r="5848" spans="1:11" x14ac:dyDescent="0.25">
      <c r="B5848" s="201">
        <v>5598</v>
      </c>
      <c r="C5848">
        <v>9088</v>
      </c>
      <c r="D5848" s="201">
        <v>0</v>
      </c>
      <c r="E5848" s="201">
        <v>139</v>
      </c>
      <c r="F5848">
        <v>0</v>
      </c>
      <c r="G5848">
        <v>0</v>
      </c>
      <c r="H5848">
        <v>-14</v>
      </c>
      <c r="I5848">
        <v>93</v>
      </c>
      <c r="J5848">
        <v>0</v>
      </c>
      <c r="K5848" s="201">
        <v>-284</v>
      </c>
    </row>
    <row r="5849" spans="1:11" x14ac:dyDescent="0.25">
      <c r="A5849"/>
      <c r="B5849" s="201">
        <v>0</v>
      </c>
      <c r="C5849">
        <v>0</v>
      </c>
      <c r="D5849" s="201">
        <v>-337</v>
      </c>
      <c r="E5849" s="201">
        <v>0</v>
      </c>
      <c r="F5849">
        <v>1026</v>
      </c>
      <c r="G5849">
        <v>78</v>
      </c>
      <c r="H5849">
        <v>-555</v>
      </c>
      <c r="I5849">
        <v>0</v>
      </c>
      <c r="J5849">
        <v>0</v>
      </c>
      <c r="K5849" s="201">
        <v>0</v>
      </c>
    </row>
    <row r="5850" spans="1:11" x14ac:dyDescent="0.25">
      <c r="A5850"/>
      <c r="B5850" s="201">
        <v>0</v>
      </c>
      <c r="C5850">
        <v>0</v>
      </c>
      <c r="D5850" s="201">
        <v>5253</v>
      </c>
      <c r="E5850" s="201">
        <v>0</v>
      </c>
      <c r="F5850">
        <v>770</v>
      </c>
      <c r="G5850">
        <v>-14</v>
      </c>
      <c r="H5850">
        <v>52</v>
      </c>
      <c r="I5850">
        <v>0</v>
      </c>
      <c r="J5850">
        <v>3388</v>
      </c>
      <c r="K5850" s="201">
        <v>-1051</v>
      </c>
    </row>
    <row r="5851" spans="1:11" x14ac:dyDescent="0.25">
      <c r="A5851"/>
      <c r="B5851" s="201">
        <v>-239</v>
      </c>
      <c r="C5851">
        <v>0</v>
      </c>
      <c r="D5851" s="201">
        <v>0</v>
      </c>
      <c r="E5851" s="201">
        <v>0</v>
      </c>
      <c r="F5851">
        <v>3197</v>
      </c>
      <c r="G5851">
        <v>5167</v>
      </c>
      <c r="H5851">
        <v>349</v>
      </c>
      <c r="I5851">
        <v>-158</v>
      </c>
      <c r="J5851">
        <v>-308</v>
      </c>
      <c r="K5851" s="201">
        <v>0</v>
      </c>
    </row>
    <row r="5852" spans="1:11" x14ac:dyDescent="0.25">
      <c r="A5852"/>
      <c r="B5852" s="201">
        <v>231</v>
      </c>
      <c r="C5852">
        <v>0</v>
      </c>
      <c r="D5852" s="201">
        <v>0</v>
      </c>
      <c r="E5852" s="201">
        <v>-336</v>
      </c>
      <c r="F5852">
        <v>0</v>
      </c>
      <c r="G5852">
        <v>632</v>
      </c>
      <c r="H5852">
        <v>0</v>
      </c>
      <c r="I5852">
        <v>94</v>
      </c>
      <c r="J5852">
        <v>0</v>
      </c>
      <c r="K5852" s="201">
        <v>0</v>
      </c>
    </row>
    <row r="5853" spans="1:11" x14ac:dyDescent="0.25">
      <c r="A5853"/>
      <c r="B5853" s="201">
        <v>0</v>
      </c>
      <c r="C5853">
        <v>0</v>
      </c>
      <c r="D5853" s="201">
        <v>0</v>
      </c>
      <c r="E5853" s="201">
        <v>0</v>
      </c>
      <c r="F5853">
        <v>0</v>
      </c>
      <c r="G5853">
        <v>0</v>
      </c>
      <c r="H5853">
        <v>4917</v>
      </c>
      <c r="I5853">
        <v>0</v>
      </c>
      <c r="J5853">
        <v>583</v>
      </c>
      <c r="K5853" s="201">
        <v>-752</v>
      </c>
    </row>
    <row r="5854" spans="1:11" x14ac:dyDescent="0.25">
      <c r="A5854"/>
      <c r="B5854" s="201">
        <v>138</v>
      </c>
      <c r="C5854">
        <v>0</v>
      </c>
      <c r="D5854" s="201">
        <v>77</v>
      </c>
      <c r="E5854" s="201">
        <v>-2006</v>
      </c>
      <c r="F5854">
        <v>0</v>
      </c>
      <c r="G5854">
        <v>0</v>
      </c>
      <c r="H5854">
        <v>0</v>
      </c>
      <c r="I5854">
        <v>0</v>
      </c>
      <c r="J5854">
        <v>0</v>
      </c>
      <c r="K5854" s="201">
        <v>6480</v>
      </c>
    </row>
    <row r="5855" spans="1:11" x14ac:dyDescent="0.25">
      <c r="B5855" s="201">
        <v>-1206</v>
      </c>
      <c r="C5855">
        <v>-701</v>
      </c>
      <c r="D5855" s="201">
        <v>-479</v>
      </c>
      <c r="E5855" s="201">
        <v>67</v>
      </c>
      <c r="F5855">
        <v>-1385</v>
      </c>
      <c r="G5855">
        <v>0</v>
      </c>
      <c r="H5855">
        <v>0</v>
      </c>
      <c r="I5855">
        <v>0</v>
      </c>
      <c r="J5855">
        <v>0</v>
      </c>
      <c r="K5855" s="201">
        <v>165</v>
      </c>
    </row>
    <row r="5856" spans="1:11" x14ac:dyDescent="0.25">
      <c r="A5856"/>
      <c r="B5856" s="201">
        <v>0</v>
      </c>
      <c r="C5856">
        <v>-119</v>
      </c>
      <c r="D5856" s="201">
        <v>0</v>
      </c>
      <c r="E5856" s="201">
        <v>0</v>
      </c>
      <c r="F5856">
        <v>-449</v>
      </c>
      <c r="G5856">
        <v>104</v>
      </c>
      <c r="H5856">
        <v>0</v>
      </c>
      <c r="I5856">
        <v>0</v>
      </c>
      <c r="J5856">
        <v>0</v>
      </c>
      <c r="K5856" s="201">
        <v>0</v>
      </c>
    </row>
    <row r="5857" spans="1:11" x14ac:dyDescent="0.25">
      <c r="B5857" s="201">
        <v>6116</v>
      </c>
      <c r="C5857">
        <v>0</v>
      </c>
      <c r="D5857" s="201">
        <v>2764</v>
      </c>
      <c r="E5857" s="201">
        <v>-629</v>
      </c>
      <c r="F5857">
        <v>703</v>
      </c>
      <c r="G5857">
        <v>1</v>
      </c>
      <c r="H5857">
        <v>680</v>
      </c>
      <c r="I5857">
        <v>5450</v>
      </c>
      <c r="J5857">
        <v>3275</v>
      </c>
      <c r="K5857" s="201">
        <v>-19458</v>
      </c>
    </row>
    <row r="5858" spans="1:11" x14ac:dyDescent="0.25">
      <c r="A5858"/>
      <c r="B5858" s="201">
        <v>-20370</v>
      </c>
      <c r="C5858">
        <v>-27483</v>
      </c>
      <c r="D5858" s="201">
        <v>0</v>
      </c>
      <c r="E5858" s="201">
        <v>0</v>
      </c>
      <c r="F5858">
        <v>0</v>
      </c>
      <c r="G5858">
        <v>0</v>
      </c>
      <c r="H5858">
        <v>0</v>
      </c>
      <c r="I5858">
        <v>0</v>
      </c>
      <c r="J5858">
        <v>0</v>
      </c>
      <c r="K5858" s="201">
        <v>952</v>
      </c>
    </row>
    <row r="5859" spans="1:11" x14ac:dyDescent="0.25">
      <c r="A5859"/>
      <c r="B5859" s="201">
        <v>1649</v>
      </c>
      <c r="C5859">
        <v>-386</v>
      </c>
      <c r="D5859" s="201">
        <v>1072</v>
      </c>
      <c r="E5859" s="201">
        <v>158</v>
      </c>
      <c r="F5859">
        <v>-786</v>
      </c>
      <c r="G5859">
        <v>0</v>
      </c>
      <c r="H5859">
        <v>0</v>
      </c>
      <c r="I5859">
        <v>1810</v>
      </c>
      <c r="J5859">
        <v>0</v>
      </c>
      <c r="K5859" s="201">
        <v>3873</v>
      </c>
    </row>
    <row r="5860" spans="1:11" x14ac:dyDescent="0.25">
      <c r="B5860" s="201">
        <v>-35777</v>
      </c>
      <c r="C5860">
        <v>0</v>
      </c>
      <c r="D5860" s="201">
        <v>0</v>
      </c>
      <c r="E5860" s="201">
        <v>0</v>
      </c>
      <c r="F5860">
        <v>0</v>
      </c>
      <c r="G5860">
        <v>-2717</v>
      </c>
      <c r="H5860">
        <v>0</v>
      </c>
      <c r="I5860">
        <v>4009</v>
      </c>
      <c r="J5860">
        <v>278</v>
      </c>
      <c r="K5860" s="201">
        <v>0</v>
      </c>
    </row>
    <row r="5861" spans="1:11" x14ac:dyDescent="0.25">
      <c r="A5861"/>
      <c r="B5861" s="201">
        <v>0</v>
      </c>
      <c r="C5861">
        <v>0</v>
      </c>
      <c r="D5861" s="201">
        <v>0</v>
      </c>
      <c r="E5861" s="201">
        <v>0</v>
      </c>
      <c r="F5861">
        <v>0</v>
      </c>
      <c r="G5861">
        <v>0</v>
      </c>
      <c r="H5861">
        <v>0</v>
      </c>
      <c r="I5861">
        <v>0</v>
      </c>
      <c r="J5861">
        <v>0</v>
      </c>
      <c r="K5861" s="201">
        <v>0</v>
      </c>
    </row>
    <row r="5862" spans="1:11" x14ac:dyDescent="0.25">
      <c r="A5862"/>
      <c r="B5862" s="201">
        <v>0</v>
      </c>
      <c r="C5862">
        <v>0</v>
      </c>
      <c r="D5862" s="201">
        <v>0</v>
      </c>
      <c r="E5862" s="201">
        <v>0</v>
      </c>
      <c r="F5862">
        <v>-484</v>
      </c>
      <c r="G5862">
        <v>0</v>
      </c>
      <c r="H5862">
        <v>0</v>
      </c>
      <c r="I5862">
        <v>0</v>
      </c>
      <c r="J5862">
        <v>0</v>
      </c>
      <c r="K5862" s="201">
        <v>0</v>
      </c>
    </row>
    <row r="5863" spans="1:11" x14ac:dyDescent="0.25">
      <c r="A5863"/>
      <c r="B5863" s="201">
        <v>126</v>
      </c>
      <c r="C5863">
        <v>195</v>
      </c>
      <c r="D5863" s="201">
        <v>579</v>
      </c>
      <c r="E5863" s="201">
        <v>1026</v>
      </c>
      <c r="F5863">
        <v>2320</v>
      </c>
      <c r="G5863">
        <v>1981</v>
      </c>
      <c r="H5863">
        <v>1950</v>
      </c>
      <c r="I5863">
        <v>-675</v>
      </c>
      <c r="J5863">
        <v>-230</v>
      </c>
      <c r="K5863" s="201">
        <v>1142</v>
      </c>
    </row>
    <row r="5864" spans="1:11" x14ac:dyDescent="0.25">
      <c r="B5864" s="201">
        <v>1061</v>
      </c>
      <c r="C5864">
        <v>1695</v>
      </c>
      <c r="D5864" s="201">
        <v>2809</v>
      </c>
      <c r="E5864" s="201">
        <v>13898</v>
      </c>
      <c r="F5864">
        <v>-3962</v>
      </c>
      <c r="G5864">
        <v>-1658</v>
      </c>
      <c r="H5864">
        <v>-5482</v>
      </c>
      <c r="I5864">
        <v>0</v>
      </c>
      <c r="J5864">
        <v>823</v>
      </c>
      <c r="K5864" s="201">
        <v>2160</v>
      </c>
    </row>
    <row r="5865" spans="1:11" x14ac:dyDescent="0.25">
      <c r="A5865"/>
      <c r="B5865" s="201">
        <v>2353</v>
      </c>
      <c r="C5865">
        <v>1538</v>
      </c>
      <c r="D5865" s="201">
        <v>-2358</v>
      </c>
      <c r="E5865" s="201">
        <v>2836</v>
      </c>
      <c r="F5865">
        <v>6985</v>
      </c>
      <c r="G5865">
        <v>3313</v>
      </c>
      <c r="H5865">
        <v>1574</v>
      </c>
      <c r="I5865">
        <v>-132</v>
      </c>
      <c r="J5865">
        <v>1788</v>
      </c>
      <c r="K5865" s="201">
        <v>1555</v>
      </c>
    </row>
    <row r="5866" spans="1:11" x14ac:dyDescent="0.25">
      <c r="A5866"/>
      <c r="B5866" s="201">
        <v>814</v>
      </c>
      <c r="C5866">
        <v>574</v>
      </c>
      <c r="D5866" s="201">
        <v>2628</v>
      </c>
      <c r="E5866" s="201">
        <v>2007</v>
      </c>
      <c r="F5866">
        <v>957</v>
      </c>
      <c r="G5866">
        <v>1959</v>
      </c>
      <c r="H5866">
        <v>2925</v>
      </c>
      <c r="I5866">
        <v>1275</v>
      </c>
      <c r="J5866">
        <v>29440</v>
      </c>
      <c r="K5866" s="201">
        <v>26049</v>
      </c>
    </row>
    <row r="5867" spans="1:11" x14ac:dyDescent="0.25">
      <c r="A5867"/>
      <c r="B5867" s="201">
        <v>37935</v>
      </c>
      <c r="C5867">
        <v>28644</v>
      </c>
      <c r="D5867" s="201">
        <v>24327</v>
      </c>
      <c r="E5867" s="201">
        <v>28945</v>
      </c>
      <c r="F5867">
        <v>32696</v>
      </c>
      <c r="G5867">
        <v>-422</v>
      </c>
      <c r="H5867">
        <v>-63</v>
      </c>
      <c r="I5867">
        <v>-777</v>
      </c>
      <c r="J5867">
        <v>2279</v>
      </c>
      <c r="K5867" s="201">
        <v>1038</v>
      </c>
    </row>
    <row r="5868" spans="1:11" x14ac:dyDescent="0.25">
      <c r="A5868"/>
      <c r="B5868" s="201">
        <v>0</v>
      </c>
      <c r="C5868">
        <v>0</v>
      </c>
      <c r="D5868" s="201">
        <v>-24</v>
      </c>
      <c r="E5868" s="201">
        <v>0</v>
      </c>
      <c r="F5868">
        <v>0</v>
      </c>
      <c r="G5868">
        <v>0</v>
      </c>
      <c r="H5868">
        <v>6</v>
      </c>
      <c r="I5868">
        <v>-46</v>
      </c>
      <c r="J5868">
        <v>0</v>
      </c>
      <c r="K5868" s="201">
        <v>0</v>
      </c>
    </row>
    <row r="5869" spans="1:11" x14ac:dyDescent="0.25">
      <c r="A5869"/>
      <c r="B5869" s="201">
        <v>0</v>
      </c>
      <c r="C5869">
        <v>0</v>
      </c>
      <c r="D5869" s="201">
        <v>0</v>
      </c>
      <c r="E5869" s="201">
        <v>0</v>
      </c>
      <c r="F5869">
        <v>-356</v>
      </c>
      <c r="G5869">
        <v>0</v>
      </c>
      <c r="H5869">
        <v>0</v>
      </c>
      <c r="I5869">
        <v>-511</v>
      </c>
      <c r="J5869">
        <v>0</v>
      </c>
      <c r="K5869" s="201">
        <v>681</v>
      </c>
    </row>
    <row r="5870" spans="1:11" x14ac:dyDescent="0.25">
      <c r="A5870"/>
      <c r="B5870" s="201">
        <v>0</v>
      </c>
      <c r="C5870">
        <v>57</v>
      </c>
      <c r="D5870" s="201">
        <v>608</v>
      </c>
      <c r="E5870" s="201">
        <v>157</v>
      </c>
      <c r="F5870">
        <v>0</v>
      </c>
      <c r="G5870">
        <v>-7803</v>
      </c>
      <c r="H5870">
        <v>-865</v>
      </c>
      <c r="I5870">
        <v>415</v>
      </c>
      <c r="J5870">
        <v>1738</v>
      </c>
      <c r="K5870" s="201">
        <v>3545</v>
      </c>
    </row>
    <row r="5871" spans="1:11" x14ac:dyDescent="0.25">
      <c r="A5871"/>
      <c r="B5871" s="201">
        <v>958</v>
      </c>
      <c r="C5871">
        <v>0</v>
      </c>
      <c r="D5871" s="201">
        <v>27</v>
      </c>
      <c r="E5871" s="201">
        <v>0</v>
      </c>
      <c r="F5871">
        <v>0</v>
      </c>
      <c r="G5871">
        <v>0</v>
      </c>
      <c r="H5871">
        <v>0</v>
      </c>
      <c r="I5871">
        <v>0</v>
      </c>
      <c r="J5871">
        <v>728</v>
      </c>
      <c r="K5871" s="201">
        <v>0</v>
      </c>
    </row>
    <row r="5872" spans="1:11" x14ac:dyDescent="0.25">
      <c r="A5872"/>
      <c r="B5872" s="201">
        <v>0</v>
      </c>
      <c r="C5872">
        <v>0</v>
      </c>
      <c r="D5872" s="201">
        <v>616</v>
      </c>
      <c r="E5872" s="201">
        <v>0</v>
      </c>
      <c r="F5872">
        <v>-282</v>
      </c>
      <c r="G5872">
        <v>0</v>
      </c>
      <c r="H5872">
        <v>0</v>
      </c>
      <c r="I5872">
        <v>0</v>
      </c>
      <c r="J5872">
        <v>0</v>
      </c>
      <c r="K5872" s="201">
        <v>0</v>
      </c>
    </row>
    <row r="5873" spans="1:11" x14ac:dyDescent="0.25">
      <c r="A5873"/>
      <c r="B5873" s="201">
        <v>-228</v>
      </c>
      <c r="C5873">
        <v>0</v>
      </c>
      <c r="D5873" s="201">
        <v>461</v>
      </c>
      <c r="E5873" s="201">
        <v>7387</v>
      </c>
      <c r="F5873">
        <v>0</v>
      </c>
      <c r="G5873">
        <v>0</v>
      </c>
      <c r="H5873">
        <v>473</v>
      </c>
      <c r="I5873">
        <v>181</v>
      </c>
      <c r="J5873">
        <v>0</v>
      </c>
      <c r="K5873" s="201">
        <v>-3318</v>
      </c>
    </row>
    <row r="5874" spans="1:11" x14ac:dyDescent="0.25">
      <c r="A5874"/>
      <c r="B5874" s="201">
        <v>0</v>
      </c>
      <c r="C5874">
        <v>0</v>
      </c>
      <c r="D5874" s="201">
        <v>0</v>
      </c>
      <c r="E5874" s="201">
        <v>0</v>
      </c>
      <c r="F5874">
        <v>-3968</v>
      </c>
      <c r="G5874">
        <v>-784</v>
      </c>
      <c r="H5874">
        <v>-162</v>
      </c>
      <c r="I5874">
        <v>0</v>
      </c>
      <c r="J5874">
        <v>0</v>
      </c>
      <c r="K5874" s="201">
        <v>537</v>
      </c>
    </row>
    <row r="5875" spans="1:11" x14ac:dyDescent="0.25">
      <c r="A5875"/>
      <c r="B5875" s="201">
        <v>-236</v>
      </c>
      <c r="C5875">
        <v>0</v>
      </c>
      <c r="D5875" s="201">
        <v>-986</v>
      </c>
      <c r="E5875" s="201">
        <v>-857</v>
      </c>
      <c r="F5875">
        <v>-346</v>
      </c>
      <c r="G5875">
        <v>-945</v>
      </c>
      <c r="H5875">
        <v>1524</v>
      </c>
      <c r="I5875">
        <v>2</v>
      </c>
      <c r="J5875">
        <v>-1496</v>
      </c>
      <c r="K5875" s="201">
        <v>0</v>
      </c>
    </row>
    <row r="5876" spans="1:11" x14ac:dyDescent="0.25">
      <c r="A5876"/>
      <c r="B5876" s="201">
        <v>0</v>
      </c>
      <c r="C5876">
        <v>0</v>
      </c>
      <c r="D5876" s="201">
        <v>0</v>
      </c>
      <c r="E5876" s="201">
        <v>0</v>
      </c>
      <c r="F5876">
        <v>4771</v>
      </c>
      <c r="G5876">
        <v>0</v>
      </c>
      <c r="H5876">
        <v>-133</v>
      </c>
      <c r="I5876">
        <v>-118</v>
      </c>
      <c r="J5876">
        <v>495</v>
      </c>
      <c r="K5876" s="201">
        <v>0</v>
      </c>
    </row>
    <row r="5877" spans="1:11" x14ac:dyDescent="0.25">
      <c r="A5877"/>
      <c r="B5877" s="201">
        <v>-2898</v>
      </c>
      <c r="C5877">
        <v>-370</v>
      </c>
      <c r="D5877" s="201">
        <v>-2294</v>
      </c>
      <c r="E5877" s="201">
        <v>-5502</v>
      </c>
      <c r="F5877">
        <v>-4052</v>
      </c>
      <c r="G5877">
        <v>0</v>
      </c>
      <c r="H5877">
        <v>3906</v>
      </c>
      <c r="I5877">
        <v>5560</v>
      </c>
      <c r="J5877">
        <v>-2086</v>
      </c>
      <c r="K5877" s="201">
        <v>359</v>
      </c>
    </row>
    <row r="5878" spans="1:11" x14ac:dyDescent="0.25">
      <c r="A5878"/>
      <c r="B5878" s="201">
        <v>0</v>
      </c>
      <c r="C5878">
        <v>-57</v>
      </c>
      <c r="D5878" s="201">
        <v>-193</v>
      </c>
      <c r="E5878" s="201">
        <v>0</v>
      </c>
      <c r="F5878">
        <v>0</v>
      </c>
      <c r="G5878">
        <v>0</v>
      </c>
      <c r="H5878">
        <v>-373</v>
      </c>
      <c r="I5878">
        <v>383</v>
      </c>
      <c r="J5878">
        <v>0</v>
      </c>
      <c r="K5878" s="201">
        <v>-665</v>
      </c>
    </row>
    <row r="5879" spans="1:11" x14ac:dyDescent="0.25">
      <c r="A5879"/>
      <c r="B5879" s="201">
        <v>3063</v>
      </c>
      <c r="C5879">
        <v>314</v>
      </c>
      <c r="D5879" s="201">
        <v>-367</v>
      </c>
      <c r="E5879" s="201">
        <v>0</v>
      </c>
      <c r="F5879">
        <v>0</v>
      </c>
      <c r="G5879">
        <v>0</v>
      </c>
      <c r="H5879">
        <v>0</v>
      </c>
      <c r="I5879">
        <v>0</v>
      </c>
      <c r="J5879">
        <v>8539</v>
      </c>
      <c r="K5879" s="201">
        <v>0</v>
      </c>
    </row>
    <row r="5880" spans="1:11" x14ac:dyDescent="0.25">
      <c r="A5880"/>
      <c r="B5880" s="201">
        <v>331</v>
      </c>
      <c r="C5880">
        <v>-279</v>
      </c>
      <c r="D5880" s="201">
        <v>115</v>
      </c>
      <c r="E5880" s="201">
        <v>0</v>
      </c>
      <c r="F5880">
        <v>-15906</v>
      </c>
      <c r="G5880">
        <v>3336</v>
      </c>
      <c r="H5880">
        <v>1721</v>
      </c>
      <c r="I5880">
        <v>5342</v>
      </c>
      <c r="J5880">
        <v>4850</v>
      </c>
      <c r="K5880" s="201">
        <v>-12857</v>
      </c>
    </row>
    <row r="5881" spans="1:11" x14ac:dyDescent="0.25">
      <c r="B5881" s="201">
        <v>-17574</v>
      </c>
      <c r="C5881">
        <v>-18251</v>
      </c>
      <c r="D5881" s="201">
        <v>0</v>
      </c>
      <c r="E5881" s="201">
        <v>1010</v>
      </c>
      <c r="F5881">
        <v>0</v>
      </c>
      <c r="G5881">
        <v>0</v>
      </c>
      <c r="H5881">
        <v>-1956</v>
      </c>
      <c r="I5881">
        <v>522</v>
      </c>
      <c r="J5881">
        <v>0</v>
      </c>
      <c r="K5881" s="201">
        <v>531</v>
      </c>
    </row>
    <row r="5882" spans="1:11" x14ac:dyDescent="0.25">
      <c r="A5882"/>
      <c r="B5882" s="201">
        <v>0</v>
      </c>
      <c r="C5882">
        <v>0</v>
      </c>
      <c r="D5882" s="201">
        <v>542</v>
      </c>
      <c r="E5882" s="201">
        <v>0</v>
      </c>
      <c r="F5882">
        <v>-2635</v>
      </c>
      <c r="G5882">
        <v>562</v>
      </c>
      <c r="H5882">
        <v>2146</v>
      </c>
      <c r="I5882">
        <v>0</v>
      </c>
      <c r="J5882">
        <v>0</v>
      </c>
      <c r="K5882" s="201">
        <v>0</v>
      </c>
    </row>
    <row r="5883" spans="1:11" x14ac:dyDescent="0.25">
      <c r="A5883"/>
      <c r="B5883" s="201">
        <v>0</v>
      </c>
      <c r="C5883">
        <v>0</v>
      </c>
      <c r="D5883" s="201">
        <v>16912</v>
      </c>
      <c r="E5883" s="201">
        <v>0</v>
      </c>
      <c r="F5883">
        <v>-4782</v>
      </c>
      <c r="G5883">
        <v>3442</v>
      </c>
      <c r="H5883">
        <v>-440</v>
      </c>
      <c r="I5883">
        <v>0</v>
      </c>
      <c r="J5883">
        <v>2836</v>
      </c>
      <c r="K5883" s="201">
        <v>-1594</v>
      </c>
    </row>
    <row r="5884" spans="1:11" x14ac:dyDescent="0.25">
      <c r="A5884"/>
      <c r="B5884" s="201">
        <v>-273</v>
      </c>
      <c r="C5884">
        <v>0</v>
      </c>
      <c r="D5884" s="201">
        <v>0</v>
      </c>
      <c r="E5884" s="201">
        <v>0</v>
      </c>
      <c r="F5884">
        <v>1717</v>
      </c>
      <c r="G5884">
        <v>2953</v>
      </c>
      <c r="H5884">
        <v>-654</v>
      </c>
      <c r="I5884">
        <v>-275</v>
      </c>
      <c r="J5884">
        <v>-290</v>
      </c>
      <c r="K5884" s="201">
        <v>0</v>
      </c>
    </row>
    <row r="5885" spans="1:11" x14ac:dyDescent="0.25">
      <c r="A5885"/>
      <c r="B5885" s="201">
        <v>371</v>
      </c>
      <c r="C5885">
        <v>0</v>
      </c>
      <c r="D5885" s="201">
        <v>0</v>
      </c>
      <c r="E5885" s="201">
        <v>-402</v>
      </c>
      <c r="F5885">
        <v>0</v>
      </c>
      <c r="G5885">
        <v>469</v>
      </c>
      <c r="H5885">
        <v>0</v>
      </c>
      <c r="I5885">
        <v>-49</v>
      </c>
      <c r="J5885">
        <v>0</v>
      </c>
      <c r="K5885" s="201">
        <v>0</v>
      </c>
    </row>
    <row r="5886" spans="1:11" x14ac:dyDescent="0.25">
      <c r="A5886"/>
      <c r="B5886" s="201">
        <v>0</v>
      </c>
      <c r="C5886">
        <v>0</v>
      </c>
      <c r="D5886" s="201">
        <v>0</v>
      </c>
      <c r="E5886" s="201">
        <v>0</v>
      </c>
      <c r="F5886">
        <v>0</v>
      </c>
      <c r="G5886">
        <v>0</v>
      </c>
      <c r="H5886">
        <v>5996</v>
      </c>
      <c r="I5886">
        <v>0</v>
      </c>
      <c r="J5886">
        <v>907</v>
      </c>
      <c r="K5886" s="201">
        <v>-567</v>
      </c>
    </row>
    <row r="5887" spans="1:11" x14ac:dyDescent="0.25">
      <c r="A5887"/>
      <c r="B5887" s="201">
        <v>263</v>
      </c>
      <c r="C5887">
        <v>0</v>
      </c>
      <c r="D5887" s="201">
        <v>-597</v>
      </c>
      <c r="E5887" s="201">
        <v>-1476</v>
      </c>
      <c r="F5887">
        <v>0</v>
      </c>
      <c r="G5887">
        <v>0</v>
      </c>
      <c r="H5887">
        <v>0</v>
      </c>
      <c r="I5887">
        <v>0</v>
      </c>
      <c r="J5887">
        <v>0</v>
      </c>
      <c r="K5887" s="201">
        <v>6038</v>
      </c>
    </row>
    <row r="5888" spans="1:11" x14ac:dyDescent="0.25">
      <c r="B5888" s="201">
        <v>-1056</v>
      </c>
      <c r="C5888">
        <v>-791</v>
      </c>
      <c r="D5888" s="201">
        <v>-502</v>
      </c>
      <c r="E5888" s="201">
        <v>52</v>
      </c>
      <c r="F5888">
        <v>-1270</v>
      </c>
      <c r="G5888">
        <v>0</v>
      </c>
      <c r="H5888">
        <v>0</v>
      </c>
      <c r="I5888">
        <v>0</v>
      </c>
      <c r="J5888">
        <v>0</v>
      </c>
      <c r="K5888" s="201">
        <v>109</v>
      </c>
    </row>
    <row r="5889" spans="1:11" x14ac:dyDescent="0.25">
      <c r="A5889"/>
      <c r="B5889" s="201">
        <v>0</v>
      </c>
      <c r="C5889">
        <v>-340</v>
      </c>
      <c r="D5889" s="201">
        <v>0</v>
      </c>
      <c r="E5889" s="201">
        <v>0</v>
      </c>
      <c r="F5889">
        <v>-780</v>
      </c>
      <c r="G5889">
        <v>319</v>
      </c>
      <c r="H5889">
        <v>0</v>
      </c>
      <c r="I5889">
        <v>0</v>
      </c>
      <c r="J5889">
        <v>0</v>
      </c>
      <c r="K5889" s="201">
        <v>0</v>
      </c>
    </row>
    <row r="5890" spans="1:11" x14ac:dyDescent="0.25">
      <c r="B5890" s="201">
        <v>7398</v>
      </c>
      <c r="C5890">
        <v>0</v>
      </c>
      <c r="D5890" s="201">
        <v>2180</v>
      </c>
      <c r="E5890" s="201">
        <v>-691</v>
      </c>
      <c r="F5890">
        <v>878</v>
      </c>
      <c r="G5890">
        <v>254</v>
      </c>
      <c r="H5890">
        <v>1569</v>
      </c>
      <c r="I5890">
        <v>6668</v>
      </c>
      <c r="J5890">
        <v>4590</v>
      </c>
      <c r="K5890" s="201">
        <v>-15184</v>
      </c>
    </row>
    <row r="5891" spans="1:11" x14ac:dyDescent="0.25">
      <c r="A5891"/>
      <c r="B5891" s="201">
        <v>-16506</v>
      </c>
      <c r="C5891">
        <v>-22462</v>
      </c>
      <c r="D5891" s="201">
        <v>0</v>
      </c>
      <c r="E5891" s="201">
        <v>0</v>
      </c>
      <c r="F5891">
        <v>0</v>
      </c>
      <c r="G5891">
        <v>0</v>
      </c>
      <c r="H5891">
        <v>0</v>
      </c>
      <c r="I5891">
        <v>0</v>
      </c>
      <c r="J5891">
        <v>0</v>
      </c>
      <c r="K5891" s="201">
        <v>741</v>
      </c>
    </row>
    <row r="5892" spans="1:11" x14ac:dyDescent="0.25">
      <c r="A5892"/>
      <c r="B5892" s="201">
        <v>1948</v>
      </c>
      <c r="C5892">
        <v>-712</v>
      </c>
      <c r="D5892" s="201">
        <v>910</v>
      </c>
      <c r="E5892" s="201">
        <v>591</v>
      </c>
      <c r="F5892">
        <v>-2734</v>
      </c>
      <c r="G5892">
        <v>0</v>
      </c>
      <c r="H5892">
        <v>0</v>
      </c>
      <c r="I5892">
        <v>1969</v>
      </c>
      <c r="J5892">
        <v>0</v>
      </c>
      <c r="K5892" s="201">
        <v>3281</v>
      </c>
    </row>
    <row r="5893" spans="1:11" x14ac:dyDescent="0.25">
      <c r="B5893" s="201">
        <v>-36687</v>
      </c>
      <c r="C5893">
        <v>0</v>
      </c>
      <c r="D5893" s="201">
        <v>0</v>
      </c>
      <c r="E5893" s="201">
        <v>0</v>
      </c>
      <c r="F5893">
        <v>0</v>
      </c>
      <c r="G5893">
        <v>-2695</v>
      </c>
      <c r="H5893">
        <v>0</v>
      </c>
      <c r="I5893">
        <v>3303</v>
      </c>
      <c r="J5893">
        <v>-501</v>
      </c>
      <c r="K5893" s="201">
        <v>0</v>
      </c>
    </row>
    <row r="5894" spans="1:11" x14ac:dyDescent="0.25">
      <c r="A5894"/>
      <c r="B5894" s="201">
        <v>0</v>
      </c>
      <c r="C5894">
        <v>0</v>
      </c>
      <c r="D5894" s="201">
        <v>0</v>
      </c>
      <c r="E5894" s="201">
        <v>0</v>
      </c>
      <c r="F5894">
        <v>0</v>
      </c>
      <c r="G5894">
        <v>0</v>
      </c>
      <c r="H5894">
        <v>0</v>
      </c>
      <c r="I5894">
        <v>0</v>
      </c>
      <c r="J5894">
        <v>0</v>
      </c>
      <c r="K5894" s="201">
        <v>0</v>
      </c>
    </row>
    <row r="5895" spans="1:11" x14ac:dyDescent="0.25">
      <c r="A5895"/>
      <c r="B5895" s="201">
        <v>0</v>
      </c>
      <c r="C5895">
        <v>0</v>
      </c>
      <c r="D5895" s="201">
        <v>0</v>
      </c>
      <c r="E5895" s="201">
        <v>0</v>
      </c>
      <c r="F5895">
        <v>-493</v>
      </c>
      <c r="G5895">
        <v>0</v>
      </c>
      <c r="H5895">
        <v>0</v>
      </c>
      <c r="I5895">
        <v>0</v>
      </c>
      <c r="J5895">
        <v>0</v>
      </c>
      <c r="K5895" s="201">
        <v>0</v>
      </c>
    </row>
    <row r="5896" spans="1:11" x14ac:dyDescent="0.25">
      <c r="A5896"/>
      <c r="B5896" s="201">
        <v>398</v>
      </c>
      <c r="C5896">
        <v>211</v>
      </c>
      <c r="D5896" s="201">
        <v>353</v>
      </c>
      <c r="E5896" s="201">
        <v>649</v>
      </c>
      <c r="F5896">
        <v>572</v>
      </c>
      <c r="G5896">
        <v>1816</v>
      </c>
      <c r="H5896">
        <v>2809</v>
      </c>
      <c r="I5896">
        <v>-676</v>
      </c>
      <c r="J5896">
        <v>-394</v>
      </c>
      <c r="K5896" s="201">
        <v>868</v>
      </c>
    </row>
    <row r="5897" spans="1:11" x14ac:dyDescent="0.25">
      <c r="A5897"/>
      <c r="B5897" s="201">
        <v>990</v>
      </c>
      <c r="C5897">
        <v>1535</v>
      </c>
      <c r="D5897" s="201">
        <v>2347</v>
      </c>
      <c r="E5897" s="201">
        <v>-2635</v>
      </c>
      <c r="F5897">
        <v>10811</v>
      </c>
      <c r="G5897">
        <v>1908</v>
      </c>
      <c r="H5897">
        <v>-4900</v>
      </c>
      <c r="I5897">
        <v>0</v>
      </c>
      <c r="J5897">
        <v>594</v>
      </c>
      <c r="K5897" s="201">
        <v>2305</v>
      </c>
    </row>
    <row r="5898" spans="1:11" x14ac:dyDescent="0.25">
      <c r="A5898"/>
      <c r="B5898" s="201">
        <v>1732</v>
      </c>
      <c r="C5898">
        <v>2302</v>
      </c>
      <c r="D5898" s="201">
        <v>1329</v>
      </c>
      <c r="E5898" s="201">
        <v>364</v>
      </c>
      <c r="F5898">
        <v>335</v>
      </c>
      <c r="G5898">
        <v>2296</v>
      </c>
      <c r="H5898">
        <v>-2949</v>
      </c>
      <c r="I5898">
        <v>6317</v>
      </c>
      <c r="J5898">
        <v>1981</v>
      </c>
      <c r="K5898" s="201">
        <v>3746</v>
      </c>
    </row>
    <row r="5899" spans="1:11" x14ac:dyDescent="0.25">
      <c r="A5899"/>
      <c r="B5899" s="201">
        <v>397</v>
      </c>
      <c r="C5899">
        <v>2090</v>
      </c>
      <c r="D5899" s="201">
        <v>1269</v>
      </c>
      <c r="E5899" s="201">
        <v>2187</v>
      </c>
      <c r="F5899">
        <v>897</v>
      </c>
      <c r="G5899">
        <v>2340</v>
      </c>
      <c r="H5899">
        <v>2151</v>
      </c>
      <c r="I5899">
        <v>1805</v>
      </c>
      <c r="J5899">
        <v>28529</v>
      </c>
      <c r="K5899" s="201">
        <v>27240</v>
      </c>
    </row>
    <row r="5900" spans="1:11" x14ac:dyDescent="0.25">
      <c r="A5900"/>
      <c r="B5900" s="201">
        <v>28458</v>
      </c>
      <c r="C5900">
        <v>38151</v>
      </c>
      <c r="D5900" s="201">
        <v>25385</v>
      </c>
      <c r="E5900" s="201">
        <v>29371</v>
      </c>
      <c r="F5900">
        <v>31943</v>
      </c>
      <c r="G5900">
        <v>32788</v>
      </c>
      <c r="H5900">
        <v>278</v>
      </c>
      <c r="I5900">
        <v>678</v>
      </c>
      <c r="J5900">
        <v>-492</v>
      </c>
      <c r="K5900" s="201">
        <v>2821</v>
      </c>
    </row>
    <row r="5901" spans="1:11" x14ac:dyDescent="0.25">
      <c r="B5901" s="201">
        <v>2552</v>
      </c>
      <c r="C5901">
        <v>0</v>
      </c>
      <c r="D5901" s="201">
        <v>0</v>
      </c>
      <c r="E5901" s="201">
        <v>11</v>
      </c>
      <c r="F5901">
        <v>0</v>
      </c>
      <c r="G5901">
        <v>0</v>
      </c>
      <c r="H5901">
        <v>0</v>
      </c>
      <c r="I5901">
        <v>137</v>
      </c>
      <c r="J5901">
        <v>-54</v>
      </c>
      <c r="K5901" s="201">
        <v>0</v>
      </c>
    </row>
    <row r="5902" spans="1:11" x14ac:dyDescent="0.25">
      <c r="A5902"/>
      <c r="B5902" s="201">
        <v>0</v>
      </c>
      <c r="C5902">
        <v>0</v>
      </c>
      <c r="D5902" s="201">
        <v>0</v>
      </c>
      <c r="E5902" s="201">
        <v>0</v>
      </c>
      <c r="F5902">
        <v>0</v>
      </c>
      <c r="G5902">
        <v>-426</v>
      </c>
      <c r="H5902">
        <v>0</v>
      </c>
      <c r="I5902">
        <v>0</v>
      </c>
      <c r="J5902">
        <v>-906</v>
      </c>
      <c r="K5902" s="201">
        <v>0</v>
      </c>
    </row>
    <row r="5903" spans="1:11" x14ac:dyDescent="0.25">
      <c r="A5903"/>
      <c r="B5903" s="201">
        <v>1013</v>
      </c>
      <c r="C5903">
        <v>0</v>
      </c>
      <c r="D5903" s="201">
        <v>-54</v>
      </c>
      <c r="E5903" s="201">
        <v>-188</v>
      </c>
      <c r="F5903">
        <v>3</v>
      </c>
      <c r="G5903">
        <v>0</v>
      </c>
      <c r="H5903">
        <v>-5957</v>
      </c>
      <c r="I5903">
        <v>390</v>
      </c>
      <c r="J5903">
        <v>2267</v>
      </c>
      <c r="K5903" s="201">
        <v>1195</v>
      </c>
    </row>
    <row r="5904" spans="1:11" x14ac:dyDescent="0.25">
      <c r="B5904" s="201">
        <v>2893</v>
      </c>
      <c r="C5904">
        <v>1033</v>
      </c>
      <c r="D5904" s="201">
        <v>0</v>
      </c>
      <c r="E5904" s="201">
        <v>601</v>
      </c>
      <c r="F5904">
        <v>0</v>
      </c>
      <c r="G5904">
        <v>0</v>
      </c>
      <c r="H5904">
        <v>0</v>
      </c>
      <c r="I5904">
        <v>0</v>
      </c>
      <c r="J5904">
        <v>0</v>
      </c>
      <c r="K5904" s="201">
        <v>558</v>
      </c>
    </row>
    <row r="5905" spans="1:11" x14ac:dyDescent="0.25">
      <c r="A5905"/>
      <c r="B5905" s="201">
        <v>0</v>
      </c>
      <c r="C5905">
        <v>0</v>
      </c>
      <c r="D5905" s="201">
        <v>0</v>
      </c>
      <c r="E5905" s="201">
        <v>-287</v>
      </c>
      <c r="F5905">
        <v>0</v>
      </c>
      <c r="G5905">
        <v>113</v>
      </c>
      <c r="H5905">
        <v>0</v>
      </c>
      <c r="I5905">
        <v>0</v>
      </c>
      <c r="J5905">
        <v>0</v>
      </c>
      <c r="K5905" s="201">
        <v>0</v>
      </c>
    </row>
    <row r="5906" spans="1:11" x14ac:dyDescent="0.25">
      <c r="A5906"/>
      <c r="B5906" s="201">
        <v>0</v>
      </c>
      <c r="C5906">
        <v>-266</v>
      </c>
      <c r="D5906" s="201">
        <v>0</v>
      </c>
      <c r="E5906" s="201">
        <v>-195</v>
      </c>
      <c r="F5906">
        <v>4871</v>
      </c>
      <c r="G5906">
        <v>0</v>
      </c>
      <c r="H5906">
        <v>0</v>
      </c>
      <c r="I5906">
        <v>487</v>
      </c>
      <c r="J5906">
        <v>1471</v>
      </c>
      <c r="K5906" s="201">
        <v>0</v>
      </c>
    </row>
    <row r="5907" spans="1:11" x14ac:dyDescent="0.25">
      <c r="A5907"/>
      <c r="B5907" s="201">
        <v>-2559</v>
      </c>
      <c r="C5907">
        <v>0</v>
      </c>
      <c r="D5907" s="201">
        <v>0</v>
      </c>
      <c r="E5907" s="201">
        <v>0</v>
      </c>
      <c r="F5907">
        <v>0</v>
      </c>
      <c r="G5907">
        <v>-1855</v>
      </c>
      <c r="H5907">
        <v>-461</v>
      </c>
      <c r="I5907">
        <v>-92</v>
      </c>
      <c r="J5907">
        <v>0</v>
      </c>
      <c r="K5907" s="201">
        <v>0</v>
      </c>
    </row>
    <row r="5908" spans="1:11" x14ac:dyDescent="0.25">
      <c r="A5908"/>
      <c r="B5908" s="201">
        <v>551</v>
      </c>
      <c r="C5908">
        <v>-282</v>
      </c>
      <c r="D5908" s="201">
        <v>0</v>
      </c>
      <c r="E5908" s="201">
        <v>-888</v>
      </c>
      <c r="F5908">
        <v>-432</v>
      </c>
      <c r="G5908">
        <v>-362</v>
      </c>
      <c r="H5908">
        <v>-550</v>
      </c>
      <c r="I5908">
        <v>1837</v>
      </c>
      <c r="J5908">
        <v>37</v>
      </c>
      <c r="K5908" s="201">
        <v>-1045</v>
      </c>
    </row>
    <row r="5909" spans="1:11" x14ac:dyDescent="0.25">
      <c r="A5909"/>
      <c r="B5909" s="201">
        <v>0</v>
      </c>
      <c r="C5909">
        <v>0</v>
      </c>
      <c r="D5909" s="201">
        <v>0</v>
      </c>
      <c r="E5909" s="201">
        <v>0</v>
      </c>
      <c r="F5909">
        <v>0</v>
      </c>
      <c r="G5909">
        <v>3530</v>
      </c>
      <c r="H5909">
        <v>0</v>
      </c>
      <c r="I5909">
        <v>-423</v>
      </c>
      <c r="J5909">
        <v>-155</v>
      </c>
      <c r="K5909" s="201">
        <v>405</v>
      </c>
    </row>
    <row r="5910" spans="1:11" x14ac:dyDescent="0.25">
      <c r="A5910"/>
      <c r="B5910" s="201">
        <v>0</v>
      </c>
      <c r="C5910">
        <v>-1481</v>
      </c>
      <c r="D5910" s="201">
        <v>514</v>
      </c>
      <c r="E5910" s="201">
        <v>-1294</v>
      </c>
      <c r="F5910">
        <v>-3125</v>
      </c>
      <c r="G5910">
        <v>-2547</v>
      </c>
      <c r="H5910">
        <v>0</v>
      </c>
      <c r="I5910">
        <v>2011</v>
      </c>
      <c r="J5910">
        <v>2921</v>
      </c>
      <c r="K5910" s="201">
        <v>-544</v>
      </c>
    </row>
    <row r="5911" spans="1:11" x14ac:dyDescent="0.25">
      <c r="A5911"/>
      <c r="B5911" s="201">
        <v>374</v>
      </c>
      <c r="C5911">
        <v>0</v>
      </c>
      <c r="D5911" s="201">
        <v>-47</v>
      </c>
      <c r="E5911" s="201">
        <v>-177</v>
      </c>
      <c r="F5911">
        <v>0</v>
      </c>
      <c r="G5911">
        <v>0</v>
      </c>
      <c r="H5911">
        <v>0</v>
      </c>
      <c r="I5911">
        <v>-391</v>
      </c>
      <c r="J5911">
        <v>479</v>
      </c>
      <c r="K5911" s="201">
        <v>0</v>
      </c>
    </row>
    <row r="5912" spans="1:11" x14ac:dyDescent="0.25">
      <c r="A5912"/>
      <c r="B5912" s="201">
        <v>-292</v>
      </c>
      <c r="C5912">
        <v>2359</v>
      </c>
      <c r="D5912" s="201">
        <v>251</v>
      </c>
      <c r="E5912" s="201">
        <v>67</v>
      </c>
      <c r="F5912">
        <v>0</v>
      </c>
      <c r="G5912">
        <v>0</v>
      </c>
      <c r="H5912">
        <v>0</v>
      </c>
      <c r="I5912">
        <v>0</v>
      </c>
      <c r="J5912">
        <v>0</v>
      </c>
      <c r="K5912" s="201">
        <v>5768</v>
      </c>
    </row>
    <row r="5913" spans="1:11" x14ac:dyDescent="0.25">
      <c r="A5913"/>
      <c r="B5913" s="201">
        <v>0</v>
      </c>
      <c r="C5913">
        <v>702</v>
      </c>
      <c r="D5913" s="201">
        <v>-133</v>
      </c>
      <c r="E5913" s="201">
        <v>37</v>
      </c>
      <c r="F5913">
        <v>0</v>
      </c>
      <c r="G5913">
        <v>-1141</v>
      </c>
      <c r="H5913">
        <v>326</v>
      </c>
      <c r="I5913">
        <v>-623</v>
      </c>
      <c r="J5913">
        <v>-2346</v>
      </c>
      <c r="K5913" s="201">
        <v>-1556</v>
      </c>
    </row>
    <row r="5914" spans="1:11" x14ac:dyDescent="0.25">
      <c r="B5914" s="201">
        <v>4468</v>
      </c>
      <c r="C5914">
        <v>1575</v>
      </c>
      <c r="D5914" s="201">
        <v>3550</v>
      </c>
      <c r="E5914" s="201">
        <v>0</v>
      </c>
      <c r="F5914">
        <v>79</v>
      </c>
      <c r="G5914">
        <v>0</v>
      </c>
      <c r="H5914">
        <v>0</v>
      </c>
      <c r="I5914">
        <v>-78</v>
      </c>
      <c r="J5914">
        <v>88</v>
      </c>
      <c r="K5914" s="201">
        <v>0</v>
      </c>
    </row>
    <row r="5915" spans="1:11" x14ac:dyDescent="0.25">
      <c r="B5915" s="201">
        <v>-126</v>
      </c>
      <c r="C5915">
        <v>0</v>
      </c>
      <c r="D5915" s="201">
        <v>0</v>
      </c>
      <c r="E5915" s="201">
        <v>-234</v>
      </c>
      <c r="F5915">
        <v>0</v>
      </c>
      <c r="G5915">
        <v>525</v>
      </c>
      <c r="H5915">
        <v>-153</v>
      </c>
      <c r="I5915">
        <v>-148</v>
      </c>
      <c r="J5915">
        <v>0</v>
      </c>
      <c r="K5915" s="201">
        <v>0</v>
      </c>
    </row>
    <row r="5916" spans="1:11" x14ac:dyDescent="0.25">
      <c r="A5916"/>
      <c r="B5916" s="201">
        <v>0</v>
      </c>
      <c r="C5916">
        <v>0</v>
      </c>
      <c r="D5916" s="201">
        <v>0</v>
      </c>
      <c r="E5916" s="201">
        <v>4870</v>
      </c>
      <c r="F5916">
        <v>0</v>
      </c>
      <c r="G5916">
        <v>610</v>
      </c>
      <c r="H5916">
        <v>258</v>
      </c>
      <c r="I5916">
        <v>181</v>
      </c>
      <c r="J5916">
        <v>0</v>
      </c>
      <c r="K5916" s="201">
        <v>-5915</v>
      </c>
    </row>
    <row r="5917" spans="1:11" x14ac:dyDescent="0.25">
      <c r="A5917"/>
      <c r="B5917" s="201">
        <v>2595</v>
      </c>
      <c r="C5917">
        <v>1686</v>
      </c>
      <c r="D5917" s="201">
        <v>0</v>
      </c>
      <c r="E5917" s="201">
        <v>0</v>
      </c>
      <c r="F5917">
        <v>0</v>
      </c>
      <c r="G5917">
        <v>-23797</v>
      </c>
      <c r="H5917">
        <v>-29398</v>
      </c>
      <c r="I5917">
        <v>-8895</v>
      </c>
      <c r="J5917">
        <v>-479</v>
      </c>
      <c r="K5917" s="201">
        <v>213</v>
      </c>
    </row>
    <row r="5918" spans="1:11" x14ac:dyDescent="0.25">
      <c r="A5918"/>
      <c r="B5918" s="201">
        <v>0</v>
      </c>
      <c r="C5918">
        <v>213</v>
      </c>
      <c r="D5918" s="201">
        <v>0</v>
      </c>
      <c r="E5918" s="201">
        <v>0</v>
      </c>
      <c r="F5918">
        <v>-341</v>
      </c>
      <c r="G5918">
        <v>0</v>
      </c>
      <c r="H5918">
        <v>-1735</v>
      </c>
      <c r="I5918">
        <v>0</v>
      </c>
      <c r="J5918">
        <v>-382</v>
      </c>
      <c r="K5918" s="201">
        <v>0</v>
      </c>
    </row>
    <row r="5919" spans="1:11" x14ac:dyDescent="0.25">
      <c r="A5919"/>
      <c r="B5919" s="201">
        <v>0</v>
      </c>
      <c r="C5919">
        <v>0</v>
      </c>
      <c r="D5919" s="201">
        <v>0</v>
      </c>
      <c r="E5919" s="201">
        <v>0</v>
      </c>
      <c r="F5919">
        <v>0</v>
      </c>
      <c r="G5919">
        <v>0</v>
      </c>
      <c r="H5919">
        <v>0</v>
      </c>
      <c r="I5919">
        <v>4507</v>
      </c>
      <c r="J5919">
        <v>0</v>
      </c>
      <c r="K5919" s="201">
        <v>-1203</v>
      </c>
    </row>
    <row r="5920" spans="1:11" x14ac:dyDescent="0.25">
      <c r="B5920" s="201">
        <v>3385</v>
      </c>
      <c r="C5920">
        <v>-880</v>
      </c>
      <c r="D5920" s="201">
        <v>0</v>
      </c>
      <c r="E5920" s="201">
        <v>342</v>
      </c>
      <c r="F5920">
        <v>-463</v>
      </c>
      <c r="G5920">
        <v>0</v>
      </c>
      <c r="H5920">
        <v>0</v>
      </c>
      <c r="I5920">
        <v>0</v>
      </c>
      <c r="J5920">
        <v>0</v>
      </c>
      <c r="K5920" s="201">
        <v>0</v>
      </c>
    </row>
    <row r="5921" spans="1:11" x14ac:dyDescent="0.25">
      <c r="A5921"/>
      <c r="B5921" s="201">
        <v>3319</v>
      </c>
      <c r="C5921">
        <v>-724</v>
      </c>
      <c r="D5921" s="201">
        <v>-404</v>
      </c>
      <c r="E5921" s="201">
        <v>-390</v>
      </c>
      <c r="F5921">
        <v>67</v>
      </c>
      <c r="G5921">
        <v>-895</v>
      </c>
      <c r="H5921">
        <v>0</v>
      </c>
      <c r="I5921">
        <v>0</v>
      </c>
      <c r="J5921">
        <v>0</v>
      </c>
      <c r="K5921" s="201">
        <v>0</v>
      </c>
    </row>
    <row r="5922" spans="1:11" x14ac:dyDescent="0.25">
      <c r="A5922"/>
      <c r="B5922" s="201">
        <v>170</v>
      </c>
      <c r="C5922">
        <v>0</v>
      </c>
      <c r="D5922" s="201">
        <v>-143</v>
      </c>
      <c r="E5922" s="201">
        <v>0</v>
      </c>
      <c r="F5922">
        <v>0</v>
      </c>
      <c r="G5922">
        <v>-596</v>
      </c>
      <c r="H5922">
        <v>435</v>
      </c>
      <c r="I5922">
        <v>0</v>
      </c>
      <c r="J5922">
        <v>0</v>
      </c>
      <c r="K5922" s="201">
        <v>0</v>
      </c>
    </row>
    <row r="5923" spans="1:11" x14ac:dyDescent="0.25">
      <c r="A5923"/>
      <c r="B5923" s="201">
        <v>0</v>
      </c>
      <c r="C5923">
        <v>5081</v>
      </c>
      <c r="D5923" s="201">
        <v>0</v>
      </c>
      <c r="E5923" s="201">
        <v>2272</v>
      </c>
      <c r="F5923">
        <v>-751</v>
      </c>
      <c r="G5923">
        <v>753</v>
      </c>
      <c r="H5923">
        <v>327</v>
      </c>
      <c r="I5923">
        <v>1280</v>
      </c>
      <c r="J5923">
        <v>7038</v>
      </c>
      <c r="K5923" s="201">
        <v>5110</v>
      </c>
    </row>
    <row r="5924" spans="1:11" x14ac:dyDescent="0.25">
      <c r="A5924"/>
      <c r="B5924" s="201">
        <v>-16410</v>
      </c>
      <c r="C5924">
        <v>-14914</v>
      </c>
      <c r="D5924" s="201">
        <v>-17849</v>
      </c>
      <c r="E5924" s="201">
        <v>0</v>
      </c>
      <c r="F5924">
        <v>0</v>
      </c>
      <c r="G5924">
        <v>0</v>
      </c>
      <c r="H5924">
        <v>0</v>
      </c>
      <c r="I5924">
        <v>0</v>
      </c>
      <c r="J5924">
        <v>0</v>
      </c>
      <c r="K5924" s="201">
        <v>0</v>
      </c>
    </row>
    <row r="5925" spans="1:11" x14ac:dyDescent="0.25">
      <c r="A5925"/>
      <c r="B5925" s="201">
        <v>996</v>
      </c>
      <c r="C5925">
        <v>1468</v>
      </c>
      <c r="D5925" s="201">
        <v>138</v>
      </c>
      <c r="E5925" s="201">
        <v>876</v>
      </c>
      <c r="F5925">
        <v>586</v>
      </c>
      <c r="G5925">
        <v>-3783</v>
      </c>
      <c r="H5925">
        <v>0</v>
      </c>
      <c r="I5925">
        <v>0</v>
      </c>
      <c r="J5925">
        <v>2091</v>
      </c>
      <c r="K5925" s="201">
        <v>0</v>
      </c>
    </row>
    <row r="5926" spans="1:11" x14ac:dyDescent="0.25">
      <c r="B5926" s="201">
        <v>2946</v>
      </c>
      <c r="C5926">
        <v>-27469</v>
      </c>
      <c r="D5926" s="201">
        <v>0</v>
      </c>
      <c r="E5926" s="201">
        <v>0</v>
      </c>
      <c r="F5926">
        <v>0</v>
      </c>
      <c r="G5926">
        <v>0</v>
      </c>
      <c r="H5926">
        <v>-480</v>
      </c>
      <c r="I5926">
        <v>0</v>
      </c>
      <c r="J5926">
        <v>7391</v>
      </c>
      <c r="K5926" s="201">
        <v>4534</v>
      </c>
    </row>
    <row r="5927" spans="1:11" x14ac:dyDescent="0.25">
      <c r="A5927"/>
      <c r="B5927" s="201">
        <v>0</v>
      </c>
      <c r="C5927">
        <v>0</v>
      </c>
      <c r="D5927" s="201">
        <v>0</v>
      </c>
      <c r="E5927" s="201">
        <v>0</v>
      </c>
      <c r="F5927">
        <v>0</v>
      </c>
      <c r="G5927">
        <v>0</v>
      </c>
      <c r="H5927">
        <v>0</v>
      </c>
      <c r="I5927">
        <v>0</v>
      </c>
      <c r="J5927">
        <v>0</v>
      </c>
      <c r="K5927" s="201">
        <v>0</v>
      </c>
    </row>
    <row r="5928" spans="1:11" x14ac:dyDescent="0.25">
      <c r="A5928"/>
      <c r="B5928" s="201">
        <v>0</v>
      </c>
      <c r="C5928">
        <v>0</v>
      </c>
      <c r="D5928" s="201">
        <v>0</v>
      </c>
      <c r="E5928" s="201">
        <v>0</v>
      </c>
      <c r="F5928">
        <v>0</v>
      </c>
      <c r="G5928">
        <v>-594</v>
      </c>
      <c r="H5928">
        <v>0</v>
      </c>
      <c r="I5928">
        <v>0</v>
      </c>
      <c r="J5928">
        <v>0</v>
      </c>
      <c r="K5928" s="201">
        <v>0</v>
      </c>
    </row>
    <row r="5929" spans="1:11" x14ac:dyDescent="0.25">
      <c r="A5929"/>
      <c r="B5929" s="201">
        <v>0</v>
      </c>
      <c r="C5929">
        <v>261</v>
      </c>
      <c r="D5929" s="201">
        <v>213</v>
      </c>
      <c r="E5929" s="201">
        <v>33</v>
      </c>
      <c r="F5929">
        <v>853</v>
      </c>
      <c r="G5929">
        <v>873</v>
      </c>
      <c r="H5929">
        <v>1493</v>
      </c>
      <c r="I5929">
        <v>-1013</v>
      </c>
      <c r="J5929">
        <v>-1032</v>
      </c>
      <c r="K5929" s="201">
        <v>-381</v>
      </c>
    </row>
    <row r="5930" spans="1:11" x14ac:dyDescent="0.25">
      <c r="A5930"/>
      <c r="B5930" s="201">
        <v>552</v>
      </c>
      <c r="C5930">
        <v>372</v>
      </c>
      <c r="D5930" s="201">
        <v>371</v>
      </c>
      <c r="E5930" s="201">
        <v>-415</v>
      </c>
      <c r="F5930">
        <v>-3123</v>
      </c>
      <c r="G5930">
        <v>-3305</v>
      </c>
      <c r="H5930">
        <v>16133</v>
      </c>
      <c r="I5930">
        <v>-3290</v>
      </c>
      <c r="J5930">
        <v>0</v>
      </c>
      <c r="K5930" s="201">
        <v>448</v>
      </c>
    </row>
    <row r="5931" spans="1:11" x14ac:dyDescent="0.25">
      <c r="A5931"/>
      <c r="B5931" s="201">
        <v>1678</v>
      </c>
      <c r="C5931">
        <v>1722</v>
      </c>
      <c r="D5931" s="201">
        <v>2078</v>
      </c>
      <c r="E5931" s="201">
        <v>1030</v>
      </c>
      <c r="F5931">
        <v>325</v>
      </c>
      <c r="G5931">
        <v>1702</v>
      </c>
      <c r="H5931">
        <v>688</v>
      </c>
      <c r="I5931">
        <v>673</v>
      </c>
      <c r="J5931">
        <v>1749</v>
      </c>
      <c r="K5931" s="201">
        <v>1219</v>
      </c>
    </row>
    <row r="5932" spans="1:11" x14ac:dyDescent="0.25">
      <c r="A5932"/>
      <c r="B5932" s="201">
        <v>464</v>
      </c>
      <c r="C5932">
        <v>-5467</v>
      </c>
      <c r="D5932" s="201">
        <v>6929</v>
      </c>
      <c r="E5932" s="201">
        <v>7183</v>
      </c>
      <c r="F5932">
        <v>247</v>
      </c>
      <c r="G5932">
        <v>482</v>
      </c>
      <c r="H5932">
        <v>1611</v>
      </c>
      <c r="I5932">
        <v>1946</v>
      </c>
      <c r="J5932">
        <v>1884</v>
      </c>
      <c r="K5932" s="201">
        <v>22239</v>
      </c>
    </row>
    <row r="5933" spans="1:11" x14ac:dyDescent="0.25">
      <c r="A5933"/>
      <c r="B5933" s="201">
        <v>20555</v>
      </c>
      <c r="C5933">
        <v>21642</v>
      </c>
      <c r="D5933" s="201">
        <v>22515</v>
      </c>
      <c r="E5933" s="201">
        <v>30879</v>
      </c>
      <c r="F5933">
        <v>22072</v>
      </c>
      <c r="G5933">
        <v>25871</v>
      </c>
      <c r="H5933">
        <v>26992</v>
      </c>
      <c r="I5933">
        <v>27553</v>
      </c>
      <c r="J5933">
        <v>651</v>
      </c>
      <c r="K5933" s="201">
        <v>-706</v>
      </c>
    </row>
    <row r="5934" spans="1:11" x14ac:dyDescent="0.25">
      <c r="B5934" s="201">
        <v>-1014</v>
      </c>
      <c r="C5934">
        <v>2944</v>
      </c>
      <c r="D5934" s="201">
        <v>4615</v>
      </c>
      <c r="E5934" s="201">
        <v>0</v>
      </c>
      <c r="F5934">
        <v>0</v>
      </c>
      <c r="G5934">
        <v>-289</v>
      </c>
      <c r="H5934">
        <v>0</v>
      </c>
      <c r="I5934">
        <v>0</v>
      </c>
      <c r="J5934">
        <v>0</v>
      </c>
      <c r="K5934" s="201">
        <v>87</v>
      </c>
    </row>
    <row r="5935" spans="1:11" x14ac:dyDescent="0.25">
      <c r="A5935"/>
      <c r="B5935" s="201">
        <v>-16</v>
      </c>
      <c r="C5935">
        <v>0</v>
      </c>
      <c r="D5935" s="201">
        <v>0</v>
      </c>
      <c r="E5935" s="201">
        <v>0</v>
      </c>
      <c r="F5935">
        <v>0</v>
      </c>
      <c r="G5935">
        <v>0</v>
      </c>
      <c r="H5935">
        <v>0</v>
      </c>
      <c r="I5935">
        <v>-508</v>
      </c>
      <c r="J5935">
        <v>0</v>
      </c>
      <c r="K5935" s="201">
        <v>0</v>
      </c>
    </row>
    <row r="5936" spans="1:11" x14ac:dyDescent="0.25">
      <c r="B5936" s="201">
        <v>-1159</v>
      </c>
      <c r="C5936">
        <v>0</v>
      </c>
      <c r="D5936" s="201">
        <v>1372</v>
      </c>
      <c r="E5936" s="201">
        <v>0</v>
      </c>
      <c r="F5936">
        <v>43</v>
      </c>
      <c r="G5936">
        <v>171</v>
      </c>
      <c r="H5936">
        <v>-81</v>
      </c>
      <c r="I5936">
        <v>0</v>
      </c>
      <c r="J5936">
        <v>-7247</v>
      </c>
      <c r="K5936" s="201">
        <v>-1978</v>
      </c>
    </row>
    <row r="5937" spans="1:11" x14ac:dyDescent="0.25">
      <c r="B5937" s="201">
        <v>2744</v>
      </c>
      <c r="C5937">
        <v>3239</v>
      </c>
      <c r="D5937" s="201">
        <v>2388</v>
      </c>
      <c r="E5937" s="201">
        <v>-297</v>
      </c>
      <c r="F5937">
        <v>0</v>
      </c>
      <c r="G5937">
        <v>1063</v>
      </c>
      <c r="H5937">
        <v>0</v>
      </c>
      <c r="I5937">
        <v>0</v>
      </c>
      <c r="J5937">
        <v>0</v>
      </c>
      <c r="K5937" s="201">
        <v>0</v>
      </c>
    </row>
    <row r="5938" spans="1:11" x14ac:dyDescent="0.25">
      <c r="A5938"/>
      <c r="B5938" s="201">
        <v>0</v>
      </c>
      <c r="C5938">
        <v>458</v>
      </c>
      <c r="D5938" s="201">
        <v>0</v>
      </c>
      <c r="E5938" s="201">
        <v>0</v>
      </c>
      <c r="F5938">
        <v>0</v>
      </c>
      <c r="G5938">
        <v>-260</v>
      </c>
      <c r="H5938">
        <v>0</v>
      </c>
      <c r="I5938">
        <v>794</v>
      </c>
      <c r="J5938">
        <v>0</v>
      </c>
      <c r="K5938" s="201">
        <v>0</v>
      </c>
    </row>
    <row r="5939" spans="1:11" x14ac:dyDescent="0.25">
      <c r="A5939"/>
      <c r="B5939" s="201">
        <v>0</v>
      </c>
      <c r="C5939">
        <v>0</v>
      </c>
      <c r="D5939" s="201">
        <v>0</v>
      </c>
      <c r="E5939" s="201">
        <v>-511</v>
      </c>
      <c r="F5939">
        <v>0</v>
      </c>
      <c r="G5939">
        <v>132</v>
      </c>
      <c r="H5939">
        <v>5610</v>
      </c>
      <c r="I5939">
        <v>0</v>
      </c>
      <c r="J5939">
        <v>0</v>
      </c>
      <c r="K5939" s="201">
        <v>1279</v>
      </c>
    </row>
    <row r="5940" spans="1:11" x14ac:dyDescent="0.25">
      <c r="B5940" s="201">
        <v>-1060</v>
      </c>
      <c r="C5940">
        <v>0</v>
      </c>
      <c r="D5940" s="201">
        <v>-4331</v>
      </c>
      <c r="E5940" s="201">
        <v>0</v>
      </c>
      <c r="F5940">
        <v>0</v>
      </c>
      <c r="G5940">
        <v>0</v>
      </c>
      <c r="H5940">
        <v>0</v>
      </c>
      <c r="I5940">
        <v>-6031</v>
      </c>
      <c r="J5940">
        <v>-891</v>
      </c>
      <c r="K5940" s="201">
        <v>-205</v>
      </c>
    </row>
    <row r="5941" spans="1:11" x14ac:dyDescent="0.25">
      <c r="A5941"/>
      <c r="B5941" s="201">
        <v>0</v>
      </c>
      <c r="C5941">
        <v>0</v>
      </c>
      <c r="D5941" s="201">
        <v>578</v>
      </c>
      <c r="E5941" s="201">
        <v>-327</v>
      </c>
      <c r="F5941">
        <v>0</v>
      </c>
      <c r="G5941">
        <v>-1233</v>
      </c>
      <c r="H5941">
        <v>-1598</v>
      </c>
      <c r="I5941">
        <v>-521</v>
      </c>
      <c r="J5941">
        <v>-1423</v>
      </c>
      <c r="K5941" s="201">
        <v>928</v>
      </c>
    </row>
    <row r="5942" spans="1:11" x14ac:dyDescent="0.25">
      <c r="A5942"/>
      <c r="B5942" s="201">
        <v>-550</v>
      </c>
      <c r="C5942">
        <v>-2214</v>
      </c>
      <c r="D5942" s="201">
        <v>0</v>
      </c>
      <c r="E5942" s="201">
        <v>0</v>
      </c>
      <c r="F5942">
        <v>0</v>
      </c>
      <c r="G5942">
        <v>0</v>
      </c>
      <c r="H5942">
        <v>0</v>
      </c>
      <c r="I5942">
        <v>5551</v>
      </c>
      <c r="J5942">
        <v>0</v>
      </c>
      <c r="K5942" s="201">
        <v>-140</v>
      </c>
    </row>
    <row r="5943" spans="1:11" x14ac:dyDescent="0.25">
      <c r="A5943"/>
      <c r="B5943" s="201">
        <v>-305</v>
      </c>
      <c r="C5943">
        <v>1010</v>
      </c>
      <c r="D5943" s="201">
        <v>0</v>
      </c>
      <c r="E5943" s="201">
        <v>-3026</v>
      </c>
      <c r="F5943">
        <v>-1808</v>
      </c>
      <c r="G5943">
        <v>-1756</v>
      </c>
      <c r="H5943">
        <v>-4251</v>
      </c>
      <c r="I5943">
        <v>-3418</v>
      </c>
      <c r="J5943">
        <v>0</v>
      </c>
      <c r="K5943" s="201">
        <v>6666</v>
      </c>
    </row>
    <row r="5944" spans="1:11" x14ac:dyDescent="0.25">
      <c r="A5944"/>
      <c r="B5944" s="201">
        <v>5791</v>
      </c>
      <c r="C5944">
        <v>-2291</v>
      </c>
      <c r="D5944" s="201">
        <v>448</v>
      </c>
      <c r="E5944" s="201">
        <v>0</v>
      </c>
      <c r="F5944">
        <v>-115</v>
      </c>
      <c r="G5944">
        <v>-21</v>
      </c>
      <c r="H5944">
        <v>0</v>
      </c>
      <c r="I5944">
        <v>0</v>
      </c>
      <c r="J5944">
        <v>0</v>
      </c>
      <c r="K5944" s="201">
        <v>-451</v>
      </c>
    </row>
    <row r="5945" spans="1:11" x14ac:dyDescent="0.25">
      <c r="A5945"/>
      <c r="B5945" s="201">
        <v>243</v>
      </c>
      <c r="C5945">
        <v>0</v>
      </c>
      <c r="D5945" s="201">
        <v>-535</v>
      </c>
      <c r="E5945" s="201">
        <v>2515</v>
      </c>
      <c r="F5945">
        <v>344</v>
      </c>
      <c r="G5945">
        <v>317</v>
      </c>
      <c r="H5945">
        <v>0</v>
      </c>
      <c r="I5945">
        <v>0</v>
      </c>
      <c r="J5945">
        <v>0</v>
      </c>
      <c r="K5945" s="201">
        <v>0</v>
      </c>
    </row>
    <row r="5946" spans="1:11" x14ac:dyDescent="0.25">
      <c r="A5946"/>
      <c r="B5946" s="201">
        <v>0</v>
      </c>
      <c r="C5946">
        <v>9491</v>
      </c>
      <c r="D5946" s="201">
        <v>0</v>
      </c>
      <c r="E5946" s="201">
        <v>330</v>
      </c>
      <c r="F5946">
        <v>112</v>
      </c>
      <c r="G5946">
        <v>-30</v>
      </c>
      <c r="H5946">
        <v>0</v>
      </c>
      <c r="I5946">
        <v>-1192</v>
      </c>
      <c r="J5946">
        <v>-2548</v>
      </c>
      <c r="K5946" s="201">
        <v>-986</v>
      </c>
    </row>
    <row r="5947" spans="1:11" x14ac:dyDescent="0.25">
      <c r="A5947"/>
      <c r="B5947" s="201">
        <v>-3109</v>
      </c>
      <c r="C5947">
        <v>-2200</v>
      </c>
      <c r="D5947" s="201">
        <v>5055</v>
      </c>
      <c r="E5947" s="201">
        <v>7335</v>
      </c>
      <c r="F5947">
        <v>8966</v>
      </c>
      <c r="G5947">
        <v>0</v>
      </c>
      <c r="H5947">
        <v>27</v>
      </c>
      <c r="I5947">
        <v>0</v>
      </c>
      <c r="J5947">
        <v>0</v>
      </c>
      <c r="K5947" s="201">
        <v>16</v>
      </c>
    </row>
    <row r="5948" spans="1:11" x14ac:dyDescent="0.25">
      <c r="A5948"/>
      <c r="B5948" s="201">
        <v>219</v>
      </c>
      <c r="C5948">
        <v>0</v>
      </c>
      <c r="D5948" s="201">
        <v>-239</v>
      </c>
      <c r="E5948" s="201">
        <v>0</v>
      </c>
      <c r="F5948">
        <v>0</v>
      </c>
      <c r="G5948">
        <v>-311</v>
      </c>
      <c r="H5948">
        <v>0</v>
      </c>
      <c r="I5948">
        <v>585</v>
      </c>
      <c r="J5948">
        <v>-43</v>
      </c>
      <c r="K5948" s="201">
        <v>-27</v>
      </c>
    </row>
    <row r="5949" spans="1:11" x14ac:dyDescent="0.25">
      <c r="A5949"/>
      <c r="B5949" s="201">
        <v>0</v>
      </c>
      <c r="C5949">
        <v>0</v>
      </c>
      <c r="D5949" s="201">
        <v>0</v>
      </c>
      <c r="E5949" s="201">
        <v>0</v>
      </c>
      <c r="F5949">
        <v>0</v>
      </c>
      <c r="G5949">
        <v>7071</v>
      </c>
      <c r="H5949">
        <v>0</v>
      </c>
      <c r="I5949">
        <v>1126</v>
      </c>
      <c r="J5949">
        <v>187</v>
      </c>
      <c r="K5949" s="201">
        <v>201</v>
      </c>
    </row>
    <row r="5950" spans="1:11" x14ac:dyDescent="0.25">
      <c r="A5950"/>
      <c r="B5950" s="201">
        <v>0</v>
      </c>
      <c r="C5950">
        <v>4695</v>
      </c>
      <c r="D5950" s="201">
        <v>-2185</v>
      </c>
      <c r="E5950" s="201">
        <v>-91</v>
      </c>
      <c r="F5950">
        <v>0</v>
      </c>
      <c r="G5950">
        <v>0</v>
      </c>
      <c r="H5950">
        <v>0</v>
      </c>
      <c r="I5950">
        <v>5682</v>
      </c>
      <c r="J5950">
        <v>5746</v>
      </c>
      <c r="K5950" s="201">
        <v>-570</v>
      </c>
    </row>
    <row r="5951" spans="1:11" x14ac:dyDescent="0.25">
      <c r="A5951"/>
      <c r="B5951" s="201">
        <v>-335</v>
      </c>
      <c r="C5951">
        <v>-377</v>
      </c>
      <c r="D5951" s="201">
        <v>0</v>
      </c>
      <c r="E5951" s="201">
        <v>393</v>
      </c>
      <c r="F5951">
        <v>0</v>
      </c>
      <c r="G5951">
        <v>0</v>
      </c>
      <c r="H5951">
        <v>-385</v>
      </c>
      <c r="I5951">
        <v>0</v>
      </c>
      <c r="J5951">
        <v>304</v>
      </c>
      <c r="K5951" s="201">
        <v>0</v>
      </c>
    </row>
    <row r="5952" spans="1:11" x14ac:dyDescent="0.25">
      <c r="A5952"/>
      <c r="B5952" s="201">
        <v>-116</v>
      </c>
      <c r="C5952">
        <v>0</v>
      </c>
      <c r="D5952" s="201">
        <v>0</v>
      </c>
      <c r="E5952" s="201">
        <v>0</v>
      </c>
      <c r="F5952">
        <v>0</v>
      </c>
      <c r="G5952">
        <v>0</v>
      </c>
      <c r="H5952">
        <v>0</v>
      </c>
      <c r="I5952">
        <v>0</v>
      </c>
      <c r="J5952">
        <v>0</v>
      </c>
      <c r="K5952" s="201">
        <v>6411</v>
      </c>
    </row>
    <row r="5953" spans="1:11" x14ac:dyDescent="0.25">
      <c r="A5953"/>
      <c r="B5953" s="201">
        <v>0</v>
      </c>
      <c r="C5953">
        <v>750</v>
      </c>
      <c r="D5953" s="201">
        <v>-979</v>
      </c>
      <c r="E5953" s="201">
        <v>293</v>
      </c>
      <c r="F5953">
        <v>0</v>
      </c>
      <c r="G5953">
        <v>-13265</v>
      </c>
      <c r="H5953">
        <v>3990</v>
      </c>
      <c r="I5953">
        <v>0</v>
      </c>
      <c r="J5953">
        <v>0</v>
      </c>
      <c r="K5953" s="201">
        <v>0</v>
      </c>
    </row>
    <row r="5954" spans="1:11" x14ac:dyDescent="0.25">
      <c r="A5954"/>
      <c r="B5954" s="201">
        <v>0</v>
      </c>
      <c r="C5954">
        <v>0</v>
      </c>
      <c r="D5954" s="201">
        <v>-12103</v>
      </c>
      <c r="E5954" s="201">
        <v>-3085</v>
      </c>
      <c r="F5954">
        <v>1349</v>
      </c>
      <c r="G5954">
        <v>1038</v>
      </c>
      <c r="H5954">
        <v>-973</v>
      </c>
      <c r="I5954">
        <v>931</v>
      </c>
      <c r="J5954">
        <v>0</v>
      </c>
      <c r="K5954" s="201">
        <v>0</v>
      </c>
    </row>
    <row r="5955" spans="1:11" x14ac:dyDescent="0.25">
      <c r="A5955"/>
      <c r="B5955" s="201">
        <v>0</v>
      </c>
      <c r="C5955">
        <v>0</v>
      </c>
      <c r="D5955" s="201">
        <v>-292</v>
      </c>
      <c r="E5955" s="201">
        <v>0</v>
      </c>
      <c r="F5955">
        <v>-120</v>
      </c>
      <c r="G5955">
        <v>0</v>
      </c>
      <c r="H5955">
        <v>0</v>
      </c>
      <c r="I5955">
        <v>3584</v>
      </c>
      <c r="J5955">
        <v>1984</v>
      </c>
      <c r="K5955" s="201">
        <v>0</v>
      </c>
    </row>
    <row r="5956" spans="1:11" x14ac:dyDescent="0.25">
      <c r="A5956"/>
      <c r="B5956" s="201">
        <v>0</v>
      </c>
      <c r="C5956">
        <v>0</v>
      </c>
      <c r="D5956" s="201">
        <v>0</v>
      </c>
      <c r="E5956" s="201">
        <v>15793</v>
      </c>
      <c r="F5956">
        <v>0</v>
      </c>
      <c r="G5956">
        <v>-5830</v>
      </c>
      <c r="H5956">
        <v>4239</v>
      </c>
      <c r="I5956">
        <v>-1152</v>
      </c>
      <c r="J5956">
        <v>507</v>
      </c>
      <c r="K5956" s="201">
        <v>2023</v>
      </c>
    </row>
    <row r="5957" spans="1:11" x14ac:dyDescent="0.25">
      <c r="A5957"/>
      <c r="B5957" s="201">
        <v>9847</v>
      </c>
      <c r="C5957">
        <v>6950</v>
      </c>
      <c r="D5957" s="201">
        <v>-20520</v>
      </c>
      <c r="E5957" s="201">
        <v>-29410</v>
      </c>
      <c r="F5957">
        <v>-32239</v>
      </c>
      <c r="G5957">
        <v>0</v>
      </c>
      <c r="H5957">
        <v>0</v>
      </c>
      <c r="I5957">
        <v>0</v>
      </c>
      <c r="J5957">
        <v>0</v>
      </c>
      <c r="K5957" s="201">
        <v>0</v>
      </c>
    </row>
    <row r="5958" spans="1:11" x14ac:dyDescent="0.25">
      <c r="A5958"/>
      <c r="B5958" s="201">
        <v>0</v>
      </c>
      <c r="C5958">
        <v>0</v>
      </c>
      <c r="D5958" s="201">
        <v>1353</v>
      </c>
      <c r="E5958" s="201">
        <v>2290</v>
      </c>
      <c r="F5958">
        <v>-263</v>
      </c>
      <c r="G5958">
        <v>1350</v>
      </c>
      <c r="H5958">
        <v>821</v>
      </c>
      <c r="I5958">
        <v>-4239</v>
      </c>
      <c r="J5958">
        <v>0</v>
      </c>
      <c r="K5958" s="201">
        <v>0</v>
      </c>
    </row>
    <row r="5959" spans="1:11" x14ac:dyDescent="0.25">
      <c r="B5959" s="201">
        <v>3285</v>
      </c>
      <c r="C5959">
        <v>0</v>
      </c>
      <c r="D5959" s="201">
        <v>3507</v>
      </c>
      <c r="E5959" s="201">
        <v>-42537</v>
      </c>
      <c r="F5959">
        <v>0</v>
      </c>
      <c r="G5959">
        <v>0</v>
      </c>
      <c r="H5959">
        <v>0</v>
      </c>
      <c r="I5959">
        <v>0</v>
      </c>
      <c r="J5959">
        <v>-683</v>
      </c>
      <c r="K5959" s="201">
        <v>0</v>
      </c>
    </row>
    <row r="5960" spans="1:11" x14ac:dyDescent="0.25">
      <c r="B5960" s="201">
        <v>-3476</v>
      </c>
      <c r="C5960">
        <v>368</v>
      </c>
      <c r="D5960" s="201">
        <v>0</v>
      </c>
      <c r="E5960" s="201">
        <v>0</v>
      </c>
      <c r="F5960">
        <v>0</v>
      </c>
      <c r="G5960">
        <v>0</v>
      </c>
      <c r="H5960">
        <v>0</v>
      </c>
      <c r="I5960">
        <v>0</v>
      </c>
      <c r="J5960">
        <v>0</v>
      </c>
      <c r="K5960" s="201">
        <v>0</v>
      </c>
    </row>
    <row r="5961" spans="1:11" x14ac:dyDescent="0.25">
      <c r="A5961"/>
      <c r="B5961" s="201">
        <v>0</v>
      </c>
      <c r="C5961">
        <v>0</v>
      </c>
      <c r="D5961" s="201">
        <v>0</v>
      </c>
      <c r="E5961" s="201">
        <v>0</v>
      </c>
      <c r="F5961">
        <v>0</v>
      </c>
      <c r="G5961">
        <v>0</v>
      </c>
      <c r="H5961">
        <v>0</v>
      </c>
      <c r="I5961">
        <v>-862</v>
      </c>
      <c r="J5961">
        <v>0</v>
      </c>
      <c r="K5961" s="201">
        <v>0</v>
      </c>
    </row>
    <row r="5962" spans="1:11" x14ac:dyDescent="0.25">
      <c r="A5962"/>
      <c r="B5962" s="201">
        <v>0</v>
      </c>
      <c r="C5962">
        <v>0</v>
      </c>
      <c r="D5962" s="201">
        <v>0</v>
      </c>
      <c r="E5962" s="201">
        <v>152</v>
      </c>
      <c r="F5962">
        <v>304</v>
      </c>
      <c r="G5962">
        <v>796</v>
      </c>
      <c r="H5962">
        <v>2098</v>
      </c>
      <c r="I5962">
        <v>2164</v>
      </c>
      <c r="J5962">
        <v>2637</v>
      </c>
      <c r="K5962" s="201">
        <v>1664</v>
      </c>
    </row>
    <row r="5963" spans="1:11" x14ac:dyDescent="0.25">
      <c r="A5963"/>
      <c r="B5963" s="201">
        <v>-1085</v>
      </c>
      <c r="C5963">
        <v>-480</v>
      </c>
      <c r="D5963" s="201">
        <v>1355</v>
      </c>
      <c r="E5963" s="201">
        <v>872</v>
      </c>
      <c r="F5963">
        <v>1894</v>
      </c>
      <c r="G5963">
        <v>3043</v>
      </c>
      <c r="H5963">
        <v>-2395</v>
      </c>
      <c r="I5963">
        <v>-4405</v>
      </c>
      <c r="J5963">
        <v>-3094</v>
      </c>
      <c r="K5963" s="201">
        <v>-1603</v>
      </c>
    </row>
    <row r="5964" spans="1:11" x14ac:dyDescent="0.25">
      <c r="A5964"/>
      <c r="B5964" s="201">
        <v>0</v>
      </c>
      <c r="C5964">
        <v>1077</v>
      </c>
      <c r="D5964" s="201">
        <v>3109</v>
      </c>
      <c r="E5964" s="201">
        <v>2765</v>
      </c>
      <c r="F5964">
        <v>1555</v>
      </c>
      <c r="G5964">
        <v>1809</v>
      </c>
      <c r="H5964">
        <v>1665</v>
      </c>
      <c r="I5964">
        <v>3316</v>
      </c>
      <c r="J5964">
        <v>1519</v>
      </c>
      <c r="K5964" s="201">
        <v>1751</v>
      </c>
    </row>
    <row r="5965" spans="1:11" x14ac:dyDescent="0.25">
      <c r="B5965" s="201">
        <v>3192</v>
      </c>
      <c r="C5965">
        <v>2438</v>
      </c>
      <c r="D5965" s="201">
        <v>1466</v>
      </c>
      <c r="E5965" s="201">
        <v>740</v>
      </c>
      <c r="F5965">
        <v>2580</v>
      </c>
      <c r="G5965">
        <v>2949</v>
      </c>
      <c r="H5965">
        <v>2227</v>
      </c>
      <c r="I5965">
        <v>-3435</v>
      </c>
      <c r="J5965">
        <v>7512</v>
      </c>
      <c r="K5965" s="201">
        <v>7432</v>
      </c>
    </row>
    <row r="5966" spans="1:11" x14ac:dyDescent="0.25">
      <c r="A5966"/>
      <c r="B5966" s="201">
        <v>3102</v>
      </c>
      <c r="C5966">
        <v>33207</v>
      </c>
      <c r="D5966" s="201">
        <v>30220</v>
      </c>
      <c r="E5966" s="201">
        <v>33149</v>
      </c>
      <c r="F5966">
        <v>33705</v>
      </c>
      <c r="G5966">
        <v>28399</v>
      </c>
      <c r="H5966">
        <v>42731</v>
      </c>
      <c r="I5966">
        <v>39382</v>
      </c>
      <c r="J5966">
        <v>43619</v>
      </c>
      <c r="K5966" s="201">
        <v>39932</v>
      </c>
    </row>
    <row r="5967" spans="1:11" x14ac:dyDescent="0.25">
      <c r="A5967"/>
      <c r="B5967" s="201">
        <v>32597</v>
      </c>
      <c r="C5967">
        <v>-1839</v>
      </c>
      <c r="D5967" s="201">
        <v>-19</v>
      </c>
      <c r="E5967" s="201">
        <v>-152</v>
      </c>
      <c r="F5967">
        <v>-305</v>
      </c>
      <c r="G5967">
        <v>-523</v>
      </c>
      <c r="H5967">
        <v>0</v>
      </c>
      <c r="I5967">
        <v>0</v>
      </c>
      <c r="J5967">
        <v>7</v>
      </c>
      <c r="K5967" s="201">
        <v>0</v>
      </c>
    </row>
    <row r="5968" spans="1:11" x14ac:dyDescent="0.25">
      <c r="A5968"/>
      <c r="B5968" s="201">
        <v>0</v>
      </c>
      <c r="C5968">
        <v>0</v>
      </c>
      <c r="D5968" s="201">
        <v>-228</v>
      </c>
      <c r="E5968" s="201">
        <v>-758</v>
      </c>
      <c r="F5968">
        <v>0</v>
      </c>
      <c r="G5968">
        <v>0</v>
      </c>
      <c r="H5968">
        <v>0</v>
      </c>
      <c r="I5968">
        <v>0</v>
      </c>
      <c r="J5968">
        <v>0</v>
      </c>
      <c r="K5968" s="201">
        <v>0</v>
      </c>
    </row>
    <row r="5969" spans="1:11" x14ac:dyDescent="0.25">
      <c r="B5969" s="201">
        <v>1018</v>
      </c>
      <c r="C5969">
        <v>0</v>
      </c>
      <c r="D5969" s="201">
        <v>0</v>
      </c>
      <c r="E5969" s="201">
        <v>93</v>
      </c>
      <c r="F5969">
        <v>0</v>
      </c>
      <c r="G5969">
        <v>127</v>
      </c>
      <c r="H5969">
        <v>0</v>
      </c>
      <c r="I5969">
        <v>164</v>
      </c>
      <c r="J5969">
        <v>743</v>
      </c>
      <c r="K5969" s="201">
        <v>48</v>
      </c>
    </row>
    <row r="5970" spans="1:11" x14ac:dyDescent="0.25">
      <c r="A5970"/>
      <c r="B5970" s="201">
        <v>0</v>
      </c>
      <c r="C5970">
        <v>-351</v>
      </c>
      <c r="D5970" s="201">
        <v>-65</v>
      </c>
      <c r="E5970" s="201">
        <v>-111</v>
      </c>
      <c r="F5970">
        <v>-280</v>
      </c>
      <c r="G5970">
        <v>-453</v>
      </c>
      <c r="H5970">
        <v>-1070</v>
      </c>
      <c r="I5970">
        <v>0</v>
      </c>
      <c r="J5970">
        <v>147</v>
      </c>
      <c r="K5970" s="201">
        <v>0</v>
      </c>
    </row>
    <row r="5971" spans="1:11" x14ac:dyDescent="0.25">
      <c r="A5971"/>
      <c r="B5971" s="201">
        <v>0</v>
      </c>
      <c r="C5971">
        <v>0</v>
      </c>
      <c r="D5971" s="201">
        <v>0</v>
      </c>
      <c r="E5971" s="201">
        <v>0</v>
      </c>
      <c r="F5971">
        <v>-42</v>
      </c>
      <c r="G5971">
        <v>0</v>
      </c>
      <c r="H5971">
        <v>0</v>
      </c>
      <c r="I5971">
        <v>0</v>
      </c>
      <c r="J5971">
        <v>-313</v>
      </c>
      <c r="K5971" s="201">
        <v>0</v>
      </c>
    </row>
    <row r="5972" spans="1:11" x14ac:dyDescent="0.25">
      <c r="A5972"/>
      <c r="B5972" s="201">
        <v>-7</v>
      </c>
      <c r="C5972">
        <v>0</v>
      </c>
      <c r="D5972" s="201">
        <v>0</v>
      </c>
      <c r="E5972" s="201">
        <v>0</v>
      </c>
      <c r="F5972">
        <v>0</v>
      </c>
      <c r="G5972">
        <v>0</v>
      </c>
      <c r="H5972">
        <v>637</v>
      </c>
      <c r="I5972">
        <v>0</v>
      </c>
      <c r="J5972">
        <v>150</v>
      </c>
      <c r="K5972" s="201">
        <v>603</v>
      </c>
    </row>
    <row r="5973" spans="1:11" x14ac:dyDescent="0.25">
      <c r="A5973"/>
      <c r="B5973" s="201">
        <v>0</v>
      </c>
      <c r="C5973">
        <v>0</v>
      </c>
      <c r="D5973" s="201">
        <v>-18906</v>
      </c>
      <c r="E5973" s="201">
        <v>1663</v>
      </c>
      <c r="F5973">
        <v>0</v>
      </c>
      <c r="G5973">
        <v>-5355</v>
      </c>
      <c r="H5973">
        <v>0</v>
      </c>
      <c r="I5973">
        <v>0</v>
      </c>
      <c r="J5973">
        <v>0</v>
      </c>
      <c r="K5973" s="201">
        <v>0</v>
      </c>
    </row>
    <row r="5974" spans="1:11" x14ac:dyDescent="0.25">
      <c r="B5974" s="201">
        <v>3270</v>
      </c>
      <c r="C5974">
        <v>785</v>
      </c>
      <c r="D5974" s="201">
        <v>122</v>
      </c>
      <c r="E5974" s="201">
        <v>0</v>
      </c>
      <c r="F5974">
        <v>0</v>
      </c>
      <c r="G5974">
        <v>-587</v>
      </c>
      <c r="H5974">
        <v>656</v>
      </c>
      <c r="I5974">
        <v>0</v>
      </c>
      <c r="J5974">
        <v>2773</v>
      </c>
      <c r="K5974" s="201">
        <v>1706</v>
      </c>
    </row>
    <row r="5975" spans="1:11" x14ac:dyDescent="0.25">
      <c r="A5975"/>
      <c r="B5975" s="201">
        <v>270</v>
      </c>
      <c r="C5975">
        <v>1129</v>
      </c>
      <c r="D5975" s="201">
        <v>-123</v>
      </c>
      <c r="E5975" s="201">
        <v>316</v>
      </c>
      <c r="F5975">
        <v>-1130</v>
      </c>
      <c r="G5975">
        <v>0</v>
      </c>
      <c r="H5975">
        <v>0</v>
      </c>
      <c r="I5975">
        <v>0</v>
      </c>
      <c r="J5975">
        <v>0</v>
      </c>
      <c r="K5975" s="201">
        <v>0</v>
      </c>
    </row>
    <row r="5976" spans="1:11" x14ac:dyDescent="0.25">
      <c r="A5976"/>
      <c r="B5976" s="201">
        <v>-603</v>
      </c>
      <c r="C5976">
        <v>0</v>
      </c>
      <c r="D5976" s="201">
        <v>-1261</v>
      </c>
      <c r="E5976" s="201">
        <v>5126</v>
      </c>
      <c r="F5976">
        <v>1579</v>
      </c>
      <c r="G5976">
        <v>0</v>
      </c>
      <c r="H5976">
        <v>-12535</v>
      </c>
      <c r="I5976">
        <v>1497</v>
      </c>
      <c r="J5976">
        <v>-790</v>
      </c>
      <c r="K5976" s="201">
        <v>2931</v>
      </c>
    </row>
    <row r="5977" spans="1:11" x14ac:dyDescent="0.25">
      <c r="A5977"/>
      <c r="B5977" s="201">
        <v>662</v>
      </c>
      <c r="C5977">
        <v>0</v>
      </c>
      <c r="D5977" s="201">
        <v>-567</v>
      </c>
      <c r="E5977" s="201">
        <v>-377</v>
      </c>
      <c r="F5977">
        <v>-172</v>
      </c>
      <c r="G5977">
        <v>661</v>
      </c>
      <c r="H5977">
        <v>0</v>
      </c>
      <c r="I5977">
        <v>-217</v>
      </c>
      <c r="J5977">
        <v>1085</v>
      </c>
      <c r="K5977" s="201">
        <v>0</v>
      </c>
    </row>
    <row r="5978" spans="1:11" x14ac:dyDescent="0.25">
      <c r="A5978"/>
      <c r="B5978" s="201">
        <v>0</v>
      </c>
      <c r="C5978" s="201">
        <v>0</v>
      </c>
      <c r="D5978" s="201">
        <v>-1673</v>
      </c>
      <c r="E5978" s="201">
        <v>-5677</v>
      </c>
      <c r="F5978">
        <v>0</v>
      </c>
      <c r="G5978">
        <v>-2847</v>
      </c>
      <c r="H5978">
        <v>264</v>
      </c>
      <c r="I5978">
        <v>268</v>
      </c>
      <c r="J5978">
        <v>1442</v>
      </c>
      <c r="K5978" s="201">
        <v>0</v>
      </c>
    </row>
    <row r="5979" spans="1:11" x14ac:dyDescent="0.25">
      <c r="A5979"/>
      <c r="B5979" s="201">
        <v>0</v>
      </c>
      <c r="C5979">
        <v>0</v>
      </c>
      <c r="D5979" s="201">
        <v>0</v>
      </c>
      <c r="E5979" s="201">
        <v>0</v>
      </c>
      <c r="F5979">
        <v>-4845</v>
      </c>
      <c r="G5979">
        <v>0</v>
      </c>
      <c r="H5979">
        <v>-1922</v>
      </c>
      <c r="I5979">
        <v>1722</v>
      </c>
      <c r="J5979">
        <v>600</v>
      </c>
      <c r="K5979" s="201">
        <v>0</v>
      </c>
    </row>
    <row r="5980" spans="1:11" x14ac:dyDescent="0.25">
      <c r="A5980"/>
      <c r="B5980" s="201">
        <v>-9986</v>
      </c>
      <c r="C5980">
        <v>1357</v>
      </c>
      <c r="D5980" s="201">
        <v>822</v>
      </c>
      <c r="E5980" s="201">
        <v>-2203</v>
      </c>
      <c r="F5980">
        <v>632</v>
      </c>
      <c r="G5980">
        <v>229</v>
      </c>
      <c r="H5980">
        <v>29</v>
      </c>
      <c r="I5980">
        <v>-949</v>
      </c>
      <c r="J5980">
        <v>0</v>
      </c>
      <c r="K5980" s="201">
        <v>-161</v>
      </c>
    </row>
    <row r="5981" spans="1:11" x14ac:dyDescent="0.25">
      <c r="A5981"/>
      <c r="B5981" s="201">
        <v>0</v>
      </c>
      <c r="C5981">
        <v>0</v>
      </c>
      <c r="D5981" s="201">
        <v>506</v>
      </c>
      <c r="E5981" s="201">
        <v>-135</v>
      </c>
      <c r="F5981">
        <v>0</v>
      </c>
      <c r="G5981">
        <v>-904</v>
      </c>
      <c r="H5981">
        <v>0</v>
      </c>
      <c r="I5981">
        <v>0</v>
      </c>
      <c r="J5981">
        <v>72</v>
      </c>
      <c r="K5981" s="201">
        <v>0</v>
      </c>
    </row>
    <row r="5982" spans="1:11" x14ac:dyDescent="0.25">
      <c r="B5982" s="201">
        <v>-297</v>
      </c>
      <c r="C5982">
        <v>-50</v>
      </c>
      <c r="D5982" s="201">
        <v>-653</v>
      </c>
      <c r="E5982" s="201">
        <v>0</v>
      </c>
      <c r="F5982">
        <v>0</v>
      </c>
      <c r="G5982">
        <v>0</v>
      </c>
      <c r="H5982">
        <v>0</v>
      </c>
      <c r="I5982">
        <v>0</v>
      </c>
      <c r="J5982">
        <v>-4023</v>
      </c>
      <c r="K5982" s="201">
        <v>0</v>
      </c>
    </row>
    <row r="5983" spans="1:11" x14ac:dyDescent="0.25">
      <c r="A5983"/>
      <c r="B5983" s="201">
        <v>-1356</v>
      </c>
      <c r="C5983">
        <v>-72</v>
      </c>
      <c r="D5983" s="201">
        <v>-297</v>
      </c>
      <c r="E5983" s="201">
        <v>0</v>
      </c>
      <c r="F5983">
        <v>-15342</v>
      </c>
      <c r="G5983">
        <v>878</v>
      </c>
      <c r="H5983">
        <v>1200</v>
      </c>
      <c r="I5983">
        <v>0</v>
      </c>
      <c r="J5983">
        <v>0</v>
      </c>
      <c r="K5983" s="201">
        <v>0</v>
      </c>
    </row>
    <row r="5984" spans="1:11" x14ac:dyDescent="0.25">
      <c r="A5984"/>
      <c r="B5984" s="201">
        <v>947</v>
      </c>
      <c r="C5984">
        <v>1696</v>
      </c>
      <c r="D5984" s="201">
        <v>1423</v>
      </c>
      <c r="E5984" s="201">
        <v>-830</v>
      </c>
      <c r="F5984">
        <v>-655</v>
      </c>
      <c r="G5984">
        <v>0</v>
      </c>
      <c r="H5984">
        <v>301</v>
      </c>
      <c r="I5984">
        <v>0</v>
      </c>
      <c r="J5984">
        <v>0</v>
      </c>
      <c r="K5984" s="201">
        <v>-346</v>
      </c>
    </row>
    <row r="5985" spans="1:11" x14ac:dyDescent="0.25">
      <c r="A5985"/>
      <c r="B5985" s="201">
        <v>0</v>
      </c>
      <c r="C5985">
        <v>1632</v>
      </c>
      <c r="D5985" s="201">
        <v>0</v>
      </c>
      <c r="E5985" s="201">
        <v>893</v>
      </c>
      <c r="F5985">
        <v>0</v>
      </c>
      <c r="G5985">
        <v>0</v>
      </c>
      <c r="H5985">
        <v>0</v>
      </c>
      <c r="I5985">
        <v>0</v>
      </c>
      <c r="J5985">
        <v>0</v>
      </c>
      <c r="K5985" s="201">
        <v>0</v>
      </c>
    </row>
    <row r="5986" spans="1:11" x14ac:dyDescent="0.25">
      <c r="A5986"/>
      <c r="B5986" s="201">
        <v>0</v>
      </c>
      <c r="C5986">
        <v>0</v>
      </c>
      <c r="D5986" s="201">
        <v>-1241</v>
      </c>
      <c r="E5986" s="201">
        <v>0</v>
      </c>
      <c r="F5986">
        <v>-382</v>
      </c>
      <c r="G5986">
        <v>-2103</v>
      </c>
      <c r="H5986">
        <v>-474</v>
      </c>
      <c r="I5986">
        <v>0</v>
      </c>
      <c r="J5986">
        <v>-12643</v>
      </c>
      <c r="K5986" s="201">
        <v>322</v>
      </c>
    </row>
    <row r="5987" spans="1:11" x14ac:dyDescent="0.25">
      <c r="A5987"/>
      <c r="B5987" s="201">
        <v>0</v>
      </c>
      <c r="C5987">
        <v>0</v>
      </c>
      <c r="D5987" s="201">
        <v>0</v>
      </c>
      <c r="E5987" s="201">
        <v>0</v>
      </c>
      <c r="F5987">
        <v>0</v>
      </c>
      <c r="G5987">
        <v>-261</v>
      </c>
      <c r="H5987">
        <v>230</v>
      </c>
      <c r="I5987">
        <v>-22</v>
      </c>
      <c r="J5987">
        <v>-282</v>
      </c>
      <c r="K5987" s="201">
        <v>85</v>
      </c>
    </row>
    <row r="5988" spans="1:11" x14ac:dyDescent="0.25">
      <c r="A5988"/>
      <c r="B5988" s="201">
        <v>846</v>
      </c>
      <c r="C5988">
        <v>0</v>
      </c>
      <c r="D5988" s="201">
        <v>0</v>
      </c>
      <c r="E5988" s="201">
        <v>0</v>
      </c>
      <c r="F5988">
        <v>0</v>
      </c>
      <c r="G5988">
        <v>2502</v>
      </c>
      <c r="H5988">
        <v>0</v>
      </c>
      <c r="I5988">
        <v>1370</v>
      </c>
      <c r="J5988">
        <v>0</v>
      </c>
      <c r="K5988" s="201">
        <v>0</v>
      </c>
    </row>
    <row r="5989" spans="1:11" x14ac:dyDescent="0.25">
      <c r="A5989"/>
      <c r="B5989" s="201">
        <v>675</v>
      </c>
      <c r="C5989">
        <v>1636</v>
      </c>
      <c r="D5989" s="201">
        <v>0</v>
      </c>
      <c r="E5989" s="201">
        <v>0</v>
      </c>
      <c r="F5989">
        <v>0</v>
      </c>
      <c r="G5989">
        <v>0</v>
      </c>
      <c r="H5989">
        <v>-3432</v>
      </c>
      <c r="I5989">
        <v>0</v>
      </c>
      <c r="J5989">
        <v>-804</v>
      </c>
      <c r="K5989" s="201">
        <v>-1432</v>
      </c>
    </row>
    <row r="5990" spans="1:11" x14ac:dyDescent="0.25">
      <c r="A5990"/>
      <c r="B5990" s="201">
        <v>-130</v>
      </c>
      <c r="C5990">
        <v>-459</v>
      </c>
      <c r="D5990" s="201">
        <v>-866</v>
      </c>
      <c r="E5990" s="201">
        <v>6037</v>
      </c>
      <c r="F5990">
        <v>-538</v>
      </c>
      <c r="G5990">
        <v>231</v>
      </c>
      <c r="H5990">
        <v>-293</v>
      </c>
      <c r="I5990">
        <v>-982</v>
      </c>
      <c r="J5990">
        <v>0</v>
      </c>
      <c r="K5990" s="201">
        <v>0</v>
      </c>
    </row>
    <row r="5991" spans="1:11" x14ac:dyDescent="0.25">
      <c r="A5991"/>
      <c r="B5991" s="201">
        <v>0</v>
      </c>
      <c r="C5991">
        <v>0</v>
      </c>
      <c r="D5991" s="201">
        <v>0</v>
      </c>
      <c r="E5991" s="201">
        <v>0</v>
      </c>
      <c r="F5991">
        <v>0</v>
      </c>
      <c r="G5991">
        <v>260</v>
      </c>
      <c r="H5991">
        <v>-1384</v>
      </c>
      <c r="I5991">
        <v>-7444</v>
      </c>
      <c r="J5991">
        <v>-773</v>
      </c>
      <c r="K5991" s="201">
        <v>-3450</v>
      </c>
    </row>
    <row r="5992" spans="1:11" x14ac:dyDescent="0.25">
      <c r="A5992"/>
      <c r="B5992" s="201">
        <v>636</v>
      </c>
      <c r="C5992">
        <v>0</v>
      </c>
      <c r="D5992" s="201">
        <v>0</v>
      </c>
      <c r="E5992" s="201">
        <v>-2822</v>
      </c>
      <c r="F5992">
        <v>0</v>
      </c>
      <c r="G5992">
        <v>323</v>
      </c>
      <c r="H5992">
        <v>-22390</v>
      </c>
      <c r="I5992">
        <v>0</v>
      </c>
      <c r="J5992">
        <v>0</v>
      </c>
      <c r="K5992" s="201">
        <v>0</v>
      </c>
    </row>
    <row r="5993" spans="1:11" x14ac:dyDescent="0.25">
      <c r="A5993"/>
      <c r="B5993" s="201">
        <v>0</v>
      </c>
      <c r="C5993">
        <v>-142</v>
      </c>
      <c r="D5993" s="201">
        <v>0</v>
      </c>
      <c r="E5993" s="201">
        <v>143</v>
      </c>
      <c r="F5993">
        <v>142</v>
      </c>
      <c r="G5993">
        <v>0</v>
      </c>
      <c r="H5993">
        <v>0</v>
      </c>
      <c r="I5993">
        <v>0</v>
      </c>
      <c r="J5993">
        <v>0</v>
      </c>
      <c r="K5993" s="201">
        <v>0</v>
      </c>
    </row>
    <row r="5994" spans="1:11" x14ac:dyDescent="0.25">
      <c r="A5994"/>
      <c r="B5994" s="201">
        <v>0</v>
      </c>
      <c r="C5994">
        <v>0</v>
      </c>
      <c r="D5994" s="201">
        <v>0</v>
      </c>
      <c r="E5994" s="201">
        <v>0</v>
      </c>
      <c r="F5994">
        <v>0</v>
      </c>
      <c r="G5994">
        <v>0</v>
      </c>
      <c r="H5994">
        <v>0</v>
      </c>
      <c r="I5994">
        <v>0</v>
      </c>
      <c r="J5994">
        <v>0</v>
      </c>
      <c r="K5994" s="201">
        <v>0</v>
      </c>
    </row>
    <row r="5995" spans="1:11" x14ac:dyDescent="0.25">
      <c r="B5995" s="201">
        <v>-195</v>
      </c>
      <c r="C5995">
        <v>0</v>
      </c>
      <c r="D5995" s="201">
        <v>0</v>
      </c>
      <c r="E5995" s="201">
        <v>0</v>
      </c>
      <c r="F5995">
        <v>0</v>
      </c>
      <c r="G5995">
        <v>0</v>
      </c>
      <c r="H5995">
        <v>-3</v>
      </c>
      <c r="I5995">
        <v>-274</v>
      </c>
      <c r="J5995">
        <v>-109</v>
      </c>
      <c r="K5995" s="201">
        <v>-5243</v>
      </c>
    </row>
    <row r="5996" spans="1:11" x14ac:dyDescent="0.25">
      <c r="A5996"/>
      <c r="B5996" s="201">
        <v>-1378</v>
      </c>
      <c r="C5996">
        <v>-2158</v>
      </c>
      <c r="D5996" s="201">
        <v>-2508</v>
      </c>
      <c r="E5996" s="201">
        <v>521</v>
      </c>
      <c r="F5996">
        <v>-335</v>
      </c>
      <c r="G5996">
        <v>-277</v>
      </c>
      <c r="H5996">
        <v>-359</v>
      </c>
      <c r="I5996">
        <v>-172</v>
      </c>
      <c r="J5996">
        <v>-3505</v>
      </c>
      <c r="K5996" s="201">
        <v>-1404</v>
      </c>
    </row>
    <row r="5997" spans="1:11" x14ac:dyDescent="0.25">
      <c r="B5997" s="201">
        <v>-1530</v>
      </c>
      <c r="C5997">
        <v>-2491</v>
      </c>
      <c r="D5997" s="201">
        <v>263</v>
      </c>
      <c r="E5997" s="201">
        <v>0</v>
      </c>
      <c r="F5997">
        <v>3434</v>
      </c>
      <c r="G5997">
        <v>-1737</v>
      </c>
      <c r="H5997">
        <v>-1518</v>
      </c>
      <c r="I5997">
        <v>-1372</v>
      </c>
      <c r="J5997">
        <v>-15260</v>
      </c>
      <c r="K5997" s="201">
        <v>-1821</v>
      </c>
    </row>
    <row r="5998" spans="1:11" x14ac:dyDescent="0.25">
      <c r="A5998"/>
      <c r="B5998" s="201">
        <v>-2622</v>
      </c>
      <c r="C5998">
        <v>-2813</v>
      </c>
      <c r="D5998" s="201">
        <v>694</v>
      </c>
      <c r="E5998" s="201">
        <v>-1396</v>
      </c>
      <c r="F5998">
        <v>-793</v>
      </c>
      <c r="G5998">
        <v>-721</v>
      </c>
      <c r="H5998">
        <v>-925</v>
      </c>
      <c r="I5998">
        <v>-1266</v>
      </c>
      <c r="J5998">
        <v>597</v>
      </c>
      <c r="K5998" s="201">
        <v>850</v>
      </c>
    </row>
    <row r="5999" spans="1:11" x14ac:dyDescent="0.25">
      <c r="A5999"/>
      <c r="B5999" s="201">
        <v>-121</v>
      </c>
      <c r="C5999">
        <v>-304</v>
      </c>
      <c r="D5999" s="201">
        <v>838</v>
      </c>
      <c r="E5999" s="201">
        <v>-1507</v>
      </c>
      <c r="F5999">
        <v>13412</v>
      </c>
      <c r="G5999">
        <v>28879</v>
      </c>
      <c r="H5999">
        <v>27824</v>
      </c>
      <c r="I5999">
        <v>20661</v>
      </c>
      <c r="J5999">
        <v>13589</v>
      </c>
      <c r="K5999" s="201">
        <v>18677</v>
      </c>
    </row>
    <row r="6000" spans="1:11" x14ac:dyDescent="0.25">
      <c r="B6000" s="201">
        <v>21169</v>
      </c>
      <c r="C6000">
        <v>20865</v>
      </c>
      <c r="D6000" s="201">
        <v>14224</v>
      </c>
      <c r="E6000" s="201">
        <v>9858</v>
      </c>
      <c r="F6000">
        <v>15112</v>
      </c>
      <c r="G6000">
        <v>-1783</v>
      </c>
      <c r="H6000">
        <v>22</v>
      </c>
      <c r="I6000">
        <v>-201</v>
      </c>
      <c r="J6000">
        <v>-355</v>
      </c>
      <c r="K6000" s="201">
        <v>-666</v>
      </c>
    </row>
    <row r="6001" spans="1:11" x14ac:dyDescent="0.25">
      <c r="A6001"/>
      <c r="B6001" s="201">
        <v>0</v>
      </c>
      <c r="C6001">
        <v>0</v>
      </c>
      <c r="D6001" s="201">
        <v>33</v>
      </c>
      <c r="E6001" s="201">
        <v>0</v>
      </c>
      <c r="F6001">
        <v>0</v>
      </c>
      <c r="G6001">
        <v>0</v>
      </c>
      <c r="H6001">
        <v>-387</v>
      </c>
      <c r="I6001">
        <v>-298</v>
      </c>
      <c r="J6001">
        <v>0</v>
      </c>
      <c r="K6001" s="201">
        <v>0</v>
      </c>
    </row>
    <row r="6002" spans="1:11" x14ac:dyDescent="0.25">
      <c r="A6002"/>
      <c r="B6002" s="201">
        <v>0</v>
      </c>
      <c r="C6002">
        <v>0</v>
      </c>
      <c r="D6002" s="201">
        <v>0</v>
      </c>
      <c r="E6002" s="201">
        <v>0</v>
      </c>
      <c r="F6002">
        <v>918</v>
      </c>
      <c r="G6002">
        <v>0</v>
      </c>
      <c r="H6002">
        <v>0</v>
      </c>
      <c r="I6002">
        <v>91</v>
      </c>
      <c r="J6002">
        <v>0</v>
      </c>
      <c r="K6002" s="201">
        <v>142</v>
      </c>
    </row>
    <row r="6003" spans="1:11" x14ac:dyDescent="0.25">
      <c r="A6003"/>
      <c r="B6003" s="201">
        <v>0</v>
      </c>
      <c r="C6003">
        <v>192</v>
      </c>
      <c r="D6003" s="201">
        <v>683</v>
      </c>
      <c r="E6003" s="201">
        <v>42</v>
      </c>
      <c r="F6003">
        <v>0</v>
      </c>
      <c r="G6003">
        <v>-248</v>
      </c>
      <c r="H6003">
        <v>-15</v>
      </c>
      <c r="I6003">
        <v>-153</v>
      </c>
      <c r="J6003">
        <v>-383</v>
      </c>
      <c r="K6003" s="201">
        <v>-624</v>
      </c>
    </row>
    <row r="6004" spans="1:11" x14ac:dyDescent="0.25">
      <c r="B6004" s="201">
        <v>-1079</v>
      </c>
      <c r="C6004">
        <v>0</v>
      </c>
      <c r="D6004" s="201">
        <v>128</v>
      </c>
      <c r="E6004" s="201">
        <v>0</v>
      </c>
      <c r="F6004">
        <v>0</v>
      </c>
      <c r="G6004">
        <v>0</v>
      </c>
      <c r="H6004">
        <v>0</v>
      </c>
      <c r="I6004">
        <v>0</v>
      </c>
      <c r="J6004">
        <v>185</v>
      </c>
      <c r="K6004" s="201">
        <v>0</v>
      </c>
    </row>
    <row r="6005" spans="1:11" x14ac:dyDescent="0.25">
      <c r="A6005"/>
      <c r="B6005" s="201">
        <v>0</v>
      </c>
      <c r="C6005">
        <v>0</v>
      </c>
      <c r="D6005" s="201">
        <v>-341</v>
      </c>
      <c r="E6005" s="201">
        <v>0</v>
      </c>
      <c r="F6005">
        <v>-29</v>
      </c>
      <c r="G6005">
        <v>0</v>
      </c>
      <c r="H6005">
        <v>0</v>
      </c>
      <c r="I6005">
        <v>0</v>
      </c>
      <c r="J6005">
        <v>0</v>
      </c>
      <c r="K6005" s="201">
        <v>0</v>
      </c>
    </row>
    <row r="6006" spans="1:11" x14ac:dyDescent="0.25">
      <c r="A6006"/>
      <c r="B6006" s="201">
        <v>539</v>
      </c>
      <c r="C6006">
        <v>0</v>
      </c>
      <c r="D6006" s="201">
        <v>122</v>
      </c>
      <c r="E6006" s="201">
        <v>643</v>
      </c>
      <c r="F6006">
        <v>0</v>
      </c>
      <c r="G6006">
        <v>0</v>
      </c>
      <c r="H6006">
        <v>-17311</v>
      </c>
      <c r="I6006">
        <v>1784</v>
      </c>
      <c r="J6006">
        <v>0</v>
      </c>
      <c r="K6006" s="201">
        <v>-3157</v>
      </c>
    </row>
    <row r="6007" spans="1:11" x14ac:dyDescent="0.25">
      <c r="A6007"/>
      <c r="B6007" s="201">
        <v>0</v>
      </c>
      <c r="C6007">
        <v>0</v>
      </c>
      <c r="D6007" s="201">
        <v>0</v>
      </c>
      <c r="E6007" s="201">
        <v>0</v>
      </c>
      <c r="F6007">
        <v>2352</v>
      </c>
      <c r="G6007">
        <v>670</v>
      </c>
      <c r="H6007">
        <v>14</v>
      </c>
      <c r="I6007">
        <v>0</v>
      </c>
      <c r="J6007">
        <v>0</v>
      </c>
      <c r="K6007" s="201">
        <v>-1115</v>
      </c>
    </row>
    <row r="6008" spans="1:11" x14ac:dyDescent="0.25">
      <c r="A6008"/>
      <c r="B6008" s="201">
        <v>643</v>
      </c>
      <c r="C6008">
        <v>0</v>
      </c>
      <c r="D6008" s="201">
        <v>2114</v>
      </c>
      <c r="E6008" s="201">
        <v>684</v>
      </c>
      <c r="F6008">
        <v>450</v>
      </c>
      <c r="G6008">
        <v>18</v>
      </c>
      <c r="H6008">
        <v>-364</v>
      </c>
      <c r="I6008">
        <v>287</v>
      </c>
      <c r="J6008">
        <v>-973</v>
      </c>
      <c r="K6008" s="201">
        <v>0</v>
      </c>
    </row>
    <row r="6009" spans="1:11" x14ac:dyDescent="0.25">
      <c r="A6009"/>
      <c r="B6009" s="201">
        <v>0</v>
      </c>
      <c r="C6009">
        <v>0</v>
      </c>
      <c r="D6009" s="201">
        <v>0</v>
      </c>
      <c r="E6009" s="201">
        <v>0</v>
      </c>
      <c r="F6009">
        <v>-240</v>
      </c>
      <c r="G6009">
        <v>0</v>
      </c>
      <c r="H6009">
        <v>-1203</v>
      </c>
      <c r="I6009">
        <v>4195</v>
      </c>
      <c r="J6009">
        <v>1275</v>
      </c>
      <c r="K6009" s="201">
        <v>0</v>
      </c>
    </row>
    <row r="6010" spans="1:11" x14ac:dyDescent="0.25">
      <c r="A6010"/>
      <c r="B6010" s="201">
        <v>-9608</v>
      </c>
      <c r="C6010">
        <v>1549</v>
      </c>
      <c r="D6010" s="201">
        <v>377</v>
      </c>
      <c r="E6010" s="201">
        <v>-2266</v>
      </c>
      <c r="F6010">
        <v>341</v>
      </c>
      <c r="G6010">
        <v>0</v>
      </c>
      <c r="H6010">
        <v>-21</v>
      </c>
      <c r="I6010">
        <v>283</v>
      </c>
      <c r="J6010">
        <v>562</v>
      </c>
      <c r="K6010" s="201">
        <v>11</v>
      </c>
    </row>
    <row r="6011" spans="1:11" x14ac:dyDescent="0.25">
      <c r="A6011"/>
      <c r="B6011" s="201">
        <v>0</v>
      </c>
      <c r="C6011">
        <v>-63</v>
      </c>
      <c r="D6011" s="201">
        <v>386</v>
      </c>
      <c r="E6011" s="201">
        <v>0</v>
      </c>
      <c r="F6011">
        <v>0</v>
      </c>
      <c r="G6011">
        <v>0</v>
      </c>
      <c r="H6011">
        <v>124</v>
      </c>
      <c r="I6011">
        <v>2562</v>
      </c>
      <c r="J6011">
        <v>0</v>
      </c>
      <c r="K6011" s="201">
        <v>1332</v>
      </c>
    </row>
    <row r="6012" spans="1:11" x14ac:dyDescent="0.25">
      <c r="A6012"/>
      <c r="B6012" s="201">
        <v>-28</v>
      </c>
      <c r="C6012">
        <v>-44</v>
      </c>
      <c r="D6012" s="201">
        <v>-320</v>
      </c>
      <c r="E6012" s="201">
        <v>0</v>
      </c>
      <c r="F6012">
        <v>0</v>
      </c>
      <c r="G6012">
        <v>0</v>
      </c>
      <c r="H6012">
        <v>0</v>
      </c>
      <c r="I6012">
        <v>0</v>
      </c>
      <c r="J6012">
        <v>-3820</v>
      </c>
      <c r="K6012" s="201">
        <v>0</v>
      </c>
    </row>
    <row r="6013" spans="1:11" x14ac:dyDescent="0.25">
      <c r="B6013" s="201">
        <v>-1419</v>
      </c>
      <c r="C6013">
        <v>-50</v>
      </c>
      <c r="D6013" s="201">
        <v>-202</v>
      </c>
      <c r="E6013" s="201">
        <v>0</v>
      </c>
      <c r="F6013">
        <v>-11789</v>
      </c>
      <c r="G6013">
        <v>1126</v>
      </c>
      <c r="H6013">
        <v>-1244</v>
      </c>
      <c r="I6013">
        <v>3092</v>
      </c>
      <c r="J6013">
        <v>77</v>
      </c>
      <c r="K6013" s="201">
        <v>-205</v>
      </c>
    </row>
    <row r="6014" spans="1:11" x14ac:dyDescent="0.25">
      <c r="A6014"/>
      <c r="B6014" s="201">
        <v>312</v>
      </c>
      <c r="C6014">
        <v>-564</v>
      </c>
      <c r="D6014" s="201">
        <v>0</v>
      </c>
      <c r="E6014" s="201">
        <v>666</v>
      </c>
      <c r="F6014">
        <v>0</v>
      </c>
      <c r="G6014">
        <v>0</v>
      </c>
      <c r="H6014">
        <v>1079</v>
      </c>
      <c r="I6014">
        <v>288</v>
      </c>
      <c r="J6014">
        <v>0</v>
      </c>
      <c r="K6014" s="201">
        <v>2284</v>
      </c>
    </row>
    <row r="6015" spans="1:11" x14ac:dyDescent="0.25">
      <c r="A6015"/>
      <c r="B6015" s="201">
        <v>0</v>
      </c>
      <c r="C6015">
        <v>0</v>
      </c>
      <c r="D6015" s="201">
        <v>-40</v>
      </c>
      <c r="E6015" s="201">
        <v>0</v>
      </c>
      <c r="F6015">
        <v>684</v>
      </c>
      <c r="G6015">
        <v>116</v>
      </c>
      <c r="H6015">
        <v>2533</v>
      </c>
      <c r="I6015">
        <v>0</v>
      </c>
      <c r="J6015">
        <v>0</v>
      </c>
      <c r="K6015" s="201">
        <v>0</v>
      </c>
    </row>
    <row r="6016" spans="1:11" x14ac:dyDescent="0.25">
      <c r="A6016"/>
      <c r="B6016" s="201">
        <v>0</v>
      </c>
      <c r="C6016">
        <v>0</v>
      </c>
      <c r="D6016" s="201">
        <v>-4079</v>
      </c>
      <c r="E6016" s="201">
        <v>0</v>
      </c>
      <c r="F6016">
        <v>-1753</v>
      </c>
      <c r="G6016">
        <v>1693</v>
      </c>
      <c r="H6016">
        <v>857</v>
      </c>
      <c r="I6016">
        <v>0</v>
      </c>
      <c r="J6016">
        <v>-14360</v>
      </c>
      <c r="K6016" s="201">
        <v>300</v>
      </c>
    </row>
    <row r="6017" spans="1:11" x14ac:dyDescent="0.25">
      <c r="A6017"/>
      <c r="B6017" s="201">
        <v>1012</v>
      </c>
      <c r="C6017">
        <v>0</v>
      </c>
      <c r="D6017" s="201">
        <v>0</v>
      </c>
      <c r="E6017" s="201">
        <v>0</v>
      </c>
      <c r="F6017">
        <v>748</v>
      </c>
      <c r="G6017">
        <v>1545</v>
      </c>
      <c r="H6017">
        <v>1284</v>
      </c>
      <c r="I6017">
        <v>-806</v>
      </c>
      <c r="J6017">
        <v>-642</v>
      </c>
      <c r="K6017" s="201">
        <v>0</v>
      </c>
    </row>
    <row r="6018" spans="1:11" x14ac:dyDescent="0.25">
      <c r="A6018"/>
      <c r="B6018" s="201">
        <v>260</v>
      </c>
      <c r="C6018">
        <v>0</v>
      </c>
      <c r="D6018" s="201">
        <v>0</v>
      </c>
      <c r="E6018" s="201">
        <v>-429</v>
      </c>
      <c r="F6018">
        <v>0</v>
      </c>
      <c r="G6018">
        <v>1862</v>
      </c>
      <c r="H6018">
        <v>0</v>
      </c>
      <c r="I6018">
        <v>905</v>
      </c>
      <c r="J6018">
        <v>0</v>
      </c>
      <c r="K6018" s="201">
        <v>0</v>
      </c>
    </row>
    <row r="6019" spans="1:11" x14ac:dyDescent="0.25">
      <c r="A6019"/>
      <c r="B6019" s="201">
        <v>0</v>
      </c>
      <c r="C6019">
        <v>0</v>
      </c>
      <c r="D6019" s="201">
        <v>0</v>
      </c>
      <c r="E6019" s="201">
        <v>0</v>
      </c>
      <c r="F6019">
        <v>0</v>
      </c>
      <c r="G6019">
        <v>0</v>
      </c>
      <c r="H6019">
        <v>-1121</v>
      </c>
      <c r="I6019">
        <v>0</v>
      </c>
      <c r="J6019">
        <v>-355</v>
      </c>
      <c r="K6019" s="201">
        <v>-1836</v>
      </c>
    </row>
    <row r="6020" spans="1:11" x14ac:dyDescent="0.25">
      <c r="A6020"/>
      <c r="B6020" s="201">
        <v>-416</v>
      </c>
      <c r="C6020">
        <v>0</v>
      </c>
      <c r="D6020" s="201">
        <v>-11819</v>
      </c>
      <c r="E6020" s="201">
        <v>311</v>
      </c>
      <c r="F6020">
        <v>0</v>
      </c>
      <c r="G6020">
        <v>0</v>
      </c>
      <c r="H6020">
        <v>0</v>
      </c>
      <c r="I6020">
        <v>0</v>
      </c>
      <c r="J6020">
        <v>0</v>
      </c>
      <c r="K6020" s="201">
        <v>-60</v>
      </c>
    </row>
    <row r="6021" spans="1:11" x14ac:dyDescent="0.25">
      <c r="A6021"/>
      <c r="B6021" s="201">
        <v>391</v>
      </c>
      <c r="C6021">
        <v>-73</v>
      </c>
      <c r="D6021" s="201">
        <v>-295</v>
      </c>
      <c r="E6021" s="201">
        <v>57</v>
      </c>
      <c r="F6021">
        <v>624</v>
      </c>
      <c r="G6021">
        <v>0</v>
      </c>
      <c r="H6021">
        <v>0</v>
      </c>
      <c r="I6021">
        <v>0</v>
      </c>
      <c r="J6021">
        <v>0</v>
      </c>
      <c r="K6021" s="201">
        <v>3482</v>
      </c>
    </row>
    <row r="6022" spans="1:11" x14ac:dyDescent="0.25">
      <c r="A6022"/>
      <c r="B6022" s="201">
        <v>0</v>
      </c>
      <c r="C6022">
        <v>1757</v>
      </c>
      <c r="D6022" s="201">
        <v>0</v>
      </c>
      <c r="E6022" s="201">
        <v>0</v>
      </c>
      <c r="F6022">
        <v>622</v>
      </c>
      <c r="G6022">
        <v>1544</v>
      </c>
      <c r="H6022">
        <v>0</v>
      </c>
      <c r="I6022">
        <v>0</v>
      </c>
      <c r="J6022">
        <v>0</v>
      </c>
      <c r="K6022" s="201">
        <v>0</v>
      </c>
    </row>
    <row r="6023" spans="1:11" x14ac:dyDescent="0.25">
      <c r="B6023" s="201">
        <v>-2981</v>
      </c>
      <c r="C6023">
        <v>0</v>
      </c>
      <c r="D6023" s="201">
        <v>-765</v>
      </c>
      <c r="E6023" s="201">
        <v>-1286</v>
      </c>
      <c r="F6023">
        <v>-119</v>
      </c>
      <c r="G6023">
        <v>-283</v>
      </c>
      <c r="H6023">
        <v>-54</v>
      </c>
      <c r="I6023">
        <v>6931</v>
      </c>
      <c r="J6023">
        <v>-365</v>
      </c>
      <c r="K6023" s="201">
        <v>454</v>
      </c>
    </row>
    <row r="6024" spans="1:11" x14ac:dyDescent="0.25">
      <c r="A6024"/>
      <c r="B6024" s="201">
        <v>-159</v>
      </c>
      <c r="C6024">
        <v>-397</v>
      </c>
      <c r="D6024" s="201">
        <v>0</v>
      </c>
      <c r="E6024" s="201">
        <v>0</v>
      </c>
      <c r="F6024">
        <v>0</v>
      </c>
      <c r="G6024">
        <v>0</v>
      </c>
      <c r="H6024">
        <v>0</v>
      </c>
      <c r="I6024">
        <v>0</v>
      </c>
      <c r="J6024">
        <v>0</v>
      </c>
      <c r="K6024" s="201">
        <v>-799</v>
      </c>
    </row>
    <row r="6025" spans="1:11" x14ac:dyDescent="0.25">
      <c r="A6025"/>
      <c r="B6025" s="201">
        <v>-2658</v>
      </c>
      <c r="C6025">
        <v>-9973</v>
      </c>
      <c r="D6025" s="201">
        <v>-389</v>
      </c>
      <c r="E6025" s="201">
        <v>-4879</v>
      </c>
      <c r="F6025">
        <v>395</v>
      </c>
      <c r="G6025">
        <v>0</v>
      </c>
      <c r="H6025">
        <v>0</v>
      </c>
      <c r="I6025">
        <v>-2580</v>
      </c>
      <c r="J6025">
        <v>0</v>
      </c>
      <c r="K6025" s="201">
        <v>318</v>
      </c>
    </row>
    <row r="6026" spans="1:11" x14ac:dyDescent="0.25">
      <c r="B6026" s="201">
        <v>-20913</v>
      </c>
      <c r="C6026">
        <v>0</v>
      </c>
      <c r="D6026" s="201">
        <v>0</v>
      </c>
      <c r="E6026" s="201">
        <v>0</v>
      </c>
      <c r="F6026">
        <v>0</v>
      </c>
      <c r="G6026">
        <v>-55</v>
      </c>
      <c r="H6026">
        <v>0</v>
      </c>
      <c r="I6026">
        <v>238</v>
      </c>
      <c r="J6026">
        <v>171</v>
      </c>
      <c r="K6026" s="201">
        <v>0</v>
      </c>
    </row>
    <row r="6027" spans="1:11" x14ac:dyDescent="0.25">
      <c r="A6027"/>
      <c r="B6027" s="201">
        <v>0</v>
      </c>
      <c r="C6027">
        <v>0</v>
      </c>
      <c r="D6027" s="201">
        <v>0</v>
      </c>
      <c r="E6027" s="201">
        <v>0</v>
      </c>
      <c r="F6027">
        <v>0</v>
      </c>
      <c r="G6027">
        <v>0</v>
      </c>
      <c r="H6027">
        <v>0</v>
      </c>
      <c r="I6027">
        <v>0</v>
      </c>
      <c r="J6027">
        <v>0</v>
      </c>
      <c r="K6027" s="201">
        <v>0</v>
      </c>
    </row>
    <row r="6028" spans="1:11" x14ac:dyDescent="0.25">
      <c r="A6028"/>
      <c r="B6028" s="201">
        <v>0</v>
      </c>
      <c r="C6028">
        <v>0</v>
      </c>
      <c r="D6028" s="201">
        <v>0</v>
      </c>
      <c r="E6028" s="201">
        <v>0</v>
      </c>
      <c r="F6028">
        <v>-72</v>
      </c>
      <c r="G6028">
        <v>0</v>
      </c>
      <c r="H6028">
        <v>0</v>
      </c>
      <c r="I6028">
        <v>0</v>
      </c>
      <c r="J6028">
        <v>0</v>
      </c>
      <c r="K6028" s="201">
        <v>0</v>
      </c>
    </row>
    <row r="6029" spans="1:11" x14ac:dyDescent="0.25">
      <c r="A6029"/>
      <c r="B6029" s="201">
        <v>-168</v>
      </c>
      <c r="C6029">
        <v>-289</v>
      </c>
      <c r="D6029" s="201">
        <v>-111</v>
      </c>
      <c r="E6029" s="201">
        <v>-4551</v>
      </c>
      <c r="F6029">
        <v>-2991</v>
      </c>
      <c r="G6029">
        <v>-1459</v>
      </c>
      <c r="H6029">
        <v>-1185</v>
      </c>
      <c r="I6029">
        <v>510</v>
      </c>
      <c r="J6029">
        <v>-301</v>
      </c>
      <c r="K6029" s="201">
        <v>-121</v>
      </c>
    </row>
    <row r="6030" spans="1:11" x14ac:dyDescent="0.25">
      <c r="B6030" s="201">
        <v>-341</v>
      </c>
      <c r="C6030">
        <v>-203</v>
      </c>
      <c r="D6030" s="201">
        <v>-3289</v>
      </c>
      <c r="E6030" s="201">
        <v>-2265</v>
      </c>
      <c r="F6030">
        <v>-1009</v>
      </c>
      <c r="G6030">
        <v>-1487</v>
      </c>
      <c r="H6030">
        <v>62</v>
      </c>
      <c r="I6030">
        <v>0</v>
      </c>
      <c r="J6030">
        <v>1362</v>
      </c>
      <c r="K6030" s="201">
        <v>-2666</v>
      </c>
    </row>
    <row r="6031" spans="1:11" x14ac:dyDescent="0.25">
      <c r="B6031" s="201">
        <v>-4320</v>
      </c>
      <c r="C6031">
        <v>2757</v>
      </c>
      <c r="D6031" s="201">
        <v>996</v>
      </c>
      <c r="E6031" s="201">
        <v>-786</v>
      </c>
      <c r="F6031">
        <v>-887</v>
      </c>
      <c r="G6031">
        <v>-507</v>
      </c>
      <c r="H6031">
        <v>-15363</v>
      </c>
      <c r="I6031">
        <v>-3401</v>
      </c>
      <c r="J6031">
        <v>-565</v>
      </c>
      <c r="K6031" s="201">
        <v>-1283</v>
      </c>
    </row>
    <row r="6032" spans="1:11" x14ac:dyDescent="0.25">
      <c r="A6032"/>
      <c r="B6032" s="201">
        <v>-1766</v>
      </c>
      <c r="C6032">
        <v>-1190</v>
      </c>
      <c r="D6032" s="201">
        <v>-172</v>
      </c>
      <c r="E6032" s="201">
        <v>933</v>
      </c>
      <c r="F6032">
        <v>362</v>
      </c>
      <c r="G6032">
        <v>-184</v>
      </c>
      <c r="H6032">
        <v>488</v>
      </c>
      <c r="I6032">
        <v>-1025</v>
      </c>
      <c r="J6032">
        <v>12745</v>
      </c>
      <c r="K6032" s="201">
        <v>27657</v>
      </c>
    </row>
    <row r="6033" spans="1:11" x14ac:dyDescent="0.25">
      <c r="A6033"/>
      <c r="B6033" s="201">
        <v>19322</v>
      </c>
      <c r="C6033">
        <v>27353</v>
      </c>
      <c r="D6033" s="201">
        <v>13694</v>
      </c>
      <c r="E6033" s="201">
        <v>17865</v>
      </c>
      <c r="F6033">
        <v>20108</v>
      </c>
      <c r="G6033">
        <v>14135</v>
      </c>
      <c r="H6033">
        <v>18973</v>
      </c>
      <c r="I6033">
        <v>9665</v>
      </c>
      <c r="J6033">
        <v>14153</v>
      </c>
      <c r="K6033" s="201">
        <v>49338</v>
      </c>
    </row>
    <row r="6034" spans="1:11" x14ac:dyDescent="0.25">
      <c r="B6034" s="201">
        <v>-1052</v>
      </c>
      <c r="C6034">
        <v>5</v>
      </c>
      <c r="D6034" s="201">
        <v>-273</v>
      </c>
      <c r="E6034" s="201">
        <v>-245</v>
      </c>
      <c r="F6034">
        <v>-351</v>
      </c>
      <c r="G6034">
        <v>0</v>
      </c>
      <c r="H6034">
        <v>0</v>
      </c>
      <c r="I6034">
        <v>28</v>
      </c>
      <c r="J6034">
        <v>0</v>
      </c>
      <c r="K6034" s="201">
        <v>0</v>
      </c>
    </row>
    <row r="6035" spans="1:11" x14ac:dyDescent="0.25">
      <c r="A6035"/>
      <c r="B6035" s="201">
        <v>0</v>
      </c>
      <c r="C6035">
        <v>-120</v>
      </c>
      <c r="D6035" s="201">
        <v>-333</v>
      </c>
      <c r="E6035" s="201">
        <v>0</v>
      </c>
      <c r="F6035">
        <v>0</v>
      </c>
      <c r="G6035">
        <v>0</v>
      </c>
      <c r="H6035">
        <v>0</v>
      </c>
      <c r="I6035">
        <v>0</v>
      </c>
      <c r="J6035">
        <v>0</v>
      </c>
      <c r="K6035" s="201">
        <v>641</v>
      </c>
    </row>
    <row r="6036" spans="1:11" x14ac:dyDescent="0.25">
      <c r="A6036"/>
      <c r="B6036" s="201">
        <v>0</v>
      </c>
      <c r="C6036">
        <v>0</v>
      </c>
      <c r="D6036" s="201">
        <v>54</v>
      </c>
      <c r="E6036" s="201">
        <v>0</v>
      </c>
      <c r="F6036">
        <v>95</v>
      </c>
      <c r="G6036">
        <v>0</v>
      </c>
      <c r="H6036">
        <v>112</v>
      </c>
      <c r="I6036">
        <v>279</v>
      </c>
      <c r="J6036">
        <v>-16</v>
      </c>
      <c r="K6036" s="201">
        <v>0</v>
      </c>
    </row>
    <row r="6037" spans="1:11" x14ac:dyDescent="0.25">
      <c r="B6037" s="201">
        <v>-234</v>
      </c>
      <c r="C6037">
        <v>-12</v>
      </c>
      <c r="D6037" s="201">
        <v>-66</v>
      </c>
      <c r="E6037" s="201">
        <v>-191</v>
      </c>
      <c r="F6037">
        <v>-409</v>
      </c>
      <c r="G6037">
        <v>-663</v>
      </c>
      <c r="H6037">
        <v>0</v>
      </c>
      <c r="I6037">
        <v>117</v>
      </c>
      <c r="J6037">
        <v>0</v>
      </c>
      <c r="K6037" s="201">
        <v>0</v>
      </c>
    </row>
    <row r="6038" spans="1:11" x14ac:dyDescent="0.25">
      <c r="A6038"/>
      <c r="B6038" s="201">
        <v>0</v>
      </c>
      <c r="C6038">
        <v>0</v>
      </c>
      <c r="D6038" s="201">
        <v>0</v>
      </c>
      <c r="E6038" s="201">
        <v>57</v>
      </c>
      <c r="F6038">
        <v>0</v>
      </c>
      <c r="G6038">
        <v>0</v>
      </c>
      <c r="H6038">
        <v>0</v>
      </c>
      <c r="I6038">
        <v>-177</v>
      </c>
      <c r="J6038">
        <v>0</v>
      </c>
      <c r="K6038" s="201">
        <v>12</v>
      </c>
    </row>
    <row r="6039" spans="1:11" x14ac:dyDescent="0.25">
      <c r="A6039"/>
      <c r="B6039" s="76">
        <v>0</v>
      </c>
      <c r="C6039">
        <v>0</v>
      </c>
      <c r="D6039" s="201">
        <v>0</v>
      </c>
      <c r="E6039" s="201">
        <v>0</v>
      </c>
      <c r="F6039">
        <v>0</v>
      </c>
      <c r="G6039">
        <v>395</v>
      </c>
      <c r="H6039">
        <v>0</v>
      </c>
      <c r="I6039">
        <v>59</v>
      </c>
      <c r="J6039">
        <v>413</v>
      </c>
      <c r="K6039" s="201">
        <v>0</v>
      </c>
    </row>
    <row r="6040" spans="1:11" x14ac:dyDescent="0.25">
      <c r="A6040"/>
      <c r="B6040" s="201">
        <v>0</v>
      </c>
      <c r="C6040">
        <v>-12377</v>
      </c>
      <c r="D6040" s="201">
        <v>1047</v>
      </c>
      <c r="E6040" s="201">
        <v>0</v>
      </c>
      <c r="F6040">
        <v>-2844</v>
      </c>
      <c r="G6040">
        <v>0</v>
      </c>
      <c r="H6040">
        <v>0</v>
      </c>
      <c r="I6040">
        <v>0</v>
      </c>
      <c r="J6040">
        <v>0</v>
      </c>
      <c r="K6040" s="201">
        <v>1637</v>
      </c>
    </row>
    <row r="6041" spans="1:11" x14ac:dyDescent="0.25">
      <c r="A6041"/>
      <c r="B6041" s="201">
        <v>687</v>
      </c>
      <c r="C6041">
        <v>511</v>
      </c>
      <c r="D6041" s="201">
        <v>0</v>
      </c>
      <c r="E6041" s="201">
        <v>0</v>
      </c>
      <c r="F6041">
        <v>-320</v>
      </c>
      <c r="G6041">
        <v>-6</v>
      </c>
      <c r="H6041">
        <v>0</v>
      </c>
      <c r="I6041">
        <v>1338</v>
      </c>
      <c r="J6041">
        <v>2254</v>
      </c>
      <c r="K6041" s="201">
        <v>141</v>
      </c>
    </row>
    <row r="6042" spans="1:11" x14ac:dyDescent="0.25">
      <c r="A6042"/>
      <c r="B6042" s="201">
        <v>1004</v>
      </c>
      <c r="C6042">
        <v>-548</v>
      </c>
      <c r="D6042" s="201">
        <v>-170</v>
      </c>
      <c r="E6042" s="201">
        <v>-379</v>
      </c>
      <c r="F6042">
        <v>0</v>
      </c>
      <c r="G6042">
        <v>0</v>
      </c>
      <c r="H6042">
        <v>0</v>
      </c>
      <c r="I6042">
        <v>0</v>
      </c>
      <c r="J6042">
        <v>0</v>
      </c>
      <c r="K6042" s="201">
        <v>-216</v>
      </c>
    </row>
    <row r="6043" spans="1:11" x14ac:dyDescent="0.25">
      <c r="A6043"/>
      <c r="B6043" s="201">
        <v>0</v>
      </c>
      <c r="C6043">
        <v>-623</v>
      </c>
      <c r="D6043" s="201">
        <v>3172</v>
      </c>
      <c r="E6043" s="201">
        <v>659</v>
      </c>
      <c r="F6043">
        <v>0</v>
      </c>
      <c r="G6043">
        <v>-7074</v>
      </c>
      <c r="H6043">
        <v>1089</v>
      </c>
      <c r="I6043">
        <v>109</v>
      </c>
      <c r="J6043">
        <v>-1228</v>
      </c>
      <c r="K6043" s="201">
        <v>-144</v>
      </c>
    </row>
    <row r="6044" spans="1:11" x14ac:dyDescent="0.25">
      <c r="A6044"/>
      <c r="B6044" s="201">
        <v>0</v>
      </c>
      <c r="C6044">
        <v>84</v>
      </c>
      <c r="D6044" s="201">
        <v>298</v>
      </c>
      <c r="E6044" s="201">
        <v>588</v>
      </c>
      <c r="F6044">
        <v>19</v>
      </c>
      <c r="G6044">
        <v>0</v>
      </c>
      <c r="H6044">
        <v>-21</v>
      </c>
      <c r="I6044">
        <v>289</v>
      </c>
      <c r="J6044">
        <v>0</v>
      </c>
      <c r="K6044" s="201">
        <v>0</v>
      </c>
    </row>
    <row r="6045" spans="1:11" x14ac:dyDescent="0.25">
      <c r="A6045"/>
      <c r="B6045" s="201">
        <v>0</v>
      </c>
      <c r="C6045">
        <v>61</v>
      </c>
      <c r="D6045" s="201">
        <v>1258</v>
      </c>
      <c r="E6045" s="201">
        <v>0</v>
      </c>
      <c r="F6045">
        <v>853</v>
      </c>
      <c r="G6045">
        <v>137</v>
      </c>
      <c r="H6045">
        <v>30</v>
      </c>
      <c r="I6045">
        <v>90</v>
      </c>
      <c r="J6045">
        <v>0</v>
      </c>
      <c r="K6045" s="201">
        <v>0</v>
      </c>
    </row>
    <row r="6046" spans="1:11" x14ac:dyDescent="0.25">
      <c r="A6046"/>
      <c r="B6046" s="201">
        <v>0</v>
      </c>
      <c r="C6046">
        <v>0</v>
      </c>
      <c r="D6046" s="201">
        <v>0</v>
      </c>
      <c r="E6046" s="201">
        <v>-2657</v>
      </c>
      <c r="F6046">
        <v>0</v>
      </c>
      <c r="G6046">
        <v>-1063</v>
      </c>
      <c r="H6046">
        <v>19</v>
      </c>
      <c r="I6046">
        <v>-78</v>
      </c>
      <c r="J6046">
        <v>0</v>
      </c>
      <c r="K6046" s="201">
        <v>-6819</v>
      </c>
    </row>
    <row r="6047" spans="1:11" x14ac:dyDescent="0.25">
      <c r="A6047"/>
      <c r="B6047" s="201">
        <v>907</v>
      </c>
      <c r="C6047">
        <v>160</v>
      </c>
      <c r="D6047" s="201">
        <v>-1232</v>
      </c>
      <c r="E6047" s="201">
        <v>90</v>
      </c>
      <c r="F6047">
        <v>131</v>
      </c>
      <c r="G6047">
        <v>6</v>
      </c>
      <c r="H6047">
        <v>-622</v>
      </c>
      <c r="I6047">
        <v>0</v>
      </c>
      <c r="J6047">
        <v>-33</v>
      </c>
      <c r="K6047" s="201">
        <v>0</v>
      </c>
    </row>
    <row r="6048" spans="1:11" x14ac:dyDescent="0.25">
      <c r="A6048"/>
      <c r="B6048" s="201">
        <v>0</v>
      </c>
      <c r="C6048">
        <v>377</v>
      </c>
      <c r="D6048" s="201">
        <v>-50</v>
      </c>
      <c r="E6048" s="201">
        <v>0</v>
      </c>
      <c r="F6048">
        <v>-410</v>
      </c>
      <c r="G6048">
        <v>0</v>
      </c>
      <c r="H6048">
        <v>0</v>
      </c>
      <c r="I6048">
        <v>86</v>
      </c>
      <c r="J6048">
        <v>0</v>
      </c>
      <c r="K6048" s="201">
        <v>-4</v>
      </c>
    </row>
    <row r="6049" spans="1:11" x14ac:dyDescent="0.25">
      <c r="A6049"/>
      <c r="B6049" s="76">
        <v>7</v>
      </c>
      <c r="C6049">
        <v>-60</v>
      </c>
      <c r="D6049" s="201">
        <v>0</v>
      </c>
      <c r="E6049" s="201">
        <v>0</v>
      </c>
      <c r="F6049">
        <v>0</v>
      </c>
      <c r="G6049">
        <v>0</v>
      </c>
      <c r="H6049">
        <v>0</v>
      </c>
      <c r="I6049">
        <v>-2633</v>
      </c>
      <c r="J6049">
        <v>0</v>
      </c>
      <c r="K6049" s="201">
        <v>-941</v>
      </c>
    </row>
    <row r="6050" spans="1:11" x14ac:dyDescent="0.25">
      <c r="A6050"/>
      <c r="B6050" s="201">
        <v>125</v>
      </c>
      <c r="C6050">
        <v>-72</v>
      </c>
      <c r="D6050" s="201">
        <v>0</v>
      </c>
      <c r="E6050" s="201">
        <v>-15067</v>
      </c>
      <c r="F6050">
        <v>403</v>
      </c>
      <c r="G6050">
        <v>-1647</v>
      </c>
      <c r="H6050">
        <v>0</v>
      </c>
      <c r="I6050">
        <v>0</v>
      </c>
      <c r="J6050">
        <v>0</v>
      </c>
      <c r="K6050" s="201">
        <v>-626</v>
      </c>
    </row>
    <row r="6051" spans="1:11" x14ac:dyDescent="0.25">
      <c r="B6051" s="201">
        <v>-495</v>
      </c>
      <c r="C6051">
        <v>-1048</v>
      </c>
      <c r="D6051" s="201">
        <v>451</v>
      </c>
      <c r="E6051" s="201">
        <v>195</v>
      </c>
      <c r="F6051">
        <v>0</v>
      </c>
      <c r="G6051">
        <v>979</v>
      </c>
      <c r="H6051">
        <v>0</v>
      </c>
      <c r="I6051">
        <v>0</v>
      </c>
      <c r="J6051">
        <v>661</v>
      </c>
      <c r="K6051" s="201">
        <v>0</v>
      </c>
    </row>
    <row r="6052" spans="1:11" x14ac:dyDescent="0.25">
      <c r="B6052" s="201">
        <v>-8137</v>
      </c>
      <c r="C6052" s="201">
        <v>0</v>
      </c>
      <c r="D6052" s="201">
        <v>-4020</v>
      </c>
      <c r="E6052" s="201">
        <v>0</v>
      </c>
      <c r="F6052">
        <v>0</v>
      </c>
      <c r="G6052">
        <v>0</v>
      </c>
      <c r="H6052">
        <v>0</v>
      </c>
      <c r="I6052">
        <v>0</v>
      </c>
      <c r="J6052">
        <v>0</v>
      </c>
      <c r="K6052" s="201">
        <v>0</v>
      </c>
    </row>
    <row r="6053" spans="1:11" x14ac:dyDescent="0.25">
      <c r="A6053"/>
      <c r="B6053" s="201">
        <v>0</v>
      </c>
      <c r="C6053">
        <v>-1282</v>
      </c>
      <c r="D6053" s="201">
        <v>0</v>
      </c>
      <c r="E6053" s="201">
        <v>-850</v>
      </c>
      <c r="F6053">
        <v>191</v>
      </c>
      <c r="G6053">
        <v>405</v>
      </c>
      <c r="H6053">
        <v>0</v>
      </c>
      <c r="I6053">
        <v>-8573</v>
      </c>
      <c r="J6053">
        <v>145</v>
      </c>
      <c r="K6053" s="201">
        <v>0</v>
      </c>
    </row>
    <row r="6054" spans="1:11" x14ac:dyDescent="0.25">
      <c r="A6054"/>
      <c r="B6054" s="201">
        <v>0</v>
      </c>
      <c r="C6054">
        <v>0</v>
      </c>
      <c r="D6054" s="201">
        <v>0</v>
      </c>
      <c r="E6054" s="201">
        <v>0</v>
      </c>
      <c r="F6054">
        <v>-102</v>
      </c>
      <c r="G6054">
        <v>464</v>
      </c>
      <c r="H6054">
        <v>-51</v>
      </c>
      <c r="I6054">
        <v>-255</v>
      </c>
      <c r="J6054">
        <v>68</v>
      </c>
      <c r="K6054" s="201">
        <v>540</v>
      </c>
    </row>
    <row r="6055" spans="1:11" x14ac:dyDescent="0.25">
      <c r="A6055"/>
      <c r="B6055" s="201">
        <v>0</v>
      </c>
      <c r="C6055">
        <v>0</v>
      </c>
      <c r="D6055" s="201">
        <v>0</v>
      </c>
      <c r="E6055" s="201">
        <v>0</v>
      </c>
      <c r="F6055">
        <v>1451</v>
      </c>
      <c r="G6055">
        <v>0</v>
      </c>
      <c r="H6055">
        <v>1062</v>
      </c>
      <c r="I6055">
        <v>0</v>
      </c>
      <c r="J6055">
        <v>0</v>
      </c>
      <c r="K6055" s="201">
        <v>422</v>
      </c>
    </row>
    <row r="6056" spans="1:11" x14ac:dyDescent="0.25">
      <c r="A6056"/>
      <c r="B6056" s="201">
        <v>1278</v>
      </c>
      <c r="C6056">
        <v>0</v>
      </c>
      <c r="D6056" s="201">
        <v>0</v>
      </c>
      <c r="E6056" s="201">
        <v>0</v>
      </c>
      <c r="F6056">
        <v>0</v>
      </c>
      <c r="G6056">
        <v>-2070</v>
      </c>
      <c r="H6056">
        <v>0</v>
      </c>
      <c r="I6056">
        <v>-516</v>
      </c>
      <c r="J6056">
        <v>-1049</v>
      </c>
      <c r="K6056" s="201">
        <v>-62</v>
      </c>
    </row>
    <row r="6057" spans="1:11" x14ac:dyDescent="0.25">
      <c r="A6057"/>
      <c r="B6057" s="201">
        <v>-116</v>
      </c>
      <c r="C6057">
        <v>625</v>
      </c>
      <c r="D6057" s="201">
        <v>6064</v>
      </c>
      <c r="E6057" s="201">
        <v>955</v>
      </c>
      <c r="F6057">
        <v>132</v>
      </c>
      <c r="G6057">
        <v>68</v>
      </c>
      <c r="H6057">
        <v>74</v>
      </c>
      <c r="I6057">
        <v>0</v>
      </c>
      <c r="J6057">
        <v>0</v>
      </c>
      <c r="K6057" s="201">
        <v>0</v>
      </c>
    </row>
    <row r="6058" spans="1:11" x14ac:dyDescent="0.25">
      <c r="A6058"/>
      <c r="B6058" s="201">
        <v>0</v>
      </c>
      <c r="C6058">
        <v>0</v>
      </c>
      <c r="D6058" s="201">
        <v>0</v>
      </c>
      <c r="E6058" s="201">
        <v>0</v>
      </c>
      <c r="F6058">
        <v>356</v>
      </c>
      <c r="G6058">
        <v>-1722</v>
      </c>
      <c r="H6058">
        <v>-3191</v>
      </c>
      <c r="I6058">
        <v>-486</v>
      </c>
      <c r="J6058">
        <v>-1846</v>
      </c>
      <c r="K6058" s="201">
        <v>157</v>
      </c>
    </row>
    <row r="6059" spans="1:11" x14ac:dyDescent="0.25">
      <c r="A6059"/>
      <c r="B6059" s="201">
        <v>0</v>
      </c>
      <c r="C6059">
        <v>0</v>
      </c>
      <c r="D6059" s="201">
        <v>-1692</v>
      </c>
      <c r="E6059" s="201">
        <v>0</v>
      </c>
      <c r="F6059">
        <v>179</v>
      </c>
      <c r="G6059">
        <v>-15145</v>
      </c>
      <c r="H6059">
        <v>0</v>
      </c>
      <c r="I6059">
        <v>0</v>
      </c>
      <c r="J6059">
        <v>0</v>
      </c>
      <c r="K6059" s="201">
        <v>0</v>
      </c>
    </row>
    <row r="6060" spans="1:11" x14ac:dyDescent="0.25">
      <c r="A6060"/>
      <c r="B6060" s="201">
        <v>-388</v>
      </c>
      <c r="C6060">
        <v>0</v>
      </c>
      <c r="D6060" s="201">
        <v>216</v>
      </c>
      <c r="E6060" s="201">
        <v>109</v>
      </c>
      <c r="F6060">
        <v>0</v>
      </c>
      <c r="G6060">
        <v>0</v>
      </c>
      <c r="H6060">
        <v>0</v>
      </c>
      <c r="I6060">
        <v>0</v>
      </c>
      <c r="J6060">
        <v>0</v>
      </c>
      <c r="K6060" s="201">
        <v>0</v>
      </c>
    </row>
    <row r="6061" spans="1:11" x14ac:dyDescent="0.25">
      <c r="A6061"/>
      <c r="B6061" s="201">
        <v>0</v>
      </c>
      <c r="C6061">
        <v>0</v>
      </c>
      <c r="D6061" s="201">
        <v>0</v>
      </c>
      <c r="E6061" s="201">
        <v>0</v>
      </c>
      <c r="F6061">
        <v>0</v>
      </c>
      <c r="G6061">
        <v>0</v>
      </c>
      <c r="H6061">
        <v>0</v>
      </c>
      <c r="I6061">
        <v>0</v>
      </c>
      <c r="J6061">
        <v>0</v>
      </c>
      <c r="K6061" s="201">
        <v>-174</v>
      </c>
    </row>
    <row r="6062" spans="1:11" x14ac:dyDescent="0.25">
      <c r="A6062"/>
      <c r="B6062" s="201">
        <v>0</v>
      </c>
      <c r="C6062">
        <v>0</v>
      </c>
      <c r="D6062" s="201">
        <v>0</v>
      </c>
      <c r="E6062" s="201">
        <v>0</v>
      </c>
      <c r="F6062">
        <v>0</v>
      </c>
      <c r="G6062">
        <v>73</v>
      </c>
      <c r="H6062">
        <v>-224</v>
      </c>
      <c r="I6062">
        <v>-159</v>
      </c>
      <c r="J6062">
        <v>-3226</v>
      </c>
      <c r="K6062" s="201">
        <v>-2155</v>
      </c>
    </row>
    <row r="6063" spans="1:11" x14ac:dyDescent="0.25">
      <c r="A6063"/>
      <c r="B6063" s="201">
        <v>-1591</v>
      </c>
      <c r="C6063">
        <v>-348</v>
      </c>
      <c r="D6063" s="201">
        <v>341</v>
      </c>
      <c r="E6063" s="201">
        <v>-325</v>
      </c>
      <c r="F6063">
        <v>-80</v>
      </c>
      <c r="G6063">
        <v>-283</v>
      </c>
      <c r="H6063">
        <v>-158</v>
      </c>
      <c r="I6063">
        <v>-2275</v>
      </c>
      <c r="J6063">
        <v>-1776</v>
      </c>
      <c r="K6063" s="201">
        <v>-1174</v>
      </c>
    </row>
    <row r="6064" spans="1:11" x14ac:dyDescent="0.25">
      <c r="A6064"/>
      <c r="B6064" s="201">
        <v>-707</v>
      </c>
      <c r="C6064">
        <v>65</v>
      </c>
      <c r="D6064" s="201">
        <v>0</v>
      </c>
      <c r="E6064" s="201">
        <v>-218</v>
      </c>
      <c r="F6064">
        <v>-1931</v>
      </c>
      <c r="G6064">
        <v>-1990</v>
      </c>
      <c r="H6064">
        <v>1791</v>
      </c>
      <c r="I6064">
        <v>836</v>
      </c>
      <c r="J6064">
        <v>-520</v>
      </c>
      <c r="K6064" s="201">
        <v>-247</v>
      </c>
    </row>
    <row r="6065" spans="1:11" x14ac:dyDescent="0.25">
      <c r="B6065" s="201">
        <v>-255</v>
      </c>
      <c r="C6065" s="201">
        <v>-555</v>
      </c>
      <c r="D6065" s="201">
        <v>-1071</v>
      </c>
      <c r="E6065" s="201">
        <v>-640</v>
      </c>
      <c r="F6065">
        <v>-250</v>
      </c>
      <c r="G6065">
        <v>-21598</v>
      </c>
      <c r="H6065">
        <v>-3342</v>
      </c>
      <c r="I6065">
        <v>-2312</v>
      </c>
      <c r="J6065">
        <v>-1396</v>
      </c>
      <c r="K6065" s="201">
        <v>-110</v>
      </c>
    </row>
    <row r="6066" spans="1:11" x14ac:dyDescent="0.25">
      <c r="A6066"/>
      <c r="B6066" s="201">
        <v>-197</v>
      </c>
      <c r="C6066">
        <v>512</v>
      </c>
      <c r="D6066" s="201">
        <v>-672</v>
      </c>
      <c r="E6066" s="201">
        <v>8821</v>
      </c>
      <c r="F6066">
        <v>18121</v>
      </c>
      <c r="G6066">
        <v>13563</v>
      </c>
      <c r="H6066">
        <v>14141</v>
      </c>
      <c r="I6066">
        <v>19885</v>
      </c>
      <c r="J6066">
        <v>12443</v>
      </c>
      <c r="K6066" s="201">
        <v>14052</v>
      </c>
    </row>
    <row r="6067" spans="1:11" x14ac:dyDescent="0.25">
      <c r="A6067"/>
      <c r="B6067" s="201">
        <v>10178</v>
      </c>
      <c r="C6067">
        <v>9918</v>
      </c>
      <c r="D6067" s="201">
        <v>14010</v>
      </c>
      <c r="E6067" s="201">
        <v>10177</v>
      </c>
      <c r="F6067">
        <v>33874</v>
      </c>
      <c r="G6067">
        <v>35039</v>
      </c>
      <c r="H6067">
        <v>-1362</v>
      </c>
      <c r="I6067">
        <v>-270</v>
      </c>
      <c r="J6067">
        <v>-257</v>
      </c>
      <c r="K6067" s="201">
        <v>-345</v>
      </c>
    </row>
    <row r="6068" spans="1:11" x14ac:dyDescent="0.25">
      <c r="B6068" s="201">
        <v>-101</v>
      </c>
      <c r="C6068">
        <v>0</v>
      </c>
      <c r="D6068" s="201">
        <v>0</v>
      </c>
      <c r="E6068" s="201">
        <v>91</v>
      </c>
      <c r="F6068">
        <v>0</v>
      </c>
      <c r="G6068">
        <v>0</v>
      </c>
      <c r="H6068">
        <v>0</v>
      </c>
      <c r="I6068">
        <v>15</v>
      </c>
      <c r="J6068">
        <v>-263</v>
      </c>
      <c r="K6068" s="201">
        <v>0</v>
      </c>
    </row>
    <row r="6069" spans="1:11" x14ac:dyDescent="0.25">
      <c r="A6069"/>
      <c r="B6069" s="201">
        <v>0</v>
      </c>
      <c r="C6069">
        <v>0</v>
      </c>
      <c r="D6069" s="201">
        <v>0</v>
      </c>
      <c r="E6069" s="201">
        <v>0</v>
      </c>
      <c r="F6069">
        <v>0</v>
      </c>
      <c r="G6069">
        <v>-265</v>
      </c>
      <c r="H6069">
        <v>0</v>
      </c>
      <c r="I6069">
        <v>0</v>
      </c>
      <c r="J6069">
        <v>53</v>
      </c>
      <c r="K6069" s="201">
        <v>0</v>
      </c>
    </row>
    <row r="6070" spans="1:11" x14ac:dyDescent="0.25">
      <c r="A6070"/>
      <c r="B6070" s="201">
        <v>138</v>
      </c>
      <c r="C6070">
        <v>0</v>
      </c>
      <c r="D6070" s="201">
        <v>92</v>
      </c>
      <c r="E6070" s="201">
        <v>449</v>
      </c>
      <c r="F6070">
        <v>-48</v>
      </c>
      <c r="G6070">
        <v>0</v>
      </c>
      <c r="H6070">
        <v>-519</v>
      </c>
      <c r="I6070">
        <v>-271</v>
      </c>
      <c r="J6070">
        <v>-53</v>
      </c>
      <c r="K6070" s="201">
        <v>65</v>
      </c>
    </row>
    <row r="6071" spans="1:11" x14ac:dyDescent="0.25">
      <c r="A6071"/>
      <c r="B6071" s="201">
        <v>89</v>
      </c>
      <c r="C6071">
        <v>-879</v>
      </c>
      <c r="D6071" s="201">
        <v>0</v>
      </c>
      <c r="E6071" s="201">
        <v>52</v>
      </c>
      <c r="F6071">
        <v>0</v>
      </c>
      <c r="G6071">
        <v>0</v>
      </c>
      <c r="H6071">
        <v>0</v>
      </c>
      <c r="I6071">
        <v>0</v>
      </c>
      <c r="J6071">
        <v>0</v>
      </c>
      <c r="K6071" s="201">
        <v>129</v>
      </c>
    </row>
    <row r="6072" spans="1:11" x14ac:dyDescent="0.25">
      <c r="A6072"/>
      <c r="B6072" s="201">
        <v>0</v>
      </c>
      <c r="C6072">
        <v>0</v>
      </c>
      <c r="D6072" s="201">
        <v>0</v>
      </c>
      <c r="E6072" s="201">
        <v>-186</v>
      </c>
      <c r="F6072">
        <v>0</v>
      </c>
      <c r="G6072">
        <v>-29</v>
      </c>
      <c r="H6072">
        <v>0</v>
      </c>
      <c r="I6072">
        <v>0</v>
      </c>
      <c r="J6072">
        <v>0</v>
      </c>
      <c r="K6072" s="201">
        <v>0</v>
      </c>
    </row>
    <row r="6073" spans="1:11" x14ac:dyDescent="0.25">
      <c r="A6073"/>
      <c r="B6073" s="201">
        <v>0</v>
      </c>
      <c r="C6073">
        <v>480</v>
      </c>
      <c r="D6073" s="201">
        <v>0</v>
      </c>
      <c r="E6073" s="201">
        <v>12</v>
      </c>
      <c r="F6073">
        <v>332</v>
      </c>
      <c r="G6073">
        <v>0</v>
      </c>
      <c r="H6073">
        <v>0</v>
      </c>
      <c r="I6073">
        <v>-16273</v>
      </c>
      <c r="J6073">
        <v>44</v>
      </c>
      <c r="K6073" s="201">
        <v>0</v>
      </c>
    </row>
    <row r="6074" spans="1:11" x14ac:dyDescent="0.25">
      <c r="A6074"/>
      <c r="B6074" s="201">
        <v>-3451</v>
      </c>
      <c r="C6074">
        <v>0</v>
      </c>
      <c r="D6074" s="201">
        <v>0</v>
      </c>
      <c r="E6074" s="201">
        <v>0</v>
      </c>
      <c r="F6074">
        <v>0</v>
      </c>
      <c r="G6074">
        <v>1010</v>
      </c>
      <c r="H6074">
        <v>2127</v>
      </c>
      <c r="I6074">
        <v>1306</v>
      </c>
      <c r="J6074">
        <v>0</v>
      </c>
      <c r="K6074" s="201">
        <v>0</v>
      </c>
    </row>
    <row r="6075" spans="1:11" x14ac:dyDescent="0.25">
      <c r="B6075" s="201">
        <v>-544</v>
      </c>
      <c r="C6075">
        <v>711</v>
      </c>
      <c r="D6075" s="201">
        <v>0</v>
      </c>
      <c r="E6075" s="201">
        <v>2101</v>
      </c>
      <c r="F6075">
        <v>1476</v>
      </c>
      <c r="G6075">
        <v>361</v>
      </c>
      <c r="H6075">
        <v>1242</v>
      </c>
      <c r="I6075">
        <v>-520</v>
      </c>
      <c r="J6075">
        <v>182</v>
      </c>
      <c r="K6075" s="201">
        <v>1549</v>
      </c>
    </row>
    <row r="6076" spans="1:11" x14ac:dyDescent="0.25">
      <c r="A6076"/>
      <c r="B6076" s="201">
        <v>0</v>
      </c>
      <c r="C6076">
        <v>0</v>
      </c>
      <c r="D6076" s="201">
        <v>0</v>
      </c>
      <c r="E6076" s="201">
        <v>0</v>
      </c>
      <c r="F6076">
        <v>0</v>
      </c>
      <c r="G6076">
        <v>-2878</v>
      </c>
      <c r="H6076">
        <v>0</v>
      </c>
      <c r="I6076">
        <v>-8</v>
      </c>
      <c r="J6076">
        <v>4663</v>
      </c>
      <c r="K6076" s="201">
        <v>781</v>
      </c>
    </row>
    <row r="6077" spans="1:11" x14ac:dyDescent="0.25">
      <c r="A6077"/>
      <c r="B6077" s="201">
        <v>0</v>
      </c>
      <c r="C6077">
        <v>-10011</v>
      </c>
      <c r="D6077" s="201">
        <v>986</v>
      </c>
      <c r="E6077" s="201">
        <v>127</v>
      </c>
      <c r="F6077">
        <v>-1750</v>
      </c>
      <c r="G6077">
        <v>-218</v>
      </c>
      <c r="H6077">
        <v>0</v>
      </c>
      <c r="I6077">
        <v>584</v>
      </c>
      <c r="J6077">
        <v>1036</v>
      </c>
      <c r="K6077" s="201">
        <v>957</v>
      </c>
    </row>
    <row r="6078" spans="1:11" x14ac:dyDescent="0.25">
      <c r="A6078"/>
      <c r="B6078" s="201">
        <v>27</v>
      </c>
      <c r="C6078">
        <v>0</v>
      </c>
      <c r="D6078" s="201">
        <v>-21</v>
      </c>
      <c r="E6078" s="201">
        <v>521</v>
      </c>
      <c r="F6078">
        <v>0</v>
      </c>
      <c r="G6078">
        <v>0</v>
      </c>
      <c r="H6078">
        <v>0</v>
      </c>
      <c r="I6078">
        <v>148</v>
      </c>
      <c r="J6078">
        <v>1049</v>
      </c>
      <c r="K6078" s="201">
        <v>0</v>
      </c>
    </row>
    <row r="6079" spans="1:11" x14ac:dyDescent="0.25">
      <c r="A6079"/>
      <c r="B6079" s="201">
        <v>551</v>
      </c>
      <c r="C6079">
        <v>109</v>
      </c>
      <c r="D6079" s="201">
        <v>24</v>
      </c>
      <c r="E6079" s="201">
        <v>-36</v>
      </c>
      <c r="F6079">
        <v>0</v>
      </c>
      <c r="G6079">
        <v>0</v>
      </c>
      <c r="H6079">
        <v>0</v>
      </c>
      <c r="I6079">
        <v>0</v>
      </c>
      <c r="J6079">
        <v>0</v>
      </c>
      <c r="K6079" s="201">
        <v>-4544</v>
      </c>
    </row>
    <row r="6080" spans="1:11" x14ac:dyDescent="0.25">
      <c r="A6080"/>
      <c r="B6080" s="201">
        <v>0</v>
      </c>
      <c r="C6080">
        <v>-1571</v>
      </c>
      <c r="D6080" s="201">
        <v>24</v>
      </c>
      <c r="E6080" s="201">
        <v>-41</v>
      </c>
      <c r="F6080">
        <v>0</v>
      </c>
      <c r="G6080">
        <v>-9406</v>
      </c>
      <c r="H6080">
        <v>862</v>
      </c>
      <c r="I6080">
        <v>372</v>
      </c>
      <c r="J6080">
        <v>-1784</v>
      </c>
      <c r="K6080" s="201">
        <v>86</v>
      </c>
    </row>
    <row r="6081" spans="1:11" x14ac:dyDescent="0.25">
      <c r="A6081"/>
      <c r="B6081" s="201">
        <v>149</v>
      </c>
      <c r="C6081">
        <v>584</v>
      </c>
      <c r="D6081" s="201">
        <v>-327</v>
      </c>
      <c r="E6081" s="201">
        <v>0</v>
      </c>
      <c r="F6081">
        <v>-117</v>
      </c>
      <c r="G6081">
        <v>0</v>
      </c>
      <c r="H6081">
        <v>0</v>
      </c>
      <c r="I6081">
        <v>627</v>
      </c>
      <c r="J6081">
        <v>-74</v>
      </c>
      <c r="K6081" s="201">
        <v>0</v>
      </c>
    </row>
    <row r="6082" spans="1:11" x14ac:dyDescent="0.25">
      <c r="B6082" s="201">
        <v>-490</v>
      </c>
      <c r="C6082">
        <v>0</v>
      </c>
      <c r="D6082" s="201">
        <v>0</v>
      </c>
      <c r="E6082" s="201">
        <v>72</v>
      </c>
      <c r="F6082">
        <v>0</v>
      </c>
      <c r="G6082">
        <v>-14</v>
      </c>
      <c r="H6082">
        <v>38</v>
      </c>
      <c r="I6082">
        <v>-230</v>
      </c>
      <c r="J6082">
        <v>0</v>
      </c>
      <c r="K6082" s="201">
        <v>0</v>
      </c>
    </row>
    <row r="6083" spans="1:11" x14ac:dyDescent="0.25">
      <c r="A6083"/>
      <c r="B6083" s="201">
        <v>0</v>
      </c>
      <c r="C6083">
        <v>0</v>
      </c>
      <c r="D6083" s="201">
        <v>0</v>
      </c>
      <c r="E6083" s="201">
        <v>-4533</v>
      </c>
      <c r="F6083">
        <v>0</v>
      </c>
      <c r="G6083">
        <v>-1397</v>
      </c>
      <c r="H6083">
        <v>-1</v>
      </c>
      <c r="I6083">
        <v>-87</v>
      </c>
      <c r="J6083">
        <v>0</v>
      </c>
      <c r="K6083" s="201">
        <v>-14996</v>
      </c>
    </row>
    <row r="6084" spans="1:11" x14ac:dyDescent="0.25">
      <c r="A6084"/>
      <c r="B6084" s="201">
        <v>446</v>
      </c>
      <c r="C6084">
        <v>1001</v>
      </c>
      <c r="D6084" s="201">
        <v>0</v>
      </c>
      <c r="E6084" s="201">
        <v>0</v>
      </c>
      <c r="F6084">
        <v>0</v>
      </c>
      <c r="G6084">
        <v>1340</v>
      </c>
      <c r="H6084">
        <v>2198</v>
      </c>
      <c r="I6084">
        <v>1632</v>
      </c>
      <c r="J6084">
        <v>-865</v>
      </c>
      <c r="K6084" s="201">
        <v>-760</v>
      </c>
    </row>
    <row r="6085" spans="1:11" x14ac:dyDescent="0.25">
      <c r="A6085"/>
      <c r="B6085" s="201">
        <v>0</v>
      </c>
      <c r="C6085">
        <v>269</v>
      </c>
      <c r="D6085" s="201">
        <v>0</v>
      </c>
      <c r="E6085" s="201">
        <v>0</v>
      </c>
      <c r="F6085">
        <v>-383</v>
      </c>
      <c r="G6085">
        <v>0</v>
      </c>
      <c r="H6085">
        <v>1450</v>
      </c>
      <c r="I6085">
        <v>0</v>
      </c>
      <c r="J6085">
        <v>712</v>
      </c>
      <c r="K6085" s="201">
        <v>0</v>
      </c>
    </row>
    <row r="6086" spans="1:11" x14ac:dyDescent="0.25">
      <c r="A6086"/>
      <c r="B6086" s="201">
        <v>0</v>
      </c>
      <c r="C6086">
        <v>0</v>
      </c>
      <c r="D6086" s="201">
        <v>0</v>
      </c>
      <c r="E6086" s="201">
        <v>0</v>
      </c>
      <c r="F6086">
        <v>0</v>
      </c>
      <c r="G6086">
        <v>0</v>
      </c>
      <c r="H6086">
        <v>0</v>
      </c>
      <c r="I6086">
        <v>-1477</v>
      </c>
      <c r="J6086">
        <v>0</v>
      </c>
      <c r="K6086" s="201">
        <v>-359</v>
      </c>
    </row>
    <row r="6087" spans="1:11" x14ac:dyDescent="0.25">
      <c r="A6087"/>
      <c r="B6087" s="201">
        <v>-2103</v>
      </c>
      <c r="C6087">
        <v>-420</v>
      </c>
      <c r="D6087" s="201">
        <v>0</v>
      </c>
      <c r="E6087" s="201">
        <v>-14109</v>
      </c>
      <c r="F6087">
        <v>715</v>
      </c>
      <c r="G6087">
        <v>0</v>
      </c>
      <c r="H6087">
        <v>0</v>
      </c>
      <c r="I6087">
        <v>0</v>
      </c>
      <c r="J6087">
        <v>0</v>
      </c>
      <c r="K6087" s="201">
        <v>0</v>
      </c>
    </row>
    <row r="6088" spans="1:11" x14ac:dyDescent="0.25">
      <c r="A6088"/>
      <c r="B6088" s="201">
        <v>-2357</v>
      </c>
      <c r="C6088">
        <v>-2594</v>
      </c>
      <c r="D6088" s="201">
        <v>973</v>
      </c>
      <c r="E6088" s="201">
        <v>266</v>
      </c>
      <c r="F6088">
        <v>-362</v>
      </c>
      <c r="G6088">
        <v>1817</v>
      </c>
      <c r="H6088">
        <v>0</v>
      </c>
      <c r="I6088">
        <v>0</v>
      </c>
      <c r="J6088">
        <v>0</v>
      </c>
      <c r="K6088" s="201">
        <v>0</v>
      </c>
    </row>
    <row r="6089" spans="1:11" x14ac:dyDescent="0.25">
      <c r="B6089" s="201">
        <v>-11788</v>
      </c>
      <c r="C6089">
        <v>0</v>
      </c>
      <c r="D6089" s="201">
        <v>-4819</v>
      </c>
      <c r="E6089" s="201">
        <v>0</v>
      </c>
      <c r="F6089">
        <v>0</v>
      </c>
      <c r="G6089">
        <v>693</v>
      </c>
      <c r="H6089">
        <v>-2043</v>
      </c>
      <c r="I6089">
        <v>0</v>
      </c>
      <c r="J6089">
        <v>0</v>
      </c>
      <c r="K6089" s="201">
        <v>0</v>
      </c>
    </row>
    <row r="6090" spans="1:11" x14ac:dyDescent="0.25">
      <c r="A6090"/>
      <c r="B6090" s="201">
        <v>0</v>
      </c>
      <c r="C6090">
        <v>-4767</v>
      </c>
      <c r="D6090" s="201">
        <v>0</v>
      </c>
      <c r="E6090" s="201">
        <v>-1481</v>
      </c>
      <c r="F6090">
        <v>667</v>
      </c>
      <c r="G6090">
        <v>433</v>
      </c>
      <c r="H6090">
        <v>241</v>
      </c>
      <c r="I6090">
        <v>-297</v>
      </c>
      <c r="J6090">
        <v>8847</v>
      </c>
      <c r="K6090" s="201">
        <v>2324</v>
      </c>
    </row>
    <row r="6091" spans="1:11" x14ac:dyDescent="0.25">
      <c r="A6091"/>
      <c r="B6091" s="201">
        <v>-31</v>
      </c>
      <c r="C6091" s="201">
        <v>-1292</v>
      </c>
      <c r="D6091" s="201">
        <v>-2790</v>
      </c>
      <c r="E6091" s="201">
        <v>0</v>
      </c>
      <c r="F6091">
        <v>0</v>
      </c>
      <c r="G6091">
        <v>0</v>
      </c>
      <c r="H6091">
        <v>0</v>
      </c>
      <c r="I6091">
        <v>0</v>
      </c>
      <c r="J6091">
        <v>0</v>
      </c>
      <c r="K6091" s="201">
        <v>0</v>
      </c>
    </row>
    <row r="6092" spans="1:11" x14ac:dyDescent="0.25">
      <c r="A6092"/>
      <c r="B6092" s="201">
        <v>408</v>
      </c>
      <c r="C6092">
        <v>-2706</v>
      </c>
      <c r="D6092" s="201">
        <v>-4202</v>
      </c>
      <c r="E6092" s="201">
        <v>-695</v>
      </c>
      <c r="F6092">
        <v>-1817</v>
      </c>
      <c r="G6092">
        <v>289</v>
      </c>
      <c r="H6092">
        <v>0</v>
      </c>
      <c r="I6092">
        <v>0</v>
      </c>
      <c r="J6092">
        <v>1397</v>
      </c>
      <c r="K6092" s="201">
        <v>0</v>
      </c>
    </row>
    <row r="6093" spans="1:11" x14ac:dyDescent="0.25">
      <c r="A6093"/>
      <c r="B6093" s="201">
        <v>249</v>
      </c>
      <c r="C6093">
        <v>-19602</v>
      </c>
      <c r="D6093" s="201">
        <v>0</v>
      </c>
      <c r="E6093" s="201">
        <v>0</v>
      </c>
      <c r="F6093">
        <v>0</v>
      </c>
      <c r="G6093">
        <v>0</v>
      </c>
      <c r="H6093">
        <v>-748</v>
      </c>
      <c r="I6093">
        <v>0</v>
      </c>
      <c r="J6093">
        <v>-914</v>
      </c>
      <c r="K6093" s="201">
        <v>-743</v>
      </c>
    </row>
    <row r="6094" spans="1:11" x14ac:dyDescent="0.25">
      <c r="A6094"/>
      <c r="B6094" s="201">
        <v>0</v>
      </c>
      <c r="C6094">
        <v>0</v>
      </c>
      <c r="D6094" s="201">
        <v>0</v>
      </c>
      <c r="E6094" s="201">
        <v>0</v>
      </c>
      <c r="F6094">
        <v>0</v>
      </c>
      <c r="G6094">
        <v>0</v>
      </c>
      <c r="H6094">
        <v>0</v>
      </c>
      <c r="I6094">
        <v>0</v>
      </c>
      <c r="J6094">
        <v>0</v>
      </c>
      <c r="K6094" s="201">
        <v>0</v>
      </c>
    </row>
    <row r="6095" spans="1:11" x14ac:dyDescent="0.25">
      <c r="A6095"/>
      <c r="B6095" s="201">
        <v>0</v>
      </c>
      <c r="C6095">
        <v>0</v>
      </c>
      <c r="D6095" s="201">
        <v>0</v>
      </c>
      <c r="E6095" s="201">
        <v>0</v>
      </c>
      <c r="F6095">
        <v>0</v>
      </c>
      <c r="G6095">
        <v>-153</v>
      </c>
      <c r="H6095">
        <v>0</v>
      </c>
      <c r="I6095">
        <v>0</v>
      </c>
      <c r="J6095">
        <v>0</v>
      </c>
      <c r="K6095" s="201">
        <v>0</v>
      </c>
    </row>
    <row r="6096" spans="1:11" x14ac:dyDescent="0.25">
      <c r="A6096"/>
      <c r="B6096" s="201">
        <v>0</v>
      </c>
      <c r="C6096">
        <v>40</v>
      </c>
      <c r="D6096" s="201">
        <v>-228</v>
      </c>
      <c r="E6096" s="201">
        <v>-121</v>
      </c>
      <c r="F6096">
        <v>-3524</v>
      </c>
      <c r="G6096">
        <v>-1910</v>
      </c>
      <c r="H6096">
        <v>-1593</v>
      </c>
      <c r="I6096">
        <v>-2372</v>
      </c>
      <c r="J6096">
        <v>489</v>
      </c>
      <c r="K6096" s="201">
        <v>-208</v>
      </c>
    </row>
    <row r="6097" spans="1:11" x14ac:dyDescent="0.25">
      <c r="A6097"/>
      <c r="B6097" s="201">
        <v>-89</v>
      </c>
      <c r="C6097">
        <v>-217</v>
      </c>
      <c r="D6097" s="201">
        <v>-42</v>
      </c>
      <c r="E6097" s="201">
        <v>-1618</v>
      </c>
      <c r="F6097">
        <v>-1575</v>
      </c>
      <c r="G6097">
        <v>-1030</v>
      </c>
      <c r="H6097">
        <v>-2304</v>
      </c>
      <c r="I6097">
        <v>163</v>
      </c>
      <c r="J6097">
        <v>0</v>
      </c>
      <c r="K6097" s="201">
        <v>3982</v>
      </c>
    </row>
    <row r="6098" spans="1:11" x14ac:dyDescent="0.25">
      <c r="A6098"/>
      <c r="B6098" s="201">
        <v>811</v>
      </c>
      <c r="C6098">
        <v>-453</v>
      </c>
      <c r="D6098" s="201">
        <v>-2356</v>
      </c>
      <c r="E6098" s="201">
        <v>550</v>
      </c>
      <c r="F6098">
        <v>-287</v>
      </c>
      <c r="G6098">
        <v>-24</v>
      </c>
      <c r="H6098">
        <v>-829</v>
      </c>
      <c r="I6098">
        <v>620</v>
      </c>
      <c r="J6098">
        <v>-431</v>
      </c>
      <c r="K6098" s="201">
        <v>-261</v>
      </c>
    </row>
    <row r="6099" spans="1:11" x14ac:dyDescent="0.25">
      <c r="A6099"/>
      <c r="B6099" s="201">
        <v>-640</v>
      </c>
      <c r="C6099">
        <v>-1459</v>
      </c>
      <c r="D6099" s="201">
        <v>-574</v>
      </c>
      <c r="E6099" s="201">
        <v>705</v>
      </c>
      <c r="F6099">
        <v>758</v>
      </c>
      <c r="G6099">
        <v>-14818</v>
      </c>
      <c r="H6099">
        <v>-1711</v>
      </c>
      <c r="I6099">
        <v>-1045</v>
      </c>
      <c r="J6099">
        <v>-3438</v>
      </c>
      <c r="K6099" s="201">
        <v>11504</v>
      </c>
    </row>
    <row r="6100" spans="1:11" x14ac:dyDescent="0.25">
      <c r="A6100"/>
      <c r="B6100" s="201">
        <v>22858</v>
      </c>
      <c r="C6100">
        <v>17836</v>
      </c>
      <c r="D6100" s="201">
        <v>17875</v>
      </c>
      <c r="E6100" s="201">
        <v>11509</v>
      </c>
      <c r="F6100">
        <v>23615</v>
      </c>
      <c r="G6100">
        <v>17376</v>
      </c>
      <c r="H6100">
        <v>14012</v>
      </c>
      <c r="I6100">
        <v>12856</v>
      </c>
      <c r="J6100">
        <v>8931</v>
      </c>
      <c r="K6100" s="201">
        <v>19739</v>
      </c>
    </row>
    <row r="6101" spans="1:11" x14ac:dyDescent="0.25">
      <c r="B6101" s="201">
        <v>49694</v>
      </c>
      <c r="C6101">
        <v>45620</v>
      </c>
      <c r="D6101" s="201">
        <v>32869</v>
      </c>
      <c r="E6101" s="201">
        <v>-1179</v>
      </c>
      <c r="F6101">
        <v>-364</v>
      </c>
      <c r="G6101">
        <v>-149</v>
      </c>
      <c r="H6101">
        <v>-226</v>
      </c>
      <c r="I6101">
        <v>-383</v>
      </c>
      <c r="J6101">
        <v>0</v>
      </c>
      <c r="K6101" s="201">
        <v>0</v>
      </c>
    </row>
    <row r="6102" spans="1:11" x14ac:dyDescent="0.25">
      <c r="A6102"/>
      <c r="B6102" s="201">
        <v>20</v>
      </c>
      <c r="C6102">
        <v>0</v>
      </c>
      <c r="D6102" s="201">
        <v>0</v>
      </c>
      <c r="E6102" s="201">
        <v>0</v>
      </c>
      <c r="F6102">
        <v>40</v>
      </c>
      <c r="G6102">
        <v>215</v>
      </c>
      <c r="H6102">
        <v>0</v>
      </c>
      <c r="I6102">
        <v>0</v>
      </c>
      <c r="J6102">
        <v>0</v>
      </c>
      <c r="K6102" s="201">
        <v>0</v>
      </c>
    </row>
    <row r="6103" spans="1:11" x14ac:dyDescent="0.25">
      <c r="A6103"/>
      <c r="B6103" s="201">
        <v>0</v>
      </c>
      <c r="C6103">
        <v>0</v>
      </c>
      <c r="D6103" s="201">
        <v>933</v>
      </c>
      <c r="E6103" s="201">
        <v>0</v>
      </c>
      <c r="F6103">
        <v>0</v>
      </c>
      <c r="G6103">
        <v>115</v>
      </c>
      <c r="H6103">
        <v>0</v>
      </c>
      <c r="I6103">
        <v>111</v>
      </c>
      <c r="J6103">
        <v>0</v>
      </c>
      <c r="K6103" s="201">
        <v>148</v>
      </c>
    </row>
    <row r="6104" spans="1:11" x14ac:dyDescent="0.25">
      <c r="A6104"/>
      <c r="B6104" s="201">
        <v>704</v>
      </c>
      <c r="C6104">
        <v>14</v>
      </c>
      <c r="D6104" s="201">
        <v>0</v>
      </c>
      <c r="E6104" s="201">
        <v>-64</v>
      </c>
      <c r="F6104">
        <v>-270</v>
      </c>
      <c r="G6104">
        <v>9</v>
      </c>
      <c r="H6104">
        <v>-183</v>
      </c>
      <c r="I6104">
        <v>-576</v>
      </c>
      <c r="J6104">
        <v>-790</v>
      </c>
      <c r="K6104" s="201">
        <v>0</v>
      </c>
    </row>
    <row r="6105" spans="1:11" x14ac:dyDescent="0.25">
      <c r="A6105"/>
      <c r="B6105" s="201">
        <v>105</v>
      </c>
      <c r="C6105">
        <v>0</v>
      </c>
      <c r="D6105" s="201">
        <v>0</v>
      </c>
      <c r="E6105" s="201">
        <v>0</v>
      </c>
      <c r="F6105">
        <v>0</v>
      </c>
      <c r="G6105">
        <v>0</v>
      </c>
      <c r="H6105">
        <v>-79</v>
      </c>
      <c r="I6105">
        <v>0</v>
      </c>
      <c r="J6105">
        <v>0</v>
      </c>
      <c r="K6105" s="201">
        <v>0</v>
      </c>
    </row>
    <row r="6106" spans="1:11" x14ac:dyDescent="0.25">
      <c r="B6106" s="201">
        <v>-271</v>
      </c>
      <c r="C6106">
        <v>0</v>
      </c>
      <c r="D6106" s="201">
        <v>-12</v>
      </c>
      <c r="E6106" s="201">
        <v>0</v>
      </c>
      <c r="F6106">
        <v>0</v>
      </c>
      <c r="G6106">
        <v>0</v>
      </c>
      <c r="H6106">
        <v>0</v>
      </c>
      <c r="I6106">
        <v>0</v>
      </c>
      <c r="J6106">
        <v>569</v>
      </c>
      <c r="K6106" s="201">
        <v>0</v>
      </c>
    </row>
    <row r="6107" spans="1:11" x14ac:dyDescent="0.25">
      <c r="A6107"/>
      <c r="B6107" s="201">
        <v>76</v>
      </c>
      <c r="C6107">
        <v>638</v>
      </c>
      <c r="D6107" s="201">
        <v>0</v>
      </c>
      <c r="E6107" s="201">
        <v>0</v>
      </c>
      <c r="F6107">
        <v>-13363</v>
      </c>
      <c r="G6107">
        <v>-892</v>
      </c>
      <c r="H6107">
        <v>0</v>
      </c>
      <c r="I6107">
        <v>-631</v>
      </c>
      <c r="J6107">
        <v>0</v>
      </c>
      <c r="K6107" s="201">
        <v>0</v>
      </c>
    </row>
    <row r="6108" spans="1:11" x14ac:dyDescent="0.25">
      <c r="A6108"/>
      <c r="B6108" s="201">
        <v>0</v>
      </c>
      <c r="C6108">
        <v>0</v>
      </c>
      <c r="D6108" s="201">
        <v>818</v>
      </c>
      <c r="E6108" s="201">
        <v>313</v>
      </c>
      <c r="F6108">
        <v>120</v>
      </c>
      <c r="G6108">
        <v>0</v>
      </c>
      <c r="H6108">
        <v>0</v>
      </c>
      <c r="I6108">
        <v>-202</v>
      </c>
      <c r="J6108">
        <v>-76</v>
      </c>
      <c r="K6108" s="201">
        <v>0</v>
      </c>
    </row>
    <row r="6109" spans="1:11" x14ac:dyDescent="0.25">
      <c r="A6109"/>
      <c r="B6109" s="201">
        <v>-855</v>
      </c>
      <c r="C6109">
        <v>403</v>
      </c>
      <c r="D6109" s="201">
        <v>-210</v>
      </c>
      <c r="E6109" s="201">
        <v>197</v>
      </c>
      <c r="F6109">
        <v>-291</v>
      </c>
      <c r="G6109">
        <v>-153</v>
      </c>
      <c r="H6109">
        <v>-254</v>
      </c>
      <c r="I6109">
        <v>0</v>
      </c>
      <c r="J6109">
        <v>0</v>
      </c>
      <c r="K6109" s="201">
        <v>0</v>
      </c>
    </row>
    <row r="6110" spans="1:11" x14ac:dyDescent="0.25">
      <c r="A6110"/>
      <c r="B6110" s="201">
        <v>0</v>
      </c>
      <c r="C6110">
        <v>0</v>
      </c>
      <c r="D6110" s="201">
        <v>-1670</v>
      </c>
      <c r="E6110" s="201">
        <v>0</v>
      </c>
      <c r="F6110">
        <v>183</v>
      </c>
      <c r="G6110">
        <v>113</v>
      </c>
      <c r="H6110">
        <v>185</v>
      </c>
      <c r="I6110">
        <v>0</v>
      </c>
      <c r="J6110">
        <v>-12955</v>
      </c>
      <c r="K6110" s="201">
        <v>992</v>
      </c>
    </row>
    <row r="6111" spans="1:11" x14ac:dyDescent="0.25">
      <c r="A6111"/>
      <c r="B6111" s="201">
        <v>-540</v>
      </c>
      <c r="C6111">
        <v>1019</v>
      </c>
      <c r="D6111" s="201">
        <v>44</v>
      </c>
      <c r="E6111" s="201">
        <v>0</v>
      </c>
      <c r="F6111">
        <v>154</v>
      </c>
      <c r="G6111">
        <v>857</v>
      </c>
      <c r="H6111">
        <v>1461</v>
      </c>
      <c r="I6111">
        <v>317</v>
      </c>
      <c r="J6111">
        <v>0</v>
      </c>
      <c r="K6111" s="201">
        <v>-74</v>
      </c>
    </row>
    <row r="6112" spans="1:11" x14ac:dyDescent="0.25">
      <c r="A6112"/>
      <c r="B6112" s="201">
        <v>46</v>
      </c>
      <c r="C6112">
        <v>0</v>
      </c>
      <c r="D6112" s="201">
        <v>0</v>
      </c>
      <c r="E6112" s="201">
        <v>0</v>
      </c>
      <c r="F6112">
        <v>283</v>
      </c>
      <c r="G6112">
        <v>-1000</v>
      </c>
      <c r="H6112">
        <v>0</v>
      </c>
      <c r="I6112">
        <v>-544</v>
      </c>
      <c r="J6112">
        <v>-284</v>
      </c>
      <c r="K6112" s="201">
        <v>381</v>
      </c>
    </row>
    <row r="6113" spans="1:11" x14ac:dyDescent="0.25">
      <c r="A6113"/>
      <c r="B6113" s="201">
        <v>22</v>
      </c>
      <c r="C6113">
        <v>0</v>
      </c>
      <c r="D6113" s="201">
        <v>0</v>
      </c>
      <c r="E6113" s="201">
        <v>0</v>
      </c>
      <c r="F6113">
        <v>0</v>
      </c>
      <c r="G6113">
        <v>0</v>
      </c>
      <c r="H6113">
        <v>-5962</v>
      </c>
      <c r="I6113">
        <v>0</v>
      </c>
      <c r="J6113">
        <v>-1490</v>
      </c>
      <c r="K6113" s="201">
        <v>3171</v>
      </c>
    </row>
    <row r="6114" spans="1:11" x14ac:dyDescent="0.25">
      <c r="A6114"/>
      <c r="B6114" s="201">
        <v>923</v>
      </c>
      <c r="C6114">
        <v>0</v>
      </c>
      <c r="D6114" s="201">
        <v>-11960</v>
      </c>
      <c r="E6114" s="201">
        <v>831</v>
      </c>
      <c r="F6114">
        <v>-886</v>
      </c>
      <c r="G6114">
        <v>-866</v>
      </c>
      <c r="H6114">
        <v>252</v>
      </c>
      <c r="I6114">
        <v>-38</v>
      </c>
      <c r="J6114">
        <v>-43</v>
      </c>
      <c r="K6114" s="201">
        <v>-1230</v>
      </c>
    </row>
    <row r="6115" spans="1:11" x14ac:dyDescent="0.25">
      <c r="A6115"/>
      <c r="B6115" s="201">
        <v>0</v>
      </c>
      <c r="C6115">
        <v>416</v>
      </c>
      <c r="D6115" s="201">
        <v>0</v>
      </c>
      <c r="E6115" s="201">
        <v>0</v>
      </c>
      <c r="F6115">
        <v>416</v>
      </c>
      <c r="G6115">
        <v>-197</v>
      </c>
      <c r="H6115">
        <v>0</v>
      </c>
      <c r="I6115">
        <v>982</v>
      </c>
      <c r="J6115">
        <v>0</v>
      </c>
      <c r="K6115" s="201">
        <v>0</v>
      </c>
    </row>
    <row r="6116" spans="1:11" x14ac:dyDescent="0.25">
      <c r="A6116"/>
      <c r="B6116" s="201">
        <v>39</v>
      </c>
      <c r="C6116">
        <v>0</v>
      </c>
      <c r="D6116" s="201">
        <v>-79</v>
      </c>
      <c r="E6116" s="201">
        <v>232</v>
      </c>
      <c r="F6116">
        <v>-125</v>
      </c>
      <c r="G6116">
        <v>0</v>
      </c>
      <c r="H6116">
        <v>0</v>
      </c>
      <c r="I6116">
        <v>0</v>
      </c>
      <c r="J6116">
        <v>0</v>
      </c>
      <c r="K6116" s="201">
        <v>0</v>
      </c>
    </row>
    <row r="6117" spans="1:11" x14ac:dyDescent="0.25">
      <c r="B6117" s="201">
        <v>-6510</v>
      </c>
      <c r="C6117">
        <v>0</v>
      </c>
      <c r="D6117" s="201">
        <v>-1027</v>
      </c>
      <c r="E6117" s="201">
        <v>3570</v>
      </c>
      <c r="F6117">
        <v>910</v>
      </c>
      <c r="G6117">
        <v>0</v>
      </c>
      <c r="H6117">
        <v>-15971</v>
      </c>
      <c r="I6117">
        <v>-325</v>
      </c>
      <c r="J6117">
        <v>714</v>
      </c>
      <c r="K6117" s="201">
        <v>0</v>
      </c>
    </row>
    <row r="6118" spans="1:11" x14ac:dyDescent="0.25">
      <c r="A6118"/>
      <c r="B6118" s="201">
        <v>0</v>
      </c>
      <c r="C6118">
        <v>0</v>
      </c>
      <c r="D6118" s="201">
        <v>735</v>
      </c>
      <c r="E6118" s="201">
        <v>1570</v>
      </c>
      <c r="F6118">
        <v>1191</v>
      </c>
      <c r="G6118">
        <v>-730</v>
      </c>
      <c r="H6118">
        <v>-551</v>
      </c>
      <c r="I6118">
        <v>0</v>
      </c>
      <c r="J6118">
        <v>150</v>
      </c>
      <c r="K6118" s="201">
        <v>0</v>
      </c>
    </row>
    <row r="6119" spans="1:11" x14ac:dyDescent="0.25">
      <c r="A6119"/>
      <c r="B6119" s="201">
        <v>0</v>
      </c>
      <c r="C6119">
        <v>-44</v>
      </c>
      <c r="D6119" s="201">
        <v>0</v>
      </c>
      <c r="E6119" s="201">
        <v>299</v>
      </c>
      <c r="F6119">
        <v>0</v>
      </c>
      <c r="G6119">
        <v>111</v>
      </c>
      <c r="H6119">
        <v>0</v>
      </c>
      <c r="I6119">
        <v>0</v>
      </c>
      <c r="J6119">
        <v>0</v>
      </c>
      <c r="K6119" s="201">
        <v>0</v>
      </c>
    </row>
    <row r="6120" spans="1:11" x14ac:dyDescent="0.25">
      <c r="A6120"/>
      <c r="B6120" s="201">
        <v>0</v>
      </c>
      <c r="C6120">
        <v>0</v>
      </c>
      <c r="D6120" s="201">
        <v>0</v>
      </c>
      <c r="E6120" s="201">
        <v>0</v>
      </c>
      <c r="F6120">
        <v>-1503</v>
      </c>
      <c r="G6120">
        <v>0</v>
      </c>
      <c r="H6120">
        <v>-497</v>
      </c>
      <c r="I6120">
        <v>-2352</v>
      </c>
      <c r="J6120">
        <v>-538</v>
      </c>
      <c r="K6120" s="201">
        <v>0</v>
      </c>
    </row>
    <row r="6121" spans="1:11" x14ac:dyDescent="0.25">
      <c r="A6121"/>
      <c r="B6121" s="201">
        <v>-13178</v>
      </c>
      <c r="C6121">
        <v>441</v>
      </c>
      <c r="D6121" s="201">
        <v>0</v>
      </c>
      <c r="E6121" s="201">
        <v>0</v>
      </c>
      <c r="F6121">
        <v>0</v>
      </c>
      <c r="G6121">
        <v>0</v>
      </c>
      <c r="H6121">
        <v>0</v>
      </c>
      <c r="I6121">
        <v>-958</v>
      </c>
      <c r="J6121">
        <v>-701</v>
      </c>
      <c r="K6121" s="201">
        <v>234</v>
      </c>
    </row>
    <row r="6122" spans="1:11" x14ac:dyDescent="0.25">
      <c r="A6122"/>
      <c r="B6122" s="201">
        <v>-51</v>
      </c>
      <c r="C6122">
        <v>94</v>
      </c>
      <c r="D6122" s="201">
        <v>1117</v>
      </c>
      <c r="E6122" s="201">
        <v>0</v>
      </c>
      <c r="F6122">
        <v>0</v>
      </c>
      <c r="G6122">
        <v>0</v>
      </c>
      <c r="H6122">
        <v>0</v>
      </c>
      <c r="I6122">
        <v>-480</v>
      </c>
      <c r="J6122">
        <v>0</v>
      </c>
      <c r="K6122" s="201">
        <v>87</v>
      </c>
    </row>
    <row r="6123" spans="1:11" x14ac:dyDescent="0.25">
      <c r="A6123"/>
      <c r="B6123" s="201">
        <v>0</v>
      </c>
      <c r="C6123">
        <v>0</v>
      </c>
      <c r="D6123" s="201">
        <v>57</v>
      </c>
      <c r="E6123" s="201">
        <v>923</v>
      </c>
      <c r="F6123">
        <v>0</v>
      </c>
      <c r="G6123">
        <v>0</v>
      </c>
      <c r="H6123">
        <v>0</v>
      </c>
      <c r="I6123">
        <v>0</v>
      </c>
      <c r="J6123">
        <v>-3803</v>
      </c>
      <c r="K6123" s="201">
        <v>0</v>
      </c>
    </row>
    <row r="6124" spans="1:11" x14ac:dyDescent="0.25">
      <c r="A6124"/>
      <c r="B6124" s="201">
        <v>-961</v>
      </c>
      <c r="C6124">
        <v>-1764</v>
      </c>
      <c r="D6124" s="201">
        <v>-188</v>
      </c>
      <c r="E6124" s="201">
        <v>-945</v>
      </c>
      <c r="F6124">
        <v>-828</v>
      </c>
      <c r="G6124">
        <v>-2013</v>
      </c>
      <c r="H6124">
        <v>-2602</v>
      </c>
      <c r="I6124">
        <v>-107</v>
      </c>
      <c r="J6124">
        <v>-191</v>
      </c>
      <c r="K6124" s="201">
        <v>142</v>
      </c>
    </row>
    <row r="6125" spans="1:11" x14ac:dyDescent="0.25">
      <c r="A6125"/>
      <c r="B6125" s="201">
        <v>0</v>
      </c>
      <c r="C6125">
        <v>0</v>
      </c>
      <c r="D6125" s="201">
        <v>0</v>
      </c>
      <c r="E6125" s="201">
        <v>0</v>
      </c>
      <c r="F6125">
        <v>0</v>
      </c>
      <c r="G6125">
        <v>0</v>
      </c>
      <c r="H6125">
        <v>0</v>
      </c>
      <c r="I6125">
        <v>-1698</v>
      </c>
      <c r="J6125">
        <v>1937</v>
      </c>
      <c r="K6125" s="201">
        <v>-1008</v>
      </c>
    </row>
    <row r="6126" spans="1:11" x14ac:dyDescent="0.25">
      <c r="A6126"/>
      <c r="B6126" s="201">
        <v>262</v>
      </c>
      <c r="C6126">
        <v>-647</v>
      </c>
      <c r="D6126" s="201">
        <v>628</v>
      </c>
      <c r="E6126" s="201">
        <v>0</v>
      </c>
      <c r="F6126">
        <v>0</v>
      </c>
      <c r="G6126">
        <v>-2711</v>
      </c>
      <c r="H6126">
        <v>0</v>
      </c>
      <c r="I6126">
        <v>576</v>
      </c>
      <c r="J6126">
        <v>-23276</v>
      </c>
      <c r="K6126" s="201">
        <v>0</v>
      </c>
    </row>
    <row r="6127" spans="1:11" x14ac:dyDescent="0.25">
      <c r="A6127"/>
      <c r="B6127" s="201">
        <v>0</v>
      </c>
      <c r="C6127">
        <v>0</v>
      </c>
      <c r="D6127" s="201">
        <v>0</v>
      </c>
      <c r="E6127" s="201">
        <v>64</v>
      </c>
      <c r="F6127">
        <v>0</v>
      </c>
      <c r="G6127">
        <v>-227</v>
      </c>
      <c r="H6127">
        <v>-45</v>
      </c>
      <c r="I6127">
        <v>0</v>
      </c>
      <c r="J6127">
        <v>0</v>
      </c>
      <c r="K6127" s="201">
        <v>0</v>
      </c>
    </row>
    <row r="6128" spans="1:11" x14ac:dyDescent="0.25">
      <c r="A6128"/>
      <c r="B6128" s="201">
        <v>0</v>
      </c>
      <c r="C6128">
        <v>0</v>
      </c>
      <c r="D6128" s="201">
        <v>0</v>
      </c>
      <c r="E6128" s="201">
        <v>0</v>
      </c>
      <c r="F6128">
        <v>0</v>
      </c>
      <c r="G6128">
        <v>0</v>
      </c>
      <c r="H6128">
        <v>0</v>
      </c>
      <c r="I6128">
        <v>0</v>
      </c>
      <c r="J6128">
        <v>0</v>
      </c>
      <c r="K6128" s="201">
        <v>0</v>
      </c>
    </row>
    <row r="6129" spans="1:11" x14ac:dyDescent="0.25">
      <c r="A6129"/>
      <c r="B6129" s="201">
        <v>0</v>
      </c>
      <c r="C6129">
        <v>0</v>
      </c>
      <c r="D6129" s="201">
        <v>141</v>
      </c>
      <c r="E6129" s="201">
        <v>0</v>
      </c>
      <c r="F6129">
        <v>0</v>
      </c>
      <c r="G6129">
        <v>0</v>
      </c>
      <c r="H6129">
        <v>0</v>
      </c>
      <c r="I6129">
        <v>0</v>
      </c>
      <c r="J6129">
        <v>47</v>
      </c>
      <c r="K6129" s="201">
        <v>-61</v>
      </c>
    </row>
    <row r="6130" spans="1:11" x14ac:dyDescent="0.25">
      <c r="A6130"/>
      <c r="B6130" s="201">
        <v>-48</v>
      </c>
      <c r="C6130">
        <v>1062</v>
      </c>
      <c r="D6130" s="201">
        <v>-970</v>
      </c>
      <c r="E6130" s="201">
        <v>-1817</v>
      </c>
      <c r="F6130">
        <v>223</v>
      </c>
      <c r="G6130">
        <v>250</v>
      </c>
      <c r="H6130">
        <v>-392</v>
      </c>
      <c r="I6130">
        <v>-38</v>
      </c>
      <c r="J6130">
        <v>-78</v>
      </c>
      <c r="K6130" s="201">
        <v>-51</v>
      </c>
    </row>
    <row r="6131" spans="1:11" x14ac:dyDescent="0.25">
      <c r="A6131"/>
      <c r="B6131" s="201">
        <v>707</v>
      </c>
      <c r="C6131">
        <v>-1506</v>
      </c>
      <c r="D6131" s="201">
        <v>-1006</v>
      </c>
      <c r="E6131" s="201">
        <v>-608</v>
      </c>
      <c r="F6131">
        <v>-195</v>
      </c>
      <c r="G6131">
        <v>0</v>
      </c>
      <c r="H6131">
        <v>105</v>
      </c>
      <c r="I6131">
        <v>218</v>
      </c>
      <c r="J6131">
        <v>100</v>
      </c>
      <c r="K6131" s="201">
        <v>364</v>
      </c>
    </row>
    <row r="6132" spans="1:11" x14ac:dyDescent="0.25">
      <c r="A6132"/>
      <c r="B6132" s="201">
        <v>4444</v>
      </c>
      <c r="C6132">
        <v>-857</v>
      </c>
      <c r="D6132" s="201">
        <v>-3784</v>
      </c>
      <c r="E6132" s="201">
        <v>2859</v>
      </c>
      <c r="F6132">
        <v>4777</v>
      </c>
      <c r="G6132">
        <v>-1432</v>
      </c>
      <c r="H6132">
        <v>-902</v>
      </c>
      <c r="I6132">
        <v>132</v>
      </c>
      <c r="J6132">
        <v>-681</v>
      </c>
      <c r="K6132" s="201">
        <v>-615</v>
      </c>
    </row>
    <row r="6133" spans="1:11" x14ac:dyDescent="0.25">
      <c r="A6133"/>
      <c r="B6133" s="201">
        <v>739</v>
      </c>
      <c r="C6133">
        <v>1384</v>
      </c>
      <c r="D6133" s="201">
        <v>1406</v>
      </c>
      <c r="E6133" s="201">
        <v>462</v>
      </c>
      <c r="F6133">
        <v>971</v>
      </c>
      <c r="G6133">
        <v>-201</v>
      </c>
      <c r="H6133">
        <v>12577</v>
      </c>
      <c r="I6133">
        <v>17022</v>
      </c>
      <c r="J6133">
        <v>26257</v>
      </c>
      <c r="K6133" s="201">
        <v>27347</v>
      </c>
    </row>
    <row r="6134" spans="1:11" x14ac:dyDescent="0.25">
      <c r="A6134"/>
      <c r="B6134" s="201">
        <v>12483</v>
      </c>
      <c r="C6134">
        <v>17769</v>
      </c>
      <c r="D6134" s="201">
        <v>14228</v>
      </c>
      <c r="E6134" s="201">
        <v>19701</v>
      </c>
      <c r="F6134">
        <v>18822</v>
      </c>
      <c r="G6134">
        <v>9470</v>
      </c>
      <c r="H6134">
        <v>14624</v>
      </c>
      <c r="I6134">
        <v>53816</v>
      </c>
      <c r="J6134">
        <v>48237</v>
      </c>
      <c r="K6134" s="201">
        <v>33790</v>
      </c>
    </row>
    <row r="6135" spans="1:11" x14ac:dyDescent="0.25">
      <c r="A6135"/>
      <c r="B6135" s="201">
        <v>47576</v>
      </c>
      <c r="C6135">
        <v>-1086</v>
      </c>
      <c r="D6135" s="201">
        <v>-204</v>
      </c>
      <c r="E6135" s="201">
        <v>-45</v>
      </c>
      <c r="F6135">
        <v>-160</v>
      </c>
      <c r="G6135">
        <v>-292</v>
      </c>
      <c r="H6135">
        <v>0</v>
      </c>
      <c r="I6135">
        <v>0</v>
      </c>
      <c r="J6135">
        <v>-3</v>
      </c>
      <c r="K6135" s="201">
        <v>0</v>
      </c>
    </row>
    <row r="6136" spans="1:11" x14ac:dyDescent="0.25">
      <c r="A6136"/>
      <c r="B6136" s="201">
        <v>0</v>
      </c>
      <c r="C6136">
        <v>0</v>
      </c>
      <c r="D6136" s="201">
        <v>-71</v>
      </c>
      <c r="E6136" s="201">
        <v>143</v>
      </c>
      <c r="F6136">
        <v>0</v>
      </c>
      <c r="G6136">
        <v>0</v>
      </c>
      <c r="H6136">
        <v>0</v>
      </c>
      <c r="I6136">
        <v>0</v>
      </c>
      <c r="J6136">
        <v>0</v>
      </c>
      <c r="K6136" s="201">
        <v>0</v>
      </c>
    </row>
    <row r="6137" spans="1:11" x14ac:dyDescent="0.25">
      <c r="A6137"/>
      <c r="B6137" s="201">
        <v>758</v>
      </c>
      <c r="C6137">
        <v>0</v>
      </c>
      <c r="D6137" s="201">
        <v>0</v>
      </c>
      <c r="E6137" s="201">
        <v>75</v>
      </c>
      <c r="F6137">
        <v>0</v>
      </c>
      <c r="G6137">
        <v>100</v>
      </c>
      <c r="H6137">
        <v>0</v>
      </c>
      <c r="I6137">
        <v>120</v>
      </c>
      <c r="J6137">
        <v>461</v>
      </c>
      <c r="K6137" s="201">
        <v>-73</v>
      </c>
    </row>
    <row r="6138" spans="1:11" x14ac:dyDescent="0.25">
      <c r="A6138"/>
      <c r="B6138" s="201">
        <v>0</v>
      </c>
      <c r="C6138">
        <v>-194</v>
      </c>
      <c r="D6138" s="201">
        <v>-195</v>
      </c>
      <c r="E6138" s="201">
        <v>14</v>
      </c>
      <c r="F6138">
        <v>-83</v>
      </c>
      <c r="G6138">
        <v>-412</v>
      </c>
      <c r="H6138">
        <v>-592</v>
      </c>
      <c r="I6138">
        <v>0</v>
      </c>
      <c r="J6138">
        <v>105</v>
      </c>
      <c r="K6138" s="201">
        <v>0</v>
      </c>
    </row>
    <row r="6139" spans="1:11" x14ac:dyDescent="0.25">
      <c r="A6139"/>
      <c r="B6139" s="201">
        <v>0</v>
      </c>
      <c r="C6139">
        <v>0</v>
      </c>
      <c r="D6139" s="201">
        <v>0</v>
      </c>
      <c r="E6139" s="201">
        <v>0</v>
      </c>
      <c r="F6139">
        <v>-35</v>
      </c>
      <c r="G6139">
        <v>0</v>
      </c>
      <c r="H6139">
        <v>0</v>
      </c>
      <c r="I6139">
        <v>0</v>
      </c>
      <c r="J6139">
        <v>-188</v>
      </c>
      <c r="K6139" s="201">
        <v>0</v>
      </c>
    </row>
    <row r="6140" spans="1:11" x14ac:dyDescent="0.25">
      <c r="A6140"/>
      <c r="B6140" s="201">
        <v>15</v>
      </c>
      <c r="C6140">
        <v>0</v>
      </c>
      <c r="D6140" s="201">
        <v>0</v>
      </c>
      <c r="E6140" s="201">
        <v>0</v>
      </c>
      <c r="F6140">
        <v>0</v>
      </c>
      <c r="G6140">
        <v>0</v>
      </c>
      <c r="H6140">
        <v>456</v>
      </c>
      <c r="I6140">
        <v>0</v>
      </c>
      <c r="J6140">
        <v>22</v>
      </c>
      <c r="K6140" s="201">
        <v>529</v>
      </c>
    </row>
    <row r="6141" spans="1:11" x14ac:dyDescent="0.25">
      <c r="A6141"/>
      <c r="B6141" s="201">
        <v>0</v>
      </c>
      <c r="C6141">
        <v>0</v>
      </c>
      <c r="D6141" s="201">
        <v>-11135</v>
      </c>
      <c r="E6141" s="201">
        <v>-405</v>
      </c>
      <c r="F6141">
        <v>0</v>
      </c>
      <c r="G6141">
        <v>-393</v>
      </c>
      <c r="H6141">
        <v>0</v>
      </c>
      <c r="I6141">
        <v>0</v>
      </c>
      <c r="J6141">
        <v>0</v>
      </c>
      <c r="K6141" s="201">
        <v>0</v>
      </c>
    </row>
    <row r="6142" spans="1:11" x14ac:dyDescent="0.25">
      <c r="A6142"/>
      <c r="B6142" s="201">
        <v>687</v>
      </c>
      <c r="C6142">
        <v>226</v>
      </c>
      <c r="D6142" s="201">
        <v>96</v>
      </c>
      <c r="E6142" s="201">
        <v>0</v>
      </c>
      <c r="F6142">
        <v>0</v>
      </c>
      <c r="G6142">
        <v>-198</v>
      </c>
      <c r="H6142">
        <v>34</v>
      </c>
      <c r="I6142">
        <v>0</v>
      </c>
      <c r="J6142">
        <v>-477</v>
      </c>
      <c r="K6142" s="201">
        <v>-115</v>
      </c>
    </row>
    <row r="6143" spans="1:11" x14ac:dyDescent="0.25">
      <c r="A6143"/>
      <c r="B6143" s="201">
        <v>-144</v>
      </c>
      <c r="C6143">
        <v>-19</v>
      </c>
      <c r="D6143" s="201">
        <v>-204</v>
      </c>
      <c r="E6143" s="201">
        <v>-145</v>
      </c>
      <c r="F6143">
        <v>-320</v>
      </c>
      <c r="G6143">
        <v>0</v>
      </c>
      <c r="H6143">
        <v>0</v>
      </c>
      <c r="I6143">
        <v>0</v>
      </c>
      <c r="J6143">
        <v>0</v>
      </c>
      <c r="K6143" s="201">
        <v>0</v>
      </c>
    </row>
    <row r="6144" spans="1:11" x14ac:dyDescent="0.25">
      <c r="A6144"/>
      <c r="B6144" s="201">
        <v>-1356</v>
      </c>
      <c r="C6144">
        <v>0</v>
      </c>
      <c r="D6144" s="201">
        <v>39</v>
      </c>
      <c r="E6144" s="201">
        <v>24</v>
      </c>
      <c r="F6144">
        <v>168</v>
      </c>
      <c r="G6144">
        <v>0</v>
      </c>
      <c r="H6144">
        <v>-9945</v>
      </c>
      <c r="I6144">
        <v>796</v>
      </c>
      <c r="J6144">
        <v>-90</v>
      </c>
      <c r="K6144" s="201">
        <v>871</v>
      </c>
    </row>
    <row r="6145" spans="1:11" x14ac:dyDescent="0.25">
      <c r="A6145"/>
      <c r="B6145" s="201">
        <v>655</v>
      </c>
      <c r="C6145">
        <v>0</v>
      </c>
      <c r="D6145" s="201">
        <v>-44</v>
      </c>
      <c r="E6145" s="201">
        <v>821</v>
      </c>
      <c r="F6145">
        <v>1207</v>
      </c>
      <c r="G6145">
        <v>346</v>
      </c>
      <c r="H6145">
        <v>0</v>
      </c>
      <c r="I6145">
        <v>-176</v>
      </c>
      <c r="J6145">
        <v>138</v>
      </c>
      <c r="K6145" s="201">
        <v>0</v>
      </c>
    </row>
    <row r="6146" spans="1:11" x14ac:dyDescent="0.25">
      <c r="A6146"/>
      <c r="B6146" s="201">
        <v>0</v>
      </c>
      <c r="C6146">
        <v>0</v>
      </c>
      <c r="D6146" s="201">
        <v>121</v>
      </c>
      <c r="E6146" s="201">
        <v>65</v>
      </c>
      <c r="F6146">
        <v>0</v>
      </c>
      <c r="G6146">
        <v>13</v>
      </c>
      <c r="H6146">
        <v>-544</v>
      </c>
      <c r="I6146">
        <v>17</v>
      </c>
      <c r="J6146">
        <v>105</v>
      </c>
      <c r="K6146" s="201">
        <v>0</v>
      </c>
    </row>
    <row r="6147" spans="1:11" x14ac:dyDescent="0.25">
      <c r="A6147"/>
      <c r="B6147" s="201">
        <v>0</v>
      </c>
      <c r="C6147">
        <v>0</v>
      </c>
      <c r="D6147" s="201">
        <v>0</v>
      </c>
      <c r="E6147" s="201">
        <v>0</v>
      </c>
      <c r="F6147">
        <v>-5608</v>
      </c>
      <c r="G6147">
        <v>0</v>
      </c>
      <c r="H6147">
        <v>-1148</v>
      </c>
      <c r="I6147">
        <v>2747</v>
      </c>
      <c r="J6147">
        <v>300</v>
      </c>
      <c r="K6147" s="201">
        <v>0</v>
      </c>
    </row>
    <row r="6148" spans="1:11" x14ac:dyDescent="0.25">
      <c r="A6148"/>
      <c r="B6148" s="201">
        <v>-8784</v>
      </c>
      <c r="C6148">
        <v>787</v>
      </c>
      <c r="D6148" s="201">
        <v>209</v>
      </c>
      <c r="E6148" s="201">
        <v>761</v>
      </c>
      <c r="F6148">
        <v>200</v>
      </c>
      <c r="G6148">
        <v>117</v>
      </c>
      <c r="H6148">
        <v>224</v>
      </c>
      <c r="I6148">
        <v>-590</v>
      </c>
      <c r="J6148">
        <v>0</v>
      </c>
      <c r="K6148" s="201">
        <v>-60</v>
      </c>
    </row>
    <row r="6149" spans="1:11" x14ac:dyDescent="0.25">
      <c r="A6149"/>
      <c r="B6149" s="201">
        <v>0</v>
      </c>
      <c r="C6149">
        <v>0</v>
      </c>
      <c r="D6149" s="201">
        <v>402</v>
      </c>
      <c r="E6149" s="201">
        <v>-28</v>
      </c>
      <c r="F6149">
        <v>0</v>
      </c>
      <c r="G6149">
        <v>-82</v>
      </c>
      <c r="H6149">
        <v>0</v>
      </c>
      <c r="I6149">
        <v>0</v>
      </c>
      <c r="J6149">
        <v>32</v>
      </c>
      <c r="K6149" s="201">
        <v>0</v>
      </c>
    </row>
    <row r="6150" spans="1:11" x14ac:dyDescent="0.25">
      <c r="A6150"/>
      <c r="B6150" s="201">
        <v>58</v>
      </c>
      <c r="C6150">
        <v>-40</v>
      </c>
      <c r="D6150" s="201">
        <v>239</v>
      </c>
      <c r="E6150" s="201">
        <v>0</v>
      </c>
      <c r="F6150">
        <v>0</v>
      </c>
      <c r="G6150">
        <v>0</v>
      </c>
      <c r="H6150">
        <v>0</v>
      </c>
      <c r="I6150">
        <v>0</v>
      </c>
      <c r="J6150">
        <v>-3924</v>
      </c>
      <c r="K6150" s="201">
        <v>0</v>
      </c>
    </row>
    <row r="6151" spans="1:11" x14ac:dyDescent="0.25">
      <c r="A6151"/>
      <c r="B6151" s="201">
        <v>-1076</v>
      </c>
      <c r="C6151">
        <v>-339</v>
      </c>
      <c r="D6151" s="201">
        <v>-78</v>
      </c>
      <c r="E6151" s="201">
        <v>0</v>
      </c>
      <c r="F6151">
        <v>-21523</v>
      </c>
      <c r="G6151">
        <v>-403</v>
      </c>
      <c r="H6151">
        <v>-663</v>
      </c>
      <c r="I6151">
        <v>0</v>
      </c>
      <c r="J6151">
        <v>0</v>
      </c>
      <c r="K6151" s="201">
        <v>0</v>
      </c>
    </row>
    <row r="6152" spans="1:11" x14ac:dyDescent="0.25">
      <c r="A6152"/>
      <c r="B6152" s="201">
        <v>781</v>
      </c>
      <c r="C6152">
        <v>2134</v>
      </c>
      <c r="D6152" s="201">
        <v>3274</v>
      </c>
      <c r="E6152" s="201">
        <v>-317</v>
      </c>
      <c r="F6152">
        <v>-626</v>
      </c>
      <c r="G6152">
        <v>0</v>
      </c>
      <c r="H6152">
        <v>-48</v>
      </c>
      <c r="I6152">
        <v>0</v>
      </c>
      <c r="J6152">
        <v>0</v>
      </c>
      <c r="K6152" s="201">
        <v>108</v>
      </c>
    </row>
    <row r="6153" spans="1:11" x14ac:dyDescent="0.25">
      <c r="A6153"/>
      <c r="B6153" s="201">
        <v>0</v>
      </c>
      <c r="C6153">
        <v>-6</v>
      </c>
      <c r="D6153" s="201">
        <v>0</v>
      </c>
      <c r="E6153" s="201">
        <v>67</v>
      </c>
      <c r="F6153">
        <v>0</v>
      </c>
      <c r="G6153">
        <v>0</v>
      </c>
      <c r="H6153">
        <v>0</v>
      </c>
      <c r="I6153">
        <v>0</v>
      </c>
      <c r="J6153">
        <v>0</v>
      </c>
      <c r="K6153" s="201">
        <v>0</v>
      </c>
    </row>
    <row r="6154" spans="1:11" x14ac:dyDescent="0.25">
      <c r="A6154"/>
      <c r="B6154" s="201">
        <v>0</v>
      </c>
      <c r="C6154" s="201">
        <v>0</v>
      </c>
      <c r="D6154" s="201">
        <v>-3068</v>
      </c>
      <c r="E6154" s="201">
        <v>0</v>
      </c>
      <c r="F6154">
        <v>-369</v>
      </c>
      <c r="G6154">
        <v>2851</v>
      </c>
      <c r="H6154">
        <v>951</v>
      </c>
      <c r="I6154">
        <v>0</v>
      </c>
      <c r="J6154">
        <v>-10602</v>
      </c>
      <c r="K6154" s="201">
        <v>437</v>
      </c>
    </row>
    <row r="6155" spans="1:11" x14ac:dyDescent="0.25">
      <c r="A6155"/>
      <c r="B6155" s="201">
        <v>0</v>
      </c>
      <c r="C6155">
        <v>0</v>
      </c>
      <c r="D6155" s="201">
        <v>0</v>
      </c>
      <c r="E6155" s="201">
        <v>0</v>
      </c>
      <c r="F6155">
        <v>0</v>
      </c>
      <c r="G6155">
        <v>-828</v>
      </c>
      <c r="H6155">
        <v>-687</v>
      </c>
      <c r="I6155">
        <v>212</v>
      </c>
      <c r="J6155">
        <v>-20</v>
      </c>
      <c r="K6155" s="201">
        <v>101</v>
      </c>
    </row>
    <row r="6156" spans="1:11" x14ac:dyDescent="0.25">
      <c r="A6156"/>
      <c r="B6156" s="201">
        <v>1082</v>
      </c>
      <c r="C6156">
        <v>0</v>
      </c>
      <c r="D6156" s="201">
        <v>0</v>
      </c>
      <c r="E6156" s="201">
        <v>0</v>
      </c>
      <c r="F6156">
        <v>0</v>
      </c>
      <c r="G6156">
        <v>-892</v>
      </c>
      <c r="H6156">
        <v>0</v>
      </c>
      <c r="I6156">
        <v>-151</v>
      </c>
      <c r="J6156">
        <v>0</v>
      </c>
      <c r="K6156" s="201">
        <v>0</v>
      </c>
    </row>
    <row r="6157" spans="1:11" x14ac:dyDescent="0.25">
      <c r="A6157"/>
      <c r="B6157" s="201">
        <v>-144</v>
      </c>
      <c r="C6157">
        <v>787</v>
      </c>
      <c r="D6157" s="201">
        <v>0</v>
      </c>
      <c r="E6157" s="201">
        <v>0</v>
      </c>
      <c r="F6157">
        <v>0</v>
      </c>
      <c r="G6157">
        <v>0</v>
      </c>
      <c r="H6157">
        <v>-3285</v>
      </c>
      <c r="I6157">
        <v>0</v>
      </c>
      <c r="J6157">
        <v>-815</v>
      </c>
      <c r="K6157" s="201">
        <v>-1733</v>
      </c>
    </row>
    <row r="6158" spans="1:11" x14ac:dyDescent="0.25">
      <c r="A6158"/>
      <c r="B6158" s="201">
        <v>-183</v>
      </c>
      <c r="C6158">
        <v>-634</v>
      </c>
      <c r="D6158" s="201">
        <v>-235</v>
      </c>
      <c r="E6158" s="201">
        <v>-1719</v>
      </c>
      <c r="F6158">
        <v>-1144</v>
      </c>
      <c r="G6158">
        <v>-133</v>
      </c>
      <c r="H6158">
        <v>-53</v>
      </c>
      <c r="I6158">
        <v>460</v>
      </c>
      <c r="J6158">
        <v>0</v>
      </c>
      <c r="K6158" s="201">
        <v>0</v>
      </c>
    </row>
    <row r="6159" spans="1:11" x14ac:dyDescent="0.25">
      <c r="A6159"/>
      <c r="B6159" s="201">
        <v>0</v>
      </c>
      <c r="C6159">
        <v>0</v>
      </c>
      <c r="D6159" s="201">
        <v>0</v>
      </c>
      <c r="E6159" s="201">
        <v>0</v>
      </c>
      <c r="F6159">
        <v>0</v>
      </c>
      <c r="G6159">
        <v>418</v>
      </c>
      <c r="H6159">
        <v>1232</v>
      </c>
      <c r="I6159">
        <v>460</v>
      </c>
      <c r="J6159">
        <v>62</v>
      </c>
      <c r="K6159" s="201">
        <v>345</v>
      </c>
    </row>
    <row r="6160" spans="1:11" x14ac:dyDescent="0.25">
      <c r="A6160"/>
      <c r="B6160" s="201">
        <v>394</v>
      </c>
      <c r="C6160">
        <v>0</v>
      </c>
      <c r="D6160" s="201">
        <v>0</v>
      </c>
      <c r="E6160" s="201">
        <v>-2235</v>
      </c>
      <c r="F6160">
        <v>0</v>
      </c>
      <c r="G6160">
        <v>375</v>
      </c>
      <c r="H6160">
        <v>-17713</v>
      </c>
      <c r="I6160">
        <v>0</v>
      </c>
      <c r="J6160">
        <v>0</v>
      </c>
      <c r="K6160" s="201">
        <v>0</v>
      </c>
    </row>
    <row r="6161" spans="1:11" x14ac:dyDescent="0.25">
      <c r="A6161"/>
      <c r="B6161" s="201">
        <v>0</v>
      </c>
      <c r="C6161">
        <v>100</v>
      </c>
      <c r="D6161" s="201">
        <v>0</v>
      </c>
      <c r="E6161" s="201">
        <v>-86</v>
      </c>
      <c r="F6161">
        <v>-175</v>
      </c>
      <c r="G6161">
        <v>0</v>
      </c>
      <c r="H6161">
        <v>0</v>
      </c>
      <c r="I6161">
        <v>0</v>
      </c>
      <c r="J6161">
        <v>0</v>
      </c>
      <c r="K6161" s="201">
        <v>0</v>
      </c>
    </row>
    <row r="6162" spans="1:11" x14ac:dyDescent="0.25">
      <c r="A6162"/>
      <c r="B6162" s="201">
        <v>0</v>
      </c>
      <c r="C6162">
        <v>0</v>
      </c>
      <c r="D6162" s="201">
        <v>0</v>
      </c>
      <c r="E6162" s="201">
        <v>0</v>
      </c>
      <c r="F6162">
        <v>0</v>
      </c>
      <c r="G6162">
        <v>0</v>
      </c>
      <c r="H6162">
        <v>0</v>
      </c>
      <c r="I6162">
        <v>0</v>
      </c>
      <c r="J6162">
        <v>0</v>
      </c>
      <c r="K6162" s="201">
        <v>0</v>
      </c>
    </row>
    <row r="6163" spans="1:11" x14ac:dyDescent="0.25">
      <c r="A6163"/>
      <c r="B6163" s="201">
        <v>234</v>
      </c>
      <c r="C6163">
        <v>0</v>
      </c>
      <c r="D6163" s="201">
        <v>0</v>
      </c>
      <c r="E6163" s="201">
        <v>0</v>
      </c>
      <c r="F6163">
        <v>0</v>
      </c>
      <c r="G6163">
        <v>0</v>
      </c>
      <c r="H6163">
        <v>25</v>
      </c>
      <c r="I6163">
        <v>-108</v>
      </c>
      <c r="J6163">
        <v>-34</v>
      </c>
      <c r="K6163" s="201">
        <v>272</v>
      </c>
    </row>
    <row r="6164" spans="1:11" x14ac:dyDescent="0.25">
      <c r="A6164"/>
      <c r="B6164" s="201">
        <v>-887</v>
      </c>
      <c r="C6164">
        <v>-904</v>
      </c>
      <c r="D6164" s="201">
        <v>262</v>
      </c>
      <c r="E6164" s="201">
        <v>269</v>
      </c>
      <c r="F6164">
        <v>-246</v>
      </c>
      <c r="G6164">
        <v>-54</v>
      </c>
      <c r="H6164">
        <v>-101</v>
      </c>
      <c r="I6164">
        <v>-8</v>
      </c>
      <c r="J6164">
        <v>113</v>
      </c>
      <c r="K6164" s="201">
        <v>-1115</v>
      </c>
    </row>
    <row r="6165" spans="1:11" x14ac:dyDescent="0.25">
      <c r="B6165" s="201">
        <v>-525</v>
      </c>
      <c r="C6165">
        <v>-1334</v>
      </c>
      <c r="D6165" s="201">
        <v>-38</v>
      </c>
      <c r="E6165" s="201">
        <v>0</v>
      </c>
      <c r="F6165">
        <v>-200</v>
      </c>
      <c r="G6165">
        <v>-105</v>
      </c>
      <c r="H6165">
        <v>151</v>
      </c>
      <c r="I6165">
        <v>216</v>
      </c>
      <c r="J6165">
        <v>2793</v>
      </c>
      <c r="K6165" s="201">
        <v>-760</v>
      </c>
    </row>
    <row r="6166" spans="1:11" x14ac:dyDescent="0.25">
      <c r="A6166"/>
      <c r="B6166" s="201">
        <v>-2260</v>
      </c>
      <c r="C6166">
        <v>1248</v>
      </c>
      <c r="D6166" s="201">
        <v>1413</v>
      </c>
      <c r="E6166" s="201">
        <v>-671</v>
      </c>
      <c r="F6166">
        <v>53</v>
      </c>
      <c r="G6166">
        <v>540</v>
      </c>
      <c r="H6166">
        <v>2982</v>
      </c>
      <c r="I6166">
        <v>-1676</v>
      </c>
      <c r="J6166">
        <v>-1195</v>
      </c>
      <c r="K6166" s="201">
        <v>1212</v>
      </c>
    </row>
    <row r="6167" spans="1:11" x14ac:dyDescent="0.25">
      <c r="A6167"/>
      <c r="B6167" s="201">
        <v>1015</v>
      </c>
      <c r="C6167">
        <v>339</v>
      </c>
      <c r="D6167" s="201">
        <v>931</v>
      </c>
      <c r="E6167" s="201">
        <v>-298</v>
      </c>
      <c r="F6167">
        <v>9483</v>
      </c>
      <c r="G6167">
        <v>13021</v>
      </c>
      <c r="H6167">
        <v>19032</v>
      </c>
      <c r="I6167">
        <v>15446</v>
      </c>
      <c r="J6167">
        <v>22105</v>
      </c>
      <c r="K6167" s="201">
        <v>13055</v>
      </c>
    </row>
    <row r="6168" spans="1:11" x14ac:dyDescent="0.25">
      <c r="A6168"/>
      <c r="B6168" s="201">
        <v>11258</v>
      </c>
      <c r="C6168">
        <v>14803</v>
      </c>
      <c r="D6168" s="201">
        <v>11090</v>
      </c>
      <c r="E6168" s="201">
        <v>14970</v>
      </c>
      <c r="F6168">
        <v>10928</v>
      </c>
      <c r="G6168">
        <v>43785</v>
      </c>
      <c r="H6168">
        <v>38276</v>
      </c>
      <c r="I6168">
        <v>28966</v>
      </c>
      <c r="J6168">
        <v>38027</v>
      </c>
      <c r="K6168" s="201">
        <v>48846</v>
      </c>
    </row>
    <row r="6169" spans="1:11" x14ac:dyDescent="0.25">
      <c r="A6169"/>
      <c r="B6169" s="201">
        <v>-1117</v>
      </c>
      <c r="C6169">
        <v>-244</v>
      </c>
      <c r="D6169" s="201">
        <v>-357</v>
      </c>
      <c r="E6169" s="201">
        <v>-323</v>
      </c>
      <c r="F6169">
        <v>-397</v>
      </c>
      <c r="G6169">
        <v>0</v>
      </c>
      <c r="H6169">
        <v>0</v>
      </c>
      <c r="I6169">
        <v>-81</v>
      </c>
      <c r="J6169">
        <v>0</v>
      </c>
      <c r="K6169" s="201">
        <v>0</v>
      </c>
    </row>
    <row r="6170" spans="1:11" x14ac:dyDescent="0.25">
      <c r="A6170"/>
      <c r="B6170" s="201">
        <v>0</v>
      </c>
      <c r="C6170">
        <v>51</v>
      </c>
      <c r="D6170" s="201">
        <v>149</v>
      </c>
      <c r="E6170" s="201">
        <v>0</v>
      </c>
      <c r="F6170">
        <v>0</v>
      </c>
      <c r="G6170">
        <v>0</v>
      </c>
      <c r="H6170">
        <v>0</v>
      </c>
      <c r="I6170">
        <v>0</v>
      </c>
      <c r="J6170">
        <v>0</v>
      </c>
      <c r="K6170" s="201">
        <v>-23</v>
      </c>
    </row>
    <row r="6171" spans="1:11" x14ac:dyDescent="0.25">
      <c r="A6171"/>
      <c r="B6171" s="201">
        <v>0</v>
      </c>
      <c r="C6171">
        <v>0</v>
      </c>
      <c r="D6171" s="201">
        <v>113</v>
      </c>
      <c r="E6171" s="201">
        <v>0</v>
      </c>
      <c r="F6171">
        <v>85</v>
      </c>
      <c r="G6171">
        <v>0</v>
      </c>
      <c r="H6171">
        <v>124</v>
      </c>
      <c r="I6171">
        <v>720</v>
      </c>
      <c r="J6171">
        <v>-8</v>
      </c>
      <c r="K6171" s="201">
        <v>0</v>
      </c>
    </row>
    <row r="6172" spans="1:11" x14ac:dyDescent="0.25">
      <c r="B6172" s="201">
        <v>-295</v>
      </c>
      <c r="C6172">
        <v>-256</v>
      </c>
      <c r="D6172" s="201">
        <v>-90</v>
      </c>
      <c r="E6172" s="201">
        <v>-174</v>
      </c>
      <c r="F6172">
        <v>-179</v>
      </c>
      <c r="G6172">
        <v>-894</v>
      </c>
      <c r="H6172">
        <v>0</v>
      </c>
      <c r="I6172">
        <v>101</v>
      </c>
      <c r="J6172">
        <v>0</v>
      </c>
      <c r="K6172" s="201">
        <v>0</v>
      </c>
    </row>
    <row r="6173" spans="1:11" x14ac:dyDescent="0.25">
      <c r="A6173"/>
      <c r="B6173" s="201">
        <v>0</v>
      </c>
      <c r="C6173">
        <v>0</v>
      </c>
      <c r="D6173" s="201">
        <v>0</v>
      </c>
      <c r="E6173" s="201">
        <v>-6</v>
      </c>
      <c r="F6173">
        <v>0</v>
      </c>
      <c r="G6173">
        <v>0</v>
      </c>
      <c r="H6173">
        <v>0</v>
      </c>
      <c r="I6173">
        <v>-140</v>
      </c>
      <c r="J6173">
        <v>0</v>
      </c>
      <c r="K6173" s="201">
        <v>-2</v>
      </c>
    </row>
    <row r="6174" spans="1:11" x14ac:dyDescent="0.25">
      <c r="A6174"/>
      <c r="B6174" s="201">
        <v>0</v>
      </c>
      <c r="C6174">
        <v>0</v>
      </c>
      <c r="D6174" s="201">
        <v>0</v>
      </c>
      <c r="E6174" s="201">
        <v>0</v>
      </c>
      <c r="F6174">
        <v>0</v>
      </c>
      <c r="G6174">
        <v>579</v>
      </c>
      <c r="H6174">
        <v>0</v>
      </c>
      <c r="I6174">
        <v>115</v>
      </c>
      <c r="J6174">
        <v>505</v>
      </c>
      <c r="K6174" s="201">
        <v>0</v>
      </c>
    </row>
    <row r="6175" spans="1:11" x14ac:dyDescent="0.25">
      <c r="A6175"/>
      <c r="B6175" s="201">
        <v>0</v>
      </c>
      <c r="C6175">
        <v>-13289</v>
      </c>
      <c r="D6175" s="201">
        <v>-569</v>
      </c>
      <c r="E6175" s="201">
        <v>0</v>
      </c>
      <c r="F6175">
        <v>-380</v>
      </c>
      <c r="G6175">
        <v>0</v>
      </c>
      <c r="H6175">
        <v>0</v>
      </c>
      <c r="I6175">
        <v>0</v>
      </c>
      <c r="J6175">
        <v>0</v>
      </c>
      <c r="K6175" s="201">
        <v>1023</v>
      </c>
    </row>
    <row r="6176" spans="1:11" x14ac:dyDescent="0.25">
      <c r="A6176"/>
      <c r="B6176" s="201">
        <v>203</v>
      </c>
      <c r="C6176">
        <v>66</v>
      </c>
      <c r="D6176" s="201">
        <v>0</v>
      </c>
      <c r="E6176" s="201">
        <v>0</v>
      </c>
      <c r="F6176">
        <v>-260</v>
      </c>
      <c r="G6176">
        <v>88</v>
      </c>
      <c r="H6176">
        <v>0</v>
      </c>
      <c r="I6176">
        <v>-654</v>
      </c>
      <c r="J6176">
        <v>141</v>
      </c>
      <c r="K6176" s="201">
        <v>-151</v>
      </c>
    </row>
    <row r="6177" spans="1:11" x14ac:dyDescent="0.25">
      <c r="A6177"/>
      <c r="B6177" s="201">
        <v>23</v>
      </c>
      <c r="C6177">
        <v>-149</v>
      </c>
      <c r="D6177" s="201">
        <v>-177</v>
      </c>
      <c r="E6177" s="201">
        <v>-601</v>
      </c>
      <c r="F6177">
        <v>0</v>
      </c>
      <c r="G6177">
        <v>0</v>
      </c>
      <c r="H6177">
        <v>0</v>
      </c>
      <c r="I6177">
        <v>0</v>
      </c>
      <c r="J6177">
        <v>0</v>
      </c>
      <c r="K6177" s="201">
        <v>-1361</v>
      </c>
    </row>
    <row r="6178" spans="1:11" x14ac:dyDescent="0.25">
      <c r="A6178"/>
      <c r="B6178" s="201">
        <v>0</v>
      </c>
      <c r="C6178">
        <v>-34</v>
      </c>
      <c r="D6178" s="201">
        <v>103</v>
      </c>
      <c r="E6178" s="201">
        <v>286</v>
      </c>
      <c r="F6178">
        <v>0</v>
      </c>
      <c r="G6178">
        <v>-11849</v>
      </c>
      <c r="H6178">
        <v>827</v>
      </c>
      <c r="I6178">
        <v>-1006</v>
      </c>
      <c r="J6178">
        <v>-25</v>
      </c>
      <c r="K6178" s="201">
        <v>-334</v>
      </c>
    </row>
    <row r="6179" spans="1:11" x14ac:dyDescent="0.25">
      <c r="A6179"/>
      <c r="B6179" s="201">
        <v>0</v>
      </c>
      <c r="C6179">
        <v>-1051</v>
      </c>
      <c r="D6179" s="201">
        <v>-1434</v>
      </c>
      <c r="E6179" s="201">
        <v>-181</v>
      </c>
      <c r="F6179">
        <v>967</v>
      </c>
      <c r="G6179">
        <v>0</v>
      </c>
      <c r="H6179">
        <v>-1231</v>
      </c>
      <c r="I6179">
        <v>-241</v>
      </c>
      <c r="J6179">
        <v>0</v>
      </c>
      <c r="K6179" s="201">
        <v>0</v>
      </c>
    </row>
    <row r="6180" spans="1:11" x14ac:dyDescent="0.25">
      <c r="A6180"/>
      <c r="B6180" s="201">
        <v>0</v>
      </c>
      <c r="C6180">
        <v>293</v>
      </c>
      <c r="D6180" s="201">
        <v>-406</v>
      </c>
      <c r="E6180" s="201">
        <v>0</v>
      </c>
      <c r="F6180">
        <v>28</v>
      </c>
      <c r="G6180">
        <v>-930</v>
      </c>
      <c r="H6180">
        <v>-45</v>
      </c>
      <c r="I6180">
        <v>1220</v>
      </c>
      <c r="J6180">
        <v>0</v>
      </c>
      <c r="K6180" s="201">
        <v>0</v>
      </c>
    </row>
    <row r="6181" spans="1:11" x14ac:dyDescent="0.25">
      <c r="A6181"/>
      <c r="B6181" s="201">
        <v>0</v>
      </c>
      <c r="C6181">
        <v>0</v>
      </c>
      <c r="D6181" s="201">
        <v>0</v>
      </c>
      <c r="E6181" s="201">
        <v>-6254</v>
      </c>
      <c r="F6181">
        <v>0</v>
      </c>
      <c r="G6181">
        <v>-1367</v>
      </c>
      <c r="H6181">
        <v>3478</v>
      </c>
      <c r="I6181">
        <v>581</v>
      </c>
      <c r="J6181">
        <v>0</v>
      </c>
      <c r="K6181" s="201">
        <v>-10023</v>
      </c>
    </row>
    <row r="6182" spans="1:11" x14ac:dyDescent="0.25">
      <c r="A6182"/>
      <c r="B6182" s="201">
        <v>832</v>
      </c>
      <c r="C6182">
        <v>356</v>
      </c>
      <c r="D6182" s="201">
        <v>764</v>
      </c>
      <c r="E6182" s="201">
        <v>-92</v>
      </c>
      <c r="F6182">
        <v>57</v>
      </c>
      <c r="G6182">
        <v>283</v>
      </c>
      <c r="H6182">
        <v>-705</v>
      </c>
      <c r="I6182">
        <v>0</v>
      </c>
      <c r="J6182">
        <v>-216</v>
      </c>
      <c r="K6182" s="201">
        <v>0</v>
      </c>
    </row>
    <row r="6183" spans="1:11" x14ac:dyDescent="0.25">
      <c r="A6183"/>
      <c r="B6183" s="201">
        <v>0</v>
      </c>
      <c r="C6183">
        <v>272</v>
      </c>
      <c r="D6183" s="201">
        <v>-51</v>
      </c>
      <c r="E6183" s="201">
        <v>0</v>
      </c>
      <c r="F6183">
        <v>18</v>
      </c>
      <c r="G6183">
        <v>0</v>
      </c>
      <c r="H6183">
        <v>0</v>
      </c>
      <c r="I6183">
        <v>24</v>
      </c>
      <c r="J6183">
        <v>0</v>
      </c>
      <c r="K6183" s="201">
        <v>120</v>
      </c>
    </row>
    <row r="6184" spans="1:11" x14ac:dyDescent="0.25">
      <c r="A6184"/>
      <c r="B6184" s="201">
        <v>-48</v>
      </c>
      <c r="C6184">
        <v>-34</v>
      </c>
      <c r="D6184" s="201">
        <v>0</v>
      </c>
      <c r="E6184" s="201">
        <v>0</v>
      </c>
      <c r="F6184">
        <v>0</v>
      </c>
      <c r="G6184">
        <v>0</v>
      </c>
      <c r="H6184">
        <v>0</v>
      </c>
      <c r="I6184">
        <v>-4788</v>
      </c>
      <c r="J6184">
        <v>0</v>
      </c>
      <c r="K6184" s="201">
        <v>-1328</v>
      </c>
    </row>
    <row r="6185" spans="1:11" x14ac:dyDescent="0.25">
      <c r="B6185" s="201">
        <v>-509</v>
      </c>
      <c r="C6185">
        <v>-105</v>
      </c>
      <c r="D6185" s="201">
        <v>0</v>
      </c>
      <c r="E6185" s="201">
        <v>-15364</v>
      </c>
      <c r="F6185">
        <v>660</v>
      </c>
      <c r="G6185">
        <v>794</v>
      </c>
      <c r="H6185">
        <v>0</v>
      </c>
      <c r="I6185">
        <v>0</v>
      </c>
      <c r="J6185">
        <v>0</v>
      </c>
      <c r="K6185" s="201">
        <v>808</v>
      </c>
    </row>
    <row r="6186" spans="1:11" x14ac:dyDescent="0.25">
      <c r="B6186" s="201">
        <v>1495</v>
      </c>
      <c r="C6186">
        <v>1189</v>
      </c>
      <c r="D6186" s="201">
        <v>-699</v>
      </c>
      <c r="E6186" s="201">
        <v>-505</v>
      </c>
      <c r="F6186">
        <v>0</v>
      </c>
      <c r="G6186">
        <v>89</v>
      </c>
      <c r="H6186">
        <v>0</v>
      </c>
      <c r="I6186">
        <v>0</v>
      </c>
      <c r="J6186">
        <v>-225</v>
      </c>
      <c r="K6186" s="201">
        <v>0</v>
      </c>
    </row>
    <row r="6187" spans="1:11" x14ac:dyDescent="0.25">
      <c r="A6187"/>
      <c r="B6187" s="201">
        <v>192</v>
      </c>
      <c r="C6187">
        <v>0</v>
      </c>
      <c r="D6187" s="201">
        <v>7</v>
      </c>
      <c r="E6187" s="201">
        <v>0</v>
      </c>
      <c r="F6187">
        <v>0</v>
      </c>
      <c r="G6187">
        <v>0</v>
      </c>
      <c r="H6187">
        <v>0</v>
      </c>
      <c r="I6187">
        <v>0</v>
      </c>
      <c r="J6187">
        <v>0</v>
      </c>
      <c r="K6187" s="201">
        <v>0</v>
      </c>
    </row>
    <row r="6188" spans="1:11" x14ac:dyDescent="0.25">
      <c r="A6188"/>
      <c r="B6188" s="201">
        <v>0</v>
      </c>
      <c r="C6188">
        <v>-1640</v>
      </c>
      <c r="D6188" s="201">
        <v>0</v>
      </c>
      <c r="E6188" s="201">
        <v>-371</v>
      </c>
      <c r="F6188">
        <v>-2456</v>
      </c>
      <c r="G6188">
        <v>-520</v>
      </c>
      <c r="H6188">
        <v>0</v>
      </c>
      <c r="I6188">
        <v>-15118</v>
      </c>
      <c r="J6188">
        <v>-103</v>
      </c>
      <c r="K6188" s="201">
        <v>0</v>
      </c>
    </row>
    <row r="6189" spans="1:11" x14ac:dyDescent="0.25">
      <c r="A6189"/>
      <c r="B6189" s="201">
        <v>0</v>
      </c>
      <c r="C6189">
        <v>0</v>
      </c>
      <c r="D6189" s="201">
        <v>0</v>
      </c>
      <c r="E6189" s="201">
        <v>0</v>
      </c>
      <c r="F6189">
        <v>-427</v>
      </c>
      <c r="G6189">
        <v>2082</v>
      </c>
      <c r="H6189">
        <v>239</v>
      </c>
      <c r="I6189">
        <v>-536</v>
      </c>
      <c r="J6189">
        <v>-622</v>
      </c>
      <c r="K6189" s="201">
        <v>-174</v>
      </c>
    </row>
    <row r="6190" spans="1:11" x14ac:dyDescent="0.25">
      <c r="A6190"/>
      <c r="B6190" s="201">
        <v>0</v>
      </c>
      <c r="C6190">
        <v>0</v>
      </c>
      <c r="D6190" s="201">
        <v>0</v>
      </c>
      <c r="E6190" s="201">
        <v>0</v>
      </c>
      <c r="F6190">
        <v>-1058</v>
      </c>
      <c r="G6190">
        <v>0</v>
      </c>
      <c r="H6190">
        <v>-196</v>
      </c>
      <c r="I6190">
        <v>0</v>
      </c>
      <c r="J6190">
        <v>0</v>
      </c>
      <c r="K6190" s="201">
        <v>-594</v>
      </c>
    </row>
    <row r="6191" spans="1:11" x14ac:dyDescent="0.25">
      <c r="B6191" s="201">
        <v>-940</v>
      </c>
      <c r="C6191">
        <v>0</v>
      </c>
      <c r="D6191" s="201">
        <v>0</v>
      </c>
      <c r="E6191" s="201">
        <v>0</v>
      </c>
      <c r="F6191">
        <v>0</v>
      </c>
      <c r="G6191">
        <v>-5925</v>
      </c>
      <c r="H6191">
        <v>0</v>
      </c>
      <c r="I6191">
        <v>-314</v>
      </c>
      <c r="J6191">
        <v>3328</v>
      </c>
      <c r="K6191" s="201">
        <v>928</v>
      </c>
    </row>
    <row r="6192" spans="1:11" x14ac:dyDescent="0.25">
      <c r="A6192"/>
      <c r="B6192" s="201">
        <v>1702</v>
      </c>
      <c r="C6192">
        <v>-344</v>
      </c>
      <c r="D6192" s="201">
        <v>-853</v>
      </c>
      <c r="E6192" s="201">
        <v>619</v>
      </c>
      <c r="F6192">
        <v>275</v>
      </c>
      <c r="G6192">
        <v>-110</v>
      </c>
      <c r="H6192">
        <v>-1821</v>
      </c>
      <c r="I6192">
        <v>0</v>
      </c>
      <c r="J6192">
        <v>0</v>
      </c>
      <c r="K6192" s="201">
        <v>0</v>
      </c>
    </row>
    <row r="6193" spans="1:11" x14ac:dyDescent="0.25">
      <c r="A6193"/>
      <c r="B6193" s="201">
        <v>0</v>
      </c>
      <c r="C6193">
        <v>0</v>
      </c>
      <c r="D6193" s="201">
        <v>0</v>
      </c>
      <c r="E6193" s="201">
        <v>0</v>
      </c>
      <c r="F6193">
        <v>-219</v>
      </c>
      <c r="G6193">
        <v>1387</v>
      </c>
      <c r="H6193">
        <v>-488</v>
      </c>
      <c r="I6193">
        <v>0</v>
      </c>
      <c r="J6193">
        <v>-46</v>
      </c>
      <c r="K6193" s="201">
        <v>293</v>
      </c>
    </row>
    <row r="6194" spans="1:11" x14ac:dyDescent="0.25">
      <c r="A6194"/>
      <c r="B6194" s="201">
        <v>0</v>
      </c>
      <c r="C6194">
        <v>0</v>
      </c>
      <c r="D6194" s="201">
        <v>495</v>
      </c>
      <c r="E6194" s="201">
        <v>0</v>
      </c>
      <c r="F6194">
        <v>523</v>
      </c>
      <c r="G6194">
        <v>-20630</v>
      </c>
      <c r="H6194">
        <v>0</v>
      </c>
      <c r="I6194">
        <v>0</v>
      </c>
      <c r="J6194">
        <v>0</v>
      </c>
      <c r="K6194" s="201">
        <v>0</v>
      </c>
    </row>
    <row r="6195" spans="1:11" x14ac:dyDescent="0.25">
      <c r="A6195"/>
      <c r="B6195" s="201">
        <v>368</v>
      </c>
      <c r="C6195">
        <v>0</v>
      </c>
      <c r="D6195" s="201">
        <v>103</v>
      </c>
      <c r="E6195" s="201">
        <v>465</v>
      </c>
      <c r="F6195">
        <v>0</v>
      </c>
      <c r="G6195">
        <v>0</v>
      </c>
      <c r="H6195">
        <v>0</v>
      </c>
      <c r="I6195">
        <v>0</v>
      </c>
      <c r="J6195">
        <v>0</v>
      </c>
      <c r="K6195" s="201">
        <v>0</v>
      </c>
    </row>
    <row r="6196" spans="1:11" x14ac:dyDescent="0.25">
      <c r="A6196"/>
      <c r="B6196" s="201">
        <v>0</v>
      </c>
      <c r="C6196">
        <v>0</v>
      </c>
      <c r="D6196" s="201">
        <v>0</v>
      </c>
      <c r="E6196" s="201">
        <v>0</v>
      </c>
      <c r="F6196">
        <v>0</v>
      </c>
      <c r="G6196">
        <v>0</v>
      </c>
      <c r="H6196">
        <v>0</v>
      </c>
      <c r="I6196">
        <v>0</v>
      </c>
      <c r="J6196">
        <v>0</v>
      </c>
      <c r="K6196" s="201">
        <v>209</v>
      </c>
    </row>
    <row r="6197" spans="1:11" x14ac:dyDescent="0.25">
      <c r="A6197"/>
      <c r="B6197" s="201">
        <v>0</v>
      </c>
      <c r="C6197">
        <v>0</v>
      </c>
      <c r="D6197" s="201">
        <v>0</v>
      </c>
      <c r="E6197" s="201">
        <v>0</v>
      </c>
      <c r="F6197">
        <v>0</v>
      </c>
      <c r="G6197">
        <v>95</v>
      </c>
      <c r="H6197">
        <v>-78</v>
      </c>
      <c r="I6197">
        <v>41</v>
      </c>
      <c r="J6197">
        <v>909</v>
      </c>
      <c r="K6197" s="201">
        <v>-448</v>
      </c>
    </row>
    <row r="6198" spans="1:11" x14ac:dyDescent="0.25">
      <c r="A6198"/>
      <c r="B6198" s="201">
        <v>-342</v>
      </c>
      <c r="C6198">
        <v>-1550</v>
      </c>
      <c r="D6198" s="201">
        <v>99</v>
      </c>
      <c r="E6198" s="201">
        <v>-277</v>
      </c>
      <c r="F6198">
        <v>-295</v>
      </c>
      <c r="G6198">
        <v>-111</v>
      </c>
      <c r="H6198">
        <v>-25</v>
      </c>
      <c r="I6198">
        <v>304</v>
      </c>
      <c r="J6198">
        <v>364</v>
      </c>
      <c r="K6198" s="201">
        <v>-325</v>
      </c>
    </row>
    <row r="6199" spans="1:11" x14ac:dyDescent="0.25">
      <c r="A6199"/>
      <c r="B6199" s="201">
        <v>-1877</v>
      </c>
      <c r="C6199">
        <v>-20</v>
      </c>
      <c r="D6199" s="201">
        <v>0</v>
      </c>
      <c r="E6199" s="201">
        <v>-154</v>
      </c>
      <c r="F6199">
        <v>535</v>
      </c>
      <c r="G6199">
        <v>549</v>
      </c>
      <c r="H6199">
        <v>-196</v>
      </c>
      <c r="I6199">
        <v>4888</v>
      </c>
      <c r="J6199">
        <v>457</v>
      </c>
      <c r="K6199" s="201">
        <v>-664</v>
      </c>
    </row>
    <row r="6200" spans="1:11" x14ac:dyDescent="0.25">
      <c r="B6200" s="201">
        <v>-2296</v>
      </c>
      <c r="C6200">
        <v>1658</v>
      </c>
      <c r="D6200" s="201">
        <v>-46</v>
      </c>
      <c r="E6200" s="201">
        <v>237</v>
      </c>
      <c r="F6200">
        <v>-131</v>
      </c>
      <c r="G6200">
        <v>-833</v>
      </c>
      <c r="H6200">
        <v>-255</v>
      </c>
      <c r="I6200">
        <v>935</v>
      </c>
      <c r="J6200">
        <v>936</v>
      </c>
      <c r="K6200" s="201">
        <v>4199</v>
      </c>
    </row>
    <row r="6201" spans="1:11" x14ac:dyDescent="0.25">
      <c r="A6201"/>
      <c r="B6201" s="201">
        <v>304</v>
      </c>
      <c r="C6201">
        <v>224</v>
      </c>
      <c r="D6201" s="201">
        <v>-1742</v>
      </c>
      <c r="E6201" s="201">
        <v>11031</v>
      </c>
      <c r="F6201">
        <v>15200</v>
      </c>
      <c r="G6201">
        <v>22420</v>
      </c>
      <c r="H6201">
        <v>17763</v>
      </c>
      <c r="I6201">
        <v>10668</v>
      </c>
      <c r="J6201">
        <v>23515</v>
      </c>
      <c r="K6201" s="201">
        <v>13140</v>
      </c>
    </row>
    <row r="6202" spans="1:11" x14ac:dyDescent="0.25">
      <c r="A6202"/>
      <c r="B6202" s="201">
        <v>16582</v>
      </c>
      <c r="C6202">
        <v>12791</v>
      </c>
      <c r="D6202" s="201">
        <v>8559</v>
      </c>
      <c r="E6202" s="201">
        <v>19003</v>
      </c>
      <c r="F6202">
        <v>49263</v>
      </c>
      <c r="G6202">
        <v>44854</v>
      </c>
      <c r="H6202">
        <v>31827</v>
      </c>
      <c r="I6202">
        <v>45792</v>
      </c>
      <c r="J6202">
        <v>54662</v>
      </c>
      <c r="K6202" s="201">
        <v>44199</v>
      </c>
    </row>
    <row r="6203" spans="1:11" x14ac:dyDescent="0.25">
      <c r="B6203" s="201">
        <v>-1008</v>
      </c>
      <c r="C6203">
        <v>-198</v>
      </c>
      <c r="D6203" s="201">
        <v>-146</v>
      </c>
      <c r="E6203" s="201">
        <v>-134</v>
      </c>
      <c r="F6203">
        <v>-281</v>
      </c>
      <c r="G6203">
        <v>0</v>
      </c>
      <c r="H6203">
        <v>0</v>
      </c>
      <c r="I6203">
        <v>2</v>
      </c>
      <c r="J6203">
        <v>0</v>
      </c>
      <c r="K6203" s="201">
        <v>0</v>
      </c>
    </row>
    <row r="6204" spans="1:11" x14ac:dyDescent="0.25">
      <c r="A6204"/>
      <c r="B6204" s="201">
        <v>0</v>
      </c>
      <c r="C6204">
        <v>15</v>
      </c>
      <c r="D6204" s="201">
        <v>78</v>
      </c>
      <c r="E6204" s="201">
        <v>0</v>
      </c>
      <c r="F6204">
        <v>0</v>
      </c>
      <c r="G6204">
        <v>0</v>
      </c>
      <c r="H6204">
        <v>0</v>
      </c>
      <c r="I6204">
        <v>0</v>
      </c>
      <c r="J6204">
        <v>0</v>
      </c>
      <c r="K6204" s="201">
        <v>598</v>
      </c>
    </row>
    <row r="6205" spans="1:11" x14ac:dyDescent="0.25">
      <c r="A6205"/>
      <c r="B6205" s="201">
        <v>0</v>
      </c>
      <c r="C6205">
        <v>0</v>
      </c>
      <c r="D6205" s="201">
        <v>72</v>
      </c>
      <c r="E6205" s="201">
        <v>0</v>
      </c>
      <c r="F6205">
        <v>71</v>
      </c>
      <c r="G6205">
        <v>0</v>
      </c>
      <c r="H6205">
        <v>88</v>
      </c>
      <c r="I6205">
        <v>387</v>
      </c>
      <c r="J6205">
        <v>-44</v>
      </c>
      <c r="K6205" s="201">
        <v>0</v>
      </c>
    </row>
    <row r="6206" spans="1:11" x14ac:dyDescent="0.25">
      <c r="B6206" s="201">
        <v>-209</v>
      </c>
      <c r="C6206">
        <v>-181</v>
      </c>
      <c r="D6206" s="201">
        <v>6</v>
      </c>
      <c r="E6206" s="201">
        <v>-91</v>
      </c>
      <c r="F6206">
        <v>-363</v>
      </c>
      <c r="G6206">
        <v>-511</v>
      </c>
      <c r="H6206">
        <v>0</v>
      </c>
      <c r="I6206">
        <v>85</v>
      </c>
      <c r="J6206">
        <v>0</v>
      </c>
      <c r="K6206" s="201">
        <v>0</v>
      </c>
    </row>
    <row r="6207" spans="1:11" x14ac:dyDescent="0.25">
      <c r="A6207"/>
      <c r="B6207" s="201">
        <v>0</v>
      </c>
      <c r="C6207">
        <v>0</v>
      </c>
      <c r="D6207" s="201">
        <v>0</v>
      </c>
      <c r="E6207" s="201">
        <v>-46</v>
      </c>
      <c r="F6207">
        <v>0</v>
      </c>
      <c r="G6207">
        <v>0</v>
      </c>
      <c r="H6207">
        <v>0</v>
      </c>
      <c r="I6207">
        <v>-112</v>
      </c>
      <c r="J6207">
        <v>0</v>
      </c>
      <c r="K6207" s="201">
        <v>9</v>
      </c>
    </row>
    <row r="6208" spans="1:11" x14ac:dyDescent="0.25">
      <c r="A6208"/>
      <c r="B6208" s="201">
        <v>0</v>
      </c>
      <c r="C6208">
        <v>0</v>
      </c>
      <c r="D6208" s="201">
        <v>0</v>
      </c>
      <c r="E6208" s="201">
        <v>0</v>
      </c>
      <c r="F6208">
        <v>0</v>
      </c>
      <c r="G6208">
        <v>369</v>
      </c>
      <c r="H6208">
        <v>0</v>
      </c>
      <c r="I6208">
        <v>24</v>
      </c>
      <c r="J6208">
        <v>473</v>
      </c>
      <c r="K6208" s="201">
        <v>0</v>
      </c>
    </row>
    <row r="6209" spans="1:11" x14ac:dyDescent="0.25">
      <c r="A6209"/>
      <c r="B6209" s="201">
        <v>0</v>
      </c>
      <c r="C6209">
        <v>-9373</v>
      </c>
      <c r="D6209" s="201">
        <v>-294</v>
      </c>
      <c r="E6209" s="201">
        <v>0</v>
      </c>
      <c r="F6209">
        <v>-822</v>
      </c>
      <c r="G6209">
        <v>0</v>
      </c>
      <c r="H6209">
        <v>0</v>
      </c>
      <c r="I6209">
        <v>0</v>
      </c>
      <c r="J6209">
        <v>0</v>
      </c>
      <c r="K6209" s="201">
        <v>577</v>
      </c>
    </row>
    <row r="6210" spans="1:11" x14ac:dyDescent="0.25">
      <c r="A6210"/>
      <c r="B6210" s="201">
        <v>225</v>
      </c>
      <c r="C6210">
        <v>91</v>
      </c>
      <c r="D6210" s="201">
        <v>0</v>
      </c>
      <c r="E6210" s="201">
        <v>0</v>
      </c>
      <c r="F6210">
        <v>-172</v>
      </c>
      <c r="G6210">
        <v>39</v>
      </c>
      <c r="H6210">
        <v>0</v>
      </c>
      <c r="I6210">
        <v>-277</v>
      </c>
      <c r="J6210">
        <v>-95</v>
      </c>
      <c r="K6210" s="201">
        <v>-157</v>
      </c>
    </row>
    <row r="6211" spans="1:11" x14ac:dyDescent="0.25">
      <c r="A6211"/>
      <c r="B6211" s="201">
        <v>88</v>
      </c>
      <c r="C6211">
        <v>-139</v>
      </c>
      <c r="D6211" s="201">
        <v>-106</v>
      </c>
      <c r="E6211" s="201">
        <v>-242</v>
      </c>
      <c r="F6211">
        <v>0</v>
      </c>
      <c r="G6211">
        <v>0</v>
      </c>
      <c r="H6211">
        <v>0</v>
      </c>
      <c r="I6211">
        <v>0</v>
      </c>
      <c r="J6211">
        <v>0</v>
      </c>
      <c r="K6211" s="201">
        <v>-968</v>
      </c>
    </row>
    <row r="6212" spans="1:11" x14ac:dyDescent="0.25">
      <c r="A6212"/>
      <c r="B6212" s="201">
        <v>0</v>
      </c>
      <c r="C6212">
        <v>39</v>
      </c>
      <c r="D6212" s="201">
        <v>197</v>
      </c>
      <c r="E6212" s="201">
        <v>163</v>
      </c>
      <c r="F6212">
        <v>0</v>
      </c>
      <c r="G6212">
        <v>-7485</v>
      </c>
      <c r="H6212">
        <v>899</v>
      </c>
      <c r="I6212">
        <v>103</v>
      </c>
      <c r="J6212">
        <v>227</v>
      </c>
      <c r="K6212" s="201">
        <v>181</v>
      </c>
    </row>
    <row r="6213" spans="1:11" x14ac:dyDescent="0.25">
      <c r="A6213"/>
      <c r="B6213" s="201">
        <v>0</v>
      </c>
      <c r="C6213">
        <v>62</v>
      </c>
      <c r="D6213" s="201">
        <v>343</v>
      </c>
      <c r="E6213" s="201">
        <v>478</v>
      </c>
      <c r="F6213">
        <v>48</v>
      </c>
      <c r="G6213">
        <v>0</v>
      </c>
      <c r="H6213">
        <v>-68</v>
      </c>
      <c r="I6213">
        <v>221</v>
      </c>
      <c r="J6213">
        <v>0</v>
      </c>
      <c r="K6213" s="201">
        <v>0</v>
      </c>
    </row>
    <row r="6214" spans="1:11" x14ac:dyDescent="0.25">
      <c r="A6214"/>
      <c r="B6214" s="201">
        <v>0</v>
      </c>
      <c r="C6214">
        <v>-240</v>
      </c>
      <c r="D6214" s="201">
        <v>-29</v>
      </c>
      <c r="E6214" s="201">
        <v>0</v>
      </c>
      <c r="F6214">
        <v>162</v>
      </c>
      <c r="G6214">
        <v>132</v>
      </c>
      <c r="H6214">
        <v>-4</v>
      </c>
      <c r="I6214">
        <v>88</v>
      </c>
      <c r="J6214">
        <v>0</v>
      </c>
      <c r="K6214" s="201">
        <v>0</v>
      </c>
    </row>
    <row r="6215" spans="1:11" x14ac:dyDescent="0.25">
      <c r="A6215"/>
      <c r="B6215" s="201">
        <v>0</v>
      </c>
      <c r="C6215">
        <v>0</v>
      </c>
      <c r="D6215" s="201">
        <v>0</v>
      </c>
      <c r="E6215" s="201">
        <v>-3191</v>
      </c>
      <c r="F6215">
        <v>0</v>
      </c>
      <c r="G6215">
        <v>-987</v>
      </c>
      <c r="H6215">
        <v>-319</v>
      </c>
      <c r="I6215">
        <v>-139</v>
      </c>
      <c r="J6215">
        <v>0</v>
      </c>
      <c r="K6215" s="201">
        <v>-7454</v>
      </c>
    </row>
    <row r="6216" spans="1:11" x14ac:dyDescent="0.25">
      <c r="A6216"/>
      <c r="B6216" s="201">
        <v>605</v>
      </c>
      <c r="C6216">
        <v>-104</v>
      </c>
      <c r="D6216" s="201">
        <v>160</v>
      </c>
      <c r="E6216" s="201">
        <v>810</v>
      </c>
      <c r="F6216">
        <v>-10</v>
      </c>
      <c r="G6216">
        <v>120</v>
      </c>
      <c r="H6216">
        <v>-414</v>
      </c>
      <c r="I6216">
        <v>0</v>
      </c>
      <c r="J6216">
        <v>239</v>
      </c>
      <c r="K6216" s="201">
        <v>0</v>
      </c>
    </row>
    <row r="6217" spans="1:11" x14ac:dyDescent="0.25">
      <c r="A6217"/>
      <c r="B6217" s="201">
        <v>0</v>
      </c>
      <c r="C6217">
        <v>171</v>
      </c>
      <c r="D6217" s="201">
        <v>-146</v>
      </c>
      <c r="E6217" s="201">
        <v>0</v>
      </c>
      <c r="F6217">
        <v>925</v>
      </c>
      <c r="G6217">
        <v>0</v>
      </c>
      <c r="H6217">
        <v>0</v>
      </c>
      <c r="I6217">
        <v>69</v>
      </c>
      <c r="J6217">
        <v>0</v>
      </c>
      <c r="K6217" s="201">
        <v>-385</v>
      </c>
    </row>
    <row r="6218" spans="1:11" x14ac:dyDescent="0.25">
      <c r="A6218"/>
      <c r="B6218" s="201">
        <v>-1</v>
      </c>
      <c r="C6218">
        <v>-60</v>
      </c>
      <c r="D6218" s="201">
        <v>0</v>
      </c>
      <c r="E6218" s="201">
        <v>0</v>
      </c>
      <c r="F6218">
        <v>0</v>
      </c>
      <c r="G6218">
        <v>0</v>
      </c>
      <c r="H6218">
        <v>0</v>
      </c>
      <c r="I6218">
        <v>-4810</v>
      </c>
      <c r="J6218">
        <v>0</v>
      </c>
      <c r="K6218" s="201">
        <v>-670</v>
      </c>
    </row>
    <row r="6219" spans="1:11" x14ac:dyDescent="0.25">
      <c r="A6219"/>
      <c r="B6219" s="201">
        <v>2425</v>
      </c>
      <c r="C6219">
        <v>330</v>
      </c>
      <c r="D6219" s="201">
        <v>0</v>
      </c>
      <c r="E6219" s="201">
        <v>-16883</v>
      </c>
      <c r="F6219">
        <v>-504</v>
      </c>
      <c r="G6219">
        <v>-426</v>
      </c>
      <c r="H6219">
        <v>0</v>
      </c>
      <c r="I6219">
        <v>0</v>
      </c>
      <c r="J6219">
        <v>0</v>
      </c>
      <c r="K6219" s="201">
        <v>878</v>
      </c>
    </row>
    <row r="6220" spans="1:11" x14ac:dyDescent="0.25">
      <c r="A6220"/>
      <c r="B6220" s="201">
        <v>2166</v>
      </c>
      <c r="C6220">
        <v>2108</v>
      </c>
      <c r="D6220" s="201">
        <v>-423</v>
      </c>
      <c r="E6220" s="201">
        <v>-646</v>
      </c>
      <c r="F6220">
        <v>0</v>
      </c>
      <c r="G6220">
        <v>-280</v>
      </c>
      <c r="H6220">
        <v>0</v>
      </c>
      <c r="I6220">
        <v>0</v>
      </c>
      <c r="J6220">
        <v>-498</v>
      </c>
      <c r="K6220" s="201">
        <v>0</v>
      </c>
    </row>
    <row r="6221" spans="1:11" x14ac:dyDescent="0.25">
      <c r="B6221" s="201">
        <v>-646</v>
      </c>
      <c r="C6221">
        <v>0</v>
      </c>
      <c r="D6221" s="201">
        <v>-620</v>
      </c>
      <c r="E6221" s="201">
        <v>0</v>
      </c>
      <c r="F6221">
        <v>0</v>
      </c>
      <c r="G6221">
        <v>0</v>
      </c>
      <c r="H6221">
        <v>0</v>
      </c>
      <c r="I6221">
        <v>0</v>
      </c>
      <c r="J6221">
        <v>0</v>
      </c>
      <c r="K6221" s="201">
        <v>0</v>
      </c>
    </row>
    <row r="6222" spans="1:11" x14ac:dyDescent="0.25">
      <c r="A6222"/>
      <c r="B6222" s="201">
        <v>0</v>
      </c>
      <c r="C6222">
        <v>-2357</v>
      </c>
      <c r="D6222" s="201">
        <v>0</v>
      </c>
      <c r="E6222" s="201">
        <v>-359</v>
      </c>
      <c r="F6222">
        <v>1951</v>
      </c>
      <c r="G6222">
        <v>850</v>
      </c>
      <c r="H6222">
        <v>0</v>
      </c>
      <c r="I6222">
        <v>-8854</v>
      </c>
      <c r="J6222">
        <v>272</v>
      </c>
      <c r="K6222" s="201">
        <v>0</v>
      </c>
    </row>
    <row r="6223" spans="1:11" x14ac:dyDescent="0.25">
      <c r="A6223"/>
      <c r="B6223" s="201">
        <v>0</v>
      </c>
      <c r="C6223">
        <v>0</v>
      </c>
      <c r="D6223" s="201">
        <v>0</v>
      </c>
      <c r="E6223" s="201">
        <v>0</v>
      </c>
      <c r="F6223">
        <v>-439</v>
      </c>
      <c r="G6223">
        <v>-338</v>
      </c>
      <c r="H6223">
        <v>169</v>
      </c>
      <c r="I6223">
        <v>-39</v>
      </c>
      <c r="J6223">
        <v>80</v>
      </c>
      <c r="K6223" s="201">
        <v>762</v>
      </c>
    </row>
    <row r="6224" spans="1:11" x14ac:dyDescent="0.25">
      <c r="A6224"/>
      <c r="B6224" s="201">
        <v>0</v>
      </c>
      <c r="C6224">
        <v>0</v>
      </c>
      <c r="D6224" s="201">
        <v>0</v>
      </c>
      <c r="E6224" s="201">
        <v>0</v>
      </c>
      <c r="F6224">
        <v>-569</v>
      </c>
      <c r="G6224">
        <v>0</v>
      </c>
      <c r="H6224">
        <v>45</v>
      </c>
      <c r="I6224">
        <v>0</v>
      </c>
      <c r="J6224">
        <v>0</v>
      </c>
      <c r="K6224" s="201">
        <v>43</v>
      </c>
    </row>
    <row r="6225" spans="1:11" x14ac:dyDescent="0.25">
      <c r="A6225"/>
      <c r="B6225" s="201">
        <v>702</v>
      </c>
      <c r="C6225">
        <v>0</v>
      </c>
      <c r="D6225" s="201">
        <v>0</v>
      </c>
      <c r="E6225" s="201">
        <v>0</v>
      </c>
      <c r="F6225">
        <v>0</v>
      </c>
      <c r="G6225">
        <v>-2537</v>
      </c>
      <c r="H6225">
        <v>0</v>
      </c>
      <c r="I6225">
        <v>-607</v>
      </c>
      <c r="J6225">
        <v>-1346</v>
      </c>
      <c r="K6225" s="201">
        <v>-128</v>
      </c>
    </row>
    <row r="6226" spans="1:11" x14ac:dyDescent="0.25">
      <c r="A6226"/>
      <c r="B6226" s="201">
        <v>-389</v>
      </c>
      <c r="C6226">
        <v>190</v>
      </c>
      <c r="D6226" s="201">
        <v>400</v>
      </c>
      <c r="E6226" s="201">
        <v>-824</v>
      </c>
      <c r="F6226">
        <v>-74</v>
      </c>
      <c r="G6226">
        <v>29</v>
      </c>
      <c r="H6226">
        <v>485</v>
      </c>
      <c r="I6226">
        <v>0</v>
      </c>
      <c r="J6226">
        <v>0</v>
      </c>
      <c r="K6226" s="201">
        <v>0</v>
      </c>
    </row>
    <row r="6227" spans="1:11" x14ac:dyDescent="0.25">
      <c r="A6227"/>
      <c r="B6227" s="201">
        <v>0</v>
      </c>
      <c r="C6227">
        <v>0</v>
      </c>
      <c r="D6227" s="201">
        <v>0</v>
      </c>
      <c r="E6227" s="201">
        <v>0</v>
      </c>
      <c r="F6227">
        <v>-229</v>
      </c>
      <c r="G6227">
        <v>704</v>
      </c>
      <c r="H6227">
        <v>225</v>
      </c>
      <c r="I6227">
        <v>194</v>
      </c>
      <c r="J6227">
        <v>-144</v>
      </c>
      <c r="K6227" s="201">
        <v>113</v>
      </c>
    </row>
    <row r="6228" spans="1:11" x14ac:dyDescent="0.25">
      <c r="A6228"/>
      <c r="B6228" s="201">
        <v>0</v>
      </c>
      <c r="C6228">
        <v>0</v>
      </c>
      <c r="D6228" s="201">
        <v>-1732</v>
      </c>
      <c r="E6228" s="201">
        <v>0</v>
      </c>
      <c r="F6228">
        <v>277</v>
      </c>
      <c r="G6228">
        <v>-14881</v>
      </c>
      <c r="H6228">
        <v>0</v>
      </c>
      <c r="I6228">
        <v>0</v>
      </c>
      <c r="J6228">
        <v>0</v>
      </c>
      <c r="K6228" s="201">
        <v>0</v>
      </c>
    </row>
    <row r="6229" spans="1:11" x14ac:dyDescent="0.25">
      <c r="B6229" s="201">
        <v>-220</v>
      </c>
      <c r="C6229">
        <v>0</v>
      </c>
      <c r="D6229" s="201">
        <v>-241</v>
      </c>
      <c r="E6229" s="201">
        <v>-321</v>
      </c>
      <c r="F6229">
        <v>0</v>
      </c>
      <c r="G6229">
        <v>0</v>
      </c>
      <c r="H6229">
        <v>0</v>
      </c>
      <c r="I6229">
        <v>0</v>
      </c>
      <c r="J6229">
        <v>0</v>
      </c>
      <c r="K6229" s="201">
        <v>0</v>
      </c>
    </row>
    <row r="6230" spans="1:11" x14ac:dyDescent="0.25">
      <c r="A6230"/>
      <c r="B6230" s="201">
        <v>0</v>
      </c>
      <c r="C6230">
        <v>0</v>
      </c>
      <c r="D6230" s="201">
        <v>0</v>
      </c>
      <c r="E6230" s="201">
        <v>0</v>
      </c>
      <c r="F6230">
        <v>0</v>
      </c>
      <c r="G6230">
        <v>0</v>
      </c>
      <c r="H6230">
        <v>0</v>
      </c>
      <c r="I6230">
        <v>0</v>
      </c>
      <c r="J6230">
        <v>0</v>
      </c>
      <c r="K6230" s="201">
        <v>91</v>
      </c>
    </row>
    <row r="6231" spans="1:11" x14ac:dyDescent="0.25">
      <c r="A6231"/>
      <c r="B6231" s="201">
        <v>0</v>
      </c>
      <c r="C6231">
        <v>0</v>
      </c>
      <c r="D6231" s="201">
        <v>0</v>
      </c>
      <c r="E6231" s="201">
        <v>0</v>
      </c>
      <c r="F6231">
        <v>0</v>
      </c>
      <c r="G6231">
        <v>55</v>
      </c>
      <c r="H6231">
        <v>-82</v>
      </c>
      <c r="I6231">
        <v>-41</v>
      </c>
      <c r="J6231">
        <v>-39</v>
      </c>
      <c r="K6231" s="201">
        <v>-1382</v>
      </c>
    </row>
    <row r="6232" spans="1:11" x14ac:dyDescent="0.25">
      <c r="A6232"/>
      <c r="B6232" s="201">
        <v>-1232</v>
      </c>
      <c r="C6232">
        <v>764</v>
      </c>
      <c r="D6232" s="201">
        <v>164</v>
      </c>
      <c r="E6232" s="201">
        <v>-233</v>
      </c>
      <c r="F6232">
        <v>2</v>
      </c>
      <c r="G6232">
        <v>-70</v>
      </c>
      <c r="H6232">
        <v>4</v>
      </c>
      <c r="I6232">
        <v>-30</v>
      </c>
      <c r="J6232">
        <v>-1110</v>
      </c>
      <c r="K6232" s="201">
        <v>-709</v>
      </c>
    </row>
    <row r="6233" spans="1:11" x14ac:dyDescent="0.25">
      <c r="A6233"/>
      <c r="B6233" s="201">
        <v>-962</v>
      </c>
      <c r="C6233">
        <v>-172</v>
      </c>
      <c r="D6233" s="201">
        <v>0</v>
      </c>
      <c r="E6233" s="201">
        <v>-255</v>
      </c>
      <c r="F6233">
        <v>-380</v>
      </c>
      <c r="G6233">
        <v>-451</v>
      </c>
      <c r="H6233">
        <v>541</v>
      </c>
      <c r="I6233">
        <v>1296</v>
      </c>
      <c r="J6233">
        <v>-321</v>
      </c>
      <c r="K6233" s="201">
        <v>-507</v>
      </c>
    </row>
    <row r="6234" spans="1:11" x14ac:dyDescent="0.25">
      <c r="A6234"/>
      <c r="B6234" s="201">
        <v>628</v>
      </c>
      <c r="C6234">
        <v>1922</v>
      </c>
      <c r="D6234" s="201">
        <v>-2364</v>
      </c>
      <c r="E6234" s="201">
        <v>-1445</v>
      </c>
      <c r="F6234">
        <v>1735</v>
      </c>
      <c r="G6234">
        <v>1367</v>
      </c>
      <c r="H6234">
        <v>-2877</v>
      </c>
      <c r="I6234">
        <v>-4352</v>
      </c>
      <c r="J6234">
        <v>4190</v>
      </c>
      <c r="K6234" s="201">
        <v>839</v>
      </c>
    </row>
    <row r="6235" spans="1:11" x14ac:dyDescent="0.25">
      <c r="A6235"/>
      <c r="B6235" s="201">
        <v>-1</v>
      </c>
      <c r="C6235">
        <v>506</v>
      </c>
      <c r="D6235" s="201">
        <v>-35</v>
      </c>
      <c r="E6235" s="201">
        <v>8180</v>
      </c>
      <c r="F6235">
        <v>11618</v>
      </c>
      <c r="G6235">
        <v>13151</v>
      </c>
      <c r="H6235">
        <v>17065</v>
      </c>
      <c r="I6235">
        <v>18007</v>
      </c>
      <c r="J6235">
        <v>11476</v>
      </c>
      <c r="K6235" s="201">
        <v>9915</v>
      </c>
    </row>
    <row r="6236" spans="1:11" x14ac:dyDescent="0.25">
      <c r="A6236"/>
      <c r="B6236" s="201">
        <v>10155</v>
      </c>
      <c r="C6236">
        <v>12123</v>
      </c>
      <c r="D6236" s="201">
        <v>12269</v>
      </c>
      <c r="E6236" s="201">
        <v>9591</v>
      </c>
      <c r="F6236">
        <v>34298</v>
      </c>
      <c r="G6236">
        <v>34702</v>
      </c>
      <c r="H6236">
        <v>27115</v>
      </c>
      <c r="I6236">
        <v>31510</v>
      </c>
      <c r="J6236">
        <v>37933</v>
      </c>
      <c r="K6236" s="201">
        <v>33583</v>
      </c>
    </row>
    <row r="6237" spans="1:11" x14ac:dyDescent="0.25">
      <c r="A6237"/>
      <c r="B6237" s="201">
        <v>35056</v>
      </c>
      <c r="C6237">
        <v>-1124</v>
      </c>
      <c r="D6237" s="201">
        <v>-288</v>
      </c>
      <c r="E6237" s="201">
        <v>-378</v>
      </c>
      <c r="F6237">
        <v>-294</v>
      </c>
      <c r="G6237">
        <v>-446</v>
      </c>
      <c r="H6237">
        <v>0</v>
      </c>
      <c r="I6237">
        <v>0</v>
      </c>
      <c r="J6237">
        <v>-15</v>
      </c>
      <c r="K6237" s="201">
        <v>0</v>
      </c>
    </row>
    <row r="6238" spans="1:11" x14ac:dyDescent="0.25">
      <c r="A6238"/>
      <c r="B6238" s="201">
        <v>0</v>
      </c>
      <c r="C6238">
        <v>0</v>
      </c>
      <c r="D6238" s="201">
        <v>93</v>
      </c>
      <c r="E6238" s="201">
        <v>126</v>
      </c>
      <c r="F6238">
        <v>0</v>
      </c>
      <c r="G6238">
        <v>0</v>
      </c>
      <c r="H6238">
        <v>0</v>
      </c>
      <c r="I6238">
        <v>0</v>
      </c>
      <c r="J6238">
        <v>0</v>
      </c>
      <c r="K6238" s="201">
        <v>0</v>
      </c>
    </row>
    <row r="6239" spans="1:11" x14ac:dyDescent="0.25">
      <c r="A6239"/>
      <c r="B6239" s="201">
        <v>-51</v>
      </c>
      <c r="C6239">
        <v>0</v>
      </c>
      <c r="D6239" s="201">
        <v>0</v>
      </c>
      <c r="E6239" s="201">
        <v>128</v>
      </c>
      <c r="F6239">
        <v>0</v>
      </c>
      <c r="G6239">
        <v>78</v>
      </c>
      <c r="H6239">
        <v>0</v>
      </c>
      <c r="I6239">
        <v>127</v>
      </c>
      <c r="J6239">
        <v>655</v>
      </c>
      <c r="K6239" s="201">
        <v>5</v>
      </c>
    </row>
    <row r="6240" spans="1:11" x14ac:dyDescent="0.25">
      <c r="A6240"/>
      <c r="B6240" s="201">
        <v>0</v>
      </c>
      <c r="C6240">
        <v>-242</v>
      </c>
      <c r="D6240" s="201">
        <v>-265</v>
      </c>
      <c r="E6240" s="201">
        <v>-95</v>
      </c>
      <c r="F6240">
        <v>-218</v>
      </c>
      <c r="G6240">
        <v>-333</v>
      </c>
      <c r="H6240">
        <v>-857</v>
      </c>
      <c r="I6240">
        <v>0</v>
      </c>
      <c r="J6240">
        <v>101</v>
      </c>
      <c r="K6240" s="201">
        <v>0</v>
      </c>
    </row>
    <row r="6241" spans="1:11" x14ac:dyDescent="0.25">
      <c r="A6241"/>
      <c r="B6241" s="201">
        <v>0</v>
      </c>
      <c r="C6241">
        <v>0</v>
      </c>
      <c r="D6241" s="201">
        <v>0</v>
      </c>
      <c r="E6241" s="201">
        <v>0</v>
      </c>
      <c r="F6241">
        <v>-47</v>
      </c>
      <c r="G6241">
        <v>0</v>
      </c>
      <c r="H6241">
        <v>0</v>
      </c>
      <c r="I6241">
        <v>0</v>
      </c>
      <c r="J6241">
        <v>-78</v>
      </c>
      <c r="K6241" s="201">
        <v>0</v>
      </c>
    </row>
    <row r="6242" spans="1:11" x14ac:dyDescent="0.25">
      <c r="A6242"/>
      <c r="B6242" s="201">
        <v>-6</v>
      </c>
      <c r="C6242">
        <v>0</v>
      </c>
      <c r="D6242" s="201">
        <v>0</v>
      </c>
      <c r="E6242" s="201">
        <v>0</v>
      </c>
      <c r="F6242">
        <v>0</v>
      </c>
      <c r="G6242">
        <v>0</v>
      </c>
      <c r="H6242">
        <v>581</v>
      </c>
      <c r="I6242">
        <v>0</v>
      </c>
      <c r="J6242">
        <v>106</v>
      </c>
      <c r="K6242" s="201">
        <v>527</v>
      </c>
    </row>
    <row r="6243" spans="1:11" x14ac:dyDescent="0.25">
      <c r="A6243"/>
      <c r="B6243" s="201">
        <v>0</v>
      </c>
      <c r="C6243">
        <v>0</v>
      </c>
      <c r="D6243" s="201">
        <v>-13808</v>
      </c>
      <c r="E6243" s="201">
        <v>-575</v>
      </c>
      <c r="F6243">
        <v>0</v>
      </c>
      <c r="G6243">
        <v>-1022</v>
      </c>
      <c r="H6243">
        <v>0</v>
      </c>
      <c r="I6243">
        <v>0</v>
      </c>
      <c r="J6243">
        <v>0</v>
      </c>
      <c r="K6243" s="201">
        <v>0</v>
      </c>
    </row>
    <row r="6244" spans="1:11" x14ac:dyDescent="0.25">
      <c r="A6244"/>
      <c r="B6244" s="201">
        <v>985</v>
      </c>
      <c r="C6244">
        <v>300</v>
      </c>
      <c r="D6244" s="201">
        <v>108</v>
      </c>
      <c r="E6244" s="201">
        <v>0</v>
      </c>
      <c r="F6244">
        <v>0</v>
      </c>
      <c r="G6244">
        <v>-303</v>
      </c>
      <c r="H6244">
        <v>97</v>
      </c>
      <c r="I6244">
        <v>0</v>
      </c>
      <c r="J6244">
        <v>-592</v>
      </c>
      <c r="K6244" s="201">
        <v>158</v>
      </c>
    </row>
    <row r="6245" spans="1:11" x14ac:dyDescent="0.25">
      <c r="A6245"/>
      <c r="B6245" s="201">
        <v>-226</v>
      </c>
      <c r="C6245">
        <v>79</v>
      </c>
      <c r="D6245" s="201">
        <v>-119</v>
      </c>
      <c r="E6245" s="201">
        <v>-180</v>
      </c>
      <c r="F6245">
        <v>-540</v>
      </c>
      <c r="G6245">
        <v>0</v>
      </c>
      <c r="H6245">
        <v>0</v>
      </c>
      <c r="I6245">
        <v>0</v>
      </c>
      <c r="J6245">
        <v>0</v>
      </c>
      <c r="K6245" s="201">
        <v>0</v>
      </c>
    </row>
    <row r="6246" spans="1:11" x14ac:dyDescent="0.25">
      <c r="A6246"/>
      <c r="B6246" s="201">
        <v>-1467</v>
      </c>
      <c r="C6246">
        <v>0</v>
      </c>
      <c r="D6246" s="201">
        <v>19</v>
      </c>
      <c r="E6246" s="201">
        <v>225</v>
      </c>
      <c r="F6246">
        <v>329</v>
      </c>
      <c r="G6246">
        <v>0</v>
      </c>
      <c r="H6246">
        <v>-10703</v>
      </c>
      <c r="I6246">
        <v>1059</v>
      </c>
      <c r="J6246">
        <v>118</v>
      </c>
      <c r="K6246" s="201">
        <v>145</v>
      </c>
    </row>
    <row r="6247" spans="1:11" x14ac:dyDescent="0.25">
      <c r="A6247"/>
      <c r="B6247" s="201">
        <v>-119</v>
      </c>
      <c r="C6247">
        <v>0</v>
      </c>
      <c r="D6247" s="201">
        <v>90</v>
      </c>
      <c r="E6247" s="201">
        <v>683</v>
      </c>
      <c r="F6247">
        <v>942</v>
      </c>
      <c r="G6247">
        <v>-60</v>
      </c>
      <c r="H6247">
        <v>0</v>
      </c>
      <c r="I6247">
        <v>-50</v>
      </c>
      <c r="J6247">
        <v>104</v>
      </c>
      <c r="K6247" s="201">
        <v>0</v>
      </c>
    </row>
    <row r="6248" spans="1:11" x14ac:dyDescent="0.25">
      <c r="A6248"/>
      <c r="B6248" s="201">
        <v>0</v>
      </c>
      <c r="C6248">
        <v>0</v>
      </c>
      <c r="D6248" s="201">
        <v>-284</v>
      </c>
      <c r="E6248" s="201">
        <v>130</v>
      </c>
      <c r="F6248">
        <v>0</v>
      </c>
      <c r="G6248">
        <v>88</v>
      </c>
      <c r="H6248">
        <v>175</v>
      </c>
      <c r="I6248">
        <v>-8</v>
      </c>
      <c r="J6248">
        <v>-117</v>
      </c>
      <c r="K6248" s="201">
        <v>0</v>
      </c>
    </row>
    <row r="6249" spans="1:11" x14ac:dyDescent="0.25">
      <c r="A6249"/>
      <c r="B6249" s="201">
        <v>0</v>
      </c>
      <c r="C6249">
        <v>0</v>
      </c>
      <c r="D6249" s="201">
        <v>0</v>
      </c>
      <c r="E6249" s="201">
        <v>0</v>
      </c>
      <c r="F6249">
        <v>-5348</v>
      </c>
      <c r="G6249">
        <v>0</v>
      </c>
      <c r="H6249">
        <v>-1616</v>
      </c>
      <c r="I6249">
        <v>-226</v>
      </c>
      <c r="J6249">
        <v>-67</v>
      </c>
      <c r="K6249" s="201">
        <v>0</v>
      </c>
    </row>
    <row r="6250" spans="1:11" x14ac:dyDescent="0.25">
      <c r="A6250"/>
      <c r="B6250" s="201">
        <v>-13068</v>
      </c>
      <c r="C6250">
        <v>1110</v>
      </c>
      <c r="D6250" s="201">
        <v>-762</v>
      </c>
      <c r="E6250" s="201">
        <v>-86</v>
      </c>
      <c r="F6250">
        <v>387</v>
      </c>
      <c r="G6250">
        <v>-361</v>
      </c>
      <c r="H6250">
        <v>-545</v>
      </c>
      <c r="I6250">
        <v>-2226</v>
      </c>
      <c r="J6250">
        <v>0</v>
      </c>
      <c r="K6250" s="201">
        <v>1021</v>
      </c>
    </row>
    <row r="6251" spans="1:11" x14ac:dyDescent="0.25">
      <c r="A6251"/>
      <c r="B6251" s="201">
        <v>0</v>
      </c>
      <c r="C6251">
        <v>0</v>
      </c>
      <c r="D6251" s="201">
        <v>-315</v>
      </c>
      <c r="E6251" s="201">
        <v>-9</v>
      </c>
      <c r="F6251">
        <v>0</v>
      </c>
      <c r="G6251">
        <v>870</v>
      </c>
      <c r="H6251">
        <v>0</v>
      </c>
      <c r="I6251">
        <v>0</v>
      </c>
      <c r="J6251">
        <v>247</v>
      </c>
      <c r="K6251" s="201">
        <v>0</v>
      </c>
    </row>
    <row r="6252" spans="1:11" x14ac:dyDescent="0.25">
      <c r="B6252" s="201">
        <v>-342</v>
      </c>
      <c r="C6252">
        <v>229</v>
      </c>
      <c r="D6252" s="201">
        <v>1424</v>
      </c>
      <c r="E6252" s="201">
        <v>0</v>
      </c>
      <c r="F6252">
        <v>0</v>
      </c>
      <c r="G6252">
        <v>0</v>
      </c>
      <c r="H6252">
        <v>0</v>
      </c>
      <c r="I6252">
        <v>0</v>
      </c>
      <c r="J6252">
        <v>-5265</v>
      </c>
      <c r="K6252" s="201">
        <v>0</v>
      </c>
    </row>
    <row r="6253" spans="1:11" x14ac:dyDescent="0.25">
      <c r="B6253" s="201">
        <v>-1482</v>
      </c>
      <c r="C6253">
        <v>3257</v>
      </c>
      <c r="D6253" s="201">
        <v>323</v>
      </c>
      <c r="E6253" s="201">
        <v>0</v>
      </c>
      <c r="F6253">
        <v>-15926</v>
      </c>
      <c r="G6253">
        <v>46</v>
      </c>
      <c r="H6253">
        <v>696</v>
      </c>
      <c r="I6253">
        <v>0</v>
      </c>
      <c r="J6253">
        <v>0</v>
      </c>
      <c r="K6253" s="201">
        <v>0</v>
      </c>
    </row>
    <row r="6254" spans="1:11" x14ac:dyDescent="0.25">
      <c r="A6254"/>
      <c r="B6254" s="201">
        <v>775</v>
      </c>
      <c r="C6254">
        <v>1676</v>
      </c>
      <c r="D6254" s="201">
        <v>1292</v>
      </c>
      <c r="E6254" s="201">
        <v>-740</v>
      </c>
      <c r="F6254">
        <v>-557</v>
      </c>
      <c r="G6254">
        <v>0</v>
      </c>
      <c r="H6254">
        <v>31</v>
      </c>
      <c r="I6254">
        <v>0</v>
      </c>
      <c r="J6254">
        <v>0</v>
      </c>
      <c r="K6254" s="201">
        <v>-198</v>
      </c>
    </row>
    <row r="6255" spans="1:11" x14ac:dyDescent="0.25">
      <c r="A6255"/>
      <c r="B6255" s="201">
        <v>0</v>
      </c>
      <c r="C6255">
        <v>273</v>
      </c>
      <c r="D6255" s="201">
        <v>0</v>
      </c>
      <c r="E6255" s="201">
        <v>74</v>
      </c>
      <c r="F6255">
        <v>0</v>
      </c>
      <c r="G6255">
        <v>0</v>
      </c>
      <c r="H6255">
        <v>0</v>
      </c>
      <c r="I6255">
        <v>0</v>
      </c>
      <c r="J6255">
        <v>0</v>
      </c>
      <c r="K6255" s="201">
        <v>0</v>
      </c>
    </row>
    <row r="6256" spans="1:11" x14ac:dyDescent="0.25">
      <c r="A6256"/>
      <c r="B6256" s="201">
        <v>0</v>
      </c>
      <c r="C6256">
        <v>0</v>
      </c>
      <c r="D6256" s="201">
        <v>-1850</v>
      </c>
      <c r="E6256" s="201">
        <v>0</v>
      </c>
      <c r="F6256">
        <v>-438</v>
      </c>
      <c r="G6256">
        <v>-2391</v>
      </c>
      <c r="H6256">
        <v>-513</v>
      </c>
      <c r="I6256">
        <v>0</v>
      </c>
      <c r="J6256">
        <v>-15143</v>
      </c>
      <c r="K6256" s="201">
        <v>-47</v>
      </c>
    </row>
    <row r="6257" spans="1:11" x14ac:dyDescent="0.25">
      <c r="A6257"/>
      <c r="B6257" s="201">
        <v>0</v>
      </c>
      <c r="C6257">
        <v>0</v>
      </c>
      <c r="D6257" s="201">
        <v>0</v>
      </c>
      <c r="E6257" s="201">
        <v>0</v>
      </c>
      <c r="F6257">
        <v>0</v>
      </c>
      <c r="G6257">
        <v>-118</v>
      </c>
      <c r="H6257">
        <v>1005</v>
      </c>
      <c r="I6257">
        <v>149</v>
      </c>
      <c r="J6257">
        <v>-497</v>
      </c>
      <c r="K6257" s="201">
        <v>-109</v>
      </c>
    </row>
    <row r="6258" spans="1:11" x14ac:dyDescent="0.25">
      <c r="A6258"/>
      <c r="B6258" s="201">
        <v>-211</v>
      </c>
      <c r="C6258">
        <v>0</v>
      </c>
      <c r="D6258" s="201">
        <v>0</v>
      </c>
      <c r="E6258" s="201">
        <v>0</v>
      </c>
      <c r="F6258">
        <v>0</v>
      </c>
      <c r="G6258">
        <v>-1933</v>
      </c>
      <c r="H6258">
        <v>0</v>
      </c>
      <c r="I6258">
        <v>-983</v>
      </c>
      <c r="J6258">
        <v>0</v>
      </c>
      <c r="K6258" s="201">
        <v>0</v>
      </c>
    </row>
    <row r="6259" spans="1:11" x14ac:dyDescent="0.25">
      <c r="A6259"/>
      <c r="B6259" s="201">
        <v>-934</v>
      </c>
      <c r="C6259">
        <v>-978</v>
      </c>
      <c r="D6259" s="201">
        <v>0</v>
      </c>
      <c r="E6259" s="201">
        <v>0</v>
      </c>
      <c r="F6259">
        <v>0</v>
      </c>
      <c r="G6259">
        <v>0</v>
      </c>
      <c r="H6259">
        <v>-6226</v>
      </c>
      <c r="I6259">
        <v>0</v>
      </c>
      <c r="J6259">
        <v>-335</v>
      </c>
      <c r="K6259" s="201">
        <v>2469</v>
      </c>
    </row>
    <row r="6260" spans="1:11" x14ac:dyDescent="0.25">
      <c r="A6260"/>
      <c r="B6260" s="201">
        <v>985</v>
      </c>
      <c r="C6260">
        <v>1411</v>
      </c>
      <c r="D6260" s="201">
        <v>89</v>
      </c>
      <c r="E6260" s="201">
        <v>1326</v>
      </c>
      <c r="F6260">
        <v>512</v>
      </c>
      <c r="G6260">
        <v>350</v>
      </c>
      <c r="H6260">
        <v>104</v>
      </c>
      <c r="I6260">
        <v>-997</v>
      </c>
      <c r="J6260">
        <v>0</v>
      </c>
      <c r="K6260" s="201">
        <v>0</v>
      </c>
    </row>
    <row r="6261" spans="1:11" x14ac:dyDescent="0.25">
      <c r="A6261"/>
      <c r="B6261" s="201">
        <v>0</v>
      </c>
      <c r="C6261">
        <v>0</v>
      </c>
      <c r="D6261" s="201">
        <v>0</v>
      </c>
      <c r="E6261" s="201">
        <v>0</v>
      </c>
      <c r="F6261">
        <v>0</v>
      </c>
      <c r="G6261">
        <v>-1015</v>
      </c>
      <c r="H6261">
        <v>1102</v>
      </c>
      <c r="I6261">
        <v>-752</v>
      </c>
      <c r="J6261">
        <v>201</v>
      </c>
      <c r="K6261" s="201">
        <v>-352</v>
      </c>
    </row>
    <row r="6262" spans="1:11" x14ac:dyDescent="0.25">
      <c r="A6262"/>
      <c r="B6262" s="201">
        <v>-16</v>
      </c>
      <c r="C6262">
        <v>0</v>
      </c>
      <c r="D6262" s="201">
        <v>0</v>
      </c>
      <c r="E6262" s="201">
        <v>640</v>
      </c>
      <c r="F6262">
        <v>0</v>
      </c>
      <c r="G6262">
        <v>139</v>
      </c>
      <c r="H6262">
        <v>-19271</v>
      </c>
      <c r="I6262">
        <v>0</v>
      </c>
      <c r="J6262">
        <v>0</v>
      </c>
      <c r="K6262" s="201">
        <v>0</v>
      </c>
    </row>
    <row r="6263" spans="1:11" x14ac:dyDescent="0.25">
      <c r="A6263"/>
      <c r="B6263" s="201">
        <v>0</v>
      </c>
      <c r="C6263">
        <v>-61</v>
      </c>
      <c r="D6263" s="201">
        <v>0</v>
      </c>
      <c r="E6263" s="201">
        <v>-60</v>
      </c>
      <c r="F6263">
        <v>20</v>
      </c>
      <c r="G6263">
        <v>0</v>
      </c>
      <c r="H6263">
        <v>0</v>
      </c>
      <c r="I6263">
        <v>0</v>
      </c>
      <c r="J6263">
        <v>0</v>
      </c>
      <c r="K6263" s="201">
        <v>0</v>
      </c>
    </row>
    <row r="6264" spans="1:11" x14ac:dyDescent="0.25">
      <c r="A6264"/>
      <c r="B6264" s="201">
        <v>0</v>
      </c>
      <c r="C6264">
        <v>0</v>
      </c>
      <c r="D6264" s="201">
        <v>0</v>
      </c>
      <c r="E6264" s="201">
        <v>0</v>
      </c>
      <c r="F6264">
        <v>0</v>
      </c>
      <c r="G6264">
        <v>0</v>
      </c>
      <c r="H6264">
        <v>0</v>
      </c>
      <c r="I6264">
        <v>0</v>
      </c>
      <c r="J6264">
        <v>0</v>
      </c>
      <c r="K6264" s="201">
        <v>0</v>
      </c>
    </row>
    <row r="6265" spans="1:11" x14ac:dyDescent="0.25">
      <c r="A6265"/>
      <c r="B6265" s="201">
        <v>122</v>
      </c>
      <c r="C6265">
        <v>0</v>
      </c>
      <c r="D6265" s="201">
        <v>0</v>
      </c>
      <c r="E6265" s="201">
        <v>0</v>
      </c>
      <c r="F6265">
        <v>0</v>
      </c>
      <c r="G6265">
        <v>0</v>
      </c>
      <c r="H6265">
        <v>104</v>
      </c>
      <c r="I6265">
        <v>-65</v>
      </c>
      <c r="J6265">
        <v>11</v>
      </c>
      <c r="K6265" s="201">
        <v>614</v>
      </c>
    </row>
    <row r="6266" spans="1:11" x14ac:dyDescent="0.25">
      <c r="A6266"/>
      <c r="B6266" s="201">
        <v>-615</v>
      </c>
      <c r="C6266">
        <v>-1104</v>
      </c>
      <c r="D6266" s="201">
        <v>-451</v>
      </c>
      <c r="E6266" s="201">
        <v>228</v>
      </c>
      <c r="F6266">
        <v>-306</v>
      </c>
      <c r="G6266">
        <v>-233</v>
      </c>
      <c r="H6266">
        <v>-55</v>
      </c>
      <c r="I6266">
        <v>12</v>
      </c>
      <c r="J6266">
        <v>309</v>
      </c>
      <c r="K6266" s="201">
        <v>-800</v>
      </c>
    </row>
    <row r="6267" spans="1:11" x14ac:dyDescent="0.25">
      <c r="A6267"/>
      <c r="B6267" s="201">
        <v>305</v>
      </c>
      <c r="C6267">
        <v>-1196</v>
      </c>
      <c r="D6267" s="201">
        <v>-149</v>
      </c>
      <c r="E6267" s="201">
        <v>0</v>
      </c>
      <c r="F6267">
        <v>23</v>
      </c>
      <c r="G6267">
        <v>372</v>
      </c>
      <c r="H6267">
        <v>217</v>
      </c>
      <c r="I6267">
        <v>143</v>
      </c>
      <c r="J6267">
        <v>2217</v>
      </c>
      <c r="K6267" s="201">
        <v>32</v>
      </c>
    </row>
    <row r="6268" spans="1:11" x14ac:dyDescent="0.25">
      <c r="A6268"/>
      <c r="B6268" s="201">
        <v>-333</v>
      </c>
      <c r="C6268">
        <v>291</v>
      </c>
      <c r="D6268" s="201">
        <v>4472</v>
      </c>
      <c r="E6268" s="201">
        <v>477</v>
      </c>
      <c r="F6268">
        <v>-536</v>
      </c>
      <c r="G6268">
        <v>-1162</v>
      </c>
      <c r="H6268">
        <v>-709</v>
      </c>
      <c r="I6268">
        <v>-363</v>
      </c>
      <c r="J6268">
        <v>685</v>
      </c>
      <c r="K6268" s="201">
        <v>1209</v>
      </c>
    </row>
    <row r="6269" spans="1:11" x14ac:dyDescent="0.25">
      <c r="A6269"/>
      <c r="B6269" s="201">
        <v>3403</v>
      </c>
      <c r="C6269">
        <v>-645</v>
      </c>
      <c r="D6269" s="201">
        <v>-2679</v>
      </c>
      <c r="E6269" s="201">
        <v>2237</v>
      </c>
      <c r="F6269">
        <v>10459</v>
      </c>
      <c r="G6269">
        <v>14462</v>
      </c>
      <c r="H6269">
        <v>17110</v>
      </c>
      <c r="I6269">
        <v>21685</v>
      </c>
      <c r="J6269">
        <v>9871</v>
      </c>
      <c r="K6269" s="201">
        <v>21447</v>
      </c>
    </row>
    <row r="6270" spans="1:11" x14ac:dyDescent="0.25">
      <c r="B6270" s="201">
        <v>12431</v>
      </c>
      <c r="C6270">
        <v>13161</v>
      </c>
      <c r="D6270" s="201">
        <v>14544</v>
      </c>
      <c r="E6270" s="201">
        <v>7852</v>
      </c>
      <c r="F6270">
        <v>17428</v>
      </c>
      <c r="G6270">
        <v>48315</v>
      </c>
      <c r="H6270">
        <v>46028</v>
      </c>
      <c r="I6270">
        <v>31503</v>
      </c>
      <c r="J6270">
        <v>47700</v>
      </c>
      <c r="K6270" s="201">
        <v>55598</v>
      </c>
    </row>
    <row r="6271" spans="1:11" x14ac:dyDescent="0.25">
      <c r="B6271" s="201">
        <v>42171</v>
      </c>
      <c r="C6271" s="201">
        <v>51888</v>
      </c>
      <c r="D6271" s="201">
        <v>36529</v>
      </c>
      <c r="E6271" s="201">
        <v>-133</v>
      </c>
      <c r="F6271">
        <v>-29011</v>
      </c>
      <c r="G6271">
        <v>-113</v>
      </c>
      <c r="H6271">
        <v>119</v>
      </c>
      <c r="I6271">
        <v>-143</v>
      </c>
      <c r="J6271">
        <v>0</v>
      </c>
      <c r="K6271" s="201">
        <v>0</v>
      </c>
    </row>
    <row r="6272" spans="1:11" x14ac:dyDescent="0.25">
      <c r="A6272"/>
      <c r="B6272" s="201">
        <v>14</v>
      </c>
      <c r="C6272">
        <v>0</v>
      </c>
      <c r="D6272" s="201">
        <v>0</v>
      </c>
      <c r="E6272" s="201">
        <v>0</v>
      </c>
      <c r="F6272">
        <v>314</v>
      </c>
      <c r="G6272">
        <v>-266</v>
      </c>
      <c r="H6272">
        <v>0</v>
      </c>
      <c r="I6272">
        <v>0</v>
      </c>
      <c r="J6272">
        <v>0</v>
      </c>
      <c r="K6272" s="201">
        <v>0</v>
      </c>
    </row>
    <row r="6273" spans="1:11" x14ac:dyDescent="0.25">
      <c r="A6273"/>
      <c r="B6273" s="201">
        <v>0</v>
      </c>
      <c r="C6273">
        <v>0</v>
      </c>
      <c r="D6273" s="201">
        <v>-228</v>
      </c>
      <c r="E6273" s="201">
        <v>0</v>
      </c>
      <c r="F6273">
        <v>0</v>
      </c>
      <c r="G6273">
        <v>972</v>
      </c>
      <c r="H6273">
        <v>0</v>
      </c>
      <c r="I6273">
        <v>-1021</v>
      </c>
      <c r="J6273">
        <v>0</v>
      </c>
      <c r="K6273" s="201">
        <v>-3897</v>
      </c>
    </row>
    <row r="6274" spans="1:11" x14ac:dyDescent="0.25">
      <c r="A6274"/>
      <c r="B6274" s="201">
        <v>226</v>
      </c>
      <c r="C6274">
        <v>16</v>
      </c>
      <c r="D6274" s="201">
        <v>0</v>
      </c>
      <c r="E6274" s="201">
        <v>61</v>
      </c>
      <c r="F6274">
        <v>-23809</v>
      </c>
      <c r="G6274">
        <v>104</v>
      </c>
      <c r="H6274">
        <v>-31</v>
      </c>
      <c r="I6274">
        <v>-265</v>
      </c>
      <c r="J6274">
        <v>-456</v>
      </c>
      <c r="K6274" s="201">
        <v>0</v>
      </c>
    </row>
    <row r="6275" spans="1:11" x14ac:dyDescent="0.25">
      <c r="A6275"/>
      <c r="B6275" s="201">
        <v>108</v>
      </c>
      <c r="C6275">
        <v>0</v>
      </c>
      <c r="D6275" s="201">
        <v>0</v>
      </c>
      <c r="E6275" s="201">
        <v>0</v>
      </c>
      <c r="F6275">
        <v>0</v>
      </c>
      <c r="G6275">
        <v>0</v>
      </c>
      <c r="H6275">
        <v>-65</v>
      </c>
      <c r="I6275">
        <v>0</v>
      </c>
      <c r="J6275">
        <v>0</v>
      </c>
      <c r="K6275" s="201">
        <v>0</v>
      </c>
    </row>
    <row r="6276" spans="1:11" x14ac:dyDescent="0.25">
      <c r="A6276"/>
      <c r="B6276" s="201">
        <v>61</v>
      </c>
      <c r="C6276">
        <v>0</v>
      </c>
      <c r="D6276" s="201">
        <v>91</v>
      </c>
      <c r="E6276" s="201">
        <v>0</v>
      </c>
      <c r="F6276">
        <v>0</v>
      </c>
      <c r="G6276">
        <v>0</v>
      </c>
      <c r="H6276">
        <v>0</v>
      </c>
      <c r="I6276">
        <v>0</v>
      </c>
      <c r="J6276">
        <v>-6</v>
      </c>
      <c r="K6276" s="201">
        <v>0</v>
      </c>
    </row>
    <row r="6277" spans="1:11" x14ac:dyDescent="0.25">
      <c r="A6277"/>
      <c r="B6277" s="201">
        <v>-124</v>
      </c>
      <c r="C6277">
        <v>130</v>
      </c>
      <c r="D6277" s="201">
        <v>0</v>
      </c>
      <c r="E6277" s="201">
        <v>0</v>
      </c>
      <c r="F6277">
        <v>-68</v>
      </c>
      <c r="G6277">
        <v>-29339</v>
      </c>
      <c r="H6277">
        <v>0</v>
      </c>
      <c r="I6277">
        <v>92</v>
      </c>
      <c r="J6277">
        <v>0</v>
      </c>
      <c r="K6277" s="201">
        <v>0</v>
      </c>
    </row>
    <row r="6278" spans="1:11" x14ac:dyDescent="0.25">
      <c r="A6278"/>
      <c r="B6278" s="201">
        <v>0</v>
      </c>
      <c r="C6278">
        <v>0</v>
      </c>
      <c r="D6278" s="201">
        <v>-400</v>
      </c>
      <c r="E6278" s="201">
        <v>-300</v>
      </c>
      <c r="F6278">
        <v>-59</v>
      </c>
      <c r="G6278">
        <v>0</v>
      </c>
      <c r="H6278">
        <v>0</v>
      </c>
      <c r="I6278">
        <v>424</v>
      </c>
      <c r="J6278">
        <v>-395</v>
      </c>
      <c r="K6278" s="201">
        <v>0</v>
      </c>
    </row>
    <row r="6279" spans="1:11" x14ac:dyDescent="0.25">
      <c r="A6279"/>
      <c r="B6279" s="201">
        <v>720</v>
      </c>
      <c r="C6279">
        <v>141</v>
      </c>
      <c r="D6279" s="201">
        <v>271</v>
      </c>
      <c r="E6279" s="201">
        <v>-341</v>
      </c>
      <c r="F6279">
        <v>-830</v>
      </c>
      <c r="G6279">
        <v>-74</v>
      </c>
      <c r="H6279">
        <v>-10</v>
      </c>
      <c r="I6279">
        <v>0</v>
      </c>
      <c r="J6279">
        <v>0</v>
      </c>
      <c r="K6279" s="201">
        <v>0</v>
      </c>
    </row>
    <row r="6280" spans="1:11" x14ac:dyDescent="0.25">
      <c r="A6280"/>
      <c r="B6280" s="201">
        <v>0</v>
      </c>
      <c r="C6280">
        <v>0</v>
      </c>
      <c r="D6280" s="201">
        <v>-252</v>
      </c>
      <c r="E6280" s="201">
        <v>0</v>
      </c>
      <c r="F6280">
        <v>3404</v>
      </c>
      <c r="G6280">
        <v>775</v>
      </c>
      <c r="H6280">
        <v>2</v>
      </c>
      <c r="I6280">
        <v>0</v>
      </c>
      <c r="J6280">
        <v>-1346</v>
      </c>
      <c r="K6280" s="201">
        <v>-33741</v>
      </c>
    </row>
    <row r="6281" spans="1:11" x14ac:dyDescent="0.25">
      <c r="A6281"/>
      <c r="B6281" s="201">
        <v>115</v>
      </c>
      <c r="C6281">
        <v>-60</v>
      </c>
      <c r="D6281" s="201">
        <v>315</v>
      </c>
      <c r="E6281" s="201">
        <v>0</v>
      </c>
      <c r="F6281">
        <v>-30</v>
      </c>
      <c r="G6281">
        <v>-1827</v>
      </c>
      <c r="H6281">
        <v>-1366</v>
      </c>
      <c r="I6281">
        <v>129</v>
      </c>
      <c r="J6281">
        <v>0</v>
      </c>
      <c r="K6281" s="201">
        <v>13</v>
      </c>
    </row>
    <row r="6282" spans="1:11" x14ac:dyDescent="0.25">
      <c r="A6282"/>
      <c r="B6282" s="201">
        <v>-62</v>
      </c>
      <c r="C6282">
        <v>0</v>
      </c>
      <c r="D6282" s="201">
        <v>0</v>
      </c>
      <c r="E6282" s="201">
        <v>0</v>
      </c>
      <c r="F6282">
        <v>-172</v>
      </c>
      <c r="G6282">
        <v>-113</v>
      </c>
      <c r="H6282">
        <v>0</v>
      </c>
      <c r="I6282">
        <v>-62</v>
      </c>
      <c r="J6282">
        <v>188</v>
      </c>
      <c r="K6282" s="201">
        <v>-13</v>
      </c>
    </row>
    <row r="6283" spans="1:11" x14ac:dyDescent="0.25">
      <c r="A6283"/>
      <c r="B6283" s="201">
        <v>-89</v>
      </c>
      <c r="C6283">
        <v>0</v>
      </c>
      <c r="D6283" s="201">
        <v>0</v>
      </c>
      <c r="E6283" s="201">
        <v>0</v>
      </c>
      <c r="F6283">
        <v>0</v>
      </c>
      <c r="G6283">
        <v>0</v>
      </c>
      <c r="H6283">
        <v>1138</v>
      </c>
      <c r="I6283">
        <v>0</v>
      </c>
      <c r="J6283">
        <v>8608</v>
      </c>
      <c r="K6283" s="201">
        <v>146</v>
      </c>
    </row>
    <row r="6284" spans="1:11" x14ac:dyDescent="0.25">
      <c r="A6284"/>
      <c r="B6284" s="201">
        <v>43</v>
      </c>
      <c r="C6284">
        <v>0</v>
      </c>
      <c r="D6284" s="201">
        <v>-1543</v>
      </c>
      <c r="E6284" s="201">
        <v>-33060</v>
      </c>
      <c r="F6284">
        <v>46</v>
      </c>
      <c r="G6284">
        <v>-150</v>
      </c>
      <c r="H6284">
        <v>208</v>
      </c>
      <c r="I6284">
        <v>-83</v>
      </c>
      <c r="J6284">
        <v>-288</v>
      </c>
      <c r="K6284" s="201">
        <v>224</v>
      </c>
    </row>
    <row r="6285" spans="1:11" x14ac:dyDescent="0.25">
      <c r="A6285"/>
      <c r="B6285" s="201">
        <v>0</v>
      </c>
      <c r="C6285">
        <v>215</v>
      </c>
      <c r="D6285" s="201">
        <v>0</v>
      </c>
      <c r="E6285" s="201">
        <v>0</v>
      </c>
      <c r="F6285">
        <v>-177</v>
      </c>
      <c r="G6285">
        <v>240</v>
      </c>
      <c r="H6285">
        <v>0</v>
      </c>
      <c r="I6285">
        <v>127</v>
      </c>
      <c r="J6285">
        <v>0</v>
      </c>
      <c r="K6285" s="201">
        <v>0</v>
      </c>
    </row>
    <row r="6286" spans="1:11" x14ac:dyDescent="0.25">
      <c r="A6286"/>
      <c r="B6286" s="201">
        <v>-86</v>
      </c>
      <c r="C6286">
        <v>0</v>
      </c>
      <c r="D6286" s="201">
        <v>19</v>
      </c>
      <c r="E6286" s="201">
        <v>-3</v>
      </c>
      <c r="F6286">
        <v>-61</v>
      </c>
      <c r="G6286">
        <v>0</v>
      </c>
      <c r="H6286">
        <v>0</v>
      </c>
      <c r="I6286">
        <v>0</v>
      </c>
      <c r="J6286">
        <v>0</v>
      </c>
      <c r="K6286" s="201">
        <v>0</v>
      </c>
    </row>
    <row r="6287" spans="1:11" x14ac:dyDescent="0.25">
      <c r="B6287" s="201">
        <v>1268</v>
      </c>
      <c r="C6287">
        <v>0</v>
      </c>
      <c r="D6287" s="201">
        <v>8041</v>
      </c>
      <c r="E6287" s="201">
        <v>328</v>
      </c>
      <c r="F6287">
        <v>97</v>
      </c>
      <c r="G6287">
        <v>0</v>
      </c>
      <c r="H6287">
        <v>-665</v>
      </c>
      <c r="I6287">
        <v>-35049</v>
      </c>
      <c r="J6287">
        <v>368</v>
      </c>
      <c r="K6287" s="201">
        <v>0</v>
      </c>
    </row>
    <row r="6288" spans="1:11" x14ac:dyDescent="0.25">
      <c r="A6288"/>
      <c r="B6288" s="201">
        <v>0</v>
      </c>
      <c r="C6288">
        <v>0</v>
      </c>
      <c r="D6288" s="201">
        <v>1134</v>
      </c>
      <c r="E6288" s="201">
        <v>353</v>
      </c>
      <c r="F6288">
        <v>330</v>
      </c>
      <c r="G6288">
        <v>-883</v>
      </c>
      <c r="H6288">
        <v>-847</v>
      </c>
      <c r="I6288">
        <v>0</v>
      </c>
      <c r="J6288">
        <v>508</v>
      </c>
      <c r="K6288" s="201">
        <v>0</v>
      </c>
    </row>
    <row r="6289" spans="1:11" x14ac:dyDescent="0.25">
      <c r="A6289"/>
      <c r="B6289" s="201">
        <v>0</v>
      </c>
      <c r="C6289">
        <v>23</v>
      </c>
      <c r="D6289" s="201">
        <v>0</v>
      </c>
      <c r="E6289" s="201">
        <v>-697</v>
      </c>
      <c r="F6289">
        <v>0</v>
      </c>
      <c r="G6289">
        <v>-1015</v>
      </c>
      <c r="H6289">
        <v>0</v>
      </c>
      <c r="I6289">
        <v>0</v>
      </c>
      <c r="J6289">
        <v>0</v>
      </c>
      <c r="K6289" s="201">
        <v>0</v>
      </c>
    </row>
    <row r="6290" spans="1:11" x14ac:dyDescent="0.25">
      <c r="A6290"/>
      <c r="B6290" s="201">
        <v>0</v>
      </c>
      <c r="C6290">
        <v>0</v>
      </c>
      <c r="D6290" s="201">
        <v>0</v>
      </c>
      <c r="E6290" s="201">
        <v>0</v>
      </c>
      <c r="F6290">
        <v>610</v>
      </c>
      <c r="G6290">
        <v>0</v>
      </c>
      <c r="H6290">
        <v>3030</v>
      </c>
      <c r="I6290">
        <v>-1658</v>
      </c>
      <c r="J6290">
        <v>-476</v>
      </c>
      <c r="K6290" s="201">
        <v>0</v>
      </c>
    </row>
    <row r="6291" spans="1:11" x14ac:dyDescent="0.25">
      <c r="A6291"/>
      <c r="B6291" s="201">
        <v>-121</v>
      </c>
      <c r="C6291">
        <v>-32738</v>
      </c>
      <c r="D6291" s="201">
        <v>0</v>
      </c>
      <c r="E6291" s="201">
        <v>0</v>
      </c>
      <c r="F6291">
        <v>0</v>
      </c>
      <c r="G6291">
        <v>0</v>
      </c>
      <c r="H6291">
        <v>0</v>
      </c>
      <c r="I6291">
        <v>-2911</v>
      </c>
      <c r="J6291">
        <v>-1032</v>
      </c>
      <c r="K6291" s="201">
        <v>-436</v>
      </c>
    </row>
    <row r="6292" spans="1:11" x14ac:dyDescent="0.25">
      <c r="A6292"/>
      <c r="B6292" s="201">
        <v>-435</v>
      </c>
      <c r="C6292">
        <v>-191</v>
      </c>
      <c r="D6292" s="201">
        <v>-210</v>
      </c>
      <c r="E6292" s="201">
        <v>0</v>
      </c>
      <c r="F6292">
        <v>0</v>
      </c>
      <c r="G6292">
        <v>0</v>
      </c>
      <c r="H6292">
        <v>0</v>
      </c>
      <c r="I6292">
        <v>-1640</v>
      </c>
      <c r="J6292">
        <v>0</v>
      </c>
      <c r="K6292" s="201">
        <v>-1029</v>
      </c>
    </row>
    <row r="6293" spans="1:11" x14ac:dyDescent="0.25">
      <c r="A6293"/>
      <c r="B6293" s="201">
        <v>0</v>
      </c>
      <c r="C6293">
        <v>0</v>
      </c>
      <c r="D6293" s="201">
        <v>109</v>
      </c>
      <c r="E6293" s="201">
        <v>368</v>
      </c>
      <c r="F6293">
        <v>0</v>
      </c>
      <c r="G6293">
        <v>0</v>
      </c>
      <c r="H6293">
        <v>0</v>
      </c>
      <c r="I6293">
        <v>0</v>
      </c>
      <c r="J6293">
        <v>125</v>
      </c>
      <c r="K6293" s="201">
        <v>0</v>
      </c>
    </row>
    <row r="6294" spans="1:11" x14ac:dyDescent="0.25">
      <c r="B6294" s="201">
        <v>5801</v>
      </c>
      <c r="C6294">
        <v>-1453</v>
      </c>
      <c r="D6294" s="201">
        <v>-529</v>
      </c>
      <c r="E6294" s="201">
        <v>523</v>
      </c>
      <c r="F6294">
        <v>-45</v>
      </c>
      <c r="G6294">
        <v>-9</v>
      </c>
      <c r="H6294">
        <v>-106</v>
      </c>
      <c r="I6294">
        <v>-27</v>
      </c>
      <c r="J6294">
        <v>-162</v>
      </c>
      <c r="K6294" s="201">
        <v>580</v>
      </c>
    </row>
    <row r="6295" spans="1:11" x14ac:dyDescent="0.25">
      <c r="A6295"/>
      <c r="B6295" s="201">
        <v>0</v>
      </c>
      <c r="C6295">
        <v>0</v>
      </c>
      <c r="D6295" s="201">
        <v>0</v>
      </c>
      <c r="E6295" s="201">
        <v>0</v>
      </c>
      <c r="F6295">
        <v>0</v>
      </c>
      <c r="G6295">
        <v>0</v>
      </c>
      <c r="H6295">
        <v>0</v>
      </c>
      <c r="I6295">
        <v>-178</v>
      </c>
      <c r="J6295">
        <v>-243</v>
      </c>
      <c r="K6295" s="201">
        <v>355</v>
      </c>
    </row>
    <row r="6296" spans="1:11" x14ac:dyDescent="0.25">
      <c r="A6296"/>
      <c r="B6296" s="201">
        <v>-81</v>
      </c>
      <c r="C6296">
        <v>466</v>
      </c>
      <c r="D6296" s="201">
        <v>63</v>
      </c>
      <c r="E6296" s="201">
        <v>0</v>
      </c>
      <c r="F6296">
        <v>0</v>
      </c>
      <c r="G6296">
        <v>22</v>
      </c>
      <c r="H6296">
        <v>0</v>
      </c>
      <c r="I6296">
        <v>397</v>
      </c>
      <c r="J6296">
        <v>-71</v>
      </c>
      <c r="K6296" s="201">
        <v>0</v>
      </c>
    </row>
    <row r="6297" spans="1:11" x14ac:dyDescent="0.25">
      <c r="A6297"/>
      <c r="B6297" s="201">
        <v>0</v>
      </c>
      <c r="C6297">
        <v>0</v>
      </c>
      <c r="D6297" s="201">
        <v>0</v>
      </c>
      <c r="E6297" s="201">
        <v>-1282</v>
      </c>
      <c r="F6297">
        <v>0</v>
      </c>
      <c r="G6297">
        <v>-235</v>
      </c>
      <c r="H6297">
        <v>1116</v>
      </c>
      <c r="I6297">
        <v>0</v>
      </c>
      <c r="J6297">
        <v>0</v>
      </c>
      <c r="K6297" s="201">
        <v>0</v>
      </c>
    </row>
    <row r="6298" spans="1:11" x14ac:dyDescent="0.25">
      <c r="A6298"/>
      <c r="B6298" s="201">
        <v>0</v>
      </c>
      <c r="C6298">
        <v>0</v>
      </c>
      <c r="D6298" s="201">
        <v>0</v>
      </c>
      <c r="E6298" s="201">
        <v>0</v>
      </c>
      <c r="F6298">
        <v>0</v>
      </c>
      <c r="G6298">
        <v>0</v>
      </c>
      <c r="H6298">
        <v>0</v>
      </c>
      <c r="I6298">
        <v>0</v>
      </c>
      <c r="J6298">
        <v>0</v>
      </c>
      <c r="K6298" s="201">
        <v>0</v>
      </c>
    </row>
    <row r="6299" spans="1:11" x14ac:dyDescent="0.25">
      <c r="A6299"/>
      <c r="B6299" s="201">
        <v>0</v>
      </c>
      <c r="C6299">
        <v>0</v>
      </c>
      <c r="D6299" s="201">
        <v>-1972</v>
      </c>
      <c r="E6299" s="201">
        <v>0</v>
      </c>
      <c r="F6299">
        <v>0</v>
      </c>
      <c r="G6299">
        <v>0</v>
      </c>
      <c r="H6299">
        <v>0</v>
      </c>
      <c r="I6299">
        <v>0</v>
      </c>
      <c r="J6299">
        <v>2086</v>
      </c>
      <c r="K6299" s="201">
        <v>-2449</v>
      </c>
    </row>
    <row r="6300" spans="1:11" x14ac:dyDescent="0.25">
      <c r="A6300"/>
      <c r="B6300" s="201">
        <v>-641</v>
      </c>
      <c r="C6300">
        <v>-9244</v>
      </c>
      <c r="D6300" s="201">
        <v>-3961</v>
      </c>
      <c r="E6300" s="201">
        <v>-4655</v>
      </c>
      <c r="F6300">
        <v>-5197</v>
      </c>
      <c r="G6300">
        <v>7083</v>
      </c>
      <c r="H6300">
        <v>-595</v>
      </c>
      <c r="I6300">
        <v>785</v>
      </c>
      <c r="J6300">
        <v>-2292</v>
      </c>
      <c r="K6300" s="201">
        <v>-96</v>
      </c>
    </row>
    <row r="6301" spans="1:11" x14ac:dyDescent="0.25">
      <c r="A6301"/>
      <c r="B6301" s="201">
        <v>-3018</v>
      </c>
      <c r="C6301">
        <v>-1110</v>
      </c>
      <c r="D6301" s="201">
        <v>-431</v>
      </c>
      <c r="E6301" s="201">
        <v>-512</v>
      </c>
      <c r="F6301">
        <v>1368</v>
      </c>
      <c r="G6301">
        <v>0</v>
      </c>
      <c r="H6301">
        <v>1403</v>
      </c>
      <c r="I6301">
        <v>423</v>
      </c>
      <c r="J6301">
        <v>372</v>
      </c>
      <c r="K6301" s="201">
        <v>-1338</v>
      </c>
    </row>
    <row r="6302" spans="1:11" x14ac:dyDescent="0.25">
      <c r="A6302"/>
      <c r="B6302" s="201">
        <v>975</v>
      </c>
      <c r="C6302">
        <v>10</v>
      </c>
      <c r="D6302" s="201">
        <v>167</v>
      </c>
      <c r="E6302" s="201">
        <v>-1455</v>
      </c>
      <c r="F6302">
        <v>1077</v>
      </c>
      <c r="G6302">
        <v>227</v>
      </c>
      <c r="H6302">
        <v>163</v>
      </c>
      <c r="I6302">
        <v>-1319</v>
      </c>
      <c r="J6302">
        <v>836</v>
      </c>
      <c r="K6302" s="201">
        <v>33</v>
      </c>
    </row>
    <row r="6303" spans="1:11" x14ac:dyDescent="0.25">
      <c r="A6303"/>
      <c r="B6303" s="201">
        <v>13</v>
      </c>
      <c r="C6303">
        <v>-1102</v>
      </c>
      <c r="D6303" s="201">
        <v>917</v>
      </c>
      <c r="E6303" s="201">
        <v>-197</v>
      </c>
      <c r="F6303">
        <v>-97</v>
      </c>
      <c r="G6303">
        <v>-729</v>
      </c>
      <c r="H6303">
        <v>472</v>
      </c>
      <c r="I6303">
        <v>-4</v>
      </c>
      <c r="J6303">
        <v>-92</v>
      </c>
      <c r="K6303" s="201">
        <v>-114</v>
      </c>
    </row>
    <row r="6304" spans="1:11" x14ac:dyDescent="0.25">
      <c r="A6304"/>
      <c r="B6304" s="201">
        <v>-159</v>
      </c>
      <c r="C6304">
        <v>-401</v>
      </c>
      <c r="D6304" s="201">
        <v>-683</v>
      </c>
      <c r="E6304" s="201">
        <v>321</v>
      </c>
      <c r="F6304">
        <v>-113</v>
      </c>
      <c r="G6304">
        <v>-669</v>
      </c>
      <c r="H6304">
        <v>567</v>
      </c>
      <c r="I6304">
        <v>269</v>
      </c>
      <c r="J6304">
        <v>235</v>
      </c>
      <c r="K6304" s="201">
        <v>195</v>
      </c>
    </row>
    <row r="6305" spans="1:11" x14ac:dyDescent="0.25">
      <c r="A6305"/>
      <c r="B6305" s="201">
        <v>481</v>
      </c>
      <c r="C6305">
        <v>526</v>
      </c>
      <c r="D6305" s="201">
        <v>343</v>
      </c>
      <c r="E6305" s="201">
        <v>417</v>
      </c>
      <c r="F6305">
        <v>319</v>
      </c>
      <c r="G6305">
        <v>450</v>
      </c>
      <c r="H6305">
        <v>-404</v>
      </c>
      <c r="I6305">
        <v>-38203</v>
      </c>
      <c r="J6305">
        <v>-111</v>
      </c>
      <c r="K6305" s="201">
        <v>120</v>
      </c>
    </row>
    <row r="6306" spans="1:11" x14ac:dyDescent="0.25">
      <c r="B6306" s="201">
        <v>-124</v>
      </c>
      <c r="C6306">
        <v>0</v>
      </c>
      <c r="D6306" s="201">
        <v>0</v>
      </c>
      <c r="E6306" s="201">
        <v>-69</v>
      </c>
      <c r="F6306">
        <v>0</v>
      </c>
      <c r="G6306">
        <v>0</v>
      </c>
      <c r="H6306">
        <v>0</v>
      </c>
      <c r="I6306">
        <v>-13</v>
      </c>
      <c r="J6306">
        <v>11</v>
      </c>
      <c r="K6306" s="201">
        <v>0</v>
      </c>
    </row>
    <row r="6307" spans="1:11" x14ac:dyDescent="0.25">
      <c r="A6307"/>
      <c r="B6307" s="201">
        <v>0</v>
      </c>
      <c r="C6307">
        <v>0</v>
      </c>
      <c r="D6307" s="201">
        <v>0</v>
      </c>
      <c r="E6307" s="201">
        <v>0</v>
      </c>
      <c r="F6307">
        <v>0</v>
      </c>
      <c r="G6307">
        <v>-291</v>
      </c>
      <c r="H6307">
        <v>0</v>
      </c>
      <c r="I6307">
        <v>0</v>
      </c>
      <c r="J6307">
        <v>-245</v>
      </c>
      <c r="K6307" s="201">
        <v>0</v>
      </c>
    </row>
    <row r="6308" spans="1:11" x14ac:dyDescent="0.25">
      <c r="A6308"/>
      <c r="B6308" s="201">
        <v>178</v>
      </c>
      <c r="C6308">
        <v>0</v>
      </c>
      <c r="D6308" s="201">
        <v>1019</v>
      </c>
      <c r="E6308" s="201">
        <v>711</v>
      </c>
      <c r="F6308">
        <v>155</v>
      </c>
      <c r="G6308">
        <v>0</v>
      </c>
      <c r="H6308">
        <v>223</v>
      </c>
      <c r="I6308">
        <v>-28777</v>
      </c>
      <c r="J6308">
        <v>24</v>
      </c>
      <c r="K6308" s="201">
        <v>-64</v>
      </c>
    </row>
    <row r="6309" spans="1:11" x14ac:dyDescent="0.25">
      <c r="B6309" s="201">
        <v>-188</v>
      </c>
      <c r="C6309">
        <v>-615</v>
      </c>
      <c r="D6309" s="201">
        <v>0</v>
      </c>
      <c r="E6309" s="201">
        <v>75</v>
      </c>
      <c r="F6309">
        <v>0</v>
      </c>
      <c r="G6309">
        <v>0</v>
      </c>
      <c r="H6309">
        <v>0</v>
      </c>
      <c r="I6309">
        <v>0</v>
      </c>
      <c r="J6309">
        <v>0</v>
      </c>
      <c r="K6309" s="201">
        <v>258</v>
      </c>
    </row>
    <row r="6310" spans="1:11" x14ac:dyDescent="0.25">
      <c r="A6310"/>
      <c r="B6310" s="201">
        <v>0</v>
      </c>
      <c r="C6310">
        <v>0</v>
      </c>
      <c r="D6310" s="201">
        <v>0</v>
      </c>
      <c r="E6310" s="201">
        <v>-45</v>
      </c>
      <c r="F6310">
        <v>0</v>
      </c>
      <c r="G6310">
        <v>-94</v>
      </c>
      <c r="H6310">
        <v>0</v>
      </c>
      <c r="I6310">
        <v>0</v>
      </c>
      <c r="J6310">
        <v>0</v>
      </c>
      <c r="K6310" s="201">
        <v>0</v>
      </c>
    </row>
    <row r="6311" spans="1:11" x14ac:dyDescent="0.25">
      <c r="A6311"/>
      <c r="B6311" s="201">
        <v>0</v>
      </c>
      <c r="C6311">
        <v>-151</v>
      </c>
      <c r="D6311" s="201">
        <v>0</v>
      </c>
      <c r="E6311" s="201">
        <v>-26</v>
      </c>
      <c r="F6311">
        <v>44</v>
      </c>
      <c r="G6311">
        <v>0</v>
      </c>
      <c r="H6311">
        <v>0</v>
      </c>
      <c r="I6311">
        <v>-676</v>
      </c>
      <c r="J6311">
        <v>-32507</v>
      </c>
      <c r="K6311" s="201">
        <v>0</v>
      </c>
    </row>
    <row r="6312" spans="1:11" x14ac:dyDescent="0.25">
      <c r="A6312"/>
      <c r="B6312" s="201">
        <v>-30</v>
      </c>
      <c r="C6312">
        <v>0</v>
      </c>
      <c r="D6312" s="201">
        <v>0</v>
      </c>
      <c r="E6312" s="201">
        <v>0</v>
      </c>
      <c r="F6312">
        <v>0</v>
      </c>
      <c r="G6312">
        <v>-1181</v>
      </c>
      <c r="H6312">
        <v>-275</v>
      </c>
      <c r="I6312">
        <v>-80</v>
      </c>
      <c r="J6312">
        <v>0</v>
      </c>
      <c r="K6312" s="201">
        <v>0</v>
      </c>
    </row>
    <row r="6313" spans="1:11" x14ac:dyDescent="0.25">
      <c r="A6313"/>
      <c r="B6313" s="201">
        <v>504</v>
      </c>
      <c r="C6313">
        <v>72</v>
      </c>
      <c r="D6313" s="201">
        <v>0</v>
      </c>
      <c r="E6313" s="201">
        <v>190</v>
      </c>
      <c r="F6313">
        <v>-115</v>
      </c>
      <c r="G6313">
        <v>176</v>
      </c>
      <c r="H6313">
        <v>-250</v>
      </c>
      <c r="I6313">
        <v>491</v>
      </c>
      <c r="J6313">
        <v>495</v>
      </c>
      <c r="K6313" s="201">
        <v>497</v>
      </c>
    </row>
    <row r="6314" spans="1:11" x14ac:dyDescent="0.25">
      <c r="A6314"/>
      <c r="B6314" s="201">
        <v>0</v>
      </c>
      <c r="C6314">
        <v>0</v>
      </c>
      <c r="D6314" s="201">
        <v>0</v>
      </c>
      <c r="E6314" s="201">
        <v>0</v>
      </c>
      <c r="F6314">
        <v>0</v>
      </c>
      <c r="G6314">
        <v>452</v>
      </c>
      <c r="H6314">
        <v>0</v>
      </c>
      <c r="I6314">
        <v>1453</v>
      </c>
      <c r="J6314">
        <v>395</v>
      </c>
      <c r="K6314" s="201">
        <v>-440</v>
      </c>
    </row>
    <row r="6315" spans="1:11" x14ac:dyDescent="0.25">
      <c r="A6315"/>
      <c r="B6315" s="201">
        <v>0</v>
      </c>
      <c r="C6315">
        <v>-1971</v>
      </c>
      <c r="D6315" s="201">
        <v>-41585</v>
      </c>
      <c r="E6315" s="201">
        <v>808</v>
      </c>
      <c r="F6315">
        <v>1434</v>
      </c>
      <c r="G6315">
        <v>1522</v>
      </c>
      <c r="H6315">
        <v>0</v>
      </c>
      <c r="I6315">
        <v>800</v>
      </c>
      <c r="J6315">
        <v>1746</v>
      </c>
      <c r="K6315" s="201">
        <v>21</v>
      </c>
    </row>
    <row r="6316" spans="1:11" x14ac:dyDescent="0.25">
      <c r="A6316"/>
      <c r="B6316" s="201">
        <v>18</v>
      </c>
      <c r="C6316">
        <v>0</v>
      </c>
      <c r="D6316" s="201">
        <v>120</v>
      </c>
      <c r="E6316" s="201">
        <v>-210</v>
      </c>
      <c r="F6316">
        <v>0</v>
      </c>
      <c r="G6316">
        <v>0</v>
      </c>
      <c r="H6316">
        <v>0</v>
      </c>
      <c r="I6316">
        <v>388</v>
      </c>
      <c r="J6316">
        <v>867</v>
      </c>
      <c r="K6316" s="201">
        <v>0</v>
      </c>
    </row>
    <row r="6317" spans="1:11" x14ac:dyDescent="0.25">
      <c r="A6317"/>
      <c r="B6317" s="201">
        <v>729</v>
      </c>
      <c r="C6317">
        <v>-479</v>
      </c>
      <c r="D6317" s="201">
        <v>-238</v>
      </c>
      <c r="E6317" s="201">
        <v>-48</v>
      </c>
      <c r="F6317">
        <v>0</v>
      </c>
      <c r="G6317">
        <v>0</v>
      </c>
      <c r="H6317">
        <v>0</v>
      </c>
      <c r="I6317">
        <v>0</v>
      </c>
      <c r="J6317">
        <v>0</v>
      </c>
      <c r="K6317" s="201">
        <v>1303</v>
      </c>
    </row>
    <row r="6318" spans="1:11" x14ac:dyDescent="0.25">
      <c r="A6318"/>
      <c r="B6318" s="201">
        <v>0</v>
      </c>
      <c r="C6318">
        <v>11322</v>
      </c>
      <c r="D6318" s="201">
        <v>495</v>
      </c>
      <c r="E6318" s="201">
        <v>3</v>
      </c>
      <c r="F6318">
        <v>0</v>
      </c>
      <c r="G6318">
        <v>-1676</v>
      </c>
      <c r="H6318">
        <v>-39560</v>
      </c>
      <c r="I6318">
        <v>45</v>
      </c>
      <c r="J6318">
        <v>-219</v>
      </c>
      <c r="K6318" s="201">
        <v>373</v>
      </c>
    </row>
    <row r="6319" spans="1:11" x14ac:dyDescent="0.25">
      <c r="B6319" s="201">
        <v>-102</v>
      </c>
      <c r="C6319">
        <v>-421</v>
      </c>
      <c r="D6319" s="201">
        <v>726</v>
      </c>
      <c r="E6319" s="201">
        <v>0</v>
      </c>
      <c r="F6319">
        <v>254</v>
      </c>
      <c r="G6319">
        <v>0</v>
      </c>
      <c r="H6319">
        <v>0</v>
      </c>
      <c r="I6319">
        <v>-4</v>
      </c>
      <c r="J6319">
        <v>272</v>
      </c>
      <c r="K6319" s="201">
        <v>0</v>
      </c>
    </row>
    <row r="6320" spans="1:11" x14ac:dyDescent="0.25">
      <c r="A6320"/>
      <c r="B6320" s="201">
        <v>99</v>
      </c>
      <c r="C6320">
        <v>0</v>
      </c>
      <c r="D6320" s="201">
        <v>0</v>
      </c>
      <c r="E6320" s="201">
        <v>-53</v>
      </c>
      <c r="F6320">
        <v>0</v>
      </c>
      <c r="G6320">
        <v>65</v>
      </c>
      <c r="H6320">
        <v>60</v>
      </c>
      <c r="I6320">
        <v>-128</v>
      </c>
      <c r="J6320">
        <v>0</v>
      </c>
      <c r="K6320" s="201">
        <v>0</v>
      </c>
    </row>
    <row r="6321" spans="1:11" x14ac:dyDescent="0.25">
      <c r="A6321"/>
      <c r="B6321" s="201">
        <v>0</v>
      </c>
      <c r="C6321">
        <v>0</v>
      </c>
      <c r="D6321" s="201">
        <v>0</v>
      </c>
      <c r="E6321" s="201">
        <v>1259</v>
      </c>
      <c r="F6321">
        <v>0</v>
      </c>
      <c r="G6321">
        <v>9826</v>
      </c>
      <c r="H6321">
        <v>444</v>
      </c>
      <c r="I6321">
        <v>123</v>
      </c>
      <c r="J6321">
        <v>0</v>
      </c>
      <c r="K6321" s="201">
        <v>-856</v>
      </c>
    </row>
    <row r="6322" spans="1:11" x14ac:dyDescent="0.25">
      <c r="A6322"/>
      <c r="B6322" s="201">
        <v>-41650</v>
      </c>
      <c r="C6322">
        <v>421</v>
      </c>
      <c r="D6322" s="201">
        <v>0</v>
      </c>
      <c r="E6322" s="201">
        <v>0</v>
      </c>
      <c r="F6322">
        <v>0</v>
      </c>
      <c r="G6322">
        <v>1317</v>
      </c>
      <c r="H6322">
        <v>1002</v>
      </c>
      <c r="I6322">
        <v>349</v>
      </c>
      <c r="J6322">
        <v>-1055</v>
      </c>
      <c r="K6322" s="201">
        <v>-1009</v>
      </c>
    </row>
    <row r="6323" spans="1:11" x14ac:dyDescent="0.25">
      <c r="A6323"/>
      <c r="B6323" s="201">
        <v>0</v>
      </c>
      <c r="C6323">
        <v>712</v>
      </c>
      <c r="D6323" s="201">
        <v>0</v>
      </c>
      <c r="E6323" s="201">
        <v>0</v>
      </c>
      <c r="F6323">
        <v>50</v>
      </c>
      <c r="G6323">
        <v>0</v>
      </c>
      <c r="H6323">
        <v>-647</v>
      </c>
      <c r="I6323">
        <v>0</v>
      </c>
      <c r="J6323">
        <v>-990</v>
      </c>
      <c r="K6323" s="201">
        <v>0</v>
      </c>
    </row>
    <row r="6324" spans="1:11" x14ac:dyDescent="0.25">
      <c r="A6324"/>
      <c r="B6324" s="201">
        <v>0</v>
      </c>
      <c r="C6324">
        <v>0</v>
      </c>
      <c r="D6324" s="201">
        <v>0</v>
      </c>
      <c r="E6324" s="201">
        <v>0</v>
      </c>
      <c r="F6324">
        <v>0</v>
      </c>
      <c r="G6324">
        <v>0</v>
      </c>
      <c r="H6324">
        <v>0</v>
      </c>
      <c r="I6324">
        <v>633</v>
      </c>
      <c r="J6324">
        <v>0</v>
      </c>
      <c r="K6324" s="201">
        <v>3635</v>
      </c>
    </row>
    <row r="6325" spans="1:11" x14ac:dyDescent="0.25">
      <c r="B6325" s="201">
        <v>-1888</v>
      </c>
      <c r="C6325">
        <v>-517</v>
      </c>
      <c r="D6325" s="201">
        <v>0</v>
      </c>
      <c r="E6325" s="201">
        <v>-237</v>
      </c>
      <c r="F6325">
        <v>-39308</v>
      </c>
      <c r="G6325">
        <v>0</v>
      </c>
      <c r="H6325">
        <v>0</v>
      </c>
      <c r="I6325">
        <v>0</v>
      </c>
      <c r="J6325">
        <v>0</v>
      </c>
      <c r="K6325" s="201">
        <v>0</v>
      </c>
    </row>
    <row r="6326" spans="1:11" x14ac:dyDescent="0.25">
      <c r="B6326" s="201">
        <v>-2139</v>
      </c>
      <c r="C6326">
        <v>-976</v>
      </c>
      <c r="D6326" s="201">
        <v>-513</v>
      </c>
      <c r="E6326" s="201">
        <v>-504</v>
      </c>
      <c r="F6326">
        <v>-215</v>
      </c>
      <c r="G6326">
        <v>-164</v>
      </c>
      <c r="H6326">
        <v>0</v>
      </c>
      <c r="I6326">
        <v>0</v>
      </c>
      <c r="J6326">
        <v>0</v>
      </c>
      <c r="K6326" s="201">
        <v>0</v>
      </c>
    </row>
    <row r="6327" spans="1:11" x14ac:dyDescent="0.25">
      <c r="A6327"/>
      <c r="B6327" s="201">
        <v>-1926</v>
      </c>
      <c r="C6327" s="201">
        <v>0</v>
      </c>
      <c r="D6327" s="201">
        <v>-1287</v>
      </c>
      <c r="E6327" s="201">
        <v>0</v>
      </c>
      <c r="F6327">
        <v>0</v>
      </c>
      <c r="G6327">
        <v>232</v>
      </c>
      <c r="H6327">
        <v>339</v>
      </c>
      <c r="I6327">
        <v>0</v>
      </c>
      <c r="J6327">
        <v>0</v>
      </c>
      <c r="K6327" s="201">
        <v>0</v>
      </c>
    </row>
    <row r="6328" spans="1:11" x14ac:dyDescent="0.25">
      <c r="A6328"/>
      <c r="B6328" s="201">
        <v>0</v>
      </c>
      <c r="C6328">
        <v>110</v>
      </c>
      <c r="D6328" s="201">
        <v>0</v>
      </c>
      <c r="E6328" s="201">
        <v>6993</v>
      </c>
      <c r="F6328">
        <v>-1610</v>
      </c>
      <c r="G6328">
        <v>-607</v>
      </c>
      <c r="H6328">
        <v>509</v>
      </c>
      <c r="I6328">
        <v>-127</v>
      </c>
      <c r="J6328">
        <v>-273</v>
      </c>
      <c r="K6328" s="201">
        <v>-374</v>
      </c>
    </row>
    <row r="6329" spans="1:11" x14ac:dyDescent="0.25">
      <c r="A6329"/>
      <c r="B6329" s="201">
        <v>-11</v>
      </c>
      <c r="C6329">
        <v>-322</v>
      </c>
      <c r="D6329" s="201">
        <v>-212</v>
      </c>
      <c r="E6329" s="201">
        <v>0</v>
      </c>
      <c r="F6329">
        <v>0</v>
      </c>
      <c r="G6329">
        <v>0</v>
      </c>
      <c r="H6329">
        <v>0</v>
      </c>
      <c r="I6329">
        <v>0</v>
      </c>
      <c r="J6329">
        <v>0</v>
      </c>
      <c r="K6329" s="201">
        <v>0</v>
      </c>
    </row>
    <row r="6330" spans="1:11" x14ac:dyDescent="0.25">
      <c r="B6330" s="201">
        <v>-100</v>
      </c>
      <c r="C6330">
        <v>-197</v>
      </c>
      <c r="D6330" s="201">
        <v>318</v>
      </c>
      <c r="E6330" s="201">
        <v>-37</v>
      </c>
      <c r="F6330">
        <v>332</v>
      </c>
      <c r="G6330">
        <v>2</v>
      </c>
      <c r="H6330">
        <v>0</v>
      </c>
      <c r="I6330">
        <v>0</v>
      </c>
      <c r="J6330">
        <v>-8</v>
      </c>
      <c r="K6330" s="201">
        <v>0</v>
      </c>
    </row>
    <row r="6331" spans="1:11" x14ac:dyDescent="0.25">
      <c r="A6331"/>
      <c r="B6331" s="201">
        <v>467</v>
      </c>
      <c r="C6331">
        <v>228</v>
      </c>
      <c r="D6331" s="201">
        <v>0</v>
      </c>
      <c r="E6331" s="201">
        <v>0</v>
      </c>
      <c r="F6331">
        <v>0</v>
      </c>
      <c r="G6331">
        <v>0</v>
      </c>
      <c r="H6331">
        <v>-1805</v>
      </c>
      <c r="I6331">
        <v>0</v>
      </c>
      <c r="J6331">
        <v>-347</v>
      </c>
      <c r="K6331" s="201">
        <v>42</v>
      </c>
    </row>
    <row r="6332" spans="1:11" x14ac:dyDescent="0.25">
      <c r="A6332"/>
      <c r="B6332" s="201">
        <v>0</v>
      </c>
      <c r="C6332">
        <v>0</v>
      </c>
      <c r="D6332" s="201">
        <v>0</v>
      </c>
      <c r="E6332" s="201">
        <v>0</v>
      </c>
      <c r="F6332">
        <v>0</v>
      </c>
      <c r="G6332">
        <v>0</v>
      </c>
      <c r="H6332">
        <v>0</v>
      </c>
      <c r="I6332">
        <v>0</v>
      </c>
      <c r="J6332">
        <v>0</v>
      </c>
      <c r="K6332" s="201">
        <v>0</v>
      </c>
    </row>
    <row r="6333" spans="1:11" x14ac:dyDescent="0.25">
      <c r="A6333"/>
      <c r="B6333" s="201">
        <v>0</v>
      </c>
      <c r="C6333">
        <v>0</v>
      </c>
      <c r="D6333" s="201">
        <v>0</v>
      </c>
      <c r="E6333" s="201">
        <v>0</v>
      </c>
      <c r="F6333">
        <v>0</v>
      </c>
      <c r="G6333">
        <v>-2112</v>
      </c>
      <c r="H6333">
        <v>0</v>
      </c>
      <c r="I6333">
        <v>0</v>
      </c>
      <c r="J6333">
        <v>0</v>
      </c>
      <c r="K6333" s="201">
        <v>0</v>
      </c>
    </row>
    <row r="6334" spans="1:11" x14ac:dyDescent="0.25">
      <c r="A6334"/>
      <c r="B6334" s="201">
        <v>0</v>
      </c>
      <c r="C6334">
        <v>549</v>
      </c>
      <c r="D6334" s="201">
        <v>-67</v>
      </c>
      <c r="E6334" s="201">
        <v>-401</v>
      </c>
      <c r="F6334">
        <v>-3469</v>
      </c>
      <c r="G6334">
        <v>-13932</v>
      </c>
      <c r="H6334">
        <v>-4750</v>
      </c>
      <c r="I6334">
        <v>-6820</v>
      </c>
      <c r="J6334">
        <v>9341</v>
      </c>
      <c r="K6334" s="201">
        <v>-933</v>
      </c>
    </row>
    <row r="6335" spans="1:11" x14ac:dyDescent="0.25">
      <c r="A6335"/>
      <c r="B6335" s="201">
        <v>862</v>
      </c>
      <c r="C6335">
        <v>2450</v>
      </c>
      <c r="D6335" s="201">
        <v>159</v>
      </c>
      <c r="E6335" s="201">
        <v>-1302</v>
      </c>
      <c r="F6335">
        <v>-5249</v>
      </c>
      <c r="G6335">
        <v>-16</v>
      </c>
      <c r="H6335">
        <v>-879</v>
      </c>
      <c r="I6335">
        <v>850</v>
      </c>
      <c r="J6335">
        <v>0</v>
      </c>
      <c r="K6335" s="201">
        <v>-629</v>
      </c>
    </row>
    <row r="6336" spans="1:11" x14ac:dyDescent="0.25">
      <c r="A6336"/>
      <c r="B6336" s="201">
        <v>181</v>
      </c>
      <c r="C6336">
        <v>-361</v>
      </c>
      <c r="D6336" s="201">
        <v>-2696</v>
      </c>
      <c r="E6336" s="201">
        <v>-734</v>
      </c>
      <c r="F6336">
        <v>1331</v>
      </c>
      <c r="G6336">
        <v>-338</v>
      </c>
      <c r="H6336">
        <v>-2157</v>
      </c>
      <c r="I6336">
        <v>-424</v>
      </c>
      <c r="J6336">
        <v>656</v>
      </c>
      <c r="K6336" s="201">
        <v>-132</v>
      </c>
    </row>
    <row r="6337" spans="1:11" x14ac:dyDescent="0.25">
      <c r="A6337"/>
      <c r="B6337" s="201">
        <v>-1980</v>
      </c>
      <c r="C6337">
        <v>-388</v>
      </c>
      <c r="D6337" s="201">
        <v>347</v>
      </c>
      <c r="E6337" s="201">
        <v>-437</v>
      </c>
      <c r="F6337">
        <v>-1546</v>
      </c>
      <c r="G6337">
        <v>-655</v>
      </c>
      <c r="H6337">
        <v>314</v>
      </c>
      <c r="I6337">
        <v>-657</v>
      </c>
      <c r="J6337">
        <v>-1366</v>
      </c>
      <c r="K6337" s="201">
        <v>-793</v>
      </c>
    </row>
    <row r="6338" spans="1:11" x14ac:dyDescent="0.25">
      <c r="A6338"/>
      <c r="B6338" s="201">
        <v>-125</v>
      </c>
      <c r="C6338">
        <v>421</v>
      </c>
      <c r="D6338" s="201">
        <v>-236</v>
      </c>
      <c r="E6338" s="201">
        <v>-296</v>
      </c>
      <c r="F6338">
        <v>-498</v>
      </c>
      <c r="G6338">
        <v>-116</v>
      </c>
      <c r="H6338">
        <v>-155</v>
      </c>
      <c r="I6338">
        <v>87</v>
      </c>
      <c r="J6338">
        <v>-640</v>
      </c>
      <c r="K6338" s="201">
        <v>857</v>
      </c>
    </row>
    <row r="6339" spans="1:11" x14ac:dyDescent="0.25">
      <c r="A6339"/>
      <c r="B6339" s="201">
        <v>195</v>
      </c>
      <c r="C6339">
        <v>238</v>
      </c>
      <c r="D6339" s="201">
        <v>172</v>
      </c>
      <c r="E6339" s="201">
        <v>550</v>
      </c>
      <c r="F6339">
        <v>588</v>
      </c>
      <c r="G6339">
        <v>416</v>
      </c>
      <c r="H6339">
        <v>353</v>
      </c>
      <c r="I6339">
        <v>336</v>
      </c>
      <c r="J6339">
        <v>485</v>
      </c>
      <c r="K6339" s="201">
        <v>44799</v>
      </c>
    </row>
    <row r="6340" spans="1:11" x14ac:dyDescent="0.25">
      <c r="B6340" s="201">
        <v>-237</v>
      </c>
      <c r="C6340">
        <v>-38454</v>
      </c>
      <c r="D6340" s="201">
        <v>-67</v>
      </c>
      <c r="E6340" s="201">
        <v>-29</v>
      </c>
      <c r="F6340">
        <v>230</v>
      </c>
      <c r="G6340">
        <v>0</v>
      </c>
      <c r="H6340">
        <v>0</v>
      </c>
      <c r="I6340">
        <v>1</v>
      </c>
      <c r="J6340">
        <v>0</v>
      </c>
      <c r="K6340" s="201">
        <v>0</v>
      </c>
    </row>
    <row r="6341" spans="1:11" x14ac:dyDescent="0.25">
      <c r="A6341"/>
      <c r="B6341" s="201">
        <v>0</v>
      </c>
      <c r="C6341">
        <v>-81</v>
      </c>
      <c r="D6341" s="201">
        <v>-67</v>
      </c>
      <c r="E6341" s="201">
        <v>0</v>
      </c>
      <c r="F6341">
        <v>0</v>
      </c>
      <c r="G6341">
        <v>0</v>
      </c>
      <c r="H6341">
        <v>0</v>
      </c>
      <c r="I6341">
        <v>0</v>
      </c>
      <c r="J6341">
        <v>0</v>
      </c>
      <c r="K6341" s="201">
        <v>-294</v>
      </c>
    </row>
    <row r="6342" spans="1:11" x14ac:dyDescent="0.25">
      <c r="A6342"/>
      <c r="B6342" s="201">
        <v>0</v>
      </c>
      <c r="C6342">
        <v>0</v>
      </c>
      <c r="D6342" s="201">
        <v>118</v>
      </c>
      <c r="E6342" s="201">
        <v>0</v>
      </c>
      <c r="F6342">
        <v>-194</v>
      </c>
      <c r="G6342">
        <v>0</v>
      </c>
      <c r="H6342">
        <v>105</v>
      </c>
      <c r="I6342">
        <v>599</v>
      </c>
      <c r="J6342">
        <v>139</v>
      </c>
      <c r="K6342" s="201">
        <v>0</v>
      </c>
    </row>
    <row r="6343" spans="1:11" x14ac:dyDescent="0.25">
      <c r="A6343"/>
      <c r="B6343" s="201">
        <v>366</v>
      </c>
      <c r="C6343">
        <v>-28820</v>
      </c>
      <c r="D6343" s="201">
        <v>-38</v>
      </c>
      <c r="E6343" s="201">
        <v>-181</v>
      </c>
      <c r="F6343">
        <v>-390</v>
      </c>
      <c r="G6343">
        <v>-670</v>
      </c>
      <c r="H6343">
        <v>0</v>
      </c>
      <c r="I6343">
        <v>56</v>
      </c>
      <c r="J6343">
        <v>0</v>
      </c>
      <c r="K6343" s="201">
        <v>0</v>
      </c>
    </row>
    <row r="6344" spans="1:11" x14ac:dyDescent="0.25">
      <c r="A6344"/>
      <c r="B6344" s="201">
        <v>0</v>
      </c>
      <c r="C6344">
        <v>0</v>
      </c>
      <c r="D6344" s="201">
        <v>0</v>
      </c>
      <c r="E6344" s="201">
        <v>208</v>
      </c>
      <c r="F6344">
        <v>0</v>
      </c>
      <c r="G6344">
        <v>0</v>
      </c>
      <c r="H6344">
        <v>0</v>
      </c>
      <c r="I6344">
        <v>-127</v>
      </c>
      <c r="J6344">
        <v>0</v>
      </c>
      <c r="K6344" s="201">
        <v>-84</v>
      </c>
    </row>
    <row r="6345" spans="1:11" x14ac:dyDescent="0.25">
      <c r="A6345"/>
      <c r="B6345" s="201">
        <v>0</v>
      </c>
      <c r="C6345">
        <v>0</v>
      </c>
      <c r="D6345" s="201">
        <v>0</v>
      </c>
      <c r="E6345" s="201">
        <v>0</v>
      </c>
      <c r="F6345">
        <v>0</v>
      </c>
      <c r="G6345">
        <v>-220</v>
      </c>
      <c r="H6345">
        <v>0</v>
      </c>
      <c r="I6345">
        <v>-115</v>
      </c>
      <c r="J6345">
        <v>72</v>
      </c>
      <c r="K6345" s="201">
        <v>0</v>
      </c>
    </row>
    <row r="6346" spans="1:11" x14ac:dyDescent="0.25">
      <c r="A6346"/>
      <c r="B6346" s="201">
        <v>0</v>
      </c>
      <c r="C6346" s="201">
        <v>-717</v>
      </c>
      <c r="D6346" s="201">
        <v>-32656</v>
      </c>
      <c r="E6346" s="201">
        <v>0</v>
      </c>
      <c r="F6346">
        <v>45</v>
      </c>
      <c r="G6346">
        <v>0</v>
      </c>
      <c r="H6346">
        <v>0</v>
      </c>
      <c r="I6346">
        <v>0</v>
      </c>
      <c r="J6346">
        <v>0</v>
      </c>
      <c r="K6346" s="201">
        <v>-1202</v>
      </c>
    </row>
    <row r="6347" spans="1:11" x14ac:dyDescent="0.25">
      <c r="A6347"/>
      <c r="B6347" s="201">
        <v>-298</v>
      </c>
      <c r="C6347">
        <v>-75</v>
      </c>
      <c r="D6347" s="201">
        <v>0</v>
      </c>
      <c r="E6347" s="201">
        <v>0</v>
      </c>
      <c r="F6347">
        <v>539</v>
      </c>
      <c r="G6347">
        <v>94</v>
      </c>
      <c r="H6347">
        <v>0</v>
      </c>
      <c r="I6347">
        <v>205</v>
      </c>
      <c r="J6347">
        <v>-76</v>
      </c>
      <c r="K6347" s="201">
        <v>156</v>
      </c>
    </row>
    <row r="6348" spans="1:11" x14ac:dyDescent="0.25">
      <c r="A6348"/>
      <c r="B6348" s="201">
        <v>-173</v>
      </c>
      <c r="C6348">
        <v>522</v>
      </c>
      <c r="D6348" s="201">
        <v>514</v>
      </c>
      <c r="E6348" s="201">
        <v>528</v>
      </c>
      <c r="F6348">
        <v>0</v>
      </c>
      <c r="G6348">
        <v>0</v>
      </c>
      <c r="H6348">
        <v>0</v>
      </c>
      <c r="I6348">
        <v>0</v>
      </c>
      <c r="J6348">
        <v>0</v>
      </c>
      <c r="K6348" s="201">
        <v>558</v>
      </c>
    </row>
    <row r="6349" spans="1:11" x14ac:dyDescent="0.25">
      <c r="A6349"/>
      <c r="B6349" s="201">
        <v>0</v>
      </c>
      <c r="C6349">
        <v>1557</v>
      </c>
      <c r="D6349" s="201">
        <v>411</v>
      </c>
      <c r="E6349" s="201">
        <v>-459</v>
      </c>
      <c r="F6349">
        <v>0</v>
      </c>
      <c r="G6349">
        <v>-1722</v>
      </c>
      <c r="H6349">
        <v>-40602</v>
      </c>
      <c r="I6349">
        <v>142</v>
      </c>
      <c r="J6349">
        <v>-42</v>
      </c>
      <c r="K6349" s="201">
        <v>474</v>
      </c>
    </row>
    <row r="6350" spans="1:11" x14ac:dyDescent="0.25">
      <c r="A6350"/>
      <c r="B6350" s="201">
        <v>0</v>
      </c>
      <c r="C6350">
        <v>-274</v>
      </c>
      <c r="D6350" s="201">
        <v>-1780</v>
      </c>
      <c r="E6350" s="201">
        <v>-1580</v>
      </c>
      <c r="F6350">
        <v>168</v>
      </c>
      <c r="G6350">
        <v>0</v>
      </c>
      <c r="H6350">
        <v>36</v>
      </c>
      <c r="I6350">
        <v>83</v>
      </c>
      <c r="J6350">
        <v>0</v>
      </c>
      <c r="K6350" s="201">
        <v>0</v>
      </c>
    </row>
    <row r="6351" spans="1:11" x14ac:dyDescent="0.25">
      <c r="A6351"/>
      <c r="B6351" s="201">
        <v>0</v>
      </c>
      <c r="C6351">
        <v>-57</v>
      </c>
      <c r="D6351" s="201">
        <v>59</v>
      </c>
      <c r="E6351" s="201">
        <v>0</v>
      </c>
      <c r="F6351">
        <v>25</v>
      </c>
      <c r="G6351">
        <v>230</v>
      </c>
      <c r="H6351">
        <v>18</v>
      </c>
      <c r="I6351">
        <v>-94</v>
      </c>
      <c r="J6351">
        <v>0</v>
      </c>
      <c r="K6351" s="201">
        <v>0</v>
      </c>
    </row>
    <row r="6352" spans="1:11" x14ac:dyDescent="0.25">
      <c r="A6352"/>
      <c r="B6352" s="201">
        <v>0</v>
      </c>
      <c r="C6352">
        <v>0</v>
      </c>
      <c r="D6352" s="201">
        <v>0</v>
      </c>
      <c r="E6352" s="201">
        <v>1437</v>
      </c>
      <c r="F6352">
        <v>0</v>
      </c>
      <c r="G6352">
        <v>10705</v>
      </c>
      <c r="H6352">
        <v>228</v>
      </c>
      <c r="I6352">
        <v>96</v>
      </c>
      <c r="J6352">
        <v>0</v>
      </c>
      <c r="K6352" s="201">
        <v>-2548</v>
      </c>
    </row>
    <row r="6353" spans="1:11" x14ac:dyDescent="0.25">
      <c r="A6353"/>
      <c r="B6353" s="201">
        <v>-39781</v>
      </c>
      <c r="C6353">
        <v>573</v>
      </c>
      <c r="D6353" s="201">
        <v>625</v>
      </c>
      <c r="E6353" s="201">
        <v>1172</v>
      </c>
      <c r="F6353">
        <v>27</v>
      </c>
      <c r="G6353">
        <v>-195</v>
      </c>
      <c r="H6353">
        <v>3319</v>
      </c>
      <c r="I6353">
        <v>0</v>
      </c>
      <c r="J6353">
        <v>161</v>
      </c>
      <c r="K6353" s="201">
        <v>0</v>
      </c>
    </row>
    <row r="6354" spans="1:11" x14ac:dyDescent="0.25">
      <c r="A6354"/>
      <c r="B6354" s="201">
        <v>0</v>
      </c>
      <c r="C6354">
        <v>-204</v>
      </c>
      <c r="D6354" s="201">
        <v>149</v>
      </c>
      <c r="E6354" s="201">
        <v>0</v>
      </c>
      <c r="F6354">
        <v>-488</v>
      </c>
      <c r="G6354">
        <v>0</v>
      </c>
      <c r="H6354">
        <v>0</v>
      </c>
      <c r="I6354">
        <v>140</v>
      </c>
      <c r="J6354">
        <v>0</v>
      </c>
      <c r="K6354" s="201">
        <v>-1029</v>
      </c>
    </row>
    <row r="6355" spans="1:11" x14ac:dyDescent="0.25">
      <c r="B6355" s="201">
        <v>-385</v>
      </c>
      <c r="C6355">
        <v>-588</v>
      </c>
      <c r="D6355" s="201">
        <v>0</v>
      </c>
      <c r="E6355" s="201">
        <v>0</v>
      </c>
      <c r="F6355">
        <v>0</v>
      </c>
      <c r="G6355">
        <v>0</v>
      </c>
      <c r="H6355">
        <v>0</v>
      </c>
      <c r="I6355">
        <v>2115</v>
      </c>
      <c r="J6355">
        <v>0</v>
      </c>
      <c r="K6355" s="201">
        <v>9442</v>
      </c>
    </row>
    <row r="6356" spans="1:11" x14ac:dyDescent="0.25">
      <c r="A6356"/>
      <c r="B6356" s="201">
        <v>743</v>
      </c>
      <c r="C6356">
        <v>224</v>
      </c>
      <c r="D6356" s="201">
        <v>0</v>
      </c>
      <c r="E6356" s="201">
        <v>-895</v>
      </c>
      <c r="F6356">
        <v>-41905</v>
      </c>
      <c r="G6356">
        <v>441</v>
      </c>
      <c r="H6356">
        <v>0</v>
      </c>
      <c r="I6356">
        <v>0</v>
      </c>
      <c r="J6356">
        <v>0</v>
      </c>
      <c r="K6356" s="201">
        <v>1050</v>
      </c>
    </row>
    <row r="6357" spans="1:11" x14ac:dyDescent="0.25">
      <c r="A6357"/>
      <c r="B6357" s="201">
        <v>961</v>
      </c>
      <c r="C6357">
        <v>451</v>
      </c>
      <c r="D6357" s="201">
        <v>-1065</v>
      </c>
      <c r="E6357" s="201">
        <v>-1007</v>
      </c>
      <c r="F6357">
        <v>0</v>
      </c>
      <c r="G6357">
        <v>706</v>
      </c>
      <c r="H6357">
        <v>0</v>
      </c>
      <c r="I6357">
        <v>0</v>
      </c>
      <c r="J6357">
        <v>60</v>
      </c>
      <c r="K6357" s="201">
        <v>0</v>
      </c>
    </row>
    <row r="6358" spans="1:11" x14ac:dyDescent="0.25">
      <c r="B6358" s="201">
        <v>-595</v>
      </c>
      <c r="C6358">
        <v>0</v>
      </c>
      <c r="D6358" s="201">
        <v>-987</v>
      </c>
      <c r="E6358" s="201">
        <v>0</v>
      </c>
      <c r="F6358">
        <v>0</v>
      </c>
      <c r="G6358">
        <v>0</v>
      </c>
      <c r="H6358">
        <v>0</v>
      </c>
      <c r="I6358">
        <v>0</v>
      </c>
      <c r="J6358">
        <v>0</v>
      </c>
      <c r="K6358" s="201">
        <v>0</v>
      </c>
    </row>
    <row r="6359" spans="1:11" x14ac:dyDescent="0.25">
      <c r="A6359"/>
      <c r="B6359" s="201">
        <v>0</v>
      </c>
      <c r="C6359">
        <v>800</v>
      </c>
      <c r="D6359" s="201">
        <v>0</v>
      </c>
      <c r="E6359" s="201">
        <v>3856</v>
      </c>
      <c r="F6359">
        <v>-1896</v>
      </c>
      <c r="G6359">
        <v>-520</v>
      </c>
      <c r="H6359">
        <v>0</v>
      </c>
      <c r="I6359">
        <v>-358</v>
      </c>
      <c r="J6359">
        <v>-39328</v>
      </c>
      <c r="K6359" s="201">
        <v>0</v>
      </c>
    </row>
    <row r="6360" spans="1:11" x14ac:dyDescent="0.25">
      <c r="A6360"/>
      <c r="B6360" s="201">
        <v>0</v>
      </c>
      <c r="C6360">
        <v>0</v>
      </c>
      <c r="D6360" s="201">
        <v>0</v>
      </c>
      <c r="E6360" s="201">
        <v>0</v>
      </c>
      <c r="F6360">
        <v>-2186</v>
      </c>
      <c r="G6360">
        <v>-872</v>
      </c>
      <c r="H6360">
        <v>-578</v>
      </c>
      <c r="I6360">
        <v>-553</v>
      </c>
      <c r="J6360">
        <v>-259</v>
      </c>
      <c r="K6360" s="201">
        <v>-289</v>
      </c>
    </row>
    <row r="6361" spans="1:11" x14ac:dyDescent="0.25">
      <c r="A6361"/>
      <c r="B6361" s="201">
        <v>0</v>
      </c>
      <c r="C6361">
        <v>0</v>
      </c>
      <c r="D6361" s="201">
        <v>0</v>
      </c>
      <c r="E6361" s="201">
        <v>0</v>
      </c>
      <c r="F6361">
        <v>-1939</v>
      </c>
      <c r="G6361">
        <v>0</v>
      </c>
      <c r="H6361">
        <v>-1268</v>
      </c>
      <c r="I6361">
        <v>0</v>
      </c>
      <c r="J6361">
        <v>0</v>
      </c>
      <c r="K6361" s="201">
        <v>219</v>
      </c>
    </row>
    <row r="6362" spans="1:11" x14ac:dyDescent="0.25">
      <c r="A6362"/>
      <c r="B6362" s="201">
        <v>416</v>
      </c>
      <c r="C6362">
        <v>0</v>
      </c>
      <c r="D6362" s="201">
        <v>0</v>
      </c>
      <c r="E6362" s="201">
        <v>0</v>
      </c>
      <c r="F6362">
        <v>0</v>
      </c>
      <c r="G6362">
        <v>345</v>
      </c>
      <c r="H6362">
        <v>0</v>
      </c>
      <c r="I6362">
        <v>7144</v>
      </c>
      <c r="J6362">
        <v>-1646</v>
      </c>
      <c r="K6362" s="201">
        <v>-693</v>
      </c>
    </row>
    <row r="6363" spans="1:11" x14ac:dyDescent="0.25">
      <c r="A6363"/>
      <c r="B6363" s="201">
        <v>361</v>
      </c>
      <c r="C6363">
        <v>-173</v>
      </c>
      <c r="D6363" s="201">
        <v>-254</v>
      </c>
      <c r="E6363" s="201">
        <v>-396</v>
      </c>
      <c r="F6363">
        <v>-19</v>
      </c>
      <c r="G6363">
        <v>-272</v>
      </c>
      <c r="H6363">
        <v>-8</v>
      </c>
      <c r="I6363">
        <v>0</v>
      </c>
      <c r="J6363">
        <v>0</v>
      </c>
      <c r="K6363" s="201">
        <v>0</v>
      </c>
    </row>
    <row r="6364" spans="1:11" x14ac:dyDescent="0.25">
      <c r="A6364"/>
      <c r="B6364" s="201">
        <v>0</v>
      </c>
      <c r="C6364">
        <v>0</v>
      </c>
      <c r="D6364" s="201">
        <v>0</v>
      </c>
      <c r="E6364" s="201">
        <v>0</v>
      </c>
      <c r="F6364">
        <v>17</v>
      </c>
      <c r="G6364">
        <v>-84</v>
      </c>
      <c r="H6364">
        <v>467</v>
      </c>
      <c r="I6364">
        <v>-111</v>
      </c>
      <c r="J6364">
        <v>451</v>
      </c>
      <c r="K6364" s="201">
        <v>93</v>
      </c>
    </row>
    <row r="6365" spans="1:11" x14ac:dyDescent="0.25">
      <c r="A6365"/>
      <c r="B6365" s="201">
        <v>0</v>
      </c>
      <c r="C6365">
        <v>0</v>
      </c>
      <c r="D6365" s="201">
        <v>-48</v>
      </c>
      <c r="E6365" s="201">
        <v>0</v>
      </c>
      <c r="F6365">
        <v>450</v>
      </c>
      <c r="G6365">
        <v>-14</v>
      </c>
      <c r="H6365">
        <v>0</v>
      </c>
      <c r="I6365">
        <v>0</v>
      </c>
      <c r="J6365">
        <v>0</v>
      </c>
      <c r="K6365" s="201">
        <v>0</v>
      </c>
    </row>
    <row r="6366" spans="1:11" x14ac:dyDescent="0.25">
      <c r="B6366" s="201">
        <v>-1766</v>
      </c>
      <c r="C6366">
        <v>0</v>
      </c>
      <c r="D6366" s="201">
        <v>230</v>
      </c>
      <c r="E6366" s="201">
        <v>294</v>
      </c>
      <c r="F6366">
        <v>0</v>
      </c>
      <c r="G6366">
        <v>0</v>
      </c>
      <c r="H6366">
        <v>0</v>
      </c>
      <c r="I6366">
        <v>0</v>
      </c>
      <c r="J6366">
        <v>0</v>
      </c>
      <c r="K6366" s="201">
        <v>0</v>
      </c>
    </row>
    <row r="6367" spans="1:11" x14ac:dyDescent="0.25">
      <c r="A6367"/>
      <c r="B6367" s="201">
        <v>0</v>
      </c>
      <c r="C6367">
        <v>0</v>
      </c>
      <c r="D6367" s="201">
        <v>0</v>
      </c>
      <c r="E6367" s="201">
        <v>0</v>
      </c>
      <c r="F6367">
        <v>0</v>
      </c>
      <c r="G6367">
        <v>0</v>
      </c>
      <c r="H6367">
        <v>0</v>
      </c>
      <c r="I6367">
        <v>0</v>
      </c>
      <c r="J6367">
        <v>0</v>
      </c>
      <c r="K6367" s="201">
        <v>-2132</v>
      </c>
    </row>
    <row r="6368" spans="1:11" x14ac:dyDescent="0.25">
      <c r="A6368"/>
      <c r="B6368" s="201">
        <v>0</v>
      </c>
      <c r="C6368">
        <v>0</v>
      </c>
      <c r="D6368" s="201">
        <v>0</v>
      </c>
      <c r="E6368" s="201">
        <v>0</v>
      </c>
      <c r="F6368">
        <v>0</v>
      </c>
      <c r="G6368">
        <v>840</v>
      </c>
      <c r="H6368">
        <v>35</v>
      </c>
      <c r="I6368">
        <v>-606</v>
      </c>
      <c r="J6368">
        <v>-3564</v>
      </c>
      <c r="K6368" s="201">
        <v>-3964</v>
      </c>
    </row>
    <row r="6369" spans="1:11" x14ac:dyDescent="0.25">
      <c r="A6369"/>
      <c r="B6369" s="201">
        <v>-14254</v>
      </c>
      <c r="C6369">
        <v>-6522</v>
      </c>
      <c r="D6369" s="201">
        <v>9630</v>
      </c>
      <c r="E6369" s="201">
        <v>-911</v>
      </c>
      <c r="F6369">
        <v>1047</v>
      </c>
      <c r="G6369">
        <v>2610</v>
      </c>
      <c r="H6369">
        <v>182</v>
      </c>
      <c r="I6369">
        <v>-1135</v>
      </c>
      <c r="J6369">
        <v>-681</v>
      </c>
      <c r="K6369" s="201">
        <v>-3905</v>
      </c>
    </row>
    <row r="6370" spans="1:11" x14ac:dyDescent="0.25">
      <c r="A6370"/>
      <c r="B6370" s="201">
        <v>-631</v>
      </c>
      <c r="C6370">
        <v>801</v>
      </c>
      <c r="D6370" s="201">
        <v>0</v>
      </c>
      <c r="E6370" s="201">
        <v>-199</v>
      </c>
      <c r="F6370">
        <v>132</v>
      </c>
      <c r="G6370">
        <v>818</v>
      </c>
      <c r="H6370">
        <v>-2227</v>
      </c>
      <c r="I6370">
        <v>-251</v>
      </c>
      <c r="J6370">
        <v>176</v>
      </c>
      <c r="K6370" s="201">
        <v>1222</v>
      </c>
    </row>
    <row r="6371" spans="1:11" x14ac:dyDescent="0.25">
      <c r="A6371"/>
      <c r="B6371" s="201">
        <v>-1666</v>
      </c>
      <c r="C6371">
        <v>-139</v>
      </c>
      <c r="D6371" s="201">
        <v>318</v>
      </c>
      <c r="E6371" s="201">
        <v>1177</v>
      </c>
      <c r="F6371">
        <v>-1409</v>
      </c>
      <c r="G6371">
        <v>-111</v>
      </c>
      <c r="H6371">
        <v>85</v>
      </c>
      <c r="I6371">
        <v>740</v>
      </c>
      <c r="J6371">
        <v>-1181</v>
      </c>
      <c r="K6371" s="201">
        <v>-305</v>
      </c>
    </row>
    <row r="6372" spans="1:11" x14ac:dyDescent="0.25">
      <c r="A6372"/>
      <c r="B6372" s="201">
        <v>-160</v>
      </c>
      <c r="C6372">
        <v>935</v>
      </c>
      <c r="D6372" s="201">
        <v>-778</v>
      </c>
      <c r="E6372" s="201">
        <v>-762</v>
      </c>
      <c r="F6372">
        <v>-13</v>
      </c>
      <c r="G6372">
        <v>-58</v>
      </c>
      <c r="H6372">
        <v>210</v>
      </c>
      <c r="I6372">
        <v>-162</v>
      </c>
      <c r="J6372">
        <v>-283</v>
      </c>
      <c r="K6372" s="201">
        <v>-136</v>
      </c>
    </row>
    <row r="6373" spans="1:11" x14ac:dyDescent="0.25">
      <c r="A6373"/>
      <c r="B6373" s="201">
        <v>814</v>
      </c>
      <c r="C6373">
        <v>-338</v>
      </c>
      <c r="D6373" s="201">
        <v>-565</v>
      </c>
      <c r="E6373" s="201">
        <v>902</v>
      </c>
      <c r="F6373">
        <v>219</v>
      </c>
      <c r="G6373">
        <v>165</v>
      </c>
      <c r="H6373">
        <v>135</v>
      </c>
      <c r="I6373">
        <v>491</v>
      </c>
      <c r="J6373">
        <v>472</v>
      </c>
      <c r="K6373" s="201">
        <v>323</v>
      </c>
    </row>
    <row r="6374" spans="1:11" x14ac:dyDescent="0.25">
      <c r="A6374"/>
      <c r="B6374" s="201">
        <v>370</v>
      </c>
      <c r="C6374">
        <v>314</v>
      </c>
      <c r="D6374" s="201">
        <v>376</v>
      </c>
      <c r="E6374" s="201">
        <v>46309</v>
      </c>
      <c r="F6374">
        <v>49083</v>
      </c>
      <c r="G6374">
        <v>-46</v>
      </c>
      <c r="H6374">
        <v>-34776</v>
      </c>
      <c r="I6374">
        <v>-65</v>
      </c>
      <c r="J6374">
        <v>-8</v>
      </c>
      <c r="K6374" s="201">
        <v>44</v>
      </c>
    </row>
    <row r="6375" spans="1:11" x14ac:dyDescent="0.25">
      <c r="A6375"/>
      <c r="B6375" s="201">
        <v>0</v>
      </c>
      <c r="C6375">
        <v>0</v>
      </c>
      <c r="D6375" s="201">
        <v>13</v>
      </c>
      <c r="E6375" s="201">
        <v>0</v>
      </c>
      <c r="F6375">
        <v>0</v>
      </c>
      <c r="G6375">
        <v>0</v>
      </c>
      <c r="H6375">
        <v>133</v>
      </c>
      <c r="I6375">
        <v>-33</v>
      </c>
      <c r="J6375">
        <v>0</v>
      </c>
      <c r="K6375" s="201">
        <v>0</v>
      </c>
    </row>
    <row r="6376" spans="1:11" x14ac:dyDescent="0.25">
      <c r="A6376"/>
      <c r="B6376" s="201">
        <v>0</v>
      </c>
      <c r="C6376">
        <v>0</v>
      </c>
      <c r="D6376" s="201">
        <v>0</v>
      </c>
      <c r="E6376" s="201">
        <v>0</v>
      </c>
      <c r="F6376">
        <v>-204</v>
      </c>
      <c r="G6376">
        <v>0</v>
      </c>
      <c r="H6376">
        <v>0</v>
      </c>
      <c r="I6376">
        <v>-416</v>
      </c>
      <c r="J6376">
        <v>0</v>
      </c>
      <c r="K6376" s="201">
        <v>341</v>
      </c>
    </row>
    <row r="6377" spans="1:11" x14ac:dyDescent="0.25">
      <c r="A6377"/>
      <c r="B6377" s="201">
        <v>0</v>
      </c>
      <c r="C6377">
        <v>1557</v>
      </c>
      <c r="D6377" s="201">
        <v>400</v>
      </c>
      <c r="E6377" s="201">
        <v>6</v>
      </c>
      <c r="F6377">
        <v>0</v>
      </c>
      <c r="G6377">
        <v>329</v>
      </c>
      <c r="H6377">
        <v>-27117</v>
      </c>
      <c r="I6377">
        <v>-39</v>
      </c>
      <c r="J6377">
        <v>-130</v>
      </c>
      <c r="K6377" s="201">
        <v>-370</v>
      </c>
    </row>
    <row r="6378" spans="1:11" x14ac:dyDescent="0.25">
      <c r="B6378" s="201">
        <v>-645</v>
      </c>
      <c r="C6378">
        <v>0</v>
      </c>
      <c r="D6378" s="201">
        <v>63</v>
      </c>
      <c r="E6378" s="201">
        <v>0</v>
      </c>
      <c r="F6378">
        <v>0</v>
      </c>
      <c r="G6378">
        <v>0</v>
      </c>
      <c r="H6378">
        <v>0</v>
      </c>
      <c r="I6378">
        <v>0</v>
      </c>
      <c r="J6378">
        <v>169</v>
      </c>
      <c r="K6378" s="201">
        <v>0</v>
      </c>
    </row>
    <row r="6379" spans="1:11" x14ac:dyDescent="0.25">
      <c r="A6379"/>
      <c r="B6379" s="201">
        <v>0</v>
      </c>
      <c r="C6379">
        <v>0</v>
      </c>
      <c r="D6379" s="201">
        <v>-124</v>
      </c>
      <c r="E6379" s="201">
        <v>0</v>
      </c>
      <c r="F6379">
        <v>-7</v>
      </c>
      <c r="G6379">
        <v>0</v>
      </c>
      <c r="H6379">
        <v>0</v>
      </c>
      <c r="I6379">
        <v>0</v>
      </c>
      <c r="J6379">
        <v>0</v>
      </c>
      <c r="K6379" s="201">
        <v>0</v>
      </c>
    </row>
    <row r="6380" spans="1:11" x14ac:dyDescent="0.25">
      <c r="A6380"/>
      <c r="B6380" s="201">
        <v>-119</v>
      </c>
      <c r="C6380">
        <v>0</v>
      </c>
      <c r="D6380" s="201">
        <v>-133</v>
      </c>
      <c r="E6380" s="201">
        <v>30</v>
      </c>
      <c r="F6380">
        <v>0</v>
      </c>
      <c r="G6380">
        <v>0</v>
      </c>
      <c r="H6380">
        <v>-748</v>
      </c>
      <c r="I6380">
        <v>-30607</v>
      </c>
      <c r="J6380">
        <v>0</v>
      </c>
      <c r="K6380" s="201">
        <v>-57</v>
      </c>
    </row>
    <row r="6381" spans="1:11" x14ac:dyDescent="0.25">
      <c r="A6381"/>
      <c r="B6381" s="201">
        <v>0</v>
      </c>
      <c r="C6381">
        <v>0</v>
      </c>
      <c r="D6381" s="201">
        <v>0</v>
      </c>
      <c r="E6381" s="201">
        <v>0</v>
      </c>
      <c r="F6381">
        <v>-1243</v>
      </c>
      <c r="G6381">
        <v>-275</v>
      </c>
      <c r="H6381">
        <v>-74</v>
      </c>
      <c r="I6381">
        <v>0</v>
      </c>
      <c r="J6381">
        <v>0</v>
      </c>
      <c r="K6381" s="201">
        <v>452</v>
      </c>
    </row>
    <row r="6382" spans="1:11" x14ac:dyDescent="0.25">
      <c r="A6382"/>
      <c r="B6382" s="201">
        <v>71</v>
      </c>
      <c r="C6382">
        <v>0</v>
      </c>
      <c r="D6382" s="201">
        <v>214</v>
      </c>
      <c r="E6382" s="201">
        <v>-159</v>
      </c>
      <c r="F6382">
        <v>171</v>
      </c>
      <c r="G6382">
        <v>-247</v>
      </c>
      <c r="H6382">
        <v>426</v>
      </c>
      <c r="I6382">
        <v>456</v>
      </c>
      <c r="J6382">
        <v>441</v>
      </c>
      <c r="K6382" s="201">
        <v>0</v>
      </c>
    </row>
    <row r="6383" spans="1:11" x14ac:dyDescent="0.25">
      <c r="A6383"/>
      <c r="B6383" s="201">
        <v>0</v>
      </c>
      <c r="C6383">
        <v>0</v>
      </c>
      <c r="D6383" s="201">
        <v>0</v>
      </c>
      <c r="E6383" s="201">
        <v>0</v>
      </c>
      <c r="F6383">
        <v>487</v>
      </c>
      <c r="G6383">
        <v>0</v>
      </c>
      <c r="H6383">
        <v>1327</v>
      </c>
      <c r="I6383">
        <v>403</v>
      </c>
      <c r="J6383">
        <v>-370</v>
      </c>
      <c r="K6383" s="201">
        <v>0</v>
      </c>
    </row>
    <row r="6384" spans="1:11" x14ac:dyDescent="0.25">
      <c r="A6384"/>
      <c r="B6384" s="201">
        <v>-1581</v>
      </c>
      <c r="C6384">
        <v>-38033</v>
      </c>
      <c r="D6384" s="201">
        <v>151</v>
      </c>
      <c r="E6384" s="201">
        <v>18</v>
      </c>
      <c r="F6384">
        <v>535</v>
      </c>
      <c r="G6384">
        <v>0</v>
      </c>
      <c r="H6384">
        <v>-124</v>
      </c>
      <c r="I6384">
        <v>-1267</v>
      </c>
      <c r="J6384">
        <v>-1510</v>
      </c>
      <c r="K6384" s="201">
        <v>143</v>
      </c>
    </row>
    <row r="6385" spans="1:11" x14ac:dyDescent="0.25">
      <c r="A6385"/>
      <c r="B6385" s="201">
        <v>0</v>
      </c>
      <c r="C6385">
        <v>9</v>
      </c>
      <c r="D6385" s="201">
        <v>164</v>
      </c>
      <c r="E6385" s="201">
        <v>0</v>
      </c>
      <c r="F6385">
        <v>0</v>
      </c>
      <c r="G6385">
        <v>0</v>
      </c>
      <c r="H6385">
        <v>-25</v>
      </c>
      <c r="I6385">
        <v>2</v>
      </c>
      <c r="J6385">
        <v>0</v>
      </c>
      <c r="K6385" s="201">
        <v>39</v>
      </c>
    </row>
    <row r="6386" spans="1:11" x14ac:dyDescent="0.25">
      <c r="A6386"/>
      <c r="B6386" s="201">
        <v>81</v>
      </c>
      <c r="C6386">
        <v>-69</v>
      </c>
      <c r="D6386" s="201">
        <v>-133</v>
      </c>
      <c r="E6386" s="201">
        <v>0</v>
      </c>
      <c r="F6386">
        <v>0</v>
      </c>
      <c r="G6386">
        <v>0</v>
      </c>
      <c r="H6386">
        <v>0</v>
      </c>
      <c r="I6386">
        <v>0</v>
      </c>
      <c r="J6386">
        <v>1161</v>
      </c>
      <c r="K6386" s="201">
        <v>0</v>
      </c>
    </row>
    <row r="6387" spans="1:11" x14ac:dyDescent="0.25">
      <c r="B6387" s="201">
        <v>9627</v>
      </c>
      <c r="C6387">
        <v>268</v>
      </c>
      <c r="D6387" s="201">
        <v>96</v>
      </c>
      <c r="E6387" s="201">
        <v>0</v>
      </c>
      <c r="F6387">
        <v>-1739</v>
      </c>
      <c r="G6387">
        <v>-37278</v>
      </c>
      <c r="H6387">
        <v>83</v>
      </c>
      <c r="I6387">
        <v>-196</v>
      </c>
      <c r="J6387">
        <v>412</v>
      </c>
      <c r="K6387" s="201">
        <v>-96</v>
      </c>
    </row>
    <row r="6388" spans="1:11" x14ac:dyDescent="0.25">
      <c r="B6388" s="201">
        <v>-404</v>
      </c>
      <c r="C6388">
        <v>955</v>
      </c>
      <c r="D6388" s="201">
        <v>0</v>
      </c>
      <c r="E6388" s="201">
        <v>231</v>
      </c>
      <c r="F6388">
        <v>0</v>
      </c>
      <c r="G6388">
        <v>0</v>
      </c>
      <c r="H6388">
        <v>45</v>
      </c>
      <c r="I6388">
        <v>239</v>
      </c>
      <c r="J6388">
        <v>0</v>
      </c>
      <c r="K6388" s="201">
        <v>81</v>
      </c>
    </row>
    <row r="6389" spans="1:11" x14ac:dyDescent="0.25">
      <c r="A6389"/>
      <c r="B6389" s="201">
        <v>0</v>
      </c>
      <c r="C6389">
        <v>0</v>
      </c>
      <c r="D6389" s="201">
        <v>-60</v>
      </c>
      <c r="E6389" s="201">
        <v>0</v>
      </c>
      <c r="F6389">
        <v>-38</v>
      </c>
      <c r="G6389">
        <v>4</v>
      </c>
      <c r="H6389">
        <v>-135</v>
      </c>
      <c r="I6389">
        <v>0</v>
      </c>
      <c r="J6389">
        <v>0</v>
      </c>
      <c r="K6389" s="201">
        <v>0</v>
      </c>
    </row>
    <row r="6390" spans="1:11" x14ac:dyDescent="0.25">
      <c r="A6390"/>
      <c r="B6390" s="201">
        <v>0</v>
      </c>
      <c r="C6390">
        <v>0</v>
      </c>
      <c r="D6390" s="201">
        <v>1274</v>
      </c>
      <c r="E6390" s="201">
        <v>0</v>
      </c>
      <c r="F6390">
        <v>9032</v>
      </c>
      <c r="G6390">
        <v>467</v>
      </c>
      <c r="H6390">
        <v>109</v>
      </c>
      <c r="I6390">
        <v>0</v>
      </c>
      <c r="J6390">
        <v>-1167</v>
      </c>
      <c r="K6390" s="201">
        <v>-41174</v>
      </c>
    </row>
    <row r="6391" spans="1:11" x14ac:dyDescent="0.25">
      <c r="A6391"/>
      <c r="B6391" s="201">
        <v>604</v>
      </c>
      <c r="C6391">
        <v>0</v>
      </c>
      <c r="D6391" s="201">
        <v>0</v>
      </c>
      <c r="E6391" s="201">
        <v>0</v>
      </c>
      <c r="F6391">
        <v>1947</v>
      </c>
      <c r="G6391">
        <v>4208</v>
      </c>
      <c r="H6391">
        <v>1808</v>
      </c>
      <c r="I6391">
        <v>-1109</v>
      </c>
      <c r="J6391">
        <v>-959</v>
      </c>
      <c r="K6391" s="201">
        <v>0</v>
      </c>
    </row>
    <row r="6392" spans="1:11" x14ac:dyDescent="0.25">
      <c r="A6392"/>
      <c r="B6392" s="201">
        <v>366</v>
      </c>
      <c r="C6392">
        <v>0</v>
      </c>
      <c r="D6392" s="201">
        <v>0</v>
      </c>
      <c r="E6392" s="201">
        <v>217</v>
      </c>
      <c r="F6392">
        <v>0</v>
      </c>
      <c r="G6392">
        <v>355</v>
      </c>
      <c r="H6392">
        <v>0</v>
      </c>
      <c r="I6392">
        <v>-370</v>
      </c>
      <c r="J6392">
        <v>0</v>
      </c>
      <c r="K6392" s="201">
        <v>0</v>
      </c>
    </row>
    <row r="6393" spans="1:11" x14ac:dyDescent="0.25">
      <c r="A6393"/>
      <c r="B6393" s="201">
        <v>0</v>
      </c>
      <c r="C6393">
        <v>0</v>
      </c>
      <c r="D6393" s="201">
        <v>0</v>
      </c>
      <c r="E6393" s="201">
        <v>0</v>
      </c>
      <c r="F6393">
        <v>0</v>
      </c>
      <c r="G6393">
        <v>0</v>
      </c>
      <c r="H6393">
        <v>808</v>
      </c>
      <c r="I6393">
        <v>0</v>
      </c>
      <c r="J6393">
        <v>4534</v>
      </c>
      <c r="K6393" s="201">
        <v>-1613</v>
      </c>
    </row>
    <row r="6394" spans="1:11" x14ac:dyDescent="0.25">
      <c r="A6394"/>
      <c r="B6394" s="201">
        <v>-717</v>
      </c>
      <c r="C6394">
        <v>0</v>
      </c>
      <c r="D6394" s="201">
        <v>-275</v>
      </c>
      <c r="E6394" s="201">
        <v>-36953</v>
      </c>
      <c r="F6394">
        <v>0</v>
      </c>
      <c r="G6394">
        <v>0</v>
      </c>
      <c r="H6394">
        <v>0</v>
      </c>
      <c r="I6394">
        <v>0</v>
      </c>
      <c r="J6394">
        <v>0</v>
      </c>
      <c r="K6394" s="201">
        <v>-1985</v>
      </c>
    </row>
    <row r="6395" spans="1:11" x14ac:dyDescent="0.25">
      <c r="B6395" s="201">
        <v>-1011</v>
      </c>
      <c r="C6395">
        <v>-433</v>
      </c>
      <c r="D6395" s="201">
        <v>-444</v>
      </c>
      <c r="E6395" s="201">
        <v>-115</v>
      </c>
      <c r="F6395">
        <v>54</v>
      </c>
      <c r="G6395">
        <v>0</v>
      </c>
      <c r="H6395">
        <v>0</v>
      </c>
      <c r="I6395">
        <v>0</v>
      </c>
      <c r="J6395">
        <v>0</v>
      </c>
      <c r="K6395" s="201">
        <v>-1902</v>
      </c>
    </row>
    <row r="6396" spans="1:11" x14ac:dyDescent="0.25">
      <c r="A6396"/>
      <c r="B6396" s="201">
        <v>0</v>
      </c>
      <c r="C6396">
        <v>-1249</v>
      </c>
      <c r="D6396" s="201">
        <v>0</v>
      </c>
      <c r="E6396" s="201">
        <v>0</v>
      </c>
      <c r="F6396">
        <v>269</v>
      </c>
      <c r="G6396">
        <v>174</v>
      </c>
      <c r="H6396">
        <v>0</v>
      </c>
      <c r="I6396">
        <v>0</v>
      </c>
      <c r="J6396">
        <v>0</v>
      </c>
      <c r="K6396" s="201">
        <v>0</v>
      </c>
    </row>
    <row r="6397" spans="1:11" x14ac:dyDescent="0.25">
      <c r="A6397"/>
      <c r="B6397" s="201">
        <v>26</v>
      </c>
      <c r="C6397">
        <v>0</v>
      </c>
      <c r="D6397" s="201">
        <v>6470</v>
      </c>
      <c r="E6397" s="201">
        <v>-1580</v>
      </c>
      <c r="F6397">
        <v>-483</v>
      </c>
      <c r="G6397">
        <v>1049</v>
      </c>
      <c r="H6397">
        <v>35</v>
      </c>
      <c r="I6397">
        <v>159</v>
      </c>
      <c r="J6397">
        <v>-58</v>
      </c>
      <c r="K6397" s="201">
        <v>38</v>
      </c>
    </row>
    <row r="6398" spans="1:11" x14ac:dyDescent="0.25">
      <c r="A6398"/>
      <c r="B6398" s="201">
        <v>-302</v>
      </c>
      <c r="C6398">
        <v>-130</v>
      </c>
      <c r="D6398" s="201">
        <v>0</v>
      </c>
      <c r="E6398" s="201">
        <v>0</v>
      </c>
      <c r="F6398">
        <v>0</v>
      </c>
      <c r="G6398">
        <v>0</v>
      </c>
      <c r="H6398">
        <v>0</v>
      </c>
      <c r="I6398">
        <v>0</v>
      </c>
      <c r="J6398">
        <v>0</v>
      </c>
      <c r="K6398" s="201">
        <v>-176</v>
      </c>
    </row>
    <row r="6399" spans="1:11" x14ac:dyDescent="0.25">
      <c r="A6399"/>
      <c r="B6399" s="201">
        <v>-94</v>
      </c>
      <c r="C6399">
        <v>317</v>
      </c>
      <c r="D6399" s="201">
        <v>-54</v>
      </c>
      <c r="E6399" s="201">
        <v>367</v>
      </c>
      <c r="F6399">
        <v>-37</v>
      </c>
      <c r="G6399">
        <v>0</v>
      </c>
      <c r="H6399">
        <v>0</v>
      </c>
      <c r="I6399">
        <v>82</v>
      </c>
      <c r="J6399">
        <v>0</v>
      </c>
      <c r="K6399" s="201">
        <v>430</v>
      </c>
    </row>
    <row r="6400" spans="1:11" x14ac:dyDescent="0.25">
      <c r="A6400"/>
      <c r="B6400" s="201">
        <v>70</v>
      </c>
      <c r="C6400">
        <v>0</v>
      </c>
      <c r="D6400" s="201">
        <v>0</v>
      </c>
      <c r="E6400" s="201">
        <v>0</v>
      </c>
      <c r="F6400">
        <v>0</v>
      </c>
      <c r="G6400">
        <v>-1823</v>
      </c>
      <c r="H6400">
        <v>0</v>
      </c>
      <c r="I6400">
        <v>-276</v>
      </c>
      <c r="J6400">
        <v>-513</v>
      </c>
      <c r="K6400" s="201">
        <v>0</v>
      </c>
    </row>
    <row r="6401" spans="1:11" x14ac:dyDescent="0.25">
      <c r="A6401"/>
      <c r="B6401" s="201">
        <v>0</v>
      </c>
      <c r="C6401">
        <v>0</v>
      </c>
      <c r="D6401" s="201">
        <v>0</v>
      </c>
      <c r="E6401" s="201">
        <v>0</v>
      </c>
      <c r="F6401">
        <v>0</v>
      </c>
      <c r="G6401">
        <v>0</v>
      </c>
      <c r="H6401">
        <v>0</v>
      </c>
      <c r="I6401">
        <v>0</v>
      </c>
      <c r="J6401">
        <v>0</v>
      </c>
      <c r="K6401" s="201">
        <v>0</v>
      </c>
    </row>
    <row r="6402" spans="1:11" x14ac:dyDescent="0.25">
      <c r="A6402"/>
      <c r="B6402" s="201">
        <v>0</v>
      </c>
      <c r="C6402">
        <v>0</v>
      </c>
      <c r="D6402" s="201">
        <v>0</v>
      </c>
      <c r="E6402" s="201">
        <v>0</v>
      </c>
      <c r="F6402">
        <v>-1965</v>
      </c>
      <c r="G6402">
        <v>0</v>
      </c>
      <c r="H6402">
        <v>0</v>
      </c>
      <c r="I6402">
        <v>0</v>
      </c>
      <c r="J6402">
        <v>0</v>
      </c>
      <c r="K6402" s="201">
        <v>0</v>
      </c>
    </row>
    <row r="6403" spans="1:11" x14ac:dyDescent="0.25">
      <c r="A6403"/>
      <c r="B6403" s="201">
        <v>390</v>
      </c>
      <c r="C6403">
        <v>-1652</v>
      </c>
      <c r="D6403" s="201">
        <v>-207</v>
      </c>
      <c r="E6403" s="201">
        <v>-3926</v>
      </c>
      <c r="F6403">
        <v>-4755</v>
      </c>
      <c r="G6403">
        <v>-5333</v>
      </c>
      <c r="H6403">
        <v>-17077</v>
      </c>
      <c r="I6403">
        <v>9051</v>
      </c>
      <c r="J6403">
        <v>-883</v>
      </c>
      <c r="K6403" s="201">
        <v>951</v>
      </c>
    </row>
    <row r="6404" spans="1:11" x14ac:dyDescent="0.25">
      <c r="B6404" s="201">
        <v>1611</v>
      </c>
      <c r="C6404">
        <v>281</v>
      </c>
      <c r="D6404" s="201">
        <v>-1152</v>
      </c>
      <c r="E6404" s="201">
        <v>-1002</v>
      </c>
      <c r="F6404">
        <v>-152</v>
      </c>
      <c r="G6404">
        <v>-5015</v>
      </c>
      <c r="H6404">
        <v>22</v>
      </c>
      <c r="I6404">
        <v>0</v>
      </c>
      <c r="J6404">
        <v>-904</v>
      </c>
      <c r="K6404" s="201">
        <v>-640</v>
      </c>
    </row>
    <row r="6405" spans="1:11" x14ac:dyDescent="0.25">
      <c r="B6405" s="201">
        <v>-629</v>
      </c>
      <c r="C6405">
        <v>-1863</v>
      </c>
      <c r="D6405" s="201">
        <v>-822</v>
      </c>
      <c r="E6405" s="201">
        <v>-383</v>
      </c>
      <c r="F6405">
        <v>-653</v>
      </c>
      <c r="G6405">
        <v>-623</v>
      </c>
      <c r="H6405">
        <v>-563</v>
      </c>
      <c r="I6405">
        <v>-676</v>
      </c>
      <c r="J6405">
        <v>-346</v>
      </c>
      <c r="K6405" s="201">
        <v>-556</v>
      </c>
    </row>
    <row r="6406" spans="1:11" x14ac:dyDescent="0.25">
      <c r="A6406"/>
      <c r="B6406" s="201">
        <v>-688</v>
      </c>
      <c r="C6406">
        <v>-584</v>
      </c>
      <c r="D6406" s="201">
        <v>-615</v>
      </c>
      <c r="E6406" s="201">
        <v>-414</v>
      </c>
      <c r="F6406">
        <v>-878</v>
      </c>
      <c r="G6406">
        <v>-923</v>
      </c>
      <c r="H6406">
        <v>-829</v>
      </c>
      <c r="I6406">
        <v>104</v>
      </c>
      <c r="J6406">
        <v>-276</v>
      </c>
      <c r="K6406" s="201">
        <v>-69</v>
      </c>
    </row>
    <row r="6407" spans="1:11" x14ac:dyDescent="0.25">
      <c r="A6407"/>
      <c r="B6407" s="201">
        <v>-166</v>
      </c>
      <c r="C6407">
        <v>-174</v>
      </c>
      <c r="D6407" s="201">
        <v>-105</v>
      </c>
      <c r="E6407" s="201">
        <v>-634</v>
      </c>
      <c r="F6407">
        <v>-133</v>
      </c>
      <c r="G6407">
        <v>604</v>
      </c>
      <c r="H6407">
        <v>85</v>
      </c>
      <c r="I6407">
        <v>-1715</v>
      </c>
      <c r="J6407">
        <v>787</v>
      </c>
      <c r="K6407" s="201">
        <v>393</v>
      </c>
    </row>
    <row r="6408" spans="1:11" x14ac:dyDescent="0.25">
      <c r="A6408"/>
      <c r="B6408" s="201">
        <v>415</v>
      </c>
      <c r="C6408">
        <v>145</v>
      </c>
      <c r="D6408" s="201">
        <v>662</v>
      </c>
      <c r="E6408" s="201">
        <v>645</v>
      </c>
      <c r="F6408">
        <v>496</v>
      </c>
      <c r="G6408">
        <v>497</v>
      </c>
      <c r="H6408">
        <v>482</v>
      </c>
      <c r="I6408">
        <v>579</v>
      </c>
      <c r="J6408">
        <v>41037</v>
      </c>
      <c r="K6408" s="201">
        <v>48467</v>
      </c>
    </row>
    <row r="6409" spans="1:11" x14ac:dyDescent="0.25">
      <c r="A6409"/>
      <c r="B6409" s="201">
        <v>49133</v>
      </c>
      <c r="C6409" s="201">
        <v>-837</v>
      </c>
      <c r="D6409" s="201">
        <v>-30240</v>
      </c>
      <c r="E6409" s="201">
        <v>-47</v>
      </c>
      <c r="F6409">
        <v>-75</v>
      </c>
      <c r="G6409">
        <v>-847</v>
      </c>
      <c r="H6409">
        <v>0</v>
      </c>
      <c r="I6409">
        <v>0</v>
      </c>
      <c r="J6409">
        <v>-468</v>
      </c>
      <c r="K6409" s="201">
        <v>0</v>
      </c>
    </row>
    <row r="6410" spans="1:11" x14ac:dyDescent="0.25">
      <c r="A6410"/>
      <c r="B6410" s="201">
        <v>0</v>
      </c>
      <c r="C6410">
        <v>0</v>
      </c>
      <c r="D6410" s="201">
        <v>-17</v>
      </c>
      <c r="E6410" s="201">
        <v>-55</v>
      </c>
      <c r="F6410">
        <v>0</v>
      </c>
      <c r="G6410">
        <v>0</v>
      </c>
      <c r="H6410">
        <v>0</v>
      </c>
      <c r="I6410">
        <v>0</v>
      </c>
      <c r="J6410">
        <v>0</v>
      </c>
      <c r="K6410" s="201">
        <v>0</v>
      </c>
    </row>
    <row r="6411" spans="1:11" x14ac:dyDescent="0.25">
      <c r="A6411"/>
      <c r="B6411" s="201">
        <v>179</v>
      </c>
      <c r="C6411">
        <v>0</v>
      </c>
      <c r="D6411" s="201">
        <v>0</v>
      </c>
      <c r="E6411" s="201">
        <v>-288</v>
      </c>
      <c r="F6411">
        <v>0</v>
      </c>
      <c r="G6411">
        <v>283</v>
      </c>
      <c r="H6411">
        <v>0</v>
      </c>
      <c r="I6411">
        <v>105</v>
      </c>
      <c r="J6411">
        <v>1004</v>
      </c>
      <c r="K6411" s="201">
        <v>109</v>
      </c>
    </row>
    <row r="6412" spans="1:11" x14ac:dyDescent="0.25">
      <c r="A6412"/>
      <c r="B6412" s="201">
        <v>0</v>
      </c>
      <c r="C6412" s="201">
        <v>298</v>
      </c>
      <c r="D6412" s="201">
        <v>-23708</v>
      </c>
      <c r="E6412" s="201">
        <v>-57</v>
      </c>
      <c r="F6412">
        <v>-199</v>
      </c>
      <c r="G6412">
        <v>-267</v>
      </c>
      <c r="H6412">
        <v>-513</v>
      </c>
      <c r="I6412">
        <v>0</v>
      </c>
      <c r="J6412">
        <v>84</v>
      </c>
      <c r="K6412" s="201">
        <v>0</v>
      </c>
    </row>
    <row r="6413" spans="1:11" x14ac:dyDescent="0.25">
      <c r="A6413"/>
      <c r="B6413" s="201">
        <v>0</v>
      </c>
      <c r="C6413">
        <v>0</v>
      </c>
      <c r="D6413" s="201">
        <v>0</v>
      </c>
      <c r="E6413" s="201">
        <v>0</v>
      </c>
      <c r="F6413">
        <v>154</v>
      </c>
      <c r="G6413">
        <v>0</v>
      </c>
      <c r="H6413">
        <v>0</v>
      </c>
      <c r="I6413">
        <v>0</v>
      </c>
      <c r="J6413">
        <v>-72</v>
      </c>
      <c r="K6413" s="201">
        <v>0</v>
      </c>
    </row>
    <row r="6414" spans="1:11" x14ac:dyDescent="0.25">
      <c r="A6414"/>
      <c r="B6414" s="201">
        <v>54</v>
      </c>
      <c r="C6414">
        <v>0</v>
      </c>
      <c r="D6414" s="201">
        <v>0</v>
      </c>
      <c r="E6414" s="201">
        <v>0</v>
      </c>
      <c r="F6414">
        <v>0</v>
      </c>
      <c r="G6414">
        <v>0</v>
      </c>
      <c r="H6414">
        <v>-84</v>
      </c>
      <c r="I6414">
        <v>0</v>
      </c>
      <c r="J6414">
        <v>-15</v>
      </c>
      <c r="K6414" s="201">
        <v>94</v>
      </c>
    </row>
    <row r="6415" spans="1:11" x14ac:dyDescent="0.25">
      <c r="A6415"/>
      <c r="B6415" s="201">
        <v>0</v>
      </c>
      <c r="C6415">
        <v>0</v>
      </c>
      <c r="D6415" s="201">
        <v>-605</v>
      </c>
      <c r="E6415" s="201">
        <v>-27665</v>
      </c>
      <c r="F6415">
        <v>0</v>
      </c>
      <c r="G6415">
        <v>476</v>
      </c>
      <c r="H6415">
        <v>0</v>
      </c>
      <c r="I6415">
        <v>0</v>
      </c>
      <c r="J6415">
        <v>0</v>
      </c>
      <c r="K6415" s="201">
        <v>0</v>
      </c>
    </row>
    <row r="6416" spans="1:11" x14ac:dyDescent="0.25">
      <c r="A6416"/>
      <c r="B6416" s="201">
        <v>-985</v>
      </c>
      <c r="C6416">
        <v>-214</v>
      </c>
      <c r="D6416" s="201">
        <v>-53</v>
      </c>
      <c r="E6416" s="201">
        <v>0</v>
      </c>
      <c r="F6416">
        <v>0</v>
      </c>
      <c r="G6416">
        <v>393</v>
      </c>
      <c r="H6416">
        <v>30</v>
      </c>
      <c r="I6416">
        <v>0</v>
      </c>
      <c r="J6416">
        <v>74</v>
      </c>
      <c r="K6416" s="201">
        <v>-87</v>
      </c>
    </row>
    <row r="6417" spans="1:11" x14ac:dyDescent="0.25">
      <c r="A6417"/>
      <c r="B6417" s="201">
        <v>150</v>
      </c>
      <c r="C6417">
        <v>-161</v>
      </c>
      <c r="D6417" s="201">
        <v>596</v>
      </c>
      <c r="E6417" s="201">
        <v>447</v>
      </c>
      <c r="F6417">
        <v>170</v>
      </c>
      <c r="G6417">
        <v>0</v>
      </c>
      <c r="H6417">
        <v>0</v>
      </c>
      <c r="I6417">
        <v>0</v>
      </c>
      <c r="J6417">
        <v>0</v>
      </c>
      <c r="K6417" s="201">
        <v>0</v>
      </c>
    </row>
    <row r="6418" spans="1:11" x14ac:dyDescent="0.25">
      <c r="A6418"/>
      <c r="B6418" s="201">
        <v>550</v>
      </c>
      <c r="C6418">
        <v>0</v>
      </c>
      <c r="D6418" s="201">
        <v>991</v>
      </c>
      <c r="E6418" s="201">
        <v>213</v>
      </c>
      <c r="F6418">
        <v>-302</v>
      </c>
      <c r="G6418">
        <v>0</v>
      </c>
      <c r="H6418">
        <v>-890</v>
      </c>
      <c r="I6418">
        <v>-34179</v>
      </c>
      <c r="J6418">
        <v>342</v>
      </c>
      <c r="K6418" s="201">
        <v>59</v>
      </c>
    </row>
    <row r="6419" spans="1:11" x14ac:dyDescent="0.25">
      <c r="A6419"/>
      <c r="B6419" s="201">
        <v>-275</v>
      </c>
      <c r="C6419">
        <v>0</v>
      </c>
      <c r="D6419" s="201">
        <v>78</v>
      </c>
      <c r="E6419" s="201">
        <v>-1176</v>
      </c>
      <c r="F6419">
        <v>-1246</v>
      </c>
      <c r="G6419">
        <v>114</v>
      </c>
      <c r="H6419">
        <v>0</v>
      </c>
      <c r="I6419">
        <v>34</v>
      </c>
      <c r="J6419">
        <v>-225</v>
      </c>
      <c r="K6419" s="201">
        <v>0</v>
      </c>
    </row>
    <row r="6420" spans="1:11" x14ac:dyDescent="0.25">
      <c r="A6420"/>
      <c r="B6420" s="201">
        <v>0</v>
      </c>
      <c r="C6420">
        <v>0</v>
      </c>
      <c r="D6420" s="201">
        <v>-75</v>
      </c>
      <c r="E6420" s="201">
        <v>-119</v>
      </c>
      <c r="F6420">
        <v>0</v>
      </c>
      <c r="G6420">
        <v>-133</v>
      </c>
      <c r="H6420">
        <v>120</v>
      </c>
      <c r="I6420">
        <v>7</v>
      </c>
      <c r="J6420">
        <v>-127</v>
      </c>
      <c r="K6420" s="201">
        <v>0</v>
      </c>
    </row>
    <row r="6421" spans="1:11" x14ac:dyDescent="0.25">
      <c r="A6421"/>
      <c r="B6421" s="201">
        <v>0</v>
      </c>
      <c r="C6421">
        <v>0</v>
      </c>
      <c r="D6421" s="201">
        <v>0</v>
      </c>
      <c r="E6421" s="201">
        <v>0</v>
      </c>
      <c r="F6421">
        <v>840</v>
      </c>
      <c r="G6421">
        <v>0</v>
      </c>
      <c r="H6421">
        <v>7909</v>
      </c>
      <c r="I6421">
        <v>135</v>
      </c>
      <c r="J6421">
        <v>125</v>
      </c>
      <c r="K6421" s="201">
        <v>0</v>
      </c>
    </row>
    <row r="6422" spans="1:11" x14ac:dyDescent="0.25">
      <c r="A6422"/>
      <c r="B6422" s="201">
        <v>-996</v>
      </c>
      <c r="C6422">
        <v>-33551</v>
      </c>
      <c r="D6422" s="201">
        <v>165</v>
      </c>
      <c r="E6422" s="201">
        <v>16</v>
      </c>
      <c r="F6422">
        <v>-393</v>
      </c>
      <c r="G6422">
        <v>-64</v>
      </c>
      <c r="H6422">
        <v>-149</v>
      </c>
      <c r="I6422">
        <v>603</v>
      </c>
      <c r="J6422">
        <v>0</v>
      </c>
      <c r="K6422" s="201">
        <v>190</v>
      </c>
    </row>
    <row r="6423" spans="1:11" x14ac:dyDescent="0.25">
      <c r="A6423"/>
      <c r="B6423" s="201">
        <v>0</v>
      </c>
      <c r="C6423">
        <v>0</v>
      </c>
      <c r="D6423" s="201">
        <v>-287</v>
      </c>
      <c r="E6423" s="201">
        <v>251</v>
      </c>
      <c r="F6423">
        <v>0</v>
      </c>
      <c r="G6423">
        <v>51</v>
      </c>
      <c r="H6423">
        <v>0</v>
      </c>
      <c r="I6423">
        <v>0</v>
      </c>
      <c r="J6423">
        <v>-68</v>
      </c>
      <c r="K6423" s="201">
        <v>0</v>
      </c>
    </row>
    <row r="6424" spans="1:11" x14ac:dyDescent="0.25">
      <c r="A6424"/>
      <c r="B6424" s="201">
        <v>31</v>
      </c>
      <c r="C6424">
        <v>66</v>
      </c>
      <c r="D6424" s="201">
        <v>-36</v>
      </c>
      <c r="E6424" s="201">
        <v>0</v>
      </c>
      <c r="F6424">
        <v>0</v>
      </c>
      <c r="G6424">
        <v>0</v>
      </c>
      <c r="H6424">
        <v>0</v>
      </c>
      <c r="I6424">
        <v>0</v>
      </c>
      <c r="J6424">
        <v>875</v>
      </c>
      <c r="K6424" s="201">
        <v>0</v>
      </c>
    </row>
    <row r="6425" spans="1:11" x14ac:dyDescent="0.25">
      <c r="B6425" s="201">
        <v>7481</v>
      </c>
      <c r="C6425">
        <v>316</v>
      </c>
      <c r="D6425" s="201">
        <v>147</v>
      </c>
      <c r="E6425" s="201">
        <v>0</v>
      </c>
      <c r="F6425">
        <v>-400</v>
      </c>
      <c r="G6425">
        <v>-35686</v>
      </c>
      <c r="H6425">
        <v>243</v>
      </c>
      <c r="I6425">
        <v>0</v>
      </c>
      <c r="J6425">
        <v>0</v>
      </c>
      <c r="K6425" s="201">
        <v>0</v>
      </c>
    </row>
    <row r="6426" spans="1:11" x14ac:dyDescent="0.25">
      <c r="B6426" s="201">
        <v>1411</v>
      </c>
      <c r="C6426">
        <v>868</v>
      </c>
      <c r="D6426" s="201">
        <v>457</v>
      </c>
      <c r="E6426" s="201">
        <v>-871</v>
      </c>
      <c r="F6426">
        <v>-825</v>
      </c>
      <c r="G6426">
        <v>0</v>
      </c>
      <c r="H6426">
        <v>436</v>
      </c>
      <c r="I6426">
        <v>0</v>
      </c>
      <c r="J6426">
        <v>0</v>
      </c>
      <c r="K6426" s="201">
        <v>-26</v>
      </c>
    </row>
    <row r="6427" spans="1:11" x14ac:dyDescent="0.25">
      <c r="A6427"/>
      <c r="B6427" s="201">
        <v>0</v>
      </c>
      <c r="C6427">
        <v>-749</v>
      </c>
      <c r="D6427" s="201">
        <v>0</v>
      </c>
      <c r="E6427" s="201">
        <v>-895</v>
      </c>
      <c r="F6427">
        <v>0</v>
      </c>
      <c r="G6427">
        <v>0</v>
      </c>
      <c r="H6427">
        <v>0</v>
      </c>
      <c r="I6427">
        <v>0</v>
      </c>
      <c r="J6427">
        <v>0</v>
      </c>
      <c r="K6427" s="201">
        <v>0</v>
      </c>
    </row>
    <row r="6428" spans="1:11" x14ac:dyDescent="0.25">
      <c r="A6428"/>
      <c r="B6428" s="201">
        <v>0</v>
      </c>
      <c r="C6428">
        <v>0</v>
      </c>
      <c r="D6428" s="201">
        <v>469</v>
      </c>
      <c r="E6428" s="201">
        <v>0</v>
      </c>
      <c r="F6428">
        <v>2860</v>
      </c>
      <c r="G6428">
        <v>-1648</v>
      </c>
      <c r="H6428">
        <v>-391</v>
      </c>
      <c r="I6428">
        <v>0</v>
      </c>
      <c r="J6428">
        <v>-1045</v>
      </c>
      <c r="K6428" s="201">
        <v>-33972</v>
      </c>
    </row>
    <row r="6429" spans="1:11" x14ac:dyDescent="0.25">
      <c r="A6429"/>
      <c r="B6429" s="201">
        <v>0</v>
      </c>
      <c r="C6429">
        <v>0</v>
      </c>
      <c r="D6429" s="201">
        <v>0</v>
      </c>
      <c r="E6429" s="201">
        <v>0</v>
      </c>
      <c r="F6429">
        <v>0</v>
      </c>
      <c r="G6429">
        <v>1415</v>
      </c>
      <c r="H6429">
        <v>1050</v>
      </c>
      <c r="I6429">
        <v>-865</v>
      </c>
      <c r="J6429">
        <v>-634</v>
      </c>
      <c r="K6429" s="201">
        <v>-668</v>
      </c>
    </row>
    <row r="6430" spans="1:11" x14ac:dyDescent="0.25">
      <c r="B6430" s="201">
        <v>-1630</v>
      </c>
      <c r="C6430">
        <v>0</v>
      </c>
      <c r="D6430" s="201">
        <v>0</v>
      </c>
      <c r="E6430" s="201">
        <v>0</v>
      </c>
      <c r="F6430">
        <v>0</v>
      </c>
      <c r="G6430">
        <v>-1408</v>
      </c>
      <c r="H6430">
        <v>0</v>
      </c>
      <c r="I6430">
        <v>-641</v>
      </c>
      <c r="J6430">
        <v>0</v>
      </c>
      <c r="K6430" s="201">
        <v>0</v>
      </c>
    </row>
    <row r="6431" spans="1:11" x14ac:dyDescent="0.25">
      <c r="A6431"/>
      <c r="B6431" s="201">
        <v>-307</v>
      </c>
      <c r="C6431">
        <v>996</v>
      </c>
      <c r="D6431" s="201">
        <v>0</v>
      </c>
      <c r="E6431" s="201">
        <v>0</v>
      </c>
      <c r="F6431">
        <v>0</v>
      </c>
      <c r="G6431">
        <v>0</v>
      </c>
      <c r="H6431">
        <v>1555</v>
      </c>
      <c r="I6431">
        <v>0</v>
      </c>
      <c r="J6431">
        <v>3444</v>
      </c>
      <c r="K6431" s="201">
        <v>-828</v>
      </c>
    </row>
    <row r="6432" spans="1:11" x14ac:dyDescent="0.25">
      <c r="A6432"/>
      <c r="B6432" s="201">
        <v>-1311</v>
      </c>
      <c r="C6432">
        <v>-6503</v>
      </c>
      <c r="D6432" s="201">
        <v>-1356</v>
      </c>
      <c r="E6432" s="201">
        <v>-979</v>
      </c>
      <c r="F6432">
        <v>-657</v>
      </c>
      <c r="G6432">
        <v>-610</v>
      </c>
      <c r="H6432">
        <v>-440</v>
      </c>
      <c r="I6432">
        <v>-638</v>
      </c>
      <c r="J6432">
        <v>0</v>
      </c>
      <c r="K6432" s="201">
        <v>0</v>
      </c>
    </row>
    <row r="6433" spans="1:11" x14ac:dyDescent="0.25">
      <c r="A6433"/>
      <c r="B6433" s="201">
        <v>0</v>
      </c>
      <c r="C6433">
        <v>0</v>
      </c>
      <c r="D6433" s="201">
        <v>0</v>
      </c>
      <c r="E6433" s="201">
        <v>0</v>
      </c>
      <c r="F6433">
        <v>0</v>
      </c>
      <c r="G6433">
        <v>76</v>
      </c>
      <c r="H6433">
        <v>-24</v>
      </c>
      <c r="I6433">
        <v>529</v>
      </c>
      <c r="J6433">
        <v>12</v>
      </c>
      <c r="K6433" s="201">
        <v>426</v>
      </c>
    </row>
    <row r="6434" spans="1:11" x14ac:dyDescent="0.25">
      <c r="A6434"/>
      <c r="B6434" s="201">
        <v>-69</v>
      </c>
      <c r="C6434">
        <v>0</v>
      </c>
      <c r="D6434" s="201">
        <v>0</v>
      </c>
      <c r="E6434" s="201">
        <v>-32</v>
      </c>
      <c r="F6434">
        <v>0</v>
      </c>
      <c r="G6434">
        <v>153</v>
      </c>
      <c r="H6434">
        <v>450</v>
      </c>
      <c r="I6434">
        <v>0</v>
      </c>
      <c r="J6434">
        <v>0</v>
      </c>
      <c r="K6434" s="201">
        <v>0</v>
      </c>
    </row>
    <row r="6435" spans="1:11" x14ac:dyDescent="0.25">
      <c r="A6435"/>
      <c r="B6435" s="201">
        <v>0</v>
      </c>
      <c r="C6435">
        <v>1159</v>
      </c>
      <c r="D6435" s="201">
        <v>0</v>
      </c>
      <c r="E6435" s="201">
        <v>-729</v>
      </c>
      <c r="F6435">
        <v>425</v>
      </c>
      <c r="G6435">
        <v>0</v>
      </c>
      <c r="H6435">
        <v>0</v>
      </c>
      <c r="I6435">
        <v>0</v>
      </c>
      <c r="J6435">
        <v>0</v>
      </c>
      <c r="K6435" s="201">
        <v>0</v>
      </c>
    </row>
    <row r="6436" spans="1:11" x14ac:dyDescent="0.25">
      <c r="A6436"/>
      <c r="B6436" s="201">
        <v>0</v>
      </c>
      <c r="C6436">
        <v>0</v>
      </c>
      <c r="D6436" s="201">
        <v>0</v>
      </c>
      <c r="E6436" s="201">
        <v>0</v>
      </c>
      <c r="F6436">
        <v>0</v>
      </c>
      <c r="G6436">
        <v>0</v>
      </c>
      <c r="H6436">
        <v>0</v>
      </c>
      <c r="I6436">
        <v>0</v>
      </c>
      <c r="J6436">
        <v>0</v>
      </c>
      <c r="K6436" s="201">
        <v>0</v>
      </c>
    </row>
    <row r="6437" spans="1:11" x14ac:dyDescent="0.25">
      <c r="A6437"/>
      <c r="B6437" s="201">
        <v>-93</v>
      </c>
      <c r="C6437">
        <v>0</v>
      </c>
      <c r="D6437" s="201">
        <v>0</v>
      </c>
      <c r="E6437" s="201">
        <v>0</v>
      </c>
      <c r="F6437">
        <v>0</v>
      </c>
      <c r="G6437">
        <v>0</v>
      </c>
      <c r="H6437">
        <v>833</v>
      </c>
      <c r="I6437">
        <v>-358</v>
      </c>
      <c r="J6437">
        <v>-22</v>
      </c>
      <c r="K6437" s="201">
        <v>-2074</v>
      </c>
    </row>
    <row r="6438" spans="1:11" x14ac:dyDescent="0.25">
      <c r="A6438"/>
      <c r="B6438" s="201">
        <v>-2949</v>
      </c>
      <c r="C6438" s="201">
        <v>-3265</v>
      </c>
      <c r="D6438" s="201">
        <v>-4854</v>
      </c>
      <c r="E6438" s="201">
        <v>3209</v>
      </c>
      <c r="F6438">
        <v>-911</v>
      </c>
      <c r="G6438">
        <v>830</v>
      </c>
      <c r="H6438">
        <v>-501</v>
      </c>
      <c r="I6438">
        <v>-165</v>
      </c>
      <c r="J6438">
        <v>-2176</v>
      </c>
      <c r="K6438" s="201">
        <v>-1513</v>
      </c>
    </row>
    <row r="6439" spans="1:11" x14ac:dyDescent="0.25">
      <c r="B6439" s="201">
        <v>-712</v>
      </c>
      <c r="C6439">
        <v>-1218</v>
      </c>
      <c r="D6439" s="201">
        <v>-383</v>
      </c>
      <c r="E6439" s="201">
        <v>0</v>
      </c>
      <c r="F6439">
        <v>-1493</v>
      </c>
      <c r="G6439">
        <v>-1578</v>
      </c>
      <c r="H6439">
        <v>-1571</v>
      </c>
      <c r="I6439">
        <v>-3560</v>
      </c>
      <c r="J6439">
        <v>-1427</v>
      </c>
      <c r="K6439" s="201">
        <v>-1462</v>
      </c>
    </row>
    <row r="6440" spans="1:11" x14ac:dyDescent="0.25">
      <c r="A6440"/>
      <c r="B6440" s="201">
        <v>-1750</v>
      </c>
      <c r="C6440">
        <v>-3221</v>
      </c>
      <c r="D6440" s="201">
        <v>-1261</v>
      </c>
      <c r="E6440" s="201">
        <v>-1636</v>
      </c>
      <c r="F6440">
        <v>-1362</v>
      </c>
      <c r="G6440">
        <v>-2906</v>
      </c>
      <c r="H6440">
        <v>-1026</v>
      </c>
      <c r="I6440">
        <v>-1476</v>
      </c>
      <c r="J6440">
        <v>-1505</v>
      </c>
      <c r="K6440" s="201">
        <v>-2271</v>
      </c>
    </row>
    <row r="6441" spans="1:11" x14ac:dyDescent="0.25">
      <c r="A6441"/>
      <c r="B6441" s="201">
        <v>-1646</v>
      </c>
      <c r="C6441">
        <v>-1928</v>
      </c>
      <c r="D6441" s="201">
        <v>-1864</v>
      </c>
      <c r="E6441" s="201">
        <v>-2390</v>
      </c>
      <c r="F6441">
        <v>129</v>
      </c>
      <c r="G6441">
        <v>-274</v>
      </c>
      <c r="H6441">
        <v>-298</v>
      </c>
      <c r="I6441">
        <v>-326</v>
      </c>
      <c r="J6441">
        <v>-312</v>
      </c>
      <c r="K6441" s="201">
        <v>1663</v>
      </c>
    </row>
    <row r="6442" spans="1:11" x14ac:dyDescent="0.25">
      <c r="A6442"/>
      <c r="B6442" s="201">
        <v>-15</v>
      </c>
      <c r="C6442">
        <v>520</v>
      </c>
      <c r="D6442" s="201">
        <v>58</v>
      </c>
      <c r="E6442" s="201">
        <v>-560</v>
      </c>
      <c r="F6442">
        <v>-618</v>
      </c>
      <c r="G6442">
        <v>41</v>
      </c>
      <c r="H6442">
        <v>29</v>
      </c>
      <c r="I6442">
        <v>-2</v>
      </c>
      <c r="J6442">
        <v>129</v>
      </c>
      <c r="K6442" s="201">
        <v>351</v>
      </c>
    </row>
    <row r="6443" spans="1:11" x14ac:dyDescent="0.25">
      <c r="A6443"/>
      <c r="B6443" s="201">
        <v>189</v>
      </c>
      <c r="C6443">
        <v>137</v>
      </c>
      <c r="D6443" s="201">
        <v>184</v>
      </c>
      <c r="E6443" s="201">
        <v>215</v>
      </c>
      <c r="F6443">
        <v>33558</v>
      </c>
      <c r="G6443">
        <v>43052</v>
      </c>
      <c r="H6443">
        <v>43013</v>
      </c>
      <c r="I6443">
        <v>34747</v>
      </c>
      <c r="J6443">
        <v>142</v>
      </c>
      <c r="K6443" s="201">
        <v>-15403</v>
      </c>
    </row>
    <row r="6444" spans="1:11" x14ac:dyDescent="0.25">
      <c r="A6444"/>
      <c r="B6444" s="201">
        <v>-5</v>
      </c>
      <c r="C6444">
        <v>140</v>
      </c>
      <c r="D6444" s="201">
        <v>422</v>
      </c>
      <c r="E6444" s="201">
        <v>0</v>
      </c>
      <c r="F6444">
        <v>0</v>
      </c>
      <c r="G6444">
        <v>77</v>
      </c>
      <c r="H6444">
        <v>0</v>
      </c>
      <c r="I6444">
        <v>0</v>
      </c>
      <c r="J6444">
        <v>0</v>
      </c>
      <c r="K6444" s="201">
        <v>-15</v>
      </c>
    </row>
    <row r="6445" spans="1:11" x14ac:dyDescent="0.25">
      <c r="A6445"/>
      <c r="B6445" s="201">
        <v>152</v>
      </c>
      <c r="C6445">
        <v>0</v>
      </c>
      <c r="D6445" s="201">
        <v>0</v>
      </c>
      <c r="E6445" s="201">
        <v>0</v>
      </c>
      <c r="F6445">
        <v>0</v>
      </c>
      <c r="G6445">
        <v>0</v>
      </c>
      <c r="H6445">
        <v>0</v>
      </c>
      <c r="I6445">
        <v>-18</v>
      </c>
      <c r="J6445">
        <v>0</v>
      </c>
      <c r="K6445" s="201">
        <v>0</v>
      </c>
    </row>
    <row r="6446" spans="1:11" x14ac:dyDescent="0.25">
      <c r="A6446"/>
      <c r="B6446" s="201">
        <v>193</v>
      </c>
      <c r="C6446">
        <v>0</v>
      </c>
      <c r="D6446" s="201">
        <v>-210</v>
      </c>
      <c r="E6446" s="201">
        <v>0</v>
      </c>
      <c r="F6446">
        <v>-106</v>
      </c>
      <c r="G6446">
        <v>-149</v>
      </c>
      <c r="H6446">
        <v>-45</v>
      </c>
      <c r="I6446">
        <v>0</v>
      </c>
      <c r="J6446">
        <v>-678</v>
      </c>
      <c r="K6446" s="201">
        <v>-16248</v>
      </c>
    </row>
    <row r="6447" spans="1:11" x14ac:dyDescent="0.25">
      <c r="A6447"/>
      <c r="B6447" s="201">
        <v>112</v>
      </c>
      <c r="C6447">
        <v>399</v>
      </c>
      <c r="D6447" s="201">
        <v>556</v>
      </c>
      <c r="E6447" s="201">
        <v>72</v>
      </c>
      <c r="F6447">
        <v>0</v>
      </c>
      <c r="G6447">
        <v>201</v>
      </c>
      <c r="H6447">
        <v>0</v>
      </c>
      <c r="I6447">
        <v>0</v>
      </c>
      <c r="J6447">
        <v>0</v>
      </c>
      <c r="K6447" s="201">
        <v>0</v>
      </c>
    </row>
    <row r="6448" spans="1:11" x14ac:dyDescent="0.25">
      <c r="A6448"/>
      <c r="B6448" s="201">
        <v>0</v>
      </c>
      <c r="C6448">
        <v>-936</v>
      </c>
      <c r="D6448" s="201">
        <v>0</v>
      </c>
      <c r="E6448" s="201">
        <v>0</v>
      </c>
      <c r="F6448">
        <v>0</v>
      </c>
      <c r="G6448">
        <v>698</v>
      </c>
      <c r="H6448">
        <v>0</v>
      </c>
      <c r="I6448">
        <v>324</v>
      </c>
      <c r="J6448">
        <v>0</v>
      </c>
      <c r="K6448" s="201">
        <v>0</v>
      </c>
    </row>
    <row r="6449" spans="1:11" x14ac:dyDescent="0.25">
      <c r="A6449"/>
      <c r="B6449" s="201">
        <v>0</v>
      </c>
      <c r="C6449">
        <v>0</v>
      </c>
      <c r="D6449" s="201">
        <v>0</v>
      </c>
      <c r="E6449" s="201">
        <v>-175</v>
      </c>
      <c r="F6449">
        <v>0</v>
      </c>
      <c r="G6449">
        <v>-1164</v>
      </c>
      <c r="H6449">
        <v>560</v>
      </c>
      <c r="I6449">
        <v>0</v>
      </c>
      <c r="J6449">
        <v>0</v>
      </c>
      <c r="K6449" s="201">
        <v>-1192</v>
      </c>
    </row>
    <row r="6450" spans="1:11" x14ac:dyDescent="0.25">
      <c r="A6450"/>
      <c r="B6450" s="201">
        <v>-15007</v>
      </c>
      <c r="C6450">
        <v>0</v>
      </c>
      <c r="D6450" s="201">
        <v>88</v>
      </c>
      <c r="E6450" s="201">
        <v>0</v>
      </c>
      <c r="F6450">
        <v>0</v>
      </c>
      <c r="G6450">
        <v>0</v>
      </c>
      <c r="H6450">
        <v>0</v>
      </c>
      <c r="I6450">
        <v>-1798</v>
      </c>
      <c r="J6450">
        <v>-243</v>
      </c>
      <c r="K6450" s="201">
        <v>-70</v>
      </c>
    </row>
    <row r="6451" spans="1:11" x14ac:dyDescent="0.25">
      <c r="A6451"/>
      <c r="B6451" s="201">
        <v>0</v>
      </c>
      <c r="C6451">
        <v>0</v>
      </c>
      <c r="D6451" s="201">
        <v>-106</v>
      </c>
      <c r="E6451" s="201">
        <v>851</v>
      </c>
      <c r="F6451">
        <v>0</v>
      </c>
      <c r="G6451">
        <v>882</v>
      </c>
      <c r="H6451">
        <v>621</v>
      </c>
      <c r="I6451">
        <v>524</v>
      </c>
      <c r="J6451">
        <v>928</v>
      </c>
      <c r="K6451" s="201">
        <v>-2640</v>
      </c>
    </row>
    <row r="6452" spans="1:11" x14ac:dyDescent="0.25">
      <c r="A6452"/>
      <c r="B6452" s="201">
        <v>103</v>
      </c>
      <c r="C6452">
        <v>1039</v>
      </c>
      <c r="D6452" s="201">
        <v>0</v>
      </c>
      <c r="E6452" s="201">
        <v>0</v>
      </c>
      <c r="F6452">
        <v>0</v>
      </c>
      <c r="G6452">
        <v>0</v>
      </c>
      <c r="H6452">
        <v>0</v>
      </c>
      <c r="I6452">
        <v>1144</v>
      </c>
      <c r="J6452">
        <v>0</v>
      </c>
      <c r="K6452" s="201">
        <v>287</v>
      </c>
    </row>
    <row r="6453" spans="1:11" x14ac:dyDescent="0.25">
      <c r="A6453"/>
      <c r="B6453" s="201">
        <v>636</v>
      </c>
      <c r="C6453">
        <v>-599</v>
      </c>
      <c r="D6453" s="201">
        <v>0</v>
      </c>
      <c r="E6453" s="201">
        <v>-718</v>
      </c>
      <c r="F6453">
        <v>-18403</v>
      </c>
      <c r="G6453">
        <v>64</v>
      </c>
      <c r="H6453">
        <v>72</v>
      </c>
      <c r="I6453">
        <v>445</v>
      </c>
      <c r="J6453">
        <v>0</v>
      </c>
      <c r="K6453" s="201">
        <v>1554</v>
      </c>
    </row>
    <row r="6454" spans="1:11" x14ac:dyDescent="0.25">
      <c r="A6454"/>
      <c r="B6454" s="201">
        <v>368</v>
      </c>
      <c r="C6454">
        <v>-374</v>
      </c>
      <c r="D6454" s="201">
        <v>57</v>
      </c>
      <c r="E6454" s="201">
        <v>0</v>
      </c>
      <c r="F6454">
        <v>68</v>
      </c>
      <c r="G6454">
        <v>-60</v>
      </c>
      <c r="H6454">
        <v>0</v>
      </c>
      <c r="I6454">
        <v>0</v>
      </c>
      <c r="J6454">
        <v>0</v>
      </c>
      <c r="K6454" s="201">
        <v>-138</v>
      </c>
    </row>
    <row r="6455" spans="1:11" x14ac:dyDescent="0.25">
      <c r="B6455" s="201">
        <v>-267</v>
      </c>
      <c r="C6455">
        <v>0</v>
      </c>
      <c r="D6455" s="201">
        <v>-166</v>
      </c>
      <c r="E6455" s="201">
        <v>175</v>
      </c>
      <c r="F6455">
        <v>27</v>
      </c>
      <c r="G6455">
        <v>-90</v>
      </c>
      <c r="H6455">
        <v>0</v>
      </c>
      <c r="I6455">
        <v>0</v>
      </c>
      <c r="J6455">
        <v>0</v>
      </c>
      <c r="K6455" s="201">
        <v>0</v>
      </c>
    </row>
    <row r="6456" spans="1:11" x14ac:dyDescent="0.25">
      <c r="A6456"/>
      <c r="B6456" s="201">
        <v>0</v>
      </c>
      <c r="C6456">
        <v>594</v>
      </c>
      <c r="D6456" s="201">
        <v>0</v>
      </c>
      <c r="E6456" s="201">
        <v>4197</v>
      </c>
      <c r="F6456">
        <v>64</v>
      </c>
      <c r="G6456">
        <v>60</v>
      </c>
      <c r="H6456">
        <v>0</v>
      </c>
      <c r="I6456">
        <v>-856</v>
      </c>
      <c r="J6456">
        <v>-17778</v>
      </c>
      <c r="K6456" s="201">
        <v>-135</v>
      </c>
    </row>
    <row r="6457" spans="1:11" x14ac:dyDescent="0.25">
      <c r="A6457"/>
      <c r="B6457" s="201">
        <v>-137</v>
      </c>
      <c r="C6457">
        <v>189</v>
      </c>
      <c r="D6457" s="201">
        <v>-242</v>
      </c>
      <c r="E6457" s="201">
        <v>1337</v>
      </c>
      <c r="F6457">
        <v>1328</v>
      </c>
      <c r="G6457">
        <v>0</v>
      </c>
      <c r="H6457">
        <v>99</v>
      </c>
      <c r="I6457">
        <v>0</v>
      </c>
      <c r="J6457">
        <v>0</v>
      </c>
      <c r="K6457" s="201">
        <v>-120</v>
      </c>
    </row>
    <row r="6458" spans="1:11" x14ac:dyDescent="0.25">
      <c r="A6458"/>
      <c r="B6458" s="201">
        <v>188</v>
      </c>
      <c r="C6458">
        <v>0</v>
      </c>
      <c r="D6458" s="201">
        <v>152</v>
      </c>
      <c r="E6458" s="201">
        <v>0</v>
      </c>
      <c r="F6458">
        <v>0</v>
      </c>
      <c r="G6458">
        <v>-89</v>
      </c>
      <c r="H6458">
        <v>0</v>
      </c>
      <c r="I6458">
        <v>-31</v>
      </c>
      <c r="J6458">
        <v>-15</v>
      </c>
      <c r="K6458" s="201">
        <v>25</v>
      </c>
    </row>
    <row r="6459" spans="1:11" x14ac:dyDescent="0.25">
      <c r="A6459"/>
      <c r="B6459" s="201">
        <v>0</v>
      </c>
      <c r="C6459">
        <v>0</v>
      </c>
      <c r="D6459" s="201">
        <v>0</v>
      </c>
      <c r="E6459" s="201">
        <v>0</v>
      </c>
      <c r="F6459">
        <v>0</v>
      </c>
      <c r="G6459">
        <v>728</v>
      </c>
      <c r="H6459">
        <v>0</v>
      </c>
      <c r="I6459">
        <v>3642</v>
      </c>
      <c r="J6459">
        <v>144</v>
      </c>
      <c r="K6459" s="201">
        <v>128</v>
      </c>
    </row>
    <row r="6460" spans="1:11" x14ac:dyDescent="0.25">
      <c r="A6460"/>
      <c r="B6460" s="201">
        <v>0</v>
      </c>
      <c r="C6460">
        <v>-394</v>
      </c>
      <c r="D6460" s="201">
        <v>-19251</v>
      </c>
      <c r="E6460" s="201">
        <v>181</v>
      </c>
      <c r="F6460">
        <v>0</v>
      </c>
      <c r="G6460">
        <v>0</v>
      </c>
      <c r="H6460">
        <v>0</v>
      </c>
      <c r="I6460">
        <v>2214</v>
      </c>
      <c r="J6460">
        <v>1467</v>
      </c>
      <c r="K6460" s="201">
        <v>334</v>
      </c>
    </row>
    <row r="6461" spans="1:11" x14ac:dyDescent="0.25">
      <c r="A6461"/>
      <c r="B6461" s="201">
        <v>-458</v>
      </c>
      <c r="C6461">
        <v>-480</v>
      </c>
      <c r="D6461" s="201">
        <v>0</v>
      </c>
      <c r="E6461" s="201">
        <v>189</v>
      </c>
      <c r="F6461">
        <v>0</v>
      </c>
      <c r="G6461">
        <v>0</v>
      </c>
      <c r="H6461">
        <v>50</v>
      </c>
      <c r="I6461">
        <v>0</v>
      </c>
      <c r="J6461">
        <v>-189</v>
      </c>
      <c r="K6461" s="201">
        <v>0</v>
      </c>
    </row>
    <row r="6462" spans="1:11" x14ac:dyDescent="0.25">
      <c r="B6462" s="201">
        <v>-349</v>
      </c>
      <c r="C6462">
        <v>0</v>
      </c>
      <c r="D6462" s="201">
        <v>0</v>
      </c>
      <c r="E6462" s="201">
        <v>0</v>
      </c>
      <c r="F6462">
        <v>0</v>
      </c>
      <c r="G6462">
        <v>0</v>
      </c>
      <c r="H6462">
        <v>0</v>
      </c>
      <c r="I6462">
        <v>0</v>
      </c>
      <c r="J6462">
        <v>0</v>
      </c>
      <c r="K6462" s="201">
        <v>391</v>
      </c>
    </row>
    <row r="6463" spans="1:11" x14ac:dyDescent="0.25">
      <c r="A6463"/>
      <c r="B6463" s="201">
        <v>0</v>
      </c>
      <c r="C6463">
        <v>1383</v>
      </c>
      <c r="D6463" s="201">
        <v>-931</v>
      </c>
      <c r="E6463" s="201">
        <v>-200</v>
      </c>
      <c r="F6463">
        <v>0</v>
      </c>
      <c r="G6463">
        <v>244</v>
      </c>
      <c r="H6463">
        <v>-18067</v>
      </c>
      <c r="I6463">
        <v>0</v>
      </c>
      <c r="J6463">
        <v>0</v>
      </c>
      <c r="K6463" s="201">
        <v>0</v>
      </c>
    </row>
    <row r="6464" spans="1:11" x14ac:dyDescent="0.25">
      <c r="A6464"/>
      <c r="B6464" s="201">
        <v>0</v>
      </c>
      <c r="C6464">
        <v>0</v>
      </c>
      <c r="D6464" s="201">
        <v>-1737</v>
      </c>
      <c r="E6464" s="201">
        <v>-1121</v>
      </c>
      <c r="F6464">
        <v>-252</v>
      </c>
      <c r="G6464">
        <v>-228</v>
      </c>
      <c r="H6464">
        <v>13</v>
      </c>
      <c r="I6464">
        <v>-193</v>
      </c>
      <c r="J6464">
        <v>0</v>
      </c>
      <c r="K6464" s="201">
        <v>0</v>
      </c>
    </row>
    <row r="6465" spans="1:11" x14ac:dyDescent="0.25">
      <c r="A6465"/>
      <c r="B6465" s="201">
        <v>0</v>
      </c>
      <c r="C6465">
        <v>0</v>
      </c>
      <c r="D6465" s="201">
        <v>-965</v>
      </c>
      <c r="E6465" s="201">
        <v>0</v>
      </c>
      <c r="F6465">
        <v>-550</v>
      </c>
      <c r="G6465">
        <v>0</v>
      </c>
      <c r="H6465">
        <v>0</v>
      </c>
      <c r="I6465">
        <v>3</v>
      </c>
      <c r="J6465">
        <v>5</v>
      </c>
      <c r="K6465" s="201">
        <v>0</v>
      </c>
    </row>
    <row r="6466" spans="1:11" x14ac:dyDescent="0.25">
      <c r="A6466"/>
      <c r="B6466" s="201">
        <v>0</v>
      </c>
      <c r="C6466">
        <v>0</v>
      </c>
      <c r="D6466" s="201">
        <v>0</v>
      </c>
      <c r="E6466" s="201">
        <v>-177</v>
      </c>
      <c r="F6466">
        <v>0</v>
      </c>
      <c r="G6466">
        <v>2906</v>
      </c>
      <c r="H6466">
        <v>-883</v>
      </c>
      <c r="I6466">
        <v>-58</v>
      </c>
      <c r="J6466">
        <v>665</v>
      </c>
      <c r="K6466" s="201">
        <v>27</v>
      </c>
    </row>
    <row r="6467" spans="1:11" x14ac:dyDescent="0.25">
      <c r="A6467"/>
      <c r="B6467" s="201">
        <v>7</v>
      </c>
      <c r="C6467">
        <v>-194</v>
      </c>
      <c r="D6467" s="201">
        <v>172</v>
      </c>
      <c r="E6467" s="201">
        <v>-685</v>
      </c>
      <c r="F6467">
        <v>-312</v>
      </c>
      <c r="G6467">
        <v>0</v>
      </c>
      <c r="H6467">
        <v>0</v>
      </c>
      <c r="I6467">
        <v>0</v>
      </c>
      <c r="J6467">
        <v>0</v>
      </c>
      <c r="K6467" s="201">
        <v>0</v>
      </c>
    </row>
    <row r="6468" spans="1:11" x14ac:dyDescent="0.25">
      <c r="A6468"/>
      <c r="B6468" s="201">
        <v>0</v>
      </c>
      <c r="C6468">
        <v>0</v>
      </c>
      <c r="D6468" s="201">
        <v>-195</v>
      </c>
      <c r="E6468" s="201">
        <v>-150</v>
      </c>
      <c r="F6468">
        <v>141</v>
      </c>
      <c r="G6468">
        <v>-118</v>
      </c>
      <c r="H6468">
        <v>-38</v>
      </c>
      <c r="I6468">
        <v>289</v>
      </c>
      <c r="J6468">
        <v>0</v>
      </c>
      <c r="K6468" s="201">
        <v>0</v>
      </c>
    </row>
    <row r="6469" spans="1:11" x14ac:dyDescent="0.25">
      <c r="A6469"/>
      <c r="B6469" s="201">
        <v>-23</v>
      </c>
      <c r="C6469">
        <v>0</v>
      </c>
      <c r="D6469" s="201">
        <v>168</v>
      </c>
      <c r="E6469" s="201">
        <v>-87</v>
      </c>
      <c r="F6469">
        <v>0</v>
      </c>
      <c r="G6469">
        <v>0</v>
      </c>
      <c r="H6469">
        <v>0</v>
      </c>
      <c r="I6469">
        <v>0</v>
      </c>
      <c r="J6469">
        <v>-1184</v>
      </c>
      <c r="K6469" s="201">
        <v>0</v>
      </c>
    </row>
    <row r="6470" spans="1:11" x14ac:dyDescent="0.25">
      <c r="B6470" s="201">
        <v>-3962</v>
      </c>
      <c r="C6470">
        <v>-657</v>
      </c>
      <c r="D6470" s="201">
        <v>0</v>
      </c>
      <c r="E6470" s="201">
        <v>0</v>
      </c>
      <c r="F6470">
        <v>0</v>
      </c>
      <c r="G6470">
        <v>0</v>
      </c>
      <c r="H6470">
        <v>0</v>
      </c>
      <c r="I6470">
        <v>0</v>
      </c>
      <c r="J6470">
        <v>0</v>
      </c>
      <c r="K6470" s="201">
        <v>0</v>
      </c>
    </row>
    <row r="6471" spans="1:11" x14ac:dyDescent="0.25">
      <c r="A6471"/>
      <c r="B6471" s="201">
        <v>0</v>
      </c>
      <c r="C6471">
        <v>0</v>
      </c>
      <c r="D6471" s="201">
        <v>0</v>
      </c>
      <c r="E6471" s="201">
        <v>0</v>
      </c>
      <c r="F6471">
        <v>0</v>
      </c>
      <c r="G6471">
        <v>0</v>
      </c>
      <c r="H6471">
        <v>0</v>
      </c>
      <c r="I6471">
        <v>-818</v>
      </c>
      <c r="J6471">
        <v>0</v>
      </c>
      <c r="K6471" s="201">
        <v>0</v>
      </c>
    </row>
    <row r="6472" spans="1:11" x14ac:dyDescent="0.25">
      <c r="A6472"/>
      <c r="B6472" s="201">
        <v>0</v>
      </c>
      <c r="C6472">
        <v>0</v>
      </c>
      <c r="D6472" s="201">
        <v>0</v>
      </c>
      <c r="E6472" s="201">
        <v>638</v>
      </c>
      <c r="F6472">
        <v>-75</v>
      </c>
      <c r="G6472">
        <v>-3356</v>
      </c>
      <c r="H6472">
        <v>-2250</v>
      </c>
      <c r="I6472">
        <v>-1463</v>
      </c>
      <c r="J6472">
        <v>-1997</v>
      </c>
      <c r="K6472" s="201">
        <v>-2244</v>
      </c>
    </row>
    <row r="6473" spans="1:11" x14ac:dyDescent="0.25">
      <c r="B6473" s="201">
        <v>2192</v>
      </c>
      <c r="C6473">
        <v>-491</v>
      </c>
      <c r="D6473" s="201">
        <v>-174</v>
      </c>
      <c r="E6473" s="201">
        <v>-1457</v>
      </c>
      <c r="F6473">
        <v>-5075</v>
      </c>
      <c r="G6473">
        <v>-8859</v>
      </c>
      <c r="H6473">
        <v>-2838</v>
      </c>
      <c r="I6473">
        <v>-2931</v>
      </c>
      <c r="J6473">
        <v>-1555</v>
      </c>
      <c r="K6473" s="201">
        <v>7054</v>
      </c>
    </row>
    <row r="6474" spans="1:11" x14ac:dyDescent="0.25">
      <c r="A6474"/>
      <c r="B6474" s="201">
        <v>0</v>
      </c>
      <c r="C6474">
        <v>594</v>
      </c>
      <c r="D6474" s="201">
        <v>-86</v>
      </c>
      <c r="E6474" s="201">
        <v>-561</v>
      </c>
      <c r="F6474">
        <v>-404</v>
      </c>
      <c r="G6474">
        <v>238</v>
      </c>
      <c r="H6474">
        <v>-107</v>
      </c>
      <c r="I6474">
        <v>-341</v>
      </c>
      <c r="J6474">
        <v>-1320</v>
      </c>
      <c r="K6474" s="201">
        <v>124</v>
      </c>
    </row>
    <row r="6475" spans="1:11" x14ac:dyDescent="0.25">
      <c r="A6475"/>
      <c r="B6475" s="201">
        <v>-284</v>
      </c>
      <c r="C6475">
        <v>-162</v>
      </c>
      <c r="D6475" s="201">
        <v>-1167</v>
      </c>
      <c r="E6475" s="201">
        <v>159</v>
      </c>
      <c r="F6475">
        <v>-317</v>
      </c>
      <c r="G6475">
        <v>-365</v>
      </c>
      <c r="H6475">
        <v>-746</v>
      </c>
      <c r="I6475">
        <v>362</v>
      </c>
      <c r="J6475">
        <v>-550</v>
      </c>
      <c r="K6475" s="201">
        <v>-570</v>
      </c>
    </row>
    <row r="6476" spans="1:11" x14ac:dyDescent="0.25">
      <c r="A6476"/>
      <c r="B6476" s="201">
        <v>-777</v>
      </c>
      <c r="C6476">
        <v>285</v>
      </c>
      <c r="D6476" s="201">
        <v>-478</v>
      </c>
      <c r="E6476" s="201">
        <v>111</v>
      </c>
      <c r="F6476">
        <v>25</v>
      </c>
      <c r="G6476">
        <v>-16</v>
      </c>
      <c r="H6476">
        <v>-298</v>
      </c>
      <c r="I6476">
        <v>443</v>
      </c>
      <c r="J6476">
        <v>-366</v>
      </c>
      <c r="K6476" s="201">
        <v>-528</v>
      </c>
    </row>
    <row r="6477" spans="1:11" x14ac:dyDescent="0.25">
      <c r="A6477"/>
      <c r="B6477" s="201">
        <v>-937</v>
      </c>
      <c r="C6477">
        <v>617</v>
      </c>
      <c r="D6477" s="201">
        <v>120</v>
      </c>
      <c r="E6477" s="201">
        <v>122</v>
      </c>
      <c r="F6477">
        <v>73</v>
      </c>
      <c r="G6477">
        <v>346</v>
      </c>
      <c r="H6477">
        <v>297</v>
      </c>
      <c r="I6477">
        <v>181</v>
      </c>
      <c r="J6477">
        <v>171</v>
      </c>
      <c r="K6477" s="201">
        <v>185</v>
      </c>
    </row>
    <row r="6478" spans="1:11" x14ac:dyDescent="0.25">
      <c r="A6478"/>
      <c r="B6478" s="201">
        <v>211</v>
      </c>
      <c r="C6478" s="201">
        <v>20330</v>
      </c>
      <c r="D6478" s="201">
        <v>22363</v>
      </c>
      <c r="E6478" s="201">
        <v>22627</v>
      </c>
      <c r="F6478">
        <v>20447</v>
      </c>
      <c r="G6478">
        <v>17828</v>
      </c>
      <c r="H6478">
        <v>388</v>
      </c>
      <c r="I6478">
        <v>-18875</v>
      </c>
      <c r="J6478">
        <v>183</v>
      </c>
      <c r="K6478" s="201">
        <v>36</v>
      </c>
    </row>
    <row r="6479" spans="1:11" x14ac:dyDescent="0.25">
      <c r="A6479"/>
      <c r="B6479" s="201">
        <v>-55</v>
      </c>
      <c r="C6479">
        <v>0</v>
      </c>
      <c r="D6479" s="201">
        <v>0</v>
      </c>
      <c r="E6479" s="201">
        <v>126</v>
      </c>
      <c r="F6479">
        <v>0</v>
      </c>
      <c r="G6479">
        <v>0</v>
      </c>
      <c r="H6479">
        <v>0</v>
      </c>
      <c r="I6479">
        <v>1</v>
      </c>
      <c r="J6479">
        <v>-17</v>
      </c>
      <c r="K6479" s="201">
        <v>0</v>
      </c>
    </row>
    <row r="6480" spans="1:11" x14ac:dyDescent="0.25">
      <c r="A6480"/>
      <c r="B6480" s="201">
        <v>0</v>
      </c>
      <c r="C6480">
        <v>0</v>
      </c>
      <c r="D6480" s="201">
        <v>0</v>
      </c>
      <c r="E6480" s="201">
        <v>0</v>
      </c>
      <c r="F6480">
        <v>0</v>
      </c>
      <c r="G6480">
        <v>13</v>
      </c>
      <c r="H6480">
        <v>0</v>
      </c>
      <c r="I6480">
        <v>0</v>
      </c>
      <c r="J6480">
        <v>330</v>
      </c>
      <c r="K6480" s="201">
        <v>0</v>
      </c>
    </row>
    <row r="6481" spans="1:11" x14ac:dyDescent="0.25">
      <c r="B6481" s="201">
        <v>-352</v>
      </c>
      <c r="C6481">
        <v>0</v>
      </c>
      <c r="D6481" s="201">
        <v>81</v>
      </c>
      <c r="E6481" s="201">
        <v>-283</v>
      </c>
      <c r="F6481">
        <v>-140</v>
      </c>
      <c r="G6481">
        <v>0</v>
      </c>
      <c r="H6481">
        <v>-705</v>
      </c>
      <c r="I6481">
        <v>-28991</v>
      </c>
      <c r="J6481">
        <v>29</v>
      </c>
      <c r="K6481" s="201">
        <v>-530</v>
      </c>
    </row>
    <row r="6482" spans="1:11" x14ac:dyDescent="0.25">
      <c r="A6482"/>
      <c r="B6482" s="201">
        <v>359</v>
      </c>
      <c r="C6482">
        <v>-189</v>
      </c>
      <c r="D6482" s="201">
        <v>0</v>
      </c>
      <c r="E6482" s="201">
        <v>141</v>
      </c>
      <c r="F6482">
        <v>0</v>
      </c>
      <c r="G6482">
        <v>0</v>
      </c>
      <c r="H6482">
        <v>0</v>
      </c>
      <c r="I6482">
        <v>0</v>
      </c>
      <c r="J6482">
        <v>0</v>
      </c>
      <c r="K6482" s="201">
        <v>208</v>
      </c>
    </row>
    <row r="6483" spans="1:11" x14ac:dyDescent="0.25">
      <c r="A6483"/>
      <c r="B6483" s="201">
        <v>0</v>
      </c>
      <c r="C6483">
        <v>0</v>
      </c>
      <c r="D6483" s="201">
        <v>0</v>
      </c>
      <c r="E6483" s="201">
        <v>332</v>
      </c>
      <c r="F6483">
        <v>0</v>
      </c>
      <c r="G6483">
        <v>-288</v>
      </c>
      <c r="H6483">
        <v>0</v>
      </c>
      <c r="I6483">
        <v>0</v>
      </c>
      <c r="J6483">
        <v>0</v>
      </c>
      <c r="K6483" s="201">
        <v>0</v>
      </c>
    </row>
    <row r="6484" spans="1:11" x14ac:dyDescent="0.25">
      <c r="A6484"/>
      <c r="B6484" s="201">
        <v>0</v>
      </c>
      <c r="C6484">
        <v>-14</v>
      </c>
      <c r="D6484" s="201">
        <v>0</v>
      </c>
      <c r="E6484" s="201">
        <v>1326</v>
      </c>
      <c r="F6484">
        <v>1363</v>
      </c>
      <c r="G6484">
        <v>0</v>
      </c>
      <c r="H6484">
        <v>0</v>
      </c>
      <c r="I6484">
        <v>-714</v>
      </c>
      <c r="J6484">
        <v>-18444</v>
      </c>
      <c r="K6484" s="201">
        <v>0</v>
      </c>
    </row>
    <row r="6485" spans="1:11" x14ac:dyDescent="0.25">
      <c r="B6485" s="201">
        <v>-558</v>
      </c>
      <c r="C6485">
        <v>0</v>
      </c>
      <c r="D6485" s="201">
        <v>0</v>
      </c>
      <c r="E6485" s="201">
        <v>0</v>
      </c>
      <c r="F6485">
        <v>0</v>
      </c>
      <c r="G6485">
        <v>-1735</v>
      </c>
      <c r="H6485">
        <v>-161</v>
      </c>
      <c r="I6485">
        <v>-17</v>
      </c>
      <c r="J6485">
        <v>0</v>
      </c>
      <c r="K6485" s="201">
        <v>0</v>
      </c>
    </row>
    <row r="6486" spans="1:11" x14ac:dyDescent="0.25">
      <c r="A6486"/>
      <c r="B6486" s="201">
        <v>131</v>
      </c>
      <c r="C6486">
        <v>-15</v>
      </c>
      <c r="D6486" s="201">
        <v>0</v>
      </c>
      <c r="E6486" s="201">
        <v>113</v>
      </c>
      <c r="F6486">
        <v>-363</v>
      </c>
      <c r="G6486">
        <v>65</v>
      </c>
      <c r="H6486">
        <v>-283</v>
      </c>
      <c r="I6486">
        <v>-388</v>
      </c>
      <c r="J6486">
        <v>-13</v>
      </c>
      <c r="K6486" s="201">
        <v>-412</v>
      </c>
    </row>
    <row r="6487" spans="1:11" x14ac:dyDescent="0.25">
      <c r="A6487"/>
      <c r="B6487" s="201">
        <v>0</v>
      </c>
      <c r="C6487">
        <v>0</v>
      </c>
      <c r="D6487" s="201">
        <v>0</v>
      </c>
      <c r="E6487" s="201">
        <v>0</v>
      </c>
      <c r="F6487">
        <v>0</v>
      </c>
      <c r="G6487">
        <v>840</v>
      </c>
      <c r="H6487">
        <v>0</v>
      </c>
      <c r="I6487">
        <v>1187</v>
      </c>
      <c r="J6487">
        <v>73</v>
      </c>
      <c r="K6487" s="201">
        <v>143</v>
      </c>
    </row>
    <row r="6488" spans="1:11" x14ac:dyDescent="0.25">
      <c r="A6488"/>
      <c r="B6488" s="201">
        <v>0</v>
      </c>
      <c r="C6488">
        <v>-402</v>
      </c>
      <c r="D6488" s="201">
        <v>-22088</v>
      </c>
      <c r="E6488" s="201">
        <v>1090</v>
      </c>
      <c r="F6488">
        <v>-1093</v>
      </c>
      <c r="G6488">
        <v>-683</v>
      </c>
      <c r="H6488">
        <v>0</v>
      </c>
      <c r="I6488">
        <v>-5886</v>
      </c>
      <c r="J6488">
        <v>-1657</v>
      </c>
      <c r="K6488" s="201">
        <v>-2543</v>
      </c>
    </row>
    <row r="6489" spans="1:11" x14ac:dyDescent="0.25">
      <c r="B6489" s="201">
        <v>-379</v>
      </c>
      <c r="C6489">
        <v>0</v>
      </c>
      <c r="D6489" s="201">
        <v>222</v>
      </c>
      <c r="E6489" s="201">
        <v>-809</v>
      </c>
      <c r="F6489">
        <v>0</v>
      </c>
      <c r="G6489">
        <v>0</v>
      </c>
      <c r="H6489">
        <v>0</v>
      </c>
      <c r="I6489">
        <v>517</v>
      </c>
      <c r="J6489">
        <v>-427</v>
      </c>
      <c r="K6489" s="201">
        <v>0</v>
      </c>
    </row>
    <row r="6490" spans="1:11" x14ac:dyDescent="0.25">
      <c r="A6490"/>
      <c r="B6490" s="201">
        <v>362</v>
      </c>
      <c r="C6490">
        <v>-4592</v>
      </c>
      <c r="D6490" s="201">
        <v>-652</v>
      </c>
      <c r="E6490" s="201">
        <v>613</v>
      </c>
      <c r="F6490">
        <v>0</v>
      </c>
      <c r="G6490">
        <v>0</v>
      </c>
      <c r="H6490">
        <v>0</v>
      </c>
      <c r="I6490">
        <v>0</v>
      </c>
      <c r="J6490">
        <v>0</v>
      </c>
      <c r="K6490" s="201">
        <v>690</v>
      </c>
    </row>
    <row r="6491" spans="1:11" x14ac:dyDescent="0.25">
      <c r="A6491"/>
      <c r="B6491" s="201">
        <v>0</v>
      </c>
      <c r="C6491">
        <v>5162</v>
      </c>
      <c r="D6491" s="201">
        <v>566</v>
      </c>
      <c r="E6491" s="201">
        <v>-45</v>
      </c>
      <c r="F6491">
        <v>0</v>
      </c>
      <c r="G6491">
        <v>-990</v>
      </c>
      <c r="H6491">
        <v>-21699</v>
      </c>
      <c r="I6491">
        <v>-125</v>
      </c>
      <c r="J6491">
        <v>-108</v>
      </c>
      <c r="K6491" s="201">
        <v>327</v>
      </c>
    </row>
    <row r="6492" spans="1:11" x14ac:dyDescent="0.25">
      <c r="B6492" s="201">
        <v>-294</v>
      </c>
      <c r="C6492">
        <v>1705</v>
      </c>
      <c r="D6492" s="201">
        <v>2180</v>
      </c>
      <c r="E6492" s="201">
        <v>0</v>
      </c>
      <c r="F6492">
        <v>214</v>
      </c>
      <c r="G6492">
        <v>0</v>
      </c>
      <c r="H6492">
        <v>0</v>
      </c>
      <c r="I6492">
        <v>-72</v>
      </c>
      <c r="J6492">
        <v>153</v>
      </c>
      <c r="K6492" s="201">
        <v>0</v>
      </c>
    </row>
    <row r="6493" spans="1:11" x14ac:dyDescent="0.25">
      <c r="A6493"/>
      <c r="B6493" s="201">
        <v>36</v>
      </c>
      <c r="C6493">
        <v>0</v>
      </c>
      <c r="D6493" s="201">
        <v>0</v>
      </c>
      <c r="E6493" s="201">
        <v>-72</v>
      </c>
      <c r="F6493">
        <v>0</v>
      </c>
      <c r="G6493">
        <v>285</v>
      </c>
      <c r="H6493">
        <v>96</v>
      </c>
      <c r="I6493">
        <v>-268</v>
      </c>
      <c r="J6493">
        <v>0</v>
      </c>
      <c r="K6493" s="201">
        <v>0</v>
      </c>
    </row>
    <row r="6494" spans="1:11" x14ac:dyDescent="0.25">
      <c r="A6494"/>
      <c r="B6494" s="201">
        <v>0</v>
      </c>
      <c r="C6494">
        <v>0</v>
      </c>
      <c r="D6494" s="201">
        <v>0</v>
      </c>
      <c r="E6494" s="201">
        <v>837</v>
      </c>
      <c r="F6494">
        <v>0</v>
      </c>
      <c r="G6494">
        <v>4582</v>
      </c>
      <c r="H6494">
        <v>162</v>
      </c>
      <c r="I6494">
        <v>109</v>
      </c>
      <c r="J6494">
        <v>0</v>
      </c>
      <c r="K6494" s="201">
        <v>-515</v>
      </c>
    </row>
    <row r="6495" spans="1:11" x14ac:dyDescent="0.25">
      <c r="A6495"/>
      <c r="B6495" s="201">
        <v>-22981</v>
      </c>
      <c r="C6495">
        <v>198</v>
      </c>
      <c r="D6495" s="201">
        <v>0</v>
      </c>
      <c r="E6495" s="201">
        <v>0</v>
      </c>
      <c r="F6495">
        <v>0</v>
      </c>
      <c r="G6495">
        <v>2256</v>
      </c>
      <c r="H6495">
        <v>2276</v>
      </c>
      <c r="I6495">
        <v>533</v>
      </c>
      <c r="J6495">
        <v>-550</v>
      </c>
      <c r="K6495" s="201">
        <v>-553</v>
      </c>
    </row>
    <row r="6496" spans="1:11" x14ac:dyDescent="0.25">
      <c r="A6496"/>
      <c r="B6496" s="201">
        <v>0</v>
      </c>
      <c r="C6496">
        <v>251</v>
      </c>
      <c r="D6496" s="201">
        <v>0</v>
      </c>
      <c r="E6496" s="201">
        <v>0</v>
      </c>
      <c r="F6496">
        <v>36</v>
      </c>
      <c r="G6496">
        <v>0</v>
      </c>
      <c r="H6496">
        <v>-475</v>
      </c>
      <c r="I6496">
        <v>0</v>
      </c>
      <c r="J6496">
        <v>-742</v>
      </c>
      <c r="K6496" s="201">
        <v>0</v>
      </c>
    </row>
    <row r="6497" spans="1:11" x14ac:dyDescent="0.25">
      <c r="A6497"/>
      <c r="B6497" s="201">
        <v>0</v>
      </c>
      <c r="C6497">
        <v>0</v>
      </c>
      <c r="D6497" s="201">
        <v>0</v>
      </c>
      <c r="E6497" s="201">
        <v>0</v>
      </c>
      <c r="F6497">
        <v>0</v>
      </c>
      <c r="G6497">
        <v>0</v>
      </c>
      <c r="H6497">
        <v>0</v>
      </c>
      <c r="I6497">
        <v>508</v>
      </c>
      <c r="J6497">
        <v>0</v>
      </c>
      <c r="K6497" s="201">
        <v>1666</v>
      </c>
    </row>
    <row r="6498" spans="1:11" x14ac:dyDescent="0.25">
      <c r="A6498"/>
      <c r="B6498" s="201">
        <v>-1075</v>
      </c>
      <c r="C6498">
        <v>-276</v>
      </c>
      <c r="D6498" s="201">
        <v>0</v>
      </c>
      <c r="E6498" s="201">
        <v>162</v>
      </c>
      <c r="F6498">
        <v>-21815</v>
      </c>
      <c r="G6498">
        <v>0</v>
      </c>
      <c r="H6498">
        <v>0</v>
      </c>
      <c r="I6498">
        <v>0</v>
      </c>
      <c r="J6498">
        <v>0</v>
      </c>
      <c r="K6498" s="201">
        <v>0</v>
      </c>
    </row>
    <row r="6499" spans="1:11" x14ac:dyDescent="0.25">
      <c r="A6499"/>
      <c r="B6499" s="201">
        <v>-1085</v>
      </c>
      <c r="C6499">
        <v>-975</v>
      </c>
      <c r="D6499" s="201">
        <v>-345</v>
      </c>
      <c r="E6499" s="201">
        <v>-318</v>
      </c>
      <c r="F6499">
        <v>-130</v>
      </c>
      <c r="G6499">
        <v>-317</v>
      </c>
      <c r="H6499">
        <v>0</v>
      </c>
      <c r="I6499">
        <v>0</v>
      </c>
      <c r="J6499">
        <v>0</v>
      </c>
      <c r="K6499" s="201">
        <v>0</v>
      </c>
    </row>
    <row r="6500" spans="1:11" x14ac:dyDescent="0.25">
      <c r="B6500" s="201">
        <v>-1266</v>
      </c>
      <c r="C6500">
        <v>0</v>
      </c>
      <c r="D6500" s="201">
        <v>-765</v>
      </c>
      <c r="E6500" s="201">
        <v>0</v>
      </c>
      <c r="F6500">
        <v>0</v>
      </c>
      <c r="G6500">
        <v>230</v>
      </c>
      <c r="H6500">
        <v>259</v>
      </c>
      <c r="I6500">
        <v>0</v>
      </c>
      <c r="J6500">
        <v>0</v>
      </c>
      <c r="K6500" s="201">
        <v>0</v>
      </c>
    </row>
    <row r="6501" spans="1:11" x14ac:dyDescent="0.25">
      <c r="A6501"/>
      <c r="B6501" s="201">
        <v>0</v>
      </c>
      <c r="C6501">
        <v>-99</v>
      </c>
      <c r="D6501" s="201">
        <v>0</v>
      </c>
      <c r="E6501" s="201">
        <v>3570</v>
      </c>
      <c r="F6501">
        <v>-977</v>
      </c>
      <c r="G6501">
        <v>-375</v>
      </c>
      <c r="H6501">
        <v>542</v>
      </c>
      <c r="I6501">
        <v>-450</v>
      </c>
      <c r="J6501">
        <v>100</v>
      </c>
      <c r="K6501" s="201">
        <v>-70</v>
      </c>
    </row>
    <row r="6502" spans="1:11" x14ac:dyDescent="0.25">
      <c r="A6502"/>
      <c r="B6502" s="201">
        <v>410</v>
      </c>
      <c r="C6502">
        <v>1538</v>
      </c>
      <c r="D6502" s="201">
        <v>-286</v>
      </c>
      <c r="E6502" s="201">
        <v>0</v>
      </c>
      <c r="F6502">
        <v>0</v>
      </c>
      <c r="G6502">
        <v>0</v>
      </c>
      <c r="H6502">
        <v>0</v>
      </c>
      <c r="I6502">
        <v>0</v>
      </c>
      <c r="J6502">
        <v>0</v>
      </c>
      <c r="K6502" s="201">
        <v>0</v>
      </c>
    </row>
    <row r="6503" spans="1:11" x14ac:dyDescent="0.25">
      <c r="A6503"/>
      <c r="B6503" s="201">
        <v>-193</v>
      </c>
      <c r="C6503">
        <v>-170</v>
      </c>
      <c r="D6503" s="201">
        <v>409</v>
      </c>
      <c r="E6503" s="201">
        <v>-4</v>
      </c>
      <c r="F6503">
        <v>129</v>
      </c>
      <c r="G6503">
        <v>1035</v>
      </c>
      <c r="H6503">
        <v>0</v>
      </c>
      <c r="I6503">
        <v>0</v>
      </c>
      <c r="J6503">
        <v>9</v>
      </c>
      <c r="K6503" s="201">
        <v>0</v>
      </c>
    </row>
    <row r="6504" spans="1:11" x14ac:dyDescent="0.25">
      <c r="A6504"/>
      <c r="B6504" s="201">
        <v>291</v>
      </c>
      <c r="C6504">
        <v>-274</v>
      </c>
      <c r="D6504" s="201">
        <v>0</v>
      </c>
      <c r="E6504" s="201">
        <v>0</v>
      </c>
      <c r="F6504">
        <v>0</v>
      </c>
      <c r="G6504">
        <v>0</v>
      </c>
      <c r="H6504">
        <v>-1237</v>
      </c>
      <c r="I6504">
        <v>0</v>
      </c>
      <c r="J6504">
        <v>-4112</v>
      </c>
      <c r="K6504" s="201">
        <v>-2198</v>
      </c>
    </row>
    <row r="6505" spans="1:11" x14ac:dyDescent="0.25">
      <c r="A6505"/>
      <c r="B6505" s="201">
        <v>0</v>
      </c>
      <c r="C6505">
        <v>0</v>
      </c>
      <c r="D6505" s="201">
        <v>0</v>
      </c>
      <c r="E6505" s="201">
        <v>0</v>
      </c>
      <c r="F6505">
        <v>0</v>
      </c>
      <c r="G6505">
        <v>0</v>
      </c>
      <c r="H6505">
        <v>0</v>
      </c>
      <c r="I6505">
        <v>0</v>
      </c>
      <c r="J6505">
        <v>0</v>
      </c>
      <c r="K6505" s="201">
        <v>0</v>
      </c>
    </row>
    <row r="6506" spans="1:11" x14ac:dyDescent="0.25">
      <c r="A6506"/>
      <c r="B6506" s="201">
        <v>0</v>
      </c>
      <c r="C6506">
        <v>0</v>
      </c>
      <c r="D6506" s="201">
        <v>0</v>
      </c>
      <c r="E6506" s="201">
        <v>0</v>
      </c>
      <c r="F6506">
        <v>0</v>
      </c>
      <c r="G6506">
        <v>-1060</v>
      </c>
      <c r="H6506">
        <v>0</v>
      </c>
      <c r="I6506">
        <v>0</v>
      </c>
      <c r="J6506">
        <v>0</v>
      </c>
      <c r="K6506" s="201">
        <v>0</v>
      </c>
    </row>
    <row r="6507" spans="1:11" x14ac:dyDescent="0.25">
      <c r="A6507"/>
      <c r="B6507" s="201">
        <v>0</v>
      </c>
      <c r="C6507">
        <v>524</v>
      </c>
      <c r="D6507" s="201">
        <v>-32</v>
      </c>
      <c r="E6507" s="201">
        <v>3004</v>
      </c>
      <c r="F6507">
        <v>-1440</v>
      </c>
      <c r="G6507">
        <v>-4911</v>
      </c>
      <c r="H6507">
        <v>-1795</v>
      </c>
      <c r="I6507">
        <v>-3496</v>
      </c>
      <c r="J6507">
        <v>2937</v>
      </c>
      <c r="K6507" s="201">
        <v>-563</v>
      </c>
    </row>
    <row r="6508" spans="1:11" x14ac:dyDescent="0.25">
      <c r="B6508" s="201">
        <v>-509</v>
      </c>
      <c r="C6508">
        <v>-609</v>
      </c>
      <c r="D6508" s="201">
        <v>4949</v>
      </c>
      <c r="E6508" s="201">
        <v>-1958</v>
      </c>
      <c r="F6508">
        <v>-9060</v>
      </c>
      <c r="G6508">
        <v>-1363</v>
      </c>
      <c r="H6508">
        <v>-2039</v>
      </c>
      <c r="I6508">
        <v>6234</v>
      </c>
      <c r="J6508">
        <v>0</v>
      </c>
      <c r="K6508" s="201">
        <v>-756</v>
      </c>
    </row>
    <row r="6509" spans="1:11" x14ac:dyDescent="0.25">
      <c r="A6509"/>
      <c r="B6509" s="201">
        <v>249</v>
      </c>
      <c r="C6509">
        <v>-464</v>
      </c>
      <c r="D6509" s="201">
        <v>-1459</v>
      </c>
      <c r="E6509" s="201">
        <v>-457</v>
      </c>
      <c r="F6509">
        <v>-914</v>
      </c>
      <c r="G6509">
        <v>-502</v>
      </c>
      <c r="H6509">
        <v>-1311</v>
      </c>
      <c r="I6509">
        <v>-339</v>
      </c>
      <c r="J6509">
        <v>90</v>
      </c>
      <c r="K6509" s="201">
        <v>-150</v>
      </c>
    </row>
    <row r="6510" spans="1:11" x14ac:dyDescent="0.25">
      <c r="A6510"/>
      <c r="B6510" s="201">
        <v>-1131</v>
      </c>
      <c r="C6510">
        <v>-281</v>
      </c>
      <c r="D6510" s="201">
        <v>40</v>
      </c>
      <c r="E6510" s="201">
        <v>-440</v>
      </c>
      <c r="F6510">
        <v>-784</v>
      </c>
      <c r="G6510">
        <v>-408</v>
      </c>
      <c r="H6510">
        <v>134</v>
      </c>
      <c r="I6510">
        <v>-645</v>
      </c>
      <c r="J6510">
        <v>-803</v>
      </c>
      <c r="K6510" s="201">
        <v>-1058</v>
      </c>
    </row>
    <row r="6511" spans="1:11" x14ac:dyDescent="0.25">
      <c r="A6511"/>
      <c r="B6511" s="201">
        <v>22</v>
      </c>
      <c r="C6511">
        <v>-316</v>
      </c>
      <c r="D6511" s="201">
        <v>217</v>
      </c>
      <c r="E6511" s="201">
        <v>187</v>
      </c>
      <c r="F6511">
        <v>-12</v>
      </c>
      <c r="G6511">
        <v>-339</v>
      </c>
      <c r="H6511">
        <v>1519</v>
      </c>
      <c r="I6511">
        <v>-1100</v>
      </c>
      <c r="J6511">
        <v>-1490</v>
      </c>
      <c r="K6511" s="201">
        <v>87</v>
      </c>
    </row>
    <row r="6512" spans="1:11" x14ac:dyDescent="0.25">
      <c r="A6512"/>
      <c r="B6512" s="201">
        <v>102</v>
      </c>
      <c r="C6512">
        <v>80</v>
      </c>
      <c r="D6512" s="201">
        <v>55</v>
      </c>
      <c r="E6512" s="201">
        <v>293</v>
      </c>
      <c r="F6512">
        <v>271</v>
      </c>
      <c r="G6512">
        <v>235</v>
      </c>
      <c r="H6512">
        <v>308</v>
      </c>
      <c r="I6512">
        <v>185</v>
      </c>
      <c r="J6512">
        <v>198</v>
      </c>
      <c r="K6512" s="201">
        <v>22687</v>
      </c>
    </row>
    <row r="6513" spans="1:11" x14ac:dyDescent="0.25">
      <c r="B6513" s="201">
        <v>30097</v>
      </c>
      <c r="C6513" s="201">
        <v>27229</v>
      </c>
      <c r="D6513" s="201">
        <v>25404</v>
      </c>
      <c r="E6513" s="201">
        <v>21963</v>
      </c>
      <c r="F6513">
        <v>16402</v>
      </c>
      <c r="G6513">
        <v>467</v>
      </c>
      <c r="H6513">
        <v>-15057</v>
      </c>
      <c r="I6513">
        <v>36</v>
      </c>
      <c r="J6513">
        <v>-534</v>
      </c>
      <c r="K6513" s="201">
        <v>500</v>
      </c>
    </row>
    <row r="6514" spans="1:11" x14ac:dyDescent="0.25">
      <c r="A6514"/>
      <c r="B6514" s="201">
        <v>0</v>
      </c>
      <c r="C6514">
        <v>0</v>
      </c>
      <c r="D6514" s="201">
        <v>87</v>
      </c>
      <c r="E6514" s="201">
        <v>0</v>
      </c>
      <c r="F6514">
        <v>0</v>
      </c>
      <c r="G6514">
        <v>0</v>
      </c>
      <c r="H6514">
        <v>19</v>
      </c>
      <c r="I6514">
        <v>-12</v>
      </c>
      <c r="J6514">
        <v>0</v>
      </c>
      <c r="K6514" s="201">
        <v>0</v>
      </c>
    </row>
    <row r="6515" spans="1:11" x14ac:dyDescent="0.25">
      <c r="A6515"/>
      <c r="B6515" s="201">
        <v>0</v>
      </c>
      <c r="C6515">
        <v>0</v>
      </c>
      <c r="D6515" s="201">
        <v>0</v>
      </c>
      <c r="E6515" s="201">
        <v>0</v>
      </c>
      <c r="F6515">
        <v>-8</v>
      </c>
      <c r="G6515">
        <v>0</v>
      </c>
      <c r="H6515">
        <v>0</v>
      </c>
      <c r="I6515">
        <v>111</v>
      </c>
      <c r="J6515">
        <v>0</v>
      </c>
      <c r="K6515" s="201">
        <v>-130</v>
      </c>
    </row>
    <row r="6516" spans="1:11" x14ac:dyDescent="0.25">
      <c r="A6516"/>
      <c r="B6516" s="201">
        <v>0</v>
      </c>
      <c r="C6516">
        <v>-56</v>
      </c>
      <c r="D6516" s="201">
        <v>-281</v>
      </c>
      <c r="E6516" s="201">
        <v>-122</v>
      </c>
      <c r="F6516">
        <v>0</v>
      </c>
      <c r="G6516">
        <v>-478</v>
      </c>
      <c r="H6516">
        <v>-22443</v>
      </c>
      <c r="I6516">
        <v>-858</v>
      </c>
      <c r="J6516">
        <v>-353</v>
      </c>
      <c r="K6516" s="201">
        <v>97</v>
      </c>
    </row>
    <row r="6517" spans="1:11" x14ac:dyDescent="0.25">
      <c r="B6517" s="201">
        <v>-241</v>
      </c>
      <c r="C6517">
        <v>0</v>
      </c>
      <c r="D6517" s="201">
        <v>18</v>
      </c>
      <c r="E6517" s="201">
        <v>0</v>
      </c>
      <c r="F6517">
        <v>0</v>
      </c>
      <c r="G6517">
        <v>0</v>
      </c>
      <c r="H6517">
        <v>0</v>
      </c>
      <c r="I6517">
        <v>0</v>
      </c>
      <c r="J6517">
        <v>80</v>
      </c>
      <c r="K6517" s="201">
        <v>0</v>
      </c>
    </row>
    <row r="6518" spans="1:11" x14ac:dyDescent="0.25">
      <c r="A6518"/>
      <c r="B6518" s="201">
        <v>0</v>
      </c>
      <c r="C6518">
        <v>0</v>
      </c>
      <c r="D6518" s="201">
        <v>347</v>
      </c>
      <c r="E6518" s="201">
        <v>0</v>
      </c>
      <c r="F6518">
        <v>-248</v>
      </c>
      <c r="G6518">
        <v>0</v>
      </c>
      <c r="H6518">
        <v>0</v>
      </c>
      <c r="I6518">
        <v>0</v>
      </c>
      <c r="J6518">
        <v>0</v>
      </c>
      <c r="K6518" s="201">
        <v>0</v>
      </c>
    </row>
    <row r="6519" spans="1:11" x14ac:dyDescent="0.25">
      <c r="A6519"/>
      <c r="B6519" s="201">
        <v>-93</v>
      </c>
      <c r="C6519">
        <v>0</v>
      </c>
      <c r="D6519" s="201">
        <v>-1494</v>
      </c>
      <c r="E6519" s="201">
        <v>1314</v>
      </c>
      <c r="F6519">
        <v>0</v>
      </c>
      <c r="G6519">
        <v>0</v>
      </c>
      <c r="H6519">
        <v>-396</v>
      </c>
      <c r="I6519">
        <v>-15005</v>
      </c>
      <c r="J6519">
        <v>0</v>
      </c>
      <c r="K6519" s="201">
        <v>-209</v>
      </c>
    </row>
    <row r="6520" spans="1:11" x14ac:dyDescent="0.25">
      <c r="A6520"/>
      <c r="B6520" s="201">
        <v>0</v>
      </c>
      <c r="C6520">
        <v>0</v>
      </c>
      <c r="D6520" s="201">
        <v>0</v>
      </c>
      <c r="E6520" s="201">
        <v>0</v>
      </c>
      <c r="F6520">
        <v>-945</v>
      </c>
      <c r="G6520">
        <v>-148</v>
      </c>
      <c r="H6520">
        <v>-30</v>
      </c>
      <c r="I6520">
        <v>0</v>
      </c>
      <c r="J6520">
        <v>0</v>
      </c>
      <c r="K6520" s="201">
        <v>142</v>
      </c>
    </row>
    <row r="6521" spans="1:11" x14ac:dyDescent="0.25">
      <c r="A6521"/>
      <c r="B6521" s="201">
        <v>18</v>
      </c>
      <c r="C6521">
        <v>0</v>
      </c>
      <c r="D6521" s="201">
        <v>110</v>
      </c>
      <c r="E6521" s="201">
        <v>-187</v>
      </c>
      <c r="F6521">
        <v>96</v>
      </c>
      <c r="G6521">
        <v>-150</v>
      </c>
      <c r="H6521">
        <v>-178</v>
      </c>
      <c r="I6521">
        <v>82</v>
      </c>
      <c r="J6521">
        <v>-138</v>
      </c>
      <c r="K6521" s="201">
        <v>0</v>
      </c>
    </row>
    <row r="6522" spans="1:11" x14ac:dyDescent="0.25">
      <c r="A6522"/>
      <c r="B6522" s="201">
        <v>0</v>
      </c>
      <c r="C6522">
        <v>0</v>
      </c>
      <c r="D6522" s="201">
        <v>0</v>
      </c>
      <c r="E6522" s="201">
        <v>0</v>
      </c>
      <c r="F6522">
        <v>474</v>
      </c>
      <c r="G6522">
        <v>0</v>
      </c>
      <c r="H6522">
        <v>808</v>
      </c>
      <c r="I6522">
        <v>92</v>
      </c>
      <c r="J6522">
        <v>-11</v>
      </c>
      <c r="K6522" s="201">
        <v>0</v>
      </c>
    </row>
    <row r="6523" spans="1:11" x14ac:dyDescent="0.25">
      <c r="A6523"/>
      <c r="B6523" s="201">
        <v>-744</v>
      </c>
      <c r="C6523">
        <v>-17996</v>
      </c>
      <c r="D6523" s="201">
        <v>4</v>
      </c>
      <c r="E6523" s="201">
        <v>132</v>
      </c>
      <c r="F6523">
        <v>367</v>
      </c>
      <c r="G6523">
        <v>0</v>
      </c>
      <c r="H6523">
        <v>1160</v>
      </c>
      <c r="I6523">
        <v>407</v>
      </c>
      <c r="J6523">
        <v>-461</v>
      </c>
      <c r="K6523" s="201">
        <v>85</v>
      </c>
    </row>
    <row r="6524" spans="1:11" x14ac:dyDescent="0.25">
      <c r="A6524"/>
      <c r="B6524" s="201">
        <v>0</v>
      </c>
      <c r="C6524">
        <v>58</v>
      </c>
      <c r="D6524" s="201">
        <v>18</v>
      </c>
      <c r="E6524" s="201">
        <v>0</v>
      </c>
      <c r="F6524">
        <v>0</v>
      </c>
      <c r="G6524">
        <v>0</v>
      </c>
      <c r="H6524">
        <v>-35</v>
      </c>
      <c r="I6524">
        <v>-48</v>
      </c>
      <c r="J6524">
        <v>0</v>
      </c>
      <c r="K6524" s="201">
        <v>-64</v>
      </c>
    </row>
    <row r="6525" spans="1:11" x14ac:dyDescent="0.25">
      <c r="A6525"/>
      <c r="B6525" s="201">
        <v>253</v>
      </c>
      <c r="C6525">
        <v>3</v>
      </c>
      <c r="D6525" s="201">
        <v>-196</v>
      </c>
      <c r="E6525" s="201">
        <v>0</v>
      </c>
      <c r="F6525">
        <v>0</v>
      </c>
      <c r="G6525">
        <v>0</v>
      </c>
      <c r="H6525">
        <v>0</v>
      </c>
      <c r="I6525">
        <v>0</v>
      </c>
      <c r="J6525">
        <v>636</v>
      </c>
      <c r="K6525" s="201">
        <v>0</v>
      </c>
    </row>
    <row r="6526" spans="1:11" x14ac:dyDescent="0.25">
      <c r="B6526" s="201">
        <v>3855</v>
      </c>
      <c r="C6526">
        <v>89</v>
      </c>
      <c r="D6526" s="201">
        <v>137</v>
      </c>
      <c r="E6526" s="201">
        <v>0</v>
      </c>
      <c r="F6526">
        <v>-621</v>
      </c>
      <c r="G6526">
        <v>-17775</v>
      </c>
      <c r="H6526">
        <v>320</v>
      </c>
      <c r="I6526">
        <v>-1634</v>
      </c>
      <c r="J6526">
        <v>-1569</v>
      </c>
      <c r="K6526" s="201">
        <v>-6694</v>
      </c>
    </row>
    <row r="6527" spans="1:11" x14ac:dyDescent="0.25">
      <c r="B6527" s="201">
        <v>-6714</v>
      </c>
      <c r="C6527">
        <v>-1878</v>
      </c>
      <c r="D6527" s="201">
        <v>0</v>
      </c>
      <c r="E6527" s="201">
        <v>42</v>
      </c>
      <c r="F6527">
        <v>0</v>
      </c>
      <c r="G6527">
        <v>0</v>
      </c>
      <c r="H6527">
        <v>-1055</v>
      </c>
      <c r="I6527">
        <v>250</v>
      </c>
      <c r="J6527">
        <v>0</v>
      </c>
      <c r="K6527" s="201">
        <v>-3</v>
      </c>
    </row>
    <row r="6528" spans="1:11" x14ac:dyDescent="0.25">
      <c r="A6528"/>
      <c r="B6528" s="201">
        <v>0</v>
      </c>
      <c r="C6528">
        <v>0</v>
      </c>
      <c r="D6528" s="201">
        <v>285</v>
      </c>
      <c r="E6528" s="201">
        <v>0</v>
      </c>
      <c r="F6528">
        <v>-1659</v>
      </c>
      <c r="G6528">
        <v>107</v>
      </c>
      <c r="H6528">
        <v>1047</v>
      </c>
      <c r="I6528">
        <v>0</v>
      </c>
      <c r="J6528">
        <v>0</v>
      </c>
      <c r="K6528" s="201">
        <v>0</v>
      </c>
    </row>
    <row r="6529" spans="1:11" x14ac:dyDescent="0.25">
      <c r="A6529"/>
      <c r="B6529" s="201">
        <v>0</v>
      </c>
      <c r="C6529">
        <v>0</v>
      </c>
      <c r="D6529" s="201">
        <v>1072</v>
      </c>
      <c r="E6529" s="201">
        <v>0</v>
      </c>
      <c r="F6529">
        <v>4326</v>
      </c>
      <c r="G6529">
        <v>426</v>
      </c>
      <c r="H6529">
        <v>-495</v>
      </c>
      <c r="I6529">
        <v>0</v>
      </c>
      <c r="J6529">
        <v>-368</v>
      </c>
      <c r="K6529" s="201">
        <v>-18872</v>
      </c>
    </row>
    <row r="6530" spans="1:11" x14ac:dyDescent="0.25">
      <c r="A6530"/>
      <c r="B6530" s="201">
        <v>196</v>
      </c>
      <c r="C6530">
        <v>0</v>
      </c>
      <c r="D6530" s="201">
        <v>0</v>
      </c>
      <c r="E6530" s="201">
        <v>0</v>
      </c>
      <c r="F6530">
        <v>1639</v>
      </c>
      <c r="G6530">
        <v>1505</v>
      </c>
      <c r="H6530">
        <v>448</v>
      </c>
      <c r="I6530">
        <v>-521</v>
      </c>
      <c r="J6530">
        <v>-476</v>
      </c>
      <c r="K6530" s="201">
        <v>0</v>
      </c>
    </row>
    <row r="6531" spans="1:11" x14ac:dyDescent="0.25">
      <c r="A6531"/>
      <c r="B6531" s="201">
        <v>242</v>
      </c>
      <c r="C6531">
        <v>0</v>
      </c>
      <c r="D6531" s="201">
        <v>0</v>
      </c>
      <c r="E6531" s="201">
        <v>21</v>
      </c>
      <c r="F6531">
        <v>0</v>
      </c>
      <c r="G6531">
        <v>-328</v>
      </c>
      <c r="H6531">
        <v>0</v>
      </c>
      <c r="I6531">
        <v>-521</v>
      </c>
      <c r="J6531">
        <v>0</v>
      </c>
      <c r="K6531" s="201">
        <v>0</v>
      </c>
    </row>
    <row r="6532" spans="1:11" x14ac:dyDescent="0.25">
      <c r="A6532"/>
      <c r="B6532" s="201">
        <v>0</v>
      </c>
      <c r="C6532">
        <v>0</v>
      </c>
      <c r="D6532" s="201">
        <v>0</v>
      </c>
      <c r="E6532" s="201">
        <v>0</v>
      </c>
      <c r="F6532">
        <v>0</v>
      </c>
      <c r="G6532">
        <v>0</v>
      </c>
      <c r="H6532">
        <v>408</v>
      </c>
      <c r="I6532">
        <v>0</v>
      </c>
      <c r="J6532">
        <v>1226</v>
      </c>
      <c r="K6532" s="201">
        <v>-864</v>
      </c>
    </row>
    <row r="6533" spans="1:11" x14ac:dyDescent="0.25">
      <c r="B6533" s="201">
        <v>-225</v>
      </c>
      <c r="C6533">
        <v>0</v>
      </c>
      <c r="D6533" s="201">
        <v>305</v>
      </c>
      <c r="E6533" s="201">
        <v>-17866</v>
      </c>
      <c r="F6533">
        <v>0</v>
      </c>
      <c r="G6533">
        <v>0</v>
      </c>
      <c r="H6533">
        <v>0</v>
      </c>
      <c r="I6533">
        <v>0</v>
      </c>
      <c r="J6533">
        <v>0</v>
      </c>
      <c r="K6533" s="201">
        <v>-1410</v>
      </c>
    </row>
    <row r="6534" spans="1:11" x14ac:dyDescent="0.25">
      <c r="B6534" s="201">
        <v>-781</v>
      </c>
      <c r="C6534">
        <v>-330</v>
      </c>
      <c r="D6534" s="201">
        <v>-283</v>
      </c>
      <c r="E6534" s="201">
        <v>-123</v>
      </c>
      <c r="F6534">
        <v>-231</v>
      </c>
      <c r="G6534">
        <v>0</v>
      </c>
      <c r="H6534">
        <v>0</v>
      </c>
      <c r="I6534">
        <v>0</v>
      </c>
      <c r="J6534">
        <v>0</v>
      </c>
      <c r="K6534" s="201">
        <v>-961</v>
      </c>
    </row>
    <row r="6535" spans="1:11" x14ac:dyDescent="0.25">
      <c r="A6535"/>
      <c r="B6535" s="201">
        <v>0</v>
      </c>
      <c r="C6535">
        <v>-614</v>
      </c>
      <c r="D6535" s="201">
        <v>0</v>
      </c>
      <c r="E6535" s="201">
        <v>0</v>
      </c>
      <c r="F6535">
        <v>131</v>
      </c>
      <c r="G6535">
        <v>158</v>
      </c>
      <c r="H6535">
        <v>0</v>
      </c>
      <c r="I6535">
        <v>0</v>
      </c>
      <c r="J6535">
        <v>0</v>
      </c>
      <c r="K6535" s="201">
        <v>0</v>
      </c>
    </row>
    <row r="6536" spans="1:11" x14ac:dyDescent="0.25">
      <c r="A6536"/>
      <c r="B6536" s="201">
        <v>-203</v>
      </c>
      <c r="C6536">
        <v>0</v>
      </c>
      <c r="D6536" s="201">
        <v>2917</v>
      </c>
      <c r="E6536" s="201">
        <v>-816</v>
      </c>
      <c r="F6536">
        <v>-358</v>
      </c>
      <c r="G6536">
        <v>715</v>
      </c>
      <c r="H6536">
        <v>-163</v>
      </c>
      <c r="I6536">
        <v>260</v>
      </c>
      <c r="J6536">
        <v>150</v>
      </c>
      <c r="K6536" s="201">
        <v>2235</v>
      </c>
    </row>
    <row r="6537" spans="1:11" x14ac:dyDescent="0.25">
      <c r="A6537"/>
      <c r="B6537" s="201">
        <v>1347</v>
      </c>
      <c r="C6537">
        <v>362</v>
      </c>
      <c r="D6537" s="201">
        <v>0</v>
      </c>
      <c r="E6537" s="201">
        <v>0</v>
      </c>
      <c r="F6537">
        <v>0</v>
      </c>
      <c r="G6537">
        <v>0</v>
      </c>
      <c r="H6537">
        <v>0</v>
      </c>
      <c r="I6537">
        <v>0</v>
      </c>
      <c r="J6537">
        <v>0</v>
      </c>
      <c r="K6537" s="201">
        <v>-76</v>
      </c>
    </row>
    <row r="6538" spans="1:11" x14ac:dyDescent="0.25">
      <c r="A6538"/>
      <c r="B6538" s="201">
        <v>-15</v>
      </c>
      <c r="C6538">
        <v>288</v>
      </c>
      <c r="D6538" s="201">
        <v>-67</v>
      </c>
      <c r="E6538" s="201">
        <v>240</v>
      </c>
      <c r="F6538">
        <v>409</v>
      </c>
      <c r="G6538">
        <v>0</v>
      </c>
      <c r="H6538">
        <v>0</v>
      </c>
      <c r="I6538">
        <v>70</v>
      </c>
      <c r="J6538">
        <v>0</v>
      </c>
      <c r="K6538" s="201">
        <v>253</v>
      </c>
    </row>
    <row r="6539" spans="1:11" x14ac:dyDescent="0.25">
      <c r="B6539" s="201">
        <v>-525</v>
      </c>
      <c r="C6539">
        <v>0</v>
      </c>
      <c r="D6539" s="201">
        <v>0</v>
      </c>
      <c r="E6539" s="201">
        <v>0</v>
      </c>
      <c r="F6539">
        <v>0</v>
      </c>
      <c r="G6539">
        <v>-713</v>
      </c>
      <c r="H6539">
        <v>0</v>
      </c>
      <c r="I6539">
        <v>-1570</v>
      </c>
      <c r="J6539">
        <v>-376</v>
      </c>
      <c r="K6539" s="201">
        <v>0</v>
      </c>
    </row>
    <row r="6540" spans="1:11" x14ac:dyDescent="0.25">
      <c r="A6540"/>
      <c r="B6540" s="201">
        <v>0</v>
      </c>
      <c r="C6540">
        <v>0</v>
      </c>
      <c r="D6540" s="201">
        <v>0</v>
      </c>
      <c r="E6540" s="201">
        <v>0</v>
      </c>
      <c r="F6540">
        <v>0</v>
      </c>
      <c r="G6540">
        <v>0</v>
      </c>
      <c r="H6540">
        <v>0</v>
      </c>
      <c r="I6540">
        <v>0</v>
      </c>
      <c r="J6540">
        <v>0</v>
      </c>
      <c r="K6540" s="201">
        <v>0</v>
      </c>
    </row>
    <row r="6541" spans="1:11" x14ac:dyDescent="0.25">
      <c r="A6541"/>
      <c r="B6541" s="201">
        <v>0</v>
      </c>
      <c r="C6541">
        <v>0</v>
      </c>
      <c r="D6541" s="201">
        <v>0</v>
      </c>
      <c r="E6541" s="201">
        <v>0</v>
      </c>
      <c r="F6541">
        <v>-768</v>
      </c>
      <c r="G6541">
        <v>0</v>
      </c>
      <c r="H6541">
        <v>0</v>
      </c>
      <c r="I6541">
        <v>0</v>
      </c>
      <c r="J6541">
        <v>0</v>
      </c>
      <c r="K6541" s="201">
        <v>0</v>
      </c>
    </row>
    <row r="6542" spans="1:11" x14ac:dyDescent="0.25">
      <c r="A6542"/>
      <c r="B6542" s="201">
        <v>553</v>
      </c>
      <c r="C6542">
        <v>-226</v>
      </c>
      <c r="D6542" s="201">
        <v>1393</v>
      </c>
      <c r="E6542" s="201">
        <v>-1133</v>
      </c>
      <c r="F6542">
        <v>-1183</v>
      </c>
      <c r="G6542">
        <v>-4703</v>
      </c>
      <c r="H6542">
        <v>-2570</v>
      </c>
      <c r="I6542">
        <v>2614</v>
      </c>
      <c r="J6542">
        <v>-458</v>
      </c>
      <c r="K6542" s="201">
        <v>-48</v>
      </c>
    </row>
    <row r="6543" spans="1:11" x14ac:dyDescent="0.25">
      <c r="B6543" s="201">
        <v>-579</v>
      </c>
      <c r="C6543">
        <v>4650</v>
      </c>
      <c r="D6543" s="201">
        <v>-2090</v>
      </c>
      <c r="E6543" s="201">
        <v>-1698</v>
      </c>
      <c r="F6543">
        <v>-5719</v>
      </c>
      <c r="G6543">
        <v>-1936</v>
      </c>
      <c r="H6543">
        <v>5025</v>
      </c>
      <c r="I6543">
        <v>0</v>
      </c>
      <c r="J6543">
        <v>-398</v>
      </c>
      <c r="K6543" s="201">
        <v>-95</v>
      </c>
    </row>
    <row r="6544" spans="1:11" x14ac:dyDescent="0.25">
      <c r="A6544"/>
      <c r="B6544" s="201">
        <v>513</v>
      </c>
      <c r="C6544">
        <v>-1045</v>
      </c>
      <c r="D6544" s="201">
        <v>-249</v>
      </c>
      <c r="E6544" s="201">
        <v>156</v>
      </c>
      <c r="F6544">
        <v>615</v>
      </c>
      <c r="G6544">
        <v>-817</v>
      </c>
      <c r="H6544">
        <v>-220</v>
      </c>
      <c r="I6544">
        <v>-3</v>
      </c>
      <c r="J6544">
        <v>-1217</v>
      </c>
      <c r="K6544" s="201">
        <v>-636</v>
      </c>
    </row>
    <row r="6545" spans="1:11" x14ac:dyDescent="0.25">
      <c r="A6545"/>
      <c r="B6545" s="201">
        <v>-149</v>
      </c>
      <c r="C6545">
        <v>-63</v>
      </c>
      <c r="D6545" s="201">
        <v>349</v>
      </c>
      <c r="E6545" s="201">
        <v>-499</v>
      </c>
      <c r="F6545">
        <v>-218</v>
      </c>
      <c r="G6545">
        <v>-223</v>
      </c>
      <c r="H6545">
        <v>482</v>
      </c>
      <c r="I6545">
        <v>-394</v>
      </c>
      <c r="J6545">
        <v>-1050</v>
      </c>
      <c r="K6545" s="201">
        <v>240</v>
      </c>
    </row>
    <row r="6546" spans="1:11" x14ac:dyDescent="0.25">
      <c r="A6546"/>
      <c r="B6546" s="201">
        <v>466</v>
      </c>
      <c r="C6546">
        <v>-359</v>
      </c>
      <c r="D6546" s="201">
        <v>309</v>
      </c>
      <c r="E6546" s="201">
        <v>81</v>
      </c>
      <c r="F6546">
        <v>-511</v>
      </c>
      <c r="G6546">
        <v>-897</v>
      </c>
      <c r="H6546">
        <v>2169</v>
      </c>
      <c r="I6546">
        <v>-1322</v>
      </c>
      <c r="J6546">
        <v>-98</v>
      </c>
      <c r="K6546" s="201">
        <v>44</v>
      </c>
    </row>
    <row r="6547" spans="1:11" x14ac:dyDescent="0.25">
      <c r="A6547"/>
      <c r="B6547" s="201">
        <v>42</v>
      </c>
      <c r="C6547">
        <v>14</v>
      </c>
      <c r="D6547" s="201">
        <v>185</v>
      </c>
      <c r="E6547" s="201">
        <v>194</v>
      </c>
      <c r="F6547">
        <v>112</v>
      </c>
      <c r="G6547">
        <v>92</v>
      </c>
      <c r="H6547">
        <v>153</v>
      </c>
      <c r="I6547">
        <v>270</v>
      </c>
      <c r="J6547">
        <v>18156</v>
      </c>
      <c r="K6547" s="201">
        <v>21617</v>
      </c>
    </row>
    <row r="6548" spans="1:11" x14ac:dyDescent="0.25">
      <c r="B6548" s="201">
        <v>24337</v>
      </c>
      <c r="C6548">
        <v>20246</v>
      </c>
      <c r="D6548" s="201">
        <v>17480</v>
      </c>
      <c r="E6548" s="201">
        <v>15174</v>
      </c>
      <c r="F6548">
        <v>10572</v>
      </c>
      <c r="G6548">
        <v>209</v>
      </c>
      <c r="H6548">
        <v>-20431</v>
      </c>
      <c r="I6548">
        <v>-274</v>
      </c>
      <c r="J6548">
        <v>43</v>
      </c>
      <c r="K6548" s="201">
        <v>458</v>
      </c>
    </row>
    <row r="6549" spans="1:11" x14ac:dyDescent="0.25">
      <c r="A6549"/>
      <c r="B6549" s="201">
        <v>0</v>
      </c>
      <c r="C6549">
        <v>0</v>
      </c>
      <c r="D6549" s="201">
        <v>80</v>
      </c>
      <c r="E6549" s="201">
        <v>0</v>
      </c>
      <c r="F6549">
        <v>0</v>
      </c>
      <c r="G6549">
        <v>0</v>
      </c>
      <c r="H6549">
        <v>71</v>
      </c>
      <c r="I6549">
        <v>9</v>
      </c>
      <c r="J6549">
        <v>0</v>
      </c>
      <c r="K6549" s="201">
        <v>0</v>
      </c>
    </row>
    <row r="6550" spans="1:11" x14ac:dyDescent="0.25">
      <c r="A6550"/>
      <c r="B6550" s="201">
        <v>0</v>
      </c>
      <c r="C6550">
        <v>0</v>
      </c>
      <c r="D6550" s="201">
        <v>0</v>
      </c>
      <c r="E6550" s="201">
        <v>0</v>
      </c>
      <c r="F6550">
        <v>-10</v>
      </c>
      <c r="G6550">
        <v>0</v>
      </c>
      <c r="H6550">
        <v>0</v>
      </c>
      <c r="I6550">
        <v>118</v>
      </c>
      <c r="J6550">
        <v>0</v>
      </c>
      <c r="K6550" s="201">
        <v>-142</v>
      </c>
    </row>
    <row r="6551" spans="1:11" x14ac:dyDescent="0.25">
      <c r="A6551"/>
      <c r="B6551" s="201">
        <v>0</v>
      </c>
      <c r="C6551">
        <v>55</v>
      </c>
      <c r="D6551" s="201">
        <v>-114</v>
      </c>
      <c r="E6551" s="201">
        <v>-57</v>
      </c>
      <c r="F6551">
        <v>0</v>
      </c>
      <c r="G6551">
        <v>-265</v>
      </c>
      <c r="H6551">
        <v>-28752</v>
      </c>
      <c r="I6551">
        <v>-131</v>
      </c>
      <c r="J6551">
        <v>-563</v>
      </c>
      <c r="K6551" s="201">
        <v>-22</v>
      </c>
    </row>
    <row r="6552" spans="1:11" x14ac:dyDescent="0.25">
      <c r="B6552" s="201">
        <v>-392</v>
      </c>
      <c r="C6552">
        <v>0</v>
      </c>
      <c r="D6552" s="201">
        <v>188</v>
      </c>
      <c r="E6552" s="201">
        <v>0</v>
      </c>
      <c r="F6552">
        <v>0</v>
      </c>
      <c r="G6552">
        <v>0</v>
      </c>
      <c r="H6552">
        <v>0</v>
      </c>
      <c r="I6552">
        <v>0</v>
      </c>
      <c r="J6552">
        <v>-36</v>
      </c>
      <c r="K6552" s="201">
        <v>0</v>
      </c>
    </row>
    <row r="6553" spans="1:11" x14ac:dyDescent="0.25">
      <c r="A6553"/>
      <c r="B6553" s="201">
        <v>0</v>
      </c>
      <c r="C6553">
        <v>0</v>
      </c>
      <c r="D6553" s="201">
        <v>18</v>
      </c>
      <c r="E6553" s="201">
        <v>0</v>
      </c>
      <c r="F6553">
        <v>-104</v>
      </c>
      <c r="G6553">
        <v>0</v>
      </c>
      <c r="H6553">
        <v>0</v>
      </c>
      <c r="I6553">
        <v>0</v>
      </c>
      <c r="J6553">
        <v>0</v>
      </c>
      <c r="K6553" s="201">
        <v>0</v>
      </c>
    </row>
    <row r="6554" spans="1:11" x14ac:dyDescent="0.25">
      <c r="A6554"/>
      <c r="B6554" s="201">
        <v>-168</v>
      </c>
      <c r="C6554">
        <v>0</v>
      </c>
      <c r="D6554" s="201">
        <v>-781</v>
      </c>
      <c r="E6554" s="201">
        <v>1106</v>
      </c>
      <c r="F6554">
        <v>0</v>
      </c>
      <c r="G6554">
        <v>0</v>
      </c>
      <c r="H6554">
        <v>-491</v>
      </c>
      <c r="I6554">
        <v>-20240</v>
      </c>
      <c r="J6554">
        <v>0</v>
      </c>
      <c r="K6554" s="201">
        <v>-258</v>
      </c>
    </row>
    <row r="6555" spans="1:11" x14ac:dyDescent="0.25">
      <c r="A6555"/>
      <c r="B6555" s="201">
        <v>0</v>
      </c>
      <c r="C6555">
        <v>0</v>
      </c>
      <c r="D6555" s="201">
        <v>0</v>
      </c>
      <c r="E6555" s="201">
        <v>0</v>
      </c>
      <c r="F6555">
        <v>-1010</v>
      </c>
      <c r="G6555">
        <v>-71</v>
      </c>
      <c r="H6555">
        <v>7</v>
      </c>
      <c r="I6555">
        <v>0</v>
      </c>
      <c r="J6555">
        <v>0</v>
      </c>
      <c r="K6555" s="201">
        <v>179</v>
      </c>
    </row>
    <row r="6556" spans="1:11" x14ac:dyDescent="0.25">
      <c r="A6556"/>
      <c r="B6556" s="201">
        <v>36</v>
      </c>
      <c r="C6556">
        <v>0</v>
      </c>
      <c r="D6556" s="201">
        <v>122</v>
      </c>
      <c r="E6556" s="201">
        <v>-72</v>
      </c>
      <c r="F6556">
        <v>102</v>
      </c>
      <c r="G6556">
        <v>-113</v>
      </c>
      <c r="H6556">
        <v>-140</v>
      </c>
      <c r="I6556">
        <v>112</v>
      </c>
      <c r="J6556">
        <v>-17</v>
      </c>
      <c r="K6556" s="201">
        <v>0</v>
      </c>
    </row>
    <row r="6557" spans="1:11" x14ac:dyDescent="0.25">
      <c r="A6557"/>
      <c r="B6557" s="201">
        <v>0</v>
      </c>
      <c r="C6557">
        <v>0</v>
      </c>
      <c r="D6557" s="201">
        <v>0</v>
      </c>
      <c r="E6557" s="201">
        <v>0</v>
      </c>
      <c r="F6557">
        <v>499</v>
      </c>
      <c r="G6557">
        <v>0</v>
      </c>
      <c r="H6557">
        <v>778</v>
      </c>
      <c r="I6557">
        <v>158</v>
      </c>
      <c r="J6557">
        <v>11</v>
      </c>
      <c r="K6557" s="201">
        <v>0</v>
      </c>
    </row>
    <row r="6558" spans="1:11" x14ac:dyDescent="0.25">
      <c r="A6558"/>
      <c r="B6558" s="201">
        <v>-918</v>
      </c>
      <c r="C6558">
        <v>-24570</v>
      </c>
      <c r="D6558" s="201">
        <v>-27</v>
      </c>
      <c r="E6558" s="201">
        <v>78</v>
      </c>
      <c r="F6558">
        <v>428</v>
      </c>
      <c r="G6558">
        <v>0</v>
      </c>
      <c r="H6558">
        <v>1014</v>
      </c>
      <c r="I6558">
        <v>-44</v>
      </c>
      <c r="J6558">
        <v>-468</v>
      </c>
      <c r="K6558" s="201">
        <v>198</v>
      </c>
    </row>
    <row r="6559" spans="1:11" x14ac:dyDescent="0.25">
      <c r="A6559"/>
      <c r="B6559" s="201">
        <v>0</v>
      </c>
      <c r="C6559">
        <v>37</v>
      </c>
      <c r="D6559" s="201">
        <v>-44</v>
      </c>
      <c r="E6559" s="201">
        <v>0</v>
      </c>
      <c r="F6559">
        <v>0</v>
      </c>
      <c r="G6559">
        <v>0</v>
      </c>
      <c r="H6559">
        <v>-54</v>
      </c>
      <c r="I6559">
        <v>-17</v>
      </c>
      <c r="J6559">
        <v>0</v>
      </c>
      <c r="K6559" s="201">
        <v>-48</v>
      </c>
    </row>
    <row r="6560" spans="1:11" x14ac:dyDescent="0.25">
      <c r="A6560"/>
      <c r="B6560" s="201">
        <v>-37</v>
      </c>
      <c r="C6560">
        <v>-9</v>
      </c>
      <c r="D6560" s="201">
        <v>0</v>
      </c>
      <c r="E6560" s="201">
        <v>0</v>
      </c>
      <c r="F6560">
        <v>0</v>
      </c>
      <c r="G6560">
        <v>0</v>
      </c>
      <c r="H6560">
        <v>0</v>
      </c>
      <c r="I6560">
        <v>0</v>
      </c>
      <c r="J6560">
        <v>779</v>
      </c>
      <c r="K6560" s="201">
        <v>0</v>
      </c>
    </row>
    <row r="6561" spans="1:11" x14ac:dyDescent="0.25">
      <c r="A6561"/>
      <c r="B6561" s="201">
        <v>5341</v>
      </c>
      <c r="C6561">
        <v>123</v>
      </c>
      <c r="D6561" s="201">
        <v>99</v>
      </c>
      <c r="E6561" s="201">
        <v>0</v>
      </c>
      <c r="F6561">
        <v>-992</v>
      </c>
      <c r="G6561">
        <v>-23923</v>
      </c>
      <c r="H6561">
        <v>-31</v>
      </c>
      <c r="I6561">
        <v>-139</v>
      </c>
      <c r="J6561">
        <v>314</v>
      </c>
      <c r="K6561" s="201">
        <v>47</v>
      </c>
    </row>
    <row r="6562" spans="1:11" x14ac:dyDescent="0.25">
      <c r="A6562"/>
      <c r="B6562" s="201">
        <v>860</v>
      </c>
      <c r="C6562">
        <v>1121</v>
      </c>
      <c r="D6562" s="201">
        <v>0</v>
      </c>
      <c r="E6562" s="201">
        <v>201</v>
      </c>
      <c r="F6562">
        <v>0</v>
      </c>
      <c r="G6562">
        <v>0</v>
      </c>
      <c r="H6562">
        <v>-68</v>
      </c>
      <c r="I6562">
        <v>157</v>
      </c>
      <c r="J6562">
        <v>0</v>
      </c>
      <c r="K6562" s="201">
        <v>74</v>
      </c>
    </row>
    <row r="6563" spans="1:11" x14ac:dyDescent="0.25">
      <c r="A6563"/>
      <c r="B6563" s="201">
        <v>0</v>
      </c>
      <c r="C6563">
        <v>0</v>
      </c>
      <c r="D6563" s="201">
        <v>-68</v>
      </c>
      <c r="E6563" s="201">
        <v>0</v>
      </c>
      <c r="F6563">
        <v>9</v>
      </c>
      <c r="G6563">
        <v>-8</v>
      </c>
      <c r="H6563">
        <v>-155</v>
      </c>
      <c r="I6563">
        <v>0</v>
      </c>
      <c r="J6563">
        <v>0</v>
      </c>
      <c r="K6563" s="201">
        <v>0</v>
      </c>
    </row>
    <row r="6564" spans="1:11" x14ac:dyDescent="0.25">
      <c r="A6564"/>
      <c r="B6564" s="201">
        <v>0</v>
      </c>
      <c r="C6564">
        <v>0</v>
      </c>
      <c r="D6564" s="201">
        <v>843</v>
      </c>
      <c r="E6564" s="201">
        <v>0</v>
      </c>
      <c r="F6564">
        <v>4792</v>
      </c>
      <c r="G6564">
        <v>236</v>
      </c>
      <c r="H6564">
        <v>155</v>
      </c>
      <c r="I6564">
        <v>0</v>
      </c>
      <c r="J6564">
        <v>304</v>
      </c>
      <c r="K6564" s="201">
        <v>-26294</v>
      </c>
    </row>
    <row r="6565" spans="1:11" x14ac:dyDescent="0.25">
      <c r="A6565"/>
      <c r="B6565" s="201">
        <v>2109</v>
      </c>
      <c r="C6565">
        <v>0</v>
      </c>
      <c r="D6565" s="201">
        <v>0</v>
      </c>
      <c r="E6565" s="201">
        <v>0</v>
      </c>
      <c r="F6565">
        <v>-6953</v>
      </c>
      <c r="G6565">
        <v>-1320</v>
      </c>
      <c r="H6565">
        <v>-1546</v>
      </c>
      <c r="I6565">
        <v>-2034</v>
      </c>
      <c r="J6565">
        <v>-1003</v>
      </c>
      <c r="K6565" s="201">
        <v>0</v>
      </c>
    </row>
    <row r="6566" spans="1:11" x14ac:dyDescent="0.25">
      <c r="B6566" s="201">
        <v>-110</v>
      </c>
      <c r="C6566">
        <v>0</v>
      </c>
      <c r="D6566" s="201">
        <v>0</v>
      </c>
      <c r="E6566" s="201">
        <v>-762</v>
      </c>
      <c r="F6566">
        <v>0</v>
      </c>
      <c r="G6566">
        <v>-846</v>
      </c>
      <c r="H6566">
        <v>0</v>
      </c>
      <c r="I6566">
        <v>54</v>
      </c>
      <c r="J6566">
        <v>0</v>
      </c>
      <c r="K6566" s="201">
        <v>0</v>
      </c>
    </row>
    <row r="6567" spans="1:11" x14ac:dyDescent="0.25">
      <c r="A6567"/>
      <c r="B6567" s="201">
        <v>0</v>
      </c>
      <c r="C6567">
        <v>0</v>
      </c>
      <c r="D6567" s="201">
        <v>0</v>
      </c>
      <c r="E6567" s="201">
        <v>0</v>
      </c>
      <c r="F6567">
        <v>0</v>
      </c>
      <c r="G6567">
        <v>0</v>
      </c>
      <c r="H6567">
        <v>219</v>
      </c>
      <c r="I6567">
        <v>0</v>
      </c>
      <c r="J6567">
        <v>1592</v>
      </c>
      <c r="K6567" s="201">
        <v>-571</v>
      </c>
    </row>
    <row r="6568" spans="1:11" x14ac:dyDescent="0.25">
      <c r="A6568"/>
      <c r="B6568" s="201">
        <v>-1047</v>
      </c>
      <c r="C6568">
        <v>0</v>
      </c>
      <c r="D6568" s="201">
        <v>135</v>
      </c>
      <c r="E6568" s="201">
        <v>-24045</v>
      </c>
      <c r="F6568">
        <v>0</v>
      </c>
      <c r="G6568">
        <v>0</v>
      </c>
      <c r="H6568">
        <v>0</v>
      </c>
      <c r="I6568">
        <v>0</v>
      </c>
      <c r="J6568">
        <v>0</v>
      </c>
      <c r="K6568" s="201">
        <v>-1542</v>
      </c>
    </row>
    <row r="6569" spans="1:11" x14ac:dyDescent="0.25">
      <c r="B6569" s="201">
        <v>-726</v>
      </c>
      <c r="C6569">
        <v>-288</v>
      </c>
      <c r="D6569" s="201">
        <v>-298</v>
      </c>
      <c r="E6569" s="201">
        <v>-83</v>
      </c>
      <c r="F6569">
        <v>-243</v>
      </c>
      <c r="G6569">
        <v>0</v>
      </c>
      <c r="H6569">
        <v>0</v>
      </c>
      <c r="I6569">
        <v>0</v>
      </c>
      <c r="J6569">
        <v>0</v>
      </c>
      <c r="K6569" s="201">
        <v>-1305</v>
      </c>
    </row>
    <row r="6570" spans="1:11" x14ac:dyDescent="0.25">
      <c r="A6570"/>
      <c r="B6570" s="201">
        <v>0</v>
      </c>
      <c r="C6570">
        <v>-862</v>
      </c>
      <c r="D6570" s="201">
        <v>0</v>
      </c>
      <c r="E6570" s="201">
        <v>0</v>
      </c>
      <c r="F6570">
        <v>257</v>
      </c>
      <c r="G6570">
        <v>30</v>
      </c>
      <c r="H6570">
        <v>0</v>
      </c>
      <c r="I6570">
        <v>0</v>
      </c>
      <c r="J6570">
        <v>0</v>
      </c>
      <c r="K6570" s="201">
        <v>0</v>
      </c>
    </row>
    <row r="6571" spans="1:11" x14ac:dyDescent="0.25">
      <c r="A6571"/>
      <c r="B6571" s="201">
        <v>-76</v>
      </c>
      <c r="C6571">
        <v>0</v>
      </c>
      <c r="D6571" s="201">
        <v>3578</v>
      </c>
      <c r="E6571" s="201">
        <v>-1030</v>
      </c>
      <c r="F6571">
        <v>-295</v>
      </c>
      <c r="G6571">
        <v>1113</v>
      </c>
      <c r="H6571">
        <v>-204</v>
      </c>
      <c r="I6571">
        <v>9</v>
      </c>
      <c r="J6571">
        <v>-151</v>
      </c>
      <c r="K6571" s="201">
        <v>325</v>
      </c>
    </row>
    <row r="6572" spans="1:11" x14ac:dyDescent="0.25">
      <c r="A6572"/>
      <c r="B6572" s="201">
        <v>1341</v>
      </c>
      <c r="C6572">
        <v>159</v>
      </c>
      <c r="D6572" s="201">
        <v>0</v>
      </c>
      <c r="E6572" s="201">
        <v>0</v>
      </c>
      <c r="F6572">
        <v>0</v>
      </c>
      <c r="G6572">
        <v>0</v>
      </c>
      <c r="H6572">
        <v>0</v>
      </c>
      <c r="I6572">
        <v>0</v>
      </c>
      <c r="J6572">
        <v>0</v>
      </c>
      <c r="K6572" s="201">
        <v>8</v>
      </c>
    </row>
    <row r="6573" spans="1:11" x14ac:dyDescent="0.25">
      <c r="A6573"/>
      <c r="B6573" s="201">
        <v>-51</v>
      </c>
      <c r="C6573">
        <v>348</v>
      </c>
      <c r="D6573" s="201">
        <v>-32</v>
      </c>
      <c r="E6573" s="201">
        <v>153</v>
      </c>
      <c r="F6573">
        <v>75</v>
      </c>
      <c r="G6573">
        <v>0</v>
      </c>
      <c r="H6573">
        <v>0</v>
      </c>
      <c r="I6573">
        <v>-5</v>
      </c>
      <c r="J6573">
        <v>0</v>
      </c>
      <c r="K6573" s="201">
        <v>294</v>
      </c>
    </row>
    <row r="6574" spans="1:11" x14ac:dyDescent="0.25">
      <c r="A6574"/>
      <c r="B6574" s="201">
        <v>-181</v>
      </c>
      <c r="C6574">
        <v>0</v>
      </c>
      <c r="D6574" s="201">
        <v>0</v>
      </c>
      <c r="E6574" s="201">
        <v>0</v>
      </c>
      <c r="F6574">
        <v>0</v>
      </c>
      <c r="G6574">
        <v>-1268</v>
      </c>
      <c r="H6574">
        <v>0</v>
      </c>
      <c r="I6574">
        <v>-2349</v>
      </c>
      <c r="J6574">
        <v>342</v>
      </c>
      <c r="K6574" s="201">
        <v>0</v>
      </c>
    </row>
    <row r="6575" spans="1:11" x14ac:dyDescent="0.25">
      <c r="A6575"/>
      <c r="B6575" s="201">
        <v>0</v>
      </c>
      <c r="C6575">
        <v>0</v>
      </c>
      <c r="D6575" s="201">
        <v>0</v>
      </c>
      <c r="E6575" s="201">
        <v>0</v>
      </c>
      <c r="F6575">
        <v>0</v>
      </c>
      <c r="G6575">
        <v>0</v>
      </c>
      <c r="H6575">
        <v>0</v>
      </c>
      <c r="I6575">
        <v>0</v>
      </c>
      <c r="J6575">
        <v>0</v>
      </c>
      <c r="K6575" s="201">
        <v>0</v>
      </c>
    </row>
    <row r="6576" spans="1:11" x14ac:dyDescent="0.25">
      <c r="A6576"/>
      <c r="B6576" s="201">
        <v>0</v>
      </c>
      <c r="C6576">
        <v>0</v>
      </c>
      <c r="D6576" s="201">
        <v>0</v>
      </c>
      <c r="E6576" s="201">
        <v>0</v>
      </c>
      <c r="F6576">
        <v>-979</v>
      </c>
      <c r="G6576">
        <v>0</v>
      </c>
      <c r="H6576">
        <v>0</v>
      </c>
      <c r="I6576">
        <v>0</v>
      </c>
      <c r="J6576">
        <v>0</v>
      </c>
      <c r="K6576" s="201">
        <v>0</v>
      </c>
    </row>
    <row r="6577" spans="1:11" x14ac:dyDescent="0.25">
      <c r="A6577"/>
      <c r="B6577" s="201">
        <v>555</v>
      </c>
      <c r="C6577">
        <v>-208</v>
      </c>
      <c r="D6577" s="201">
        <v>-3200</v>
      </c>
      <c r="E6577" s="201">
        <v>-1651</v>
      </c>
      <c r="F6577">
        <v>-1912</v>
      </c>
      <c r="G6577">
        <v>-2359</v>
      </c>
      <c r="H6577">
        <v>-6843</v>
      </c>
      <c r="I6577">
        <v>3317</v>
      </c>
      <c r="J6577">
        <v>-504</v>
      </c>
      <c r="K6577" s="201">
        <v>-155</v>
      </c>
    </row>
    <row r="6578" spans="1:11" x14ac:dyDescent="0.25">
      <c r="B6578" s="201">
        <v>-470</v>
      </c>
      <c r="C6578">
        <v>5639</v>
      </c>
      <c r="D6578" s="201">
        <v>-2013</v>
      </c>
      <c r="E6578" s="201">
        <v>-2217</v>
      </c>
      <c r="F6578">
        <v>-1841</v>
      </c>
      <c r="G6578">
        <v>-11760</v>
      </c>
      <c r="H6578">
        <v>5210</v>
      </c>
      <c r="I6578">
        <v>0</v>
      </c>
      <c r="J6578">
        <v>-476</v>
      </c>
      <c r="K6578" s="201">
        <v>-294</v>
      </c>
    </row>
    <row r="6579" spans="1:11" x14ac:dyDescent="0.25">
      <c r="A6579"/>
      <c r="B6579" s="201">
        <v>-421</v>
      </c>
      <c r="C6579">
        <v>-895</v>
      </c>
      <c r="D6579" s="201">
        <v>-415</v>
      </c>
      <c r="E6579" s="201">
        <v>-86</v>
      </c>
      <c r="F6579">
        <v>-467</v>
      </c>
      <c r="G6579">
        <v>-603</v>
      </c>
      <c r="H6579">
        <v>-267</v>
      </c>
      <c r="I6579">
        <v>-364</v>
      </c>
      <c r="J6579">
        <v>-183</v>
      </c>
      <c r="K6579" s="201">
        <v>-605</v>
      </c>
    </row>
    <row r="6580" spans="1:11" x14ac:dyDescent="0.25">
      <c r="A6580"/>
      <c r="B6580" s="201">
        <v>-280</v>
      </c>
      <c r="C6580">
        <v>-398</v>
      </c>
      <c r="D6580" s="201">
        <v>-532</v>
      </c>
      <c r="E6580" s="201">
        <v>-1281</v>
      </c>
      <c r="F6580">
        <v>-359</v>
      </c>
      <c r="G6580">
        <v>-476</v>
      </c>
      <c r="H6580">
        <v>-589</v>
      </c>
      <c r="I6580">
        <v>-272</v>
      </c>
      <c r="J6580">
        <v>-235</v>
      </c>
      <c r="K6580" s="201">
        <v>-76</v>
      </c>
    </row>
    <row r="6581" spans="1:11" x14ac:dyDescent="0.25">
      <c r="A6581"/>
      <c r="B6581" s="201">
        <v>139</v>
      </c>
      <c r="C6581">
        <v>86</v>
      </c>
      <c r="D6581" s="201">
        <v>-482</v>
      </c>
      <c r="E6581" s="201">
        <v>-401</v>
      </c>
      <c r="F6581">
        <v>-343</v>
      </c>
      <c r="G6581">
        <v>-540</v>
      </c>
      <c r="H6581">
        <v>-815</v>
      </c>
      <c r="I6581">
        <v>1520</v>
      </c>
      <c r="J6581">
        <v>89</v>
      </c>
      <c r="K6581" s="201">
        <v>66</v>
      </c>
    </row>
    <row r="6582" spans="1:11" x14ac:dyDescent="0.25">
      <c r="A6582"/>
      <c r="B6582" s="201">
        <v>106</v>
      </c>
      <c r="C6582">
        <v>45</v>
      </c>
      <c r="D6582" s="201">
        <v>270</v>
      </c>
      <c r="E6582" s="201">
        <v>259</v>
      </c>
      <c r="F6582">
        <v>82</v>
      </c>
      <c r="G6582">
        <v>164</v>
      </c>
      <c r="H6582">
        <v>79</v>
      </c>
      <c r="I6582">
        <v>189</v>
      </c>
      <c r="J6582">
        <v>24461</v>
      </c>
      <c r="K6582" s="201">
        <v>29575</v>
      </c>
    </row>
    <row r="6583" spans="1:11" x14ac:dyDescent="0.25">
      <c r="A6583"/>
      <c r="B6583" s="201">
        <v>29640</v>
      </c>
      <c r="C6583">
        <v>31279</v>
      </c>
      <c r="D6583" s="201">
        <v>23640</v>
      </c>
      <c r="E6583" s="201">
        <v>15532</v>
      </c>
      <c r="F6583">
        <v>18417</v>
      </c>
      <c r="G6583">
        <v>15573</v>
      </c>
      <c r="H6583">
        <v>489</v>
      </c>
      <c r="I6583">
        <v>-22088</v>
      </c>
      <c r="J6583">
        <v>-227</v>
      </c>
      <c r="K6583" s="201">
        <v>-185</v>
      </c>
    </row>
    <row r="6584" spans="1:11" x14ac:dyDescent="0.25">
      <c r="A6584"/>
      <c r="B6584" s="201">
        <v>551</v>
      </c>
      <c r="C6584">
        <v>0</v>
      </c>
      <c r="D6584" s="201">
        <v>0</v>
      </c>
      <c r="E6584" s="201">
        <v>52</v>
      </c>
      <c r="F6584">
        <v>0</v>
      </c>
      <c r="G6584">
        <v>0</v>
      </c>
      <c r="H6584">
        <v>0</v>
      </c>
      <c r="I6584">
        <v>26</v>
      </c>
      <c r="J6584">
        <v>88</v>
      </c>
      <c r="K6584" s="201">
        <v>0</v>
      </c>
    </row>
    <row r="6585" spans="1:11" x14ac:dyDescent="0.25">
      <c r="A6585"/>
      <c r="B6585" s="201">
        <v>0</v>
      </c>
      <c r="C6585">
        <v>0</v>
      </c>
      <c r="D6585" s="201">
        <v>0</v>
      </c>
      <c r="E6585" s="201">
        <v>0</v>
      </c>
      <c r="F6585">
        <v>0</v>
      </c>
      <c r="G6585">
        <v>-163</v>
      </c>
      <c r="H6585">
        <v>0</v>
      </c>
      <c r="I6585">
        <v>0</v>
      </c>
      <c r="J6585">
        <v>481</v>
      </c>
      <c r="K6585" s="201">
        <v>0</v>
      </c>
    </row>
    <row r="6586" spans="1:11" x14ac:dyDescent="0.25">
      <c r="B6586" s="201">
        <v>-495</v>
      </c>
      <c r="C6586">
        <v>0</v>
      </c>
      <c r="D6586" s="201">
        <v>133</v>
      </c>
      <c r="E6586" s="201">
        <v>-182</v>
      </c>
      <c r="F6586">
        <v>-159</v>
      </c>
      <c r="G6586">
        <v>0</v>
      </c>
      <c r="H6586">
        <v>67</v>
      </c>
      <c r="I6586">
        <v>-29507</v>
      </c>
      <c r="J6586">
        <v>-556</v>
      </c>
      <c r="K6586" s="201">
        <v>-446</v>
      </c>
    </row>
    <row r="6587" spans="1:11" x14ac:dyDescent="0.25">
      <c r="B6587" s="201">
        <v>-291</v>
      </c>
      <c r="C6587">
        <v>-1065</v>
      </c>
      <c r="D6587" s="201">
        <v>0</v>
      </c>
      <c r="E6587" s="201">
        <v>337</v>
      </c>
      <c r="F6587">
        <v>0</v>
      </c>
      <c r="G6587">
        <v>0</v>
      </c>
      <c r="H6587">
        <v>0</v>
      </c>
      <c r="I6587">
        <v>0</v>
      </c>
      <c r="J6587">
        <v>0</v>
      </c>
      <c r="K6587" s="201">
        <v>-84</v>
      </c>
    </row>
    <row r="6588" spans="1:11" x14ac:dyDescent="0.25">
      <c r="A6588"/>
      <c r="B6588" s="201">
        <v>0</v>
      </c>
      <c r="C6588">
        <v>0</v>
      </c>
      <c r="D6588" s="201">
        <v>0</v>
      </c>
      <c r="E6588" s="201">
        <v>86</v>
      </c>
      <c r="F6588">
        <v>0</v>
      </c>
      <c r="G6588">
        <v>208</v>
      </c>
      <c r="H6588">
        <v>0</v>
      </c>
      <c r="I6588">
        <v>0</v>
      </c>
      <c r="J6588">
        <v>0</v>
      </c>
      <c r="K6588" s="201">
        <v>0</v>
      </c>
    </row>
    <row r="6589" spans="1:11" x14ac:dyDescent="0.25">
      <c r="A6589"/>
      <c r="B6589" s="201">
        <v>0</v>
      </c>
      <c r="C6589">
        <v>46</v>
      </c>
      <c r="D6589" s="201">
        <v>0</v>
      </c>
      <c r="E6589" s="201">
        <v>1439</v>
      </c>
      <c r="F6589">
        <v>1093</v>
      </c>
      <c r="G6589">
        <v>0</v>
      </c>
      <c r="H6589">
        <v>0</v>
      </c>
      <c r="I6589">
        <v>-1041</v>
      </c>
      <c r="J6589">
        <v>-22312</v>
      </c>
      <c r="K6589" s="201">
        <v>0</v>
      </c>
    </row>
    <row r="6590" spans="1:11" x14ac:dyDescent="0.25">
      <c r="A6590"/>
      <c r="B6590" s="201">
        <v>-885</v>
      </c>
      <c r="C6590">
        <v>0</v>
      </c>
      <c r="D6590" s="201">
        <v>0</v>
      </c>
      <c r="E6590" s="201">
        <v>0</v>
      </c>
      <c r="F6590">
        <v>0</v>
      </c>
      <c r="G6590">
        <v>-2941</v>
      </c>
      <c r="H6590">
        <v>-273</v>
      </c>
      <c r="I6590">
        <v>-38</v>
      </c>
      <c r="J6590">
        <v>0</v>
      </c>
      <c r="K6590" s="201">
        <v>0</v>
      </c>
    </row>
    <row r="6591" spans="1:11" x14ac:dyDescent="0.25">
      <c r="A6591"/>
      <c r="B6591" s="201">
        <v>45</v>
      </c>
      <c r="C6591">
        <v>-22</v>
      </c>
      <c r="D6591" s="201">
        <v>0</v>
      </c>
      <c r="E6591" s="201">
        <v>10</v>
      </c>
      <c r="F6591">
        <v>-721</v>
      </c>
      <c r="G6591">
        <v>1</v>
      </c>
      <c r="H6591">
        <v>-564</v>
      </c>
      <c r="I6591">
        <v>-864</v>
      </c>
      <c r="J6591">
        <v>-361</v>
      </c>
      <c r="K6591" s="201">
        <v>-902</v>
      </c>
    </row>
    <row r="6592" spans="1:11" x14ac:dyDescent="0.25">
      <c r="A6592"/>
      <c r="B6592" s="201">
        <v>0</v>
      </c>
      <c r="C6592">
        <v>0</v>
      </c>
      <c r="D6592" s="201">
        <v>0</v>
      </c>
      <c r="E6592" s="201">
        <v>0</v>
      </c>
      <c r="F6592">
        <v>0</v>
      </c>
      <c r="G6592">
        <v>1310</v>
      </c>
      <c r="H6592">
        <v>0</v>
      </c>
      <c r="I6592">
        <v>2011</v>
      </c>
      <c r="J6592">
        <v>35</v>
      </c>
      <c r="K6592" s="201">
        <v>545</v>
      </c>
    </row>
    <row r="6593" spans="1:11" x14ac:dyDescent="0.25">
      <c r="A6593"/>
      <c r="B6593" s="201">
        <v>0</v>
      </c>
      <c r="C6593">
        <v>-867</v>
      </c>
      <c r="D6593" s="201">
        <v>-26442</v>
      </c>
      <c r="E6593" s="201">
        <v>-34</v>
      </c>
      <c r="F6593">
        <v>156</v>
      </c>
      <c r="G6593">
        <v>146</v>
      </c>
      <c r="H6593">
        <v>0</v>
      </c>
      <c r="I6593">
        <v>2749</v>
      </c>
      <c r="J6593">
        <v>2442</v>
      </c>
      <c r="K6593" s="201">
        <v>-544</v>
      </c>
    </row>
    <row r="6594" spans="1:11" x14ac:dyDescent="0.25">
      <c r="A6594"/>
      <c r="B6594" s="201">
        <v>72</v>
      </c>
      <c r="C6594">
        <v>0</v>
      </c>
      <c r="D6594" s="201">
        <v>73</v>
      </c>
      <c r="E6594" s="201">
        <v>-510</v>
      </c>
      <c r="F6594">
        <v>0</v>
      </c>
      <c r="G6594">
        <v>0</v>
      </c>
      <c r="H6594">
        <v>0</v>
      </c>
      <c r="I6594">
        <v>-84</v>
      </c>
      <c r="J6594">
        <v>-139</v>
      </c>
      <c r="K6594" s="201">
        <v>0</v>
      </c>
    </row>
    <row r="6595" spans="1:11" x14ac:dyDescent="0.25">
      <c r="A6595"/>
      <c r="B6595" s="201">
        <v>-49</v>
      </c>
      <c r="C6595">
        <v>-35</v>
      </c>
      <c r="D6595" s="201">
        <v>82</v>
      </c>
      <c r="E6595" s="201">
        <v>21</v>
      </c>
      <c r="F6595">
        <v>0</v>
      </c>
      <c r="G6595">
        <v>0</v>
      </c>
      <c r="H6595">
        <v>0</v>
      </c>
      <c r="I6595">
        <v>0</v>
      </c>
      <c r="J6595">
        <v>0</v>
      </c>
      <c r="K6595" s="201">
        <v>750</v>
      </c>
    </row>
    <row r="6596" spans="1:11" x14ac:dyDescent="0.25">
      <c r="A6596"/>
      <c r="B6596" s="201">
        <v>0</v>
      </c>
      <c r="C6596">
        <v>5695</v>
      </c>
      <c r="D6596" s="201">
        <v>128</v>
      </c>
      <c r="E6596" s="201">
        <v>69</v>
      </c>
      <c r="F6596">
        <v>0</v>
      </c>
      <c r="G6596">
        <v>-1141</v>
      </c>
      <c r="H6596">
        <v>-25347</v>
      </c>
      <c r="I6596">
        <v>-185</v>
      </c>
      <c r="J6596">
        <v>-135</v>
      </c>
      <c r="K6596" s="201">
        <v>-64</v>
      </c>
    </row>
    <row r="6597" spans="1:11" x14ac:dyDescent="0.25">
      <c r="A6597"/>
      <c r="B6597" s="201">
        <v>-420</v>
      </c>
      <c r="C6597">
        <v>2450</v>
      </c>
      <c r="D6597" s="201">
        <v>3713</v>
      </c>
      <c r="E6597" s="201">
        <v>0</v>
      </c>
      <c r="F6597">
        <v>150</v>
      </c>
      <c r="G6597">
        <v>0</v>
      </c>
      <c r="H6597">
        <v>0</v>
      </c>
      <c r="I6597">
        <v>-499</v>
      </c>
      <c r="J6597">
        <v>194</v>
      </c>
      <c r="K6597" s="201">
        <v>0</v>
      </c>
    </row>
    <row r="6598" spans="1:11" x14ac:dyDescent="0.25">
      <c r="A6598"/>
      <c r="B6598" s="201">
        <v>96</v>
      </c>
      <c r="C6598">
        <v>0</v>
      </c>
      <c r="D6598" s="201">
        <v>0</v>
      </c>
      <c r="E6598" s="201">
        <v>-66</v>
      </c>
      <c r="F6598">
        <v>0</v>
      </c>
      <c r="G6598">
        <v>-24</v>
      </c>
      <c r="H6598">
        <v>57</v>
      </c>
      <c r="I6598">
        <v>-126</v>
      </c>
      <c r="J6598">
        <v>0</v>
      </c>
      <c r="K6598" s="201">
        <v>0</v>
      </c>
    </row>
    <row r="6599" spans="1:11" x14ac:dyDescent="0.25">
      <c r="A6599"/>
      <c r="B6599" s="201">
        <v>0</v>
      </c>
      <c r="C6599">
        <v>0</v>
      </c>
      <c r="D6599" s="201">
        <v>0</v>
      </c>
      <c r="E6599" s="201">
        <v>1023</v>
      </c>
      <c r="F6599">
        <v>0</v>
      </c>
      <c r="G6599">
        <v>4587</v>
      </c>
      <c r="H6599">
        <v>222</v>
      </c>
      <c r="I6599">
        <v>204</v>
      </c>
      <c r="J6599">
        <v>0</v>
      </c>
      <c r="K6599" s="201">
        <v>-581</v>
      </c>
    </row>
    <row r="6600" spans="1:11" x14ac:dyDescent="0.25">
      <c r="A6600"/>
      <c r="B6600" s="201">
        <v>-27879</v>
      </c>
      <c r="C6600">
        <v>225</v>
      </c>
      <c r="D6600" s="201">
        <v>0</v>
      </c>
      <c r="E6600" s="201">
        <v>0</v>
      </c>
      <c r="F6600">
        <v>0</v>
      </c>
      <c r="G6600">
        <v>3784</v>
      </c>
      <c r="H6600">
        <v>3991</v>
      </c>
      <c r="I6600">
        <v>530</v>
      </c>
      <c r="J6600">
        <v>-535</v>
      </c>
      <c r="K6600" s="201">
        <v>-536</v>
      </c>
    </row>
    <row r="6601" spans="1:11" x14ac:dyDescent="0.25">
      <c r="A6601"/>
      <c r="B6601" s="201">
        <v>0</v>
      </c>
      <c r="C6601">
        <v>13</v>
      </c>
      <c r="D6601" s="201">
        <v>0</v>
      </c>
      <c r="E6601" s="201">
        <v>0</v>
      </c>
      <c r="F6601">
        <v>83</v>
      </c>
      <c r="G6601">
        <v>0</v>
      </c>
      <c r="H6601">
        <v>-614</v>
      </c>
      <c r="I6601">
        <v>0</v>
      </c>
      <c r="J6601">
        <v>-781</v>
      </c>
      <c r="K6601" s="201">
        <v>0</v>
      </c>
    </row>
    <row r="6602" spans="1:11" x14ac:dyDescent="0.25">
      <c r="A6602"/>
      <c r="B6602" s="201">
        <v>0</v>
      </c>
      <c r="C6602">
        <v>0</v>
      </c>
      <c r="D6602" s="201">
        <v>0</v>
      </c>
      <c r="E6602" s="201">
        <v>0</v>
      </c>
      <c r="F6602">
        <v>0</v>
      </c>
      <c r="G6602">
        <v>0</v>
      </c>
      <c r="H6602">
        <v>0</v>
      </c>
      <c r="I6602">
        <v>547</v>
      </c>
      <c r="J6602">
        <v>0</v>
      </c>
      <c r="K6602" s="201">
        <v>1959</v>
      </c>
    </row>
    <row r="6603" spans="1:11" x14ac:dyDescent="0.25">
      <c r="B6603" s="201">
        <v>-1142</v>
      </c>
      <c r="C6603">
        <v>-179</v>
      </c>
      <c r="D6603" s="201">
        <v>0</v>
      </c>
      <c r="E6603" s="201">
        <v>836</v>
      </c>
      <c r="F6603">
        <v>-27617</v>
      </c>
      <c r="G6603">
        <v>0</v>
      </c>
      <c r="H6603">
        <v>0</v>
      </c>
      <c r="I6603">
        <v>0</v>
      </c>
      <c r="J6603">
        <v>0</v>
      </c>
      <c r="K6603" s="201">
        <v>0</v>
      </c>
    </row>
    <row r="6604" spans="1:11" x14ac:dyDescent="0.25">
      <c r="A6604"/>
      <c r="B6604" s="201">
        <v>-1142</v>
      </c>
      <c r="C6604">
        <v>-1802</v>
      </c>
      <c r="D6604" s="201">
        <v>-681</v>
      </c>
      <c r="E6604" s="201">
        <v>-330</v>
      </c>
      <c r="F6604">
        <v>-788</v>
      </c>
      <c r="G6604">
        <v>-1519</v>
      </c>
      <c r="H6604">
        <v>0</v>
      </c>
      <c r="I6604">
        <v>0</v>
      </c>
      <c r="J6604">
        <v>0</v>
      </c>
      <c r="K6604" s="201">
        <v>0</v>
      </c>
    </row>
    <row r="6605" spans="1:11" x14ac:dyDescent="0.25">
      <c r="A6605"/>
      <c r="B6605" s="201">
        <v>-785</v>
      </c>
      <c r="C6605">
        <v>0</v>
      </c>
      <c r="D6605" s="201">
        <v>-358</v>
      </c>
      <c r="E6605" s="201">
        <v>0</v>
      </c>
      <c r="F6605">
        <v>0</v>
      </c>
      <c r="G6605">
        <v>2136</v>
      </c>
      <c r="H6605">
        <v>-110</v>
      </c>
      <c r="I6605">
        <v>0</v>
      </c>
      <c r="J6605">
        <v>0</v>
      </c>
      <c r="K6605" s="201">
        <v>0</v>
      </c>
    </row>
    <row r="6606" spans="1:11" x14ac:dyDescent="0.25">
      <c r="A6606"/>
      <c r="B6606" s="201">
        <v>0</v>
      </c>
      <c r="C6606">
        <v>-606</v>
      </c>
      <c r="D6606" s="201">
        <v>0</v>
      </c>
      <c r="E6606" s="201">
        <v>3985</v>
      </c>
      <c r="F6606">
        <v>-604</v>
      </c>
      <c r="G6606">
        <v>-2168</v>
      </c>
      <c r="H6606">
        <v>4391</v>
      </c>
      <c r="I6606">
        <v>662</v>
      </c>
      <c r="J6606">
        <v>614</v>
      </c>
      <c r="K6606" s="201">
        <v>300</v>
      </c>
    </row>
    <row r="6607" spans="1:11" x14ac:dyDescent="0.25">
      <c r="A6607"/>
      <c r="B6607" s="201">
        <v>1063</v>
      </c>
      <c r="C6607">
        <v>-337</v>
      </c>
      <c r="D6607" s="201">
        <v>-994</v>
      </c>
      <c r="E6607" s="201">
        <v>0</v>
      </c>
      <c r="F6607">
        <v>0</v>
      </c>
      <c r="G6607">
        <v>0</v>
      </c>
      <c r="H6607">
        <v>0</v>
      </c>
      <c r="I6607">
        <v>0</v>
      </c>
      <c r="J6607">
        <v>0</v>
      </c>
      <c r="K6607" s="201">
        <v>0</v>
      </c>
    </row>
    <row r="6608" spans="1:11" x14ac:dyDescent="0.25">
      <c r="B6608" s="201">
        <v>-351</v>
      </c>
      <c r="C6608">
        <v>-48</v>
      </c>
      <c r="D6608" s="201">
        <v>281</v>
      </c>
      <c r="E6608" s="201">
        <v>-29</v>
      </c>
      <c r="F6608">
        <v>164</v>
      </c>
      <c r="G6608">
        <v>309</v>
      </c>
      <c r="H6608">
        <v>0</v>
      </c>
      <c r="I6608">
        <v>0</v>
      </c>
      <c r="J6608">
        <v>65</v>
      </c>
      <c r="K6608" s="201">
        <v>0</v>
      </c>
    </row>
    <row r="6609" spans="1:11" x14ac:dyDescent="0.25">
      <c r="A6609"/>
      <c r="B6609" s="201">
        <v>398</v>
      </c>
      <c r="C6609">
        <v>-366</v>
      </c>
      <c r="D6609" s="201">
        <v>0</v>
      </c>
      <c r="E6609" s="201">
        <v>0</v>
      </c>
      <c r="F6609">
        <v>0</v>
      </c>
      <c r="G6609">
        <v>0</v>
      </c>
      <c r="H6609">
        <v>-192</v>
      </c>
      <c r="I6609">
        <v>0</v>
      </c>
      <c r="J6609">
        <v>-8341</v>
      </c>
      <c r="K6609" s="201">
        <v>-7682</v>
      </c>
    </row>
    <row r="6610" spans="1:11" x14ac:dyDescent="0.25">
      <c r="A6610"/>
      <c r="B6610" s="201">
        <v>0</v>
      </c>
      <c r="C6610">
        <v>0</v>
      </c>
      <c r="D6610" s="201">
        <v>0</v>
      </c>
      <c r="E6610" s="201">
        <v>0</v>
      </c>
      <c r="F6610">
        <v>0</v>
      </c>
      <c r="G6610">
        <v>0</v>
      </c>
      <c r="H6610">
        <v>0</v>
      </c>
      <c r="I6610">
        <v>0</v>
      </c>
      <c r="J6610">
        <v>0</v>
      </c>
      <c r="K6610" s="201">
        <v>0</v>
      </c>
    </row>
    <row r="6611" spans="1:11" x14ac:dyDescent="0.25">
      <c r="A6611"/>
      <c r="B6611" s="201">
        <v>0</v>
      </c>
      <c r="C6611">
        <v>0</v>
      </c>
      <c r="D6611" s="201">
        <v>0</v>
      </c>
      <c r="E6611" s="201">
        <v>0</v>
      </c>
      <c r="F6611">
        <v>0</v>
      </c>
      <c r="G6611">
        <v>-383</v>
      </c>
      <c r="H6611">
        <v>0</v>
      </c>
      <c r="I6611">
        <v>0</v>
      </c>
      <c r="J6611">
        <v>0</v>
      </c>
      <c r="K6611" s="201">
        <v>0</v>
      </c>
    </row>
    <row r="6612" spans="1:11" x14ac:dyDescent="0.25">
      <c r="A6612"/>
      <c r="B6612" s="201">
        <v>0</v>
      </c>
      <c r="C6612">
        <v>683</v>
      </c>
      <c r="D6612" s="201">
        <v>422</v>
      </c>
      <c r="E6612" s="201">
        <v>4659</v>
      </c>
      <c r="F6612">
        <v>-1826</v>
      </c>
      <c r="G6612">
        <v>-1849</v>
      </c>
      <c r="H6612">
        <v>-2057</v>
      </c>
      <c r="I6612">
        <v>-3709</v>
      </c>
      <c r="J6612">
        <v>1048</v>
      </c>
      <c r="K6612" s="201">
        <v>-631</v>
      </c>
    </row>
    <row r="6613" spans="1:11" x14ac:dyDescent="0.25">
      <c r="A6613"/>
      <c r="B6613" s="201">
        <v>-569</v>
      </c>
      <c r="C6613">
        <v>-150</v>
      </c>
      <c r="D6613" s="201">
        <v>1107</v>
      </c>
      <c r="E6613" s="201">
        <v>-409</v>
      </c>
      <c r="F6613">
        <v>-968</v>
      </c>
      <c r="G6613">
        <v>-913</v>
      </c>
      <c r="H6613">
        <v>-490</v>
      </c>
      <c r="I6613">
        <v>2362</v>
      </c>
      <c r="J6613">
        <v>0</v>
      </c>
      <c r="K6613" s="201">
        <v>-1808</v>
      </c>
    </row>
    <row r="6614" spans="1:11" x14ac:dyDescent="0.25">
      <c r="A6614"/>
      <c r="B6614" s="201">
        <v>-1342</v>
      </c>
      <c r="C6614">
        <v>-1352</v>
      </c>
      <c r="D6614" s="201">
        <v>-2561</v>
      </c>
      <c r="E6614" s="201">
        <v>-1193</v>
      </c>
      <c r="F6614">
        <v>-1011</v>
      </c>
      <c r="G6614">
        <v>-1616</v>
      </c>
      <c r="H6614">
        <v>-2460</v>
      </c>
      <c r="I6614">
        <v>-1109</v>
      </c>
      <c r="J6614">
        <v>-1501</v>
      </c>
      <c r="K6614" s="201">
        <v>-1181</v>
      </c>
    </row>
    <row r="6615" spans="1:11" x14ac:dyDescent="0.25">
      <c r="A6615"/>
      <c r="B6615" s="201">
        <v>-2240</v>
      </c>
      <c r="C6615">
        <v>-870</v>
      </c>
      <c r="D6615" s="201">
        <v>-1311</v>
      </c>
      <c r="E6615" s="201">
        <v>-1347</v>
      </c>
      <c r="F6615">
        <v>-1544</v>
      </c>
      <c r="G6615">
        <v>-1160</v>
      </c>
      <c r="H6615">
        <v>-1666</v>
      </c>
      <c r="I6615">
        <v>-1887</v>
      </c>
      <c r="J6615">
        <v>-1790</v>
      </c>
      <c r="K6615" s="201">
        <v>-899</v>
      </c>
    </row>
    <row r="6616" spans="1:11" x14ac:dyDescent="0.25">
      <c r="A6616"/>
      <c r="B6616" s="201">
        <v>-190</v>
      </c>
      <c r="C6616">
        <v>254</v>
      </c>
      <c r="D6616" s="201">
        <v>138</v>
      </c>
      <c r="E6616" s="201">
        <v>222</v>
      </c>
      <c r="F6616">
        <v>-1464</v>
      </c>
      <c r="G6616">
        <v>-64</v>
      </c>
      <c r="H6616">
        <v>-1018</v>
      </c>
      <c r="I6616">
        <v>-1130</v>
      </c>
      <c r="J6616">
        <v>-1896</v>
      </c>
      <c r="K6616" s="201">
        <v>1308</v>
      </c>
    </row>
    <row r="6617" spans="1:11" x14ac:dyDescent="0.25">
      <c r="A6617"/>
      <c r="B6617" s="201">
        <v>9</v>
      </c>
      <c r="C6617">
        <v>40</v>
      </c>
      <c r="D6617" s="201">
        <v>7</v>
      </c>
      <c r="E6617" s="201">
        <v>176</v>
      </c>
      <c r="F6617">
        <v>242</v>
      </c>
      <c r="G6617">
        <v>141</v>
      </c>
      <c r="H6617">
        <v>73</v>
      </c>
      <c r="I6617">
        <v>176</v>
      </c>
      <c r="J6617">
        <v>106</v>
      </c>
      <c r="K6617" s="201">
        <v>25567</v>
      </c>
    </row>
    <row r="6618" spans="1:11" x14ac:dyDescent="0.25">
      <c r="B6618" s="201">
        <v>31107</v>
      </c>
      <c r="C6618">
        <v>31212</v>
      </c>
      <c r="D6618" s="201">
        <v>28717</v>
      </c>
      <c r="E6618" s="201">
        <v>27370</v>
      </c>
      <c r="F6618">
        <v>13451</v>
      </c>
      <c r="G6618">
        <v>23093</v>
      </c>
      <c r="H6618">
        <v>18427</v>
      </c>
      <c r="I6618">
        <v>12951</v>
      </c>
      <c r="J6618">
        <v>328</v>
      </c>
      <c r="K6618" s="201">
        <v>-30849</v>
      </c>
    </row>
    <row r="6619" spans="1:11" x14ac:dyDescent="0.25">
      <c r="A6619"/>
      <c r="B6619" s="201">
        <v>-261</v>
      </c>
      <c r="C6619">
        <v>-60</v>
      </c>
      <c r="D6619" s="201">
        <v>414</v>
      </c>
      <c r="E6619" s="201">
        <v>0</v>
      </c>
      <c r="F6619">
        <v>0</v>
      </c>
      <c r="G6619">
        <v>-15</v>
      </c>
      <c r="H6619">
        <v>0</v>
      </c>
      <c r="I6619">
        <v>0</v>
      </c>
      <c r="J6619">
        <v>0</v>
      </c>
      <c r="K6619" s="201">
        <v>199</v>
      </c>
    </row>
    <row r="6620" spans="1:11" x14ac:dyDescent="0.25">
      <c r="A6620"/>
      <c r="B6620" s="201">
        <v>250</v>
      </c>
      <c r="C6620">
        <v>0</v>
      </c>
      <c r="D6620" s="201">
        <v>0</v>
      </c>
      <c r="E6620" s="201">
        <v>0</v>
      </c>
      <c r="F6620">
        <v>0</v>
      </c>
      <c r="G6620">
        <v>0</v>
      </c>
      <c r="H6620">
        <v>0</v>
      </c>
      <c r="I6620">
        <v>-74</v>
      </c>
      <c r="J6620">
        <v>0</v>
      </c>
      <c r="K6620" s="201">
        <v>0</v>
      </c>
    </row>
    <row r="6621" spans="1:11" x14ac:dyDescent="0.25">
      <c r="A6621"/>
      <c r="B6621" s="201">
        <v>154</v>
      </c>
      <c r="C6621">
        <v>0</v>
      </c>
      <c r="D6621" s="201">
        <v>-219</v>
      </c>
      <c r="E6621" s="201">
        <v>0</v>
      </c>
      <c r="F6621">
        <v>-252</v>
      </c>
      <c r="G6621">
        <v>-3</v>
      </c>
      <c r="H6621">
        <v>5</v>
      </c>
      <c r="I6621">
        <v>0</v>
      </c>
      <c r="J6621">
        <v>34</v>
      </c>
      <c r="K6621" s="201">
        <v>-26256</v>
      </c>
    </row>
    <row r="6622" spans="1:11" x14ac:dyDescent="0.25">
      <c r="A6622"/>
      <c r="B6622" s="201">
        <v>-36</v>
      </c>
      <c r="C6622">
        <v>-20</v>
      </c>
      <c r="D6622" s="201">
        <v>-242</v>
      </c>
      <c r="E6622" s="201">
        <v>-338</v>
      </c>
      <c r="F6622">
        <v>0</v>
      </c>
      <c r="G6622">
        <v>91</v>
      </c>
      <c r="H6622">
        <v>0</v>
      </c>
      <c r="I6622">
        <v>0</v>
      </c>
      <c r="J6622">
        <v>0</v>
      </c>
      <c r="K6622" s="201">
        <v>0</v>
      </c>
    </row>
    <row r="6623" spans="1:11" x14ac:dyDescent="0.25">
      <c r="A6623"/>
      <c r="B6623" s="201">
        <v>0</v>
      </c>
      <c r="C6623">
        <v>-41</v>
      </c>
      <c r="D6623" s="201">
        <v>0</v>
      </c>
      <c r="E6623" s="201">
        <v>0</v>
      </c>
      <c r="F6623">
        <v>0</v>
      </c>
      <c r="G6623">
        <v>110</v>
      </c>
      <c r="H6623">
        <v>0</v>
      </c>
      <c r="I6623">
        <v>102</v>
      </c>
      <c r="J6623">
        <v>0</v>
      </c>
      <c r="K6623" s="201">
        <v>0</v>
      </c>
    </row>
    <row r="6624" spans="1:11" x14ac:dyDescent="0.25">
      <c r="A6624"/>
      <c r="B6624" s="201">
        <v>0</v>
      </c>
      <c r="C6624">
        <v>0</v>
      </c>
      <c r="D6624" s="201">
        <v>0</v>
      </c>
      <c r="E6624" s="201">
        <v>88</v>
      </c>
      <c r="F6624">
        <v>0</v>
      </c>
      <c r="G6624">
        <v>-151</v>
      </c>
      <c r="H6624">
        <v>282</v>
      </c>
      <c r="I6624">
        <v>0</v>
      </c>
      <c r="J6624">
        <v>0</v>
      </c>
      <c r="K6624" s="201">
        <v>1348</v>
      </c>
    </row>
    <row r="6625" spans="1:11" x14ac:dyDescent="0.25">
      <c r="A6625"/>
      <c r="B6625" s="201">
        <v>-45963</v>
      </c>
      <c r="C6625">
        <v>0</v>
      </c>
      <c r="D6625" s="201">
        <v>-315</v>
      </c>
      <c r="E6625" s="201">
        <v>0</v>
      </c>
      <c r="F6625">
        <v>0</v>
      </c>
      <c r="G6625">
        <v>0</v>
      </c>
      <c r="H6625">
        <v>0</v>
      </c>
      <c r="I6625">
        <v>696</v>
      </c>
      <c r="J6625">
        <v>13</v>
      </c>
      <c r="K6625" s="201">
        <v>71</v>
      </c>
    </row>
    <row r="6626" spans="1:11" x14ac:dyDescent="0.25">
      <c r="A6626"/>
      <c r="B6626" s="201">
        <v>0</v>
      </c>
      <c r="C6626">
        <v>0</v>
      </c>
      <c r="D6626" s="201">
        <v>152</v>
      </c>
      <c r="E6626" s="201">
        <v>253</v>
      </c>
      <c r="F6626">
        <v>0</v>
      </c>
      <c r="G6626">
        <v>1272</v>
      </c>
      <c r="H6626">
        <v>1266</v>
      </c>
      <c r="I6626">
        <v>129</v>
      </c>
      <c r="J6626">
        <v>2146</v>
      </c>
      <c r="K6626" s="201">
        <v>471</v>
      </c>
    </row>
    <row r="6627" spans="1:11" x14ac:dyDescent="0.25">
      <c r="A6627"/>
      <c r="B6627" s="201">
        <v>840</v>
      </c>
      <c r="C6627">
        <v>-891</v>
      </c>
      <c r="D6627" s="201">
        <v>0</v>
      </c>
      <c r="E6627" s="201">
        <v>0</v>
      </c>
      <c r="F6627">
        <v>0</v>
      </c>
      <c r="G6627">
        <v>0</v>
      </c>
      <c r="H6627">
        <v>0</v>
      </c>
      <c r="I6627">
        <v>-1204</v>
      </c>
      <c r="J6627">
        <v>0</v>
      </c>
      <c r="K6627" s="201">
        <v>2845</v>
      </c>
    </row>
    <row r="6628" spans="1:11" x14ac:dyDescent="0.25">
      <c r="A6628"/>
      <c r="B6628" s="201">
        <v>3579</v>
      </c>
      <c r="C6628">
        <v>1664</v>
      </c>
      <c r="D6628" s="201">
        <v>0</v>
      </c>
      <c r="E6628" s="201">
        <v>-246</v>
      </c>
      <c r="F6628">
        <v>-43007</v>
      </c>
      <c r="G6628">
        <v>-774</v>
      </c>
      <c r="H6628">
        <v>-400</v>
      </c>
      <c r="I6628">
        <v>236</v>
      </c>
      <c r="J6628">
        <v>0</v>
      </c>
      <c r="K6628" s="201">
        <v>-690</v>
      </c>
    </row>
    <row r="6629" spans="1:11" x14ac:dyDescent="0.25">
      <c r="A6629"/>
      <c r="B6629" s="201">
        <v>-722</v>
      </c>
      <c r="C6629">
        <v>-2000</v>
      </c>
      <c r="D6629" s="201">
        <v>433</v>
      </c>
      <c r="E6629" s="201">
        <v>0</v>
      </c>
      <c r="F6629">
        <v>-544</v>
      </c>
      <c r="G6629">
        <v>813</v>
      </c>
      <c r="H6629">
        <v>0</v>
      </c>
      <c r="I6629">
        <v>0</v>
      </c>
      <c r="J6629">
        <v>0</v>
      </c>
      <c r="K6629" s="201">
        <v>-2736</v>
      </c>
    </row>
    <row r="6630" spans="1:11" x14ac:dyDescent="0.25">
      <c r="A6630"/>
      <c r="B6630" s="201">
        <v>-7161</v>
      </c>
      <c r="C6630">
        <v>0</v>
      </c>
      <c r="D6630" s="201">
        <v>-5535</v>
      </c>
      <c r="E6630" s="201">
        <v>1490</v>
      </c>
      <c r="F6630">
        <v>790</v>
      </c>
      <c r="G6630">
        <v>1523</v>
      </c>
      <c r="H6630">
        <v>0</v>
      </c>
      <c r="I6630">
        <v>0</v>
      </c>
      <c r="J6630">
        <v>0</v>
      </c>
      <c r="K6630" s="201">
        <v>0</v>
      </c>
    </row>
    <row r="6631" spans="1:11" x14ac:dyDescent="0.25">
      <c r="A6631"/>
      <c r="B6631" s="201">
        <v>0</v>
      </c>
      <c r="C6631">
        <v>-217</v>
      </c>
      <c r="D6631" s="201">
        <v>0</v>
      </c>
      <c r="E6631" s="201">
        <v>-290</v>
      </c>
      <c r="F6631">
        <v>1096</v>
      </c>
      <c r="G6631">
        <v>794</v>
      </c>
      <c r="H6631">
        <v>0</v>
      </c>
      <c r="I6631">
        <v>-539</v>
      </c>
      <c r="J6631">
        <v>-41325</v>
      </c>
      <c r="K6631" s="201">
        <v>19</v>
      </c>
    </row>
    <row r="6632" spans="1:11" x14ac:dyDescent="0.25">
      <c r="A6632"/>
      <c r="B6632" s="201">
        <v>-53</v>
      </c>
      <c r="C6632">
        <v>331</v>
      </c>
      <c r="D6632" s="201">
        <v>-41</v>
      </c>
      <c r="E6632" s="201">
        <v>740</v>
      </c>
      <c r="F6632">
        <v>348</v>
      </c>
      <c r="G6632">
        <v>0</v>
      </c>
      <c r="H6632">
        <v>59</v>
      </c>
      <c r="I6632">
        <v>0</v>
      </c>
      <c r="J6632">
        <v>0</v>
      </c>
      <c r="K6632" s="201">
        <v>23</v>
      </c>
    </row>
    <row r="6633" spans="1:11" x14ac:dyDescent="0.25">
      <c r="A6633"/>
      <c r="B6633" s="201">
        <v>-41</v>
      </c>
      <c r="C6633">
        <v>0</v>
      </c>
      <c r="D6633" s="201">
        <v>-290</v>
      </c>
      <c r="E6633" s="201">
        <v>0</v>
      </c>
      <c r="F6633">
        <v>0</v>
      </c>
      <c r="G6633">
        <v>11</v>
      </c>
      <c r="H6633">
        <v>0</v>
      </c>
      <c r="I6633">
        <v>-228</v>
      </c>
      <c r="J6633">
        <v>-141</v>
      </c>
      <c r="K6633" s="201">
        <v>-409</v>
      </c>
    </row>
    <row r="6634" spans="1:11" x14ac:dyDescent="0.25">
      <c r="A6634"/>
      <c r="B6634" s="201">
        <v>0</v>
      </c>
      <c r="C6634">
        <v>0</v>
      </c>
      <c r="D6634" s="201">
        <v>0</v>
      </c>
      <c r="E6634" s="201">
        <v>0</v>
      </c>
      <c r="F6634">
        <v>0</v>
      </c>
      <c r="G6634">
        <v>201</v>
      </c>
      <c r="H6634">
        <v>0</v>
      </c>
      <c r="I6634">
        <v>43</v>
      </c>
      <c r="J6634">
        <v>93</v>
      </c>
      <c r="K6634" s="201">
        <v>-118</v>
      </c>
    </row>
    <row r="6635" spans="1:11" x14ac:dyDescent="0.25">
      <c r="A6635"/>
      <c r="B6635" s="201">
        <v>0</v>
      </c>
      <c r="C6635">
        <v>-252</v>
      </c>
      <c r="D6635" s="201">
        <v>-49302</v>
      </c>
      <c r="E6635" s="201">
        <v>536</v>
      </c>
      <c r="F6635">
        <v>0</v>
      </c>
      <c r="G6635">
        <v>0</v>
      </c>
      <c r="H6635">
        <v>0</v>
      </c>
      <c r="I6635">
        <v>2881</v>
      </c>
      <c r="J6635">
        <v>3594</v>
      </c>
      <c r="K6635" s="201">
        <v>2304</v>
      </c>
    </row>
    <row r="6636" spans="1:11" x14ac:dyDescent="0.25">
      <c r="A6636"/>
      <c r="B6636" s="201">
        <v>-1364</v>
      </c>
      <c r="C6636">
        <v>-1267</v>
      </c>
      <c r="D6636" s="201">
        <v>0</v>
      </c>
      <c r="E6636" s="201">
        <v>297</v>
      </c>
      <c r="F6636">
        <v>0</v>
      </c>
      <c r="G6636">
        <v>0</v>
      </c>
      <c r="H6636">
        <v>77</v>
      </c>
      <c r="I6636">
        <v>0</v>
      </c>
      <c r="J6636">
        <v>-719</v>
      </c>
      <c r="K6636" s="201">
        <v>0</v>
      </c>
    </row>
    <row r="6637" spans="1:11" x14ac:dyDescent="0.25">
      <c r="B6637" s="201">
        <v>-1126</v>
      </c>
      <c r="C6637">
        <v>0</v>
      </c>
      <c r="D6637" s="201">
        <v>0</v>
      </c>
      <c r="E6637" s="201">
        <v>0</v>
      </c>
      <c r="F6637">
        <v>0</v>
      </c>
      <c r="G6637">
        <v>0</v>
      </c>
      <c r="H6637">
        <v>0</v>
      </c>
      <c r="I6637">
        <v>0</v>
      </c>
      <c r="J6637">
        <v>0</v>
      </c>
      <c r="K6637" s="201">
        <v>177</v>
      </c>
    </row>
    <row r="6638" spans="1:11" x14ac:dyDescent="0.25">
      <c r="A6638"/>
      <c r="B6638" s="201">
        <v>0</v>
      </c>
      <c r="C6638">
        <v>-2739</v>
      </c>
      <c r="D6638" s="201">
        <v>-2993</v>
      </c>
      <c r="E6638" s="201">
        <v>-1081</v>
      </c>
      <c r="F6638">
        <v>0</v>
      </c>
      <c r="G6638">
        <v>1043</v>
      </c>
      <c r="H6638">
        <v>-41350</v>
      </c>
      <c r="I6638">
        <v>0</v>
      </c>
      <c r="J6638">
        <v>0</v>
      </c>
      <c r="K6638" s="201">
        <v>0</v>
      </c>
    </row>
    <row r="6639" spans="1:11" x14ac:dyDescent="0.25">
      <c r="A6639"/>
      <c r="B6639" s="201">
        <v>0</v>
      </c>
      <c r="C6639">
        <v>0</v>
      </c>
      <c r="D6639" s="201">
        <v>-3911</v>
      </c>
      <c r="E6639" s="201">
        <v>-1505</v>
      </c>
      <c r="F6639">
        <v>-561</v>
      </c>
      <c r="G6639">
        <v>-729</v>
      </c>
      <c r="H6639">
        <v>-88</v>
      </c>
      <c r="I6639">
        <v>0</v>
      </c>
      <c r="J6639">
        <v>0</v>
      </c>
      <c r="K6639" s="201">
        <v>0</v>
      </c>
    </row>
    <row r="6640" spans="1:11" x14ac:dyDescent="0.25">
      <c r="A6640"/>
      <c r="B6640" s="201">
        <v>0</v>
      </c>
      <c r="C6640">
        <v>0</v>
      </c>
      <c r="D6640" s="201">
        <v>-3068</v>
      </c>
      <c r="E6640" s="201">
        <v>0</v>
      </c>
      <c r="F6640">
        <v>-1890</v>
      </c>
      <c r="G6640">
        <v>0</v>
      </c>
      <c r="H6640">
        <v>0</v>
      </c>
      <c r="I6640">
        <v>178</v>
      </c>
      <c r="J6640">
        <v>9</v>
      </c>
      <c r="K6640" s="201">
        <v>0</v>
      </c>
    </row>
    <row r="6641" spans="1:11" x14ac:dyDescent="0.25">
      <c r="A6641"/>
      <c r="B6641" s="201">
        <v>0</v>
      </c>
      <c r="C6641">
        <v>0</v>
      </c>
      <c r="D6641" s="201">
        <v>0</v>
      </c>
      <c r="E6641" s="201">
        <v>-1198</v>
      </c>
      <c r="F6641">
        <v>0</v>
      </c>
      <c r="G6641">
        <v>-314</v>
      </c>
      <c r="H6641">
        <v>-2544</v>
      </c>
      <c r="I6641">
        <v>-771</v>
      </c>
      <c r="J6641">
        <v>2549</v>
      </c>
      <c r="K6641" s="201">
        <v>581</v>
      </c>
    </row>
    <row r="6642" spans="1:11" x14ac:dyDescent="0.25">
      <c r="A6642"/>
      <c r="B6642" s="201">
        <v>379</v>
      </c>
      <c r="C6642">
        <v>160</v>
      </c>
      <c r="D6642" s="201">
        <v>242</v>
      </c>
      <c r="E6642" s="201">
        <v>-372</v>
      </c>
      <c r="F6642">
        <v>432</v>
      </c>
      <c r="G6642">
        <v>0</v>
      </c>
      <c r="H6642">
        <v>0</v>
      </c>
      <c r="I6642">
        <v>0</v>
      </c>
      <c r="J6642">
        <v>0</v>
      </c>
      <c r="K6642" s="201">
        <v>0</v>
      </c>
    </row>
    <row r="6643" spans="1:11" x14ac:dyDescent="0.25">
      <c r="A6643"/>
      <c r="B6643" s="201">
        <v>0</v>
      </c>
      <c r="C6643">
        <v>0</v>
      </c>
      <c r="D6643" s="201">
        <v>-163</v>
      </c>
      <c r="E6643" s="201">
        <v>-182</v>
      </c>
      <c r="F6643">
        <v>2076</v>
      </c>
      <c r="G6643">
        <v>-208</v>
      </c>
      <c r="H6643">
        <v>1305</v>
      </c>
      <c r="I6643">
        <v>-177</v>
      </c>
      <c r="J6643">
        <v>0</v>
      </c>
      <c r="K6643" s="201">
        <v>0</v>
      </c>
    </row>
    <row r="6644" spans="1:11" x14ac:dyDescent="0.25">
      <c r="A6644"/>
      <c r="B6644" s="201">
        <v>-19</v>
      </c>
      <c r="C6644">
        <v>0</v>
      </c>
      <c r="D6644" s="201">
        <v>253</v>
      </c>
      <c r="E6644" s="201">
        <v>-230</v>
      </c>
      <c r="F6644">
        <v>0</v>
      </c>
      <c r="G6644">
        <v>0</v>
      </c>
      <c r="H6644">
        <v>0</v>
      </c>
      <c r="I6644">
        <v>0</v>
      </c>
      <c r="J6644">
        <v>-1130</v>
      </c>
      <c r="K6644" s="201">
        <v>0</v>
      </c>
    </row>
    <row r="6645" spans="1:11" x14ac:dyDescent="0.25">
      <c r="B6645" s="201">
        <v>-2119</v>
      </c>
      <c r="C6645">
        <v>-2461</v>
      </c>
      <c r="D6645" s="201">
        <v>0</v>
      </c>
      <c r="E6645" s="201">
        <v>0</v>
      </c>
      <c r="F6645">
        <v>0</v>
      </c>
      <c r="G6645">
        <v>0</v>
      </c>
      <c r="H6645">
        <v>0</v>
      </c>
      <c r="I6645">
        <v>0</v>
      </c>
      <c r="J6645">
        <v>0</v>
      </c>
      <c r="K6645" s="201">
        <v>0</v>
      </c>
    </row>
    <row r="6646" spans="1:11" x14ac:dyDescent="0.25">
      <c r="A6646"/>
      <c r="B6646" s="201">
        <v>0</v>
      </c>
      <c r="C6646">
        <v>0</v>
      </c>
      <c r="D6646" s="201">
        <v>0</v>
      </c>
      <c r="E6646" s="201">
        <v>0</v>
      </c>
      <c r="F6646">
        <v>0</v>
      </c>
      <c r="G6646">
        <v>0</v>
      </c>
      <c r="H6646">
        <v>0</v>
      </c>
      <c r="I6646">
        <v>-1750</v>
      </c>
      <c r="J6646">
        <v>0</v>
      </c>
      <c r="K6646" s="201">
        <v>0</v>
      </c>
    </row>
    <row r="6647" spans="1:11" x14ac:dyDescent="0.25">
      <c r="A6647"/>
      <c r="B6647" s="201">
        <v>0</v>
      </c>
      <c r="C6647">
        <v>0</v>
      </c>
      <c r="D6647" s="201">
        <v>0</v>
      </c>
      <c r="E6647" s="201">
        <v>583</v>
      </c>
      <c r="F6647">
        <v>189</v>
      </c>
      <c r="G6647">
        <v>46</v>
      </c>
      <c r="H6647">
        <v>5477</v>
      </c>
      <c r="I6647">
        <v>-4479</v>
      </c>
      <c r="J6647">
        <v>740</v>
      </c>
      <c r="K6647" s="201">
        <v>-3177</v>
      </c>
    </row>
    <row r="6648" spans="1:11" x14ac:dyDescent="0.25">
      <c r="B6648" s="201">
        <v>1008</v>
      </c>
      <c r="C6648">
        <v>-82</v>
      </c>
      <c r="D6648" s="201">
        <v>-136</v>
      </c>
      <c r="E6648" s="201">
        <v>749</v>
      </c>
      <c r="F6648">
        <v>360</v>
      </c>
      <c r="G6648">
        <v>7120</v>
      </c>
      <c r="H6648">
        <v>-2547</v>
      </c>
      <c r="I6648">
        <v>2200</v>
      </c>
      <c r="J6648">
        <v>1500</v>
      </c>
      <c r="K6648" s="201">
        <v>-1924</v>
      </c>
    </row>
    <row r="6649" spans="1:11" x14ac:dyDescent="0.25">
      <c r="A6649"/>
      <c r="B6649" s="201">
        <v>0</v>
      </c>
      <c r="C6649">
        <v>606</v>
      </c>
      <c r="D6649" s="201">
        <v>-14199</v>
      </c>
      <c r="E6649" s="201">
        <v>4274</v>
      </c>
      <c r="F6649">
        <v>-362</v>
      </c>
      <c r="G6649">
        <v>-598</v>
      </c>
      <c r="H6649">
        <v>3190</v>
      </c>
      <c r="I6649">
        <v>268</v>
      </c>
      <c r="J6649">
        <v>-1840</v>
      </c>
      <c r="K6649" s="201">
        <v>237</v>
      </c>
    </row>
    <row r="6650" spans="1:11" x14ac:dyDescent="0.25">
      <c r="A6650"/>
      <c r="B6650" s="201">
        <v>3655</v>
      </c>
      <c r="C6650">
        <v>257</v>
      </c>
      <c r="D6650" s="201">
        <v>-1567</v>
      </c>
      <c r="E6650" s="201">
        <v>-66</v>
      </c>
      <c r="F6650">
        <v>1764</v>
      </c>
      <c r="G6650">
        <v>345</v>
      </c>
      <c r="H6650">
        <v>-1327</v>
      </c>
      <c r="I6650">
        <v>2378</v>
      </c>
      <c r="J6650">
        <v>4058</v>
      </c>
      <c r="K6650" s="201">
        <v>-263</v>
      </c>
    </row>
    <row r="6651" spans="1:11" x14ac:dyDescent="0.25">
      <c r="A6651"/>
      <c r="B6651" s="201">
        <v>-837</v>
      </c>
      <c r="C6651">
        <v>-666</v>
      </c>
      <c r="D6651" s="201">
        <v>-855</v>
      </c>
      <c r="E6651" s="201">
        <v>725</v>
      </c>
      <c r="F6651">
        <v>152</v>
      </c>
      <c r="G6651">
        <v>204</v>
      </c>
      <c r="H6651">
        <v>-913</v>
      </c>
      <c r="I6651">
        <v>-459</v>
      </c>
      <c r="J6651">
        <v>438</v>
      </c>
      <c r="K6651" s="201">
        <v>-29</v>
      </c>
    </row>
    <row r="6652" spans="1:11" x14ac:dyDescent="0.25">
      <c r="A6652"/>
      <c r="B6652" s="201">
        <v>-1744</v>
      </c>
      <c r="C6652">
        <v>1287</v>
      </c>
      <c r="D6652" s="201">
        <v>2291</v>
      </c>
      <c r="E6652" s="201">
        <v>713</v>
      </c>
      <c r="F6652">
        <v>739</v>
      </c>
      <c r="G6652">
        <v>558</v>
      </c>
      <c r="H6652">
        <v>138</v>
      </c>
      <c r="I6652">
        <v>-25</v>
      </c>
      <c r="J6652">
        <v>68</v>
      </c>
      <c r="K6652" s="201">
        <v>43</v>
      </c>
    </row>
    <row r="6653" spans="1:11" x14ac:dyDescent="0.25">
      <c r="A6653"/>
      <c r="B6653" s="201">
        <v>-3</v>
      </c>
      <c r="C6653" s="201">
        <v>33244</v>
      </c>
      <c r="D6653" s="201">
        <v>42682</v>
      </c>
      <c r="E6653" s="201">
        <v>39451</v>
      </c>
      <c r="F6653">
        <v>36863</v>
      </c>
      <c r="G6653">
        <v>33630</v>
      </c>
      <c r="H6653">
        <v>18092</v>
      </c>
      <c r="I6653">
        <v>23723</v>
      </c>
      <c r="J6653">
        <v>17622</v>
      </c>
      <c r="K6653" s="201">
        <v>24683</v>
      </c>
    </row>
    <row r="6654" spans="1:11" x14ac:dyDescent="0.25">
      <c r="B6654" s="201">
        <v>26905</v>
      </c>
      <c r="C6654">
        <v>251</v>
      </c>
      <c r="D6654" s="201">
        <v>-30906</v>
      </c>
      <c r="E6654" s="201">
        <v>-214</v>
      </c>
      <c r="F6654">
        <v>-30</v>
      </c>
      <c r="G6654">
        <v>154</v>
      </c>
      <c r="H6654">
        <v>0</v>
      </c>
      <c r="I6654">
        <v>0</v>
      </c>
      <c r="J6654">
        <v>6</v>
      </c>
      <c r="K6654" s="201">
        <v>0</v>
      </c>
    </row>
    <row r="6655" spans="1:11" x14ac:dyDescent="0.25">
      <c r="A6655"/>
      <c r="B6655" s="201">
        <v>0</v>
      </c>
      <c r="C6655">
        <v>0</v>
      </c>
      <c r="D6655" s="201">
        <v>232</v>
      </c>
      <c r="E6655" s="201">
        <v>218</v>
      </c>
      <c r="F6655">
        <v>0</v>
      </c>
      <c r="G6655">
        <v>0</v>
      </c>
      <c r="H6655">
        <v>0</v>
      </c>
      <c r="I6655">
        <v>0</v>
      </c>
      <c r="J6655">
        <v>0</v>
      </c>
      <c r="K6655" s="201">
        <v>0</v>
      </c>
    </row>
    <row r="6656" spans="1:11" x14ac:dyDescent="0.25">
      <c r="A6656"/>
      <c r="B6656" s="201">
        <v>-77</v>
      </c>
      <c r="C6656">
        <v>0</v>
      </c>
      <c r="D6656" s="201">
        <v>0</v>
      </c>
      <c r="E6656" s="201">
        <v>124</v>
      </c>
      <c r="F6656">
        <v>0</v>
      </c>
      <c r="G6656">
        <v>-162</v>
      </c>
      <c r="H6656">
        <v>0</v>
      </c>
      <c r="I6656">
        <v>-240</v>
      </c>
      <c r="J6656">
        <v>2</v>
      </c>
      <c r="K6656" s="201">
        <v>-32</v>
      </c>
    </row>
    <row r="6657" spans="1:11" x14ac:dyDescent="0.25">
      <c r="A6657"/>
      <c r="B6657" s="201">
        <v>0</v>
      </c>
      <c r="C6657" s="201">
        <v>72</v>
      </c>
      <c r="D6657" s="201">
        <v>-26312</v>
      </c>
      <c r="E6657" s="201">
        <v>-70</v>
      </c>
      <c r="F6657">
        <v>-121</v>
      </c>
      <c r="G6657">
        <v>-260</v>
      </c>
      <c r="H6657">
        <v>-353</v>
      </c>
      <c r="I6657">
        <v>0</v>
      </c>
      <c r="J6657">
        <v>83</v>
      </c>
      <c r="K6657" s="201">
        <v>0</v>
      </c>
    </row>
    <row r="6658" spans="1:11" x14ac:dyDescent="0.25">
      <c r="A6658"/>
      <c r="B6658" s="201">
        <v>0</v>
      </c>
      <c r="C6658">
        <v>0</v>
      </c>
      <c r="D6658" s="201">
        <v>0</v>
      </c>
      <c r="E6658" s="201">
        <v>0</v>
      </c>
      <c r="F6658">
        <v>-30</v>
      </c>
      <c r="G6658">
        <v>0</v>
      </c>
      <c r="H6658">
        <v>0</v>
      </c>
      <c r="I6658">
        <v>0</v>
      </c>
      <c r="J6658">
        <v>148</v>
      </c>
      <c r="K6658" s="201">
        <v>0</v>
      </c>
    </row>
    <row r="6659" spans="1:11" x14ac:dyDescent="0.25">
      <c r="A6659"/>
      <c r="B6659" s="201">
        <v>125</v>
      </c>
      <c r="C6659">
        <v>0</v>
      </c>
      <c r="D6659" s="201">
        <v>0</v>
      </c>
      <c r="E6659" s="201">
        <v>0</v>
      </c>
      <c r="F6659">
        <v>0</v>
      </c>
      <c r="G6659">
        <v>0</v>
      </c>
      <c r="H6659">
        <v>64</v>
      </c>
      <c r="I6659">
        <v>0</v>
      </c>
      <c r="J6659">
        <v>-28</v>
      </c>
      <c r="K6659" s="201">
        <v>275</v>
      </c>
    </row>
    <row r="6660" spans="1:11" x14ac:dyDescent="0.25">
      <c r="A6660"/>
      <c r="B6660" s="201">
        <v>0</v>
      </c>
      <c r="C6660">
        <v>0</v>
      </c>
      <c r="D6660" s="201">
        <v>1613</v>
      </c>
      <c r="E6660" s="201">
        <v>-45106</v>
      </c>
      <c r="F6660">
        <v>0</v>
      </c>
      <c r="G6660">
        <v>-370</v>
      </c>
      <c r="H6660">
        <v>0</v>
      </c>
      <c r="I6660">
        <v>0</v>
      </c>
      <c r="J6660">
        <v>0</v>
      </c>
      <c r="K6660" s="201">
        <v>0</v>
      </c>
    </row>
    <row r="6661" spans="1:11" x14ac:dyDescent="0.25">
      <c r="B6661" s="201">
        <v>-533</v>
      </c>
      <c r="C6661">
        <v>118</v>
      </c>
      <c r="D6661" s="201">
        <v>-32</v>
      </c>
      <c r="E6661" s="201">
        <v>0</v>
      </c>
      <c r="F6661">
        <v>0</v>
      </c>
      <c r="G6661">
        <v>-624</v>
      </c>
      <c r="H6661">
        <v>-108</v>
      </c>
      <c r="I6661">
        <v>0</v>
      </c>
      <c r="J6661">
        <v>197</v>
      </c>
      <c r="K6661" s="201">
        <v>-67</v>
      </c>
    </row>
    <row r="6662" spans="1:11" x14ac:dyDescent="0.25">
      <c r="A6662"/>
      <c r="B6662" s="201">
        <v>1118</v>
      </c>
      <c r="C6662">
        <v>69</v>
      </c>
      <c r="D6662" s="201">
        <v>9</v>
      </c>
      <c r="E6662" s="201">
        <v>1033</v>
      </c>
      <c r="F6662">
        <v>-763</v>
      </c>
      <c r="G6662">
        <v>0</v>
      </c>
      <c r="H6662">
        <v>0</v>
      </c>
      <c r="I6662">
        <v>0</v>
      </c>
      <c r="J6662">
        <v>0</v>
      </c>
      <c r="K6662" s="201">
        <v>0</v>
      </c>
    </row>
    <row r="6663" spans="1:11" x14ac:dyDescent="0.25">
      <c r="A6663"/>
      <c r="B6663" s="201">
        <v>-1134</v>
      </c>
      <c r="C6663">
        <v>0</v>
      </c>
      <c r="D6663" s="201">
        <v>2522</v>
      </c>
      <c r="E6663" s="201">
        <v>3003</v>
      </c>
      <c r="F6663">
        <v>1474</v>
      </c>
      <c r="G6663">
        <v>0</v>
      </c>
      <c r="H6663">
        <v>-388</v>
      </c>
      <c r="I6663">
        <v>-42209</v>
      </c>
      <c r="J6663">
        <v>-11</v>
      </c>
      <c r="K6663" s="201">
        <v>-73</v>
      </c>
    </row>
    <row r="6664" spans="1:11" x14ac:dyDescent="0.25">
      <c r="A6664"/>
      <c r="B6664" s="201">
        <v>501</v>
      </c>
      <c r="C6664">
        <v>0</v>
      </c>
      <c r="D6664" s="201">
        <v>348</v>
      </c>
      <c r="E6664" s="201">
        <v>-19</v>
      </c>
      <c r="F6664">
        <v>-79</v>
      </c>
      <c r="G6664">
        <v>-24</v>
      </c>
      <c r="H6664">
        <v>0</v>
      </c>
      <c r="I6664">
        <v>-19</v>
      </c>
      <c r="J6664">
        <v>14</v>
      </c>
      <c r="K6664" s="201">
        <v>0</v>
      </c>
    </row>
    <row r="6665" spans="1:11" x14ac:dyDescent="0.25">
      <c r="A6665"/>
      <c r="B6665" s="201">
        <v>0</v>
      </c>
      <c r="C6665">
        <v>0</v>
      </c>
      <c r="D6665" s="201">
        <v>18</v>
      </c>
      <c r="E6665" s="201">
        <v>-83</v>
      </c>
      <c r="F6665">
        <v>0</v>
      </c>
      <c r="G6665">
        <v>74</v>
      </c>
      <c r="H6665">
        <v>-248</v>
      </c>
      <c r="I6665">
        <v>-214</v>
      </c>
      <c r="J6665">
        <v>-600</v>
      </c>
      <c r="K6665" s="201">
        <v>0</v>
      </c>
    </row>
    <row r="6666" spans="1:11" x14ac:dyDescent="0.25">
      <c r="A6666"/>
      <c r="B6666" s="201">
        <v>0</v>
      </c>
      <c r="C6666">
        <v>0</v>
      </c>
      <c r="D6666" s="201">
        <v>0</v>
      </c>
      <c r="E6666" s="201">
        <v>0</v>
      </c>
      <c r="F6666">
        <v>-21</v>
      </c>
      <c r="G6666">
        <v>0</v>
      </c>
      <c r="H6666">
        <v>412</v>
      </c>
      <c r="I6666">
        <v>27</v>
      </c>
      <c r="J6666">
        <v>-155</v>
      </c>
      <c r="K6666" s="201">
        <v>0</v>
      </c>
    </row>
    <row r="6667" spans="1:11" x14ac:dyDescent="0.25">
      <c r="A6667"/>
      <c r="B6667" s="201">
        <v>-905</v>
      </c>
      <c r="C6667" s="201">
        <v>-42781</v>
      </c>
      <c r="D6667" s="201">
        <v>-1212</v>
      </c>
      <c r="E6667" s="201">
        <v>644</v>
      </c>
      <c r="F6667">
        <v>-494</v>
      </c>
      <c r="G6667">
        <v>-303</v>
      </c>
      <c r="H6667">
        <v>153</v>
      </c>
      <c r="I6667">
        <v>682</v>
      </c>
      <c r="J6667">
        <v>0</v>
      </c>
      <c r="K6667" s="201">
        <v>557</v>
      </c>
    </row>
    <row r="6668" spans="1:11" x14ac:dyDescent="0.25">
      <c r="A6668"/>
      <c r="B6668" s="201">
        <v>0</v>
      </c>
      <c r="C6668">
        <v>0</v>
      </c>
      <c r="D6668" s="201">
        <v>768</v>
      </c>
      <c r="E6668" s="201">
        <v>1166</v>
      </c>
      <c r="F6668">
        <v>0</v>
      </c>
      <c r="G6668">
        <v>3061</v>
      </c>
      <c r="H6668">
        <v>0</v>
      </c>
      <c r="I6668">
        <v>0</v>
      </c>
      <c r="J6668">
        <v>-1349</v>
      </c>
      <c r="K6668" s="201">
        <v>0</v>
      </c>
    </row>
    <row r="6669" spans="1:11" x14ac:dyDescent="0.25">
      <c r="A6669"/>
      <c r="B6669" s="201">
        <v>2268</v>
      </c>
      <c r="C6669">
        <v>818</v>
      </c>
      <c r="D6669" s="201">
        <v>3681</v>
      </c>
      <c r="E6669" s="201">
        <v>0</v>
      </c>
      <c r="F6669">
        <v>0</v>
      </c>
      <c r="G6669">
        <v>0</v>
      </c>
      <c r="H6669">
        <v>0</v>
      </c>
      <c r="I6669">
        <v>0</v>
      </c>
      <c r="J6669">
        <v>-160</v>
      </c>
      <c r="K6669" s="201">
        <v>0</v>
      </c>
    </row>
    <row r="6670" spans="1:11" x14ac:dyDescent="0.25">
      <c r="A6670"/>
      <c r="B6670" s="201">
        <v>15</v>
      </c>
      <c r="C6670">
        <v>1214</v>
      </c>
      <c r="D6670" s="201">
        <v>1257</v>
      </c>
      <c r="E6670" s="201">
        <v>0</v>
      </c>
      <c r="F6670">
        <v>-204</v>
      </c>
      <c r="G6670">
        <v>-49283</v>
      </c>
      <c r="H6670">
        <v>515</v>
      </c>
      <c r="I6670">
        <v>0</v>
      </c>
      <c r="J6670">
        <v>0</v>
      </c>
      <c r="K6670" s="201">
        <v>0</v>
      </c>
    </row>
    <row r="6671" spans="1:11" x14ac:dyDescent="0.25">
      <c r="B6671" s="201">
        <v>2179</v>
      </c>
      <c r="C6671">
        <v>3052</v>
      </c>
      <c r="D6671" s="201">
        <v>2158</v>
      </c>
      <c r="E6671" s="201">
        <v>-1340</v>
      </c>
      <c r="F6671">
        <v>-1248</v>
      </c>
      <c r="G6671">
        <v>0</v>
      </c>
      <c r="H6671">
        <v>316</v>
      </c>
      <c r="I6671">
        <v>0</v>
      </c>
      <c r="J6671">
        <v>0</v>
      </c>
      <c r="K6671" s="201">
        <v>21</v>
      </c>
    </row>
    <row r="6672" spans="1:11" x14ac:dyDescent="0.25">
      <c r="A6672"/>
      <c r="B6672" s="201">
        <v>0</v>
      </c>
      <c r="C6672">
        <v>-974</v>
      </c>
      <c r="D6672" s="201">
        <v>0</v>
      </c>
      <c r="E6672" s="201">
        <v>-1320</v>
      </c>
      <c r="F6672">
        <v>0</v>
      </c>
      <c r="G6672">
        <v>0</v>
      </c>
      <c r="H6672">
        <v>0</v>
      </c>
      <c r="I6672">
        <v>0</v>
      </c>
      <c r="J6672">
        <v>0</v>
      </c>
      <c r="K6672" s="201">
        <v>0</v>
      </c>
    </row>
    <row r="6673" spans="1:11" x14ac:dyDescent="0.25">
      <c r="A6673"/>
      <c r="B6673" s="201">
        <v>0</v>
      </c>
      <c r="C6673">
        <v>0</v>
      </c>
      <c r="D6673" s="201">
        <v>77</v>
      </c>
      <c r="E6673" s="201">
        <v>0</v>
      </c>
      <c r="F6673">
        <v>-2697</v>
      </c>
      <c r="G6673">
        <v>-2868</v>
      </c>
      <c r="H6673">
        <v>-1009</v>
      </c>
      <c r="I6673">
        <v>0</v>
      </c>
      <c r="J6673">
        <v>1130</v>
      </c>
      <c r="K6673" s="201">
        <v>-41423</v>
      </c>
    </row>
    <row r="6674" spans="1:11" x14ac:dyDescent="0.25">
      <c r="A6674"/>
      <c r="B6674" s="201">
        <v>0</v>
      </c>
      <c r="C6674">
        <v>0</v>
      </c>
      <c r="D6674" s="201">
        <v>0</v>
      </c>
      <c r="E6674" s="201">
        <v>0</v>
      </c>
      <c r="F6674">
        <v>0</v>
      </c>
      <c r="G6674">
        <v>-4021</v>
      </c>
      <c r="H6674">
        <v>-1451</v>
      </c>
      <c r="I6674">
        <v>-597</v>
      </c>
      <c r="J6674">
        <v>-746</v>
      </c>
      <c r="K6674" s="201">
        <v>-148</v>
      </c>
    </row>
    <row r="6675" spans="1:11" x14ac:dyDescent="0.25">
      <c r="A6675"/>
      <c r="B6675" s="201">
        <v>-22</v>
      </c>
      <c r="C6675">
        <v>0</v>
      </c>
      <c r="D6675" s="201">
        <v>0</v>
      </c>
      <c r="E6675" s="201">
        <v>0</v>
      </c>
      <c r="F6675">
        <v>0</v>
      </c>
      <c r="G6675">
        <v>-2582</v>
      </c>
      <c r="H6675">
        <v>0</v>
      </c>
      <c r="I6675">
        <v>-1605</v>
      </c>
      <c r="J6675">
        <v>0</v>
      </c>
      <c r="K6675" s="201">
        <v>0</v>
      </c>
    </row>
    <row r="6676" spans="1:11" x14ac:dyDescent="0.25">
      <c r="A6676"/>
      <c r="B6676" s="201">
        <v>147</v>
      </c>
      <c r="C6676">
        <v>0</v>
      </c>
      <c r="D6676" s="201">
        <v>0</v>
      </c>
      <c r="E6676" s="201">
        <v>0</v>
      </c>
      <c r="F6676">
        <v>0</v>
      </c>
      <c r="G6676">
        <v>0</v>
      </c>
      <c r="H6676">
        <v>-1286</v>
      </c>
      <c r="I6676">
        <v>0</v>
      </c>
      <c r="J6676">
        <v>-84</v>
      </c>
      <c r="K6676" s="201">
        <v>-2528</v>
      </c>
    </row>
    <row r="6677" spans="1:11" x14ac:dyDescent="0.25">
      <c r="A6677"/>
      <c r="B6677" s="201">
        <v>-896</v>
      </c>
      <c r="C6677">
        <v>2457</v>
      </c>
      <c r="D6677" s="201">
        <v>680</v>
      </c>
      <c r="E6677" s="201">
        <v>432</v>
      </c>
      <c r="F6677">
        <v>362</v>
      </c>
      <c r="G6677">
        <v>285</v>
      </c>
      <c r="H6677">
        <v>-415</v>
      </c>
      <c r="I6677">
        <v>274</v>
      </c>
      <c r="J6677">
        <v>0</v>
      </c>
      <c r="K6677" s="201">
        <v>0</v>
      </c>
    </row>
    <row r="6678" spans="1:11" x14ac:dyDescent="0.25">
      <c r="A6678"/>
      <c r="B6678" s="201">
        <v>0</v>
      </c>
      <c r="C6678">
        <v>0</v>
      </c>
      <c r="D6678" s="201">
        <v>0</v>
      </c>
      <c r="E6678" s="201">
        <v>0</v>
      </c>
      <c r="F6678">
        <v>0</v>
      </c>
      <c r="G6678">
        <v>-1037</v>
      </c>
      <c r="H6678">
        <v>-344</v>
      </c>
      <c r="I6678">
        <v>659</v>
      </c>
      <c r="J6678">
        <v>-198</v>
      </c>
      <c r="K6678" s="201">
        <v>421</v>
      </c>
    </row>
    <row r="6679" spans="1:11" x14ac:dyDescent="0.25">
      <c r="A6679"/>
      <c r="B6679" s="201">
        <v>-263</v>
      </c>
      <c r="C6679">
        <v>0</v>
      </c>
      <c r="D6679" s="201">
        <v>0</v>
      </c>
      <c r="E6679" s="201">
        <v>22</v>
      </c>
      <c r="F6679">
        <v>0</v>
      </c>
      <c r="G6679">
        <v>224</v>
      </c>
      <c r="H6679">
        <v>-23</v>
      </c>
      <c r="I6679">
        <v>0</v>
      </c>
      <c r="J6679">
        <v>0</v>
      </c>
      <c r="K6679" s="201">
        <v>0</v>
      </c>
    </row>
    <row r="6680" spans="1:11" x14ac:dyDescent="0.25">
      <c r="A6680"/>
      <c r="B6680" s="201">
        <v>0</v>
      </c>
      <c r="C6680">
        <v>-1644</v>
      </c>
      <c r="D6680" s="201">
        <v>0</v>
      </c>
      <c r="E6680" s="201">
        <v>-829</v>
      </c>
      <c r="F6680">
        <v>-909</v>
      </c>
      <c r="G6680">
        <v>0</v>
      </c>
      <c r="H6680">
        <v>0</v>
      </c>
      <c r="I6680">
        <v>0</v>
      </c>
      <c r="J6680">
        <v>0</v>
      </c>
      <c r="K6680" s="201">
        <v>0</v>
      </c>
    </row>
    <row r="6681" spans="1:11" x14ac:dyDescent="0.25">
      <c r="A6681"/>
      <c r="B6681" s="201">
        <v>0</v>
      </c>
      <c r="C6681">
        <v>0</v>
      </c>
      <c r="D6681" s="201">
        <v>0</v>
      </c>
      <c r="E6681" s="201">
        <v>0</v>
      </c>
      <c r="F6681">
        <v>0</v>
      </c>
      <c r="G6681">
        <v>0</v>
      </c>
      <c r="H6681">
        <v>0</v>
      </c>
      <c r="I6681">
        <v>0</v>
      </c>
      <c r="J6681">
        <v>0</v>
      </c>
      <c r="K6681" s="201">
        <v>0</v>
      </c>
    </row>
    <row r="6682" spans="1:11" x14ac:dyDescent="0.25">
      <c r="B6682" s="201">
        <v>-1659</v>
      </c>
      <c r="C6682">
        <v>0</v>
      </c>
      <c r="D6682" s="201">
        <v>0</v>
      </c>
      <c r="E6682" s="201">
        <v>0</v>
      </c>
      <c r="F6682">
        <v>0</v>
      </c>
      <c r="G6682">
        <v>0</v>
      </c>
      <c r="H6682">
        <v>378</v>
      </c>
      <c r="I6682">
        <v>62</v>
      </c>
      <c r="J6682">
        <v>-54</v>
      </c>
      <c r="K6682" s="201">
        <v>4137</v>
      </c>
    </row>
    <row r="6683" spans="1:11" x14ac:dyDescent="0.25">
      <c r="A6683"/>
      <c r="B6683" s="201">
        <v>444</v>
      </c>
      <c r="C6683">
        <v>-4950</v>
      </c>
      <c r="D6683" s="201">
        <v>-3331</v>
      </c>
      <c r="E6683" s="201">
        <v>1690</v>
      </c>
      <c r="F6683">
        <v>-45</v>
      </c>
      <c r="G6683">
        <v>-1</v>
      </c>
      <c r="H6683">
        <v>707</v>
      </c>
      <c r="I6683">
        <v>204</v>
      </c>
      <c r="J6683">
        <v>7358</v>
      </c>
      <c r="K6683" s="201">
        <v>2116</v>
      </c>
    </row>
    <row r="6684" spans="1:11" x14ac:dyDescent="0.25">
      <c r="A6684"/>
      <c r="B6684" s="201">
        <v>-2172</v>
      </c>
      <c r="C6684">
        <v>1452</v>
      </c>
      <c r="D6684" s="201">
        <v>-2070</v>
      </c>
      <c r="E6684" s="201">
        <v>0</v>
      </c>
      <c r="F6684">
        <v>-167</v>
      </c>
      <c r="G6684">
        <v>4362</v>
      </c>
      <c r="H6684">
        <v>-15121</v>
      </c>
      <c r="I6684">
        <v>-401</v>
      </c>
      <c r="J6684">
        <v>868</v>
      </c>
      <c r="K6684" s="201">
        <v>134</v>
      </c>
    </row>
    <row r="6685" spans="1:11" x14ac:dyDescent="0.25">
      <c r="A6685"/>
      <c r="B6685" s="201">
        <v>4744</v>
      </c>
      <c r="C6685">
        <v>-1696</v>
      </c>
      <c r="D6685" s="201">
        <v>-2403</v>
      </c>
      <c r="E6685" s="201">
        <v>668</v>
      </c>
      <c r="F6685">
        <v>4745</v>
      </c>
      <c r="G6685">
        <v>-1436</v>
      </c>
      <c r="H6685">
        <v>-258</v>
      </c>
      <c r="I6685">
        <v>438</v>
      </c>
      <c r="J6685">
        <v>1976</v>
      </c>
      <c r="K6685" s="201">
        <v>-1354</v>
      </c>
    </row>
    <row r="6686" spans="1:11" x14ac:dyDescent="0.25">
      <c r="A6686"/>
      <c r="B6686" s="201">
        <v>1286</v>
      </c>
      <c r="C6686">
        <v>-220</v>
      </c>
      <c r="D6686" s="201">
        <v>4251</v>
      </c>
      <c r="E6686" s="201">
        <v>-709</v>
      </c>
      <c r="F6686">
        <v>-585</v>
      </c>
      <c r="G6686">
        <v>-354</v>
      </c>
      <c r="H6686">
        <v>234</v>
      </c>
      <c r="I6686">
        <v>626</v>
      </c>
      <c r="J6686">
        <v>272</v>
      </c>
      <c r="K6686" s="201">
        <v>-814</v>
      </c>
    </row>
    <row r="6687" spans="1:11" x14ac:dyDescent="0.25">
      <c r="A6687"/>
      <c r="B6687" s="201">
        <v>-964</v>
      </c>
      <c r="C6687">
        <v>74</v>
      </c>
      <c r="D6687" s="201">
        <v>529</v>
      </c>
      <c r="E6687" s="201">
        <v>-1430</v>
      </c>
      <c r="F6687">
        <v>1402</v>
      </c>
      <c r="G6687">
        <v>763</v>
      </c>
      <c r="H6687">
        <v>2075</v>
      </c>
      <c r="I6687">
        <v>941</v>
      </c>
      <c r="J6687">
        <v>972</v>
      </c>
      <c r="K6687" s="201">
        <v>-53</v>
      </c>
    </row>
    <row r="6688" spans="1:11" x14ac:dyDescent="0.25">
      <c r="A6688"/>
      <c r="B6688" s="201">
        <v>-57</v>
      </c>
      <c r="C6688">
        <v>-131</v>
      </c>
      <c r="D6688" s="201">
        <v>35</v>
      </c>
      <c r="E6688" s="201">
        <v>-47</v>
      </c>
      <c r="F6688">
        <v>33674</v>
      </c>
      <c r="G6688">
        <v>39759</v>
      </c>
      <c r="H6688">
        <v>43012</v>
      </c>
      <c r="I6688">
        <v>37098</v>
      </c>
      <c r="J6688">
        <v>33701</v>
      </c>
      <c r="K6688" s="201">
        <v>19604</v>
      </c>
    </row>
    <row r="6689" spans="1:11" x14ac:dyDescent="0.25">
      <c r="B6689" s="201">
        <v>21704</v>
      </c>
      <c r="C6689">
        <v>19341</v>
      </c>
      <c r="D6689" s="201">
        <v>24540</v>
      </c>
      <c r="E6689" s="201">
        <v>26455</v>
      </c>
      <c r="F6689">
        <v>47183</v>
      </c>
      <c r="G6689">
        <v>408</v>
      </c>
      <c r="H6689">
        <v>-30221</v>
      </c>
      <c r="I6689">
        <v>73</v>
      </c>
      <c r="J6689">
        <v>-49</v>
      </c>
      <c r="K6689" s="201">
        <v>211</v>
      </c>
    </row>
    <row r="6690" spans="1:11" x14ac:dyDescent="0.25">
      <c r="A6690"/>
      <c r="B6690" s="201">
        <v>0</v>
      </c>
      <c r="C6690">
        <v>0</v>
      </c>
      <c r="D6690" s="201">
        <v>51</v>
      </c>
      <c r="E6690" s="201">
        <v>0</v>
      </c>
      <c r="F6690">
        <v>0</v>
      </c>
      <c r="G6690">
        <v>0</v>
      </c>
      <c r="H6690">
        <v>-406</v>
      </c>
      <c r="I6690">
        <v>301</v>
      </c>
      <c r="J6690">
        <v>0</v>
      </c>
      <c r="K6690" s="201">
        <v>0</v>
      </c>
    </row>
    <row r="6691" spans="1:11" x14ac:dyDescent="0.25">
      <c r="A6691"/>
      <c r="B6691" s="76">
        <v>0</v>
      </c>
      <c r="C6691">
        <v>0</v>
      </c>
      <c r="D6691" s="201">
        <v>0</v>
      </c>
      <c r="E6691" s="201">
        <v>0</v>
      </c>
      <c r="F6691">
        <v>-64</v>
      </c>
      <c r="G6691">
        <v>0</v>
      </c>
      <c r="H6691">
        <v>0</v>
      </c>
      <c r="I6691">
        <v>120</v>
      </c>
      <c r="J6691">
        <v>0</v>
      </c>
      <c r="K6691" s="201">
        <v>-160</v>
      </c>
    </row>
    <row r="6692" spans="1:11" x14ac:dyDescent="0.25">
      <c r="A6692"/>
      <c r="B6692" s="201">
        <v>0</v>
      </c>
      <c r="C6692">
        <v>-250</v>
      </c>
      <c r="D6692" s="201">
        <v>0</v>
      </c>
      <c r="E6692" s="201">
        <v>-109</v>
      </c>
      <c r="F6692">
        <v>0</v>
      </c>
      <c r="G6692">
        <v>14</v>
      </c>
      <c r="H6692">
        <v>-25857</v>
      </c>
      <c r="I6692">
        <v>-31</v>
      </c>
      <c r="J6692">
        <v>-42</v>
      </c>
      <c r="K6692" s="201">
        <v>-237</v>
      </c>
    </row>
    <row r="6693" spans="1:11" x14ac:dyDescent="0.25">
      <c r="B6693" s="201">
        <v>-317</v>
      </c>
      <c r="C6693">
        <v>0</v>
      </c>
      <c r="D6693" s="201">
        <v>84</v>
      </c>
      <c r="E6693" s="201">
        <v>0</v>
      </c>
      <c r="F6693">
        <v>0</v>
      </c>
      <c r="G6693">
        <v>0</v>
      </c>
      <c r="H6693">
        <v>0</v>
      </c>
      <c r="I6693">
        <v>0</v>
      </c>
      <c r="J6693">
        <v>13</v>
      </c>
      <c r="K6693" s="201">
        <v>0</v>
      </c>
    </row>
    <row r="6694" spans="1:11" x14ac:dyDescent="0.25">
      <c r="A6694"/>
      <c r="B6694" s="201">
        <v>0</v>
      </c>
      <c r="C6694">
        <v>0</v>
      </c>
      <c r="D6694" s="201">
        <v>-7</v>
      </c>
      <c r="E6694" s="201">
        <v>0</v>
      </c>
      <c r="F6694">
        <v>41</v>
      </c>
      <c r="G6694">
        <v>0</v>
      </c>
      <c r="H6694">
        <v>0</v>
      </c>
      <c r="I6694">
        <v>0</v>
      </c>
      <c r="J6694">
        <v>0</v>
      </c>
      <c r="K6694" s="201">
        <v>0</v>
      </c>
    </row>
    <row r="6695" spans="1:11" x14ac:dyDescent="0.25">
      <c r="A6695"/>
      <c r="B6695" s="201">
        <v>87</v>
      </c>
      <c r="C6695">
        <v>0</v>
      </c>
      <c r="D6695" s="201">
        <v>-15</v>
      </c>
      <c r="E6695" s="201">
        <v>265</v>
      </c>
      <c r="F6695">
        <v>0</v>
      </c>
      <c r="G6695">
        <v>0</v>
      </c>
      <c r="H6695">
        <v>621</v>
      </c>
      <c r="I6695">
        <v>-42878</v>
      </c>
      <c r="J6695">
        <v>0</v>
      </c>
      <c r="K6695" s="201">
        <v>198</v>
      </c>
    </row>
    <row r="6696" spans="1:11" x14ac:dyDescent="0.25">
      <c r="A6696"/>
      <c r="B6696" s="201">
        <v>0</v>
      </c>
      <c r="C6696">
        <v>0</v>
      </c>
      <c r="D6696" s="201">
        <v>0</v>
      </c>
      <c r="E6696" s="201">
        <v>0</v>
      </c>
      <c r="F6696">
        <v>108</v>
      </c>
      <c r="G6696">
        <v>271</v>
      </c>
      <c r="H6696">
        <v>611</v>
      </c>
      <c r="I6696">
        <v>0</v>
      </c>
      <c r="J6696">
        <v>0</v>
      </c>
      <c r="K6696" s="201">
        <v>228</v>
      </c>
    </row>
    <row r="6697" spans="1:11" x14ac:dyDescent="0.25">
      <c r="B6697" s="201">
        <v>-375</v>
      </c>
      <c r="C6697">
        <v>0</v>
      </c>
      <c r="D6697" s="201">
        <v>-120</v>
      </c>
      <c r="E6697" s="201">
        <v>3304</v>
      </c>
      <c r="F6697">
        <v>-44</v>
      </c>
      <c r="G6697">
        <v>2081</v>
      </c>
      <c r="H6697">
        <v>-429</v>
      </c>
      <c r="I6697">
        <v>-224</v>
      </c>
      <c r="J6697">
        <v>-365</v>
      </c>
      <c r="K6697" s="201">
        <v>0</v>
      </c>
    </row>
    <row r="6698" spans="1:11" x14ac:dyDescent="0.25">
      <c r="A6698"/>
      <c r="B6698" s="201">
        <v>0</v>
      </c>
      <c r="C6698">
        <v>0</v>
      </c>
      <c r="D6698" s="201">
        <v>0</v>
      </c>
      <c r="E6698" s="201">
        <v>0</v>
      </c>
      <c r="F6698">
        <v>-573</v>
      </c>
      <c r="G6698">
        <v>0</v>
      </c>
      <c r="H6698">
        <v>2178</v>
      </c>
      <c r="I6698">
        <v>2687</v>
      </c>
      <c r="J6698">
        <v>622</v>
      </c>
      <c r="K6698" s="201">
        <v>0</v>
      </c>
    </row>
    <row r="6699" spans="1:11" x14ac:dyDescent="0.25">
      <c r="A6699"/>
      <c r="B6699" s="201">
        <v>-375</v>
      </c>
      <c r="C6699">
        <v>-41435</v>
      </c>
      <c r="D6699" s="201">
        <v>-30</v>
      </c>
      <c r="E6699" s="201">
        <v>49</v>
      </c>
      <c r="F6699">
        <v>26</v>
      </c>
      <c r="G6699">
        <v>0</v>
      </c>
      <c r="H6699">
        <v>558</v>
      </c>
      <c r="I6699">
        <v>-32</v>
      </c>
      <c r="J6699">
        <v>78</v>
      </c>
      <c r="K6699" s="201">
        <v>58</v>
      </c>
    </row>
    <row r="6700" spans="1:11" x14ac:dyDescent="0.25">
      <c r="A6700"/>
      <c r="B6700" s="201">
        <v>0</v>
      </c>
      <c r="C6700">
        <v>3</v>
      </c>
      <c r="D6700" s="201">
        <v>42</v>
      </c>
      <c r="E6700" s="201">
        <v>0</v>
      </c>
      <c r="F6700">
        <v>0</v>
      </c>
      <c r="G6700">
        <v>0</v>
      </c>
      <c r="H6700">
        <v>-17</v>
      </c>
      <c r="I6700">
        <v>164</v>
      </c>
      <c r="J6700">
        <v>0</v>
      </c>
      <c r="K6700" s="201">
        <v>135</v>
      </c>
    </row>
    <row r="6701" spans="1:11" x14ac:dyDescent="0.25">
      <c r="A6701"/>
      <c r="B6701" s="76">
        <v>5</v>
      </c>
      <c r="C6701">
        <v>-44</v>
      </c>
      <c r="D6701" s="201">
        <v>-2</v>
      </c>
      <c r="E6701" s="201">
        <v>0</v>
      </c>
      <c r="F6701">
        <v>0</v>
      </c>
      <c r="G6701">
        <v>0</v>
      </c>
      <c r="H6701">
        <v>0</v>
      </c>
      <c r="I6701">
        <v>0</v>
      </c>
      <c r="J6701">
        <v>192</v>
      </c>
      <c r="K6701" s="201">
        <v>0</v>
      </c>
    </row>
    <row r="6702" spans="1:11" x14ac:dyDescent="0.25">
      <c r="A6702"/>
      <c r="B6702" s="201">
        <v>226</v>
      </c>
      <c r="C6702">
        <v>49</v>
      </c>
      <c r="D6702" s="201">
        <v>-106</v>
      </c>
      <c r="E6702" s="201">
        <v>0</v>
      </c>
      <c r="F6702">
        <v>-495</v>
      </c>
      <c r="G6702">
        <v>-40539</v>
      </c>
      <c r="H6702">
        <v>-6</v>
      </c>
      <c r="I6702">
        <v>-15</v>
      </c>
      <c r="J6702">
        <v>14</v>
      </c>
      <c r="K6702" s="201">
        <v>14</v>
      </c>
    </row>
    <row r="6703" spans="1:11" x14ac:dyDescent="0.25">
      <c r="A6703"/>
      <c r="B6703" s="201">
        <v>420</v>
      </c>
      <c r="C6703">
        <v>-4</v>
      </c>
      <c r="D6703" s="201">
        <v>0</v>
      </c>
      <c r="E6703" s="201">
        <v>128</v>
      </c>
      <c r="F6703">
        <v>0</v>
      </c>
      <c r="G6703">
        <v>0</v>
      </c>
      <c r="H6703">
        <v>22</v>
      </c>
      <c r="I6703">
        <v>29</v>
      </c>
      <c r="J6703">
        <v>0</v>
      </c>
      <c r="K6703" s="201">
        <v>-12</v>
      </c>
    </row>
    <row r="6704" spans="1:11" x14ac:dyDescent="0.25">
      <c r="A6704"/>
      <c r="B6704" s="201">
        <v>0</v>
      </c>
      <c r="C6704">
        <v>0</v>
      </c>
      <c r="D6704" s="201">
        <v>-40</v>
      </c>
      <c r="E6704" s="201">
        <v>0</v>
      </c>
      <c r="F6704">
        <v>-18</v>
      </c>
      <c r="G6704">
        <v>-42</v>
      </c>
      <c r="H6704">
        <v>74</v>
      </c>
      <c r="I6704">
        <v>0</v>
      </c>
      <c r="J6704">
        <v>0</v>
      </c>
      <c r="K6704" s="201">
        <v>0</v>
      </c>
    </row>
    <row r="6705" spans="1:11" x14ac:dyDescent="0.25">
      <c r="A6705"/>
      <c r="B6705" s="201">
        <v>0</v>
      </c>
      <c r="C6705">
        <v>0</v>
      </c>
      <c r="D6705" s="201">
        <v>313</v>
      </c>
      <c r="E6705" s="201">
        <v>0</v>
      </c>
      <c r="F6705">
        <v>32</v>
      </c>
      <c r="G6705">
        <v>239</v>
      </c>
      <c r="H6705">
        <v>16</v>
      </c>
      <c r="I6705">
        <v>0</v>
      </c>
      <c r="J6705">
        <v>122</v>
      </c>
      <c r="K6705" s="201">
        <v>-51376</v>
      </c>
    </row>
    <row r="6706" spans="1:11" x14ac:dyDescent="0.25">
      <c r="A6706"/>
      <c r="B6706" s="201">
        <v>-119</v>
      </c>
      <c r="C6706">
        <v>0</v>
      </c>
      <c r="D6706" s="201">
        <v>0</v>
      </c>
      <c r="E6706" s="201">
        <v>0</v>
      </c>
      <c r="F6706">
        <v>593</v>
      </c>
      <c r="G6706">
        <v>1153</v>
      </c>
      <c r="H6706">
        <v>-397</v>
      </c>
      <c r="I6706">
        <v>-685</v>
      </c>
      <c r="J6706">
        <v>-566</v>
      </c>
      <c r="K6706" s="201">
        <v>0</v>
      </c>
    </row>
    <row r="6707" spans="1:11" x14ac:dyDescent="0.25">
      <c r="B6707" s="201">
        <v>1281</v>
      </c>
      <c r="C6707">
        <v>0</v>
      </c>
      <c r="D6707" s="201">
        <v>0</v>
      </c>
      <c r="E6707" s="201">
        <v>424</v>
      </c>
      <c r="F6707">
        <v>0</v>
      </c>
      <c r="G6707">
        <v>-9241</v>
      </c>
      <c r="H6707">
        <v>0</v>
      </c>
      <c r="I6707">
        <v>-7696</v>
      </c>
      <c r="J6707">
        <v>0</v>
      </c>
      <c r="K6707" s="201">
        <v>0</v>
      </c>
    </row>
    <row r="6708" spans="1:11" x14ac:dyDescent="0.25">
      <c r="A6708"/>
      <c r="B6708" s="201">
        <v>0</v>
      </c>
      <c r="C6708">
        <v>0</v>
      </c>
      <c r="D6708" s="201">
        <v>0</v>
      </c>
      <c r="E6708" s="201">
        <v>0</v>
      </c>
      <c r="F6708">
        <v>0</v>
      </c>
      <c r="G6708">
        <v>0</v>
      </c>
      <c r="H6708">
        <v>-258</v>
      </c>
      <c r="I6708">
        <v>0</v>
      </c>
      <c r="J6708">
        <v>-3161</v>
      </c>
      <c r="K6708" s="201">
        <v>-1276</v>
      </c>
    </row>
    <row r="6709" spans="1:11" x14ac:dyDescent="0.25">
      <c r="A6709"/>
      <c r="B6709" s="201">
        <v>303</v>
      </c>
      <c r="C6709">
        <v>0</v>
      </c>
      <c r="D6709" s="201">
        <v>1002</v>
      </c>
      <c r="E6709" s="201">
        <v>-40721</v>
      </c>
      <c r="F6709">
        <v>0</v>
      </c>
      <c r="G6709">
        <v>0</v>
      </c>
      <c r="H6709">
        <v>0</v>
      </c>
      <c r="I6709">
        <v>0</v>
      </c>
      <c r="J6709">
        <v>0</v>
      </c>
      <c r="K6709" s="201">
        <v>-3542</v>
      </c>
    </row>
    <row r="6710" spans="1:11" x14ac:dyDescent="0.25">
      <c r="B6710" s="201">
        <v>-989</v>
      </c>
      <c r="C6710">
        <v>-577</v>
      </c>
      <c r="D6710" s="201">
        <v>-737</v>
      </c>
      <c r="E6710" s="201">
        <v>-80</v>
      </c>
      <c r="F6710">
        <v>-34</v>
      </c>
      <c r="G6710">
        <v>0</v>
      </c>
      <c r="H6710">
        <v>0</v>
      </c>
      <c r="I6710">
        <v>0</v>
      </c>
      <c r="J6710">
        <v>0</v>
      </c>
      <c r="K6710" s="201">
        <v>-1582</v>
      </c>
    </row>
    <row r="6711" spans="1:11" x14ac:dyDescent="0.25">
      <c r="A6711"/>
      <c r="B6711" s="201">
        <v>0</v>
      </c>
      <c r="C6711">
        <v>-1201</v>
      </c>
      <c r="D6711" s="201">
        <v>0</v>
      </c>
      <c r="E6711" s="201">
        <v>0</v>
      </c>
      <c r="F6711">
        <v>140</v>
      </c>
      <c r="G6711">
        <v>-32</v>
      </c>
      <c r="H6711">
        <v>0</v>
      </c>
      <c r="I6711">
        <v>0</v>
      </c>
      <c r="J6711">
        <v>0</v>
      </c>
      <c r="K6711" s="201">
        <v>0</v>
      </c>
    </row>
    <row r="6712" spans="1:11" x14ac:dyDescent="0.25">
      <c r="A6712"/>
      <c r="B6712" s="201">
        <v>-897</v>
      </c>
      <c r="C6712">
        <v>0</v>
      </c>
      <c r="D6712" s="201">
        <v>-330</v>
      </c>
      <c r="E6712" s="201">
        <v>-2384</v>
      </c>
      <c r="F6712">
        <v>-770</v>
      </c>
      <c r="G6712">
        <v>2290</v>
      </c>
      <c r="H6712">
        <v>370</v>
      </c>
      <c r="I6712">
        <v>116</v>
      </c>
      <c r="J6712">
        <v>266</v>
      </c>
      <c r="K6712" s="201">
        <v>218</v>
      </c>
    </row>
    <row r="6713" spans="1:11" x14ac:dyDescent="0.25">
      <c r="A6713"/>
      <c r="B6713" s="201">
        <v>-238</v>
      </c>
      <c r="C6713">
        <v>531</v>
      </c>
      <c r="D6713" s="201">
        <v>0</v>
      </c>
      <c r="E6713" s="201">
        <v>0</v>
      </c>
      <c r="F6713">
        <v>0</v>
      </c>
      <c r="G6713">
        <v>0</v>
      </c>
      <c r="H6713">
        <v>0</v>
      </c>
      <c r="I6713">
        <v>0</v>
      </c>
      <c r="J6713">
        <v>0</v>
      </c>
      <c r="K6713" s="201">
        <v>-68</v>
      </c>
    </row>
    <row r="6714" spans="1:11" x14ac:dyDescent="0.25">
      <c r="A6714"/>
      <c r="B6714" s="201">
        <v>-161</v>
      </c>
      <c r="C6714">
        <v>192</v>
      </c>
      <c r="D6714" s="201">
        <v>-91</v>
      </c>
      <c r="E6714" s="201">
        <v>929</v>
      </c>
      <c r="F6714">
        <v>99</v>
      </c>
      <c r="G6714">
        <v>0</v>
      </c>
      <c r="H6714">
        <v>0</v>
      </c>
      <c r="I6714">
        <v>55</v>
      </c>
      <c r="J6714">
        <v>0</v>
      </c>
      <c r="K6714" s="201">
        <v>202</v>
      </c>
    </row>
    <row r="6715" spans="1:11" x14ac:dyDescent="0.25">
      <c r="B6715" s="201">
        <v>-201</v>
      </c>
      <c r="C6715">
        <v>0</v>
      </c>
      <c r="D6715" s="201">
        <v>0</v>
      </c>
      <c r="E6715" s="201">
        <v>0</v>
      </c>
      <c r="F6715">
        <v>0</v>
      </c>
      <c r="G6715">
        <v>-222</v>
      </c>
      <c r="H6715">
        <v>0</v>
      </c>
      <c r="I6715">
        <v>-1234</v>
      </c>
      <c r="J6715">
        <v>-407</v>
      </c>
      <c r="K6715" s="201">
        <v>0</v>
      </c>
    </row>
    <row r="6716" spans="1:11" x14ac:dyDescent="0.25">
      <c r="A6716"/>
      <c r="B6716" s="201">
        <v>0</v>
      </c>
      <c r="C6716">
        <v>0</v>
      </c>
      <c r="D6716" s="201">
        <v>0</v>
      </c>
      <c r="E6716" s="201">
        <v>0</v>
      </c>
      <c r="F6716">
        <v>0</v>
      </c>
      <c r="G6716">
        <v>0</v>
      </c>
      <c r="H6716">
        <v>0</v>
      </c>
      <c r="I6716">
        <v>0</v>
      </c>
      <c r="J6716">
        <v>0</v>
      </c>
      <c r="K6716" s="201">
        <v>0</v>
      </c>
    </row>
    <row r="6717" spans="1:11" x14ac:dyDescent="0.25">
      <c r="A6717"/>
      <c r="B6717" s="201">
        <v>0</v>
      </c>
      <c r="C6717">
        <v>0</v>
      </c>
      <c r="D6717" s="201">
        <v>0</v>
      </c>
      <c r="E6717" s="201">
        <v>0</v>
      </c>
      <c r="F6717">
        <v>-1093</v>
      </c>
      <c r="G6717">
        <v>0</v>
      </c>
      <c r="H6717">
        <v>0</v>
      </c>
      <c r="I6717">
        <v>0</v>
      </c>
      <c r="J6717">
        <v>0</v>
      </c>
      <c r="K6717" s="201">
        <v>0</v>
      </c>
    </row>
    <row r="6718" spans="1:11" x14ac:dyDescent="0.25">
      <c r="A6718"/>
      <c r="B6718" s="201">
        <v>499</v>
      </c>
      <c r="C6718">
        <v>-164</v>
      </c>
      <c r="D6718" s="201">
        <v>99</v>
      </c>
      <c r="E6718" s="201">
        <v>-1685</v>
      </c>
      <c r="F6718">
        <v>-587</v>
      </c>
      <c r="G6718">
        <v>-772</v>
      </c>
      <c r="H6718">
        <v>-7427</v>
      </c>
      <c r="I6718">
        <v>2859</v>
      </c>
      <c r="J6718">
        <v>-13</v>
      </c>
      <c r="K6718" s="201">
        <v>-39</v>
      </c>
    </row>
    <row r="6719" spans="1:11" x14ac:dyDescent="0.25">
      <c r="A6719"/>
      <c r="B6719" s="201">
        <v>586</v>
      </c>
      <c r="C6719">
        <v>466</v>
      </c>
      <c r="D6719" s="201">
        <v>4683</v>
      </c>
      <c r="E6719" s="201">
        <v>1336</v>
      </c>
      <c r="F6719">
        <v>1306</v>
      </c>
      <c r="G6719">
        <v>-2779</v>
      </c>
      <c r="H6719">
        <v>-1202</v>
      </c>
      <c r="I6719">
        <v>0</v>
      </c>
      <c r="J6719">
        <v>457</v>
      </c>
      <c r="K6719" s="201">
        <v>2451</v>
      </c>
    </row>
    <row r="6720" spans="1:11" x14ac:dyDescent="0.25">
      <c r="A6720"/>
      <c r="B6720" s="201">
        <v>2293</v>
      </c>
      <c r="C6720">
        <v>-18328</v>
      </c>
      <c r="D6720" s="201">
        <v>978</v>
      </c>
      <c r="E6720" s="201">
        <v>442</v>
      </c>
      <c r="F6720">
        <v>497</v>
      </c>
      <c r="G6720">
        <v>3937</v>
      </c>
      <c r="H6720">
        <v>4377</v>
      </c>
      <c r="I6720">
        <v>511</v>
      </c>
      <c r="J6720">
        <v>496</v>
      </c>
      <c r="K6720" s="201">
        <v>2382</v>
      </c>
    </row>
    <row r="6721" spans="1:11" x14ac:dyDescent="0.25">
      <c r="A6721"/>
      <c r="B6721" s="201">
        <v>2048</v>
      </c>
      <c r="C6721">
        <v>294</v>
      </c>
      <c r="D6721" s="201">
        <v>456</v>
      </c>
      <c r="E6721" s="201">
        <v>347</v>
      </c>
      <c r="F6721">
        <v>-513</v>
      </c>
      <c r="G6721">
        <v>131</v>
      </c>
      <c r="H6721">
        <v>119</v>
      </c>
      <c r="I6721">
        <v>4932</v>
      </c>
      <c r="J6721">
        <v>-181</v>
      </c>
      <c r="K6721" s="201">
        <v>917</v>
      </c>
    </row>
    <row r="6722" spans="1:11" x14ac:dyDescent="0.25">
      <c r="A6722"/>
      <c r="B6722" s="201">
        <v>-165</v>
      </c>
      <c r="C6722">
        <v>-491</v>
      </c>
      <c r="D6722" s="201">
        <v>625</v>
      </c>
      <c r="E6722" s="201">
        <v>-939</v>
      </c>
      <c r="F6722">
        <v>-71</v>
      </c>
      <c r="G6722">
        <v>-198</v>
      </c>
      <c r="H6722">
        <v>-366</v>
      </c>
      <c r="I6722">
        <v>-902</v>
      </c>
      <c r="J6722">
        <v>1172</v>
      </c>
      <c r="K6722" s="201">
        <v>298</v>
      </c>
    </row>
    <row r="6723" spans="1:11" x14ac:dyDescent="0.25">
      <c r="B6723" s="201">
        <v>-862</v>
      </c>
      <c r="C6723">
        <v>1366</v>
      </c>
      <c r="D6723" s="201">
        <v>1054</v>
      </c>
      <c r="E6723" s="201">
        <v>139</v>
      </c>
      <c r="F6723">
        <v>49</v>
      </c>
      <c r="G6723">
        <v>-309</v>
      </c>
      <c r="H6723">
        <v>244</v>
      </c>
      <c r="I6723">
        <v>12</v>
      </c>
      <c r="J6723">
        <v>31328</v>
      </c>
      <c r="K6723" s="201">
        <v>38240</v>
      </c>
    </row>
    <row r="6724" spans="1:11" x14ac:dyDescent="0.25">
      <c r="B6724" s="201">
        <v>38169</v>
      </c>
      <c r="C6724">
        <v>39891</v>
      </c>
      <c r="D6724" s="201">
        <v>32408</v>
      </c>
      <c r="E6724" s="201">
        <v>14671</v>
      </c>
      <c r="F6724">
        <v>21209</v>
      </c>
      <c r="G6724">
        <v>17062</v>
      </c>
      <c r="H6724">
        <v>25923</v>
      </c>
      <c r="I6724">
        <v>25700</v>
      </c>
      <c r="J6724">
        <v>49051</v>
      </c>
      <c r="K6724" s="201">
        <v>49171</v>
      </c>
    </row>
    <row r="6725" spans="1:11" x14ac:dyDescent="0.25">
      <c r="A6725"/>
      <c r="B6725" s="201">
        <v>9</v>
      </c>
      <c r="C6725">
        <v>-29950</v>
      </c>
      <c r="D6725" s="201">
        <v>-69</v>
      </c>
      <c r="E6725" s="201">
        <v>-24</v>
      </c>
      <c r="F6725">
        <v>1009</v>
      </c>
      <c r="G6725">
        <v>0</v>
      </c>
      <c r="H6725">
        <v>0</v>
      </c>
      <c r="I6725">
        <v>-79</v>
      </c>
      <c r="J6725">
        <v>0</v>
      </c>
      <c r="K6725" s="201">
        <v>0</v>
      </c>
    </row>
    <row r="6726" spans="1:11" x14ac:dyDescent="0.25">
      <c r="A6726"/>
      <c r="B6726" s="201">
        <v>0</v>
      </c>
      <c r="C6726">
        <v>203</v>
      </c>
      <c r="D6726" s="201">
        <v>12</v>
      </c>
      <c r="E6726" s="201">
        <v>0</v>
      </c>
      <c r="F6726">
        <v>0</v>
      </c>
      <c r="G6726">
        <v>0</v>
      </c>
      <c r="H6726">
        <v>0</v>
      </c>
      <c r="I6726">
        <v>0</v>
      </c>
      <c r="J6726">
        <v>0</v>
      </c>
      <c r="K6726" s="201">
        <v>53</v>
      </c>
    </row>
    <row r="6727" spans="1:11" x14ac:dyDescent="0.25">
      <c r="A6727"/>
      <c r="B6727" s="201">
        <v>0</v>
      </c>
      <c r="C6727">
        <v>0</v>
      </c>
      <c r="D6727" s="201">
        <v>66</v>
      </c>
      <c r="E6727" s="201">
        <v>0</v>
      </c>
      <c r="F6727">
        <v>-109</v>
      </c>
      <c r="G6727">
        <v>0</v>
      </c>
      <c r="H6727">
        <v>-59</v>
      </c>
      <c r="I6727">
        <v>90</v>
      </c>
      <c r="J6727">
        <v>2</v>
      </c>
      <c r="K6727" s="201">
        <v>0</v>
      </c>
    </row>
    <row r="6728" spans="1:11" x14ac:dyDescent="0.25">
      <c r="B6728" s="201">
        <v>-167</v>
      </c>
      <c r="C6728">
        <v>-25288</v>
      </c>
      <c r="D6728" s="201">
        <v>36</v>
      </c>
      <c r="E6728" s="201">
        <v>355</v>
      </c>
      <c r="F6728">
        <v>108</v>
      </c>
      <c r="G6728">
        <v>-101</v>
      </c>
      <c r="H6728">
        <v>0</v>
      </c>
      <c r="I6728">
        <v>58</v>
      </c>
      <c r="J6728">
        <v>0</v>
      </c>
      <c r="K6728" s="201">
        <v>0</v>
      </c>
    </row>
    <row r="6729" spans="1:11" x14ac:dyDescent="0.25">
      <c r="A6729"/>
      <c r="B6729" s="201">
        <v>0</v>
      </c>
      <c r="C6729">
        <v>0</v>
      </c>
      <c r="D6729" s="201">
        <v>0</v>
      </c>
      <c r="E6729" s="201">
        <v>180</v>
      </c>
      <c r="F6729">
        <v>0</v>
      </c>
      <c r="G6729">
        <v>0</v>
      </c>
      <c r="H6729">
        <v>0</v>
      </c>
      <c r="I6729">
        <v>-73</v>
      </c>
      <c r="J6729">
        <v>0</v>
      </c>
      <c r="K6729" s="201">
        <v>29</v>
      </c>
    </row>
    <row r="6730" spans="1:11" x14ac:dyDescent="0.25">
      <c r="A6730"/>
      <c r="B6730" s="201">
        <v>0</v>
      </c>
      <c r="C6730">
        <v>0</v>
      </c>
      <c r="D6730" s="201">
        <v>0</v>
      </c>
      <c r="E6730" s="201">
        <v>0</v>
      </c>
      <c r="F6730">
        <v>0</v>
      </c>
      <c r="G6730">
        <v>-62</v>
      </c>
      <c r="H6730">
        <v>0</v>
      </c>
      <c r="I6730">
        <v>-718</v>
      </c>
      <c r="J6730">
        <v>356</v>
      </c>
      <c r="K6730" s="201">
        <v>0</v>
      </c>
    </row>
    <row r="6731" spans="1:11" x14ac:dyDescent="0.25">
      <c r="A6731"/>
      <c r="B6731" s="201">
        <v>0</v>
      </c>
      <c r="C6731" s="201">
        <v>-1510</v>
      </c>
      <c r="D6731" s="201">
        <v>-42271</v>
      </c>
      <c r="E6731" s="201">
        <v>0</v>
      </c>
      <c r="F6731">
        <v>175</v>
      </c>
      <c r="G6731">
        <v>0</v>
      </c>
      <c r="H6731">
        <v>0</v>
      </c>
      <c r="I6731">
        <v>0</v>
      </c>
      <c r="J6731">
        <v>0</v>
      </c>
      <c r="K6731" s="201">
        <v>-1660</v>
      </c>
    </row>
    <row r="6732" spans="1:11" x14ac:dyDescent="0.25">
      <c r="A6732"/>
      <c r="B6732" s="201">
        <v>1618</v>
      </c>
      <c r="C6732">
        <v>1594</v>
      </c>
      <c r="D6732" s="201">
        <v>0</v>
      </c>
      <c r="E6732" s="201">
        <v>0</v>
      </c>
      <c r="F6732">
        <v>79</v>
      </c>
      <c r="G6732">
        <v>519</v>
      </c>
      <c r="H6732">
        <v>0</v>
      </c>
      <c r="I6732">
        <v>43</v>
      </c>
      <c r="J6732">
        <v>1140</v>
      </c>
      <c r="K6732" s="201">
        <v>99</v>
      </c>
    </row>
    <row r="6733" spans="1:11" x14ac:dyDescent="0.25">
      <c r="A6733"/>
      <c r="B6733" s="201">
        <v>1529</v>
      </c>
      <c r="C6733">
        <v>437</v>
      </c>
      <c r="D6733" s="201">
        <v>408</v>
      </c>
      <c r="E6733" s="201">
        <v>1371</v>
      </c>
      <c r="F6733">
        <v>0</v>
      </c>
      <c r="G6733">
        <v>0</v>
      </c>
      <c r="H6733">
        <v>0</v>
      </c>
      <c r="I6733">
        <v>0</v>
      </c>
      <c r="J6733">
        <v>0</v>
      </c>
      <c r="K6733" s="201">
        <v>614</v>
      </c>
    </row>
    <row r="6734" spans="1:11" x14ac:dyDescent="0.25">
      <c r="A6734"/>
      <c r="B6734" s="201">
        <v>0</v>
      </c>
      <c r="C6734">
        <v>460</v>
      </c>
      <c r="D6734" s="201">
        <v>3939</v>
      </c>
      <c r="E6734" s="201">
        <v>957</v>
      </c>
      <c r="F6734">
        <v>0</v>
      </c>
      <c r="G6734">
        <v>195</v>
      </c>
      <c r="H6734">
        <v>-41460</v>
      </c>
      <c r="I6734">
        <v>56</v>
      </c>
      <c r="J6734">
        <v>244</v>
      </c>
      <c r="K6734" s="201">
        <v>114</v>
      </c>
    </row>
    <row r="6735" spans="1:11" x14ac:dyDescent="0.25">
      <c r="A6735"/>
      <c r="B6735" s="201">
        <v>0</v>
      </c>
      <c r="C6735">
        <v>1806</v>
      </c>
      <c r="D6735" s="201">
        <v>1761</v>
      </c>
      <c r="E6735" s="201">
        <v>48</v>
      </c>
      <c r="F6735">
        <v>-49</v>
      </c>
      <c r="G6735">
        <v>0</v>
      </c>
      <c r="H6735">
        <v>188</v>
      </c>
      <c r="I6735">
        <v>-374</v>
      </c>
      <c r="J6735">
        <v>0</v>
      </c>
      <c r="K6735" s="201">
        <v>0</v>
      </c>
    </row>
    <row r="6736" spans="1:11" x14ac:dyDescent="0.25">
      <c r="A6736"/>
      <c r="B6736" s="201">
        <v>0</v>
      </c>
      <c r="C6736">
        <v>-96</v>
      </c>
      <c r="D6736" s="201">
        <v>-1187</v>
      </c>
      <c r="E6736" s="201">
        <v>0</v>
      </c>
      <c r="F6736">
        <v>-734</v>
      </c>
      <c r="G6736">
        <v>6</v>
      </c>
      <c r="H6736">
        <v>6</v>
      </c>
      <c r="I6736">
        <v>-218</v>
      </c>
      <c r="J6736">
        <v>0</v>
      </c>
      <c r="K6736" s="201">
        <v>0</v>
      </c>
    </row>
    <row r="6737" spans="1:11" x14ac:dyDescent="0.25">
      <c r="A6737"/>
      <c r="B6737" s="201">
        <v>0</v>
      </c>
      <c r="C6737">
        <v>0</v>
      </c>
      <c r="D6737" s="201">
        <v>0</v>
      </c>
      <c r="E6737" s="201">
        <v>-259</v>
      </c>
      <c r="F6737">
        <v>0</v>
      </c>
      <c r="G6737">
        <v>353</v>
      </c>
      <c r="H6737">
        <v>-228</v>
      </c>
      <c r="I6737">
        <v>-9</v>
      </c>
      <c r="J6737">
        <v>0</v>
      </c>
      <c r="K6737" s="201">
        <v>-93</v>
      </c>
    </row>
    <row r="6738" spans="1:11" x14ac:dyDescent="0.25">
      <c r="A6738"/>
      <c r="B6738" s="201">
        <v>-40294</v>
      </c>
      <c r="C6738">
        <v>-89</v>
      </c>
      <c r="D6738" s="201">
        <v>136</v>
      </c>
      <c r="E6738" s="201">
        <v>-97</v>
      </c>
      <c r="F6738">
        <v>-93</v>
      </c>
      <c r="G6738">
        <v>1803</v>
      </c>
      <c r="H6738">
        <v>1931</v>
      </c>
      <c r="I6738">
        <v>0</v>
      </c>
      <c r="J6738">
        <v>67</v>
      </c>
      <c r="K6738" s="201">
        <v>0</v>
      </c>
    </row>
    <row r="6739" spans="1:11" x14ac:dyDescent="0.25">
      <c r="A6739"/>
      <c r="B6739" s="201">
        <v>0</v>
      </c>
      <c r="C6739">
        <v>-302</v>
      </c>
      <c r="D6739" s="201">
        <v>59</v>
      </c>
      <c r="E6739" s="201">
        <v>0</v>
      </c>
      <c r="F6739">
        <v>282</v>
      </c>
      <c r="G6739">
        <v>0</v>
      </c>
      <c r="H6739">
        <v>0</v>
      </c>
      <c r="I6739">
        <v>-39</v>
      </c>
      <c r="J6739">
        <v>0</v>
      </c>
      <c r="K6739" s="201">
        <v>141</v>
      </c>
    </row>
    <row r="6740" spans="1:11" x14ac:dyDescent="0.25">
      <c r="A6740"/>
      <c r="B6740" s="201">
        <v>16</v>
      </c>
      <c r="C6740">
        <v>43</v>
      </c>
      <c r="D6740" s="201">
        <v>0</v>
      </c>
      <c r="E6740" s="201">
        <v>0</v>
      </c>
      <c r="F6740">
        <v>0</v>
      </c>
      <c r="G6740">
        <v>0</v>
      </c>
      <c r="H6740">
        <v>0</v>
      </c>
      <c r="I6740">
        <v>-44</v>
      </c>
      <c r="J6740">
        <v>0</v>
      </c>
      <c r="K6740" s="201">
        <v>-237</v>
      </c>
    </row>
    <row r="6741" spans="1:11" x14ac:dyDescent="0.25">
      <c r="A6741"/>
      <c r="B6741" s="201">
        <v>-22</v>
      </c>
      <c r="C6741">
        <v>126</v>
      </c>
      <c r="D6741" s="201">
        <v>0</v>
      </c>
      <c r="E6741" s="201">
        <v>78</v>
      </c>
      <c r="F6741">
        <v>-48285</v>
      </c>
      <c r="G6741">
        <v>425</v>
      </c>
      <c r="H6741">
        <v>0</v>
      </c>
      <c r="I6741">
        <v>0</v>
      </c>
      <c r="J6741">
        <v>0</v>
      </c>
      <c r="K6741" s="201">
        <v>3683</v>
      </c>
    </row>
    <row r="6742" spans="1:11" x14ac:dyDescent="0.25">
      <c r="A6742"/>
      <c r="B6742" s="201">
        <v>5094</v>
      </c>
      <c r="C6742">
        <v>2164</v>
      </c>
      <c r="D6742" s="201">
        <v>-1295</v>
      </c>
      <c r="E6742" s="201">
        <v>-1273</v>
      </c>
      <c r="F6742">
        <v>0</v>
      </c>
      <c r="G6742">
        <v>-1</v>
      </c>
      <c r="H6742">
        <v>0</v>
      </c>
      <c r="I6742">
        <v>0</v>
      </c>
      <c r="J6742">
        <v>113</v>
      </c>
      <c r="K6742" s="201">
        <v>0</v>
      </c>
    </row>
    <row r="6743" spans="1:11" x14ac:dyDescent="0.25">
      <c r="B6743" s="201">
        <v>-799</v>
      </c>
      <c r="C6743">
        <v>0</v>
      </c>
      <c r="D6743" s="201">
        <v>-1120</v>
      </c>
      <c r="E6743" s="201">
        <v>0</v>
      </c>
      <c r="F6743">
        <v>0</v>
      </c>
      <c r="G6743">
        <v>0</v>
      </c>
      <c r="H6743">
        <v>0</v>
      </c>
      <c r="I6743">
        <v>0</v>
      </c>
      <c r="J6743">
        <v>0</v>
      </c>
      <c r="K6743" s="201">
        <v>0</v>
      </c>
    </row>
    <row r="6744" spans="1:11" x14ac:dyDescent="0.25">
      <c r="A6744"/>
      <c r="B6744" s="201">
        <v>0</v>
      </c>
      <c r="C6744">
        <v>83</v>
      </c>
      <c r="D6744" s="201">
        <v>0</v>
      </c>
      <c r="E6744" s="201">
        <v>-2456</v>
      </c>
      <c r="F6744">
        <v>-2876</v>
      </c>
      <c r="G6744">
        <v>-834</v>
      </c>
      <c r="H6744">
        <v>0</v>
      </c>
      <c r="I6744">
        <v>3235</v>
      </c>
      <c r="J6744">
        <v>-42589</v>
      </c>
      <c r="K6744" s="201">
        <v>0</v>
      </c>
    </row>
    <row r="6745" spans="1:11" x14ac:dyDescent="0.25">
      <c r="A6745"/>
      <c r="B6745" s="201">
        <v>0</v>
      </c>
      <c r="C6745">
        <v>0</v>
      </c>
      <c r="D6745" s="201">
        <v>0</v>
      </c>
      <c r="E6745" s="201">
        <v>0</v>
      </c>
      <c r="F6745">
        <v>-5429</v>
      </c>
      <c r="G6745">
        <v>-5510</v>
      </c>
      <c r="H6745">
        <v>-1360</v>
      </c>
      <c r="I6745">
        <v>-1311</v>
      </c>
      <c r="J6745">
        <v>-1628</v>
      </c>
      <c r="K6745" s="201">
        <v>-2086</v>
      </c>
    </row>
    <row r="6746" spans="1:11" x14ac:dyDescent="0.25">
      <c r="A6746"/>
      <c r="B6746" s="201">
        <v>0</v>
      </c>
      <c r="C6746">
        <v>0</v>
      </c>
      <c r="D6746" s="201">
        <v>0</v>
      </c>
      <c r="E6746" s="201">
        <v>0</v>
      </c>
      <c r="F6746">
        <v>-13795</v>
      </c>
      <c r="G6746">
        <v>0</v>
      </c>
      <c r="H6746">
        <v>-8285</v>
      </c>
      <c r="I6746">
        <v>0</v>
      </c>
      <c r="J6746">
        <v>0</v>
      </c>
      <c r="K6746" s="201">
        <v>1097</v>
      </c>
    </row>
    <row r="6747" spans="1:11" x14ac:dyDescent="0.25">
      <c r="A6747"/>
      <c r="B6747" s="201">
        <v>-366</v>
      </c>
      <c r="C6747">
        <v>0</v>
      </c>
      <c r="D6747" s="201">
        <v>0</v>
      </c>
      <c r="E6747" s="201">
        <v>0</v>
      </c>
      <c r="F6747">
        <v>0</v>
      </c>
      <c r="G6747">
        <v>-2102</v>
      </c>
      <c r="H6747">
        <v>0</v>
      </c>
      <c r="I6747">
        <v>-879</v>
      </c>
      <c r="J6747">
        <v>-1724</v>
      </c>
      <c r="K6747" s="201">
        <v>-1426</v>
      </c>
    </row>
    <row r="6748" spans="1:11" x14ac:dyDescent="0.25">
      <c r="A6748"/>
      <c r="B6748" s="201">
        <v>508</v>
      </c>
      <c r="C6748">
        <v>-157</v>
      </c>
      <c r="D6748" s="201">
        <v>-657</v>
      </c>
      <c r="E6748" s="201">
        <v>-514</v>
      </c>
      <c r="F6748">
        <v>-126</v>
      </c>
      <c r="G6748">
        <v>-1821</v>
      </c>
      <c r="H6748">
        <v>-768</v>
      </c>
      <c r="I6748">
        <v>0</v>
      </c>
      <c r="J6748">
        <v>0</v>
      </c>
      <c r="K6748" s="201">
        <v>0</v>
      </c>
    </row>
    <row r="6749" spans="1:11" x14ac:dyDescent="0.25">
      <c r="A6749"/>
      <c r="B6749" s="201">
        <v>0</v>
      </c>
      <c r="C6749">
        <v>0</v>
      </c>
      <c r="D6749" s="201">
        <v>0</v>
      </c>
      <c r="E6749" s="201">
        <v>0</v>
      </c>
      <c r="F6749">
        <v>-386</v>
      </c>
      <c r="G6749">
        <v>-269</v>
      </c>
      <c r="H6749">
        <v>3120</v>
      </c>
      <c r="I6749">
        <v>-159</v>
      </c>
      <c r="J6749">
        <v>2033</v>
      </c>
      <c r="K6749" s="201">
        <v>-56</v>
      </c>
    </row>
    <row r="6750" spans="1:11" x14ac:dyDescent="0.25">
      <c r="A6750"/>
      <c r="B6750" s="201">
        <v>0</v>
      </c>
      <c r="C6750">
        <v>0</v>
      </c>
      <c r="D6750" s="201">
        <v>-295</v>
      </c>
      <c r="E6750" s="201">
        <v>0</v>
      </c>
      <c r="F6750">
        <v>269</v>
      </c>
      <c r="G6750">
        <v>232</v>
      </c>
      <c r="H6750">
        <v>0</v>
      </c>
      <c r="I6750">
        <v>0</v>
      </c>
      <c r="J6750">
        <v>0</v>
      </c>
      <c r="K6750" s="201">
        <v>0</v>
      </c>
    </row>
    <row r="6751" spans="1:11" x14ac:dyDescent="0.25">
      <c r="A6751"/>
      <c r="B6751" s="201">
        <v>179</v>
      </c>
      <c r="C6751">
        <v>0</v>
      </c>
      <c r="D6751" s="201">
        <v>-4535</v>
      </c>
      <c r="E6751" s="201">
        <v>-7888</v>
      </c>
      <c r="F6751">
        <v>0</v>
      </c>
      <c r="G6751">
        <v>0</v>
      </c>
      <c r="H6751">
        <v>0</v>
      </c>
      <c r="I6751">
        <v>0</v>
      </c>
      <c r="J6751">
        <v>0</v>
      </c>
      <c r="K6751" s="201">
        <v>0</v>
      </c>
    </row>
    <row r="6752" spans="1:11" x14ac:dyDescent="0.25">
      <c r="A6752"/>
      <c r="B6752" s="201">
        <v>0</v>
      </c>
      <c r="C6752">
        <v>0</v>
      </c>
      <c r="D6752" s="201">
        <v>0</v>
      </c>
      <c r="E6752" s="201">
        <v>0</v>
      </c>
      <c r="F6752">
        <v>0</v>
      </c>
      <c r="G6752">
        <v>0</v>
      </c>
      <c r="H6752">
        <v>0</v>
      </c>
      <c r="I6752">
        <v>0</v>
      </c>
      <c r="J6752">
        <v>0</v>
      </c>
      <c r="K6752" s="201">
        <v>61</v>
      </c>
    </row>
    <row r="6753" spans="1:11" x14ac:dyDescent="0.25">
      <c r="A6753"/>
      <c r="B6753" s="201">
        <v>0</v>
      </c>
      <c r="C6753">
        <v>0</v>
      </c>
      <c r="D6753" s="201">
        <v>0</v>
      </c>
      <c r="E6753" s="201">
        <v>0</v>
      </c>
      <c r="F6753">
        <v>0</v>
      </c>
      <c r="G6753">
        <v>427</v>
      </c>
      <c r="H6753">
        <v>398</v>
      </c>
      <c r="I6753">
        <v>8</v>
      </c>
      <c r="J6753">
        <v>4177</v>
      </c>
      <c r="K6753" s="201">
        <v>1690</v>
      </c>
    </row>
    <row r="6754" spans="1:11" x14ac:dyDescent="0.25">
      <c r="A6754"/>
      <c r="B6754" s="201">
        <v>1603</v>
      </c>
      <c r="C6754">
        <v>-1641</v>
      </c>
      <c r="D6754" s="201">
        <v>127</v>
      </c>
      <c r="E6754" s="201">
        <v>-198</v>
      </c>
      <c r="F6754">
        <v>69</v>
      </c>
      <c r="G6754">
        <v>469</v>
      </c>
      <c r="H6754">
        <v>421</v>
      </c>
      <c r="I6754">
        <v>402</v>
      </c>
      <c r="J6754">
        <v>1746</v>
      </c>
      <c r="K6754" s="201">
        <v>1474</v>
      </c>
    </row>
    <row r="6755" spans="1:11" x14ac:dyDescent="0.25">
      <c r="A6755"/>
      <c r="B6755" s="201">
        <v>1709</v>
      </c>
      <c r="C6755">
        <v>29</v>
      </c>
      <c r="D6755" s="201">
        <v>0</v>
      </c>
      <c r="E6755" s="201">
        <v>4933</v>
      </c>
      <c r="F6755">
        <v>2559</v>
      </c>
      <c r="G6755">
        <v>2354</v>
      </c>
      <c r="H6755">
        <v>-251</v>
      </c>
      <c r="I6755">
        <v>3108</v>
      </c>
      <c r="J6755">
        <v>1251</v>
      </c>
      <c r="K6755" s="201">
        <v>1827</v>
      </c>
    </row>
    <row r="6756" spans="1:11" x14ac:dyDescent="0.25">
      <c r="B6756" s="201">
        <v>-577</v>
      </c>
      <c r="C6756">
        <v>2983</v>
      </c>
      <c r="D6756" s="201">
        <v>1961</v>
      </c>
      <c r="E6756" s="201">
        <v>1488</v>
      </c>
      <c r="F6756">
        <v>-636</v>
      </c>
      <c r="G6756">
        <v>2105</v>
      </c>
      <c r="H6756">
        <v>1338</v>
      </c>
      <c r="I6756">
        <v>1342</v>
      </c>
      <c r="J6756">
        <v>-685</v>
      </c>
      <c r="K6756" s="201">
        <v>2718</v>
      </c>
    </row>
    <row r="6757" spans="1:11" x14ac:dyDescent="0.25">
      <c r="A6757"/>
      <c r="B6757" s="201">
        <v>962</v>
      </c>
      <c r="C6757">
        <v>1246</v>
      </c>
      <c r="D6757" s="201">
        <v>-60</v>
      </c>
      <c r="E6757" s="201">
        <v>-167</v>
      </c>
      <c r="F6757">
        <v>-934</v>
      </c>
      <c r="G6757">
        <v>-282</v>
      </c>
      <c r="H6757">
        <v>-515</v>
      </c>
      <c r="I6757">
        <v>-281</v>
      </c>
      <c r="J6757">
        <v>160</v>
      </c>
      <c r="K6757" s="201">
        <v>534</v>
      </c>
    </row>
    <row r="6758" spans="1:11" x14ac:dyDescent="0.25">
      <c r="A6758"/>
      <c r="B6758" s="201">
        <v>-492</v>
      </c>
      <c r="C6758">
        <v>-464</v>
      </c>
      <c r="D6758" s="201">
        <v>-2112</v>
      </c>
      <c r="E6758" s="201">
        <v>1810</v>
      </c>
      <c r="F6758">
        <v>62</v>
      </c>
      <c r="G6758">
        <v>-108</v>
      </c>
      <c r="H6758">
        <v>137</v>
      </c>
      <c r="I6758">
        <v>2626</v>
      </c>
      <c r="J6758">
        <v>267</v>
      </c>
      <c r="K6758" s="201">
        <v>187</v>
      </c>
    </row>
    <row r="6759" spans="1:11" x14ac:dyDescent="0.25">
      <c r="A6759"/>
      <c r="B6759" s="201">
        <v>6</v>
      </c>
      <c r="C6759">
        <v>185</v>
      </c>
      <c r="D6759" s="201">
        <v>254</v>
      </c>
      <c r="E6759" s="201">
        <v>32869</v>
      </c>
      <c r="F6759">
        <v>37559</v>
      </c>
      <c r="G6759">
        <v>37522</v>
      </c>
      <c r="H6759">
        <v>34794</v>
      </c>
      <c r="I6759">
        <v>35346</v>
      </c>
      <c r="J6759">
        <v>16411</v>
      </c>
      <c r="K6759" s="201">
        <v>21596</v>
      </c>
    </row>
    <row r="6760" spans="1:11" x14ac:dyDescent="0.25">
      <c r="B6760" s="201">
        <v>17190</v>
      </c>
      <c r="C6760" s="201">
        <v>23909</v>
      </c>
      <c r="D6760" s="201">
        <v>27868</v>
      </c>
      <c r="E6760" s="201">
        <v>51560</v>
      </c>
      <c r="F6760">
        <v>50686</v>
      </c>
      <c r="G6760">
        <v>44081</v>
      </c>
      <c r="H6760">
        <v>326</v>
      </c>
      <c r="I6760">
        <v>-32220</v>
      </c>
      <c r="J6760">
        <v>-286</v>
      </c>
      <c r="K6760" s="201">
        <v>-20</v>
      </c>
    </row>
    <row r="6761" spans="1:11" x14ac:dyDescent="0.25">
      <c r="A6761"/>
      <c r="B6761" s="201">
        <v>-60</v>
      </c>
      <c r="C6761">
        <v>0</v>
      </c>
      <c r="D6761" s="201">
        <v>0</v>
      </c>
      <c r="E6761" s="201">
        <v>151</v>
      </c>
      <c r="F6761">
        <v>0</v>
      </c>
      <c r="G6761">
        <v>0</v>
      </c>
      <c r="H6761">
        <v>0</v>
      </c>
      <c r="I6761">
        <v>-32</v>
      </c>
      <c r="J6761">
        <v>67</v>
      </c>
      <c r="K6761" s="201">
        <v>0</v>
      </c>
    </row>
    <row r="6762" spans="1:11" x14ac:dyDescent="0.25">
      <c r="A6762"/>
      <c r="B6762" s="201">
        <v>0</v>
      </c>
      <c r="C6762">
        <v>0</v>
      </c>
      <c r="D6762" s="201">
        <v>0</v>
      </c>
      <c r="E6762" s="201">
        <v>0</v>
      </c>
      <c r="F6762">
        <v>0</v>
      </c>
      <c r="G6762">
        <v>-42</v>
      </c>
      <c r="H6762">
        <v>0</v>
      </c>
      <c r="I6762">
        <v>0</v>
      </c>
      <c r="J6762">
        <v>68</v>
      </c>
      <c r="K6762" s="201">
        <v>0</v>
      </c>
    </row>
    <row r="6763" spans="1:11" x14ac:dyDescent="0.25">
      <c r="A6763"/>
      <c r="B6763" s="201">
        <v>-46</v>
      </c>
      <c r="C6763">
        <v>0</v>
      </c>
      <c r="D6763" s="201">
        <v>-5</v>
      </c>
      <c r="E6763" s="201">
        <v>-279</v>
      </c>
      <c r="F6763">
        <v>-5</v>
      </c>
      <c r="G6763">
        <v>0</v>
      </c>
      <c r="H6763">
        <v>92</v>
      </c>
      <c r="I6763">
        <v>-27780</v>
      </c>
      <c r="J6763">
        <v>-135</v>
      </c>
      <c r="K6763" s="201">
        <v>-253</v>
      </c>
    </row>
    <row r="6764" spans="1:11" x14ac:dyDescent="0.25">
      <c r="B6764" s="201">
        <v>-196</v>
      </c>
      <c r="C6764">
        <v>-367</v>
      </c>
      <c r="D6764" s="201">
        <v>0</v>
      </c>
      <c r="E6764" s="201">
        <v>79</v>
      </c>
      <c r="F6764">
        <v>0</v>
      </c>
      <c r="G6764">
        <v>0</v>
      </c>
      <c r="H6764">
        <v>0</v>
      </c>
      <c r="I6764">
        <v>0</v>
      </c>
      <c r="J6764">
        <v>0</v>
      </c>
      <c r="K6764" s="201">
        <v>72</v>
      </c>
    </row>
    <row r="6765" spans="1:11" x14ac:dyDescent="0.25">
      <c r="A6765"/>
      <c r="B6765" s="201">
        <v>0</v>
      </c>
      <c r="C6765">
        <v>0</v>
      </c>
      <c r="D6765" s="201">
        <v>0</v>
      </c>
      <c r="E6765" s="201">
        <v>51</v>
      </c>
      <c r="F6765">
        <v>0</v>
      </c>
      <c r="G6765">
        <v>-26</v>
      </c>
      <c r="H6765">
        <v>0</v>
      </c>
      <c r="I6765">
        <v>0</v>
      </c>
      <c r="J6765">
        <v>0</v>
      </c>
      <c r="K6765" s="201">
        <v>0</v>
      </c>
    </row>
    <row r="6766" spans="1:11" x14ac:dyDescent="0.25">
      <c r="A6766"/>
      <c r="B6766" s="201">
        <v>0</v>
      </c>
      <c r="C6766">
        <v>202</v>
      </c>
      <c r="D6766" s="201">
        <v>0</v>
      </c>
      <c r="E6766" s="201">
        <v>176</v>
      </c>
      <c r="F6766">
        <v>299</v>
      </c>
      <c r="G6766">
        <v>0</v>
      </c>
      <c r="H6766">
        <v>0</v>
      </c>
      <c r="I6766">
        <v>139</v>
      </c>
      <c r="J6766">
        <v>-43834</v>
      </c>
      <c r="K6766" s="201">
        <v>0</v>
      </c>
    </row>
    <row r="6767" spans="1:11" x14ac:dyDescent="0.25">
      <c r="A6767"/>
      <c r="B6767" s="201">
        <v>-481</v>
      </c>
      <c r="C6767">
        <v>0</v>
      </c>
      <c r="D6767" s="201">
        <v>0</v>
      </c>
      <c r="E6767" s="201">
        <v>0</v>
      </c>
      <c r="F6767">
        <v>0</v>
      </c>
      <c r="G6767">
        <v>2</v>
      </c>
      <c r="H6767">
        <v>137</v>
      </c>
      <c r="I6767">
        <v>156</v>
      </c>
      <c r="J6767">
        <v>0</v>
      </c>
      <c r="K6767" s="201">
        <v>0</v>
      </c>
    </row>
    <row r="6768" spans="1:11" x14ac:dyDescent="0.25">
      <c r="A6768"/>
      <c r="B6768" s="201">
        <v>-101</v>
      </c>
      <c r="C6768">
        <v>-45</v>
      </c>
      <c r="D6768" s="201">
        <v>0</v>
      </c>
      <c r="E6768" s="201">
        <v>65</v>
      </c>
      <c r="F6768">
        <v>-88</v>
      </c>
      <c r="G6768">
        <v>0</v>
      </c>
      <c r="H6768">
        <v>-55</v>
      </c>
      <c r="I6768">
        <v>-54</v>
      </c>
      <c r="J6768">
        <v>-174</v>
      </c>
      <c r="K6768" s="201">
        <v>-81</v>
      </c>
    </row>
    <row r="6769" spans="1:11" x14ac:dyDescent="0.25">
      <c r="A6769"/>
      <c r="B6769" s="201">
        <v>0</v>
      </c>
      <c r="C6769">
        <v>0</v>
      </c>
      <c r="D6769" s="201">
        <v>0</v>
      </c>
      <c r="E6769" s="201">
        <v>0</v>
      </c>
      <c r="F6769">
        <v>0</v>
      </c>
      <c r="G6769">
        <v>-283</v>
      </c>
      <c r="H6769">
        <v>0</v>
      </c>
      <c r="I6769">
        <v>27</v>
      </c>
      <c r="J6769">
        <v>-276</v>
      </c>
      <c r="K6769" s="201">
        <v>67</v>
      </c>
    </row>
    <row r="6770" spans="1:11" x14ac:dyDescent="0.25">
      <c r="A6770"/>
      <c r="B6770" s="201">
        <v>0</v>
      </c>
      <c r="C6770">
        <v>-21</v>
      </c>
      <c r="D6770" s="201">
        <v>-49389</v>
      </c>
      <c r="E6770" s="201">
        <v>-241</v>
      </c>
      <c r="F6770">
        <v>301</v>
      </c>
      <c r="G6770">
        <v>275</v>
      </c>
      <c r="H6770">
        <v>0</v>
      </c>
      <c r="I6770">
        <v>110</v>
      </c>
      <c r="J6770">
        <v>1275</v>
      </c>
      <c r="K6770" s="201">
        <v>206</v>
      </c>
    </row>
    <row r="6771" spans="1:11" x14ac:dyDescent="0.25">
      <c r="A6771"/>
      <c r="B6771" s="201">
        <v>325</v>
      </c>
      <c r="C6771">
        <v>0</v>
      </c>
      <c r="D6771" s="201">
        <v>-21</v>
      </c>
      <c r="E6771" s="201">
        <v>-205</v>
      </c>
      <c r="F6771">
        <v>0</v>
      </c>
      <c r="G6771">
        <v>0</v>
      </c>
      <c r="H6771">
        <v>0</v>
      </c>
      <c r="I6771">
        <v>1</v>
      </c>
      <c r="J6771">
        <v>69</v>
      </c>
      <c r="K6771" s="201">
        <v>0</v>
      </c>
    </row>
    <row r="6772" spans="1:11" x14ac:dyDescent="0.25">
      <c r="A6772"/>
      <c r="B6772" s="201">
        <v>524</v>
      </c>
      <c r="C6772">
        <v>671</v>
      </c>
      <c r="D6772" s="201">
        <v>1290</v>
      </c>
      <c r="E6772" s="201">
        <v>30</v>
      </c>
      <c r="F6772">
        <v>0</v>
      </c>
      <c r="G6772">
        <v>0</v>
      </c>
      <c r="H6772">
        <v>0</v>
      </c>
      <c r="I6772">
        <v>0</v>
      </c>
      <c r="J6772">
        <v>0</v>
      </c>
      <c r="K6772" s="201">
        <v>-454</v>
      </c>
    </row>
    <row r="6773" spans="1:11" x14ac:dyDescent="0.25">
      <c r="A6773"/>
      <c r="B6773" s="201">
        <v>0</v>
      </c>
      <c r="C6773">
        <v>-662</v>
      </c>
      <c r="D6773" s="201">
        <v>2658</v>
      </c>
      <c r="E6773" s="201">
        <v>1482</v>
      </c>
      <c r="F6773">
        <v>0</v>
      </c>
      <c r="G6773">
        <v>25</v>
      </c>
      <c r="H6773">
        <v>-48868</v>
      </c>
      <c r="I6773">
        <v>-1002</v>
      </c>
      <c r="J6773">
        <v>-978</v>
      </c>
      <c r="K6773" s="201">
        <v>172</v>
      </c>
    </row>
    <row r="6774" spans="1:11" x14ac:dyDescent="0.25">
      <c r="B6774" s="201">
        <v>-312</v>
      </c>
      <c r="C6774">
        <v>-1253</v>
      </c>
      <c r="D6774" s="201">
        <v>-48</v>
      </c>
      <c r="E6774" s="201">
        <v>0</v>
      </c>
      <c r="F6774">
        <v>486</v>
      </c>
      <c r="G6774">
        <v>0</v>
      </c>
      <c r="H6774">
        <v>0</v>
      </c>
      <c r="I6774">
        <v>110</v>
      </c>
      <c r="J6774">
        <v>65</v>
      </c>
      <c r="K6774" s="201">
        <v>0</v>
      </c>
    </row>
    <row r="6775" spans="1:11" x14ac:dyDescent="0.25">
      <c r="B6775" s="201">
        <v>-728</v>
      </c>
      <c r="C6775">
        <v>0</v>
      </c>
      <c r="D6775" s="201">
        <v>0</v>
      </c>
      <c r="E6775" s="201">
        <v>189</v>
      </c>
      <c r="F6775">
        <v>0</v>
      </c>
      <c r="G6775">
        <v>737</v>
      </c>
      <c r="H6775">
        <v>788</v>
      </c>
      <c r="I6775">
        <v>-694</v>
      </c>
      <c r="J6775">
        <v>0</v>
      </c>
      <c r="K6775" s="201">
        <v>0</v>
      </c>
    </row>
    <row r="6776" spans="1:11" x14ac:dyDescent="0.25">
      <c r="A6776"/>
      <c r="B6776" s="201">
        <v>0</v>
      </c>
      <c r="C6776">
        <v>0</v>
      </c>
      <c r="D6776" s="201">
        <v>0</v>
      </c>
      <c r="E6776" s="201">
        <v>-124</v>
      </c>
      <c r="F6776">
        <v>0</v>
      </c>
      <c r="G6776">
        <v>-136</v>
      </c>
      <c r="H6776">
        <v>3027</v>
      </c>
      <c r="I6776">
        <v>1377</v>
      </c>
      <c r="J6776">
        <v>0</v>
      </c>
      <c r="K6776" s="201">
        <v>369</v>
      </c>
    </row>
    <row r="6777" spans="1:11" x14ac:dyDescent="0.25">
      <c r="A6777"/>
      <c r="B6777" s="201">
        <v>-54072</v>
      </c>
      <c r="C6777">
        <v>496</v>
      </c>
      <c r="D6777" s="201">
        <v>0</v>
      </c>
      <c r="E6777" s="201">
        <v>0</v>
      </c>
      <c r="F6777">
        <v>0</v>
      </c>
      <c r="G6777">
        <v>2173</v>
      </c>
      <c r="H6777">
        <v>3314</v>
      </c>
      <c r="I6777">
        <v>2457</v>
      </c>
      <c r="J6777">
        <v>-1486</v>
      </c>
      <c r="K6777" s="201">
        <v>-1376</v>
      </c>
    </row>
    <row r="6778" spans="1:11" x14ac:dyDescent="0.25">
      <c r="A6778"/>
      <c r="B6778" s="201">
        <v>0</v>
      </c>
      <c r="C6778">
        <v>152</v>
      </c>
      <c r="D6778" s="201">
        <v>0</v>
      </c>
      <c r="E6778" s="201">
        <v>0</v>
      </c>
      <c r="F6778">
        <v>98</v>
      </c>
      <c r="G6778">
        <v>0</v>
      </c>
      <c r="H6778">
        <v>-857</v>
      </c>
      <c r="I6778">
        <v>0</v>
      </c>
      <c r="J6778">
        <v>-1363</v>
      </c>
      <c r="K6778" s="201">
        <v>0</v>
      </c>
    </row>
    <row r="6779" spans="1:11" x14ac:dyDescent="0.25">
      <c r="A6779"/>
      <c r="B6779" s="201">
        <v>0</v>
      </c>
      <c r="C6779">
        <v>0</v>
      </c>
      <c r="D6779" s="201">
        <v>0</v>
      </c>
      <c r="E6779" s="201">
        <v>0</v>
      </c>
      <c r="F6779">
        <v>0</v>
      </c>
      <c r="G6779">
        <v>0</v>
      </c>
      <c r="H6779">
        <v>0</v>
      </c>
      <c r="I6779">
        <v>-143</v>
      </c>
      <c r="J6779">
        <v>0</v>
      </c>
      <c r="K6779" s="201">
        <v>-3664</v>
      </c>
    </row>
    <row r="6780" spans="1:11" x14ac:dyDescent="0.25">
      <c r="A6780"/>
      <c r="B6780" s="201">
        <v>-3604</v>
      </c>
      <c r="C6780">
        <v>-1225</v>
      </c>
      <c r="D6780" s="201">
        <v>0</v>
      </c>
      <c r="E6780" s="201">
        <v>1612</v>
      </c>
      <c r="F6780">
        <v>-45286</v>
      </c>
      <c r="G6780">
        <v>0</v>
      </c>
      <c r="H6780">
        <v>0</v>
      </c>
      <c r="I6780">
        <v>0</v>
      </c>
      <c r="J6780">
        <v>0</v>
      </c>
      <c r="K6780" s="201">
        <v>0</v>
      </c>
    </row>
    <row r="6781" spans="1:11" x14ac:dyDescent="0.25">
      <c r="A6781"/>
      <c r="B6781" s="201">
        <v>-3581</v>
      </c>
      <c r="C6781">
        <v>-1454</v>
      </c>
      <c r="D6781" s="201">
        <v>-549</v>
      </c>
      <c r="E6781" s="201">
        <v>-780</v>
      </c>
      <c r="F6781">
        <v>-12</v>
      </c>
      <c r="G6781">
        <v>26</v>
      </c>
      <c r="H6781">
        <v>0</v>
      </c>
      <c r="I6781">
        <v>0</v>
      </c>
      <c r="J6781">
        <v>0</v>
      </c>
      <c r="K6781" s="201">
        <v>0</v>
      </c>
    </row>
    <row r="6782" spans="1:11" x14ac:dyDescent="0.25">
      <c r="B6782" s="201">
        <v>-2525</v>
      </c>
      <c r="C6782">
        <v>0</v>
      </c>
      <c r="D6782" s="201">
        <v>-1618</v>
      </c>
      <c r="E6782" s="201">
        <v>0</v>
      </c>
      <c r="F6782">
        <v>0</v>
      </c>
      <c r="G6782">
        <v>437</v>
      </c>
      <c r="H6782">
        <v>-287</v>
      </c>
      <c r="I6782">
        <v>0</v>
      </c>
      <c r="J6782">
        <v>0</v>
      </c>
      <c r="K6782" s="201">
        <v>0</v>
      </c>
    </row>
    <row r="6783" spans="1:11" x14ac:dyDescent="0.25">
      <c r="A6783"/>
      <c r="B6783" s="201">
        <v>0</v>
      </c>
      <c r="C6783">
        <v>-1725</v>
      </c>
      <c r="D6783" s="201">
        <v>0</v>
      </c>
      <c r="E6783" s="201">
        <v>-567</v>
      </c>
      <c r="F6783">
        <v>-3067</v>
      </c>
      <c r="G6783">
        <v>-756</v>
      </c>
      <c r="H6783">
        <v>3960</v>
      </c>
      <c r="I6783">
        <v>1008</v>
      </c>
      <c r="J6783">
        <v>830</v>
      </c>
      <c r="K6783" s="201">
        <v>621</v>
      </c>
    </row>
    <row r="6784" spans="1:11" x14ac:dyDescent="0.25">
      <c r="A6784"/>
      <c r="B6784" s="201">
        <v>503</v>
      </c>
      <c r="C6784">
        <v>107</v>
      </c>
      <c r="D6784" s="201">
        <v>223</v>
      </c>
      <c r="E6784" s="201">
        <v>0</v>
      </c>
      <c r="F6784">
        <v>0</v>
      </c>
      <c r="G6784">
        <v>0</v>
      </c>
      <c r="H6784">
        <v>0</v>
      </c>
      <c r="I6784">
        <v>0</v>
      </c>
      <c r="J6784">
        <v>0</v>
      </c>
      <c r="K6784" s="201">
        <v>0</v>
      </c>
    </row>
    <row r="6785" spans="1:11" x14ac:dyDescent="0.25">
      <c r="A6785"/>
      <c r="B6785" s="201">
        <v>107</v>
      </c>
      <c r="C6785">
        <v>-174</v>
      </c>
      <c r="D6785" s="201">
        <v>555</v>
      </c>
      <c r="E6785" s="201">
        <v>-112</v>
      </c>
      <c r="F6785">
        <v>397</v>
      </c>
      <c r="G6785">
        <v>-302</v>
      </c>
      <c r="H6785">
        <v>0</v>
      </c>
      <c r="I6785">
        <v>0</v>
      </c>
      <c r="J6785">
        <v>142</v>
      </c>
      <c r="K6785" s="201">
        <v>0</v>
      </c>
    </row>
    <row r="6786" spans="1:11" x14ac:dyDescent="0.25">
      <c r="A6786"/>
      <c r="B6786" s="201">
        <v>360</v>
      </c>
      <c r="C6786">
        <v>-384</v>
      </c>
      <c r="D6786" s="201">
        <v>0</v>
      </c>
      <c r="E6786" s="201">
        <v>0</v>
      </c>
      <c r="F6786">
        <v>0</v>
      </c>
      <c r="G6786">
        <v>0</v>
      </c>
      <c r="H6786">
        <v>-2421</v>
      </c>
      <c r="I6786">
        <v>0</v>
      </c>
      <c r="J6786">
        <v>-291</v>
      </c>
      <c r="K6786" s="201">
        <v>280</v>
      </c>
    </row>
    <row r="6787" spans="1:11" x14ac:dyDescent="0.25">
      <c r="A6787"/>
      <c r="B6787" s="201">
        <v>0</v>
      </c>
      <c r="C6787">
        <v>0</v>
      </c>
      <c r="D6787" s="201">
        <v>0</v>
      </c>
      <c r="E6787" s="201">
        <v>0</v>
      </c>
      <c r="F6787">
        <v>0</v>
      </c>
      <c r="G6787">
        <v>0</v>
      </c>
      <c r="H6787">
        <v>0</v>
      </c>
      <c r="I6787">
        <v>0</v>
      </c>
      <c r="J6787">
        <v>0</v>
      </c>
      <c r="K6787" s="201">
        <v>0</v>
      </c>
    </row>
    <row r="6788" spans="1:11" x14ac:dyDescent="0.25">
      <c r="A6788"/>
      <c r="B6788" s="201">
        <v>0</v>
      </c>
      <c r="C6788">
        <v>0</v>
      </c>
      <c r="D6788" s="201">
        <v>0</v>
      </c>
      <c r="E6788" s="201">
        <v>0</v>
      </c>
      <c r="F6788">
        <v>0</v>
      </c>
      <c r="G6788">
        <v>-1753</v>
      </c>
      <c r="H6788">
        <v>0</v>
      </c>
      <c r="I6788">
        <v>0</v>
      </c>
      <c r="J6788">
        <v>0</v>
      </c>
      <c r="K6788" s="201">
        <v>0</v>
      </c>
    </row>
    <row r="6789" spans="1:11" x14ac:dyDescent="0.25">
      <c r="A6789"/>
      <c r="B6789" s="201">
        <v>0</v>
      </c>
      <c r="C6789">
        <v>244</v>
      </c>
      <c r="D6789" s="201">
        <v>724</v>
      </c>
      <c r="E6789" s="201">
        <v>815</v>
      </c>
      <c r="F6789">
        <v>2628</v>
      </c>
      <c r="G6789">
        <v>6003</v>
      </c>
      <c r="H6789">
        <v>7023</v>
      </c>
      <c r="I6789">
        <v>-1297</v>
      </c>
      <c r="J6789">
        <v>-5773</v>
      </c>
      <c r="K6789" s="201">
        <v>-127</v>
      </c>
    </row>
    <row r="6790" spans="1:11" x14ac:dyDescent="0.25">
      <c r="A6790"/>
      <c r="B6790" s="201">
        <v>53</v>
      </c>
      <c r="C6790">
        <v>1486</v>
      </c>
      <c r="D6790" s="201">
        <v>747</v>
      </c>
      <c r="E6790" s="201">
        <v>4066</v>
      </c>
      <c r="F6790">
        <v>8266</v>
      </c>
      <c r="G6790">
        <v>8199</v>
      </c>
      <c r="H6790">
        <v>3172</v>
      </c>
      <c r="I6790">
        <v>-9171</v>
      </c>
      <c r="J6790">
        <v>0</v>
      </c>
      <c r="K6790" s="201">
        <v>856</v>
      </c>
    </row>
    <row r="6791" spans="1:11" x14ac:dyDescent="0.25">
      <c r="A6791"/>
      <c r="B6791" s="201">
        <v>-243</v>
      </c>
      <c r="C6791">
        <v>-281</v>
      </c>
      <c r="D6791" s="201">
        <v>-1805</v>
      </c>
      <c r="E6791" s="201">
        <v>1134</v>
      </c>
      <c r="F6791">
        <v>805</v>
      </c>
      <c r="G6791">
        <v>256</v>
      </c>
      <c r="H6791">
        <v>-1400</v>
      </c>
      <c r="I6791">
        <v>1263</v>
      </c>
      <c r="J6791">
        <v>-1852</v>
      </c>
      <c r="K6791" s="201">
        <v>273</v>
      </c>
    </row>
    <row r="6792" spans="1:11" x14ac:dyDescent="0.25">
      <c r="A6792"/>
      <c r="B6792" s="201">
        <v>-1035</v>
      </c>
      <c r="C6792">
        <v>627</v>
      </c>
      <c r="D6792" s="201">
        <v>-845</v>
      </c>
      <c r="E6792" s="201">
        <v>-383</v>
      </c>
      <c r="F6792">
        <v>-1470</v>
      </c>
      <c r="G6792">
        <v>622</v>
      </c>
      <c r="H6792">
        <v>-119</v>
      </c>
      <c r="I6792">
        <v>1290</v>
      </c>
      <c r="J6792">
        <v>-647</v>
      </c>
      <c r="K6792" s="201">
        <v>635</v>
      </c>
    </row>
    <row r="6793" spans="1:11" x14ac:dyDescent="0.25">
      <c r="A6793"/>
      <c r="B6793" s="201">
        <v>-2</v>
      </c>
      <c r="C6793">
        <v>435</v>
      </c>
      <c r="D6793" s="201">
        <v>11</v>
      </c>
      <c r="E6793" s="201">
        <v>208</v>
      </c>
      <c r="F6793">
        <v>-1026</v>
      </c>
      <c r="G6793">
        <v>-294</v>
      </c>
      <c r="H6793">
        <v>-489</v>
      </c>
      <c r="I6793">
        <v>-303</v>
      </c>
      <c r="J6793">
        <v>-1690</v>
      </c>
      <c r="K6793" s="201">
        <v>1410</v>
      </c>
    </row>
    <row r="6794" spans="1:11" x14ac:dyDescent="0.25">
      <c r="A6794"/>
      <c r="B6794" s="201">
        <v>294</v>
      </c>
      <c r="C6794">
        <v>367</v>
      </c>
      <c r="D6794" s="201">
        <v>299</v>
      </c>
      <c r="E6794" s="201">
        <v>579</v>
      </c>
      <c r="F6794">
        <v>415</v>
      </c>
      <c r="G6794">
        <v>225</v>
      </c>
      <c r="H6794">
        <v>104</v>
      </c>
      <c r="I6794">
        <v>325</v>
      </c>
      <c r="J6794">
        <v>153</v>
      </c>
      <c r="K6794" s="201">
        <v>33881</v>
      </c>
    </row>
    <row r="6795" spans="1:11" x14ac:dyDescent="0.25">
      <c r="B6795" s="201">
        <v>40286</v>
      </c>
      <c r="C6795" s="201">
        <v>40102</v>
      </c>
      <c r="D6795" s="201">
        <v>38073</v>
      </c>
      <c r="E6795" s="201">
        <v>35376</v>
      </c>
      <c r="F6795">
        <v>18375</v>
      </c>
      <c r="G6795">
        <v>23623</v>
      </c>
      <c r="H6795">
        <v>18027</v>
      </c>
      <c r="I6795">
        <v>25476</v>
      </c>
      <c r="J6795">
        <v>28034</v>
      </c>
      <c r="K6795" s="201">
        <v>59875</v>
      </c>
    </row>
    <row r="6796" spans="1:11" x14ac:dyDescent="0.25">
      <c r="A6796"/>
      <c r="B6796" s="201">
        <v>58513</v>
      </c>
      <c r="C6796" s="201">
        <v>56476</v>
      </c>
      <c r="D6796" s="201">
        <v>56913</v>
      </c>
      <c r="E6796" s="201">
        <v>120</v>
      </c>
      <c r="F6796">
        <v>-31932</v>
      </c>
      <c r="G6796">
        <v>110</v>
      </c>
      <c r="H6796">
        <v>-23</v>
      </c>
      <c r="I6796">
        <v>205</v>
      </c>
      <c r="J6796">
        <v>0</v>
      </c>
      <c r="K6796" s="201">
        <v>0</v>
      </c>
    </row>
    <row r="6797" spans="1:11" x14ac:dyDescent="0.25">
      <c r="A6797"/>
      <c r="B6797" s="201">
        <v>63</v>
      </c>
      <c r="C6797">
        <v>0</v>
      </c>
      <c r="D6797" s="201">
        <v>0</v>
      </c>
      <c r="E6797" s="201">
        <v>0</v>
      </c>
      <c r="F6797">
        <v>-2</v>
      </c>
      <c r="G6797">
        <v>23</v>
      </c>
      <c r="H6797">
        <v>0</v>
      </c>
      <c r="I6797">
        <v>0</v>
      </c>
      <c r="J6797">
        <v>0</v>
      </c>
      <c r="K6797" s="201">
        <v>0</v>
      </c>
    </row>
    <row r="6798" spans="1:11" x14ac:dyDescent="0.25">
      <c r="A6798"/>
      <c r="B6798" s="201">
        <v>0</v>
      </c>
      <c r="C6798">
        <v>0</v>
      </c>
      <c r="D6798" s="201">
        <v>-39</v>
      </c>
      <c r="E6798" s="201">
        <v>0</v>
      </c>
      <c r="F6798">
        <v>0</v>
      </c>
      <c r="G6798">
        <v>58</v>
      </c>
      <c r="H6798">
        <v>0</v>
      </c>
      <c r="I6798">
        <v>-48</v>
      </c>
      <c r="J6798">
        <v>0</v>
      </c>
      <c r="K6798" s="201">
        <v>-74</v>
      </c>
    </row>
    <row r="6799" spans="1:11" x14ac:dyDescent="0.25">
      <c r="B6799" s="201">
        <v>-211</v>
      </c>
      <c r="C6799">
        <v>-88</v>
      </c>
      <c r="D6799" s="201">
        <v>0</v>
      </c>
      <c r="E6799" s="201">
        <v>22</v>
      </c>
      <c r="F6799">
        <v>-26853</v>
      </c>
      <c r="G6799">
        <v>-91</v>
      </c>
      <c r="H6799">
        <v>-178</v>
      </c>
      <c r="I6799">
        <v>-130</v>
      </c>
      <c r="J6799">
        <v>-338</v>
      </c>
      <c r="K6799" s="201">
        <v>0</v>
      </c>
    </row>
    <row r="6800" spans="1:11" x14ac:dyDescent="0.25">
      <c r="A6800"/>
      <c r="B6800" s="201">
        <v>89</v>
      </c>
      <c r="C6800">
        <v>0</v>
      </c>
      <c r="D6800" s="201">
        <v>0</v>
      </c>
      <c r="E6800" s="201">
        <v>0</v>
      </c>
      <c r="F6800">
        <v>0</v>
      </c>
      <c r="G6800">
        <v>0</v>
      </c>
      <c r="H6800">
        <v>55</v>
      </c>
      <c r="I6800">
        <v>0</v>
      </c>
      <c r="J6800">
        <v>0</v>
      </c>
      <c r="K6800" s="201">
        <v>0</v>
      </c>
    </row>
    <row r="6801" spans="1:11" x14ac:dyDescent="0.25">
      <c r="A6801"/>
      <c r="B6801" s="201">
        <v>-28</v>
      </c>
      <c r="C6801">
        <v>0</v>
      </c>
      <c r="D6801" s="201">
        <v>6</v>
      </c>
      <c r="E6801" s="201">
        <v>0</v>
      </c>
      <c r="F6801">
        <v>0</v>
      </c>
      <c r="G6801">
        <v>0</v>
      </c>
      <c r="H6801">
        <v>0</v>
      </c>
      <c r="I6801">
        <v>0</v>
      </c>
      <c r="J6801">
        <v>135</v>
      </c>
      <c r="K6801" s="201">
        <v>0</v>
      </c>
    </row>
    <row r="6802" spans="1:11" x14ac:dyDescent="0.25">
      <c r="A6802"/>
      <c r="B6802" s="201">
        <v>-59</v>
      </c>
      <c r="C6802">
        <v>348</v>
      </c>
      <c r="D6802" s="201">
        <v>0</v>
      </c>
      <c r="E6802" s="201">
        <v>0</v>
      </c>
      <c r="F6802">
        <v>194</v>
      </c>
      <c r="G6802">
        <v>-41727</v>
      </c>
      <c r="H6802">
        <v>0</v>
      </c>
      <c r="I6802">
        <v>-283</v>
      </c>
      <c r="J6802">
        <v>0</v>
      </c>
      <c r="K6802" s="201">
        <v>0</v>
      </c>
    </row>
    <row r="6803" spans="1:11" x14ac:dyDescent="0.25">
      <c r="A6803"/>
      <c r="B6803" s="201">
        <v>0</v>
      </c>
      <c r="C6803">
        <v>0</v>
      </c>
      <c r="D6803" s="201">
        <v>-373</v>
      </c>
      <c r="E6803" s="201">
        <v>24</v>
      </c>
      <c r="F6803">
        <v>104</v>
      </c>
      <c r="G6803">
        <v>0</v>
      </c>
      <c r="H6803">
        <v>0</v>
      </c>
      <c r="I6803">
        <v>-44</v>
      </c>
      <c r="J6803">
        <v>-42</v>
      </c>
      <c r="K6803" s="201">
        <v>0</v>
      </c>
    </row>
    <row r="6804" spans="1:11" x14ac:dyDescent="0.25">
      <c r="A6804"/>
      <c r="B6804" s="201">
        <v>-23</v>
      </c>
      <c r="C6804">
        <v>-405</v>
      </c>
      <c r="D6804" s="201">
        <v>-54</v>
      </c>
      <c r="E6804" s="201">
        <v>-287</v>
      </c>
      <c r="F6804">
        <v>-92</v>
      </c>
      <c r="G6804">
        <v>-83</v>
      </c>
      <c r="H6804">
        <v>-262</v>
      </c>
      <c r="I6804">
        <v>0</v>
      </c>
      <c r="J6804">
        <v>0</v>
      </c>
      <c r="K6804" s="201">
        <v>0</v>
      </c>
    </row>
    <row r="6805" spans="1:11" x14ac:dyDescent="0.25">
      <c r="A6805"/>
      <c r="B6805" s="201">
        <v>0</v>
      </c>
      <c r="C6805">
        <v>0</v>
      </c>
      <c r="D6805" s="201">
        <v>-140</v>
      </c>
      <c r="E6805" s="201">
        <v>0</v>
      </c>
      <c r="F6805">
        <v>266</v>
      </c>
      <c r="G6805">
        <v>-268</v>
      </c>
      <c r="H6805">
        <v>41</v>
      </c>
      <c r="I6805">
        <v>0</v>
      </c>
      <c r="J6805">
        <v>-149</v>
      </c>
      <c r="K6805" s="201">
        <v>-47737</v>
      </c>
    </row>
    <row r="6806" spans="1:11" x14ac:dyDescent="0.25">
      <c r="A6806"/>
      <c r="B6806" s="201">
        <v>1462</v>
      </c>
      <c r="C6806">
        <v>608</v>
      </c>
      <c r="D6806" s="201">
        <v>326</v>
      </c>
      <c r="E6806" s="201">
        <v>0</v>
      </c>
      <c r="F6806">
        <v>-75</v>
      </c>
      <c r="G6806">
        <v>1542</v>
      </c>
      <c r="H6806">
        <v>263</v>
      </c>
      <c r="I6806">
        <v>374</v>
      </c>
      <c r="J6806">
        <v>0</v>
      </c>
      <c r="K6806" s="201">
        <v>-286</v>
      </c>
    </row>
    <row r="6807" spans="1:11" x14ac:dyDescent="0.25">
      <c r="A6807"/>
      <c r="B6807" s="201">
        <v>-492</v>
      </c>
      <c r="C6807">
        <v>0</v>
      </c>
      <c r="D6807" s="201">
        <v>0</v>
      </c>
      <c r="E6807" s="201">
        <v>0</v>
      </c>
      <c r="F6807">
        <v>-217</v>
      </c>
      <c r="G6807">
        <v>2772</v>
      </c>
      <c r="H6807">
        <v>0</v>
      </c>
      <c r="I6807">
        <v>1768</v>
      </c>
      <c r="J6807">
        <v>27</v>
      </c>
      <c r="K6807" s="201">
        <v>16</v>
      </c>
    </row>
    <row r="6808" spans="1:11" x14ac:dyDescent="0.25">
      <c r="A6808"/>
      <c r="B6808" s="201">
        <v>62</v>
      </c>
      <c r="C6808">
        <v>0</v>
      </c>
      <c r="D6808" s="201">
        <v>0</v>
      </c>
      <c r="E6808" s="201">
        <v>0</v>
      </c>
      <c r="F6808">
        <v>0</v>
      </c>
      <c r="G6808">
        <v>0</v>
      </c>
      <c r="H6808">
        <v>-247</v>
      </c>
      <c r="I6808">
        <v>0</v>
      </c>
      <c r="J6808">
        <v>2079</v>
      </c>
      <c r="K6808" s="201">
        <v>2386</v>
      </c>
    </row>
    <row r="6809" spans="1:11" x14ac:dyDescent="0.25">
      <c r="A6809"/>
      <c r="B6809" s="201">
        <v>415</v>
      </c>
      <c r="C6809">
        <v>0</v>
      </c>
      <c r="D6809" s="201">
        <v>-132</v>
      </c>
      <c r="E6809" s="201">
        <v>-43294</v>
      </c>
      <c r="F6809">
        <v>-144</v>
      </c>
      <c r="G6809">
        <v>17</v>
      </c>
      <c r="H6809">
        <v>174</v>
      </c>
      <c r="I6809">
        <v>51</v>
      </c>
      <c r="J6809">
        <v>375</v>
      </c>
      <c r="K6809" s="201">
        <v>381</v>
      </c>
    </row>
    <row r="6810" spans="1:11" x14ac:dyDescent="0.25">
      <c r="A6810"/>
      <c r="B6810" s="201">
        <v>0</v>
      </c>
      <c r="C6810">
        <v>72</v>
      </c>
      <c r="D6810" s="201">
        <v>0</v>
      </c>
      <c r="E6810" s="201">
        <v>0</v>
      </c>
      <c r="F6810">
        <v>-117</v>
      </c>
      <c r="G6810">
        <v>36</v>
      </c>
      <c r="H6810">
        <v>0</v>
      </c>
      <c r="I6810">
        <v>147</v>
      </c>
      <c r="J6810">
        <v>0</v>
      </c>
      <c r="K6810" s="201">
        <v>0</v>
      </c>
    </row>
    <row r="6811" spans="1:11" x14ac:dyDescent="0.25">
      <c r="A6811"/>
      <c r="B6811" s="76">
        <v>16</v>
      </c>
      <c r="C6811">
        <v>0</v>
      </c>
      <c r="D6811" s="201">
        <v>58</v>
      </c>
      <c r="E6811" s="201">
        <v>25</v>
      </c>
      <c r="F6811">
        <v>148</v>
      </c>
      <c r="G6811">
        <v>0</v>
      </c>
      <c r="H6811">
        <v>0</v>
      </c>
      <c r="I6811">
        <v>0</v>
      </c>
      <c r="J6811">
        <v>0</v>
      </c>
      <c r="K6811" s="201">
        <v>0</v>
      </c>
    </row>
    <row r="6812" spans="1:11" x14ac:dyDescent="0.25">
      <c r="B6812" s="201">
        <v>-198</v>
      </c>
      <c r="C6812">
        <v>0</v>
      </c>
      <c r="D6812" s="201">
        <v>-276</v>
      </c>
      <c r="E6812" s="201">
        <v>-190</v>
      </c>
      <c r="F6812">
        <v>-90</v>
      </c>
      <c r="G6812">
        <v>0</v>
      </c>
      <c r="H6812">
        <v>-621</v>
      </c>
      <c r="I6812">
        <v>-59752</v>
      </c>
      <c r="J6812">
        <v>-209</v>
      </c>
      <c r="K6812" s="201">
        <v>0</v>
      </c>
    </row>
    <row r="6813" spans="1:11" x14ac:dyDescent="0.25">
      <c r="A6813"/>
      <c r="B6813" s="201">
        <v>0</v>
      </c>
      <c r="C6813">
        <v>0</v>
      </c>
      <c r="D6813" s="201">
        <v>1579</v>
      </c>
      <c r="E6813" s="201">
        <v>4136</v>
      </c>
      <c r="F6813">
        <v>3631</v>
      </c>
      <c r="G6813">
        <v>-850</v>
      </c>
      <c r="H6813">
        <v>-1080</v>
      </c>
      <c r="I6813">
        <v>0</v>
      </c>
      <c r="J6813">
        <v>93</v>
      </c>
      <c r="K6813" s="201">
        <v>0</v>
      </c>
    </row>
    <row r="6814" spans="1:11" x14ac:dyDescent="0.25">
      <c r="A6814"/>
      <c r="B6814" s="201">
        <v>0</v>
      </c>
      <c r="C6814">
        <v>-432</v>
      </c>
      <c r="D6814" s="201">
        <v>0</v>
      </c>
      <c r="E6814" s="201">
        <v>517</v>
      </c>
      <c r="F6814">
        <v>0</v>
      </c>
      <c r="G6814">
        <v>693</v>
      </c>
      <c r="H6814">
        <v>0</v>
      </c>
      <c r="I6814">
        <v>0</v>
      </c>
      <c r="J6814">
        <v>0</v>
      </c>
      <c r="K6814" s="201">
        <v>0</v>
      </c>
    </row>
    <row r="6815" spans="1:11" x14ac:dyDescent="0.25">
      <c r="A6815"/>
      <c r="B6815" s="201">
        <v>0</v>
      </c>
      <c r="C6815">
        <v>0</v>
      </c>
      <c r="D6815" s="201">
        <v>0</v>
      </c>
      <c r="E6815" s="201">
        <v>0</v>
      </c>
      <c r="F6815">
        <v>-15</v>
      </c>
      <c r="G6815">
        <v>0</v>
      </c>
      <c r="H6815">
        <v>-497</v>
      </c>
      <c r="I6815">
        <v>1002</v>
      </c>
      <c r="J6815">
        <v>1186</v>
      </c>
      <c r="K6815" s="201">
        <v>0</v>
      </c>
    </row>
    <row r="6816" spans="1:11" x14ac:dyDescent="0.25">
      <c r="A6816"/>
      <c r="B6816" s="201">
        <v>1746</v>
      </c>
      <c r="C6816">
        <v>-43277</v>
      </c>
      <c r="D6816" s="201">
        <v>0</v>
      </c>
      <c r="E6816" s="201">
        <v>0</v>
      </c>
      <c r="F6816">
        <v>0</v>
      </c>
      <c r="G6816">
        <v>0</v>
      </c>
      <c r="H6816">
        <v>0</v>
      </c>
      <c r="I6816">
        <v>-3416</v>
      </c>
      <c r="J6816">
        <v>-1674</v>
      </c>
      <c r="K6816" s="201">
        <v>-622</v>
      </c>
    </row>
    <row r="6817" spans="1:11" x14ac:dyDescent="0.25">
      <c r="A6817"/>
      <c r="B6817" s="201">
        <v>-788</v>
      </c>
      <c r="C6817">
        <v>-77</v>
      </c>
      <c r="D6817" s="201">
        <v>-100</v>
      </c>
      <c r="E6817" s="201">
        <v>0</v>
      </c>
      <c r="F6817">
        <v>0</v>
      </c>
      <c r="G6817">
        <v>0</v>
      </c>
      <c r="H6817">
        <v>0</v>
      </c>
      <c r="I6817">
        <v>-2560</v>
      </c>
      <c r="J6817">
        <v>0</v>
      </c>
      <c r="K6817" s="201">
        <v>-1610</v>
      </c>
    </row>
    <row r="6818" spans="1:11" x14ac:dyDescent="0.25">
      <c r="A6818"/>
      <c r="B6818" s="201">
        <v>0</v>
      </c>
      <c r="C6818">
        <v>0</v>
      </c>
      <c r="D6818" s="201">
        <v>156</v>
      </c>
      <c r="E6818" s="201">
        <v>-7</v>
      </c>
      <c r="F6818">
        <v>0</v>
      </c>
      <c r="G6818">
        <v>0</v>
      </c>
      <c r="H6818">
        <v>0</v>
      </c>
      <c r="I6818">
        <v>0</v>
      </c>
      <c r="J6818">
        <v>-1531</v>
      </c>
      <c r="K6818" s="201">
        <v>0</v>
      </c>
    </row>
    <row r="6819" spans="1:11" x14ac:dyDescent="0.25">
      <c r="B6819" s="201">
        <v>-392</v>
      </c>
      <c r="C6819">
        <v>-3099</v>
      </c>
      <c r="D6819" s="201">
        <v>-936</v>
      </c>
      <c r="E6819" s="201">
        <v>2721</v>
      </c>
      <c r="F6819">
        <v>214</v>
      </c>
      <c r="G6819">
        <v>382</v>
      </c>
      <c r="H6819">
        <v>340</v>
      </c>
      <c r="I6819">
        <v>389</v>
      </c>
      <c r="J6819">
        <v>-149</v>
      </c>
      <c r="K6819" s="201">
        <v>-74</v>
      </c>
    </row>
    <row r="6820" spans="1:11" x14ac:dyDescent="0.25">
      <c r="A6820"/>
      <c r="B6820" s="201">
        <v>0</v>
      </c>
      <c r="C6820">
        <v>0</v>
      </c>
      <c r="D6820" s="201">
        <v>0</v>
      </c>
      <c r="E6820" s="201">
        <v>0</v>
      </c>
      <c r="F6820">
        <v>0</v>
      </c>
      <c r="G6820">
        <v>0</v>
      </c>
      <c r="H6820">
        <v>0</v>
      </c>
      <c r="I6820">
        <v>12</v>
      </c>
      <c r="J6820">
        <v>51</v>
      </c>
      <c r="K6820" s="201">
        <v>-138</v>
      </c>
    </row>
    <row r="6821" spans="1:11" x14ac:dyDescent="0.25">
      <c r="A6821"/>
      <c r="B6821" s="76">
        <v>1</v>
      </c>
      <c r="C6821">
        <v>-87</v>
      </c>
      <c r="D6821" s="201">
        <v>17</v>
      </c>
      <c r="E6821" s="201">
        <v>0</v>
      </c>
      <c r="F6821">
        <v>0</v>
      </c>
      <c r="G6821">
        <v>124</v>
      </c>
      <c r="H6821">
        <v>0</v>
      </c>
      <c r="I6821">
        <v>239</v>
      </c>
      <c r="J6821">
        <v>7</v>
      </c>
      <c r="K6821" s="201">
        <v>0</v>
      </c>
    </row>
    <row r="6822" spans="1:11" x14ac:dyDescent="0.25">
      <c r="A6822"/>
      <c r="B6822" s="201">
        <v>0</v>
      </c>
      <c r="C6822">
        <v>0</v>
      </c>
      <c r="D6822" s="201">
        <v>0</v>
      </c>
      <c r="E6822" s="201">
        <v>-536</v>
      </c>
      <c r="F6822">
        <v>0</v>
      </c>
      <c r="G6822">
        <v>-1021</v>
      </c>
      <c r="H6822">
        <v>-1059</v>
      </c>
      <c r="I6822">
        <v>0</v>
      </c>
      <c r="J6822">
        <v>0</v>
      </c>
      <c r="K6822" s="201">
        <v>0</v>
      </c>
    </row>
    <row r="6823" spans="1:11" x14ac:dyDescent="0.25">
      <c r="A6823"/>
      <c r="B6823" s="201">
        <v>0</v>
      </c>
      <c r="C6823">
        <v>0</v>
      </c>
      <c r="D6823" s="201">
        <v>0</v>
      </c>
      <c r="E6823" s="201">
        <v>0</v>
      </c>
      <c r="F6823">
        <v>0</v>
      </c>
      <c r="G6823">
        <v>0</v>
      </c>
      <c r="H6823">
        <v>0</v>
      </c>
      <c r="I6823">
        <v>0</v>
      </c>
      <c r="J6823">
        <v>0</v>
      </c>
      <c r="K6823" s="201">
        <v>0</v>
      </c>
    </row>
    <row r="6824" spans="1:11" x14ac:dyDescent="0.25">
      <c r="A6824"/>
      <c r="B6824" s="201">
        <v>0</v>
      </c>
      <c r="C6824">
        <v>0</v>
      </c>
      <c r="D6824" s="201">
        <v>-1227</v>
      </c>
      <c r="E6824" s="201">
        <v>0</v>
      </c>
      <c r="F6824">
        <v>0</v>
      </c>
      <c r="G6824">
        <v>0</v>
      </c>
      <c r="H6824">
        <v>0</v>
      </c>
      <c r="I6824">
        <v>0</v>
      </c>
      <c r="J6824">
        <v>-56</v>
      </c>
      <c r="K6824" s="201">
        <v>184</v>
      </c>
    </row>
    <row r="6825" spans="1:11" x14ac:dyDescent="0.25">
      <c r="A6825"/>
      <c r="B6825" s="201">
        <v>81</v>
      </c>
      <c r="C6825">
        <v>626</v>
      </c>
      <c r="D6825" s="201">
        <v>-323</v>
      </c>
      <c r="E6825" s="201">
        <v>1366</v>
      </c>
      <c r="F6825">
        <v>3837</v>
      </c>
      <c r="G6825">
        <v>-814</v>
      </c>
      <c r="H6825">
        <v>59</v>
      </c>
      <c r="I6825">
        <v>44</v>
      </c>
      <c r="J6825">
        <v>999</v>
      </c>
      <c r="K6825" s="201">
        <v>151</v>
      </c>
    </row>
    <row r="6826" spans="1:11" x14ac:dyDescent="0.25">
      <c r="A6826"/>
      <c r="B6826" s="201">
        <v>2804</v>
      </c>
      <c r="C6826">
        <v>5861</v>
      </c>
      <c r="D6826" s="201">
        <v>2620</v>
      </c>
      <c r="E6826" s="201">
        <v>8296</v>
      </c>
      <c r="F6826">
        <v>-5641</v>
      </c>
      <c r="G6826">
        <v>0</v>
      </c>
      <c r="H6826">
        <v>783</v>
      </c>
      <c r="I6826">
        <v>-797</v>
      </c>
      <c r="J6826">
        <v>1655</v>
      </c>
      <c r="K6826" s="201">
        <v>-3173</v>
      </c>
    </row>
    <row r="6827" spans="1:11" x14ac:dyDescent="0.25">
      <c r="A6827"/>
      <c r="B6827" s="201">
        <v>718</v>
      </c>
      <c r="C6827">
        <v>1205</v>
      </c>
      <c r="D6827" s="201">
        <v>1225</v>
      </c>
      <c r="E6827" s="201">
        <v>-941</v>
      </c>
      <c r="F6827">
        <v>671</v>
      </c>
      <c r="G6827">
        <v>3881</v>
      </c>
      <c r="H6827">
        <v>359</v>
      </c>
      <c r="I6827">
        <v>-1732</v>
      </c>
      <c r="J6827">
        <v>379</v>
      </c>
      <c r="K6827" s="201">
        <v>2003</v>
      </c>
    </row>
    <row r="6828" spans="1:11" x14ac:dyDescent="0.25">
      <c r="A6828"/>
      <c r="B6828" s="201">
        <v>882</v>
      </c>
      <c r="C6828">
        <v>-736</v>
      </c>
      <c r="D6828" s="201">
        <v>619</v>
      </c>
      <c r="E6828" s="201">
        <v>-1131</v>
      </c>
      <c r="F6828">
        <v>733</v>
      </c>
      <c r="G6828">
        <v>2076</v>
      </c>
      <c r="H6828">
        <v>-72</v>
      </c>
      <c r="I6828">
        <v>41</v>
      </c>
      <c r="J6828">
        <v>88</v>
      </c>
      <c r="K6828" s="201">
        <v>214</v>
      </c>
    </row>
    <row r="6829" spans="1:11" x14ac:dyDescent="0.25">
      <c r="A6829"/>
      <c r="B6829" s="201">
        <v>381</v>
      </c>
      <c r="C6829">
        <v>-1177</v>
      </c>
      <c r="D6829" s="201">
        <v>-342</v>
      </c>
      <c r="E6829" s="201">
        <v>-332</v>
      </c>
      <c r="F6829">
        <v>-26</v>
      </c>
      <c r="G6829">
        <v>-1818</v>
      </c>
      <c r="H6829">
        <v>965</v>
      </c>
      <c r="I6829">
        <v>34</v>
      </c>
      <c r="J6829">
        <v>149</v>
      </c>
      <c r="K6829" s="201">
        <v>67</v>
      </c>
    </row>
    <row r="6830" spans="1:11" x14ac:dyDescent="0.25">
      <c r="A6830"/>
      <c r="B6830" s="201">
        <v>663</v>
      </c>
      <c r="C6830">
        <v>101</v>
      </c>
      <c r="D6830" s="201">
        <v>347</v>
      </c>
      <c r="E6830" s="201">
        <v>136</v>
      </c>
      <c r="F6830">
        <v>172</v>
      </c>
      <c r="G6830">
        <v>110</v>
      </c>
      <c r="H6830">
        <v>33840</v>
      </c>
      <c r="I6830">
        <v>39692</v>
      </c>
      <c r="J6830">
        <v>41252</v>
      </c>
      <c r="K6830" s="201">
        <v>37941</v>
      </c>
    </row>
    <row r="6831" spans="1:11" x14ac:dyDescent="0.25">
      <c r="A6831"/>
      <c r="B6831" s="201">
        <v>34926</v>
      </c>
      <c r="C6831">
        <v>18644</v>
      </c>
      <c r="D6831" s="201">
        <v>19667</v>
      </c>
      <c r="E6831" s="201">
        <v>18678</v>
      </c>
      <c r="F6831">
        <v>24956</v>
      </c>
      <c r="G6831">
        <v>27670</v>
      </c>
      <c r="H6831">
        <v>53749</v>
      </c>
      <c r="I6831">
        <v>55334</v>
      </c>
      <c r="J6831">
        <v>52563</v>
      </c>
      <c r="K6831" s="201">
        <v>52534</v>
      </c>
    </row>
    <row r="6832" spans="1:11" x14ac:dyDescent="0.25">
      <c r="A6832"/>
      <c r="B6832" s="201">
        <v>60695</v>
      </c>
      <c r="C6832" s="201">
        <v>552</v>
      </c>
      <c r="D6832" s="201">
        <v>-32265</v>
      </c>
      <c r="E6832" s="201">
        <v>-287</v>
      </c>
      <c r="F6832">
        <v>-47</v>
      </c>
      <c r="G6832">
        <v>123</v>
      </c>
      <c r="H6832">
        <v>0</v>
      </c>
      <c r="I6832">
        <v>0</v>
      </c>
      <c r="J6832">
        <v>153</v>
      </c>
      <c r="K6832" s="201">
        <v>0</v>
      </c>
    </row>
    <row r="6833" spans="1:11" x14ac:dyDescent="0.25">
      <c r="A6833"/>
      <c r="B6833" s="201">
        <v>0</v>
      </c>
      <c r="C6833">
        <v>0</v>
      </c>
      <c r="D6833" s="201">
        <v>27</v>
      </c>
      <c r="E6833" s="201">
        <v>39</v>
      </c>
      <c r="F6833">
        <v>0</v>
      </c>
      <c r="G6833">
        <v>0</v>
      </c>
      <c r="H6833">
        <v>0</v>
      </c>
      <c r="I6833">
        <v>0</v>
      </c>
      <c r="J6833">
        <v>0</v>
      </c>
      <c r="K6833" s="201">
        <v>0</v>
      </c>
    </row>
    <row r="6834" spans="1:11" x14ac:dyDescent="0.25">
      <c r="B6834" s="201">
        <v>-206</v>
      </c>
      <c r="C6834">
        <v>0</v>
      </c>
      <c r="D6834" s="201">
        <v>0</v>
      </c>
      <c r="E6834" s="201">
        <v>29</v>
      </c>
      <c r="F6834">
        <v>0</v>
      </c>
      <c r="G6834">
        <v>-31</v>
      </c>
      <c r="H6834">
        <v>0</v>
      </c>
      <c r="I6834">
        <v>-29</v>
      </c>
      <c r="J6834">
        <v>-340</v>
      </c>
      <c r="K6834" s="201">
        <v>-77</v>
      </c>
    </row>
    <row r="6835" spans="1:11" x14ac:dyDescent="0.25">
      <c r="A6835"/>
      <c r="B6835" s="201">
        <v>0</v>
      </c>
      <c r="C6835">
        <v>79</v>
      </c>
      <c r="D6835" s="201">
        <v>-27425</v>
      </c>
      <c r="E6835" s="201">
        <v>-178</v>
      </c>
      <c r="F6835">
        <v>-106</v>
      </c>
      <c r="G6835">
        <v>-101</v>
      </c>
      <c r="H6835">
        <v>-100</v>
      </c>
      <c r="I6835">
        <v>0</v>
      </c>
      <c r="J6835">
        <v>-7</v>
      </c>
      <c r="K6835" s="201">
        <v>0</v>
      </c>
    </row>
    <row r="6836" spans="1:11" x14ac:dyDescent="0.25">
      <c r="A6836"/>
      <c r="B6836" s="201">
        <v>0</v>
      </c>
      <c r="C6836">
        <v>0</v>
      </c>
      <c r="D6836" s="201">
        <v>0</v>
      </c>
      <c r="E6836" s="201">
        <v>0</v>
      </c>
      <c r="F6836">
        <v>-21</v>
      </c>
      <c r="G6836">
        <v>0</v>
      </c>
      <c r="H6836">
        <v>0</v>
      </c>
      <c r="I6836">
        <v>0</v>
      </c>
      <c r="J6836">
        <v>-11</v>
      </c>
      <c r="K6836" s="201">
        <v>0</v>
      </c>
    </row>
    <row r="6837" spans="1:11" x14ac:dyDescent="0.25">
      <c r="A6837"/>
      <c r="B6837" s="201">
        <v>35</v>
      </c>
      <c r="C6837">
        <v>0</v>
      </c>
      <c r="D6837" s="201">
        <v>0</v>
      </c>
      <c r="E6837" s="201">
        <v>0</v>
      </c>
      <c r="F6837">
        <v>0</v>
      </c>
      <c r="G6837">
        <v>0</v>
      </c>
      <c r="H6837">
        <v>30</v>
      </c>
      <c r="I6837">
        <v>0</v>
      </c>
      <c r="J6837">
        <v>-114</v>
      </c>
      <c r="K6837" s="201">
        <v>34</v>
      </c>
    </row>
    <row r="6838" spans="1:11" x14ac:dyDescent="0.25">
      <c r="A6838"/>
      <c r="B6838" s="201">
        <v>0</v>
      </c>
      <c r="C6838">
        <v>0</v>
      </c>
      <c r="D6838" s="201">
        <v>-465</v>
      </c>
      <c r="E6838" s="201">
        <v>-40870</v>
      </c>
      <c r="F6838">
        <v>0</v>
      </c>
      <c r="G6838">
        <v>-390</v>
      </c>
      <c r="H6838">
        <v>0</v>
      </c>
      <c r="I6838">
        <v>0</v>
      </c>
      <c r="J6838">
        <v>0</v>
      </c>
      <c r="K6838" s="201">
        <v>0</v>
      </c>
    </row>
    <row r="6839" spans="1:11" x14ac:dyDescent="0.25">
      <c r="A6839"/>
      <c r="B6839" s="201">
        <v>-277</v>
      </c>
      <c r="C6839">
        <v>59</v>
      </c>
      <c r="D6839" s="201">
        <v>129</v>
      </c>
      <c r="E6839" s="201">
        <v>0</v>
      </c>
      <c r="F6839">
        <v>0</v>
      </c>
      <c r="G6839">
        <v>-8</v>
      </c>
      <c r="H6839">
        <v>25</v>
      </c>
      <c r="I6839">
        <v>0</v>
      </c>
      <c r="J6839">
        <v>93</v>
      </c>
      <c r="K6839" s="201">
        <v>-67</v>
      </c>
    </row>
    <row r="6840" spans="1:11" x14ac:dyDescent="0.25">
      <c r="A6840"/>
      <c r="B6840" s="201">
        <v>41</v>
      </c>
      <c r="C6840">
        <v>17</v>
      </c>
      <c r="D6840" s="201">
        <v>-75</v>
      </c>
      <c r="E6840" s="201">
        <v>44</v>
      </c>
      <c r="F6840">
        <v>-66</v>
      </c>
      <c r="G6840">
        <v>0</v>
      </c>
      <c r="H6840">
        <v>0</v>
      </c>
      <c r="I6840">
        <v>0</v>
      </c>
      <c r="J6840">
        <v>0</v>
      </c>
      <c r="K6840" s="201">
        <v>0</v>
      </c>
    </row>
    <row r="6841" spans="1:11" x14ac:dyDescent="0.25">
      <c r="A6841"/>
      <c r="B6841" s="201">
        <v>286</v>
      </c>
      <c r="C6841">
        <v>0</v>
      </c>
      <c r="D6841" s="201">
        <v>140</v>
      </c>
      <c r="E6841" s="201">
        <v>44</v>
      </c>
      <c r="F6841">
        <v>64</v>
      </c>
      <c r="G6841">
        <v>0</v>
      </c>
      <c r="H6841">
        <v>-336</v>
      </c>
      <c r="I6841">
        <v>-47395</v>
      </c>
      <c r="J6841">
        <v>-955</v>
      </c>
      <c r="K6841" s="201">
        <v>-463</v>
      </c>
    </row>
    <row r="6842" spans="1:11" x14ac:dyDescent="0.25">
      <c r="A6842"/>
      <c r="B6842" s="201">
        <v>-293</v>
      </c>
      <c r="C6842">
        <v>0</v>
      </c>
      <c r="D6842" s="201">
        <v>-1234</v>
      </c>
      <c r="E6842" s="201">
        <v>-1631</v>
      </c>
      <c r="F6842">
        <v>-1665</v>
      </c>
      <c r="G6842">
        <v>796</v>
      </c>
      <c r="H6842">
        <v>0</v>
      </c>
      <c r="I6842">
        <v>-1601</v>
      </c>
      <c r="J6842">
        <v>-649</v>
      </c>
      <c r="K6842" s="201">
        <v>0</v>
      </c>
    </row>
    <row r="6843" spans="1:11" x14ac:dyDescent="0.25">
      <c r="A6843"/>
      <c r="B6843" s="201">
        <v>0</v>
      </c>
      <c r="C6843">
        <v>0</v>
      </c>
      <c r="D6843" s="201">
        <v>-80</v>
      </c>
      <c r="E6843" s="201">
        <v>1005</v>
      </c>
      <c r="F6843">
        <v>0</v>
      </c>
      <c r="G6843">
        <v>1123</v>
      </c>
      <c r="H6843">
        <v>35</v>
      </c>
      <c r="I6843">
        <v>34</v>
      </c>
      <c r="J6843">
        <v>1291</v>
      </c>
      <c r="K6843" s="201">
        <v>0</v>
      </c>
    </row>
    <row r="6844" spans="1:11" x14ac:dyDescent="0.25">
      <c r="A6844"/>
      <c r="B6844" s="201">
        <v>0</v>
      </c>
      <c r="C6844">
        <v>0</v>
      </c>
      <c r="D6844" s="201">
        <v>0</v>
      </c>
      <c r="E6844" s="201">
        <v>0</v>
      </c>
      <c r="F6844">
        <v>158</v>
      </c>
      <c r="G6844">
        <v>0</v>
      </c>
      <c r="H6844">
        <v>2975</v>
      </c>
      <c r="I6844">
        <v>2312</v>
      </c>
      <c r="J6844">
        <v>685</v>
      </c>
      <c r="K6844" s="201">
        <v>0</v>
      </c>
    </row>
    <row r="6845" spans="1:11" x14ac:dyDescent="0.25">
      <c r="A6845"/>
      <c r="B6845" s="201">
        <v>-250</v>
      </c>
      <c r="C6845">
        <v>-42633</v>
      </c>
      <c r="D6845" s="201">
        <v>-159</v>
      </c>
      <c r="E6845" s="201">
        <v>-44</v>
      </c>
      <c r="F6845">
        <v>583</v>
      </c>
      <c r="G6845">
        <v>-179</v>
      </c>
      <c r="H6845">
        <v>250</v>
      </c>
      <c r="I6845">
        <v>511</v>
      </c>
      <c r="J6845">
        <v>0</v>
      </c>
      <c r="K6845" s="201">
        <v>29</v>
      </c>
    </row>
    <row r="6846" spans="1:11" x14ac:dyDescent="0.25">
      <c r="A6846"/>
      <c r="B6846" s="201">
        <v>0</v>
      </c>
      <c r="C6846">
        <v>0</v>
      </c>
      <c r="D6846" s="201">
        <v>-175</v>
      </c>
      <c r="E6846" s="201">
        <v>68</v>
      </c>
      <c r="F6846">
        <v>0</v>
      </c>
      <c r="G6846">
        <v>89</v>
      </c>
      <c r="H6846">
        <v>0</v>
      </c>
      <c r="I6846">
        <v>0</v>
      </c>
      <c r="J6846">
        <v>-52</v>
      </c>
      <c r="K6846" s="201">
        <v>0</v>
      </c>
    </row>
    <row r="6847" spans="1:11" x14ac:dyDescent="0.25">
      <c r="A6847"/>
      <c r="B6847" s="201">
        <v>28</v>
      </c>
      <c r="C6847">
        <v>13</v>
      </c>
      <c r="D6847" s="201">
        <v>-48</v>
      </c>
      <c r="E6847" s="201">
        <v>0</v>
      </c>
      <c r="F6847">
        <v>0</v>
      </c>
      <c r="G6847">
        <v>0</v>
      </c>
      <c r="H6847">
        <v>0</v>
      </c>
      <c r="I6847">
        <v>0</v>
      </c>
      <c r="J6847">
        <v>45</v>
      </c>
      <c r="K6847" s="201">
        <v>0</v>
      </c>
    </row>
    <row r="6848" spans="1:11" x14ac:dyDescent="0.25">
      <c r="A6848"/>
      <c r="B6848" s="201">
        <v>103</v>
      </c>
      <c r="C6848">
        <v>-125</v>
      </c>
      <c r="D6848" s="201">
        <v>-42</v>
      </c>
      <c r="E6848" s="201">
        <v>0</v>
      </c>
      <c r="F6848">
        <v>-6</v>
      </c>
      <c r="G6848">
        <v>-50922</v>
      </c>
      <c r="H6848">
        <v>505</v>
      </c>
      <c r="I6848">
        <v>0</v>
      </c>
      <c r="J6848">
        <v>0</v>
      </c>
      <c r="K6848" s="201">
        <v>0</v>
      </c>
    </row>
    <row r="6849" spans="1:11" x14ac:dyDescent="0.25">
      <c r="B6849" s="201">
        <v>2167</v>
      </c>
      <c r="C6849">
        <v>3402</v>
      </c>
      <c r="D6849" s="201">
        <v>2194</v>
      </c>
      <c r="E6849" s="201">
        <v>-1366</v>
      </c>
      <c r="F6849">
        <v>-1239</v>
      </c>
      <c r="G6849">
        <v>0</v>
      </c>
      <c r="H6849">
        <v>90</v>
      </c>
      <c r="I6849">
        <v>0</v>
      </c>
      <c r="J6849">
        <v>0</v>
      </c>
      <c r="K6849" s="201">
        <v>84</v>
      </c>
    </row>
    <row r="6850" spans="1:11" x14ac:dyDescent="0.25">
      <c r="A6850"/>
      <c r="B6850" s="201">
        <v>0</v>
      </c>
      <c r="C6850">
        <v>-989</v>
      </c>
      <c r="D6850" s="201">
        <v>0</v>
      </c>
      <c r="E6850" s="201">
        <v>-1448</v>
      </c>
      <c r="F6850">
        <v>0</v>
      </c>
      <c r="G6850">
        <v>0</v>
      </c>
      <c r="H6850">
        <v>0</v>
      </c>
      <c r="I6850">
        <v>0</v>
      </c>
      <c r="J6850">
        <v>0</v>
      </c>
      <c r="K6850" s="201">
        <v>0</v>
      </c>
    </row>
    <row r="6851" spans="1:11" x14ac:dyDescent="0.25">
      <c r="A6851"/>
      <c r="B6851" s="201">
        <v>0</v>
      </c>
      <c r="C6851">
        <v>0</v>
      </c>
      <c r="D6851" s="201">
        <v>146</v>
      </c>
      <c r="E6851" s="201">
        <v>0</v>
      </c>
      <c r="F6851">
        <v>-2614</v>
      </c>
      <c r="G6851">
        <v>-3095</v>
      </c>
      <c r="H6851">
        <v>-1034</v>
      </c>
      <c r="I6851">
        <v>0</v>
      </c>
      <c r="J6851">
        <v>165</v>
      </c>
      <c r="K6851" s="201">
        <v>-48196</v>
      </c>
    </row>
    <row r="6852" spans="1:11" x14ac:dyDescent="0.25">
      <c r="A6852"/>
      <c r="B6852" s="201">
        <v>0</v>
      </c>
      <c r="C6852">
        <v>0</v>
      </c>
      <c r="D6852" s="201">
        <v>0</v>
      </c>
      <c r="E6852" s="201">
        <v>0</v>
      </c>
      <c r="F6852">
        <v>0</v>
      </c>
      <c r="G6852">
        <v>-641</v>
      </c>
      <c r="H6852">
        <v>291</v>
      </c>
      <c r="I6852">
        <v>-1231</v>
      </c>
      <c r="J6852">
        <v>-1471</v>
      </c>
      <c r="K6852" s="201">
        <v>-946</v>
      </c>
    </row>
    <row r="6853" spans="1:11" x14ac:dyDescent="0.25">
      <c r="B6853" s="201">
        <v>-1352</v>
      </c>
      <c r="C6853">
        <v>0</v>
      </c>
      <c r="D6853" s="201">
        <v>0</v>
      </c>
      <c r="E6853" s="201">
        <v>0</v>
      </c>
      <c r="F6853">
        <v>0</v>
      </c>
      <c r="G6853">
        <v>-1809</v>
      </c>
      <c r="H6853">
        <v>0</v>
      </c>
      <c r="I6853">
        <v>-327</v>
      </c>
      <c r="J6853">
        <v>0</v>
      </c>
      <c r="K6853" s="201">
        <v>0</v>
      </c>
    </row>
    <row r="6854" spans="1:11" x14ac:dyDescent="0.25">
      <c r="A6854"/>
      <c r="B6854" s="201">
        <v>-1088</v>
      </c>
      <c r="C6854">
        <v>-1323</v>
      </c>
      <c r="D6854" s="201">
        <v>0</v>
      </c>
      <c r="E6854" s="201">
        <v>0</v>
      </c>
      <c r="F6854">
        <v>0</v>
      </c>
      <c r="G6854">
        <v>0</v>
      </c>
      <c r="H6854">
        <v>-185</v>
      </c>
      <c r="I6854">
        <v>0</v>
      </c>
      <c r="J6854">
        <v>1214</v>
      </c>
      <c r="K6854" s="201">
        <v>181</v>
      </c>
    </row>
    <row r="6855" spans="1:11" x14ac:dyDescent="0.25">
      <c r="A6855"/>
      <c r="B6855" s="201">
        <v>578</v>
      </c>
      <c r="C6855">
        <v>6049</v>
      </c>
      <c r="D6855" s="201">
        <v>1380</v>
      </c>
      <c r="E6855" s="201">
        <v>1054</v>
      </c>
      <c r="F6855">
        <v>828</v>
      </c>
      <c r="G6855">
        <v>730</v>
      </c>
      <c r="H6855">
        <v>352</v>
      </c>
      <c r="I6855">
        <v>367</v>
      </c>
      <c r="J6855">
        <v>0</v>
      </c>
      <c r="K6855" s="201">
        <v>0</v>
      </c>
    </row>
    <row r="6856" spans="1:11" x14ac:dyDescent="0.25">
      <c r="A6856"/>
      <c r="B6856" s="201">
        <v>0</v>
      </c>
      <c r="C6856">
        <v>0</v>
      </c>
      <c r="D6856" s="201">
        <v>0</v>
      </c>
      <c r="E6856" s="201">
        <v>0</v>
      </c>
      <c r="F6856">
        <v>0</v>
      </c>
      <c r="G6856">
        <v>-134</v>
      </c>
      <c r="H6856">
        <v>-30</v>
      </c>
      <c r="I6856">
        <v>286</v>
      </c>
      <c r="J6856">
        <v>-3</v>
      </c>
      <c r="K6856" s="201">
        <v>30</v>
      </c>
    </row>
    <row r="6857" spans="1:11" x14ac:dyDescent="0.25">
      <c r="A6857"/>
      <c r="B6857" s="201">
        <v>2</v>
      </c>
      <c r="C6857">
        <v>0</v>
      </c>
      <c r="D6857" s="201">
        <v>0</v>
      </c>
      <c r="E6857" s="201">
        <v>275</v>
      </c>
      <c r="F6857">
        <v>0</v>
      </c>
      <c r="G6857">
        <v>92</v>
      </c>
      <c r="H6857">
        <v>-500</v>
      </c>
      <c r="I6857">
        <v>0</v>
      </c>
      <c r="J6857">
        <v>0</v>
      </c>
      <c r="K6857" s="201">
        <v>0</v>
      </c>
    </row>
    <row r="6858" spans="1:11" x14ac:dyDescent="0.25">
      <c r="A6858"/>
      <c r="B6858" s="201">
        <v>0</v>
      </c>
      <c r="C6858">
        <v>-1731</v>
      </c>
      <c r="D6858" s="201">
        <v>0</v>
      </c>
      <c r="E6858" s="201">
        <v>-630</v>
      </c>
      <c r="F6858">
        <v>-2171</v>
      </c>
      <c r="G6858">
        <v>0</v>
      </c>
      <c r="H6858">
        <v>0</v>
      </c>
      <c r="I6858">
        <v>0</v>
      </c>
      <c r="J6858">
        <v>0</v>
      </c>
      <c r="K6858" s="201">
        <v>0</v>
      </c>
    </row>
    <row r="6859" spans="1:11" x14ac:dyDescent="0.25">
      <c r="A6859"/>
      <c r="B6859" s="201">
        <v>0</v>
      </c>
      <c r="C6859">
        <v>0</v>
      </c>
      <c r="D6859" s="201">
        <v>0</v>
      </c>
      <c r="E6859" s="201">
        <v>0</v>
      </c>
      <c r="F6859">
        <v>0</v>
      </c>
      <c r="G6859">
        <v>0</v>
      </c>
      <c r="H6859">
        <v>0</v>
      </c>
      <c r="I6859">
        <v>0</v>
      </c>
      <c r="J6859">
        <v>0</v>
      </c>
      <c r="K6859" s="201">
        <v>0</v>
      </c>
    </row>
    <row r="6860" spans="1:11" x14ac:dyDescent="0.25">
      <c r="B6860" s="201">
        <v>-469</v>
      </c>
      <c r="C6860">
        <v>0</v>
      </c>
      <c r="D6860" s="201">
        <v>0</v>
      </c>
      <c r="E6860" s="201">
        <v>0</v>
      </c>
      <c r="F6860">
        <v>0</v>
      </c>
      <c r="G6860">
        <v>0</v>
      </c>
      <c r="H6860">
        <v>236</v>
      </c>
      <c r="I6860">
        <v>53</v>
      </c>
      <c r="J6860">
        <v>-25</v>
      </c>
      <c r="K6860" s="201">
        <v>-216</v>
      </c>
    </row>
    <row r="6861" spans="1:11" x14ac:dyDescent="0.25">
      <c r="A6861"/>
      <c r="B6861" s="201">
        <v>1587</v>
      </c>
      <c r="C6861" s="201">
        <v>-176</v>
      </c>
      <c r="D6861" s="201">
        <v>-3810</v>
      </c>
      <c r="E6861" s="201">
        <v>-442</v>
      </c>
      <c r="F6861">
        <v>-154</v>
      </c>
      <c r="G6861">
        <v>-137</v>
      </c>
      <c r="H6861">
        <v>-154</v>
      </c>
      <c r="I6861">
        <v>-208</v>
      </c>
      <c r="J6861">
        <v>-327</v>
      </c>
      <c r="K6861" s="201">
        <v>-1072</v>
      </c>
    </row>
    <row r="6862" spans="1:11" x14ac:dyDescent="0.25">
      <c r="A6862"/>
      <c r="B6862" s="201">
        <v>19</v>
      </c>
      <c r="C6862">
        <v>-65</v>
      </c>
      <c r="D6862" s="201">
        <v>446</v>
      </c>
      <c r="E6862" s="201">
        <v>0</v>
      </c>
      <c r="F6862">
        <v>-103</v>
      </c>
      <c r="G6862">
        <v>1700</v>
      </c>
      <c r="H6862">
        <v>-265</v>
      </c>
      <c r="I6862">
        <v>-3096</v>
      </c>
      <c r="J6862">
        <v>95</v>
      </c>
      <c r="K6862" s="201">
        <v>674</v>
      </c>
    </row>
    <row r="6863" spans="1:11" x14ac:dyDescent="0.25">
      <c r="A6863"/>
      <c r="B6863" s="201">
        <v>-261</v>
      </c>
      <c r="C6863">
        <v>-2386</v>
      </c>
      <c r="D6863" s="201">
        <v>172</v>
      </c>
      <c r="E6863" s="201">
        <v>1153</v>
      </c>
      <c r="F6863">
        <v>-320</v>
      </c>
      <c r="G6863">
        <v>-2334</v>
      </c>
      <c r="H6863">
        <v>-54</v>
      </c>
      <c r="I6863">
        <v>701</v>
      </c>
      <c r="J6863">
        <v>-490</v>
      </c>
      <c r="K6863" s="201">
        <v>-2110</v>
      </c>
    </row>
    <row r="6864" spans="1:11" x14ac:dyDescent="0.25">
      <c r="A6864"/>
      <c r="B6864" s="201">
        <v>-136</v>
      </c>
      <c r="C6864">
        <v>161</v>
      </c>
      <c r="D6864" s="201">
        <v>-197</v>
      </c>
      <c r="E6864" s="201">
        <v>-1180</v>
      </c>
      <c r="F6864">
        <v>-49</v>
      </c>
      <c r="G6864">
        <v>168</v>
      </c>
      <c r="H6864">
        <v>180</v>
      </c>
      <c r="I6864">
        <v>349</v>
      </c>
      <c r="J6864">
        <v>306</v>
      </c>
      <c r="K6864" s="201">
        <v>-1307</v>
      </c>
    </row>
    <row r="6865" spans="1:11" x14ac:dyDescent="0.25">
      <c r="A6865"/>
      <c r="B6865" s="201">
        <v>-53</v>
      </c>
      <c r="C6865">
        <v>901</v>
      </c>
      <c r="D6865" s="201">
        <v>-106</v>
      </c>
      <c r="E6865" s="201">
        <v>-1653</v>
      </c>
      <c r="F6865">
        <v>263</v>
      </c>
      <c r="G6865">
        <v>229</v>
      </c>
      <c r="H6865">
        <v>255</v>
      </c>
      <c r="I6865">
        <v>225</v>
      </c>
      <c r="J6865">
        <v>503</v>
      </c>
      <c r="K6865" s="201">
        <v>261</v>
      </c>
    </row>
    <row r="6866" spans="1:11" x14ac:dyDescent="0.25">
      <c r="A6866"/>
      <c r="B6866" s="201">
        <v>165</v>
      </c>
      <c r="C6866">
        <v>625</v>
      </c>
      <c r="D6866" s="201">
        <v>180</v>
      </c>
      <c r="E6866" s="201">
        <v>443</v>
      </c>
      <c r="F6866">
        <v>34101</v>
      </c>
      <c r="G6866">
        <v>42383</v>
      </c>
      <c r="H6866">
        <v>41052</v>
      </c>
      <c r="I6866">
        <v>38377</v>
      </c>
      <c r="J6866">
        <v>36922</v>
      </c>
      <c r="K6866" s="201">
        <v>19381</v>
      </c>
    </row>
    <row r="6867" spans="1:11" x14ac:dyDescent="0.25">
      <c r="A6867"/>
      <c r="B6867" s="201">
        <v>21879</v>
      </c>
      <c r="C6867">
        <v>19041</v>
      </c>
      <c r="D6867" s="201">
        <v>26011</v>
      </c>
      <c r="E6867" s="201">
        <v>28876</v>
      </c>
      <c r="F6867">
        <v>51355</v>
      </c>
      <c r="G6867">
        <v>54324</v>
      </c>
      <c r="H6867">
        <v>51719</v>
      </c>
      <c r="I6867">
        <v>52285</v>
      </c>
      <c r="J6867">
        <v>59793</v>
      </c>
      <c r="K6867" s="201">
        <v>52244</v>
      </c>
    </row>
    <row r="6868" spans="1:11" x14ac:dyDescent="0.25">
      <c r="A6868"/>
      <c r="B6868" s="201">
        <v>182</v>
      </c>
      <c r="C6868">
        <v>-31925</v>
      </c>
      <c r="D6868" s="201">
        <v>14</v>
      </c>
      <c r="E6868" s="201">
        <v>-23</v>
      </c>
      <c r="F6868">
        <v>141</v>
      </c>
      <c r="G6868">
        <v>0</v>
      </c>
      <c r="H6868">
        <v>0</v>
      </c>
      <c r="I6868">
        <v>69</v>
      </c>
      <c r="J6868">
        <v>0</v>
      </c>
      <c r="K6868" s="201">
        <v>0</v>
      </c>
    </row>
    <row r="6869" spans="1:11" x14ac:dyDescent="0.25">
      <c r="A6869"/>
      <c r="B6869" s="201">
        <v>0</v>
      </c>
      <c r="C6869">
        <v>50</v>
      </c>
      <c r="D6869" s="201">
        <v>26</v>
      </c>
      <c r="E6869" s="201">
        <v>0</v>
      </c>
      <c r="F6869">
        <v>0</v>
      </c>
      <c r="G6869">
        <v>0</v>
      </c>
      <c r="H6869">
        <v>0</v>
      </c>
      <c r="I6869">
        <v>0</v>
      </c>
      <c r="J6869">
        <v>0</v>
      </c>
      <c r="K6869" s="201">
        <v>-28</v>
      </c>
    </row>
    <row r="6870" spans="1:11" x14ac:dyDescent="0.25">
      <c r="A6870"/>
      <c r="B6870" s="201">
        <v>0</v>
      </c>
      <c r="C6870">
        <v>0</v>
      </c>
      <c r="D6870" s="201">
        <v>63</v>
      </c>
      <c r="E6870" s="201">
        <v>0</v>
      </c>
      <c r="F6870">
        <v>-69</v>
      </c>
      <c r="G6870">
        <v>0</v>
      </c>
      <c r="H6870">
        <v>-83</v>
      </c>
      <c r="I6870">
        <v>-225</v>
      </c>
      <c r="J6870">
        <v>-126</v>
      </c>
      <c r="K6870" s="201">
        <v>0</v>
      </c>
    </row>
    <row r="6871" spans="1:11" x14ac:dyDescent="0.25">
      <c r="A6871"/>
      <c r="B6871" s="201">
        <v>38</v>
      </c>
      <c r="C6871">
        <v>-27075</v>
      </c>
      <c r="D6871" s="201">
        <v>-93</v>
      </c>
      <c r="E6871" s="201">
        <v>-133</v>
      </c>
      <c r="F6871">
        <v>-94</v>
      </c>
      <c r="G6871">
        <v>-345</v>
      </c>
      <c r="H6871">
        <v>0</v>
      </c>
      <c r="I6871">
        <v>85</v>
      </c>
      <c r="J6871">
        <v>0</v>
      </c>
      <c r="K6871" s="201">
        <v>0</v>
      </c>
    </row>
    <row r="6872" spans="1:11" x14ac:dyDescent="0.25">
      <c r="A6872"/>
      <c r="B6872" s="201">
        <v>0</v>
      </c>
      <c r="C6872">
        <v>0</v>
      </c>
      <c r="D6872" s="201">
        <v>0</v>
      </c>
      <c r="E6872" s="201">
        <v>47</v>
      </c>
      <c r="F6872">
        <v>0</v>
      </c>
      <c r="G6872">
        <v>0</v>
      </c>
      <c r="H6872">
        <v>0</v>
      </c>
      <c r="I6872">
        <v>-32</v>
      </c>
      <c r="J6872">
        <v>0</v>
      </c>
      <c r="K6872" s="201">
        <v>2</v>
      </c>
    </row>
    <row r="6873" spans="1:11" x14ac:dyDescent="0.25">
      <c r="A6873"/>
      <c r="B6873" s="201">
        <v>0</v>
      </c>
      <c r="C6873">
        <v>0</v>
      </c>
      <c r="D6873" s="201">
        <v>0</v>
      </c>
      <c r="E6873" s="201">
        <v>0</v>
      </c>
      <c r="F6873">
        <v>0</v>
      </c>
      <c r="G6873">
        <v>120</v>
      </c>
      <c r="H6873">
        <v>0</v>
      </c>
      <c r="I6873">
        <v>47</v>
      </c>
      <c r="J6873">
        <v>323</v>
      </c>
      <c r="K6873" s="201">
        <v>0</v>
      </c>
    </row>
    <row r="6874" spans="1:11" x14ac:dyDescent="0.25">
      <c r="A6874"/>
      <c r="B6874" s="201">
        <v>0</v>
      </c>
      <c r="C6874">
        <v>-37</v>
      </c>
      <c r="D6874" s="201">
        <v>-41958</v>
      </c>
      <c r="E6874" s="201">
        <v>0</v>
      </c>
      <c r="F6874">
        <v>-359</v>
      </c>
      <c r="G6874">
        <v>0</v>
      </c>
      <c r="H6874">
        <v>0</v>
      </c>
      <c r="I6874">
        <v>0</v>
      </c>
      <c r="J6874">
        <v>0</v>
      </c>
      <c r="K6874" s="201">
        <v>-327</v>
      </c>
    </row>
    <row r="6875" spans="1:11" x14ac:dyDescent="0.25">
      <c r="A6875"/>
      <c r="B6875" s="201">
        <v>93</v>
      </c>
      <c r="C6875">
        <v>168</v>
      </c>
      <c r="D6875" s="201">
        <v>0</v>
      </c>
      <c r="E6875" s="201">
        <v>0</v>
      </c>
      <c r="F6875">
        <v>-81</v>
      </c>
      <c r="G6875">
        <v>-62</v>
      </c>
      <c r="H6875">
        <v>0</v>
      </c>
      <c r="I6875">
        <v>-21</v>
      </c>
      <c r="J6875">
        <v>-169</v>
      </c>
      <c r="K6875" s="201">
        <v>-8</v>
      </c>
    </row>
    <row r="6876" spans="1:11" x14ac:dyDescent="0.25">
      <c r="A6876"/>
      <c r="B6876" s="201">
        <v>-202</v>
      </c>
      <c r="C6876">
        <v>-103</v>
      </c>
      <c r="D6876" s="201">
        <v>-49</v>
      </c>
      <c r="E6876" s="201">
        <v>-196</v>
      </c>
      <c r="F6876">
        <v>0</v>
      </c>
      <c r="G6876">
        <v>0</v>
      </c>
      <c r="H6876">
        <v>0</v>
      </c>
      <c r="I6876">
        <v>0</v>
      </c>
      <c r="J6876">
        <v>0</v>
      </c>
      <c r="K6876" s="201">
        <v>14</v>
      </c>
    </row>
    <row r="6877" spans="1:11" x14ac:dyDescent="0.25">
      <c r="A6877"/>
      <c r="B6877" s="201">
        <v>0</v>
      </c>
      <c r="C6877">
        <v>370</v>
      </c>
      <c r="D6877" s="201">
        <v>-39</v>
      </c>
      <c r="E6877" s="201">
        <v>84</v>
      </c>
      <c r="F6877">
        <v>0</v>
      </c>
      <c r="G6877">
        <v>81</v>
      </c>
      <c r="H6877">
        <v>-44306</v>
      </c>
      <c r="I6877">
        <v>-217</v>
      </c>
      <c r="J6877">
        <v>50</v>
      </c>
      <c r="K6877" s="201">
        <v>322</v>
      </c>
    </row>
    <row r="6878" spans="1:11" x14ac:dyDescent="0.25">
      <c r="A6878"/>
      <c r="B6878" s="201">
        <v>0</v>
      </c>
      <c r="C6878">
        <v>299</v>
      </c>
      <c r="D6878" s="201">
        <v>455</v>
      </c>
      <c r="E6878" s="201">
        <v>-47</v>
      </c>
      <c r="F6878">
        <v>44</v>
      </c>
      <c r="G6878">
        <v>0</v>
      </c>
      <c r="H6878">
        <v>-64</v>
      </c>
      <c r="I6878">
        <v>-172</v>
      </c>
      <c r="J6878">
        <v>0</v>
      </c>
      <c r="K6878" s="201">
        <v>0</v>
      </c>
    </row>
    <row r="6879" spans="1:11" x14ac:dyDescent="0.25">
      <c r="A6879"/>
      <c r="B6879" s="201">
        <v>0</v>
      </c>
      <c r="C6879">
        <v>-1</v>
      </c>
      <c r="D6879" s="201">
        <v>-20</v>
      </c>
      <c r="E6879" s="201">
        <v>0</v>
      </c>
      <c r="F6879">
        <v>4</v>
      </c>
      <c r="G6879">
        <v>54</v>
      </c>
      <c r="H6879">
        <v>12</v>
      </c>
      <c r="I6879">
        <v>119</v>
      </c>
      <c r="J6879">
        <v>0</v>
      </c>
      <c r="K6879" s="201">
        <v>0</v>
      </c>
    </row>
    <row r="6880" spans="1:11" x14ac:dyDescent="0.25">
      <c r="A6880"/>
      <c r="B6880" s="201">
        <v>0</v>
      </c>
      <c r="C6880">
        <v>0</v>
      </c>
      <c r="D6880" s="201">
        <v>0</v>
      </c>
      <c r="E6880" s="201">
        <v>-208</v>
      </c>
      <c r="F6880">
        <v>0</v>
      </c>
      <c r="G6880">
        <v>-164</v>
      </c>
      <c r="H6880">
        <v>-529</v>
      </c>
      <c r="I6880">
        <v>-228</v>
      </c>
      <c r="J6880">
        <v>0</v>
      </c>
      <c r="K6880" s="201">
        <v>-653</v>
      </c>
    </row>
    <row r="6881" spans="1:11" x14ac:dyDescent="0.25">
      <c r="A6881"/>
      <c r="B6881" s="201">
        <v>-46207</v>
      </c>
      <c r="C6881">
        <v>1514</v>
      </c>
      <c r="D6881" s="201">
        <v>-148</v>
      </c>
      <c r="E6881" s="201">
        <v>726</v>
      </c>
      <c r="F6881">
        <v>-4</v>
      </c>
      <c r="G6881">
        <v>-431</v>
      </c>
      <c r="H6881">
        <v>1559</v>
      </c>
      <c r="I6881">
        <v>0</v>
      </c>
      <c r="J6881">
        <v>398</v>
      </c>
      <c r="K6881" s="201">
        <v>0</v>
      </c>
    </row>
    <row r="6882" spans="1:11" x14ac:dyDescent="0.25">
      <c r="A6882"/>
      <c r="B6882" s="201">
        <v>0</v>
      </c>
      <c r="C6882">
        <v>-734</v>
      </c>
      <c r="D6882" s="201">
        <v>100</v>
      </c>
      <c r="E6882" s="201">
        <v>0</v>
      </c>
      <c r="F6882">
        <v>19</v>
      </c>
      <c r="G6882">
        <v>0</v>
      </c>
      <c r="H6882">
        <v>0</v>
      </c>
      <c r="I6882">
        <v>32</v>
      </c>
      <c r="J6882">
        <v>0</v>
      </c>
      <c r="K6882" s="201">
        <v>-361</v>
      </c>
    </row>
    <row r="6883" spans="1:11" x14ac:dyDescent="0.25">
      <c r="A6883"/>
      <c r="B6883" s="201">
        <v>-83</v>
      </c>
      <c r="C6883">
        <v>-859</v>
      </c>
      <c r="D6883" s="201">
        <v>0</v>
      </c>
      <c r="E6883" s="201">
        <v>0</v>
      </c>
      <c r="F6883">
        <v>0</v>
      </c>
      <c r="G6883">
        <v>0</v>
      </c>
      <c r="H6883">
        <v>0</v>
      </c>
      <c r="I6883">
        <v>260</v>
      </c>
      <c r="J6883">
        <v>0</v>
      </c>
      <c r="K6883" s="201">
        <v>1186</v>
      </c>
    </row>
    <row r="6884" spans="1:11" x14ac:dyDescent="0.25">
      <c r="B6884" s="201">
        <v>2888</v>
      </c>
      <c r="C6884">
        <v>606</v>
      </c>
      <c r="D6884" s="201">
        <v>0</v>
      </c>
      <c r="E6884" s="201">
        <v>-469</v>
      </c>
      <c r="F6884">
        <v>-58499</v>
      </c>
      <c r="G6884">
        <v>542</v>
      </c>
      <c r="H6884">
        <v>0</v>
      </c>
      <c r="I6884">
        <v>0</v>
      </c>
      <c r="J6884">
        <v>0</v>
      </c>
      <c r="K6884" s="201">
        <v>2375</v>
      </c>
    </row>
    <row r="6885" spans="1:11" x14ac:dyDescent="0.25">
      <c r="B6885" s="201">
        <v>4695</v>
      </c>
      <c r="C6885">
        <v>2302</v>
      </c>
      <c r="D6885" s="201">
        <v>-944</v>
      </c>
      <c r="E6885" s="201">
        <v>-1347</v>
      </c>
      <c r="F6885">
        <v>0</v>
      </c>
      <c r="G6885">
        <v>-390</v>
      </c>
      <c r="H6885">
        <v>0</v>
      </c>
      <c r="I6885">
        <v>0</v>
      </c>
      <c r="J6885">
        <v>-1559</v>
      </c>
      <c r="K6885" s="201">
        <v>0</v>
      </c>
    </row>
    <row r="6886" spans="1:11" x14ac:dyDescent="0.25">
      <c r="B6886" s="201">
        <v>-1172</v>
      </c>
      <c r="C6886">
        <v>0</v>
      </c>
      <c r="D6886" s="201">
        <v>-1052</v>
      </c>
      <c r="E6886" s="201">
        <v>0</v>
      </c>
      <c r="F6886">
        <v>0</v>
      </c>
      <c r="G6886">
        <v>0</v>
      </c>
      <c r="H6886">
        <v>0</v>
      </c>
      <c r="I6886">
        <v>0</v>
      </c>
      <c r="J6886">
        <v>0</v>
      </c>
      <c r="K6886" s="201">
        <v>0</v>
      </c>
    </row>
    <row r="6887" spans="1:11" x14ac:dyDescent="0.25">
      <c r="A6887"/>
      <c r="B6887" s="201">
        <v>0</v>
      </c>
      <c r="C6887">
        <v>149</v>
      </c>
      <c r="D6887" s="201">
        <v>0</v>
      </c>
      <c r="E6887" s="201">
        <v>-2316</v>
      </c>
      <c r="F6887">
        <v>962</v>
      </c>
      <c r="G6887">
        <v>1506</v>
      </c>
      <c r="H6887">
        <v>0</v>
      </c>
      <c r="I6887">
        <v>1647</v>
      </c>
      <c r="J6887">
        <v>-43503</v>
      </c>
      <c r="K6887" s="201">
        <v>0</v>
      </c>
    </row>
    <row r="6888" spans="1:11" x14ac:dyDescent="0.25">
      <c r="A6888"/>
      <c r="B6888" s="201">
        <v>0</v>
      </c>
      <c r="C6888">
        <v>0</v>
      </c>
      <c r="D6888" s="201">
        <v>0</v>
      </c>
      <c r="E6888" s="201">
        <v>0</v>
      </c>
      <c r="F6888">
        <v>-3309</v>
      </c>
      <c r="G6888">
        <v>-1408</v>
      </c>
      <c r="H6888">
        <v>-635</v>
      </c>
      <c r="I6888">
        <v>-770</v>
      </c>
      <c r="J6888">
        <v>-125</v>
      </c>
      <c r="K6888" s="201">
        <v>-254</v>
      </c>
    </row>
    <row r="6889" spans="1:11" x14ac:dyDescent="0.25">
      <c r="A6889"/>
      <c r="B6889" s="201">
        <v>0</v>
      </c>
      <c r="C6889">
        <v>0</v>
      </c>
      <c r="D6889" s="201">
        <v>0</v>
      </c>
      <c r="E6889" s="201">
        <v>0</v>
      </c>
      <c r="F6889">
        <v>-2558</v>
      </c>
      <c r="G6889">
        <v>0</v>
      </c>
      <c r="H6889">
        <v>-1610</v>
      </c>
      <c r="I6889">
        <v>0</v>
      </c>
      <c r="J6889">
        <v>0</v>
      </c>
      <c r="K6889" s="201">
        <v>271</v>
      </c>
    </row>
    <row r="6890" spans="1:11" x14ac:dyDescent="0.25">
      <c r="A6890"/>
      <c r="B6890" s="201">
        <v>-9</v>
      </c>
      <c r="C6890">
        <v>0</v>
      </c>
      <c r="D6890" s="201">
        <v>0</v>
      </c>
      <c r="E6890" s="201">
        <v>0</v>
      </c>
      <c r="F6890">
        <v>0</v>
      </c>
      <c r="G6890">
        <v>-1366</v>
      </c>
      <c r="H6890">
        <v>0</v>
      </c>
      <c r="I6890">
        <v>-220</v>
      </c>
      <c r="J6890">
        <v>-3118</v>
      </c>
      <c r="K6890" s="201">
        <v>-1010</v>
      </c>
    </row>
    <row r="6891" spans="1:11" x14ac:dyDescent="0.25">
      <c r="A6891"/>
      <c r="B6891" s="201">
        <v>2645</v>
      </c>
      <c r="C6891">
        <v>87</v>
      </c>
      <c r="D6891" s="201">
        <v>418</v>
      </c>
      <c r="E6891" s="201">
        <v>180</v>
      </c>
      <c r="F6891">
        <v>328</v>
      </c>
      <c r="G6891">
        <v>-299</v>
      </c>
      <c r="H6891">
        <v>-142</v>
      </c>
      <c r="I6891">
        <v>0</v>
      </c>
      <c r="J6891">
        <v>0</v>
      </c>
      <c r="K6891" s="201">
        <v>0</v>
      </c>
    </row>
    <row r="6892" spans="1:11" x14ac:dyDescent="0.25">
      <c r="A6892"/>
      <c r="B6892" s="201">
        <v>0</v>
      </c>
      <c r="C6892">
        <v>0</v>
      </c>
      <c r="D6892" s="201">
        <v>0</v>
      </c>
      <c r="E6892" s="201">
        <v>0</v>
      </c>
      <c r="F6892">
        <v>239</v>
      </c>
      <c r="G6892">
        <v>-26</v>
      </c>
      <c r="H6892">
        <v>715</v>
      </c>
      <c r="I6892">
        <v>-25</v>
      </c>
      <c r="J6892">
        <v>572</v>
      </c>
      <c r="K6892" s="201">
        <v>66</v>
      </c>
    </row>
    <row r="6893" spans="1:11" x14ac:dyDescent="0.25">
      <c r="A6893"/>
      <c r="B6893" s="201">
        <v>0</v>
      </c>
      <c r="C6893">
        <v>0</v>
      </c>
      <c r="D6893" s="201">
        <v>111</v>
      </c>
      <c r="E6893" s="201">
        <v>0</v>
      </c>
      <c r="F6893">
        <v>237</v>
      </c>
      <c r="G6893">
        <v>-119</v>
      </c>
      <c r="H6893">
        <v>0</v>
      </c>
      <c r="I6893">
        <v>0</v>
      </c>
      <c r="J6893">
        <v>0</v>
      </c>
      <c r="K6893" s="201">
        <v>0</v>
      </c>
    </row>
    <row r="6894" spans="1:11" x14ac:dyDescent="0.25">
      <c r="B6894" s="201">
        <v>-1293</v>
      </c>
      <c r="C6894">
        <v>0</v>
      </c>
      <c r="D6894" s="201">
        <v>-965</v>
      </c>
      <c r="E6894" s="201">
        <v>-989</v>
      </c>
      <c r="F6894">
        <v>0</v>
      </c>
      <c r="G6894">
        <v>0</v>
      </c>
      <c r="H6894">
        <v>0</v>
      </c>
      <c r="I6894">
        <v>0</v>
      </c>
      <c r="J6894">
        <v>0</v>
      </c>
      <c r="K6894" s="201">
        <v>0</v>
      </c>
    </row>
    <row r="6895" spans="1:11" x14ac:dyDescent="0.25">
      <c r="A6895"/>
      <c r="B6895" s="201">
        <v>0</v>
      </c>
      <c r="C6895">
        <v>0</v>
      </c>
      <c r="D6895" s="201">
        <v>0</v>
      </c>
      <c r="E6895" s="201">
        <v>0</v>
      </c>
      <c r="F6895">
        <v>0</v>
      </c>
      <c r="G6895">
        <v>0</v>
      </c>
      <c r="H6895">
        <v>0</v>
      </c>
      <c r="I6895">
        <v>0</v>
      </c>
      <c r="J6895">
        <v>0</v>
      </c>
      <c r="K6895" s="201">
        <v>-1290</v>
      </c>
    </row>
    <row r="6896" spans="1:11" x14ac:dyDescent="0.25">
      <c r="A6896"/>
      <c r="B6896" s="201">
        <v>0</v>
      </c>
      <c r="C6896">
        <v>0</v>
      </c>
      <c r="D6896" s="201">
        <v>0</v>
      </c>
      <c r="E6896" s="201">
        <v>0</v>
      </c>
      <c r="F6896">
        <v>0</v>
      </c>
      <c r="G6896">
        <v>136</v>
      </c>
      <c r="H6896">
        <v>136</v>
      </c>
      <c r="I6896">
        <v>20</v>
      </c>
      <c r="J6896">
        <v>288</v>
      </c>
      <c r="K6896" s="201">
        <v>1102</v>
      </c>
    </row>
    <row r="6897" spans="1:11" x14ac:dyDescent="0.25">
      <c r="A6897"/>
      <c r="B6897" s="201">
        <v>-434</v>
      </c>
      <c r="C6897">
        <v>2505</v>
      </c>
      <c r="D6897" s="201">
        <v>-534</v>
      </c>
      <c r="E6897" s="201">
        <v>-33</v>
      </c>
      <c r="F6897">
        <v>105</v>
      </c>
      <c r="G6897">
        <v>972</v>
      </c>
      <c r="H6897">
        <v>179</v>
      </c>
      <c r="I6897">
        <v>2747</v>
      </c>
      <c r="J6897">
        <v>2653</v>
      </c>
      <c r="K6897" s="201">
        <v>5533</v>
      </c>
    </row>
    <row r="6898" spans="1:11" x14ac:dyDescent="0.25">
      <c r="A6898"/>
      <c r="B6898" s="201">
        <v>7876</v>
      </c>
      <c r="C6898">
        <v>-5686</v>
      </c>
      <c r="D6898" s="201">
        <v>0</v>
      </c>
      <c r="E6898" s="201">
        <v>657</v>
      </c>
      <c r="F6898">
        <v>1632</v>
      </c>
      <c r="G6898">
        <v>-535</v>
      </c>
      <c r="H6898">
        <v>-2914</v>
      </c>
      <c r="I6898">
        <v>644</v>
      </c>
      <c r="J6898">
        <v>612</v>
      </c>
      <c r="K6898" s="201">
        <v>548</v>
      </c>
    </row>
    <row r="6899" spans="1:11" x14ac:dyDescent="0.25">
      <c r="A6899"/>
      <c r="B6899" s="201">
        <v>-1098</v>
      </c>
      <c r="C6899">
        <v>728</v>
      </c>
      <c r="D6899" s="201">
        <v>724</v>
      </c>
      <c r="E6899" s="201">
        <v>3147</v>
      </c>
      <c r="F6899">
        <v>-3581</v>
      </c>
      <c r="G6899">
        <v>451</v>
      </c>
      <c r="H6899">
        <v>849</v>
      </c>
      <c r="I6899">
        <v>1975</v>
      </c>
      <c r="J6899">
        <v>-1559</v>
      </c>
      <c r="K6899" s="201">
        <v>517</v>
      </c>
    </row>
    <row r="6900" spans="1:11" x14ac:dyDescent="0.25">
      <c r="A6900"/>
      <c r="B6900" s="201">
        <v>692</v>
      </c>
      <c r="C6900">
        <v>-1107</v>
      </c>
      <c r="D6900" s="201">
        <v>561</v>
      </c>
      <c r="E6900" s="201">
        <v>-74</v>
      </c>
      <c r="F6900">
        <v>-66</v>
      </c>
      <c r="G6900">
        <v>11</v>
      </c>
      <c r="H6900">
        <v>308</v>
      </c>
      <c r="I6900">
        <v>374</v>
      </c>
      <c r="J6900">
        <v>-1099</v>
      </c>
      <c r="K6900" s="201">
        <v>-279</v>
      </c>
    </row>
    <row r="6901" spans="1:11" x14ac:dyDescent="0.25">
      <c r="A6901"/>
      <c r="B6901" s="201">
        <v>-118</v>
      </c>
      <c r="C6901">
        <v>-87</v>
      </c>
      <c r="D6901" s="201">
        <v>-2197</v>
      </c>
      <c r="E6901" s="201">
        <v>1068</v>
      </c>
      <c r="F6901">
        <v>193</v>
      </c>
      <c r="G6901">
        <v>103</v>
      </c>
      <c r="H6901">
        <v>192</v>
      </c>
      <c r="I6901">
        <v>656</v>
      </c>
      <c r="J6901">
        <v>186</v>
      </c>
      <c r="K6901" s="201">
        <v>311</v>
      </c>
    </row>
    <row r="6902" spans="1:11" x14ac:dyDescent="0.25">
      <c r="A6902"/>
      <c r="B6902" s="201">
        <v>64</v>
      </c>
      <c r="C6902">
        <v>184</v>
      </c>
      <c r="D6902" s="201">
        <v>208</v>
      </c>
      <c r="E6902" s="201">
        <v>33788</v>
      </c>
      <c r="F6902">
        <v>41334</v>
      </c>
      <c r="G6902">
        <v>39588</v>
      </c>
      <c r="H6902">
        <v>38069</v>
      </c>
      <c r="I6902">
        <v>34964</v>
      </c>
      <c r="J6902">
        <v>18318</v>
      </c>
      <c r="K6902" s="201">
        <v>22800</v>
      </c>
    </row>
    <row r="6903" spans="1:11" x14ac:dyDescent="0.25">
      <c r="B6903" s="201">
        <v>16096</v>
      </c>
      <c r="C6903" s="201">
        <v>26859</v>
      </c>
      <c r="D6903" s="201">
        <v>27272</v>
      </c>
      <c r="E6903" s="201">
        <v>55695</v>
      </c>
      <c r="F6903">
        <v>54189</v>
      </c>
      <c r="G6903">
        <v>54187</v>
      </c>
      <c r="H6903">
        <v>52538</v>
      </c>
      <c r="I6903">
        <v>61004</v>
      </c>
      <c r="J6903">
        <v>53293</v>
      </c>
      <c r="K6903" s="201">
        <v>57318</v>
      </c>
    </row>
    <row r="6904" spans="1:11" x14ac:dyDescent="0.25">
      <c r="A6904"/>
      <c r="B6904" s="201">
        <v>434</v>
      </c>
      <c r="C6904">
        <v>-32082</v>
      </c>
      <c r="D6904" s="201">
        <v>-253</v>
      </c>
      <c r="E6904" s="201">
        <v>17</v>
      </c>
      <c r="F6904">
        <v>-112</v>
      </c>
      <c r="G6904">
        <v>0</v>
      </c>
      <c r="H6904">
        <v>0</v>
      </c>
      <c r="I6904">
        <v>219</v>
      </c>
      <c r="J6904">
        <v>0</v>
      </c>
      <c r="K6904" s="201">
        <v>0</v>
      </c>
    </row>
    <row r="6905" spans="1:11" x14ac:dyDescent="0.25">
      <c r="A6905"/>
      <c r="B6905" s="201">
        <v>0</v>
      </c>
      <c r="C6905">
        <v>51</v>
      </c>
      <c r="D6905" s="201">
        <v>51</v>
      </c>
      <c r="E6905" s="201">
        <v>0</v>
      </c>
      <c r="F6905">
        <v>0</v>
      </c>
      <c r="G6905">
        <v>0</v>
      </c>
      <c r="H6905">
        <v>0</v>
      </c>
      <c r="I6905">
        <v>0</v>
      </c>
      <c r="J6905">
        <v>0</v>
      </c>
      <c r="K6905" s="201">
        <v>-183</v>
      </c>
    </row>
    <row r="6906" spans="1:11" x14ac:dyDescent="0.25">
      <c r="A6906"/>
      <c r="B6906" s="201">
        <v>0</v>
      </c>
      <c r="C6906">
        <v>0</v>
      </c>
      <c r="D6906" s="201">
        <v>7</v>
      </c>
      <c r="E6906" s="201">
        <v>0</v>
      </c>
      <c r="F6906">
        <v>-14</v>
      </c>
      <c r="G6906">
        <v>0</v>
      </c>
      <c r="H6906">
        <v>-44</v>
      </c>
      <c r="I6906">
        <v>-301</v>
      </c>
      <c r="J6906">
        <v>-69</v>
      </c>
      <c r="K6906" s="201">
        <v>0</v>
      </c>
    </row>
    <row r="6907" spans="1:11" x14ac:dyDescent="0.25">
      <c r="A6907"/>
      <c r="B6907" s="201">
        <v>77</v>
      </c>
      <c r="C6907">
        <v>-27600</v>
      </c>
      <c r="D6907" s="201">
        <v>-138</v>
      </c>
      <c r="E6907" s="201">
        <v>-179</v>
      </c>
      <c r="F6907">
        <v>-58</v>
      </c>
      <c r="G6907">
        <v>-13</v>
      </c>
      <c r="H6907">
        <v>0</v>
      </c>
      <c r="I6907">
        <v>-20</v>
      </c>
      <c r="J6907">
        <v>0</v>
      </c>
      <c r="K6907" s="201">
        <v>0</v>
      </c>
    </row>
    <row r="6908" spans="1:11" x14ac:dyDescent="0.25">
      <c r="A6908"/>
      <c r="B6908" s="201">
        <v>0</v>
      </c>
      <c r="C6908">
        <v>0</v>
      </c>
      <c r="D6908" s="201">
        <v>0</v>
      </c>
      <c r="E6908" s="201">
        <v>18</v>
      </c>
      <c r="F6908">
        <v>0</v>
      </c>
      <c r="G6908">
        <v>0</v>
      </c>
      <c r="H6908">
        <v>0</v>
      </c>
      <c r="I6908">
        <v>-11</v>
      </c>
      <c r="J6908">
        <v>0</v>
      </c>
      <c r="K6908" s="201">
        <v>17</v>
      </c>
    </row>
    <row r="6909" spans="1:11" x14ac:dyDescent="0.25">
      <c r="A6909"/>
      <c r="B6909" s="201">
        <v>0</v>
      </c>
      <c r="C6909">
        <v>0</v>
      </c>
      <c r="D6909" s="201">
        <v>0</v>
      </c>
      <c r="E6909" s="201">
        <v>0</v>
      </c>
      <c r="F6909">
        <v>0</v>
      </c>
      <c r="G6909">
        <v>36</v>
      </c>
      <c r="H6909">
        <v>0</v>
      </c>
      <c r="I6909">
        <v>122</v>
      </c>
      <c r="J6909">
        <v>5</v>
      </c>
      <c r="K6909" s="201">
        <v>0</v>
      </c>
    </row>
    <row r="6910" spans="1:11" x14ac:dyDescent="0.25">
      <c r="A6910"/>
      <c r="B6910" s="201">
        <v>0</v>
      </c>
      <c r="C6910">
        <v>-484</v>
      </c>
      <c r="D6910" s="201">
        <v>-40882</v>
      </c>
      <c r="E6910" s="201">
        <v>0</v>
      </c>
      <c r="F6910">
        <v>-327</v>
      </c>
      <c r="G6910">
        <v>0</v>
      </c>
      <c r="H6910">
        <v>0</v>
      </c>
      <c r="I6910">
        <v>0</v>
      </c>
      <c r="J6910">
        <v>0</v>
      </c>
      <c r="K6910" s="201">
        <v>-193</v>
      </c>
    </row>
    <row r="6911" spans="1:11" x14ac:dyDescent="0.25">
      <c r="A6911"/>
      <c r="B6911" s="201">
        <v>108</v>
      </c>
      <c r="C6911">
        <v>159</v>
      </c>
      <c r="D6911" s="201">
        <v>0</v>
      </c>
      <c r="E6911" s="201">
        <v>0</v>
      </c>
      <c r="F6911">
        <v>6</v>
      </c>
      <c r="G6911">
        <v>38</v>
      </c>
      <c r="H6911">
        <v>0</v>
      </c>
      <c r="I6911">
        <v>103</v>
      </c>
      <c r="J6911">
        <v>-3</v>
      </c>
      <c r="K6911" s="201">
        <v>50</v>
      </c>
    </row>
    <row r="6912" spans="1:11" x14ac:dyDescent="0.25">
      <c r="A6912"/>
      <c r="B6912" s="201">
        <v>66</v>
      </c>
      <c r="C6912">
        <v>34</v>
      </c>
      <c r="D6912" s="201">
        <v>113</v>
      </c>
      <c r="E6912" s="201">
        <v>80</v>
      </c>
      <c r="F6912">
        <v>0</v>
      </c>
      <c r="G6912">
        <v>0</v>
      </c>
      <c r="H6912">
        <v>0</v>
      </c>
      <c r="I6912">
        <v>0</v>
      </c>
      <c r="J6912">
        <v>0</v>
      </c>
      <c r="K6912" s="201">
        <v>244</v>
      </c>
    </row>
    <row r="6913" spans="1:11" x14ac:dyDescent="0.25">
      <c r="A6913"/>
      <c r="B6913" s="201">
        <v>0</v>
      </c>
      <c r="C6913">
        <v>59</v>
      </c>
      <c r="D6913" s="201">
        <v>157</v>
      </c>
      <c r="E6913" s="201">
        <v>28</v>
      </c>
      <c r="F6913">
        <v>0</v>
      </c>
      <c r="G6913">
        <v>-125</v>
      </c>
      <c r="H6913">
        <v>-43537</v>
      </c>
      <c r="I6913">
        <v>-225</v>
      </c>
      <c r="J6913">
        <v>-79</v>
      </c>
      <c r="K6913" s="201">
        <v>694</v>
      </c>
    </row>
    <row r="6914" spans="1:11" x14ac:dyDescent="0.25">
      <c r="A6914"/>
      <c r="B6914" s="201">
        <v>0</v>
      </c>
      <c r="C6914">
        <v>-294</v>
      </c>
      <c r="D6914" s="201">
        <v>304</v>
      </c>
      <c r="E6914" s="201">
        <v>40</v>
      </c>
      <c r="F6914">
        <v>-35</v>
      </c>
      <c r="G6914">
        <v>0</v>
      </c>
      <c r="H6914">
        <v>1</v>
      </c>
      <c r="I6914">
        <v>-191</v>
      </c>
      <c r="J6914">
        <v>0</v>
      </c>
      <c r="K6914" s="201">
        <v>0</v>
      </c>
    </row>
    <row r="6915" spans="1:11" x14ac:dyDescent="0.25">
      <c r="A6915"/>
      <c r="B6915" s="201">
        <v>0</v>
      </c>
      <c r="C6915">
        <v>-10</v>
      </c>
      <c r="D6915" s="201">
        <v>-133</v>
      </c>
      <c r="E6915" s="201">
        <v>0</v>
      </c>
      <c r="F6915">
        <v>-129</v>
      </c>
      <c r="G6915">
        <v>-38</v>
      </c>
      <c r="H6915">
        <v>-14</v>
      </c>
      <c r="I6915">
        <v>-183</v>
      </c>
      <c r="J6915">
        <v>0</v>
      </c>
      <c r="K6915" s="201">
        <v>0</v>
      </c>
    </row>
    <row r="6916" spans="1:11" x14ac:dyDescent="0.25">
      <c r="A6916"/>
      <c r="B6916" s="201">
        <v>0</v>
      </c>
      <c r="C6916">
        <v>0</v>
      </c>
      <c r="D6916" s="201">
        <v>0</v>
      </c>
      <c r="E6916" s="201">
        <v>-70</v>
      </c>
      <c r="F6916">
        <v>0</v>
      </c>
      <c r="G6916">
        <v>189</v>
      </c>
      <c r="H6916">
        <v>-139</v>
      </c>
      <c r="I6916">
        <v>-44</v>
      </c>
      <c r="J6916">
        <v>0</v>
      </c>
      <c r="K6916" s="201">
        <v>-188</v>
      </c>
    </row>
    <row r="6917" spans="1:11" x14ac:dyDescent="0.25">
      <c r="A6917"/>
      <c r="B6917" s="201">
        <v>-47311</v>
      </c>
      <c r="C6917">
        <v>-583</v>
      </c>
      <c r="D6917" s="201">
        <v>-230</v>
      </c>
      <c r="E6917" s="201">
        <v>288</v>
      </c>
      <c r="F6917">
        <v>21</v>
      </c>
      <c r="G6917">
        <v>-1653</v>
      </c>
      <c r="H6917">
        <v>-957</v>
      </c>
      <c r="I6917">
        <v>0</v>
      </c>
      <c r="J6917">
        <v>1039</v>
      </c>
      <c r="K6917" s="201">
        <v>0</v>
      </c>
    </row>
    <row r="6918" spans="1:11" x14ac:dyDescent="0.25">
      <c r="A6918"/>
      <c r="B6918" s="201">
        <v>0</v>
      </c>
      <c r="C6918">
        <v>-841</v>
      </c>
      <c r="D6918" s="201">
        <v>404</v>
      </c>
      <c r="E6918" s="201">
        <v>0</v>
      </c>
      <c r="F6918">
        <v>-297</v>
      </c>
      <c r="G6918">
        <v>0</v>
      </c>
      <c r="H6918">
        <v>0</v>
      </c>
      <c r="I6918">
        <v>244</v>
      </c>
      <c r="J6918">
        <v>0</v>
      </c>
      <c r="K6918" s="201">
        <v>57</v>
      </c>
    </row>
    <row r="6919" spans="1:11" x14ac:dyDescent="0.25">
      <c r="A6919"/>
      <c r="B6919" s="201">
        <v>209</v>
      </c>
      <c r="C6919">
        <v>1382</v>
      </c>
      <c r="D6919" s="201">
        <v>0</v>
      </c>
      <c r="E6919" s="201">
        <v>0</v>
      </c>
      <c r="F6919">
        <v>0</v>
      </c>
      <c r="G6919">
        <v>0</v>
      </c>
      <c r="H6919">
        <v>0</v>
      </c>
      <c r="I6919">
        <v>-109</v>
      </c>
      <c r="J6919">
        <v>0</v>
      </c>
      <c r="K6919" s="201">
        <v>3799</v>
      </c>
    </row>
    <row r="6920" spans="1:11" x14ac:dyDescent="0.25">
      <c r="B6920" s="201">
        <v>2463</v>
      </c>
      <c r="C6920">
        <v>513</v>
      </c>
      <c r="D6920" s="201">
        <v>0</v>
      </c>
      <c r="E6920" s="201">
        <v>38</v>
      </c>
      <c r="F6920">
        <v>-50956</v>
      </c>
      <c r="G6920">
        <v>443</v>
      </c>
      <c r="H6920">
        <v>0</v>
      </c>
      <c r="I6920">
        <v>0</v>
      </c>
      <c r="J6920">
        <v>0</v>
      </c>
      <c r="K6920" s="201">
        <v>1508</v>
      </c>
    </row>
    <row r="6921" spans="1:11" x14ac:dyDescent="0.25">
      <c r="B6921" s="201">
        <v>2955</v>
      </c>
      <c r="C6921">
        <v>2156</v>
      </c>
      <c r="D6921" s="201">
        <v>-1317</v>
      </c>
      <c r="E6921" s="201">
        <v>-1195</v>
      </c>
      <c r="F6921">
        <v>0</v>
      </c>
      <c r="G6921">
        <v>72</v>
      </c>
      <c r="H6921">
        <v>0</v>
      </c>
      <c r="I6921">
        <v>0</v>
      </c>
      <c r="J6921">
        <v>96</v>
      </c>
      <c r="K6921" s="201">
        <v>0</v>
      </c>
    </row>
    <row r="6922" spans="1:11" x14ac:dyDescent="0.25">
      <c r="B6922" s="201">
        <v>-826</v>
      </c>
      <c r="C6922">
        <v>0</v>
      </c>
      <c r="D6922" s="201">
        <v>-1318</v>
      </c>
      <c r="E6922" s="201">
        <v>0</v>
      </c>
      <c r="F6922">
        <v>0</v>
      </c>
      <c r="G6922">
        <v>0</v>
      </c>
      <c r="H6922">
        <v>0</v>
      </c>
      <c r="I6922">
        <v>0</v>
      </c>
      <c r="J6922">
        <v>0</v>
      </c>
      <c r="K6922" s="201">
        <v>0</v>
      </c>
    </row>
    <row r="6923" spans="1:11" x14ac:dyDescent="0.25">
      <c r="A6923"/>
      <c r="B6923" s="201">
        <v>0</v>
      </c>
      <c r="C6923">
        <v>85</v>
      </c>
      <c r="D6923" s="201">
        <v>0</v>
      </c>
      <c r="E6923" s="201">
        <v>-2530</v>
      </c>
      <c r="F6923">
        <v>-3040</v>
      </c>
      <c r="G6923">
        <v>-1043</v>
      </c>
      <c r="H6923">
        <v>0</v>
      </c>
      <c r="I6923">
        <v>303</v>
      </c>
      <c r="J6923">
        <v>-46932</v>
      </c>
      <c r="K6923" s="201">
        <v>0</v>
      </c>
    </row>
    <row r="6924" spans="1:11" x14ac:dyDescent="0.25">
      <c r="A6924"/>
      <c r="B6924" s="201">
        <v>0</v>
      </c>
      <c r="C6924">
        <v>0</v>
      </c>
      <c r="D6924" s="201">
        <v>0</v>
      </c>
      <c r="E6924" s="201">
        <v>0</v>
      </c>
      <c r="F6924">
        <v>-345</v>
      </c>
      <c r="G6924">
        <v>-924</v>
      </c>
      <c r="H6924">
        <v>-932</v>
      </c>
      <c r="I6924">
        <v>-1242</v>
      </c>
      <c r="J6924">
        <v>-56</v>
      </c>
      <c r="K6924" s="201">
        <v>-1098</v>
      </c>
    </row>
    <row r="6925" spans="1:11" x14ac:dyDescent="0.25">
      <c r="A6925"/>
      <c r="B6925" s="201">
        <v>0</v>
      </c>
      <c r="C6925">
        <v>0</v>
      </c>
      <c r="D6925" s="201">
        <v>0</v>
      </c>
      <c r="E6925" s="201">
        <v>0</v>
      </c>
      <c r="F6925">
        <v>-2889</v>
      </c>
      <c r="G6925">
        <v>0</v>
      </c>
      <c r="H6925">
        <v>-1452</v>
      </c>
      <c r="I6925">
        <v>0</v>
      </c>
      <c r="J6925">
        <v>0</v>
      </c>
      <c r="K6925" s="201">
        <v>-1140</v>
      </c>
    </row>
    <row r="6926" spans="1:11" x14ac:dyDescent="0.25">
      <c r="B6926" s="201">
        <v>-1186</v>
      </c>
      <c r="C6926">
        <v>0</v>
      </c>
      <c r="D6926" s="201">
        <v>0</v>
      </c>
      <c r="E6926" s="201">
        <v>0</v>
      </c>
      <c r="F6926">
        <v>0</v>
      </c>
      <c r="G6926">
        <v>-361</v>
      </c>
      <c r="H6926">
        <v>0</v>
      </c>
      <c r="I6926">
        <v>-491</v>
      </c>
      <c r="J6926">
        <v>-73</v>
      </c>
      <c r="K6926" s="201">
        <v>1044</v>
      </c>
    </row>
    <row r="6927" spans="1:11" x14ac:dyDescent="0.25">
      <c r="A6927"/>
      <c r="B6927" s="201">
        <v>5600</v>
      </c>
      <c r="C6927">
        <v>1260</v>
      </c>
      <c r="D6927" s="201">
        <v>963</v>
      </c>
      <c r="E6927" s="201">
        <v>642</v>
      </c>
      <c r="F6927">
        <v>577</v>
      </c>
      <c r="G6927">
        <v>497</v>
      </c>
      <c r="H6927">
        <v>165</v>
      </c>
      <c r="I6927">
        <v>0</v>
      </c>
      <c r="J6927">
        <v>0</v>
      </c>
      <c r="K6927" s="201">
        <v>0</v>
      </c>
    </row>
    <row r="6928" spans="1:11" x14ac:dyDescent="0.25">
      <c r="A6928"/>
      <c r="B6928" s="201">
        <v>0</v>
      </c>
      <c r="C6928">
        <v>0</v>
      </c>
      <c r="D6928" s="201">
        <v>0</v>
      </c>
      <c r="E6928" s="201">
        <v>0</v>
      </c>
      <c r="F6928">
        <v>-42</v>
      </c>
      <c r="G6928">
        <v>-57</v>
      </c>
      <c r="H6928">
        <v>795</v>
      </c>
      <c r="I6928">
        <v>-74</v>
      </c>
      <c r="J6928">
        <v>590</v>
      </c>
      <c r="K6928" s="201">
        <v>-5</v>
      </c>
    </row>
    <row r="6929" spans="1:11" x14ac:dyDescent="0.25">
      <c r="A6929"/>
      <c r="B6929" s="201">
        <v>0</v>
      </c>
      <c r="C6929">
        <v>0</v>
      </c>
      <c r="D6929" s="201">
        <v>231</v>
      </c>
      <c r="E6929" s="201">
        <v>0</v>
      </c>
      <c r="F6929">
        <v>163</v>
      </c>
      <c r="G6929">
        <v>-492</v>
      </c>
      <c r="H6929">
        <v>0</v>
      </c>
      <c r="I6929">
        <v>0</v>
      </c>
      <c r="J6929">
        <v>0</v>
      </c>
      <c r="K6929" s="201">
        <v>0</v>
      </c>
    </row>
    <row r="6930" spans="1:11" x14ac:dyDescent="0.25">
      <c r="A6930"/>
      <c r="B6930" s="201">
        <v>-2282</v>
      </c>
      <c r="C6930">
        <v>0</v>
      </c>
      <c r="D6930" s="201">
        <v>733</v>
      </c>
      <c r="E6930" s="201">
        <v>-541</v>
      </c>
      <c r="F6930">
        <v>0</v>
      </c>
      <c r="G6930">
        <v>0</v>
      </c>
      <c r="H6930">
        <v>0</v>
      </c>
      <c r="I6930">
        <v>0</v>
      </c>
      <c r="J6930">
        <v>0</v>
      </c>
      <c r="K6930" s="201">
        <v>0</v>
      </c>
    </row>
    <row r="6931" spans="1:11" x14ac:dyDescent="0.25">
      <c r="A6931"/>
      <c r="B6931" s="201">
        <v>0</v>
      </c>
      <c r="C6931">
        <v>0</v>
      </c>
      <c r="D6931" s="201">
        <v>0</v>
      </c>
      <c r="E6931" s="201">
        <v>0</v>
      </c>
      <c r="F6931">
        <v>0</v>
      </c>
      <c r="G6931">
        <v>0</v>
      </c>
      <c r="H6931">
        <v>0</v>
      </c>
      <c r="I6931">
        <v>0</v>
      </c>
      <c r="J6931">
        <v>0</v>
      </c>
      <c r="K6931" s="201">
        <v>-483</v>
      </c>
    </row>
    <row r="6932" spans="1:11" x14ac:dyDescent="0.25">
      <c r="A6932"/>
      <c r="B6932" s="201">
        <v>0</v>
      </c>
      <c r="C6932">
        <v>0</v>
      </c>
      <c r="D6932" s="201">
        <v>0</v>
      </c>
      <c r="E6932" s="201">
        <v>0</v>
      </c>
      <c r="F6932">
        <v>0</v>
      </c>
      <c r="G6932">
        <v>248</v>
      </c>
      <c r="H6932">
        <v>120</v>
      </c>
      <c r="I6932">
        <v>234</v>
      </c>
      <c r="J6932">
        <v>343</v>
      </c>
      <c r="K6932" s="201">
        <v>434</v>
      </c>
    </row>
    <row r="6933" spans="1:11" x14ac:dyDescent="0.25">
      <c r="A6933"/>
      <c r="B6933" s="201">
        <v>2260</v>
      </c>
      <c r="C6933">
        <v>-3153</v>
      </c>
      <c r="D6933" s="201">
        <v>-376</v>
      </c>
      <c r="E6933" s="201">
        <v>-171</v>
      </c>
      <c r="F6933">
        <v>-47</v>
      </c>
      <c r="G6933">
        <v>-134</v>
      </c>
      <c r="H6933">
        <v>-211</v>
      </c>
      <c r="I6933">
        <v>-398</v>
      </c>
      <c r="J6933">
        <v>132</v>
      </c>
      <c r="K6933" s="201">
        <v>-444</v>
      </c>
    </row>
    <row r="6934" spans="1:11" x14ac:dyDescent="0.25">
      <c r="A6934"/>
      <c r="B6934" s="201">
        <v>229</v>
      </c>
      <c r="C6934">
        <v>670</v>
      </c>
      <c r="D6934" s="201">
        <v>0</v>
      </c>
      <c r="E6934" s="201">
        <v>566</v>
      </c>
      <c r="F6934">
        <v>464</v>
      </c>
      <c r="G6934">
        <v>2572</v>
      </c>
      <c r="H6934">
        <v>-2389</v>
      </c>
      <c r="I6934">
        <v>499</v>
      </c>
      <c r="J6934">
        <v>220</v>
      </c>
      <c r="K6934" s="201">
        <v>1834</v>
      </c>
    </row>
    <row r="6935" spans="1:11" x14ac:dyDescent="0.25">
      <c r="B6935" s="201">
        <v>-1782</v>
      </c>
      <c r="C6935">
        <v>820</v>
      </c>
      <c r="D6935" s="201">
        <v>534</v>
      </c>
      <c r="E6935" s="201">
        <v>1468</v>
      </c>
      <c r="F6935">
        <v>-1463</v>
      </c>
      <c r="G6935">
        <v>322</v>
      </c>
      <c r="H6935">
        <v>135</v>
      </c>
      <c r="I6935">
        <v>1269</v>
      </c>
      <c r="J6935">
        <v>-1600</v>
      </c>
      <c r="K6935" s="201">
        <v>482</v>
      </c>
    </row>
    <row r="6936" spans="1:11" x14ac:dyDescent="0.25">
      <c r="A6936"/>
      <c r="B6936" s="201">
        <v>529</v>
      </c>
      <c r="C6936">
        <v>695</v>
      </c>
      <c r="D6936" s="201">
        <v>-400</v>
      </c>
      <c r="E6936" s="201">
        <v>-22</v>
      </c>
      <c r="F6936">
        <v>-18</v>
      </c>
      <c r="G6936">
        <v>333</v>
      </c>
      <c r="H6936">
        <v>275</v>
      </c>
      <c r="I6936">
        <v>212</v>
      </c>
      <c r="J6936">
        <v>-1231</v>
      </c>
      <c r="K6936" s="201">
        <v>77</v>
      </c>
    </row>
    <row r="6937" spans="1:11" x14ac:dyDescent="0.25">
      <c r="A6937"/>
      <c r="B6937" s="201">
        <v>114</v>
      </c>
      <c r="C6937">
        <v>775</v>
      </c>
      <c r="D6937" s="201">
        <v>-1272</v>
      </c>
      <c r="E6937" s="201">
        <v>114</v>
      </c>
      <c r="F6937">
        <v>161</v>
      </c>
      <c r="G6937">
        <v>232</v>
      </c>
      <c r="H6937">
        <v>170</v>
      </c>
      <c r="I6937">
        <v>647</v>
      </c>
      <c r="J6937">
        <v>317</v>
      </c>
      <c r="K6937" s="201">
        <v>116</v>
      </c>
    </row>
    <row r="6938" spans="1:11" x14ac:dyDescent="0.25">
      <c r="A6938"/>
      <c r="B6938" s="201">
        <v>433</v>
      </c>
      <c r="C6938">
        <v>235</v>
      </c>
      <c r="D6938" s="201">
        <v>605</v>
      </c>
      <c r="E6938" s="201">
        <v>34000</v>
      </c>
      <c r="F6938">
        <v>40965</v>
      </c>
      <c r="G6938">
        <v>42119</v>
      </c>
      <c r="H6938">
        <v>38235</v>
      </c>
      <c r="I6938">
        <v>36804</v>
      </c>
      <c r="J6938">
        <v>18877</v>
      </c>
      <c r="K6938" s="201">
        <v>23244</v>
      </c>
    </row>
    <row r="6939" spans="1:11" x14ac:dyDescent="0.25">
      <c r="B6939" s="201">
        <v>17852</v>
      </c>
      <c r="C6939" s="201">
        <v>25508</v>
      </c>
      <c r="D6939" s="201">
        <v>30802</v>
      </c>
      <c r="E6939" s="201">
        <v>54541</v>
      </c>
      <c r="F6939">
        <v>51241</v>
      </c>
      <c r="G6939">
        <v>51437</v>
      </c>
      <c r="H6939">
        <v>53912</v>
      </c>
      <c r="I6939">
        <v>60361</v>
      </c>
      <c r="J6939">
        <v>57061</v>
      </c>
      <c r="K6939" s="201">
        <v>49267</v>
      </c>
    </row>
    <row r="6940" spans="1:11" x14ac:dyDescent="0.25">
      <c r="A6940"/>
      <c r="B6940" s="201">
        <v>52318</v>
      </c>
      <c r="C6940">
        <v>-187</v>
      </c>
      <c r="D6940" s="201">
        <v>-51978</v>
      </c>
      <c r="E6940" s="201">
        <v>-424</v>
      </c>
      <c r="F6940">
        <v>-182</v>
      </c>
      <c r="G6940">
        <v>-125</v>
      </c>
      <c r="H6940">
        <v>0</v>
      </c>
      <c r="I6940">
        <v>0</v>
      </c>
      <c r="J6940">
        <v>253</v>
      </c>
      <c r="K6940" s="201">
        <v>0</v>
      </c>
    </row>
    <row r="6941" spans="1:11" x14ac:dyDescent="0.25">
      <c r="A6941"/>
      <c r="B6941" s="201">
        <v>0</v>
      </c>
      <c r="C6941">
        <v>0</v>
      </c>
      <c r="D6941" s="201">
        <v>177</v>
      </c>
      <c r="E6941" s="201">
        <v>54</v>
      </c>
      <c r="F6941">
        <v>0</v>
      </c>
      <c r="G6941">
        <v>0</v>
      </c>
      <c r="H6941">
        <v>0</v>
      </c>
      <c r="I6941">
        <v>0</v>
      </c>
      <c r="J6941">
        <v>0</v>
      </c>
      <c r="K6941" s="201">
        <v>0</v>
      </c>
    </row>
    <row r="6942" spans="1:11" x14ac:dyDescent="0.25">
      <c r="B6942" s="201">
        <v>-269</v>
      </c>
      <c r="C6942">
        <v>0</v>
      </c>
      <c r="D6942" s="201">
        <v>0</v>
      </c>
      <c r="E6942" s="201">
        <v>110</v>
      </c>
      <c r="F6942">
        <v>0</v>
      </c>
      <c r="G6942">
        <v>-131</v>
      </c>
      <c r="H6942">
        <v>0</v>
      </c>
      <c r="I6942">
        <v>343</v>
      </c>
      <c r="J6942">
        <v>-343</v>
      </c>
      <c r="K6942" s="201">
        <v>-242</v>
      </c>
    </row>
    <row r="6943" spans="1:11" x14ac:dyDescent="0.25">
      <c r="A6943"/>
      <c r="B6943" s="201">
        <v>0</v>
      </c>
      <c r="C6943">
        <v>118</v>
      </c>
      <c r="D6943" s="201">
        <v>-43785</v>
      </c>
      <c r="E6943" s="201">
        <v>-63</v>
      </c>
      <c r="F6943">
        <v>-328</v>
      </c>
      <c r="G6943">
        <v>-455</v>
      </c>
      <c r="H6943">
        <v>-1064</v>
      </c>
      <c r="I6943">
        <v>0</v>
      </c>
      <c r="J6943">
        <v>128</v>
      </c>
      <c r="K6943" s="201">
        <v>0</v>
      </c>
    </row>
    <row r="6944" spans="1:11" x14ac:dyDescent="0.25">
      <c r="A6944"/>
      <c r="B6944" s="201">
        <v>0</v>
      </c>
      <c r="C6944">
        <v>0</v>
      </c>
      <c r="D6944" s="201">
        <v>0</v>
      </c>
      <c r="E6944" s="201">
        <v>0</v>
      </c>
      <c r="F6944">
        <v>314</v>
      </c>
      <c r="G6944">
        <v>0</v>
      </c>
      <c r="H6944">
        <v>0</v>
      </c>
      <c r="I6944">
        <v>0</v>
      </c>
      <c r="J6944">
        <v>-221</v>
      </c>
      <c r="K6944" s="201">
        <v>0</v>
      </c>
    </row>
    <row r="6945" spans="1:11" x14ac:dyDescent="0.25">
      <c r="A6945"/>
      <c r="B6945" s="201">
        <v>38</v>
      </c>
      <c r="C6945">
        <v>0</v>
      </c>
      <c r="D6945" s="201">
        <v>0</v>
      </c>
      <c r="E6945" s="201">
        <v>0</v>
      </c>
      <c r="F6945">
        <v>0</v>
      </c>
      <c r="G6945">
        <v>0</v>
      </c>
      <c r="H6945">
        <v>37</v>
      </c>
      <c r="I6945">
        <v>0</v>
      </c>
      <c r="J6945">
        <v>-22</v>
      </c>
      <c r="K6945" s="201">
        <v>195</v>
      </c>
    </row>
    <row r="6946" spans="1:11" x14ac:dyDescent="0.25">
      <c r="A6946"/>
      <c r="B6946" s="201">
        <v>0</v>
      </c>
      <c r="C6946">
        <v>0</v>
      </c>
      <c r="D6946" s="201">
        <v>-1551</v>
      </c>
      <c r="E6946" s="201">
        <v>-54670</v>
      </c>
      <c r="F6946">
        <v>0</v>
      </c>
      <c r="G6946">
        <v>765</v>
      </c>
      <c r="H6946">
        <v>0</v>
      </c>
      <c r="I6946">
        <v>0</v>
      </c>
      <c r="J6946">
        <v>0</v>
      </c>
      <c r="K6946" s="201">
        <v>0</v>
      </c>
    </row>
    <row r="6947" spans="1:11" x14ac:dyDescent="0.25">
      <c r="A6947"/>
      <c r="B6947" s="201">
        <v>-1333</v>
      </c>
      <c r="C6947">
        <v>-309</v>
      </c>
      <c r="D6947" s="201">
        <v>-15</v>
      </c>
      <c r="E6947" s="201">
        <v>0</v>
      </c>
      <c r="F6947">
        <v>0</v>
      </c>
      <c r="G6947">
        <v>577</v>
      </c>
      <c r="H6947">
        <v>252</v>
      </c>
      <c r="I6947">
        <v>0</v>
      </c>
      <c r="J6947">
        <v>128</v>
      </c>
      <c r="K6947" s="201">
        <v>122</v>
      </c>
    </row>
    <row r="6948" spans="1:11" x14ac:dyDescent="0.25">
      <c r="A6948"/>
      <c r="B6948" s="201">
        <v>330</v>
      </c>
      <c r="C6948">
        <v>152</v>
      </c>
      <c r="D6948" s="201">
        <v>1071</v>
      </c>
      <c r="E6948" s="201">
        <v>844</v>
      </c>
      <c r="F6948">
        <v>398</v>
      </c>
      <c r="G6948">
        <v>0</v>
      </c>
      <c r="H6948">
        <v>0</v>
      </c>
      <c r="I6948">
        <v>0</v>
      </c>
      <c r="J6948">
        <v>0</v>
      </c>
      <c r="K6948" s="201">
        <v>0</v>
      </c>
    </row>
    <row r="6949" spans="1:11" x14ac:dyDescent="0.25">
      <c r="A6949"/>
      <c r="B6949" s="201">
        <v>550</v>
      </c>
      <c r="C6949">
        <v>0</v>
      </c>
      <c r="D6949" s="201">
        <v>2026</v>
      </c>
      <c r="E6949" s="201">
        <v>1002</v>
      </c>
      <c r="F6949">
        <v>-333</v>
      </c>
      <c r="G6949">
        <v>0</v>
      </c>
      <c r="H6949">
        <v>-1565</v>
      </c>
      <c r="I6949">
        <v>-65767</v>
      </c>
      <c r="J6949">
        <v>-115</v>
      </c>
      <c r="K6949" s="201">
        <v>-213</v>
      </c>
    </row>
    <row r="6950" spans="1:11" x14ac:dyDescent="0.25">
      <c r="A6950"/>
      <c r="B6950" s="201">
        <v>-363</v>
      </c>
      <c r="C6950">
        <v>0</v>
      </c>
      <c r="D6950" s="201">
        <v>-484</v>
      </c>
      <c r="E6950" s="201">
        <v>-1478</v>
      </c>
      <c r="F6950">
        <v>-1551</v>
      </c>
      <c r="G6950">
        <v>205</v>
      </c>
      <c r="H6950">
        <v>0</v>
      </c>
      <c r="I6950">
        <v>-28</v>
      </c>
      <c r="J6950">
        <v>-189</v>
      </c>
      <c r="K6950" s="201">
        <v>0</v>
      </c>
    </row>
    <row r="6951" spans="1:11" x14ac:dyDescent="0.25">
      <c r="A6951"/>
      <c r="B6951" s="201">
        <v>0</v>
      </c>
      <c r="C6951">
        <v>0</v>
      </c>
      <c r="D6951" s="201">
        <v>-158</v>
      </c>
      <c r="E6951" s="201">
        <v>-609</v>
      </c>
      <c r="F6951">
        <v>0</v>
      </c>
      <c r="G6951">
        <v>-362</v>
      </c>
      <c r="H6951">
        <v>275</v>
      </c>
      <c r="I6951">
        <v>166</v>
      </c>
      <c r="J6951">
        <v>-125</v>
      </c>
      <c r="K6951" s="201">
        <v>0</v>
      </c>
    </row>
    <row r="6952" spans="1:11" x14ac:dyDescent="0.25">
      <c r="A6952"/>
      <c r="B6952" s="201">
        <v>0</v>
      </c>
      <c r="C6952">
        <v>0</v>
      </c>
      <c r="D6952" s="201">
        <v>0</v>
      </c>
      <c r="E6952" s="201">
        <v>0</v>
      </c>
      <c r="F6952">
        <v>814</v>
      </c>
      <c r="G6952">
        <v>0</v>
      </c>
      <c r="H6952">
        <v>12554</v>
      </c>
      <c r="I6952">
        <v>668</v>
      </c>
      <c r="J6952">
        <v>225</v>
      </c>
      <c r="K6952" s="201">
        <v>0</v>
      </c>
    </row>
    <row r="6953" spans="1:11" x14ac:dyDescent="0.25">
      <c r="A6953"/>
      <c r="B6953" s="201">
        <v>-2036</v>
      </c>
      <c r="C6953">
        <v>-64195</v>
      </c>
      <c r="D6953" s="201">
        <v>-297</v>
      </c>
      <c r="E6953" s="201">
        <v>-107</v>
      </c>
      <c r="F6953">
        <v>-519</v>
      </c>
      <c r="G6953">
        <v>-177</v>
      </c>
      <c r="H6953">
        <v>-791</v>
      </c>
      <c r="I6953">
        <v>1256</v>
      </c>
      <c r="J6953">
        <v>0</v>
      </c>
      <c r="K6953" s="201">
        <v>336</v>
      </c>
    </row>
    <row r="6954" spans="1:11" x14ac:dyDescent="0.25">
      <c r="A6954"/>
      <c r="B6954" s="201">
        <v>0</v>
      </c>
      <c r="C6954">
        <v>0</v>
      </c>
      <c r="D6954" s="201">
        <v>-294</v>
      </c>
      <c r="E6954" s="201">
        <v>450</v>
      </c>
      <c r="F6954">
        <v>0</v>
      </c>
      <c r="G6954">
        <v>252</v>
      </c>
      <c r="H6954">
        <v>0</v>
      </c>
      <c r="I6954">
        <v>0</v>
      </c>
      <c r="J6954">
        <v>-139</v>
      </c>
      <c r="K6954" s="201">
        <v>0</v>
      </c>
    </row>
    <row r="6955" spans="1:11" x14ac:dyDescent="0.25">
      <c r="A6955"/>
      <c r="B6955" s="201">
        <v>197</v>
      </c>
      <c r="C6955">
        <v>159</v>
      </c>
      <c r="D6955" s="201">
        <v>-53</v>
      </c>
      <c r="E6955" s="201">
        <v>0</v>
      </c>
      <c r="F6955">
        <v>0</v>
      </c>
      <c r="G6955">
        <v>0</v>
      </c>
      <c r="H6955">
        <v>0</v>
      </c>
      <c r="I6955">
        <v>0</v>
      </c>
      <c r="J6955">
        <v>1166</v>
      </c>
      <c r="K6955" s="201">
        <v>0</v>
      </c>
    </row>
    <row r="6956" spans="1:11" x14ac:dyDescent="0.25">
      <c r="B6956" s="201">
        <v>11325</v>
      </c>
      <c r="C6956">
        <v>914</v>
      </c>
      <c r="D6956" s="201">
        <v>315</v>
      </c>
      <c r="E6956" s="201">
        <v>0</v>
      </c>
      <c r="F6956">
        <v>-1324</v>
      </c>
      <c r="G6956">
        <v>-71351</v>
      </c>
      <c r="H6956">
        <v>486</v>
      </c>
      <c r="I6956">
        <v>0</v>
      </c>
      <c r="J6956">
        <v>0</v>
      </c>
      <c r="K6956" s="201">
        <v>0</v>
      </c>
    </row>
    <row r="6957" spans="1:11" x14ac:dyDescent="0.25">
      <c r="A6957"/>
      <c r="B6957" s="201">
        <v>1522</v>
      </c>
      <c r="C6957">
        <v>2051</v>
      </c>
      <c r="D6957" s="201">
        <v>1216</v>
      </c>
      <c r="E6957" s="201">
        <v>-1490</v>
      </c>
      <c r="F6957">
        <v>-1392</v>
      </c>
      <c r="G6957">
        <v>0</v>
      </c>
      <c r="H6957">
        <v>554</v>
      </c>
      <c r="I6957">
        <v>0</v>
      </c>
      <c r="J6957">
        <v>0</v>
      </c>
      <c r="K6957" s="201">
        <v>33</v>
      </c>
    </row>
    <row r="6958" spans="1:11" x14ac:dyDescent="0.25">
      <c r="A6958"/>
      <c r="B6958" s="201">
        <v>0</v>
      </c>
      <c r="C6958">
        <v>-1519</v>
      </c>
      <c r="D6958" s="201">
        <v>0</v>
      </c>
      <c r="E6958" s="201">
        <v>-1837</v>
      </c>
      <c r="F6958">
        <v>0</v>
      </c>
      <c r="G6958">
        <v>0</v>
      </c>
      <c r="H6958">
        <v>0</v>
      </c>
      <c r="I6958">
        <v>0</v>
      </c>
      <c r="J6958">
        <v>0</v>
      </c>
      <c r="K6958" s="201">
        <v>0</v>
      </c>
    </row>
    <row r="6959" spans="1:11" x14ac:dyDescent="0.25">
      <c r="A6959"/>
      <c r="B6959" s="201">
        <v>0</v>
      </c>
      <c r="C6959">
        <v>0</v>
      </c>
      <c r="D6959" s="201">
        <v>494</v>
      </c>
      <c r="E6959" s="201">
        <v>0</v>
      </c>
      <c r="F6959">
        <v>4318</v>
      </c>
      <c r="G6959">
        <v>-2597</v>
      </c>
      <c r="H6959">
        <v>-780</v>
      </c>
      <c r="I6959">
        <v>0</v>
      </c>
      <c r="J6959">
        <v>-282</v>
      </c>
      <c r="K6959" s="201">
        <v>-64112</v>
      </c>
    </row>
    <row r="6960" spans="1:11" x14ac:dyDescent="0.25">
      <c r="A6960"/>
      <c r="B6960" s="201">
        <v>0</v>
      </c>
      <c r="C6960">
        <v>0</v>
      </c>
      <c r="D6960" s="201">
        <v>0</v>
      </c>
      <c r="E6960" s="201">
        <v>0</v>
      </c>
      <c r="F6960">
        <v>0</v>
      </c>
      <c r="G6960">
        <v>-2619</v>
      </c>
      <c r="H6960">
        <v>-1264</v>
      </c>
      <c r="I6960">
        <v>-524</v>
      </c>
      <c r="J6960">
        <v>-613</v>
      </c>
      <c r="K6960" s="201">
        <v>71</v>
      </c>
    </row>
    <row r="6961" spans="1:11" x14ac:dyDescent="0.25">
      <c r="A6961"/>
      <c r="B6961" s="201">
        <v>149</v>
      </c>
      <c r="C6961">
        <v>0</v>
      </c>
      <c r="D6961" s="201">
        <v>0</v>
      </c>
      <c r="E6961" s="201">
        <v>0</v>
      </c>
      <c r="F6961">
        <v>0</v>
      </c>
      <c r="G6961">
        <v>-3064</v>
      </c>
      <c r="H6961">
        <v>0</v>
      </c>
      <c r="I6961">
        <v>-1961</v>
      </c>
      <c r="J6961">
        <v>0</v>
      </c>
      <c r="K6961" s="201">
        <v>0</v>
      </c>
    </row>
    <row r="6962" spans="1:11" x14ac:dyDescent="0.25">
      <c r="A6962"/>
      <c r="B6962" s="201">
        <v>25</v>
      </c>
      <c r="C6962">
        <v>-466</v>
      </c>
      <c r="D6962" s="201">
        <v>0</v>
      </c>
      <c r="E6962" s="201">
        <v>0</v>
      </c>
      <c r="F6962">
        <v>0</v>
      </c>
      <c r="G6962">
        <v>0</v>
      </c>
      <c r="H6962">
        <v>-587</v>
      </c>
      <c r="I6962">
        <v>0</v>
      </c>
      <c r="J6962">
        <v>8710</v>
      </c>
      <c r="K6962" s="201">
        <v>-2163</v>
      </c>
    </row>
    <row r="6963" spans="1:11" x14ac:dyDescent="0.25">
      <c r="A6963"/>
      <c r="B6963" s="201">
        <v>-412</v>
      </c>
      <c r="C6963">
        <v>4207</v>
      </c>
      <c r="D6963" s="201">
        <v>792</v>
      </c>
      <c r="E6963" s="201">
        <v>270</v>
      </c>
      <c r="F6963">
        <v>372</v>
      </c>
      <c r="G6963">
        <v>395</v>
      </c>
      <c r="H6963">
        <v>7</v>
      </c>
      <c r="I6963">
        <v>285</v>
      </c>
      <c r="J6963">
        <v>0</v>
      </c>
      <c r="K6963" s="201">
        <v>0</v>
      </c>
    </row>
    <row r="6964" spans="1:11" x14ac:dyDescent="0.25">
      <c r="A6964"/>
      <c r="B6964" s="201">
        <v>0</v>
      </c>
      <c r="C6964">
        <v>0</v>
      </c>
      <c r="D6964" s="201">
        <v>0</v>
      </c>
      <c r="E6964" s="201">
        <v>0</v>
      </c>
      <c r="F6964">
        <v>0</v>
      </c>
      <c r="G6964">
        <v>-253</v>
      </c>
      <c r="H6964">
        <v>-80</v>
      </c>
      <c r="I6964">
        <v>1102</v>
      </c>
      <c r="J6964">
        <v>-73</v>
      </c>
      <c r="K6964" s="201">
        <v>893</v>
      </c>
    </row>
    <row r="6965" spans="1:11" x14ac:dyDescent="0.25">
      <c r="A6965"/>
      <c r="B6965" s="201">
        <v>-288</v>
      </c>
      <c r="C6965">
        <v>0</v>
      </c>
      <c r="D6965" s="201">
        <v>0</v>
      </c>
      <c r="E6965" s="201">
        <v>100</v>
      </c>
      <c r="F6965">
        <v>0</v>
      </c>
      <c r="G6965">
        <v>679</v>
      </c>
      <c r="H6965">
        <v>1951</v>
      </c>
      <c r="I6965">
        <v>0</v>
      </c>
      <c r="J6965">
        <v>0</v>
      </c>
      <c r="K6965" s="201">
        <v>0</v>
      </c>
    </row>
    <row r="6966" spans="1:11" x14ac:dyDescent="0.25">
      <c r="A6966"/>
      <c r="B6966" s="201">
        <v>0</v>
      </c>
      <c r="C6966">
        <v>1482</v>
      </c>
      <c r="D6966" s="201">
        <v>0</v>
      </c>
      <c r="E6966" s="201">
        <v>236</v>
      </c>
      <c r="F6966">
        <v>-287</v>
      </c>
      <c r="G6966">
        <v>0</v>
      </c>
      <c r="H6966">
        <v>0</v>
      </c>
      <c r="I6966">
        <v>0</v>
      </c>
      <c r="J6966">
        <v>0</v>
      </c>
      <c r="K6966" s="201">
        <v>0</v>
      </c>
    </row>
    <row r="6967" spans="1:11" x14ac:dyDescent="0.25">
      <c r="A6967"/>
      <c r="B6967" s="201">
        <v>0</v>
      </c>
      <c r="C6967">
        <v>0</v>
      </c>
      <c r="D6967" s="201">
        <v>0</v>
      </c>
      <c r="E6967" s="201">
        <v>0</v>
      </c>
      <c r="F6967">
        <v>0</v>
      </c>
      <c r="G6967">
        <v>0</v>
      </c>
      <c r="H6967">
        <v>0</v>
      </c>
      <c r="I6967">
        <v>0</v>
      </c>
      <c r="J6967">
        <v>0</v>
      </c>
      <c r="K6967" s="201">
        <v>0</v>
      </c>
    </row>
    <row r="6968" spans="1:11" x14ac:dyDescent="0.25">
      <c r="A6968"/>
      <c r="B6968" s="201">
        <v>494</v>
      </c>
      <c r="C6968">
        <v>0</v>
      </c>
      <c r="D6968" s="201">
        <v>0</v>
      </c>
      <c r="E6968" s="201">
        <v>0</v>
      </c>
      <c r="F6968">
        <v>0</v>
      </c>
      <c r="G6968">
        <v>0</v>
      </c>
      <c r="H6968">
        <v>1912</v>
      </c>
      <c r="I6968">
        <v>973</v>
      </c>
      <c r="J6968">
        <v>1023</v>
      </c>
      <c r="K6968" s="201">
        <v>2260</v>
      </c>
    </row>
    <row r="6969" spans="1:11" x14ac:dyDescent="0.25">
      <c r="A6969"/>
      <c r="B6969" s="201">
        <v>2907</v>
      </c>
      <c r="C6969" s="201">
        <v>2830</v>
      </c>
      <c r="D6969" s="201">
        <v>-2727</v>
      </c>
      <c r="E6969" s="201">
        <v>-4742</v>
      </c>
      <c r="F6969">
        <v>-1776</v>
      </c>
      <c r="G6969">
        <v>1192</v>
      </c>
      <c r="H6969">
        <v>1816</v>
      </c>
      <c r="I6969">
        <v>1032</v>
      </c>
      <c r="J6969">
        <v>1728</v>
      </c>
      <c r="K6969" s="201">
        <v>3557</v>
      </c>
    </row>
    <row r="6970" spans="1:11" x14ac:dyDescent="0.25">
      <c r="B6970" s="201">
        <v>4744</v>
      </c>
      <c r="C6970" s="201">
        <v>2094</v>
      </c>
      <c r="D6970" s="201">
        <v>-9150</v>
      </c>
      <c r="E6970" s="201">
        <v>0</v>
      </c>
      <c r="F6970">
        <v>-193</v>
      </c>
      <c r="G6970">
        <v>617</v>
      </c>
      <c r="H6970">
        <v>681</v>
      </c>
      <c r="I6970">
        <v>-3304</v>
      </c>
      <c r="J6970">
        <v>-566</v>
      </c>
      <c r="K6970" s="201">
        <v>-537</v>
      </c>
    </row>
    <row r="6971" spans="1:11" x14ac:dyDescent="0.25">
      <c r="A6971"/>
      <c r="B6971" s="201">
        <v>-367</v>
      </c>
      <c r="C6971">
        <v>-3784</v>
      </c>
      <c r="D6971" s="201">
        <v>-404</v>
      </c>
      <c r="E6971" s="201">
        <v>-251</v>
      </c>
      <c r="F6971">
        <v>-207</v>
      </c>
      <c r="G6971">
        <v>-3230</v>
      </c>
      <c r="H6971">
        <v>-342</v>
      </c>
      <c r="I6971">
        <v>-351</v>
      </c>
      <c r="J6971">
        <v>-299</v>
      </c>
      <c r="K6971" s="201">
        <v>-2621</v>
      </c>
    </row>
    <row r="6972" spans="1:11" x14ac:dyDescent="0.25">
      <c r="A6972"/>
      <c r="B6972" s="201">
        <v>-671</v>
      </c>
      <c r="C6972">
        <v>-648</v>
      </c>
      <c r="D6972" s="201">
        <v>-528</v>
      </c>
      <c r="E6972" s="201">
        <v>-2152</v>
      </c>
      <c r="F6972">
        <v>613</v>
      </c>
      <c r="G6972">
        <v>-32</v>
      </c>
      <c r="H6972">
        <v>534</v>
      </c>
      <c r="I6972">
        <v>495</v>
      </c>
      <c r="J6972">
        <v>468</v>
      </c>
      <c r="K6972" s="201">
        <v>-695</v>
      </c>
    </row>
    <row r="6973" spans="1:11" x14ac:dyDescent="0.25">
      <c r="A6973"/>
      <c r="B6973" s="201">
        <v>149</v>
      </c>
      <c r="C6973">
        <v>724</v>
      </c>
      <c r="D6973" s="201">
        <v>100</v>
      </c>
      <c r="E6973" s="201">
        <v>-915</v>
      </c>
      <c r="F6973">
        <v>1158</v>
      </c>
      <c r="G6973">
        <v>161</v>
      </c>
      <c r="H6973">
        <v>127</v>
      </c>
      <c r="I6973">
        <v>135</v>
      </c>
      <c r="J6973">
        <v>538</v>
      </c>
      <c r="K6973" s="201">
        <v>634</v>
      </c>
    </row>
    <row r="6974" spans="1:11" x14ac:dyDescent="0.25">
      <c r="A6974"/>
      <c r="B6974" s="201">
        <v>368</v>
      </c>
      <c r="C6974">
        <v>477</v>
      </c>
      <c r="D6974" s="201">
        <v>367</v>
      </c>
      <c r="E6974" s="201">
        <v>512</v>
      </c>
      <c r="F6974">
        <v>53907</v>
      </c>
      <c r="G6974">
        <v>64874</v>
      </c>
      <c r="H6974">
        <v>65156</v>
      </c>
      <c r="I6974">
        <v>61019</v>
      </c>
      <c r="J6974">
        <v>53905</v>
      </c>
      <c r="K6974" s="201">
        <v>28761</v>
      </c>
    </row>
    <row r="6975" spans="1:11" x14ac:dyDescent="0.25">
      <c r="B6975" s="201">
        <v>35135</v>
      </c>
      <c r="C6975" s="201">
        <v>28151</v>
      </c>
      <c r="D6975" s="201">
        <v>38139</v>
      </c>
      <c r="E6975" s="201">
        <v>41162</v>
      </c>
      <c r="F6975">
        <v>56110</v>
      </c>
      <c r="G6975">
        <v>56179</v>
      </c>
      <c r="H6975">
        <v>54755</v>
      </c>
      <c r="I6975">
        <v>54463</v>
      </c>
      <c r="J6975">
        <v>60770</v>
      </c>
      <c r="K6975" s="201">
        <v>59043</v>
      </c>
    </row>
    <row r="6976" spans="1:11" x14ac:dyDescent="0.25">
      <c r="B6976" s="201">
        <v>59384</v>
      </c>
      <c r="C6976">
        <v>58982</v>
      </c>
      <c r="D6976" s="201">
        <v>59010</v>
      </c>
      <c r="E6976" s="201">
        <v>-29</v>
      </c>
      <c r="F6976">
        <v>-52079</v>
      </c>
      <c r="G6976">
        <v>-320</v>
      </c>
      <c r="H6976">
        <v>-153</v>
      </c>
      <c r="I6976">
        <v>152</v>
      </c>
      <c r="J6976">
        <v>0</v>
      </c>
      <c r="K6976" s="201">
        <v>0</v>
      </c>
    </row>
    <row r="6977" spans="1:11" x14ac:dyDescent="0.25">
      <c r="A6977"/>
      <c r="B6977" s="201">
        <v>201</v>
      </c>
      <c r="C6977">
        <v>0</v>
      </c>
      <c r="D6977" s="201">
        <v>0</v>
      </c>
      <c r="E6977" s="201">
        <v>0</v>
      </c>
      <c r="F6977">
        <v>116</v>
      </c>
      <c r="G6977">
        <v>79</v>
      </c>
      <c r="H6977">
        <v>0</v>
      </c>
      <c r="I6977">
        <v>0</v>
      </c>
      <c r="J6977">
        <v>0</v>
      </c>
      <c r="K6977" s="201">
        <v>0</v>
      </c>
    </row>
    <row r="6978" spans="1:11" x14ac:dyDescent="0.25">
      <c r="A6978"/>
      <c r="B6978" s="201">
        <v>0</v>
      </c>
      <c r="C6978">
        <v>0</v>
      </c>
      <c r="D6978" s="201">
        <v>-188</v>
      </c>
      <c r="E6978" s="201">
        <v>0</v>
      </c>
      <c r="F6978">
        <v>0</v>
      </c>
      <c r="G6978">
        <v>116</v>
      </c>
      <c r="H6978">
        <v>0</v>
      </c>
      <c r="I6978">
        <v>-138</v>
      </c>
      <c r="J6978">
        <v>0</v>
      </c>
      <c r="K6978" s="201">
        <v>139</v>
      </c>
    </row>
    <row r="6979" spans="1:11" x14ac:dyDescent="0.25">
      <c r="A6979"/>
      <c r="B6979" s="201">
        <v>-182</v>
      </c>
      <c r="C6979">
        <v>-193</v>
      </c>
      <c r="D6979" s="201">
        <v>0</v>
      </c>
      <c r="E6979" s="201">
        <v>88</v>
      </c>
      <c r="F6979">
        <v>-44037</v>
      </c>
      <c r="G6979">
        <v>-51</v>
      </c>
      <c r="H6979">
        <v>-182</v>
      </c>
      <c r="I6979">
        <v>-312</v>
      </c>
      <c r="J6979">
        <v>-840</v>
      </c>
      <c r="K6979" s="201">
        <v>0</v>
      </c>
    </row>
    <row r="6980" spans="1:11" x14ac:dyDescent="0.25">
      <c r="A6980"/>
      <c r="B6980" s="201">
        <v>110</v>
      </c>
      <c r="C6980">
        <v>0</v>
      </c>
      <c r="D6980" s="201">
        <v>0</v>
      </c>
      <c r="E6980" s="201">
        <v>0</v>
      </c>
      <c r="F6980">
        <v>0</v>
      </c>
      <c r="G6980">
        <v>0</v>
      </c>
      <c r="H6980">
        <v>226</v>
      </c>
      <c r="I6980">
        <v>0</v>
      </c>
      <c r="J6980">
        <v>0</v>
      </c>
      <c r="K6980" s="201">
        <v>0</v>
      </c>
    </row>
    <row r="6981" spans="1:11" x14ac:dyDescent="0.25">
      <c r="A6981"/>
      <c r="B6981" s="201">
        <v>-157</v>
      </c>
      <c r="C6981">
        <v>0</v>
      </c>
      <c r="D6981" s="201">
        <v>42</v>
      </c>
      <c r="E6981" s="201">
        <v>0</v>
      </c>
      <c r="F6981">
        <v>0</v>
      </c>
      <c r="G6981">
        <v>0</v>
      </c>
      <c r="H6981">
        <v>0</v>
      </c>
      <c r="I6981">
        <v>0</v>
      </c>
      <c r="J6981">
        <v>23</v>
      </c>
      <c r="K6981" s="201">
        <v>0</v>
      </c>
    </row>
    <row r="6982" spans="1:11" x14ac:dyDescent="0.25">
      <c r="A6982"/>
      <c r="B6982" s="201">
        <v>-174</v>
      </c>
      <c r="C6982">
        <v>240</v>
      </c>
      <c r="D6982" s="201">
        <v>0</v>
      </c>
      <c r="E6982" s="201">
        <v>0</v>
      </c>
      <c r="F6982">
        <v>-1219</v>
      </c>
      <c r="G6982">
        <v>-57751</v>
      </c>
      <c r="H6982">
        <v>0</v>
      </c>
      <c r="I6982">
        <v>194</v>
      </c>
      <c r="J6982">
        <v>0</v>
      </c>
      <c r="K6982" s="201">
        <v>0</v>
      </c>
    </row>
    <row r="6983" spans="1:11" x14ac:dyDescent="0.25">
      <c r="A6983"/>
      <c r="B6983" s="201">
        <v>0</v>
      </c>
      <c r="C6983">
        <v>0</v>
      </c>
      <c r="D6983" s="201">
        <v>-1470</v>
      </c>
      <c r="E6983" s="201">
        <v>-219</v>
      </c>
      <c r="F6983">
        <v>34</v>
      </c>
      <c r="G6983">
        <v>0</v>
      </c>
      <c r="H6983">
        <v>0</v>
      </c>
      <c r="I6983">
        <v>418</v>
      </c>
      <c r="J6983">
        <v>128</v>
      </c>
      <c r="K6983" s="201">
        <v>0</v>
      </c>
    </row>
    <row r="6984" spans="1:11" x14ac:dyDescent="0.25">
      <c r="A6984"/>
      <c r="B6984" s="201">
        <v>124</v>
      </c>
      <c r="C6984">
        <v>-31</v>
      </c>
      <c r="D6984" s="201">
        <v>236</v>
      </c>
      <c r="E6984" s="201">
        <v>1</v>
      </c>
      <c r="F6984">
        <v>591</v>
      </c>
      <c r="G6984">
        <v>555</v>
      </c>
      <c r="H6984">
        <v>224</v>
      </c>
      <c r="I6984">
        <v>0</v>
      </c>
      <c r="J6984">
        <v>0</v>
      </c>
      <c r="K6984" s="201">
        <v>0</v>
      </c>
    </row>
    <row r="6985" spans="1:11" x14ac:dyDescent="0.25">
      <c r="A6985"/>
      <c r="B6985" s="201">
        <v>0</v>
      </c>
      <c r="C6985">
        <v>0</v>
      </c>
      <c r="D6985" s="201">
        <v>534</v>
      </c>
      <c r="E6985" s="201">
        <v>0</v>
      </c>
      <c r="F6985">
        <v>1663</v>
      </c>
      <c r="G6985">
        <v>1024</v>
      </c>
      <c r="H6985">
        <v>-154</v>
      </c>
      <c r="I6985">
        <v>0</v>
      </c>
      <c r="J6985">
        <v>-1301</v>
      </c>
      <c r="K6985" s="201">
        <v>-67237</v>
      </c>
    </row>
    <row r="6986" spans="1:11" x14ac:dyDescent="0.25">
      <c r="A6986"/>
      <c r="B6986" s="201">
        <v>-86</v>
      </c>
      <c r="C6986">
        <v>-203</v>
      </c>
      <c r="D6986" s="201">
        <v>177</v>
      </c>
      <c r="E6986" s="201">
        <v>0</v>
      </c>
      <c r="F6986">
        <v>-22</v>
      </c>
      <c r="G6986">
        <v>-555</v>
      </c>
      <c r="H6986">
        <v>-1233</v>
      </c>
      <c r="I6986">
        <v>184</v>
      </c>
      <c r="J6986">
        <v>0</v>
      </c>
      <c r="K6986" s="201">
        <v>-2</v>
      </c>
    </row>
    <row r="6987" spans="1:11" x14ac:dyDescent="0.25">
      <c r="A6987"/>
      <c r="B6987" s="201">
        <v>-43</v>
      </c>
      <c r="C6987">
        <v>0</v>
      </c>
      <c r="D6987" s="201">
        <v>0</v>
      </c>
      <c r="E6987" s="201">
        <v>0</v>
      </c>
      <c r="F6987">
        <v>-109</v>
      </c>
      <c r="G6987">
        <v>-584</v>
      </c>
      <c r="H6987">
        <v>0</v>
      </c>
      <c r="I6987">
        <v>-355</v>
      </c>
      <c r="J6987">
        <v>157</v>
      </c>
      <c r="K6987" s="201">
        <v>77</v>
      </c>
    </row>
    <row r="6988" spans="1:11" x14ac:dyDescent="0.25">
      <c r="A6988"/>
      <c r="B6988" s="201">
        <v>-133</v>
      </c>
      <c r="C6988">
        <v>0</v>
      </c>
      <c r="D6988" s="201">
        <v>0</v>
      </c>
      <c r="E6988" s="201">
        <v>0</v>
      </c>
      <c r="F6988">
        <v>0</v>
      </c>
      <c r="G6988">
        <v>0</v>
      </c>
      <c r="H6988">
        <v>721</v>
      </c>
      <c r="I6988">
        <v>0</v>
      </c>
      <c r="J6988">
        <v>9508</v>
      </c>
      <c r="K6988" s="201">
        <v>631</v>
      </c>
    </row>
    <row r="6989" spans="1:11" x14ac:dyDescent="0.25">
      <c r="A6989"/>
      <c r="B6989" s="201">
        <v>159</v>
      </c>
      <c r="C6989">
        <v>0</v>
      </c>
      <c r="D6989" s="201">
        <v>-1737</v>
      </c>
      <c r="E6989" s="201">
        <v>-65605</v>
      </c>
      <c r="F6989">
        <v>-215</v>
      </c>
      <c r="G6989">
        <v>-174</v>
      </c>
      <c r="H6989">
        <v>45</v>
      </c>
      <c r="I6989">
        <v>-144</v>
      </c>
      <c r="J6989">
        <v>-216</v>
      </c>
      <c r="K6989" s="201">
        <v>1576</v>
      </c>
    </row>
    <row r="6990" spans="1:11" x14ac:dyDescent="0.25">
      <c r="A6990"/>
      <c r="B6990" s="201">
        <v>0</v>
      </c>
      <c r="C6990">
        <v>302</v>
      </c>
      <c r="D6990" s="201">
        <v>0</v>
      </c>
      <c r="E6990" s="201">
        <v>0</v>
      </c>
      <c r="F6990">
        <v>-130</v>
      </c>
      <c r="G6990">
        <v>336</v>
      </c>
      <c r="H6990">
        <v>0</v>
      </c>
      <c r="I6990">
        <v>238</v>
      </c>
      <c r="J6990">
        <v>0</v>
      </c>
      <c r="K6990" s="201">
        <v>0</v>
      </c>
    </row>
    <row r="6991" spans="1:11" x14ac:dyDescent="0.25">
      <c r="B6991" s="201">
        <v>-127</v>
      </c>
      <c r="C6991">
        <v>0</v>
      </c>
      <c r="D6991" s="201">
        <v>116</v>
      </c>
      <c r="E6991" s="201">
        <v>90</v>
      </c>
      <c r="F6991">
        <v>-11</v>
      </c>
      <c r="G6991">
        <v>0</v>
      </c>
      <c r="H6991">
        <v>0</v>
      </c>
      <c r="I6991">
        <v>0</v>
      </c>
      <c r="J6991">
        <v>0</v>
      </c>
      <c r="K6991" s="201">
        <v>0</v>
      </c>
    </row>
    <row r="6992" spans="1:11" x14ac:dyDescent="0.25">
      <c r="A6992"/>
      <c r="B6992" s="201">
        <v>1051</v>
      </c>
      <c r="C6992">
        <v>0</v>
      </c>
      <c r="D6992" s="201">
        <v>8463</v>
      </c>
      <c r="E6992" s="201">
        <v>870</v>
      </c>
      <c r="F6992">
        <v>238</v>
      </c>
      <c r="G6992">
        <v>0</v>
      </c>
      <c r="H6992">
        <v>-979</v>
      </c>
      <c r="I6992">
        <v>-75312</v>
      </c>
      <c r="J6992">
        <v>516</v>
      </c>
      <c r="K6992" s="201">
        <v>0</v>
      </c>
    </row>
    <row r="6993" spans="1:11" x14ac:dyDescent="0.25">
      <c r="A6993"/>
      <c r="B6993" s="201">
        <v>0</v>
      </c>
      <c r="C6993">
        <v>0</v>
      </c>
      <c r="D6993" s="201">
        <v>2127</v>
      </c>
      <c r="E6993" s="201">
        <v>3108</v>
      </c>
      <c r="F6993">
        <v>1550</v>
      </c>
      <c r="G6993">
        <v>-1583</v>
      </c>
      <c r="H6993">
        <v>-1483</v>
      </c>
      <c r="I6993">
        <v>0</v>
      </c>
      <c r="J6993">
        <v>558</v>
      </c>
      <c r="K6993" s="201">
        <v>0</v>
      </c>
    </row>
    <row r="6994" spans="1:11" x14ac:dyDescent="0.25">
      <c r="A6994"/>
      <c r="B6994" s="201">
        <v>0</v>
      </c>
      <c r="C6994">
        <v>53</v>
      </c>
      <c r="D6994" s="201">
        <v>0</v>
      </c>
      <c r="E6994" s="201">
        <v>-1470</v>
      </c>
      <c r="F6994">
        <v>0</v>
      </c>
      <c r="G6994">
        <v>-1902</v>
      </c>
      <c r="H6994">
        <v>0</v>
      </c>
      <c r="I6994">
        <v>0</v>
      </c>
      <c r="J6994">
        <v>0</v>
      </c>
      <c r="K6994" s="201">
        <v>0</v>
      </c>
    </row>
    <row r="6995" spans="1:11" x14ac:dyDescent="0.25">
      <c r="A6995"/>
      <c r="B6995" s="201">
        <v>0</v>
      </c>
      <c r="C6995">
        <v>0</v>
      </c>
      <c r="D6995" s="201">
        <v>0</v>
      </c>
      <c r="E6995" s="201">
        <v>0</v>
      </c>
      <c r="F6995">
        <v>477</v>
      </c>
      <c r="G6995">
        <v>0</v>
      </c>
      <c r="H6995">
        <v>2311</v>
      </c>
      <c r="I6995">
        <v>-2749</v>
      </c>
      <c r="J6995">
        <v>-914</v>
      </c>
      <c r="K6995" s="201">
        <v>0</v>
      </c>
    </row>
    <row r="6996" spans="1:11" x14ac:dyDescent="0.25">
      <c r="A6996"/>
      <c r="B6996" s="201">
        <v>181</v>
      </c>
      <c r="C6996">
        <v>-66067</v>
      </c>
      <c r="D6996" s="201">
        <v>0</v>
      </c>
      <c r="E6996" s="201">
        <v>0</v>
      </c>
      <c r="F6996">
        <v>0</v>
      </c>
      <c r="G6996">
        <v>0</v>
      </c>
      <c r="H6996">
        <v>0</v>
      </c>
      <c r="I6996">
        <v>-2657</v>
      </c>
      <c r="J6996">
        <v>-1511</v>
      </c>
      <c r="K6996" s="201">
        <v>-676</v>
      </c>
    </row>
    <row r="6997" spans="1:11" x14ac:dyDescent="0.25">
      <c r="A6997"/>
      <c r="B6997" s="201">
        <v>-773</v>
      </c>
      <c r="C6997">
        <v>-28</v>
      </c>
      <c r="D6997" s="201">
        <v>3</v>
      </c>
      <c r="E6997" s="201">
        <v>0</v>
      </c>
      <c r="F6997">
        <v>0</v>
      </c>
      <c r="G6997">
        <v>0</v>
      </c>
      <c r="H6997">
        <v>0</v>
      </c>
      <c r="I6997">
        <v>-3206</v>
      </c>
      <c r="J6997">
        <v>0</v>
      </c>
      <c r="K6997" s="201">
        <v>-2079</v>
      </c>
    </row>
    <row r="6998" spans="1:11" x14ac:dyDescent="0.25">
      <c r="A6998"/>
      <c r="B6998" s="201">
        <v>0</v>
      </c>
      <c r="C6998">
        <v>0</v>
      </c>
      <c r="D6998" s="201">
        <v>193</v>
      </c>
      <c r="E6998" s="201">
        <v>-266</v>
      </c>
      <c r="F6998">
        <v>0</v>
      </c>
      <c r="G6998">
        <v>0</v>
      </c>
      <c r="H6998">
        <v>0</v>
      </c>
      <c r="I6998">
        <v>0</v>
      </c>
      <c r="J6998">
        <v>-664</v>
      </c>
      <c r="K6998" s="201">
        <v>0</v>
      </c>
    </row>
    <row r="6999" spans="1:11" x14ac:dyDescent="0.25">
      <c r="B6999" s="201">
        <v>6220</v>
      </c>
      <c r="C6999">
        <v>-2380</v>
      </c>
      <c r="D6999" s="201">
        <v>-637</v>
      </c>
      <c r="E6999" s="201">
        <v>3638</v>
      </c>
      <c r="F6999">
        <v>645</v>
      </c>
      <c r="G6999">
        <v>402</v>
      </c>
      <c r="H6999">
        <v>231</v>
      </c>
      <c r="I6999">
        <v>333</v>
      </c>
      <c r="J6999">
        <v>-262</v>
      </c>
      <c r="K6999" s="201">
        <v>10</v>
      </c>
    </row>
    <row r="7000" spans="1:11" x14ac:dyDescent="0.25">
      <c r="A7000"/>
      <c r="B7000" s="201">
        <v>0</v>
      </c>
      <c r="C7000">
        <v>0</v>
      </c>
      <c r="D7000" s="201">
        <v>0</v>
      </c>
      <c r="E7000" s="201">
        <v>0</v>
      </c>
      <c r="F7000">
        <v>0</v>
      </c>
      <c r="G7000">
        <v>0</v>
      </c>
      <c r="H7000">
        <v>0</v>
      </c>
      <c r="I7000">
        <v>-244</v>
      </c>
      <c r="J7000">
        <v>-77</v>
      </c>
      <c r="K7000" s="201">
        <v>1159</v>
      </c>
    </row>
    <row r="7001" spans="1:11" x14ac:dyDescent="0.25">
      <c r="A7001"/>
      <c r="B7001" s="201">
        <v>-35</v>
      </c>
      <c r="C7001">
        <v>956</v>
      </c>
      <c r="D7001" s="201">
        <v>-123</v>
      </c>
      <c r="E7001" s="201">
        <v>0</v>
      </c>
      <c r="F7001">
        <v>0</v>
      </c>
      <c r="G7001">
        <v>131</v>
      </c>
      <c r="H7001">
        <v>0</v>
      </c>
      <c r="I7001">
        <v>575</v>
      </c>
      <c r="J7001">
        <v>1124</v>
      </c>
      <c r="K7001" s="201">
        <v>0</v>
      </c>
    </row>
    <row r="7002" spans="1:11" x14ac:dyDescent="0.25">
      <c r="A7002"/>
      <c r="B7002" s="201">
        <v>0</v>
      </c>
      <c r="C7002">
        <v>0</v>
      </c>
      <c r="D7002" s="201">
        <v>0</v>
      </c>
      <c r="E7002" s="201">
        <v>-536</v>
      </c>
      <c r="F7002">
        <v>0</v>
      </c>
      <c r="G7002">
        <v>-1054</v>
      </c>
      <c r="H7002">
        <v>-2432</v>
      </c>
      <c r="I7002">
        <v>0</v>
      </c>
      <c r="J7002">
        <v>0</v>
      </c>
      <c r="K7002" s="201">
        <v>0</v>
      </c>
    </row>
    <row r="7003" spans="1:11" x14ac:dyDescent="0.25">
      <c r="A7003"/>
      <c r="B7003" s="201">
        <v>0</v>
      </c>
      <c r="C7003">
        <v>0</v>
      </c>
      <c r="D7003" s="201">
        <v>0</v>
      </c>
      <c r="E7003" s="201">
        <v>0</v>
      </c>
      <c r="F7003">
        <v>0</v>
      </c>
      <c r="G7003">
        <v>0</v>
      </c>
      <c r="H7003">
        <v>0</v>
      </c>
      <c r="I7003">
        <v>0</v>
      </c>
      <c r="J7003">
        <v>0</v>
      </c>
      <c r="K7003" s="201">
        <v>0</v>
      </c>
    </row>
    <row r="7004" spans="1:11" x14ac:dyDescent="0.25">
      <c r="A7004"/>
      <c r="B7004" s="201">
        <v>0</v>
      </c>
      <c r="C7004">
        <v>0</v>
      </c>
      <c r="D7004" s="201">
        <v>-850</v>
      </c>
      <c r="E7004" s="201">
        <v>0</v>
      </c>
      <c r="F7004">
        <v>0</v>
      </c>
      <c r="G7004">
        <v>0</v>
      </c>
      <c r="H7004">
        <v>0</v>
      </c>
      <c r="I7004">
        <v>0</v>
      </c>
      <c r="J7004">
        <v>1495</v>
      </c>
      <c r="K7004" s="201">
        <v>658</v>
      </c>
    </row>
    <row r="7005" spans="1:11" x14ac:dyDescent="0.25">
      <c r="A7005"/>
      <c r="B7005" s="201">
        <v>612</v>
      </c>
      <c r="C7005">
        <v>968</v>
      </c>
      <c r="D7005" s="201">
        <v>1828</v>
      </c>
      <c r="E7005" s="201">
        <v>1681</v>
      </c>
      <c r="F7005">
        <v>-3558</v>
      </c>
      <c r="G7005">
        <v>-2154</v>
      </c>
      <c r="H7005">
        <v>-1358</v>
      </c>
      <c r="I7005">
        <v>880</v>
      </c>
      <c r="J7005">
        <v>1461</v>
      </c>
      <c r="K7005" s="201">
        <v>809</v>
      </c>
    </row>
    <row r="7006" spans="1:11" x14ac:dyDescent="0.25">
      <c r="A7006"/>
      <c r="B7006" s="201">
        <v>1531</v>
      </c>
      <c r="C7006">
        <v>2897</v>
      </c>
      <c r="D7006" s="201">
        <v>3717</v>
      </c>
      <c r="E7006" s="201">
        <v>1713</v>
      </c>
      <c r="F7006">
        <v>-6473</v>
      </c>
      <c r="G7006">
        <v>0</v>
      </c>
      <c r="H7006">
        <v>-23</v>
      </c>
      <c r="I7006">
        <v>1105</v>
      </c>
      <c r="J7006">
        <v>1140</v>
      </c>
      <c r="K7006" s="201">
        <v>-3063</v>
      </c>
    </row>
    <row r="7007" spans="1:11" x14ac:dyDescent="0.25">
      <c r="A7007"/>
      <c r="B7007" s="201">
        <v>-327</v>
      </c>
      <c r="C7007">
        <v>237</v>
      </c>
      <c r="D7007" s="201">
        <v>329</v>
      </c>
      <c r="E7007" s="201">
        <v>-3372</v>
      </c>
      <c r="F7007">
        <v>-150</v>
      </c>
      <c r="G7007">
        <v>498</v>
      </c>
      <c r="H7007">
        <v>506</v>
      </c>
      <c r="I7007">
        <v>-2973</v>
      </c>
      <c r="J7007">
        <v>-161</v>
      </c>
      <c r="K7007" s="201">
        <v>218</v>
      </c>
    </row>
    <row r="7008" spans="1:11" x14ac:dyDescent="0.25">
      <c r="A7008"/>
      <c r="B7008" s="201">
        <v>220</v>
      </c>
      <c r="C7008">
        <v>-2334</v>
      </c>
      <c r="D7008" s="201">
        <v>-335</v>
      </c>
      <c r="E7008" s="201">
        <v>-66</v>
      </c>
      <c r="F7008">
        <v>4</v>
      </c>
      <c r="G7008">
        <v>-1651</v>
      </c>
      <c r="H7008">
        <v>358</v>
      </c>
      <c r="I7008">
        <v>-222</v>
      </c>
      <c r="J7008">
        <v>430</v>
      </c>
      <c r="K7008" s="201">
        <v>341</v>
      </c>
    </row>
    <row r="7009" spans="1:11" x14ac:dyDescent="0.25">
      <c r="A7009"/>
      <c r="B7009" s="201">
        <v>343</v>
      </c>
      <c r="C7009">
        <v>-769</v>
      </c>
      <c r="D7009" s="201">
        <v>189</v>
      </c>
      <c r="E7009" s="201">
        <v>451</v>
      </c>
      <c r="F7009">
        <v>3</v>
      </c>
      <c r="G7009">
        <v>-1320</v>
      </c>
      <c r="H7009">
        <v>1247</v>
      </c>
      <c r="I7009">
        <v>159</v>
      </c>
      <c r="J7009">
        <v>116</v>
      </c>
      <c r="K7009" s="201">
        <v>152</v>
      </c>
    </row>
    <row r="7010" spans="1:11" x14ac:dyDescent="0.25">
      <c r="A7010"/>
      <c r="B7010" s="201">
        <v>602</v>
      </c>
      <c r="C7010">
        <v>535</v>
      </c>
      <c r="D7010" s="201">
        <v>321</v>
      </c>
      <c r="E7010" s="201">
        <v>377</v>
      </c>
      <c r="F7010">
        <v>328</v>
      </c>
      <c r="G7010">
        <v>430</v>
      </c>
      <c r="H7010">
        <v>50874</v>
      </c>
      <c r="I7010">
        <v>61111</v>
      </c>
      <c r="J7010">
        <v>61287</v>
      </c>
      <c r="K7010" s="201">
        <v>57793</v>
      </c>
    </row>
    <row r="7011" spans="1:11" x14ac:dyDescent="0.25">
      <c r="B7011" s="201">
        <v>51385</v>
      </c>
      <c r="C7011">
        <v>27718</v>
      </c>
      <c r="D7011" s="201">
        <v>33598</v>
      </c>
      <c r="E7011" s="201">
        <v>27157</v>
      </c>
      <c r="F7011">
        <v>36762</v>
      </c>
      <c r="G7011">
        <v>39601</v>
      </c>
      <c r="H7011">
        <v>58266</v>
      </c>
      <c r="I7011">
        <v>58356</v>
      </c>
      <c r="J7011">
        <v>57508</v>
      </c>
      <c r="K7011" s="201">
        <v>56746</v>
      </c>
    </row>
    <row r="7012" spans="1:11" x14ac:dyDescent="0.25">
      <c r="A7012"/>
      <c r="B7012" s="201">
        <v>62258</v>
      </c>
      <c r="C7012" s="201">
        <v>61661</v>
      </c>
      <c r="D7012" s="201">
        <v>61756</v>
      </c>
      <c r="E7012" s="201">
        <v>61656</v>
      </c>
      <c r="F7012">
        <v>61288</v>
      </c>
      <c r="G7012">
        <v>98003</v>
      </c>
      <c r="H7012">
        <v>5</v>
      </c>
      <c r="I7012">
        <v>-50706</v>
      </c>
      <c r="J7012">
        <v>-275</v>
      </c>
      <c r="K7012" s="201">
        <v>-130</v>
      </c>
    </row>
    <row r="7013" spans="1:11" x14ac:dyDescent="0.25">
      <c r="A7013"/>
      <c r="B7013" s="201">
        <v>188</v>
      </c>
      <c r="C7013">
        <v>0</v>
      </c>
      <c r="D7013" s="201">
        <v>0</v>
      </c>
      <c r="E7013" s="201">
        <v>173</v>
      </c>
      <c r="F7013">
        <v>0</v>
      </c>
      <c r="G7013">
        <v>0</v>
      </c>
      <c r="H7013">
        <v>0</v>
      </c>
      <c r="I7013">
        <v>94</v>
      </c>
      <c r="J7013">
        <v>76</v>
      </c>
      <c r="K7013" s="201">
        <v>0</v>
      </c>
    </row>
    <row r="7014" spans="1:11" x14ac:dyDescent="0.25">
      <c r="A7014"/>
      <c r="B7014" s="201">
        <v>0</v>
      </c>
      <c r="C7014">
        <v>0</v>
      </c>
      <c r="D7014" s="201">
        <v>0</v>
      </c>
      <c r="E7014" s="201">
        <v>0</v>
      </c>
      <c r="F7014">
        <v>0</v>
      </c>
      <c r="G7014">
        <v>-157</v>
      </c>
      <c r="H7014">
        <v>0</v>
      </c>
      <c r="I7014">
        <v>0</v>
      </c>
      <c r="J7014">
        <v>106</v>
      </c>
      <c r="K7014" s="201">
        <v>0</v>
      </c>
    </row>
    <row r="7015" spans="1:11" x14ac:dyDescent="0.25">
      <c r="B7015" s="201">
        <v>-126</v>
      </c>
      <c r="C7015">
        <v>0</v>
      </c>
      <c r="D7015" s="201">
        <v>79</v>
      </c>
      <c r="E7015" s="201">
        <v>-123</v>
      </c>
      <c r="F7015">
        <v>-164</v>
      </c>
      <c r="G7015">
        <v>0</v>
      </c>
      <c r="H7015">
        <v>70</v>
      </c>
      <c r="I7015">
        <v>-42984</v>
      </c>
      <c r="J7015">
        <v>-47</v>
      </c>
      <c r="K7015" s="201">
        <v>-133</v>
      </c>
    </row>
    <row r="7016" spans="1:11" x14ac:dyDescent="0.25">
      <c r="B7016" s="201">
        <v>-264</v>
      </c>
      <c r="C7016">
        <v>-713</v>
      </c>
      <c r="D7016" s="201">
        <v>0</v>
      </c>
      <c r="E7016" s="201">
        <v>98</v>
      </c>
      <c r="F7016">
        <v>0</v>
      </c>
      <c r="G7016">
        <v>0</v>
      </c>
      <c r="H7016">
        <v>0</v>
      </c>
      <c r="I7016">
        <v>0</v>
      </c>
      <c r="J7016">
        <v>0</v>
      </c>
      <c r="K7016" s="201">
        <v>187</v>
      </c>
    </row>
    <row r="7017" spans="1:11" x14ac:dyDescent="0.25">
      <c r="A7017"/>
      <c r="B7017" s="201">
        <v>0</v>
      </c>
      <c r="C7017">
        <v>0</v>
      </c>
      <c r="D7017" s="201">
        <v>0</v>
      </c>
      <c r="E7017" s="201">
        <v>-131</v>
      </c>
      <c r="F7017">
        <v>0</v>
      </c>
      <c r="G7017">
        <v>39</v>
      </c>
      <c r="H7017">
        <v>0</v>
      </c>
      <c r="I7017">
        <v>0</v>
      </c>
      <c r="J7017">
        <v>0</v>
      </c>
      <c r="K7017" s="201">
        <v>0</v>
      </c>
    </row>
    <row r="7018" spans="1:11" x14ac:dyDescent="0.25">
      <c r="A7018"/>
      <c r="B7018" s="201">
        <v>0</v>
      </c>
      <c r="C7018">
        <v>23</v>
      </c>
      <c r="D7018" s="201">
        <v>0</v>
      </c>
      <c r="E7018" s="201">
        <v>-164</v>
      </c>
      <c r="F7018">
        <v>235</v>
      </c>
      <c r="G7018">
        <v>0</v>
      </c>
      <c r="H7018">
        <v>0</v>
      </c>
      <c r="I7018">
        <v>-1025</v>
      </c>
      <c r="J7018">
        <v>-57646</v>
      </c>
      <c r="K7018" s="201">
        <v>0</v>
      </c>
    </row>
    <row r="7019" spans="1:11" x14ac:dyDescent="0.25">
      <c r="A7019"/>
      <c r="B7019" s="201">
        <v>80</v>
      </c>
      <c r="C7019">
        <v>0</v>
      </c>
      <c r="D7019" s="201">
        <v>0</v>
      </c>
      <c r="E7019" s="201">
        <v>0</v>
      </c>
      <c r="F7019">
        <v>0</v>
      </c>
      <c r="G7019">
        <v>-1291</v>
      </c>
      <c r="H7019">
        <v>-175</v>
      </c>
      <c r="I7019">
        <v>48</v>
      </c>
      <c r="J7019">
        <v>0</v>
      </c>
      <c r="K7019" s="201">
        <v>0</v>
      </c>
    </row>
    <row r="7020" spans="1:11" x14ac:dyDescent="0.25">
      <c r="A7020"/>
      <c r="B7020" s="201">
        <v>337</v>
      </c>
      <c r="C7020">
        <v>101</v>
      </c>
      <c r="D7020" s="201">
        <v>0</v>
      </c>
      <c r="E7020" s="201">
        <v>113</v>
      </c>
      <c r="F7020">
        <v>-45</v>
      </c>
      <c r="G7020">
        <v>193</v>
      </c>
      <c r="H7020">
        <v>-12</v>
      </c>
      <c r="I7020">
        <v>447</v>
      </c>
      <c r="J7020">
        <v>443</v>
      </c>
      <c r="K7020" s="201">
        <v>155</v>
      </c>
    </row>
    <row r="7021" spans="1:11" x14ac:dyDescent="0.25">
      <c r="A7021"/>
      <c r="B7021" s="201">
        <v>0</v>
      </c>
      <c r="C7021">
        <v>0</v>
      </c>
      <c r="D7021" s="201">
        <v>0</v>
      </c>
      <c r="E7021" s="201">
        <v>0</v>
      </c>
      <c r="F7021">
        <v>0</v>
      </c>
      <c r="G7021">
        <v>443</v>
      </c>
      <c r="H7021">
        <v>0</v>
      </c>
      <c r="I7021">
        <v>1394</v>
      </c>
      <c r="J7021">
        <v>1018</v>
      </c>
      <c r="K7021" s="201">
        <v>-96</v>
      </c>
    </row>
    <row r="7022" spans="1:11" x14ac:dyDescent="0.25">
      <c r="A7022"/>
      <c r="B7022" s="201">
        <v>0</v>
      </c>
      <c r="C7022" s="201">
        <v>-1116</v>
      </c>
      <c r="D7022" s="201">
        <v>-66102</v>
      </c>
      <c r="E7022" s="201">
        <v>-79</v>
      </c>
      <c r="F7022">
        <v>-162</v>
      </c>
      <c r="G7022">
        <v>262</v>
      </c>
      <c r="H7022">
        <v>0</v>
      </c>
      <c r="I7022">
        <v>90</v>
      </c>
      <c r="J7022">
        <v>-399</v>
      </c>
      <c r="K7022" s="201">
        <v>-1032</v>
      </c>
    </row>
    <row r="7023" spans="1:11" x14ac:dyDescent="0.25">
      <c r="A7023"/>
      <c r="B7023" s="201">
        <v>169</v>
      </c>
      <c r="C7023">
        <v>0</v>
      </c>
      <c r="D7023" s="201">
        <v>8</v>
      </c>
      <c r="E7023" s="201">
        <v>2</v>
      </c>
      <c r="F7023">
        <v>0</v>
      </c>
      <c r="G7023">
        <v>0</v>
      </c>
      <c r="H7023">
        <v>0</v>
      </c>
      <c r="I7023">
        <v>-101</v>
      </c>
      <c r="J7023">
        <v>-598</v>
      </c>
      <c r="K7023" s="201">
        <v>0</v>
      </c>
    </row>
    <row r="7024" spans="1:11" x14ac:dyDescent="0.25">
      <c r="A7024"/>
      <c r="B7024" s="201">
        <v>-344</v>
      </c>
      <c r="C7024">
        <v>124</v>
      </c>
      <c r="D7024" s="201">
        <v>55</v>
      </c>
      <c r="E7024" s="201">
        <v>-131</v>
      </c>
      <c r="F7024">
        <v>0</v>
      </c>
      <c r="G7024">
        <v>0</v>
      </c>
      <c r="H7024">
        <v>0</v>
      </c>
      <c r="I7024">
        <v>0</v>
      </c>
      <c r="J7024">
        <v>0</v>
      </c>
      <c r="K7024" s="201">
        <v>620</v>
      </c>
    </row>
    <row r="7025" spans="1:11" x14ac:dyDescent="0.25">
      <c r="A7025"/>
      <c r="B7025" s="201">
        <v>0</v>
      </c>
      <c r="C7025">
        <v>7888</v>
      </c>
      <c r="D7025" s="201">
        <v>592</v>
      </c>
      <c r="E7025" s="201">
        <v>133</v>
      </c>
      <c r="F7025">
        <v>0</v>
      </c>
      <c r="G7025">
        <v>-1508</v>
      </c>
      <c r="H7025">
        <v>-64526</v>
      </c>
      <c r="I7025">
        <v>-192</v>
      </c>
      <c r="J7025">
        <v>-153</v>
      </c>
      <c r="K7025" s="201">
        <v>127</v>
      </c>
    </row>
    <row r="7026" spans="1:11" x14ac:dyDescent="0.25">
      <c r="B7026" s="201">
        <v>-111</v>
      </c>
      <c r="C7026">
        <v>-54</v>
      </c>
      <c r="D7026" s="201">
        <v>1410</v>
      </c>
      <c r="E7026" s="201">
        <v>0</v>
      </c>
      <c r="F7026">
        <v>273</v>
      </c>
      <c r="G7026">
        <v>0</v>
      </c>
      <c r="H7026">
        <v>0</v>
      </c>
      <c r="I7026">
        <v>-74</v>
      </c>
      <c r="J7026">
        <v>279</v>
      </c>
      <c r="K7026" s="201">
        <v>0</v>
      </c>
    </row>
    <row r="7027" spans="1:11" x14ac:dyDescent="0.25">
      <c r="A7027"/>
      <c r="B7027" s="201">
        <v>231</v>
      </c>
      <c r="C7027">
        <v>0</v>
      </c>
      <c r="D7027" s="201">
        <v>0</v>
      </c>
      <c r="E7027" s="201">
        <v>-108</v>
      </c>
      <c r="F7027">
        <v>0</v>
      </c>
      <c r="G7027">
        <v>95</v>
      </c>
      <c r="H7027">
        <v>66</v>
      </c>
      <c r="I7027">
        <v>3</v>
      </c>
      <c r="J7027">
        <v>0</v>
      </c>
      <c r="K7027" s="201">
        <v>0</v>
      </c>
    </row>
    <row r="7028" spans="1:11" x14ac:dyDescent="0.25">
      <c r="A7028"/>
      <c r="B7028" s="201">
        <v>0</v>
      </c>
      <c r="C7028">
        <v>0</v>
      </c>
      <c r="D7028" s="201">
        <v>0</v>
      </c>
      <c r="E7028" s="201">
        <v>914</v>
      </c>
      <c r="F7028">
        <v>0</v>
      </c>
      <c r="G7028">
        <v>6996</v>
      </c>
      <c r="H7028">
        <v>806</v>
      </c>
      <c r="I7028">
        <v>206</v>
      </c>
      <c r="J7028">
        <v>0</v>
      </c>
      <c r="K7028" s="201">
        <v>-803</v>
      </c>
    </row>
    <row r="7029" spans="1:11" x14ac:dyDescent="0.25">
      <c r="A7029"/>
      <c r="B7029" s="201">
        <v>-75546</v>
      </c>
      <c r="C7029">
        <v>495</v>
      </c>
      <c r="D7029" s="201">
        <v>0</v>
      </c>
      <c r="E7029" s="201">
        <v>0</v>
      </c>
      <c r="F7029">
        <v>0</v>
      </c>
      <c r="G7029">
        <v>2105</v>
      </c>
      <c r="H7029">
        <v>3054</v>
      </c>
      <c r="I7029">
        <v>1576</v>
      </c>
      <c r="J7029">
        <v>-1510</v>
      </c>
      <c r="K7029" s="201">
        <v>-1412</v>
      </c>
    </row>
    <row r="7030" spans="1:11" x14ac:dyDescent="0.25">
      <c r="A7030"/>
      <c r="B7030" s="201">
        <v>0</v>
      </c>
      <c r="C7030">
        <v>507</v>
      </c>
      <c r="D7030" s="201">
        <v>0</v>
      </c>
      <c r="E7030" s="201">
        <v>0</v>
      </c>
      <c r="F7030">
        <v>44</v>
      </c>
      <c r="G7030">
        <v>0</v>
      </c>
      <c r="H7030">
        <v>-1417</v>
      </c>
      <c r="I7030">
        <v>0</v>
      </c>
      <c r="J7030">
        <v>-1850</v>
      </c>
      <c r="K7030" s="201">
        <v>0</v>
      </c>
    </row>
    <row r="7031" spans="1:11" x14ac:dyDescent="0.25">
      <c r="A7031"/>
      <c r="B7031" s="201">
        <v>0</v>
      </c>
      <c r="C7031">
        <v>0</v>
      </c>
      <c r="D7031" s="201">
        <v>0</v>
      </c>
      <c r="E7031" s="201">
        <v>0</v>
      </c>
      <c r="F7031">
        <v>0</v>
      </c>
      <c r="G7031">
        <v>0</v>
      </c>
      <c r="H7031">
        <v>0</v>
      </c>
      <c r="I7031">
        <v>423</v>
      </c>
      <c r="J7031">
        <v>0</v>
      </c>
      <c r="K7031" s="201">
        <v>1524</v>
      </c>
    </row>
    <row r="7032" spans="1:11" x14ac:dyDescent="0.25">
      <c r="A7032"/>
      <c r="B7032" s="201">
        <v>-2561</v>
      </c>
      <c r="C7032">
        <v>-894</v>
      </c>
      <c r="D7032" s="201">
        <v>0</v>
      </c>
      <c r="E7032" s="201">
        <v>325</v>
      </c>
      <c r="F7032">
        <v>-65502</v>
      </c>
      <c r="G7032">
        <v>0</v>
      </c>
      <c r="H7032">
        <v>0</v>
      </c>
      <c r="I7032">
        <v>0</v>
      </c>
      <c r="J7032">
        <v>0</v>
      </c>
      <c r="K7032" s="201">
        <v>0</v>
      </c>
    </row>
    <row r="7033" spans="1:11" x14ac:dyDescent="0.25">
      <c r="B7033" s="201">
        <v>-2614</v>
      </c>
      <c r="C7033">
        <v>-1451</v>
      </c>
      <c r="D7033" s="201">
        <v>-679</v>
      </c>
      <c r="E7033" s="201">
        <v>-772</v>
      </c>
      <c r="F7033">
        <v>-53</v>
      </c>
      <c r="G7033">
        <v>-36</v>
      </c>
      <c r="H7033">
        <v>0</v>
      </c>
      <c r="I7033">
        <v>0</v>
      </c>
      <c r="J7033">
        <v>0</v>
      </c>
      <c r="K7033" s="201">
        <v>0</v>
      </c>
    </row>
    <row r="7034" spans="1:11" x14ac:dyDescent="0.25">
      <c r="B7034" s="201">
        <v>-3041</v>
      </c>
      <c r="C7034" s="201">
        <v>0</v>
      </c>
      <c r="D7034" s="201">
        <v>-1992</v>
      </c>
      <c r="E7034" s="201">
        <v>0</v>
      </c>
      <c r="F7034">
        <v>0</v>
      </c>
      <c r="G7034">
        <v>218</v>
      </c>
      <c r="H7034">
        <v>-209</v>
      </c>
      <c r="I7034">
        <v>0</v>
      </c>
      <c r="J7034">
        <v>0</v>
      </c>
      <c r="K7034" s="201">
        <v>0</v>
      </c>
    </row>
    <row r="7035" spans="1:11" x14ac:dyDescent="0.25">
      <c r="A7035"/>
      <c r="B7035" s="201">
        <v>0</v>
      </c>
      <c r="C7035">
        <v>-673</v>
      </c>
      <c r="D7035" s="201">
        <v>0</v>
      </c>
      <c r="E7035" s="201">
        <v>5033</v>
      </c>
      <c r="F7035">
        <v>-2254</v>
      </c>
      <c r="G7035">
        <v>-671</v>
      </c>
      <c r="H7035">
        <v>3317</v>
      </c>
      <c r="I7035">
        <v>589</v>
      </c>
      <c r="J7035">
        <v>390</v>
      </c>
      <c r="K7035" s="201">
        <v>202</v>
      </c>
    </row>
    <row r="7036" spans="1:11" x14ac:dyDescent="0.25">
      <c r="A7036"/>
      <c r="B7036" s="201">
        <v>303</v>
      </c>
      <c r="C7036">
        <v>-303</v>
      </c>
      <c r="D7036" s="201">
        <v>17</v>
      </c>
      <c r="E7036" s="201">
        <v>0</v>
      </c>
      <c r="F7036">
        <v>0</v>
      </c>
      <c r="G7036">
        <v>0</v>
      </c>
      <c r="H7036">
        <v>0</v>
      </c>
      <c r="I7036">
        <v>0</v>
      </c>
      <c r="J7036">
        <v>0</v>
      </c>
      <c r="K7036" s="201">
        <v>0</v>
      </c>
    </row>
    <row r="7037" spans="1:11" x14ac:dyDescent="0.25">
      <c r="B7037" s="201">
        <v>-224</v>
      </c>
      <c r="C7037">
        <v>-69</v>
      </c>
      <c r="D7037" s="201">
        <v>1133</v>
      </c>
      <c r="E7037" s="201">
        <v>-26</v>
      </c>
      <c r="F7037">
        <v>928</v>
      </c>
      <c r="G7037">
        <v>-82</v>
      </c>
      <c r="H7037">
        <v>0</v>
      </c>
      <c r="I7037">
        <v>0</v>
      </c>
      <c r="J7037">
        <v>121</v>
      </c>
      <c r="K7037" s="201">
        <v>0</v>
      </c>
    </row>
    <row r="7038" spans="1:11" x14ac:dyDescent="0.25">
      <c r="A7038"/>
      <c r="B7038" s="201">
        <v>505</v>
      </c>
      <c r="C7038">
        <v>838</v>
      </c>
      <c r="D7038" s="201">
        <v>0</v>
      </c>
      <c r="E7038" s="201">
        <v>0</v>
      </c>
      <c r="F7038">
        <v>0</v>
      </c>
      <c r="G7038">
        <v>0</v>
      </c>
      <c r="H7038">
        <v>-811</v>
      </c>
      <c r="I7038">
        <v>0</v>
      </c>
      <c r="J7038">
        <v>-1220</v>
      </c>
      <c r="K7038" s="201">
        <v>-2431</v>
      </c>
    </row>
    <row r="7039" spans="1:11" x14ac:dyDescent="0.25">
      <c r="A7039"/>
      <c r="B7039" s="201">
        <v>0</v>
      </c>
      <c r="C7039">
        <v>0</v>
      </c>
      <c r="D7039" s="201">
        <v>0</v>
      </c>
      <c r="E7039" s="201">
        <v>0</v>
      </c>
      <c r="F7039">
        <v>0</v>
      </c>
      <c r="G7039">
        <v>0</v>
      </c>
      <c r="H7039">
        <v>0</v>
      </c>
      <c r="I7039">
        <v>0</v>
      </c>
      <c r="J7039">
        <v>0</v>
      </c>
      <c r="K7039" s="201">
        <v>0</v>
      </c>
    </row>
    <row r="7040" spans="1:11" x14ac:dyDescent="0.25">
      <c r="A7040"/>
      <c r="B7040" s="201">
        <v>0</v>
      </c>
      <c r="C7040">
        <v>0</v>
      </c>
      <c r="D7040" s="201">
        <v>0</v>
      </c>
      <c r="E7040" s="201">
        <v>0</v>
      </c>
      <c r="F7040">
        <v>0</v>
      </c>
      <c r="G7040">
        <v>-1036</v>
      </c>
      <c r="H7040">
        <v>0</v>
      </c>
      <c r="I7040">
        <v>0</v>
      </c>
      <c r="J7040">
        <v>0</v>
      </c>
      <c r="K7040" s="201">
        <v>0</v>
      </c>
    </row>
    <row r="7041" spans="1:11" x14ac:dyDescent="0.25">
      <c r="A7041"/>
      <c r="B7041" s="201">
        <v>0</v>
      </c>
      <c r="C7041">
        <v>1268</v>
      </c>
      <c r="D7041" s="201">
        <v>524</v>
      </c>
      <c r="E7041" s="201">
        <v>483</v>
      </c>
      <c r="F7041">
        <v>717</v>
      </c>
      <c r="G7041">
        <v>1445</v>
      </c>
      <c r="H7041">
        <v>1290</v>
      </c>
      <c r="I7041">
        <v>-3248</v>
      </c>
      <c r="J7041">
        <v>-1455</v>
      </c>
      <c r="K7041" s="201">
        <v>-1140</v>
      </c>
    </row>
    <row r="7042" spans="1:11" x14ac:dyDescent="0.25">
      <c r="A7042"/>
      <c r="B7042" s="201">
        <v>710</v>
      </c>
      <c r="C7042">
        <v>1228</v>
      </c>
      <c r="D7042" s="201">
        <v>677</v>
      </c>
      <c r="E7042" s="201">
        <v>1371</v>
      </c>
      <c r="F7042">
        <v>2418</v>
      </c>
      <c r="G7042">
        <v>3074</v>
      </c>
      <c r="H7042">
        <v>1532</v>
      </c>
      <c r="I7042">
        <v>-5230</v>
      </c>
      <c r="J7042">
        <v>0</v>
      </c>
      <c r="K7042" s="201">
        <v>97</v>
      </c>
    </row>
    <row r="7043" spans="1:11" x14ac:dyDescent="0.25">
      <c r="B7043" s="201">
        <v>1122</v>
      </c>
      <c r="C7043">
        <v>1136</v>
      </c>
      <c r="D7043" s="201">
        <v>-2529</v>
      </c>
      <c r="E7043" s="201">
        <v>-187</v>
      </c>
      <c r="F7043">
        <v>370</v>
      </c>
      <c r="G7043">
        <v>447</v>
      </c>
      <c r="H7043">
        <v>-2888</v>
      </c>
      <c r="I7043">
        <v>-31</v>
      </c>
      <c r="J7043">
        <v>663</v>
      </c>
      <c r="K7043" s="201">
        <v>649</v>
      </c>
    </row>
    <row r="7044" spans="1:11" x14ac:dyDescent="0.25">
      <c r="A7044"/>
      <c r="B7044" s="201">
        <v>-2609</v>
      </c>
      <c r="C7044">
        <v>-73</v>
      </c>
      <c r="D7044" s="201">
        <v>328</v>
      </c>
      <c r="E7044" s="201">
        <v>324</v>
      </c>
      <c r="F7044">
        <v>-2028</v>
      </c>
      <c r="G7044">
        <v>-196</v>
      </c>
      <c r="H7044">
        <v>30</v>
      </c>
      <c r="I7044">
        <v>86</v>
      </c>
      <c r="J7044">
        <v>-1249</v>
      </c>
      <c r="K7044" s="201">
        <v>275</v>
      </c>
    </row>
    <row r="7045" spans="1:11" x14ac:dyDescent="0.25">
      <c r="A7045"/>
      <c r="B7045" s="201">
        <v>-246</v>
      </c>
      <c r="C7045">
        <v>397</v>
      </c>
      <c r="D7045" s="201">
        <v>290</v>
      </c>
      <c r="E7045" s="201">
        <v>308</v>
      </c>
      <c r="F7045">
        <v>-735</v>
      </c>
      <c r="G7045">
        <v>165</v>
      </c>
      <c r="H7045">
        <v>358</v>
      </c>
      <c r="I7045">
        <v>-19</v>
      </c>
      <c r="J7045">
        <v>-1315</v>
      </c>
      <c r="K7045" s="201">
        <v>1189</v>
      </c>
    </row>
    <row r="7046" spans="1:11" x14ac:dyDescent="0.25">
      <c r="A7046"/>
      <c r="B7046" s="201">
        <v>170</v>
      </c>
      <c r="C7046">
        <v>111</v>
      </c>
      <c r="D7046" s="201">
        <v>160</v>
      </c>
      <c r="E7046" s="201">
        <v>592</v>
      </c>
      <c r="F7046">
        <v>455</v>
      </c>
      <c r="G7046">
        <v>283</v>
      </c>
      <c r="H7046">
        <v>344</v>
      </c>
      <c r="I7046">
        <v>273</v>
      </c>
      <c r="J7046">
        <v>375</v>
      </c>
      <c r="K7046" s="201">
        <v>46242</v>
      </c>
    </row>
    <row r="7047" spans="1:11" x14ac:dyDescent="0.25">
      <c r="B7047" s="201">
        <v>55233</v>
      </c>
      <c r="C7047" s="201">
        <v>55385</v>
      </c>
      <c r="D7047" s="201">
        <v>52617</v>
      </c>
      <c r="E7047" s="201">
        <v>46929</v>
      </c>
      <c r="F7047">
        <v>25386</v>
      </c>
      <c r="G7047">
        <v>30698</v>
      </c>
      <c r="H7047">
        <v>24918</v>
      </c>
      <c r="I7047">
        <v>33625</v>
      </c>
      <c r="J7047">
        <v>36171</v>
      </c>
      <c r="K7047" s="201">
        <v>54477</v>
      </c>
    </row>
    <row r="7048" spans="1:11" x14ac:dyDescent="0.25">
      <c r="B7048" s="201">
        <v>54556</v>
      </c>
      <c r="C7048" s="201">
        <v>54408</v>
      </c>
      <c r="D7048" s="201">
        <v>53506</v>
      </c>
      <c r="E7048" s="201">
        <v>58236</v>
      </c>
      <c r="F7048">
        <v>57615</v>
      </c>
      <c r="G7048">
        <v>57823</v>
      </c>
      <c r="H7048">
        <v>57643</v>
      </c>
      <c r="I7048">
        <v>57387</v>
      </c>
      <c r="J7048">
        <v>94896</v>
      </c>
      <c r="K7048" s="201">
        <v>98439</v>
      </c>
    </row>
    <row r="7049" spans="1:11" x14ac:dyDescent="0.25">
      <c r="A7049"/>
      <c r="B7049" s="201">
        <v>877</v>
      </c>
      <c r="C7049">
        <v>-50094</v>
      </c>
      <c r="D7049" s="201">
        <v>-515</v>
      </c>
      <c r="E7049" s="201">
        <v>-231</v>
      </c>
      <c r="F7049">
        <v>-293</v>
      </c>
      <c r="G7049">
        <v>0</v>
      </c>
      <c r="H7049">
        <v>0</v>
      </c>
      <c r="I7049">
        <v>235</v>
      </c>
      <c r="J7049">
        <v>0</v>
      </c>
      <c r="K7049" s="201">
        <v>0</v>
      </c>
    </row>
    <row r="7050" spans="1:11" x14ac:dyDescent="0.25">
      <c r="A7050"/>
      <c r="B7050" s="201">
        <v>0</v>
      </c>
      <c r="C7050">
        <v>251</v>
      </c>
      <c r="D7050" s="201">
        <v>37</v>
      </c>
      <c r="E7050" s="201">
        <v>0</v>
      </c>
      <c r="F7050">
        <v>0</v>
      </c>
      <c r="G7050">
        <v>0</v>
      </c>
      <c r="H7050">
        <v>0</v>
      </c>
      <c r="I7050">
        <v>0</v>
      </c>
      <c r="J7050">
        <v>0</v>
      </c>
      <c r="K7050" s="201">
        <v>-215</v>
      </c>
    </row>
    <row r="7051" spans="1:11" x14ac:dyDescent="0.25">
      <c r="A7051"/>
      <c r="B7051" s="201">
        <v>0</v>
      </c>
      <c r="C7051">
        <v>0</v>
      </c>
      <c r="D7051" s="201">
        <v>131</v>
      </c>
      <c r="E7051" s="201">
        <v>0</v>
      </c>
      <c r="F7051">
        <v>-99</v>
      </c>
      <c r="G7051">
        <v>0</v>
      </c>
      <c r="H7051">
        <v>311</v>
      </c>
      <c r="I7051">
        <v>-384</v>
      </c>
      <c r="J7051">
        <v>-228</v>
      </c>
      <c r="K7051" s="201">
        <v>0</v>
      </c>
    </row>
    <row r="7052" spans="1:11" x14ac:dyDescent="0.25">
      <c r="A7052"/>
      <c r="B7052" s="201">
        <v>914</v>
      </c>
      <c r="C7052">
        <v>-42161</v>
      </c>
      <c r="D7052" s="201">
        <v>-205</v>
      </c>
      <c r="E7052" s="201">
        <v>-519</v>
      </c>
      <c r="F7052">
        <v>-640</v>
      </c>
      <c r="G7052">
        <v>-1262</v>
      </c>
      <c r="H7052">
        <v>0</v>
      </c>
      <c r="I7052">
        <v>125</v>
      </c>
      <c r="J7052">
        <v>0</v>
      </c>
      <c r="K7052" s="201">
        <v>0</v>
      </c>
    </row>
    <row r="7053" spans="1:11" x14ac:dyDescent="0.25">
      <c r="A7053"/>
      <c r="B7053" s="201">
        <v>0</v>
      </c>
      <c r="C7053">
        <v>0</v>
      </c>
      <c r="D7053" s="201">
        <v>0</v>
      </c>
      <c r="E7053" s="201">
        <v>292</v>
      </c>
      <c r="F7053">
        <v>0</v>
      </c>
      <c r="G7053">
        <v>0</v>
      </c>
      <c r="H7053">
        <v>0</v>
      </c>
      <c r="I7053">
        <v>-207</v>
      </c>
      <c r="J7053">
        <v>0</v>
      </c>
      <c r="K7053" s="201">
        <v>19</v>
      </c>
    </row>
    <row r="7054" spans="1:11" x14ac:dyDescent="0.25">
      <c r="A7054"/>
      <c r="B7054" s="201">
        <v>0</v>
      </c>
      <c r="C7054">
        <v>0</v>
      </c>
      <c r="D7054" s="201">
        <v>0</v>
      </c>
      <c r="E7054" s="201">
        <v>0</v>
      </c>
      <c r="F7054">
        <v>0</v>
      </c>
      <c r="G7054">
        <v>82</v>
      </c>
      <c r="H7054">
        <v>0</v>
      </c>
      <c r="I7054">
        <v>-101</v>
      </c>
      <c r="J7054">
        <v>-31</v>
      </c>
      <c r="K7054" s="201">
        <v>0</v>
      </c>
    </row>
    <row r="7055" spans="1:11" x14ac:dyDescent="0.25">
      <c r="A7055"/>
      <c r="B7055" s="201">
        <v>0</v>
      </c>
      <c r="C7055">
        <v>-1362</v>
      </c>
      <c r="D7055" s="201">
        <v>-51499</v>
      </c>
      <c r="E7055" s="201">
        <v>0</v>
      </c>
      <c r="F7055">
        <v>570</v>
      </c>
      <c r="G7055">
        <v>0</v>
      </c>
      <c r="H7055">
        <v>0</v>
      </c>
      <c r="I7055">
        <v>0</v>
      </c>
      <c r="J7055">
        <v>0</v>
      </c>
      <c r="K7055" s="201">
        <v>-1638</v>
      </c>
    </row>
    <row r="7056" spans="1:11" x14ac:dyDescent="0.25">
      <c r="A7056"/>
      <c r="B7056" s="201">
        <v>-378</v>
      </c>
      <c r="C7056">
        <v>-29</v>
      </c>
      <c r="D7056" s="201">
        <v>0</v>
      </c>
      <c r="E7056" s="201">
        <v>0</v>
      </c>
      <c r="F7056">
        <v>605</v>
      </c>
      <c r="G7056">
        <v>276</v>
      </c>
      <c r="H7056">
        <v>0</v>
      </c>
      <c r="I7056">
        <v>230</v>
      </c>
      <c r="J7056">
        <v>91</v>
      </c>
      <c r="K7056" s="201">
        <v>363</v>
      </c>
    </row>
    <row r="7057" spans="1:11" x14ac:dyDescent="0.25">
      <c r="A7057"/>
      <c r="B7057" s="201">
        <v>148</v>
      </c>
      <c r="C7057">
        <v>905</v>
      </c>
      <c r="D7057" s="201">
        <v>834</v>
      </c>
      <c r="E7057" s="201">
        <v>255</v>
      </c>
      <c r="F7057">
        <v>0</v>
      </c>
      <c r="G7057">
        <v>0</v>
      </c>
      <c r="H7057">
        <v>0</v>
      </c>
      <c r="I7057">
        <v>0</v>
      </c>
      <c r="J7057">
        <v>0</v>
      </c>
      <c r="K7057" s="201">
        <v>697</v>
      </c>
    </row>
    <row r="7058" spans="1:11" x14ac:dyDescent="0.25">
      <c r="A7058"/>
      <c r="B7058" s="201">
        <v>0</v>
      </c>
      <c r="C7058">
        <v>2227</v>
      </c>
      <c r="D7058" s="201">
        <v>1417</v>
      </c>
      <c r="E7058" s="201">
        <v>-235</v>
      </c>
      <c r="F7058">
        <v>0</v>
      </c>
      <c r="G7058">
        <v>-2229</v>
      </c>
      <c r="H7058">
        <v>-62364</v>
      </c>
      <c r="I7058">
        <v>-157</v>
      </c>
      <c r="J7058">
        <v>-196</v>
      </c>
      <c r="K7058" s="201">
        <v>-513</v>
      </c>
    </row>
    <row r="7059" spans="1:11" x14ac:dyDescent="0.25">
      <c r="A7059"/>
      <c r="B7059" s="201">
        <v>0</v>
      </c>
      <c r="C7059">
        <v>-404</v>
      </c>
      <c r="D7059" s="201">
        <v>-1093</v>
      </c>
      <c r="E7059" s="201">
        <v>-1836</v>
      </c>
      <c r="F7059">
        <v>243</v>
      </c>
      <c r="G7059">
        <v>0</v>
      </c>
      <c r="H7059">
        <v>-177</v>
      </c>
      <c r="I7059">
        <v>133</v>
      </c>
      <c r="J7059">
        <v>0</v>
      </c>
      <c r="K7059" s="201">
        <v>0</v>
      </c>
    </row>
    <row r="7060" spans="1:11" x14ac:dyDescent="0.25">
      <c r="A7060"/>
      <c r="B7060" s="201">
        <v>0</v>
      </c>
      <c r="C7060">
        <v>-297</v>
      </c>
      <c r="D7060" s="201">
        <v>-653</v>
      </c>
      <c r="E7060" s="201">
        <v>0</v>
      </c>
      <c r="F7060">
        <v>-349</v>
      </c>
      <c r="G7060">
        <v>304</v>
      </c>
      <c r="H7060">
        <v>210</v>
      </c>
      <c r="I7060">
        <v>-34</v>
      </c>
      <c r="J7060">
        <v>0</v>
      </c>
      <c r="K7060" s="201">
        <v>0</v>
      </c>
    </row>
    <row r="7061" spans="1:11" x14ac:dyDescent="0.25">
      <c r="A7061"/>
      <c r="B7061" s="201">
        <v>0</v>
      </c>
      <c r="C7061">
        <v>0</v>
      </c>
      <c r="D7061" s="201">
        <v>0</v>
      </c>
      <c r="E7061" s="201">
        <v>1990</v>
      </c>
      <c r="F7061">
        <v>0</v>
      </c>
      <c r="G7061">
        <v>12521</v>
      </c>
      <c r="H7061">
        <v>890</v>
      </c>
      <c r="I7061">
        <v>294</v>
      </c>
      <c r="J7061">
        <v>0</v>
      </c>
      <c r="K7061" s="201">
        <v>-2645</v>
      </c>
    </row>
    <row r="7062" spans="1:11" x14ac:dyDescent="0.25">
      <c r="A7062"/>
      <c r="B7062" s="201">
        <v>-60912</v>
      </c>
      <c r="C7062">
        <v>-389</v>
      </c>
      <c r="D7062" s="201">
        <v>-196</v>
      </c>
      <c r="E7062" s="201">
        <v>-732</v>
      </c>
      <c r="F7062">
        <v>-179</v>
      </c>
      <c r="G7062">
        <v>-753</v>
      </c>
      <c r="H7062">
        <v>1802</v>
      </c>
      <c r="I7062">
        <v>0</v>
      </c>
      <c r="J7062">
        <v>382</v>
      </c>
      <c r="K7062" s="201">
        <v>0</v>
      </c>
    </row>
    <row r="7063" spans="1:11" x14ac:dyDescent="0.25">
      <c r="A7063"/>
      <c r="B7063" s="201">
        <v>0</v>
      </c>
      <c r="C7063">
        <v>-33</v>
      </c>
      <c r="D7063" s="201">
        <v>483</v>
      </c>
      <c r="E7063" s="201">
        <v>0</v>
      </c>
      <c r="F7063">
        <v>327</v>
      </c>
      <c r="G7063">
        <v>0</v>
      </c>
      <c r="H7063">
        <v>0</v>
      </c>
      <c r="I7063">
        <v>-132</v>
      </c>
      <c r="J7063">
        <v>0</v>
      </c>
      <c r="K7063" s="201">
        <v>218</v>
      </c>
    </row>
    <row r="7064" spans="1:11" x14ac:dyDescent="0.25">
      <c r="A7064"/>
      <c r="B7064" s="201">
        <v>170</v>
      </c>
      <c r="C7064">
        <v>9</v>
      </c>
      <c r="D7064" s="201">
        <v>0</v>
      </c>
      <c r="E7064" s="201">
        <v>0</v>
      </c>
      <c r="F7064">
        <v>0</v>
      </c>
      <c r="G7064">
        <v>0</v>
      </c>
      <c r="H7064">
        <v>0</v>
      </c>
      <c r="I7064">
        <v>2270</v>
      </c>
      <c r="J7064">
        <v>0</v>
      </c>
      <c r="K7064" s="201">
        <v>11383</v>
      </c>
    </row>
    <row r="7065" spans="1:11" x14ac:dyDescent="0.25">
      <c r="B7065" s="201">
        <v>1167</v>
      </c>
      <c r="C7065">
        <v>354</v>
      </c>
      <c r="D7065" s="201">
        <v>0</v>
      </c>
      <c r="E7065" s="201">
        <v>-1147</v>
      </c>
      <c r="F7065">
        <v>-66984</v>
      </c>
      <c r="G7065">
        <v>517</v>
      </c>
      <c r="H7065">
        <v>0</v>
      </c>
      <c r="I7065">
        <v>0</v>
      </c>
      <c r="J7065">
        <v>0</v>
      </c>
      <c r="K7065" s="201">
        <v>1576</v>
      </c>
    </row>
    <row r="7066" spans="1:11" x14ac:dyDescent="0.25">
      <c r="A7066"/>
      <c r="B7066" s="201">
        <v>2314</v>
      </c>
      <c r="C7066">
        <v>986</v>
      </c>
      <c r="D7066" s="201">
        <v>-1506</v>
      </c>
      <c r="E7066" s="201">
        <v>-1393</v>
      </c>
      <c r="F7066">
        <v>0</v>
      </c>
      <c r="G7066">
        <v>723</v>
      </c>
      <c r="H7066">
        <v>0</v>
      </c>
      <c r="I7066">
        <v>0</v>
      </c>
      <c r="J7066">
        <v>7</v>
      </c>
      <c r="K7066" s="201">
        <v>0</v>
      </c>
    </row>
    <row r="7067" spans="1:11" x14ac:dyDescent="0.25">
      <c r="B7067" s="201">
        <v>-1523</v>
      </c>
      <c r="C7067">
        <v>0</v>
      </c>
      <c r="D7067" s="201">
        <v>-1793</v>
      </c>
      <c r="E7067" s="201">
        <v>0</v>
      </c>
      <c r="F7067">
        <v>0</v>
      </c>
      <c r="G7067">
        <v>0</v>
      </c>
      <c r="H7067">
        <v>0</v>
      </c>
      <c r="I7067">
        <v>0</v>
      </c>
      <c r="J7067">
        <v>0</v>
      </c>
      <c r="K7067" s="201">
        <v>0</v>
      </c>
    </row>
    <row r="7068" spans="1:11" x14ac:dyDescent="0.25">
      <c r="A7068"/>
      <c r="B7068" s="201">
        <v>0</v>
      </c>
      <c r="C7068">
        <v>1307</v>
      </c>
      <c r="D7068" s="201">
        <v>0</v>
      </c>
      <c r="E7068" s="201">
        <v>4436</v>
      </c>
      <c r="F7068">
        <v>-2405</v>
      </c>
      <c r="G7068">
        <v>-766</v>
      </c>
      <c r="H7068">
        <v>0</v>
      </c>
      <c r="I7068">
        <v>-1527</v>
      </c>
      <c r="J7068">
        <v>-63429</v>
      </c>
      <c r="K7068" s="201">
        <v>0</v>
      </c>
    </row>
    <row r="7069" spans="1:11" x14ac:dyDescent="0.25">
      <c r="A7069"/>
      <c r="B7069" s="201">
        <v>0</v>
      </c>
      <c r="C7069">
        <v>0</v>
      </c>
      <c r="D7069" s="201">
        <v>0</v>
      </c>
      <c r="E7069" s="201">
        <v>0</v>
      </c>
      <c r="F7069">
        <v>-622</v>
      </c>
      <c r="G7069">
        <v>-811</v>
      </c>
      <c r="H7069">
        <v>591</v>
      </c>
      <c r="I7069">
        <v>340</v>
      </c>
      <c r="J7069">
        <v>605</v>
      </c>
      <c r="K7069" s="201">
        <v>2044</v>
      </c>
    </row>
    <row r="7070" spans="1:11" x14ac:dyDescent="0.25">
      <c r="A7070"/>
      <c r="B7070" s="201">
        <v>0</v>
      </c>
      <c r="C7070">
        <v>0</v>
      </c>
      <c r="D7070" s="201">
        <v>0</v>
      </c>
      <c r="E7070" s="201">
        <v>0</v>
      </c>
      <c r="F7070">
        <v>-3062</v>
      </c>
      <c r="G7070">
        <v>0</v>
      </c>
      <c r="H7070">
        <v>-2049</v>
      </c>
      <c r="I7070">
        <v>0</v>
      </c>
      <c r="J7070">
        <v>0</v>
      </c>
      <c r="K7070" s="201">
        <v>524</v>
      </c>
    </row>
    <row r="7071" spans="1:11" x14ac:dyDescent="0.25">
      <c r="A7071"/>
      <c r="B7071" s="201">
        <v>-607</v>
      </c>
      <c r="C7071">
        <v>0</v>
      </c>
      <c r="D7071" s="201">
        <v>0</v>
      </c>
      <c r="E7071" s="201">
        <v>0</v>
      </c>
      <c r="F7071">
        <v>0</v>
      </c>
      <c r="G7071">
        <v>775</v>
      </c>
      <c r="H7071">
        <v>0</v>
      </c>
      <c r="I7071">
        <v>8204</v>
      </c>
      <c r="J7071">
        <v>-1346</v>
      </c>
      <c r="K7071" s="201">
        <v>704</v>
      </c>
    </row>
    <row r="7072" spans="1:11" x14ac:dyDescent="0.25">
      <c r="A7072"/>
      <c r="B7072" s="201">
        <v>5400</v>
      </c>
      <c r="C7072">
        <v>1042</v>
      </c>
      <c r="D7072" s="201">
        <v>609</v>
      </c>
      <c r="E7072" s="201">
        <v>715</v>
      </c>
      <c r="F7072">
        <v>446</v>
      </c>
      <c r="G7072">
        <v>362</v>
      </c>
      <c r="H7072">
        <v>-342</v>
      </c>
      <c r="I7072">
        <v>0</v>
      </c>
      <c r="J7072">
        <v>0</v>
      </c>
      <c r="K7072" s="201">
        <v>0</v>
      </c>
    </row>
    <row r="7073" spans="1:11" x14ac:dyDescent="0.25">
      <c r="A7073"/>
      <c r="B7073" s="201">
        <v>0</v>
      </c>
      <c r="C7073">
        <v>0</v>
      </c>
      <c r="D7073" s="201">
        <v>0</v>
      </c>
      <c r="E7073" s="201">
        <v>0</v>
      </c>
      <c r="F7073">
        <v>-429</v>
      </c>
      <c r="G7073">
        <v>-204</v>
      </c>
      <c r="H7073">
        <v>1089</v>
      </c>
      <c r="I7073">
        <v>-139</v>
      </c>
      <c r="J7073">
        <v>906</v>
      </c>
      <c r="K7073" s="201">
        <v>-364</v>
      </c>
    </row>
    <row r="7074" spans="1:11" x14ac:dyDescent="0.25">
      <c r="A7074"/>
      <c r="B7074" s="201">
        <v>0</v>
      </c>
      <c r="C7074">
        <v>0</v>
      </c>
      <c r="D7074" s="201">
        <v>267</v>
      </c>
      <c r="E7074" s="201">
        <v>0</v>
      </c>
      <c r="F7074">
        <v>1609</v>
      </c>
      <c r="G7074">
        <v>-4557</v>
      </c>
      <c r="H7074">
        <v>0</v>
      </c>
      <c r="I7074">
        <v>0</v>
      </c>
      <c r="J7074">
        <v>0</v>
      </c>
      <c r="K7074" s="201">
        <v>0</v>
      </c>
    </row>
    <row r="7075" spans="1:11" x14ac:dyDescent="0.25">
      <c r="B7075" s="201">
        <v>1601</v>
      </c>
      <c r="C7075">
        <v>0</v>
      </c>
      <c r="D7075" s="201">
        <v>126</v>
      </c>
      <c r="E7075" s="201">
        <v>-1448</v>
      </c>
      <c r="F7075">
        <v>0</v>
      </c>
      <c r="G7075">
        <v>0</v>
      </c>
      <c r="H7075">
        <v>0</v>
      </c>
      <c r="I7075">
        <v>0</v>
      </c>
      <c r="J7075">
        <v>0</v>
      </c>
      <c r="K7075" s="201">
        <v>0</v>
      </c>
    </row>
    <row r="7076" spans="1:11" x14ac:dyDescent="0.25">
      <c r="A7076"/>
      <c r="B7076" s="201">
        <v>0</v>
      </c>
      <c r="C7076">
        <v>0</v>
      </c>
      <c r="D7076" s="201">
        <v>0</v>
      </c>
      <c r="E7076" s="201">
        <v>0</v>
      </c>
      <c r="F7076">
        <v>0</v>
      </c>
      <c r="G7076">
        <v>0</v>
      </c>
      <c r="H7076">
        <v>0</v>
      </c>
      <c r="I7076">
        <v>0</v>
      </c>
      <c r="J7076">
        <v>0</v>
      </c>
      <c r="K7076" s="201">
        <v>797</v>
      </c>
    </row>
    <row r="7077" spans="1:11" x14ac:dyDescent="0.25">
      <c r="A7077"/>
      <c r="B7077" s="201">
        <v>0</v>
      </c>
      <c r="C7077">
        <v>0</v>
      </c>
      <c r="D7077" s="201">
        <v>0</v>
      </c>
      <c r="E7077" s="201">
        <v>0</v>
      </c>
      <c r="F7077">
        <v>0</v>
      </c>
      <c r="G7077">
        <v>1643</v>
      </c>
      <c r="H7077">
        <v>-369</v>
      </c>
      <c r="I7077">
        <v>-266</v>
      </c>
      <c r="J7077">
        <v>-4558</v>
      </c>
      <c r="K7077" s="201">
        <v>-4834</v>
      </c>
    </row>
    <row r="7078" spans="1:11" x14ac:dyDescent="0.25">
      <c r="A7078"/>
      <c r="B7078" s="201">
        <v>-5051</v>
      </c>
      <c r="C7078">
        <v>-9768</v>
      </c>
      <c r="D7078" s="201">
        <v>-5032</v>
      </c>
      <c r="E7078" s="201">
        <v>-1667</v>
      </c>
      <c r="F7078">
        <v>1231</v>
      </c>
      <c r="G7078">
        <v>-25</v>
      </c>
      <c r="H7078">
        <v>-87</v>
      </c>
      <c r="I7078">
        <v>-3433</v>
      </c>
      <c r="J7078">
        <v>-2076</v>
      </c>
      <c r="K7078" s="201">
        <v>-817</v>
      </c>
    </row>
    <row r="7079" spans="1:11" x14ac:dyDescent="0.25">
      <c r="A7079"/>
      <c r="B7079" s="201">
        <v>-2789</v>
      </c>
      <c r="C7079">
        <v>-10360</v>
      </c>
      <c r="D7079" s="201">
        <v>0</v>
      </c>
      <c r="E7079" s="201">
        <v>-7454</v>
      </c>
      <c r="F7079">
        <v>-7680</v>
      </c>
      <c r="G7079">
        <v>-7729</v>
      </c>
      <c r="H7079">
        <v>-10185</v>
      </c>
      <c r="I7079">
        <v>-6849</v>
      </c>
      <c r="J7079">
        <v>-7487</v>
      </c>
      <c r="K7079" s="201">
        <v>-9949</v>
      </c>
    </row>
    <row r="7080" spans="1:11" x14ac:dyDescent="0.25">
      <c r="B7080" s="201">
        <v>-11527</v>
      </c>
      <c r="C7080" s="201">
        <v>-6682</v>
      </c>
      <c r="D7080" s="201">
        <v>-9607</v>
      </c>
      <c r="E7080" s="201">
        <v>-7444</v>
      </c>
      <c r="F7080">
        <v>-10140</v>
      </c>
      <c r="G7080">
        <v>-5408</v>
      </c>
      <c r="H7080">
        <v>-8062</v>
      </c>
      <c r="I7080">
        <v>-8054</v>
      </c>
      <c r="J7080">
        <v>-7696</v>
      </c>
      <c r="K7080" s="201">
        <v>-7287</v>
      </c>
    </row>
    <row r="7081" spans="1:11" x14ac:dyDescent="0.25">
      <c r="A7081"/>
      <c r="B7081" s="201">
        <v>-9840</v>
      </c>
      <c r="C7081">
        <v>-9954</v>
      </c>
      <c r="D7081" s="201">
        <v>-10253</v>
      </c>
      <c r="E7081" s="201">
        <v>2123</v>
      </c>
      <c r="F7081">
        <v>2234</v>
      </c>
      <c r="G7081">
        <v>2587</v>
      </c>
      <c r="H7081">
        <v>2486</v>
      </c>
      <c r="I7081">
        <v>2207</v>
      </c>
      <c r="J7081">
        <v>955</v>
      </c>
      <c r="K7081" s="201">
        <v>1607</v>
      </c>
    </row>
    <row r="7082" spans="1:11" x14ac:dyDescent="0.25">
      <c r="A7082"/>
      <c r="B7082" s="201">
        <v>2257</v>
      </c>
      <c r="C7082">
        <v>1635</v>
      </c>
      <c r="D7082" s="201">
        <v>273</v>
      </c>
      <c r="E7082" s="201">
        <v>2857</v>
      </c>
      <c r="F7082">
        <v>2186</v>
      </c>
      <c r="G7082">
        <v>2101</v>
      </c>
      <c r="H7082">
        <v>1672</v>
      </c>
      <c r="I7082">
        <v>2419</v>
      </c>
      <c r="J7082">
        <v>2460</v>
      </c>
      <c r="K7082" s="201">
        <v>1904</v>
      </c>
    </row>
    <row r="7083" spans="1:11" x14ac:dyDescent="0.25">
      <c r="B7083" s="201">
        <v>2287</v>
      </c>
      <c r="C7083">
        <v>1739</v>
      </c>
      <c r="D7083" s="201">
        <v>2170</v>
      </c>
      <c r="E7083" s="201">
        <v>52731</v>
      </c>
      <c r="F7083">
        <v>63504</v>
      </c>
      <c r="G7083">
        <v>63713</v>
      </c>
      <c r="H7083">
        <v>59826</v>
      </c>
      <c r="I7083">
        <v>53146</v>
      </c>
      <c r="J7083">
        <v>28245</v>
      </c>
      <c r="K7083" s="201">
        <v>34456</v>
      </c>
    </row>
    <row r="7084" spans="1:11" x14ac:dyDescent="0.25">
      <c r="A7084"/>
      <c r="B7084" s="201">
        <v>27558</v>
      </c>
      <c r="C7084">
        <v>37424</v>
      </c>
      <c r="D7084" s="201">
        <v>40621</v>
      </c>
      <c r="E7084" s="201">
        <v>54790</v>
      </c>
      <c r="F7084">
        <v>54896</v>
      </c>
      <c r="G7084">
        <v>53405</v>
      </c>
      <c r="H7084">
        <v>52781</v>
      </c>
      <c r="I7084">
        <v>59570</v>
      </c>
      <c r="J7084">
        <v>57564</v>
      </c>
      <c r="K7084" s="201">
        <v>58078</v>
      </c>
    </row>
    <row r="7085" spans="1:11" x14ac:dyDescent="0.25">
      <c r="B7085" s="201">
        <v>57614</v>
      </c>
      <c r="C7085" s="201">
        <v>57605</v>
      </c>
      <c r="D7085" s="201">
        <v>97361</v>
      </c>
      <c r="E7085" s="201">
        <v>95855</v>
      </c>
      <c r="F7085">
        <v>92786</v>
      </c>
      <c r="G7085">
        <v>706</v>
      </c>
      <c r="H7085">
        <v>-50115</v>
      </c>
      <c r="I7085">
        <v>-421</v>
      </c>
      <c r="J7085">
        <v>-190</v>
      </c>
      <c r="K7085" s="201">
        <v>64</v>
      </c>
    </row>
    <row r="7086" spans="1:11" x14ac:dyDescent="0.25">
      <c r="A7086"/>
      <c r="B7086" s="201">
        <v>0</v>
      </c>
      <c r="C7086">
        <v>0</v>
      </c>
      <c r="D7086" s="201">
        <v>191</v>
      </c>
      <c r="E7086" s="201">
        <v>0</v>
      </c>
      <c r="F7086">
        <v>0</v>
      </c>
      <c r="G7086">
        <v>0</v>
      </c>
      <c r="H7086">
        <v>196</v>
      </c>
      <c r="I7086">
        <v>65</v>
      </c>
      <c r="J7086">
        <v>0</v>
      </c>
      <c r="K7086" s="201">
        <v>0</v>
      </c>
    </row>
    <row r="7087" spans="1:11" x14ac:dyDescent="0.25">
      <c r="A7087"/>
      <c r="B7087" s="201">
        <v>0</v>
      </c>
      <c r="C7087">
        <v>0</v>
      </c>
      <c r="D7087" s="201">
        <v>0</v>
      </c>
      <c r="E7087" s="201">
        <v>0</v>
      </c>
      <c r="F7087">
        <v>-207</v>
      </c>
      <c r="G7087">
        <v>0</v>
      </c>
      <c r="H7087">
        <v>0</v>
      </c>
      <c r="I7087">
        <v>129</v>
      </c>
      <c r="J7087">
        <v>0</v>
      </c>
      <c r="K7087" s="201">
        <v>-118</v>
      </c>
    </row>
    <row r="7088" spans="1:11" x14ac:dyDescent="0.25">
      <c r="A7088"/>
      <c r="B7088" s="201">
        <v>0</v>
      </c>
      <c r="C7088">
        <v>21</v>
      </c>
      <c r="D7088" s="201">
        <v>-209</v>
      </c>
      <c r="E7088" s="201">
        <v>-172</v>
      </c>
      <c r="F7088">
        <v>0</v>
      </c>
      <c r="G7088">
        <v>655</v>
      </c>
      <c r="H7088">
        <v>-42266</v>
      </c>
      <c r="I7088">
        <v>-207</v>
      </c>
      <c r="J7088">
        <v>-314</v>
      </c>
      <c r="K7088" s="201">
        <v>-466</v>
      </c>
    </row>
    <row r="7089" spans="1:11" x14ac:dyDescent="0.25">
      <c r="B7089" s="201">
        <v>-1030</v>
      </c>
      <c r="C7089">
        <v>0</v>
      </c>
      <c r="D7089" s="201">
        <v>114</v>
      </c>
      <c r="E7089" s="201">
        <v>0</v>
      </c>
      <c r="F7089">
        <v>0</v>
      </c>
      <c r="G7089">
        <v>0</v>
      </c>
      <c r="H7089">
        <v>0</v>
      </c>
      <c r="I7089">
        <v>0</v>
      </c>
      <c r="J7089">
        <v>218</v>
      </c>
      <c r="K7089" s="201">
        <v>0</v>
      </c>
    </row>
    <row r="7090" spans="1:11" x14ac:dyDescent="0.25">
      <c r="A7090"/>
      <c r="B7090" s="201">
        <v>0</v>
      </c>
      <c r="C7090">
        <v>0</v>
      </c>
      <c r="D7090" s="201">
        <v>-138</v>
      </c>
      <c r="E7090" s="201">
        <v>0</v>
      </c>
      <c r="F7090">
        <v>33</v>
      </c>
      <c r="G7090">
        <v>0</v>
      </c>
      <c r="H7090">
        <v>0</v>
      </c>
      <c r="I7090">
        <v>0</v>
      </c>
      <c r="J7090">
        <v>0</v>
      </c>
      <c r="K7090" s="201">
        <v>0</v>
      </c>
    </row>
    <row r="7091" spans="1:11" x14ac:dyDescent="0.25">
      <c r="A7091"/>
      <c r="B7091" s="201">
        <v>49</v>
      </c>
      <c r="C7091">
        <v>0</v>
      </c>
      <c r="D7091" s="201">
        <v>-261</v>
      </c>
      <c r="E7091" s="201">
        <v>101</v>
      </c>
      <c r="F7091">
        <v>0</v>
      </c>
      <c r="G7091">
        <v>0</v>
      </c>
      <c r="H7091">
        <v>-1077</v>
      </c>
      <c r="I7091">
        <v>-54029</v>
      </c>
      <c r="J7091">
        <v>0</v>
      </c>
      <c r="K7091" s="201">
        <v>-14</v>
      </c>
    </row>
    <row r="7092" spans="1:11" x14ac:dyDescent="0.25">
      <c r="A7092"/>
      <c r="B7092" s="201">
        <v>0</v>
      </c>
      <c r="C7092">
        <v>0</v>
      </c>
      <c r="D7092" s="201">
        <v>0</v>
      </c>
      <c r="E7092" s="201">
        <v>0</v>
      </c>
      <c r="F7092">
        <v>-1672</v>
      </c>
      <c r="G7092">
        <v>-291</v>
      </c>
      <c r="H7092">
        <v>11</v>
      </c>
      <c r="I7092">
        <v>0</v>
      </c>
      <c r="J7092">
        <v>0</v>
      </c>
      <c r="K7092" s="201">
        <v>441</v>
      </c>
    </row>
    <row r="7093" spans="1:11" x14ac:dyDescent="0.25">
      <c r="A7093"/>
      <c r="B7093" s="201">
        <v>145</v>
      </c>
      <c r="C7093">
        <v>0</v>
      </c>
      <c r="D7093" s="201">
        <v>170</v>
      </c>
      <c r="E7093" s="201">
        <v>-138</v>
      </c>
      <c r="F7093">
        <v>235</v>
      </c>
      <c r="G7093">
        <v>-65</v>
      </c>
      <c r="H7093">
        <v>445</v>
      </c>
      <c r="I7093">
        <v>516</v>
      </c>
      <c r="J7093">
        <v>85</v>
      </c>
      <c r="K7093" s="201">
        <v>0</v>
      </c>
    </row>
    <row r="7094" spans="1:11" x14ac:dyDescent="0.25">
      <c r="A7094"/>
      <c r="B7094" s="201">
        <v>0</v>
      </c>
      <c r="C7094">
        <v>0</v>
      </c>
      <c r="D7094" s="201">
        <v>0</v>
      </c>
      <c r="E7094" s="201">
        <v>0</v>
      </c>
      <c r="F7094">
        <v>542</v>
      </c>
      <c r="G7094">
        <v>0</v>
      </c>
      <c r="H7094">
        <v>1750</v>
      </c>
      <c r="I7094">
        <v>1263</v>
      </c>
      <c r="J7094">
        <v>-71</v>
      </c>
      <c r="K7094" s="201">
        <v>0</v>
      </c>
    </row>
    <row r="7095" spans="1:11" x14ac:dyDescent="0.25">
      <c r="A7095"/>
      <c r="B7095" s="201">
        <v>-1838</v>
      </c>
      <c r="C7095">
        <v>-63233</v>
      </c>
      <c r="D7095" s="201">
        <v>-157</v>
      </c>
      <c r="E7095" s="201">
        <v>-175</v>
      </c>
      <c r="F7095">
        <v>78</v>
      </c>
      <c r="G7095">
        <v>0</v>
      </c>
      <c r="H7095">
        <v>174</v>
      </c>
      <c r="I7095">
        <v>-267</v>
      </c>
      <c r="J7095">
        <v>-1431</v>
      </c>
      <c r="K7095" s="201">
        <v>202</v>
      </c>
    </row>
    <row r="7096" spans="1:11" x14ac:dyDescent="0.25">
      <c r="A7096"/>
      <c r="B7096" s="201">
        <v>0</v>
      </c>
      <c r="C7096">
        <v>-164</v>
      </c>
      <c r="D7096" s="201">
        <v>405</v>
      </c>
      <c r="E7096" s="201">
        <v>0</v>
      </c>
      <c r="F7096">
        <v>0</v>
      </c>
      <c r="G7096">
        <v>0</v>
      </c>
      <c r="H7096">
        <v>-188</v>
      </c>
      <c r="I7096">
        <v>-646</v>
      </c>
      <c r="J7096">
        <v>0</v>
      </c>
      <c r="K7096" s="201">
        <v>-360</v>
      </c>
    </row>
    <row r="7097" spans="1:11" x14ac:dyDescent="0.25">
      <c r="A7097"/>
      <c r="B7097" s="201">
        <v>147</v>
      </c>
      <c r="C7097">
        <v>90</v>
      </c>
      <c r="D7097" s="201">
        <v>-28</v>
      </c>
      <c r="E7097" s="201">
        <v>0</v>
      </c>
      <c r="F7097">
        <v>0</v>
      </c>
      <c r="G7097">
        <v>0</v>
      </c>
      <c r="H7097">
        <v>0</v>
      </c>
      <c r="I7097">
        <v>0</v>
      </c>
      <c r="J7097">
        <v>1474</v>
      </c>
      <c r="K7097" s="201">
        <v>0</v>
      </c>
    </row>
    <row r="7098" spans="1:11" x14ac:dyDescent="0.25">
      <c r="B7098" s="201">
        <v>9440</v>
      </c>
      <c r="C7098">
        <v>763</v>
      </c>
      <c r="D7098" s="201">
        <v>185</v>
      </c>
      <c r="E7098" s="201">
        <v>0</v>
      </c>
      <c r="F7098">
        <v>-2201</v>
      </c>
      <c r="G7098">
        <v>-61733</v>
      </c>
      <c r="H7098">
        <v>-298</v>
      </c>
      <c r="I7098">
        <v>-198</v>
      </c>
      <c r="J7098">
        <v>-105</v>
      </c>
      <c r="K7098" s="201">
        <v>-165</v>
      </c>
    </row>
    <row r="7099" spans="1:11" x14ac:dyDescent="0.25">
      <c r="A7099"/>
      <c r="B7099" s="201">
        <v>-32</v>
      </c>
      <c r="C7099">
        <v>1987</v>
      </c>
      <c r="D7099" s="201">
        <v>0</v>
      </c>
      <c r="E7099" s="201">
        <v>313</v>
      </c>
      <c r="F7099">
        <v>0</v>
      </c>
      <c r="G7099">
        <v>0</v>
      </c>
      <c r="H7099">
        <v>249</v>
      </c>
      <c r="I7099">
        <v>361</v>
      </c>
      <c r="J7099">
        <v>0</v>
      </c>
      <c r="K7099" s="201">
        <v>309</v>
      </c>
    </row>
    <row r="7100" spans="1:11" x14ac:dyDescent="0.25">
      <c r="A7100"/>
      <c r="B7100" s="201">
        <v>0</v>
      </c>
      <c r="C7100">
        <v>0</v>
      </c>
      <c r="D7100" s="201">
        <v>-120</v>
      </c>
      <c r="E7100" s="201">
        <v>0</v>
      </c>
      <c r="F7100">
        <v>125</v>
      </c>
      <c r="G7100">
        <v>95</v>
      </c>
      <c r="H7100">
        <v>64</v>
      </c>
      <c r="I7100">
        <v>0</v>
      </c>
      <c r="J7100">
        <v>0</v>
      </c>
      <c r="K7100" s="201">
        <v>0</v>
      </c>
    </row>
    <row r="7101" spans="1:11" x14ac:dyDescent="0.25">
      <c r="A7101"/>
      <c r="B7101" s="201">
        <v>0</v>
      </c>
      <c r="C7101">
        <v>0</v>
      </c>
      <c r="D7101" s="201">
        <v>1734</v>
      </c>
      <c r="E7101" s="201">
        <v>0</v>
      </c>
      <c r="F7101">
        <v>8476</v>
      </c>
      <c r="G7101">
        <v>962</v>
      </c>
      <c r="H7101">
        <v>225</v>
      </c>
      <c r="I7101">
        <v>0</v>
      </c>
      <c r="J7101">
        <v>-990</v>
      </c>
      <c r="K7101" s="201">
        <v>-69994</v>
      </c>
    </row>
    <row r="7102" spans="1:11" x14ac:dyDescent="0.25">
      <c r="A7102"/>
      <c r="B7102" s="201">
        <v>559</v>
      </c>
      <c r="C7102">
        <v>0</v>
      </c>
      <c r="D7102" s="201">
        <v>0</v>
      </c>
      <c r="E7102" s="201">
        <v>0</v>
      </c>
      <c r="F7102">
        <v>2346</v>
      </c>
      <c r="G7102">
        <v>3352</v>
      </c>
      <c r="H7102">
        <v>1397</v>
      </c>
      <c r="I7102">
        <v>-1611</v>
      </c>
      <c r="J7102">
        <v>-1497</v>
      </c>
      <c r="K7102" s="201">
        <v>0</v>
      </c>
    </row>
    <row r="7103" spans="1:11" x14ac:dyDescent="0.25">
      <c r="A7103"/>
      <c r="B7103" s="201">
        <v>756</v>
      </c>
      <c r="C7103">
        <v>0</v>
      </c>
      <c r="D7103" s="201">
        <v>0</v>
      </c>
      <c r="E7103" s="201">
        <v>25</v>
      </c>
      <c r="F7103">
        <v>0</v>
      </c>
      <c r="G7103">
        <v>-1454</v>
      </c>
      <c r="H7103">
        <v>0</v>
      </c>
      <c r="I7103">
        <v>-1860</v>
      </c>
      <c r="J7103">
        <v>0</v>
      </c>
      <c r="K7103" s="201">
        <v>0</v>
      </c>
    </row>
    <row r="7104" spans="1:11" x14ac:dyDescent="0.25">
      <c r="A7104"/>
      <c r="B7104" s="201">
        <v>0</v>
      </c>
      <c r="C7104">
        <v>0</v>
      </c>
      <c r="D7104" s="201">
        <v>0</v>
      </c>
      <c r="E7104" s="201">
        <v>0</v>
      </c>
      <c r="F7104">
        <v>0</v>
      </c>
      <c r="G7104">
        <v>0</v>
      </c>
      <c r="H7104">
        <v>1009</v>
      </c>
      <c r="I7104">
        <v>0</v>
      </c>
      <c r="J7104">
        <v>2407</v>
      </c>
      <c r="K7104" s="201">
        <v>-2624</v>
      </c>
    </row>
    <row r="7105" spans="1:11" x14ac:dyDescent="0.25">
      <c r="B7105" s="201">
        <v>-936</v>
      </c>
      <c r="C7105">
        <v>0</v>
      </c>
      <c r="D7105" s="201">
        <v>-981</v>
      </c>
      <c r="E7105" s="201">
        <v>-65537</v>
      </c>
      <c r="F7105">
        <v>0</v>
      </c>
      <c r="G7105">
        <v>0</v>
      </c>
      <c r="H7105">
        <v>0</v>
      </c>
      <c r="I7105">
        <v>0</v>
      </c>
      <c r="J7105">
        <v>0</v>
      </c>
      <c r="K7105" s="201">
        <v>-911</v>
      </c>
    </row>
    <row r="7106" spans="1:11" x14ac:dyDescent="0.25">
      <c r="A7106"/>
      <c r="B7106" s="201">
        <v>-986</v>
      </c>
      <c r="C7106">
        <v>658</v>
      </c>
      <c r="D7106" s="201">
        <v>349</v>
      </c>
      <c r="E7106" s="201">
        <v>634</v>
      </c>
      <c r="F7106">
        <v>2379</v>
      </c>
      <c r="G7106">
        <v>0</v>
      </c>
      <c r="H7106">
        <v>0</v>
      </c>
      <c r="I7106">
        <v>0</v>
      </c>
      <c r="J7106">
        <v>0</v>
      </c>
      <c r="K7106" s="201">
        <v>-3295</v>
      </c>
    </row>
    <row r="7107" spans="1:11" x14ac:dyDescent="0.25">
      <c r="A7107"/>
      <c r="B7107" s="201">
        <v>0</v>
      </c>
      <c r="C7107">
        <v>-2271</v>
      </c>
      <c r="D7107" s="201">
        <v>0</v>
      </c>
      <c r="E7107" s="201">
        <v>0</v>
      </c>
      <c r="F7107">
        <v>824</v>
      </c>
      <c r="G7107">
        <v>-453</v>
      </c>
      <c r="H7107">
        <v>0</v>
      </c>
      <c r="I7107">
        <v>0</v>
      </c>
      <c r="J7107">
        <v>0</v>
      </c>
      <c r="K7107" s="201">
        <v>0</v>
      </c>
    </row>
    <row r="7108" spans="1:11" x14ac:dyDescent="0.25">
      <c r="A7108"/>
      <c r="B7108" s="201">
        <v>140</v>
      </c>
      <c r="C7108">
        <v>0</v>
      </c>
      <c r="D7108" s="201">
        <v>5586</v>
      </c>
      <c r="E7108" s="201">
        <v>-1485</v>
      </c>
      <c r="F7108">
        <v>645</v>
      </c>
      <c r="G7108">
        <v>5204</v>
      </c>
      <c r="H7108">
        <v>988</v>
      </c>
      <c r="I7108">
        <v>768</v>
      </c>
      <c r="J7108">
        <v>515</v>
      </c>
      <c r="K7108" s="201">
        <v>329</v>
      </c>
    </row>
    <row r="7109" spans="1:11" x14ac:dyDescent="0.25">
      <c r="A7109"/>
      <c r="B7109" s="201">
        <v>-316</v>
      </c>
      <c r="C7109">
        <v>-478</v>
      </c>
      <c r="D7109" s="201">
        <v>0</v>
      </c>
      <c r="E7109" s="201">
        <v>0</v>
      </c>
      <c r="F7109">
        <v>0</v>
      </c>
      <c r="G7109">
        <v>0</v>
      </c>
      <c r="H7109">
        <v>0</v>
      </c>
      <c r="I7109">
        <v>0</v>
      </c>
      <c r="J7109">
        <v>0</v>
      </c>
      <c r="K7109" s="201">
        <v>-379</v>
      </c>
    </row>
    <row r="7110" spans="1:11" x14ac:dyDescent="0.25">
      <c r="A7110"/>
      <c r="B7110" s="201">
        <v>-108</v>
      </c>
      <c r="C7110">
        <v>1349</v>
      </c>
      <c r="D7110" s="201">
        <v>-40</v>
      </c>
      <c r="E7110" s="201">
        <v>1168</v>
      </c>
      <c r="F7110">
        <v>-262</v>
      </c>
      <c r="G7110">
        <v>0</v>
      </c>
      <c r="H7110">
        <v>0</v>
      </c>
      <c r="I7110">
        <v>262</v>
      </c>
      <c r="J7110">
        <v>0</v>
      </c>
      <c r="K7110" s="201">
        <v>1263</v>
      </c>
    </row>
    <row r="7111" spans="1:11" x14ac:dyDescent="0.25">
      <c r="B7111" s="201">
        <v>-2769</v>
      </c>
      <c r="C7111">
        <v>0</v>
      </c>
      <c r="D7111" s="201">
        <v>0</v>
      </c>
      <c r="E7111" s="201">
        <v>0</v>
      </c>
      <c r="F7111">
        <v>0</v>
      </c>
      <c r="G7111">
        <v>-409</v>
      </c>
      <c r="H7111">
        <v>0</v>
      </c>
      <c r="I7111">
        <v>-1509</v>
      </c>
      <c r="J7111">
        <v>-3284</v>
      </c>
      <c r="K7111" s="201">
        <v>0</v>
      </c>
    </row>
    <row r="7112" spans="1:11" x14ac:dyDescent="0.25">
      <c r="A7112"/>
      <c r="B7112" s="201">
        <v>0</v>
      </c>
      <c r="C7112">
        <v>0</v>
      </c>
      <c r="D7112" s="201">
        <v>0</v>
      </c>
      <c r="E7112" s="201">
        <v>0</v>
      </c>
      <c r="F7112">
        <v>0</v>
      </c>
      <c r="G7112">
        <v>0</v>
      </c>
      <c r="H7112">
        <v>0</v>
      </c>
      <c r="I7112">
        <v>0</v>
      </c>
      <c r="J7112">
        <v>0</v>
      </c>
      <c r="K7112" s="201">
        <v>0</v>
      </c>
    </row>
    <row r="7113" spans="1:11" x14ac:dyDescent="0.25">
      <c r="A7113"/>
      <c r="B7113" s="201">
        <v>0</v>
      </c>
      <c r="C7113">
        <v>0</v>
      </c>
      <c r="D7113" s="201">
        <v>0</v>
      </c>
      <c r="E7113" s="201">
        <v>0</v>
      </c>
      <c r="F7113">
        <v>-956</v>
      </c>
      <c r="G7113">
        <v>0</v>
      </c>
      <c r="H7113">
        <v>0</v>
      </c>
      <c r="I7113">
        <v>0</v>
      </c>
      <c r="J7113">
        <v>0</v>
      </c>
      <c r="K7113" s="201">
        <v>0</v>
      </c>
    </row>
    <row r="7114" spans="1:11" x14ac:dyDescent="0.25">
      <c r="A7114"/>
      <c r="B7114" s="201">
        <v>1365</v>
      </c>
      <c r="C7114">
        <v>-891</v>
      </c>
      <c r="D7114" s="201">
        <v>-1001</v>
      </c>
      <c r="E7114" s="201">
        <v>-7356</v>
      </c>
      <c r="F7114">
        <v>-8004</v>
      </c>
      <c r="G7114">
        <v>-8197</v>
      </c>
      <c r="H7114">
        <v>-12814</v>
      </c>
      <c r="I7114">
        <v>-2439</v>
      </c>
      <c r="J7114">
        <v>-1275</v>
      </c>
      <c r="K7114" s="201">
        <v>919</v>
      </c>
    </row>
    <row r="7115" spans="1:11" x14ac:dyDescent="0.25">
      <c r="B7115" s="201">
        <v>-798</v>
      </c>
      <c r="C7115">
        <v>-660</v>
      </c>
      <c r="D7115" s="201">
        <v>-5035</v>
      </c>
      <c r="E7115" s="201">
        <v>-4535</v>
      </c>
      <c r="F7115">
        <v>-3470</v>
      </c>
      <c r="G7115">
        <v>-4910</v>
      </c>
      <c r="H7115">
        <v>-7165</v>
      </c>
      <c r="I7115">
        <v>0</v>
      </c>
      <c r="J7115">
        <v>-8895</v>
      </c>
      <c r="K7115" s="201">
        <v>-9678</v>
      </c>
    </row>
    <row r="7116" spans="1:11" x14ac:dyDescent="0.25">
      <c r="A7116"/>
      <c r="B7116" s="201">
        <v>-9673</v>
      </c>
      <c r="C7116">
        <v>-12281</v>
      </c>
      <c r="D7116" s="201">
        <v>-8113</v>
      </c>
      <c r="E7116" s="201">
        <v>-8412</v>
      </c>
      <c r="F7116">
        <v>-11594</v>
      </c>
      <c r="G7116">
        <v>-13363</v>
      </c>
      <c r="H7116">
        <v>-7883</v>
      </c>
      <c r="I7116">
        <v>-11280</v>
      </c>
      <c r="J7116">
        <v>-8355</v>
      </c>
      <c r="K7116" s="201">
        <v>-11950</v>
      </c>
    </row>
    <row r="7117" spans="1:11" x14ac:dyDescent="0.25">
      <c r="A7117"/>
      <c r="B7117" s="201">
        <v>-6306</v>
      </c>
      <c r="C7117">
        <v>-9427</v>
      </c>
      <c r="D7117" s="201">
        <v>-9406</v>
      </c>
      <c r="E7117" s="201">
        <v>-8914</v>
      </c>
      <c r="F7117">
        <v>-8275</v>
      </c>
      <c r="G7117">
        <v>-11521</v>
      </c>
      <c r="H7117">
        <v>-11590</v>
      </c>
      <c r="I7117">
        <v>-12008</v>
      </c>
      <c r="J7117">
        <v>1301</v>
      </c>
      <c r="K7117" s="201">
        <v>978</v>
      </c>
    </row>
    <row r="7118" spans="1:11" x14ac:dyDescent="0.25">
      <c r="A7118"/>
      <c r="B7118" s="201">
        <v>1445</v>
      </c>
      <c r="C7118">
        <v>1307</v>
      </c>
      <c r="D7118" s="201">
        <v>1164</v>
      </c>
      <c r="E7118" s="201">
        <v>-336</v>
      </c>
      <c r="F7118">
        <v>856</v>
      </c>
      <c r="G7118">
        <v>1155</v>
      </c>
      <c r="H7118">
        <v>699</v>
      </c>
      <c r="I7118">
        <v>-855</v>
      </c>
      <c r="J7118">
        <v>1983</v>
      </c>
      <c r="K7118" s="201">
        <v>1641</v>
      </c>
    </row>
    <row r="7119" spans="1:11" x14ac:dyDescent="0.25">
      <c r="B7119" s="201">
        <v>1539</v>
      </c>
      <c r="C7119">
        <v>1274</v>
      </c>
      <c r="D7119" s="201">
        <v>1921</v>
      </c>
      <c r="E7119" s="201">
        <v>1858</v>
      </c>
      <c r="F7119">
        <v>1427</v>
      </c>
      <c r="G7119">
        <v>1647</v>
      </c>
      <c r="H7119">
        <v>1287</v>
      </c>
      <c r="I7119">
        <v>1561</v>
      </c>
      <c r="J7119">
        <v>49743</v>
      </c>
      <c r="K7119" s="201">
        <v>59907</v>
      </c>
    </row>
    <row r="7120" spans="1:11" x14ac:dyDescent="0.25">
      <c r="B7120" s="201">
        <v>59886</v>
      </c>
      <c r="C7120">
        <v>56752</v>
      </c>
      <c r="D7120" s="201">
        <v>50817</v>
      </c>
      <c r="E7120" s="201">
        <v>27243</v>
      </c>
      <c r="F7120">
        <v>33003</v>
      </c>
      <c r="G7120">
        <v>26584</v>
      </c>
      <c r="H7120">
        <v>36096</v>
      </c>
      <c r="I7120">
        <v>39293</v>
      </c>
      <c r="J7120">
        <v>56953</v>
      </c>
      <c r="K7120" s="201">
        <v>57024</v>
      </c>
    </row>
    <row r="7121" spans="1:11" x14ac:dyDescent="0.25">
      <c r="A7121"/>
      <c r="B7121" s="201">
        <v>56115</v>
      </c>
      <c r="C7121" s="201">
        <v>55076</v>
      </c>
      <c r="D7121" s="201">
        <v>61006</v>
      </c>
      <c r="E7121" s="201">
        <v>60199</v>
      </c>
      <c r="F7121">
        <v>60606</v>
      </c>
      <c r="G7121">
        <v>60216</v>
      </c>
      <c r="H7121">
        <v>59887</v>
      </c>
      <c r="I7121">
        <v>95985</v>
      </c>
      <c r="J7121">
        <v>97460</v>
      </c>
      <c r="K7121" s="201">
        <v>96317</v>
      </c>
    </row>
    <row r="7122" spans="1:11" x14ac:dyDescent="0.25">
      <c r="B7122" s="201">
        <v>97415</v>
      </c>
      <c r="C7122">
        <v>665</v>
      </c>
      <c r="D7122" s="201">
        <v>-48780</v>
      </c>
      <c r="E7122" s="201">
        <v>-397</v>
      </c>
      <c r="F7122">
        <v>-166</v>
      </c>
      <c r="G7122">
        <v>124</v>
      </c>
      <c r="H7122">
        <v>0</v>
      </c>
      <c r="I7122">
        <v>0</v>
      </c>
      <c r="J7122">
        <v>170</v>
      </c>
      <c r="K7122" s="201">
        <v>0</v>
      </c>
    </row>
    <row r="7123" spans="1:11" x14ac:dyDescent="0.25">
      <c r="A7123"/>
      <c r="B7123" s="201">
        <v>0</v>
      </c>
      <c r="C7123">
        <v>0</v>
      </c>
      <c r="D7123" s="201">
        <v>186</v>
      </c>
      <c r="E7123" s="201">
        <v>71</v>
      </c>
      <c r="F7123">
        <v>0</v>
      </c>
      <c r="G7123">
        <v>0</v>
      </c>
      <c r="H7123">
        <v>0</v>
      </c>
      <c r="I7123">
        <v>0</v>
      </c>
      <c r="J7123">
        <v>0</v>
      </c>
      <c r="K7123" s="201">
        <v>0</v>
      </c>
    </row>
    <row r="7124" spans="1:11" x14ac:dyDescent="0.25">
      <c r="A7124"/>
      <c r="B7124" s="201">
        <v>-242</v>
      </c>
      <c r="C7124">
        <v>0</v>
      </c>
      <c r="D7124" s="201">
        <v>0</v>
      </c>
      <c r="E7124" s="201">
        <v>117</v>
      </c>
      <c r="F7124">
        <v>0</v>
      </c>
      <c r="G7124">
        <v>-114</v>
      </c>
      <c r="H7124">
        <v>0</v>
      </c>
      <c r="I7124">
        <v>-84</v>
      </c>
      <c r="J7124">
        <v>-138</v>
      </c>
      <c r="K7124" s="201">
        <v>-141</v>
      </c>
    </row>
    <row r="7125" spans="1:11" x14ac:dyDescent="0.25">
      <c r="A7125"/>
      <c r="B7125" s="201">
        <v>0</v>
      </c>
      <c r="C7125" s="201">
        <v>579</v>
      </c>
      <c r="D7125" s="201">
        <v>-41147</v>
      </c>
      <c r="E7125" s="201">
        <v>-215</v>
      </c>
      <c r="F7125">
        <v>-259</v>
      </c>
      <c r="G7125">
        <v>-419</v>
      </c>
      <c r="H7125">
        <v>-925</v>
      </c>
      <c r="I7125">
        <v>0</v>
      </c>
      <c r="J7125">
        <v>106</v>
      </c>
      <c r="K7125" s="201">
        <v>0</v>
      </c>
    </row>
    <row r="7126" spans="1:11" x14ac:dyDescent="0.25">
      <c r="A7126"/>
      <c r="B7126" s="201">
        <v>0</v>
      </c>
      <c r="C7126">
        <v>0</v>
      </c>
      <c r="D7126" s="201">
        <v>0</v>
      </c>
      <c r="E7126" s="201">
        <v>0</v>
      </c>
      <c r="F7126">
        <v>195</v>
      </c>
      <c r="G7126">
        <v>0</v>
      </c>
      <c r="H7126">
        <v>0</v>
      </c>
      <c r="I7126">
        <v>0</v>
      </c>
      <c r="J7126">
        <v>-116</v>
      </c>
      <c r="K7126" s="201">
        <v>0</v>
      </c>
    </row>
    <row r="7127" spans="1:11" x14ac:dyDescent="0.25">
      <c r="A7127"/>
      <c r="B7127" s="201">
        <v>35</v>
      </c>
      <c r="C7127">
        <v>0</v>
      </c>
      <c r="D7127" s="201">
        <v>0</v>
      </c>
      <c r="E7127" s="201">
        <v>0</v>
      </c>
      <c r="F7127">
        <v>0</v>
      </c>
      <c r="G7127">
        <v>0</v>
      </c>
      <c r="H7127">
        <v>40</v>
      </c>
      <c r="I7127">
        <v>0</v>
      </c>
      <c r="J7127">
        <v>-263</v>
      </c>
      <c r="K7127" s="201">
        <v>134</v>
      </c>
    </row>
    <row r="7128" spans="1:11" x14ac:dyDescent="0.25">
      <c r="A7128"/>
      <c r="B7128" s="201">
        <v>0</v>
      </c>
      <c r="C7128">
        <v>0</v>
      </c>
      <c r="D7128" s="201">
        <v>-783</v>
      </c>
      <c r="E7128" s="201">
        <v>-53186</v>
      </c>
      <c r="F7128">
        <v>0</v>
      </c>
      <c r="G7128">
        <v>-67</v>
      </c>
      <c r="H7128">
        <v>0</v>
      </c>
      <c r="I7128">
        <v>0</v>
      </c>
      <c r="J7128">
        <v>0</v>
      </c>
      <c r="K7128" s="201">
        <v>0</v>
      </c>
    </row>
    <row r="7129" spans="1:11" x14ac:dyDescent="0.25">
      <c r="B7129" s="201">
        <v>-1512</v>
      </c>
      <c r="C7129">
        <v>-286</v>
      </c>
      <c r="D7129" s="201">
        <v>3</v>
      </c>
      <c r="E7129" s="201">
        <v>0</v>
      </c>
      <c r="F7129">
        <v>0</v>
      </c>
      <c r="G7129">
        <v>399</v>
      </c>
      <c r="H7129">
        <v>110</v>
      </c>
      <c r="I7129">
        <v>0</v>
      </c>
      <c r="J7129">
        <v>103</v>
      </c>
      <c r="K7129" s="201">
        <v>-229</v>
      </c>
    </row>
    <row r="7130" spans="1:11" x14ac:dyDescent="0.25">
      <c r="A7130"/>
      <c r="B7130" s="201">
        <v>169</v>
      </c>
      <c r="C7130">
        <v>-143</v>
      </c>
      <c r="D7130" s="201">
        <v>338</v>
      </c>
      <c r="E7130" s="201">
        <v>401</v>
      </c>
      <c r="F7130">
        <v>87</v>
      </c>
      <c r="G7130">
        <v>0</v>
      </c>
      <c r="H7130">
        <v>0</v>
      </c>
      <c r="I7130">
        <v>0</v>
      </c>
      <c r="J7130">
        <v>0</v>
      </c>
      <c r="K7130" s="201">
        <v>0</v>
      </c>
    </row>
    <row r="7131" spans="1:11" x14ac:dyDescent="0.25">
      <c r="A7131"/>
      <c r="B7131" s="201">
        <v>413</v>
      </c>
      <c r="C7131">
        <v>0</v>
      </c>
      <c r="D7131" s="201">
        <v>1439</v>
      </c>
      <c r="E7131" s="201">
        <v>1020</v>
      </c>
      <c r="F7131">
        <v>-88</v>
      </c>
      <c r="G7131">
        <v>0</v>
      </c>
      <c r="H7131">
        <v>-1647</v>
      </c>
      <c r="I7131">
        <v>-61669</v>
      </c>
      <c r="J7131">
        <v>-203</v>
      </c>
      <c r="K7131" s="201">
        <v>-238</v>
      </c>
    </row>
    <row r="7132" spans="1:11" x14ac:dyDescent="0.25">
      <c r="A7132"/>
      <c r="B7132" s="201">
        <v>106</v>
      </c>
      <c r="C7132">
        <v>0</v>
      </c>
      <c r="D7132" s="201">
        <v>315</v>
      </c>
      <c r="E7132" s="201">
        <v>-138</v>
      </c>
      <c r="F7132">
        <v>-1223</v>
      </c>
      <c r="G7132">
        <v>167</v>
      </c>
      <c r="H7132">
        <v>0</v>
      </c>
      <c r="I7132">
        <v>-155</v>
      </c>
      <c r="J7132">
        <v>581</v>
      </c>
      <c r="K7132" s="201">
        <v>0</v>
      </c>
    </row>
    <row r="7133" spans="1:11" x14ac:dyDescent="0.25">
      <c r="A7133"/>
      <c r="B7133" s="201">
        <v>0</v>
      </c>
      <c r="C7133">
        <v>0</v>
      </c>
      <c r="D7133" s="201">
        <v>-80</v>
      </c>
      <c r="E7133" s="201">
        <v>-628</v>
      </c>
      <c r="F7133">
        <v>0</v>
      </c>
      <c r="G7133">
        <v>-367</v>
      </c>
      <c r="H7133">
        <v>85</v>
      </c>
      <c r="I7133">
        <v>50</v>
      </c>
      <c r="J7133">
        <v>-49</v>
      </c>
      <c r="K7133" s="201">
        <v>0</v>
      </c>
    </row>
    <row r="7134" spans="1:11" x14ac:dyDescent="0.25">
      <c r="A7134"/>
      <c r="B7134" s="201">
        <v>0</v>
      </c>
      <c r="C7134">
        <v>0</v>
      </c>
      <c r="D7134" s="201">
        <v>0</v>
      </c>
      <c r="E7134" s="201">
        <v>0</v>
      </c>
      <c r="F7134">
        <v>1304</v>
      </c>
      <c r="G7134">
        <v>0</v>
      </c>
      <c r="H7134">
        <v>8029</v>
      </c>
      <c r="I7134">
        <v>688</v>
      </c>
      <c r="J7134">
        <v>145</v>
      </c>
      <c r="K7134" s="201">
        <v>0</v>
      </c>
    </row>
    <row r="7135" spans="1:11" x14ac:dyDescent="0.25">
      <c r="A7135"/>
      <c r="B7135" s="201">
        <v>-1978</v>
      </c>
      <c r="C7135">
        <v>-60219</v>
      </c>
      <c r="D7135" s="201">
        <v>-298</v>
      </c>
      <c r="E7135" s="201">
        <v>-240</v>
      </c>
      <c r="F7135">
        <v>-24</v>
      </c>
      <c r="G7135">
        <v>-137</v>
      </c>
      <c r="H7135">
        <v>149</v>
      </c>
      <c r="I7135">
        <v>1820</v>
      </c>
      <c r="J7135">
        <v>0</v>
      </c>
      <c r="K7135" s="201">
        <v>266</v>
      </c>
    </row>
    <row r="7136" spans="1:11" x14ac:dyDescent="0.25">
      <c r="A7136"/>
      <c r="B7136" s="201">
        <v>0</v>
      </c>
      <c r="C7136">
        <v>0</v>
      </c>
      <c r="D7136" s="201">
        <v>421</v>
      </c>
      <c r="E7136" s="201">
        <v>297</v>
      </c>
      <c r="F7136">
        <v>0</v>
      </c>
      <c r="G7136">
        <v>267</v>
      </c>
      <c r="H7136">
        <v>0</v>
      </c>
      <c r="I7136">
        <v>0</v>
      </c>
      <c r="J7136">
        <v>-107</v>
      </c>
      <c r="K7136" s="201">
        <v>0</v>
      </c>
    </row>
    <row r="7137" spans="1:11" x14ac:dyDescent="0.25">
      <c r="A7137"/>
      <c r="B7137" s="201">
        <v>83</v>
      </c>
      <c r="C7137">
        <v>75</v>
      </c>
      <c r="D7137" s="201">
        <v>39</v>
      </c>
      <c r="E7137" s="201">
        <v>0</v>
      </c>
      <c r="F7137">
        <v>0</v>
      </c>
      <c r="G7137">
        <v>0</v>
      </c>
      <c r="H7137">
        <v>0</v>
      </c>
      <c r="I7137">
        <v>0</v>
      </c>
      <c r="J7137">
        <v>1535</v>
      </c>
      <c r="K7137" s="201">
        <v>0</v>
      </c>
    </row>
    <row r="7138" spans="1:11" x14ac:dyDescent="0.25">
      <c r="B7138" s="201">
        <v>7182</v>
      </c>
      <c r="C7138">
        <v>858</v>
      </c>
      <c r="D7138" s="201">
        <v>167</v>
      </c>
      <c r="E7138" s="201">
        <v>0</v>
      </c>
      <c r="F7138">
        <v>-887</v>
      </c>
      <c r="G7138">
        <v>-68927</v>
      </c>
      <c r="H7138">
        <v>551</v>
      </c>
      <c r="I7138">
        <v>0</v>
      </c>
      <c r="J7138">
        <v>0</v>
      </c>
      <c r="K7138" s="201">
        <v>0</v>
      </c>
    </row>
    <row r="7139" spans="1:11" x14ac:dyDescent="0.25">
      <c r="B7139" s="201">
        <v>2379</v>
      </c>
      <c r="C7139">
        <v>3324</v>
      </c>
      <c r="D7139" s="201">
        <v>1472</v>
      </c>
      <c r="E7139" s="201">
        <v>-1572</v>
      </c>
      <c r="F7139">
        <v>-1455</v>
      </c>
      <c r="G7139">
        <v>0</v>
      </c>
      <c r="H7139">
        <v>779</v>
      </c>
      <c r="I7139">
        <v>0</v>
      </c>
      <c r="J7139">
        <v>0</v>
      </c>
      <c r="K7139" s="201">
        <v>49</v>
      </c>
    </row>
    <row r="7140" spans="1:11" x14ac:dyDescent="0.25">
      <c r="A7140"/>
      <c r="B7140" s="201">
        <v>0</v>
      </c>
      <c r="C7140">
        <v>-1380</v>
      </c>
      <c r="D7140" s="201">
        <v>0</v>
      </c>
      <c r="E7140" s="201">
        <v>-1815</v>
      </c>
      <c r="F7140">
        <v>0</v>
      </c>
      <c r="G7140">
        <v>0</v>
      </c>
      <c r="H7140">
        <v>0</v>
      </c>
      <c r="I7140">
        <v>0</v>
      </c>
      <c r="J7140">
        <v>0</v>
      </c>
      <c r="K7140" s="201">
        <v>0</v>
      </c>
    </row>
    <row r="7141" spans="1:11" x14ac:dyDescent="0.25">
      <c r="A7141"/>
      <c r="B7141" s="201">
        <v>0</v>
      </c>
      <c r="C7141">
        <v>0</v>
      </c>
      <c r="D7141" s="201">
        <v>907</v>
      </c>
      <c r="E7141" s="201">
        <v>0</v>
      </c>
      <c r="F7141">
        <v>1691</v>
      </c>
      <c r="G7141">
        <v>-2591</v>
      </c>
      <c r="H7141">
        <v>-987</v>
      </c>
      <c r="I7141">
        <v>0</v>
      </c>
      <c r="J7141">
        <v>-879</v>
      </c>
      <c r="K7141" s="201">
        <v>-64974</v>
      </c>
    </row>
    <row r="7142" spans="1:11" x14ac:dyDescent="0.25">
      <c r="A7142"/>
      <c r="B7142" s="201">
        <v>0</v>
      </c>
      <c r="C7142">
        <v>0</v>
      </c>
      <c r="D7142" s="201">
        <v>0</v>
      </c>
      <c r="E7142" s="201">
        <v>0</v>
      </c>
      <c r="F7142">
        <v>0</v>
      </c>
      <c r="G7142">
        <v>-907</v>
      </c>
      <c r="H7142">
        <v>-882</v>
      </c>
      <c r="I7142">
        <v>886</v>
      </c>
      <c r="J7142">
        <v>533</v>
      </c>
      <c r="K7142" s="201">
        <v>735</v>
      </c>
    </row>
    <row r="7143" spans="1:11" x14ac:dyDescent="0.25">
      <c r="B7143" s="201">
        <v>2845</v>
      </c>
      <c r="C7143">
        <v>0</v>
      </c>
      <c r="D7143" s="201">
        <v>0</v>
      </c>
      <c r="E7143" s="201">
        <v>0</v>
      </c>
      <c r="F7143">
        <v>0</v>
      </c>
      <c r="G7143">
        <v>-3283</v>
      </c>
      <c r="H7143">
        <v>0</v>
      </c>
      <c r="I7143">
        <v>-2334</v>
      </c>
      <c r="J7143">
        <v>0</v>
      </c>
      <c r="K7143" s="201">
        <v>0</v>
      </c>
    </row>
    <row r="7144" spans="1:11" x14ac:dyDescent="0.25">
      <c r="A7144"/>
      <c r="B7144" s="201">
        <v>989</v>
      </c>
      <c r="C7144">
        <v>-477</v>
      </c>
      <c r="D7144" s="201">
        <v>0</v>
      </c>
      <c r="E7144" s="201">
        <v>0</v>
      </c>
      <c r="F7144">
        <v>0</v>
      </c>
      <c r="G7144">
        <v>0</v>
      </c>
      <c r="H7144">
        <v>-38</v>
      </c>
      <c r="I7144">
        <v>0</v>
      </c>
      <c r="J7144">
        <v>4392</v>
      </c>
      <c r="K7144" s="201">
        <v>-1315</v>
      </c>
    </row>
    <row r="7145" spans="1:11" x14ac:dyDescent="0.25">
      <c r="A7145"/>
      <c r="B7145" s="201">
        <v>780</v>
      </c>
      <c r="C7145">
        <v>5254</v>
      </c>
      <c r="D7145" s="201">
        <v>1016</v>
      </c>
      <c r="E7145" s="201">
        <v>891</v>
      </c>
      <c r="F7145">
        <v>538</v>
      </c>
      <c r="G7145">
        <v>246</v>
      </c>
      <c r="H7145">
        <v>-479</v>
      </c>
      <c r="I7145">
        <v>-445</v>
      </c>
      <c r="J7145">
        <v>0</v>
      </c>
      <c r="K7145" s="201">
        <v>0</v>
      </c>
    </row>
    <row r="7146" spans="1:11" x14ac:dyDescent="0.25">
      <c r="A7146"/>
      <c r="B7146" s="201">
        <v>0</v>
      </c>
      <c r="C7146">
        <v>0</v>
      </c>
      <c r="D7146" s="201">
        <v>0</v>
      </c>
      <c r="E7146" s="201">
        <v>0</v>
      </c>
      <c r="F7146">
        <v>0</v>
      </c>
      <c r="G7146">
        <v>-335</v>
      </c>
      <c r="H7146">
        <v>-43</v>
      </c>
      <c r="I7146">
        <v>1519</v>
      </c>
      <c r="J7146">
        <v>26</v>
      </c>
      <c r="K7146" s="201">
        <v>1337</v>
      </c>
    </row>
    <row r="7147" spans="1:11" x14ac:dyDescent="0.25">
      <c r="A7147"/>
      <c r="B7147" s="201">
        <v>-264</v>
      </c>
      <c r="C7147">
        <v>0</v>
      </c>
      <c r="D7147" s="201">
        <v>0</v>
      </c>
      <c r="E7147" s="201">
        <v>334</v>
      </c>
      <c r="F7147">
        <v>0</v>
      </c>
      <c r="G7147">
        <v>1166</v>
      </c>
      <c r="H7147">
        <v>-2180</v>
      </c>
      <c r="I7147">
        <v>0</v>
      </c>
      <c r="J7147">
        <v>0</v>
      </c>
      <c r="K7147" s="201">
        <v>0</v>
      </c>
    </row>
    <row r="7148" spans="1:11" x14ac:dyDescent="0.25">
      <c r="A7148"/>
      <c r="B7148" s="201">
        <v>0</v>
      </c>
      <c r="C7148">
        <v>-622</v>
      </c>
      <c r="D7148" s="201">
        <v>0</v>
      </c>
      <c r="E7148" s="201">
        <v>-1822</v>
      </c>
      <c r="F7148">
        <v>-3321</v>
      </c>
      <c r="G7148">
        <v>0</v>
      </c>
      <c r="H7148">
        <v>0</v>
      </c>
      <c r="I7148">
        <v>0</v>
      </c>
      <c r="J7148">
        <v>0</v>
      </c>
      <c r="K7148" s="201">
        <v>0</v>
      </c>
    </row>
    <row r="7149" spans="1:11" x14ac:dyDescent="0.25">
      <c r="A7149"/>
      <c r="B7149" s="201">
        <v>0</v>
      </c>
      <c r="C7149">
        <v>0</v>
      </c>
      <c r="D7149" s="201">
        <v>0</v>
      </c>
      <c r="E7149" s="201">
        <v>0</v>
      </c>
      <c r="F7149">
        <v>0</v>
      </c>
      <c r="G7149">
        <v>0</v>
      </c>
      <c r="H7149">
        <v>0</v>
      </c>
      <c r="I7149">
        <v>0</v>
      </c>
      <c r="J7149">
        <v>0</v>
      </c>
      <c r="K7149" s="201">
        <v>0</v>
      </c>
    </row>
    <row r="7150" spans="1:11" x14ac:dyDescent="0.25">
      <c r="B7150" s="201">
        <v>-1319</v>
      </c>
      <c r="C7150">
        <v>0</v>
      </c>
      <c r="D7150" s="201">
        <v>0</v>
      </c>
      <c r="E7150" s="201">
        <v>0</v>
      </c>
      <c r="F7150">
        <v>0</v>
      </c>
      <c r="G7150">
        <v>0</v>
      </c>
      <c r="H7150">
        <v>1229</v>
      </c>
      <c r="I7150">
        <v>-1169</v>
      </c>
      <c r="J7150">
        <v>-1383</v>
      </c>
      <c r="K7150" s="201">
        <v>-9223</v>
      </c>
    </row>
    <row r="7151" spans="1:11" x14ac:dyDescent="0.25">
      <c r="A7151"/>
      <c r="B7151" s="201">
        <v>-9939</v>
      </c>
      <c r="C7151">
        <v>-10112</v>
      </c>
      <c r="D7151" s="201">
        <v>-14970</v>
      </c>
      <c r="E7151" s="201">
        <v>-1697</v>
      </c>
      <c r="F7151">
        <v>-1090</v>
      </c>
      <c r="G7151">
        <v>772</v>
      </c>
      <c r="H7151">
        <v>-1272</v>
      </c>
      <c r="I7151">
        <v>-1035</v>
      </c>
      <c r="J7151">
        <v>-6551</v>
      </c>
      <c r="K7151" s="201">
        <v>-6233</v>
      </c>
    </row>
    <row r="7152" spans="1:11" x14ac:dyDescent="0.25">
      <c r="B7152" s="201">
        <v>-5228</v>
      </c>
      <c r="C7152">
        <v>-6774</v>
      </c>
      <c r="D7152" s="201">
        <v>-5809</v>
      </c>
      <c r="E7152" s="201">
        <v>0</v>
      </c>
      <c r="F7152">
        <v>-10501</v>
      </c>
      <c r="G7152">
        <v>-11584</v>
      </c>
      <c r="H7152">
        <v>-11576</v>
      </c>
      <c r="I7152">
        <v>-14472</v>
      </c>
      <c r="J7152">
        <v>-9627</v>
      </c>
      <c r="K7152" s="201">
        <v>-9483</v>
      </c>
    </row>
    <row r="7153" spans="1:11" x14ac:dyDescent="0.25">
      <c r="A7153"/>
      <c r="B7153" s="201">
        <v>-13170</v>
      </c>
      <c r="C7153">
        <v>-15377</v>
      </c>
      <c r="D7153" s="201">
        <v>-9317</v>
      </c>
      <c r="E7153" s="201">
        <v>-12782</v>
      </c>
      <c r="F7153">
        <v>-9414</v>
      </c>
      <c r="G7153">
        <v>-13872</v>
      </c>
      <c r="H7153">
        <v>-7391</v>
      </c>
      <c r="I7153">
        <v>-10680</v>
      </c>
      <c r="J7153">
        <v>-10661</v>
      </c>
      <c r="K7153" s="201">
        <v>-10230</v>
      </c>
    </row>
    <row r="7154" spans="1:11" x14ac:dyDescent="0.25">
      <c r="A7154"/>
      <c r="B7154" s="201">
        <v>-9558</v>
      </c>
      <c r="C7154">
        <v>-13096</v>
      </c>
      <c r="D7154" s="201">
        <v>-13164</v>
      </c>
      <c r="E7154" s="201">
        <v>-13938</v>
      </c>
      <c r="F7154">
        <v>1034</v>
      </c>
      <c r="G7154">
        <v>471</v>
      </c>
      <c r="H7154">
        <v>1022</v>
      </c>
      <c r="I7154">
        <v>878</v>
      </c>
      <c r="J7154">
        <v>805</v>
      </c>
      <c r="K7154" s="201">
        <v>-816</v>
      </c>
    </row>
    <row r="7155" spans="1:11" x14ac:dyDescent="0.25">
      <c r="A7155"/>
      <c r="B7155" s="201">
        <v>548</v>
      </c>
      <c r="C7155">
        <v>729</v>
      </c>
      <c r="D7155" s="201">
        <v>360</v>
      </c>
      <c r="E7155" s="201">
        <v>-1110</v>
      </c>
      <c r="F7155">
        <v>1572</v>
      </c>
      <c r="G7155">
        <v>1306</v>
      </c>
      <c r="H7155">
        <v>1200</v>
      </c>
      <c r="I7155">
        <v>1028</v>
      </c>
      <c r="J7155">
        <v>1584</v>
      </c>
      <c r="K7155" s="201">
        <v>1575</v>
      </c>
    </row>
    <row r="7156" spans="1:11" x14ac:dyDescent="0.25">
      <c r="B7156" s="201">
        <v>1185</v>
      </c>
      <c r="C7156">
        <v>1329</v>
      </c>
      <c r="D7156" s="201">
        <v>1057</v>
      </c>
      <c r="E7156" s="201">
        <v>1266</v>
      </c>
      <c r="F7156">
        <v>45872</v>
      </c>
      <c r="G7156">
        <v>55136</v>
      </c>
      <c r="H7156">
        <v>55065</v>
      </c>
      <c r="I7156">
        <v>52605</v>
      </c>
      <c r="J7156">
        <v>47362</v>
      </c>
      <c r="K7156" s="201">
        <v>25331</v>
      </c>
    </row>
    <row r="7157" spans="1:11" x14ac:dyDescent="0.25">
      <c r="A7157"/>
      <c r="B7157" s="201">
        <v>30669</v>
      </c>
      <c r="C7157">
        <v>24770</v>
      </c>
      <c r="D7157" s="201">
        <v>33564</v>
      </c>
      <c r="E7157" s="201">
        <v>36615</v>
      </c>
      <c r="F7157">
        <v>53785</v>
      </c>
      <c r="G7157">
        <v>53822</v>
      </c>
      <c r="H7157">
        <v>53691</v>
      </c>
      <c r="I7157">
        <v>52405</v>
      </c>
      <c r="J7157">
        <v>57692</v>
      </c>
      <c r="K7157" s="201">
        <v>56910</v>
      </c>
    </row>
    <row r="7158" spans="1:11" x14ac:dyDescent="0.25">
      <c r="B7158" s="201">
        <v>57617</v>
      </c>
      <c r="C7158">
        <v>56989</v>
      </c>
      <c r="D7158" s="201">
        <v>56868</v>
      </c>
      <c r="E7158" s="201">
        <v>93089</v>
      </c>
      <c r="F7158">
        <v>96131</v>
      </c>
      <c r="G7158">
        <v>96698</v>
      </c>
      <c r="H7158">
        <v>94828</v>
      </c>
      <c r="I7158">
        <v>98439</v>
      </c>
      <c r="J7158">
        <v>1089</v>
      </c>
      <c r="K7158" s="201">
        <v>-45348</v>
      </c>
    </row>
    <row r="7159" spans="1:11" x14ac:dyDescent="0.25">
      <c r="A7159"/>
      <c r="B7159" s="201">
        <v>-530</v>
      </c>
      <c r="C7159">
        <v>-101</v>
      </c>
      <c r="D7159" s="201">
        <v>-172</v>
      </c>
      <c r="E7159" s="201">
        <v>0</v>
      </c>
      <c r="F7159">
        <v>0</v>
      </c>
      <c r="G7159">
        <v>185</v>
      </c>
      <c r="H7159">
        <v>0</v>
      </c>
      <c r="I7159">
        <v>0</v>
      </c>
      <c r="J7159">
        <v>0</v>
      </c>
      <c r="K7159" s="201">
        <v>228</v>
      </c>
    </row>
    <row r="7160" spans="1:11" x14ac:dyDescent="0.25">
      <c r="A7160"/>
      <c r="B7160" s="201">
        <v>99</v>
      </c>
      <c r="C7160">
        <v>0</v>
      </c>
      <c r="D7160" s="201">
        <v>0</v>
      </c>
      <c r="E7160" s="201">
        <v>0</v>
      </c>
      <c r="F7160">
        <v>0</v>
      </c>
      <c r="G7160">
        <v>0</v>
      </c>
      <c r="H7160">
        <v>0</v>
      </c>
      <c r="I7160">
        <v>-397</v>
      </c>
      <c r="J7160">
        <v>0</v>
      </c>
      <c r="K7160" s="201">
        <v>0</v>
      </c>
    </row>
    <row r="7161" spans="1:11" x14ac:dyDescent="0.25">
      <c r="A7161"/>
      <c r="B7161" s="201">
        <v>75</v>
      </c>
      <c r="C7161">
        <v>0</v>
      </c>
      <c r="D7161" s="201">
        <v>-107</v>
      </c>
      <c r="E7161" s="201">
        <v>0</v>
      </c>
      <c r="F7161">
        <v>193</v>
      </c>
      <c r="G7161">
        <v>-297</v>
      </c>
      <c r="H7161">
        <v>-142</v>
      </c>
      <c r="I7161">
        <v>0</v>
      </c>
      <c r="J7161">
        <v>984</v>
      </c>
      <c r="K7161" s="201">
        <v>-38114</v>
      </c>
    </row>
    <row r="7162" spans="1:11" x14ac:dyDescent="0.25">
      <c r="B7162" s="201">
        <v>-213</v>
      </c>
      <c r="C7162">
        <v>-460</v>
      </c>
      <c r="D7162" s="201">
        <v>-662</v>
      </c>
      <c r="E7162" s="201">
        <v>-996</v>
      </c>
      <c r="F7162">
        <v>0</v>
      </c>
      <c r="G7162">
        <v>93</v>
      </c>
      <c r="H7162">
        <v>0</v>
      </c>
      <c r="I7162">
        <v>0</v>
      </c>
      <c r="J7162">
        <v>0</v>
      </c>
      <c r="K7162" s="201">
        <v>0</v>
      </c>
    </row>
    <row r="7163" spans="1:11" x14ac:dyDescent="0.25">
      <c r="A7163"/>
      <c r="B7163" s="201">
        <v>0</v>
      </c>
      <c r="C7163">
        <v>308</v>
      </c>
      <c r="D7163" s="201">
        <v>0</v>
      </c>
      <c r="E7163" s="201">
        <v>0</v>
      </c>
      <c r="F7163">
        <v>0</v>
      </c>
      <c r="G7163">
        <v>-139</v>
      </c>
      <c r="H7163">
        <v>0</v>
      </c>
      <c r="I7163">
        <v>44</v>
      </c>
      <c r="J7163">
        <v>0</v>
      </c>
      <c r="K7163" s="201">
        <v>0</v>
      </c>
    </row>
    <row r="7164" spans="1:11" x14ac:dyDescent="0.25">
      <c r="A7164"/>
      <c r="B7164" s="201">
        <v>0</v>
      </c>
      <c r="C7164">
        <v>0</v>
      </c>
      <c r="D7164" s="201">
        <v>0</v>
      </c>
      <c r="E7164" s="201">
        <v>-146</v>
      </c>
      <c r="F7164">
        <v>0</v>
      </c>
      <c r="G7164">
        <v>-129</v>
      </c>
      <c r="H7164">
        <v>-118</v>
      </c>
      <c r="I7164">
        <v>0</v>
      </c>
      <c r="J7164">
        <v>0</v>
      </c>
      <c r="K7164" s="201">
        <v>-2520</v>
      </c>
    </row>
    <row r="7165" spans="1:11" x14ac:dyDescent="0.25">
      <c r="B7165" s="201">
        <v>-45006</v>
      </c>
      <c r="C7165">
        <v>0</v>
      </c>
      <c r="D7165" s="201">
        <v>162</v>
      </c>
      <c r="E7165" s="201">
        <v>0</v>
      </c>
      <c r="F7165">
        <v>0</v>
      </c>
      <c r="G7165">
        <v>0</v>
      </c>
      <c r="H7165">
        <v>0</v>
      </c>
      <c r="I7165">
        <v>-1033</v>
      </c>
      <c r="J7165">
        <v>-106</v>
      </c>
      <c r="K7165" s="201">
        <v>97</v>
      </c>
    </row>
    <row r="7166" spans="1:11" x14ac:dyDescent="0.25">
      <c r="A7166"/>
      <c r="B7166" s="201">
        <v>0</v>
      </c>
      <c r="C7166">
        <v>0</v>
      </c>
      <c r="D7166" s="201">
        <v>388</v>
      </c>
      <c r="E7166" s="201">
        <v>207</v>
      </c>
      <c r="F7166">
        <v>0</v>
      </c>
      <c r="G7166">
        <v>-126</v>
      </c>
      <c r="H7166">
        <v>-144</v>
      </c>
      <c r="I7166">
        <v>180</v>
      </c>
      <c r="J7166">
        <v>-35</v>
      </c>
      <c r="K7166" s="201">
        <v>787</v>
      </c>
    </row>
    <row r="7167" spans="1:11" x14ac:dyDescent="0.25">
      <c r="A7167"/>
      <c r="B7167" s="201">
        <v>548</v>
      </c>
      <c r="C7167">
        <v>-196</v>
      </c>
      <c r="D7167" s="201">
        <v>0</v>
      </c>
      <c r="E7167" s="201">
        <v>0</v>
      </c>
      <c r="F7167">
        <v>0</v>
      </c>
      <c r="G7167">
        <v>0</v>
      </c>
      <c r="H7167">
        <v>0</v>
      </c>
      <c r="I7167">
        <v>-17</v>
      </c>
      <c r="J7167">
        <v>0</v>
      </c>
      <c r="K7167" s="201">
        <v>1895</v>
      </c>
    </row>
    <row r="7168" spans="1:11" x14ac:dyDescent="0.25">
      <c r="A7168"/>
      <c r="B7168" s="201">
        <v>1261</v>
      </c>
      <c r="C7168">
        <v>68</v>
      </c>
      <c r="D7168" s="201">
        <v>0</v>
      </c>
      <c r="E7168" s="201">
        <v>-516</v>
      </c>
      <c r="F7168">
        <v>-54990</v>
      </c>
      <c r="G7168">
        <v>-250</v>
      </c>
      <c r="H7168">
        <v>-382</v>
      </c>
      <c r="I7168">
        <v>-897</v>
      </c>
      <c r="J7168">
        <v>0</v>
      </c>
      <c r="K7168" s="201">
        <v>-53</v>
      </c>
    </row>
    <row r="7169" spans="1:11" x14ac:dyDescent="0.25">
      <c r="A7169"/>
      <c r="B7169" s="201">
        <v>-226</v>
      </c>
      <c r="C7169">
        <v>-1181</v>
      </c>
      <c r="D7169" s="201">
        <v>206</v>
      </c>
      <c r="E7169" s="201">
        <v>0</v>
      </c>
      <c r="F7169">
        <v>-287</v>
      </c>
      <c r="G7169">
        <v>213</v>
      </c>
      <c r="H7169">
        <v>0</v>
      </c>
      <c r="I7169">
        <v>0</v>
      </c>
      <c r="J7169">
        <v>0</v>
      </c>
      <c r="K7169" s="201">
        <v>-384</v>
      </c>
    </row>
    <row r="7170" spans="1:11" x14ac:dyDescent="0.25">
      <c r="B7170" s="201">
        <v>-666</v>
      </c>
      <c r="C7170">
        <v>0</v>
      </c>
      <c r="D7170" s="201">
        <v>-386</v>
      </c>
      <c r="E7170" s="201">
        <v>454</v>
      </c>
      <c r="F7170">
        <v>236</v>
      </c>
      <c r="G7170">
        <v>19</v>
      </c>
      <c r="H7170">
        <v>0</v>
      </c>
      <c r="I7170">
        <v>0</v>
      </c>
      <c r="J7170">
        <v>0</v>
      </c>
      <c r="K7170" s="201">
        <v>0</v>
      </c>
    </row>
    <row r="7171" spans="1:11" x14ac:dyDescent="0.25">
      <c r="A7171"/>
      <c r="B7171" s="201">
        <v>0</v>
      </c>
      <c r="C7171">
        <v>-1803</v>
      </c>
      <c r="D7171" s="201">
        <v>0</v>
      </c>
      <c r="E7171" s="201">
        <v>11552</v>
      </c>
      <c r="F7171">
        <v>756</v>
      </c>
      <c r="G7171">
        <v>243</v>
      </c>
      <c r="H7171">
        <v>0</v>
      </c>
      <c r="I7171">
        <v>-988</v>
      </c>
      <c r="J7171">
        <v>-53572</v>
      </c>
      <c r="K7171" s="201">
        <v>-282</v>
      </c>
    </row>
    <row r="7172" spans="1:11" x14ac:dyDescent="0.25">
      <c r="A7172"/>
      <c r="B7172" s="201">
        <v>-18</v>
      </c>
      <c r="C7172">
        <v>-828</v>
      </c>
      <c r="D7172" s="201">
        <v>66</v>
      </c>
      <c r="E7172" s="201">
        <v>-278</v>
      </c>
      <c r="F7172">
        <v>1766</v>
      </c>
      <c r="G7172">
        <v>0</v>
      </c>
      <c r="H7172">
        <v>267</v>
      </c>
      <c r="I7172">
        <v>0</v>
      </c>
      <c r="J7172">
        <v>0</v>
      </c>
      <c r="K7172" s="201">
        <v>106</v>
      </c>
    </row>
    <row r="7173" spans="1:11" x14ac:dyDescent="0.25">
      <c r="A7173"/>
      <c r="B7173" s="201">
        <v>447</v>
      </c>
      <c r="C7173">
        <v>0</v>
      </c>
      <c r="D7173" s="201">
        <v>140</v>
      </c>
      <c r="E7173" s="201">
        <v>0</v>
      </c>
      <c r="F7173">
        <v>0</v>
      </c>
      <c r="G7173">
        <v>-142</v>
      </c>
      <c r="H7173">
        <v>0</v>
      </c>
      <c r="I7173">
        <v>363</v>
      </c>
      <c r="J7173">
        <v>176</v>
      </c>
      <c r="K7173" s="201">
        <v>124</v>
      </c>
    </row>
    <row r="7174" spans="1:11" x14ac:dyDescent="0.25">
      <c r="A7174"/>
      <c r="B7174" s="201">
        <v>0</v>
      </c>
      <c r="C7174">
        <v>0</v>
      </c>
      <c r="D7174" s="201">
        <v>0</v>
      </c>
      <c r="E7174" s="201">
        <v>0</v>
      </c>
      <c r="F7174">
        <v>0</v>
      </c>
      <c r="G7174">
        <v>-1375</v>
      </c>
      <c r="H7174">
        <v>0</v>
      </c>
      <c r="I7174">
        <v>10518</v>
      </c>
      <c r="J7174">
        <v>953</v>
      </c>
      <c r="K7174" s="201">
        <v>270</v>
      </c>
    </row>
    <row r="7175" spans="1:11" x14ac:dyDescent="0.25">
      <c r="A7175"/>
      <c r="B7175" s="201">
        <v>0</v>
      </c>
      <c r="C7175">
        <v>-2624</v>
      </c>
      <c r="D7175" s="201">
        <v>-58427</v>
      </c>
      <c r="E7175" s="201">
        <v>374</v>
      </c>
      <c r="F7175">
        <v>0</v>
      </c>
      <c r="G7175">
        <v>0</v>
      </c>
      <c r="H7175">
        <v>0</v>
      </c>
      <c r="I7175">
        <v>1545</v>
      </c>
      <c r="J7175">
        <v>2389</v>
      </c>
      <c r="K7175" s="201">
        <v>1088</v>
      </c>
    </row>
    <row r="7176" spans="1:11" x14ac:dyDescent="0.25">
      <c r="A7176"/>
      <c r="B7176" s="201">
        <v>-1171</v>
      </c>
      <c r="C7176">
        <v>-1154</v>
      </c>
      <c r="D7176" s="201">
        <v>0</v>
      </c>
      <c r="E7176" s="201">
        <v>394</v>
      </c>
      <c r="F7176">
        <v>0</v>
      </c>
      <c r="G7176">
        <v>0</v>
      </c>
      <c r="H7176">
        <v>-69</v>
      </c>
      <c r="I7176">
        <v>0</v>
      </c>
      <c r="J7176">
        <v>-1520</v>
      </c>
      <c r="K7176" s="201">
        <v>0</v>
      </c>
    </row>
    <row r="7177" spans="1:11" x14ac:dyDescent="0.25">
      <c r="A7177"/>
      <c r="B7177" s="201">
        <v>-1698</v>
      </c>
      <c r="C7177">
        <v>0</v>
      </c>
      <c r="D7177" s="201">
        <v>0</v>
      </c>
      <c r="E7177" s="201">
        <v>0</v>
      </c>
      <c r="F7177">
        <v>0</v>
      </c>
      <c r="G7177">
        <v>0</v>
      </c>
      <c r="H7177">
        <v>0</v>
      </c>
      <c r="I7177">
        <v>0</v>
      </c>
      <c r="J7177">
        <v>0</v>
      </c>
      <c r="K7177" s="201">
        <v>-1347</v>
      </c>
    </row>
    <row r="7178" spans="1:11" x14ac:dyDescent="0.25">
      <c r="A7178"/>
      <c r="B7178" s="201">
        <v>0</v>
      </c>
      <c r="C7178">
        <v>4075</v>
      </c>
      <c r="D7178" s="201">
        <v>-1794</v>
      </c>
      <c r="E7178" s="201">
        <v>-719</v>
      </c>
      <c r="F7178">
        <v>0</v>
      </c>
      <c r="G7178">
        <v>-737</v>
      </c>
      <c r="H7178">
        <v>-58555</v>
      </c>
      <c r="I7178">
        <v>0</v>
      </c>
      <c r="J7178">
        <v>0</v>
      </c>
      <c r="K7178" s="201">
        <v>0</v>
      </c>
    </row>
    <row r="7179" spans="1:11" x14ac:dyDescent="0.25">
      <c r="A7179"/>
      <c r="B7179" s="201">
        <v>0</v>
      </c>
      <c r="C7179">
        <v>0</v>
      </c>
      <c r="D7179" s="201">
        <v>295</v>
      </c>
      <c r="E7179" s="201">
        <v>-352</v>
      </c>
      <c r="F7179">
        <v>1721</v>
      </c>
      <c r="G7179">
        <v>1172</v>
      </c>
      <c r="H7179">
        <v>1069</v>
      </c>
      <c r="I7179">
        <v>3248</v>
      </c>
      <c r="J7179">
        <v>0</v>
      </c>
      <c r="K7179" s="201">
        <v>0</v>
      </c>
    </row>
    <row r="7180" spans="1:11" x14ac:dyDescent="0.25">
      <c r="A7180"/>
      <c r="B7180" s="201">
        <v>0</v>
      </c>
      <c r="C7180">
        <v>0</v>
      </c>
      <c r="D7180" s="201">
        <v>-3016</v>
      </c>
      <c r="E7180" s="201">
        <v>0</v>
      </c>
      <c r="F7180">
        <v>-2167</v>
      </c>
      <c r="G7180">
        <v>0</v>
      </c>
      <c r="H7180">
        <v>0</v>
      </c>
      <c r="I7180">
        <v>892</v>
      </c>
      <c r="J7180">
        <v>-907</v>
      </c>
      <c r="K7180" s="201">
        <v>0</v>
      </c>
    </row>
    <row r="7181" spans="1:11" x14ac:dyDescent="0.25">
      <c r="A7181"/>
      <c r="B7181" s="201">
        <v>0</v>
      </c>
      <c r="C7181">
        <v>0</v>
      </c>
      <c r="D7181" s="201">
        <v>0</v>
      </c>
      <c r="E7181" s="201">
        <v>-3278</v>
      </c>
      <c r="F7181">
        <v>0</v>
      </c>
      <c r="G7181">
        <v>7146</v>
      </c>
      <c r="H7181">
        <v>-528</v>
      </c>
      <c r="I7181">
        <v>1468</v>
      </c>
      <c r="J7181">
        <v>6212</v>
      </c>
      <c r="K7181" s="201">
        <v>1549</v>
      </c>
    </row>
    <row r="7182" spans="1:11" x14ac:dyDescent="0.25">
      <c r="A7182"/>
      <c r="B7182" s="201">
        <v>1436</v>
      </c>
      <c r="C7182">
        <v>1843</v>
      </c>
      <c r="D7182" s="201">
        <v>1</v>
      </c>
      <c r="E7182" s="201">
        <v>174</v>
      </c>
      <c r="F7182">
        <v>970</v>
      </c>
      <c r="G7182">
        <v>0</v>
      </c>
      <c r="H7182">
        <v>0</v>
      </c>
      <c r="I7182">
        <v>0</v>
      </c>
      <c r="J7182">
        <v>0</v>
      </c>
      <c r="K7182" s="201">
        <v>0</v>
      </c>
    </row>
    <row r="7183" spans="1:11" x14ac:dyDescent="0.25">
      <c r="A7183"/>
      <c r="B7183" s="201">
        <v>0</v>
      </c>
      <c r="C7183">
        <v>0</v>
      </c>
      <c r="D7183" s="201">
        <v>66</v>
      </c>
      <c r="E7183" s="201">
        <v>132</v>
      </c>
      <c r="F7183">
        <v>1649</v>
      </c>
      <c r="G7183">
        <v>-95</v>
      </c>
      <c r="H7183">
        <v>1518</v>
      </c>
      <c r="I7183">
        <v>-666</v>
      </c>
      <c r="J7183">
        <v>0</v>
      </c>
      <c r="K7183" s="201">
        <v>0</v>
      </c>
    </row>
    <row r="7184" spans="1:11" x14ac:dyDescent="0.25">
      <c r="A7184"/>
      <c r="B7184" s="201">
        <v>844</v>
      </c>
      <c r="C7184">
        <v>0</v>
      </c>
      <c r="D7184" s="201">
        <v>-650</v>
      </c>
      <c r="E7184" s="201">
        <v>12386</v>
      </c>
      <c r="F7184">
        <v>0</v>
      </c>
      <c r="G7184">
        <v>0</v>
      </c>
      <c r="H7184">
        <v>0</v>
      </c>
      <c r="I7184">
        <v>0</v>
      </c>
      <c r="J7184">
        <v>1822</v>
      </c>
      <c r="K7184" s="201">
        <v>0</v>
      </c>
    </row>
    <row r="7185" spans="1:11" x14ac:dyDescent="0.25">
      <c r="A7185"/>
      <c r="B7185" s="201">
        <v>-123</v>
      </c>
      <c r="C7185">
        <v>-1753</v>
      </c>
      <c r="D7185" s="201">
        <v>0</v>
      </c>
      <c r="E7185" s="201">
        <v>0</v>
      </c>
      <c r="F7185">
        <v>0</v>
      </c>
      <c r="G7185">
        <v>0</v>
      </c>
      <c r="H7185">
        <v>0</v>
      </c>
      <c r="I7185">
        <v>0</v>
      </c>
      <c r="J7185">
        <v>0</v>
      </c>
      <c r="K7185" s="201">
        <v>0</v>
      </c>
    </row>
    <row r="7186" spans="1:11" x14ac:dyDescent="0.25">
      <c r="A7186"/>
      <c r="B7186" s="201">
        <v>0</v>
      </c>
      <c r="C7186">
        <v>0</v>
      </c>
      <c r="D7186" s="201">
        <v>0</v>
      </c>
      <c r="E7186" s="201">
        <v>0</v>
      </c>
      <c r="F7186">
        <v>0</v>
      </c>
      <c r="G7186">
        <v>0</v>
      </c>
      <c r="H7186">
        <v>0</v>
      </c>
      <c r="I7186">
        <v>1002</v>
      </c>
      <c r="J7186">
        <v>0</v>
      </c>
      <c r="K7186" s="201">
        <v>0</v>
      </c>
    </row>
    <row r="7187" spans="1:11" x14ac:dyDescent="0.25">
      <c r="A7187"/>
      <c r="B7187" s="201">
        <v>0</v>
      </c>
      <c r="C7187">
        <v>0</v>
      </c>
      <c r="D7187" s="201">
        <v>0</v>
      </c>
      <c r="E7187" s="201">
        <v>1459</v>
      </c>
      <c r="F7187">
        <v>-1343</v>
      </c>
      <c r="G7187">
        <v>-1288</v>
      </c>
      <c r="H7187">
        <v>-10269</v>
      </c>
      <c r="I7187">
        <v>-11891</v>
      </c>
      <c r="J7187">
        <v>-12587</v>
      </c>
      <c r="K7187" s="201">
        <v>-15693</v>
      </c>
    </row>
    <row r="7188" spans="1:11" x14ac:dyDescent="0.25">
      <c r="B7188" s="201">
        <v>-4786</v>
      </c>
      <c r="C7188">
        <v>-1429</v>
      </c>
      <c r="D7188" s="201">
        <v>1165</v>
      </c>
      <c r="E7188" s="201">
        <v>-1433</v>
      </c>
      <c r="F7188">
        <v>-988</v>
      </c>
      <c r="G7188">
        <v>-8178</v>
      </c>
      <c r="H7188">
        <v>-7943</v>
      </c>
      <c r="I7188">
        <v>-6536</v>
      </c>
      <c r="J7188">
        <v>-7416</v>
      </c>
      <c r="K7188" s="201">
        <v>-10083</v>
      </c>
    </row>
    <row r="7189" spans="1:11" x14ac:dyDescent="0.25">
      <c r="A7189"/>
      <c r="B7189" s="201">
        <v>0</v>
      </c>
      <c r="C7189">
        <v>-13487</v>
      </c>
      <c r="D7189" s="201">
        <v>-15241</v>
      </c>
      <c r="E7189" s="201">
        <v>-15815</v>
      </c>
      <c r="F7189">
        <v>-16206</v>
      </c>
      <c r="G7189">
        <v>-12219</v>
      </c>
      <c r="H7189">
        <v>-13454</v>
      </c>
      <c r="I7189">
        <v>-18670</v>
      </c>
      <c r="J7189">
        <v>-17886</v>
      </c>
      <c r="K7189" s="201">
        <v>-11879</v>
      </c>
    </row>
    <row r="7190" spans="1:11" x14ac:dyDescent="0.25">
      <c r="A7190"/>
      <c r="B7190" s="201">
        <v>-17521</v>
      </c>
      <c r="C7190">
        <v>-13914</v>
      </c>
      <c r="D7190" s="201">
        <v>-15915</v>
      </c>
      <c r="E7190" s="201">
        <v>-9245</v>
      </c>
      <c r="F7190">
        <v>-14615</v>
      </c>
      <c r="G7190">
        <v>-15327</v>
      </c>
      <c r="H7190">
        <v>-12302</v>
      </c>
      <c r="I7190">
        <v>-12784</v>
      </c>
      <c r="J7190">
        <v>-17856</v>
      </c>
      <c r="K7190" s="201">
        <v>-18778</v>
      </c>
    </row>
    <row r="7191" spans="1:11" x14ac:dyDescent="0.25">
      <c r="A7191"/>
      <c r="B7191" s="201">
        <v>-16700</v>
      </c>
      <c r="C7191">
        <v>-7075</v>
      </c>
      <c r="D7191" s="201">
        <v>-12885</v>
      </c>
      <c r="E7191" s="201">
        <v>-13834</v>
      </c>
      <c r="F7191">
        <v>-13723</v>
      </c>
      <c r="G7191">
        <v>-11310</v>
      </c>
      <c r="H7191">
        <v>-15340</v>
      </c>
      <c r="I7191">
        <v>-9177</v>
      </c>
      <c r="J7191">
        <v>-9726</v>
      </c>
      <c r="K7191" s="201">
        <v>-10142</v>
      </c>
    </row>
    <row r="7192" spans="1:11" x14ac:dyDescent="0.25">
      <c r="A7192"/>
      <c r="B7192" s="201">
        <v>-8637</v>
      </c>
      <c r="C7192">
        <v>-10639</v>
      </c>
      <c r="D7192" s="201">
        <v>-8263</v>
      </c>
      <c r="E7192" s="201">
        <v>-8067</v>
      </c>
      <c r="F7192">
        <v>-5864</v>
      </c>
      <c r="G7192">
        <v>-7332</v>
      </c>
      <c r="H7192">
        <v>-8171</v>
      </c>
      <c r="I7192">
        <v>-6848</v>
      </c>
      <c r="J7192">
        <v>-8074</v>
      </c>
      <c r="K7192" s="201">
        <v>-6044</v>
      </c>
    </row>
    <row r="7193" spans="1:11" x14ac:dyDescent="0.25">
      <c r="B7193" s="201">
        <v>-7575</v>
      </c>
      <c r="C7193" s="201">
        <v>48214</v>
      </c>
      <c r="D7193" s="201">
        <v>58255</v>
      </c>
      <c r="E7193" s="201">
        <v>58308</v>
      </c>
      <c r="F7193">
        <v>54956</v>
      </c>
      <c r="G7193">
        <v>49041</v>
      </c>
      <c r="H7193">
        <v>25913</v>
      </c>
      <c r="I7193">
        <v>31608</v>
      </c>
      <c r="J7193">
        <v>25205</v>
      </c>
      <c r="K7193" s="201">
        <v>34351</v>
      </c>
    </row>
    <row r="7194" spans="1:11" x14ac:dyDescent="0.25">
      <c r="A7194"/>
      <c r="B7194" s="201">
        <v>37530</v>
      </c>
      <c r="C7194">
        <v>49936</v>
      </c>
      <c r="D7194" s="201">
        <v>50061</v>
      </c>
      <c r="E7194" s="201">
        <v>48620</v>
      </c>
      <c r="F7194">
        <v>47746</v>
      </c>
      <c r="G7194">
        <v>54551</v>
      </c>
      <c r="H7194">
        <v>52498</v>
      </c>
      <c r="I7194">
        <v>53065</v>
      </c>
      <c r="J7194">
        <v>52627</v>
      </c>
      <c r="K7194" s="201">
        <v>52512</v>
      </c>
    </row>
    <row r="7195" spans="1:11" x14ac:dyDescent="0.25">
      <c r="A7195"/>
      <c r="B7195" s="201">
        <v>89276</v>
      </c>
      <c r="C7195">
        <v>87733</v>
      </c>
      <c r="D7195" s="201">
        <v>84865</v>
      </c>
      <c r="E7195" s="201">
        <v>92189</v>
      </c>
      <c r="F7195">
        <v>91467</v>
      </c>
      <c r="G7195">
        <v>89543</v>
      </c>
      <c r="H7195">
        <v>910</v>
      </c>
      <c r="I7195">
        <v>-45795</v>
      </c>
      <c r="J7195">
        <v>-472</v>
      </c>
      <c r="K7195" s="201">
        <v>-104</v>
      </c>
    </row>
    <row r="7196" spans="1:11" x14ac:dyDescent="0.25">
      <c r="A7196"/>
      <c r="B7196" s="201">
        <v>158</v>
      </c>
      <c r="C7196">
        <v>0</v>
      </c>
      <c r="D7196" s="201">
        <v>0</v>
      </c>
      <c r="E7196" s="201">
        <v>157</v>
      </c>
      <c r="F7196">
        <v>0</v>
      </c>
      <c r="G7196">
        <v>0</v>
      </c>
      <c r="H7196">
        <v>0</v>
      </c>
      <c r="I7196">
        <v>204</v>
      </c>
      <c r="J7196">
        <v>107</v>
      </c>
      <c r="K7196" s="201">
        <v>0</v>
      </c>
    </row>
    <row r="7197" spans="1:11" x14ac:dyDescent="0.25">
      <c r="A7197"/>
      <c r="B7197" s="201">
        <v>0</v>
      </c>
      <c r="C7197">
        <v>0</v>
      </c>
      <c r="D7197" s="201">
        <v>0</v>
      </c>
      <c r="E7197" s="201">
        <v>0</v>
      </c>
      <c r="F7197">
        <v>0</v>
      </c>
      <c r="G7197">
        <v>-367</v>
      </c>
      <c r="H7197">
        <v>0</v>
      </c>
      <c r="I7197">
        <v>0</v>
      </c>
      <c r="J7197">
        <v>80</v>
      </c>
      <c r="K7197" s="201">
        <v>0</v>
      </c>
    </row>
    <row r="7198" spans="1:11" x14ac:dyDescent="0.25">
      <c r="B7198" s="201">
        <v>-110</v>
      </c>
      <c r="C7198">
        <v>0</v>
      </c>
      <c r="D7198" s="201">
        <v>-126</v>
      </c>
      <c r="E7198" s="201">
        <v>-147</v>
      </c>
      <c r="F7198">
        <v>-100</v>
      </c>
      <c r="G7198">
        <v>0</v>
      </c>
      <c r="H7198">
        <v>755</v>
      </c>
      <c r="I7198">
        <v>-38557</v>
      </c>
      <c r="J7198">
        <v>-249</v>
      </c>
      <c r="K7198" s="201">
        <v>-274</v>
      </c>
    </row>
    <row r="7199" spans="1:11" x14ac:dyDescent="0.25">
      <c r="B7199" s="201">
        <v>-500</v>
      </c>
      <c r="C7199">
        <v>-889</v>
      </c>
      <c r="D7199" s="201">
        <v>0</v>
      </c>
      <c r="E7199" s="201">
        <v>94</v>
      </c>
      <c r="F7199">
        <v>0</v>
      </c>
      <c r="G7199">
        <v>0</v>
      </c>
      <c r="H7199">
        <v>0</v>
      </c>
      <c r="I7199">
        <v>0</v>
      </c>
      <c r="J7199">
        <v>0</v>
      </c>
      <c r="K7199" s="201">
        <v>229</v>
      </c>
    </row>
    <row r="7200" spans="1:11" x14ac:dyDescent="0.25">
      <c r="A7200"/>
      <c r="B7200" s="201">
        <v>0</v>
      </c>
      <c r="C7200">
        <v>0</v>
      </c>
      <c r="D7200" s="201">
        <v>0</v>
      </c>
      <c r="E7200" s="201">
        <v>-69</v>
      </c>
      <c r="F7200">
        <v>0</v>
      </c>
      <c r="G7200">
        <v>52</v>
      </c>
      <c r="H7200">
        <v>0</v>
      </c>
      <c r="I7200">
        <v>0</v>
      </c>
      <c r="J7200">
        <v>0</v>
      </c>
      <c r="K7200" s="201">
        <v>0</v>
      </c>
    </row>
    <row r="7201" spans="1:11" x14ac:dyDescent="0.25">
      <c r="A7201"/>
      <c r="B7201" s="201">
        <v>0</v>
      </c>
      <c r="C7201">
        <v>-109</v>
      </c>
      <c r="D7201" s="201">
        <v>0</v>
      </c>
      <c r="E7201" s="201">
        <v>-318</v>
      </c>
      <c r="F7201">
        <v>31</v>
      </c>
      <c r="G7201">
        <v>0</v>
      </c>
      <c r="H7201">
        <v>0</v>
      </c>
      <c r="I7201">
        <v>-1548</v>
      </c>
      <c r="J7201">
        <v>-47502</v>
      </c>
      <c r="K7201" s="201">
        <v>0</v>
      </c>
    </row>
    <row r="7202" spans="1:11" x14ac:dyDescent="0.25">
      <c r="A7202"/>
      <c r="B7202" s="201">
        <v>-276</v>
      </c>
      <c r="C7202">
        <v>0</v>
      </c>
      <c r="D7202" s="201">
        <v>0</v>
      </c>
      <c r="E7202" s="201">
        <v>0</v>
      </c>
      <c r="F7202">
        <v>0</v>
      </c>
      <c r="G7202">
        <v>-1401</v>
      </c>
      <c r="H7202">
        <v>-177</v>
      </c>
      <c r="I7202">
        <v>65</v>
      </c>
      <c r="J7202">
        <v>0</v>
      </c>
      <c r="K7202" s="201">
        <v>0</v>
      </c>
    </row>
    <row r="7203" spans="1:11" x14ac:dyDescent="0.25">
      <c r="A7203"/>
      <c r="B7203" s="201">
        <v>343</v>
      </c>
      <c r="C7203">
        <v>77</v>
      </c>
      <c r="D7203" s="201">
        <v>0</v>
      </c>
      <c r="E7203" s="201">
        <v>-160</v>
      </c>
      <c r="F7203">
        <v>-366</v>
      </c>
      <c r="G7203">
        <v>84</v>
      </c>
      <c r="H7203">
        <v>-235</v>
      </c>
      <c r="I7203">
        <v>369</v>
      </c>
      <c r="J7203">
        <v>282</v>
      </c>
      <c r="K7203" s="201">
        <v>-243</v>
      </c>
    </row>
    <row r="7204" spans="1:11" x14ac:dyDescent="0.25">
      <c r="A7204"/>
      <c r="B7204" s="201">
        <v>0</v>
      </c>
      <c r="C7204">
        <v>0</v>
      </c>
      <c r="D7204" s="201">
        <v>0</v>
      </c>
      <c r="E7204" s="201">
        <v>0</v>
      </c>
      <c r="F7204">
        <v>0</v>
      </c>
      <c r="G7204">
        <v>115</v>
      </c>
      <c r="H7204">
        <v>0</v>
      </c>
      <c r="I7204">
        <v>1546</v>
      </c>
      <c r="J7204">
        <v>932</v>
      </c>
      <c r="K7204" s="201">
        <v>114</v>
      </c>
    </row>
    <row r="7205" spans="1:11" x14ac:dyDescent="0.25">
      <c r="A7205"/>
      <c r="B7205" s="201">
        <v>0</v>
      </c>
      <c r="C7205">
        <v>-732</v>
      </c>
      <c r="D7205" s="201">
        <v>-55963</v>
      </c>
      <c r="E7205" s="201">
        <v>-195</v>
      </c>
      <c r="F7205">
        <v>-313</v>
      </c>
      <c r="G7205">
        <v>-229</v>
      </c>
      <c r="H7205">
        <v>0</v>
      </c>
      <c r="I7205">
        <v>506</v>
      </c>
      <c r="J7205">
        <v>459</v>
      </c>
      <c r="K7205" s="201">
        <v>-1028</v>
      </c>
    </row>
    <row r="7206" spans="1:11" x14ac:dyDescent="0.25">
      <c r="A7206"/>
      <c r="B7206" s="201">
        <v>166</v>
      </c>
      <c r="C7206">
        <v>0</v>
      </c>
      <c r="D7206" s="201">
        <v>-284</v>
      </c>
      <c r="E7206" s="201">
        <v>645</v>
      </c>
      <c r="F7206">
        <v>0</v>
      </c>
      <c r="G7206">
        <v>0</v>
      </c>
      <c r="H7206">
        <v>0</v>
      </c>
      <c r="I7206">
        <v>-268</v>
      </c>
      <c r="J7206">
        <v>-511</v>
      </c>
      <c r="K7206" s="201">
        <v>0</v>
      </c>
    </row>
    <row r="7207" spans="1:11" x14ac:dyDescent="0.25">
      <c r="A7207"/>
      <c r="B7207" s="201">
        <v>-278</v>
      </c>
      <c r="C7207">
        <v>322</v>
      </c>
      <c r="D7207" s="201">
        <v>99</v>
      </c>
      <c r="E7207" s="201">
        <v>20</v>
      </c>
      <c r="F7207">
        <v>0</v>
      </c>
      <c r="G7207">
        <v>0</v>
      </c>
      <c r="H7207">
        <v>0</v>
      </c>
      <c r="I7207">
        <v>0</v>
      </c>
      <c r="J7207">
        <v>0</v>
      </c>
      <c r="K7207" s="201">
        <v>-781</v>
      </c>
    </row>
    <row r="7208" spans="1:11" x14ac:dyDescent="0.25">
      <c r="A7208"/>
      <c r="B7208" s="201">
        <v>0</v>
      </c>
      <c r="C7208">
        <v>8852</v>
      </c>
      <c r="D7208" s="201">
        <v>632</v>
      </c>
      <c r="E7208" s="201">
        <v>120</v>
      </c>
      <c r="F7208">
        <v>0</v>
      </c>
      <c r="G7208">
        <v>-1094</v>
      </c>
      <c r="H7208">
        <v>-54581</v>
      </c>
      <c r="I7208">
        <v>-176</v>
      </c>
      <c r="J7208">
        <v>-32</v>
      </c>
      <c r="K7208" s="201">
        <v>-139</v>
      </c>
    </row>
    <row r="7209" spans="1:11" x14ac:dyDescent="0.25">
      <c r="A7209"/>
      <c r="B7209" s="201">
        <v>46</v>
      </c>
      <c r="C7209">
        <v>359</v>
      </c>
      <c r="D7209" s="201">
        <v>2151</v>
      </c>
      <c r="E7209" s="201">
        <v>0</v>
      </c>
      <c r="F7209">
        <v>212</v>
      </c>
      <c r="G7209">
        <v>0</v>
      </c>
      <c r="H7209">
        <v>0</v>
      </c>
      <c r="I7209">
        <v>494</v>
      </c>
      <c r="J7209">
        <v>344</v>
      </c>
      <c r="K7209" s="201">
        <v>0</v>
      </c>
    </row>
    <row r="7210" spans="1:11" x14ac:dyDescent="0.25">
      <c r="A7210"/>
      <c r="B7210" s="201">
        <v>113</v>
      </c>
      <c r="C7210">
        <v>0</v>
      </c>
      <c r="D7210" s="201">
        <v>0</v>
      </c>
      <c r="E7210" s="201">
        <v>-120</v>
      </c>
      <c r="F7210">
        <v>0</v>
      </c>
      <c r="G7210">
        <v>246</v>
      </c>
      <c r="H7210">
        <v>84</v>
      </c>
      <c r="I7210">
        <v>110</v>
      </c>
      <c r="J7210">
        <v>0</v>
      </c>
      <c r="K7210" s="201">
        <v>0</v>
      </c>
    </row>
    <row r="7211" spans="1:11" x14ac:dyDescent="0.25">
      <c r="A7211"/>
      <c r="B7211" s="201">
        <v>0</v>
      </c>
      <c r="C7211">
        <v>0</v>
      </c>
      <c r="D7211" s="201">
        <v>0</v>
      </c>
      <c r="E7211" s="201">
        <v>-484</v>
      </c>
      <c r="F7211">
        <v>0</v>
      </c>
      <c r="G7211">
        <v>7967</v>
      </c>
      <c r="H7211">
        <v>758</v>
      </c>
      <c r="I7211">
        <v>125</v>
      </c>
      <c r="J7211">
        <v>0</v>
      </c>
      <c r="K7211" s="201">
        <v>-1766</v>
      </c>
    </row>
    <row r="7212" spans="1:11" x14ac:dyDescent="0.25">
      <c r="A7212"/>
      <c r="B7212" s="201">
        <v>-61159</v>
      </c>
      <c r="C7212">
        <v>490</v>
      </c>
      <c r="D7212" s="201">
        <v>0</v>
      </c>
      <c r="E7212" s="201">
        <v>0</v>
      </c>
      <c r="F7212">
        <v>0</v>
      </c>
      <c r="G7212">
        <v>2366</v>
      </c>
      <c r="H7212">
        <v>3445</v>
      </c>
      <c r="I7212">
        <v>1379</v>
      </c>
      <c r="J7212">
        <v>-1372</v>
      </c>
      <c r="K7212" s="201">
        <v>-1321</v>
      </c>
    </row>
    <row r="7213" spans="1:11" x14ac:dyDescent="0.25">
      <c r="A7213"/>
      <c r="B7213" s="201">
        <v>0</v>
      </c>
      <c r="C7213">
        <v>619</v>
      </c>
      <c r="D7213" s="201">
        <v>0</v>
      </c>
      <c r="E7213" s="201">
        <v>0</v>
      </c>
      <c r="F7213">
        <v>-32</v>
      </c>
      <c r="G7213">
        <v>0</v>
      </c>
      <c r="H7213">
        <v>-1392</v>
      </c>
      <c r="I7213">
        <v>0</v>
      </c>
      <c r="J7213">
        <v>-1699</v>
      </c>
      <c r="K7213" s="201">
        <v>0</v>
      </c>
    </row>
    <row r="7214" spans="1:11" x14ac:dyDescent="0.25">
      <c r="A7214"/>
      <c r="B7214" s="201">
        <v>0</v>
      </c>
      <c r="C7214">
        <v>0</v>
      </c>
      <c r="D7214" s="201">
        <v>0</v>
      </c>
      <c r="E7214" s="201">
        <v>0</v>
      </c>
      <c r="F7214">
        <v>0</v>
      </c>
      <c r="G7214">
        <v>0</v>
      </c>
      <c r="H7214">
        <v>0</v>
      </c>
      <c r="I7214">
        <v>-578</v>
      </c>
      <c r="J7214">
        <v>0</v>
      </c>
      <c r="K7214" s="201">
        <v>2288</v>
      </c>
    </row>
    <row r="7215" spans="1:11" x14ac:dyDescent="0.25">
      <c r="A7215"/>
      <c r="B7215" s="201">
        <v>-2210</v>
      </c>
      <c r="C7215">
        <v>-922</v>
      </c>
      <c r="D7215" s="201">
        <v>0</v>
      </c>
      <c r="E7215" s="201">
        <v>-751</v>
      </c>
      <c r="F7215">
        <v>-61461</v>
      </c>
      <c r="G7215">
        <v>0</v>
      </c>
      <c r="H7215">
        <v>0</v>
      </c>
      <c r="I7215">
        <v>0</v>
      </c>
      <c r="J7215">
        <v>0</v>
      </c>
      <c r="K7215" s="201">
        <v>0</v>
      </c>
    </row>
    <row r="7216" spans="1:11" x14ac:dyDescent="0.25">
      <c r="A7216"/>
      <c r="B7216" s="201">
        <v>430</v>
      </c>
      <c r="C7216">
        <v>-433</v>
      </c>
      <c r="D7216" s="201">
        <v>1966</v>
      </c>
      <c r="E7216" s="201">
        <v>1373</v>
      </c>
      <c r="F7216">
        <v>1237</v>
      </c>
      <c r="G7216">
        <v>4183</v>
      </c>
      <c r="H7216">
        <v>0</v>
      </c>
      <c r="I7216">
        <v>0</v>
      </c>
      <c r="J7216">
        <v>0</v>
      </c>
      <c r="K7216" s="201">
        <v>0</v>
      </c>
    </row>
    <row r="7217" spans="1:11" x14ac:dyDescent="0.25">
      <c r="B7217" s="201">
        <v>-3219</v>
      </c>
      <c r="C7217">
        <v>0</v>
      </c>
      <c r="D7217" s="201">
        <v>-2379</v>
      </c>
      <c r="E7217" s="201">
        <v>0</v>
      </c>
      <c r="F7217">
        <v>0</v>
      </c>
      <c r="G7217">
        <v>1314</v>
      </c>
      <c r="H7217">
        <v>-780</v>
      </c>
      <c r="I7217">
        <v>0</v>
      </c>
      <c r="J7217">
        <v>0</v>
      </c>
      <c r="K7217" s="201">
        <v>0</v>
      </c>
    </row>
    <row r="7218" spans="1:11" x14ac:dyDescent="0.25">
      <c r="A7218"/>
      <c r="B7218" s="201">
        <v>0</v>
      </c>
      <c r="C7218">
        <v>-2285</v>
      </c>
      <c r="D7218" s="201">
        <v>0</v>
      </c>
      <c r="E7218" s="201">
        <v>4705</v>
      </c>
      <c r="F7218">
        <v>-614</v>
      </c>
      <c r="G7218">
        <v>1677</v>
      </c>
      <c r="H7218">
        <v>6352</v>
      </c>
      <c r="I7218">
        <v>1449</v>
      </c>
      <c r="J7218">
        <v>1444</v>
      </c>
      <c r="K7218" s="201">
        <v>1460</v>
      </c>
    </row>
    <row r="7219" spans="1:11" x14ac:dyDescent="0.25">
      <c r="A7219"/>
      <c r="B7219" s="201">
        <v>-20</v>
      </c>
      <c r="C7219">
        <v>-725</v>
      </c>
      <c r="D7219" s="201">
        <v>167</v>
      </c>
      <c r="E7219" s="201">
        <v>0</v>
      </c>
      <c r="F7219">
        <v>0</v>
      </c>
      <c r="G7219">
        <v>0</v>
      </c>
      <c r="H7219">
        <v>0</v>
      </c>
      <c r="I7219">
        <v>0</v>
      </c>
      <c r="J7219">
        <v>0</v>
      </c>
      <c r="K7219" s="201">
        <v>0</v>
      </c>
    </row>
    <row r="7220" spans="1:11" x14ac:dyDescent="0.25">
      <c r="A7220"/>
      <c r="B7220" s="201">
        <v>-14</v>
      </c>
      <c r="C7220">
        <v>226</v>
      </c>
      <c r="D7220" s="201">
        <v>1861</v>
      </c>
      <c r="E7220" s="201">
        <v>-11</v>
      </c>
      <c r="F7220">
        <v>1645</v>
      </c>
      <c r="G7220">
        <v>-685</v>
      </c>
      <c r="H7220">
        <v>0</v>
      </c>
      <c r="I7220">
        <v>0</v>
      </c>
      <c r="J7220">
        <v>693</v>
      </c>
      <c r="K7220" s="201">
        <v>0</v>
      </c>
    </row>
    <row r="7221" spans="1:11" x14ac:dyDescent="0.25">
      <c r="B7221" s="201">
        <v>-109</v>
      </c>
      <c r="C7221">
        <v>8122</v>
      </c>
      <c r="D7221" s="201">
        <v>0</v>
      </c>
      <c r="E7221" s="201">
        <v>0</v>
      </c>
      <c r="F7221">
        <v>0</v>
      </c>
      <c r="G7221">
        <v>0</v>
      </c>
      <c r="H7221">
        <v>-218</v>
      </c>
      <c r="I7221">
        <v>0</v>
      </c>
      <c r="J7221">
        <v>-1782</v>
      </c>
      <c r="K7221" s="201">
        <v>-3765</v>
      </c>
    </row>
    <row r="7222" spans="1:11" x14ac:dyDescent="0.25">
      <c r="A7222"/>
      <c r="B7222" s="201">
        <v>0</v>
      </c>
      <c r="C7222">
        <v>0</v>
      </c>
      <c r="D7222" s="201">
        <v>0</v>
      </c>
      <c r="E7222" s="201">
        <v>0</v>
      </c>
      <c r="F7222">
        <v>0</v>
      </c>
      <c r="G7222">
        <v>0</v>
      </c>
      <c r="H7222">
        <v>0</v>
      </c>
      <c r="I7222">
        <v>0</v>
      </c>
      <c r="J7222">
        <v>0</v>
      </c>
      <c r="K7222" s="201">
        <v>0</v>
      </c>
    </row>
    <row r="7223" spans="1:11" x14ac:dyDescent="0.25">
      <c r="A7223"/>
      <c r="B7223" s="201">
        <v>0</v>
      </c>
      <c r="C7223">
        <v>0</v>
      </c>
      <c r="D7223" s="201">
        <v>0</v>
      </c>
      <c r="E7223" s="201">
        <v>0</v>
      </c>
      <c r="F7223">
        <v>0</v>
      </c>
      <c r="G7223">
        <v>-895</v>
      </c>
      <c r="H7223">
        <v>0</v>
      </c>
      <c r="I7223">
        <v>0</v>
      </c>
      <c r="J7223">
        <v>0</v>
      </c>
      <c r="K7223" s="201">
        <v>0</v>
      </c>
    </row>
    <row r="7224" spans="1:11" x14ac:dyDescent="0.25">
      <c r="A7224"/>
      <c r="B7224" s="201">
        <v>0</v>
      </c>
      <c r="C7224">
        <v>1266</v>
      </c>
      <c r="D7224" s="201">
        <v>-2056</v>
      </c>
      <c r="E7224" s="201">
        <v>-2216</v>
      </c>
      <c r="F7224">
        <v>-14565</v>
      </c>
      <c r="G7224">
        <v>-16992</v>
      </c>
      <c r="H7224">
        <v>-17332</v>
      </c>
      <c r="I7224">
        <v>-20765</v>
      </c>
      <c r="J7224">
        <v>-2572</v>
      </c>
      <c r="K7224" s="201">
        <v>-1118</v>
      </c>
    </row>
    <row r="7225" spans="1:11" x14ac:dyDescent="0.25">
      <c r="A7225"/>
      <c r="B7225" s="201">
        <v>933</v>
      </c>
      <c r="C7225">
        <v>-2516</v>
      </c>
      <c r="D7225" s="201">
        <v>-1747</v>
      </c>
      <c r="E7225" s="201">
        <v>-10937</v>
      </c>
      <c r="F7225">
        <v>-11751</v>
      </c>
      <c r="G7225">
        <v>-10334</v>
      </c>
      <c r="H7225">
        <v>-10884</v>
      </c>
      <c r="I7225">
        <v>-7316</v>
      </c>
      <c r="J7225">
        <v>0</v>
      </c>
      <c r="K7225" s="201">
        <v>-16619</v>
      </c>
    </row>
    <row r="7226" spans="1:11" x14ac:dyDescent="0.25">
      <c r="A7226"/>
      <c r="B7226" s="201">
        <v>-19712</v>
      </c>
      <c r="C7226">
        <v>-19945</v>
      </c>
      <c r="D7226" s="201">
        <v>-20503</v>
      </c>
      <c r="E7226" s="201">
        <v>-15229</v>
      </c>
      <c r="F7226">
        <v>-16213</v>
      </c>
      <c r="G7226">
        <v>-22526</v>
      </c>
      <c r="H7226">
        <v>-22010</v>
      </c>
      <c r="I7226">
        <v>-14733</v>
      </c>
      <c r="J7226">
        <v>-21751</v>
      </c>
      <c r="K7226" s="201">
        <v>-16422</v>
      </c>
    </row>
    <row r="7227" spans="1:11" x14ac:dyDescent="0.25">
      <c r="A7227"/>
      <c r="B7227" s="201">
        <v>-19803</v>
      </c>
      <c r="C7227">
        <v>-11561</v>
      </c>
      <c r="D7227" s="201">
        <v>-18140</v>
      </c>
      <c r="E7227" s="201">
        <v>-18436</v>
      </c>
      <c r="F7227">
        <v>-14981</v>
      </c>
      <c r="G7227">
        <v>-15442</v>
      </c>
      <c r="H7227">
        <v>-22000</v>
      </c>
      <c r="I7227">
        <v>-22443</v>
      </c>
      <c r="J7227">
        <v>-20821</v>
      </c>
      <c r="K7227" s="201">
        <v>-4572</v>
      </c>
    </row>
    <row r="7228" spans="1:11" x14ac:dyDescent="0.25">
      <c r="A7228"/>
      <c r="B7228" s="201">
        <v>-8850</v>
      </c>
      <c r="C7228">
        <v>-9282</v>
      </c>
      <c r="D7228" s="201">
        <v>-9203</v>
      </c>
      <c r="E7228" s="201">
        <v>-7598</v>
      </c>
      <c r="F7228">
        <v>-11119</v>
      </c>
      <c r="G7228">
        <v>-6158</v>
      </c>
      <c r="H7228">
        <v>-6608</v>
      </c>
      <c r="I7228">
        <v>-6859</v>
      </c>
      <c r="J7228">
        <v>-6555</v>
      </c>
      <c r="K7228" s="201">
        <v>-6799</v>
      </c>
    </row>
    <row r="7229" spans="1:11" x14ac:dyDescent="0.25">
      <c r="B7229" s="201">
        <v>-5638</v>
      </c>
      <c r="C7229">
        <v>-5548</v>
      </c>
      <c r="D7229" s="201">
        <v>-4134</v>
      </c>
      <c r="E7229" s="201">
        <v>-4909</v>
      </c>
      <c r="F7229">
        <v>-5360</v>
      </c>
      <c r="G7229">
        <v>-4475</v>
      </c>
      <c r="H7229">
        <v>-5239</v>
      </c>
      <c r="I7229">
        <v>-3866</v>
      </c>
      <c r="J7229">
        <v>-4872</v>
      </c>
      <c r="K7229" s="201">
        <v>46007</v>
      </c>
    </row>
    <row r="7230" spans="1:11" x14ac:dyDescent="0.25">
      <c r="B7230" s="201">
        <v>55578</v>
      </c>
      <c r="C7230">
        <v>55368</v>
      </c>
      <c r="D7230" s="201">
        <v>52730</v>
      </c>
      <c r="E7230" s="201">
        <v>47575</v>
      </c>
      <c r="F7230">
        <v>25308</v>
      </c>
      <c r="G7230">
        <v>30640</v>
      </c>
      <c r="H7230">
        <v>24583</v>
      </c>
      <c r="I7230">
        <v>33528</v>
      </c>
      <c r="J7230">
        <v>36870</v>
      </c>
      <c r="K7230" s="201">
        <v>52633</v>
      </c>
    </row>
    <row r="7231" spans="1:11" x14ac:dyDescent="0.25">
      <c r="A7231"/>
      <c r="B7231" s="201">
        <v>52692</v>
      </c>
      <c r="C7231">
        <v>51750</v>
      </c>
      <c r="D7231" s="201">
        <v>50495</v>
      </c>
      <c r="E7231" s="201">
        <v>56456</v>
      </c>
      <c r="F7231">
        <v>55605</v>
      </c>
      <c r="G7231">
        <v>56197</v>
      </c>
      <c r="H7231">
        <v>55633</v>
      </c>
      <c r="I7231">
        <v>55304</v>
      </c>
      <c r="J7231">
        <v>89067</v>
      </c>
      <c r="K7231" s="201">
        <v>90291</v>
      </c>
    </row>
    <row r="7232" spans="1:11" x14ac:dyDescent="0.25">
      <c r="B7232" s="201">
        <v>89187</v>
      </c>
      <c r="C7232">
        <v>92711</v>
      </c>
      <c r="D7232" s="201">
        <v>95097</v>
      </c>
      <c r="E7232" s="201">
        <v>94875</v>
      </c>
      <c r="F7232">
        <v>93623</v>
      </c>
      <c r="G7232">
        <v>1982</v>
      </c>
      <c r="H7232">
        <v>-148</v>
      </c>
      <c r="I7232">
        <v>-1113</v>
      </c>
      <c r="J7232">
        <v>-1215</v>
      </c>
      <c r="K7232" s="201">
        <v>-1638</v>
      </c>
    </row>
    <row r="7233" spans="1:11" x14ac:dyDescent="0.25">
      <c r="A7233"/>
      <c r="B7233" s="201">
        <v>0</v>
      </c>
      <c r="C7233">
        <v>0</v>
      </c>
      <c r="D7233" s="201">
        <v>1251</v>
      </c>
      <c r="E7233" s="201">
        <v>0</v>
      </c>
      <c r="F7233">
        <v>0</v>
      </c>
      <c r="G7233">
        <v>0</v>
      </c>
      <c r="H7233">
        <v>394</v>
      </c>
      <c r="I7233">
        <v>-265</v>
      </c>
      <c r="J7233">
        <v>0</v>
      </c>
      <c r="K7233" s="201">
        <v>0</v>
      </c>
    </row>
    <row r="7234" spans="1:11" x14ac:dyDescent="0.25">
      <c r="A7234"/>
      <c r="B7234" s="201">
        <v>0</v>
      </c>
      <c r="C7234">
        <v>0</v>
      </c>
      <c r="D7234" s="201">
        <v>0</v>
      </c>
      <c r="E7234" s="201">
        <v>0</v>
      </c>
      <c r="F7234">
        <v>-620</v>
      </c>
      <c r="G7234">
        <v>0</v>
      </c>
      <c r="H7234">
        <v>0</v>
      </c>
      <c r="I7234">
        <v>276</v>
      </c>
      <c r="J7234">
        <v>0</v>
      </c>
      <c r="K7234" s="201">
        <v>-231</v>
      </c>
    </row>
    <row r="7235" spans="1:11" x14ac:dyDescent="0.25">
      <c r="A7235"/>
      <c r="B7235" s="201">
        <v>0</v>
      </c>
      <c r="C7235" s="201">
        <v>272</v>
      </c>
      <c r="D7235" s="201">
        <v>-1294</v>
      </c>
      <c r="E7235" s="201">
        <v>-921</v>
      </c>
      <c r="F7235">
        <v>0</v>
      </c>
      <c r="G7235">
        <v>894</v>
      </c>
      <c r="H7235">
        <v>271</v>
      </c>
      <c r="I7235">
        <v>-982</v>
      </c>
      <c r="J7235">
        <v>-2004</v>
      </c>
      <c r="K7235" s="201">
        <v>1169</v>
      </c>
    </row>
    <row r="7236" spans="1:11" x14ac:dyDescent="0.25">
      <c r="B7236" s="201">
        <v>1917</v>
      </c>
      <c r="C7236">
        <v>0</v>
      </c>
      <c r="D7236" s="201">
        <v>-563</v>
      </c>
      <c r="E7236" s="201">
        <v>0</v>
      </c>
      <c r="F7236">
        <v>0</v>
      </c>
      <c r="G7236">
        <v>0</v>
      </c>
      <c r="H7236">
        <v>0</v>
      </c>
      <c r="I7236">
        <v>0</v>
      </c>
      <c r="J7236">
        <v>65</v>
      </c>
      <c r="K7236" s="201">
        <v>0</v>
      </c>
    </row>
    <row r="7237" spans="1:11" x14ac:dyDescent="0.25">
      <c r="A7237"/>
      <c r="B7237" s="201">
        <v>0</v>
      </c>
      <c r="C7237">
        <v>0</v>
      </c>
      <c r="D7237" s="201">
        <v>-238</v>
      </c>
      <c r="E7237" s="201">
        <v>0</v>
      </c>
      <c r="F7237">
        <v>58</v>
      </c>
      <c r="G7237">
        <v>0</v>
      </c>
      <c r="H7237">
        <v>0</v>
      </c>
      <c r="I7237">
        <v>0</v>
      </c>
      <c r="J7237">
        <v>0</v>
      </c>
      <c r="K7237" s="201">
        <v>0</v>
      </c>
    </row>
    <row r="7238" spans="1:11" x14ac:dyDescent="0.25">
      <c r="A7238"/>
      <c r="B7238" s="201">
        <v>-260</v>
      </c>
      <c r="C7238">
        <v>0</v>
      </c>
      <c r="D7238" s="201">
        <v>-273</v>
      </c>
      <c r="E7238" s="201">
        <v>-1218</v>
      </c>
      <c r="F7238">
        <v>0</v>
      </c>
      <c r="G7238">
        <v>0</v>
      </c>
      <c r="H7238">
        <v>-21201</v>
      </c>
      <c r="I7238">
        <v>-2107</v>
      </c>
      <c r="J7238">
        <v>0</v>
      </c>
      <c r="K7238" s="201">
        <v>2295</v>
      </c>
    </row>
    <row r="7239" spans="1:11" x14ac:dyDescent="0.25">
      <c r="A7239"/>
      <c r="B7239" s="201">
        <v>0</v>
      </c>
      <c r="C7239">
        <v>0</v>
      </c>
      <c r="D7239" s="201">
        <v>0</v>
      </c>
      <c r="E7239" s="201">
        <v>0</v>
      </c>
      <c r="F7239">
        <v>-10176</v>
      </c>
      <c r="G7239">
        <v>4066</v>
      </c>
      <c r="H7239">
        <v>2674</v>
      </c>
      <c r="I7239">
        <v>0</v>
      </c>
      <c r="J7239">
        <v>0</v>
      </c>
      <c r="K7239" s="201">
        <v>-2027</v>
      </c>
    </row>
    <row r="7240" spans="1:11" x14ac:dyDescent="0.25">
      <c r="A7240"/>
      <c r="B7240" s="201">
        <v>514</v>
      </c>
      <c r="C7240">
        <v>0</v>
      </c>
      <c r="D7240" s="201">
        <v>794</v>
      </c>
      <c r="E7240" s="201">
        <v>2081</v>
      </c>
      <c r="F7240">
        <v>93</v>
      </c>
      <c r="G7240">
        <v>1149</v>
      </c>
      <c r="H7240">
        <v>1516</v>
      </c>
      <c r="I7240">
        <v>401</v>
      </c>
      <c r="J7240">
        <v>1879</v>
      </c>
      <c r="K7240" s="201">
        <v>0</v>
      </c>
    </row>
    <row r="7241" spans="1:11" x14ac:dyDescent="0.25">
      <c r="A7241"/>
      <c r="B7241" s="201">
        <v>0</v>
      </c>
      <c r="C7241">
        <v>0</v>
      </c>
      <c r="D7241" s="201">
        <v>0</v>
      </c>
      <c r="E7241" s="201">
        <v>0</v>
      </c>
      <c r="F7241">
        <v>23958</v>
      </c>
      <c r="G7241">
        <v>0</v>
      </c>
      <c r="H7241">
        <v>2217</v>
      </c>
      <c r="I7241">
        <v>2069</v>
      </c>
      <c r="J7241">
        <v>-90</v>
      </c>
      <c r="K7241" s="201">
        <v>0</v>
      </c>
    </row>
    <row r="7242" spans="1:11" x14ac:dyDescent="0.25">
      <c r="A7242"/>
      <c r="B7242" s="201">
        <v>5712</v>
      </c>
      <c r="C7242">
        <v>941</v>
      </c>
      <c r="D7242" s="201">
        <v>-493</v>
      </c>
      <c r="E7242" s="201">
        <v>-152</v>
      </c>
      <c r="F7242">
        <v>229</v>
      </c>
      <c r="G7242">
        <v>0</v>
      </c>
      <c r="H7242">
        <v>-2479</v>
      </c>
      <c r="I7242">
        <v>2860</v>
      </c>
      <c r="J7242">
        <v>-1405</v>
      </c>
      <c r="K7242" s="201">
        <v>-26</v>
      </c>
    </row>
    <row r="7243" spans="1:11" x14ac:dyDescent="0.25">
      <c r="A7243"/>
      <c r="B7243" s="201">
        <v>0</v>
      </c>
      <c r="C7243">
        <v>661</v>
      </c>
      <c r="D7243" s="201">
        <v>-40827</v>
      </c>
      <c r="E7243" s="201">
        <v>0</v>
      </c>
      <c r="F7243">
        <v>0</v>
      </c>
      <c r="G7243">
        <v>0</v>
      </c>
      <c r="H7243">
        <v>-159</v>
      </c>
      <c r="I7243">
        <v>-139</v>
      </c>
      <c r="J7243">
        <v>0</v>
      </c>
      <c r="K7243" s="201">
        <v>-234</v>
      </c>
    </row>
    <row r="7244" spans="1:11" x14ac:dyDescent="0.25">
      <c r="A7244"/>
      <c r="B7244" s="201">
        <v>-1231</v>
      </c>
      <c r="C7244">
        <v>-232</v>
      </c>
      <c r="D7244" s="201">
        <v>-418</v>
      </c>
      <c r="E7244" s="201">
        <v>0</v>
      </c>
      <c r="F7244">
        <v>0</v>
      </c>
      <c r="G7244">
        <v>0</v>
      </c>
      <c r="H7244">
        <v>0</v>
      </c>
      <c r="I7244">
        <v>0</v>
      </c>
      <c r="J7244">
        <v>1293</v>
      </c>
      <c r="K7244" s="201">
        <v>0</v>
      </c>
    </row>
    <row r="7245" spans="1:11" x14ac:dyDescent="0.25">
      <c r="A7245"/>
      <c r="B7245" s="201">
        <v>5198</v>
      </c>
      <c r="C7245">
        <v>539</v>
      </c>
      <c r="D7245" s="201">
        <v>106</v>
      </c>
      <c r="E7245" s="201">
        <v>0</v>
      </c>
      <c r="F7245">
        <v>6278</v>
      </c>
      <c r="G7245">
        <v>232</v>
      </c>
      <c r="H7245">
        <v>-545</v>
      </c>
      <c r="I7245">
        <v>-260</v>
      </c>
      <c r="J7245">
        <v>186</v>
      </c>
      <c r="K7245" s="201">
        <v>-1211</v>
      </c>
    </row>
    <row r="7246" spans="1:11" x14ac:dyDescent="0.25">
      <c r="B7246" s="201">
        <v>-2477</v>
      </c>
      <c r="C7246">
        <v>4172</v>
      </c>
      <c r="D7246" s="201">
        <v>0</v>
      </c>
      <c r="E7246" s="201">
        <v>124</v>
      </c>
      <c r="F7246">
        <v>0</v>
      </c>
      <c r="G7246">
        <v>0</v>
      </c>
      <c r="H7246">
        <v>-37974</v>
      </c>
      <c r="I7246">
        <v>-302</v>
      </c>
      <c r="J7246">
        <v>0</v>
      </c>
      <c r="K7246" s="201">
        <v>163</v>
      </c>
    </row>
    <row r="7247" spans="1:11" x14ac:dyDescent="0.25">
      <c r="A7247"/>
      <c r="B7247" s="201">
        <v>0</v>
      </c>
      <c r="C7247">
        <v>0</v>
      </c>
      <c r="D7247" s="201">
        <v>-198</v>
      </c>
      <c r="E7247" s="201">
        <v>0</v>
      </c>
      <c r="F7247">
        <v>-247</v>
      </c>
      <c r="G7247">
        <v>29</v>
      </c>
      <c r="H7247">
        <v>-314</v>
      </c>
      <c r="I7247">
        <v>0</v>
      </c>
      <c r="J7247">
        <v>0</v>
      </c>
      <c r="K7247" s="201">
        <v>0</v>
      </c>
    </row>
    <row r="7248" spans="1:11" x14ac:dyDescent="0.25">
      <c r="A7248"/>
      <c r="B7248" s="201">
        <v>0</v>
      </c>
      <c r="C7248">
        <v>0</v>
      </c>
      <c r="D7248" s="201">
        <v>102</v>
      </c>
      <c r="E7248" s="201">
        <v>0</v>
      </c>
      <c r="F7248">
        <v>5444</v>
      </c>
      <c r="G7248">
        <v>535</v>
      </c>
      <c r="H7248">
        <v>-154</v>
      </c>
      <c r="I7248">
        <v>0</v>
      </c>
      <c r="J7248">
        <v>5847</v>
      </c>
      <c r="K7248" s="201">
        <v>2635</v>
      </c>
    </row>
    <row r="7249" spans="1:11" x14ac:dyDescent="0.25">
      <c r="A7249"/>
      <c r="B7249" s="201">
        <v>-68</v>
      </c>
      <c r="C7249">
        <v>0</v>
      </c>
      <c r="D7249" s="201">
        <v>0</v>
      </c>
      <c r="E7249" s="201">
        <v>0</v>
      </c>
      <c r="F7249">
        <v>-921</v>
      </c>
      <c r="G7249">
        <v>2430</v>
      </c>
      <c r="H7249">
        <v>-777</v>
      </c>
      <c r="I7249">
        <v>-373</v>
      </c>
      <c r="J7249">
        <v>-566</v>
      </c>
      <c r="K7249" s="201">
        <v>0</v>
      </c>
    </row>
    <row r="7250" spans="1:11" x14ac:dyDescent="0.25">
      <c r="B7250" s="201">
        <v>-22656</v>
      </c>
      <c r="C7250">
        <v>0</v>
      </c>
      <c r="D7250" s="201">
        <v>0</v>
      </c>
      <c r="E7250" s="201">
        <v>-52</v>
      </c>
      <c r="F7250">
        <v>0</v>
      </c>
      <c r="G7250">
        <v>-156</v>
      </c>
      <c r="H7250">
        <v>0</v>
      </c>
      <c r="I7250">
        <v>-263</v>
      </c>
      <c r="J7250">
        <v>0</v>
      </c>
      <c r="K7250" s="201">
        <v>0</v>
      </c>
    </row>
    <row r="7251" spans="1:11" x14ac:dyDescent="0.25">
      <c r="A7251"/>
      <c r="B7251" s="201">
        <v>0</v>
      </c>
      <c r="C7251">
        <v>0</v>
      </c>
      <c r="D7251" s="201">
        <v>0</v>
      </c>
      <c r="E7251" s="201">
        <v>0</v>
      </c>
      <c r="F7251">
        <v>0</v>
      </c>
      <c r="G7251">
        <v>0</v>
      </c>
      <c r="H7251">
        <v>744</v>
      </c>
      <c r="I7251">
        <v>0</v>
      </c>
      <c r="J7251">
        <v>1709</v>
      </c>
      <c r="K7251" s="201">
        <v>393</v>
      </c>
    </row>
    <row r="7252" spans="1:11" x14ac:dyDescent="0.25">
      <c r="B7252" s="201">
        <v>-161</v>
      </c>
      <c r="C7252">
        <v>0</v>
      </c>
      <c r="D7252" s="201">
        <v>255</v>
      </c>
      <c r="E7252" s="201">
        <v>-143</v>
      </c>
      <c r="F7252">
        <v>0</v>
      </c>
      <c r="G7252">
        <v>0</v>
      </c>
      <c r="H7252">
        <v>0</v>
      </c>
      <c r="I7252">
        <v>0</v>
      </c>
      <c r="J7252">
        <v>0</v>
      </c>
      <c r="K7252" s="201">
        <v>8673</v>
      </c>
    </row>
    <row r="7253" spans="1:11" x14ac:dyDescent="0.25">
      <c r="A7253"/>
      <c r="B7253" s="201">
        <v>1537</v>
      </c>
      <c r="C7253">
        <v>4748</v>
      </c>
      <c r="D7253" s="201">
        <v>3829</v>
      </c>
      <c r="E7253" s="201">
        <v>2759</v>
      </c>
      <c r="F7253">
        <v>-38212</v>
      </c>
      <c r="G7253">
        <v>0</v>
      </c>
      <c r="H7253">
        <v>0</v>
      </c>
      <c r="I7253">
        <v>0</v>
      </c>
      <c r="J7253">
        <v>0</v>
      </c>
      <c r="K7253" s="201">
        <v>2346</v>
      </c>
    </row>
    <row r="7254" spans="1:11" x14ac:dyDescent="0.25">
      <c r="A7254"/>
      <c r="B7254" s="201">
        <v>0</v>
      </c>
      <c r="C7254">
        <v>774</v>
      </c>
      <c r="D7254" s="201">
        <v>0</v>
      </c>
      <c r="E7254" s="201">
        <v>0</v>
      </c>
      <c r="F7254">
        <v>2787</v>
      </c>
      <c r="G7254">
        <v>234</v>
      </c>
      <c r="H7254">
        <v>0</v>
      </c>
      <c r="I7254">
        <v>0</v>
      </c>
      <c r="J7254">
        <v>0</v>
      </c>
      <c r="K7254" s="201">
        <v>0</v>
      </c>
    </row>
    <row r="7255" spans="1:11" x14ac:dyDescent="0.25">
      <c r="B7255" s="201">
        <v>4948</v>
      </c>
      <c r="C7255">
        <v>0</v>
      </c>
      <c r="D7255" s="201">
        <v>4454</v>
      </c>
      <c r="E7255" s="201">
        <v>1370</v>
      </c>
      <c r="F7255">
        <v>3549</v>
      </c>
      <c r="G7255">
        <v>5196</v>
      </c>
      <c r="H7255">
        <v>3496</v>
      </c>
      <c r="I7255">
        <v>3003</v>
      </c>
      <c r="J7255">
        <v>2544</v>
      </c>
      <c r="K7255" s="201">
        <v>3699</v>
      </c>
    </row>
    <row r="7256" spans="1:11" x14ac:dyDescent="0.25">
      <c r="A7256"/>
      <c r="B7256" s="201">
        <v>9619</v>
      </c>
      <c r="C7256">
        <v>-2813</v>
      </c>
      <c r="D7256" s="201">
        <v>0</v>
      </c>
      <c r="E7256" s="201">
        <v>0</v>
      </c>
      <c r="F7256">
        <v>0</v>
      </c>
      <c r="G7256">
        <v>0</v>
      </c>
      <c r="H7256">
        <v>0</v>
      </c>
      <c r="I7256">
        <v>0</v>
      </c>
      <c r="J7256">
        <v>0</v>
      </c>
      <c r="K7256" s="201">
        <v>29</v>
      </c>
    </row>
    <row r="7257" spans="1:11" x14ac:dyDescent="0.25">
      <c r="A7257"/>
      <c r="B7257" s="201">
        <v>50</v>
      </c>
      <c r="C7257">
        <v>256</v>
      </c>
      <c r="D7257" s="201">
        <v>525</v>
      </c>
      <c r="E7257" s="201">
        <v>1130</v>
      </c>
      <c r="F7257">
        <v>2481</v>
      </c>
      <c r="G7257">
        <v>0</v>
      </c>
      <c r="H7257">
        <v>0</v>
      </c>
      <c r="I7257">
        <v>1525</v>
      </c>
      <c r="J7257">
        <v>0</v>
      </c>
      <c r="K7257" s="201">
        <v>4254</v>
      </c>
    </row>
    <row r="7258" spans="1:11" x14ac:dyDescent="0.25">
      <c r="B7258" s="201">
        <v>-3095</v>
      </c>
      <c r="C7258">
        <v>0</v>
      </c>
      <c r="D7258" s="201">
        <v>0</v>
      </c>
      <c r="E7258" s="201">
        <v>0</v>
      </c>
      <c r="F7258">
        <v>0</v>
      </c>
      <c r="G7258">
        <v>-590</v>
      </c>
      <c r="H7258">
        <v>0</v>
      </c>
      <c r="I7258">
        <v>-757</v>
      </c>
      <c r="J7258">
        <v>-3938</v>
      </c>
      <c r="K7258" s="201">
        <v>0</v>
      </c>
    </row>
    <row r="7259" spans="1:11" x14ac:dyDescent="0.25">
      <c r="A7259"/>
      <c r="B7259" s="201">
        <v>0</v>
      </c>
      <c r="C7259">
        <v>0</v>
      </c>
      <c r="D7259" s="201">
        <v>0</v>
      </c>
      <c r="E7259" s="201">
        <v>0</v>
      </c>
      <c r="F7259">
        <v>0</v>
      </c>
      <c r="G7259">
        <v>0</v>
      </c>
      <c r="H7259">
        <v>0</v>
      </c>
      <c r="I7259">
        <v>0</v>
      </c>
      <c r="J7259">
        <v>0</v>
      </c>
      <c r="K7259" s="201">
        <v>0</v>
      </c>
    </row>
    <row r="7260" spans="1:11" x14ac:dyDescent="0.25">
      <c r="A7260"/>
      <c r="B7260" s="201">
        <v>0</v>
      </c>
      <c r="C7260">
        <v>0</v>
      </c>
      <c r="D7260" s="201">
        <v>0</v>
      </c>
      <c r="E7260" s="201">
        <v>0</v>
      </c>
      <c r="F7260">
        <v>82</v>
      </c>
      <c r="G7260">
        <v>0</v>
      </c>
      <c r="H7260">
        <v>0</v>
      </c>
      <c r="I7260">
        <v>0</v>
      </c>
      <c r="J7260">
        <v>0</v>
      </c>
      <c r="K7260" s="201">
        <v>0</v>
      </c>
    </row>
    <row r="7261" spans="1:11" x14ac:dyDescent="0.25">
      <c r="A7261"/>
      <c r="B7261" s="201">
        <v>-395</v>
      </c>
      <c r="C7261">
        <v>208</v>
      </c>
      <c r="D7261" s="201">
        <v>210</v>
      </c>
      <c r="E7261" s="201">
        <v>1053</v>
      </c>
      <c r="F7261">
        <v>3556</v>
      </c>
      <c r="G7261">
        <v>3392</v>
      </c>
      <c r="H7261">
        <v>3119</v>
      </c>
      <c r="I7261">
        <v>932</v>
      </c>
      <c r="J7261">
        <v>166</v>
      </c>
      <c r="K7261" s="201">
        <v>1162</v>
      </c>
    </row>
    <row r="7262" spans="1:11" x14ac:dyDescent="0.25">
      <c r="A7262"/>
      <c r="B7262" s="201">
        <v>585</v>
      </c>
      <c r="C7262">
        <v>-50</v>
      </c>
      <c r="D7262" s="201">
        <v>3162</v>
      </c>
      <c r="E7262" s="201">
        <v>2632</v>
      </c>
      <c r="F7262">
        <v>3150</v>
      </c>
      <c r="G7262">
        <v>2256</v>
      </c>
      <c r="H7262">
        <v>334</v>
      </c>
      <c r="I7262">
        <v>0</v>
      </c>
      <c r="J7262">
        <v>2753</v>
      </c>
      <c r="K7262" s="201">
        <v>2457</v>
      </c>
    </row>
    <row r="7263" spans="1:11" x14ac:dyDescent="0.25">
      <c r="A7263"/>
      <c r="B7263" s="201">
        <v>2314</v>
      </c>
      <c r="C7263">
        <v>2189</v>
      </c>
      <c r="D7263" s="201">
        <v>2089</v>
      </c>
      <c r="E7263" s="201">
        <v>-15639</v>
      </c>
      <c r="F7263">
        <v>3034</v>
      </c>
      <c r="G7263">
        <v>2641</v>
      </c>
      <c r="H7263">
        <v>2027</v>
      </c>
      <c r="I7263">
        <v>2923</v>
      </c>
      <c r="J7263">
        <v>-15060</v>
      </c>
      <c r="K7263" s="201">
        <v>2390</v>
      </c>
    </row>
    <row r="7264" spans="1:11" x14ac:dyDescent="0.25">
      <c r="A7264"/>
      <c r="B7264" s="201">
        <v>1515</v>
      </c>
      <c r="C7264">
        <v>2209</v>
      </c>
      <c r="D7264" s="201">
        <v>2222</v>
      </c>
      <c r="E7264" s="201">
        <v>-6739</v>
      </c>
      <c r="F7264">
        <v>1297</v>
      </c>
      <c r="G7264">
        <v>3191</v>
      </c>
      <c r="H7264">
        <v>3029</v>
      </c>
      <c r="I7264">
        <v>1572</v>
      </c>
      <c r="J7264">
        <v>-1471</v>
      </c>
      <c r="K7264" s="201">
        <v>34</v>
      </c>
    </row>
    <row r="7265" spans="1:11" x14ac:dyDescent="0.25">
      <c r="A7265"/>
      <c r="B7265" s="201">
        <v>-1111</v>
      </c>
      <c r="C7265">
        <v>-1160</v>
      </c>
      <c r="D7265" s="201">
        <v>-1275</v>
      </c>
      <c r="E7265" s="201">
        <v>-2399</v>
      </c>
      <c r="F7265">
        <v>-5360</v>
      </c>
      <c r="G7265">
        <v>332</v>
      </c>
      <c r="H7265">
        <v>-153</v>
      </c>
      <c r="I7265">
        <v>-198</v>
      </c>
      <c r="J7265">
        <v>-1099</v>
      </c>
      <c r="K7265" s="201">
        <v>-1396</v>
      </c>
    </row>
    <row r="7266" spans="1:11" x14ac:dyDescent="0.25">
      <c r="B7266" s="201">
        <v>-1185</v>
      </c>
      <c r="C7266">
        <v>-906</v>
      </c>
      <c r="D7266" s="201">
        <v>-1750</v>
      </c>
      <c r="E7266" s="201">
        <v>-1166</v>
      </c>
      <c r="F7266">
        <v>-1053</v>
      </c>
      <c r="G7266">
        <v>-703</v>
      </c>
      <c r="H7266">
        <v>-748</v>
      </c>
      <c r="I7266">
        <v>-617</v>
      </c>
      <c r="J7266">
        <v>48</v>
      </c>
      <c r="K7266" s="201">
        <v>239</v>
      </c>
    </row>
    <row r="7267" spans="1:11" x14ac:dyDescent="0.25">
      <c r="A7267"/>
      <c r="B7267" s="201">
        <v>212</v>
      </c>
      <c r="C7267">
        <v>88</v>
      </c>
      <c r="D7267" s="201">
        <v>749</v>
      </c>
      <c r="E7267" s="201">
        <v>259</v>
      </c>
      <c r="F7267">
        <v>381</v>
      </c>
      <c r="G7267">
        <v>263</v>
      </c>
      <c r="H7267">
        <v>193</v>
      </c>
      <c r="I7267">
        <v>955</v>
      </c>
      <c r="J7267">
        <v>-455</v>
      </c>
      <c r="K7267" s="201">
        <v>-417</v>
      </c>
    </row>
    <row r="7268" spans="1:11" x14ac:dyDescent="0.25">
      <c r="A7268"/>
      <c r="B7268" s="201">
        <v>-238</v>
      </c>
      <c r="C7268">
        <v>872</v>
      </c>
      <c r="D7268" s="201">
        <v>23</v>
      </c>
      <c r="E7268" s="201">
        <v>220</v>
      </c>
      <c r="F7268">
        <v>491</v>
      </c>
      <c r="G7268">
        <v>377</v>
      </c>
      <c r="H7268">
        <v>465</v>
      </c>
      <c r="I7268">
        <v>-178</v>
      </c>
      <c r="J7268">
        <v>-130</v>
      </c>
      <c r="K7268" s="201">
        <v>-122</v>
      </c>
    </row>
    <row r="7269" spans="1:11" x14ac:dyDescent="0.25">
      <c r="B7269" s="201">
        <v>-1278</v>
      </c>
      <c r="C7269">
        <v>-1354</v>
      </c>
      <c r="D7269" s="201">
        <v>-1539</v>
      </c>
      <c r="E7269" s="201">
        <v>-1464</v>
      </c>
      <c r="F7269">
        <v>-1866</v>
      </c>
      <c r="G7269">
        <v>-5418</v>
      </c>
      <c r="H7269">
        <v>-778</v>
      </c>
      <c r="I7269">
        <v>-950</v>
      </c>
      <c r="J7269">
        <v>1214</v>
      </c>
      <c r="K7269" s="201">
        <v>927</v>
      </c>
    </row>
    <row r="7270" spans="1:11" x14ac:dyDescent="0.25">
      <c r="A7270"/>
      <c r="B7270" s="201">
        <v>0</v>
      </c>
      <c r="C7270">
        <v>0</v>
      </c>
      <c r="D7270" s="201">
        <v>37</v>
      </c>
      <c r="E7270" s="201">
        <v>0</v>
      </c>
      <c r="F7270">
        <v>0</v>
      </c>
      <c r="G7270">
        <v>0</v>
      </c>
      <c r="H7270">
        <v>-205</v>
      </c>
      <c r="I7270">
        <v>-59</v>
      </c>
      <c r="J7270">
        <v>0</v>
      </c>
      <c r="K7270" s="201">
        <v>0</v>
      </c>
    </row>
    <row r="7271" spans="1:11" x14ac:dyDescent="0.25">
      <c r="A7271"/>
      <c r="B7271" s="201">
        <v>0</v>
      </c>
      <c r="C7271">
        <v>0</v>
      </c>
      <c r="D7271" s="201">
        <v>0</v>
      </c>
      <c r="E7271" s="201">
        <v>0</v>
      </c>
      <c r="F7271">
        <v>30011</v>
      </c>
      <c r="G7271">
        <v>0</v>
      </c>
      <c r="H7271">
        <v>0</v>
      </c>
      <c r="I7271">
        <v>129</v>
      </c>
      <c r="J7271">
        <v>0</v>
      </c>
      <c r="K7271" s="201">
        <v>95</v>
      </c>
    </row>
    <row r="7272" spans="1:11" x14ac:dyDescent="0.25">
      <c r="A7272"/>
      <c r="B7272" s="201">
        <v>0</v>
      </c>
      <c r="C7272">
        <v>843</v>
      </c>
      <c r="D7272" s="201">
        <v>1230</v>
      </c>
      <c r="E7272" s="201">
        <v>547</v>
      </c>
      <c r="F7272">
        <v>0</v>
      </c>
      <c r="G7272">
        <v>-213</v>
      </c>
      <c r="H7272">
        <v>180</v>
      </c>
      <c r="I7272">
        <v>-78</v>
      </c>
      <c r="J7272">
        <v>-638</v>
      </c>
      <c r="K7272" s="201">
        <v>-156</v>
      </c>
    </row>
    <row r="7273" spans="1:11" x14ac:dyDescent="0.25">
      <c r="B7273" s="201">
        <v>-1174</v>
      </c>
      <c r="C7273">
        <v>0</v>
      </c>
      <c r="D7273" s="201">
        <v>608</v>
      </c>
      <c r="E7273" s="201">
        <v>0</v>
      </c>
      <c r="F7273">
        <v>0</v>
      </c>
      <c r="G7273">
        <v>0</v>
      </c>
      <c r="H7273">
        <v>0</v>
      </c>
      <c r="I7273">
        <v>0</v>
      </c>
      <c r="J7273">
        <v>-55</v>
      </c>
      <c r="K7273" s="201">
        <v>0</v>
      </c>
    </row>
    <row r="7274" spans="1:11" x14ac:dyDescent="0.25">
      <c r="A7274"/>
      <c r="B7274" s="201">
        <v>0</v>
      </c>
      <c r="C7274">
        <v>0</v>
      </c>
      <c r="D7274" s="201">
        <v>-1030</v>
      </c>
      <c r="E7274" s="201">
        <v>0</v>
      </c>
      <c r="F7274">
        <v>369</v>
      </c>
      <c r="G7274">
        <v>0</v>
      </c>
      <c r="H7274">
        <v>0</v>
      </c>
      <c r="I7274">
        <v>0</v>
      </c>
      <c r="J7274">
        <v>0</v>
      </c>
      <c r="K7274" s="201">
        <v>0</v>
      </c>
    </row>
    <row r="7275" spans="1:11" x14ac:dyDescent="0.25">
      <c r="A7275"/>
      <c r="B7275" s="201">
        <v>-281</v>
      </c>
      <c r="C7275">
        <v>0</v>
      </c>
      <c r="D7275" s="201">
        <v>-2</v>
      </c>
      <c r="E7275" s="201">
        <v>417</v>
      </c>
      <c r="F7275">
        <v>0</v>
      </c>
      <c r="G7275">
        <v>0</v>
      </c>
      <c r="H7275">
        <v>-1403</v>
      </c>
      <c r="I7275">
        <v>-132</v>
      </c>
      <c r="J7275">
        <v>0</v>
      </c>
      <c r="K7275" s="201">
        <v>2261</v>
      </c>
    </row>
    <row r="7276" spans="1:11" x14ac:dyDescent="0.25">
      <c r="A7276"/>
      <c r="B7276" s="201">
        <v>0</v>
      </c>
      <c r="C7276">
        <v>0</v>
      </c>
      <c r="D7276" s="201">
        <v>0</v>
      </c>
      <c r="E7276" s="201">
        <v>0</v>
      </c>
      <c r="F7276">
        <v>597</v>
      </c>
      <c r="G7276">
        <v>675</v>
      </c>
      <c r="H7276">
        <v>-443</v>
      </c>
      <c r="I7276">
        <v>0</v>
      </c>
      <c r="J7276">
        <v>0</v>
      </c>
      <c r="K7276" s="201">
        <v>479</v>
      </c>
    </row>
    <row r="7277" spans="1:11" x14ac:dyDescent="0.25">
      <c r="B7277" s="201">
        <v>-331</v>
      </c>
      <c r="C7277">
        <v>0</v>
      </c>
      <c r="D7277" s="201">
        <v>1064</v>
      </c>
      <c r="E7277" s="201">
        <v>-176</v>
      </c>
      <c r="F7277">
        <v>-256</v>
      </c>
      <c r="G7277">
        <v>-1073</v>
      </c>
      <c r="H7277">
        <v>-133</v>
      </c>
      <c r="I7277">
        <v>144</v>
      </c>
      <c r="J7277">
        <v>542</v>
      </c>
      <c r="K7277" s="201">
        <v>0</v>
      </c>
    </row>
    <row r="7278" spans="1:11" x14ac:dyDescent="0.25">
      <c r="A7278"/>
      <c r="B7278" s="201">
        <v>0</v>
      </c>
      <c r="C7278">
        <v>0</v>
      </c>
      <c r="D7278" s="201">
        <v>0</v>
      </c>
      <c r="E7278" s="201">
        <v>0</v>
      </c>
      <c r="F7278">
        <v>289</v>
      </c>
      <c r="G7278">
        <v>0</v>
      </c>
      <c r="H7278">
        <v>28</v>
      </c>
      <c r="I7278">
        <v>-770</v>
      </c>
      <c r="J7278">
        <v>718</v>
      </c>
      <c r="K7278" s="201">
        <v>0</v>
      </c>
    </row>
    <row r="7279" spans="1:11" x14ac:dyDescent="0.25">
      <c r="A7279"/>
      <c r="B7279" s="201">
        <v>-1916</v>
      </c>
      <c r="C7279">
        <v>-1493</v>
      </c>
      <c r="D7279" s="201">
        <v>-2463</v>
      </c>
      <c r="E7279" s="201">
        <v>9175</v>
      </c>
      <c r="F7279">
        <v>7890</v>
      </c>
      <c r="G7279">
        <v>0</v>
      </c>
      <c r="H7279">
        <v>1949</v>
      </c>
      <c r="I7279">
        <v>2942</v>
      </c>
      <c r="J7279">
        <v>3066</v>
      </c>
      <c r="K7279" s="201">
        <v>284</v>
      </c>
    </row>
    <row r="7280" spans="1:11" x14ac:dyDescent="0.25">
      <c r="A7280"/>
      <c r="B7280" s="201">
        <v>0</v>
      </c>
      <c r="C7280">
        <v>-13</v>
      </c>
      <c r="D7280" s="201">
        <v>429</v>
      </c>
      <c r="E7280" s="201">
        <v>0</v>
      </c>
      <c r="F7280">
        <v>0</v>
      </c>
      <c r="G7280">
        <v>0</v>
      </c>
      <c r="H7280">
        <v>-160</v>
      </c>
      <c r="I7280">
        <v>203</v>
      </c>
      <c r="J7280">
        <v>0</v>
      </c>
      <c r="K7280" s="201">
        <v>-278</v>
      </c>
    </row>
    <row r="7281" spans="1:11" x14ac:dyDescent="0.25">
      <c r="A7281"/>
      <c r="B7281" s="201">
        <v>1258</v>
      </c>
      <c r="C7281">
        <v>708</v>
      </c>
      <c r="D7281" s="201">
        <v>-315</v>
      </c>
      <c r="E7281" s="201">
        <v>0</v>
      </c>
      <c r="F7281">
        <v>0</v>
      </c>
      <c r="G7281">
        <v>0</v>
      </c>
      <c r="H7281">
        <v>0</v>
      </c>
      <c r="I7281">
        <v>0</v>
      </c>
      <c r="J7281">
        <v>13</v>
      </c>
      <c r="K7281" s="201">
        <v>0</v>
      </c>
    </row>
    <row r="7282" spans="1:11" x14ac:dyDescent="0.25">
      <c r="A7282"/>
      <c r="B7282" s="201">
        <v>256</v>
      </c>
      <c r="C7282">
        <v>-350</v>
      </c>
      <c r="D7282" s="201">
        <v>500</v>
      </c>
      <c r="E7282" s="201">
        <v>0</v>
      </c>
      <c r="F7282">
        <v>-670</v>
      </c>
      <c r="G7282">
        <v>-672</v>
      </c>
      <c r="H7282">
        <v>-2058</v>
      </c>
      <c r="I7282">
        <v>7157</v>
      </c>
      <c r="J7282">
        <v>6967</v>
      </c>
      <c r="K7282" s="201">
        <v>1676</v>
      </c>
    </row>
    <row r="7283" spans="1:11" x14ac:dyDescent="0.25">
      <c r="B7283" s="201">
        <v>1513</v>
      </c>
      <c r="C7283">
        <v>1844</v>
      </c>
      <c r="D7283" s="201">
        <v>0</v>
      </c>
      <c r="E7283" s="201">
        <v>256</v>
      </c>
      <c r="F7283">
        <v>0</v>
      </c>
      <c r="G7283">
        <v>0</v>
      </c>
      <c r="H7283">
        <v>657</v>
      </c>
      <c r="I7283">
        <v>394</v>
      </c>
      <c r="J7283">
        <v>0</v>
      </c>
      <c r="K7283" s="201">
        <v>165</v>
      </c>
    </row>
    <row r="7284" spans="1:11" x14ac:dyDescent="0.25">
      <c r="A7284"/>
      <c r="B7284" s="201">
        <v>0</v>
      </c>
      <c r="C7284">
        <v>0</v>
      </c>
      <c r="D7284" s="201">
        <v>-186</v>
      </c>
      <c r="E7284" s="201">
        <v>0</v>
      </c>
      <c r="F7284">
        <v>68</v>
      </c>
      <c r="G7284">
        <v>70</v>
      </c>
      <c r="H7284">
        <v>-775</v>
      </c>
      <c r="I7284">
        <v>0</v>
      </c>
      <c r="J7284">
        <v>0</v>
      </c>
      <c r="K7284" s="201">
        <v>0</v>
      </c>
    </row>
    <row r="7285" spans="1:11" x14ac:dyDescent="0.25">
      <c r="A7285"/>
      <c r="B7285" s="201">
        <v>0</v>
      </c>
      <c r="C7285">
        <v>0</v>
      </c>
      <c r="D7285" s="201">
        <v>-898</v>
      </c>
      <c r="E7285" s="201">
        <v>0</v>
      </c>
      <c r="F7285">
        <v>-508</v>
      </c>
      <c r="G7285">
        <v>-273</v>
      </c>
      <c r="H7285">
        <v>1137</v>
      </c>
      <c r="I7285">
        <v>0</v>
      </c>
      <c r="J7285">
        <v>-581</v>
      </c>
      <c r="K7285" s="201">
        <v>-184</v>
      </c>
    </row>
    <row r="7286" spans="1:11" x14ac:dyDescent="0.25">
      <c r="A7286"/>
      <c r="B7286" s="201">
        <v>-1969</v>
      </c>
      <c r="C7286">
        <v>0</v>
      </c>
      <c r="D7286" s="201">
        <v>0</v>
      </c>
      <c r="E7286" s="201">
        <v>0</v>
      </c>
      <c r="F7286">
        <v>246</v>
      </c>
      <c r="G7286">
        <v>348</v>
      </c>
      <c r="H7286">
        <v>31</v>
      </c>
      <c r="I7286">
        <v>527</v>
      </c>
      <c r="J7286">
        <v>197</v>
      </c>
      <c r="K7286" s="201">
        <v>0</v>
      </c>
    </row>
    <row r="7287" spans="1:11" x14ac:dyDescent="0.25">
      <c r="A7287"/>
      <c r="B7287" s="201">
        <v>-97</v>
      </c>
      <c r="C7287">
        <v>0</v>
      </c>
      <c r="D7287" s="201">
        <v>0</v>
      </c>
      <c r="E7287" s="201">
        <v>384</v>
      </c>
      <c r="F7287">
        <v>0</v>
      </c>
      <c r="G7287">
        <v>128</v>
      </c>
      <c r="H7287">
        <v>0</v>
      </c>
      <c r="I7287">
        <v>-484</v>
      </c>
      <c r="J7287">
        <v>0</v>
      </c>
      <c r="K7287" s="201">
        <v>0</v>
      </c>
    </row>
    <row r="7288" spans="1:11" x14ac:dyDescent="0.25">
      <c r="A7288"/>
      <c r="B7288" s="201">
        <v>0</v>
      </c>
      <c r="C7288">
        <v>0</v>
      </c>
      <c r="D7288" s="201">
        <v>0</v>
      </c>
      <c r="E7288" s="201">
        <v>0</v>
      </c>
      <c r="F7288">
        <v>0</v>
      </c>
      <c r="G7288">
        <v>0</v>
      </c>
      <c r="H7288">
        <v>49</v>
      </c>
      <c r="I7288">
        <v>0</v>
      </c>
      <c r="J7288">
        <v>-123</v>
      </c>
      <c r="K7288" s="201">
        <v>-164</v>
      </c>
    </row>
    <row r="7289" spans="1:11" x14ac:dyDescent="0.25">
      <c r="A7289"/>
      <c r="B7289" s="201">
        <v>60</v>
      </c>
      <c r="C7289">
        <v>0</v>
      </c>
      <c r="D7289" s="201">
        <v>630</v>
      </c>
      <c r="E7289" s="201">
        <v>227</v>
      </c>
      <c r="F7289">
        <v>0</v>
      </c>
      <c r="G7289">
        <v>0</v>
      </c>
      <c r="H7289">
        <v>0</v>
      </c>
      <c r="I7289">
        <v>0</v>
      </c>
      <c r="J7289">
        <v>0</v>
      </c>
      <c r="K7289" s="201">
        <v>-533</v>
      </c>
    </row>
    <row r="7290" spans="1:11" x14ac:dyDescent="0.25">
      <c r="B7290" s="201">
        <v>-882</v>
      </c>
      <c r="C7290">
        <v>440</v>
      </c>
      <c r="D7290" s="201">
        <v>293</v>
      </c>
      <c r="E7290" s="201">
        <v>108</v>
      </c>
      <c r="F7290">
        <v>748</v>
      </c>
      <c r="G7290">
        <v>0</v>
      </c>
      <c r="H7290">
        <v>0</v>
      </c>
      <c r="I7290">
        <v>0</v>
      </c>
      <c r="J7290">
        <v>0</v>
      </c>
      <c r="K7290" s="201">
        <v>-182</v>
      </c>
    </row>
    <row r="7291" spans="1:11" x14ac:dyDescent="0.25">
      <c r="A7291"/>
      <c r="B7291" s="201">
        <v>0</v>
      </c>
      <c r="C7291">
        <v>-142</v>
      </c>
      <c r="D7291" s="201">
        <v>0</v>
      </c>
      <c r="E7291" s="201">
        <v>0</v>
      </c>
      <c r="F7291">
        <v>11</v>
      </c>
      <c r="G7291">
        <v>-12368</v>
      </c>
      <c r="H7291">
        <v>0</v>
      </c>
      <c r="I7291">
        <v>0</v>
      </c>
      <c r="J7291">
        <v>0</v>
      </c>
      <c r="K7291" s="201">
        <v>0</v>
      </c>
    </row>
    <row r="7292" spans="1:11" x14ac:dyDescent="0.25">
      <c r="B7292" s="201">
        <v>-290</v>
      </c>
      <c r="C7292">
        <v>0</v>
      </c>
      <c r="D7292" s="201">
        <v>-66</v>
      </c>
      <c r="E7292" s="201">
        <v>425</v>
      </c>
      <c r="F7292">
        <v>12</v>
      </c>
      <c r="G7292">
        <v>-1047</v>
      </c>
      <c r="H7292">
        <v>3125</v>
      </c>
      <c r="I7292">
        <v>-12268</v>
      </c>
      <c r="J7292">
        <v>-11310</v>
      </c>
      <c r="K7292" s="201">
        <v>-2633</v>
      </c>
    </row>
    <row r="7293" spans="1:11" x14ac:dyDescent="0.25">
      <c r="A7293"/>
      <c r="B7293" s="201">
        <v>-1887</v>
      </c>
      <c r="C7293">
        <v>-4306</v>
      </c>
      <c r="D7293" s="201">
        <v>0</v>
      </c>
      <c r="E7293" s="201">
        <v>0</v>
      </c>
      <c r="F7293">
        <v>0</v>
      </c>
      <c r="G7293">
        <v>0</v>
      </c>
      <c r="H7293">
        <v>0</v>
      </c>
      <c r="I7293">
        <v>0</v>
      </c>
      <c r="J7293">
        <v>0</v>
      </c>
      <c r="K7293" s="201">
        <v>593</v>
      </c>
    </row>
    <row r="7294" spans="1:11" x14ac:dyDescent="0.25">
      <c r="A7294"/>
      <c r="B7294" s="77">
        <v>147</v>
      </c>
      <c r="C7294">
        <v>387</v>
      </c>
      <c r="D7294" s="201">
        <v>412</v>
      </c>
      <c r="E7294" s="201">
        <v>1256</v>
      </c>
      <c r="F7294">
        <v>489</v>
      </c>
      <c r="G7294">
        <v>0</v>
      </c>
      <c r="H7294">
        <v>0</v>
      </c>
      <c r="I7294">
        <v>-47588</v>
      </c>
      <c r="J7294">
        <v>0</v>
      </c>
      <c r="K7294" s="201">
        <v>-1586</v>
      </c>
    </row>
    <row r="7295" spans="1:11" x14ac:dyDescent="0.25">
      <c r="B7295" s="201">
        <v>9057</v>
      </c>
      <c r="C7295">
        <v>0</v>
      </c>
      <c r="D7295" s="201">
        <v>0</v>
      </c>
      <c r="E7295" s="201">
        <v>0</v>
      </c>
      <c r="F7295">
        <v>0</v>
      </c>
      <c r="G7295">
        <v>-1235</v>
      </c>
      <c r="H7295">
        <v>0</v>
      </c>
      <c r="I7295">
        <v>-534</v>
      </c>
      <c r="J7295">
        <v>-239</v>
      </c>
      <c r="K7295" s="201">
        <v>0</v>
      </c>
    </row>
    <row r="7296" spans="1:11" x14ac:dyDescent="0.25">
      <c r="A7296"/>
      <c r="B7296" s="201">
        <v>0</v>
      </c>
      <c r="C7296">
        <v>0</v>
      </c>
      <c r="D7296" s="201">
        <v>0</v>
      </c>
      <c r="E7296" s="201">
        <v>0</v>
      </c>
      <c r="F7296">
        <v>0</v>
      </c>
      <c r="G7296">
        <v>0</v>
      </c>
      <c r="H7296">
        <v>0</v>
      </c>
      <c r="I7296">
        <v>0</v>
      </c>
      <c r="J7296">
        <v>0</v>
      </c>
      <c r="K7296" s="201">
        <v>0</v>
      </c>
    </row>
    <row r="7297" spans="1:11" x14ac:dyDescent="0.25">
      <c r="A7297"/>
      <c r="B7297" s="201">
        <v>0</v>
      </c>
      <c r="C7297">
        <v>0</v>
      </c>
      <c r="D7297" s="201">
        <v>0</v>
      </c>
      <c r="E7297" s="201">
        <v>0</v>
      </c>
      <c r="F7297">
        <v>4125</v>
      </c>
      <c r="G7297">
        <v>0</v>
      </c>
      <c r="H7297">
        <v>0</v>
      </c>
      <c r="I7297">
        <v>0</v>
      </c>
      <c r="J7297">
        <v>0</v>
      </c>
      <c r="K7297" s="201">
        <v>0</v>
      </c>
    </row>
    <row r="7298" spans="1:11" x14ac:dyDescent="0.25">
      <c r="A7298"/>
      <c r="B7298" s="201">
        <v>-1122</v>
      </c>
      <c r="C7298">
        <v>855</v>
      </c>
      <c r="D7298" s="201">
        <v>125</v>
      </c>
      <c r="E7298" s="201">
        <v>818</v>
      </c>
      <c r="F7298">
        <v>5199</v>
      </c>
      <c r="G7298">
        <v>4190</v>
      </c>
      <c r="H7298">
        <v>1139</v>
      </c>
      <c r="I7298">
        <v>4022</v>
      </c>
      <c r="J7298">
        <v>-6004</v>
      </c>
      <c r="K7298" s="201">
        <v>109</v>
      </c>
    </row>
    <row r="7299" spans="1:11" x14ac:dyDescent="0.25">
      <c r="A7299"/>
      <c r="B7299" s="201">
        <v>332</v>
      </c>
      <c r="C7299">
        <v>7</v>
      </c>
      <c r="D7299" s="201">
        <v>523</v>
      </c>
      <c r="E7299" s="201">
        <v>1569</v>
      </c>
      <c r="F7299">
        <v>1259</v>
      </c>
      <c r="G7299">
        <v>457</v>
      </c>
      <c r="H7299">
        <v>-1565</v>
      </c>
      <c r="I7299">
        <v>0</v>
      </c>
      <c r="J7299">
        <v>858</v>
      </c>
      <c r="K7299" s="201">
        <v>1388</v>
      </c>
    </row>
    <row r="7300" spans="1:11" x14ac:dyDescent="0.25">
      <c r="A7300"/>
      <c r="B7300" s="201">
        <v>1358</v>
      </c>
      <c r="C7300">
        <v>959</v>
      </c>
      <c r="D7300" s="201">
        <v>256</v>
      </c>
      <c r="E7300" s="201">
        <v>4013</v>
      </c>
      <c r="F7300">
        <v>256</v>
      </c>
      <c r="G7300">
        <v>685</v>
      </c>
      <c r="H7300">
        <v>266</v>
      </c>
      <c r="I7300">
        <v>345</v>
      </c>
      <c r="J7300">
        <v>3323</v>
      </c>
      <c r="K7300" s="201">
        <v>646</v>
      </c>
    </row>
    <row r="7301" spans="1:11" x14ac:dyDescent="0.25">
      <c r="A7301"/>
      <c r="B7301" s="201">
        <v>99</v>
      </c>
      <c r="C7301">
        <v>456</v>
      </c>
      <c r="D7301" s="201">
        <v>366</v>
      </c>
      <c r="E7301" s="201">
        <v>386</v>
      </c>
      <c r="F7301">
        <v>-76</v>
      </c>
      <c r="G7301">
        <v>-100</v>
      </c>
      <c r="H7301">
        <v>-59</v>
      </c>
      <c r="I7301">
        <v>356</v>
      </c>
      <c r="J7301">
        <v>-3340</v>
      </c>
      <c r="K7301" s="201">
        <v>-3421</v>
      </c>
    </row>
    <row r="7302" spans="1:11" x14ac:dyDescent="0.25">
      <c r="A7302"/>
      <c r="B7302" s="201">
        <v>-1936</v>
      </c>
      <c r="C7302">
        <v>-2636</v>
      </c>
      <c r="D7302" s="201">
        <v>-4205</v>
      </c>
      <c r="E7302" s="201">
        <v>-5703</v>
      </c>
      <c r="F7302">
        <v>53</v>
      </c>
      <c r="G7302">
        <v>-104</v>
      </c>
      <c r="H7302">
        <v>-487</v>
      </c>
      <c r="I7302">
        <v>-901</v>
      </c>
      <c r="J7302">
        <v>-2103</v>
      </c>
      <c r="K7302" s="201">
        <v>1976</v>
      </c>
    </row>
    <row r="7303" spans="1:11" x14ac:dyDescent="0.25">
      <c r="B7303" s="201">
        <v>1828</v>
      </c>
      <c r="C7303">
        <v>1062</v>
      </c>
      <c r="D7303" s="201">
        <v>404</v>
      </c>
      <c r="E7303" s="201">
        <v>1695</v>
      </c>
      <c r="F7303">
        <v>1455</v>
      </c>
      <c r="G7303">
        <v>420</v>
      </c>
      <c r="H7303">
        <v>1177</v>
      </c>
      <c r="I7303">
        <v>435</v>
      </c>
      <c r="J7303">
        <v>-121</v>
      </c>
      <c r="K7303" s="201">
        <v>117</v>
      </c>
    </row>
    <row r="7304" spans="1:11" x14ac:dyDescent="0.25">
      <c r="A7304"/>
      <c r="B7304" s="77">
        <v>3</v>
      </c>
      <c r="C7304">
        <v>-17</v>
      </c>
      <c r="D7304" s="201">
        <v>-122</v>
      </c>
      <c r="E7304" s="201">
        <v>-68</v>
      </c>
      <c r="F7304">
        <v>-355</v>
      </c>
      <c r="G7304">
        <v>-327</v>
      </c>
      <c r="H7304">
        <v>-161</v>
      </c>
      <c r="I7304">
        <v>-213</v>
      </c>
      <c r="J7304">
        <v>-254</v>
      </c>
      <c r="K7304" s="201">
        <v>-235</v>
      </c>
    </row>
    <row r="7305" spans="1:11" x14ac:dyDescent="0.25">
      <c r="A7305"/>
      <c r="B7305" s="201">
        <v>-205</v>
      </c>
      <c r="C7305">
        <v>177</v>
      </c>
      <c r="D7305" s="201">
        <v>-103</v>
      </c>
      <c r="E7305" s="201">
        <v>-127</v>
      </c>
      <c r="F7305">
        <v>33</v>
      </c>
      <c r="G7305">
        <v>-124</v>
      </c>
      <c r="H7305">
        <v>88</v>
      </c>
      <c r="I7305">
        <v>355</v>
      </c>
      <c r="J7305">
        <v>171</v>
      </c>
      <c r="K7305" s="201">
        <v>124</v>
      </c>
    </row>
    <row r="7306" spans="1:11" x14ac:dyDescent="0.25">
      <c r="A7306"/>
      <c r="B7306" s="201">
        <v>484</v>
      </c>
      <c r="C7306">
        <v>177</v>
      </c>
      <c r="D7306" s="201">
        <v>32</v>
      </c>
      <c r="E7306" s="201">
        <v>408</v>
      </c>
      <c r="F7306">
        <v>106</v>
      </c>
      <c r="G7306">
        <v>-1358</v>
      </c>
      <c r="H7306">
        <v>-94</v>
      </c>
      <c r="I7306">
        <v>-257</v>
      </c>
      <c r="J7306">
        <v>-584</v>
      </c>
      <c r="K7306" s="201">
        <v>445</v>
      </c>
    </row>
    <row r="7307" spans="1:11" x14ac:dyDescent="0.25">
      <c r="B7307" s="201">
        <v>-323</v>
      </c>
      <c r="C7307">
        <v>0</v>
      </c>
      <c r="D7307" s="201">
        <v>0</v>
      </c>
      <c r="E7307" s="201">
        <v>-1104</v>
      </c>
      <c r="F7307">
        <v>0</v>
      </c>
      <c r="G7307">
        <v>0</v>
      </c>
      <c r="H7307">
        <v>0</v>
      </c>
      <c r="I7307">
        <v>139</v>
      </c>
      <c r="J7307">
        <v>-156</v>
      </c>
      <c r="K7307" s="201">
        <v>0</v>
      </c>
    </row>
    <row r="7308" spans="1:11" x14ac:dyDescent="0.25">
      <c r="A7308"/>
      <c r="B7308" s="201">
        <v>0</v>
      </c>
      <c r="C7308">
        <v>0</v>
      </c>
      <c r="D7308" s="201">
        <v>0</v>
      </c>
      <c r="E7308" s="201">
        <v>0</v>
      </c>
      <c r="F7308">
        <v>0</v>
      </c>
      <c r="G7308">
        <v>52</v>
      </c>
      <c r="H7308">
        <v>0</v>
      </c>
      <c r="I7308">
        <v>0</v>
      </c>
      <c r="J7308">
        <v>-47</v>
      </c>
      <c r="K7308" s="201">
        <v>0</v>
      </c>
    </row>
    <row r="7309" spans="1:11" x14ac:dyDescent="0.25">
      <c r="A7309"/>
      <c r="B7309" s="201">
        <v>223</v>
      </c>
      <c r="C7309">
        <v>0</v>
      </c>
      <c r="D7309" s="201">
        <v>115</v>
      </c>
      <c r="E7309" s="201">
        <v>608</v>
      </c>
      <c r="F7309">
        <v>-509</v>
      </c>
      <c r="G7309">
        <v>0</v>
      </c>
      <c r="H7309">
        <v>-265</v>
      </c>
      <c r="I7309">
        <v>-236</v>
      </c>
      <c r="J7309">
        <v>274</v>
      </c>
      <c r="K7309" s="201">
        <v>-304</v>
      </c>
    </row>
    <row r="7310" spans="1:11" x14ac:dyDescent="0.25">
      <c r="B7310" s="201">
        <v>-1599</v>
      </c>
      <c r="C7310">
        <v>1136</v>
      </c>
      <c r="D7310" s="201">
        <v>0</v>
      </c>
      <c r="E7310" s="201">
        <v>97</v>
      </c>
      <c r="F7310">
        <v>0</v>
      </c>
      <c r="G7310">
        <v>0</v>
      </c>
      <c r="H7310">
        <v>0</v>
      </c>
      <c r="I7310">
        <v>0</v>
      </c>
      <c r="J7310">
        <v>0</v>
      </c>
      <c r="K7310" s="201">
        <v>48</v>
      </c>
    </row>
    <row r="7311" spans="1:11" x14ac:dyDescent="0.25">
      <c r="A7311"/>
      <c r="B7311" s="201">
        <v>0</v>
      </c>
      <c r="C7311">
        <v>0</v>
      </c>
      <c r="D7311" s="201">
        <v>0</v>
      </c>
      <c r="E7311" s="201">
        <v>328</v>
      </c>
      <c r="F7311">
        <v>0</v>
      </c>
      <c r="G7311">
        <v>166</v>
      </c>
      <c r="H7311">
        <v>0</v>
      </c>
      <c r="I7311">
        <v>0</v>
      </c>
      <c r="J7311">
        <v>0</v>
      </c>
      <c r="K7311" s="201">
        <v>0</v>
      </c>
    </row>
    <row r="7312" spans="1:11" x14ac:dyDescent="0.25">
      <c r="A7312"/>
      <c r="B7312" s="201">
        <v>0</v>
      </c>
      <c r="C7312">
        <v>514</v>
      </c>
      <c r="D7312" s="201">
        <v>0</v>
      </c>
      <c r="E7312" s="201">
        <v>-184</v>
      </c>
      <c r="F7312">
        <v>805</v>
      </c>
      <c r="G7312">
        <v>0</v>
      </c>
      <c r="H7312">
        <v>0</v>
      </c>
      <c r="I7312">
        <v>-557</v>
      </c>
      <c r="J7312">
        <v>-495</v>
      </c>
      <c r="K7312" s="201">
        <v>0</v>
      </c>
    </row>
    <row r="7313" spans="1:11" x14ac:dyDescent="0.25">
      <c r="B7313" s="201">
        <v>-642</v>
      </c>
      <c r="C7313">
        <v>0</v>
      </c>
      <c r="D7313" s="201">
        <v>0</v>
      </c>
      <c r="E7313" s="201">
        <v>0</v>
      </c>
      <c r="F7313">
        <v>0</v>
      </c>
      <c r="G7313">
        <v>-3763</v>
      </c>
      <c r="H7313">
        <v>-1127</v>
      </c>
      <c r="I7313">
        <v>152</v>
      </c>
      <c r="J7313">
        <v>0</v>
      </c>
      <c r="K7313" s="201">
        <v>0</v>
      </c>
    </row>
    <row r="7314" spans="1:11" x14ac:dyDescent="0.25">
      <c r="A7314"/>
      <c r="B7314" s="201">
        <v>-1356</v>
      </c>
      <c r="C7314">
        <v>-150</v>
      </c>
      <c r="D7314" s="201">
        <v>0</v>
      </c>
      <c r="E7314" s="201">
        <v>-331</v>
      </c>
      <c r="F7314">
        <v>-192</v>
      </c>
      <c r="G7314">
        <v>-57</v>
      </c>
      <c r="H7314">
        <v>-281</v>
      </c>
      <c r="I7314">
        <v>-589</v>
      </c>
      <c r="J7314">
        <v>-685</v>
      </c>
      <c r="K7314" s="201">
        <v>-566</v>
      </c>
    </row>
    <row r="7315" spans="1:11" x14ac:dyDescent="0.25">
      <c r="A7315"/>
      <c r="B7315" s="201">
        <v>0</v>
      </c>
      <c r="C7315">
        <v>0</v>
      </c>
      <c r="D7315" s="201">
        <v>0</v>
      </c>
      <c r="E7315" s="201">
        <v>0</v>
      </c>
      <c r="F7315">
        <v>0</v>
      </c>
      <c r="G7315">
        <v>1774</v>
      </c>
      <c r="H7315">
        <v>0</v>
      </c>
      <c r="I7315">
        <v>1044</v>
      </c>
      <c r="J7315">
        <v>-1320</v>
      </c>
      <c r="K7315" s="201">
        <v>63</v>
      </c>
    </row>
    <row r="7316" spans="1:11" x14ac:dyDescent="0.25">
      <c r="A7316"/>
      <c r="B7316" s="201">
        <v>0</v>
      </c>
      <c r="C7316">
        <v>3834</v>
      </c>
      <c r="D7316" s="201">
        <v>858</v>
      </c>
      <c r="E7316" s="201">
        <v>117</v>
      </c>
      <c r="F7316">
        <v>-11</v>
      </c>
      <c r="G7316">
        <v>468</v>
      </c>
      <c r="H7316">
        <v>0</v>
      </c>
      <c r="I7316">
        <v>700</v>
      </c>
      <c r="J7316">
        <v>3490</v>
      </c>
      <c r="K7316" s="201">
        <v>-1652</v>
      </c>
    </row>
    <row r="7317" spans="1:11" x14ac:dyDescent="0.25">
      <c r="B7317" s="201">
        <v>-1372</v>
      </c>
      <c r="C7317">
        <v>0</v>
      </c>
      <c r="D7317" s="201">
        <v>1091</v>
      </c>
      <c r="E7317" s="201">
        <v>-409</v>
      </c>
      <c r="F7317">
        <v>0</v>
      </c>
      <c r="G7317">
        <v>0</v>
      </c>
      <c r="H7317">
        <v>0</v>
      </c>
      <c r="I7317">
        <v>214</v>
      </c>
      <c r="J7317">
        <v>199</v>
      </c>
      <c r="K7317" s="201">
        <v>0</v>
      </c>
    </row>
    <row r="7318" spans="1:11" x14ac:dyDescent="0.25">
      <c r="A7318"/>
      <c r="B7318" s="201">
        <v>73</v>
      </c>
      <c r="C7318">
        <v>-294</v>
      </c>
      <c r="D7318" s="201">
        <v>-463</v>
      </c>
      <c r="E7318" s="201">
        <v>60</v>
      </c>
      <c r="F7318">
        <v>0</v>
      </c>
      <c r="G7318">
        <v>0</v>
      </c>
      <c r="H7318">
        <v>0</v>
      </c>
      <c r="I7318">
        <v>0</v>
      </c>
      <c r="J7318">
        <v>0</v>
      </c>
      <c r="K7318" s="201">
        <v>-3177</v>
      </c>
    </row>
    <row r="7319" spans="1:11" x14ac:dyDescent="0.25">
      <c r="A7319"/>
      <c r="B7319" s="201">
        <v>0</v>
      </c>
      <c r="C7319">
        <v>-1185</v>
      </c>
      <c r="D7319" s="201">
        <v>-2178</v>
      </c>
      <c r="E7319" s="201">
        <v>809</v>
      </c>
      <c r="F7319">
        <v>0</v>
      </c>
      <c r="G7319">
        <v>2387</v>
      </c>
      <c r="H7319">
        <v>31</v>
      </c>
      <c r="I7319">
        <v>548</v>
      </c>
      <c r="J7319">
        <v>1015</v>
      </c>
      <c r="K7319" s="201">
        <v>1111</v>
      </c>
    </row>
    <row r="7320" spans="1:11" x14ac:dyDescent="0.25">
      <c r="A7320"/>
      <c r="B7320" s="201">
        <v>879</v>
      </c>
      <c r="C7320">
        <v>1236</v>
      </c>
      <c r="D7320" s="201">
        <v>3620</v>
      </c>
      <c r="E7320" s="201">
        <v>0</v>
      </c>
      <c r="F7320">
        <v>-1300</v>
      </c>
      <c r="G7320">
        <v>0</v>
      </c>
      <c r="H7320">
        <v>0</v>
      </c>
      <c r="I7320">
        <v>-360</v>
      </c>
      <c r="J7320">
        <v>-2844</v>
      </c>
      <c r="K7320" s="201">
        <v>0</v>
      </c>
    </row>
    <row r="7321" spans="1:11" x14ac:dyDescent="0.25">
      <c r="A7321"/>
      <c r="B7321" s="201">
        <v>133</v>
      </c>
      <c r="C7321">
        <v>0</v>
      </c>
      <c r="D7321" s="201">
        <v>0</v>
      </c>
      <c r="E7321" s="201">
        <v>-50</v>
      </c>
      <c r="F7321">
        <v>0</v>
      </c>
      <c r="G7321">
        <v>-296</v>
      </c>
      <c r="H7321">
        <v>-242</v>
      </c>
      <c r="I7321">
        <v>390</v>
      </c>
      <c r="J7321">
        <v>0</v>
      </c>
      <c r="K7321" s="201">
        <v>0</v>
      </c>
    </row>
    <row r="7322" spans="1:11" x14ac:dyDescent="0.25">
      <c r="A7322"/>
      <c r="B7322" s="201">
        <v>0</v>
      </c>
      <c r="C7322">
        <v>0</v>
      </c>
      <c r="D7322" s="201">
        <v>0</v>
      </c>
      <c r="E7322" s="201">
        <v>-1797</v>
      </c>
      <c r="F7322">
        <v>0</v>
      </c>
      <c r="G7322">
        <v>-68</v>
      </c>
      <c r="H7322">
        <v>-2058</v>
      </c>
      <c r="I7322">
        <v>-500</v>
      </c>
      <c r="J7322">
        <v>0</v>
      </c>
      <c r="K7322" s="201">
        <v>4651</v>
      </c>
    </row>
    <row r="7323" spans="1:11" x14ac:dyDescent="0.25">
      <c r="A7323"/>
      <c r="B7323" s="201">
        <v>852</v>
      </c>
      <c r="C7323">
        <v>-136</v>
      </c>
      <c r="D7323" s="201">
        <v>0</v>
      </c>
      <c r="E7323" s="201">
        <v>0</v>
      </c>
      <c r="F7323">
        <v>0</v>
      </c>
      <c r="G7323">
        <v>386</v>
      </c>
      <c r="H7323">
        <v>2191</v>
      </c>
      <c r="I7323">
        <v>-1192</v>
      </c>
      <c r="J7323">
        <v>-421</v>
      </c>
      <c r="K7323" s="201">
        <v>332</v>
      </c>
    </row>
    <row r="7324" spans="1:11" x14ac:dyDescent="0.25">
      <c r="A7324"/>
      <c r="B7324" s="201">
        <v>0</v>
      </c>
      <c r="C7324">
        <v>-19</v>
      </c>
      <c r="D7324" s="201">
        <v>0</v>
      </c>
      <c r="E7324" s="201">
        <v>0</v>
      </c>
      <c r="F7324">
        <v>-43</v>
      </c>
      <c r="G7324">
        <v>0</v>
      </c>
      <c r="H7324">
        <v>0</v>
      </c>
      <c r="I7324">
        <v>0</v>
      </c>
      <c r="J7324">
        <v>-142</v>
      </c>
      <c r="K7324" s="201">
        <v>0</v>
      </c>
    </row>
    <row r="7325" spans="1:11" x14ac:dyDescent="0.25">
      <c r="A7325"/>
      <c r="B7325" s="201">
        <v>0</v>
      </c>
      <c r="C7325">
        <v>0</v>
      </c>
      <c r="D7325" s="201">
        <v>0</v>
      </c>
      <c r="E7325" s="201">
        <v>0</v>
      </c>
      <c r="F7325">
        <v>0</v>
      </c>
      <c r="G7325">
        <v>0</v>
      </c>
      <c r="H7325">
        <v>0</v>
      </c>
      <c r="I7325">
        <v>-4792</v>
      </c>
      <c r="J7325">
        <v>0</v>
      </c>
      <c r="K7325" s="201">
        <v>-1930</v>
      </c>
    </row>
    <row r="7326" spans="1:11" x14ac:dyDescent="0.25">
      <c r="B7326" s="201">
        <v>-704</v>
      </c>
      <c r="C7326">
        <v>213</v>
      </c>
      <c r="D7326" s="201">
        <v>0</v>
      </c>
      <c r="E7326" s="201">
        <v>3019</v>
      </c>
      <c r="F7326">
        <v>338</v>
      </c>
      <c r="G7326">
        <v>0</v>
      </c>
      <c r="H7326">
        <v>0</v>
      </c>
      <c r="I7326">
        <v>0</v>
      </c>
      <c r="J7326">
        <v>0</v>
      </c>
      <c r="K7326" s="201">
        <v>0</v>
      </c>
    </row>
    <row r="7327" spans="1:11" x14ac:dyDescent="0.25">
      <c r="A7327"/>
      <c r="B7327" s="201">
        <v>3880</v>
      </c>
      <c r="C7327">
        <v>-3110</v>
      </c>
      <c r="D7327" s="201">
        <v>-1211</v>
      </c>
      <c r="E7327" s="201">
        <v>578</v>
      </c>
      <c r="F7327">
        <v>1393</v>
      </c>
      <c r="G7327">
        <v>-1550</v>
      </c>
      <c r="H7327">
        <v>0</v>
      </c>
      <c r="I7327">
        <v>0</v>
      </c>
      <c r="J7327">
        <v>0</v>
      </c>
      <c r="K7327" s="201">
        <v>0</v>
      </c>
    </row>
    <row r="7328" spans="1:11" x14ac:dyDescent="0.25">
      <c r="A7328"/>
      <c r="B7328" s="201">
        <v>410</v>
      </c>
      <c r="C7328">
        <v>0</v>
      </c>
      <c r="D7328" s="201">
        <v>292</v>
      </c>
      <c r="E7328" s="201">
        <v>0</v>
      </c>
      <c r="F7328">
        <v>0</v>
      </c>
      <c r="G7328">
        <v>482</v>
      </c>
      <c r="H7328">
        <v>158</v>
      </c>
      <c r="I7328">
        <v>0</v>
      </c>
      <c r="J7328">
        <v>0</v>
      </c>
      <c r="K7328" s="201">
        <v>0</v>
      </c>
    </row>
    <row r="7329" spans="1:11" x14ac:dyDescent="0.25">
      <c r="A7329"/>
      <c r="B7329" s="201">
        <v>0</v>
      </c>
      <c r="C7329">
        <v>-1995</v>
      </c>
      <c r="D7329" s="201">
        <v>0</v>
      </c>
      <c r="E7329" s="201">
        <v>-349</v>
      </c>
      <c r="F7329">
        <v>-1597</v>
      </c>
      <c r="G7329">
        <v>645</v>
      </c>
      <c r="H7329">
        <v>-599</v>
      </c>
      <c r="I7329">
        <v>1128</v>
      </c>
      <c r="J7329">
        <v>942</v>
      </c>
      <c r="K7329" s="201">
        <v>359</v>
      </c>
    </row>
    <row r="7330" spans="1:11" x14ac:dyDescent="0.25">
      <c r="A7330"/>
      <c r="B7330" s="201">
        <v>-904</v>
      </c>
      <c r="C7330">
        <v>1673</v>
      </c>
      <c r="D7330" s="201">
        <v>8375</v>
      </c>
      <c r="E7330" s="201">
        <v>0</v>
      </c>
      <c r="F7330">
        <v>0</v>
      </c>
      <c r="G7330">
        <v>0</v>
      </c>
      <c r="H7330">
        <v>0</v>
      </c>
      <c r="I7330">
        <v>0</v>
      </c>
      <c r="J7330">
        <v>0</v>
      </c>
      <c r="K7330" s="201">
        <v>0</v>
      </c>
    </row>
    <row r="7331" spans="1:11" x14ac:dyDescent="0.25">
      <c r="A7331"/>
      <c r="B7331" s="201">
        <v>690</v>
      </c>
      <c r="C7331">
        <v>109</v>
      </c>
      <c r="D7331" s="201">
        <v>2462</v>
      </c>
      <c r="E7331" s="201">
        <v>-1040</v>
      </c>
      <c r="F7331">
        <v>2593</v>
      </c>
      <c r="G7331">
        <v>-982</v>
      </c>
      <c r="H7331">
        <v>0</v>
      </c>
      <c r="I7331">
        <v>0</v>
      </c>
      <c r="J7331">
        <v>75</v>
      </c>
      <c r="K7331" s="201">
        <v>0</v>
      </c>
    </row>
    <row r="7332" spans="1:11" x14ac:dyDescent="0.25">
      <c r="B7332" s="201">
        <v>-13250</v>
      </c>
      <c r="C7332">
        <v>2109</v>
      </c>
      <c r="D7332" s="201">
        <v>0</v>
      </c>
      <c r="E7332" s="201">
        <v>0</v>
      </c>
      <c r="F7332">
        <v>0</v>
      </c>
      <c r="G7332">
        <v>0</v>
      </c>
      <c r="H7332">
        <v>-612</v>
      </c>
      <c r="I7332">
        <v>0</v>
      </c>
      <c r="J7332">
        <v>-813</v>
      </c>
      <c r="K7332" s="201">
        <v>-3168</v>
      </c>
    </row>
    <row r="7333" spans="1:11" x14ac:dyDescent="0.25">
      <c r="A7333"/>
      <c r="B7333" s="201">
        <v>0</v>
      </c>
      <c r="C7333">
        <v>0</v>
      </c>
      <c r="D7333" s="201">
        <v>0</v>
      </c>
      <c r="E7333" s="201">
        <v>0</v>
      </c>
      <c r="F7333">
        <v>0</v>
      </c>
      <c r="G7333">
        <v>0</v>
      </c>
      <c r="H7333">
        <v>0</v>
      </c>
      <c r="I7333">
        <v>0</v>
      </c>
      <c r="J7333">
        <v>0</v>
      </c>
      <c r="K7333" s="201">
        <v>0</v>
      </c>
    </row>
    <row r="7334" spans="1:11" x14ac:dyDescent="0.25">
      <c r="A7334"/>
      <c r="B7334" s="201">
        <v>0</v>
      </c>
      <c r="C7334">
        <v>0</v>
      </c>
      <c r="D7334" s="201">
        <v>0</v>
      </c>
      <c r="E7334" s="201">
        <v>0</v>
      </c>
      <c r="F7334">
        <v>0</v>
      </c>
      <c r="G7334">
        <v>-297</v>
      </c>
      <c r="H7334">
        <v>0</v>
      </c>
      <c r="I7334">
        <v>0</v>
      </c>
      <c r="J7334">
        <v>0</v>
      </c>
      <c r="K7334" s="201">
        <v>0</v>
      </c>
    </row>
    <row r="7335" spans="1:11" x14ac:dyDescent="0.25">
      <c r="A7335"/>
      <c r="B7335" s="201">
        <v>0</v>
      </c>
      <c r="C7335">
        <v>141</v>
      </c>
      <c r="D7335" s="201">
        <v>-14</v>
      </c>
      <c r="E7335" s="201">
        <v>-19</v>
      </c>
      <c r="F7335">
        <v>-676</v>
      </c>
      <c r="G7335">
        <v>-318</v>
      </c>
      <c r="H7335">
        <v>198</v>
      </c>
      <c r="I7335">
        <v>-207</v>
      </c>
      <c r="J7335">
        <v>812</v>
      </c>
      <c r="K7335" s="201">
        <v>-642</v>
      </c>
    </row>
    <row r="7336" spans="1:11" x14ac:dyDescent="0.25">
      <c r="A7336"/>
      <c r="B7336" s="201">
        <v>748</v>
      </c>
      <c r="C7336">
        <v>295</v>
      </c>
      <c r="D7336" s="201">
        <v>319</v>
      </c>
      <c r="E7336" s="201">
        <v>771</v>
      </c>
      <c r="F7336">
        <v>-528</v>
      </c>
      <c r="G7336">
        <v>-415</v>
      </c>
      <c r="H7336">
        <v>-92</v>
      </c>
      <c r="I7336">
        <v>-736</v>
      </c>
      <c r="J7336">
        <v>0</v>
      </c>
      <c r="K7336" s="201">
        <v>-726</v>
      </c>
    </row>
    <row r="7337" spans="1:11" x14ac:dyDescent="0.25">
      <c r="A7337"/>
      <c r="B7337" s="201">
        <v>146</v>
      </c>
      <c r="C7337">
        <v>149</v>
      </c>
      <c r="D7337" s="201">
        <v>252</v>
      </c>
      <c r="E7337" s="201">
        <v>47</v>
      </c>
      <c r="F7337">
        <v>80</v>
      </c>
      <c r="G7337">
        <v>94</v>
      </c>
      <c r="H7337">
        <v>160</v>
      </c>
      <c r="I7337">
        <v>128</v>
      </c>
      <c r="J7337">
        <v>238</v>
      </c>
      <c r="K7337" s="201">
        <v>116</v>
      </c>
    </row>
    <row r="7338" spans="1:11" x14ac:dyDescent="0.25">
      <c r="A7338"/>
      <c r="B7338" s="201">
        <v>231</v>
      </c>
      <c r="C7338">
        <v>230</v>
      </c>
      <c r="D7338" s="201">
        <v>119</v>
      </c>
      <c r="E7338" s="201">
        <v>157</v>
      </c>
      <c r="F7338">
        <v>81</v>
      </c>
      <c r="G7338">
        <v>50</v>
      </c>
      <c r="H7338">
        <v>13</v>
      </c>
      <c r="I7338">
        <v>-14</v>
      </c>
      <c r="J7338">
        <v>196</v>
      </c>
      <c r="K7338" s="201">
        <v>132</v>
      </c>
    </row>
    <row r="7339" spans="1:11" x14ac:dyDescent="0.25">
      <c r="A7339"/>
      <c r="B7339" s="201">
        <v>-893</v>
      </c>
      <c r="C7339">
        <v>-775</v>
      </c>
      <c r="D7339" s="201">
        <v>-383</v>
      </c>
      <c r="E7339" s="201">
        <v>-222</v>
      </c>
      <c r="F7339">
        <v>-882</v>
      </c>
      <c r="G7339">
        <v>-72</v>
      </c>
      <c r="H7339">
        <v>-322</v>
      </c>
      <c r="I7339">
        <v>-740</v>
      </c>
      <c r="J7339">
        <v>-216</v>
      </c>
      <c r="K7339" s="201">
        <v>-468</v>
      </c>
    </row>
    <row r="7340" spans="1:11" x14ac:dyDescent="0.25">
      <c r="B7340" s="201">
        <v>-2365</v>
      </c>
      <c r="C7340">
        <v>-2051</v>
      </c>
      <c r="D7340" s="201">
        <v>-1335</v>
      </c>
      <c r="E7340" s="201">
        <v>-2514</v>
      </c>
      <c r="F7340">
        <v>-1925</v>
      </c>
      <c r="G7340">
        <v>-1355</v>
      </c>
      <c r="H7340">
        <v>-2397</v>
      </c>
      <c r="I7340">
        <v>-1006</v>
      </c>
      <c r="J7340">
        <v>-2249</v>
      </c>
      <c r="K7340" s="201">
        <v>272</v>
      </c>
    </row>
    <row r="7341" spans="1:11" x14ac:dyDescent="0.25">
      <c r="A7341"/>
      <c r="B7341" s="201">
        <v>469</v>
      </c>
      <c r="C7341">
        <v>482</v>
      </c>
      <c r="D7341" s="201">
        <v>371</v>
      </c>
      <c r="E7341" s="201">
        <v>287</v>
      </c>
      <c r="F7341">
        <v>273</v>
      </c>
      <c r="G7341">
        <v>338</v>
      </c>
      <c r="H7341">
        <v>121</v>
      </c>
      <c r="I7341">
        <v>269</v>
      </c>
      <c r="J7341">
        <v>385</v>
      </c>
      <c r="K7341" s="201">
        <v>-83</v>
      </c>
    </row>
    <row r="7342" spans="1:11" x14ac:dyDescent="0.25">
      <c r="A7342"/>
      <c r="B7342" s="201">
        <v>-61</v>
      </c>
      <c r="C7342">
        <v>24</v>
      </c>
      <c r="D7342" s="201">
        <v>82</v>
      </c>
      <c r="E7342" s="201">
        <v>-191</v>
      </c>
      <c r="F7342">
        <v>-100</v>
      </c>
      <c r="G7342">
        <v>-36</v>
      </c>
      <c r="H7342">
        <v>-28</v>
      </c>
      <c r="I7342">
        <v>42</v>
      </c>
      <c r="J7342">
        <v>455</v>
      </c>
      <c r="K7342" s="201">
        <v>403</v>
      </c>
    </row>
    <row r="7343" spans="1:11" x14ac:dyDescent="0.25">
      <c r="A7343"/>
      <c r="B7343" s="201">
        <v>342</v>
      </c>
      <c r="C7343">
        <v>162</v>
      </c>
      <c r="D7343" s="201">
        <v>172</v>
      </c>
      <c r="E7343" s="201">
        <v>141</v>
      </c>
      <c r="F7343">
        <v>143</v>
      </c>
      <c r="G7343">
        <v>173</v>
      </c>
      <c r="H7343">
        <v>11443</v>
      </c>
      <c r="I7343">
        <v>539</v>
      </c>
      <c r="J7343">
        <v>-1911</v>
      </c>
      <c r="K7343" s="201">
        <v>-784</v>
      </c>
    </row>
    <row r="7344" spans="1:11" x14ac:dyDescent="0.25">
      <c r="A7344"/>
      <c r="B7344" s="201">
        <v>629</v>
      </c>
      <c r="C7344">
        <v>-205</v>
      </c>
      <c r="D7344" s="201">
        <v>-583</v>
      </c>
      <c r="E7344" s="201">
        <v>0</v>
      </c>
      <c r="F7344">
        <v>0</v>
      </c>
      <c r="G7344">
        <v>197</v>
      </c>
      <c r="H7344">
        <v>0</v>
      </c>
      <c r="I7344">
        <v>0</v>
      </c>
      <c r="J7344">
        <v>0</v>
      </c>
      <c r="K7344" s="201">
        <v>-166</v>
      </c>
    </row>
    <row r="7345" spans="1:11" x14ac:dyDescent="0.25">
      <c r="A7345"/>
      <c r="B7345" s="201">
        <v>-414</v>
      </c>
      <c r="C7345">
        <v>0</v>
      </c>
      <c r="D7345" s="201">
        <v>0</v>
      </c>
      <c r="E7345" s="201">
        <v>0</v>
      </c>
      <c r="F7345">
        <v>0</v>
      </c>
      <c r="G7345">
        <v>0</v>
      </c>
      <c r="H7345">
        <v>0</v>
      </c>
      <c r="I7345">
        <v>1416</v>
      </c>
      <c r="J7345">
        <v>0</v>
      </c>
      <c r="K7345" s="201">
        <v>0</v>
      </c>
    </row>
    <row r="7346" spans="1:11" x14ac:dyDescent="0.25">
      <c r="A7346"/>
      <c r="B7346" s="201">
        <v>541</v>
      </c>
      <c r="C7346">
        <v>0</v>
      </c>
      <c r="D7346" s="201">
        <v>-599</v>
      </c>
      <c r="E7346" s="201">
        <v>0</v>
      </c>
      <c r="F7346">
        <v>73</v>
      </c>
      <c r="G7346">
        <v>503</v>
      </c>
      <c r="H7346">
        <v>273</v>
      </c>
      <c r="I7346">
        <v>0</v>
      </c>
      <c r="J7346">
        <v>-904</v>
      </c>
      <c r="K7346" s="201">
        <v>-754</v>
      </c>
    </row>
    <row r="7347" spans="1:11" x14ac:dyDescent="0.25">
      <c r="B7347" s="201">
        <v>-998</v>
      </c>
      <c r="C7347" s="201">
        <v>-767</v>
      </c>
      <c r="D7347" s="201">
        <v>11584</v>
      </c>
      <c r="E7347" s="201">
        <v>-928</v>
      </c>
      <c r="F7347">
        <v>0</v>
      </c>
      <c r="G7347">
        <v>-699</v>
      </c>
      <c r="H7347">
        <v>0</v>
      </c>
      <c r="I7347">
        <v>0</v>
      </c>
      <c r="J7347">
        <v>0</v>
      </c>
      <c r="K7347" s="201">
        <v>0</v>
      </c>
    </row>
    <row r="7348" spans="1:11" x14ac:dyDescent="0.25">
      <c r="A7348"/>
      <c r="B7348" s="201">
        <v>0</v>
      </c>
      <c r="C7348">
        <v>-128</v>
      </c>
      <c r="D7348" s="201">
        <v>0</v>
      </c>
      <c r="E7348" s="201">
        <v>0</v>
      </c>
      <c r="F7348">
        <v>0</v>
      </c>
      <c r="G7348">
        <v>373</v>
      </c>
      <c r="H7348">
        <v>0</v>
      </c>
      <c r="I7348">
        <v>-428</v>
      </c>
      <c r="J7348">
        <v>0</v>
      </c>
      <c r="K7348" s="201">
        <v>0</v>
      </c>
    </row>
    <row r="7349" spans="1:11" x14ac:dyDescent="0.25">
      <c r="A7349"/>
      <c r="B7349" s="201">
        <v>0</v>
      </c>
      <c r="C7349">
        <v>0</v>
      </c>
      <c r="D7349" s="201">
        <v>0</v>
      </c>
      <c r="E7349" s="201">
        <v>1148</v>
      </c>
      <c r="F7349">
        <v>0</v>
      </c>
      <c r="G7349">
        <v>1485</v>
      </c>
      <c r="H7349">
        <v>-3153</v>
      </c>
      <c r="I7349">
        <v>0</v>
      </c>
      <c r="J7349">
        <v>0</v>
      </c>
      <c r="K7349" s="201">
        <v>6907</v>
      </c>
    </row>
    <row r="7350" spans="1:11" x14ac:dyDescent="0.25">
      <c r="A7350"/>
      <c r="B7350" s="201">
        <v>218</v>
      </c>
      <c r="C7350">
        <v>0</v>
      </c>
      <c r="D7350" s="201">
        <v>3349</v>
      </c>
      <c r="E7350" s="201">
        <v>0</v>
      </c>
      <c r="F7350">
        <v>0</v>
      </c>
      <c r="G7350">
        <v>0</v>
      </c>
      <c r="H7350">
        <v>0</v>
      </c>
      <c r="I7350">
        <v>7257</v>
      </c>
      <c r="J7350">
        <v>272</v>
      </c>
      <c r="K7350" s="201">
        <v>-480</v>
      </c>
    </row>
    <row r="7351" spans="1:11" x14ac:dyDescent="0.25">
      <c r="A7351"/>
      <c r="B7351" s="201">
        <v>0</v>
      </c>
      <c r="C7351">
        <v>0</v>
      </c>
      <c r="D7351" s="201">
        <v>391</v>
      </c>
      <c r="E7351" s="201">
        <v>420</v>
      </c>
      <c r="F7351">
        <v>0</v>
      </c>
      <c r="G7351">
        <v>1483</v>
      </c>
      <c r="H7351">
        <v>2009</v>
      </c>
      <c r="I7351">
        <v>610</v>
      </c>
      <c r="J7351">
        <v>1536</v>
      </c>
      <c r="K7351" s="201">
        <v>1530</v>
      </c>
    </row>
    <row r="7352" spans="1:11" x14ac:dyDescent="0.25">
      <c r="A7352"/>
      <c r="B7352" s="201">
        <v>1688</v>
      </c>
      <c r="C7352">
        <v>2370</v>
      </c>
      <c r="D7352" s="201">
        <v>0</v>
      </c>
      <c r="E7352" s="201">
        <v>0</v>
      </c>
      <c r="F7352">
        <v>0</v>
      </c>
      <c r="G7352">
        <v>0</v>
      </c>
      <c r="H7352">
        <v>0</v>
      </c>
      <c r="I7352">
        <v>-7133</v>
      </c>
      <c r="J7352">
        <v>0</v>
      </c>
      <c r="K7352" s="201">
        <v>-2021</v>
      </c>
    </row>
    <row r="7353" spans="1:11" x14ac:dyDescent="0.25">
      <c r="A7353"/>
      <c r="B7353" s="201">
        <v>473</v>
      </c>
      <c r="C7353">
        <v>-1676</v>
      </c>
      <c r="D7353" s="201">
        <v>0</v>
      </c>
      <c r="E7353" s="201">
        <v>-119</v>
      </c>
      <c r="F7353">
        <v>-1198</v>
      </c>
      <c r="G7353">
        <v>705</v>
      </c>
      <c r="H7353">
        <v>2986</v>
      </c>
      <c r="I7353">
        <v>2356</v>
      </c>
      <c r="J7353">
        <v>0</v>
      </c>
      <c r="K7353" s="201">
        <v>-3485</v>
      </c>
    </row>
    <row r="7354" spans="1:11" x14ac:dyDescent="0.25">
      <c r="A7354"/>
      <c r="B7354" s="201">
        <v>-14812</v>
      </c>
      <c r="C7354">
        <v>-170</v>
      </c>
      <c r="D7354" s="201">
        <v>-104</v>
      </c>
      <c r="E7354" s="201">
        <v>0</v>
      </c>
      <c r="F7354">
        <v>-233</v>
      </c>
      <c r="G7354">
        <v>2243</v>
      </c>
      <c r="H7354">
        <v>0</v>
      </c>
      <c r="I7354">
        <v>0</v>
      </c>
      <c r="J7354">
        <v>0</v>
      </c>
      <c r="K7354" s="201">
        <v>-68</v>
      </c>
    </row>
    <row r="7355" spans="1:11" x14ac:dyDescent="0.25">
      <c r="B7355" s="201">
        <v>-833</v>
      </c>
      <c r="C7355">
        <v>0</v>
      </c>
      <c r="D7355" s="201">
        <v>-195</v>
      </c>
      <c r="E7355" s="201">
        <v>-1322</v>
      </c>
      <c r="F7355">
        <v>2</v>
      </c>
      <c r="G7355">
        <v>-47</v>
      </c>
      <c r="H7355">
        <v>0</v>
      </c>
      <c r="I7355">
        <v>0</v>
      </c>
      <c r="J7355">
        <v>0</v>
      </c>
      <c r="K7355" s="201">
        <v>0</v>
      </c>
    </row>
    <row r="7356" spans="1:11" x14ac:dyDescent="0.25">
      <c r="A7356"/>
      <c r="B7356" s="201">
        <v>0</v>
      </c>
      <c r="C7356">
        <v>1282</v>
      </c>
      <c r="D7356" s="201">
        <v>0</v>
      </c>
      <c r="E7356" s="201">
        <v>592</v>
      </c>
      <c r="F7356">
        <v>622</v>
      </c>
      <c r="G7356">
        <v>-456</v>
      </c>
      <c r="H7356">
        <v>0</v>
      </c>
      <c r="I7356">
        <v>54</v>
      </c>
      <c r="J7356">
        <v>57</v>
      </c>
      <c r="K7356" s="201">
        <v>46</v>
      </c>
    </row>
    <row r="7357" spans="1:11" x14ac:dyDescent="0.25">
      <c r="A7357"/>
      <c r="B7357" s="201">
        <v>1746</v>
      </c>
      <c r="C7357">
        <v>1343</v>
      </c>
      <c r="D7357" s="201">
        <v>-2428</v>
      </c>
      <c r="E7357" s="201">
        <v>-3263</v>
      </c>
      <c r="F7357">
        <v>-13664</v>
      </c>
      <c r="G7357">
        <v>0</v>
      </c>
      <c r="H7357">
        <v>158</v>
      </c>
      <c r="I7357">
        <v>0</v>
      </c>
      <c r="J7357">
        <v>0</v>
      </c>
      <c r="K7357" s="201">
        <v>2186</v>
      </c>
    </row>
    <row r="7358" spans="1:11" x14ac:dyDescent="0.25">
      <c r="A7358"/>
      <c r="B7358" s="201">
        <v>764</v>
      </c>
      <c r="C7358">
        <v>0</v>
      </c>
      <c r="D7358" s="201">
        <v>168</v>
      </c>
      <c r="E7358" s="201">
        <v>0</v>
      </c>
      <c r="F7358">
        <v>0</v>
      </c>
      <c r="G7358">
        <v>74</v>
      </c>
      <c r="H7358">
        <v>0</v>
      </c>
      <c r="I7358">
        <v>-90</v>
      </c>
      <c r="J7358">
        <v>240</v>
      </c>
      <c r="K7358" s="201">
        <v>60</v>
      </c>
    </row>
    <row r="7359" spans="1:11" x14ac:dyDescent="0.25">
      <c r="A7359"/>
      <c r="B7359" s="201">
        <v>0</v>
      </c>
      <c r="C7359">
        <v>0</v>
      </c>
      <c r="D7359" s="201">
        <v>0</v>
      </c>
      <c r="E7359" s="201">
        <v>0</v>
      </c>
      <c r="F7359">
        <v>0</v>
      </c>
      <c r="G7359">
        <v>1299</v>
      </c>
      <c r="H7359">
        <v>0</v>
      </c>
      <c r="I7359">
        <v>-1035</v>
      </c>
      <c r="J7359">
        <v>622</v>
      </c>
      <c r="K7359" s="201">
        <v>-197</v>
      </c>
    </row>
    <row r="7360" spans="1:11" x14ac:dyDescent="0.25">
      <c r="A7360"/>
      <c r="B7360" s="201">
        <v>0</v>
      </c>
      <c r="C7360">
        <v>1342</v>
      </c>
      <c r="D7360" s="201">
        <v>-876</v>
      </c>
      <c r="E7360" s="201">
        <v>49</v>
      </c>
      <c r="F7360">
        <v>0</v>
      </c>
      <c r="G7360">
        <v>0</v>
      </c>
      <c r="H7360">
        <v>0</v>
      </c>
      <c r="I7360">
        <v>-2222</v>
      </c>
      <c r="J7360">
        <v>-9559</v>
      </c>
      <c r="K7360" s="201">
        <v>-117</v>
      </c>
    </row>
    <row r="7361" spans="1:11" x14ac:dyDescent="0.25">
      <c r="A7361"/>
      <c r="B7361" s="201">
        <v>-184</v>
      </c>
      <c r="C7361">
        <v>-224</v>
      </c>
      <c r="D7361" s="201">
        <v>0</v>
      </c>
      <c r="E7361" s="201">
        <v>1115</v>
      </c>
      <c r="F7361">
        <v>0</v>
      </c>
      <c r="G7361">
        <v>0</v>
      </c>
      <c r="H7361">
        <v>-24</v>
      </c>
      <c r="I7361">
        <v>0</v>
      </c>
      <c r="J7361">
        <v>-216</v>
      </c>
      <c r="K7361" s="201">
        <v>0</v>
      </c>
    </row>
    <row r="7362" spans="1:11" x14ac:dyDescent="0.25">
      <c r="A7362"/>
      <c r="B7362" s="201">
        <v>-95</v>
      </c>
      <c r="C7362">
        <v>0</v>
      </c>
      <c r="D7362" s="201">
        <v>0</v>
      </c>
      <c r="E7362" s="201">
        <v>0</v>
      </c>
      <c r="F7362">
        <v>0</v>
      </c>
      <c r="G7362">
        <v>0</v>
      </c>
      <c r="H7362">
        <v>0</v>
      </c>
      <c r="I7362">
        <v>0</v>
      </c>
      <c r="J7362">
        <v>0</v>
      </c>
      <c r="K7362" s="201">
        <v>1665</v>
      </c>
    </row>
    <row r="7363" spans="1:11" x14ac:dyDescent="0.25">
      <c r="A7363"/>
      <c r="B7363" s="201">
        <v>0</v>
      </c>
      <c r="C7363">
        <v>838</v>
      </c>
      <c r="D7363" s="201">
        <v>44</v>
      </c>
      <c r="E7363" s="201">
        <v>-181</v>
      </c>
      <c r="F7363">
        <v>0</v>
      </c>
      <c r="G7363">
        <v>743</v>
      </c>
      <c r="H7363">
        <v>1711</v>
      </c>
      <c r="I7363">
        <v>0</v>
      </c>
      <c r="J7363">
        <v>0</v>
      </c>
      <c r="K7363" s="201">
        <v>0</v>
      </c>
    </row>
    <row r="7364" spans="1:11" x14ac:dyDescent="0.25">
      <c r="A7364"/>
      <c r="B7364" s="201">
        <v>0</v>
      </c>
      <c r="C7364">
        <v>0</v>
      </c>
      <c r="D7364" s="201">
        <v>-19042</v>
      </c>
      <c r="E7364" s="201">
        <v>458</v>
      </c>
      <c r="F7364">
        <v>191</v>
      </c>
      <c r="G7364">
        <v>-101</v>
      </c>
      <c r="H7364">
        <v>-588</v>
      </c>
      <c r="I7364">
        <v>4643</v>
      </c>
      <c r="J7364">
        <v>0</v>
      </c>
      <c r="K7364" s="201">
        <v>0</v>
      </c>
    </row>
    <row r="7365" spans="1:11" x14ac:dyDescent="0.25">
      <c r="A7365"/>
      <c r="B7365" s="201">
        <v>0</v>
      </c>
      <c r="C7365">
        <v>0</v>
      </c>
      <c r="D7365" s="201">
        <v>-1027</v>
      </c>
      <c r="E7365" s="201">
        <v>0</v>
      </c>
      <c r="F7365">
        <v>-389</v>
      </c>
      <c r="G7365">
        <v>0</v>
      </c>
      <c r="H7365">
        <v>0</v>
      </c>
      <c r="I7365">
        <v>-45</v>
      </c>
      <c r="J7365">
        <v>-804</v>
      </c>
      <c r="K7365" s="201">
        <v>0</v>
      </c>
    </row>
    <row r="7366" spans="1:11" x14ac:dyDescent="0.25">
      <c r="A7366"/>
      <c r="B7366" s="201">
        <v>0</v>
      </c>
      <c r="C7366">
        <v>0</v>
      </c>
      <c r="D7366" s="201">
        <v>0</v>
      </c>
      <c r="E7366" s="201">
        <v>83</v>
      </c>
      <c r="F7366">
        <v>0</v>
      </c>
      <c r="G7366">
        <v>-2816</v>
      </c>
      <c r="H7366">
        <v>134</v>
      </c>
      <c r="I7366">
        <v>-1338</v>
      </c>
      <c r="J7366">
        <v>-157</v>
      </c>
      <c r="K7366" s="201">
        <v>-2020</v>
      </c>
    </row>
    <row r="7367" spans="1:11" x14ac:dyDescent="0.25">
      <c r="A7367"/>
      <c r="B7367" s="201">
        <v>-6723</v>
      </c>
      <c r="C7367">
        <v>-5634</v>
      </c>
      <c r="D7367" s="201">
        <v>3434</v>
      </c>
      <c r="E7367" s="201">
        <v>4827</v>
      </c>
      <c r="F7367">
        <v>-45202</v>
      </c>
      <c r="G7367">
        <v>0</v>
      </c>
      <c r="H7367">
        <v>0</v>
      </c>
      <c r="I7367">
        <v>0</v>
      </c>
      <c r="J7367">
        <v>0</v>
      </c>
      <c r="K7367" s="201">
        <v>0</v>
      </c>
    </row>
    <row r="7368" spans="1:11" x14ac:dyDescent="0.25">
      <c r="A7368"/>
      <c r="B7368" s="201">
        <v>0</v>
      </c>
      <c r="C7368">
        <v>0</v>
      </c>
      <c r="D7368" s="201">
        <v>-49</v>
      </c>
      <c r="E7368" s="201">
        <v>-273</v>
      </c>
      <c r="F7368">
        <v>-1600</v>
      </c>
      <c r="G7368">
        <v>363</v>
      </c>
      <c r="H7368">
        <v>-1341</v>
      </c>
      <c r="I7368">
        <v>1110</v>
      </c>
      <c r="J7368">
        <v>0</v>
      </c>
      <c r="K7368" s="201">
        <v>0</v>
      </c>
    </row>
    <row r="7369" spans="1:11" x14ac:dyDescent="0.25">
      <c r="B7369" s="201">
        <v>-3793</v>
      </c>
      <c r="C7369">
        <v>0</v>
      </c>
      <c r="D7369" s="201">
        <v>-33</v>
      </c>
      <c r="E7369" s="201">
        <v>-1729</v>
      </c>
      <c r="F7369">
        <v>0</v>
      </c>
      <c r="G7369">
        <v>0</v>
      </c>
      <c r="H7369">
        <v>0</v>
      </c>
      <c r="I7369">
        <v>0</v>
      </c>
      <c r="J7369">
        <v>543</v>
      </c>
      <c r="K7369" s="201">
        <v>0</v>
      </c>
    </row>
    <row r="7370" spans="1:11" x14ac:dyDescent="0.25">
      <c r="B7370" s="201">
        <v>1399</v>
      </c>
      <c r="C7370">
        <v>13356</v>
      </c>
      <c r="D7370" s="201">
        <v>0</v>
      </c>
      <c r="E7370" s="201">
        <v>0</v>
      </c>
      <c r="F7370">
        <v>0</v>
      </c>
      <c r="G7370">
        <v>0</v>
      </c>
      <c r="H7370">
        <v>0</v>
      </c>
      <c r="I7370">
        <v>0</v>
      </c>
      <c r="J7370">
        <v>0</v>
      </c>
      <c r="K7370" s="201">
        <v>0</v>
      </c>
    </row>
    <row r="7371" spans="1:11" x14ac:dyDescent="0.25">
      <c r="A7371"/>
      <c r="B7371" s="201">
        <v>0</v>
      </c>
      <c r="C7371">
        <v>0</v>
      </c>
      <c r="D7371" s="201">
        <v>0</v>
      </c>
      <c r="E7371" s="201">
        <v>0</v>
      </c>
      <c r="F7371">
        <v>0</v>
      </c>
      <c r="G7371">
        <v>0</v>
      </c>
      <c r="H7371">
        <v>0</v>
      </c>
      <c r="I7371">
        <v>611</v>
      </c>
      <c r="J7371">
        <v>0</v>
      </c>
      <c r="K7371" s="201">
        <v>0</v>
      </c>
    </row>
    <row r="7372" spans="1:11" x14ac:dyDescent="0.25">
      <c r="A7372"/>
      <c r="B7372" s="201">
        <v>0</v>
      </c>
      <c r="C7372">
        <v>0</v>
      </c>
      <c r="D7372" s="201">
        <v>0</v>
      </c>
      <c r="E7372" s="201">
        <v>-65</v>
      </c>
      <c r="F7372">
        <v>895</v>
      </c>
      <c r="G7372">
        <v>515</v>
      </c>
      <c r="H7372">
        <v>1907</v>
      </c>
      <c r="I7372">
        <v>1230</v>
      </c>
      <c r="J7372">
        <v>880</v>
      </c>
      <c r="K7372" s="201">
        <v>78</v>
      </c>
    </row>
    <row r="7373" spans="1:11" x14ac:dyDescent="0.25">
      <c r="B7373" s="201">
        <v>-1022</v>
      </c>
      <c r="C7373">
        <v>-33</v>
      </c>
      <c r="D7373" s="201">
        <v>-5732</v>
      </c>
      <c r="E7373" s="201">
        <v>-1828</v>
      </c>
      <c r="F7373">
        <v>-1479</v>
      </c>
      <c r="G7373">
        <v>-3195</v>
      </c>
      <c r="H7373">
        <v>2704</v>
      </c>
      <c r="I7373">
        <v>1406</v>
      </c>
      <c r="J7373">
        <v>-56</v>
      </c>
      <c r="K7373" s="201">
        <v>12074</v>
      </c>
    </row>
    <row r="7374" spans="1:11" x14ac:dyDescent="0.25">
      <c r="A7374"/>
      <c r="B7374" s="201">
        <v>0</v>
      </c>
      <c r="C7374">
        <v>1924</v>
      </c>
      <c r="D7374" s="201">
        <v>618</v>
      </c>
      <c r="E7374" s="201">
        <v>626</v>
      </c>
      <c r="F7374">
        <v>183</v>
      </c>
      <c r="G7374">
        <v>824</v>
      </c>
      <c r="H7374">
        <v>718</v>
      </c>
      <c r="I7374">
        <v>236</v>
      </c>
      <c r="J7374">
        <v>108</v>
      </c>
      <c r="K7374" s="201">
        <v>627</v>
      </c>
    </row>
    <row r="7375" spans="1:11" x14ac:dyDescent="0.25">
      <c r="A7375"/>
      <c r="B7375" s="201">
        <v>-61</v>
      </c>
      <c r="C7375">
        <v>679</v>
      </c>
      <c r="D7375" s="201">
        <v>-9</v>
      </c>
      <c r="E7375" s="201">
        <v>379</v>
      </c>
      <c r="F7375">
        <v>173</v>
      </c>
      <c r="G7375">
        <v>195</v>
      </c>
      <c r="H7375">
        <v>-33</v>
      </c>
      <c r="I7375">
        <v>926</v>
      </c>
      <c r="J7375">
        <v>816</v>
      </c>
      <c r="K7375" s="201">
        <v>933</v>
      </c>
    </row>
    <row r="7376" spans="1:11" x14ac:dyDescent="0.25">
      <c r="A7376"/>
      <c r="B7376" s="201">
        <v>390</v>
      </c>
      <c r="C7376">
        <v>-1401</v>
      </c>
      <c r="D7376" s="201">
        <v>5561</v>
      </c>
      <c r="E7376" s="201">
        <v>5130</v>
      </c>
      <c r="F7376">
        <v>4618</v>
      </c>
      <c r="G7376">
        <v>3199</v>
      </c>
      <c r="H7376">
        <v>5770</v>
      </c>
      <c r="I7376">
        <v>-3985</v>
      </c>
      <c r="J7376">
        <v>-376</v>
      </c>
      <c r="K7376" s="201">
        <v>-410</v>
      </c>
    </row>
    <row r="7377" spans="1:11" x14ac:dyDescent="0.25">
      <c r="A7377"/>
      <c r="B7377" s="201">
        <v>-1275</v>
      </c>
      <c r="C7377">
        <v>-1404</v>
      </c>
      <c r="D7377" s="201">
        <v>2736</v>
      </c>
      <c r="E7377" s="201">
        <v>1793</v>
      </c>
      <c r="F7377">
        <v>1182</v>
      </c>
      <c r="G7377">
        <v>4260</v>
      </c>
      <c r="H7377">
        <v>1570</v>
      </c>
      <c r="I7377">
        <v>1109</v>
      </c>
      <c r="J7377">
        <v>4256</v>
      </c>
      <c r="K7377" s="201">
        <v>460</v>
      </c>
    </row>
    <row r="7378" spans="1:11" x14ac:dyDescent="0.25">
      <c r="A7378"/>
      <c r="B7378" s="201">
        <v>3338</v>
      </c>
      <c r="C7378">
        <v>495</v>
      </c>
      <c r="D7378" s="201">
        <v>-117</v>
      </c>
      <c r="E7378" s="201">
        <v>23</v>
      </c>
      <c r="F7378">
        <v>44</v>
      </c>
      <c r="G7378">
        <v>-328</v>
      </c>
      <c r="H7378">
        <v>721</v>
      </c>
      <c r="I7378">
        <v>918</v>
      </c>
      <c r="J7378">
        <v>907</v>
      </c>
      <c r="K7378" s="201">
        <v>844</v>
      </c>
    </row>
    <row r="7379" spans="1:11" x14ac:dyDescent="0.25">
      <c r="A7379"/>
      <c r="B7379" s="201">
        <v>874</v>
      </c>
      <c r="C7379">
        <v>745</v>
      </c>
      <c r="D7379" s="201">
        <v>768</v>
      </c>
      <c r="E7379" s="201">
        <v>721</v>
      </c>
      <c r="F7379">
        <v>267</v>
      </c>
      <c r="G7379">
        <v>493</v>
      </c>
      <c r="H7379">
        <v>410</v>
      </c>
      <c r="I7379">
        <v>91</v>
      </c>
      <c r="J7379">
        <v>310</v>
      </c>
      <c r="K7379" s="201">
        <v>-34</v>
      </c>
    </row>
    <row r="7380" spans="1:11" x14ac:dyDescent="0.25">
      <c r="A7380"/>
      <c r="B7380" s="201">
        <v>439</v>
      </c>
      <c r="C7380">
        <v>309</v>
      </c>
      <c r="D7380" s="201">
        <v>303</v>
      </c>
      <c r="E7380" s="201">
        <v>276</v>
      </c>
      <c r="F7380">
        <v>258</v>
      </c>
      <c r="G7380">
        <v>280</v>
      </c>
      <c r="H7380">
        <v>-779</v>
      </c>
      <c r="I7380">
        <v>-733</v>
      </c>
      <c r="J7380">
        <v>-7937</v>
      </c>
      <c r="K7380" s="201">
        <v>3979</v>
      </c>
    </row>
    <row r="7381" spans="1:11" x14ac:dyDescent="0.25">
      <c r="A7381"/>
      <c r="B7381" s="201">
        <v>-22867</v>
      </c>
      <c r="C7381">
        <v>-1079</v>
      </c>
      <c r="D7381" s="201">
        <v>-181</v>
      </c>
      <c r="E7381" s="201">
        <v>-881</v>
      </c>
      <c r="F7381">
        <v>-302</v>
      </c>
      <c r="G7381">
        <v>648</v>
      </c>
      <c r="H7381">
        <v>0</v>
      </c>
      <c r="I7381">
        <v>0</v>
      </c>
      <c r="J7381">
        <v>-71</v>
      </c>
      <c r="K7381" s="201">
        <v>0</v>
      </c>
    </row>
    <row r="7382" spans="1:11" x14ac:dyDescent="0.25">
      <c r="A7382"/>
      <c r="B7382" s="201">
        <v>0</v>
      </c>
      <c r="C7382">
        <v>0</v>
      </c>
      <c r="D7382" s="201">
        <v>256</v>
      </c>
      <c r="E7382" s="201">
        <v>870</v>
      </c>
      <c r="F7382">
        <v>0</v>
      </c>
      <c r="G7382">
        <v>0</v>
      </c>
      <c r="H7382">
        <v>0</v>
      </c>
      <c r="I7382">
        <v>0</v>
      </c>
      <c r="J7382">
        <v>0</v>
      </c>
      <c r="K7382" s="201">
        <v>0</v>
      </c>
    </row>
    <row r="7383" spans="1:11" x14ac:dyDescent="0.25">
      <c r="B7383" s="201">
        <v>-2293</v>
      </c>
      <c r="C7383">
        <v>0</v>
      </c>
      <c r="D7383" s="201">
        <v>0</v>
      </c>
      <c r="E7383" s="201">
        <v>-154</v>
      </c>
      <c r="F7383">
        <v>0</v>
      </c>
      <c r="G7383">
        <v>124</v>
      </c>
      <c r="H7383">
        <v>0</v>
      </c>
      <c r="I7383">
        <v>-165</v>
      </c>
      <c r="J7383">
        <v>745</v>
      </c>
      <c r="K7383" s="201">
        <v>530</v>
      </c>
    </row>
    <row r="7384" spans="1:11" x14ac:dyDescent="0.25">
      <c r="A7384"/>
      <c r="B7384" s="201">
        <v>0</v>
      </c>
      <c r="C7384">
        <v>-902</v>
      </c>
      <c r="D7384" s="201">
        <v>-510</v>
      </c>
      <c r="E7384" s="201">
        <v>272</v>
      </c>
      <c r="F7384">
        <v>939</v>
      </c>
      <c r="G7384">
        <v>-1006</v>
      </c>
      <c r="H7384">
        <v>-1231</v>
      </c>
      <c r="I7384">
        <v>0</v>
      </c>
      <c r="J7384">
        <v>238</v>
      </c>
      <c r="K7384" s="201">
        <v>0</v>
      </c>
    </row>
    <row r="7385" spans="1:11" x14ac:dyDescent="0.25">
      <c r="A7385"/>
      <c r="B7385" s="201">
        <v>0</v>
      </c>
      <c r="C7385">
        <v>0</v>
      </c>
      <c r="D7385" s="201">
        <v>0</v>
      </c>
      <c r="E7385" s="201">
        <v>0</v>
      </c>
      <c r="F7385">
        <v>213</v>
      </c>
      <c r="G7385">
        <v>0</v>
      </c>
      <c r="H7385">
        <v>0</v>
      </c>
      <c r="I7385">
        <v>0</v>
      </c>
      <c r="J7385">
        <v>-199</v>
      </c>
      <c r="K7385" s="201">
        <v>0</v>
      </c>
    </row>
    <row r="7386" spans="1:11" x14ac:dyDescent="0.25">
      <c r="A7386"/>
      <c r="B7386" s="201">
        <v>49</v>
      </c>
      <c r="C7386">
        <v>0</v>
      </c>
      <c r="D7386" s="201">
        <v>0</v>
      </c>
      <c r="E7386" s="201">
        <v>0</v>
      </c>
      <c r="F7386">
        <v>0</v>
      </c>
      <c r="G7386">
        <v>0</v>
      </c>
      <c r="H7386">
        <v>-69</v>
      </c>
      <c r="I7386">
        <v>0</v>
      </c>
      <c r="J7386">
        <v>161</v>
      </c>
      <c r="K7386" s="201">
        <v>1001</v>
      </c>
    </row>
    <row r="7387" spans="1:11" x14ac:dyDescent="0.25">
      <c r="A7387"/>
      <c r="B7387" s="201">
        <v>0</v>
      </c>
      <c r="C7387">
        <v>0</v>
      </c>
      <c r="D7387" s="201">
        <v>-13946</v>
      </c>
      <c r="E7387" s="201">
        <v>1568</v>
      </c>
      <c r="F7387">
        <v>0</v>
      </c>
      <c r="G7387">
        <v>-5370</v>
      </c>
      <c r="H7387">
        <v>0</v>
      </c>
      <c r="I7387">
        <v>0</v>
      </c>
      <c r="J7387">
        <v>0</v>
      </c>
      <c r="K7387" s="201">
        <v>0</v>
      </c>
    </row>
    <row r="7388" spans="1:11" x14ac:dyDescent="0.25">
      <c r="A7388"/>
      <c r="B7388" s="201">
        <v>7764</v>
      </c>
      <c r="C7388">
        <v>-175</v>
      </c>
      <c r="D7388" s="201">
        <v>-716</v>
      </c>
      <c r="E7388" s="201">
        <v>0</v>
      </c>
      <c r="F7388">
        <v>0</v>
      </c>
      <c r="G7388">
        <v>354</v>
      </c>
      <c r="H7388">
        <v>285</v>
      </c>
      <c r="I7388">
        <v>0</v>
      </c>
      <c r="J7388">
        <v>-1258</v>
      </c>
      <c r="K7388" s="201">
        <v>-1564</v>
      </c>
    </row>
    <row r="7389" spans="1:11" x14ac:dyDescent="0.25">
      <c r="A7389"/>
      <c r="B7389" s="201">
        <v>-520</v>
      </c>
      <c r="C7389">
        <v>-683</v>
      </c>
      <c r="D7389" s="201">
        <v>-846</v>
      </c>
      <c r="E7389" s="201">
        <v>-943</v>
      </c>
      <c r="F7389">
        <v>-2617</v>
      </c>
      <c r="G7389">
        <v>0</v>
      </c>
      <c r="H7389">
        <v>0</v>
      </c>
      <c r="I7389">
        <v>0</v>
      </c>
      <c r="J7389">
        <v>0</v>
      </c>
      <c r="K7389" s="201">
        <v>0</v>
      </c>
    </row>
    <row r="7390" spans="1:11" x14ac:dyDescent="0.25">
      <c r="A7390"/>
      <c r="B7390" s="201">
        <v>-12147</v>
      </c>
      <c r="C7390">
        <v>0</v>
      </c>
      <c r="D7390" s="201">
        <v>-2056</v>
      </c>
      <c r="E7390" s="201">
        <v>-382</v>
      </c>
      <c r="F7390">
        <v>1222</v>
      </c>
      <c r="G7390">
        <v>0</v>
      </c>
      <c r="H7390">
        <v>-12896</v>
      </c>
      <c r="I7390">
        <v>1159</v>
      </c>
      <c r="J7390">
        <v>-623</v>
      </c>
      <c r="K7390" s="201">
        <v>-3968</v>
      </c>
    </row>
    <row r="7391" spans="1:11" x14ac:dyDescent="0.25">
      <c r="B7391" s="201">
        <v>-3810</v>
      </c>
      <c r="C7391">
        <v>0</v>
      </c>
      <c r="D7391" s="201">
        <v>1394</v>
      </c>
      <c r="E7391" s="201">
        <v>992</v>
      </c>
      <c r="F7391">
        <v>3846</v>
      </c>
      <c r="G7391">
        <v>690</v>
      </c>
      <c r="H7391">
        <v>0</v>
      </c>
      <c r="I7391">
        <v>-724</v>
      </c>
      <c r="J7391">
        <v>15024</v>
      </c>
      <c r="K7391" s="201">
        <v>0</v>
      </c>
    </row>
    <row r="7392" spans="1:11" x14ac:dyDescent="0.25">
      <c r="A7392"/>
      <c r="B7392" s="201">
        <v>0</v>
      </c>
      <c r="C7392">
        <v>0</v>
      </c>
      <c r="D7392" s="201">
        <v>140</v>
      </c>
      <c r="E7392" s="201">
        <v>328</v>
      </c>
      <c r="F7392">
        <v>0</v>
      </c>
      <c r="G7392">
        <v>311</v>
      </c>
      <c r="H7392">
        <v>886</v>
      </c>
      <c r="I7392">
        <v>241</v>
      </c>
      <c r="J7392">
        <v>284</v>
      </c>
      <c r="K7392" s="201">
        <v>0</v>
      </c>
    </row>
    <row r="7393" spans="1:11" x14ac:dyDescent="0.25">
      <c r="A7393"/>
      <c r="B7393" s="201">
        <v>0</v>
      </c>
      <c r="C7393">
        <v>0</v>
      </c>
      <c r="D7393" s="201">
        <v>0</v>
      </c>
      <c r="E7393" s="201">
        <v>0</v>
      </c>
      <c r="F7393">
        <v>-15737</v>
      </c>
      <c r="G7393">
        <v>0</v>
      </c>
      <c r="H7393">
        <v>-4037</v>
      </c>
      <c r="I7393">
        <v>554</v>
      </c>
      <c r="J7393">
        <v>-612</v>
      </c>
      <c r="K7393" s="201">
        <v>0</v>
      </c>
    </row>
    <row r="7394" spans="1:11" x14ac:dyDescent="0.25">
      <c r="A7394"/>
      <c r="B7394" s="201">
        <v>-12015</v>
      </c>
      <c r="C7394">
        <v>1350</v>
      </c>
      <c r="D7394" s="201">
        <v>-113</v>
      </c>
      <c r="E7394" s="201">
        <v>-3102</v>
      </c>
      <c r="F7394">
        <v>-2868</v>
      </c>
      <c r="G7394">
        <v>560</v>
      </c>
      <c r="H7394">
        <v>1649</v>
      </c>
      <c r="I7394">
        <v>-3169</v>
      </c>
      <c r="J7394">
        <v>0</v>
      </c>
      <c r="K7394" s="201">
        <v>211</v>
      </c>
    </row>
    <row r="7395" spans="1:11" x14ac:dyDescent="0.25">
      <c r="A7395"/>
      <c r="B7395" s="201">
        <v>0</v>
      </c>
      <c r="C7395">
        <v>0</v>
      </c>
      <c r="D7395" s="201">
        <v>14301</v>
      </c>
      <c r="E7395" s="201">
        <v>1033</v>
      </c>
      <c r="F7395">
        <v>0</v>
      </c>
      <c r="G7395">
        <v>-81</v>
      </c>
      <c r="H7395">
        <v>0</v>
      </c>
      <c r="I7395">
        <v>0</v>
      </c>
      <c r="J7395">
        <v>273</v>
      </c>
      <c r="K7395" s="201">
        <v>0</v>
      </c>
    </row>
    <row r="7396" spans="1:11" x14ac:dyDescent="0.25">
      <c r="A7396"/>
      <c r="B7396" s="201">
        <v>547</v>
      </c>
      <c r="C7396">
        <v>149</v>
      </c>
      <c r="D7396" s="201">
        <v>328</v>
      </c>
      <c r="E7396" s="201">
        <v>0</v>
      </c>
      <c r="F7396">
        <v>0</v>
      </c>
      <c r="G7396">
        <v>0</v>
      </c>
      <c r="H7396">
        <v>0</v>
      </c>
      <c r="I7396">
        <v>0</v>
      </c>
      <c r="J7396">
        <v>-15347</v>
      </c>
      <c r="K7396" s="201">
        <v>0</v>
      </c>
    </row>
    <row r="7397" spans="1:11" x14ac:dyDescent="0.25">
      <c r="B7397" s="201">
        <v>-4004</v>
      </c>
      <c r="C7397">
        <v>168</v>
      </c>
      <c r="D7397" s="201">
        <v>-38</v>
      </c>
      <c r="E7397" s="201">
        <v>0</v>
      </c>
      <c r="F7397">
        <v>-29333</v>
      </c>
      <c r="G7397">
        <v>-1272</v>
      </c>
      <c r="H7397">
        <v>801</v>
      </c>
      <c r="I7397">
        <v>0</v>
      </c>
      <c r="J7397">
        <v>0</v>
      </c>
      <c r="K7397" s="201">
        <v>0</v>
      </c>
    </row>
    <row r="7398" spans="1:11" x14ac:dyDescent="0.25">
      <c r="A7398"/>
      <c r="B7398" s="201">
        <v>1695</v>
      </c>
      <c r="C7398">
        <v>2051</v>
      </c>
      <c r="D7398" s="201">
        <v>3784</v>
      </c>
      <c r="E7398" s="201">
        <v>-152</v>
      </c>
      <c r="F7398">
        <v>-454</v>
      </c>
      <c r="G7398">
        <v>0</v>
      </c>
      <c r="H7398">
        <v>7694</v>
      </c>
      <c r="I7398">
        <v>0</v>
      </c>
      <c r="J7398">
        <v>0</v>
      </c>
      <c r="K7398" s="201">
        <v>-226</v>
      </c>
    </row>
    <row r="7399" spans="1:11" x14ac:dyDescent="0.25">
      <c r="A7399"/>
      <c r="B7399" s="201">
        <v>0</v>
      </c>
      <c r="C7399">
        <v>268</v>
      </c>
      <c r="D7399" s="201">
        <v>0</v>
      </c>
      <c r="E7399" s="201">
        <v>392</v>
      </c>
      <c r="F7399">
        <v>0</v>
      </c>
      <c r="G7399">
        <v>0</v>
      </c>
      <c r="H7399">
        <v>0</v>
      </c>
      <c r="I7399">
        <v>0</v>
      </c>
      <c r="J7399">
        <v>0</v>
      </c>
      <c r="K7399" s="201">
        <v>0</v>
      </c>
    </row>
    <row r="7400" spans="1:11" x14ac:dyDescent="0.25">
      <c r="A7400"/>
      <c r="B7400" s="201">
        <v>0</v>
      </c>
      <c r="C7400" s="201">
        <v>0</v>
      </c>
      <c r="D7400" s="201">
        <v>-7627</v>
      </c>
      <c r="E7400" s="201">
        <v>0</v>
      </c>
      <c r="F7400">
        <v>-948</v>
      </c>
      <c r="G7400">
        <v>-1566</v>
      </c>
      <c r="H7400">
        <v>-495</v>
      </c>
      <c r="I7400">
        <v>0</v>
      </c>
      <c r="J7400">
        <v>-14941</v>
      </c>
      <c r="K7400" s="201">
        <v>197</v>
      </c>
    </row>
    <row r="7401" spans="1:11" x14ac:dyDescent="0.25">
      <c r="A7401"/>
      <c r="B7401" s="201">
        <v>0</v>
      </c>
      <c r="C7401">
        <v>0</v>
      </c>
      <c r="D7401" s="201">
        <v>0</v>
      </c>
      <c r="E7401" s="201">
        <v>0</v>
      </c>
      <c r="F7401">
        <v>0</v>
      </c>
      <c r="G7401">
        <v>-4060</v>
      </c>
      <c r="H7401">
        <v>1573</v>
      </c>
      <c r="I7401">
        <v>-815</v>
      </c>
      <c r="J7401">
        <v>-2037</v>
      </c>
      <c r="K7401" s="201">
        <v>-1464</v>
      </c>
    </row>
    <row r="7402" spans="1:11" x14ac:dyDescent="0.25">
      <c r="B7402" s="201">
        <v>14313</v>
      </c>
      <c r="C7402">
        <v>0</v>
      </c>
      <c r="D7402" s="201">
        <v>0</v>
      </c>
      <c r="E7402" s="201">
        <v>0</v>
      </c>
      <c r="F7402">
        <v>0</v>
      </c>
      <c r="G7402">
        <v>-1520</v>
      </c>
      <c r="H7402">
        <v>0</v>
      </c>
      <c r="I7402">
        <v>-335</v>
      </c>
      <c r="J7402">
        <v>0</v>
      </c>
      <c r="K7402" s="201">
        <v>0</v>
      </c>
    </row>
    <row r="7403" spans="1:11" x14ac:dyDescent="0.25">
      <c r="A7403"/>
      <c r="B7403" s="201">
        <v>-1274</v>
      </c>
      <c r="C7403">
        <v>808</v>
      </c>
      <c r="D7403" s="201">
        <v>0</v>
      </c>
      <c r="E7403" s="201">
        <v>0</v>
      </c>
      <c r="F7403">
        <v>0</v>
      </c>
      <c r="G7403">
        <v>0</v>
      </c>
      <c r="H7403">
        <v>-17549</v>
      </c>
      <c r="I7403">
        <v>0</v>
      </c>
      <c r="J7403">
        <v>-2391</v>
      </c>
      <c r="K7403" s="201">
        <v>-1521</v>
      </c>
    </row>
    <row r="7404" spans="1:11" x14ac:dyDescent="0.25">
      <c r="A7404"/>
      <c r="B7404" s="201">
        <v>-1949</v>
      </c>
      <c r="C7404">
        <v>-412</v>
      </c>
      <c r="D7404" s="201">
        <v>1988</v>
      </c>
      <c r="E7404" s="201">
        <v>14258</v>
      </c>
      <c r="F7404">
        <v>11005</v>
      </c>
      <c r="G7404">
        <v>-788</v>
      </c>
      <c r="H7404">
        <v>-5419</v>
      </c>
      <c r="I7404">
        <v>3702</v>
      </c>
      <c r="J7404">
        <v>0</v>
      </c>
      <c r="K7404" s="201">
        <v>0</v>
      </c>
    </row>
    <row r="7405" spans="1:11" x14ac:dyDescent="0.25">
      <c r="A7405"/>
      <c r="B7405" s="201">
        <v>0</v>
      </c>
      <c r="C7405">
        <v>0</v>
      </c>
      <c r="D7405" s="201">
        <v>0</v>
      </c>
      <c r="E7405" s="201">
        <v>0</v>
      </c>
      <c r="F7405">
        <v>0</v>
      </c>
      <c r="G7405">
        <v>-727</v>
      </c>
      <c r="H7405">
        <v>-222</v>
      </c>
      <c r="I7405">
        <v>-1625</v>
      </c>
      <c r="J7405">
        <v>-384</v>
      </c>
      <c r="K7405" s="201">
        <v>-1386</v>
      </c>
    </row>
    <row r="7406" spans="1:11" x14ac:dyDescent="0.25">
      <c r="A7406"/>
      <c r="B7406" s="201">
        <v>-726</v>
      </c>
      <c r="C7406">
        <v>0</v>
      </c>
      <c r="D7406" s="201">
        <v>0</v>
      </c>
      <c r="E7406" s="201">
        <v>5889</v>
      </c>
      <c r="F7406">
        <v>0</v>
      </c>
      <c r="G7406">
        <v>-992</v>
      </c>
      <c r="H7406">
        <v>18665</v>
      </c>
      <c r="I7406">
        <v>0</v>
      </c>
      <c r="J7406">
        <v>0</v>
      </c>
      <c r="K7406" s="201">
        <v>0</v>
      </c>
    </row>
    <row r="7407" spans="1:11" x14ac:dyDescent="0.25">
      <c r="A7407"/>
      <c r="B7407" s="201">
        <v>0</v>
      </c>
      <c r="C7407">
        <v>999</v>
      </c>
      <c r="D7407" s="201">
        <v>0</v>
      </c>
      <c r="E7407" s="201">
        <v>91</v>
      </c>
      <c r="F7407">
        <v>1569</v>
      </c>
      <c r="G7407">
        <v>0</v>
      </c>
      <c r="H7407">
        <v>0</v>
      </c>
      <c r="I7407">
        <v>0</v>
      </c>
      <c r="J7407">
        <v>0</v>
      </c>
      <c r="K7407" s="201">
        <v>0</v>
      </c>
    </row>
    <row r="7408" spans="1:11" x14ac:dyDescent="0.25">
      <c r="A7408"/>
      <c r="B7408" s="201">
        <v>0</v>
      </c>
      <c r="C7408">
        <v>0</v>
      </c>
      <c r="D7408" s="201">
        <v>0</v>
      </c>
      <c r="E7408" s="201">
        <v>0</v>
      </c>
      <c r="F7408">
        <v>0</v>
      </c>
      <c r="G7408">
        <v>0</v>
      </c>
      <c r="H7408">
        <v>0</v>
      </c>
      <c r="I7408">
        <v>0</v>
      </c>
      <c r="J7408">
        <v>0</v>
      </c>
      <c r="K7408" s="201">
        <v>0</v>
      </c>
    </row>
    <row r="7409" spans="1:11" x14ac:dyDescent="0.25">
      <c r="B7409" s="201">
        <v>-298</v>
      </c>
      <c r="C7409">
        <v>0</v>
      </c>
      <c r="D7409" s="201">
        <v>0</v>
      </c>
      <c r="E7409" s="201">
        <v>0</v>
      </c>
      <c r="F7409">
        <v>0</v>
      </c>
      <c r="G7409">
        <v>0</v>
      </c>
      <c r="H7409">
        <v>215</v>
      </c>
      <c r="I7409">
        <v>-421</v>
      </c>
      <c r="J7409">
        <v>-87</v>
      </c>
      <c r="K7409" s="201">
        <v>-1687</v>
      </c>
    </row>
    <row r="7410" spans="1:11" x14ac:dyDescent="0.25">
      <c r="A7410"/>
      <c r="B7410" s="201">
        <v>-3117</v>
      </c>
      <c r="C7410">
        <v>-3155</v>
      </c>
      <c r="D7410" s="201">
        <v>-1264</v>
      </c>
      <c r="E7410" s="201">
        <v>963</v>
      </c>
      <c r="F7410">
        <v>245</v>
      </c>
      <c r="G7410">
        <v>-470</v>
      </c>
      <c r="H7410">
        <v>-242</v>
      </c>
      <c r="I7410">
        <v>126</v>
      </c>
      <c r="J7410">
        <v>-2734</v>
      </c>
      <c r="K7410" s="201">
        <v>-3764</v>
      </c>
    </row>
    <row r="7411" spans="1:11" x14ac:dyDescent="0.25">
      <c r="B7411" s="201">
        <v>-2355</v>
      </c>
      <c r="C7411">
        <v>-2557</v>
      </c>
      <c r="D7411" s="201">
        <v>472</v>
      </c>
      <c r="E7411" s="201">
        <v>0</v>
      </c>
      <c r="F7411">
        <v>-2014</v>
      </c>
      <c r="G7411">
        <v>-829</v>
      </c>
      <c r="H7411">
        <v>-1195</v>
      </c>
      <c r="I7411">
        <v>-502</v>
      </c>
      <c r="J7411">
        <v>1221</v>
      </c>
      <c r="K7411" s="201">
        <v>5105</v>
      </c>
    </row>
    <row r="7412" spans="1:11" x14ac:dyDescent="0.25">
      <c r="A7412"/>
      <c r="B7412" s="201">
        <v>-831</v>
      </c>
      <c r="C7412">
        <v>-346</v>
      </c>
      <c r="D7412" s="201">
        <v>764</v>
      </c>
      <c r="E7412" s="201">
        <v>-241</v>
      </c>
      <c r="F7412">
        <v>4986</v>
      </c>
      <c r="G7412">
        <v>-221</v>
      </c>
      <c r="H7412">
        <v>-1381</v>
      </c>
      <c r="I7412">
        <v>-994</v>
      </c>
      <c r="J7412">
        <v>-468</v>
      </c>
      <c r="K7412" s="201">
        <v>3540</v>
      </c>
    </row>
    <row r="7413" spans="1:11" x14ac:dyDescent="0.25">
      <c r="A7413"/>
      <c r="B7413" s="201">
        <v>699</v>
      </c>
      <c r="C7413">
        <v>-352</v>
      </c>
      <c r="D7413" s="201">
        <v>-253</v>
      </c>
      <c r="E7413" s="201">
        <v>-480</v>
      </c>
      <c r="F7413">
        <v>-7591</v>
      </c>
      <c r="G7413">
        <v>-15085</v>
      </c>
      <c r="H7413">
        <v>-15067</v>
      </c>
      <c r="I7413">
        <v>-15032</v>
      </c>
      <c r="J7413">
        <v>-15784</v>
      </c>
      <c r="K7413" s="201">
        <v>-15279</v>
      </c>
    </row>
    <row r="7414" spans="1:11" x14ac:dyDescent="0.25">
      <c r="B7414" s="201">
        <v>-4621</v>
      </c>
      <c r="C7414">
        <v>-9449</v>
      </c>
      <c r="D7414" s="201">
        <v>-10199</v>
      </c>
      <c r="E7414" s="201">
        <v>-8247</v>
      </c>
      <c r="F7414">
        <v>-12110</v>
      </c>
      <c r="G7414">
        <v>38575</v>
      </c>
      <c r="H7414">
        <v>35366</v>
      </c>
      <c r="I7414">
        <v>25387</v>
      </c>
      <c r="J7414">
        <v>38280</v>
      </c>
      <c r="K7414" s="201">
        <v>41426</v>
      </c>
    </row>
    <row r="7415" spans="1:11" x14ac:dyDescent="0.25">
      <c r="A7415"/>
      <c r="B7415" s="201">
        <v>33882</v>
      </c>
      <c r="C7415">
        <v>40232</v>
      </c>
      <c r="D7415" s="201">
        <v>27400</v>
      </c>
      <c r="E7415" s="201">
        <v>41478</v>
      </c>
      <c r="F7415">
        <v>694</v>
      </c>
      <c r="G7415">
        <v>794</v>
      </c>
      <c r="H7415">
        <v>646</v>
      </c>
      <c r="I7415">
        <v>970</v>
      </c>
      <c r="J7415">
        <v>124</v>
      </c>
      <c r="K7415" s="201">
        <v>123</v>
      </c>
    </row>
    <row r="7416" spans="1:11" x14ac:dyDescent="0.25">
      <c r="A7416"/>
      <c r="B7416" s="201">
        <v>87</v>
      </c>
      <c r="C7416">
        <v>87</v>
      </c>
      <c r="D7416" s="201">
        <v>165</v>
      </c>
      <c r="E7416" s="201">
        <v>-75</v>
      </c>
      <c r="F7416">
        <v>716</v>
      </c>
      <c r="G7416">
        <v>767</v>
      </c>
      <c r="H7416">
        <v>253</v>
      </c>
      <c r="I7416">
        <v>28</v>
      </c>
      <c r="J7416">
        <v>521</v>
      </c>
      <c r="K7416" s="201">
        <v>483</v>
      </c>
    </row>
    <row r="7417" spans="1:11" x14ac:dyDescent="0.25">
      <c r="A7417"/>
      <c r="B7417" s="201">
        <v>328</v>
      </c>
      <c r="C7417">
        <v>367</v>
      </c>
      <c r="D7417" s="201">
        <v>341</v>
      </c>
      <c r="E7417" s="201">
        <v>537</v>
      </c>
      <c r="F7417">
        <v>565</v>
      </c>
      <c r="G7417">
        <v>535</v>
      </c>
      <c r="H7417">
        <v>162</v>
      </c>
      <c r="I7417">
        <v>591</v>
      </c>
      <c r="J7417">
        <v>626</v>
      </c>
      <c r="K7417" s="201">
        <v>5597</v>
      </c>
    </row>
    <row r="7418" spans="1:11" x14ac:dyDescent="0.25">
      <c r="A7418"/>
      <c r="B7418" s="201">
        <v>3592</v>
      </c>
      <c r="C7418" s="201">
        <v>-40292</v>
      </c>
      <c r="D7418" s="201">
        <v>-4781</v>
      </c>
      <c r="E7418" s="201">
        <v>-46359</v>
      </c>
      <c r="F7418">
        <v>4843</v>
      </c>
      <c r="G7418">
        <v>0</v>
      </c>
      <c r="H7418">
        <v>0</v>
      </c>
      <c r="I7418">
        <v>0</v>
      </c>
      <c r="J7418">
        <v>0</v>
      </c>
      <c r="K7418" s="201">
        <v>0</v>
      </c>
    </row>
    <row r="7419" spans="1:11" x14ac:dyDescent="0.25">
      <c r="A7419"/>
      <c r="B7419" s="201">
        <v>0</v>
      </c>
      <c r="C7419">
        <v>0</v>
      </c>
      <c r="D7419" s="201">
        <v>0</v>
      </c>
      <c r="E7419" s="201">
        <v>0</v>
      </c>
      <c r="F7419">
        <v>0</v>
      </c>
      <c r="G7419">
        <v>0</v>
      </c>
      <c r="H7419">
        <v>0</v>
      </c>
      <c r="I7419">
        <v>0</v>
      </c>
      <c r="J7419">
        <v>0</v>
      </c>
      <c r="K7419" s="201">
        <v>0</v>
      </c>
    </row>
    <row r="7420" spans="1:11" x14ac:dyDescent="0.25">
      <c r="A7420"/>
      <c r="B7420" s="201">
        <v>0</v>
      </c>
      <c r="C7420">
        <v>0</v>
      </c>
      <c r="D7420" s="201">
        <v>0</v>
      </c>
      <c r="E7420" s="201">
        <v>0</v>
      </c>
      <c r="F7420">
        <v>0</v>
      </c>
      <c r="G7420">
        <v>0</v>
      </c>
      <c r="H7420">
        <v>0</v>
      </c>
      <c r="I7420">
        <v>0</v>
      </c>
      <c r="J7420">
        <v>0</v>
      </c>
      <c r="K7420" s="201">
        <v>0</v>
      </c>
    </row>
    <row r="7421" spans="1:11" x14ac:dyDescent="0.25">
      <c r="A7421"/>
      <c r="B7421" s="201">
        <v>0</v>
      </c>
      <c r="C7421">
        <v>0</v>
      </c>
      <c r="D7421" s="201">
        <v>0</v>
      </c>
      <c r="E7421" s="201">
        <v>0</v>
      </c>
      <c r="F7421">
        <v>0</v>
      </c>
      <c r="G7421">
        <v>0</v>
      </c>
      <c r="H7421">
        <v>0</v>
      </c>
      <c r="I7421">
        <v>0</v>
      </c>
      <c r="J7421">
        <v>0</v>
      </c>
      <c r="K7421" s="201">
        <v>0</v>
      </c>
    </row>
    <row r="7422" spans="1:11" x14ac:dyDescent="0.25">
      <c r="A7422"/>
      <c r="B7422" s="201">
        <v>0</v>
      </c>
      <c r="C7422">
        <v>0</v>
      </c>
      <c r="D7422" s="201">
        <v>0</v>
      </c>
      <c r="E7422" s="201">
        <v>0</v>
      </c>
      <c r="F7422">
        <v>0</v>
      </c>
      <c r="G7422">
        <v>0</v>
      </c>
      <c r="H7422">
        <v>0</v>
      </c>
      <c r="I7422">
        <v>0</v>
      </c>
      <c r="J7422">
        <v>0</v>
      </c>
      <c r="K7422" s="201">
        <v>0</v>
      </c>
    </row>
    <row r="7423" spans="1:11" x14ac:dyDescent="0.25">
      <c r="A7423"/>
      <c r="B7423" s="201">
        <v>0</v>
      </c>
      <c r="C7423">
        <v>0</v>
      </c>
      <c r="D7423" s="201">
        <v>0</v>
      </c>
      <c r="E7423" s="201">
        <v>0</v>
      </c>
      <c r="F7423">
        <v>0</v>
      </c>
      <c r="G7423">
        <v>0</v>
      </c>
      <c r="H7423">
        <v>0</v>
      </c>
      <c r="I7423">
        <v>0</v>
      </c>
      <c r="J7423">
        <v>0</v>
      </c>
      <c r="K7423" s="201">
        <v>0</v>
      </c>
    </row>
    <row r="7424" spans="1:11" x14ac:dyDescent="0.25">
      <c r="A7424"/>
      <c r="B7424" s="201">
        <v>0</v>
      </c>
      <c r="C7424">
        <v>0</v>
      </c>
      <c r="D7424" s="201">
        <v>0</v>
      </c>
      <c r="E7424" s="201">
        <v>0</v>
      </c>
      <c r="F7424">
        <v>0</v>
      </c>
      <c r="G7424">
        <v>0</v>
      </c>
      <c r="H7424">
        <v>0</v>
      </c>
      <c r="I7424">
        <v>0</v>
      </c>
      <c r="J7424">
        <v>0</v>
      </c>
      <c r="K7424" s="201">
        <v>0</v>
      </c>
    </row>
    <row r="7425" spans="1:11" x14ac:dyDescent="0.25">
      <c r="A7425"/>
      <c r="B7425" s="201">
        <v>0</v>
      </c>
      <c r="C7425">
        <v>0</v>
      </c>
      <c r="D7425" s="201">
        <v>0</v>
      </c>
      <c r="E7425" s="201">
        <v>0</v>
      </c>
      <c r="F7425">
        <v>0</v>
      </c>
      <c r="G7425">
        <v>0</v>
      </c>
      <c r="H7425">
        <v>0</v>
      </c>
      <c r="I7425">
        <v>0</v>
      </c>
      <c r="J7425">
        <v>0</v>
      </c>
      <c r="K7425" s="201">
        <v>0</v>
      </c>
    </row>
    <row r="7426" spans="1:11" x14ac:dyDescent="0.25">
      <c r="A7426"/>
      <c r="B7426" s="201">
        <v>0</v>
      </c>
      <c r="C7426">
        <v>0</v>
      </c>
      <c r="D7426" s="201">
        <v>0</v>
      </c>
      <c r="E7426" s="201">
        <v>0</v>
      </c>
      <c r="F7426">
        <v>0</v>
      </c>
      <c r="G7426">
        <v>0</v>
      </c>
      <c r="H7426">
        <v>0</v>
      </c>
      <c r="I7426">
        <v>0</v>
      </c>
      <c r="J7426">
        <v>0</v>
      </c>
      <c r="K7426" s="201">
        <v>0</v>
      </c>
    </row>
    <row r="7427" spans="1:11" x14ac:dyDescent="0.25">
      <c r="A7427"/>
      <c r="B7427" s="201">
        <v>0</v>
      </c>
      <c r="C7427">
        <v>0</v>
      </c>
      <c r="D7427" s="201">
        <v>0</v>
      </c>
      <c r="E7427" s="201">
        <v>0</v>
      </c>
      <c r="F7427">
        <v>0</v>
      </c>
      <c r="G7427">
        <v>0</v>
      </c>
      <c r="H7427">
        <v>0</v>
      </c>
      <c r="I7427">
        <v>0</v>
      </c>
      <c r="J7427">
        <v>0</v>
      </c>
      <c r="K7427" s="201">
        <v>0</v>
      </c>
    </row>
    <row r="7428" spans="1:11" x14ac:dyDescent="0.25">
      <c r="A7428"/>
      <c r="B7428" s="201">
        <v>0</v>
      </c>
      <c r="C7428">
        <v>0</v>
      </c>
      <c r="D7428" s="201">
        <v>0</v>
      </c>
      <c r="E7428" s="201">
        <v>0</v>
      </c>
      <c r="F7428">
        <v>0</v>
      </c>
      <c r="G7428">
        <v>0</v>
      </c>
      <c r="H7428">
        <v>0</v>
      </c>
      <c r="I7428">
        <v>0</v>
      </c>
      <c r="J7428">
        <v>0</v>
      </c>
      <c r="K7428" s="201">
        <v>0</v>
      </c>
    </row>
    <row r="7429" spans="1:11" x14ac:dyDescent="0.25">
      <c r="A7429"/>
      <c r="B7429" s="201">
        <v>0</v>
      </c>
      <c r="C7429">
        <v>0</v>
      </c>
      <c r="D7429" s="201">
        <v>0</v>
      </c>
      <c r="E7429" s="201">
        <v>0</v>
      </c>
      <c r="F7429">
        <v>0</v>
      </c>
      <c r="G7429">
        <v>0</v>
      </c>
      <c r="H7429">
        <v>0</v>
      </c>
      <c r="I7429">
        <v>0</v>
      </c>
      <c r="J7429">
        <v>0</v>
      </c>
      <c r="K7429" s="201">
        <v>0</v>
      </c>
    </row>
    <row r="7430" spans="1:11" x14ac:dyDescent="0.25">
      <c r="A7430"/>
      <c r="B7430" s="201">
        <v>0</v>
      </c>
      <c r="C7430">
        <v>0</v>
      </c>
      <c r="D7430" s="201">
        <v>0</v>
      </c>
      <c r="E7430" s="201">
        <v>0</v>
      </c>
      <c r="F7430">
        <v>0</v>
      </c>
      <c r="G7430">
        <v>0</v>
      </c>
      <c r="H7430">
        <v>0</v>
      </c>
      <c r="I7430">
        <v>0</v>
      </c>
      <c r="J7430">
        <v>0</v>
      </c>
      <c r="K7430" s="201">
        <v>0</v>
      </c>
    </row>
    <row r="7431" spans="1:11" x14ac:dyDescent="0.25">
      <c r="A7431"/>
      <c r="B7431" s="201">
        <v>0</v>
      </c>
      <c r="C7431">
        <v>0</v>
      </c>
      <c r="D7431" s="201">
        <v>0</v>
      </c>
      <c r="E7431" s="201">
        <v>0</v>
      </c>
      <c r="F7431">
        <v>0</v>
      </c>
      <c r="G7431">
        <v>0</v>
      </c>
      <c r="H7431">
        <v>0</v>
      </c>
      <c r="I7431">
        <v>0</v>
      </c>
      <c r="J7431">
        <v>0</v>
      </c>
      <c r="K7431" s="201">
        <v>0</v>
      </c>
    </row>
    <row r="7432" spans="1:11" x14ac:dyDescent="0.25">
      <c r="A7432"/>
      <c r="B7432" s="201">
        <v>0</v>
      </c>
      <c r="C7432">
        <v>0</v>
      </c>
      <c r="D7432" s="201">
        <v>0</v>
      </c>
      <c r="E7432" s="201">
        <v>0</v>
      </c>
      <c r="F7432">
        <v>0</v>
      </c>
      <c r="G7432">
        <v>0</v>
      </c>
      <c r="H7432">
        <v>0</v>
      </c>
      <c r="I7432">
        <v>0</v>
      </c>
      <c r="J7432">
        <v>0</v>
      </c>
      <c r="K7432" s="201">
        <v>0</v>
      </c>
    </row>
    <row r="7433" spans="1:11" x14ac:dyDescent="0.25">
      <c r="A7433"/>
      <c r="B7433" s="201">
        <v>0</v>
      </c>
      <c r="C7433">
        <v>0</v>
      </c>
      <c r="D7433" s="201">
        <v>0</v>
      </c>
      <c r="E7433" s="201">
        <v>0</v>
      </c>
      <c r="F7433">
        <v>0</v>
      </c>
      <c r="G7433">
        <v>0</v>
      </c>
      <c r="H7433">
        <v>0</v>
      </c>
      <c r="I7433">
        <v>0</v>
      </c>
      <c r="J7433">
        <v>0</v>
      </c>
      <c r="K7433" s="201">
        <v>0</v>
      </c>
    </row>
    <row r="7434" spans="1:11" x14ac:dyDescent="0.25">
      <c r="A7434"/>
      <c r="B7434" s="201">
        <v>0</v>
      </c>
      <c r="C7434">
        <v>0</v>
      </c>
      <c r="D7434" s="201">
        <v>0</v>
      </c>
      <c r="E7434" s="201">
        <v>0</v>
      </c>
      <c r="F7434">
        <v>0</v>
      </c>
      <c r="G7434">
        <v>0</v>
      </c>
      <c r="H7434">
        <v>0</v>
      </c>
      <c r="I7434">
        <v>0</v>
      </c>
      <c r="J7434">
        <v>0</v>
      </c>
      <c r="K7434" s="201">
        <v>0</v>
      </c>
    </row>
    <row r="7435" spans="1:11" x14ac:dyDescent="0.25">
      <c r="A7435"/>
      <c r="B7435" s="201">
        <v>0</v>
      </c>
      <c r="C7435">
        <v>0</v>
      </c>
      <c r="D7435" s="201">
        <v>0</v>
      </c>
      <c r="E7435" s="201">
        <v>0</v>
      </c>
      <c r="F7435">
        <v>0</v>
      </c>
      <c r="G7435">
        <v>0</v>
      </c>
      <c r="H7435">
        <v>0</v>
      </c>
      <c r="I7435">
        <v>0</v>
      </c>
      <c r="J7435">
        <v>0</v>
      </c>
      <c r="K7435" s="201">
        <v>0</v>
      </c>
    </row>
    <row r="7436" spans="1:11" x14ac:dyDescent="0.25">
      <c r="A7436"/>
      <c r="B7436" s="201">
        <v>0</v>
      </c>
      <c r="C7436">
        <v>0</v>
      </c>
      <c r="D7436" s="201">
        <v>0</v>
      </c>
      <c r="E7436" s="201">
        <v>0</v>
      </c>
      <c r="F7436">
        <v>0</v>
      </c>
      <c r="G7436">
        <v>0</v>
      </c>
      <c r="H7436">
        <v>0</v>
      </c>
      <c r="I7436">
        <v>0</v>
      </c>
      <c r="J7436">
        <v>0</v>
      </c>
      <c r="K7436" s="201">
        <v>0</v>
      </c>
    </row>
    <row r="7437" spans="1:11" x14ac:dyDescent="0.25">
      <c r="A7437"/>
      <c r="B7437" s="201">
        <v>0</v>
      </c>
      <c r="C7437">
        <v>0</v>
      </c>
      <c r="D7437" s="201">
        <v>0</v>
      </c>
      <c r="E7437" s="201">
        <v>0</v>
      </c>
      <c r="F7437">
        <v>0</v>
      </c>
      <c r="G7437">
        <v>0</v>
      </c>
      <c r="H7437">
        <v>0</v>
      </c>
      <c r="I7437">
        <v>0</v>
      </c>
      <c r="J7437">
        <v>0</v>
      </c>
      <c r="K7437" s="201">
        <v>0</v>
      </c>
    </row>
    <row r="7438" spans="1:11" x14ac:dyDescent="0.25">
      <c r="A7438"/>
      <c r="B7438" s="201">
        <v>0</v>
      </c>
      <c r="C7438">
        <v>0</v>
      </c>
      <c r="D7438" s="201">
        <v>0</v>
      </c>
      <c r="E7438" s="201">
        <v>0</v>
      </c>
      <c r="F7438">
        <v>0</v>
      </c>
      <c r="G7438">
        <v>0</v>
      </c>
      <c r="H7438">
        <v>0</v>
      </c>
      <c r="I7438">
        <v>0</v>
      </c>
      <c r="J7438">
        <v>0</v>
      </c>
      <c r="K7438" s="201">
        <v>0</v>
      </c>
    </row>
    <row r="7439" spans="1:11" x14ac:dyDescent="0.25">
      <c r="A7439"/>
      <c r="B7439" s="201">
        <v>0</v>
      </c>
      <c r="C7439">
        <v>0</v>
      </c>
      <c r="D7439" s="201">
        <v>0</v>
      </c>
      <c r="E7439" s="201">
        <v>0</v>
      </c>
      <c r="F7439">
        <v>0</v>
      </c>
      <c r="G7439">
        <v>0</v>
      </c>
      <c r="H7439">
        <v>0</v>
      </c>
      <c r="I7439">
        <v>0</v>
      </c>
      <c r="J7439">
        <v>0</v>
      </c>
      <c r="K7439" s="201">
        <v>0</v>
      </c>
    </row>
    <row r="7440" spans="1:11" x14ac:dyDescent="0.25">
      <c r="A7440"/>
      <c r="B7440" s="201">
        <v>0</v>
      </c>
      <c r="C7440">
        <v>0</v>
      </c>
      <c r="D7440" s="201">
        <v>0</v>
      </c>
      <c r="E7440" s="201">
        <v>0</v>
      </c>
      <c r="F7440">
        <v>0</v>
      </c>
      <c r="G7440">
        <v>0</v>
      </c>
      <c r="H7440">
        <v>0</v>
      </c>
      <c r="I7440">
        <v>0</v>
      </c>
      <c r="J7440">
        <v>0</v>
      </c>
      <c r="K7440" s="201">
        <v>0</v>
      </c>
    </row>
    <row r="7441" spans="1:11" x14ac:dyDescent="0.25">
      <c r="A7441"/>
      <c r="B7441" s="201">
        <v>0</v>
      </c>
      <c r="C7441">
        <v>0</v>
      </c>
      <c r="D7441" s="201">
        <v>0</v>
      </c>
      <c r="E7441" s="201">
        <v>0</v>
      </c>
      <c r="F7441">
        <v>0</v>
      </c>
      <c r="G7441">
        <v>0</v>
      </c>
      <c r="H7441">
        <v>0</v>
      </c>
      <c r="I7441">
        <v>0</v>
      </c>
      <c r="J7441">
        <v>0</v>
      </c>
      <c r="K7441" s="201">
        <v>0</v>
      </c>
    </row>
    <row r="7442" spans="1:11" x14ac:dyDescent="0.25">
      <c r="A7442"/>
      <c r="B7442" s="201">
        <v>0</v>
      </c>
      <c r="C7442">
        <v>0</v>
      </c>
      <c r="D7442" s="201">
        <v>0</v>
      </c>
      <c r="E7442" s="201">
        <v>0</v>
      </c>
      <c r="F7442">
        <v>0</v>
      </c>
      <c r="G7442">
        <v>0</v>
      </c>
      <c r="H7442">
        <v>0</v>
      </c>
      <c r="I7442">
        <v>0</v>
      </c>
      <c r="J7442">
        <v>0</v>
      </c>
      <c r="K7442" s="201">
        <v>0</v>
      </c>
    </row>
    <row r="7443" spans="1:11" x14ac:dyDescent="0.25">
      <c r="A7443"/>
      <c r="B7443" s="201">
        <v>0</v>
      </c>
      <c r="C7443">
        <v>0</v>
      </c>
      <c r="D7443" s="201">
        <v>0</v>
      </c>
      <c r="E7443" s="201">
        <v>0</v>
      </c>
      <c r="F7443">
        <v>0</v>
      </c>
      <c r="G7443">
        <v>0</v>
      </c>
      <c r="H7443">
        <v>0</v>
      </c>
      <c r="I7443">
        <v>0</v>
      </c>
      <c r="J7443">
        <v>0</v>
      </c>
      <c r="K7443" s="201">
        <v>0</v>
      </c>
    </row>
    <row r="7444" spans="1:11" x14ac:dyDescent="0.25">
      <c r="A7444"/>
      <c r="B7444" s="201">
        <v>0</v>
      </c>
      <c r="C7444">
        <v>0</v>
      </c>
      <c r="D7444" s="201">
        <v>0</v>
      </c>
      <c r="E7444" s="201">
        <v>0</v>
      </c>
      <c r="F7444">
        <v>0</v>
      </c>
      <c r="G7444">
        <v>0</v>
      </c>
      <c r="H7444">
        <v>0</v>
      </c>
      <c r="I7444">
        <v>0</v>
      </c>
      <c r="J7444">
        <v>0</v>
      </c>
      <c r="K7444" s="201">
        <v>0</v>
      </c>
    </row>
    <row r="7445" spans="1:11" x14ac:dyDescent="0.25">
      <c r="A7445"/>
      <c r="B7445" s="201">
        <v>0</v>
      </c>
      <c r="C7445">
        <v>0</v>
      </c>
      <c r="D7445" s="201">
        <v>0</v>
      </c>
      <c r="E7445" s="201">
        <v>0</v>
      </c>
      <c r="F7445">
        <v>0</v>
      </c>
      <c r="G7445">
        <v>0</v>
      </c>
      <c r="H7445">
        <v>0</v>
      </c>
      <c r="I7445">
        <v>0</v>
      </c>
      <c r="J7445">
        <v>0</v>
      </c>
      <c r="K7445" s="201">
        <v>0</v>
      </c>
    </row>
    <row r="7446" spans="1:11" x14ac:dyDescent="0.25">
      <c r="A7446"/>
      <c r="B7446" s="201">
        <v>0</v>
      </c>
      <c r="C7446">
        <v>0</v>
      </c>
      <c r="D7446" s="201">
        <v>0</v>
      </c>
      <c r="E7446" s="201">
        <v>0</v>
      </c>
      <c r="F7446">
        <v>0</v>
      </c>
      <c r="G7446">
        <v>0</v>
      </c>
      <c r="H7446">
        <v>0</v>
      </c>
      <c r="I7446">
        <v>0</v>
      </c>
      <c r="J7446">
        <v>0</v>
      </c>
      <c r="K7446" s="201">
        <v>0</v>
      </c>
    </row>
    <row r="7447" spans="1:11" x14ac:dyDescent="0.25">
      <c r="A7447"/>
      <c r="B7447" s="201">
        <v>0</v>
      </c>
      <c r="C7447">
        <v>0</v>
      </c>
      <c r="D7447" s="201">
        <v>0</v>
      </c>
      <c r="E7447" s="201">
        <v>0</v>
      </c>
      <c r="F7447">
        <v>0</v>
      </c>
      <c r="G7447">
        <v>0</v>
      </c>
      <c r="H7447">
        <v>0</v>
      </c>
      <c r="I7447">
        <v>0</v>
      </c>
      <c r="J7447">
        <v>0</v>
      </c>
      <c r="K7447" s="201">
        <v>0</v>
      </c>
    </row>
    <row r="7448" spans="1:11" x14ac:dyDescent="0.25">
      <c r="A7448"/>
      <c r="B7448" s="201">
        <v>0</v>
      </c>
      <c r="C7448">
        <v>0</v>
      </c>
      <c r="D7448" s="201">
        <v>0</v>
      </c>
      <c r="E7448" s="201">
        <v>0</v>
      </c>
      <c r="F7448">
        <v>0</v>
      </c>
      <c r="G7448">
        <v>0</v>
      </c>
      <c r="H7448">
        <v>0</v>
      </c>
      <c r="I7448">
        <v>0</v>
      </c>
      <c r="J7448">
        <v>0</v>
      </c>
      <c r="K7448" s="201">
        <v>0</v>
      </c>
    </row>
    <row r="7449" spans="1:11" x14ac:dyDescent="0.25">
      <c r="A7449"/>
      <c r="B7449" s="201">
        <v>0</v>
      </c>
      <c r="C7449">
        <v>0</v>
      </c>
      <c r="D7449" s="201">
        <v>0</v>
      </c>
      <c r="E7449" s="201">
        <v>0</v>
      </c>
      <c r="F7449">
        <v>0</v>
      </c>
      <c r="G7449">
        <v>0</v>
      </c>
      <c r="H7449">
        <v>0</v>
      </c>
      <c r="I7449">
        <v>0</v>
      </c>
      <c r="J7449">
        <v>0</v>
      </c>
      <c r="K7449" s="201">
        <v>0</v>
      </c>
    </row>
    <row r="7450" spans="1:11" x14ac:dyDescent="0.25">
      <c r="A7450"/>
      <c r="B7450" s="201">
        <v>0</v>
      </c>
      <c r="C7450">
        <v>0</v>
      </c>
      <c r="D7450" s="201">
        <v>0</v>
      </c>
      <c r="E7450" s="201">
        <v>0</v>
      </c>
      <c r="F7450">
        <v>0</v>
      </c>
      <c r="G7450">
        <v>0</v>
      </c>
      <c r="H7450">
        <v>0</v>
      </c>
      <c r="I7450">
        <v>0</v>
      </c>
      <c r="J7450">
        <v>0</v>
      </c>
      <c r="K7450" s="201">
        <v>0</v>
      </c>
    </row>
    <row r="7451" spans="1:11" x14ac:dyDescent="0.25">
      <c r="A7451"/>
      <c r="B7451" s="201">
        <v>0</v>
      </c>
      <c r="C7451">
        <v>0</v>
      </c>
      <c r="D7451" s="201">
        <v>0</v>
      </c>
      <c r="E7451" s="201">
        <v>0</v>
      </c>
      <c r="F7451">
        <v>0</v>
      </c>
      <c r="G7451">
        <v>0</v>
      </c>
      <c r="H7451">
        <v>0</v>
      </c>
      <c r="I7451">
        <v>0</v>
      </c>
      <c r="J7451">
        <v>0</v>
      </c>
      <c r="K7451" s="201">
        <v>0</v>
      </c>
    </row>
    <row r="7452" spans="1:11" x14ac:dyDescent="0.25">
      <c r="A7452"/>
      <c r="B7452" s="201">
        <v>0</v>
      </c>
      <c r="C7452">
        <v>0</v>
      </c>
      <c r="D7452" s="201">
        <v>0</v>
      </c>
      <c r="E7452" s="201">
        <v>0</v>
      </c>
      <c r="F7452">
        <v>0</v>
      </c>
      <c r="G7452">
        <v>0</v>
      </c>
      <c r="H7452">
        <v>0</v>
      </c>
      <c r="I7452">
        <v>0</v>
      </c>
      <c r="J7452">
        <v>0</v>
      </c>
      <c r="K7452" s="201">
        <v>0</v>
      </c>
    </row>
    <row r="7453" spans="1:11" x14ac:dyDescent="0.25">
      <c r="A7453"/>
      <c r="B7453" s="201">
        <v>0</v>
      </c>
      <c r="C7453">
        <v>0</v>
      </c>
      <c r="D7453" s="201">
        <v>0</v>
      </c>
      <c r="E7453" s="201">
        <v>0</v>
      </c>
      <c r="F7453">
        <v>0</v>
      </c>
      <c r="G7453">
        <v>0</v>
      </c>
      <c r="H7453">
        <v>0</v>
      </c>
      <c r="I7453">
        <v>0</v>
      </c>
      <c r="J7453">
        <v>0</v>
      </c>
      <c r="K7453" s="201">
        <v>0</v>
      </c>
    </row>
    <row r="7454" spans="1:11" x14ac:dyDescent="0.25">
      <c r="A7454"/>
      <c r="B7454" s="201">
        <v>0</v>
      </c>
      <c r="C7454">
        <v>0</v>
      </c>
      <c r="D7454" s="201">
        <v>0</v>
      </c>
      <c r="E7454" s="201">
        <v>0</v>
      </c>
      <c r="F7454">
        <v>0</v>
      </c>
      <c r="G7454">
        <v>0</v>
      </c>
      <c r="H7454">
        <v>0</v>
      </c>
      <c r="I7454">
        <v>0</v>
      </c>
      <c r="J7454">
        <v>0</v>
      </c>
      <c r="K7454" s="201">
        <v>0</v>
      </c>
    </row>
    <row r="7455" spans="1:11" x14ac:dyDescent="0.25">
      <c r="A7455"/>
      <c r="B7455" s="201">
        <v>0</v>
      </c>
      <c r="C7455">
        <v>0</v>
      </c>
      <c r="D7455" s="201">
        <v>0</v>
      </c>
      <c r="E7455" s="201">
        <v>0</v>
      </c>
      <c r="F7455">
        <v>0</v>
      </c>
      <c r="G7455">
        <v>0</v>
      </c>
      <c r="H7455">
        <v>0</v>
      </c>
      <c r="I7455">
        <v>0</v>
      </c>
      <c r="J7455">
        <v>0</v>
      </c>
      <c r="K7455" s="201">
        <v>0</v>
      </c>
    </row>
    <row r="7456" spans="1:11" x14ac:dyDescent="0.25">
      <c r="A7456"/>
      <c r="B7456" s="201">
        <v>245</v>
      </c>
      <c r="C7456">
        <v>59</v>
      </c>
      <c r="D7456" s="201">
        <v>254</v>
      </c>
      <c r="E7456" s="201">
        <v>1110</v>
      </c>
      <c r="F7456">
        <v>49</v>
      </c>
      <c r="G7456">
        <v>0</v>
      </c>
      <c r="H7456">
        <v>0</v>
      </c>
      <c r="I7456">
        <v>-1113</v>
      </c>
      <c r="J7456">
        <v>0</v>
      </c>
      <c r="K7456" s="201">
        <v>0</v>
      </c>
    </row>
    <row r="7457" spans="1:11" x14ac:dyDescent="0.25">
      <c r="A7457"/>
      <c r="B7457" s="201">
        <v>0</v>
      </c>
      <c r="C7457">
        <v>-75</v>
      </c>
      <c r="D7457" s="201">
        <v>494</v>
      </c>
      <c r="E7457" s="201">
        <v>0</v>
      </c>
      <c r="F7457">
        <v>0</v>
      </c>
      <c r="G7457">
        <v>0</v>
      </c>
      <c r="H7457">
        <v>0</v>
      </c>
      <c r="I7457">
        <v>0</v>
      </c>
      <c r="J7457">
        <v>0</v>
      </c>
      <c r="K7457" s="201">
        <v>70</v>
      </c>
    </row>
    <row r="7458" spans="1:11" x14ac:dyDescent="0.25">
      <c r="A7458"/>
      <c r="B7458" s="201">
        <v>0</v>
      </c>
      <c r="C7458">
        <v>0</v>
      </c>
      <c r="D7458" s="201">
        <v>175</v>
      </c>
      <c r="E7458" s="201">
        <v>0</v>
      </c>
      <c r="F7458">
        <v>-148</v>
      </c>
      <c r="G7458">
        <v>0</v>
      </c>
      <c r="H7458">
        <v>-242</v>
      </c>
      <c r="I7458">
        <v>277</v>
      </c>
      <c r="J7458">
        <v>709</v>
      </c>
      <c r="K7458" s="201">
        <v>0</v>
      </c>
    </row>
    <row r="7459" spans="1:11" x14ac:dyDescent="0.25">
      <c r="B7459" s="201">
        <v>-266</v>
      </c>
      <c r="C7459">
        <v>451</v>
      </c>
      <c r="D7459" s="201">
        <v>86</v>
      </c>
      <c r="E7459" s="201">
        <v>245</v>
      </c>
      <c r="F7459">
        <v>343</v>
      </c>
      <c r="G7459">
        <v>-1286</v>
      </c>
      <c r="H7459">
        <v>0</v>
      </c>
      <c r="I7459">
        <v>587</v>
      </c>
      <c r="J7459">
        <v>0</v>
      </c>
      <c r="K7459" s="201">
        <v>0</v>
      </c>
    </row>
    <row r="7460" spans="1:11" x14ac:dyDescent="0.25">
      <c r="A7460"/>
      <c r="B7460" s="201">
        <v>0</v>
      </c>
      <c r="C7460">
        <v>0</v>
      </c>
      <c r="D7460" s="201">
        <v>0</v>
      </c>
      <c r="E7460" s="201">
        <v>302</v>
      </c>
      <c r="F7460">
        <v>0</v>
      </c>
      <c r="G7460">
        <v>0</v>
      </c>
      <c r="H7460">
        <v>0</v>
      </c>
      <c r="I7460">
        <v>161</v>
      </c>
      <c r="J7460">
        <v>0</v>
      </c>
      <c r="K7460" s="201">
        <v>-262</v>
      </c>
    </row>
    <row r="7461" spans="1:11" x14ac:dyDescent="0.25">
      <c r="A7461"/>
      <c r="B7461" s="201">
        <v>0</v>
      </c>
      <c r="C7461">
        <v>0</v>
      </c>
      <c r="D7461" s="201">
        <v>0</v>
      </c>
      <c r="E7461" s="201">
        <v>0</v>
      </c>
      <c r="F7461">
        <v>0</v>
      </c>
      <c r="G7461">
        <v>672</v>
      </c>
      <c r="H7461">
        <v>0</v>
      </c>
      <c r="I7461">
        <v>-316</v>
      </c>
      <c r="J7461">
        <v>374</v>
      </c>
      <c r="K7461" s="201">
        <v>0</v>
      </c>
    </row>
    <row r="7462" spans="1:11" x14ac:dyDescent="0.25">
      <c r="A7462"/>
      <c r="B7462" s="201">
        <v>0</v>
      </c>
      <c r="C7462" s="201">
        <v>-9015</v>
      </c>
      <c r="D7462" s="201">
        <v>-17400</v>
      </c>
      <c r="E7462" s="201">
        <v>0</v>
      </c>
      <c r="F7462">
        <v>2037</v>
      </c>
      <c r="G7462">
        <v>0</v>
      </c>
      <c r="H7462">
        <v>0</v>
      </c>
      <c r="I7462">
        <v>0</v>
      </c>
      <c r="J7462">
        <v>0</v>
      </c>
      <c r="K7462" s="201">
        <v>-10606</v>
      </c>
    </row>
    <row r="7463" spans="1:11" x14ac:dyDescent="0.25">
      <c r="A7463"/>
      <c r="B7463" s="201">
        <v>5889</v>
      </c>
      <c r="C7463">
        <v>4487</v>
      </c>
      <c r="D7463" s="201">
        <v>0</v>
      </c>
      <c r="E7463" s="201">
        <v>0</v>
      </c>
      <c r="F7463">
        <v>-2695</v>
      </c>
      <c r="G7463">
        <v>408</v>
      </c>
      <c r="H7463">
        <v>0</v>
      </c>
      <c r="I7463">
        <v>403</v>
      </c>
      <c r="J7463">
        <v>1812</v>
      </c>
      <c r="K7463" s="201">
        <v>52</v>
      </c>
    </row>
    <row r="7464" spans="1:11" x14ac:dyDescent="0.25">
      <c r="A7464"/>
      <c r="B7464" s="201">
        <v>929</v>
      </c>
      <c r="C7464">
        <v>3986</v>
      </c>
      <c r="D7464" s="201">
        <v>733</v>
      </c>
      <c r="E7464" s="201">
        <v>1018</v>
      </c>
      <c r="F7464">
        <v>0</v>
      </c>
      <c r="G7464">
        <v>0</v>
      </c>
      <c r="H7464">
        <v>0</v>
      </c>
      <c r="I7464">
        <v>0</v>
      </c>
      <c r="J7464">
        <v>0</v>
      </c>
      <c r="K7464" s="201">
        <v>9678</v>
      </c>
    </row>
    <row r="7465" spans="1:11" x14ac:dyDescent="0.25">
      <c r="A7465"/>
      <c r="B7465" s="201">
        <v>0</v>
      </c>
      <c r="C7465">
        <v>23853</v>
      </c>
      <c r="D7465" s="201">
        <v>2456</v>
      </c>
      <c r="E7465" s="201">
        <v>458</v>
      </c>
      <c r="F7465">
        <v>0</v>
      </c>
      <c r="G7465">
        <v>-416</v>
      </c>
      <c r="H7465">
        <v>3654</v>
      </c>
      <c r="I7465">
        <v>-145</v>
      </c>
      <c r="J7465">
        <v>-524</v>
      </c>
      <c r="K7465" s="201">
        <v>-449</v>
      </c>
    </row>
    <row r="7466" spans="1:11" x14ac:dyDescent="0.25">
      <c r="A7466"/>
      <c r="B7466" s="201">
        <v>0</v>
      </c>
      <c r="C7466">
        <v>-1910</v>
      </c>
      <c r="D7466" s="201">
        <v>2863</v>
      </c>
      <c r="E7466" s="201">
        <v>-1949</v>
      </c>
      <c r="F7466">
        <v>-158</v>
      </c>
      <c r="G7466">
        <v>0</v>
      </c>
      <c r="H7466">
        <v>157</v>
      </c>
      <c r="I7466">
        <v>-44403</v>
      </c>
      <c r="J7466">
        <v>0</v>
      </c>
      <c r="K7466" s="201">
        <v>0</v>
      </c>
    </row>
    <row r="7467" spans="1:11" x14ac:dyDescent="0.25">
      <c r="A7467"/>
      <c r="B7467" s="201">
        <v>0</v>
      </c>
      <c r="C7467">
        <v>-15</v>
      </c>
      <c r="D7467" s="201">
        <v>-188</v>
      </c>
      <c r="E7467" s="201">
        <v>0</v>
      </c>
      <c r="F7467">
        <v>-85</v>
      </c>
      <c r="G7467">
        <v>-126</v>
      </c>
      <c r="H7467">
        <v>92</v>
      </c>
      <c r="I7467">
        <v>-364</v>
      </c>
      <c r="J7467">
        <v>0</v>
      </c>
      <c r="K7467" s="201">
        <v>0</v>
      </c>
    </row>
    <row r="7468" spans="1:11" x14ac:dyDescent="0.25">
      <c r="A7468"/>
      <c r="B7468" s="201">
        <v>0</v>
      </c>
      <c r="C7468">
        <v>0</v>
      </c>
      <c r="D7468" s="201">
        <v>0</v>
      </c>
      <c r="E7468" s="201">
        <v>7489</v>
      </c>
      <c r="F7468">
        <v>0</v>
      </c>
      <c r="G7468">
        <v>2706</v>
      </c>
      <c r="H7468">
        <v>-80</v>
      </c>
      <c r="I7468">
        <v>-186</v>
      </c>
      <c r="J7468">
        <v>0</v>
      </c>
      <c r="K7468" s="201">
        <v>9</v>
      </c>
    </row>
    <row r="7469" spans="1:11" x14ac:dyDescent="0.25">
      <c r="A7469"/>
      <c r="B7469" s="201">
        <v>4287</v>
      </c>
      <c r="C7469">
        <v>-219</v>
      </c>
      <c r="D7469" s="201">
        <v>-747</v>
      </c>
      <c r="E7469" s="201">
        <v>-609</v>
      </c>
      <c r="F7469">
        <v>-447</v>
      </c>
      <c r="G7469">
        <v>-2107</v>
      </c>
      <c r="H7469">
        <v>5018</v>
      </c>
      <c r="I7469">
        <v>0</v>
      </c>
      <c r="J7469">
        <v>-133</v>
      </c>
      <c r="K7469" s="201">
        <v>0</v>
      </c>
    </row>
    <row r="7470" spans="1:11" x14ac:dyDescent="0.25">
      <c r="A7470"/>
      <c r="B7470" s="201">
        <v>0</v>
      </c>
      <c r="C7470">
        <v>-44720</v>
      </c>
      <c r="D7470" s="201">
        <v>682</v>
      </c>
      <c r="E7470" s="201">
        <v>0</v>
      </c>
      <c r="F7470">
        <v>99</v>
      </c>
      <c r="G7470">
        <v>0</v>
      </c>
      <c r="H7470">
        <v>0</v>
      </c>
      <c r="I7470">
        <v>130</v>
      </c>
      <c r="J7470">
        <v>0</v>
      </c>
      <c r="K7470" s="201">
        <v>245</v>
      </c>
    </row>
    <row r="7471" spans="1:11" x14ac:dyDescent="0.25">
      <c r="A7471"/>
      <c r="B7471" s="201">
        <v>236</v>
      </c>
      <c r="C7471">
        <v>-430</v>
      </c>
      <c r="D7471" s="201">
        <v>0</v>
      </c>
      <c r="E7471" s="201">
        <v>0</v>
      </c>
      <c r="F7471">
        <v>0</v>
      </c>
      <c r="G7471">
        <v>0</v>
      </c>
      <c r="H7471">
        <v>0</v>
      </c>
      <c r="I7471">
        <v>6816</v>
      </c>
      <c r="J7471">
        <v>0</v>
      </c>
      <c r="K7471" s="201">
        <v>1571</v>
      </c>
    </row>
    <row r="7472" spans="1:11" x14ac:dyDescent="0.25">
      <c r="A7472"/>
      <c r="B7472" s="201">
        <v>113</v>
      </c>
      <c r="C7472">
        <v>-111</v>
      </c>
      <c r="D7472" s="201">
        <v>0</v>
      </c>
      <c r="E7472" s="201">
        <v>4520</v>
      </c>
      <c r="F7472">
        <v>3976</v>
      </c>
      <c r="G7472">
        <v>369</v>
      </c>
      <c r="H7472">
        <v>0</v>
      </c>
      <c r="I7472">
        <v>0</v>
      </c>
      <c r="J7472">
        <v>0</v>
      </c>
      <c r="K7472" s="201">
        <v>-1623</v>
      </c>
    </row>
    <row r="7473" spans="1:11" x14ac:dyDescent="0.25">
      <c r="B7473" s="201">
        <v>2721</v>
      </c>
      <c r="C7473">
        <v>-1308</v>
      </c>
      <c r="D7473" s="201">
        <v>-635</v>
      </c>
      <c r="E7473" s="201">
        <v>-488</v>
      </c>
      <c r="F7473">
        <v>0</v>
      </c>
      <c r="G7473">
        <v>-34026</v>
      </c>
      <c r="H7473">
        <v>0</v>
      </c>
      <c r="I7473">
        <v>0</v>
      </c>
      <c r="J7473">
        <v>-153</v>
      </c>
      <c r="K7473" s="201">
        <v>0</v>
      </c>
    </row>
    <row r="7474" spans="1:11" x14ac:dyDescent="0.25">
      <c r="B7474" s="201">
        <v>-124</v>
      </c>
      <c r="C7474">
        <v>0</v>
      </c>
      <c r="D7474" s="201">
        <v>-15</v>
      </c>
      <c r="E7474" s="201">
        <v>0</v>
      </c>
      <c r="F7474">
        <v>0</v>
      </c>
      <c r="G7474">
        <v>0</v>
      </c>
      <c r="H7474">
        <v>0</v>
      </c>
      <c r="I7474">
        <v>0</v>
      </c>
      <c r="J7474">
        <v>0</v>
      </c>
      <c r="K7474" s="201">
        <v>0</v>
      </c>
    </row>
    <row r="7475" spans="1:11" x14ac:dyDescent="0.25">
      <c r="A7475"/>
      <c r="B7475" s="201">
        <v>0</v>
      </c>
      <c r="C7475">
        <v>4534</v>
      </c>
      <c r="D7475" s="201">
        <v>0</v>
      </c>
      <c r="E7475" s="201">
        <v>4283</v>
      </c>
      <c r="F7475">
        <v>-194</v>
      </c>
      <c r="G7475">
        <v>-136</v>
      </c>
      <c r="H7475">
        <v>0</v>
      </c>
      <c r="I7475">
        <v>-2214</v>
      </c>
      <c r="J7475">
        <v>-126</v>
      </c>
      <c r="K7475" s="201">
        <v>0</v>
      </c>
    </row>
    <row r="7476" spans="1:11" x14ac:dyDescent="0.25">
      <c r="A7476"/>
      <c r="B7476" s="201">
        <v>0</v>
      </c>
      <c r="C7476">
        <v>0</v>
      </c>
      <c r="D7476" s="201">
        <v>0</v>
      </c>
      <c r="E7476" s="201">
        <v>0</v>
      </c>
      <c r="F7476">
        <v>6566</v>
      </c>
      <c r="G7476">
        <v>544</v>
      </c>
      <c r="H7476">
        <v>3450</v>
      </c>
      <c r="I7476">
        <v>3067</v>
      </c>
      <c r="J7476">
        <v>1934</v>
      </c>
      <c r="K7476" s="201">
        <v>-29735</v>
      </c>
    </row>
    <row r="7477" spans="1:11" x14ac:dyDescent="0.25">
      <c r="A7477"/>
      <c r="B7477" s="201">
        <v>0</v>
      </c>
      <c r="C7477">
        <v>0</v>
      </c>
      <c r="D7477" s="201">
        <v>0</v>
      </c>
      <c r="E7477" s="201">
        <v>0</v>
      </c>
      <c r="F7477">
        <v>1926</v>
      </c>
      <c r="G7477">
        <v>0</v>
      </c>
      <c r="H7477">
        <v>807</v>
      </c>
      <c r="I7477">
        <v>0</v>
      </c>
      <c r="J7477">
        <v>0</v>
      </c>
      <c r="K7477" s="201">
        <v>1706</v>
      </c>
    </row>
    <row r="7478" spans="1:11" x14ac:dyDescent="0.25">
      <c r="A7478"/>
      <c r="B7478" s="201">
        <v>248</v>
      </c>
      <c r="C7478">
        <v>0</v>
      </c>
      <c r="D7478" s="201">
        <v>0</v>
      </c>
      <c r="E7478" s="201">
        <v>0</v>
      </c>
      <c r="F7478">
        <v>0</v>
      </c>
      <c r="G7478">
        <v>5985</v>
      </c>
      <c r="H7478">
        <v>0</v>
      </c>
      <c r="I7478">
        <v>3726</v>
      </c>
      <c r="J7478">
        <v>701</v>
      </c>
      <c r="K7478" s="201">
        <v>2871</v>
      </c>
    </row>
    <row r="7479" spans="1:11" x14ac:dyDescent="0.25">
      <c r="A7479"/>
      <c r="B7479" s="201">
        <v>3535</v>
      </c>
      <c r="C7479">
        <v>244</v>
      </c>
      <c r="D7479" s="201">
        <v>-682</v>
      </c>
      <c r="E7479" s="201">
        <v>-344</v>
      </c>
      <c r="F7479">
        <v>-172</v>
      </c>
      <c r="G7479">
        <v>68</v>
      </c>
      <c r="H7479">
        <v>-2886</v>
      </c>
      <c r="I7479">
        <v>0</v>
      </c>
      <c r="J7479">
        <v>0</v>
      </c>
      <c r="K7479" s="201">
        <v>0</v>
      </c>
    </row>
    <row r="7480" spans="1:11" x14ac:dyDescent="0.25">
      <c r="A7480"/>
      <c r="B7480" s="201">
        <v>0</v>
      </c>
      <c r="C7480">
        <v>0</v>
      </c>
      <c r="D7480" s="201">
        <v>0</v>
      </c>
      <c r="E7480" s="201">
        <v>0</v>
      </c>
      <c r="F7480">
        <v>-110</v>
      </c>
      <c r="G7480">
        <v>-518</v>
      </c>
      <c r="H7480">
        <v>-929</v>
      </c>
      <c r="I7480">
        <v>-217</v>
      </c>
      <c r="J7480">
        <v>-793</v>
      </c>
      <c r="K7480" s="201">
        <v>-1848</v>
      </c>
    </row>
    <row r="7481" spans="1:11" x14ac:dyDescent="0.25">
      <c r="A7481"/>
      <c r="B7481" s="201">
        <v>0</v>
      </c>
      <c r="C7481">
        <v>0</v>
      </c>
      <c r="D7481" s="201">
        <v>-38</v>
      </c>
      <c r="E7481" s="201">
        <v>0</v>
      </c>
      <c r="F7481">
        <v>-3237</v>
      </c>
      <c r="G7481">
        <v>655</v>
      </c>
      <c r="H7481">
        <v>0</v>
      </c>
      <c r="I7481">
        <v>0</v>
      </c>
      <c r="J7481">
        <v>0</v>
      </c>
      <c r="K7481" s="201">
        <v>0</v>
      </c>
    </row>
    <row r="7482" spans="1:11" x14ac:dyDescent="0.25">
      <c r="A7482"/>
      <c r="B7482" s="201">
        <v>383</v>
      </c>
      <c r="C7482">
        <v>0</v>
      </c>
      <c r="D7482" s="201">
        <v>3567</v>
      </c>
      <c r="E7482" s="201">
        <v>-5715</v>
      </c>
      <c r="F7482">
        <v>0</v>
      </c>
      <c r="G7482">
        <v>0</v>
      </c>
      <c r="H7482">
        <v>0</v>
      </c>
      <c r="I7482">
        <v>0</v>
      </c>
      <c r="J7482">
        <v>0</v>
      </c>
      <c r="K7482" s="201">
        <v>0</v>
      </c>
    </row>
    <row r="7483" spans="1:11" x14ac:dyDescent="0.25">
      <c r="A7483"/>
      <c r="B7483" s="201">
        <v>0</v>
      </c>
      <c r="C7483">
        <v>0</v>
      </c>
      <c r="D7483" s="201">
        <v>0</v>
      </c>
      <c r="E7483" s="201">
        <v>0</v>
      </c>
      <c r="F7483">
        <v>0</v>
      </c>
      <c r="G7483">
        <v>0</v>
      </c>
      <c r="H7483">
        <v>0</v>
      </c>
      <c r="I7483">
        <v>0</v>
      </c>
      <c r="J7483">
        <v>0</v>
      </c>
      <c r="K7483" s="201">
        <v>295</v>
      </c>
    </row>
    <row r="7484" spans="1:11" x14ac:dyDescent="0.25">
      <c r="A7484"/>
      <c r="B7484" s="201">
        <v>0</v>
      </c>
      <c r="C7484">
        <v>0</v>
      </c>
      <c r="D7484" s="201">
        <v>0</v>
      </c>
      <c r="E7484" s="201">
        <v>0</v>
      </c>
      <c r="F7484">
        <v>0</v>
      </c>
      <c r="G7484">
        <v>1294</v>
      </c>
      <c r="H7484">
        <v>813</v>
      </c>
      <c r="I7484">
        <v>-131</v>
      </c>
      <c r="J7484">
        <v>3431</v>
      </c>
      <c r="K7484" s="201">
        <v>2221</v>
      </c>
    </row>
    <row r="7485" spans="1:11" x14ac:dyDescent="0.25">
      <c r="A7485"/>
      <c r="B7485" s="201">
        <v>2606</v>
      </c>
      <c r="C7485">
        <v>2460</v>
      </c>
      <c r="D7485" s="201">
        <v>-2319</v>
      </c>
      <c r="E7485" s="201">
        <v>-1073</v>
      </c>
      <c r="F7485">
        <v>-2189</v>
      </c>
      <c r="G7485">
        <v>-216</v>
      </c>
      <c r="H7485">
        <v>43</v>
      </c>
      <c r="I7485">
        <v>-3701</v>
      </c>
      <c r="J7485">
        <v>1638</v>
      </c>
      <c r="K7485" s="201">
        <v>967</v>
      </c>
    </row>
    <row r="7486" spans="1:11" x14ac:dyDescent="0.25">
      <c r="A7486"/>
      <c r="B7486" s="201">
        <v>1756</v>
      </c>
      <c r="C7486">
        <v>2721</v>
      </c>
      <c r="D7486" s="201">
        <v>0</v>
      </c>
      <c r="E7486" s="201">
        <v>3026</v>
      </c>
      <c r="F7486">
        <v>1605</v>
      </c>
      <c r="G7486">
        <v>1640</v>
      </c>
      <c r="H7486">
        <v>1450</v>
      </c>
      <c r="I7486">
        <v>1650</v>
      </c>
      <c r="J7486">
        <v>-17958</v>
      </c>
      <c r="K7486" s="201">
        <v>2130</v>
      </c>
    </row>
    <row r="7487" spans="1:11" x14ac:dyDescent="0.25">
      <c r="B7487" s="201">
        <v>1967</v>
      </c>
      <c r="C7487">
        <v>1615</v>
      </c>
      <c r="D7487" s="201">
        <v>1634</v>
      </c>
      <c r="E7487" s="201">
        <v>-18679</v>
      </c>
      <c r="F7487">
        <v>1624</v>
      </c>
      <c r="G7487">
        <v>1080</v>
      </c>
      <c r="H7487">
        <v>1535</v>
      </c>
      <c r="I7487">
        <v>1813</v>
      </c>
      <c r="J7487">
        <v>-11219</v>
      </c>
      <c r="K7487" s="201">
        <v>-15</v>
      </c>
    </row>
    <row r="7488" spans="1:11" x14ac:dyDescent="0.25">
      <c r="A7488"/>
      <c r="B7488" s="201">
        <v>1699</v>
      </c>
      <c r="C7488">
        <v>1661</v>
      </c>
      <c r="D7488" s="201">
        <v>892</v>
      </c>
      <c r="E7488" s="201">
        <v>284</v>
      </c>
      <c r="F7488">
        <v>239</v>
      </c>
      <c r="G7488">
        <v>619</v>
      </c>
      <c r="H7488">
        <v>460</v>
      </c>
      <c r="I7488">
        <v>709</v>
      </c>
      <c r="J7488">
        <v>-225</v>
      </c>
      <c r="K7488" s="201">
        <v>-1124</v>
      </c>
    </row>
    <row r="7489" spans="1:11" x14ac:dyDescent="0.25">
      <c r="A7489"/>
      <c r="B7489" s="201">
        <v>513</v>
      </c>
      <c r="C7489">
        <v>1000</v>
      </c>
      <c r="D7489" s="201">
        <v>447</v>
      </c>
      <c r="E7489" s="201">
        <v>585</v>
      </c>
      <c r="F7489">
        <v>-602</v>
      </c>
      <c r="G7489">
        <v>-504</v>
      </c>
      <c r="H7489">
        <v>-384</v>
      </c>
      <c r="I7489">
        <v>-445</v>
      </c>
      <c r="J7489">
        <v>-95</v>
      </c>
      <c r="K7489" s="201">
        <v>-143</v>
      </c>
    </row>
    <row r="7490" spans="1:11" x14ac:dyDescent="0.25">
      <c r="A7490"/>
      <c r="B7490" s="201">
        <v>164</v>
      </c>
      <c r="C7490">
        <v>-25</v>
      </c>
      <c r="D7490" s="201">
        <v>215</v>
      </c>
      <c r="E7490" s="201">
        <v>-440</v>
      </c>
      <c r="F7490">
        <v>-1171</v>
      </c>
      <c r="G7490">
        <v>-1081</v>
      </c>
      <c r="H7490">
        <v>-1170</v>
      </c>
      <c r="I7490">
        <v>-484</v>
      </c>
      <c r="J7490">
        <v>-136</v>
      </c>
      <c r="K7490" s="201">
        <v>-73</v>
      </c>
    </row>
    <row r="7491" spans="1:11" x14ac:dyDescent="0.25">
      <c r="A7491"/>
      <c r="B7491" s="201">
        <v>-90</v>
      </c>
      <c r="C7491">
        <v>-265</v>
      </c>
      <c r="D7491" s="201">
        <v>469</v>
      </c>
      <c r="E7491" s="201">
        <v>-189</v>
      </c>
      <c r="F7491">
        <v>-270</v>
      </c>
      <c r="G7491">
        <v>-226</v>
      </c>
      <c r="H7491">
        <v>578</v>
      </c>
      <c r="I7491">
        <v>-102</v>
      </c>
      <c r="J7491">
        <v>3</v>
      </c>
      <c r="K7491" s="201">
        <v>276</v>
      </c>
    </row>
    <row r="7492" spans="1:11" x14ac:dyDescent="0.25">
      <c r="A7492"/>
      <c r="B7492" s="201">
        <v>304</v>
      </c>
      <c r="C7492">
        <v>200</v>
      </c>
      <c r="D7492" s="201">
        <v>-417</v>
      </c>
      <c r="E7492" s="201">
        <v>-506</v>
      </c>
      <c r="F7492">
        <v>-480</v>
      </c>
      <c r="G7492">
        <v>-768</v>
      </c>
      <c r="H7492">
        <v>-1018</v>
      </c>
      <c r="I7492">
        <v>-1191</v>
      </c>
      <c r="J7492">
        <v>-1031</v>
      </c>
      <c r="K7492" s="201">
        <v>-1425</v>
      </c>
    </row>
    <row r="7493" spans="1:11" x14ac:dyDescent="0.25">
      <c r="A7493"/>
      <c r="B7493" s="201">
        <v>19331</v>
      </c>
      <c r="C7493">
        <v>19</v>
      </c>
      <c r="D7493" s="201">
        <v>1254</v>
      </c>
      <c r="E7493" s="201">
        <v>-1746</v>
      </c>
      <c r="F7493">
        <v>-8034</v>
      </c>
      <c r="G7493">
        <v>0</v>
      </c>
      <c r="H7493">
        <v>-719</v>
      </c>
      <c r="I7493">
        <v>299</v>
      </c>
      <c r="J7493">
        <v>-195</v>
      </c>
      <c r="K7493" s="201">
        <v>-336</v>
      </c>
    </row>
    <row r="7494" spans="1:11" x14ac:dyDescent="0.25">
      <c r="A7494"/>
      <c r="B7494" s="201">
        <v>39</v>
      </c>
      <c r="C7494">
        <v>0</v>
      </c>
      <c r="D7494" s="201">
        <v>0</v>
      </c>
      <c r="E7494" s="201">
        <v>-657</v>
      </c>
      <c r="F7494">
        <v>0</v>
      </c>
      <c r="G7494">
        <v>0</v>
      </c>
      <c r="H7494">
        <v>0</v>
      </c>
      <c r="I7494">
        <v>-35</v>
      </c>
      <c r="J7494">
        <v>102</v>
      </c>
      <c r="K7494" s="201">
        <v>0</v>
      </c>
    </row>
    <row r="7495" spans="1:11" x14ac:dyDescent="0.25">
      <c r="A7495"/>
      <c r="B7495" s="201">
        <v>0</v>
      </c>
      <c r="C7495">
        <v>0</v>
      </c>
      <c r="D7495" s="201">
        <v>0</v>
      </c>
      <c r="E7495" s="201">
        <v>0</v>
      </c>
      <c r="F7495">
        <v>0</v>
      </c>
      <c r="G7495">
        <v>-7758</v>
      </c>
      <c r="H7495">
        <v>0</v>
      </c>
      <c r="I7495">
        <v>0</v>
      </c>
      <c r="J7495">
        <v>1197</v>
      </c>
      <c r="K7495" s="201">
        <v>0</v>
      </c>
    </row>
    <row r="7496" spans="1:11" x14ac:dyDescent="0.25">
      <c r="B7496" s="201">
        <v>-1980</v>
      </c>
      <c r="C7496" s="201">
        <v>0</v>
      </c>
      <c r="D7496" s="201">
        <v>-5055</v>
      </c>
      <c r="E7496" s="201">
        <v>2228</v>
      </c>
      <c r="F7496">
        <v>968</v>
      </c>
      <c r="G7496">
        <v>0</v>
      </c>
      <c r="H7496">
        <v>-1098</v>
      </c>
      <c r="I7496">
        <v>41</v>
      </c>
      <c r="J7496">
        <v>530</v>
      </c>
      <c r="K7496" s="201">
        <v>907</v>
      </c>
    </row>
    <row r="7497" spans="1:11" x14ac:dyDescent="0.25">
      <c r="A7497"/>
      <c r="B7497" s="201">
        <v>877</v>
      </c>
      <c r="C7497">
        <v>1132</v>
      </c>
      <c r="D7497" s="201">
        <v>0</v>
      </c>
      <c r="E7497" s="201">
        <v>-249</v>
      </c>
      <c r="F7497">
        <v>0</v>
      </c>
      <c r="G7497">
        <v>0</v>
      </c>
      <c r="H7497">
        <v>0</v>
      </c>
      <c r="I7497">
        <v>0</v>
      </c>
      <c r="J7497">
        <v>0</v>
      </c>
      <c r="K7497" s="201">
        <v>-249</v>
      </c>
    </row>
    <row r="7498" spans="1:11" x14ac:dyDescent="0.25">
      <c r="A7498"/>
      <c r="B7498" s="201">
        <v>0</v>
      </c>
      <c r="C7498">
        <v>0</v>
      </c>
      <c r="D7498" s="201">
        <v>0</v>
      </c>
      <c r="E7498" s="201">
        <v>502</v>
      </c>
      <c r="F7498">
        <v>0</v>
      </c>
      <c r="G7498">
        <v>-145</v>
      </c>
      <c r="H7498">
        <v>0</v>
      </c>
      <c r="I7498">
        <v>0</v>
      </c>
      <c r="J7498">
        <v>0</v>
      </c>
      <c r="K7498" s="201">
        <v>0</v>
      </c>
    </row>
    <row r="7499" spans="1:11" x14ac:dyDescent="0.25">
      <c r="A7499"/>
      <c r="B7499" s="201">
        <v>0</v>
      </c>
      <c r="C7499">
        <v>-540</v>
      </c>
      <c r="D7499" s="201">
        <v>0</v>
      </c>
      <c r="E7499" s="201">
        <v>-270</v>
      </c>
      <c r="F7499">
        <v>337</v>
      </c>
      <c r="G7499">
        <v>0</v>
      </c>
      <c r="H7499">
        <v>0</v>
      </c>
      <c r="I7499">
        <v>287</v>
      </c>
      <c r="J7499">
        <v>-569</v>
      </c>
      <c r="K7499" s="201">
        <v>0</v>
      </c>
    </row>
    <row r="7500" spans="1:11" x14ac:dyDescent="0.25">
      <c r="B7500" s="201">
        <v>1042</v>
      </c>
      <c r="C7500">
        <v>0</v>
      </c>
      <c r="D7500" s="201">
        <v>0</v>
      </c>
      <c r="E7500" s="201">
        <v>0</v>
      </c>
      <c r="F7500">
        <v>0</v>
      </c>
      <c r="G7500">
        <v>808</v>
      </c>
      <c r="H7500">
        <v>12</v>
      </c>
      <c r="I7500">
        <v>-344</v>
      </c>
      <c r="J7500">
        <v>0</v>
      </c>
      <c r="K7500" s="201">
        <v>0</v>
      </c>
    </row>
    <row r="7501" spans="1:11" x14ac:dyDescent="0.25">
      <c r="A7501"/>
      <c r="B7501" s="201">
        <v>268</v>
      </c>
      <c r="C7501">
        <v>-207</v>
      </c>
      <c r="D7501" s="201">
        <v>0</v>
      </c>
      <c r="E7501" s="201">
        <v>179</v>
      </c>
      <c r="F7501">
        <v>-231</v>
      </c>
      <c r="G7501">
        <v>81</v>
      </c>
      <c r="H7501">
        <v>-622</v>
      </c>
      <c r="I7501">
        <v>429</v>
      </c>
      <c r="J7501">
        <v>271</v>
      </c>
      <c r="K7501" s="201">
        <v>-79</v>
      </c>
    </row>
    <row r="7502" spans="1:11" x14ac:dyDescent="0.25">
      <c r="A7502"/>
      <c r="B7502" s="201">
        <v>0</v>
      </c>
      <c r="C7502">
        <v>0</v>
      </c>
      <c r="D7502" s="201">
        <v>0</v>
      </c>
      <c r="E7502" s="201">
        <v>0</v>
      </c>
      <c r="F7502">
        <v>0</v>
      </c>
      <c r="G7502">
        <v>5</v>
      </c>
      <c r="H7502">
        <v>0</v>
      </c>
      <c r="I7502">
        <v>559</v>
      </c>
      <c r="J7502">
        <v>-167</v>
      </c>
      <c r="K7502" s="201">
        <v>757</v>
      </c>
    </row>
    <row r="7503" spans="1:11" x14ac:dyDescent="0.25">
      <c r="A7503"/>
      <c r="B7503" s="201">
        <v>0</v>
      </c>
      <c r="C7503">
        <v>-407</v>
      </c>
      <c r="D7503" s="201">
        <v>-1053</v>
      </c>
      <c r="E7503" s="201">
        <v>-1678</v>
      </c>
      <c r="F7503">
        <v>4334</v>
      </c>
      <c r="G7503">
        <v>4185</v>
      </c>
      <c r="H7503">
        <v>0</v>
      </c>
      <c r="I7503">
        <v>1671</v>
      </c>
      <c r="J7503">
        <v>1842</v>
      </c>
      <c r="K7503" s="201">
        <v>2469</v>
      </c>
    </row>
    <row r="7504" spans="1:11" x14ac:dyDescent="0.25">
      <c r="A7504"/>
      <c r="B7504" s="201">
        <v>45</v>
      </c>
      <c r="C7504">
        <v>0</v>
      </c>
      <c r="D7504" s="201">
        <v>-204</v>
      </c>
      <c r="E7504" s="201">
        <v>524</v>
      </c>
      <c r="F7504">
        <v>0</v>
      </c>
      <c r="G7504">
        <v>0</v>
      </c>
      <c r="H7504">
        <v>0</v>
      </c>
      <c r="I7504">
        <v>-192</v>
      </c>
      <c r="J7504">
        <v>200</v>
      </c>
      <c r="K7504" s="201">
        <v>0</v>
      </c>
    </row>
    <row r="7505" spans="1:11" x14ac:dyDescent="0.25">
      <c r="A7505"/>
      <c r="B7505" s="201">
        <v>-430</v>
      </c>
      <c r="C7505">
        <v>1223</v>
      </c>
      <c r="D7505" s="201">
        <v>793</v>
      </c>
      <c r="E7505" s="201">
        <v>-145</v>
      </c>
      <c r="F7505">
        <v>0</v>
      </c>
      <c r="G7505">
        <v>0</v>
      </c>
      <c r="H7505">
        <v>0</v>
      </c>
      <c r="I7505">
        <v>0</v>
      </c>
      <c r="J7505">
        <v>0</v>
      </c>
      <c r="K7505" s="201">
        <v>-103</v>
      </c>
    </row>
    <row r="7506" spans="1:11" x14ac:dyDescent="0.25">
      <c r="A7506"/>
      <c r="B7506" s="201">
        <v>0</v>
      </c>
      <c r="C7506">
        <v>697</v>
      </c>
      <c r="D7506" s="201">
        <v>-274</v>
      </c>
      <c r="E7506" s="201">
        <v>497</v>
      </c>
      <c r="F7506">
        <v>0</v>
      </c>
      <c r="G7506">
        <v>146</v>
      </c>
      <c r="H7506">
        <v>205</v>
      </c>
      <c r="I7506">
        <v>-2197</v>
      </c>
      <c r="J7506">
        <v>4308</v>
      </c>
      <c r="K7506" s="201">
        <v>4328</v>
      </c>
    </row>
    <row r="7507" spans="1:11" x14ac:dyDescent="0.25">
      <c r="A7507"/>
      <c r="B7507" s="201">
        <v>841</v>
      </c>
      <c r="C7507">
        <v>1384</v>
      </c>
      <c r="D7507" s="201">
        <v>1119</v>
      </c>
      <c r="E7507" s="201">
        <v>0</v>
      </c>
      <c r="F7507">
        <v>92</v>
      </c>
      <c r="G7507">
        <v>0</v>
      </c>
      <c r="H7507">
        <v>0</v>
      </c>
      <c r="I7507">
        <v>845</v>
      </c>
      <c r="J7507">
        <v>311</v>
      </c>
      <c r="K7507" s="201">
        <v>0</v>
      </c>
    </row>
    <row r="7508" spans="1:11" x14ac:dyDescent="0.25">
      <c r="A7508"/>
      <c r="B7508" s="201">
        <v>382</v>
      </c>
      <c r="C7508">
        <v>0</v>
      </c>
      <c r="D7508" s="201">
        <v>0</v>
      </c>
      <c r="E7508" s="201">
        <v>-234</v>
      </c>
      <c r="F7508">
        <v>0</v>
      </c>
      <c r="G7508">
        <v>515</v>
      </c>
      <c r="H7508">
        <v>450</v>
      </c>
      <c r="I7508">
        <v>-734</v>
      </c>
      <c r="J7508">
        <v>0</v>
      </c>
      <c r="K7508" s="201">
        <v>0</v>
      </c>
    </row>
    <row r="7509" spans="1:11" x14ac:dyDescent="0.25">
      <c r="A7509"/>
      <c r="B7509" s="201">
        <v>0</v>
      </c>
      <c r="C7509">
        <v>0</v>
      </c>
      <c r="D7509" s="201">
        <v>0</v>
      </c>
      <c r="E7509" s="201">
        <v>-607</v>
      </c>
      <c r="F7509">
        <v>0</v>
      </c>
      <c r="G7509">
        <v>-1057</v>
      </c>
      <c r="H7509">
        <v>-197</v>
      </c>
      <c r="I7509">
        <v>1209</v>
      </c>
      <c r="J7509">
        <v>0</v>
      </c>
      <c r="K7509" s="201">
        <v>463</v>
      </c>
    </row>
    <row r="7510" spans="1:11" x14ac:dyDescent="0.25">
      <c r="A7510"/>
      <c r="B7510" s="201">
        <v>-141</v>
      </c>
      <c r="C7510">
        <v>-1312</v>
      </c>
      <c r="D7510" s="201">
        <v>0</v>
      </c>
      <c r="E7510" s="201">
        <v>0</v>
      </c>
      <c r="F7510">
        <v>0</v>
      </c>
      <c r="G7510">
        <v>541</v>
      </c>
      <c r="H7510">
        <v>374</v>
      </c>
      <c r="I7510">
        <v>334</v>
      </c>
      <c r="J7510">
        <v>231</v>
      </c>
      <c r="K7510" s="201">
        <v>192</v>
      </c>
    </row>
    <row r="7511" spans="1:11" x14ac:dyDescent="0.25">
      <c r="A7511"/>
      <c r="B7511" s="201">
        <v>0</v>
      </c>
      <c r="C7511">
        <v>324</v>
      </c>
      <c r="D7511" s="201">
        <v>0</v>
      </c>
      <c r="E7511" s="201">
        <v>0</v>
      </c>
      <c r="F7511">
        <v>340</v>
      </c>
      <c r="G7511">
        <v>0</v>
      </c>
      <c r="H7511">
        <v>15</v>
      </c>
      <c r="I7511">
        <v>0</v>
      </c>
      <c r="J7511">
        <v>-286</v>
      </c>
      <c r="K7511" s="201">
        <v>0</v>
      </c>
    </row>
    <row r="7512" spans="1:11" x14ac:dyDescent="0.25">
      <c r="A7512"/>
      <c r="B7512" s="201">
        <v>0</v>
      </c>
      <c r="C7512">
        <v>0</v>
      </c>
      <c r="D7512" s="201">
        <v>0</v>
      </c>
      <c r="E7512" s="201">
        <v>0</v>
      </c>
      <c r="F7512">
        <v>0</v>
      </c>
      <c r="G7512">
        <v>0</v>
      </c>
      <c r="H7512">
        <v>0</v>
      </c>
      <c r="I7512">
        <v>-77</v>
      </c>
      <c r="J7512">
        <v>0</v>
      </c>
      <c r="K7512" s="201">
        <v>391</v>
      </c>
    </row>
    <row r="7513" spans="1:11" x14ac:dyDescent="0.25">
      <c r="A7513"/>
      <c r="B7513" s="201">
        <v>5</v>
      </c>
      <c r="C7513">
        <v>354</v>
      </c>
      <c r="D7513" s="201">
        <v>0</v>
      </c>
      <c r="E7513" s="201">
        <v>414</v>
      </c>
      <c r="F7513">
        <v>308</v>
      </c>
      <c r="G7513">
        <v>0</v>
      </c>
      <c r="H7513">
        <v>0</v>
      </c>
      <c r="I7513">
        <v>0</v>
      </c>
      <c r="J7513">
        <v>0</v>
      </c>
      <c r="K7513" s="201">
        <v>0</v>
      </c>
    </row>
    <row r="7514" spans="1:11" x14ac:dyDescent="0.25">
      <c r="A7514"/>
      <c r="B7514" s="201">
        <v>-518</v>
      </c>
      <c r="C7514">
        <v>91</v>
      </c>
      <c r="D7514" s="201">
        <v>-37</v>
      </c>
      <c r="E7514" s="201">
        <v>50</v>
      </c>
      <c r="F7514">
        <v>-196</v>
      </c>
      <c r="G7514">
        <v>173</v>
      </c>
      <c r="H7514">
        <v>0</v>
      </c>
      <c r="I7514">
        <v>0</v>
      </c>
      <c r="J7514">
        <v>0</v>
      </c>
      <c r="K7514" s="201">
        <v>0</v>
      </c>
    </row>
    <row r="7515" spans="1:11" x14ac:dyDescent="0.25">
      <c r="A7515"/>
      <c r="B7515" s="201">
        <v>-259</v>
      </c>
      <c r="C7515">
        <v>0</v>
      </c>
      <c r="D7515" s="201">
        <v>-121</v>
      </c>
      <c r="E7515" s="201">
        <v>0</v>
      </c>
      <c r="F7515">
        <v>0</v>
      </c>
      <c r="G7515">
        <v>-72</v>
      </c>
      <c r="H7515">
        <v>-3449</v>
      </c>
      <c r="I7515">
        <v>0</v>
      </c>
      <c r="J7515">
        <v>0</v>
      </c>
      <c r="K7515" s="201">
        <v>0</v>
      </c>
    </row>
    <row r="7516" spans="1:11" x14ac:dyDescent="0.25">
      <c r="A7516"/>
      <c r="B7516" s="201">
        <v>0</v>
      </c>
      <c r="C7516">
        <v>-91</v>
      </c>
      <c r="D7516" s="201">
        <v>0</v>
      </c>
      <c r="E7516" s="201">
        <v>-367</v>
      </c>
      <c r="F7516">
        <v>159</v>
      </c>
      <c r="G7516">
        <v>-97</v>
      </c>
      <c r="H7516">
        <v>-696</v>
      </c>
      <c r="I7516">
        <v>663</v>
      </c>
      <c r="J7516">
        <v>520</v>
      </c>
      <c r="K7516" s="201">
        <v>878</v>
      </c>
    </row>
    <row r="7517" spans="1:11" x14ac:dyDescent="0.25">
      <c r="A7517"/>
      <c r="B7517" s="201">
        <v>1094</v>
      </c>
      <c r="C7517">
        <v>-230</v>
      </c>
      <c r="D7517" s="201">
        <v>218</v>
      </c>
      <c r="E7517" s="201">
        <v>0</v>
      </c>
      <c r="F7517">
        <v>0</v>
      </c>
      <c r="G7517">
        <v>0</v>
      </c>
      <c r="H7517">
        <v>0</v>
      </c>
      <c r="I7517">
        <v>0</v>
      </c>
      <c r="J7517">
        <v>0</v>
      </c>
      <c r="K7517" s="201">
        <v>0</v>
      </c>
    </row>
    <row r="7518" spans="1:11" x14ac:dyDescent="0.25">
      <c r="B7518" s="201">
        <v>-245</v>
      </c>
      <c r="C7518">
        <v>-150</v>
      </c>
      <c r="D7518" s="201">
        <v>-86</v>
      </c>
      <c r="E7518" s="201">
        <v>-154</v>
      </c>
      <c r="F7518">
        <v>90</v>
      </c>
      <c r="G7518">
        <v>-906</v>
      </c>
      <c r="H7518">
        <v>0</v>
      </c>
      <c r="I7518">
        <v>0</v>
      </c>
      <c r="J7518">
        <v>713</v>
      </c>
      <c r="K7518" s="201">
        <v>0</v>
      </c>
    </row>
    <row r="7519" spans="1:11" x14ac:dyDescent="0.25">
      <c r="A7519"/>
      <c r="B7519" s="201">
        <v>221</v>
      </c>
      <c r="C7519">
        <v>-437</v>
      </c>
      <c r="D7519" s="201">
        <v>0</v>
      </c>
      <c r="E7519" s="201">
        <v>0</v>
      </c>
      <c r="F7519">
        <v>0</v>
      </c>
      <c r="G7519">
        <v>0</v>
      </c>
      <c r="H7519">
        <v>-1217</v>
      </c>
      <c r="I7519">
        <v>0</v>
      </c>
      <c r="J7519">
        <v>-692</v>
      </c>
      <c r="K7519" s="201">
        <v>-1693</v>
      </c>
    </row>
    <row r="7520" spans="1:11" x14ac:dyDescent="0.25">
      <c r="A7520"/>
      <c r="B7520" s="201">
        <v>0</v>
      </c>
      <c r="C7520">
        <v>0</v>
      </c>
      <c r="D7520" s="201">
        <v>0</v>
      </c>
      <c r="E7520" s="201">
        <v>0</v>
      </c>
      <c r="F7520">
        <v>0</v>
      </c>
      <c r="G7520">
        <v>0</v>
      </c>
      <c r="H7520">
        <v>0</v>
      </c>
      <c r="I7520">
        <v>0</v>
      </c>
      <c r="J7520">
        <v>0</v>
      </c>
      <c r="K7520" s="201">
        <v>0</v>
      </c>
    </row>
    <row r="7521" spans="1:11" x14ac:dyDescent="0.25">
      <c r="A7521"/>
      <c r="B7521" s="201">
        <v>0</v>
      </c>
      <c r="C7521">
        <v>0</v>
      </c>
      <c r="D7521" s="201">
        <v>0</v>
      </c>
      <c r="E7521" s="201">
        <v>0</v>
      </c>
      <c r="F7521">
        <v>0</v>
      </c>
      <c r="G7521">
        <v>-48648</v>
      </c>
      <c r="H7521">
        <v>0</v>
      </c>
      <c r="I7521">
        <v>0</v>
      </c>
      <c r="J7521">
        <v>0</v>
      </c>
      <c r="K7521" s="201">
        <v>0</v>
      </c>
    </row>
    <row r="7522" spans="1:11" x14ac:dyDescent="0.25">
      <c r="A7522"/>
      <c r="B7522" s="201">
        <v>0</v>
      </c>
      <c r="C7522">
        <v>4312</v>
      </c>
      <c r="D7522" s="201">
        <v>-36</v>
      </c>
      <c r="E7522" s="201">
        <v>-751</v>
      </c>
      <c r="F7522">
        <v>-1403</v>
      </c>
      <c r="G7522">
        <v>-193</v>
      </c>
      <c r="H7522">
        <v>-178</v>
      </c>
      <c r="I7522">
        <v>-1908</v>
      </c>
      <c r="J7522">
        <v>-9418</v>
      </c>
      <c r="K7522" s="201">
        <v>15534</v>
      </c>
    </row>
    <row r="7523" spans="1:11" x14ac:dyDescent="0.25">
      <c r="A7523"/>
      <c r="B7523" s="201">
        <v>103</v>
      </c>
      <c r="C7523">
        <v>-630</v>
      </c>
      <c r="D7523" s="201">
        <v>-230</v>
      </c>
      <c r="E7523" s="201">
        <v>-864</v>
      </c>
      <c r="F7523">
        <v>-1066</v>
      </c>
      <c r="G7523">
        <v>-998</v>
      </c>
      <c r="H7523">
        <v>-1282</v>
      </c>
      <c r="I7523">
        <v>4391</v>
      </c>
      <c r="J7523">
        <v>0</v>
      </c>
      <c r="K7523" s="201">
        <v>-226</v>
      </c>
    </row>
    <row r="7524" spans="1:11" x14ac:dyDescent="0.25">
      <c r="A7524"/>
      <c r="B7524" s="201">
        <v>-908</v>
      </c>
      <c r="C7524">
        <v>-767</v>
      </c>
      <c r="D7524" s="201">
        <v>-270</v>
      </c>
      <c r="E7524" s="201">
        <v>-199</v>
      </c>
      <c r="F7524">
        <v>1562</v>
      </c>
      <c r="G7524">
        <v>-270</v>
      </c>
      <c r="H7524">
        <v>-175</v>
      </c>
      <c r="I7524">
        <v>-202</v>
      </c>
      <c r="J7524">
        <v>-368</v>
      </c>
      <c r="K7524" s="201">
        <v>1515</v>
      </c>
    </row>
    <row r="7525" spans="1:11" x14ac:dyDescent="0.25">
      <c r="A7525"/>
      <c r="B7525" s="201">
        <v>-214</v>
      </c>
      <c r="C7525">
        <v>-196</v>
      </c>
      <c r="D7525" s="201">
        <v>-408</v>
      </c>
      <c r="E7525" s="201">
        <v>-479</v>
      </c>
      <c r="F7525">
        <v>-56</v>
      </c>
      <c r="G7525">
        <v>264</v>
      </c>
      <c r="H7525">
        <v>386</v>
      </c>
      <c r="I7525">
        <v>538</v>
      </c>
      <c r="J7525">
        <v>89</v>
      </c>
      <c r="K7525" s="201">
        <v>296</v>
      </c>
    </row>
    <row r="7526" spans="1:11" x14ac:dyDescent="0.25">
      <c r="A7526"/>
      <c r="B7526" s="201">
        <v>602</v>
      </c>
      <c r="C7526">
        <v>2187</v>
      </c>
      <c r="D7526" s="201">
        <v>2002</v>
      </c>
      <c r="E7526" s="201">
        <v>417</v>
      </c>
      <c r="F7526">
        <v>130</v>
      </c>
      <c r="G7526">
        <v>-77</v>
      </c>
      <c r="H7526">
        <v>-180</v>
      </c>
      <c r="I7526">
        <v>-126</v>
      </c>
      <c r="J7526">
        <v>-600</v>
      </c>
      <c r="K7526" s="201">
        <v>-351</v>
      </c>
    </row>
    <row r="7527" spans="1:11" x14ac:dyDescent="0.25">
      <c r="B7527" s="201">
        <v>-352</v>
      </c>
      <c r="C7527">
        <v>-323</v>
      </c>
      <c r="D7527" s="201">
        <v>-376</v>
      </c>
      <c r="E7527" s="201">
        <v>-131</v>
      </c>
      <c r="F7527">
        <v>-484</v>
      </c>
      <c r="G7527">
        <v>-298</v>
      </c>
      <c r="H7527">
        <v>-188</v>
      </c>
      <c r="I7527">
        <v>-248</v>
      </c>
      <c r="J7527">
        <v>-139</v>
      </c>
      <c r="K7527" s="201">
        <v>937</v>
      </c>
    </row>
    <row r="7528" spans="1:11" x14ac:dyDescent="0.25">
      <c r="A7528"/>
      <c r="B7528" s="201">
        <v>881</v>
      </c>
      <c r="C7528">
        <v>879</v>
      </c>
      <c r="D7528" s="201">
        <v>752</v>
      </c>
      <c r="E7528" s="201">
        <v>33</v>
      </c>
      <c r="F7528">
        <v>324</v>
      </c>
      <c r="G7528">
        <v>197</v>
      </c>
      <c r="H7528">
        <v>127</v>
      </c>
      <c r="I7528">
        <v>403</v>
      </c>
      <c r="J7528">
        <v>40</v>
      </c>
      <c r="K7528" s="201">
        <v>1256</v>
      </c>
    </row>
    <row r="7529" spans="1:11" x14ac:dyDescent="0.25">
      <c r="B7529" s="201">
        <v>1246</v>
      </c>
      <c r="C7529">
        <v>821</v>
      </c>
      <c r="D7529" s="201">
        <v>40</v>
      </c>
      <c r="E7529" s="201">
        <v>924</v>
      </c>
      <c r="F7529">
        <v>637</v>
      </c>
      <c r="G7529">
        <v>282</v>
      </c>
      <c r="H7529">
        <v>554</v>
      </c>
      <c r="I7529">
        <v>252</v>
      </c>
      <c r="J7529">
        <v>-1212</v>
      </c>
      <c r="K7529" s="201">
        <v>-305</v>
      </c>
    </row>
    <row r="7530" spans="1:11" x14ac:dyDescent="0.25">
      <c r="A7530"/>
      <c r="B7530" s="201">
        <v>-91</v>
      </c>
      <c r="C7530">
        <v>-1727</v>
      </c>
      <c r="D7530" s="201">
        <v>-434</v>
      </c>
      <c r="E7530" s="201">
        <v>-43</v>
      </c>
      <c r="F7530">
        <v>-1829</v>
      </c>
      <c r="G7530">
        <v>-435</v>
      </c>
      <c r="H7530">
        <v>199</v>
      </c>
      <c r="I7530">
        <v>-31125</v>
      </c>
      <c r="J7530">
        <v>-83</v>
      </c>
      <c r="K7530" s="201">
        <v>-501</v>
      </c>
    </row>
    <row r="7531" spans="1:11" x14ac:dyDescent="0.25">
      <c r="A7531"/>
      <c r="B7531" s="201">
        <v>759</v>
      </c>
      <c r="C7531" s="201">
        <v>0</v>
      </c>
      <c r="D7531" s="201">
        <v>-1036</v>
      </c>
      <c r="E7531" s="201">
        <v>0</v>
      </c>
      <c r="F7531">
        <v>0</v>
      </c>
      <c r="G7531">
        <v>0</v>
      </c>
      <c r="H7531">
        <v>0</v>
      </c>
      <c r="I7531">
        <v>0</v>
      </c>
      <c r="J7531">
        <v>0</v>
      </c>
      <c r="K7531" s="201">
        <v>0</v>
      </c>
    </row>
    <row r="7532" spans="1:11" x14ac:dyDescent="0.25">
      <c r="A7532"/>
      <c r="B7532" s="201">
        <v>0</v>
      </c>
      <c r="C7532">
        <v>0</v>
      </c>
      <c r="D7532" s="201">
        <v>0</v>
      </c>
      <c r="E7532" s="201">
        <v>0</v>
      </c>
      <c r="F7532">
        <v>0</v>
      </c>
      <c r="G7532">
        <v>0</v>
      </c>
      <c r="H7532">
        <v>0</v>
      </c>
      <c r="I7532">
        <v>0</v>
      </c>
      <c r="J7532">
        <v>0</v>
      </c>
      <c r="K7532" s="201">
        <v>0</v>
      </c>
    </row>
    <row r="7533" spans="1:11" x14ac:dyDescent="0.25">
      <c r="A7533"/>
      <c r="B7533" s="201">
        <v>0</v>
      </c>
      <c r="C7533">
        <v>0</v>
      </c>
      <c r="D7533" s="201">
        <v>0</v>
      </c>
      <c r="E7533" s="201">
        <v>0</v>
      </c>
      <c r="F7533">
        <v>0</v>
      </c>
      <c r="G7533">
        <v>0</v>
      </c>
      <c r="H7533">
        <v>0</v>
      </c>
      <c r="I7533">
        <v>0</v>
      </c>
      <c r="J7533">
        <v>0</v>
      </c>
      <c r="K7533" s="201">
        <v>0</v>
      </c>
    </row>
    <row r="7534" spans="1:11" x14ac:dyDescent="0.25">
      <c r="A7534"/>
      <c r="B7534" s="201">
        <v>0</v>
      </c>
      <c r="C7534">
        <v>0</v>
      </c>
      <c r="D7534" s="201">
        <v>0</v>
      </c>
      <c r="E7534" s="201">
        <v>0</v>
      </c>
      <c r="F7534">
        <v>0</v>
      </c>
      <c r="G7534">
        <v>0</v>
      </c>
      <c r="H7534">
        <v>0</v>
      </c>
      <c r="I7534">
        <v>0</v>
      </c>
      <c r="J7534">
        <v>0</v>
      </c>
      <c r="K7534" s="201">
        <v>0</v>
      </c>
    </row>
    <row r="7535" spans="1:11" x14ac:dyDescent="0.25">
      <c r="A7535"/>
      <c r="B7535" s="201">
        <v>0</v>
      </c>
      <c r="C7535">
        <v>0</v>
      </c>
      <c r="D7535" s="201">
        <v>0</v>
      </c>
      <c r="E7535" s="201">
        <v>0</v>
      </c>
      <c r="F7535">
        <v>0</v>
      </c>
      <c r="G7535">
        <v>0</v>
      </c>
      <c r="H7535">
        <v>0</v>
      </c>
      <c r="I7535">
        <v>0</v>
      </c>
      <c r="J7535">
        <v>0</v>
      </c>
      <c r="K7535" s="201">
        <v>0</v>
      </c>
    </row>
    <row r="7536" spans="1:11" x14ac:dyDescent="0.25">
      <c r="A7536"/>
      <c r="B7536" s="201">
        <v>0</v>
      </c>
      <c r="C7536">
        <v>0</v>
      </c>
      <c r="D7536" s="201">
        <v>0</v>
      </c>
      <c r="E7536" s="201">
        <v>0</v>
      </c>
      <c r="F7536">
        <v>0</v>
      </c>
      <c r="G7536">
        <v>0</v>
      </c>
      <c r="H7536">
        <v>0</v>
      </c>
      <c r="I7536">
        <v>0</v>
      </c>
      <c r="J7536">
        <v>0</v>
      </c>
      <c r="K7536" s="201">
        <v>0</v>
      </c>
    </row>
    <row r="7537" spans="1:11" x14ac:dyDescent="0.25">
      <c r="A7537"/>
      <c r="B7537" s="201">
        <v>0</v>
      </c>
      <c r="C7537">
        <v>0</v>
      </c>
      <c r="D7537" s="201">
        <v>0</v>
      </c>
      <c r="E7537" s="201">
        <v>0</v>
      </c>
      <c r="F7537">
        <v>0</v>
      </c>
      <c r="G7537">
        <v>0</v>
      </c>
      <c r="H7537">
        <v>0</v>
      </c>
      <c r="I7537">
        <v>0</v>
      </c>
      <c r="J7537">
        <v>0</v>
      </c>
      <c r="K7537" s="201">
        <v>0</v>
      </c>
    </row>
    <row r="7538" spans="1:11" x14ac:dyDescent="0.25">
      <c r="A7538"/>
      <c r="B7538" s="201">
        <v>0</v>
      </c>
      <c r="C7538">
        <v>0</v>
      </c>
      <c r="D7538" s="201">
        <v>0</v>
      </c>
      <c r="E7538" s="201">
        <v>0</v>
      </c>
      <c r="F7538">
        <v>0</v>
      </c>
      <c r="G7538">
        <v>0</v>
      </c>
      <c r="H7538">
        <v>0</v>
      </c>
      <c r="I7538">
        <v>0</v>
      </c>
      <c r="J7538">
        <v>0</v>
      </c>
      <c r="K7538" s="201">
        <v>0</v>
      </c>
    </row>
    <row r="7539" spans="1:11" x14ac:dyDescent="0.25">
      <c r="A7539"/>
      <c r="B7539" s="201">
        <v>0</v>
      </c>
      <c r="C7539">
        <v>0</v>
      </c>
      <c r="D7539" s="201">
        <v>0</v>
      </c>
      <c r="E7539" s="201">
        <v>0</v>
      </c>
      <c r="F7539">
        <v>0</v>
      </c>
      <c r="G7539">
        <v>0</v>
      </c>
      <c r="H7539">
        <v>0</v>
      </c>
      <c r="I7539">
        <v>0</v>
      </c>
      <c r="J7539">
        <v>0</v>
      </c>
      <c r="K7539" s="201">
        <v>0</v>
      </c>
    </row>
    <row r="7540" spans="1:11" x14ac:dyDescent="0.25">
      <c r="A7540"/>
      <c r="B7540" s="201">
        <v>0</v>
      </c>
      <c r="C7540">
        <v>0</v>
      </c>
      <c r="D7540" s="201">
        <v>0</v>
      </c>
      <c r="E7540" s="201">
        <v>0</v>
      </c>
      <c r="F7540">
        <v>0</v>
      </c>
      <c r="G7540">
        <v>0</v>
      </c>
      <c r="H7540">
        <v>0</v>
      </c>
      <c r="I7540">
        <v>0</v>
      </c>
      <c r="J7540">
        <v>0</v>
      </c>
      <c r="K7540" s="201">
        <v>0</v>
      </c>
    </row>
    <row r="7541" spans="1:11" x14ac:dyDescent="0.25">
      <c r="A7541"/>
      <c r="B7541" s="201">
        <v>0</v>
      </c>
      <c r="C7541">
        <v>0</v>
      </c>
      <c r="D7541" s="201">
        <v>0</v>
      </c>
      <c r="E7541" s="201">
        <v>0</v>
      </c>
      <c r="F7541">
        <v>0</v>
      </c>
      <c r="G7541">
        <v>0</v>
      </c>
      <c r="H7541">
        <v>0</v>
      </c>
      <c r="I7541">
        <v>0</v>
      </c>
      <c r="J7541">
        <v>0</v>
      </c>
      <c r="K7541" s="201">
        <v>0</v>
      </c>
    </row>
    <row r="7542" spans="1:11" x14ac:dyDescent="0.25">
      <c r="A7542"/>
      <c r="B7542" s="201">
        <v>0</v>
      </c>
      <c r="C7542">
        <v>0</v>
      </c>
      <c r="D7542" s="201">
        <v>0</v>
      </c>
      <c r="E7542" s="201">
        <v>0</v>
      </c>
      <c r="F7542">
        <v>0</v>
      </c>
      <c r="G7542">
        <v>0</v>
      </c>
      <c r="H7542">
        <v>0</v>
      </c>
      <c r="I7542">
        <v>0</v>
      </c>
      <c r="J7542">
        <v>0</v>
      </c>
      <c r="K7542" s="201">
        <v>0</v>
      </c>
    </row>
    <row r="7543" spans="1:11" x14ac:dyDescent="0.25">
      <c r="A7543"/>
      <c r="B7543" s="201">
        <v>0</v>
      </c>
      <c r="C7543">
        <v>0</v>
      </c>
      <c r="D7543" s="201">
        <v>0</v>
      </c>
      <c r="E7543" s="201">
        <v>0</v>
      </c>
      <c r="F7543">
        <v>0</v>
      </c>
      <c r="G7543">
        <v>0</v>
      </c>
      <c r="H7543">
        <v>0</v>
      </c>
      <c r="I7543">
        <v>0</v>
      </c>
      <c r="J7543">
        <v>0</v>
      </c>
      <c r="K7543" s="201">
        <v>0</v>
      </c>
    </row>
    <row r="7544" spans="1:11" x14ac:dyDescent="0.25">
      <c r="A7544"/>
      <c r="B7544" s="201">
        <v>0</v>
      </c>
      <c r="C7544">
        <v>0</v>
      </c>
      <c r="D7544" s="201">
        <v>0</v>
      </c>
      <c r="E7544" s="201">
        <v>0</v>
      </c>
      <c r="F7544">
        <v>0</v>
      </c>
      <c r="G7544">
        <v>0</v>
      </c>
      <c r="H7544">
        <v>0</v>
      </c>
      <c r="I7544">
        <v>0</v>
      </c>
      <c r="J7544">
        <v>0</v>
      </c>
      <c r="K7544" s="201">
        <v>0</v>
      </c>
    </row>
    <row r="7545" spans="1:11" x14ac:dyDescent="0.25">
      <c r="A7545"/>
      <c r="B7545" s="201">
        <v>0</v>
      </c>
      <c r="C7545">
        <v>0</v>
      </c>
      <c r="D7545" s="201">
        <v>0</v>
      </c>
      <c r="E7545" s="201">
        <v>0</v>
      </c>
      <c r="F7545">
        <v>0</v>
      </c>
      <c r="G7545">
        <v>0</v>
      </c>
      <c r="H7545">
        <v>0</v>
      </c>
      <c r="I7545">
        <v>0</v>
      </c>
      <c r="J7545">
        <v>0</v>
      </c>
      <c r="K7545" s="201">
        <v>0</v>
      </c>
    </row>
    <row r="7546" spans="1:11" x14ac:dyDescent="0.25">
      <c r="A7546"/>
      <c r="B7546" s="201">
        <v>0</v>
      </c>
      <c r="C7546">
        <v>0</v>
      </c>
      <c r="D7546" s="201">
        <v>0</v>
      </c>
      <c r="E7546" s="201">
        <v>0</v>
      </c>
      <c r="F7546">
        <v>0</v>
      </c>
      <c r="G7546">
        <v>0</v>
      </c>
      <c r="H7546">
        <v>0</v>
      </c>
      <c r="I7546">
        <v>0</v>
      </c>
      <c r="J7546">
        <v>0</v>
      </c>
      <c r="K7546" s="201">
        <v>0</v>
      </c>
    </row>
    <row r="7547" spans="1:11" x14ac:dyDescent="0.25">
      <c r="A7547"/>
      <c r="B7547" s="201">
        <v>0</v>
      </c>
      <c r="C7547">
        <v>0</v>
      </c>
      <c r="D7547" s="201">
        <v>0</v>
      </c>
      <c r="E7547" s="201">
        <v>0</v>
      </c>
      <c r="F7547">
        <v>0</v>
      </c>
      <c r="G7547">
        <v>0</v>
      </c>
      <c r="H7547">
        <v>0</v>
      </c>
      <c r="I7547">
        <v>0</v>
      </c>
      <c r="J7547">
        <v>0</v>
      </c>
      <c r="K7547" s="201">
        <v>0</v>
      </c>
    </row>
    <row r="7548" spans="1:11" x14ac:dyDescent="0.25">
      <c r="A7548"/>
      <c r="B7548" s="201">
        <v>0</v>
      </c>
      <c r="C7548">
        <v>0</v>
      </c>
      <c r="D7548" s="201">
        <v>0</v>
      </c>
      <c r="E7548" s="201">
        <v>0</v>
      </c>
      <c r="F7548">
        <v>0</v>
      </c>
      <c r="G7548">
        <v>0</v>
      </c>
      <c r="H7548">
        <v>0</v>
      </c>
      <c r="I7548">
        <v>0</v>
      </c>
      <c r="J7548">
        <v>0</v>
      </c>
      <c r="K7548" s="201">
        <v>0</v>
      </c>
    </row>
    <row r="7549" spans="1:11" x14ac:dyDescent="0.25">
      <c r="A7549"/>
      <c r="B7549" s="201">
        <v>0</v>
      </c>
      <c r="C7549">
        <v>0</v>
      </c>
      <c r="D7549" s="201">
        <v>0</v>
      </c>
      <c r="E7549" s="201">
        <v>0</v>
      </c>
      <c r="F7549">
        <v>0</v>
      </c>
      <c r="G7549">
        <v>0</v>
      </c>
      <c r="H7549">
        <v>0</v>
      </c>
      <c r="I7549">
        <v>0</v>
      </c>
      <c r="J7549">
        <v>0</v>
      </c>
      <c r="K7549" s="201">
        <v>0</v>
      </c>
    </row>
    <row r="7550" spans="1:11" x14ac:dyDescent="0.25">
      <c r="A7550"/>
      <c r="B7550" s="201">
        <v>0</v>
      </c>
      <c r="C7550">
        <v>0</v>
      </c>
      <c r="D7550" s="201">
        <v>0</v>
      </c>
      <c r="E7550" s="201">
        <v>0</v>
      </c>
      <c r="F7550">
        <v>0</v>
      </c>
      <c r="G7550">
        <v>0</v>
      </c>
      <c r="H7550">
        <v>0</v>
      </c>
      <c r="I7550">
        <v>0</v>
      </c>
      <c r="J7550">
        <v>0</v>
      </c>
      <c r="K7550" s="201">
        <v>0</v>
      </c>
    </row>
    <row r="7551" spans="1:11" x14ac:dyDescent="0.25">
      <c r="A7551"/>
      <c r="B7551" s="201">
        <v>0</v>
      </c>
      <c r="C7551">
        <v>0</v>
      </c>
      <c r="D7551" s="201">
        <v>0</v>
      </c>
      <c r="E7551" s="201">
        <v>0</v>
      </c>
      <c r="F7551">
        <v>0</v>
      </c>
      <c r="G7551">
        <v>0</v>
      </c>
      <c r="H7551">
        <v>0</v>
      </c>
      <c r="I7551">
        <v>0</v>
      </c>
      <c r="J7551">
        <v>0</v>
      </c>
      <c r="K7551" s="201">
        <v>0</v>
      </c>
    </row>
    <row r="7552" spans="1:11" x14ac:dyDescent="0.25">
      <c r="A7552"/>
      <c r="B7552" s="201">
        <v>0</v>
      </c>
      <c r="C7552">
        <v>0</v>
      </c>
      <c r="D7552" s="201">
        <v>0</v>
      </c>
      <c r="E7552" s="201">
        <v>0</v>
      </c>
      <c r="F7552">
        <v>0</v>
      </c>
      <c r="G7552">
        <v>0</v>
      </c>
      <c r="H7552">
        <v>0</v>
      </c>
      <c r="I7552">
        <v>0</v>
      </c>
      <c r="J7552">
        <v>0</v>
      </c>
      <c r="K7552" s="201">
        <v>0</v>
      </c>
    </row>
    <row r="7553" spans="1:11" x14ac:dyDescent="0.25">
      <c r="A7553"/>
      <c r="B7553" s="201">
        <v>0</v>
      </c>
      <c r="C7553">
        <v>0</v>
      </c>
      <c r="D7553" s="201">
        <v>0</v>
      </c>
      <c r="E7553" s="201">
        <v>0</v>
      </c>
      <c r="F7553">
        <v>0</v>
      </c>
      <c r="G7553">
        <v>0</v>
      </c>
      <c r="H7553">
        <v>0</v>
      </c>
      <c r="I7553">
        <v>0</v>
      </c>
      <c r="J7553">
        <v>0</v>
      </c>
      <c r="K7553" s="201">
        <v>0</v>
      </c>
    </row>
    <row r="7554" spans="1:11" x14ac:dyDescent="0.25">
      <c r="A7554"/>
      <c r="B7554" s="201">
        <v>0</v>
      </c>
      <c r="C7554">
        <v>0</v>
      </c>
      <c r="D7554" s="201">
        <v>0</v>
      </c>
      <c r="E7554" s="201">
        <v>0</v>
      </c>
      <c r="F7554">
        <v>0</v>
      </c>
      <c r="G7554">
        <v>0</v>
      </c>
      <c r="H7554">
        <v>0</v>
      </c>
      <c r="I7554">
        <v>0</v>
      </c>
      <c r="J7554">
        <v>0</v>
      </c>
      <c r="K7554" s="201">
        <v>0</v>
      </c>
    </row>
    <row r="7555" spans="1:11" x14ac:dyDescent="0.25">
      <c r="A7555"/>
      <c r="B7555" s="201">
        <v>0</v>
      </c>
      <c r="C7555">
        <v>0</v>
      </c>
      <c r="D7555" s="201">
        <v>0</v>
      </c>
      <c r="E7555" s="201">
        <v>0</v>
      </c>
      <c r="F7555">
        <v>0</v>
      </c>
      <c r="G7555">
        <v>0</v>
      </c>
      <c r="H7555">
        <v>0</v>
      </c>
      <c r="I7555">
        <v>0</v>
      </c>
      <c r="J7555">
        <v>0</v>
      </c>
      <c r="K7555" s="201">
        <v>0</v>
      </c>
    </row>
    <row r="7556" spans="1:11" x14ac:dyDescent="0.25">
      <c r="A7556"/>
      <c r="B7556" s="201">
        <v>0</v>
      </c>
      <c r="C7556">
        <v>0</v>
      </c>
      <c r="D7556" s="201">
        <v>0</v>
      </c>
      <c r="E7556" s="201">
        <v>0</v>
      </c>
      <c r="F7556">
        <v>0</v>
      </c>
      <c r="G7556">
        <v>0</v>
      </c>
      <c r="H7556">
        <v>0</v>
      </c>
      <c r="I7556">
        <v>0</v>
      </c>
      <c r="J7556">
        <v>0</v>
      </c>
      <c r="K7556" s="201">
        <v>0</v>
      </c>
    </row>
    <row r="7557" spans="1:11" x14ac:dyDescent="0.25">
      <c r="A7557"/>
      <c r="B7557" s="201">
        <v>0</v>
      </c>
      <c r="C7557">
        <v>0</v>
      </c>
      <c r="D7557" s="201">
        <v>0</v>
      </c>
      <c r="E7557" s="201">
        <v>0</v>
      </c>
      <c r="F7557">
        <v>0</v>
      </c>
      <c r="G7557">
        <v>0</v>
      </c>
      <c r="H7557">
        <v>0</v>
      </c>
      <c r="I7557">
        <v>0</v>
      </c>
      <c r="J7557">
        <v>0</v>
      </c>
      <c r="K7557" s="201">
        <v>0</v>
      </c>
    </row>
    <row r="7558" spans="1:11" x14ac:dyDescent="0.25">
      <c r="A7558"/>
      <c r="B7558" s="201">
        <v>0</v>
      </c>
      <c r="C7558">
        <v>0</v>
      </c>
      <c r="D7558" s="201">
        <v>0</v>
      </c>
      <c r="E7558" s="201">
        <v>0</v>
      </c>
      <c r="F7558">
        <v>0</v>
      </c>
      <c r="G7558">
        <v>0</v>
      </c>
      <c r="H7558">
        <v>0</v>
      </c>
      <c r="I7558">
        <v>0</v>
      </c>
      <c r="J7558">
        <v>0</v>
      </c>
      <c r="K7558" s="201">
        <v>0</v>
      </c>
    </row>
    <row r="7559" spans="1:11" x14ac:dyDescent="0.25">
      <c r="A7559"/>
      <c r="B7559" s="201">
        <v>0</v>
      </c>
      <c r="C7559">
        <v>0</v>
      </c>
      <c r="D7559" s="201">
        <v>0</v>
      </c>
      <c r="E7559" s="201">
        <v>0</v>
      </c>
      <c r="F7559">
        <v>0</v>
      </c>
      <c r="G7559">
        <v>0</v>
      </c>
      <c r="H7559">
        <v>0</v>
      </c>
      <c r="I7559">
        <v>0</v>
      </c>
      <c r="J7559">
        <v>0</v>
      </c>
      <c r="K7559" s="201">
        <v>0</v>
      </c>
    </row>
    <row r="7560" spans="1:11" x14ac:dyDescent="0.25">
      <c r="A7560"/>
      <c r="B7560" s="201">
        <v>0</v>
      </c>
      <c r="C7560">
        <v>0</v>
      </c>
      <c r="D7560" s="201">
        <v>0</v>
      </c>
      <c r="E7560" s="201">
        <v>0</v>
      </c>
      <c r="F7560">
        <v>0</v>
      </c>
      <c r="G7560">
        <v>0</v>
      </c>
      <c r="H7560">
        <v>0</v>
      </c>
      <c r="I7560">
        <v>0</v>
      </c>
      <c r="J7560">
        <v>0</v>
      </c>
      <c r="K7560" s="201">
        <v>0</v>
      </c>
    </row>
    <row r="7561" spans="1:11" x14ac:dyDescent="0.25">
      <c r="A7561"/>
      <c r="B7561" s="201">
        <v>0</v>
      </c>
      <c r="C7561">
        <v>0</v>
      </c>
      <c r="D7561" s="201">
        <v>0</v>
      </c>
      <c r="E7561" s="201">
        <v>0</v>
      </c>
      <c r="F7561">
        <v>0</v>
      </c>
      <c r="G7561">
        <v>0</v>
      </c>
      <c r="H7561">
        <v>0</v>
      </c>
      <c r="I7561">
        <v>0</v>
      </c>
      <c r="J7561">
        <v>0</v>
      </c>
      <c r="K7561" s="201">
        <v>0</v>
      </c>
    </row>
    <row r="7562" spans="1:11" x14ac:dyDescent="0.25">
      <c r="A7562"/>
      <c r="B7562" s="201">
        <v>0</v>
      </c>
      <c r="C7562">
        <v>0</v>
      </c>
      <c r="D7562" s="201">
        <v>0</v>
      </c>
      <c r="E7562" s="201">
        <v>0</v>
      </c>
      <c r="F7562">
        <v>0</v>
      </c>
      <c r="G7562">
        <v>0</v>
      </c>
      <c r="H7562">
        <v>0</v>
      </c>
      <c r="I7562">
        <v>0</v>
      </c>
      <c r="J7562">
        <v>0</v>
      </c>
      <c r="K7562" s="201">
        <v>0</v>
      </c>
    </row>
    <row r="7563" spans="1:11" x14ac:dyDescent="0.25">
      <c r="A7563"/>
      <c r="B7563" s="201">
        <v>0</v>
      </c>
      <c r="C7563">
        <v>0</v>
      </c>
      <c r="D7563" s="201">
        <v>0</v>
      </c>
      <c r="E7563" s="201">
        <v>0</v>
      </c>
      <c r="F7563">
        <v>0</v>
      </c>
      <c r="G7563">
        <v>0</v>
      </c>
      <c r="H7563">
        <v>0</v>
      </c>
      <c r="I7563">
        <v>0</v>
      </c>
      <c r="J7563">
        <v>0</v>
      </c>
      <c r="K7563" s="201">
        <v>0</v>
      </c>
    </row>
    <row r="7564" spans="1:11" x14ac:dyDescent="0.25">
      <c r="A7564"/>
      <c r="B7564" s="201">
        <v>0</v>
      </c>
      <c r="C7564">
        <v>0</v>
      </c>
      <c r="D7564" s="201">
        <v>0</v>
      </c>
      <c r="E7564" s="201">
        <v>0</v>
      </c>
      <c r="F7564">
        <v>0</v>
      </c>
      <c r="G7564">
        <v>0</v>
      </c>
      <c r="H7564">
        <v>0</v>
      </c>
      <c r="I7564">
        <v>0</v>
      </c>
      <c r="J7564">
        <v>0</v>
      </c>
      <c r="K7564" s="201">
        <v>0</v>
      </c>
    </row>
    <row r="7565" spans="1:11" x14ac:dyDescent="0.25">
      <c r="A7565"/>
      <c r="B7565" s="201">
        <v>0</v>
      </c>
      <c r="C7565">
        <v>0</v>
      </c>
      <c r="D7565" s="201">
        <v>0</v>
      </c>
      <c r="E7565" s="201">
        <v>0</v>
      </c>
      <c r="F7565">
        <v>0</v>
      </c>
      <c r="G7565">
        <v>0</v>
      </c>
      <c r="H7565">
        <v>0</v>
      </c>
      <c r="I7565">
        <v>0</v>
      </c>
      <c r="J7565">
        <v>0</v>
      </c>
      <c r="K7565" s="201">
        <v>0</v>
      </c>
    </row>
    <row r="7566" spans="1:11" x14ac:dyDescent="0.25">
      <c r="A7566"/>
      <c r="B7566" s="201">
        <v>0</v>
      </c>
      <c r="C7566">
        <v>0</v>
      </c>
      <c r="D7566" s="201">
        <v>0</v>
      </c>
      <c r="E7566" s="201">
        <v>0</v>
      </c>
      <c r="F7566">
        <v>0</v>
      </c>
      <c r="G7566">
        <v>0</v>
      </c>
      <c r="H7566">
        <v>0</v>
      </c>
      <c r="I7566">
        <v>0</v>
      </c>
      <c r="J7566">
        <v>0</v>
      </c>
      <c r="K7566" s="201">
        <v>0</v>
      </c>
    </row>
    <row r="7567" spans="1:11" x14ac:dyDescent="0.25">
      <c r="A7567"/>
      <c r="B7567" s="201">
        <v>0</v>
      </c>
      <c r="C7567">
        <v>0</v>
      </c>
      <c r="D7567" s="201">
        <v>0</v>
      </c>
      <c r="E7567" s="201">
        <v>0</v>
      </c>
      <c r="F7567">
        <v>0</v>
      </c>
      <c r="G7567">
        <v>0</v>
      </c>
      <c r="H7567">
        <v>0</v>
      </c>
      <c r="I7567">
        <v>0</v>
      </c>
      <c r="J7567">
        <v>0</v>
      </c>
      <c r="K7567" s="201">
        <v>0</v>
      </c>
    </row>
    <row r="7568" spans="1:11" x14ac:dyDescent="0.25">
      <c r="A7568"/>
      <c r="B7568" s="201">
        <v>0</v>
      </c>
      <c r="C7568">
        <v>0</v>
      </c>
      <c r="D7568" s="201">
        <v>0</v>
      </c>
      <c r="E7568" s="201">
        <v>0</v>
      </c>
      <c r="F7568">
        <v>0</v>
      </c>
      <c r="G7568">
        <v>0</v>
      </c>
      <c r="H7568">
        <v>0</v>
      </c>
      <c r="I7568">
        <v>0</v>
      </c>
      <c r="J7568">
        <v>0</v>
      </c>
      <c r="K7568" s="201">
        <v>0</v>
      </c>
    </row>
    <row r="7569" spans="1:11" x14ac:dyDescent="0.25">
      <c r="A7569"/>
      <c r="B7569" s="201">
        <v>0</v>
      </c>
      <c r="C7569">
        <v>-825</v>
      </c>
      <c r="D7569" s="201">
        <v>3108</v>
      </c>
      <c r="E7569" s="201">
        <v>-157</v>
      </c>
      <c r="F7569">
        <v>402</v>
      </c>
      <c r="G7569">
        <v>-1055</v>
      </c>
      <c r="H7569">
        <v>0</v>
      </c>
      <c r="I7569">
        <v>0</v>
      </c>
      <c r="J7569">
        <v>-262</v>
      </c>
      <c r="K7569" s="201">
        <v>0</v>
      </c>
    </row>
    <row r="7570" spans="1:11" x14ac:dyDescent="0.25">
      <c r="A7570"/>
      <c r="B7570" s="201">
        <v>0</v>
      </c>
      <c r="C7570">
        <v>0</v>
      </c>
      <c r="D7570" s="201">
        <v>322</v>
      </c>
      <c r="E7570" s="201">
        <v>-463</v>
      </c>
      <c r="F7570">
        <v>0</v>
      </c>
      <c r="G7570">
        <v>0</v>
      </c>
      <c r="H7570">
        <v>0</v>
      </c>
      <c r="I7570">
        <v>0</v>
      </c>
      <c r="J7570">
        <v>0</v>
      </c>
      <c r="K7570" s="201">
        <v>0</v>
      </c>
    </row>
    <row r="7571" spans="1:11" x14ac:dyDescent="0.25">
      <c r="B7571" s="201">
        <v>-626</v>
      </c>
      <c r="C7571">
        <v>0</v>
      </c>
      <c r="D7571" s="201">
        <v>0</v>
      </c>
      <c r="E7571" s="201">
        <v>-977</v>
      </c>
      <c r="F7571">
        <v>0</v>
      </c>
      <c r="G7571">
        <v>819</v>
      </c>
      <c r="H7571">
        <v>0</v>
      </c>
      <c r="I7571">
        <v>-510</v>
      </c>
      <c r="J7571">
        <v>825</v>
      </c>
      <c r="K7571" s="201">
        <v>440</v>
      </c>
    </row>
    <row r="7572" spans="1:11" x14ac:dyDescent="0.25">
      <c r="A7572"/>
      <c r="B7572" s="201">
        <v>0</v>
      </c>
      <c r="C7572">
        <v>5834</v>
      </c>
      <c r="D7572" s="201">
        <v>2490</v>
      </c>
      <c r="E7572" s="201">
        <v>651</v>
      </c>
      <c r="F7572">
        <v>-598</v>
      </c>
      <c r="G7572">
        <v>-8776</v>
      </c>
      <c r="H7572">
        <v>1075</v>
      </c>
      <c r="I7572">
        <v>0</v>
      </c>
      <c r="J7572">
        <v>-240</v>
      </c>
      <c r="K7572" s="201">
        <v>0</v>
      </c>
    </row>
    <row r="7573" spans="1:11" x14ac:dyDescent="0.25">
      <c r="A7573"/>
      <c r="B7573" s="201">
        <v>0</v>
      </c>
      <c r="C7573">
        <v>0</v>
      </c>
      <c r="D7573" s="201">
        <v>0</v>
      </c>
      <c r="E7573" s="201">
        <v>0</v>
      </c>
      <c r="F7573">
        <v>1385</v>
      </c>
      <c r="G7573">
        <v>0</v>
      </c>
      <c r="H7573">
        <v>0</v>
      </c>
      <c r="I7573">
        <v>0</v>
      </c>
      <c r="J7573">
        <v>-1321</v>
      </c>
      <c r="K7573" s="201">
        <v>0</v>
      </c>
    </row>
    <row r="7574" spans="1:11" x14ac:dyDescent="0.25">
      <c r="A7574"/>
      <c r="B7574" s="201">
        <v>-276</v>
      </c>
      <c r="C7574">
        <v>0</v>
      </c>
      <c r="D7574" s="201">
        <v>0</v>
      </c>
      <c r="E7574" s="201">
        <v>0</v>
      </c>
      <c r="F7574">
        <v>0</v>
      </c>
      <c r="G7574">
        <v>0</v>
      </c>
      <c r="H7574">
        <v>-691</v>
      </c>
      <c r="I7574">
        <v>0</v>
      </c>
      <c r="J7574">
        <v>-1125</v>
      </c>
      <c r="K7574" s="201">
        <v>-1925</v>
      </c>
    </row>
    <row r="7575" spans="1:11" x14ac:dyDescent="0.25">
      <c r="A7575"/>
      <c r="B7575" s="201">
        <v>0</v>
      </c>
      <c r="C7575">
        <v>0</v>
      </c>
      <c r="D7575" s="201">
        <v>5854</v>
      </c>
      <c r="E7575" s="201">
        <v>10662</v>
      </c>
      <c r="F7575">
        <v>0</v>
      </c>
      <c r="G7575">
        <v>5672</v>
      </c>
      <c r="H7575">
        <v>0</v>
      </c>
      <c r="I7575">
        <v>0</v>
      </c>
      <c r="J7575">
        <v>0</v>
      </c>
      <c r="K7575" s="201">
        <v>0</v>
      </c>
    </row>
    <row r="7576" spans="1:11" x14ac:dyDescent="0.25">
      <c r="A7576"/>
      <c r="B7576" s="201">
        <v>18391</v>
      </c>
      <c r="C7576">
        <v>528</v>
      </c>
      <c r="D7576" s="201">
        <v>-686</v>
      </c>
      <c r="E7576" s="201">
        <v>0</v>
      </c>
      <c r="F7576">
        <v>0</v>
      </c>
      <c r="G7576">
        <v>705</v>
      </c>
      <c r="H7576">
        <v>653</v>
      </c>
      <c r="I7576">
        <v>0</v>
      </c>
      <c r="J7576">
        <v>316</v>
      </c>
      <c r="K7576" s="201">
        <v>4626</v>
      </c>
    </row>
    <row r="7577" spans="1:11" x14ac:dyDescent="0.25">
      <c r="A7577"/>
      <c r="B7577" s="201">
        <v>825</v>
      </c>
      <c r="C7577">
        <v>3859</v>
      </c>
      <c r="D7577" s="201">
        <v>10005</v>
      </c>
      <c r="E7577" s="201">
        <v>4619</v>
      </c>
      <c r="F7577">
        <v>5364</v>
      </c>
      <c r="G7577">
        <v>0</v>
      </c>
      <c r="H7577">
        <v>0</v>
      </c>
      <c r="I7577">
        <v>0</v>
      </c>
      <c r="J7577">
        <v>0</v>
      </c>
      <c r="K7577" s="201">
        <v>0</v>
      </c>
    </row>
    <row r="7578" spans="1:11" x14ac:dyDescent="0.25">
      <c r="A7578"/>
      <c r="B7578" s="201">
        <v>-8474</v>
      </c>
      <c r="C7578">
        <v>0</v>
      </c>
      <c r="D7578" s="201">
        <v>-16906</v>
      </c>
      <c r="E7578" s="201">
        <v>-446</v>
      </c>
      <c r="F7578">
        <v>-4751</v>
      </c>
      <c r="G7578">
        <v>0</v>
      </c>
      <c r="H7578">
        <v>1181</v>
      </c>
      <c r="I7578">
        <v>2294</v>
      </c>
      <c r="J7578">
        <v>-507</v>
      </c>
      <c r="K7578" s="201">
        <v>-818</v>
      </c>
    </row>
    <row r="7579" spans="1:11" x14ac:dyDescent="0.25">
      <c r="B7579" s="201">
        <v>-555</v>
      </c>
      <c r="C7579">
        <v>0</v>
      </c>
      <c r="D7579" s="201">
        <v>752</v>
      </c>
      <c r="E7579" s="201">
        <v>-27642</v>
      </c>
      <c r="F7579">
        <v>-500</v>
      </c>
      <c r="G7579">
        <v>-145</v>
      </c>
      <c r="H7579">
        <v>0</v>
      </c>
      <c r="I7579">
        <v>-344</v>
      </c>
      <c r="J7579">
        <v>6317</v>
      </c>
      <c r="K7579" s="201">
        <v>0</v>
      </c>
    </row>
    <row r="7580" spans="1:11" x14ac:dyDescent="0.25">
      <c r="A7580"/>
      <c r="B7580" s="201">
        <v>0</v>
      </c>
      <c r="C7580">
        <v>0</v>
      </c>
      <c r="D7580" s="201">
        <v>-387</v>
      </c>
      <c r="E7580" s="201">
        <v>-662</v>
      </c>
      <c r="F7580">
        <v>0</v>
      </c>
      <c r="G7580">
        <v>-602</v>
      </c>
      <c r="H7580">
        <v>1379</v>
      </c>
      <c r="I7580">
        <v>-73</v>
      </c>
      <c r="J7580">
        <v>-567</v>
      </c>
      <c r="K7580" s="201">
        <v>0</v>
      </c>
    </row>
    <row r="7581" spans="1:11" x14ac:dyDescent="0.25">
      <c r="A7581"/>
      <c r="B7581" s="201">
        <v>0</v>
      </c>
      <c r="C7581">
        <v>0</v>
      </c>
      <c r="D7581" s="201">
        <v>0</v>
      </c>
      <c r="E7581" s="201">
        <v>0</v>
      </c>
      <c r="F7581">
        <v>-1821</v>
      </c>
      <c r="G7581">
        <v>0</v>
      </c>
      <c r="H7581">
        <v>-2285</v>
      </c>
      <c r="I7581">
        <v>-445</v>
      </c>
      <c r="J7581">
        <v>-196</v>
      </c>
      <c r="K7581" s="201">
        <v>0</v>
      </c>
    </row>
    <row r="7582" spans="1:11" x14ac:dyDescent="0.25">
      <c r="A7582"/>
      <c r="B7582" s="201">
        <v>2300</v>
      </c>
      <c r="C7582">
        <v>-441</v>
      </c>
      <c r="D7582" s="201">
        <v>65</v>
      </c>
      <c r="E7582" s="201">
        <v>532</v>
      </c>
      <c r="F7582">
        <v>281</v>
      </c>
      <c r="G7582">
        <v>2562</v>
      </c>
      <c r="H7582">
        <v>513</v>
      </c>
      <c r="I7582">
        <v>-26887</v>
      </c>
      <c r="J7582">
        <v>0</v>
      </c>
      <c r="K7582" s="201">
        <v>-151</v>
      </c>
    </row>
    <row r="7583" spans="1:11" x14ac:dyDescent="0.25">
      <c r="A7583"/>
      <c r="B7583" s="201">
        <v>0</v>
      </c>
      <c r="C7583">
        <v>0</v>
      </c>
      <c r="D7583" s="201">
        <v>6468</v>
      </c>
      <c r="E7583" s="201">
        <v>-221</v>
      </c>
      <c r="F7583">
        <v>0</v>
      </c>
      <c r="G7583">
        <v>137</v>
      </c>
      <c r="H7583">
        <v>0</v>
      </c>
      <c r="I7583">
        <v>0</v>
      </c>
      <c r="J7583">
        <v>-52</v>
      </c>
      <c r="K7583" s="201">
        <v>0</v>
      </c>
    </row>
    <row r="7584" spans="1:11" x14ac:dyDescent="0.25">
      <c r="A7584"/>
      <c r="B7584" s="201">
        <v>570</v>
      </c>
      <c r="C7584">
        <v>-175</v>
      </c>
      <c r="D7584" s="201">
        <v>-7</v>
      </c>
      <c r="E7584" s="201">
        <v>0</v>
      </c>
      <c r="F7584">
        <v>0</v>
      </c>
      <c r="G7584">
        <v>0</v>
      </c>
      <c r="H7584">
        <v>0</v>
      </c>
      <c r="I7584">
        <v>0</v>
      </c>
      <c r="J7584">
        <v>-3262</v>
      </c>
      <c r="K7584" s="201">
        <v>0</v>
      </c>
    </row>
    <row r="7585" spans="1:11" x14ac:dyDescent="0.25">
      <c r="A7585"/>
      <c r="B7585" s="201">
        <v>1273</v>
      </c>
      <c r="C7585">
        <v>-215</v>
      </c>
      <c r="D7585" s="201">
        <v>-221</v>
      </c>
      <c r="E7585" s="201">
        <v>0</v>
      </c>
      <c r="F7585">
        <v>219</v>
      </c>
      <c r="G7585">
        <v>1397</v>
      </c>
      <c r="H7585">
        <v>-302</v>
      </c>
      <c r="I7585">
        <v>0</v>
      </c>
      <c r="J7585">
        <v>0</v>
      </c>
      <c r="K7585" s="201">
        <v>0</v>
      </c>
    </row>
    <row r="7586" spans="1:11" x14ac:dyDescent="0.25">
      <c r="A7586"/>
      <c r="B7586" s="201">
        <v>-725</v>
      </c>
      <c r="C7586">
        <v>-20956</v>
      </c>
      <c r="D7586" s="201">
        <v>-587</v>
      </c>
      <c r="E7586" s="201">
        <v>100</v>
      </c>
      <c r="F7586">
        <v>19</v>
      </c>
      <c r="G7586">
        <v>0</v>
      </c>
      <c r="H7586">
        <v>4072</v>
      </c>
      <c r="I7586">
        <v>0</v>
      </c>
      <c r="J7586">
        <v>0</v>
      </c>
      <c r="K7586" s="201">
        <v>-46</v>
      </c>
    </row>
    <row r="7587" spans="1:11" x14ac:dyDescent="0.25">
      <c r="A7587"/>
      <c r="B7587" s="201">
        <v>0</v>
      </c>
      <c r="C7587">
        <v>-598</v>
      </c>
      <c r="D7587" s="201">
        <v>0</v>
      </c>
      <c r="E7587" s="201">
        <v>-456</v>
      </c>
      <c r="F7587">
        <v>0</v>
      </c>
      <c r="G7587">
        <v>0</v>
      </c>
      <c r="H7587">
        <v>0</v>
      </c>
      <c r="I7587">
        <v>0</v>
      </c>
      <c r="J7587">
        <v>0</v>
      </c>
      <c r="K7587" s="201">
        <v>0</v>
      </c>
    </row>
    <row r="7588" spans="1:11" x14ac:dyDescent="0.25">
      <c r="A7588"/>
      <c r="B7588" s="201">
        <v>0</v>
      </c>
      <c r="C7588">
        <v>0</v>
      </c>
      <c r="D7588" s="201">
        <v>-1261</v>
      </c>
      <c r="E7588" s="201">
        <v>0</v>
      </c>
      <c r="F7588">
        <v>-1670</v>
      </c>
      <c r="G7588">
        <v>-148</v>
      </c>
      <c r="H7588">
        <v>86</v>
      </c>
      <c r="I7588">
        <v>0</v>
      </c>
      <c r="J7588">
        <v>2519</v>
      </c>
      <c r="K7588" s="201">
        <v>-553</v>
      </c>
    </row>
    <row r="7589" spans="1:11" x14ac:dyDescent="0.25">
      <c r="A7589"/>
      <c r="B7589" s="201">
        <v>0</v>
      </c>
      <c r="C7589">
        <v>0</v>
      </c>
      <c r="D7589" s="201">
        <v>0</v>
      </c>
      <c r="E7589" s="201">
        <v>0</v>
      </c>
      <c r="F7589">
        <v>0</v>
      </c>
      <c r="G7589">
        <v>-26177</v>
      </c>
      <c r="H7589">
        <v>1124</v>
      </c>
      <c r="I7589">
        <v>234</v>
      </c>
      <c r="J7589">
        <v>105</v>
      </c>
      <c r="K7589" s="201">
        <v>376</v>
      </c>
    </row>
    <row r="7590" spans="1:11" x14ac:dyDescent="0.25">
      <c r="B7590" s="201">
        <v>6346</v>
      </c>
      <c r="C7590">
        <v>0</v>
      </c>
      <c r="D7590" s="201">
        <v>0</v>
      </c>
      <c r="E7590" s="201">
        <v>0</v>
      </c>
      <c r="F7590">
        <v>0</v>
      </c>
      <c r="G7590">
        <v>-658</v>
      </c>
      <c r="H7590">
        <v>0</v>
      </c>
      <c r="I7590">
        <v>-406</v>
      </c>
      <c r="J7590">
        <v>0</v>
      </c>
      <c r="K7590" s="201">
        <v>0</v>
      </c>
    </row>
    <row r="7591" spans="1:11" x14ac:dyDescent="0.25">
      <c r="A7591"/>
      <c r="B7591" s="201">
        <v>-1227</v>
      </c>
      <c r="C7591">
        <v>-111</v>
      </c>
      <c r="D7591" s="201">
        <v>0</v>
      </c>
      <c r="E7591" s="201">
        <v>0</v>
      </c>
      <c r="F7591">
        <v>0</v>
      </c>
      <c r="G7591">
        <v>0</v>
      </c>
      <c r="H7591">
        <v>-3107</v>
      </c>
      <c r="I7591">
        <v>0</v>
      </c>
      <c r="J7591">
        <v>986</v>
      </c>
      <c r="K7591" s="201">
        <v>-897</v>
      </c>
    </row>
    <row r="7592" spans="1:11" x14ac:dyDescent="0.25">
      <c r="A7592"/>
      <c r="B7592" s="201">
        <v>634</v>
      </c>
      <c r="C7592">
        <v>-2043</v>
      </c>
      <c r="D7592" s="201">
        <v>368</v>
      </c>
      <c r="E7592" s="201">
        <v>299</v>
      </c>
      <c r="F7592">
        <v>1127</v>
      </c>
      <c r="G7592">
        <v>-1657</v>
      </c>
      <c r="H7592">
        <v>-764</v>
      </c>
      <c r="I7592">
        <v>17712</v>
      </c>
      <c r="J7592">
        <v>0</v>
      </c>
      <c r="K7592" s="201">
        <v>0</v>
      </c>
    </row>
    <row r="7593" spans="1:11" x14ac:dyDescent="0.25">
      <c r="A7593"/>
      <c r="B7593" s="201">
        <v>0</v>
      </c>
      <c r="C7593">
        <v>0</v>
      </c>
      <c r="D7593" s="201">
        <v>0</v>
      </c>
      <c r="E7593" s="201">
        <v>0</v>
      </c>
      <c r="F7593">
        <v>0</v>
      </c>
      <c r="G7593">
        <v>140</v>
      </c>
      <c r="H7593">
        <v>15</v>
      </c>
      <c r="I7593">
        <v>-65</v>
      </c>
      <c r="J7593">
        <v>-58</v>
      </c>
      <c r="K7593" s="201">
        <v>123</v>
      </c>
    </row>
    <row r="7594" spans="1:11" x14ac:dyDescent="0.25">
      <c r="A7594"/>
      <c r="B7594" s="201">
        <v>-2242</v>
      </c>
      <c r="C7594">
        <v>0</v>
      </c>
      <c r="D7594" s="201">
        <v>0</v>
      </c>
      <c r="E7594" s="201">
        <v>601</v>
      </c>
      <c r="F7594">
        <v>0</v>
      </c>
      <c r="G7594">
        <v>1476</v>
      </c>
      <c r="H7594">
        <v>-448</v>
      </c>
      <c r="I7594">
        <v>0</v>
      </c>
      <c r="J7594">
        <v>0</v>
      </c>
      <c r="K7594" s="201">
        <v>0</v>
      </c>
    </row>
    <row r="7595" spans="1:11" x14ac:dyDescent="0.25">
      <c r="A7595"/>
      <c r="B7595" s="201">
        <v>0</v>
      </c>
      <c r="C7595">
        <v>225</v>
      </c>
      <c r="D7595" s="201">
        <v>0</v>
      </c>
      <c r="E7595" s="201">
        <v>6867</v>
      </c>
      <c r="F7595">
        <v>4321</v>
      </c>
      <c r="G7595">
        <v>0</v>
      </c>
      <c r="H7595">
        <v>0</v>
      </c>
      <c r="I7595">
        <v>0</v>
      </c>
      <c r="J7595">
        <v>0</v>
      </c>
      <c r="K7595" s="201">
        <v>0</v>
      </c>
    </row>
    <row r="7596" spans="1:11" x14ac:dyDescent="0.25">
      <c r="A7596"/>
      <c r="B7596" s="201">
        <v>0</v>
      </c>
      <c r="C7596">
        <v>0</v>
      </c>
      <c r="D7596" s="201">
        <v>0</v>
      </c>
      <c r="E7596" s="201">
        <v>0</v>
      </c>
      <c r="F7596">
        <v>0</v>
      </c>
      <c r="G7596">
        <v>0</v>
      </c>
      <c r="H7596">
        <v>0</v>
      </c>
      <c r="I7596">
        <v>0</v>
      </c>
      <c r="J7596">
        <v>0</v>
      </c>
      <c r="K7596" s="201">
        <v>0</v>
      </c>
    </row>
    <row r="7597" spans="1:11" x14ac:dyDescent="0.25">
      <c r="B7597" s="201">
        <v>-1277</v>
      </c>
      <c r="C7597">
        <v>0</v>
      </c>
      <c r="D7597" s="201">
        <v>0</v>
      </c>
      <c r="E7597" s="201">
        <v>0</v>
      </c>
      <c r="F7597">
        <v>0</v>
      </c>
      <c r="G7597">
        <v>0</v>
      </c>
      <c r="H7597">
        <v>144</v>
      </c>
      <c r="I7597">
        <v>-2042</v>
      </c>
      <c r="J7597">
        <v>394</v>
      </c>
      <c r="K7597" s="201">
        <v>2027</v>
      </c>
    </row>
    <row r="7598" spans="1:11" x14ac:dyDescent="0.25">
      <c r="A7598"/>
      <c r="B7598" s="201">
        <v>-2597</v>
      </c>
      <c r="C7598" s="201">
        <v>-2545</v>
      </c>
      <c r="D7598" s="201">
        <v>-1100</v>
      </c>
      <c r="E7598" s="201">
        <v>4255</v>
      </c>
      <c r="F7598">
        <v>838</v>
      </c>
      <c r="G7598">
        <v>12502</v>
      </c>
      <c r="H7598">
        <v>4576</v>
      </c>
      <c r="I7598">
        <v>2126</v>
      </c>
      <c r="J7598">
        <v>2867</v>
      </c>
      <c r="K7598" s="201">
        <v>5964</v>
      </c>
    </row>
    <row r="7599" spans="1:11" x14ac:dyDescent="0.25">
      <c r="B7599" s="201">
        <v>7090</v>
      </c>
      <c r="C7599">
        <v>7251</v>
      </c>
      <c r="D7599" s="201">
        <v>-34670</v>
      </c>
      <c r="E7599" s="201">
        <v>0</v>
      </c>
      <c r="F7599">
        <v>4939</v>
      </c>
      <c r="G7599">
        <v>88</v>
      </c>
      <c r="H7599">
        <v>132</v>
      </c>
      <c r="I7599">
        <v>572</v>
      </c>
      <c r="J7599">
        <v>1055</v>
      </c>
      <c r="K7599" s="201">
        <v>465</v>
      </c>
    </row>
    <row r="7600" spans="1:11" x14ac:dyDescent="0.25">
      <c r="A7600"/>
      <c r="B7600" s="201">
        <v>410</v>
      </c>
      <c r="C7600">
        <v>551</v>
      </c>
      <c r="D7600" s="201">
        <v>1274</v>
      </c>
      <c r="E7600" s="201">
        <v>893</v>
      </c>
      <c r="F7600">
        <v>1608</v>
      </c>
      <c r="G7600">
        <v>493</v>
      </c>
      <c r="H7600">
        <v>954</v>
      </c>
      <c r="I7600">
        <v>335</v>
      </c>
      <c r="J7600">
        <v>-1</v>
      </c>
      <c r="K7600" s="201">
        <v>591</v>
      </c>
    </row>
    <row r="7601" spans="1:11" x14ac:dyDescent="0.25">
      <c r="A7601"/>
      <c r="B7601" s="201">
        <v>-211</v>
      </c>
      <c r="C7601">
        <v>-512</v>
      </c>
      <c r="D7601" s="201">
        <v>-555</v>
      </c>
      <c r="E7601" s="201">
        <v>47</v>
      </c>
      <c r="F7601">
        <v>3594</v>
      </c>
      <c r="G7601">
        <v>32</v>
      </c>
      <c r="H7601">
        <v>-1166</v>
      </c>
      <c r="I7601">
        <v>-530</v>
      </c>
      <c r="J7601">
        <v>-785</v>
      </c>
      <c r="K7601" s="201">
        <v>-294</v>
      </c>
    </row>
    <row r="7602" spans="1:11" x14ac:dyDescent="0.25">
      <c r="A7602"/>
      <c r="B7602" s="201">
        <v>-2083</v>
      </c>
      <c r="C7602">
        <v>4151</v>
      </c>
      <c r="D7602" s="201">
        <v>2840</v>
      </c>
      <c r="E7602" s="201">
        <v>3539</v>
      </c>
      <c r="F7602">
        <v>2430</v>
      </c>
      <c r="G7602">
        <v>301</v>
      </c>
      <c r="H7602">
        <v>200</v>
      </c>
      <c r="I7602">
        <v>267</v>
      </c>
      <c r="J7602">
        <v>-247</v>
      </c>
      <c r="K7602" s="201">
        <v>95</v>
      </c>
    </row>
    <row r="7603" spans="1:11" x14ac:dyDescent="0.25">
      <c r="A7603"/>
      <c r="B7603" s="201">
        <v>29</v>
      </c>
      <c r="C7603">
        <v>133</v>
      </c>
      <c r="D7603" s="201">
        <v>40</v>
      </c>
      <c r="E7603" s="201">
        <v>40</v>
      </c>
      <c r="F7603">
        <v>-1842</v>
      </c>
      <c r="G7603">
        <v>-2786</v>
      </c>
      <c r="H7603">
        <v>-2856</v>
      </c>
      <c r="I7603">
        <v>-2511</v>
      </c>
      <c r="J7603">
        <v>-2015</v>
      </c>
      <c r="K7603" s="201">
        <v>-4332</v>
      </c>
    </row>
    <row r="7604" spans="1:11" x14ac:dyDescent="0.25">
      <c r="A7604"/>
      <c r="B7604" s="201">
        <v>-5415</v>
      </c>
      <c r="C7604" s="201">
        <v>-3755</v>
      </c>
      <c r="D7604" s="201">
        <v>-4545</v>
      </c>
      <c r="E7604" s="201">
        <v>-5765</v>
      </c>
      <c r="F7604">
        <v>431</v>
      </c>
      <c r="G7604">
        <v>-109</v>
      </c>
      <c r="H7604">
        <v>-104</v>
      </c>
      <c r="I7604">
        <v>1627</v>
      </c>
      <c r="J7604">
        <v>-1318</v>
      </c>
      <c r="K7604" s="201">
        <v>-1152</v>
      </c>
    </row>
    <row r="7605" spans="1:11" x14ac:dyDescent="0.25">
      <c r="A7605"/>
      <c r="B7605" s="201">
        <v>375</v>
      </c>
      <c r="C7605">
        <v>-1388</v>
      </c>
      <c r="D7605" s="201">
        <v>-163</v>
      </c>
      <c r="E7605" s="201">
        <v>-4175</v>
      </c>
      <c r="F7605">
        <v>-3042</v>
      </c>
      <c r="G7605">
        <v>-2492</v>
      </c>
      <c r="H7605">
        <v>-4049</v>
      </c>
      <c r="I7605">
        <v>-3128</v>
      </c>
      <c r="J7605">
        <v>-2695</v>
      </c>
      <c r="K7605" s="201">
        <v>-3555</v>
      </c>
    </row>
    <row r="7606" spans="1:11" x14ac:dyDescent="0.25">
      <c r="B7606" s="201">
        <v>-2894</v>
      </c>
      <c r="C7606" s="201">
        <v>-5043</v>
      </c>
      <c r="D7606" s="201">
        <v>-1040</v>
      </c>
      <c r="E7606" s="201">
        <v>-2561</v>
      </c>
      <c r="F7606">
        <v>-6478</v>
      </c>
      <c r="G7606">
        <v>4053</v>
      </c>
      <c r="H7606">
        <v>0</v>
      </c>
      <c r="I7606">
        <v>-13929</v>
      </c>
      <c r="J7606">
        <v>3533</v>
      </c>
      <c r="K7606" s="201">
        <v>0</v>
      </c>
    </row>
    <row r="7607" spans="1:11" x14ac:dyDescent="0.25">
      <c r="A7607"/>
      <c r="B7607" s="201">
        <v>214</v>
      </c>
      <c r="C7607">
        <v>22926</v>
      </c>
      <c r="D7607" s="201">
        <v>170</v>
      </c>
      <c r="E7607" s="201">
        <v>-165</v>
      </c>
      <c r="F7607">
        <v>34</v>
      </c>
      <c r="G7607">
        <v>0</v>
      </c>
      <c r="H7607">
        <v>0</v>
      </c>
      <c r="I7607">
        <v>302</v>
      </c>
      <c r="J7607">
        <v>0</v>
      </c>
      <c r="K7607" s="201">
        <v>0</v>
      </c>
    </row>
    <row r="7608" spans="1:11" x14ac:dyDescent="0.25">
      <c r="A7608"/>
      <c r="B7608" s="201">
        <v>0</v>
      </c>
      <c r="C7608">
        <v>-121</v>
      </c>
      <c r="D7608" s="201">
        <v>-199</v>
      </c>
      <c r="E7608" s="201">
        <v>0</v>
      </c>
      <c r="F7608">
        <v>0</v>
      </c>
      <c r="G7608">
        <v>0</v>
      </c>
      <c r="H7608">
        <v>0</v>
      </c>
      <c r="I7608">
        <v>0</v>
      </c>
      <c r="J7608">
        <v>0</v>
      </c>
      <c r="K7608" s="201">
        <v>271</v>
      </c>
    </row>
    <row r="7609" spans="1:11" x14ac:dyDescent="0.25">
      <c r="A7609"/>
      <c r="B7609" s="201">
        <v>0</v>
      </c>
      <c r="C7609">
        <v>0</v>
      </c>
      <c r="D7609" s="201">
        <v>-296</v>
      </c>
      <c r="E7609" s="201">
        <v>0</v>
      </c>
      <c r="F7609">
        <v>376</v>
      </c>
      <c r="G7609">
        <v>0</v>
      </c>
      <c r="H7609">
        <v>24</v>
      </c>
      <c r="I7609">
        <v>167</v>
      </c>
      <c r="J7609">
        <v>-38</v>
      </c>
      <c r="K7609" s="201">
        <v>0</v>
      </c>
    </row>
    <row r="7610" spans="1:11" x14ac:dyDescent="0.25">
      <c r="B7610" s="201">
        <v>-494</v>
      </c>
      <c r="C7610">
        <v>18037</v>
      </c>
      <c r="D7610" s="201">
        <v>-127</v>
      </c>
      <c r="E7610" s="201">
        <v>163</v>
      </c>
      <c r="F7610">
        <v>540</v>
      </c>
      <c r="G7610">
        <v>1508</v>
      </c>
      <c r="H7610">
        <v>0</v>
      </c>
      <c r="I7610">
        <v>-247</v>
      </c>
      <c r="J7610">
        <v>0</v>
      </c>
      <c r="K7610" s="201">
        <v>0</v>
      </c>
    </row>
    <row r="7611" spans="1:11" x14ac:dyDescent="0.25">
      <c r="A7611"/>
      <c r="B7611" s="201">
        <v>0</v>
      </c>
      <c r="C7611">
        <v>0</v>
      </c>
      <c r="D7611" s="201">
        <v>0</v>
      </c>
      <c r="E7611" s="201">
        <v>-529</v>
      </c>
      <c r="F7611">
        <v>0</v>
      </c>
      <c r="G7611">
        <v>0</v>
      </c>
      <c r="H7611">
        <v>0</v>
      </c>
      <c r="I7611">
        <v>246</v>
      </c>
      <c r="J7611">
        <v>0</v>
      </c>
      <c r="K7611" s="201">
        <v>86</v>
      </c>
    </row>
    <row r="7612" spans="1:11" x14ac:dyDescent="0.25">
      <c r="A7612"/>
      <c r="B7612" s="201">
        <v>0</v>
      </c>
      <c r="C7612">
        <v>0</v>
      </c>
      <c r="D7612" s="201">
        <v>0</v>
      </c>
      <c r="E7612" s="201">
        <v>0</v>
      </c>
      <c r="F7612">
        <v>0</v>
      </c>
      <c r="G7612">
        <v>134</v>
      </c>
      <c r="H7612">
        <v>0</v>
      </c>
      <c r="I7612">
        <v>494</v>
      </c>
      <c r="J7612">
        <v>96</v>
      </c>
      <c r="K7612" s="201">
        <v>0</v>
      </c>
    </row>
    <row r="7613" spans="1:11" x14ac:dyDescent="0.25">
      <c r="A7613"/>
      <c r="B7613" s="201">
        <v>0</v>
      </c>
      <c r="C7613" s="201">
        <v>4913</v>
      </c>
      <c r="D7613" s="201">
        <v>11715</v>
      </c>
      <c r="E7613" s="201">
        <v>0</v>
      </c>
      <c r="F7613">
        <v>-1385</v>
      </c>
      <c r="G7613">
        <v>0</v>
      </c>
      <c r="H7613">
        <v>0</v>
      </c>
      <c r="I7613">
        <v>0</v>
      </c>
      <c r="J7613">
        <v>0</v>
      </c>
      <c r="K7613" s="201">
        <v>5918</v>
      </c>
    </row>
    <row r="7614" spans="1:11" x14ac:dyDescent="0.25">
      <c r="A7614"/>
      <c r="B7614" s="201">
        <v>-1457</v>
      </c>
      <c r="C7614">
        <v>-1333</v>
      </c>
      <c r="D7614" s="201">
        <v>0</v>
      </c>
      <c r="E7614" s="201">
        <v>0</v>
      </c>
      <c r="F7614">
        <v>-112</v>
      </c>
      <c r="G7614">
        <v>-349</v>
      </c>
      <c r="H7614">
        <v>0</v>
      </c>
      <c r="I7614">
        <v>-541</v>
      </c>
      <c r="J7614">
        <v>-1103</v>
      </c>
      <c r="K7614" s="201">
        <v>-575</v>
      </c>
    </row>
    <row r="7615" spans="1:11" x14ac:dyDescent="0.25">
      <c r="A7615"/>
      <c r="B7615" s="201">
        <v>-546</v>
      </c>
      <c r="C7615">
        <v>-3139</v>
      </c>
      <c r="D7615" s="201">
        <v>-1691</v>
      </c>
      <c r="E7615" s="201">
        <v>-1599</v>
      </c>
      <c r="F7615">
        <v>0</v>
      </c>
      <c r="G7615">
        <v>0</v>
      </c>
      <c r="H7615">
        <v>0</v>
      </c>
      <c r="I7615">
        <v>0</v>
      </c>
      <c r="J7615">
        <v>0</v>
      </c>
      <c r="K7615" s="201">
        <v>-4676</v>
      </c>
    </row>
    <row r="7616" spans="1:11" x14ac:dyDescent="0.25">
      <c r="A7616"/>
      <c r="B7616" s="201">
        <v>0</v>
      </c>
      <c r="C7616">
        <v>-11108</v>
      </c>
      <c r="D7616" s="201">
        <v>-1685</v>
      </c>
      <c r="E7616" s="201">
        <v>810</v>
      </c>
      <c r="F7616">
        <v>0</v>
      </c>
      <c r="G7616">
        <v>2893</v>
      </c>
      <c r="H7616">
        <v>17272</v>
      </c>
      <c r="I7616">
        <v>-181</v>
      </c>
      <c r="J7616">
        <v>246</v>
      </c>
      <c r="K7616" s="201">
        <v>-755</v>
      </c>
    </row>
    <row r="7617" spans="1:11" x14ac:dyDescent="0.25">
      <c r="A7617"/>
      <c r="B7617" s="201">
        <v>0</v>
      </c>
      <c r="C7617">
        <v>1333</v>
      </c>
      <c r="D7617" s="201">
        <v>2118</v>
      </c>
      <c r="E7617" s="201">
        <v>3503</v>
      </c>
      <c r="F7617">
        <v>-72</v>
      </c>
      <c r="G7617">
        <v>0</v>
      </c>
      <c r="H7617">
        <v>-108</v>
      </c>
      <c r="I7617">
        <v>15819</v>
      </c>
      <c r="J7617">
        <v>0</v>
      </c>
      <c r="K7617" s="201">
        <v>0</v>
      </c>
    </row>
    <row r="7618" spans="1:11" x14ac:dyDescent="0.25">
      <c r="A7618"/>
      <c r="B7618" s="201">
        <v>0</v>
      </c>
      <c r="C7618">
        <v>252</v>
      </c>
      <c r="D7618" s="201">
        <v>540</v>
      </c>
      <c r="E7618" s="201">
        <v>0</v>
      </c>
      <c r="F7618">
        <v>356</v>
      </c>
      <c r="G7618">
        <v>-398</v>
      </c>
      <c r="H7618">
        <v>-163</v>
      </c>
      <c r="I7618">
        <v>352</v>
      </c>
      <c r="J7618">
        <v>0</v>
      </c>
      <c r="K7618" s="201">
        <v>0</v>
      </c>
    </row>
    <row r="7619" spans="1:11" x14ac:dyDescent="0.25">
      <c r="A7619"/>
      <c r="B7619" s="201">
        <v>0</v>
      </c>
      <c r="C7619">
        <v>0</v>
      </c>
      <c r="D7619" s="201">
        <v>0</v>
      </c>
      <c r="E7619" s="201">
        <v>-5124</v>
      </c>
      <c r="F7619">
        <v>0</v>
      </c>
      <c r="G7619">
        <v>-22407</v>
      </c>
      <c r="H7619">
        <v>-27</v>
      </c>
      <c r="I7619">
        <v>-68</v>
      </c>
      <c r="J7619">
        <v>0</v>
      </c>
      <c r="K7619" s="201">
        <v>3006</v>
      </c>
    </row>
    <row r="7620" spans="1:11" x14ac:dyDescent="0.25">
      <c r="A7620"/>
      <c r="B7620" s="201">
        <v>16470</v>
      </c>
      <c r="C7620">
        <v>226</v>
      </c>
      <c r="D7620" s="201">
        <v>500</v>
      </c>
      <c r="E7620" s="201">
        <v>-402</v>
      </c>
      <c r="F7620">
        <v>341</v>
      </c>
      <c r="G7620">
        <v>1971</v>
      </c>
      <c r="H7620">
        <v>-3396</v>
      </c>
      <c r="I7620">
        <v>0</v>
      </c>
      <c r="J7620">
        <v>-254</v>
      </c>
      <c r="K7620" s="201">
        <v>0</v>
      </c>
    </row>
    <row r="7621" spans="1:11" x14ac:dyDescent="0.25">
      <c r="A7621"/>
      <c r="B7621" s="201">
        <v>0</v>
      </c>
      <c r="C7621">
        <v>16104</v>
      </c>
      <c r="D7621" s="201">
        <v>-853</v>
      </c>
      <c r="E7621" s="201">
        <v>0</v>
      </c>
      <c r="F7621">
        <v>-371</v>
      </c>
      <c r="G7621">
        <v>0</v>
      </c>
      <c r="H7621">
        <v>0</v>
      </c>
      <c r="I7621">
        <v>148</v>
      </c>
      <c r="J7621">
        <v>0</v>
      </c>
      <c r="K7621" s="201">
        <v>-232</v>
      </c>
    </row>
    <row r="7622" spans="1:11" x14ac:dyDescent="0.25">
      <c r="B7622" s="201">
        <v>-227</v>
      </c>
      <c r="C7622">
        <v>461</v>
      </c>
      <c r="D7622" s="201">
        <v>0</v>
      </c>
      <c r="E7622" s="201">
        <v>0</v>
      </c>
      <c r="F7622">
        <v>0</v>
      </c>
      <c r="G7622">
        <v>0</v>
      </c>
      <c r="H7622">
        <v>0</v>
      </c>
      <c r="I7622">
        <v>-5000</v>
      </c>
      <c r="J7622">
        <v>0</v>
      </c>
      <c r="K7622" s="201">
        <v>-20419</v>
      </c>
    </row>
    <row r="7623" spans="1:11" x14ac:dyDescent="0.25">
      <c r="B7623" s="201">
        <v>-473</v>
      </c>
      <c r="C7623">
        <v>-210</v>
      </c>
      <c r="D7623" s="201">
        <v>0</v>
      </c>
      <c r="E7623" s="201">
        <v>-23</v>
      </c>
      <c r="F7623">
        <v>8736</v>
      </c>
      <c r="G7623">
        <v>67</v>
      </c>
      <c r="H7623">
        <v>0</v>
      </c>
      <c r="I7623">
        <v>0</v>
      </c>
      <c r="J7623">
        <v>0</v>
      </c>
      <c r="K7623" s="201">
        <v>1550</v>
      </c>
    </row>
    <row r="7624" spans="1:11" x14ac:dyDescent="0.25">
      <c r="B7624" s="201">
        <v>1497</v>
      </c>
      <c r="C7624">
        <v>2895</v>
      </c>
      <c r="D7624" s="201">
        <v>369</v>
      </c>
      <c r="E7624" s="201">
        <v>298</v>
      </c>
      <c r="F7624">
        <v>0</v>
      </c>
      <c r="G7624">
        <v>11188</v>
      </c>
      <c r="H7624">
        <v>0</v>
      </c>
      <c r="I7624">
        <v>0</v>
      </c>
      <c r="J7624">
        <v>57</v>
      </c>
      <c r="K7624" s="201">
        <v>0</v>
      </c>
    </row>
    <row r="7625" spans="1:11" x14ac:dyDescent="0.25">
      <c r="A7625"/>
      <c r="B7625" s="201">
        <v>287</v>
      </c>
      <c r="C7625">
        <v>0</v>
      </c>
      <c r="D7625" s="201">
        <v>419</v>
      </c>
      <c r="E7625" s="201">
        <v>0</v>
      </c>
      <c r="F7625">
        <v>0</v>
      </c>
      <c r="G7625">
        <v>0</v>
      </c>
      <c r="H7625">
        <v>0</v>
      </c>
      <c r="I7625">
        <v>0</v>
      </c>
      <c r="J7625">
        <v>0</v>
      </c>
      <c r="K7625" s="201">
        <v>0</v>
      </c>
    </row>
    <row r="7626" spans="1:11" x14ac:dyDescent="0.25">
      <c r="A7626"/>
      <c r="B7626" s="201">
        <v>0</v>
      </c>
      <c r="C7626">
        <v>-2814</v>
      </c>
      <c r="D7626" s="201">
        <v>0</v>
      </c>
      <c r="E7626" s="201">
        <v>-13778</v>
      </c>
      <c r="F7626">
        <v>-291</v>
      </c>
      <c r="G7626">
        <v>-296</v>
      </c>
      <c r="H7626">
        <v>0</v>
      </c>
      <c r="I7626">
        <v>3430</v>
      </c>
      <c r="J7626">
        <v>16955</v>
      </c>
      <c r="K7626" s="201">
        <v>0</v>
      </c>
    </row>
    <row r="7627" spans="1:11" x14ac:dyDescent="0.25">
      <c r="A7627"/>
      <c r="B7627" s="201">
        <v>0</v>
      </c>
      <c r="C7627">
        <v>0</v>
      </c>
      <c r="D7627" s="201">
        <v>0</v>
      </c>
      <c r="E7627" s="201">
        <v>0</v>
      </c>
      <c r="F7627">
        <v>-3533</v>
      </c>
      <c r="G7627">
        <v>-411</v>
      </c>
      <c r="H7627">
        <v>-1319</v>
      </c>
      <c r="I7627">
        <v>-1420</v>
      </c>
      <c r="J7627">
        <v>-691</v>
      </c>
      <c r="K7627" s="201">
        <v>10472</v>
      </c>
    </row>
    <row r="7628" spans="1:11" x14ac:dyDescent="0.25">
      <c r="A7628"/>
      <c r="B7628" s="201">
        <v>0</v>
      </c>
      <c r="C7628">
        <v>0</v>
      </c>
      <c r="D7628" s="201">
        <v>0</v>
      </c>
      <c r="E7628" s="201">
        <v>0</v>
      </c>
      <c r="F7628">
        <v>-467</v>
      </c>
      <c r="G7628">
        <v>0</v>
      </c>
      <c r="H7628">
        <v>-85</v>
      </c>
      <c r="I7628">
        <v>0</v>
      </c>
      <c r="J7628">
        <v>0</v>
      </c>
      <c r="K7628" s="201">
        <v>-775</v>
      </c>
    </row>
    <row r="7629" spans="1:11" x14ac:dyDescent="0.25">
      <c r="B7629" s="201">
        <v>-379</v>
      </c>
      <c r="C7629">
        <v>0</v>
      </c>
      <c r="D7629" s="201">
        <v>0</v>
      </c>
      <c r="E7629" s="201">
        <v>0</v>
      </c>
      <c r="F7629">
        <v>0</v>
      </c>
      <c r="G7629">
        <v>-4265</v>
      </c>
      <c r="H7629">
        <v>0</v>
      </c>
      <c r="I7629">
        <v>-16284</v>
      </c>
      <c r="J7629">
        <v>-819</v>
      </c>
      <c r="K7629" s="201">
        <v>-1363</v>
      </c>
    </row>
    <row r="7630" spans="1:11" x14ac:dyDescent="0.25">
      <c r="A7630"/>
      <c r="B7630" s="201">
        <v>387</v>
      </c>
      <c r="C7630">
        <v>261</v>
      </c>
      <c r="D7630" s="201">
        <v>600</v>
      </c>
      <c r="E7630" s="201">
        <v>757</v>
      </c>
      <c r="F7630">
        <v>284</v>
      </c>
      <c r="G7630">
        <v>-313</v>
      </c>
      <c r="H7630">
        <v>994</v>
      </c>
      <c r="I7630">
        <v>0</v>
      </c>
      <c r="J7630">
        <v>0</v>
      </c>
      <c r="K7630" s="201">
        <v>0</v>
      </c>
    </row>
    <row r="7631" spans="1:11" x14ac:dyDescent="0.25">
      <c r="A7631"/>
      <c r="B7631" s="201">
        <v>0</v>
      </c>
      <c r="C7631">
        <v>0</v>
      </c>
      <c r="D7631" s="201">
        <v>0</v>
      </c>
      <c r="E7631" s="201">
        <v>0</v>
      </c>
      <c r="F7631">
        <v>286</v>
      </c>
      <c r="G7631">
        <v>398</v>
      </c>
      <c r="H7631">
        <v>267</v>
      </c>
      <c r="I7631">
        <v>268</v>
      </c>
      <c r="J7631">
        <v>137</v>
      </c>
      <c r="K7631" s="201">
        <v>1097</v>
      </c>
    </row>
    <row r="7632" spans="1:11" x14ac:dyDescent="0.25">
      <c r="A7632"/>
      <c r="B7632" s="201">
        <v>0</v>
      </c>
      <c r="C7632">
        <v>0</v>
      </c>
      <c r="D7632" s="201">
        <v>40</v>
      </c>
      <c r="E7632" s="201">
        <v>0</v>
      </c>
      <c r="F7632">
        <v>354</v>
      </c>
      <c r="G7632">
        <v>-561</v>
      </c>
      <c r="H7632">
        <v>0</v>
      </c>
      <c r="I7632">
        <v>0</v>
      </c>
      <c r="J7632">
        <v>0</v>
      </c>
      <c r="K7632" s="201">
        <v>0</v>
      </c>
    </row>
    <row r="7633" spans="1:11" x14ac:dyDescent="0.25">
      <c r="B7633" s="201">
        <v>2371</v>
      </c>
      <c r="C7633">
        <v>0</v>
      </c>
      <c r="D7633" s="201">
        <v>-2483</v>
      </c>
      <c r="E7633" s="201">
        <v>2907</v>
      </c>
      <c r="F7633">
        <v>0</v>
      </c>
      <c r="G7633">
        <v>0</v>
      </c>
      <c r="H7633">
        <v>0</v>
      </c>
      <c r="I7633">
        <v>0</v>
      </c>
      <c r="J7633">
        <v>0</v>
      </c>
      <c r="K7633" s="201">
        <v>0</v>
      </c>
    </row>
    <row r="7634" spans="1:11" x14ac:dyDescent="0.25">
      <c r="A7634"/>
      <c r="B7634" s="201">
        <v>0</v>
      </c>
      <c r="C7634">
        <v>0</v>
      </c>
      <c r="D7634" s="201">
        <v>0</v>
      </c>
      <c r="E7634" s="201">
        <v>0</v>
      </c>
      <c r="F7634">
        <v>0</v>
      </c>
      <c r="G7634">
        <v>0</v>
      </c>
      <c r="H7634">
        <v>0</v>
      </c>
      <c r="I7634">
        <v>0</v>
      </c>
      <c r="J7634">
        <v>0</v>
      </c>
      <c r="K7634" s="201">
        <v>2251</v>
      </c>
    </row>
    <row r="7635" spans="1:11" x14ac:dyDescent="0.25">
      <c r="A7635"/>
      <c r="B7635" s="201">
        <v>0</v>
      </c>
      <c r="C7635">
        <v>0</v>
      </c>
      <c r="D7635" s="201">
        <v>0</v>
      </c>
      <c r="E7635" s="201">
        <v>0</v>
      </c>
      <c r="F7635">
        <v>0</v>
      </c>
      <c r="G7635">
        <v>-2790</v>
      </c>
      <c r="H7635">
        <v>295</v>
      </c>
      <c r="I7635">
        <v>392</v>
      </c>
      <c r="J7635">
        <v>3425</v>
      </c>
      <c r="K7635" s="201">
        <v>5605</v>
      </c>
    </row>
    <row r="7636" spans="1:11" x14ac:dyDescent="0.25">
      <c r="A7636"/>
      <c r="B7636" s="201">
        <v>6215</v>
      </c>
      <c r="C7636">
        <v>5691</v>
      </c>
      <c r="D7636" s="201">
        <v>-5972</v>
      </c>
      <c r="E7636" s="201">
        <v>2024</v>
      </c>
      <c r="F7636">
        <v>-1340</v>
      </c>
      <c r="G7636">
        <v>117</v>
      </c>
      <c r="H7636">
        <v>-333</v>
      </c>
      <c r="I7636">
        <v>5970</v>
      </c>
      <c r="J7636">
        <v>2798</v>
      </c>
      <c r="K7636" s="201">
        <v>898</v>
      </c>
    </row>
    <row r="7637" spans="1:11" x14ac:dyDescent="0.25">
      <c r="A7637"/>
      <c r="B7637" s="201">
        <v>2186</v>
      </c>
      <c r="C7637">
        <v>-587</v>
      </c>
      <c r="D7637" s="201">
        <v>0</v>
      </c>
      <c r="E7637" s="201">
        <v>879</v>
      </c>
      <c r="F7637">
        <v>1340</v>
      </c>
      <c r="G7637">
        <v>1252</v>
      </c>
      <c r="H7637">
        <v>1304</v>
      </c>
      <c r="I7637">
        <v>1652</v>
      </c>
      <c r="J7637">
        <v>8581</v>
      </c>
      <c r="K7637" s="201">
        <v>2102</v>
      </c>
    </row>
    <row r="7638" spans="1:11" x14ac:dyDescent="0.25">
      <c r="B7638" s="201">
        <v>2210</v>
      </c>
      <c r="C7638">
        <v>1566</v>
      </c>
      <c r="D7638" s="201">
        <v>2136</v>
      </c>
      <c r="E7638" s="201">
        <v>8675</v>
      </c>
      <c r="F7638">
        <v>1743</v>
      </c>
      <c r="G7638">
        <v>1150</v>
      </c>
      <c r="H7638">
        <v>1654</v>
      </c>
      <c r="I7638">
        <v>1637</v>
      </c>
      <c r="J7638">
        <v>5562</v>
      </c>
      <c r="K7638" s="201">
        <v>2456</v>
      </c>
    </row>
    <row r="7639" spans="1:11" x14ac:dyDescent="0.25">
      <c r="A7639"/>
      <c r="B7639" s="201">
        <v>2043</v>
      </c>
      <c r="C7639">
        <v>2010</v>
      </c>
      <c r="D7639" s="201">
        <v>2333</v>
      </c>
      <c r="E7639" s="201">
        <v>83</v>
      </c>
      <c r="F7639">
        <v>558</v>
      </c>
      <c r="G7639">
        <v>344</v>
      </c>
      <c r="H7639">
        <v>360</v>
      </c>
      <c r="I7639">
        <v>478</v>
      </c>
      <c r="J7639">
        <v>112</v>
      </c>
      <c r="K7639" s="201">
        <v>847</v>
      </c>
    </row>
    <row r="7640" spans="1:11" x14ac:dyDescent="0.25">
      <c r="A7640"/>
      <c r="B7640" s="201">
        <v>-1125</v>
      </c>
      <c r="C7640">
        <v>-131</v>
      </c>
      <c r="D7640" s="201">
        <v>-846</v>
      </c>
      <c r="E7640" s="201">
        <v>398</v>
      </c>
      <c r="F7640">
        <v>-46</v>
      </c>
      <c r="G7640">
        <v>-18</v>
      </c>
      <c r="H7640">
        <v>-25</v>
      </c>
      <c r="I7640">
        <v>-101</v>
      </c>
      <c r="J7640">
        <v>-554</v>
      </c>
      <c r="K7640" s="201">
        <v>-354</v>
      </c>
    </row>
    <row r="7641" spans="1:11" x14ac:dyDescent="0.25">
      <c r="B7641" s="201">
        <v>-625</v>
      </c>
      <c r="C7641">
        <v>-369</v>
      </c>
      <c r="D7641" s="201">
        <v>-683</v>
      </c>
      <c r="E7641" s="201">
        <v>-36325</v>
      </c>
      <c r="F7641">
        <v>-43857</v>
      </c>
      <c r="G7641">
        <v>-44648</v>
      </c>
      <c r="H7641">
        <v>-40699</v>
      </c>
      <c r="I7641">
        <v>-31765</v>
      </c>
      <c r="J7641">
        <v>-17465</v>
      </c>
      <c r="K7641" s="201">
        <v>-21775</v>
      </c>
    </row>
    <row r="7642" spans="1:11" x14ac:dyDescent="0.25">
      <c r="B7642" s="201">
        <v>-16833</v>
      </c>
      <c r="C7642" s="201">
        <v>-22049</v>
      </c>
      <c r="D7642" s="201">
        <v>-22770</v>
      </c>
      <c r="E7642" s="201">
        <v>-257</v>
      </c>
      <c r="F7642">
        <v>-878</v>
      </c>
      <c r="G7642">
        <v>-559</v>
      </c>
      <c r="H7642">
        <v>-333</v>
      </c>
      <c r="I7642">
        <v>6747</v>
      </c>
      <c r="J7642">
        <v>624</v>
      </c>
      <c r="K7642" s="201">
        <v>-2492</v>
      </c>
    </row>
    <row r="7643" spans="1:11" x14ac:dyDescent="0.25">
      <c r="A7643"/>
      <c r="B7643" s="201">
        <v>928</v>
      </c>
      <c r="C7643" s="201">
        <v>-2059</v>
      </c>
      <c r="D7643" s="201">
        <v>-47751</v>
      </c>
      <c r="E7643" s="201">
        <v>-36294</v>
      </c>
      <c r="F7643">
        <v>-30092</v>
      </c>
      <c r="G7643">
        <v>-47424</v>
      </c>
      <c r="H7643">
        <v>-35993</v>
      </c>
      <c r="I7643">
        <v>-30672</v>
      </c>
      <c r="J7643">
        <v>-44158</v>
      </c>
      <c r="K7643" s="201">
        <v>-33857</v>
      </c>
    </row>
    <row r="7644" spans="1:11" x14ac:dyDescent="0.25">
      <c r="B7644" s="201">
        <v>-7399</v>
      </c>
      <c r="C7644" s="201">
        <v>675</v>
      </c>
      <c r="D7644" s="201">
        <v>-1117</v>
      </c>
      <c r="E7644" s="201">
        <v>1203</v>
      </c>
      <c r="F7644">
        <v>2083</v>
      </c>
      <c r="G7644">
        <v>0</v>
      </c>
      <c r="H7644">
        <v>-33338</v>
      </c>
      <c r="I7644">
        <v>-2237</v>
      </c>
      <c r="J7644">
        <v>0</v>
      </c>
      <c r="K7644" s="201">
        <v>7462</v>
      </c>
    </row>
    <row r="7645" spans="1:11" x14ac:dyDescent="0.25">
      <c r="A7645"/>
      <c r="B7645" s="201">
        <v>0</v>
      </c>
      <c r="C7645">
        <v>0</v>
      </c>
      <c r="D7645" s="201">
        <v>0</v>
      </c>
      <c r="E7645" s="201">
        <v>0</v>
      </c>
      <c r="F7645">
        <v>0</v>
      </c>
      <c r="G7645">
        <v>0</v>
      </c>
      <c r="H7645">
        <v>0</v>
      </c>
      <c r="I7645">
        <v>0</v>
      </c>
      <c r="J7645">
        <v>0</v>
      </c>
      <c r="K7645" s="201">
        <v>0</v>
      </c>
    </row>
    <row r="7646" spans="1:11" x14ac:dyDescent="0.25">
      <c r="A7646"/>
      <c r="B7646" s="201">
        <v>0</v>
      </c>
      <c r="C7646">
        <v>0</v>
      </c>
      <c r="D7646" s="201">
        <v>0</v>
      </c>
      <c r="E7646" s="201">
        <v>0</v>
      </c>
      <c r="F7646">
        <v>0</v>
      </c>
      <c r="G7646">
        <v>0</v>
      </c>
      <c r="H7646">
        <v>0</v>
      </c>
      <c r="I7646">
        <v>0</v>
      </c>
      <c r="J7646">
        <v>0</v>
      </c>
      <c r="K7646" s="201">
        <v>0</v>
      </c>
    </row>
    <row r="7647" spans="1:11" x14ac:dyDescent="0.25">
      <c r="A7647"/>
      <c r="B7647" s="201">
        <v>0</v>
      </c>
      <c r="C7647">
        <v>0</v>
      </c>
      <c r="D7647" s="201">
        <v>0</v>
      </c>
      <c r="E7647" s="201">
        <v>0</v>
      </c>
      <c r="F7647">
        <v>0</v>
      </c>
      <c r="G7647">
        <v>0</v>
      </c>
      <c r="H7647">
        <v>0</v>
      </c>
      <c r="I7647">
        <v>0</v>
      </c>
      <c r="J7647">
        <v>0</v>
      </c>
      <c r="K7647" s="201">
        <v>0</v>
      </c>
    </row>
    <row r="7648" spans="1:11" x14ac:dyDescent="0.25">
      <c r="A7648"/>
      <c r="B7648" s="201">
        <v>0</v>
      </c>
      <c r="C7648">
        <v>0</v>
      </c>
      <c r="D7648" s="201">
        <v>0</v>
      </c>
      <c r="E7648" s="201">
        <v>0</v>
      </c>
      <c r="F7648">
        <v>0</v>
      </c>
      <c r="G7648">
        <v>0</v>
      </c>
      <c r="H7648">
        <v>0</v>
      </c>
      <c r="I7648">
        <v>0</v>
      </c>
      <c r="J7648">
        <v>0</v>
      </c>
      <c r="K7648" s="201">
        <v>0</v>
      </c>
    </row>
    <row r="7649" spans="1:11" x14ac:dyDescent="0.25">
      <c r="A7649"/>
      <c r="B7649" s="201">
        <v>0</v>
      </c>
      <c r="C7649">
        <v>0</v>
      </c>
      <c r="D7649" s="201">
        <v>0</v>
      </c>
      <c r="E7649" s="201">
        <v>0</v>
      </c>
      <c r="F7649">
        <v>0</v>
      </c>
      <c r="G7649">
        <v>0</v>
      </c>
      <c r="H7649">
        <v>0</v>
      </c>
      <c r="I7649">
        <v>0</v>
      </c>
      <c r="J7649">
        <v>0</v>
      </c>
      <c r="K7649" s="201">
        <v>0</v>
      </c>
    </row>
    <row r="7650" spans="1:11" x14ac:dyDescent="0.25">
      <c r="A7650"/>
      <c r="B7650" s="201">
        <v>0</v>
      </c>
      <c r="C7650">
        <v>0</v>
      </c>
      <c r="D7650" s="201">
        <v>0</v>
      </c>
      <c r="E7650" s="201">
        <v>0</v>
      </c>
      <c r="F7650">
        <v>0</v>
      </c>
      <c r="G7650">
        <v>0</v>
      </c>
      <c r="H7650">
        <v>0</v>
      </c>
      <c r="I7650">
        <v>0</v>
      </c>
      <c r="J7650">
        <v>0</v>
      </c>
      <c r="K7650" s="201">
        <v>0</v>
      </c>
    </row>
    <row r="7651" spans="1:11" x14ac:dyDescent="0.25">
      <c r="A7651"/>
      <c r="B7651" s="201">
        <v>0</v>
      </c>
      <c r="C7651">
        <v>0</v>
      </c>
      <c r="D7651" s="201">
        <v>0</v>
      </c>
      <c r="E7651" s="201">
        <v>0</v>
      </c>
      <c r="F7651">
        <v>0</v>
      </c>
      <c r="G7651">
        <v>0</v>
      </c>
      <c r="H7651">
        <v>0</v>
      </c>
      <c r="I7651">
        <v>0</v>
      </c>
      <c r="J7651">
        <v>0</v>
      </c>
      <c r="K7651" s="201">
        <v>0</v>
      </c>
    </row>
    <row r="7652" spans="1:11" x14ac:dyDescent="0.25">
      <c r="A7652"/>
      <c r="B7652" s="201">
        <v>0</v>
      </c>
      <c r="C7652">
        <v>0</v>
      </c>
      <c r="D7652" s="201">
        <v>0</v>
      </c>
      <c r="E7652" s="201">
        <v>0</v>
      </c>
      <c r="F7652">
        <v>0</v>
      </c>
      <c r="G7652">
        <v>0</v>
      </c>
      <c r="H7652">
        <v>0</v>
      </c>
      <c r="I7652">
        <v>0</v>
      </c>
      <c r="J7652">
        <v>0</v>
      </c>
      <c r="K7652" s="201">
        <v>0</v>
      </c>
    </row>
    <row r="7653" spans="1:11" x14ac:dyDescent="0.25">
      <c r="A7653"/>
      <c r="B7653" s="201">
        <v>0</v>
      </c>
      <c r="C7653">
        <v>0</v>
      </c>
      <c r="D7653" s="201">
        <v>0</v>
      </c>
      <c r="E7653" s="201">
        <v>0</v>
      </c>
      <c r="F7653">
        <v>0</v>
      </c>
      <c r="G7653">
        <v>0</v>
      </c>
      <c r="H7653">
        <v>0</v>
      </c>
      <c r="I7653">
        <v>0</v>
      </c>
      <c r="J7653">
        <v>0</v>
      </c>
      <c r="K7653" s="201">
        <v>0</v>
      </c>
    </row>
    <row r="7654" spans="1:11" x14ac:dyDescent="0.25">
      <c r="A7654"/>
      <c r="B7654" s="201">
        <v>0</v>
      </c>
      <c r="C7654">
        <v>0</v>
      </c>
      <c r="D7654" s="201">
        <v>0</v>
      </c>
      <c r="E7654" s="201">
        <v>0</v>
      </c>
      <c r="F7654">
        <v>0</v>
      </c>
      <c r="G7654">
        <v>0</v>
      </c>
      <c r="H7654">
        <v>0</v>
      </c>
      <c r="I7654">
        <v>0</v>
      </c>
      <c r="J7654">
        <v>0</v>
      </c>
      <c r="K7654" s="201">
        <v>0</v>
      </c>
    </row>
    <row r="7655" spans="1:11" x14ac:dyDescent="0.25">
      <c r="A7655"/>
      <c r="B7655" s="201">
        <v>0</v>
      </c>
      <c r="C7655">
        <v>0</v>
      </c>
      <c r="D7655" s="201">
        <v>0</v>
      </c>
      <c r="E7655" s="201">
        <v>0</v>
      </c>
      <c r="F7655">
        <v>0</v>
      </c>
      <c r="G7655">
        <v>0</v>
      </c>
      <c r="H7655">
        <v>0</v>
      </c>
      <c r="I7655">
        <v>0</v>
      </c>
      <c r="J7655">
        <v>0</v>
      </c>
      <c r="K7655" s="201">
        <v>0</v>
      </c>
    </row>
    <row r="7656" spans="1:11" x14ac:dyDescent="0.25">
      <c r="A7656"/>
      <c r="B7656" s="201">
        <v>0</v>
      </c>
      <c r="C7656">
        <v>0</v>
      </c>
      <c r="D7656" s="201">
        <v>0</v>
      </c>
      <c r="E7656" s="201">
        <v>0</v>
      </c>
      <c r="F7656">
        <v>0</v>
      </c>
      <c r="G7656">
        <v>0</v>
      </c>
      <c r="H7656">
        <v>0</v>
      </c>
      <c r="I7656">
        <v>0</v>
      </c>
      <c r="J7656">
        <v>0</v>
      </c>
      <c r="K7656" s="201">
        <v>0</v>
      </c>
    </row>
    <row r="7657" spans="1:11" x14ac:dyDescent="0.25">
      <c r="A7657"/>
      <c r="B7657" s="201">
        <v>0</v>
      </c>
      <c r="C7657">
        <v>0</v>
      </c>
      <c r="D7657" s="201">
        <v>0</v>
      </c>
      <c r="E7657" s="201">
        <v>0</v>
      </c>
      <c r="F7657">
        <v>0</v>
      </c>
      <c r="G7657">
        <v>0</v>
      </c>
      <c r="H7657">
        <v>0</v>
      </c>
      <c r="I7657">
        <v>0</v>
      </c>
      <c r="J7657">
        <v>0</v>
      </c>
      <c r="K7657" s="201">
        <v>0</v>
      </c>
    </row>
    <row r="7658" spans="1:11" x14ac:dyDescent="0.25">
      <c r="A7658"/>
      <c r="B7658" s="201">
        <v>0</v>
      </c>
      <c r="C7658">
        <v>0</v>
      </c>
      <c r="D7658" s="201">
        <v>0</v>
      </c>
      <c r="E7658" s="201">
        <v>0</v>
      </c>
      <c r="F7658">
        <v>0</v>
      </c>
      <c r="G7658">
        <v>0</v>
      </c>
      <c r="H7658">
        <v>0</v>
      </c>
      <c r="I7658">
        <v>0</v>
      </c>
      <c r="J7658">
        <v>0</v>
      </c>
      <c r="K7658" s="201">
        <v>0</v>
      </c>
    </row>
    <row r="7659" spans="1:11" x14ac:dyDescent="0.25">
      <c r="A7659"/>
      <c r="B7659" s="201">
        <v>0</v>
      </c>
      <c r="C7659">
        <v>0</v>
      </c>
      <c r="D7659" s="201">
        <v>0</v>
      </c>
      <c r="E7659" s="201">
        <v>0</v>
      </c>
      <c r="F7659">
        <v>0</v>
      </c>
      <c r="G7659">
        <v>0</v>
      </c>
      <c r="H7659">
        <v>0</v>
      </c>
      <c r="I7659">
        <v>0</v>
      </c>
      <c r="J7659">
        <v>0</v>
      </c>
      <c r="K7659" s="201">
        <v>0</v>
      </c>
    </row>
    <row r="7660" spans="1:11" x14ac:dyDescent="0.25">
      <c r="A7660"/>
      <c r="B7660" s="201">
        <v>0</v>
      </c>
      <c r="C7660">
        <v>0</v>
      </c>
      <c r="D7660" s="201">
        <v>0</v>
      </c>
      <c r="E7660" s="201">
        <v>0</v>
      </c>
      <c r="F7660">
        <v>0</v>
      </c>
      <c r="G7660">
        <v>0</v>
      </c>
      <c r="H7660">
        <v>0</v>
      </c>
      <c r="I7660">
        <v>0</v>
      </c>
      <c r="J7660">
        <v>0</v>
      </c>
      <c r="K7660" s="201">
        <v>0</v>
      </c>
    </row>
    <row r="7661" spans="1:11" x14ac:dyDescent="0.25">
      <c r="A7661"/>
      <c r="B7661" s="201">
        <v>0</v>
      </c>
      <c r="C7661">
        <v>0</v>
      </c>
      <c r="D7661" s="201">
        <v>0</v>
      </c>
      <c r="E7661" s="201">
        <v>0</v>
      </c>
      <c r="F7661">
        <v>0</v>
      </c>
      <c r="G7661">
        <v>0</v>
      </c>
      <c r="H7661">
        <v>0</v>
      </c>
      <c r="I7661">
        <v>0</v>
      </c>
      <c r="J7661">
        <v>0</v>
      </c>
      <c r="K7661" s="201">
        <v>0</v>
      </c>
    </row>
    <row r="7662" spans="1:11" x14ac:dyDescent="0.25">
      <c r="A7662"/>
      <c r="B7662" s="201">
        <v>0</v>
      </c>
      <c r="C7662">
        <v>0</v>
      </c>
      <c r="D7662" s="201">
        <v>0</v>
      </c>
      <c r="E7662" s="201">
        <v>0</v>
      </c>
      <c r="F7662">
        <v>0</v>
      </c>
      <c r="G7662">
        <v>0</v>
      </c>
      <c r="H7662">
        <v>0</v>
      </c>
      <c r="I7662">
        <v>0</v>
      </c>
      <c r="J7662">
        <v>0</v>
      </c>
      <c r="K7662" s="201">
        <v>0</v>
      </c>
    </row>
    <row r="7663" spans="1:11" x14ac:dyDescent="0.25">
      <c r="A7663"/>
      <c r="B7663" s="201">
        <v>0</v>
      </c>
      <c r="C7663">
        <v>0</v>
      </c>
      <c r="D7663" s="201">
        <v>0</v>
      </c>
      <c r="E7663" s="201">
        <v>0</v>
      </c>
      <c r="F7663">
        <v>0</v>
      </c>
      <c r="G7663">
        <v>0</v>
      </c>
      <c r="H7663">
        <v>0</v>
      </c>
      <c r="I7663">
        <v>0</v>
      </c>
      <c r="J7663">
        <v>0</v>
      </c>
      <c r="K7663" s="201">
        <v>0</v>
      </c>
    </row>
    <row r="7664" spans="1:11" x14ac:dyDescent="0.25">
      <c r="A7664"/>
      <c r="B7664" s="201">
        <v>0</v>
      </c>
      <c r="C7664">
        <v>0</v>
      </c>
      <c r="D7664" s="201">
        <v>0</v>
      </c>
      <c r="E7664" s="201">
        <v>0</v>
      </c>
      <c r="F7664">
        <v>0</v>
      </c>
      <c r="G7664">
        <v>0</v>
      </c>
      <c r="H7664">
        <v>0</v>
      </c>
      <c r="I7664">
        <v>0</v>
      </c>
      <c r="J7664">
        <v>0</v>
      </c>
      <c r="K7664" s="201">
        <v>0</v>
      </c>
    </row>
    <row r="7665" spans="1:11" x14ac:dyDescent="0.25">
      <c r="A7665"/>
      <c r="B7665" s="201">
        <v>0</v>
      </c>
      <c r="C7665">
        <v>0</v>
      </c>
      <c r="D7665" s="201">
        <v>0</v>
      </c>
      <c r="E7665" s="201">
        <v>0</v>
      </c>
      <c r="F7665">
        <v>0</v>
      </c>
      <c r="G7665">
        <v>0</v>
      </c>
      <c r="H7665">
        <v>0</v>
      </c>
      <c r="I7665">
        <v>0</v>
      </c>
      <c r="J7665">
        <v>0</v>
      </c>
      <c r="K7665" s="201">
        <v>0</v>
      </c>
    </row>
    <row r="7666" spans="1:11" x14ac:dyDescent="0.25">
      <c r="A7666"/>
      <c r="B7666" s="201">
        <v>0</v>
      </c>
      <c r="C7666">
        <v>0</v>
      </c>
      <c r="D7666" s="201">
        <v>0</v>
      </c>
      <c r="E7666" s="201">
        <v>0</v>
      </c>
      <c r="F7666">
        <v>0</v>
      </c>
      <c r="G7666">
        <v>0</v>
      </c>
      <c r="H7666">
        <v>0</v>
      </c>
      <c r="I7666">
        <v>0</v>
      </c>
      <c r="J7666">
        <v>0</v>
      </c>
      <c r="K7666" s="201">
        <v>0</v>
      </c>
    </row>
    <row r="7667" spans="1:11" x14ac:dyDescent="0.25">
      <c r="A7667"/>
      <c r="B7667" s="201">
        <v>0</v>
      </c>
      <c r="C7667">
        <v>0</v>
      </c>
      <c r="D7667" s="201">
        <v>0</v>
      </c>
      <c r="E7667" s="201">
        <v>0</v>
      </c>
      <c r="F7667">
        <v>0</v>
      </c>
      <c r="G7667">
        <v>0</v>
      </c>
      <c r="H7667">
        <v>0</v>
      </c>
      <c r="I7667">
        <v>0</v>
      </c>
      <c r="J7667">
        <v>0</v>
      </c>
      <c r="K7667" s="201">
        <v>0</v>
      </c>
    </row>
    <row r="7668" spans="1:11" x14ac:dyDescent="0.25">
      <c r="A7668"/>
      <c r="B7668" s="201">
        <v>0</v>
      </c>
      <c r="C7668">
        <v>0</v>
      </c>
      <c r="D7668" s="201">
        <v>0</v>
      </c>
      <c r="E7668" s="201">
        <v>0</v>
      </c>
      <c r="F7668">
        <v>0</v>
      </c>
      <c r="G7668">
        <v>0</v>
      </c>
      <c r="H7668">
        <v>0</v>
      </c>
      <c r="I7668">
        <v>0</v>
      </c>
      <c r="J7668">
        <v>0</v>
      </c>
      <c r="K7668" s="201">
        <v>0</v>
      </c>
    </row>
    <row r="7669" spans="1:11" x14ac:dyDescent="0.25">
      <c r="A7669"/>
      <c r="B7669" s="201">
        <v>0</v>
      </c>
      <c r="C7669">
        <v>0</v>
      </c>
      <c r="D7669" s="201">
        <v>0</v>
      </c>
      <c r="E7669" s="201">
        <v>0</v>
      </c>
      <c r="F7669">
        <v>0</v>
      </c>
      <c r="G7669">
        <v>0</v>
      </c>
      <c r="H7669">
        <v>0</v>
      </c>
      <c r="I7669">
        <v>0</v>
      </c>
      <c r="J7669">
        <v>0</v>
      </c>
      <c r="K7669" s="201">
        <v>0</v>
      </c>
    </row>
    <row r="7670" spans="1:11" x14ac:dyDescent="0.25">
      <c r="A7670"/>
      <c r="B7670" s="201">
        <v>0</v>
      </c>
      <c r="C7670">
        <v>0</v>
      </c>
      <c r="D7670" s="201">
        <v>0</v>
      </c>
      <c r="E7670" s="201">
        <v>0</v>
      </c>
      <c r="F7670">
        <v>0</v>
      </c>
      <c r="G7670">
        <v>0</v>
      </c>
      <c r="H7670">
        <v>0</v>
      </c>
      <c r="I7670">
        <v>0</v>
      </c>
      <c r="J7670">
        <v>0</v>
      </c>
      <c r="K7670" s="201">
        <v>0</v>
      </c>
    </row>
    <row r="7671" spans="1:11" x14ac:dyDescent="0.25">
      <c r="A7671"/>
      <c r="B7671" s="201">
        <v>0</v>
      </c>
      <c r="C7671">
        <v>0</v>
      </c>
      <c r="D7671" s="201">
        <v>0</v>
      </c>
      <c r="E7671" s="201">
        <v>0</v>
      </c>
      <c r="F7671">
        <v>0</v>
      </c>
      <c r="G7671">
        <v>0</v>
      </c>
      <c r="H7671">
        <v>0</v>
      </c>
      <c r="I7671">
        <v>0</v>
      </c>
      <c r="J7671">
        <v>0</v>
      </c>
      <c r="K7671" s="201">
        <v>0</v>
      </c>
    </row>
    <row r="7672" spans="1:11" x14ac:dyDescent="0.25">
      <c r="A7672"/>
      <c r="B7672" s="201">
        <v>0</v>
      </c>
      <c r="C7672">
        <v>0</v>
      </c>
      <c r="D7672" s="201">
        <v>0</v>
      </c>
      <c r="E7672" s="201">
        <v>0</v>
      </c>
      <c r="F7672">
        <v>0</v>
      </c>
      <c r="G7672">
        <v>0</v>
      </c>
      <c r="H7672">
        <v>0</v>
      </c>
      <c r="I7672">
        <v>0</v>
      </c>
      <c r="J7672">
        <v>0</v>
      </c>
      <c r="K7672" s="201">
        <v>0</v>
      </c>
    </row>
    <row r="7673" spans="1:11" x14ac:dyDescent="0.25">
      <c r="A7673"/>
      <c r="B7673" s="201">
        <v>0</v>
      </c>
      <c r="C7673">
        <v>0</v>
      </c>
      <c r="D7673" s="201">
        <v>0</v>
      </c>
      <c r="E7673" s="201">
        <v>0</v>
      </c>
      <c r="F7673">
        <v>0</v>
      </c>
      <c r="G7673">
        <v>0</v>
      </c>
      <c r="H7673">
        <v>0</v>
      </c>
      <c r="I7673">
        <v>0</v>
      </c>
      <c r="J7673">
        <v>0</v>
      </c>
      <c r="K7673" s="201">
        <v>0</v>
      </c>
    </row>
    <row r="7674" spans="1:11" x14ac:dyDescent="0.25">
      <c r="A7674"/>
      <c r="B7674" s="201">
        <v>0</v>
      </c>
      <c r="C7674">
        <v>0</v>
      </c>
      <c r="D7674" s="201">
        <v>0</v>
      </c>
      <c r="E7674" s="201">
        <v>0</v>
      </c>
      <c r="F7674">
        <v>0</v>
      </c>
      <c r="G7674">
        <v>0</v>
      </c>
      <c r="H7674">
        <v>0</v>
      </c>
      <c r="I7674">
        <v>0</v>
      </c>
      <c r="J7674">
        <v>0</v>
      </c>
      <c r="K7674" s="201">
        <v>0</v>
      </c>
    </row>
    <row r="7675" spans="1:11" x14ac:dyDescent="0.25">
      <c r="A7675"/>
      <c r="B7675" s="201">
        <v>0</v>
      </c>
      <c r="C7675">
        <v>0</v>
      </c>
      <c r="D7675" s="201">
        <v>0</v>
      </c>
      <c r="E7675" s="201">
        <v>0</v>
      </c>
      <c r="F7675">
        <v>0</v>
      </c>
      <c r="G7675">
        <v>0</v>
      </c>
      <c r="H7675">
        <v>0</v>
      </c>
      <c r="I7675">
        <v>0</v>
      </c>
      <c r="J7675">
        <v>0</v>
      </c>
      <c r="K7675" s="201">
        <v>0</v>
      </c>
    </row>
    <row r="7676" spans="1:11" x14ac:dyDescent="0.25">
      <c r="A7676"/>
      <c r="B7676" s="201">
        <v>0</v>
      </c>
      <c r="C7676">
        <v>0</v>
      </c>
      <c r="D7676" s="201">
        <v>0</v>
      </c>
      <c r="E7676" s="201">
        <v>0</v>
      </c>
      <c r="F7676">
        <v>0</v>
      </c>
      <c r="G7676">
        <v>0</v>
      </c>
      <c r="H7676">
        <v>0</v>
      </c>
      <c r="I7676">
        <v>0</v>
      </c>
      <c r="J7676">
        <v>0</v>
      </c>
      <c r="K7676" s="201">
        <v>0</v>
      </c>
    </row>
    <row r="7677" spans="1:11" x14ac:dyDescent="0.25">
      <c r="A7677"/>
      <c r="B7677" s="201">
        <v>0</v>
      </c>
      <c r="C7677">
        <v>0</v>
      </c>
      <c r="D7677" s="201">
        <v>0</v>
      </c>
      <c r="E7677" s="201">
        <v>0</v>
      </c>
      <c r="F7677">
        <v>0</v>
      </c>
      <c r="G7677">
        <v>0</v>
      </c>
      <c r="H7677">
        <v>0</v>
      </c>
      <c r="I7677">
        <v>0</v>
      </c>
      <c r="J7677">
        <v>0</v>
      </c>
      <c r="K7677" s="201">
        <v>0</v>
      </c>
    </row>
    <row r="7678" spans="1:11" x14ac:dyDescent="0.25">
      <c r="A7678"/>
      <c r="B7678" s="201">
        <v>0</v>
      </c>
      <c r="C7678">
        <v>0</v>
      </c>
      <c r="D7678" s="201">
        <v>0</v>
      </c>
      <c r="E7678" s="201">
        <v>0</v>
      </c>
      <c r="F7678">
        <v>0</v>
      </c>
      <c r="G7678">
        <v>0</v>
      </c>
      <c r="H7678">
        <v>0</v>
      </c>
      <c r="I7678">
        <v>0</v>
      </c>
      <c r="J7678">
        <v>0</v>
      </c>
      <c r="K7678" s="201">
        <v>0</v>
      </c>
    </row>
    <row r="7679" spans="1:11" x14ac:dyDescent="0.25">
      <c r="A7679"/>
      <c r="B7679" s="201">
        <v>0</v>
      </c>
      <c r="C7679">
        <v>0</v>
      </c>
      <c r="D7679" s="201">
        <v>0</v>
      </c>
      <c r="E7679" s="201">
        <v>0</v>
      </c>
      <c r="F7679">
        <v>0</v>
      </c>
      <c r="G7679">
        <v>0</v>
      </c>
      <c r="H7679">
        <v>0</v>
      </c>
      <c r="I7679">
        <v>0</v>
      </c>
      <c r="J7679">
        <v>0</v>
      </c>
      <c r="K7679" s="201">
        <v>0</v>
      </c>
    </row>
    <row r="7680" spans="1:11" x14ac:dyDescent="0.25">
      <c r="A7680"/>
      <c r="B7680" s="201">
        <v>0</v>
      </c>
      <c r="C7680">
        <v>0</v>
      </c>
      <c r="D7680" s="201">
        <v>0</v>
      </c>
      <c r="E7680" s="201">
        <v>0</v>
      </c>
      <c r="F7680">
        <v>0</v>
      </c>
      <c r="G7680">
        <v>0</v>
      </c>
      <c r="H7680">
        <v>0</v>
      </c>
      <c r="I7680">
        <v>0</v>
      </c>
      <c r="J7680">
        <v>0</v>
      </c>
      <c r="K7680" s="201">
        <v>0</v>
      </c>
    </row>
    <row r="7681" spans="1:11" x14ac:dyDescent="0.25">
      <c r="A7681"/>
      <c r="B7681" s="201">
        <v>0</v>
      </c>
      <c r="C7681">
        <v>0</v>
      </c>
      <c r="D7681" s="201">
        <v>0</v>
      </c>
      <c r="E7681" s="201">
        <v>0</v>
      </c>
      <c r="F7681">
        <v>0</v>
      </c>
      <c r="G7681">
        <v>0</v>
      </c>
      <c r="H7681">
        <v>0</v>
      </c>
      <c r="I7681">
        <v>0</v>
      </c>
      <c r="J7681">
        <v>0</v>
      </c>
      <c r="K7681" s="201">
        <v>0</v>
      </c>
    </row>
    <row r="7682" spans="1:11" x14ac:dyDescent="0.25">
      <c r="A7682"/>
      <c r="B7682" s="201">
        <v>0</v>
      </c>
      <c r="C7682">
        <v>0</v>
      </c>
      <c r="D7682" s="201">
        <v>0</v>
      </c>
      <c r="E7682" s="201">
        <v>0</v>
      </c>
      <c r="F7682">
        <v>0</v>
      </c>
      <c r="G7682">
        <v>0</v>
      </c>
      <c r="H7682">
        <v>0</v>
      </c>
      <c r="I7682">
        <v>0</v>
      </c>
      <c r="J7682">
        <v>0</v>
      </c>
      <c r="K7682" s="201">
        <v>0</v>
      </c>
    </row>
    <row r="7683" spans="1:11" x14ac:dyDescent="0.25">
      <c r="A7683"/>
      <c r="B7683" s="201">
        <v>0</v>
      </c>
      <c r="C7683"/>
      <c r="D7683"/>
      <c r="F7683"/>
      <c r="G7683"/>
      <c r="H7683"/>
      <c r="I7683"/>
      <c r="J7683"/>
    </row>
    <row r="7684" spans="1:11" x14ac:dyDescent="0.25">
      <c r="A7684" s="201">
        <v>-22514</v>
      </c>
      <c r="B7684" s="201">
        <v>-25302</v>
      </c>
      <c r="C7684" s="201">
        <v>-15955</v>
      </c>
      <c r="D7684" s="201">
        <v>-11580</v>
      </c>
      <c r="E7684" s="201">
        <v>-15486</v>
      </c>
      <c r="F7684">
        <v>-15470</v>
      </c>
      <c r="G7684">
        <v>-16199</v>
      </c>
      <c r="H7684">
        <v>-10802</v>
      </c>
      <c r="I7684">
        <v>-10629</v>
      </c>
      <c r="J7684">
        <v>-9369</v>
      </c>
    </row>
    <row r="7685" spans="1:11" x14ac:dyDescent="0.25">
      <c r="A7685" s="201">
        <v>-10908</v>
      </c>
      <c r="B7685" s="201">
        <v>-11252</v>
      </c>
      <c r="C7685" s="201">
        <v>-10491</v>
      </c>
      <c r="D7685" s="201">
        <v>-11618</v>
      </c>
      <c r="E7685" s="201">
        <v>-7409</v>
      </c>
      <c r="F7685">
        <v>-10667</v>
      </c>
      <c r="G7685">
        <v>29840</v>
      </c>
      <c r="H7685">
        <v>38848</v>
      </c>
      <c r="I7685">
        <v>36149</v>
      </c>
      <c r="J7685">
        <v>39081</v>
      </c>
    </row>
    <row r="7686" spans="1:11" x14ac:dyDescent="0.25">
      <c r="A7686" s="201">
        <v>36256</v>
      </c>
      <c r="B7686" s="201">
        <v>26715</v>
      </c>
      <c r="C7686" s="201">
        <v>34802</v>
      </c>
      <c r="D7686" s="201">
        <v>33018</v>
      </c>
      <c r="E7686" s="201">
        <v>35148</v>
      </c>
      <c r="F7686">
        <v>37660</v>
      </c>
      <c r="G7686">
        <v>37663</v>
      </c>
      <c r="H7686">
        <v>35670</v>
      </c>
      <c r="I7686">
        <v>36554</v>
      </c>
      <c r="J7686">
        <v>34192</v>
      </c>
    </row>
    <row r="7687" spans="1:11" x14ac:dyDescent="0.25">
      <c r="A7687" s="201">
        <v>43423</v>
      </c>
      <c r="B7687" s="201">
        <v>41975</v>
      </c>
      <c r="C7687" s="201">
        <v>42414</v>
      </c>
      <c r="D7687" s="201">
        <v>41685</v>
      </c>
      <c r="E7687" s="201">
        <v>41474</v>
      </c>
      <c r="F7687">
        <v>85041</v>
      </c>
      <c r="G7687">
        <v>82584</v>
      </c>
      <c r="H7687">
        <v>78851</v>
      </c>
      <c r="I7687">
        <v>88526</v>
      </c>
      <c r="J7687">
        <v>86789</v>
      </c>
    </row>
    <row r="7688" spans="1:11" x14ac:dyDescent="0.25">
      <c r="A7688">
        <v>83884</v>
      </c>
      <c r="B7688" s="201">
        <v>1349</v>
      </c>
      <c r="C7688">
        <v>-27867</v>
      </c>
      <c r="D7688" s="201">
        <v>-1213</v>
      </c>
      <c r="E7688" s="201">
        <v>1744</v>
      </c>
      <c r="F7688">
        <v>-73</v>
      </c>
      <c r="G7688">
        <v>0</v>
      </c>
      <c r="H7688">
        <v>0</v>
      </c>
      <c r="I7688">
        <v>-757</v>
      </c>
      <c r="J7688">
        <v>0</v>
      </c>
    </row>
    <row r="7689" spans="1:11" x14ac:dyDescent="0.25">
      <c r="A7689" s="201">
        <v>0</v>
      </c>
      <c r="B7689" s="201">
        <v>0</v>
      </c>
      <c r="C7689">
        <v>-284</v>
      </c>
      <c r="D7689" s="201">
        <v>-608</v>
      </c>
      <c r="E7689" s="201">
        <v>0</v>
      </c>
      <c r="F7689">
        <v>0</v>
      </c>
      <c r="G7689">
        <v>0</v>
      </c>
      <c r="H7689">
        <v>0</v>
      </c>
      <c r="I7689">
        <v>0</v>
      </c>
      <c r="J7689">
        <v>0</v>
      </c>
    </row>
    <row r="7690" spans="1:11" x14ac:dyDescent="0.25">
      <c r="A7690">
        <v>1077</v>
      </c>
      <c r="B7690" s="201">
        <v>0</v>
      </c>
      <c r="C7690">
        <v>0</v>
      </c>
      <c r="D7690" s="201">
        <v>-1081</v>
      </c>
      <c r="E7690" s="201">
        <v>0</v>
      </c>
      <c r="F7690">
        <v>1176</v>
      </c>
      <c r="G7690">
        <v>0</v>
      </c>
      <c r="H7690">
        <v>971</v>
      </c>
      <c r="I7690">
        <v>-1619</v>
      </c>
      <c r="J7690">
        <v>491</v>
      </c>
    </row>
    <row r="7691" spans="1:11" x14ac:dyDescent="0.25">
      <c r="A7691">
        <v>472</v>
      </c>
      <c r="B7691" s="201">
        <v>0</v>
      </c>
      <c r="C7691">
        <v>1408</v>
      </c>
      <c r="D7691" s="201">
        <v>-32614</v>
      </c>
      <c r="E7691" s="201">
        <v>1117</v>
      </c>
      <c r="F7691">
        <v>-675</v>
      </c>
      <c r="G7691">
        <v>-1201</v>
      </c>
      <c r="H7691">
        <v>0</v>
      </c>
      <c r="I7691">
        <v>0</v>
      </c>
      <c r="J7691">
        <v>-29</v>
      </c>
    </row>
    <row r="7692" spans="1:11" x14ac:dyDescent="0.25">
      <c r="A7692">
        <v>0</v>
      </c>
      <c r="B7692" s="201">
        <v>0</v>
      </c>
      <c r="C7692">
        <v>0</v>
      </c>
      <c r="D7692" s="201">
        <v>0</v>
      </c>
      <c r="E7692" s="201">
        <v>0</v>
      </c>
      <c r="F7692">
        <v>27</v>
      </c>
      <c r="G7692">
        <v>0</v>
      </c>
      <c r="H7692">
        <v>0</v>
      </c>
      <c r="I7692">
        <v>0</v>
      </c>
      <c r="J7692">
        <v>-657</v>
      </c>
    </row>
    <row r="7693" spans="1:11" x14ac:dyDescent="0.25">
      <c r="A7693" s="201">
        <v>0</v>
      </c>
      <c r="B7693" s="201">
        <v>0</v>
      </c>
      <c r="C7693">
        <v>0</v>
      </c>
      <c r="D7693" s="201">
        <v>0</v>
      </c>
      <c r="E7693" s="201">
        <v>0</v>
      </c>
      <c r="F7693">
        <v>0</v>
      </c>
      <c r="G7693">
        <v>0</v>
      </c>
      <c r="H7693">
        <v>-642</v>
      </c>
      <c r="I7693">
        <v>0</v>
      </c>
      <c r="J7693">
        <v>-2561</v>
      </c>
    </row>
    <row r="7694" spans="1:11" x14ac:dyDescent="0.25">
      <c r="A7694">
        <v>-356</v>
      </c>
      <c r="B7694" s="201">
        <v>0</v>
      </c>
      <c r="C7694">
        <v>1308</v>
      </c>
      <c r="D7694" s="201">
        <v>0</v>
      </c>
      <c r="E7694" s="201">
        <v>-2510</v>
      </c>
      <c r="F7694">
        <v>-41554</v>
      </c>
      <c r="G7694">
        <v>0</v>
      </c>
      <c r="H7694">
        <v>626</v>
      </c>
      <c r="I7694">
        <v>0</v>
      </c>
      <c r="J7694">
        <v>0</v>
      </c>
    </row>
    <row r="7695" spans="1:11" x14ac:dyDescent="0.25">
      <c r="A7695" s="201">
        <v>0</v>
      </c>
      <c r="B7695" s="201">
        <v>0</v>
      </c>
      <c r="C7695" s="201">
        <v>1364</v>
      </c>
      <c r="D7695" s="201">
        <v>92</v>
      </c>
      <c r="E7695" s="201">
        <v>1241</v>
      </c>
      <c r="F7695">
        <v>0</v>
      </c>
      <c r="G7695">
        <v>0</v>
      </c>
      <c r="H7695">
        <v>461</v>
      </c>
      <c r="I7695">
        <v>264</v>
      </c>
      <c r="J7695">
        <v>0</v>
      </c>
    </row>
    <row r="7696" spans="1:11" x14ac:dyDescent="0.25">
      <c r="A7696">
        <v>-778</v>
      </c>
      <c r="B7696" s="201">
        <v>1512</v>
      </c>
      <c r="C7696" s="201">
        <v>-1269</v>
      </c>
      <c r="D7696" s="201">
        <v>-46</v>
      </c>
      <c r="E7696" s="201">
        <v>2605</v>
      </c>
      <c r="F7696">
        <v>228</v>
      </c>
      <c r="G7696">
        <v>1598</v>
      </c>
      <c r="H7696">
        <v>0</v>
      </c>
      <c r="I7696">
        <v>0</v>
      </c>
      <c r="J7696">
        <v>0</v>
      </c>
    </row>
    <row r="7697" spans="1:10" x14ac:dyDescent="0.25">
      <c r="A7697" s="201">
        <v>0</v>
      </c>
      <c r="B7697" s="201">
        <v>0</v>
      </c>
      <c r="C7697">
        <v>-1973</v>
      </c>
      <c r="D7697" s="201">
        <v>0</v>
      </c>
      <c r="E7697" s="201">
        <v>2600</v>
      </c>
      <c r="F7697">
        <v>27</v>
      </c>
      <c r="G7697">
        <v>590</v>
      </c>
      <c r="H7697">
        <v>-226</v>
      </c>
      <c r="I7697">
        <v>0</v>
      </c>
      <c r="J7697">
        <v>-1196</v>
      </c>
    </row>
    <row r="7698" spans="1:10" x14ac:dyDescent="0.25">
      <c r="A7698">
        <v>-55623</v>
      </c>
      <c r="B7698" s="201">
        <v>-197</v>
      </c>
      <c r="C7698">
        <v>214</v>
      </c>
      <c r="D7698" s="201">
        <v>-316</v>
      </c>
      <c r="E7698" s="201">
        <v>0</v>
      </c>
      <c r="F7698">
        <v>553</v>
      </c>
      <c r="G7698">
        <v>-2975</v>
      </c>
      <c r="H7698">
        <v>-711</v>
      </c>
      <c r="I7698">
        <v>851</v>
      </c>
      <c r="J7698">
        <v>0</v>
      </c>
    </row>
    <row r="7699" spans="1:10" x14ac:dyDescent="0.25">
      <c r="A7699" s="201">
        <v>-72</v>
      </c>
      <c r="B7699" s="201">
        <v>3766</v>
      </c>
      <c r="C7699">
        <v>0</v>
      </c>
      <c r="D7699" s="201">
        <v>0</v>
      </c>
      <c r="E7699" s="201">
        <v>0</v>
      </c>
      <c r="F7699">
        <v>-970</v>
      </c>
      <c r="G7699">
        <v>-325</v>
      </c>
      <c r="H7699">
        <v>0</v>
      </c>
      <c r="I7699">
        <v>-1784</v>
      </c>
      <c r="J7699">
        <v>-188</v>
      </c>
    </row>
    <row r="7700" spans="1:10" x14ac:dyDescent="0.25">
      <c r="A7700" s="201">
        <v>1287</v>
      </c>
      <c r="B7700" s="201">
        <v>39</v>
      </c>
      <c r="C7700">
        <v>0</v>
      </c>
      <c r="D7700" s="201">
        <v>0</v>
      </c>
      <c r="E7700" s="201">
        <v>0</v>
      </c>
      <c r="F7700">
        <v>0</v>
      </c>
      <c r="G7700">
        <v>0</v>
      </c>
      <c r="H7700">
        <v>-4810</v>
      </c>
      <c r="I7700">
        <v>0</v>
      </c>
      <c r="J7700">
        <v>9042</v>
      </c>
    </row>
    <row r="7701" spans="1:10" x14ac:dyDescent="0.25">
      <c r="A7701" s="201">
        <v>-727</v>
      </c>
      <c r="B7701" s="201">
        <v>148</v>
      </c>
      <c r="C7701">
        <v>1080</v>
      </c>
      <c r="D7701" s="201">
        <v>0</v>
      </c>
      <c r="E7701" s="201">
        <v>-177</v>
      </c>
      <c r="F7701">
        <v>-54399</v>
      </c>
      <c r="G7701">
        <v>-566</v>
      </c>
      <c r="H7701">
        <v>1327</v>
      </c>
      <c r="I7701">
        <v>369</v>
      </c>
      <c r="J7701">
        <v>711</v>
      </c>
    </row>
    <row r="7702" spans="1:10" x14ac:dyDescent="0.25">
      <c r="A7702">
        <v>-991</v>
      </c>
      <c r="B7702" s="201">
        <v>-3107</v>
      </c>
      <c r="C7702">
        <v>0</v>
      </c>
      <c r="D7702" s="201">
        <v>386</v>
      </c>
      <c r="E7702" s="201">
        <v>0</v>
      </c>
      <c r="F7702">
        <v>0</v>
      </c>
      <c r="G7702">
        <v>1053</v>
      </c>
      <c r="H7702">
        <v>-801</v>
      </c>
      <c r="I7702">
        <v>0</v>
      </c>
      <c r="J7702">
        <v>1567</v>
      </c>
    </row>
    <row r="7703" spans="1:10" x14ac:dyDescent="0.25">
      <c r="A7703">
        <v>0</v>
      </c>
      <c r="B7703" s="201">
        <v>0</v>
      </c>
      <c r="C7703" s="201">
        <v>392</v>
      </c>
      <c r="D7703" s="201">
        <v>0</v>
      </c>
      <c r="E7703" s="201">
        <v>-581</v>
      </c>
      <c r="F7703">
        <v>-1263</v>
      </c>
      <c r="G7703">
        <v>-780</v>
      </c>
      <c r="H7703">
        <v>0</v>
      </c>
      <c r="I7703">
        <v>0</v>
      </c>
      <c r="J7703">
        <v>0</v>
      </c>
    </row>
    <row r="7704" spans="1:10" x14ac:dyDescent="0.25">
      <c r="A7704" s="201">
        <v>0</v>
      </c>
      <c r="B7704" s="201">
        <v>0</v>
      </c>
      <c r="C7704">
        <v>-4352</v>
      </c>
      <c r="D7704" s="201">
        <v>0</v>
      </c>
      <c r="E7704" s="201">
        <v>10061</v>
      </c>
      <c r="F7704">
        <v>-1624</v>
      </c>
      <c r="G7704">
        <v>-625</v>
      </c>
      <c r="H7704">
        <v>1206</v>
      </c>
      <c r="I7704">
        <v>0</v>
      </c>
      <c r="J7704">
        <v>-4534</v>
      </c>
    </row>
    <row r="7705" spans="1:10" x14ac:dyDescent="0.25">
      <c r="A7705">
        <v>-59864</v>
      </c>
      <c r="B7705" s="201">
        <v>156</v>
      </c>
      <c r="C7705">
        <v>0</v>
      </c>
      <c r="D7705" s="201">
        <v>0</v>
      </c>
      <c r="E7705" s="201">
        <v>0</v>
      </c>
      <c r="F7705">
        <v>394</v>
      </c>
      <c r="G7705">
        <v>-3396</v>
      </c>
      <c r="H7705">
        <v>718</v>
      </c>
      <c r="I7705">
        <v>-4477</v>
      </c>
      <c r="J7705">
        <v>-826</v>
      </c>
    </row>
    <row r="7706" spans="1:10" x14ac:dyDescent="0.25">
      <c r="A7706">
        <v>0</v>
      </c>
      <c r="B7706" s="201">
        <v>2331</v>
      </c>
      <c r="C7706">
        <v>0</v>
      </c>
      <c r="D7706" s="201">
        <v>0</v>
      </c>
      <c r="E7706" s="201">
        <v>1024</v>
      </c>
      <c r="F7706">
        <v>0</v>
      </c>
      <c r="G7706">
        <v>591</v>
      </c>
      <c r="H7706">
        <v>0</v>
      </c>
      <c r="I7706">
        <v>1019</v>
      </c>
      <c r="J7706">
        <v>0</v>
      </c>
    </row>
    <row r="7707" spans="1:10" x14ac:dyDescent="0.25">
      <c r="A7707" s="201">
        <v>0</v>
      </c>
      <c r="B7707" s="201">
        <v>0</v>
      </c>
      <c r="C7707" s="201">
        <v>0</v>
      </c>
      <c r="D7707" s="201">
        <v>0</v>
      </c>
      <c r="E7707" s="201">
        <v>0</v>
      </c>
      <c r="F7707">
        <v>0</v>
      </c>
      <c r="G7707">
        <v>0</v>
      </c>
      <c r="H7707">
        <v>-3459</v>
      </c>
      <c r="I7707">
        <v>0</v>
      </c>
      <c r="J7707">
        <v>10198</v>
      </c>
    </row>
    <row r="7708" spans="1:10" x14ac:dyDescent="0.25">
      <c r="A7708">
        <v>-1382</v>
      </c>
      <c r="B7708" s="201">
        <v>-870</v>
      </c>
      <c r="C7708">
        <v>-2046</v>
      </c>
      <c r="D7708" s="201">
        <v>0</v>
      </c>
      <c r="E7708" s="201">
        <v>-3934</v>
      </c>
      <c r="F7708">
        <v>-66352</v>
      </c>
      <c r="G7708">
        <v>0</v>
      </c>
      <c r="H7708">
        <v>0</v>
      </c>
      <c r="I7708">
        <v>0</v>
      </c>
      <c r="J7708">
        <v>0</v>
      </c>
    </row>
    <row r="7709" spans="1:10" x14ac:dyDescent="0.25">
      <c r="A7709">
        <v>0</v>
      </c>
      <c r="B7709" s="201">
        <v>-1298</v>
      </c>
      <c r="C7709">
        <v>1764</v>
      </c>
      <c r="D7709" s="201">
        <v>6482</v>
      </c>
      <c r="E7709" s="201">
        <v>6701</v>
      </c>
      <c r="F7709">
        <v>5700</v>
      </c>
      <c r="G7709">
        <v>5738</v>
      </c>
      <c r="H7709">
        <v>0</v>
      </c>
      <c r="I7709">
        <v>0</v>
      </c>
      <c r="J7709">
        <v>0</v>
      </c>
    </row>
    <row r="7710" spans="1:10" x14ac:dyDescent="0.25">
      <c r="A7710">
        <v>0</v>
      </c>
      <c r="B7710" s="201">
        <v>-268</v>
      </c>
      <c r="C7710" s="201">
        <v>0</v>
      </c>
      <c r="D7710" s="201">
        <v>-776</v>
      </c>
      <c r="E7710" s="201">
        <v>0</v>
      </c>
      <c r="F7710">
        <v>0</v>
      </c>
      <c r="G7710">
        <v>3352</v>
      </c>
      <c r="H7710">
        <v>-491</v>
      </c>
      <c r="I7710">
        <v>0</v>
      </c>
      <c r="J7710">
        <v>0</v>
      </c>
    </row>
    <row r="7711" spans="1:10" x14ac:dyDescent="0.25">
      <c r="A7711">
        <v>0</v>
      </c>
      <c r="B7711" s="201">
        <v>0</v>
      </c>
      <c r="C7711">
        <v>-5395</v>
      </c>
      <c r="D7711" s="201">
        <v>0</v>
      </c>
      <c r="E7711" s="201">
        <v>12384</v>
      </c>
      <c r="F7711">
        <v>-43</v>
      </c>
      <c r="G7711">
        <v>-1620</v>
      </c>
      <c r="H7711">
        <v>-865</v>
      </c>
      <c r="I7711">
        <v>6488</v>
      </c>
      <c r="J7711">
        <v>1378</v>
      </c>
    </row>
    <row r="7712" spans="1:10" x14ac:dyDescent="0.25">
      <c r="A7712">
        <v>54</v>
      </c>
      <c r="B7712" s="201">
        <v>1190</v>
      </c>
      <c r="C7712">
        <v>-170</v>
      </c>
      <c r="D7712" s="201">
        <v>415</v>
      </c>
      <c r="E7712" s="201">
        <v>3170</v>
      </c>
      <c r="F7712">
        <v>0</v>
      </c>
      <c r="G7712">
        <v>0</v>
      </c>
      <c r="H7712">
        <v>0</v>
      </c>
      <c r="I7712">
        <v>0</v>
      </c>
      <c r="J7712">
        <v>0</v>
      </c>
    </row>
    <row r="7713" spans="1:10" x14ac:dyDescent="0.25">
      <c r="A7713">
        <v>0</v>
      </c>
      <c r="B7713" s="201">
        <v>0</v>
      </c>
      <c r="C7713" s="201">
        <v>537</v>
      </c>
      <c r="D7713" s="201">
        <v>-226</v>
      </c>
      <c r="E7713" s="201">
        <v>-907</v>
      </c>
      <c r="F7713">
        <v>-817</v>
      </c>
      <c r="G7713">
        <v>1683</v>
      </c>
      <c r="H7713">
        <v>297</v>
      </c>
      <c r="I7713">
        <v>0</v>
      </c>
      <c r="J7713">
        <v>0</v>
      </c>
    </row>
    <row r="7714" spans="1:10" x14ac:dyDescent="0.25">
      <c r="A7714">
        <v>882</v>
      </c>
      <c r="B7714" s="201">
        <v>0</v>
      </c>
      <c r="C7714">
        <v>-2510</v>
      </c>
      <c r="D7714" s="201">
        <v>11981</v>
      </c>
      <c r="E7714" s="201">
        <v>0</v>
      </c>
      <c r="F7714">
        <v>2762</v>
      </c>
      <c r="G7714">
        <v>921</v>
      </c>
      <c r="H7714">
        <v>566</v>
      </c>
      <c r="I7714">
        <v>0</v>
      </c>
      <c r="J7714">
        <v>0</v>
      </c>
    </row>
    <row r="7715" spans="1:10" x14ac:dyDescent="0.25">
      <c r="A7715">
        <v>0</v>
      </c>
      <c r="B7715" s="201">
        <v>-9</v>
      </c>
      <c r="C7715">
        <v>0</v>
      </c>
      <c r="D7715" s="201">
        <v>5227</v>
      </c>
      <c r="E7715" s="201">
        <v>746</v>
      </c>
      <c r="F7715">
        <v>0</v>
      </c>
      <c r="G7715">
        <v>0</v>
      </c>
      <c r="H7715">
        <v>0</v>
      </c>
      <c r="I7715">
        <v>0</v>
      </c>
      <c r="J7715">
        <v>0</v>
      </c>
    </row>
    <row r="7716" spans="1:10" x14ac:dyDescent="0.25">
      <c r="A7716" s="201">
        <v>0</v>
      </c>
      <c r="B7716" s="201">
        <v>0</v>
      </c>
      <c r="C7716">
        <v>0</v>
      </c>
      <c r="D7716" s="201">
        <v>0</v>
      </c>
      <c r="E7716" s="201">
        <v>0</v>
      </c>
      <c r="F7716">
        <v>0</v>
      </c>
      <c r="G7716">
        <v>0</v>
      </c>
      <c r="H7716">
        <v>0</v>
      </c>
      <c r="I7716">
        <v>0</v>
      </c>
      <c r="J7716">
        <v>0</v>
      </c>
    </row>
    <row r="7717" spans="1:10" x14ac:dyDescent="0.25">
      <c r="A7717" s="201">
        <v>1104</v>
      </c>
      <c r="B7717" s="201">
        <v>0</v>
      </c>
      <c r="C7717" s="201">
        <v>0</v>
      </c>
      <c r="D7717" s="201">
        <v>0</v>
      </c>
      <c r="E7717" s="201">
        <v>0</v>
      </c>
      <c r="F7717">
        <v>4790</v>
      </c>
      <c r="G7717">
        <v>-2496</v>
      </c>
      <c r="H7717">
        <v>-734</v>
      </c>
      <c r="I7717">
        <v>0</v>
      </c>
      <c r="J7717">
        <v>2521</v>
      </c>
    </row>
    <row r="7718" spans="1:10" x14ac:dyDescent="0.25">
      <c r="A7718">
        <v>1708</v>
      </c>
      <c r="B7718" s="201">
        <v>-352</v>
      </c>
      <c r="C7718" s="201">
        <v>-12850</v>
      </c>
      <c r="D7718" s="201">
        <v>-19175</v>
      </c>
      <c r="E7718" s="201">
        <v>-18557</v>
      </c>
      <c r="F7718">
        <v>-20788</v>
      </c>
      <c r="G7718">
        <v>-849</v>
      </c>
      <c r="H7718">
        <v>-2353</v>
      </c>
      <c r="I7718">
        <v>1035</v>
      </c>
      <c r="J7718">
        <v>3008</v>
      </c>
    </row>
    <row r="7719" spans="1:10" x14ac:dyDescent="0.25">
      <c r="A7719" s="201">
        <v>936</v>
      </c>
      <c r="B7719" s="201">
        <v>-7719</v>
      </c>
      <c r="C7719" s="201">
        <v>-10448</v>
      </c>
      <c r="D7719" s="201">
        <v>-11074</v>
      </c>
      <c r="E7719" s="201">
        <v>-12830</v>
      </c>
      <c r="F7719">
        <v>-4865</v>
      </c>
      <c r="G7719">
        <v>0</v>
      </c>
      <c r="H7719">
        <v>-15774</v>
      </c>
      <c r="I7719">
        <v>-19947</v>
      </c>
      <c r="J7719">
        <v>-21147</v>
      </c>
    </row>
    <row r="7720" spans="1:10" x14ac:dyDescent="0.25">
      <c r="A7720" s="201">
        <v>-23486</v>
      </c>
      <c r="B7720" s="201">
        <v>-11646</v>
      </c>
      <c r="C7720" s="201">
        <v>-15965</v>
      </c>
      <c r="D7720" s="201">
        <v>-22482</v>
      </c>
      <c r="E7720" s="201">
        <v>-20641</v>
      </c>
      <c r="F7720">
        <v>-11659</v>
      </c>
      <c r="G7720">
        <v>-21973</v>
      </c>
      <c r="H7720">
        <v>-17406</v>
      </c>
      <c r="I7720">
        <v>-18786</v>
      </c>
      <c r="J7720">
        <v>-12199</v>
      </c>
    </row>
    <row r="7721" spans="1:10" x14ac:dyDescent="0.25">
      <c r="A7721" s="201">
        <v>-19268</v>
      </c>
      <c r="B7721" s="201">
        <v>-20046</v>
      </c>
      <c r="C7721" s="201">
        <v>-17341</v>
      </c>
      <c r="D7721" s="201">
        <v>-13917</v>
      </c>
      <c r="E7721" s="201">
        <v>-23776</v>
      </c>
      <c r="F7721">
        <v>-24971</v>
      </c>
      <c r="G7721">
        <v>-22180</v>
      </c>
      <c r="H7721">
        <v>-7502</v>
      </c>
      <c r="I7721">
        <v>-12813</v>
      </c>
      <c r="J7721">
        <v>-13423</v>
      </c>
    </row>
    <row r="7722" spans="1:10" x14ac:dyDescent="0.25">
      <c r="A7722" s="201">
        <v>-14363</v>
      </c>
      <c r="B7722" s="201">
        <v>-14492</v>
      </c>
      <c r="C7722" s="201">
        <v>-16708</v>
      </c>
      <c r="D7722" s="201">
        <v>-12071</v>
      </c>
      <c r="E7722" s="201">
        <v>-9545</v>
      </c>
      <c r="F7722">
        <v>-12564</v>
      </c>
      <c r="G7722">
        <v>-12150</v>
      </c>
      <c r="H7722">
        <v>-13062</v>
      </c>
      <c r="I7722">
        <v>-5774</v>
      </c>
      <c r="J7722">
        <v>-6249</v>
      </c>
    </row>
    <row r="7723" spans="1:10" x14ac:dyDescent="0.25">
      <c r="A7723" s="201">
        <v>-5261</v>
      </c>
      <c r="B7723" s="201">
        <v>-6648</v>
      </c>
      <c r="C7723" s="201">
        <v>-6747</v>
      </c>
      <c r="D7723" s="201">
        <v>-6234</v>
      </c>
      <c r="E7723" s="201">
        <v>-6177</v>
      </c>
      <c r="F7723">
        <v>-4293</v>
      </c>
      <c r="G7723">
        <v>-7142</v>
      </c>
      <c r="H7723">
        <v>29488</v>
      </c>
      <c r="I7723">
        <v>37663</v>
      </c>
      <c r="J7723">
        <v>34614</v>
      </c>
    </row>
    <row r="7724" spans="1:10" x14ac:dyDescent="0.25">
      <c r="A7724" s="201">
        <v>37805</v>
      </c>
      <c r="B7724" s="201">
        <v>36108</v>
      </c>
      <c r="C7724" s="201">
        <v>24193</v>
      </c>
      <c r="D7724" s="201">
        <v>30933</v>
      </c>
      <c r="E7724" s="201">
        <v>30074</v>
      </c>
      <c r="F7724">
        <v>31802</v>
      </c>
      <c r="G7724">
        <v>33437</v>
      </c>
      <c r="H7724">
        <v>42751</v>
      </c>
      <c r="I7724">
        <v>39859</v>
      </c>
      <c r="J7724">
        <v>41104</v>
      </c>
    </row>
    <row r="7725" spans="1:10" x14ac:dyDescent="0.25">
      <c r="A7725" s="201">
        <v>38106</v>
      </c>
      <c r="B7725" s="201">
        <v>47350</v>
      </c>
      <c r="C7725" s="201">
        <v>47212</v>
      </c>
      <c r="D7725" s="201">
        <v>47645</v>
      </c>
      <c r="E7725" s="201">
        <v>45215</v>
      </c>
      <c r="F7725">
        <v>45259</v>
      </c>
      <c r="G7725">
        <v>85908</v>
      </c>
      <c r="H7725">
        <v>87930</v>
      </c>
      <c r="I7725">
        <v>86636</v>
      </c>
      <c r="J7725">
        <v>90267</v>
      </c>
    </row>
    <row r="7726" spans="1:10" x14ac:dyDescent="0.25">
      <c r="A7726">
        <v>93453</v>
      </c>
      <c r="B7726" s="201">
        <v>92994</v>
      </c>
      <c r="C7726">
        <v>90903</v>
      </c>
      <c r="D7726" s="201">
        <v>1949</v>
      </c>
      <c r="E7726" s="201">
        <v>1267</v>
      </c>
      <c r="F7726">
        <v>-1186</v>
      </c>
      <c r="G7726">
        <v>-2894</v>
      </c>
      <c r="H7726">
        <v>618</v>
      </c>
      <c r="I7726">
        <v>0</v>
      </c>
      <c r="J7726">
        <v>0</v>
      </c>
    </row>
    <row r="7727" spans="1:10" x14ac:dyDescent="0.25">
      <c r="A7727">
        <v>150</v>
      </c>
      <c r="B7727" s="201">
        <v>0</v>
      </c>
      <c r="C7727">
        <v>0</v>
      </c>
      <c r="D7727" s="201">
        <v>0</v>
      </c>
      <c r="E7727" s="201">
        <v>764</v>
      </c>
      <c r="F7727">
        <v>-209</v>
      </c>
      <c r="G7727">
        <v>0</v>
      </c>
      <c r="H7727">
        <v>0</v>
      </c>
      <c r="I7727">
        <v>0</v>
      </c>
      <c r="J7727">
        <v>0</v>
      </c>
    </row>
    <row r="7728" spans="1:10" x14ac:dyDescent="0.25">
      <c r="A7728" s="201">
        <v>0</v>
      </c>
      <c r="B7728" s="201">
        <v>0</v>
      </c>
      <c r="C7728" s="201">
        <v>1164</v>
      </c>
      <c r="D7728" s="201">
        <v>0</v>
      </c>
      <c r="E7728" s="201">
        <v>0</v>
      </c>
      <c r="F7728">
        <v>792</v>
      </c>
      <c r="G7728">
        <v>0</v>
      </c>
      <c r="H7728">
        <v>-409</v>
      </c>
      <c r="I7728">
        <v>0</v>
      </c>
      <c r="J7728">
        <v>530</v>
      </c>
    </row>
    <row r="7729" spans="1:10" x14ac:dyDescent="0.25">
      <c r="A7729">
        <v>-3150</v>
      </c>
      <c r="B7729" s="201">
        <v>-2013</v>
      </c>
      <c r="C7729">
        <v>-1870</v>
      </c>
      <c r="D7729" s="201">
        <v>0</v>
      </c>
      <c r="E7729" s="201">
        <v>-784</v>
      </c>
      <c r="F7729">
        <v>1218</v>
      </c>
      <c r="G7729">
        <v>-87</v>
      </c>
      <c r="H7729">
        <v>-39</v>
      </c>
      <c r="I7729">
        <v>1426</v>
      </c>
      <c r="J7729">
        <v>0</v>
      </c>
    </row>
    <row r="7730" spans="1:10" x14ac:dyDescent="0.25">
      <c r="A7730">
        <v>0</v>
      </c>
      <c r="B7730" s="201">
        <v>230</v>
      </c>
      <c r="C7730">
        <v>0</v>
      </c>
      <c r="D7730" s="201">
        <v>0</v>
      </c>
      <c r="E7730" s="201">
        <v>0</v>
      </c>
      <c r="F7730">
        <v>0</v>
      </c>
      <c r="G7730">
        <v>0</v>
      </c>
      <c r="H7730">
        <v>2524</v>
      </c>
      <c r="I7730">
        <v>0</v>
      </c>
      <c r="J7730">
        <v>0</v>
      </c>
    </row>
    <row r="7731" spans="1:10" x14ac:dyDescent="0.25">
      <c r="A7731">
        <v>0</v>
      </c>
      <c r="B7731" s="201">
        <v>-1374</v>
      </c>
      <c r="C7731">
        <v>0</v>
      </c>
      <c r="D7731" s="201">
        <v>0</v>
      </c>
      <c r="E7731" s="201">
        <v>0</v>
      </c>
      <c r="F7731">
        <v>0</v>
      </c>
      <c r="G7731">
        <v>0</v>
      </c>
      <c r="H7731">
        <v>0</v>
      </c>
      <c r="I7731">
        <v>0</v>
      </c>
      <c r="J7731">
        <v>-110</v>
      </c>
    </row>
    <row r="7732" spans="1:10" x14ac:dyDescent="0.25">
      <c r="A7732">
        <v>0</v>
      </c>
      <c r="B7732" s="201">
        <v>635</v>
      </c>
      <c r="C7732">
        <v>276</v>
      </c>
      <c r="D7732" s="201">
        <v>0</v>
      </c>
      <c r="E7732" s="201">
        <v>-478</v>
      </c>
      <c r="F7732">
        <v>0</v>
      </c>
      <c r="G7732">
        <v>-16430</v>
      </c>
      <c r="H7732">
        <v>-60</v>
      </c>
      <c r="I7732">
        <v>0</v>
      </c>
      <c r="J7732">
        <v>3068</v>
      </c>
    </row>
    <row r="7733" spans="1:10" x14ac:dyDescent="0.25">
      <c r="A7733" s="201">
        <v>0</v>
      </c>
      <c r="B7733" s="201">
        <v>0</v>
      </c>
      <c r="C7733">
        <v>0</v>
      </c>
      <c r="D7733" s="201">
        <v>0</v>
      </c>
      <c r="E7733" s="201">
        <v>-4305</v>
      </c>
      <c r="F7733">
        <v>6089</v>
      </c>
      <c r="G7733">
        <v>1626</v>
      </c>
      <c r="H7733">
        <v>0</v>
      </c>
      <c r="I7733">
        <v>0</v>
      </c>
      <c r="J7733">
        <v>-4469</v>
      </c>
    </row>
    <row r="7734" spans="1:10" x14ac:dyDescent="0.25">
      <c r="A7734">
        <v>1828</v>
      </c>
      <c r="B7734" s="201">
        <v>0</v>
      </c>
      <c r="C7734">
        <v>-314</v>
      </c>
      <c r="D7734" s="201">
        <v>1561</v>
      </c>
      <c r="E7734" s="201">
        <v>-22</v>
      </c>
      <c r="F7734">
        <v>2696</v>
      </c>
      <c r="G7734">
        <v>-1340</v>
      </c>
      <c r="H7734">
        <v>2806</v>
      </c>
      <c r="I7734">
        <v>1979</v>
      </c>
      <c r="J7734">
        <v>0</v>
      </c>
    </row>
    <row r="7735" spans="1:10" x14ac:dyDescent="0.25">
      <c r="A7735">
        <v>0</v>
      </c>
      <c r="B7735" s="201">
        <v>0</v>
      </c>
      <c r="C7735">
        <v>0</v>
      </c>
      <c r="D7735" s="201">
        <v>0</v>
      </c>
      <c r="E7735" s="201">
        <v>16237</v>
      </c>
      <c r="F7735">
        <v>0</v>
      </c>
      <c r="G7735">
        <v>-756</v>
      </c>
      <c r="H7735">
        <v>4737</v>
      </c>
      <c r="I7735">
        <v>-1256</v>
      </c>
      <c r="J7735">
        <v>1168</v>
      </c>
    </row>
    <row r="7736" spans="1:10" x14ac:dyDescent="0.25">
      <c r="A7736" s="201">
        <v>0</v>
      </c>
      <c r="B7736" s="201">
        <v>4780</v>
      </c>
      <c r="C7736">
        <v>1837</v>
      </c>
      <c r="D7736" s="201">
        <v>-700</v>
      </c>
      <c r="E7736" s="201">
        <v>-1181</v>
      </c>
      <c r="F7736">
        <v>-480</v>
      </c>
      <c r="G7736">
        <v>0</v>
      </c>
      <c r="H7736">
        <v>1463</v>
      </c>
      <c r="I7736">
        <v>-390</v>
      </c>
      <c r="J7736">
        <v>-2071</v>
      </c>
    </row>
    <row r="7737" spans="1:10" x14ac:dyDescent="0.25">
      <c r="A7737" s="201">
        <v>1245</v>
      </c>
      <c r="B7737" s="201">
        <v>0</v>
      </c>
      <c r="C7737">
        <v>432</v>
      </c>
      <c r="D7737" s="201">
        <v>-29543</v>
      </c>
      <c r="E7737" s="201">
        <v>0</v>
      </c>
      <c r="F7737">
        <v>0</v>
      </c>
      <c r="G7737">
        <v>0</v>
      </c>
      <c r="H7737">
        <v>-1335</v>
      </c>
      <c r="I7737">
        <v>-252</v>
      </c>
      <c r="J7737">
        <v>0</v>
      </c>
    </row>
    <row r="7738" spans="1:10" x14ac:dyDescent="0.25">
      <c r="A7738">
        <v>-1090</v>
      </c>
      <c r="B7738" s="201">
        <v>-2601</v>
      </c>
      <c r="C7738">
        <v>-901</v>
      </c>
      <c r="D7738" s="201">
        <v>1055</v>
      </c>
      <c r="E7738" s="201">
        <v>0</v>
      </c>
      <c r="F7738">
        <v>0</v>
      </c>
      <c r="G7738">
        <v>0</v>
      </c>
      <c r="H7738">
        <v>0</v>
      </c>
      <c r="I7738">
        <v>0</v>
      </c>
      <c r="J7738">
        <v>1410</v>
      </c>
    </row>
    <row r="7739" spans="1:10" x14ac:dyDescent="0.25">
      <c r="A7739">
        <v>0</v>
      </c>
      <c r="B7739" s="201">
        <v>3606</v>
      </c>
      <c r="C7739">
        <v>485</v>
      </c>
      <c r="D7739" s="201">
        <v>-195</v>
      </c>
      <c r="E7739" s="201">
        <v>-319</v>
      </c>
      <c r="F7739">
        <v>0</v>
      </c>
      <c r="G7739">
        <v>3641</v>
      </c>
      <c r="H7739">
        <v>815</v>
      </c>
      <c r="I7739">
        <v>-232</v>
      </c>
      <c r="J7739">
        <v>-2137</v>
      </c>
    </row>
    <row r="7740" spans="1:10" x14ac:dyDescent="0.25">
      <c r="A7740">
        <v>332</v>
      </c>
      <c r="B7740" s="201">
        <v>-1125</v>
      </c>
      <c r="C7740">
        <v>55</v>
      </c>
      <c r="D7740" s="201">
        <v>482</v>
      </c>
      <c r="E7740" s="201">
        <v>0</v>
      </c>
      <c r="F7740">
        <v>-713</v>
      </c>
      <c r="G7740">
        <v>0</v>
      </c>
      <c r="H7740">
        <v>0</v>
      </c>
      <c r="I7740">
        <v>-31211</v>
      </c>
      <c r="J7740">
        <v>-1110</v>
      </c>
    </row>
    <row r="7741" spans="1:10" x14ac:dyDescent="0.25">
      <c r="A7741">
        <v>0</v>
      </c>
      <c r="B7741" s="201">
        <v>-155</v>
      </c>
      <c r="C7741">
        <v>0</v>
      </c>
      <c r="D7741" s="201">
        <v>0</v>
      </c>
      <c r="E7741" s="201">
        <v>120</v>
      </c>
      <c r="F7741">
        <v>0</v>
      </c>
      <c r="G7741">
        <v>-1869</v>
      </c>
      <c r="H7741">
        <v>-1017</v>
      </c>
      <c r="I7741">
        <v>-2109</v>
      </c>
      <c r="J7741">
        <v>0</v>
      </c>
    </row>
    <row r="7742" spans="1:10" x14ac:dyDescent="0.25">
      <c r="A7742">
        <v>0</v>
      </c>
      <c r="B7742" s="201">
        <v>0</v>
      </c>
      <c r="C7742">
        <v>0</v>
      </c>
      <c r="D7742" s="201">
        <v>0</v>
      </c>
      <c r="E7742" s="201">
        <v>2577</v>
      </c>
      <c r="F7742">
        <v>0</v>
      </c>
      <c r="G7742">
        <v>5549</v>
      </c>
      <c r="H7742">
        <v>2405</v>
      </c>
      <c r="I7742">
        <v>575</v>
      </c>
      <c r="J7742">
        <v>-489</v>
      </c>
    </row>
    <row r="7743" spans="1:10" x14ac:dyDescent="0.25">
      <c r="A7743" s="201">
        <v>0</v>
      </c>
      <c r="B7743" s="201">
        <v>4459</v>
      </c>
      <c r="C7743">
        <v>3443</v>
      </c>
      <c r="D7743" s="201">
        <v>-401</v>
      </c>
      <c r="E7743" s="201">
        <v>0</v>
      </c>
      <c r="F7743">
        <v>0</v>
      </c>
      <c r="G7743">
        <v>0</v>
      </c>
      <c r="H7743">
        <v>1130</v>
      </c>
      <c r="I7743">
        <v>-1057</v>
      </c>
      <c r="J7743">
        <v>-3073</v>
      </c>
    </row>
    <row r="7744" spans="1:10" x14ac:dyDescent="0.25">
      <c r="A7744" s="201">
        <v>-1442</v>
      </c>
      <c r="B7744" s="201">
        <v>-2246</v>
      </c>
      <c r="C7744">
        <v>0</v>
      </c>
      <c r="D7744" s="201">
        <v>-23576</v>
      </c>
      <c r="E7744" s="201">
        <v>0</v>
      </c>
      <c r="F7744">
        <v>0</v>
      </c>
      <c r="G7744">
        <v>272</v>
      </c>
      <c r="H7744">
        <v>0</v>
      </c>
      <c r="I7744">
        <v>267</v>
      </c>
      <c r="J7744">
        <v>0</v>
      </c>
    </row>
    <row r="7745" spans="1:10" x14ac:dyDescent="0.25">
      <c r="A7745">
        <v>-510</v>
      </c>
      <c r="B7745" s="201">
        <v>0</v>
      </c>
      <c r="C7745">
        <v>0</v>
      </c>
      <c r="D7745" s="201">
        <v>0</v>
      </c>
      <c r="E7745" s="201">
        <v>0</v>
      </c>
      <c r="F7745">
        <v>0</v>
      </c>
      <c r="G7745">
        <v>0</v>
      </c>
      <c r="H7745">
        <v>0</v>
      </c>
      <c r="I7745">
        <v>0</v>
      </c>
      <c r="J7745">
        <v>3047</v>
      </c>
    </row>
    <row r="7746" spans="1:10" x14ac:dyDescent="0.25">
      <c r="A7746">
        <v>0</v>
      </c>
      <c r="B7746" s="201">
        <v>3288</v>
      </c>
      <c r="C7746">
        <v>2206</v>
      </c>
      <c r="D7746" s="201">
        <v>1284</v>
      </c>
      <c r="E7746" s="201">
        <v>-93</v>
      </c>
      <c r="F7746">
        <v>0</v>
      </c>
      <c r="G7746">
        <v>-3029</v>
      </c>
      <c r="H7746">
        <v>265</v>
      </c>
      <c r="I7746">
        <v>0</v>
      </c>
      <c r="J7746">
        <v>0</v>
      </c>
    </row>
    <row r="7747" spans="1:10" x14ac:dyDescent="0.25">
      <c r="A7747">
        <v>0</v>
      </c>
      <c r="B7747" s="201">
        <v>0</v>
      </c>
      <c r="C7747">
        <v>0</v>
      </c>
      <c r="D7747" s="201">
        <v>4324</v>
      </c>
      <c r="E7747" s="201">
        <v>1364</v>
      </c>
      <c r="F7747">
        <v>9893</v>
      </c>
      <c r="G7747">
        <v>9937</v>
      </c>
      <c r="H7747">
        <v>10784</v>
      </c>
      <c r="I7747">
        <v>-39275</v>
      </c>
      <c r="J7747">
        <v>0</v>
      </c>
    </row>
    <row r="7748" spans="1:10" x14ac:dyDescent="0.25">
      <c r="A7748">
        <v>0</v>
      </c>
      <c r="B7748" s="201">
        <v>0</v>
      </c>
      <c r="C7748">
        <v>0</v>
      </c>
      <c r="D7748" s="201">
        <v>2328</v>
      </c>
      <c r="E7748" s="201">
        <v>0</v>
      </c>
      <c r="F7748">
        <v>1281</v>
      </c>
      <c r="G7748">
        <v>0</v>
      </c>
      <c r="H7748">
        <v>0</v>
      </c>
      <c r="I7748">
        <v>3122</v>
      </c>
      <c r="J7748">
        <v>92</v>
      </c>
    </row>
    <row r="7749" spans="1:10" x14ac:dyDescent="0.25">
      <c r="A7749" s="201">
        <v>0</v>
      </c>
      <c r="B7749" s="201">
        <v>0</v>
      </c>
      <c r="C7749">
        <v>0</v>
      </c>
      <c r="D7749" s="201">
        <v>0</v>
      </c>
      <c r="E7749" s="201">
        <v>6773</v>
      </c>
      <c r="F7749">
        <v>0</v>
      </c>
      <c r="G7749">
        <v>4107</v>
      </c>
      <c r="H7749">
        <v>1817</v>
      </c>
      <c r="I7749">
        <v>2388</v>
      </c>
      <c r="J7749">
        <v>-1094</v>
      </c>
    </row>
    <row r="7750" spans="1:10" x14ac:dyDescent="0.25">
      <c r="A7750">
        <v>7362</v>
      </c>
      <c r="B7750" s="201">
        <v>5444</v>
      </c>
      <c r="C7750">
        <v>5018</v>
      </c>
      <c r="D7750" s="201">
        <v>3534</v>
      </c>
      <c r="E7750" s="201">
        <v>4252</v>
      </c>
      <c r="F7750">
        <v>4070</v>
      </c>
      <c r="G7750">
        <v>2100</v>
      </c>
      <c r="H7750">
        <v>0</v>
      </c>
      <c r="I7750">
        <v>0</v>
      </c>
      <c r="J7750">
        <v>0</v>
      </c>
    </row>
    <row r="7751" spans="1:10" x14ac:dyDescent="0.25">
      <c r="A7751">
        <v>0</v>
      </c>
      <c r="B7751" s="201">
        <v>0</v>
      </c>
      <c r="C7751">
        <v>0</v>
      </c>
      <c r="D7751" s="201">
        <v>0</v>
      </c>
      <c r="E7751" s="201">
        <v>801</v>
      </c>
      <c r="F7751">
        <v>652</v>
      </c>
      <c r="G7751">
        <v>876</v>
      </c>
      <c r="H7751">
        <v>-928</v>
      </c>
      <c r="I7751">
        <v>1908</v>
      </c>
      <c r="J7751">
        <v>5696</v>
      </c>
    </row>
    <row r="7752" spans="1:10" x14ac:dyDescent="0.25">
      <c r="A7752">
        <v>0</v>
      </c>
      <c r="B7752" s="201">
        <v>0</v>
      </c>
      <c r="C7752">
        <v>772</v>
      </c>
      <c r="D7752" s="201">
        <v>0</v>
      </c>
      <c r="E7752" s="201">
        <v>5514</v>
      </c>
      <c r="F7752">
        <v>-4888</v>
      </c>
      <c r="G7752">
        <v>0</v>
      </c>
      <c r="H7752">
        <v>508</v>
      </c>
      <c r="I7752">
        <v>-320</v>
      </c>
      <c r="J7752">
        <v>2326</v>
      </c>
    </row>
    <row r="7753" spans="1:10" x14ac:dyDescent="0.25">
      <c r="A7753">
        <v>0</v>
      </c>
      <c r="B7753" s="201">
        <v>0</v>
      </c>
      <c r="C7753">
        <v>0</v>
      </c>
      <c r="D7753" s="201">
        <v>796</v>
      </c>
      <c r="E7753" s="201">
        <v>0</v>
      </c>
      <c r="F7753">
        <v>-385</v>
      </c>
      <c r="G7753">
        <v>-1244</v>
      </c>
      <c r="H7753">
        <v>0</v>
      </c>
      <c r="I7753">
        <v>0</v>
      </c>
      <c r="J7753">
        <v>0</v>
      </c>
    </row>
    <row r="7754" spans="1:10" x14ac:dyDescent="0.25">
      <c r="A7754">
        <v>0</v>
      </c>
      <c r="B7754" s="201">
        <v>0</v>
      </c>
      <c r="C7754">
        <v>0</v>
      </c>
      <c r="D7754" s="201">
        <v>0</v>
      </c>
      <c r="E7754" s="201">
        <v>0</v>
      </c>
      <c r="F7754">
        <v>0</v>
      </c>
      <c r="G7754">
        <v>0</v>
      </c>
      <c r="H7754">
        <v>0</v>
      </c>
      <c r="I7754">
        <v>0</v>
      </c>
      <c r="J7754">
        <v>0</v>
      </c>
    </row>
    <row r="7755" spans="1:10" x14ac:dyDescent="0.25">
      <c r="A7755">
        <v>0</v>
      </c>
      <c r="B7755" s="201">
        <v>0</v>
      </c>
      <c r="C7755" s="201">
        <v>244</v>
      </c>
      <c r="D7755" s="201">
        <v>0</v>
      </c>
      <c r="E7755" s="201">
        <v>0</v>
      </c>
      <c r="F7755">
        <v>0</v>
      </c>
      <c r="G7755">
        <v>0</v>
      </c>
      <c r="H7755">
        <v>-4611</v>
      </c>
      <c r="I7755">
        <v>399</v>
      </c>
      <c r="J7755">
        <v>-2116</v>
      </c>
    </row>
    <row r="7756" spans="1:10" x14ac:dyDescent="0.25">
      <c r="A7756" s="201">
        <v>0</v>
      </c>
      <c r="B7756" s="201">
        <v>1795</v>
      </c>
      <c r="C7756">
        <v>-1007</v>
      </c>
      <c r="D7756" s="201">
        <v>-817</v>
      </c>
      <c r="E7756" s="201">
        <v>1343</v>
      </c>
      <c r="F7756">
        <v>3587</v>
      </c>
      <c r="G7756">
        <v>3495</v>
      </c>
      <c r="H7756">
        <v>1564</v>
      </c>
      <c r="I7756">
        <v>42</v>
      </c>
      <c r="J7756">
        <v>171</v>
      </c>
    </row>
    <row r="7757" spans="1:10" x14ac:dyDescent="0.25">
      <c r="A7757" s="201">
        <v>-1369</v>
      </c>
      <c r="B7757" s="201">
        <v>-1858</v>
      </c>
      <c r="C7757">
        <v>-991</v>
      </c>
      <c r="D7757" s="201">
        <v>1732</v>
      </c>
      <c r="E7757" s="201">
        <v>1421</v>
      </c>
      <c r="F7757">
        <v>2569</v>
      </c>
      <c r="G7757">
        <v>1100</v>
      </c>
      <c r="H7757">
        <v>2027</v>
      </c>
      <c r="I7757">
        <v>0</v>
      </c>
      <c r="J7757">
        <v>4946</v>
      </c>
    </row>
    <row r="7758" spans="1:10" x14ac:dyDescent="0.25">
      <c r="A7758" s="201">
        <v>5292</v>
      </c>
      <c r="B7758" s="201">
        <v>1864</v>
      </c>
      <c r="C7758">
        <v>2102</v>
      </c>
      <c r="D7758" s="201">
        <v>1288</v>
      </c>
      <c r="E7758" s="201">
        <v>-11246</v>
      </c>
      <c r="F7758">
        <v>4235</v>
      </c>
      <c r="G7758">
        <v>2332</v>
      </c>
      <c r="H7758">
        <v>984</v>
      </c>
      <c r="I7758">
        <v>3985</v>
      </c>
      <c r="J7758">
        <v>-13027</v>
      </c>
    </row>
    <row r="7759" spans="1:10" x14ac:dyDescent="0.25">
      <c r="A7759">
        <v>2719</v>
      </c>
      <c r="B7759" s="201">
        <v>-837</v>
      </c>
      <c r="C7759">
        <v>1726</v>
      </c>
      <c r="D7759" s="201">
        <v>3904</v>
      </c>
      <c r="E7759" s="201">
        <v>-9872</v>
      </c>
      <c r="F7759">
        <v>1052</v>
      </c>
      <c r="G7759">
        <v>4560</v>
      </c>
      <c r="H7759">
        <v>3935</v>
      </c>
      <c r="I7759">
        <v>2752</v>
      </c>
      <c r="J7759">
        <v>374</v>
      </c>
    </row>
    <row r="7760" spans="1:10" x14ac:dyDescent="0.25">
      <c r="A7760" s="201">
        <v>389</v>
      </c>
      <c r="B7760" s="201">
        <v>447</v>
      </c>
      <c r="C7760">
        <v>-503</v>
      </c>
      <c r="D7760" s="201">
        <v>309</v>
      </c>
      <c r="E7760" s="201">
        <v>-1535</v>
      </c>
      <c r="F7760">
        <v>-3368</v>
      </c>
      <c r="G7760">
        <v>458</v>
      </c>
      <c r="H7760">
        <v>-282</v>
      </c>
      <c r="I7760">
        <v>1300</v>
      </c>
      <c r="J7760">
        <v>305</v>
      </c>
    </row>
    <row r="7761" spans="1:10" x14ac:dyDescent="0.25">
      <c r="A7761">
        <v>1592</v>
      </c>
      <c r="B7761" s="201">
        <v>-632</v>
      </c>
      <c r="C7761">
        <v>1714</v>
      </c>
      <c r="D7761" s="201">
        <v>1414</v>
      </c>
      <c r="E7761" s="201">
        <v>916</v>
      </c>
      <c r="F7761">
        <v>799</v>
      </c>
      <c r="G7761">
        <v>1151</v>
      </c>
      <c r="H7761">
        <v>-667</v>
      </c>
      <c r="I7761">
        <v>722</v>
      </c>
      <c r="J7761">
        <v>-282</v>
      </c>
    </row>
    <row r="7762" spans="1:10" x14ac:dyDescent="0.25">
      <c r="A7762" s="201">
        <v>186</v>
      </c>
      <c r="B7762" s="201">
        <v>-1793</v>
      </c>
      <c r="C7762">
        <v>-827</v>
      </c>
      <c r="D7762" s="201">
        <v>1815</v>
      </c>
      <c r="E7762" s="201">
        <v>-1057</v>
      </c>
      <c r="F7762">
        <v>1479</v>
      </c>
      <c r="G7762">
        <v>182</v>
      </c>
      <c r="H7762">
        <v>246</v>
      </c>
      <c r="I7762">
        <v>1679</v>
      </c>
      <c r="J7762">
        <v>-447</v>
      </c>
    </row>
    <row r="7763" spans="1:10" x14ac:dyDescent="0.25">
      <c r="A7763" s="201">
        <v>-846</v>
      </c>
      <c r="B7763" s="201">
        <v>-1047</v>
      </c>
      <c r="C7763" s="201">
        <v>203</v>
      </c>
      <c r="D7763" s="201">
        <v>35</v>
      </c>
      <c r="E7763" s="201">
        <v>10</v>
      </c>
      <c r="F7763">
        <v>1893</v>
      </c>
      <c r="G7763">
        <v>272</v>
      </c>
      <c r="H7763">
        <v>-908</v>
      </c>
      <c r="I7763">
        <v>-1327</v>
      </c>
      <c r="J7763">
        <v>-1032</v>
      </c>
    </row>
    <row r="7764" spans="1:10" x14ac:dyDescent="0.25">
      <c r="A7764">
        <v>-1167</v>
      </c>
      <c r="B7764" s="201">
        <v>-2422</v>
      </c>
      <c r="C7764">
        <v>-2358</v>
      </c>
      <c r="D7764" s="201">
        <v>-2369</v>
      </c>
      <c r="E7764" s="201">
        <v>-2406</v>
      </c>
      <c r="F7764">
        <v>-3017</v>
      </c>
      <c r="G7764">
        <v>-7330</v>
      </c>
      <c r="H7764">
        <v>202</v>
      </c>
      <c r="I7764">
        <v>-1135</v>
      </c>
      <c r="J7764">
        <v>-175</v>
      </c>
    </row>
    <row r="7765" spans="1:10" x14ac:dyDescent="0.25">
      <c r="A7765">
        <v>976</v>
      </c>
      <c r="B7765" s="201">
        <v>0</v>
      </c>
      <c r="C7765">
        <v>0</v>
      </c>
      <c r="D7765" s="201">
        <v>-99</v>
      </c>
      <c r="E7765" s="201">
        <v>0</v>
      </c>
      <c r="F7765">
        <v>0</v>
      </c>
      <c r="G7765">
        <v>0</v>
      </c>
      <c r="H7765">
        <v>649</v>
      </c>
      <c r="I7765">
        <v>1833</v>
      </c>
      <c r="J7765">
        <v>0</v>
      </c>
    </row>
    <row r="7766" spans="1:10" x14ac:dyDescent="0.25">
      <c r="A7766">
        <v>0</v>
      </c>
      <c r="B7766" s="201">
        <v>0</v>
      </c>
      <c r="C7766">
        <v>0</v>
      </c>
      <c r="D7766" s="201">
        <v>0</v>
      </c>
      <c r="E7766" s="201">
        <v>0</v>
      </c>
      <c r="F7766">
        <v>22303</v>
      </c>
      <c r="G7766">
        <v>0</v>
      </c>
      <c r="H7766">
        <v>0</v>
      </c>
      <c r="I7766">
        <v>198</v>
      </c>
      <c r="J7766">
        <v>0</v>
      </c>
    </row>
    <row r="7767" spans="1:10" x14ac:dyDescent="0.25">
      <c r="A7767">
        <v>-29</v>
      </c>
      <c r="B7767" s="201">
        <v>0</v>
      </c>
      <c r="C7767">
        <v>-293</v>
      </c>
      <c r="D7767" s="201">
        <v>-437</v>
      </c>
      <c r="E7767" s="201">
        <v>-1689</v>
      </c>
      <c r="F7767">
        <v>-4500</v>
      </c>
      <c r="G7767">
        <v>0</v>
      </c>
      <c r="H7767">
        <v>-869</v>
      </c>
      <c r="I7767">
        <v>863</v>
      </c>
      <c r="J7767">
        <v>-319</v>
      </c>
    </row>
    <row r="7768" spans="1:10" x14ac:dyDescent="0.25">
      <c r="A7768">
        <v>119</v>
      </c>
      <c r="B7768" s="201">
        <v>609</v>
      </c>
      <c r="C7768">
        <v>0</v>
      </c>
      <c r="D7768" s="201">
        <v>0</v>
      </c>
      <c r="E7768" s="201">
        <v>66</v>
      </c>
      <c r="F7768">
        <v>0</v>
      </c>
      <c r="G7768">
        <v>0</v>
      </c>
      <c r="H7768">
        <v>0</v>
      </c>
      <c r="I7768">
        <v>0</v>
      </c>
      <c r="J7768">
        <v>0</v>
      </c>
    </row>
    <row r="7769" spans="1:10" x14ac:dyDescent="0.25">
      <c r="A7769">
        <v>285</v>
      </c>
      <c r="B7769" s="201">
        <v>0</v>
      </c>
      <c r="C7769">
        <v>0</v>
      </c>
      <c r="D7769" s="201">
        <v>0</v>
      </c>
      <c r="E7769" s="201">
        <v>904</v>
      </c>
      <c r="F7769">
        <v>0</v>
      </c>
      <c r="G7769">
        <v>0</v>
      </c>
      <c r="H7769">
        <v>0</v>
      </c>
      <c r="I7769">
        <v>0</v>
      </c>
      <c r="J7769">
        <v>0</v>
      </c>
    </row>
    <row r="7770" spans="1:10" x14ac:dyDescent="0.25">
      <c r="A7770">
        <v>0</v>
      </c>
      <c r="B7770" s="201">
        <v>0</v>
      </c>
      <c r="C7770">
        <v>376</v>
      </c>
      <c r="D7770" s="201">
        <v>0</v>
      </c>
      <c r="E7770" s="201">
        <v>-195</v>
      </c>
      <c r="F7770">
        <v>-138</v>
      </c>
      <c r="G7770">
        <v>0</v>
      </c>
      <c r="H7770">
        <v>-110</v>
      </c>
      <c r="I7770">
        <v>0</v>
      </c>
      <c r="J7770">
        <v>-1668</v>
      </c>
    </row>
    <row r="7771" spans="1:10" x14ac:dyDescent="0.25">
      <c r="A7771">
        <v>-26</v>
      </c>
      <c r="B7771" s="201">
        <v>0</v>
      </c>
      <c r="C7771">
        <v>1684</v>
      </c>
      <c r="D7771" s="201">
        <v>0</v>
      </c>
      <c r="E7771" s="201">
        <v>0</v>
      </c>
      <c r="F7771">
        <v>0</v>
      </c>
      <c r="G7771">
        <v>0</v>
      </c>
      <c r="H7771">
        <v>578</v>
      </c>
      <c r="I7771">
        <v>-131</v>
      </c>
      <c r="J7771">
        <v>741</v>
      </c>
    </row>
    <row r="7772" spans="1:10" x14ac:dyDescent="0.25">
      <c r="A7772">
        <v>0</v>
      </c>
      <c r="B7772" s="201">
        <v>0</v>
      </c>
      <c r="C7772">
        <v>44</v>
      </c>
      <c r="D7772" s="201">
        <v>-2250</v>
      </c>
      <c r="E7772" s="201">
        <v>0</v>
      </c>
      <c r="F7772">
        <v>843</v>
      </c>
      <c r="G7772">
        <v>-1354</v>
      </c>
      <c r="H7772">
        <v>-931</v>
      </c>
      <c r="I7772">
        <v>-865</v>
      </c>
      <c r="J7772">
        <v>-280</v>
      </c>
    </row>
    <row r="7773" spans="1:10" x14ac:dyDescent="0.25">
      <c r="A7773" s="201">
        <v>107</v>
      </c>
      <c r="B7773" s="201">
        <v>1334</v>
      </c>
      <c r="C7773" s="201">
        <v>0</v>
      </c>
      <c r="D7773" s="201">
        <v>0</v>
      </c>
      <c r="E7773" s="201">
        <v>0</v>
      </c>
      <c r="F7773">
        <v>0</v>
      </c>
      <c r="G7773">
        <v>0</v>
      </c>
      <c r="H7773">
        <v>658</v>
      </c>
      <c r="I7773">
        <v>0</v>
      </c>
      <c r="J7773">
        <v>161</v>
      </c>
    </row>
    <row r="7774" spans="1:10" x14ac:dyDescent="0.25">
      <c r="A7774" s="201">
        <v>-869</v>
      </c>
      <c r="B7774" s="201">
        <v>1823</v>
      </c>
      <c r="C7774">
        <v>-9322</v>
      </c>
      <c r="D7774" s="201">
        <v>0</v>
      </c>
      <c r="E7774" s="201">
        <v>-4001</v>
      </c>
      <c r="F7774">
        <v>-1328</v>
      </c>
      <c r="G7774">
        <v>379</v>
      </c>
      <c r="H7774">
        <v>8095</v>
      </c>
      <c r="I7774">
        <v>6785</v>
      </c>
      <c r="J7774">
        <v>0</v>
      </c>
    </row>
    <row r="7775" spans="1:10" x14ac:dyDescent="0.25">
      <c r="A7775" s="201">
        <v>2820</v>
      </c>
      <c r="B7775" s="201">
        <v>3803</v>
      </c>
      <c r="C7775">
        <v>4688</v>
      </c>
      <c r="D7775" s="201">
        <v>-902</v>
      </c>
      <c r="E7775" s="201">
        <v>0</v>
      </c>
      <c r="F7775">
        <v>1231</v>
      </c>
      <c r="G7775">
        <v>1181</v>
      </c>
      <c r="H7775">
        <v>0</v>
      </c>
      <c r="I7775">
        <v>0</v>
      </c>
      <c r="J7775">
        <v>0</v>
      </c>
    </row>
    <row r="7776" spans="1:10" x14ac:dyDescent="0.25">
      <c r="A7776">
        <v>1136</v>
      </c>
      <c r="B7776" s="201">
        <v>1323</v>
      </c>
      <c r="C7776">
        <v>0</v>
      </c>
      <c r="D7776" s="201">
        <v>1304</v>
      </c>
      <c r="E7776" s="201">
        <v>2340</v>
      </c>
      <c r="F7776">
        <v>2323</v>
      </c>
      <c r="G7776">
        <v>1639</v>
      </c>
      <c r="H7776">
        <v>0</v>
      </c>
      <c r="I7776">
        <v>0</v>
      </c>
      <c r="J7776">
        <v>0</v>
      </c>
    </row>
    <row r="7777" spans="1:10" x14ac:dyDescent="0.25">
      <c r="A7777">
        <v>0</v>
      </c>
      <c r="B7777" s="201">
        <v>0</v>
      </c>
      <c r="C7777">
        <v>-131</v>
      </c>
      <c r="D7777" s="201">
        <v>0</v>
      </c>
      <c r="E7777" s="201">
        <v>218</v>
      </c>
      <c r="F7777">
        <v>306</v>
      </c>
      <c r="G7777">
        <v>-455</v>
      </c>
      <c r="H7777">
        <v>-13371</v>
      </c>
      <c r="I7777">
        <v>0</v>
      </c>
      <c r="J7777">
        <v>-1215</v>
      </c>
    </row>
    <row r="7778" spans="1:10" x14ac:dyDescent="0.25">
      <c r="A7778">
        <v>103</v>
      </c>
      <c r="B7778" s="201">
        <v>-174</v>
      </c>
      <c r="C7778">
        <v>4201</v>
      </c>
      <c r="D7778" s="201">
        <v>4664</v>
      </c>
      <c r="E7778" s="201">
        <v>1954</v>
      </c>
      <c r="F7778">
        <v>905</v>
      </c>
      <c r="G7778">
        <v>2049</v>
      </c>
      <c r="H7778">
        <v>0</v>
      </c>
      <c r="I7778">
        <v>-951</v>
      </c>
      <c r="J7778">
        <v>0</v>
      </c>
    </row>
    <row r="7779" spans="1:10" x14ac:dyDescent="0.25">
      <c r="A7779" s="201">
        <v>0</v>
      </c>
      <c r="B7779" s="201">
        <v>-81</v>
      </c>
      <c r="C7779">
        <v>-683</v>
      </c>
      <c r="D7779" s="201">
        <v>0</v>
      </c>
      <c r="E7779" s="201">
        <v>-882</v>
      </c>
      <c r="F7779">
        <v>0</v>
      </c>
      <c r="G7779">
        <v>0</v>
      </c>
      <c r="H7779">
        <v>-1392</v>
      </c>
      <c r="I7779">
        <v>0</v>
      </c>
      <c r="J7779">
        <v>-40</v>
      </c>
    </row>
    <row r="7780" spans="1:10" x14ac:dyDescent="0.25">
      <c r="A7780" s="201">
        <v>-924</v>
      </c>
      <c r="B7780" s="201">
        <v>-1511</v>
      </c>
      <c r="C7780" s="201">
        <v>0</v>
      </c>
      <c r="D7780" s="201">
        <v>0</v>
      </c>
      <c r="E7780" s="201">
        <v>0</v>
      </c>
      <c r="F7780">
        <v>0</v>
      </c>
      <c r="G7780">
        <v>0</v>
      </c>
      <c r="H7780">
        <v>-116</v>
      </c>
      <c r="I7780">
        <v>0</v>
      </c>
      <c r="J7780">
        <v>-118</v>
      </c>
    </row>
    <row r="7781" spans="1:10" x14ac:dyDescent="0.25">
      <c r="A7781">
        <v>-910</v>
      </c>
      <c r="B7781" s="201">
        <v>383</v>
      </c>
      <c r="C7781">
        <v>-8752</v>
      </c>
      <c r="D7781" s="201">
        <v>0</v>
      </c>
      <c r="E7781" s="201">
        <v>-2108</v>
      </c>
      <c r="F7781">
        <v>186</v>
      </c>
      <c r="G7781">
        <v>-1357</v>
      </c>
      <c r="H7781">
        <v>0</v>
      </c>
      <c r="I7781">
        <v>0</v>
      </c>
      <c r="J7781">
        <v>0</v>
      </c>
    </row>
    <row r="7782" spans="1:10" x14ac:dyDescent="0.25">
      <c r="A7782">
        <v>50</v>
      </c>
      <c r="B7782" s="201">
        <v>1365</v>
      </c>
      <c r="C7782">
        <v>1087</v>
      </c>
      <c r="D7782" s="201">
        <v>1862</v>
      </c>
      <c r="E7782" s="201">
        <v>1162</v>
      </c>
      <c r="F7782">
        <v>0</v>
      </c>
      <c r="G7782">
        <v>100</v>
      </c>
      <c r="H7782">
        <v>0</v>
      </c>
      <c r="I7782">
        <v>0</v>
      </c>
      <c r="J7782">
        <v>1136</v>
      </c>
    </row>
    <row r="7783" spans="1:10" x14ac:dyDescent="0.25">
      <c r="A7783">
        <v>0</v>
      </c>
      <c r="B7783" s="201">
        <v>-343</v>
      </c>
      <c r="C7783">
        <v>0</v>
      </c>
      <c r="D7783" s="201">
        <v>-187</v>
      </c>
      <c r="E7783" s="201">
        <v>0</v>
      </c>
      <c r="F7783">
        <v>0</v>
      </c>
      <c r="G7783">
        <v>0</v>
      </c>
      <c r="H7783">
        <v>0</v>
      </c>
      <c r="I7783">
        <v>0</v>
      </c>
      <c r="J7783">
        <v>0</v>
      </c>
    </row>
    <row r="7784" spans="1:10" x14ac:dyDescent="0.25">
      <c r="A7784">
        <v>0</v>
      </c>
      <c r="B7784" s="201">
        <v>0</v>
      </c>
      <c r="C7784">
        <v>-116</v>
      </c>
      <c r="D7784" s="201">
        <v>0</v>
      </c>
      <c r="E7784" s="201">
        <v>-416</v>
      </c>
      <c r="F7784">
        <v>37</v>
      </c>
      <c r="G7784">
        <v>500</v>
      </c>
      <c r="H7784">
        <v>-10565</v>
      </c>
      <c r="I7784">
        <v>0</v>
      </c>
      <c r="J7784">
        <v>632</v>
      </c>
    </row>
    <row r="7785" spans="1:10" x14ac:dyDescent="0.25">
      <c r="A7785">
        <v>999</v>
      </c>
      <c r="B7785" s="201">
        <v>0</v>
      </c>
      <c r="C7785">
        <v>0</v>
      </c>
      <c r="D7785" s="201">
        <v>0</v>
      </c>
      <c r="E7785" s="201">
        <v>0</v>
      </c>
      <c r="F7785">
        <v>0</v>
      </c>
      <c r="G7785">
        <v>-468</v>
      </c>
      <c r="H7785">
        <v>-719</v>
      </c>
      <c r="I7785">
        <v>756</v>
      </c>
      <c r="J7785">
        <v>912</v>
      </c>
    </row>
    <row r="7786" spans="1:10" x14ac:dyDescent="0.25">
      <c r="A7786">
        <v>984</v>
      </c>
      <c r="B7786" s="201">
        <v>2000</v>
      </c>
      <c r="C7786" s="201">
        <v>0</v>
      </c>
      <c r="D7786" s="201">
        <v>0</v>
      </c>
      <c r="E7786" s="201">
        <v>0</v>
      </c>
      <c r="F7786">
        <v>0</v>
      </c>
      <c r="G7786">
        <v>-26</v>
      </c>
      <c r="H7786">
        <v>0</v>
      </c>
      <c r="I7786">
        <v>-700</v>
      </c>
      <c r="J7786">
        <v>0</v>
      </c>
    </row>
    <row r="7787" spans="1:10" x14ac:dyDescent="0.25">
      <c r="A7787" s="201">
        <v>0</v>
      </c>
      <c r="B7787" s="201">
        <v>-318</v>
      </c>
      <c r="C7787" s="201">
        <v>-21488</v>
      </c>
      <c r="D7787" s="201">
        <v>0</v>
      </c>
      <c r="E7787" s="201">
        <v>0</v>
      </c>
      <c r="F7787">
        <v>0</v>
      </c>
      <c r="G7787">
        <v>0</v>
      </c>
      <c r="H7787">
        <v>-1453</v>
      </c>
      <c r="I7787">
        <v>0</v>
      </c>
      <c r="J7787">
        <v>-645</v>
      </c>
    </row>
    <row r="7788" spans="1:10" x14ac:dyDescent="0.25">
      <c r="A7788">
        <v>-261</v>
      </c>
      <c r="B7788" s="201">
        <v>1807</v>
      </c>
      <c r="C7788">
        <v>-4167</v>
      </c>
      <c r="D7788" s="201">
        <v>-2064</v>
      </c>
      <c r="E7788" s="201">
        <v>1860</v>
      </c>
      <c r="F7788">
        <v>-5798</v>
      </c>
      <c r="G7788">
        <v>-5267</v>
      </c>
      <c r="H7788">
        <v>-1097</v>
      </c>
      <c r="I7788">
        <v>-1345</v>
      </c>
      <c r="J7788">
        <v>-2455</v>
      </c>
    </row>
    <row r="7789" spans="1:10" x14ac:dyDescent="0.25">
      <c r="A7789" s="201">
        <v>0</v>
      </c>
      <c r="B7789" s="201">
        <v>0</v>
      </c>
      <c r="C7789">
        <v>0</v>
      </c>
      <c r="D7789" s="201">
        <v>0</v>
      </c>
      <c r="E7789" s="201">
        <v>0</v>
      </c>
      <c r="F7789">
        <v>0</v>
      </c>
      <c r="G7789">
        <v>0</v>
      </c>
      <c r="H7789">
        <v>1569</v>
      </c>
      <c r="I7789">
        <v>-487</v>
      </c>
      <c r="J7789">
        <v>263</v>
      </c>
    </row>
    <row r="7790" spans="1:10" x14ac:dyDescent="0.25">
      <c r="A7790" s="201">
        <v>-229</v>
      </c>
      <c r="B7790" s="201">
        <v>357</v>
      </c>
      <c r="C7790">
        <v>-267</v>
      </c>
      <c r="D7790" s="201">
        <v>0</v>
      </c>
      <c r="E7790" s="201">
        <v>0</v>
      </c>
      <c r="F7790">
        <v>-24990</v>
      </c>
      <c r="G7790">
        <v>0</v>
      </c>
      <c r="H7790">
        <v>-1752</v>
      </c>
      <c r="I7790">
        <v>5632</v>
      </c>
      <c r="J7790">
        <v>0</v>
      </c>
    </row>
    <row r="7791" spans="1:10" x14ac:dyDescent="0.25">
      <c r="A7791">
        <v>-691</v>
      </c>
      <c r="B7791" s="201">
        <v>-782</v>
      </c>
      <c r="C7791">
        <v>9187</v>
      </c>
      <c r="D7791" s="201">
        <v>0</v>
      </c>
      <c r="E7791" s="201">
        <v>0</v>
      </c>
      <c r="F7791">
        <v>0</v>
      </c>
      <c r="G7791">
        <v>-1139</v>
      </c>
      <c r="H7791">
        <v>0</v>
      </c>
      <c r="I7791">
        <v>-308</v>
      </c>
      <c r="J7791">
        <v>-299</v>
      </c>
    </row>
    <row r="7792" spans="1:10" x14ac:dyDescent="0.25">
      <c r="A7792">
        <v>0</v>
      </c>
      <c r="B7792" s="201">
        <v>0</v>
      </c>
      <c r="C7792">
        <v>0</v>
      </c>
      <c r="D7792" s="201">
        <v>0</v>
      </c>
      <c r="E7792" s="201">
        <v>0</v>
      </c>
      <c r="F7792">
        <v>0</v>
      </c>
      <c r="G7792">
        <v>0</v>
      </c>
      <c r="H7792">
        <v>0</v>
      </c>
      <c r="I7792">
        <v>0</v>
      </c>
      <c r="J7792">
        <v>0</v>
      </c>
    </row>
    <row r="7793" spans="1:10" x14ac:dyDescent="0.25">
      <c r="A7793">
        <v>0</v>
      </c>
      <c r="B7793" s="201">
        <v>0</v>
      </c>
      <c r="C7793" s="201">
        <v>0</v>
      </c>
      <c r="D7793" s="201">
        <v>0</v>
      </c>
      <c r="E7793" s="201">
        <v>0</v>
      </c>
      <c r="F7793">
        <v>3203</v>
      </c>
      <c r="G7793">
        <v>0</v>
      </c>
      <c r="H7793">
        <v>0</v>
      </c>
      <c r="I7793">
        <v>0</v>
      </c>
      <c r="J7793">
        <v>0</v>
      </c>
    </row>
    <row r="7794" spans="1:10" x14ac:dyDescent="0.25">
      <c r="A7794" s="201">
        <v>5</v>
      </c>
      <c r="B7794" s="201">
        <v>-1394</v>
      </c>
      <c r="C7794" s="201">
        <v>12407</v>
      </c>
      <c r="D7794" s="201">
        <v>0</v>
      </c>
      <c r="E7794" s="201">
        <v>-1025</v>
      </c>
      <c r="F7794">
        <v>74</v>
      </c>
      <c r="G7794">
        <v>-464</v>
      </c>
      <c r="H7794">
        <v>1732</v>
      </c>
      <c r="I7794">
        <v>3663</v>
      </c>
      <c r="J7794">
        <v>2420</v>
      </c>
    </row>
    <row r="7795" spans="1:10" x14ac:dyDescent="0.25">
      <c r="A7795" s="201">
        <v>1033</v>
      </c>
      <c r="B7795" s="201">
        <v>1684</v>
      </c>
      <c r="C7795">
        <v>-4882</v>
      </c>
      <c r="D7795" s="201">
        <v>367</v>
      </c>
      <c r="E7795" s="201">
        <v>-117</v>
      </c>
      <c r="F7795">
        <v>-419</v>
      </c>
      <c r="G7795">
        <v>1006</v>
      </c>
      <c r="H7795">
        <v>683</v>
      </c>
      <c r="I7795">
        <v>382</v>
      </c>
      <c r="J7795">
        <v>453</v>
      </c>
    </row>
    <row r="7796" spans="1:10" x14ac:dyDescent="0.25">
      <c r="A7796">
        <v>-2484</v>
      </c>
      <c r="B7796" s="201">
        <v>0</v>
      </c>
      <c r="C7796">
        <v>-608</v>
      </c>
      <c r="D7796" s="201">
        <v>-448</v>
      </c>
      <c r="E7796" s="201">
        <v>335</v>
      </c>
      <c r="F7796">
        <v>436</v>
      </c>
      <c r="G7796">
        <v>1400</v>
      </c>
      <c r="H7796">
        <v>3980</v>
      </c>
      <c r="I7796">
        <v>1320</v>
      </c>
      <c r="J7796">
        <v>621</v>
      </c>
    </row>
    <row r="7797" spans="1:10" x14ac:dyDescent="0.25">
      <c r="A7797" s="201">
        <v>884</v>
      </c>
      <c r="B7797" s="201">
        <v>306</v>
      </c>
      <c r="C7797">
        <v>80</v>
      </c>
      <c r="D7797" s="201">
        <v>219</v>
      </c>
      <c r="E7797" s="201">
        <v>1229</v>
      </c>
      <c r="F7797">
        <v>1225</v>
      </c>
      <c r="G7797">
        <v>242</v>
      </c>
      <c r="H7797">
        <v>654</v>
      </c>
      <c r="I7797">
        <v>152</v>
      </c>
      <c r="J7797">
        <v>55</v>
      </c>
    </row>
    <row r="7798" spans="1:10" x14ac:dyDescent="0.25">
      <c r="A7798">
        <v>-277</v>
      </c>
      <c r="B7798" s="201">
        <v>132</v>
      </c>
      <c r="C7798">
        <v>-227</v>
      </c>
      <c r="D7798" s="201">
        <v>965</v>
      </c>
      <c r="E7798" s="201">
        <v>2712</v>
      </c>
      <c r="F7798">
        <v>596</v>
      </c>
      <c r="G7798">
        <v>161</v>
      </c>
      <c r="H7798">
        <v>-1262</v>
      </c>
      <c r="I7798">
        <v>211</v>
      </c>
      <c r="J7798">
        <v>1532</v>
      </c>
    </row>
    <row r="7799" spans="1:10" x14ac:dyDescent="0.25">
      <c r="A7799" s="201">
        <v>148</v>
      </c>
      <c r="B7799" s="201">
        <v>104</v>
      </c>
      <c r="C7799">
        <v>-555</v>
      </c>
      <c r="D7799" s="201">
        <v>1825</v>
      </c>
      <c r="E7799" s="201">
        <v>997</v>
      </c>
      <c r="F7799">
        <v>433</v>
      </c>
      <c r="G7799">
        <v>19</v>
      </c>
      <c r="H7799">
        <v>1197</v>
      </c>
      <c r="I7799">
        <v>1336</v>
      </c>
      <c r="J7799">
        <v>1244</v>
      </c>
    </row>
    <row r="7800" spans="1:10" x14ac:dyDescent="0.25">
      <c r="A7800" s="201">
        <v>1325</v>
      </c>
      <c r="B7800" s="201">
        <v>-253</v>
      </c>
      <c r="C7800">
        <v>240</v>
      </c>
      <c r="D7800" s="201">
        <v>-603</v>
      </c>
      <c r="E7800" s="201">
        <v>-476</v>
      </c>
      <c r="F7800">
        <v>-72</v>
      </c>
      <c r="G7800">
        <v>-756</v>
      </c>
      <c r="H7800">
        <v>-282</v>
      </c>
      <c r="I7800">
        <v>-224</v>
      </c>
      <c r="J7800">
        <v>-326</v>
      </c>
    </row>
    <row r="7801" spans="1:10" x14ac:dyDescent="0.25">
      <c r="A7801" s="201">
        <v>-363</v>
      </c>
      <c r="B7801" s="201">
        <v>-707</v>
      </c>
      <c r="C7801">
        <v>-618</v>
      </c>
      <c r="D7801" s="201">
        <v>-440</v>
      </c>
      <c r="E7801" s="201">
        <v>-5</v>
      </c>
      <c r="F7801">
        <v>-300</v>
      </c>
      <c r="G7801">
        <v>-1332</v>
      </c>
      <c r="H7801">
        <v>-239</v>
      </c>
      <c r="I7801">
        <v>-646</v>
      </c>
      <c r="J7801">
        <v>-215</v>
      </c>
    </row>
    <row r="7802" spans="1:10" x14ac:dyDescent="0.25">
      <c r="A7802" s="201">
        <v>-571</v>
      </c>
      <c r="B7802" s="201">
        <v>47</v>
      </c>
      <c r="C7802" s="201">
        <v>-250</v>
      </c>
      <c r="D7802" s="201">
        <v>-427</v>
      </c>
      <c r="E7802" s="201">
        <v>478</v>
      </c>
      <c r="F7802">
        <v>-162</v>
      </c>
      <c r="G7802">
        <v>-311</v>
      </c>
      <c r="H7802">
        <v>435</v>
      </c>
      <c r="I7802">
        <v>-223</v>
      </c>
      <c r="J7802">
        <v>495</v>
      </c>
    </row>
    <row r="7803" spans="1:10" x14ac:dyDescent="0.25">
      <c r="A7803">
        <v>2420</v>
      </c>
      <c r="B7803" s="201">
        <v>-1837</v>
      </c>
      <c r="C7803">
        <v>-2495</v>
      </c>
      <c r="D7803" s="201">
        <v>-947</v>
      </c>
      <c r="E7803" s="201">
        <v>-359</v>
      </c>
      <c r="F7803">
        <v>0</v>
      </c>
      <c r="G7803">
        <v>0</v>
      </c>
      <c r="H7803">
        <v>-3335</v>
      </c>
      <c r="I7803">
        <v>0</v>
      </c>
      <c r="J7803">
        <v>0</v>
      </c>
    </row>
    <row r="7804" spans="1:10" x14ac:dyDescent="0.25">
      <c r="A7804">
        <v>0</v>
      </c>
      <c r="B7804" s="201">
        <v>-416</v>
      </c>
      <c r="C7804">
        <v>-877</v>
      </c>
      <c r="D7804" s="201">
        <v>0</v>
      </c>
      <c r="E7804" s="201">
        <v>0</v>
      </c>
      <c r="F7804">
        <v>0</v>
      </c>
      <c r="G7804">
        <v>0</v>
      </c>
      <c r="H7804">
        <v>0</v>
      </c>
      <c r="I7804">
        <v>0</v>
      </c>
      <c r="J7804">
        <v>279</v>
      </c>
    </row>
    <row r="7805" spans="1:10" x14ac:dyDescent="0.25">
      <c r="A7805">
        <v>0</v>
      </c>
      <c r="B7805" s="201">
        <v>0</v>
      </c>
      <c r="C7805">
        <v>-831</v>
      </c>
      <c r="D7805" s="201">
        <v>0</v>
      </c>
      <c r="E7805" s="201">
        <v>983</v>
      </c>
      <c r="F7805">
        <v>0</v>
      </c>
      <c r="G7805">
        <v>1145</v>
      </c>
      <c r="H7805">
        <v>-1047</v>
      </c>
      <c r="I7805">
        <v>372</v>
      </c>
      <c r="J7805">
        <v>-1430</v>
      </c>
    </row>
    <row r="7806" spans="1:10" x14ac:dyDescent="0.25">
      <c r="A7806">
        <v>0</v>
      </c>
      <c r="B7806" s="201">
        <v>1215</v>
      </c>
      <c r="C7806">
        <v>-99</v>
      </c>
      <c r="D7806" s="201">
        <v>11</v>
      </c>
      <c r="E7806" s="201">
        <v>-228</v>
      </c>
      <c r="F7806">
        <v>-1605</v>
      </c>
      <c r="G7806">
        <v>0</v>
      </c>
      <c r="H7806">
        <v>0</v>
      </c>
      <c r="I7806">
        <v>474</v>
      </c>
      <c r="J7806">
        <v>0</v>
      </c>
    </row>
    <row r="7807" spans="1:10" x14ac:dyDescent="0.25">
      <c r="A7807">
        <v>0</v>
      </c>
      <c r="B7807" s="201">
        <v>0</v>
      </c>
      <c r="C7807">
        <v>0</v>
      </c>
      <c r="D7807" s="201">
        <v>0</v>
      </c>
      <c r="E7807" s="201">
        <v>1669</v>
      </c>
      <c r="F7807">
        <v>0</v>
      </c>
      <c r="G7807">
        <v>0</v>
      </c>
      <c r="H7807">
        <v>0</v>
      </c>
      <c r="I7807">
        <v>1026</v>
      </c>
      <c r="J7807">
        <v>0</v>
      </c>
    </row>
    <row r="7808" spans="1:10" x14ac:dyDescent="0.25">
      <c r="A7808">
        <v>0</v>
      </c>
      <c r="B7808" s="201">
        <v>0</v>
      </c>
      <c r="C7808">
        <v>0</v>
      </c>
      <c r="D7808" s="201">
        <v>0</v>
      </c>
      <c r="E7808" s="201">
        <v>0</v>
      </c>
      <c r="F7808">
        <v>0</v>
      </c>
      <c r="G7808">
        <v>-1511</v>
      </c>
      <c r="H7808">
        <v>0</v>
      </c>
      <c r="I7808">
        <v>-396</v>
      </c>
      <c r="J7808">
        <v>924</v>
      </c>
    </row>
    <row r="7809" spans="1:10" x14ac:dyDescent="0.25">
      <c r="A7809">
        <v>0</v>
      </c>
      <c r="B7809" s="201">
        <v>22</v>
      </c>
      <c r="C7809" s="201">
        <v>0</v>
      </c>
      <c r="D7809" s="201">
        <v>5920</v>
      </c>
      <c r="E7809" s="201">
        <v>1302</v>
      </c>
      <c r="F7809">
        <v>0</v>
      </c>
      <c r="G7809">
        <v>1846</v>
      </c>
      <c r="H7809">
        <v>0</v>
      </c>
      <c r="I7809">
        <v>0</v>
      </c>
      <c r="J7809">
        <v>0</v>
      </c>
    </row>
    <row r="7810" spans="1:10" x14ac:dyDescent="0.25">
      <c r="A7810" s="201">
        <v>0</v>
      </c>
      <c r="B7810" s="201">
        <v>-1656</v>
      </c>
      <c r="C7810">
        <v>-2453</v>
      </c>
      <c r="D7810" s="201">
        <v>-1971</v>
      </c>
      <c r="E7810" s="201">
        <v>0</v>
      </c>
      <c r="F7810">
        <v>0</v>
      </c>
      <c r="G7810">
        <v>-4881</v>
      </c>
      <c r="H7810">
        <v>1503</v>
      </c>
      <c r="I7810">
        <v>0</v>
      </c>
      <c r="J7810">
        <v>1061</v>
      </c>
    </row>
    <row r="7811" spans="1:10" x14ac:dyDescent="0.25">
      <c r="A7811">
        <v>-472</v>
      </c>
      <c r="B7811" s="201">
        <v>-428</v>
      </c>
      <c r="C7811">
        <v>1706</v>
      </c>
      <c r="D7811" s="201">
        <v>-1089</v>
      </c>
      <c r="E7811" s="201">
        <v>-3914</v>
      </c>
      <c r="F7811">
        <v>-922</v>
      </c>
      <c r="G7811">
        <v>0</v>
      </c>
      <c r="H7811">
        <v>0</v>
      </c>
      <c r="I7811">
        <v>0</v>
      </c>
      <c r="J7811">
        <v>0</v>
      </c>
    </row>
    <row r="7812" spans="1:10" x14ac:dyDescent="0.25">
      <c r="A7812" s="201">
        <v>0</v>
      </c>
      <c r="B7812" s="201">
        <v>-128</v>
      </c>
      <c r="C7812">
        <v>0</v>
      </c>
      <c r="D7812" s="201">
        <v>-940</v>
      </c>
      <c r="E7812" s="201">
        <v>487</v>
      </c>
      <c r="F7812">
        <v>-1</v>
      </c>
      <c r="G7812">
        <v>-760</v>
      </c>
      <c r="H7812">
        <v>0</v>
      </c>
      <c r="I7812">
        <v>12324</v>
      </c>
      <c r="J7812">
        <v>-1457</v>
      </c>
    </row>
    <row r="7813" spans="1:10" x14ac:dyDescent="0.25">
      <c r="A7813" s="201">
        <v>-977</v>
      </c>
      <c r="B7813" s="201">
        <v>295</v>
      </c>
      <c r="C7813">
        <v>833</v>
      </c>
      <c r="D7813" s="201">
        <v>0</v>
      </c>
      <c r="E7813" s="201">
        <v>448</v>
      </c>
      <c r="F7813">
        <v>2982</v>
      </c>
      <c r="G7813">
        <v>-325</v>
      </c>
      <c r="H7813">
        <v>143</v>
      </c>
      <c r="I7813">
        <v>0</v>
      </c>
      <c r="J7813">
        <v>2839</v>
      </c>
    </row>
    <row r="7814" spans="1:10" x14ac:dyDescent="0.25">
      <c r="A7814">
        <v>-439</v>
      </c>
      <c r="B7814" s="201">
        <v>0</v>
      </c>
      <c r="C7814">
        <v>0</v>
      </c>
      <c r="D7814" s="201">
        <v>0</v>
      </c>
      <c r="E7814" s="201">
        <v>9</v>
      </c>
      <c r="F7814">
        <v>1148</v>
      </c>
      <c r="G7814">
        <v>0</v>
      </c>
      <c r="H7814">
        <v>359</v>
      </c>
      <c r="I7814">
        <v>-2258</v>
      </c>
      <c r="J7814">
        <v>56</v>
      </c>
    </row>
    <row r="7815" spans="1:10" x14ac:dyDescent="0.25">
      <c r="A7815" s="201">
        <v>972</v>
      </c>
      <c r="B7815" s="201">
        <v>0</v>
      </c>
      <c r="C7815">
        <v>0</v>
      </c>
      <c r="D7815" s="201">
        <v>0</v>
      </c>
      <c r="E7815" s="201">
        <v>0</v>
      </c>
      <c r="F7815">
        <v>0</v>
      </c>
      <c r="G7815">
        <v>-6931</v>
      </c>
      <c r="H7815">
        <v>0</v>
      </c>
      <c r="I7815">
        <v>946</v>
      </c>
      <c r="J7815">
        <v>-227</v>
      </c>
    </row>
    <row r="7816" spans="1:10" x14ac:dyDescent="0.25">
      <c r="A7816" s="201">
        <v>-1308</v>
      </c>
      <c r="B7816" s="201">
        <v>-1397</v>
      </c>
      <c r="C7816" s="201">
        <v>0</v>
      </c>
      <c r="D7816" s="201">
        <v>12445</v>
      </c>
      <c r="E7816" s="201">
        <v>-1524</v>
      </c>
      <c r="F7816">
        <v>8</v>
      </c>
      <c r="G7816">
        <v>3086</v>
      </c>
      <c r="H7816">
        <v>898</v>
      </c>
      <c r="I7816">
        <v>-71</v>
      </c>
      <c r="J7816">
        <v>983</v>
      </c>
    </row>
    <row r="7817" spans="1:10" x14ac:dyDescent="0.25">
      <c r="A7817">
        <v>3365</v>
      </c>
      <c r="B7817" s="201">
        <v>0</v>
      </c>
      <c r="C7817">
        <v>-2806</v>
      </c>
      <c r="D7817" s="201">
        <v>0</v>
      </c>
      <c r="E7817" s="201">
        <v>0</v>
      </c>
      <c r="F7817">
        <v>-198</v>
      </c>
      <c r="G7817">
        <v>-3787</v>
      </c>
      <c r="H7817">
        <v>0</v>
      </c>
      <c r="I7817">
        <v>-544</v>
      </c>
      <c r="J7817">
        <v>0</v>
      </c>
    </row>
    <row r="7818" spans="1:10" x14ac:dyDescent="0.25">
      <c r="A7818">
        <v>0</v>
      </c>
      <c r="B7818" s="201">
        <v>1097</v>
      </c>
      <c r="C7818">
        <v>0</v>
      </c>
      <c r="D7818" s="201">
        <v>872</v>
      </c>
      <c r="E7818" s="201">
        <v>-1347</v>
      </c>
      <c r="F7818">
        <v>1116</v>
      </c>
      <c r="G7818">
        <v>0</v>
      </c>
      <c r="H7818">
        <v>0</v>
      </c>
      <c r="I7818">
        <v>0</v>
      </c>
      <c r="J7818">
        <v>0</v>
      </c>
    </row>
    <row r="7819" spans="1:10" x14ac:dyDescent="0.25">
      <c r="A7819" s="201">
        <v>0</v>
      </c>
      <c r="B7819" s="201">
        <v>-6873</v>
      </c>
      <c r="C7819">
        <v>0</v>
      </c>
      <c r="D7819" s="201">
        <v>1255</v>
      </c>
      <c r="E7819" s="201">
        <v>-1206</v>
      </c>
      <c r="F7819">
        <v>876</v>
      </c>
      <c r="G7819">
        <v>-933</v>
      </c>
      <c r="H7819">
        <v>0</v>
      </c>
      <c r="I7819">
        <v>15713</v>
      </c>
      <c r="J7819">
        <v>424</v>
      </c>
    </row>
    <row r="7820" spans="1:10" x14ac:dyDescent="0.25">
      <c r="A7820" s="201">
        <v>-1297</v>
      </c>
      <c r="B7820" s="201">
        <v>0</v>
      </c>
      <c r="C7820">
        <v>0</v>
      </c>
      <c r="D7820" s="201">
        <v>0</v>
      </c>
      <c r="E7820" s="201">
        <v>1323</v>
      </c>
      <c r="F7820">
        <v>2360</v>
      </c>
      <c r="G7820">
        <v>138</v>
      </c>
      <c r="H7820">
        <v>-1292</v>
      </c>
      <c r="I7820">
        <v>-961</v>
      </c>
      <c r="J7820">
        <v>0</v>
      </c>
    </row>
    <row r="7821" spans="1:10" x14ac:dyDescent="0.25">
      <c r="A7821">
        <v>-2274</v>
      </c>
      <c r="B7821" s="201">
        <v>0</v>
      </c>
      <c r="C7821">
        <v>0</v>
      </c>
      <c r="D7821" s="201">
        <v>437</v>
      </c>
      <c r="E7821" s="201">
        <v>0</v>
      </c>
      <c r="F7821">
        <v>1301</v>
      </c>
      <c r="G7821">
        <v>0</v>
      </c>
      <c r="H7821">
        <v>166</v>
      </c>
      <c r="I7821">
        <v>0</v>
      </c>
      <c r="J7821">
        <v>0</v>
      </c>
    </row>
    <row r="7822" spans="1:10" x14ac:dyDescent="0.25">
      <c r="A7822">
        <v>0</v>
      </c>
      <c r="B7822" s="201">
        <v>0</v>
      </c>
      <c r="C7822">
        <v>0</v>
      </c>
      <c r="D7822" s="201">
        <v>0</v>
      </c>
      <c r="E7822" s="201">
        <v>0</v>
      </c>
      <c r="F7822">
        <v>0</v>
      </c>
      <c r="G7822">
        <v>-8975</v>
      </c>
      <c r="H7822">
        <v>0</v>
      </c>
      <c r="I7822">
        <v>-1151</v>
      </c>
      <c r="J7822">
        <v>-1017</v>
      </c>
    </row>
    <row r="7823" spans="1:10" x14ac:dyDescent="0.25">
      <c r="A7823" s="201">
        <v>876</v>
      </c>
      <c r="B7823" s="201">
        <v>-121</v>
      </c>
      <c r="C7823" s="201">
        <v>0</v>
      </c>
      <c r="D7823" s="201">
        <v>13781</v>
      </c>
      <c r="E7823" s="201">
        <v>396</v>
      </c>
      <c r="F7823">
        <v>0</v>
      </c>
      <c r="G7823">
        <v>0</v>
      </c>
      <c r="H7823">
        <v>0</v>
      </c>
      <c r="I7823">
        <v>0</v>
      </c>
      <c r="J7823">
        <v>0</v>
      </c>
    </row>
    <row r="7824" spans="1:10" x14ac:dyDescent="0.25">
      <c r="A7824" s="201">
        <v>2533</v>
      </c>
      <c r="B7824" s="201">
        <v>-5033</v>
      </c>
      <c r="C7824">
        <v>-1759</v>
      </c>
      <c r="D7824" s="201">
        <v>154</v>
      </c>
      <c r="E7824" s="201">
        <v>3687</v>
      </c>
      <c r="F7824">
        <v>-3388</v>
      </c>
      <c r="G7824">
        <v>0</v>
      </c>
      <c r="H7824">
        <v>0</v>
      </c>
      <c r="I7824">
        <v>0</v>
      </c>
      <c r="J7824">
        <v>0</v>
      </c>
    </row>
    <row r="7825" spans="1:10" x14ac:dyDescent="0.25">
      <c r="A7825">
        <v>1920</v>
      </c>
      <c r="B7825" s="201">
        <v>0</v>
      </c>
      <c r="C7825">
        <v>954</v>
      </c>
      <c r="D7825" s="201">
        <v>0</v>
      </c>
      <c r="E7825" s="201">
        <v>0</v>
      </c>
      <c r="F7825">
        <v>195</v>
      </c>
      <c r="G7825">
        <v>-465</v>
      </c>
      <c r="H7825">
        <v>0</v>
      </c>
      <c r="I7825">
        <v>0</v>
      </c>
      <c r="J7825">
        <v>0</v>
      </c>
    </row>
    <row r="7826" spans="1:10" x14ac:dyDescent="0.25">
      <c r="A7826">
        <v>0</v>
      </c>
      <c r="B7826" s="201">
        <v>-6297</v>
      </c>
      <c r="C7826">
        <v>0</v>
      </c>
      <c r="D7826" s="201">
        <v>-480</v>
      </c>
      <c r="E7826" s="201">
        <v>238</v>
      </c>
      <c r="F7826">
        <v>1216</v>
      </c>
      <c r="G7826">
        <v>-728</v>
      </c>
      <c r="H7826">
        <v>-728</v>
      </c>
      <c r="I7826">
        <v>954</v>
      </c>
      <c r="J7826">
        <v>418</v>
      </c>
    </row>
    <row r="7827" spans="1:10" x14ac:dyDescent="0.25">
      <c r="A7827">
        <v>958</v>
      </c>
      <c r="B7827" s="201">
        <v>2855</v>
      </c>
      <c r="C7827">
        <v>1723</v>
      </c>
      <c r="D7827" s="201">
        <v>7088</v>
      </c>
      <c r="E7827" s="201">
        <v>0</v>
      </c>
      <c r="F7827">
        <v>0</v>
      </c>
      <c r="G7827">
        <v>0</v>
      </c>
      <c r="H7827">
        <v>0</v>
      </c>
      <c r="I7827">
        <v>0</v>
      </c>
      <c r="J7827">
        <v>0</v>
      </c>
    </row>
    <row r="7828" spans="1:10" x14ac:dyDescent="0.25">
      <c r="A7828">
        <v>0</v>
      </c>
      <c r="B7828" s="201">
        <v>109</v>
      </c>
      <c r="C7828" s="201">
        <v>222</v>
      </c>
      <c r="D7828" s="201">
        <v>184</v>
      </c>
      <c r="E7828" s="201">
        <v>-897</v>
      </c>
      <c r="F7828">
        <v>2146</v>
      </c>
      <c r="G7828">
        <v>-722</v>
      </c>
      <c r="H7828">
        <v>0</v>
      </c>
      <c r="I7828">
        <v>0</v>
      </c>
      <c r="J7828">
        <v>-505</v>
      </c>
    </row>
    <row r="7829" spans="1:10" x14ac:dyDescent="0.25">
      <c r="A7829">
        <v>0</v>
      </c>
      <c r="B7829" s="201">
        <v>-8036</v>
      </c>
      <c r="C7829" s="201">
        <v>-8611</v>
      </c>
      <c r="D7829" s="201">
        <v>0</v>
      </c>
      <c r="E7829" s="201">
        <v>542</v>
      </c>
      <c r="F7829">
        <v>-79</v>
      </c>
      <c r="G7829">
        <v>2658</v>
      </c>
      <c r="H7829">
        <v>0</v>
      </c>
      <c r="I7829">
        <v>0</v>
      </c>
      <c r="J7829">
        <v>0</v>
      </c>
    </row>
    <row r="7830" spans="1:10" x14ac:dyDescent="0.25">
      <c r="A7830">
        <v>798</v>
      </c>
      <c r="B7830" s="201">
        <v>0</v>
      </c>
      <c r="C7830">
        <v>-1819</v>
      </c>
      <c r="D7830" s="201">
        <v>-1570</v>
      </c>
      <c r="E7830" s="201">
        <v>0</v>
      </c>
      <c r="F7830">
        <v>0</v>
      </c>
      <c r="G7830">
        <v>0</v>
      </c>
      <c r="H7830">
        <v>0</v>
      </c>
      <c r="I7830">
        <v>0</v>
      </c>
      <c r="J7830">
        <v>0</v>
      </c>
    </row>
    <row r="7831" spans="1:10" x14ac:dyDescent="0.25">
      <c r="A7831">
        <v>0</v>
      </c>
      <c r="B7831" s="201">
        <v>0</v>
      </c>
      <c r="C7831">
        <v>0</v>
      </c>
      <c r="D7831" s="201">
        <v>0</v>
      </c>
      <c r="E7831" s="201">
        <v>0</v>
      </c>
      <c r="F7831">
        <v>0</v>
      </c>
      <c r="G7831">
        <v>0</v>
      </c>
      <c r="H7831">
        <v>0</v>
      </c>
      <c r="I7831">
        <v>0</v>
      </c>
      <c r="J7831">
        <v>-432</v>
      </c>
    </row>
    <row r="7832" spans="1:10" x14ac:dyDescent="0.25">
      <c r="A7832" s="201">
        <v>0</v>
      </c>
      <c r="B7832" s="201">
        <v>0</v>
      </c>
      <c r="C7832">
        <v>0</v>
      </c>
      <c r="D7832" s="201">
        <v>0</v>
      </c>
      <c r="E7832" s="201">
        <v>764</v>
      </c>
      <c r="F7832">
        <v>1367</v>
      </c>
      <c r="G7832">
        <v>632</v>
      </c>
      <c r="H7832">
        <v>0</v>
      </c>
      <c r="I7832">
        <v>-254</v>
      </c>
      <c r="J7832">
        <v>1164</v>
      </c>
    </row>
    <row r="7833" spans="1:10" x14ac:dyDescent="0.25">
      <c r="A7833" s="201">
        <v>-476</v>
      </c>
      <c r="B7833" s="201">
        <v>-725</v>
      </c>
      <c r="C7833">
        <v>296</v>
      </c>
      <c r="D7833" s="201">
        <v>1362</v>
      </c>
      <c r="E7833" s="201">
        <v>285</v>
      </c>
      <c r="F7833">
        <v>2191</v>
      </c>
      <c r="G7833">
        <v>-1512</v>
      </c>
      <c r="H7833">
        <v>-1007</v>
      </c>
      <c r="I7833">
        <v>2361</v>
      </c>
      <c r="J7833">
        <v>-123</v>
      </c>
    </row>
    <row r="7834" spans="1:10" x14ac:dyDescent="0.25">
      <c r="A7834" s="201">
        <v>1154</v>
      </c>
      <c r="B7834" s="201">
        <v>702</v>
      </c>
      <c r="C7834">
        <v>663</v>
      </c>
      <c r="D7834" s="201">
        <v>123</v>
      </c>
      <c r="E7834" s="201">
        <v>-108</v>
      </c>
      <c r="F7834">
        <v>0</v>
      </c>
      <c r="G7834">
        <v>-1285</v>
      </c>
      <c r="H7834">
        <v>1039</v>
      </c>
      <c r="I7834">
        <v>574</v>
      </c>
      <c r="J7834">
        <v>-56</v>
      </c>
    </row>
    <row r="7835" spans="1:10" x14ac:dyDescent="0.25">
      <c r="A7835" s="201">
        <v>-696</v>
      </c>
      <c r="B7835" s="201">
        <v>1567</v>
      </c>
      <c r="C7835">
        <v>1221</v>
      </c>
      <c r="D7835" s="201">
        <v>351</v>
      </c>
      <c r="E7835" s="201">
        <v>298</v>
      </c>
      <c r="F7835">
        <v>469</v>
      </c>
      <c r="G7835">
        <v>734</v>
      </c>
      <c r="H7835">
        <v>736</v>
      </c>
      <c r="I7835">
        <v>-812</v>
      </c>
      <c r="J7835">
        <v>1254</v>
      </c>
    </row>
    <row r="7836" spans="1:10" x14ac:dyDescent="0.25">
      <c r="A7836" s="201">
        <v>2006</v>
      </c>
      <c r="B7836" s="201">
        <v>-857</v>
      </c>
      <c r="C7836">
        <v>-389</v>
      </c>
      <c r="D7836" s="201">
        <v>1963</v>
      </c>
      <c r="E7836" s="201">
        <v>1635</v>
      </c>
      <c r="F7836">
        <v>765</v>
      </c>
      <c r="G7836">
        <v>2380</v>
      </c>
      <c r="H7836">
        <v>6359</v>
      </c>
      <c r="I7836">
        <v>7469</v>
      </c>
      <c r="J7836">
        <v>8110</v>
      </c>
    </row>
    <row r="7837" spans="1:10" x14ac:dyDescent="0.25">
      <c r="A7837" s="201">
        <v>9153</v>
      </c>
      <c r="B7837" s="201">
        <v>7894</v>
      </c>
      <c r="C7837" s="201">
        <v>2707</v>
      </c>
      <c r="D7837" s="201">
        <v>3646</v>
      </c>
      <c r="E7837" s="201">
        <v>1457</v>
      </c>
      <c r="F7837">
        <v>2750</v>
      </c>
      <c r="G7837">
        <v>2123</v>
      </c>
      <c r="H7837">
        <v>-2485</v>
      </c>
      <c r="I7837">
        <v>-2760</v>
      </c>
      <c r="J7837">
        <v>-2375</v>
      </c>
    </row>
    <row r="7838" spans="1:10" x14ac:dyDescent="0.25">
      <c r="A7838" s="201">
        <v>-3750</v>
      </c>
      <c r="B7838" s="201">
        <v>-2170</v>
      </c>
      <c r="C7838">
        <v>-1933</v>
      </c>
      <c r="D7838" s="201">
        <v>-2294</v>
      </c>
      <c r="E7838" s="201">
        <v>-2757</v>
      </c>
      <c r="F7838">
        <v>-3574</v>
      </c>
      <c r="G7838">
        <v>1053</v>
      </c>
      <c r="H7838">
        <v>1355</v>
      </c>
      <c r="I7838">
        <v>1029</v>
      </c>
      <c r="J7838">
        <v>649</v>
      </c>
    </row>
    <row r="7839" spans="1:10" x14ac:dyDescent="0.25">
      <c r="A7839" s="201">
        <v>1369</v>
      </c>
      <c r="B7839" s="201">
        <v>283</v>
      </c>
      <c r="C7839">
        <v>-778</v>
      </c>
      <c r="D7839" s="201">
        <v>1</v>
      </c>
      <c r="E7839" s="201">
        <v>340</v>
      </c>
      <c r="F7839">
        <v>902</v>
      </c>
      <c r="G7839">
        <v>-642</v>
      </c>
      <c r="H7839">
        <v>-521</v>
      </c>
      <c r="I7839">
        <v>-511</v>
      </c>
      <c r="J7839">
        <v>155</v>
      </c>
    </row>
    <row r="7840" spans="1:10" x14ac:dyDescent="0.25">
      <c r="A7840" s="201">
        <v>-1238</v>
      </c>
      <c r="B7840" s="201">
        <v>259</v>
      </c>
      <c r="C7840">
        <v>-227</v>
      </c>
      <c r="D7840" s="201">
        <v>609</v>
      </c>
      <c r="E7840" s="201">
        <v>207</v>
      </c>
      <c r="F7840">
        <v>1759</v>
      </c>
      <c r="G7840">
        <v>1470</v>
      </c>
      <c r="H7840">
        <v>1300</v>
      </c>
      <c r="I7840">
        <v>1605</v>
      </c>
      <c r="J7840">
        <v>1248</v>
      </c>
    </row>
    <row r="7841" spans="1:10" x14ac:dyDescent="0.25">
      <c r="A7841">
        <v>1135</v>
      </c>
      <c r="B7841" s="201">
        <v>-1617</v>
      </c>
      <c r="C7841">
        <v>-470</v>
      </c>
      <c r="D7841" s="201">
        <v>21675</v>
      </c>
      <c r="E7841" s="201">
        <v>2551</v>
      </c>
      <c r="F7841">
        <v>-4399</v>
      </c>
      <c r="G7841">
        <v>362</v>
      </c>
      <c r="H7841">
        <v>949</v>
      </c>
      <c r="I7841">
        <v>1</v>
      </c>
      <c r="J7841">
        <v>442</v>
      </c>
    </row>
    <row r="7842" spans="1:10" x14ac:dyDescent="0.25">
      <c r="A7842">
        <v>0</v>
      </c>
      <c r="B7842" s="201">
        <v>0</v>
      </c>
      <c r="C7842">
        <v>436</v>
      </c>
      <c r="D7842" s="201">
        <v>0</v>
      </c>
      <c r="E7842" s="201">
        <v>0</v>
      </c>
      <c r="F7842">
        <v>0</v>
      </c>
      <c r="G7842">
        <v>207</v>
      </c>
      <c r="H7842">
        <v>-118</v>
      </c>
      <c r="I7842">
        <v>0</v>
      </c>
      <c r="J7842">
        <v>0</v>
      </c>
    </row>
    <row r="7843" spans="1:10" x14ac:dyDescent="0.25">
      <c r="A7843">
        <v>0</v>
      </c>
      <c r="B7843" s="201">
        <v>0</v>
      </c>
      <c r="C7843">
        <v>0</v>
      </c>
      <c r="D7843" s="201">
        <v>0</v>
      </c>
      <c r="E7843" s="201">
        <v>1325</v>
      </c>
      <c r="F7843">
        <v>0</v>
      </c>
      <c r="G7843">
        <v>0</v>
      </c>
      <c r="H7843">
        <v>-239</v>
      </c>
      <c r="I7843">
        <v>0</v>
      </c>
      <c r="J7843">
        <v>10</v>
      </c>
    </row>
    <row r="7844" spans="1:10" x14ac:dyDescent="0.25">
      <c r="A7844" s="201">
        <v>0</v>
      </c>
      <c r="B7844" s="201">
        <v>-86</v>
      </c>
      <c r="C7844">
        <v>884</v>
      </c>
      <c r="D7844" s="201">
        <v>-311</v>
      </c>
      <c r="E7844" s="201">
        <v>1440</v>
      </c>
      <c r="F7844">
        <v>0</v>
      </c>
      <c r="G7844">
        <v>-2038</v>
      </c>
      <c r="H7844">
        <v>-2335</v>
      </c>
      <c r="I7844">
        <v>-1393</v>
      </c>
      <c r="J7844">
        <v>-431</v>
      </c>
    </row>
    <row r="7845" spans="1:10" x14ac:dyDescent="0.25">
      <c r="A7845">
        <v>7822</v>
      </c>
      <c r="B7845" s="201">
        <v>0</v>
      </c>
      <c r="C7845">
        <v>0</v>
      </c>
      <c r="D7845" s="201">
        <v>1660</v>
      </c>
      <c r="E7845" s="201">
        <v>0</v>
      </c>
      <c r="F7845">
        <v>0</v>
      </c>
      <c r="G7845">
        <v>0</v>
      </c>
      <c r="H7845">
        <v>0</v>
      </c>
      <c r="I7845">
        <v>0</v>
      </c>
      <c r="J7845">
        <v>150</v>
      </c>
    </row>
    <row r="7846" spans="1:10" x14ac:dyDescent="0.25">
      <c r="A7846">
        <v>0</v>
      </c>
      <c r="B7846" s="201">
        <v>0</v>
      </c>
      <c r="C7846">
        <v>0</v>
      </c>
      <c r="D7846" s="201">
        <v>1014</v>
      </c>
      <c r="E7846" s="201">
        <v>0</v>
      </c>
      <c r="F7846">
        <v>0</v>
      </c>
      <c r="G7846">
        <v>0</v>
      </c>
      <c r="H7846">
        <v>0</v>
      </c>
      <c r="I7846">
        <v>0</v>
      </c>
      <c r="J7846">
        <v>0</v>
      </c>
    </row>
    <row r="7847" spans="1:10" x14ac:dyDescent="0.25">
      <c r="A7847">
        <v>0</v>
      </c>
      <c r="B7847" s="201">
        <v>-4507</v>
      </c>
      <c r="C7847">
        <v>0</v>
      </c>
      <c r="D7847" s="201">
        <v>5193</v>
      </c>
      <c r="E7847" s="201">
        <v>-3440</v>
      </c>
      <c r="F7847">
        <v>0</v>
      </c>
      <c r="G7847">
        <v>300</v>
      </c>
      <c r="H7847">
        <v>0</v>
      </c>
      <c r="I7847">
        <v>11008</v>
      </c>
      <c r="J7847">
        <v>-2381</v>
      </c>
    </row>
    <row r="7848" spans="1:10" x14ac:dyDescent="0.25">
      <c r="A7848">
        <v>0</v>
      </c>
      <c r="B7848" s="201">
        <v>3452</v>
      </c>
      <c r="C7848">
        <v>0</v>
      </c>
      <c r="D7848" s="201">
        <v>0</v>
      </c>
      <c r="E7848" s="201">
        <v>0</v>
      </c>
      <c r="F7848">
        <v>0</v>
      </c>
      <c r="G7848">
        <v>16510</v>
      </c>
      <c r="H7848">
        <v>1560</v>
      </c>
      <c r="I7848">
        <v>426</v>
      </c>
      <c r="J7848">
        <v>0</v>
      </c>
    </row>
    <row r="7849" spans="1:10" x14ac:dyDescent="0.25">
      <c r="A7849" s="201">
        <v>0</v>
      </c>
      <c r="B7849" s="201">
        <v>3627</v>
      </c>
      <c r="C7849">
        <v>283</v>
      </c>
      <c r="D7849" s="201">
        <v>0</v>
      </c>
      <c r="E7849" s="201">
        <v>811</v>
      </c>
      <c r="F7849">
        <v>2722</v>
      </c>
      <c r="G7849">
        <v>1234</v>
      </c>
      <c r="H7849">
        <v>2676</v>
      </c>
      <c r="I7849">
        <v>2981</v>
      </c>
      <c r="J7849">
        <v>5231</v>
      </c>
    </row>
    <row r="7850" spans="1:10" x14ac:dyDescent="0.25">
      <c r="A7850" s="201">
        <v>4008</v>
      </c>
      <c r="B7850" s="201">
        <v>0</v>
      </c>
      <c r="C7850">
        <v>0</v>
      </c>
      <c r="D7850" s="201">
        <v>0</v>
      </c>
      <c r="E7850" s="201">
        <v>0</v>
      </c>
      <c r="F7850">
        <v>0</v>
      </c>
      <c r="G7850">
        <v>-16190</v>
      </c>
      <c r="H7850">
        <v>0</v>
      </c>
      <c r="I7850">
        <v>206</v>
      </c>
      <c r="J7850">
        <v>3235</v>
      </c>
    </row>
    <row r="7851" spans="1:10" x14ac:dyDescent="0.25">
      <c r="A7851" s="201">
        <v>-5973</v>
      </c>
      <c r="B7851" s="201">
        <v>2566</v>
      </c>
      <c r="C7851">
        <v>0</v>
      </c>
      <c r="D7851" s="201">
        <v>-502</v>
      </c>
      <c r="E7851" s="201">
        <v>-340</v>
      </c>
      <c r="F7851">
        <v>552</v>
      </c>
      <c r="G7851">
        <v>1435</v>
      </c>
      <c r="H7851">
        <v>865</v>
      </c>
      <c r="I7851">
        <v>0</v>
      </c>
      <c r="J7851">
        <v>-3014</v>
      </c>
    </row>
    <row r="7852" spans="1:10" x14ac:dyDescent="0.25">
      <c r="A7852" s="201">
        <v>-18397</v>
      </c>
      <c r="B7852" s="201">
        <v>-440</v>
      </c>
      <c r="C7852" s="201">
        <v>917</v>
      </c>
      <c r="D7852" s="201">
        <v>0</v>
      </c>
      <c r="E7852" s="201">
        <v>520</v>
      </c>
      <c r="F7852">
        <v>1226</v>
      </c>
      <c r="G7852">
        <v>0</v>
      </c>
      <c r="H7852">
        <v>0</v>
      </c>
      <c r="I7852">
        <v>0</v>
      </c>
      <c r="J7852">
        <v>-365</v>
      </c>
    </row>
    <row r="7853" spans="1:10" x14ac:dyDescent="0.25">
      <c r="A7853">
        <v>-420</v>
      </c>
      <c r="B7853" s="201">
        <v>0</v>
      </c>
      <c r="C7853">
        <v>-1337</v>
      </c>
      <c r="D7853" s="201">
        <v>-928</v>
      </c>
      <c r="E7853" s="201">
        <v>-172</v>
      </c>
      <c r="F7853">
        <v>-281</v>
      </c>
      <c r="G7853">
        <v>0</v>
      </c>
      <c r="H7853">
        <v>0</v>
      </c>
      <c r="I7853">
        <v>0</v>
      </c>
      <c r="J7853">
        <v>0</v>
      </c>
    </row>
    <row r="7854" spans="1:10" x14ac:dyDescent="0.25">
      <c r="A7854">
        <v>0</v>
      </c>
      <c r="B7854" s="201">
        <v>-143</v>
      </c>
      <c r="C7854">
        <v>0</v>
      </c>
      <c r="D7854" s="201">
        <v>224</v>
      </c>
      <c r="E7854" s="201">
        <v>1307</v>
      </c>
      <c r="F7854">
        <v>-543</v>
      </c>
      <c r="G7854">
        <v>553</v>
      </c>
      <c r="H7854">
        <v>0</v>
      </c>
      <c r="I7854">
        <v>2182</v>
      </c>
      <c r="J7854">
        <v>297</v>
      </c>
    </row>
    <row r="7855" spans="1:10" x14ac:dyDescent="0.25">
      <c r="A7855" s="201">
        <v>131</v>
      </c>
      <c r="B7855" s="201">
        <v>1031</v>
      </c>
      <c r="C7855">
        <v>1298</v>
      </c>
      <c r="D7855" s="201">
        <v>-981</v>
      </c>
      <c r="E7855" s="201">
        <v>-417</v>
      </c>
      <c r="F7855">
        <v>-17001</v>
      </c>
      <c r="G7855">
        <v>0</v>
      </c>
      <c r="H7855">
        <v>-1611</v>
      </c>
      <c r="I7855">
        <v>0</v>
      </c>
      <c r="J7855">
        <v>0</v>
      </c>
    </row>
    <row r="7856" spans="1:10" x14ac:dyDescent="0.25">
      <c r="A7856" s="201">
        <v>1974</v>
      </c>
      <c r="B7856" s="201">
        <v>1484</v>
      </c>
      <c r="C7856">
        <v>0</v>
      </c>
      <c r="D7856" s="201">
        <v>21</v>
      </c>
      <c r="E7856" s="201">
        <v>0</v>
      </c>
      <c r="F7856">
        <v>0</v>
      </c>
      <c r="G7856">
        <v>-833</v>
      </c>
      <c r="H7856">
        <v>0</v>
      </c>
      <c r="I7856">
        <v>-644</v>
      </c>
      <c r="J7856">
        <v>481</v>
      </c>
    </row>
    <row r="7857" spans="1:10" x14ac:dyDescent="0.25">
      <c r="A7857" s="201">
        <v>-431</v>
      </c>
      <c r="B7857" s="201">
        <v>0</v>
      </c>
      <c r="C7857">
        <v>0</v>
      </c>
      <c r="D7857" s="201">
        <v>0</v>
      </c>
      <c r="E7857" s="201">
        <v>0</v>
      </c>
      <c r="F7857">
        <v>0</v>
      </c>
      <c r="G7857">
        <v>-2655</v>
      </c>
      <c r="H7857">
        <v>0</v>
      </c>
      <c r="I7857">
        <v>-1023</v>
      </c>
      <c r="J7857">
        <v>1427</v>
      </c>
    </row>
    <row r="7858" spans="1:10" x14ac:dyDescent="0.25">
      <c r="A7858" s="201">
        <v>-2015</v>
      </c>
      <c r="B7858" s="201">
        <v>538</v>
      </c>
      <c r="C7858" s="201">
        <v>0</v>
      </c>
      <c r="D7858" s="201">
        <v>132</v>
      </c>
      <c r="E7858" s="201">
        <v>-729</v>
      </c>
      <c r="F7858">
        <v>174</v>
      </c>
      <c r="G7858">
        <v>0</v>
      </c>
      <c r="H7858">
        <v>0</v>
      </c>
      <c r="I7858">
        <v>0</v>
      </c>
      <c r="J7858">
        <v>-3943</v>
      </c>
    </row>
    <row r="7859" spans="1:10" x14ac:dyDescent="0.25">
      <c r="A7859" s="201">
        <v>-19797</v>
      </c>
      <c r="B7859" s="201">
        <v>-754</v>
      </c>
      <c r="C7859">
        <v>-1006</v>
      </c>
      <c r="D7859" s="201">
        <v>-780</v>
      </c>
      <c r="E7859" s="201">
        <v>0</v>
      </c>
      <c r="F7859">
        <v>2079</v>
      </c>
      <c r="G7859">
        <v>0</v>
      </c>
      <c r="H7859">
        <v>0</v>
      </c>
      <c r="I7859">
        <v>-278</v>
      </c>
      <c r="J7859">
        <v>0</v>
      </c>
    </row>
    <row r="7860" spans="1:10" x14ac:dyDescent="0.25">
      <c r="A7860">
        <v>-621</v>
      </c>
      <c r="B7860" s="201">
        <v>0</v>
      </c>
      <c r="C7860">
        <v>-284</v>
      </c>
      <c r="D7860" s="201">
        <v>0</v>
      </c>
      <c r="E7860" s="201">
        <v>0</v>
      </c>
      <c r="F7860">
        <v>0</v>
      </c>
      <c r="G7860">
        <v>0</v>
      </c>
      <c r="H7860">
        <v>0</v>
      </c>
      <c r="I7860">
        <v>0</v>
      </c>
      <c r="J7860">
        <v>0</v>
      </c>
    </row>
    <row r="7861" spans="1:10" x14ac:dyDescent="0.25">
      <c r="A7861">
        <v>0</v>
      </c>
      <c r="B7861" s="201">
        <v>-1207</v>
      </c>
      <c r="C7861">
        <v>0</v>
      </c>
      <c r="D7861" s="201">
        <v>681</v>
      </c>
      <c r="E7861" s="201">
        <v>1338</v>
      </c>
      <c r="F7861">
        <v>-498</v>
      </c>
      <c r="G7861">
        <v>103</v>
      </c>
      <c r="H7861">
        <v>0</v>
      </c>
      <c r="I7861">
        <v>1135</v>
      </c>
      <c r="J7861">
        <v>-348</v>
      </c>
    </row>
    <row r="7862" spans="1:10" x14ac:dyDescent="0.25">
      <c r="A7862" s="201">
        <v>0</v>
      </c>
      <c r="B7862" s="201">
        <v>0</v>
      </c>
      <c r="C7862">
        <v>0</v>
      </c>
      <c r="D7862" s="201">
        <v>0</v>
      </c>
      <c r="E7862" s="201">
        <v>0</v>
      </c>
      <c r="F7862">
        <v>-28340</v>
      </c>
      <c r="G7862">
        <v>-376</v>
      </c>
      <c r="H7862">
        <v>1178</v>
      </c>
      <c r="I7862">
        <v>936</v>
      </c>
      <c r="J7862">
        <v>2495</v>
      </c>
    </row>
    <row r="7863" spans="1:10" x14ac:dyDescent="0.25">
      <c r="A7863">
        <v>4250</v>
      </c>
      <c r="B7863" s="201">
        <v>0</v>
      </c>
      <c r="C7863">
        <v>0</v>
      </c>
      <c r="D7863" s="201">
        <v>0</v>
      </c>
      <c r="E7863" s="201">
        <v>0</v>
      </c>
      <c r="F7863">
        <v>-731</v>
      </c>
      <c r="G7863">
        <v>0</v>
      </c>
      <c r="H7863">
        <v>-746</v>
      </c>
      <c r="I7863">
        <v>0</v>
      </c>
      <c r="J7863">
        <v>0</v>
      </c>
    </row>
    <row r="7864" spans="1:10" x14ac:dyDescent="0.25">
      <c r="A7864" s="201">
        <v>15</v>
      </c>
      <c r="B7864" s="201">
        <v>-832</v>
      </c>
      <c r="C7864">
        <v>0</v>
      </c>
      <c r="D7864" s="201">
        <v>0</v>
      </c>
      <c r="E7864" s="201">
        <v>0</v>
      </c>
      <c r="F7864">
        <v>0</v>
      </c>
      <c r="G7864">
        <v>-2161</v>
      </c>
      <c r="H7864">
        <v>0</v>
      </c>
      <c r="I7864">
        <v>-1603</v>
      </c>
      <c r="J7864">
        <v>1224</v>
      </c>
    </row>
    <row r="7865" spans="1:10" x14ac:dyDescent="0.25">
      <c r="A7865">
        <v>-2280</v>
      </c>
      <c r="B7865" s="201">
        <v>650</v>
      </c>
      <c r="C7865">
        <v>134</v>
      </c>
      <c r="D7865" s="201">
        <v>-903</v>
      </c>
      <c r="E7865" s="201">
        <v>-4071</v>
      </c>
      <c r="F7865">
        <v>-3376</v>
      </c>
      <c r="G7865">
        <v>3610</v>
      </c>
      <c r="H7865">
        <v>2341</v>
      </c>
      <c r="I7865">
        <v>-26056</v>
      </c>
      <c r="J7865">
        <v>0</v>
      </c>
    </row>
    <row r="7866" spans="1:10" x14ac:dyDescent="0.25">
      <c r="A7866" s="201">
        <v>0</v>
      </c>
      <c r="B7866" s="201">
        <v>0</v>
      </c>
      <c r="C7866">
        <v>0</v>
      </c>
      <c r="D7866" s="201">
        <v>0</v>
      </c>
      <c r="E7866" s="201">
        <v>0</v>
      </c>
      <c r="F7866">
        <v>0</v>
      </c>
      <c r="G7866">
        <v>-369</v>
      </c>
      <c r="H7866">
        <v>-834</v>
      </c>
      <c r="I7866">
        <v>-1466</v>
      </c>
      <c r="J7866">
        <v>-771</v>
      </c>
    </row>
    <row r="7867" spans="1:10" x14ac:dyDescent="0.25">
      <c r="A7867" s="201">
        <v>-2122</v>
      </c>
      <c r="B7867" s="201">
        <v>671</v>
      </c>
      <c r="C7867">
        <v>0</v>
      </c>
      <c r="D7867" s="201">
        <v>0</v>
      </c>
      <c r="E7867" s="201">
        <v>-2415</v>
      </c>
      <c r="F7867">
        <v>0</v>
      </c>
      <c r="G7867">
        <v>1715</v>
      </c>
      <c r="H7867">
        <v>3548</v>
      </c>
      <c r="I7867">
        <v>0</v>
      </c>
      <c r="J7867">
        <v>-574</v>
      </c>
    </row>
    <row r="7868" spans="1:10" x14ac:dyDescent="0.25">
      <c r="A7868">
        <v>3657</v>
      </c>
      <c r="B7868" s="201">
        <v>-1211</v>
      </c>
      <c r="C7868">
        <v>0</v>
      </c>
      <c r="D7868" s="201">
        <v>0</v>
      </c>
      <c r="E7868" s="201">
        <v>0</v>
      </c>
      <c r="F7868">
        <v>-237</v>
      </c>
      <c r="G7868">
        <v>0</v>
      </c>
      <c r="H7868">
        <v>954</v>
      </c>
      <c r="I7868">
        <v>20532</v>
      </c>
      <c r="J7868">
        <v>0</v>
      </c>
    </row>
    <row r="7869" spans="1:10" x14ac:dyDescent="0.25">
      <c r="A7869">
        <v>0</v>
      </c>
      <c r="B7869" s="201">
        <v>0</v>
      </c>
      <c r="C7869">
        <v>0</v>
      </c>
      <c r="D7869" s="201">
        <v>0</v>
      </c>
      <c r="E7869" s="201">
        <v>0</v>
      </c>
      <c r="F7869">
        <v>0</v>
      </c>
      <c r="G7869">
        <v>0</v>
      </c>
      <c r="H7869">
        <v>0</v>
      </c>
      <c r="I7869">
        <v>0</v>
      </c>
      <c r="J7869">
        <v>0</v>
      </c>
    </row>
    <row r="7870" spans="1:10" x14ac:dyDescent="0.25">
      <c r="A7870">
        <v>0</v>
      </c>
      <c r="B7870" s="201">
        <v>0</v>
      </c>
      <c r="C7870">
        <v>0</v>
      </c>
      <c r="D7870" s="201">
        <v>0</v>
      </c>
      <c r="E7870" s="201">
        <v>314</v>
      </c>
      <c r="F7870">
        <v>0</v>
      </c>
      <c r="G7870">
        <v>0</v>
      </c>
      <c r="H7870">
        <v>0</v>
      </c>
      <c r="I7870">
        <v>0</v>
      </c>
      <c r="J7870">
        <v>-1147</v>
      </c>
    </row>
    <row r="7871" spans="1:10" x14ac:dyDescent="0.25">
      <c r="A7871" s="201">
        <v>455</v>
      </c>
      <c r="B7871" s="201">
        <v>-349</v>
      </c>
      <c r="C7871" s="201">
        <v>0</v>
      </c>
      <c r="D7871" s="201">
        <v>411</v>
      </c>
      <c r="E7871" s="201">
        <v>-454</v>
      </c>
      <c r="F7871">
        <v>792</v>
      </c>
      <c r="G7871">
        <v>1267</v>
      </c>
      <c r="H7871">
        <v>-1424</v>
      </c>
      <c r="I7871">
        <v>-825</v>
      </c>
      <c r="J7871">
        <v>-1165</v>
      </c>
    </row>
    <row r="7872" spans="1:10" x14ac:dyDescent="0.25">
      <c r="A7872">
        <v>-2836</v>
      </c>
      <c r="B7872" s="201">
        <v>69</v>
      </c>
      <c r="C7872">
        <v>-3096</v>
      </c>
      <c r="D7872" s="201">
        <v>-2071</v>
      </c>
      <c r="E7872" s="201">
        <v>-1990</v>
      </c>
      <c r="F7872">
        <v>-3398</v>
      </c>
      <c r="G7872">
        <v>-3044</v>
      </c>
      <c r="H7872">
        <v>-2809</v>
      </c>
      <c r="I7872">
        <v>167</v>
      </c>
      <c r="J7872">
        <v>13963</v>
      </c>
    </row>
    <row r="7873" spans="1:10" x14ac:dyDescent="0.25">
      <c r="A7873" s="201">
        <v>0</v>
      </c>
      <c r="B7873" s="201">
        <v>5101</v>
      </c>
      <c r="C7873" s="201">
        <v>-95</v>
      </c>
      <c r="D7873" s="201">
        <v>-900</v>
      </c>
      <c r="E7873" s="201">
        <v>43</v>
      </c>
      <c r="F7873">
        <v>-1081</v>
      </c>
      <c r="G7873">
        <v>-814</v>
      </c>
      <c r="H7873">
        <v>-1668</v>
      </c>
      <c r="I7873">
        <v>-1121</v>
      </c>
      <c r="J7873">
        <v>-298</v>
      </c>
    </row>
    <row r="7874" spans="1:10" x14ac:dyDescent="0.25">
      <c r="A7874" s="201">
        <v>-1763</v>
      </c>
      <c r="B7874" s="201">
        <v>-1479</v>
      </c>
      <c r="C7874">
        <v>-1199</v>
      </c>
      <c r="D7874" s="201">
        <v>-2</v>
      </c>
      <c r="E7874" s="201">
        <v>-691</v>
      </c>
      <c r="F7874">
        <v>-603</v>
      </c>
      <c r="G7874">
        <v>-688</v>
      </c>
      <c r="H7874">
        <v>717</v>
      </c>
      <c r="I7874">
        <v>-2349</v>
      </c>
      <c r="J7874">
        <v>-1394</v>
      </c>
    </row>
    <row r="7875" spans="1:10" x14ac:dyDescent="0.25">
      <c r="A7875" s="201">
        <v>-1016</v>
      </c>
      <c r="B7875" s="201">
        <v>-1742</v>
      </c>
      <c r="C7875">
        <v>4010</v>
      </c>
      <c r="D7875" s="201">
        <v>2644</v>
      </c>
      <c r="E7875" s="201">
        <v>2482</v>
      </c>
      <c r="F7875">
        <v>2160</v>
      </c>
      <c r="G7875">
        <v>2122</v>
      </c>
      <c r="H7875">
        <v>-6580</v>
      </c>
      <c r="I7875">
        <v>-1307</v>
      </c>
      <c r="J7875">
        <v>-2994</v>
      </c>
    </row>
    <row r="7876" spans="1:10" x14ac:dyDescent="0.25">
      <c r="A7876" s="201">
        <v>-3121</v>
      </c>
      <c r="B7876" s="201">
        <v>-3330</v>
      </c>
      <c r="C7876">
        <v>3041</v>
      </c>
      <c r="D7876" s="201">
        <v>3866</v>
      </c>
      <c r="E7876" s="201">
        <v>2486</v>
      </c>
      <c r="F7876">
        <v>1796</v>
      </c>
      <c r="G7876">
        <v>1120</v>
      </c>
      <c r="H7876">
        <v>820</v>
      </c>
      <c r="I7876">
        <v>428</v>
      </c>
      <c r="J7876">
        <v>414</v>
      </c>
    </row>
    <row r="7877" spans="1:10" x14ac:dyDescent="0.25">
      <c r="A7877" s="201">
        <v>1499</v>
      </c>
      <c r="B7877" s="201">
        <v>429</v>
      </c>
      <c r="C7877">
        <v>-120</v>
      </c>
      <c r="D7877" s="201">
        <v>48</v>
      </c>
      <c r="E7877" s="201">
        <v>-178</v>
      </c>
      <c r="F7877">
        <v>-256</v>
      </c>
      <c r="G7877">
        <v>568</v>
      </c>
      <c r="H7877">
        <v>2696</v>
      </c>
      <c r="I7877">
        <v>2675</v>
      </c>
      <c r="J7877">
        <v>1420</v>
      </c>
    </row>
    <row r="7878" spans="1:10" x14ac:dyDescent="0.25">
      <c r="A7878" s="201">
        <v>3739</v>
      </c>
      <c r="B7878" s="201">
        <v>1495</v>
      </c>
      <c r="C7878">
        <v>-83</v>
      </c>
      <c r="D7878" s="201">
        <v>825</v>
      </c>
      <c r="E7878" s="201">
        <v>1592</v>
      </c>
      <c r="F7878">
        <v>258</v>
      </c>
      <c r="G7878">
        <v>195</v>
      </c>
      <c r="H7878">
        <v>294</v>
      </c>
      <c r="I7878">
        <v>97</v>
      </c>
      <c r="J7878">
        <v>694</v>
      </c>
    </row>
    <row r="7879" spans="1:10" x14ac:dyDescent="0.25">
      <c r="A7879" s="201">
        <v>1041</v>
      </c>
      <c r="B7879" s="201">
        <v>966</v>
      </c>
      <c r="C7879">
        <v>988</v>
      </c>
      <c r="D7879" s="201">
        <v>831</v>
      </c>
      <c r="E7879" s="201">
        <v>1172</v>
      </c>
      <c r="F7879">
        <v>1124</v>
      </c>
      <c r="G7879">
        <v>1019</v>
      </c>
      <c r="H7879">
        <v>1079</v>
      </c>
      <c r="I7879">
        <v>-8248</v>
      </c>
      <c r="J7879">
        <v>4183</v>
      </c>
    </row>
    <row r="7880" spans="1:10" x14ac:dyDescent="0.25">
      <c r="A7880">
        <v>-18220</v>
      </c>
      <c r="B7880" s="201">
        <v>-1298</v>
      </c>
      <c r="C7880">
        <v>127</v>
      </c>
      <c r="D7880" s="201">
        <v>-958</v>
      </c>
      <c r="E7880" s="201">
        <v>2139</v>
      </c>
      <c r="F7880">
        <v>791</v>
      </c>
      <c r="G7880">
        <v>0</v>
      </c>
      <c r="H7880">
        <v>0</v>
      </c>
      <c r="I7880">
        <v>2206</v>
      </c>
      <c r="J7880">
        <v>0</v>
      </c>
    </row>
    <row r="7881" spans="1:10" x14ac:dyDescent="0.25">
      <c r="A7881" s="201">
        <v>0</v>
      </c>
      <c r="B7881" s="201">
        <v>0</v>
      </c>
      <c r="C7881">
        <v>-364</v>
      </c>
      <c r="D7881" s="201">
        <v>1417</v>
      </c>
      <c r="E7881" s="201">
        <v>0</v>
      </c>
      <c r="F7881">
        <v>0</v>
      </c>
      <c r="G7881">
        <v>0</v>
      </c>
      <c r="H7881">
        <v>0</v>
      </c>
      <c r="I7881">
        <v>0</v>
      </c>
      <c r="J7881">
        <v>0</v>
      </c>
    </row>
    <row r="7882" spans="1:10" x14ac:dyDescent="0.25">
      <c r="A7882">
        <v>-2936</v>
      </c>
      <c r="B7882" s="201">
        <v>0</v>
      </c>
      <c r="C7882">
        <v>0</v>
      </c>
      <c r="D7882" s="201">
        <v>552</v>
      </c>
      <c r="E7882" s="201">
        <v>0</v>
      </c>
      <c r="F7882">
        <v>-784</v>
      </c>
      <c r="G7882">
        <v>0</v>
      </c>
      <c r="H7882">
        <v>-654</v>
      </c>
      <c r="I7882">
        <v>1669</v>
      </c>
      <c r="J7882">
        <v>-71</v>
      </c>
    </row>
    <row r="7883" spans="1:10" x14ac:dyDescent="0.25">
      <c r="A7883">
        <v>464</v>
      </c>
      <c r="B7883" s="201">
        <v>0</v>
      </c>
      <c r="C7883">
        <v>806</v>
      </c>
      <c r="D7883" s="201">
        <v>-762</v>
      </c>
      <c r="E7883" s="201">
        <v>-503</v>
      </c>
      <c r="F7883">
        <v>-168</v>
      </c>
      <c r="G7883">
        <v>-1736</v>
      </c>
      <c r="H7883">
        <v>0</v>
      </c>
      <c r="I7883">
        <v>0</v>
      </c>
      <c r="J7883">
        <v>-366</v>
      </c>
    </row>
    <row r="7884" spans="1:10" x14ac:dyDescent="0.25">
      <c r="A7884">
        <v>0</v>
      </c>
      <c r="B7884" s="201">
        <v>0</v>
      </c>
      <c r="C7884">
        <v>0</v>
      </c>
      <c r="D7884" s="201">
        <v>0</v>
      </c>
      <c r="E7884" s="201">
        <v>0</v>
      </c>
      <c r="F7884">
        <v>-3585</v>
      </c>
      <c r="G7884">
        <v>0</v>
      </c>
      <c r="H7884">
        <v>0</v>
      </c>
      <c r="I7884">
        <v>0</v>
      </c>
      <c r="J7884">
        <v>-553</v>
      </c>
    </row>
    <row r="7885" spans="1:10" x14ac:dyDescent="0.25">
      <c r="A7885" s="201">
        <v>0</v>
      </c>
      <c r="B7885" s="201">
        <v>0</v>
      </c>
      <c r="C7885" s="201">
        <v>0</v>
      </c>
      <c r="D7885" s="201">
        <v>0</v>
      </c>
      <c r="E7885" s="201">
        <v>0</v>
      </c>
      <c r="F7885">
        <v>0</v>
      </c>
      <c r="G7885">
        <v>0</v>
      </c>
      <c r="H7885">
        <v>596</v>
      </c>
      <c r="I7885">
        <v>0</v>
      </c>
      <c r="J7885">
        <v>-456</v>
      </c>
    </row>
    <row r="7886" spans="1:10" x14ac:dyDescent="0.25">
      <c r="A7886">
        <v>-329</v>
      </c>
      <c r="B7886" s="201">
        <v>0</v>
      </c>
      <c r="C7886">
        <v>-1615</v>
      </c>
      <c r="D7886" s="201">
        <v>0</v>
      </c>
      <c r="E7886" s="201">
        <v>-11235</v>
      </c>
      <c r="F7886">
        <v>453</v>
      </c>
      <c r="G7886">
        <v>0</v>
      </c>
      <c r="H7886">
        <v>-1848</v>
      </c>
      <c r="I7886">
        <v>0</v>
      </c>
      <c r="J7886">
        <v>0</v>
      </c>
    </row>
    <row r="7887" spans="1:10" x14ac:dyDescent="0.25">
      <c r="A7887" s="201">
        <v>0</v>
      </c>
      <c r="B7887" s="201">
        <v>0</v>
      </c>
      <c r="C7887">
        <v>8120</v>
      </c>
      <c r="D7887" s="201">
        <v>648</v>
      </c>
      <c r="E7887" s="201">
        <v>529</v>
      </c>
      <c r="F7887">
        <v>0</v>
      </c>
      <c r="G7887">
        <v>0</v>
      </c>
      <c r="H7887">
        <v>1154</v>
      </c>
      <c r="I7887">
        <v>-1163</v>
      </c>
      <c r="J7887">
        <v>0</v>
      </c>
    </row>
    <row r="7888" spans="1:10" x14ac:dyDescent="0.25">
      <c r="A7888">
        <v>-1294</v>
      </c>
      <c r="B7888" s="201">
        <v>-1153</v>
      </c>
      <c r="C7888" s="201">
        <v>-948</v>
      </c>
      <c r="D7888" s="201">
        <v>-2243</v>
      </c>
      <c r="E7888" s="201">
        <v>1092</v>
      </c>
      <c r="F7888">
        <v>-281</v>
      </c>
      <c r="G7888">
        <v>-1839</v>
      </c>
      <c r="H7888">
        <v>0</v>
      </c>
      <c r="I7888">
        <v>0</v>
      </c>
      <c r="J7888">
        <v>0</v>
      </c>
    </row>
    <row r="7889" spans="1:10" x14ac:dyDescent="0.25">
      <c r="A7889" s="201">
        <v>0</v>
      </c>
      <c r="B7889" s="201">
        <v>0</v>
      </c>
      <c r="C7889" s="201">
        <v>-17181</v>
      </c>
      <c r="D7889" s="201">
        <v>0</v>
      </c>
      <c r="E7889" s="201">
        <v>-1077</v>
      </c>
      <c r="F7889">
        <v>-2425</v>
      </c>
      <c r="G7889">
        <v>2073</v>
      </c>
      <c r="H7889">
        <v>-1388</v>
      </c>
      <c r="I7889">
        <v>0</v>
      </c>
      <c r="J7889">
        <v>-17715</v>
      </c>
    </row>
    <row r="7890" spans="1:10" x14ac:dyDescent="0.25">
      <c r="A7890" s="201">
        <v>2233</v>
      </c>
      <c r="B7890" s="201">
        <v>586</v>
      </c>
      <c r="C7890">
        <v>-2087</v>
      </c>
      <c r="D7890" s="201">
        <v>-3458</v>
      </c>
      <c r="E7890" s="201">
        <v>0</v>
      </c>
      <c r="F7890">
        <v>485</v>
      </c>
      <c r="G7890">
        <v>-1085</v>
      </c>
      <c r="H7890">
        <v>1511</v>
      </c>
      <c r="I7890">
        <v>736</v>
      </c>
      <c r="J7890">
        <v>0</v>
      </c>
    </row>
    <row r="7891" spans="1:10" x14ac:dyDescent="0.25">
      <c r="A7891">
        <v>-246</v>
      </c>
      <c r="B7891" s="201">
        <v>8879</v>
      </c>
      <c r="C7891">
        <v>0</v>
      </c>
      <c r="D7891" s="201">
        <v>0</v>
      </c>
      <c r="E7891" s="201">
        <v>0</v>
      </c>
      <c r="F7891">
        <v>658</v>
      </c>
      <c r="G7891">
        <v>-869</v>
      </c>
      <c r="H7891">
        <v>0</v>
      </c>
      <c r="I7891">
        <v>402</v>
      </c>
      <c r="J7891">
        <v>1336</v>
      </c>
    </row>
    <row r="7892" spans="1:10" x14ac:dyDescent="0.25">
      <c r="A7892" s="201">
        <v>549</v>
      </c>
      <c r="B7892" s="201">
        <v>-561</v>
      </c>
      <c r="C7892">
        <v>0</v>
      </c>
      <c r="D7892" s="201">
        <v>0</v>
      </c>
      <c r="E7892" s="201">
        <v>0</v>
      </c>
      <c r="F7892">
        <v>0</v>
      </c>
      <c r="G7892">
        <v>0</v>
      </c>
      <c r="H7892">
        <v>-16518</v>
      </c>
      <c r="I7892">
        <v>0</v>
      </c>
      <c r="J7892">
        <v>-3291</v>
      </c>
    </row>
    <row r="7893" spans="1:10" x14ac:dyDescent="0.25">
      <c r="A7893" s="201">
        <v>-986</v>
      </c>
      <c r="B7893" s="201">
        <v>809</v>
      </c>
      <c r="C7893">
        <v>598</v>
      </c>
      <c r="D7893" s="201">
        <v>0</v>
      </c>
      <c r="E7893" s="201">
        <v>-13883</v>
      </c>
      <c r="F7893">
        <v>1946</v>
      </c>
      <c r="G7893">
        <v>1519</v>
      </c>
      <c r="H7893">
        <v>-1721</v>
      </c>
      <c r="I7893">
        <v>-2506</v>
      </c>
      <c r="J7893">
        <v>1779</v>
      </c>
    </row>
    <row r="7894" spans="1:10" x14ac:dyDescent="0.25">
      <c r="A7894">
        <v>-191</v>
      </c>
      <c r="B7894" s="201">
        <v>-2918</v>
      </c>
      <c r="C7894">
        <v>0</v>
      </c>
      <c r="D7894" s="201">
        <v>2869</v>
      </c>
      <c r="E7894" s="201">
        <v>0</v>
      </c>
      <c r="F7894">
        <v>0</v>
      </c>
      <c r="G7894">
        <v>11753</v>
      </c>
      <c r="H7894">
        <v>1782</v>
      </c>
      <c r="I7894">
        <v>0</v>
      </c>
      <c r="J7894">
        <v>-127</v>
      </c>
    </row>
    <row r="7895" spans="1:10" x14ac:dyDescent="0.25">
      <c r="A7895">
        <v>0</v>
      </c>
      <c r="B7895" s="201">
        <v>0</v>
      </c>
      <c r="C7895" s="201">
        <v>-175</v>
      </c>
      <c r="D7895" s="201">
        <v>0</v>
      </c>
      <c r="E7895" s="201">
        <v>-127</v>
      </c>
      <c r="F7895">
        <v>484</v>
      </c>
      <c r="G7895">
        <v>352</v>
      </c>
      <c r="H7895">
        <v>0</v>
      </c>
      <c r="I7895">
        <v>0</v>
      </c>
      <c r="J7895">
        <v>0</v>
      </c>
    </row>
    <row r="7896" spans="1:10" x14ac:dyDescent="0.25">
      <c r="A7896" s="201">
        <v>0</v>
      </c>
      <c r="B7896" s="201">
        <v>0</v>
      </c>
      <c r="C7896">
        <v>-16668</v>
      </c>
      <c r="D7896" s="201">
        <v>0</v>
      </c>
      <c r="E7896" s="201">
        <v>-2766</v>
      </c>
      <c r="F7896">
        <v>-609</v>
      </c>
      <c r="G7896">
        <v>-1346</v>
      </c>
      <c r="H7896">
        <v>-654</v>
      </c>
      <c r="I7896">
        <v>0</v>
      </c>
      <c r="J7896">
        <v>-32423</v>
      </c>
    </row>
    <row r="7897" spans="1:10" x14ac:dyDescent="0.25">
      <c r="A7897">
        <v>-888</v>
      </c>
      <c r="B7897" s="201">
        <v>882</v>
      </c>
      <c r="C7897">
        <v>0</v>
      </c>
      <c r="D7897" s="201">
        <v>0</v>
      </c>
      <c r="E7897" s="201">
        <v>0</v>
      </c>
      <c r="F7897">
        <v>764</v>
      </c>
      <c r="G7897">
        <v>1242</v>
      </c>
      <c r="H7897">
        <v>4797</v>
      </c>
      <c r="I7897">
        <v>660</v>
      </c>
      <c r="J7897">
        <v>1599</v>
      </c>
    </row>
    <row r="7898" spans="1:10" x14ac:dyDescent="0.25">
      <c r="A7898">
        <v>0</v>
      </c>
      <c r="B7898" s="201">
        <v>9677</v>
      </c>
      <c r="C7898">
        <v>0</v>
      </c>
      <c r="D7898" s="201">
        <v>0</v>
      </c>
      <c r="E7898" s="201">
        <v>196</v>
      </c>
      <c r="F7898">
        <v>0</v>
      </c>
      <c r="G7898">
        <v>16</v>
      </c>
      <c r="H7898">
        <v>0</v>
      </c>
      <c r="I7898">
        <v>-256</v>
      </c>
      <c r="J7898">
        <v>0</v>
      </c>
    </row>
    <row r="7899" spans="1:10" x14ac:dyDescent="0.25">
      <c r="A7899" s="201">
        <v>0</v>
      </c>
      <c r="B7899" s="201">
        <v>0</v>
      </c>
      <c r="C7899" s="201">
        <v>0</v>
      </c>
      <c r="D7899" s="201">
        <v>0</v>
      </c>
      <c r="E7899" s="201">
        <v>0</v>
      </c>
      <c r="F7899">
        <v>0</v>
      </c>
      <c r="G7899">
        <v>0</v>
      </c>
      <c r="H7899">
        <v>-12276</v>
      </c>
      <c r="I7899">
        <v>0</v>
      </c>
      <c r="J7899">
        <v>-1808</v>
      </c>
    </row>
    <row r="7900" spans="1:10" x14ac:dyDescent="0.25">
      <c r="A7900">
        <v>-1200</v>
      </c>
      <c r="B7900" s="201">
        <v>-691</v>
      </c>
      <c r="C7900">
        <v>-1067</v>
      </c>
      <c r="D7900" s="201">
        <v>0</v>
      </c>
      <c r="E7900" s="201">
        <v>-16432</v>
      </c>
      <c r="F7900">
        <v>850</v>
      </c>
      <c r="G7900">
        <v>0</v>
      </c>
      <c r="H7900">
        <v>0</v>
      </c>
      <c r="I7900">
        <v>0</v>
      </c>
      <c r="J7900">
        <v>0</v>
      </c>
    </row>
    <row r="7901" spans="1:10" x14ac:dyDescent="0.25">
      <c r="A7901">
        <v>0</v>
      </c>
      <c r="B7901" s="201">
        <v>-3451</v>
      </c>
      <c r="C7901">
        <v>3015</v>
      </c>
      <c r="D7901" s="201">
        <v>-1526</v>
      </c>
      <c r="E7901" s="201">
        <v>-3489</v>
      </c>
      <c r="F7901">
        <v>-5659</v>
      </c>
      <c r="G7901">
        <v>14205</v>
      </c>
      <c r="H7901">
        <v>0</v>
      </c>
      <c r="I7901">
        <v>0</v>
      </c>
      <c r="J7901">
        <v>0</v>
      </c>
    </row>
    <row r="7902" spans="1:10" x14ac:dyDescent="0.25">
      <c r="A7902">
        <v>0</v>
      </c>
      <c r="B7902" s="201">
        <v>-2678</v>
      </c>
      <c r="C7902" s="201">
        <v>0</v>
      </c>
      <c r="D7902" s="201">
        <v>-3060</v>
      </c>
      <c r="E7902" s="201">
        <v>0</v>
      </c>
      <c r="F7902">
        <v>0</v>
      </c>
      <c r="G7902">
        <v>-995</v>
      </c>
      <c r="H7902">
        <v>531</v>
      </c>
      <c r="I7902">
        <v>0</v>
      </c>
      <c r="J7902">
        <v>0</v>
      </c>
    </row>
    <row r="7903" spans="1:10" x14ac:dyDescent="0.25">
      <c r="A7903" s="201">
        <v>0</v>
      </c>
      <c r="B7903" s="201">
        <v>0</v>
      </c>
      <c r="C7903" s="201">
        <v>-23447</v>
      </c>
      <c r="D7903" s="201">
        <v>0</v>
      </c>
      <c r="E7903" s="201">
        <v>-2574</v>
      </c>
      <c r="F7903">
        <v>-1881</v>
      </c>
      <c r="G7903">
        <v>-1514</v>
      </c>
      <c r="H7903">
        <v>34</v>
      </c>
      <c r="I7903">
        <v>-817</v>
      </c>
      <c r="J7903">
        <v>-1999</v>
      </c>
    </row>
    <row r="7904" spans="1:10" x14ac:dyDescent="0.25">
      <c r="A7904">
        <v>5620</v>
      </c>
      <c r="B7904" s="201">
        <v>7551</v>
      </c>
      <c r="C7904">
        <v>-2475</v>
      </c>
      <c r="D7904" s="201">
        <v>-1513</v>
      </c>
      <c r="E7904" s="201">
        <v>3612</v>
      </c>
      <c r="F7904">
        <v>0</v>
      </c>
      <c r="G7904">
        <v>0</v>
      </c>
      <c r="H7904">
        <v>0</v>
      </c>
      <c r="I7904">
        <v>0</v>
      </c>
      <c r="J7904">
        <v>0</v>
      </c>
    </row>
    <row r="7905" spans="1:10" x14ac:dyDescent="0.25">
      <c r="A7905" s="201">
        <v>0</v>
      </c>
      <c r="B7905" s="201">
        <v>0</v>
      </c>
      <c r="C7905" s="201">
        <v>521</v>
      </c>
      <c r="D7905" s="201">
        <v>-75</v>
      </c>
      <c r="E7905" s="201">
        <v>382</v>
      </c>
      <c r="F7905">
        <v>-202</v>
      </c>
      <c r="G7905">
        <v>268</v>
      </c>
      <c r="H7905">
        <v>-1187</v>
      </c>
      <c r="I7905">
        <v>0</v>
      </c>
      <c r="J7905">
        <v>0</v>
      </c>
    </row>
    <row r="7906" spans="1:10" x14ac:dyDescent="0.25">
      <c r="A7906">
        <v>5190</v>
      </c>
      <c r="B7906" s="201">
        <v>0</v>
      </c>
      <c r="C7906">
        <v>-8038</v>
      </c>
      <c r="D7906" s="201">
        <v>37253</v>
      </c>
      <c r="E7906" s="201">
        <v>0</v>
      </c>
      <c r="F7906">
        <v>2600</v>
      </c>
      <c r="G7906">
        <v>1710</v>
      </c>
      <c r="H7906">
        <v>-918</v>
      </c>
      <c r="I7906">
        <v>0</v>
      </c>
      <c r="J7906">
        <v>0</v>
      </c>
    </row>
    <row r="7907" spans="1:10" x14ac:dyDescent="0.25">
      <c r="A7907">
        <v>0</v>
      </c>
      <c r="B7907" s="201">
        <v>1834</v>
      </c>
      <c r="C7907">
        <v>0</v>
      </c>
      <c r="D7907" s="201">
        <v>419</v>
      </c>
      <c r="E7907" s="201">
        <v>2740</v>
      </c>
      <c r="F7907">
        <v>0</v>
      </c>
      <c r="G7907">
        <v>0</v>
      </c>
      <c r="H7907">
        <v>0</v>
      </c>
      <c r="I7907">
        <v>0</v>
      </c>
      <c r="J7907">
        <v>0</v>
      </c>
    </row>
    <row r="7908" spans="1:10" x14ac:dyDescent="0.25">
      <c r="A7908">
        <v>0</v>
      </c>
      <c r="B7908" s="201">
        <v>0</v>
      </c>
      <c r="C7908">
        <v>0</v>
      </c>
      <c r="D7908" s="201">
        <v>0</v>
      </c>
      <c r="E7908" s="201">
        <v>0</v>
      </c>
      <c r="F7908">
        <v>0</v>
      </c>
      <c r="G7908">
        <v>0</v>
      </c>
      <c r="H7908">
        <v>0</v>
      </c>
      <c r="I7908">
        <v>0</v>
      </c>
      <c r="J7908">
        <v>0</v>
      </c>
    </row>
    <row r="7909" spans="1:10" x14ac:dyDescent="0.25">
      <c r="A7909" s="201">
        <v>-94</v>
      </c>
      <c r="B7909" s="201">
        <v>0</v>
      </c>
      <c r="C7909">
        <v>0</v>
      </c>
      <c r="D7909" s="201">
        <v>0</v>
      </c>
      <c r="E7909" s="201">
        <v>0</v>
      </c>
      <c r="F7909">
        <v>2446</v>
      </c>
      <c r="G7909">
        <v>-1284</v>
      </c>
      <c r="H7909">
        <v>1588</v>
      </c>
      <c r="I7909">
        <v>0</v>
      </c>
      <c r="J7909">
        <v>-1361</v>
      </c>
    </row>
    <row r="7910" spans="1:10" x14ac:dyDescent="0.25">
      <c r="A7910">
        <v>-393</v>
      </c>
      <c r="B7910" s="201">
        <v>388</v>
      </c>
      <c r="C7910" s="201">
        <v>1850</v>
      </c>
      <c r="D7910" s="201">
        <v>-3998</v>
      </c>
      <c r="E7910" s="201">
        <v>-5611</v>
      </c>
      <c r="F7910">
        <v>-825</v>
      </c>
      <c r="G7910">
        <v>736</v>
      </c>
      <c r="H7910">
        <v>2223</v>
      </c>
      <c r="I7910">
        <v>2766</v>
      </c>
      <c r="J7910">
        <v>-525</v>
      </c>
    </row>
    <row r="7911" spans="1:10" x14ac:dyDescent="0.25">
      <c r="A7911" s="201">
        <v>272</v>
      </c>
      <c r="B7911" s="201">
        <v>-1486</v>
      </c>
      <c r="C7911">
        <v>-3466</v>
      </c>
      <c r="D7911" s="201">
        <v>-3138</v>
      </c>
      <c r="E7911" s="201">
        <v>-1821</v>
      </c>
      <c r="F7911">
        <v>-1360</v>
      </c>
      <c r="G7911">
        <v>0</v>
      </c>
      <c r="H7911">
        <v>-570</v>
      </c>
      <c r="I7911">
        <v>-3483</v>
      </c>
      <c r="J7911">
        <v>-5304</v>
      </c>
    </row>
    <row r="7912" spans="1:10" x14ac:dyDescent="0.25">
      <c r="A7912" s="201">
        <v>-926</v>
      </c>
      <c r="B7912" s="201">
        <v>1458</v>
      </c>
      <c r="C7912">
        <v>1345</v>
      </c>
      <c r="D7912" s="201">
        <v>-6436</v>
      </c>
      <c r="E7912" s="201">
        <v>-492</v>
      </c>
      <c r="F7912">
        <v>747</v>
      </c>
      <c r="G7912">
        <v>-2639</v>
      </c>
      <c r="H7912">
        <v>858</v>
      </c>
      <c r="I7912">
        <v>-1165</v>
      </c>
      <c r="J7912">
        <v>1289</v>
      </c>
    </row>
    <row r="7913" spans="1:10" x14ac:dyDescent="0.25">
      <c r="A7913" s="201">
        <v>-4174</v>
      </c>
      <c r="B7913" s="201">
        <v>-4260</v>
      </c>
      <c r="C7913" s="201">
        <v>2945</v>
      </c>
      <c r="D7913" s="201">
        <v>2388</v>
      </c>
      <c r="E7913" s="201">
        <v>-4633</v>
      </c>
      <c r="F7913">
        <v>-5741</v>
      </c>
      <c r="G7913">
        <v>-347</v>
      </c>
      <c r="H7913">
        <v>-12728</v>
      </c>
      <c r="I7913">
        <v>-32207</v>
      </c>
      <c r="J7913">
        <v>-32927</v>
      </c>
    </row>
    <row r="7914" spans="1:10" x14ac:dyDescent="0.25">
      <c r="A7914" s="201">
        <v>-32210</v>
      </c>
      <c r="B7914" s="201">
        <v>-34831</v>
      </c>
      <c r="C7914" s="201">
        <v>-35303</v>
      </c>
      <c r="D7914" s="201">
        <v>-16044</v>
      </c>
      <c r="E7914" s="201">
        <v>-17449</v>
      </c>
      <c r="F7914">
        <v>-20132</v>
      </c>
      <c r="G7914">
        <v>-20621</v>
      </c>
      <c r="H7914">
        <v>-24850</v>
      </c>
      <c r="I7914">
        <v>13851</v>
      </c>
      <c r="J7914">
        <v>16532</v>
      </c>
    </row>
    <row r="7915" spans="1:10" x14ac:dyDescent="0.25">
      <c r="A7915">
        <v>12365</v>
      </c>
      <c r="B7915" s="201">
        <v>20317</v>
      </c>
      <c r="C7915">
        <v>18613</v>
      </c>
      <c r="D7915" s="201">
        <v>17312</v>
      </c>
      <c r="E7915" s="201">
        <v>23393</v>
      </c>
      <c r="F7915">
        <v>18841</v>
      </c>
      <c r="G7915">
        <v>25688</v>
      </c>
      <c r="H7915">
        <v>487</v>
      </c>
      <c r="I7915">
        <v>1005</v>
      </c>
      <c r="J7915">
        <v>349</v>
      </c>
    </row>
    <row r="7916" spans="1:10" x14ac:dyDescent="0.25">
      <c r="A7916" s="201">
        <v>958</v>
      </c>
      <c r="B7916" s="201">
        <v>-665</v>
      </c>
      <c r="C7916">
        <v>297</v>
      </c>
      <c r="D7916" s="201">
        <v>1603</v>
      </c>
      <c r="E7916" s="201">
        <v>605</v>
      </c>
      <c r="F7916">
        <v>795</v>
      </c>
      <c r="G7916">
        <v>291</v>
      </c>
      <c r="H7916">
        <v>-752</v>
      </c>
      <c r="I7916">
        <v>287</v>
      </c>
      <c r="J7916">
        <v>-218</v>
      </c>
    </row>
    <row r="7917" spans="1:10" x14ac:dyDescent="0.25">
      <c r="A7917">
        <v>-463</v>
      </c>
      <c r="B7917" s="201">
        <v>373</v>
      </c>
      <c r="C7917" s="201">
        <v>-509</v>
      </c>
      <c r="D7917" s="201">
        <v>-965</v>
      </c>
      <c r="E7917" s="201">
        <v>-1020</v>
      </c>
      <c r="F7917">
        <v>115</v>
      </c>
      <c r="G7917">
        <v>734</v>
      </c>
      <c r="H7917">
        <v>262</v>
      </c>
      <c r="I7917">
        <v>271</v>
      </c>
      <c r="J7917">
        <v>103</v>
      </c>
    </row>
    <row r="7918" spans="1:10" x14ac:dyDescent="0.25">
      <c r="A7918">
        <v>300</v>
      </c>
      <c r="B7918" s="201">
        <v>403</v>
      </c>
      <c r="C7918">
        <v>14531</v>
      </c>
      <c r="D7918" s="201">
        <v>10337</v>
      </c>
      <c r="E7918" s="201">
        <v>-42857</v>
      </c>
      <c r="F7918">
        <v>-6041</v>
      </c>
      <c r="G7918">
        <v>-58055</v>
      </c>
      <c r="H7918">
        <v>5682</v>
      </c>
      <c r="I7918">
        <v>0</v>
      </c>
      <c r="J7918">
        <v>0</v>
      </c>
    </row>
    <row r="7919" spans="1:10" x14ac:dyDescent="0.25">
      <c r="A7919">
        <v>0</v>
      </c>
      <c r="B7919" s="201">
        <v>0</v>
      </c>
      <c r="C7919">
        <v>0</v>
      </c>
      <c r="D7919" s="201">
        <v>0</v>
      </c>
      <c r="E7919" s="201">
        <v>0</v>
      </c>
      <c r="F7919">
        <v>0</v>
      </c>
      <c r="G7919">
        <v>0</v>
      </c>
      <c r="H7919">
        <v>0</v>
      </c>
      <c r="I7919">
        <v>0</v>
      </c>
      <c r="J7919">
        <v>0</v>
      </c>
    </row>
    <row r="7920" spans="1:10" x14ac:dyDescent="0.25">
      <c r="A7920">
        <v>0</v>
      </c>
      <c r="B7920" s="201">
        <v>0</v>
      </c>
      <c r="C7920">
        <v>0</v>
      </c>
      <c r="D7920" s="201">
        <v>0</v>
      </c>
      <c r="E7920" s="201">
        <v>0</v>
      </c>
      <c r="F7920">
        <v>0</v>
      </c>
      <c r="G7920">
        <v>0</v>
      </c>
      <c r="H7920">
        <v>0</v>
      </c>
      <c r="I7920">
        <v>0</v>
      </c>
      <c r="J7920">
        <v>0</v>
      </c>
    </row>
    <row r="7921" spans="1:10" x14ac:dyDescent="0.25">
      <c r="A7921">
        <v>0</v>
      </c>
      <c r="B7921" s="201">
        <v>0</v>
      </c>
      <c r="C7921">
        <v>0</v>
      </c>
      <c r="D7921" s="201">
        <v>0</v>
      </c>
      <c r="E7921" s="201">
        <v>0</v>
      </c>
      <c r="F7921">
        <v>0</v>
      </c>
      <c r="G7921">
        <v>0</v>
      </c>
      <c r="H7921">
        <v>0</v>
      </c>
      <c r="I7921">
        <v>0</v>
      </c>
      <c r="J7921">
        <v>0</v>
      </c>
    </row>
    <row r="7922" spans="1:10" x14ac:dyDescent="0.25">
      <c r="A7922">
        <v>0</v>
      </c>
      <c r="B7922" s="201">
        <v>0</v>
      </c>
      <c r="C7922">
        <v>0</v>
      </c>
      <c r="D7922" s="201">
        <v>0</v>
      </c>
      <c r="E7922" s="201">
        <v>0</v>
      </c>
      <c r="F7922">
        <v>0</v>
      </c>
      <c r="G7922">
        <v>0</v>
      </c>
      <c r="H7922">
        <v>0</v>
      </c>
      <c r="I7922">
        <v>0</v>
      </c>
      <c r="J7922">
        <v>0</v>
      </c>
    </row>
    <row r="7923" spans="1:10" x14ac:dyDescent="0.25">
      <c r="A7923">
        <v>0</v>
      </c>
      <c r="B7923" s="201">
        <v>0</v>
      </c>
      <c r="C7923">
        <v>0</v>
      </c>
      <c r="D7923" s="201">
        <v>0</v>
      </c>
      <c r="E7923" s="201">
        <v>0</v>
      </c>
      <c r="F7923">
        <v>0</v>
      </c>
      <c r="G7923">
        <v>0</v>
      </c>
      <c r="H7923">
        <v>0</v>
      </c>
      <c r="I7923">
        <v>0</v>
      </c>
      <c r="J7923">
        <v>0</v>
      </c>
    </row>
    <row r="7924" spans="1:10" x14ac:dyDescent="0.25">
      <c r="A7924">
        <v>0</v>
      </c>
      <c r="B7924" s="201">
        <v>0</v>
      </c>
      <c r="C7924">
        <v>0</v>
      </c>
      <c r="D7924" s="201">
        <v>0</v>
      </c>
      <c r="E7924" s="201">
        <v>0</v>
      </c>
      <c r="F7924">
        <v>0</v>
      </c>
      <c r="G7924">
        <v>0</v>
      </c>
      <c r="H7924">
        <v>0</v>
      </c>
      <c r="I7924">
        <v>0</v>
      </c>
      <c r="J7924">
        <v>0</v>
      </c>
    </row>
    <row r="7925" spans="1:10" x14ac:dyDescent="0.25">
      <c r="A7925">
        <v>0</v>
      </c>
      <c r="B7925" s="201">
        <v>0</v>
      </c>
      <c r="C7925">
        <v>0</v>
      </c>
      <c r="D7925" s="201">
        <v>0</v>
      </c>
      <c r="E7925" s="201">
        <v>0</v>
      </c>
      <c r="F7925">
        <v>0</v>
      </c>
      <c r="G7925">
        <v>0</v>
      </c>
      <c r="H7925">
        <v>0</v>
      </c>
      <c r="I7925">
        <v>0</v>
      </c>
      <c r="J7925">
        <v>0</v>
      </c>
    </row>
    <row r="7926" spans="1:10" x14ac:dyDescent="0.25">
      <c r="A7926">
        <v>0</v>
      </c>
      <c r="B7926" s="201">
        <v>0</v>
      </c>
      <c r="C7926">
        <v>0</v>
      </c>
      <c r="D7926" s="201">
        <v>0</v>
      </c>
      <c r="E7926" s="201">
        <v>0</v>
      </c>
      <c r="F7926">
        <v>0</v>
      </c>
      <c r="G7926">
        <v>0</v>
      </c>
      <c r="H7926">
        <v>0</v>
      </c>
      <c r="I7926">
        <v>0</v>
      </c>
      <c r="J7926">
        <v>0</v>
      </c>
    </row>
    <row r="7927" spans="1:10" x14ac:dyDescent="0.25">
      <c r="A7927">
        <v>0</v>
      </c>
      <c r="B7927" s="201">
        <v>0</v>
      </c>
      <c r="C7927">
        <v>0</v>
      </c>
      <c r="D7927" s="201">
        <v>0</v>
      </c>
      <c r="E7927" s="201">
        <v>0</v>
      </c>
      <c r="F7927">
        <v>0</v>
      </c>
      <c r="G7927">
        <v>0</v>
      </c>
      <c r="H7927">
        <v>0</v>
      </c>
      <c r="I7927">
        <v>0</v>
      </c>
      <c r="J7927">
        <v>0</v>
      </c>
    </row>
    <row r="7928" spans="1:10" x14ac:dyDescent="0.25">
      <c r="A7928">
        <v>0</v>
      </c>
      <c r="B7928" s="201">
        <v>0</v>
      </c>
      <c r="C7928">
        <v>0</v>
      </c>
      <c r="D7928" s="201">
        <v>0</v>
      </c>
      <c r="E7928" s="201">
        <v>0</v>
      </c>
      <c r="F7928">
        <v>0</v>
      </c>
      <c r="G7928">
        <v>0</v>
      </c>
      <c r="H7928">
        <v>0</v>
      </c>
      <c r="I7928">
        <v>0</v>
      </c>
      <c r="J7928">
        <v>0</v>
      </c>
    </row>
    <row r="7929" spans="1:10" x14ac:dyDescent="0.25">
      <c r="A7929">
        <v>0</v>
      </c>
      <c r="B7929" s="201">
        <v>0</v>
      </c>
      <c r="C7929">
        <v>0</v>
      </c>
      <c r="D7929" s="201">
        <v>0</v>
      </c>
      <c r="E7929" s="201">
        <v>0</v>
      </c>
      <c r="F7929">
        <v>0</v>
      </c>
      <c r="G7929">
        <v>0</v>
      </c>
      <c r="H7929">
        <v>0</v>
      </c>
      <c r="I7929">
        <v>0</v>
      </c>
      <c r="J7929">
        <v>0</v>
      </c>
    </row>
    <row r="7930" spans="1:10" x14ac:dyDescent="0.25">
      <c r="A7930">
        <v>0</v>
      </c>
      <c r="B7930" s="201">
        <v>0</v>
      </c>
      <c r="C7930">
        <v>0</v>
      </c>
      <c r="D7930" s="201">
        <v>0</v>
      </c>
      <c r="E7930" s="201">
        <v>0</v>
      </c>
      <c r="F7930">
        <v>0</v>
      </c>
      <c r="G7930">
        <v>0</v>
      </c>
      <c r="H7930">
        <v>0</v>
      </c>
      <c r="I7930">
        <v>0</v>
      </c>
      <c r="J7930">
        <v>0</v>
      </c>
    </row>
    <row r="7931" spans="1:10" x14ac:dyDescent="0.25">
      <c r="A7931">
        <v>0</v>
      </c>
      <c r="B7931" s="201">
        <v>0</v>
      </c>
      <c r="C7931">
        <v>0</v>
      </c>
      <c r="D7931" s="201">
        <v>0</v>
      </c>
      <c r="E7931" s="201">
        <v>0</v>
      </c>
      <c r="F7931">
        <v>0</v>
      </c>
      <c r="G7931">
        <v>0</v>
      </c>
      <c r="H7931">
        <v>0</v>
      </c>
      <c r="I7931">
        <v>0</v>
      </c>
      <c r="J7931">
        <v>0</v>
      </c>
    </row>
    <row r="7932" spans="1:10" x14ac:dyDescent="0.25">
      <c r="A7932">
        <v>0</v>
      </c>
      <c r="B7932" s="201">
        <v>0</v>
      </c>
      <c r="C7932">
        <v>0</v>
      </c>
      <c r="D7932" s="201">
        <v>0</v>
      </c>
      <c r="E7932" s="201">
        <v>0</v>
      </c>
      <c r="F7932">
        <v>0</v>
      </c>
      <c r="G7932">
        <v>0</v>
      </c>
      <c r="H7932">
        <v>0</v>
      </c>
      <c r="I7932">
        <v>0</v>
      </c>
      <c r="J7932">
        <v>0</v>
      </c>
    </row>
    <row r="7933" spans="1:10" x14ac:dyDescent="0.25">
      <c r="A7933">
        <v>0</v>
      </c>
      <c r="B7933" s="201">
        <v>0</v>
      </c>
      <c r="C7933">
        <v>0</v>
      </c>
      <c r="D7933" s="201">
        <v>0</v>
      </c>
      <c r="E7933" s="201">
        <v>0</v>
      </c>
      <c r="F7933">
        <v>0</v>
      </c>
      <c r="G7933">
        <v>0</v>
      </c>
      <c r="H7933">
        <v>0</v>
      </c>
      <c r="I7933">
        <v>0</v>
      </c>
      <c r="J7933">
        <v>0</v>
      </c>
    </row>
    <row r="7934" spans="1:10" x14ac:dyDescent="0.25">
      <c r="A7934">
        <v>0</v>
      </c>
      <c r="B7934" s="201">
        <v>0</v>
      </c>
      <c r="C7934">
        <v>0</v>
      </c>
      <c r="D7934" s="201">
        <v>0</v>
      </c>
      <c r="E7934" s="201">
        <v>0</v>
      </c>
      <c r="F7934">
        <v>0</v>
      </c>
      <c r="G7934">
        <v>0</v>
      </c>
      <c r="H7934">
        <v>0</v>
      </c>
      <c r="I7934">
        <v>0</v>
      </c>
      <c r="J7934">
        <v>0</v>
      </c>
    </row>
    <row r="7935" spans="1:10" x14ac:dyDescent="0.25">
      <c r="A7935">
        <v>0</v>
      </c>
      <c r="B7935" s="201">
        <v>0</v>
      </c>
      <c r="C7935">
        <v>0</v>
      </c>
      <c r="D7935" s="201">
        <v>0</v>
      </c>
      <c r="E7935" s="201">
        <v>0</v>
      </c>
      <c r="F7935">
        <v>0</v>
      </c>
      <c r="G7935">
        <v>0</v>
      </c>
      <c r="H7935">
        <v>0</v>
      </c>
      <c r="I7935">
        <v>0</v>
      </c>
      <c r="J7935">
        <v>0</v>
      </c>
    </row>
    <row r="7936" spans="1:10" x14ac:dyDescent="0.25">
      <c r="A7936">
        <v>0</v>
      </c>
      <c r="B7936" s="201">
        <v>0</v>
      </c>
      <c r="C7936">
        <v>0</v>
      </c>
      <c r="D7936" s="201">
        <v>0</v>
      </c>
      <c r="E7936" s="201">
        <v>0</v>
      </c>
      <c r="F7936">
        <v>0</v>
      </c>
      <c r="G7936">
        <v>0</v>
      </c>
      <c r="H7936">
        <v>0</v>
      </c>
      <c r="I7936">
        <v>0</v>
      </c>
      <c r="J7936">
        <v>0</v>
      </c>
    </row>
    <row r="7937" spans="1:10" x14ac:dyDescent="0.25">
      <c r="A7937">
        <v>0</v>
      </c>
      <c r="B7937" s="201">
        <v>0</v>
      </c>
      <c r="C7937">
        <v>0</v>
      </c>
      <c r="D7937" s="201">
        <v>0</v>
      </c>
      <c r="E7937" s="201">
        <v>0</v>
      </c>
      <c r="F7937">
        <v>0</v>
      </c>
      <c r="G7937">
        <v>0</v>
      </c>
      <c r="H7937">
        <v>0</v>
      </c>
      <c r="I7937">
        <v>0</v>
      </c>
      <c r="J7937">
        <v>0</v>
      </c>
    </row>
    <row r="7938" spans="1:10" x14ac:dyDescent="0.25">
      <c r="A7938">
        <v>0</v>
      </c>
      <c r="B7938" s="201">
        <v>0</v>
      </c>
      <c r="C7938">
        <v>0</v>
      </c>
      <c r="D7938" s="201">
        <v>0</v>
      </c>
      <c r="E7938" s="201">
        <v>0</v>
      </c>
      <c r="F7938">
        <v>0</v>
      </c>
      <c r="G7938">
        <v>0</v>
      </c>
      <c r="H7938">
        <v>0</v>
      </c>
      <c r="I7938">
        <v>0</v>
      </c>
      <c r="J7938">
        <v>0</v>
      </c>
    </row>
    <row r="7939" spans="1:10" x14ac:dyDescent="0.25">
      <c r="A7939">
        <v>0</v>
      </c>
      <c r="B7939" s="201">
        <v>0</v>
      </c>
      <c r="C7939">
        <v>0</v>
      </c>
      <c r="D7939" s="201">
        <v>0</v>
      </c>
      <c r="E7939" s="201">
        <v>0</v>
      </c>
      <c r="F7939">
        <v>0</v>
      </c>
      <c r="G7939">
        <v>0</v>
      </c>
      <c r="H7939">
        <v>0</v>
      </c>
      <c r="I7939">
        <v>0</v>
      </c>
      <c r="J7939">
        <v>0</v>
      </c>
    </row>
    <row r="7940" spans="1:10" x14ac:dyDescent="0.25">
      <c r="A7940">
        <v>0</v>
      </c>
      <c r="B7940" s="201">
        <v>0</v>
      </c>
      <c r="C7940">
        <v>0</v>
      </c>
      <c r="D7940" s="201">
        <v>0</v>
      </c>
      <c r="E7940" s="201">
        <v>0</v>
      </c>
      <c r="F7940">
        <v>0</v>
      </c>
      <c r="G7940">
        <v>0</v>
      </c>
      <c r="H7940">
        <v>0</v>
      </c>
      <c r="I7940">
        <v>0</v>
      </c>
      <c r="J7940">
        <v>0</v>
      </c>
    </row>
    <row r="7941" spans="1:10" x14ac:dyDescent="0.25">
      <c r="A7941">
        <v>0</v>
      </c>
      <c r="B7941" s="201">
        <v>0</v>
      </c>
      <c r="C7941">
        <v>0</v>
      </c>
      <c r="D7941" s="201">
        <v>0</v>
      </c>
      <c r="E7941" s="201">
        <v>0</v>
      </c>
      <c r="F7941">
        <v>0</v>
      </c>
      <c r="G7941">
        <v>0</v>
      </c>
      <c r="H7941">
        <v>0</v>
      </c>
      <c r="I7941">
        <v>0</v>
      </c>
      <c r="J7941">
        <v>0</v>
      </c>
    </row>
    <row r="7942" spans="1:10" x14ac:dyDescent="0.25">
      <c r="A7942">
        <v>0</v>
      </c>
      <c r="B7942" s="201">
        <v>0</v>
      </c>
      <c r="C7942">
        <v>0</v>
      </c>
      <c r="D7942" s="201">
        <v>0</v>
      </c>
      <c r="E7942" s="201">
        <v>0</v>
      </c>
      <c r="F7942">
        <v>0</v>
      </c>
      <c r="G7942">
        <v>0</v>
      </c>
      <c r="H7942">
        <v>0</v>
      </c>
      <c r="I7942">
        <v>0</v>
      </c>
      <c r="J7942">
        <v>0</v>
      </c>
    </row>
    <row r="7943" spans="1:10" x14ac:dyDescent="0.25">
      <c r="A7943">
        <v>0</v>
      </c>
      <c r="B7943" s="201">
        <v>0</v>
      </c>
      <c r="C7943">
        <v>0</v>
      </c>
      <c r="D7943" s="201">
        <v>0</v>
      </c>
      <c r="E7943" s="201">
        <v>0</v>
      </c>
      <c r="F7943">
        <v>0</v>
      </c>
      <c r="G7943">
        <v>0</v>
      </c>
      <c r="H7943">
        <v>0</v>
      </c>
      <c r="I7943">
        <v>0</v>
      </c>
      <c r="J7943">
        <v>0</v>
      </c>
    </row>
    <row r="7944" spans="1:10" x14ac:dyDescent="0.25">
      <c r="A7944">
        <v>0</v>
      </c>
      <c r="B7944" s="201">
        <v>0</v>
      </c>
      <c r="C7944">
        <v>0</v>
      </c>
      <c r="D7944" s="201">
        <v>0</v>
      </c>
      <c r="E7944" s="201">
        <v>0</v>
      </c>
      <c r="F7944">
        <v>0</v>
      </c>
      <c r="G7944">
        <v>0</v>
      </c>
      <c r="H7944">
        <v>0</v>
      </c>
      <c r="I7944">
        <v>0</v>
      </c>
      <c r="J7944">
        <v>0</v>
      </c>
    </row>
    <row r="7945" spans="1:10" x14ac:dyDescent="0.25">
      <c r="A7945">
        <v>0</v>
      </c>
      <c r="B7945" s="201">
        <v>0</v>
      </c>
      <c r="C7945">
        <v>0</v>
      </c>
      <c r="D7945" s="201">
        <v>0</v>
      </c>
      <c r="E7945" s="201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25">
      <c r="A7946">
        <v>0</v>
      </c>
      <c r="B7946" s="201">
        <v>0</v>
      </c>
      <c r="C7946">
        <v>0</v>
      </c>
      <c r="D7946" s="201">
        <v>0</v>
      </c>
      <c r="E7946" s="201">
        <v>0</v>
      </c>
      <c r="F7946">
        <v>0</v>
      </c>
      <c r="G7946">
        <v>0</v>
      </c>
      <c r="H7946">
        <v>0</v>
      </c>
      <c r="I7946">
        <v>0</v>
      </c>
      <c r="J7946">
        <v>0</v>
      </c>
    </row>
    <row r="7947" spans="1:10" x14ac:dyDescent="0.25">
      <c r="A7947">
        <v>0</v>
      </c>
      <c r="B7947" s="201">
        <v>0</v>
      </c>
      <c r="C7947">
        <v>0</v>
      </c>
      <c r="D7947" s="201">
        <v>0</v>
      </c>
      <c r="E7947" s="201">
        <v>0</v>
      </c>
      <c r="F7947">
        <v>0</v>
      </c>
      <c r="G7947">
        <v>0</v>
      </c>
      <c r="H7947">
        <v>0</v>
      </c>
      <c r="I7947">
        <v>0</v>
      </c>
      <c r="J7947">
        <v>0</v>
      </c>
    </row>
    <row r="7948" spans="1:10" x14ac:dyDescent="0.25">
      <c r="A7948">
        <v>0</v>
      </c>
      <c r="B7948" s="201">
        <v>0</v>
      </c>
      <c r="C7948">
        <v>0</v>
      </c>
      <c r="D7948" s="201">
        <v>0</v>
      </c>
      <c r="E7948" s="201">
        <v>0</v>
      </c>
      <c r="F7948">
        <v>0</v>
      </c>
      <c r="G7948">
        <v>0</v>
      </c>
      <c r="H7948">
        <v>0</v>
      </c>
      <c r="I7948">
        <v>0</v>
      </c>
      <c r="J7948">
        <v>0</v>
      </c>
    </row>
    <row r="7949" spans="1:10" x14ac:dyDescent="0.25">
      <c r="A7949">
        <v>0</v>
      </c>
      <c r="B7949" s="201">
        <v>0</v>
      </c>
      <c r="C7949">
        <v>0</v>
      </c>
      <c r="D7949" s="201">
        <v>0</v>
      </c>
      <c r="E7949" s="201">
        <v>0</v>
      </c>
      <c r="F7949">
        <v>0</v>
      </c>
      <c r="G7949">
        <v>0</v>
      </c>
      <c r="H7949">
        <v>0</v>
      </c>
      <c r="I7949">
        <v>0</v>
      </c>
      <c r="J7949">
        <v>0</v>
      </c>
    </row>
    <row r="7950" spans="1:10" x14ac:dyDescent="0.25">
      <c r="A7950">
        <v>0</v>
      </c>
      <c r="B7950" s="201">
        <v>0</v>
      </c>
      <c r="C7950">
        <v>0</v>
      </c>
      <c r="D7950" s="201">
        <v>0</v>
      </c>
      <c r="E7950" s="201">
        <v>0</v>
      </c>
      <c r="F7950">
        <v>0</v>
      </c>
      <c r="G7950">
        <v>0</v>
      </c>
      <c r="H7950">
        <v>0</v>
      </c>
      <c r="I7950">
        <v>0</v>
      </c>
      <c r="J7950">
        <v>0</v>
      </c>
    </row>
    <row r="7951" spans="1:10" x14ac:dyDescent="0.25">
      <c r="A7951">
        <v>0</v>
      </c>
      <c r="B7951" s="201">
        <v>0</v>
      </c>
      <c r="C7951">
        <v>0</v>
      </c>
      <c r="D7951" s="201">
        <v>0</v>
      </c>
      <c r="E7951" s="201">
        <v>0</v>
      </c>
      <c r="F7951">
        <v>0</v>
      </c>
      <c r="G7951">
        <v>0</v>
      </c>
      <c r="H7951">
        <v>0</v>
      </c>
      <c r="I7951">
        <v>0</v>
      </c>
      <c r="J7951">
        <v>0</v>
      </c>
    </row>
    <row r="7952" spans="1:10" x14ac:dyDescent="0.25">
      <c r="A7952">
        <v>0</v>
      </c>
      <c r="B7952" s="201">
        <v>0</v>
      </c>
      <c r="C7952">
        <v>0</v>
      </c>
      <c r="D7952" s="201">
        <v>0</v>
      </c>
      <c r="E7952" s="201">
        <v>0</v>
      </c>
      <c r="F7952">
        <v>0</v>
      </c>
      <c r="G7952">
        <v>0</v>
      </c>
      <c r="H7952">
        <v>0</v>
      </c>
      <c r="I7952">
        <v>0</v>
      </c>
      <c r="J7952">
        <v>0</v>
      </c>
    </row>
    <row r="7953" spans="1:10" x14ac:dyDescent="0.25">
      <c r="A7953">
        <v>0</v>
      </c>
      <c r="B7953" s="201">
        <v>0</v>
      </c>
      <c r="C7953">
        <v>0</v>
      </c>
      <c r="D7953" s="201">
        <v>0</v>
      </c>
      <c r="E7953" s="201">
        <v>0</v>
      </c>
      <c r="F7953">
        <v>0</v>
      </c>
      <c r="G7953">
        <v>0</v>
      </c>
      <c r="H7953">
        <v>0</v>
      </c>
      <c r="I7953">
        <v>0</v>
      </c>
      <c r="J7953">
        <v>0</v>
      </c>
    </row>
    <row r="7954" spans="1:10" x14ac:dyDescent="0.25">
      <c r="A7954">
        <v>0</v>
      </c>
      <c r="B7954" s="201">
        <v>0</v>
      </c>
      <c r="C7954">
        <v>0</v>
      </c>
      <c r="D7954" s="201">
        <v>0</v>
      </c>
      <c r="E7954" s="201">
        <v>0</v>
      </c>
      <c r="F7954">
        <v>0</v>
      </c>
      <c r="G7954">
        <v>0</v>
      </c>
      <c r="H7954">
        <v>0</v>
      </c>
      <c r="I7954">
        <v>0</v>
      </c>
      <c r="J7954">
        <v>0</v>
      </c>
    </row>
    <row r="7955" spans="1:10" x14ac:dyDescent="0.25">
      <c r="A7955">
        <v>0</v>
      </c>
      <c r="B7955" s="201">
        <v>0</v>
      </c>
      <c r="C7955">
        <v>0</v>
      </c>
      <c r="D7955" s="201">
        <v>0</v>
      </c>
      <c r="E7955" s="201">
        <v>0</v>
      </c>
      <c r="F7955">
        <v>0</v>
      </c>
      <c r="G7955">
        <v>0</v>
      </c>
      <c r="H7955">
        <v>0</v>
      </c>
      <c r="I7955">
        <v>0</v>
      </c>
      <c r="J7955">
        <v>0</v>
      </c>
    </row>
    <row r="7956" spans="1:10" x14ac:dyDescent="0.25">
      <c r="A7956">
        <v>0</v>
      </c>
      <c r="B7956" s="201">
        <v>0</v>
      </c>
      <c r="C7956">
        <v>0</v>
      </c>
      <c r="D7956" s="201">
        <v>0</v>
      </c>
      <c r="E7956" s="201">
        <v>0</v>
      </c>
      <c r="F7956">
        <v>0</v>
      </c>
      <c r="G7956">
        <v>0</v>
      </c>
      <c r="H7956">
        <v>0</v>
      </c>
      <c r="I7956">
        <v>0</v>
      </c>
      <c r="J7956">
        <v>0</v>
      </c>
    </row>
    <row r="7957" spans="1:10" x14ac:dyDescent="0.25">
      <c r="A7957" s="201">
        <v>0</v>
      </c>
      <c r="B7957" s="201">
        <v>0</v>
      </c>
      <c r="C7957">
        <v>0</v>
      </c>
      <c r="D7957" s="201">
        <v>0</v>
      </c>
      <c r="E7957" s="201">
        <v>0</v>
      </c>
      <c r="F7957">
        <v>0</v>
      </c>
      <c r="G7957">
        <v>846</v>
      </c>
      <c r="H7957">
        <v>2217</v>
      </c>
      <c r="I7957">
        <v>1680</v>
      </c>
      <c r="J7957">
        <v>930</v>
      </c>
    </row>
    <row r="7958" spans="1:10" x14ac:dyDescent="0.25">
      <c r="A7958">
        <v>-174</v>
      </c>
      <c r="B7958" s="201">
        <v>0</v>
      </c>
      <c r="C7958">
        <v>0</v>
      </c>
      <c r="D7958" s="201">
        <v>-1135</v>
      </c>
      <c r="E7958" s="201">
        <v>0</v>
      </c>
      <c r="F7958">
        <v>0</v>
      </c>
      <c r="G7958">
        <v>0</v>
      </c>
      <c r="H7958">
        <v>-576</v>
      </c>
      <c r="I7958">
        <v>331</v>
      </c>
      <c r="J7958">
        <v>0</v>
      </c>
    </row>
    <row r="7959" spans="1:10" x14ac:dyDescent="0.25">
      <c r="A7959">
        <v>0</v>
      </c>
      <c r="B7959" s="201">
        <v>0</v>
      </c>
      <c r="C7959">
        <v>0</v>
      </c>
      <c r="D7959" s="201">
        <v>0</v>
      </c>
      <c r="E7959" s="201">
        <v>0</v>
      </c>
      <c r="F7959">
        <v>-315</v>
      </c>
      <c r="G7959">
        <v>0</v>
      </c>
      <c r="H7959">
        <v>0</v>
      </c>
      <c r="I7959">
        <v>-340</v>
      </c>
      <c r="J7959">
        <v>0</v>
      </c>
    </row>
    <row r="7960" spans="1:10" x14ac:dyDescent="0.25">
      <c r="A7960" s="201">
        <v>505</v>
      </c>
      <c r="B7960" s="201">
        <v>0</v>
      </c>
      <c r="C7960">
        <v>-94</v>
      </c>
      <c r="D7960" s="201">
        <v>1551</v>
      </c>
      <c r="E7960" s="201">
        <v>1264</v>
      </c>
      <c r="F7960">
        <v>111</v>
      </c>
      <c r="G7960">
        <v>0</v>
      </c>
      <c r="H7960">
        <v>-1619</v>
      </c>
      <c r="I7960">
        <v>486</v>
      </c>
      <c r="J7960">
        <v>631</v>
      </c>
    </row>
    <row r="7961" spans="1:10" x14ac:dyDescent="0.25">
      <c r="A7961" s="201">
        <v>1133</v>
      </c>
      <c r="B7961" s="201">
        <v>1260</v>
      </c>
      <c r="C7961">
        <v>0</v>
      </c>
      <c r="D7961" s="201">
        <v>0</v>
      </c>
      <c r="E7961" s="201">
        <v>1722</v>
      </c>
      <c r="F7961">
        <v>0</v>
      </c>
      <c r="G7961">
        <v>0</v>
      </c>
      <c r="H7961">
        <v>0</v>
      </c>
      <c r="I7961">
        <v>0</v>
      </c>
      <c r="J7961">
        <v>0</v>
      </c>
    </row>
    <row r="7962" spans="1:10" x14ac:dyDescent="0.25">
      <c r="A7962">
        <v>-1850</v>
      </c>
      <c r="B7962" s="201">
        <v>0</v>
      </c>
      <c r="C7962">
        <v>0</v>
      </c>
      <c r="D7962" s="201">
        <v>0</v>
      </c>
      <c r="E7962" s="201">
        <v>1295</v>
      </c>
      <c r="F7962">
        <v>0</v>
      </c>
      <c r="G7962">
        <v>0</v>
      </c>
      <c r="H7962">
        <v>0</v>
      </c>
      <c r="I7962">
        <v>0</v>
      </c>
      <c r="J7962">
        <v>0</v>
      </c>
    </row>
    <row r="7963" spans="1:10" x14ac:dyDescent="0.25">
      <c r="A7963" s="201">
        <v>0</v>
      </c>
      <c r="B7963" s="201">
        <v>0</v>
      </c>
      <c r="C7963">
        <v>-127</v>
      </c>
      <c r="D7963" s="201">
        <v>0</v>
      </c>
      <c r="E7963" s="201">
        <v>1158</v>
      </c>
      <c r="F7963">
        <v>1240</v>
      </c>
      <c r="G7963">
        <v>0</v>
      </c>
      <c r="H7963">
        <v>1428</v>
      </c>
      <c r="I7963">
        <v>0</v>
      </c>
      <c r="J7963">
        <v>-6382</v>
      </c>
    </row>
    <row r="7964" spans="1:10" x14ac:dyDescent="0.25">
      <c r="A7964">
        <v>-9584</v>
      </c>
      <c r="B7964" s="201">
        <v>0</v>
      </c>
      <c r="C7964" s="201">
        <v>1763</v>
      </c>
      <c r="D7964" s="201">
        <v>0</v>
      </c>
      <c r="E7964" s="201">
        <v>0</v>
      </c>
      <c r="F7964">
        <v>0</v>
      </c>
      <c r="G7964">
        <v>0</v>
      </c>
      <c r="H7964">
        <v>-4983</v>
      </c>
      <c r="I7964">
        <v>7121</v>
      </c>
      <c r="J7964">
        <v>4692</v>
      </c>
    </row>
    <row r="7965" spans="1:10" x14ac:dyDescent="0.25">
      <c r="A7965">
        <v>0</v>
      </c>
      <c r="B7965" s="201">
        <v>0</v>
      </c>
      <c r="C7965">
        <v>-3306</v>
      </c>
      <c r="D7965" s="201">
        <v>-182</v>
      </c>
      <c r="E7965" s="201">
        <v>0</v>
      </c>
      <c r="F7965">
        <v>1038</v>
      </c>
      <c r="G7965">
        <v>783</v>
      </c>
      <c r="H7965">
        <v>162</v>
      </c>
      <c r="I7965">
        <v>1676</v>
      </c>
      <c r="J7965">
        <v>1962</v>
      </c>
    </row>
    <row r="7966" spans="1:10" x14ac:dyDescent="0.25">
      <c r="A7966" s="201">
        <v>99</v>
      </c>
      <c r="B7966" s="201">
        <v>-22</v>
      </c>
      <c r="C7966">
        <v>0</v>
      </c>
      <c r="D7966" s="201">
        <v>0</v>
      </c>
      <c r="E7966" s="201">
        <v>0</v>
      </c>
      <c r="F7966">
        <v>0</v>
      </c>
      <c r="G7966">
        <v>0</v>
      </c>
      <c r="H7966">
        <v>5532</v>
      </c>
      <c r="I7966">
        <v>0</v>
      </c>
      <c r="J7966">
        <v>11543</v>
      </c>
    </row>
    <row r="7967" spans="1:10" x14ac:dyDescent="0.25">
      <c r="A7967" s="201">
        <v>5846</v>
      </c>
      <c r="B7967" s="201">
        <v>-878</v>
      </c>
      <c r="C7967" s="201">
        <v>1407</v>
      </c>
      <c r="D7967" s="201">
        <v>0</v>
      </c>
      <c r="E7967" s="201">
        <v>3801</v>
      </c>
      <c r="F7967">
        <v>3289</v>
      </c>
      <c r="G7967">
        <v>-556</v>
      </c>
      <c r="H7967">
        <v>-808</v>
      </c>
      <c r="I7967">
        <v>-1518</v>
      </c>
      <c r="J7967">
        <v>0</v>
      </c>
    </row>
    <row r="7968" spans="1:10" x14ac:dyDescent="0.25">
      <c r="A7968">
        <v>-1404</v>
      </c>
      <c r="B7968" s="201">
        <v>539</v>
      </c>
      <c r="C7968">
        <v>-2351</v>
      </c>
      <c r="D7968" s="201">
        <v>274</v>
      </c>
      <c r="E7968" s="201">
        <v>0</v>
      </c>
      <c r="F7968">
        <v>-63</v>
      </c>
      <c r="G7968">
        <v>-41216</v>
      </c>
      <c r="H7968">
        <v>0</v>
      </c>
      <c r="I7968">
        <v>0</v>
      </c>
      <c r="J7968">
        <v>0</v>
      </c>
    </row>
    <row r="7969" spans="1:10" x14ac:dyDescent="0.25">
      <c r="A7969">
        <v>337</v>
      </c>
      <c r="B7969" s="201">
        <v>164</v>
      </c>
      <c r="C7969">
        <v>0</v>
      </c>
      <c r="D7969" s="201">
        <v>-2</v>
      </c>
      <c r="E7969" s="201">
        <v>3182</v>
      </c>
      <c r="F7969">
        <v>1130</v>
      </c>
      <c r="G7969">
        <v>1038</v>
      </c>
      <c r="H7969">
        <v>0</v>
      </c>
      <c r="I7969">
        <v>0</v>
      </c>
      <c r="J7969">
        <v>0</v>
      </c>
    </row>
    <row r="7970" spans="1:10" x14ac:dyDescent="0.25">
      <c r="A7970" s="201">
        <v>0</v>
      </c>
      <c r="B7970" s="201">
        <v>0</v>
      </c>
      <c r="C7970" s="201">
        <v>3689</v>
      </c>
      <c r="D7970" s="201">
        <v>0</v>
      </c>
      <c r="E7970" s="201">
        <v>4325</v>
      </c>
      <c r="F7970">
        <v>2691</v>
      </c>
      <c r="G7970">
        <v>635</v>
      </c>
      <c r="H7970">
        <v>972</v>
      </c>
      <c r="I7970">
        <v>0</v>
      </c>
      <c r="J7970">
        <v>3616</v>
      </c>
    </row>
    <row r="7971" spans="1:10" x14ac:dyDescent="0.25">
      <c r="A7971">
        <v>2114</v>
      </c>
      <c r="B7971" s="201">
        <v>713</v>
      </c>
      <c r="C7971">
        <v>-2355</v>
      </c>
      <c r="D7971" s="201">
        <v>192</v>
      </c>
      <c r="E7971" s="201">
        <v>836</v>
      </c>
      <c r="F7971">
        <v>-290</v>
      </c>
      <c r="G7971">
        <v>2554</v>
      </c>
      <c r="H7971">
        <v>0</v>
      </c>
      <c r="I7971">
        <v>-1033</v>
      </c>
      <c r="J7971">
        <v>0</v>
      </c>
    </row>
    <row r="7972" spans="1:10" x14ac:dyDescent="0.25">
      <c r="A7972">
        <v>0</v>
      </c>
      <c r="B7972" s="201">
        <v>-43612</v>
      </c>
      <c r="C7972">
        <v>1130</v>
      </c>
      <c r="D7972" s="201">
        <v>0</v>
      </c>
      <c r="E7972" s="201">
        <v>1039</v>
      </c>
      <c r="F7972">
        <v>0</v>
      </c>
      <c r="G7972">
        <v>0</v>
      </c>
      <c r="H7972">
        <v>-455</v>
      </c>
      <c r="I7972">
        <v>0</v>
      </c>
      <c r="J7972">
        <v>-1864</v>
      </c>
    </row>
    <row r="7973" spans="1:10" x14ac:dyDescent="0.25">
      <c r="A7973">
        <v>754</v>
      </c>
      <c r="B7973" s="201">
        <v>-1049</v>
      </c>
      <c r="C7973">
        <v>0</v>
      </c>
      <c r="D7973" s="201">
        <v>0</v>
      </c>
      <c r="E7973" s="201">
        <v>0</v>
      </c>
      <c r="F7973">
        <v>0</v>
      </c>
      <c r="G7973">
        <v>0</v>
      </c>
      <c r="H7973">
        <v>3903</v>
      </c>
      <c r="I7973">
        <v>0</v>
      </c>
      <c r="J7973">
        <v>6340</v>
      </c>
    </row>
    <row r="7974" spans="1:10" x14ac:dyDescent="0.25">
      <c r="A7974">
        <v>389</v>
      </c>
      <c r="B7974" s="201">
        <v>-962</v>
      </c>
      <c r="C7974" s="201">
        <v>1013</v>
      </c>
      <c r="D7974" s="201">
        <v>0</v>
      </c>
      <c r="E7974" s="201">
        <v>8442</v>
      </c>
      <c r="F7974">
        <v>5122</v>
      </c>
      <c r="G7974">
        <v>471</v>
      </c>
      <c r="H7974">
        <v>0</v>
      </c>
      <c r="I7974">
        <v>0</v>
      </c>
      <c r="J7974">
        <v>0</v>
      </c>
    </row>
    <row r="7975" spans="1:10" x14ac:dyDescent="0.25">
      <c r="A7975">
        <v>302</v>
      </c>
      <c r="B7975" s="201">
        <v>-507</v>
      </c>
      <c r="C7975">
        <v>-1159</v>
      </c>
      <c r="D7975" s="201">
        <v>-594</v>
      </c>
      <c r="E7975" s="201">
        <v>-2845</v>
      </c>
      <c r="F7975">
        <v>0</v>
      </c>
      <c r="G7975">
        <v>-41346</v>
      </c>
      <c r="H7975">
        <v>0</v>
      </c>
      <c r="I7975">
        <v>0</v>
      </c>
      <c r="J7975">
        <v>14</v>
      </c>
    </row>
    <row r="7976" spans="1:10" x14ac:dyDescent="0.25">
      <c r="A7976">
        <v>0</v>
      </c>
      <c r="B7976" s="201">
        <v>-942</v>
      </c>
      <c r="C7976">
        <v>0</v>
      </c>
      <c r="D7976" s="201">
        <v>-53</v>
      </c>
      <c r="E7976" s="201">
        <v>0</v>
      </c>
      <c r="F7976">
        <v>0</v>
      </c>
      <c r="G7976">
        <v>0</v>
      </c>
      <c r="H7976">
        <v>0</v>
      </c>
      <c r="I7976">
        <v>0</v>
      </c>
      <c r="J7976">
        <v>0</v>
      </c>
    </row>
    <row r="7977" spans="1:10" x14ac:dyDescent="0.25">
      <c r="A7977" s="201">
        <v>0</v>
      </c>
      <c r="B7977" s="201">
        <v>0</v>
      </c>
      <c r="C7977">
        <v>3845</v>
      </c>
      <c r="D7977" s="201">
        <v>0</v>
      </c>
      <c r="E7977" s="201">
        <v>7011</v>
      </c>
      <c r="F7977">
        <v>1535</v>
      </c>
      <c r="G7977">
        <v>-691</v>
      </c>
      <c r="H7977">
        <v>225</v>
      </c>
      <c r="I7977">
        <v>0</v>
      </c>
      <c r="J7977">
        <v>-1147</v>
      </c>
    </row>
    <row r="7978" spans="1:10" x14ac:dyDescent="0.25">
      <c r="A7978" s="201">
        <v>-2524</v>
      </c>
      <c r="B7978" s="201">
        <v>0</v>
      </c>
      <c r="C7978">
        <v>0</v>
      </c>
      <c r="D7978" s="201">
        <v>0</v>
      </c>
      <c r="E7978" s="201">
        <v>0</v>
      </c>
      <c r="F7978">
        <v>0</v>
      </c>
      <c r="G7978">
        <v>3236</v>
      </c>
      <c r="H7978">
        <v>871</v>
      </c>
      <c r="I7978">
        <v>8931</v>
      </c>
      <c r="J7978">
        <v>9434</v>
      </c>
    </row>
    <row r="7979" spans="1:10" x14ac:dyDescent="0.25">
      <c r="A7979">
        <v>8585</v>
      </c>
      <c r="B7979" s="201">
        <v>-33509</v>
      </c>
      <c r="C7979">
        <v>0</v>
      </c>
      <c r="D7979" s="201">
        <v>0</v>
      </c>
      <c r="E7979" s="201">
        <v>0</v>
      </c>
      <c r="F7979">
        <v>0</v>
      </c>
      <c r="G7979">
        <v>3044</v>
      </c>
      <c r="H7979">
        <v>0</v>
      </c>
      <c r="I7979">
        <v>2727</v>
      </c>
      <c r="J7979">
        <v>0</v>
      </c>
    </row>
    <row r="7980" spans="1:10" x14ac:dyDescent="0.25">
      <c r="A7980" s="201">
        <v>0</v>
      </c>
      <c r="B7980" s="201">
        <v>1565</v>
      </c>
      <c r="C7980">
        <v>-178</v>
      </c>
      <c r="D7980" s="201">
        <v>0</v>
      </c>
      <c r="E7980" s="201">
        <v>0</v>
      </c>
      <c r="F7980">
        <v>0</v>
      </c>
      <c r="G7980">
        <v>0</v>
      </c>
      <c r="H7980">
        <v>4255</v>
      </c>
      <c r="I7980">
        <v>0</v>
      </c>
      <c r="J7980">
        <v>7606</v>
      </c>
    </row>
    <row r="7981" spans="1:10" x14ac:dyDescent="0.25">
      <c r="A7981">
        <v>3391</v>
      </c>
      <c r="B7981" s="201">
        <v>1493</v>
      </c>
      <c r="C7981">
        <v>1310</v>
      </c>
      <c r="D7981" s="201">
        <v>5453</v>
      </c>
      <c r="E7981" s="201">
        <v>104</v>
      </c>
      <c r="F7981">
        <v>1192</v>
      </c>
      <c r="G7981">
        <v>-987</v>
      </c>
      <c r="H7981">
        <v>-541</v>
      </c>
      <c r="I7981">
        <v>1381</v>
      </c>
      <c r="J7981">
        <v>-408</v>
      </c>
    </row>
    <row r="7982" spans="1:10" x14ac:dyDescent="0.25">
      <c r="A7982" s="201">
        <v>0</v>
      </c>
      <c r="B7982" s="201">
        <v>0</v>
      </c>
      <c r="C7982" s="201">
        <v>0</v>
      </c>
      <c r="D7982" s="201">
        <v>0</v>
      </c>
      <c r="E7982" s="201">
        <v>0</v>
      </c>
      <c r="F7982">
        <v>0</v>
      </c>
      <c r="G7982">
        <v>0</v>
      </c>
      <c r="H7982">
        <v>234</v>
      </c>
      <c r="I7982">
        <v>-755</v>
      </c>
      <c r="J7982">
        <v>-540</v>
      </c>
    </row>
    <row r="7983" spans="1:10" x14ac:dyDescent="0.25">
      <c r="A7983" s="201">
        <v>-310</v>
      </c>
      <c r="B7983" s="201">
        <v>-1103</v>
      </c>
      <c r="C7983" s="201">
        <v>-2268</v>
      </c>
      <c r="D7983" s="201">
        <v>0</v>
      </c>
      <c r="E7983" s="201">
        <v>0</v>
      </c>
      <c r="F7983">
        <v>1047</v>
      </c>
      <c r="G7983">
        <v>0</v>
      </c>
      <c r="H7983">
        <v>-2146</v>
      </c>
      <c r="I7983">
        <v>-547</v>
      </c>
      <c r="J7983">
        <v>0</v>
      </c>
    </row>
    <row r="7984" spans="1:10" x14ac:dyDescent="0.25">
      <c r="A7984">
        <v>-5240</v>
      </c>
      <c r="B7984" s="201">
        <v>832</v>
      </c>
      <c r="C7984">
        <v>-1824</v>
      </c>
      <c r="D7984" s="201">
        <v>0</v>
      </c>
      <c r="E7984" s="201">
        <v>0</v>
      </c>
      <c r="F7984">
        <v>0</v>
      </c>
      <c r="G7984">
        <v>1642</v>
      </c>
      <c r="H7984">
        <v>0</v>
      </c>
      <c r="I7984">
        <v>2172</v>
      </c>
      <c r="J7984">
        <v>-3683</v>
      </c>
    </row>
    <row r="7985" spans="1:10" x14ac:dyDescent="0.25">
      <c r="A7985">
        <v>0</v>
      </c>
      <c r="B7985" s="201">
        <v>0</v>
      </c>
      <c r="C7985">
        <v>0</v>
      </c>
      <c r="D7985" s="201">
        <v>0</v>
      </c>
      <c r="E7985" s="201">
        <v>0</v>
      </c>
      <c r="F7985">
        <v>0</v>
      </c>
      <c r="G7985">
        <v>0</v>
      </c>
      <c r="H7985">
        <v>0</v>
      </c>
      <c r="I7985">
        <v>0</v>
      </c>
      <c r="J7985">
        <v>0</v>
      </c>
    </row>
    <row r="7986" spans="1:10" x14ac:dyDescent="0.25">
      <c r="A7986" s="201">
        <v>0</v>
      </c>
      <c r="B7986" s="201">
        <v>0</v>
      </c>
      <c r="C7986" s="201">
        <v>0</v>
      </c>
      <c r="D7986" s="201">
        <v>0</v>
      </c>
      <c r="E7986" s="201">
        <v>0</v>
      </c>
      <c r="F7986">
        <v>609</v>
      </c>
      <c r="G7986">
        <v>0</v>
      </c>
      <c r="H7986">
        <v>0</v>
      </c>
      <c r="I7986">
        <v>0</v>
      </c>
      <c r="J7986">
        <v>0</v>
      </c>
    </row>
    <row r="7987" spans="1:10" x14ac:dyDescent="0.25">
      <c r="A7987" s="201">
        <v>-2809</v>
      </c>
      <c r="B7987" s="201">
        <v>-552</v>
      </c>
      <c r="C7987">
        <v>-2389</v>
      </c>
      <c r="D7987" s="201">
        <v>0</v>
      </c>
      <c r="E7987" s="201">
        <v>-2795</v>
      </c>
      <c r="F7987">
        <v>-720</v>
      </c>
      <c r="G7987">
        <v>547</v>
      </c>
      <c r="H7987">
        <v>3190</v>
      </c>
      <c r="I7987">
        <v>3195</v>
      </c>
      <c r="J7987">
        <v>3490</v>
      </c>
    </row>
    <row r="7988" spans="1:10" x14ac:dyDescent="0.25">
      <c r="A7988">
        <v>2561</v>
      </c>
      <c r="B7988" s="201">
        <v>-517</v>
      </c>
      <c r="C7988">
        <v>-443</v>
      </c>
      <c r="D7988" s="201">
        <v>2344</v>
      </c>
      <c r="E7988" s="201">
        <v>-934</v>
      </c>
      <c r="F7988">
        <v>991</v>
      </c>
      <c r="G7988">
        <v>-364</v>
      </c>
      <c r="H7988">
        <v>2050</v>
      </c>
      <c r="I7988">
        <v>1057</v>
      </c>
      <c r="J7988">
        <v>822</v>
      </c>
    </row>
    <row r="7989" spans="1:10" x14ac:dyDescent="0.25">
      <c r="A7989" s="201">
        <v>869</v>
      </c>
      <c r="B7989" s="201">
        <v>0</v>
      </c>
      <c r="C7989" s="201">
        <v>5127</v>
      </c>
      <c r="D7989" s="201">
        <v>4038</v>
      </c>
      <c r="E7989" s="201">
        <v>2116</v>
      </c>
      <c r="F7989">
        <v>2095</v>
      </c>
      <c r="G7989">
        <v>2391</v>
      </c>
      <c r="H7989">
        <v>-15296</v>
      </c>
      <c r="I7989">
        <v>5195</v>
      </c>
      <c r="J7989">
        <v>2972</v>
      </c>
    </row>
    <row r="7990" spans="1:10" x14ac:dyDescent="0.25">
      <c r="A7990" s="201">
        <v>1968</v>
      </c>
      <c r="B7990" s="201">
        <v>3873</v>
      </c>
      <c r="C7990">
        <v>-18181</v>
      </c>
      <c r="D7990" s="201">
        <v>3639</v>
      </c>
      <c r="E7990" s="201">
        <v>1773</v>
      </c>
      <c r="F7990">
        <v>2094</v>
      </c>
      <c r="G7990">
        <v>3367</v>
      </c>
      <c r="H7990">
        <v>-16967</v>
      </c>
      <c r="I7990">
        <v>1068</v>
      </c>
      <c r="J7990">
        <v>3846</v>
      </c>
    </row>
    <row r="7991" spans="1:10" x14ac:dyDescent="0.25">
      <c r="A7991" s="201">
        <v>3649</v>
      </c>
      <c r="B7991" s="201">
        <v>2696</v>
      </c>
      <c r="C7991">
        <v>1741</v>
      </c>
      <c r="D7991" s="201">
        <v>1533</v>
      </c>
      <c r="E7991" s="201">
        <v>3154</v>
      </c>
      <c r="F7991">
        <v>2841</v>
      </c>
      <c r="G7991">
        <v>1461</v>
      </c>
      <c r="H7991">
        <v>943</v>
      </c>
      <c r="I7991">
        <v>704</v>
      </c>
      <c r="J7991">
        <v>1230</v>
      </c>
    </row>
    <row r="7992" spans="1:10" x14ac:dyDescent="0.25">
      <c r="A7992">
        <v>1581</v>
      </c>
      <c r="B7992" s="201">
        <v>588</v>
      </c>
      <c r="C7992" s="201">
        <v>1526</v>
      </c>
      <c r="D7992" s="201">
        <v>2819</v>
      </c>
      <c r="E7992" s="201">
        <v>1447</v>
      </c>
      <c r="F7992">
        <v>1678</v>
      </c>
      <c r="G7992">
        <v>1027</v>
      </c>
      <c r="H7992">
        <v>2101</v>
      </c>
      <c r="I7992">
        <v>2728</v>
      </c>
      <c r="J7992">
        <v>2090</v>
      </c>
    </row>
    <row r="7993" spans="1:10" x14ac:dyDescent="0.25">
      <c r="A7993" s="201">
        <v>887</v>
      </c>
      <c r="B7993" s="201">
        <v>2565</v>
      </c>
      <c r="C7993">
        <v>-2683</v>
      </c>
      <c r="D7993" s="201">
        <v>-2378</v>
      </c>
      <c r="E7993" s="201">
        <v>-3094</v>
      </c>
      <c r="F7993">
        <v>-3065</v>
      </c>
      <c r="G7993">
        <v>-4457</v>
      </c>
      <c r="H7993">
        <v>-3369</v>
      </c>
      <c r="I7993">
        <v>-3128</v>
      </c>
      <c r="J7993">
        <v>-2302</v>
      </c>
    </row>
    <row r="7994" spans="1:10" x14ac:dyDescent="0.25">
      <c r="A7994" s="201">
        <v>-2256</v>
      </c>
      <c r="B7994" s="201">
        <v>-1493</v>
      </c>
      <c r="C7994" s="201">
        <v>550</v>
      </c>
      <c r="D7994" s="201">
        <v>-528</v>
      </c>
      <c r="E7994" s="201">
        <v>-923</v>
      </c>
      <c r="F7994">
        <v>-658</v>
      </c>
      <c r="G7994">
        <v>-114</v>
      </c>
      <c r="H7994">
        <v>-253</v>
      </c>
      <c r="I7994">
        <v>799</v>
      </c>
      <c r="J7994">
        <v>-803</v>
      </c>
    </row>
    <row r="7995" spans="1:10" x14ac:dyDescent="0.25">
      <c r="A7995" s="201">
        <v>-363</v>
      </c>
      <c r="B7995" s="201">
        <v>-5911</v>
      </c>
      <c r="C7995" s="201">
        <v>-4157</v>
      </c>
      <c r="D7995" s="201">
        <v>-3203</v>
      </c>
      <c r="E7995" s="201">
        <v>-6974</v>
      </c>
      <c r="F7995">
        <v>-5320</v>
      </c>
      <c r="G7995">
        <v>-4619</v>
      </c>
      <c r="H7995">
        <v>-6780</v>
      </c>
      <c r="I7995">
        <v>-6356</v>
      </c>
      <c r="J7995">
        <v>12820</v>
      </c>
    </row>
    <row r="7996" spans="1:10" x14ac:dyDescent="0.25">
      <c r="A7996">
        <v>-1730</v>
      </c>
      <c r="B7996" s="201">
        <v>757</v>
      </c>
      <c r="C7996">
        <v>-1710</v>
      </c>
      <c r="D7996" s="201">
        <v>-4309</v>
      </c>
      <c r="E7996" s="201">
        <v>0</v>
      </c>
      <c r="F7996">
        <v>-577</v>
      </c>
      <c r="G7996">
        <v>35</v>
      </c>
      <c r="H7996">
        <v>663</v>
      </c>
      <c r="I7996">
        <v>17</v>
      </c>
      <c r="J7996">
        <v>-55</v>
      </c>
    </row>
    <row r="7997" spans="1:10" x14ac:dyDescent="0.25">
      <c r="A7997">
        <v>0</v>
      </c>
      <c r="B7997" s="201">
        <v>0</v>
      </c>
      <c r="C7997">
        <v>-106</v>
      </c>
      <c r="D7997" s="201">
        <v>0</v>
      </c>
      <c r="E7997" s="201">
        <v>0</v>
      </c>
      <c r="F7997">
        <v>0</v>
      </c>
      <c r="G7997">
        <v>-1147</v>
      </c>
      <c r="H7997">
        <v>533</v>
      </c>
      <c r="I7997">
        <v>0</v>
      </c>
      <c r="J7997">
        <v>0</v>
      </c>
    </row>
    <row r="7998" spans="1:10" x14ac:dyDescent="0.25">
      <c r="A7998">
        <v>0</v>
      </c>
      <c r="B7998" s="201">
        <v>0</v>
      </c>
      <c r="C7998">
        <v>0</v>
      </c>
      <c r="D7998" s="201">
        <v>0</v>
      </c>
      <c r="E7998" s="201">
        <v>-7965</v>
      </c>
      <c r="F7998">
        <v>0</v>
      </c>
      <c r="G7998">
        <v>0</v>
      </c>
      <c r="H7998">
        <v>-752</v>
      </c>
      <c r="I7998">
        <v>0</v>
      </c>
      <c r="J7998">
        <v>408</v>
      </c>
    </row>
    <row r="7999" spans="1:10" x14ac:dyDescent="0.25">
      <c r="A7999">
        <v>0</v>
      </c>
      <c r="B7999" s="201">
        <v>629</v>
      </c>
      <c r="C7999">
        <v>-354</v>
      </c>
      <c r="D7999" s="201">
        <v>487</v>
      </c>
      <c r="E7999" s="201">
        <v>-2156</v>
      </c>
      <c r="F7999">
        <v>0</v>
      </c>
      <c r="G7999">
        <v>-736</v>
      </c>
      <c r="H7999">
        <v>-465</v>
      </c>
      <c r="I7999">
        <v>1288</v>
      </c>
      <c r="J7999">
        <v>1166</v>
      </c>
    </row>
    <row r="8000" spans="1:10" x14ac:dyDescent="0.25">
      <c r="A8000">
        <v>864</v>
      </c>
      <c r="B8000" s="201">
        <v>0</v>
      </c>
      <c r="C8000">
        <v>0</v>
      </c>
      <c r="D8000" s="201">
        <v>-187</v>
      </c>
      <c r="E8000" s="201">
        <v>0</v>
      </c>
      <c r="F8000">
        <v>0</v>
      </c>
      <c r="G8000">
        <v>0</v>
      </c>
      <c r="H8000">
        <v>0</v>
      </c>
      <c r="I8000">
        <v>0</v>
      </c>
      <c r="J8000">
        <v>1049</v>
      </c>
    </row>
    <row r="8001" spans="1:10" x14ac:dyDescent="0.25">
      <c r="A8001">
        <v>0</v>
      </c>
      <c r="B8001" s="201">
        <v>0</v>
      </c>
      <c r="C8001">
        <v>0</v>
      </c>
      <c r="D8001" s="201">
        <v>-720</v>
      </c>
      <c r="E8001" s="201">
        <v>0</v>
      </c>
      <c r="F8001">
        <v>0</v>
      </c>
      <c r="G8001">
        <v>0</v>
      </c>
      <c r="H8001">
        <v>0</v>
      </c>
      <c r="I8001">
        <v>0</v>
      </c>
      <c r="J8001">
        <v>0</v>
      </c>
    </row>
    <row r="8002" spans="1:10" x14ac:dyDescent="0.25">
      <c r="A8002">
        <v>0</v>
      </c>
      <c r="B8002" s="201">
        <v>-276</v>
      </c>
      <c r="C8002">
        <v>0</v>
      </c>
      <c r="D8002" s="201">
        <v>-155</v>
      </c>
      <c r="E8002" s="201">
        <v>-215</v>
      </c>
      <c r="F8002">
        <v>0</v>
      </c>
      <c r="G8002">
        <v>-581</v>
      </c>
      <c r="H8002">
        <v>0</v>
      </c>
      <c r="I8002">
        <v>-77</v>
      </c>
      <c r="J8002">
        <v>54</v>
      </c>
    </row>
    <row r="8003" spans="1:10" x14ac:dyDescent="0.25">
      <c r="A8003">
        <v>0</v>
      </c>
      <c r="B8003" s="201">
        <v>-523</v>
      </c>
      <c r="C8003">
        <v>0</v>
      </c>
      <c r="D8003" s="201">
        <v>0</v>
      </c>
      <c r="E8003" s="201">
        <v>0</v>
      </c>
      <c r="F8003">
        <v>0</v>
      </c>
      <c r="G8003">
        <v>306</v>
      </c>
      <c r="H8003">
        <v>756</v>
      </c>
      <c r="I8003">
        <v>-352</v>
      </c>
      <c r="J8003">
        <v>0</v>
      </c>
    </row>
    <row r="8004" spans="1:10" x14ac:dyDescent="0.25">
      <c r="A8004" s="201">
        <v>0</v>
      </c>
      <c r="B8004" s="201">
        <v>-391</v>
      </c>
      <c r="C8004">
        <v>-774</v>
      </c>
      <c r="D8004" s="201">
        <v>0</v>
      </c>
      <c r="E8004" s="201">
        <v>-1979</v>
      </c>
      <c r="F8004">
        <v>1826</v>
      </c>
      <c r="G8004">
        <v>270</v>
      </c>
      <c r="H8004">
        <v>-1030</v>
      </c>
      <c r="I8004">
        <v>451</v>
      </c>
      <c r="J8004">
        <v>1256</v>
      </c>
    </row>
    <row r="8005" spans="1:10" x14ac:dyDescent="0.25">
      <c r="A8005" s="201">
        <v>1478</v>
      </c>
      <c r="B8005" s="201">
        <v>0</v>
      </c>
      <c r="C8005">
        <v>0</v>
      </c>
      <c r="D8005" s="201">
        <v>0</v>
      </c>
      <c r="E8005" s="201">
        <v>0</v>
      </c>
      <c r="F8005">
        <v>0</v>
      </c>
      <c r="G8005">
        <v>347</v>
      </c>
      <c r="H8005">
        <v>0</v>
      </c>
      <c r="I8005">
        <v>943</v>
      </c>
      <c r="J8005">
        <v>938</v>
      </c>
    </row>
    <row r="8006" spans="1:10" x14ac:dyDescent="0.25">
      <c r="A8006" s="201">
        <v>-978</v>
      </c>
      <c r="B8006" s="201">
        <v>-5035</v>
      </c>
      <c r="C8006">
        <v>0</v>
      </c>
      <c r="D8006" s="201">
        <v>-1908</v>
      </c>
      <c r="E8006" s="201">
        <v>-1706</v>
      </c>
      <c r="F8006">
        <v>1355</v>
      </c>
      <c r="G8006">
        <v>3607</v>
      </c>
      <c r="H8006">
        <v>4557</v>
      </c>
      <c r="I8006">
        <v>0</v>
      </c>
      <c r="J8006">
        <v>969</v>
      </c>
    </row>
    <row r="8007" spans="1:10" x14ac:dyDescent="0.25">
      <c r="A8007">
        <v>1322</v>
      </c>
      <c r="B8007" s="201">
        <v>2166</v>
      </c>
      <c r="C8007">
        <v>320</v>
      </c>
      <c r="D8007" s="201">
        <v>0</v>
      </c>
      <c r="E8007" s="201">
        <v>689</v>
      </c>
      <c r="F8007">
        <v>320</v>
      </c>
      <c r="G8007">
        <v>0</v>
      </c>
      <c r="H8007">
        <v>0</v>
      </c>
      <c r="I8007">
        <v>0</v>
      </c>
      <c r="J8007">
        <v>-1204</v>
      </c>
    </row>
    <row r="8008" spans="1:10" x14ac:dyDescent="0.25">
      <c r="A8008">
        <v>335</v>
      </c>
      <c r="B8008" s="201">
        <v>0</v>
      </c>
      <c r="C8008">
        <v>-363</v>
      </c>
      <c r="D8008" s="201">
        <v>1036</v>
      </c>
      <c r="E8008" s="201">
        <v>1066</v>
      </c>
      <c r="F8008">
        <v>-1838</v>
      </c>
      <c r="G8008">
        <v>0</v>
      </c>
      <c r="H8008">
        <v>0</v>
      </c>
      <c r="I8008">
        <v>0</v>
      </c>
      <c r="J8008">
        <v>0</v>
      </c>
    </row>
    <row r="8009" spans="1:10" x14ac:dyDescent="0.25">
      <c r="A8009" s="201">
        <v>0</v>
      </c>
      <c r="B8009" s="201">
        <v>2341</v>
      </c>
      <c r="C8009">
        <v>0</v>
      </c>
      <c r="D8009" s="201">
        <v>975</v>
      </c>
      <c r="E8009" s="201">
        <v>-1378</v>
      </c>
      <c r="F8009">
        <v>-425</v>
      </c>
      <c r="G8009">
        <v>-8198</v>
      </c>
      <c r="H8009">
        <v>0</v>
      </c>
      <c r="I8009">
        <v>-152</v>
      </c>
      <c r="J8009">
        <v>373</v>
      </c>
    </row>
    <row r="8010" spans="1:10" x14ac:dyDescent="0.25">
      <c r="A8010" s="201">
        <v>-799</v>
      </c>
      <c r="B8010" s="201">
        <v>2850</v>
      </c>
      <c r="C8010">
        <v>2358</v>
      </c>
      <c r="D8010" s="201">
        <v>-223</v>
      </c>
      <c r="E8010" s="201">
        <v>482</v>
      </c>
      <c r="F8010">
        <v>560</v>
      </c>
      <c r="G8010">
        <v>0</v>
      </c>
      <c r="H8010">
        <v>-140</v>
      </c>
      <c r="I8010">
        <v>0</v>
      </c>
      <c r="J8010">
        <v>0</v>
      </c>
    </row>
    <row r="8011" spans="1:10" x14ac:dyDescent="0.25">
      <c r="A8011" s="201">
        <v>-124</v>
      </c>
      <c r="B8011" s="201">
        <v>1287</v>
      </c>
      <c r="C8011">
        <v>0</v>
      </c>
      <c r="D8011" s="201">
        <v>-1232</v>
      </c>
      <c r="E8011" s="201">
        <v>0</v>
      </c>
      <c r="F8011">
        <v>0</v>
      </c>
      <c r="G8011">
        <v>1075</v>
      </c>
      <c r="H8011">
        <v>0</v>
      </c>
      <c r="I8011">
        <v>531</v>
      </c>
      <c r="J8011">
        <v>264</v>
      </c>
    </row>
    <row r="8012" spans="1:10" x14ac:dyDescent="0.25">
      <c r="A8012">
        <v>-389</v>
      </c>
      <c r="B8012" s="201">
        <v>0</v>
      </c>
      <c r="C8012">
        <v>0</v>
      </c>
      <c r="D8012" s="201">
        <v>0</v>
      </c>
      <c r="E8012" s="201">
        <v>0</v>
      </c>
      <c r="F8012">
        <v>0</v>
      </c>
      <c r="G8012">
        <v>376</v>
      </c>
      <c r="H8012">
        <v>0</v>
      </c>
      <c r="I8012">
        <v>-309</v>
      </c>
      <c r="J8012">
        <v>-873</v>
      </c>
    </row>
    <row r="8013" spans="1:10" x14ac:dyDescent="0.25">
      <c r="A8013">
        <v>721</v>
      </c>
      <c r="B8013" s="201">
        <v>-9022</v>
      </c>
      <c r="C8013" s="201">
        <v>0</v>
      </c>
      <c r="D8013" s="201">
        <v>1989</v>
      </c>
      <c r="E8013" s="201">
        <v>720</v>
      </c>
      <c r="F8013">
        <v>816</v>
      </c>
      <c r="G8013">
        <v>0</v>
      </c>
      <c r="H8013">
        <v>0</v>
      </c>
      <c r="I8013">
        <v>0</v>
      </c>
      <c r="J8013">
        <v>323</v>
      </c>
    </row>
    <row r="8014" spans="1:10" x14ac:dyDescent="0.25">
      <c r="A8014">
        <v>31</v>
      </c>
      <c r="B8014" s="201">
        <v>78</v>
      </c>
      <c r="C8014">
        <v>-1810</v>
      </c>
      <c r="D8014" s="201">
        <v>-398</v>
      </c>
      <c r="E8014" s="201">
        <v>0</v>
      </c>
      <c r="F8014">
        <v>-1618</v>
      </c>
      <c r="G8014">
        <v>0</v>
      </c>
      <c r="H8014">
        <v>0</v>
      </c>
      <c r="I8014">
        <v>-1122</v>
      </c>
      <c r="J8014">
        <v>0</v>
      </c>
    </row>
    <row r="8015" spans="1:10" x14ac:dyDescent="0.25">
      <c r="A8015">
        <v>446</v>
      </c>
      <c r="B8015" s="201">
        <v>0</v>
      </c>
      <c r="C8015">
        <v>1068</v>
      </c>
      <c r="D8015" s="201">
        <v>0</v>
      </c>
      <c r="E8015" s="201">
        <v>0</v>
      </c>
      <c r="F8015">
        <v>0</v>
      </c>
      <c r="G8015">
        <v>0</v>
      </c>
      <c r="H8015">
        <v>0</v>
      </c>
      <c r="I8015">
        <v>0</v>
      </c>
      <c r="J8015">
        <v>0</v>
      </c>
    </row>
    <row r="8016" spans="1:10" x14ac:dyDescent="0.25">
      <c r="A8016">
        <v>0</v>
      </c>
      <c r="B8016" s="201">
        <v>-213</v>
      </c>
      <c r="C8016">
        <v>0</v>
      </c>
      <c r="D8016" s="201">
        <v>-252</v>
      </c>
      <c r="E8016" s="201">
        <v>-801</v>
      </c>
      <c r="F8016">
        <v>-299</v>
      </c>
      <c r="G8016">
        <v>-10807</v>
      </c>
      <c r="H8016">
        <v>0</v>
      </c>
      <c r="I8016">
        <v>-477</v>
      </c>
      <c r="J8016">
        <v>792</v>
      </c>
    </row>
    <row r="8017" spans="1:10" x14ac:dyDescent="0.25">
      <c r="A8017">
        <v>0</v>
      </c>
      <c r="B8017" s="201">
        <v>0</v>
      </c>
      <c r="C8017">
        <v>0</v>
      </c>
      <c r="D8017" s="201">
        <v>0</v>
      </c>
      <c r="E8017" s="201">
        <v>0</v>
      </c>
      <c r="F8017">
        <v>-217</v>
      </c>
      <c r="G8017">
        <v>315</v>
      </c>
      <c r="H8017">
        <v>-668</v>
      </c>
      <c r="I8017">
        <v>-735</v>
      </c>
      <c r="J8017">
        <v>-599</v>
      </c>
    </row>
    <row r="8018" spans="1:10" x14ac:dyDescent="0.25">
      <c r="A8018" s="201">
        <v>512</v>
      </c>
      <c r="B8018" s="201">
        <v>0</v>
      </c>
      <c r="C8018">
        <v>0</v>
      </c>
      <c r="D8018" s="201">
        <v>0</v>
      </c>
      <c r="E8018" s="201">
        <v>0</v>
      </c>
      <c r="F8018">
        <v>697</v>
      </c>
      <c r="G8018">
        <v>0</v>
      </c>
      <c r="H8018">
        <v>-628</v>
      </c>
      <c r="I8018">
        <v>0</v>
      </c>
      <c r="J8018">
        <v>0</v>
      </c>
    </row>
    <row r="8019" spans="1:10" x14ac:dyDescent="0.25">
      <c r="A8019" s="201">
        <v>1067</v>
      </c>
      <c r="B8019" s="201">
        <v>-4532</v>
      </c>
      <c r="C8019" s="201">
        <v>0</v>
      </c>
      <c r="D8019" s="201">
        <v>0</v>
      </c>
      <c r="E8019" s="201">
        <v>0</v>
      </c>
      <c r="F8019">
        <v>0</v>
      </c>
      <c r="G8019">
        <v>1809</v>
      </c>
      <c r="H8019">
        <v>0</v>
      </c>
      <c r="I8019">
        <v>-1273</v>
      </c>
      <c r="J8019">
        <v>-473</v>
      </c>
    </row>
    <row r="8020" spans="1:10" x14ac:dyDescent="0.25">
      <c r="A8020">
        <v>-1109</v>
      </c>
      <c r="B8020" s="201">
        <v>-5773</v>
      </c>
      <c r="C8020">
        <v>-2664</v>
      </c>
      <c r="D8020" s="201">
        <v>-883</v>
      </c>
      <c r="E8020" s="201">
        <v>-95</v>
      </c>
      <c r="F8020">
        <v>-655</v>
      </c>
      <c r="G8020">
        <v>594</v>
      </c>
      <c r="H8020">
        <v>417</v>
      </c>
      <c r="I8020">
        <v>804</v>
      </c>
      <c r="J8020">
        <v>0</v>
      </c>
    </row>
    <row r="8021" spans="1:10" x14ac:dyDescent="0.25">
      <c r="A8021" s="201">
        <v>0</v>
      </c>
      <c r="B8021" s="201">
        <v>0</v>
      </c>
      <c r="C8021">
        <v>0</v>
      </c>
      <c r="D8021" s="201">
        <v>0</v>
      </c>
      <c r="E8021" s="201">
        <v>0</v>
      </c>
      <c r="F8021">
        <v>0</v>
      </c>
      <c r="G8021">
        <v>331</v>
      </c>
      <c r="H8021">
        <v>1151</v>
      </c>
      <c r="I8021">
        <v>-560</v>
      </c>
      <c r="J8021">
        <v>642</v>
      </c>
    </row>
    <row r="8022" spans="1:10" x14ac:dyDescent="0.25">
      <c r="A8022">
        <v>-278</v>
      </c>
      <c r="B8022" s="201">
        <v>-422</v>
      </c>
      <c r="C8022">
        <v>0</v>
      </c>
      <c r="D8022" s="201">
        <v>0</v>
      </c>
      <c r="E8022" s="201">
        <v>-3103</v>
      </c>
      <c r="F8022">
        <v>0</v>
      </c>
      <c r="G8022">
        <v>-977</v>
      </c>
      <c r="H8022">
        <v>-1896</v>
      </c>
      <c r="I8022">
        <v>0</v>
      </c>
      <c r="J8022">
        <v>2211</v>
      </c>
    </row>
    <row r="8023" spans="1:10" x14ac:dyDescent="0.25">
      <c r="A8023">
        <v>586</v>
      </c>
      <c r="B8023" s="201">
        <v>7651</v>
      </c>
      <c r="C8023">
        <v>0</v>
      </c>
      <c r="D8023" s="201">
        <v>0</v>
      </c>
      <c r="E8023" s="201">
        <v>0</v>
      </c>
      <c r="F8023">
        <v>-801</v>
      </c>
      <c r="G8023">
        <v>0</v>
      </c>
      <c r="H8023">
        <v>325</v>
      </c>
      <c r="I8023">
        <v>-996</v>
      </c>
      <c r="J8023">
        <v>0</v>
      </c>
    </row>
    <row r="8024" spans="1:10" x14ac:dyDescent="0.25">
      <c r="A8024">
        <v>0</v>
      </c>
      <c r="B8024" s="201">
        <v>0</v>
      </c>
      <c r="C8024">
        <v>0</v>
      </c>
      <c r="D8024" s="201">
        <v>0</v>
      </c>
      <c r="E8024" s="201">
        <v>0</v>
      </c>
      <c r="F8024">
        <v>0</v>
      </c>
      <c r="G8024">
        <v>0</v>
      </c>
      <c r="H8024">
        <v>0</v>
      </c>
      <c r="I8024">
        <v>0</v>
      </c>
      <c r="J8024">
        <v>0</v>
      </c>
    </row>
    <row r="8025" spans="1:10" x14ac:dyDescent="0.25">
      <c r="A8025">
        <v>0</v>
      </c>
      <c r="B8025" s="201">
        <v>0</v>
      </c>
      <c r="C8025">
        <v>0</v>
      </c>
      <c r="D8025" s="201">
        <v>0</v>
      </c>
      <c r="E8025" s="201">
        <v>-42573</v>
      </c>
      <c r="F8025">
        <v>0</v>
      </c>
      <c r="G8025">
        <v>0</v>
      </c>
      <c r="H8025">
        <v>0</v>
      </c>
      <c r="I8025">
        <v>0</v>
      </c>
      <c r="J8025">
        <v>842</v>
      </c>
    </row>
    <row r="8026" spans="1:10" x14ac:dyDescent="0.25">
      <c r="A8026" s="201">
        <v>617</v>
      </c>
      <c r="B8026" s="201">
        <v>10586</v>
      </c>
      <c r="C8026">
        <v>0</v>
      </c>
      <c r="D8026" s="201">
        <v>699</v>
      </c>
      <c r="E8026" s="201">
        <v>-913</v>
      </c>
      <c r="F8026">
        <v>-908</v>
      </c>
      <c r="G8026">
        <v>-4062</v>
      </c>
      <c r="H8026">
        <v>-726</v>
      </c>
      <c r="I8026">
        <v>-2601</v>
      </c>
      <c r="J8026">
        <v>-3136</v>
      </c>
    </row>
    <row r="8027" spans="1:10" x14ac:dyDescent="0.25">
      <c r="A8027">
        <v>3445</v>
      </c>
      <c r="B8027" s="201">
        <v>7801</v>
      </c>
      <c r="C8027">
        <v>446</v>
      </c>
      <c r="D8027" s="201">
        <v>-130</v>
      </c>
      <c r="E8027" s="201">
        <v>55</v>
      </c>
      <c r="F8027">
        <v>-2082</v>
      </c>
      <c r="G8027">
        <v>-214</v>
      </c>
      <c r="H8027">
        <v>-1264</v>
      </c>
      <c r="I8027">
        <v>-959</v>
      </c>
      <c r="J8027">
        <v>3772</v>
      </c>
    </row>
    <row r="8028" spans="1:10" x14ac:dyDescent="0.25">
      <c r="A8028">
        <v>0</v>
      </c>
      <c r="B8028" s="201">
        <v>-158</v>
      </c>
      <c r="C8028">
        <v>-604</v>
      </c>
      <c r="D8028" s="201">
        <v>694</v>
      </c>
      <c r="E8028" s="201">
        <v>159</v>
      </c>
      <c r="F8028">
        <v>-1039</v>
      </c>
      <c r="G8028">
        <v>-69</v>
      </c>
      <c r="H8028">
        <v>-1018</v>
      </c>
      <c r="I8028">
        <v>-653</v>
      </c>
      <c r="J8028">
        <v>-733</v>
      </c>
    </row>
    <row r="8029" spans="1:10" x14ac:dyDescent="0.25">
      <c r="A8029" s="201">
        <v>664</v>
      </c>
      <c r="B8029" s="201">
        <v>-28</v>
      </c>
      <c r="C8029">
        <v>1482</v>
      </c>
      <c r="D8029" s="201">
        <v>-970</v>
      </c>
      <c r="E8029" s="201">
        <v>-1239</v>
      </c>
      <c r="F8029">
        <v>1487</v>
      </c>
      <c r="G8029">
        <v>-1347</v>
      </c>
      <c r="H8029">
        <v>12</v>
      </c>
      <c r="I8029">
        <v>1365</v>
      </c>
      <c r="J8029">
        <v>-99</v>
      </c>
    </row>
    <row r="8030" spans="1:10" x14ac:dyDescent="0.25">
      <c r="A8030" s="201">
        <v>1560</v>
      </c>
      <c r="B8030" s="201">
        <v>-280</v>
      </c>
      <c r="C8030">
        <v>748</v>
      </c>
      <c r="D8030" s="201">
        <v>364</v>
      </c>
      <c r="E8030" s="201">
        <v>247</v>
      </c>
      <c r="F8030">
        <v>56</v>
      </c>
      <c r="G8030">
        <v>-1247</v>
      </c>
      <c r="H8030">
        <v>203</v>
      </c>
      <c r="I8030">
        <v>-116</v>
      </c>
      <c r="J8030">
        <v>-10</v>
      </c>
    </row>
    <row r="8031" spans="1:10" x14ac:dyDescent="0.25">
      <c r="A8031">
        <v>-732</v>
      </c>
      <c r="B8031" s="201">
        <v>-819</v>
      </c>
      <c r="C8031">
        <v>1021</v>
      </c>
      <c r="D8031" s="201">
        <v>1275</v>
      </c>
      <c r="E8031" s="201">
        <v>2764</v>
      </c>
      <c r="F8031">
        <v>1490</v>
      </c>
      <c r="G8031">
        <v>238</v>
      </c>
      <c r="H8031">
        <v>889</v>
      </c>
      <c r="I8031">
        <v>279</v>
      </c>
      <c r="J8031">
        <v>56</v>
      </c>
    </row>
    <row r="8032" spans="1:10" x14ac:dyDescent="0.25">
      <c r="A8032">
        <v>423</v>
      </c>
      <c r="B8032" s="201">
        <v>349</v>
      </c>
      <c r="C8032">
        <v>1455</v>
      </c>
      <c r="D8032" s="201">
        <v>1034</v>
      </c>
      <c r="E8032" s="201">
        <v>761</v>
      </c>
      <c r="F8032">
        <v>610</v>
      </c>
      <c r="G8032">
        <v>422</v>
      </c>
      <c r="H8032">
        <v>372</v>
      </c>
      <c r="I8032">
        <v>296</v>
      </c>
      <c r="J8032">
        <v>637</v>
      </c>
    </row>
    <row r="8033" spans="1:10" x14ac:dyDescent="0.25">
      <c r="A8033" s="201">
        <v>216</v>
      </c>
      <c r="B8033" s="201">
        <v>745</v>
      </c>
      <c r="C8033">
        <v>-707</v>
      </c>
      <c r="D8033" s="201">
        <v>-511</v>
      </c>
      <c r="E8033" s="201">
        <v>15</v>
      </c>
      <c r="F8033">
        <v>1427</v>
      </c>
      <c r="G8033">
        <v>2069</v>
      </c>
      <c r="H8033">
        <v>1280</v>
      </c>
      <c r="I8033">
        <v>-452</v>
      </c>
      <c r="J8033">
        <v>-146</v>
      </c>
    </row>
    <row r="8034" spans="1:10" x14ac:dyDescent="0.25">
      <c r="A8034" s="201">
        <v>-1331</v>
      </c>
      <c r="B8034" s="201">
        <v>-181</v>
      </c>
      <c r="C8034">
        <v>149</v>
      </c>
      <c r="D8034" s="201">
        <v>-1773</v>
      </c>
      <c r="E8034" s="201">
        <v>-473</v>
      </c>
      <c r="F8034">
        <v>-180</v>
      </c>
      <c r="G8034">
        <v>-1621</v>
      </c>
      <c r="H8034">
        <v>-775</v>
      </c>
      <c r="I8034">
        <v>-486</v>
      </c>
      <c r="J8034">
        <v>-36802</v>
      </c>
    </row>
    <row r="8035" spans="1:10" x14ac:dyDescent="0.25">
      <c r="A8035">
        <v>1592</v>
      </c>
      <c r="B8035" s="201">
        <v>-2077</v>
      </c>
      <c r="C8035">
        <v>1422</v>
      </c>
      <c r="D8035" s="201">
        <v>0</v>
      </c>
      <c r="E8035" s="201">
        <v>-758</v>
      </c>
      <c r="F8035">
        <v>0</v>
      </c>
      <c r="G8035">
        <v>0</v>
      </c>
      <c r="H8035">
        <v>0</v>
      </c>
      <c r="I8035">
        <v>0</v>
      </c>
      <c r="J8035">
        <v>0</v>
      </c>
    </row>
    <row r="8036" spans="1:10" x14ac:dyDescent="0.25">
      <c r="A8036">
        <v>0</v>
      </c>
      <c r="B8036" s="201">
        <v>0</v>
      </c>
      <c r="C8036">
        <v>0</v>
      </c>
      <c r="D8036" s="201">
        <v>0</v>
      </c>
      <c r="E8036" s="201">
        <v>0</v>
      </c>
      <c r="F8036">
        <v>0</v>
      </c>
      <c r="G8036">
        <v>0</v>
      </c>
      <c r="H8036">
        <v>0</v>
      </c>
      <c r="I8036">
        <v>0</v>
      </c>
      <c r="J8036">
        <v>0</v>
      </c>
    </row>
    <row r="8037" spans="1:10" x14ac:dyDescent="0.25">
      <c r="A8037">
        <v>0</v>
      </c>
      <c r="B8037" s="201">
        <v>0</v>
      </c>
      <c r="C8037">
        <v>0</v>
      </c>
      <c r="D8037" s="201">
        <v>0</v>
      </c>
      <c r="E8037" s="201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25">
      <c r="A8038">
        <v>0</v>
      </c>
      <c r="B8038" s="201">
        <v>0</v>
      </c>
      <c r="C8038">
        <v>0</v>
      </c>
      <c r="D8038" s="201">
        <v>0</v>
      </c>
      <c r="E8038" s="201">
        <v>0</v>
      </c>
      <c r="F8038">
        <v>0</v>
      </c>
      <c r="G8038">
        <v>0</v>
      </c>
      <c r="H8038">
        <v>0</v>
      </c>
      <c r="I8038">
        <v>0</v>
      </c>
      <c r="J8038">
        <v>0</v>
      </c>
    </row>
    <row r="8039" spans="1:10" x14ac:dyDescent="0.25">
      <c r="A8039">
        <v>0</v>
      </c>
      <c r="B8039" s="201">
        <v>0</v>
      </c>
      <c r="C8039">
        <v>0</v>
      </c>
      <c r="D8039" s="201">
        <v>0</v>
      </c>
      <c r="E8039" s="201">
        <v>0</v>
      </c>
      <c r="F8039">
        <v>0</v>
      </c>
      <c r="G8039">
        <v>0</v>
      </c>
      <c r="H8039">
        <v>0</v>
      </c>
      <c r="I8039">
        <v>0</v>
      </c>
      <c r="J8039">
        <v>0</v>
      </c>
    </row>
    <row r="8040" spans="1:10" x14ac:dyDescent="0.25">
      <c r="A8040">
        <v>0</v>
      </c>
      <c r="B8040" s="201">
        <v>0</v>
      </c>
      <c r="C8040">
        <v>0</v>
      </c>
      <c r="D8040" s="201">
        <v>0</v>
      </c>
      <c r="E8040" s="201">
        <v>0</v>
      </c>
      <c r="F8040">
        <v>0</v>
      </c>
      <c r="G8040">
        <v>0</v>
      </c>
      <c r="H8040">
        <v>0</v>
      </c>
      <c r="I8040">
        <v>0</v>
      </c>
      <c r="J8040">
        <v>0</v>
      </c>
    </row>
    <row r="8041" spans="1:10" x14ac:dyDescent="0.25">
      <c r="A8041">
        <v>0</v>
      </c>
      <c r="B8041" s="201">
        <v>0</v>
      </c>
      <c r="C8041">
        <v>0</v>
      </c>
      <c r="D8041" s="201">
        <v>0</v>
      </c>
      <c r="E8041" s="201">
        <v>0</v>
      </c>
      <c r="F8041">
        <v>0</v>
      </c>
      <c r="G8041">
        <v>0</v>
      </c>
      <c r="H8041">
        <v>0</v>
      </c>
      <c r="I8041">
        <v>0</v>
      </c>
      <c r="J8041">
        <v>0</v>
      </c>
    </row>
    <row r="8042" spans="1:10" x14ac:dyDescent="0.25">
      <c r="A8042">
        <v>0</v>
      </c>
      <c r="B8042" s="201">
        <v>0</v>
      </c>
      <c r="C8042">
        <v>0</v>
      </c>
      <c r="D8042" s="201">
        <v>0</v>
      </c>
      <c r="E8042" s="201">
        <v>0</v>
      </c>
      <c r="F8042">
        <v>0</v>
      </c>
      <c r="G8042">
        <v>0</v>
      </c>
      <c r="H8042">
        <v>0</v>
      </c>
      <c r="I8042">
        <v>0</v>
      </c>
      <c r="J8042">
        <v>0</v>
      </c>
    </row>
    <row r="8043" spans="1:10" x14ac:dyDescent="0.25">
      <c r="A8043">
        <v>0</v>
      </c>
      <c r="B8043" s="201">
        <v>0</v>
      </c>
      <c r="C8043">
        <v>0</v>
      </c>
      <c r="D8043" s="201">
        <v>0</v>
      </c>
      <c r="E8043" s="201">
        <v>0</v>
      </c>
      <c r="F8043">
        <v>0</v>
      </c>
      <c r="G8043">
        <v>0</v>
      </c>
      <c r="H8043">
        <v>0</v>
      </c>
      <c r="I8043">
        <v>0</v>
      </c>
      <c r="J8043">
        <v>0</v>
      </c>
    </row>
    <row r="8044" spans="1:10" x14ac:dyDescent="0.25">
      <c r="A8044">
        <v>0</v>
      </c>
      <c r="B8044" s="201">
        <v>0</v>
      </c>
      <c r="C8044">
        <v>0</v>
      </c>
      <c r="D8044" s="201">
        <v>0</v>
      </c>
      <c r="E8044" s="201">
        <v>0</v>
      </c>
      <c r="F8044">
        <v>0</v>
      </c>
      <c r="G8044">
        <v>0</v>
      </c>
      <c r="H8044">
        <v>0</v>
      </c>
      <c r="I8044">
        <v>0</v>
      </c>
      <c r="J8044">
        <v>0</v>
      </c>
    </row>
    <row r="8045" spans="1:10" x14ac:dyDescent="0.25">
      <c r="A8045">
        <v>0</v>
      </c>
      <c r="B8045" s="201">
        <v>0</v>
      </c>
      <c r="C8045">
        <v>0</v>
      </c>
      <c r="D8045" s="201">
        <v>0</v>
      </c>
      <c r="E8045" s="201">
        <v>0</v>
      </c>
      <c r="F8045">
        <v>0</v>
      </c>
      <c r="G8045">
        <v>0</v>
      </c>
      <c r="H8045">
        <v>0</v>
      </c>
      <c r="I8045">
        <v>0</v>
      </c>
      <c r="J8045">
        <v>0</v>
      </c>
    </row>
    <row r="8046" spans="1:10" x14ac:dyDescent="0.25">
      <c r="A8046">
        <v>0</v>
      </c>
      <c r="B8046" s="201">
        <v>0</v>
      </c>
      <c r="C8046">
        <v>0</v>
      </c>
      <c r="D8046" s="201">
        <v>0</v>
      </c>
      <c r="E8046" s="201">
        <v>0</v>
      </c>
      <c r="F8046">
        <v>0</v>
      </c>
      <c r="G8046">
        <v>0</v>
      </c>
      <c r="H8046">
        <v>0</v>
      </c>
      <c r="I8046">
        <v>0</v>
      </c>
      <c r="J8046">
        <v>0</v>
      </c>
    </row>
    <row r="8047" spans="1:10" x14ac:dyDescent="0.25">
      <c r="A8047">
        <v>0</v>
      </c>
      <c r="B8047" s="201">
        <v>0</v>
      </c>
      <c r="C8047">
        <v>0</v>
      </c>
      <c r="D8047" s="201">
        <v>0</v>
      </c>
      <c r="E8047" s="201">
        <v>0</v>
      </c>
      <c r="F8047">
        <v>0</v>
      </c>
      <c r="G8047">
        <v>0</v>
      </c>
      <c r="H8047">
        <v>0</v>
      </c>
      <c r="I8047">
        <v>0</v>
      </c>
      <c r="J8047">
        <v>0</v>
      </c>
    </row>
    <row r="8048" spans="1:10" x14ac:dyDescent="0.25">
      <c r="A8048">
        <v>0</v>
      </c>
      <c r="B8048" s="201">
        <v>0</v>
      </c>
      <c r="C8048">
        <v>0</v>
      </c>
      <c r="D8048" s="201">
        <v>0</v>
      </c>
      <c r="E8048" s="201">
        <v>0</v>
      </c>
      <c r="F8048">
        <v>0</v>
      </c>
      <c r="G8048">
        <v>0</v>
      </c>
      <c r="H8048">
        <v>0</v>
      </c>
      <c r="I8048">
        <v>0</v>
      </c>
      <c r="J8048">
        <v>0</v>
      </c>
    </row>
    <row r="8049" spans="1:10" x14ac:dyDescent="0.25">
      <c r="A8049">
        <v>0</v>
      </c>
      <c r="B8049" s="201">
        <v>0</v>
      </c>
      <c r="C8049">
        <v>0</v>
      </c>
      <c r="D8049" s="201">
        <v>0</v>
      </c>
      <c r="E8049" s="201">
        <v>0</v>
      </c>
      <c r="F8049">
        <v>0</v>
      </c>
      <c r="G8049">
        <v>0</v>
      </c>
      <c r="H8049">
        <v>0</v>
      </c>
      <c r="I8049">
        <v>0</v>
      </c>
      <c r="J8049">
        <v>0</v>
      </c>
    </row>
    <row r="8050" spans="1:10" x14ac:dyDescent="0.25">
      <c r="A8050">
        <v>0</v>
      </c>
      <c r="B8050" s="201">
        <v>0</v>
      </c>
      <c r="C8050">
        <v>0</v>
      </c>
      <c r="D8050" s="201">
        <v>0</v>
      </c>
      <c r="E8050" s="201">
        <v>0</v>
      </c>
      <c r="F8050">
        <v>0</v>
      </c>
      <c r="G8050">
        <v>0</v>
      </c>
      <c r="H8050">
        <v>0</v>
      </c>
      <c r="I8050">
        <v>0</v>
      </c>
      <c r="J8050">
        <v>0</v>
      </c>
    </row>
    <row r="8051" spans="1:10" x14ac:dyDescent="0.25">
      <c r="A8051">
        <v>0</v>
      </c>
      <c r="B8051" s="201">
        <v>0</v>
      </c>
      <c r="C8051">
        <v>0</v>
      </c>
      <c r="D8051" s="201">
        <v>0</v>
      </c>
      <c r="E8051" s="201">
        <v>0</v>
      </c>
      <c r="F8051">
        <v>0</v>
      </c>
      <c r="G8051">
        <v>0</v>
      </c>
      <c r="H8051">
        <v>0</v>
      </c>
      <c r="I8051">
        <v>0</v>
      </c>
      <c r="J8051">
        <v>0</v>
      </c>
    </row>
    <row r="8052" spans="1:10" x14ac:dyDescent="0.25">
      <c r="A8052">
        <v>0</v>
      </c>
      <c r="B8052" s="201">
        <v>0</v>
      </c>
      <c r="C8052">
        <v>0</v>
      </c>
      <c r="D8052" s="201">
        <v>0</v>
      </c>
      <c r="E8052" s="201">
        <v>0</v>
      </c>
      <c r="F8052">
        <v>0</v>
      </c>
      <c r="G8052">
        <v>0</v>
      </c>
      <c r="H8052">
        <v>0</v>
      </c>
      <c r="I8052">
        <v>0</v>
      </c>
      <c r="J8052">
        <v>0</v>
      </c>
    </row>
    <row r="8053" spans="1:10" x14ac:dyDescent="0.25">
      <c r="A8053">
        <v>0</v>
      </c>
      <c r="B8053" s="201">
        <v>0</v>
      </c>
      <c r="C8053">
        <v>0</v>
      </c>
      <c r="D8053" s="201">
        <v>0</v>
      </c>
      <c r="E8053" s="201">
        <v>0</v>
      </c>
      <c r="F8053">
        <v>0</v>
      </c>
      <c r="G8053">
        <v>0</v>
      </c>
      <c r="H8053">
        <v>0</v>
      </c>
      <c r="I8053">
        <v>0</v>
      </c>
      <c r="J8053">
        <v>0</v>
      </c>
    </row>
    <row r="8054" spans="1:10" x14ac:dyDescent="0.25">
      <c r="A8054">
        <v>0</v>
      </c>
      <c r="B8054" s="201">
        <v>0</v>
      </c>
      <c r="C8054">
        <v>0</v>
      </c>
      <c r="D8054" s="201">
        <v>0</v>
      </c>
      <c r="E8054" s="201">
        <v>0</v>
      </c>
      <c r="F8054">
        <v>0</v>
      </c>
      <c r="G8054">
        <v>0</v>
      </c>
      <c r="H8054">
        <v>0</v>
      </c>
      <c r="I8054">
        <v>0</v>
      </c>
      <c r="J8054">
        <v>0</v>
      </c>
    </row>
    <row r="8055" spans="1:10" x14ac:dyDescent="0.25">
      <c r="A8055">
        <v>0</v>
      </c>
      <c r="B8055" s="201">
        <v>0</v>
      </c>
      <c r="C8055">
        <v>0</v>
      </c>
      <c r="D8055" s="201">
        <v>0</v>
      </c>
      <c r="E8055" s="201">
        <v>0</v>
      </c>
      <c r="F8055">
        <v>0</v>
      </c>
      <c r="G8055">
        <v>0</v>
      </c>
      <c r="H8055">
        <v>0</v>
      </c>
      <c r="I8055">
        <v>0</v>
      </c>
      <c r="J8055">
        <v>0</v>
      </c>
    </row>
    <row r="8056" spans="1:10" x14ac:dyDescent="0.25">
      <c r="A8056">
        <v>0</v>
      </c>
      <c r="B8056" s="201">
        <v>0</v>
      </c>
      <c r="C8056">
        <v>0</v>
      </c>
      <c r="D8056" s="201">
        <v>0</v>
      </c>
      <c r="E8056" s="201">
        <v>0</v>
      </c>
      <c r="F8056">
        <v>0</v>
      </c>
      <c r="G8056">
        <v>0</v>
      </c>
      <c r="H8056">
        <v>0</v>
      </c>
      <c r="I8056">
        <v>0</v>
      </c>
      <c r="J8056">
        <v>0</v>
      </c>
    </row>
    <row r="8057" spans="1:10" x14ac:dyDescent="0.25">
      <c r="A8057">
        <v>0</v>
      </c>
      <c r="B8057" s="201">
        <v>0</v>
      </c>
      <c r="C8057">
        <v>0</v>
      </c>
      <c r="D8057" s="201">
        <v>0</v>
      </c>
      <c r="E8057" s="201">
        <v>0</v>
      </c>
      <c r="F8057">
        <v>0</v>
      </c>
      <c r="G8057">
        <v>0</v>
      </c>
      <c r="H8057">
        <v>0</v>
      </c>
      <c r="I8057">
        <v>0</v>
      </c>
      <c r="J8057">
        <v>0</v>
      </c>
    </row>
    <row r="8058" spans="1:10" x14ac:dyDescent="0.25">
      <c r="A8058">
        <v>0</v>
      </c>
      <c r="B8058" s="201">
        <v>0</v>
      </c>
      <c r="C8058">
        <v>0</v>
      </c>
      <c r="D8058" s="201">
        <v>0</v>
      </c>
      <c r="E8058" s="201">
        <v>0</v>
      </c>
      <c r="F8058">
        <v>0</v>
      </c>
      <c r="G8058">
        <v>0</v>
      </c>
      <c r="H8058">
        <v>0</v>
      </c>
      <c r="I8058">
        <v>0</v>
      </c>
      <c r="J8058">
        <v>0</v>
      </c>
    </row>
    <row r="8059" spans="1:10" x14ac:dyDescent="0.25">
      <c r="A8059">
        <v>0</v>
      </c>
      <c r="B8059" s="201">
        <v>0</v>
      </c>
      <c r="C8059">
        <v>0</v>
      </c>
      <c r="D8059" s="201">
        <v>0</v>
      </c>
      <c r="E8059" s="201">
        <v>0</v>
      </c>
      <c r="F8059">
        <v>0</v>
      </c>
      <c r="G8059">
        <v>0</v>
      </c>
      <c r="H8059">
        <v>0</v>
      </c>
      <c r="I8059">
        <v>0</v>
      </c>
      <c r="J8059">
        <v>0</v>
      </c>
    </row>
    <row r="8060" spans="1:10" x14ac:dyDescent="0.25">
      <c r="A8060">
        <v>0</v>
      </c>
      <c r="B8060" s="201">
        <v>0</v>
      </c>
      <c r="C8060">
        <v>0</v>
      </c>
      <c r="D8060" s="201">
        <v>0</v>
      </c>
      <c r="E8060" s="201">
        <v>0</v>
      </c>
      <c r="F8060">
        <v>0</v>
      </c>
      <c r="G8060">
        <v>0</v>
      </c>
      <c r="H8060">
        <v>0</v>
      </c>
      <c r="I8060">
        <v>0</v>
      </c>
      <c r="J8060">
        <v>0</v>
      </c>
    </row>
    <row r="8061" spans="1:10" x14ac:dyDescent="0.25">
      <c r="A8061">
        <v>0</v>
      </c>
      <c r="B8061" s="201">
        <v>0</v>
      </c>
      <c r="C8061">
        <v>0</v>
      </c>
      <c r="D8061" s="201">
        <v>0</v>
      </c>
      <c r="E8061" s="201">
        <v>0</v>
      </c>
      <c r="F8061">
        <v>0</v>
      </c>
      <c r="G8061">
        <v>0</v>
      </c>
      <c r="H8061">
        <v>0</v>
      </c>
      <c r="I8061">
        <v>0</v>
      </c>
      <c r="J8061">
        <v>0</v>
      </c>
    </row>
    <row r="8062" spans="1:10" x14ac:dyDescent="0.25">
      <c r="A8062">
        <v>0</v>
      </c>
      <c r="B8062" s="201">
        <v>0</v>
      </c>
      <c r="C8062">
        <v>0</v>
      </c>
      <c r="D8062" s="201">
        <v>0</v>
      </c>
      <c r="E8062" s="201">
        <v>0</v>
      </c>
      <c r="F8062">
        <v>0</v>
      </c>
      <c r="G8062">
        <v>0</v>
      </c>
      <c r="H8062">
        <v>0</v>
      </c>
      <c r="I8062">
        <v>0</v>
      </c>
      <c r="J8062">
        <v>0</v>
      </c>
    </row>
    <row r="8063" spans="1:10" x14ac:dyDescent="0.25">
      <c r="A8063">
        <v>0</v>
      </c>
      <c r="B8063" s="201">
        <v>0</v>
      </c>
      <c r="C8063">
        <v>0</v>
      </c>
      <c r="D8063" s="201">
        <v>0</v>
      </c>
      <c r="E8063" s="201">
        <v>0</v>
      </c>
      <c r="F8063">
        <v>0</v>
      </c>
      <c r="G8063">
        <v>0</v>
      </c>
      <c r="H8063">
        <v>0</v>
      </c>
      <c r="I8063">
        <v>0</v>
      </c>
      <c r="J8063">
        <v>0</v>
      </c>
    </row>
    <row r="8064" spans="1:10" x14ac:dyDescent="0.25">
      <c r="A8064">
        <v>0</v>
      </c>
      <c r="B8064" s="201">
        <v>0</v>
      </c>
      <c r="C8064">
        <v>0</v>
      </c>
      <c r="D8064" s="201">
        <v>0</v>
      </c>
      <c r="E8064" s="201">
        <v>0</v>
      </c>
      <c r="F8064">
        <v>0</v>
      </c>
      <c r="G8064">
        <v>0</v>
      </c>
      <c r="H8064">
        <v>0</v>
      </c>
      <c r="I8064">
        <v>0</v>
      </c>
      <c r="J8064">
        <v>0</v>
      </c>
    </row>
    <row r="8065" spans="1:10" x14ac:dyDescent="0.25">
      <c r="A8065">
        <v>0</v>
      </c>
      <c r="B8065" s="201">
        <v>0</v>
      </c>
      <c r="C8065">
        <v>0</v>
      </c>
      <c r="D8065" s="201">
        <v>0</v>
      </c>
      <c r="E8065" s="201">
        <v>0</v>
      </c>
      <c r="F8065">
        <v>0</v>
      </c>
      <c r="G8065">
        <v>0</v>
      </c>
      <c r="H8065">
        <v>0</v>
      </c>
      <c r="I8065">
        <v>0</v>
      </c>
      <c r="J8065">
        <v>0</v>
      </c>
    </row>
    <row r="8066" spans="1:10" x14ac:dyDescent="0.25">
      <c r="A8066">
        <v>0</v>
      </c>
      <c r="B8066" s="201">
        <v>0</v>
      </c>
      <c r="C8066">
        <v>0</v>
      </c>
      <c r="D8066" s="201">
        <v>0</v>
      </c>
      <c r="E8066" s="201">
        <v>0</v>
      </c>
      <c r="F8066">
        <v>0</v>
      </c>
      <c r="G8066">
        <v>0</v>
      </c>
      <c r="H8066">
        <v>0</v>
      </c>
      <c r="I8066">
        <v>0</v>
      </c>
      <c r="J8066">
        <v>0</v>
      </c>
    </row>
    <row r="8067" spans="1:10" x14ac:dyDescent="0.25">
      <c r="A8067">
        <v>0</v>
      </c>
      <c r="B8067" s="201">
        <v>0</v>
      </c>
      <c r="C8067">
        <v>0</v>
      </c>
      <c r="D8067" s="201">
        <v>0</v>
      </c>
      <c r="E8067" s="201">
        <v>0</v>
      </c>
      <c r="F8067">
        <v>0</v>
      </c>
      <c r="G8067">
        <v>0</v>
      </c>
      <c r="H8067">
        <v>0</v>
      </c>
      <c r="I8067">
        <v>0</v>
      </c>
      <c r="J8067">
        <v>0</v>
      </c>
    </row>
    <row r="8068" spans="1:10" x14ac:dyDescent="0.25">
      <c r="A8068">
        <v>0</v>
      </c>
      <c r="B8068" s="201">
        <v>0</v>
      </c>
      <c r="C8068">
        <v>0</v>
      </c>
      <c r="D8068" s="201">
        <v>0</v>
      </c>
      <c r="E8068" s="201">
        <v>0</v>
      </c>
      <c r="F8068">
        <v>0</v>
      </c>
      <c r="G8068">
        <v>0</v>
      </c>
      <c r="H8068">
        <v>0</v>
      </c>
      <c r="I8068">
        <v>0</v>
      </c>
      <c r="J8068">
        <v>0</v>
      </c>
    </row>
    <row r="8069" spans="1:10" x14ac:dyDescent="0.25">
      <c r="A8069">
        <v>0</v>
      </c>
      <c r="B8069" s="201">
        <v>0</v>
      </c>
      <c r="C8069">
        <v>0</v>
      </c>
      <c r="D8069" s="201">
        <v>0</v>
      </c>
      <c r="E8069" s="201">
        <v>0</v>
      </c>
      <c r="F8069">
        <v>0</v>
      </c>
      <c r="G8069">
        <v>0</v>
      </c>
      <c r="H8069">
        <v>0</v>
      </c>
      <c r="I8069">
        <v>0</v>
      </c>
      <c r="J8069">
        <v>0</v>
      </c>
    </row>
    <row r="8070" spans="1:10" x14ac:dyDescent="0.25">
      <c r="A8070">
        <v>0</v>
      </c>
      <c r="B8070" s="201">
        <v>0</v>
      </c>
      <c r="C8070">
        <v>0</v>
      </c>
      <c r="D8070" s="201">
        <v>0</v>
      </c>
      <c r="E8070" s="201">
        <v>0</v>
      </c>
      <c r="F8070">
        <v>0</v>
      </c>
      <c r="G8070">
        <v>0</v>
      </c>
      <c r="H8070">
        <v>0</v>
      </c>
      <c r="I8070">
        <v>0</v>
      </c>
      <c r="J8070">
        <v>0</v>
      </c>
    </row>
    <row r="8071" spans="1:10" x14ac:dyDescent="0.25">
      <c r="A8071">
        <v>0</v>
      </c>
      <c r="B8071" s="201">
        <v>0</v>
      </c>
      <c r="C8071">
        <v>0</v>
      </c>
      <c r="D8071" s="201">
        <v>0</v>
      </c>
      <c r="E8071" s="201">
        <v>0</v>
      </c>
      <c r="F8071">
        <v>0</v>
      </c>
      <c r="G8071">
        <v>0</v>
      </c>
      <c r="H8071">
        <v>0</v>
      </c>
      <c r="I8071">
        <v>0</v>
      </c>
      <c r="J8071">
        <v>0</v>
      </c>
    </row>
    <row r="8072" spans="1:10" x14ac:dyDescent="0.25">
      <c r="A8072">
        <v>0</v>
      </c>
      <c r="B8072" s="201">
        <v>0</v>
      </c>
      <c r="C8072">
        <v>0</v>
      </c>
      <c r="D8072" s="201">
        <v>0</v>
      </c>
      <c r="E8072" s="201">
        <v>0</v>
      </c>
      <c r="F8072">
        <v>0</v>
      </c>
      <c r="G8072">
        <v>0</v>
      </c>
      <c r="H8072">
        <v>0</v>
      </c>
      <c r="I8072">
        <v>0</v>
      </c>
      <c r="J8072">
        <v>0</v>
      </c>
    </row>
    <row r="8073" spans="1:10" x14ac:dyDescent="0.25">
      <c r="A8073">
        <v>0</v>
      </c>
      <c r="B8073" s="201">
        <v>0</v>
      </c>
      <c r="C8073">
        <v>0</v>
      </c>
      <c r="D8073" s="201">
        <v>0</v>
      </c>
      <c r="E8073" s="201">
        <v>0</v>
      </c>
      <c r="F8073">
        <v>0</v>
      </c>
      <c r="G8073">
        <v>0</v>
      </c>
      <c r="H8073">
        <v>0</v>
      </c>
      <c r="I8073">
        <v>0</v>
      </c>
      <c r="J8073">
        <v>0</v>
      </c>
    </row>
    <row r="8074" spans="1:10" x14ac:dyDescent="0.25">
      <c r="A8074" s="201">
        <v>0</v>
      </c>
      <c r="B8074" s="201">
        <v>0</v>
      </c>
      <c r="C8074">
        <v>0</v>
      </c>
      <c r="D8074" s="201">
        <v>0</v>
      </c>
      <c r="E8074" s="201">
        <v>0</v>
      </c>
      <c r="F8074">
        <v>0</v>
      </c>
      <c r="G8074">
        <v>-311</v>
      </c>
      <c r="H8074">
        <v>-947</v>
      </c>
      <c r="I8074">
        <v>-71</v>
      </c>
      <c r="J8074">
        <v>1372</v>
      </c>
    </row>
    <row r="8075" spans="1:10" x14ac:dyDescent="0.25">
      <c r="A8075">
        <v>-536</v>
      </c>
      <c r="B8075" s="201">
        <v>0</v>
      </c>
      <c r="C8075">
        <v>0</v>
      </c>
      <c r="D8075" s="201">
        <v>-383</v>
      </c>
      <c r="E8075" s="201">
        <v>0</v>
      </c>
      <c r="F8075">
        <v>0</v>
      </c>
      <c r="G8075">
        <v>0</v>
      </c>
      <c r="H8075">
        <v>-50</v>
      </c>
      <c r="I8075">
        <v>250</v>
      </c>
      <c r="J8075">
        <v>0</v>
      </c>
    </row>
    <row r="8076" spans="1:10" x14ac:dyDescent="0.25">
      <c r="A8076" s="201">
        <v>0</v>
      </c>
      <c r="B8076" s="201">
        <v>0</v>
      </c>
      <c r="C8076">
        <v>0</v>
      </c>
      <c r="D8076" s="201">
        <v>0</v>
      </c>
      <c r="E8076" s="201">
        <v>0</v>
      </c>
      <c r="F8076">
        <v>-480</v>
      </c>
      <c r="G8076">
        <v>0</v>
      </c>
      <c r="H8076">
        <v>0</v>
      </c>
      <c r="I8076">
        <v>-1692</v>
      </c>
      <c r="J8076">
        <v>0</v>
      </c>
    </row>
    <row r="8077" spans="1:10" x14ac:dyDescent="0.25">
      <c r="A8077" s="201">
        <v>1540</v>
      </c>
      <c r="B8077" s="201">
        <v>0</v>
      </c>
      <c r="C8077">
        <v>527</v>
      </c>
      <c r="D8077" s="201">
        <v>-7</v>
      </c>
      <c r="E8077" s="201">
        <v>-216</v>
      </c>
      <c r="F8077">
        <v>329</v>
      </c>
      <c r="G8077">
        <v>0</v>
      </c>
      <c r="H8077">
        <v>8273</v>
      </c>
      <c r="I8077">
        <v>1097</v>
      </c>
      <c r="J8077">
        <v>-53</v>
      </c>
    </row>
    <row r="8078" spans="1:10" x14ac:dyDescent="0.25">
      <c r="A8078">
        <v>-2761</v>
      </c>
      <c r="B8078" s="201">
        <v>-9810</v>
      </c>
      <c r="C8078">
        <v>0</v>
      </c>
      <c r="D8078" s="201">
        <v>0</v>
      </c>
      <c r="E8078" s="201">
        <v>-2114</v>
      </c>
      <c r="F8078">
        <v>0</v>
      </c>
      <c r="G8078">
        <v>0</v>
      </c>
      <c r="H8078">
        <v>0</v>
      </c>
      <c r="I8078">
        <v>0</v>
      </c>
      <c r="J8078">
        <v>0</v>
      </c>
    </row>
    <row r="8079" spans="1:10" x14ac:dyDescent="0.25">
      <c r="A8079">
        <v>424</v>
      </c>
      <c r="B8079" s="201">
        <v>0</v>
      </c>
      <c r="C8079" s="201">
        <v>0</v>
      </c>
      <c r="D8079" s="201">
        <v>0</v>
      </c>
      <c r="E8079" s="201">
        <v>-1781</v>
      </c>
      <c r="F8079">
        <v>0</v>
      </c>
      <c r="G8079">
        <v>0</v>
      </c>
      <c r="H8079">
        <v>0</v>
      </c>
      <c r="I8079">
        <v>0</v>
      </c>
      <c r="J8079">
        <v>0</v>
      </c>
    </row>
    <row r="8080" spans="1:10" x14ac:dyDescent="0.25">
      <c r="A8080" s="201">
        <v>0</v>
      </c>
      <c r="B8080" s="201">
        <v>0</v>
      </c>
      <c r="C8080">
        <v>-2303</v>
      </c>
      <c r="D8080" s="201">
        <v>0</v>
      </c>
      <c r="E8080" s="201">
        <v>-5618</v>
      </c>
      <c r="F8080">
        <v>1111</v>
      </c>
      <c r="G8080">
        <v>0</v>
      </c>
      <c r="H8080">
        <v>-377</v>
      </c>
      <c r="I8080">
        <v>0</v>
      </c>
      <c r="J8080">
        <v>2031</v>
      </c>
    </row>
    <row r="8081" spans="1:10" x14ac:dyDescent="0.25">
      <c r="A8081">
        <v>1501</v>
      </c>
      <c r="B8081" s="201">
        <v>0</v>
      </c>
      <c r="C8081">
        <v>1669</v>
      </c>
      <c r="D8081" s="201">
        <v>0</v>
      </c>
      <c r="E8081" s="201">
        <v>0</v>
      </c>
      <c r="F8081">
        <v>0</v>
      </c>
      <c r="G8081">
        <v>0</v>
      </c>
      <c r="H8081">
        <v>9463</v>
      </c>
      <c r="I8081">
        <v>48</v>
      </c>
      <c r="J8081">
        <v>1333</v>
      </c>
    </row>
    <row r="8082" spans="1:10" x14ac:dyDescent="0.25">
      <c r="A8082" s="201">
        <v>0</v>
      </c>
      <c r="B8082" s="201">
        <v>0</v>
      </c>
      <c r="C8082">
        <v>2479</v>
      </c>
      <c r="D8082" s="201">
        <v>-92</v>
      </c>
      <c r="E8082" s="201">
        <v>0</v>
      </c>
      <c r="F8082">
        <v>457</v>
      </c>
      <c r="G8082">
        <v>1593</v>
      </c>
      <c r="H8082">
        <v>548</v>
      </c>
      <c r="I8082">
        <v>1355</v>
      </c>
      <c r="J8082">
        <v>5335</v>
      </c>
    </row>
    <row r="8083" spans="1:10" x14ac:dyDescent="0.25">
      <c r="A8083">
        <v>3361</v>
      </c>
      <c r="B8083" s="201">
        <v>2275</v>
      </c>
      <c r="C8083">
        <v>0</v>
      </c>
      <c r="D8083" s="201">
        <v>0</v>
      </c>
      <c r="E8083" s="201">
        <v>0</v>
      </c>
      <c r="F8083">
        <v>0</v>
      </c>
      <c r="G8083">
        <v>0</v>
      </c>
      <c r="H8083">
        <v>-4284</v>
      </c>
      <c r="I8083">
        <v>0</v>
      </c>
      <c r="J8083">
        <v>-5484</v>
      </c>
    </row>
    <row r="8084" spans="1:10" x14ac:dyDescent="0.25">
      <c r="A8084" s="201">
        <v>969</v>
      </c>
      <c r="B8084" s="201">
        <v>-6163</v>
      </c>
      <c r="C8084">
        <v>1534</v>
      </c>
      <c r="D8084" s="201">
        <v>0</v>
      </c>
      <c r="E8084" s="201">
        <v>10</v>
      </c>
      <c r="F8084">
        <v>-1909</v>
      </c>
      <c r="G8084">
        <v>-181</v>
      </c>
      <c r="H8084">
        <v>-284</v>
      </c>
      <c r="I8084">
        <v>0</v>
      </c>
      <c r="J8084">
        <v>0</v>
      </c>
    </row>
    <row r="8085" spans="1:10" x14ac:dyDescent="0.25">
      <c r="A8085" s="201">
        <v>2607</v>
      </c>
      <c r="B8085" s="201">
        <v>-21457</v>
      </c>
      <c r="C8085">
        <v>1064</v>
      </c>
      <c r="D8085" s="201">
        <v>-447</v>
      </c>
      <c r="E8085" s="201">
        <v>0</v>
      </c>
      <c r="F8085">
        <v>33</v>
      </c>
      <c r="G8085">
        <v>1813</v>
      </c>
      <c r="H8085">
        <v>0</v>
      </c>
      <c r="I8085">
        <v>0</v>
      </c>
      <c r="J8085">
        <v>0</v>
      </c>
    </row>
    <row r="8086" spans="1:10" x14ac:dyDescent="0.25">
      <c r="A8086">
        <v>-515</v>
      </c>
      <c r="B8086" s="201">
        <v>-539</v>
      </c>
      <c r="C8086">
        <v>0</v>
      </c>
      <c r="D8086" s="201">
        <v>-642</v>
      </c>
      <c r="E8086" s="201">
        <v>806</v>
      </c>
      <c r="F8086">
        <v>260</v>
      </c>
      <c r="G8086">
        <v>-91</v>
      </c>
      <c r="H8086">
        <v>0</v>
      </c>
      <c r="I8086">
        <v>0</v>
      </c>
      <c r="J8086">
        <v>0</v>
      </c>
    </row>
    <row r="8087" spans="1:10" x14ac:dyDescent="0.25">
      <c r="A8087" s="201">
        <v>0</v>
      </c>
      <c r="B8087" s="201">
        <v>0</v>
      </c>
      <c r="C8087">
        <v>-383</v>
      </c>
      <c r="D8087" s="201">
        <v>0</v>
      </c>
      <c r="E8087" s="201">
        <v>2170</v>
      </c>
      <c r="F8087">
        <v>493</v>
      </c>
      <c r="G8087">
        <v>-2490</v>
      </c>
      <c r="H8087">
        <v>-4</v>
      </c>
      <c r="I8087">
        <v>0</v>
      </c>
      <c r="J8087">
        <v>2330</v>
      </c>
    </row>
    <row r="8088" spans="1:10" x14ac:dyDescent="0.25">
      <c r="A8088">
        <v>-2065</v>
      </c>
      <c r="B8088" s="201">
        <v>377</v>
      </c>
      <c r="C8088">
        <v>37</v>
      </c>
      <c r="D8088" s="201">
        <v>534</v>
      </c>
      <c r="E8088" s="201">
        <v>1306</v>
      </c>
      <c r="F8088">
        <v>-485</v>
      </c>
      <c r="G8088">
        <v>-28136</v>
      </c>
      <c r="H8088">
        <v>0</v>
      </c>
      <c r="I8088">
        <v>464</v>
      </c>
      <c r="J8088">
        <v>0</v>
      </c>
    </row>
    <row r="8089" spans="1:10" x14ac:dyDescent="0.25">
      <c r="A8089" s="201">
        <v>0</v>
      </c>
      <c r="B8089" s="201">
        <v>3978</v>
      </c>
      <c r="C8089">
        <v>-249</v>
      </c>
      <c r="D8089" s="201">
        <v>0</v>
      </c>
      <c r="E8089" s="201">
        <v>-347</v>
      </c>
      <c r="F8089">
        <v>0</v>
      </c>
      <c r="G8089">
        <v>0</v>
      </c>
      <c r="H8089">
        <v>-391</v>
      </c>
      <c r="I8089">
        <v>0</v>
      </c>
      <c r="J8089">
        <v>-106</v>
      </c>
    </row>
    <row r="8090" spans="1:10" x14ac:dyDescent="0.25">
      <c r="A8090">
        <v>-522</v>
      </c>
      <c r="B8090" s="201">
        <v>-354</v>
      </c>
      <c r="C8090">
        <v>0</v>
      </c>
      <c r="D8090" s="201">
        <v>0</v>
      </c>
      <c r="E8090" s="201">
        <v>0</v>
      </c>
      <c r="F8090">
        <v>0</v>
      </c>
      <c r="G8090">
        <v>0</v>
      </c>
      <c r="H8090">
        <v>-3091</v>
      </c>
      <c r="I8090">
        <v>0</v>
      </c>
      <c r="J8090">
        <v>1258</v>
      </c>
    </row>
    <row r="8091" spans="1:10" x14ac:dyDescent="0.25">
      <c r="A8091" s="201">
        <v>47</v>
      </c>
      <c r="B8091" s="201">
        <v>-1176</v>
      </c>
      <c r="C8091">
        <v>-27</v>
      </c>
      <c r="D8091" s="201">
        <v>0</v>
      </c>
      <c r="E8091" s="201">
        <v>428</v>
      </c>
      <c r="F8091">
        <v>-2273</v>
      </c>
      <c r="G8091">
        <v>8</v>
      </c>
      <c r="H8091">
        <v>0</v>
      </c>
      <c r="I8091">
        <v>0</v>
      </c>
      <c r="J8091">
        <v>0</v>
      </c>
    </row>
    <row r="8092" spans="1:10" x14ac:dyDescent="0.25">
      <c r="A8092">
        <v>3108</v>
      </c>
      <c r="B8092" s="201">
        <v>-24336</v>
      </c>
      <c r="C8092">
        <v>796</v>
      </c>
      <c r="D8092" s="201">
        <v>-1416</v>
      </c>
      <c r="E8092" s="201">
        <v>-1267</v>
      </c>
      <c r="F8092">
        <v>0</v>
      </c>
      <c r="G8092">
        <v>634</v>
      </c>
      <c r="H8092">
        <v>0</v>
      </c>
      <c r="I8092">
        <v>0</v>
      </c>
      <c r="J8092">
        <v>-674</v>
      </c>
    </row>
    <row r="8093" spans="1:10" x14ac:dyDescent="0.25">
      <c r="A8093">
        <v>0</v>
      </c>
      <c r="B8093" s="201">
        <v>-374</v>
      </c>
      <c r="C8093">
        <v>0</v>
      </c>
      <c r="D8093" s="201">
        <v>-674</v>
      </c>
      <c r="E8093" s="201">
        <v>0</v>
      </c>
      <c r="F8093">
        <v>0</v>
      </c>
      <c r="G8093">
        <v>0</v>
      </c>
      <c r="H8093">
        <v>0</v>
      </c>
      <c r="I8093">
        <v>0</v>
      </c>
      <c r="J8093">
        <v>0</v>
      </c>
    </row>
    <row r="8094" spans="1:10" x14ac:dyDescent="0.25">
      <c r="A8094" s="201">
        <v>0</v>
      </c>
      <c r="B8094" s="201">
        <v>0</v>
      </c>
      <c r="C8094">
        <v>-300</v>
      </c>
      <c r="D8094" s="201">
        <v>0</v>
      </c>
      <c r="E8094" s="201">
        <v>2131</v>
      </c>
      <c r="F8094">
        <v>573</v>
      </c>
      <c r="G8094">
        <v>415</v>
      </c>
      <c r="H8094">
        <v>-454</v>
      </c>
      <c r="I8094">
        <v>0</v>
      </c>
      <c r="J8094">
        <v>-160</v>
      </c>
    </row>
    <row r="8095" spans="1:10" x14ac:dyDescent="0.25">
      <c r="A8095" s="201">
        <v>-2674</v>
      </c>
      <c r="B8095" s="201">
        <v>0</v>
      </c>
      <c r="C8095">
        <v>0</v>
      </c>
      <c r="D8095" s="201">
        <v>0</v>
      </c>
      <c r="E8095" s="201">
        <v>0</v>
      </c>
      <c r="F8095">
        <v>0</v>
      </c>
      <c r="G8095">
        <v>-22165</v>
      </c>
      <c r="H8095">
        <v>2335</v>
      </c>
      <c r="I8095">
        <v>2236</v>
      </c>
      <c r="J8095">
        <v>3023</v>
      </c>
    </row>
    <row r="8096" spans="1:10" x14ac:dyDescent="0.25">
      <c r="A8096">
        <v>1622</v>
      </c>
      <c r="B8096" s="201">
        <v>2216</v>
      </c>
      <c r="C8096">
        <v>0</v>
      </c>
      <c r="D8096" s="201">
        <v>0</v>
      </c>
      <c r="E8096" s="201">
        <v>0</v>
      </c>
      <c r="F8096">
        <v>0</v>
      </c>
      <c r="G8096">
        <v>-879</v>
      </c>
      <c r="H8096">
        <v>0</v>
      </c>
      <c r="I8096">
        <v>-1566</v>
      </c>
      <c r="J8096">
        <v>0</v>
      </c>
    </row>
    <row r="8097" spans="1:10" x14ac:dyDescent="0.25">
      <c r="A8097" s="201">
        <v>0</v>
      </c>
      <c r="B8097" s="201">
        <v>-72</v>
      </c>
      <c r="C8097">
        <v>787</v>
      </c>
      <c r="D8097" s="201">
        <v>0</v>
      </c>
      <c r="E8097" s="201">
        <v>0</v>
      </c>
      <c r="F8097">
        <v>0</v>
      </c>
      <c r="G8097">
        <v>0</v>
      </c>
      <c r="H8097">
        <v>-1407</v>
      </c>
      <c r="I8097">
        <v>0</v>
      </c>
      <c r="J8097">
        <v>1446</v>
      </c>
    </row>
    <row r="8098" spans="1:10" x14ac:dyDescent="0.25">
      <c r="A8098">
        <v>2351</v>
      </c>
      <c r="B8098" s="201">
        <v>-1063</v>
      </c>
      <c r="C8098">
        <v>445</v>
      </c>
      <c r="D8098" s="201">
        <v>-2090</v>
      </c>
      <c r="E8098" s="201">
        <v>-646</v>
      </c>
      <c r="F8098">
        <v>-195</v>
      </c>
      <c r="G8098">
        <v>-304</v>
      </c>
      <c r="H8098">
        <v>-1021</v>
      </c>
      <c r="I8098">
        <v>1802</v>
      </c>
      <c r="J8098">
        <v>21379</v>
      </c>
    </row>
    <row r="8099" spans="1:10" x14ac:dyDescent="0.25">
      <c r="A8099" s="201">
        <v>0</v>
      </c>
      <c r="B8099" s="201">
        <v>0</v>
      </c>
      <c r="C8099">
        <v>0</v>
      </c>
      <c r="D8099" s="201">
        <v>0</v>
      </c>
      <c r="E8099" s="201">
        <v>0</v>
      </c>
      <c r="F8099">
        <v>0</v>
      </c>
      <c r="G8099">
        <v>0</v>
      </c>
      <c r="H8099">
        <v>156</v>
      </c>
      <c r="I8099">
        <v>13</v>
      </c>
      <c r="J8099">
        <v>-171</v>
      </c>
    </row>
    <row r="8100" spans="1:10" x14ac:dyDescent="0.25">
      <c r="A8100" s="201">
        <v>-133</v>
      </c>
      <c r="B8100" s="201">
        <v>615</v>
      </c>
      <c r="C8100">
        <v>-443</v>
      </c>
      <c r="D8100" s="201">
        <v>0</v>
      </c>
      <c r="E8100" s="201">
        <v>0</v>
      </c>
      <c r="F8100">
        <v>-66</v>
      </c>
      <c r="G8100">
        <v>0</v>
      </c>
      <c r="H8100">
        <v>-489</v>
      </c>
      <c r="I8100">
        <v>-103</v>
      </c>
      <c r="J8100">
        <v>0</v>
      </c>
    </row>
    <row r="8101" spans="1:10" x14ac:dyDescent="0.25">
      <c r="A8101">
        <v>-1002</v>
      </c>
      <c r="B8101" s="201">
        <v>3068</v>
      </c>
      <c r="C8101">
        <v>-290</v>
      </c>
      <c r="D8101" s="201">
        <v>0</v>
      </c>
      <c r="E8101" s="201">
        <v>0</v>
      </c>
      <c r="F8101">
        <v>0</v>
      </c>
      <c r="G8101">
        <v>-580</v>
      </c>
      <c r="H8101">
        <v>0</v>
      </c>
      <c r="I8101">
        <v>3955</v>
      </c>
      <c r="J8101">
        <v>-10617</v>
      </c>
    </row>
    <row r="8102" spans="1:10" x14ac:dyDescent="0.25">
      <c r="A8102">
        <v>0</v>
      </c>
      <c r="B8102" s="201">
        <v>0</v>
      </c>
      <c r="C8102">
        <v>0</v>
      </c>
      <c r="D8102" s="201">
        <v>0</v>
      </c>
      <c r="E8102" s="201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25">
      <c r="A8103" s="201">
        <v>0</v>
      </c>
      <c r="B8103" s="201">
        <v>0</v>
      </c>
      <c r="C8103">
        <v>0</v>
      </c>
      <c r="D8103" s="201">
        <v>0</v>
      </c>
      <c r="E8103" s="201">
        <v>0</v>
      </c>
      <c r="F8103">
        <v>-1849</v>
      </c>
      <c r="G8103">
        <v>0</v>
      </c>
      <c r="H8103">
        <v>0</v>
      </c>
      <c r="I8103">
        <v>0</v>
      </c>
      <c r="J8103">
        <v>0</v>
      </c>
    </row>
    <row r="8104" spans="1:10" x14ac:dyDescent="0.25">
      <c r="A8104" s="201">
        <v>-436</v>
      </c>
      <c r="B8104" s="201">
        <v>-1367</v>
      </c>
      <c r="C8104">
        <v>542</v>
      </c>
      <c r="D8104" s="201">
        <v>0</v>
      </c>
      <c r="E8104" s="201">
        <v>957</v>
      </c>
      <c r="F8104">
        <v>-1310</v>
      </c>
      <c r="G8104">
        <v>-507</v>
      </c>
      <c r="H8104">
        <v>-54</v>
      </c>
      <c r="I8104">
        <v>-3861</v>
      </c>
      <c r="J8104">
        <v>-2942</v>
      </c>
    </row>
    <row r="8105" spans="1:10" x14ac:dyDescent="0.25">
      <c r="A8105" s="201">
        <v>-1923</v>
      </c>
      <c r="B8105" s="201">
        <v>6250</v>
      </c>
      <c r="C8105">
        <v>124</v>
      </c>
      <c r="D8105" s="201">
        <v>9877</v>
      </c>
      <c r="E8105" s="201">
        <v>1293</v>
      </c>
      <c r="F8105">
        <v>2360</v>
      </c>
      <c r="G8105">
        <v>5474</v>
      </c>
      <c r="H8105">
        <v>8160</v>
      </c>
      <c r="I8105">
        <v>5984</v>
      </c>
      <c r="J8105">
        <v>6931</v>
      </c>
    </row>
    <row r="8106" spans="1:10" x14ac:dyDescent="0.25">
      <c r="A8106" s="201">
        <v>-30337</v>
      </c>
      <c r="B8106" s="201">
        <v>0</v>
      </c>
      <c r="C8106">
        <v>2864</v>
      </c>
      <c r="D8106" s="201">
        <v>-612</v>
      </c>
      <c r="E8106" s="201">
        <v>-1005</v>
      </c>
      <c r="F8106">
        <v>442</v>
      </c>
      <c r="G8106">
        <v>-273</v>
      </c>
      <c r="H8106">
        <v>-1293</v>
      </c>
      <c r="I8106">
        <v>-864</v>
      </c>
      <c r="J8106">
        <v>249</v>
      </c>
    </row>
    <row r="8107" spans="1:10" x14ac:dyDescent="0.25">
      <c r="A8107" s="201">
        <v>1132</v>
      </c>
      <c r="B8107" s="201">
        <v>-758</v>
      </c>
      <c r="C8107" s="201">
        <v>-197</v>
      </c>
      <c r="D8107" s="201">
        <v>806</v>
      </c>
      <c r="E8107" s="201">
        <v>-644</v>
      </c>
      <c r="F8107">
        <v>-789</v>
      </c>
      <c r="G8107">
        <v>-513</v>
      </c>
      <c r="H8107">
        <v>-2025</v>
      </c>
      <c r="I8107">
        <v>-265</v>
      </c>
      <c r="J8107">
        <v>-1459</v>
      </c>
    </row>
    <row r="8108" spans="1:10" x14ac:dyDescent="0.25">
      <c r="A8108" s="201">
        <v>-469</v>
      </c>
      <c r="B8108" s="201">
        <v>2062</v>
      </c>
      <c r="C8108" s="201">
        <v>-1686</v>
      </c>
      <c r="D8108" s="201">
        <v>-2168</v>
      </c>
      <c r="E8108" s="201">
        <v>-2870</v>
      </c>
      <c r="F8108">
        <v>-2949</v>
      </c>
      <c r="G8108">
        <v>-2834</v>
      </c>
      <c r="H8108">
        <v>-1893</v>
      </c>
      <c r="I8108">
        <v>-3351</v>
      </c>
      <c r="J8108">
        <v>-1984</v>
      </c>
    </row>
    <row r="8109" spans="1:10" x14ac:dyDescent="0.25">
      <c r="A8109" s="201">
        <v>-2645</v>
      </c>
      <c r="B8109" s="201">
        <v>-2636</v>
      </c>
      <c r="C8109">
        <v>-1200</v>
      </c>
      <c r="D8109" s="201">
        <v>-42</v>
      </c>
      <c r="E8109" s="201">
        <v>-43</v>
      </c>
      <c r="F8109">
        <v>-387</v>
      </c>
      <c r="G8109">
        <v>1309</v>
      </c>
      <c r="H8109">
        <v>-608</v>
      </c>
      <c r="I8109">
        <v>-222</v>
      </c>
      <c r="J8109">
        <v>-266</v>
      </c>
    </row>
    <row r="8110" spans="1:10" x14ac:dyDescent="0.25">
      <c r="A8110" s="201">
        <v>-123</v>
      </c>
      <c r="B8110" s="201">
        <v>789</v>
      </c>
      <c r="C8110">
        <v>2978</v>
      </c>
      <c r="D8110" s="201">
        <v>3924</v>
      </c>
      <c r="E8110" s="201">
        <v>4436</v>
      </c>
      <c r="F8110">
        <v>4433</v>
      </c>
      <c r="G8110">
        <v>3802</v>
      </c>
      <c r="H8110">
        <v>-8146</v>
      </c>
      <c r="I8110">
        <v>-3756</v>
      </c>
      <c r="J8110">
        <v>-952</v>
      </c>
    </row>
    <row r="8111" spans="1:10" x14ac:dyDescent="0.25">
      <c r="A8111">
        <v>-3472</v>
      </c>
      <c r="B8111" s="201">
        <v>281</v>
      </c>
      <c r="C8111">
        <v>2036</v>
      </c>
      <c r="D8111" s="201">
        <v>1530</v>
      </c>
      <c r="E8111" s="201">
        <v>2255</v>
      </c>
      <c r="F8111">
        <v>4421</v>
      </c>
      <c r="G8111">
        <v>512</v>
      </c>
      <c r="H8111">
        <v>1057</v>
      </c>
      <c r="I8111">
        <v>-84</v>
      </c>
      <c r="J8111">
        <v>540</v>
      </c>
    </row>
    <row r="8112" spans="1:10" x14ac:dyDescent="0.25">
      <c r="A8112" s="201">
        <v>479</v>
      </c>
      <c r="B8112" s="201">
        <v>6584</v>
      </c>
      <c r="C8112" s="201">
        <v>5529</v>
      </c>
      <c r="D8112" s="201">
        <v>4847</v>
      </c>
      <c r="E8112" s="201">
        <v>7263</v>
      </c>
      <c r="F8112">
        <v>5920</v>
      </c>
      <c r="G8112">
        <v>5050</v>
      </c>
      <c r="H8112">
        <v>7540</v>
      </c>
      <c r="I8112">
        <v>6065</v>
      </c>
      <c r="J8112">
        <v>-1920</v>
      </c>
    </row>
    <row r="8113" spans="1:10" x14ac:dyDescent="0.25">
      <c r="A8113">
        <v>-2177</v>
      </c>
      <c r="B8113" s="201">
        <v>-2002</v>
      </c>
      <c r="C8113">
        <v>-12832</v>
      </c>
      <c r="D8113" s="201">
        <v>4231</v>
      </c>
      <c r="E8113" s="201">
        <v>0</v>
      </c>
      <c r="F8113">
        <v>-6090</v>
      </c>
      <c r="G8113">
        <v>4156</v>
      </c>
      <c r="H8113">
        <v>0</v>
      </c>
      <c r="I8113">
        <v>1330</v>
      </c>
      <c r="J8113">
        <v>12096</v>
      </c>
    </row>
    <row r="8114" spans="1:10" x14ac:dyDescent="0.25">
      <c r="A8114">
        <v>335</v>
      </c>
      <c r="B8114" s="201">
        <v>-2660</v>
      </c>
      <c r="C8114">
        <v>844</v>
      </c>
      <c r="D8114" s="201">
        <v>0</v>
      </c>
      <c r="E8114" s="201">
        <v>0</v>
      </c>
      <c r="F8114">
        <v>1843</v>
      </c>
      <c r="G8114">
        <v>0</v>
      </c>
      <c r="H8114">
        <v>0</v>
      </c>
      <c r="I8114">
        <v>0</v>
      </c>
      <c r="J8114">
        <v>-1596</v>
      </c>
    </row>
    <row r="8115" spans="1:10" x14ac:dyDescent="0.25">
      <c r="A8115" s="201">
        <v>661</v>
      </c>
      <c r="B8115" s="201">
        <v>0</v>
      </c>
      <c r="C8115" s="201">
        <v>0</v>
      </c>
      <c r="D8115" s="201">
        <v>0</v>
      </c>
      <c r="E8115" s="201">
        <v>0</v>
      </c>
      <c r="F8115">
        <v>0</v>
      </c>
      <c r="G8115">
        <v>0</v>
      </c>
      <c r="H8115">
        <v>805</v>
      </c>
      <c r="I8115">
        <v>0</v>
      </c>
      <c r="J8115">
        <v>0</v>
      </c>
    </row>
    <row r="8116" spans="1:10" x14ac:dyDescent="0.25">
      <c r="A8116" s="201">
        <v>3948</v>
      </c>
      <c r="B8116" s="201">
        <v>0</v>
      </c>
      <c r="C8116">
        <v>-4062</v>
      </c>
      <c r="D8116" s="201">
        <v>0</v>
      </c>
      <c r="E8116" s="201">
        <v>-3654</v>
      </c>
      <c r="F8116">
        <v>1791</v>
      </c>
      <c r="G8116">
        <v>-997</v>
      </c>
      <c r="H8116">
        <v>-968</v>
      </c>
      <c r="I8116">
        <v>0</v>
      </c>
      <c r="J8116">
        <v>-493</v>
      </c>
    </row>
    <row r="8117" spans="1:10" x14ac:dyDescent="0.25">
      <c r="A8117">
        <v>21506</v>
      </c>
      <c r="B8117" s="201">
        <v>-2799</v>
      </c>
      <c r="C8117">
        <v>164</v>
      </c>
      <c r="D8117" s="201">
        <v>820</v>
      </c>
      <c r="E8117" s="201">
        <v>0</v>
      </c>
      <c r="F8117">
        <v>0</v>
      </c>
      <c r="G8117">
        <v>445</v>
      </c>
      <c r="H8117">
        <v>0</v>
      </c>
      <c r="I8117">
        <v>0</v>
      </c>
      <c r="J8117">
        <v>0</v>
      </c>
    </row>
    <row r="8118" spans="1:10" x14ac:dyDescent="0.25">
      <c r="A8118">
        <v>0</v>
      </c>
      <c r="B8118" s="201">
        <v>0</v>
      </c>
      <c r="C8118">
        <v>780</v>
      </c>
      <c r="D8118" s="201">
        <v>0</v>
      </c>
      <c r="E8118" s="201">
        <v>0</v>
      </c>
      <c r="F8118">
        <v>0</v>
      </c>
      <c r="G8118">
        <v>1215</v>
      </c>
      <c r="H8118">
        <v>0</v>
      </c>
      <c r="I8118">
        <v>0</v>
      </c>
      <c r="J8118">
        <v>0</v>
      </c>
    </row>
    <row r="8119" spans="1:10" x14ac:dyDescent="0.25">
      <c r="A8119">
        <v>0</v>
      </c>
      <c r="B8119" s="201">
        <v>0</v>
      </c>
      <c r="C8119" s="201">
        <v>0</v>
      </c>
      <c r="D8119" s="201">
        <v>0</v>
      </c>
      <c r="E8119" s="201">
        <v>1333</v>
      </c>
      <c r="F8119">
        <v>0</v>
      </c>
      <c r="G8119">
        <v>1444</v>
      </c>
      <c r="H8119">
        <v>405</v>
      </c>
      <c r="I8119">
        <v>0</v>
      </c>
      <c r="J8119">
        <v>-1321</v>
      </c>
    </row>
    <row r="8120" spans="1:10" x14ac:dyDescent="0.25">
      <c r="A8120" s="201">
        <v>0</v>
      </c>
      <c r="B8120" s="201">
        <v>5800</v>
      </c>
      <c r="C8120">
        <v>11703</v>
      </c>
      <c r="D8120" s="201">
        <v>0</v>
      </c>
      <c r="E8120" s="201">
        <v>-1109</v>
      </c>
      <c r="F8120">
        <v>0</v>
      </c>
      <c r="G8120">
        <v>0</v>
      </c>
      <c r="H8120">
        <v>0</v>
      </c>
      <c r="I8120">
        <v>0</v>
      </c>
      <c r="J8120">
        <v>2921</v>
      </c>
    </row>
    <row r="8121" spans="1:10" x14ac:dyDescent="0.25">
      <c r="A8121" s="201">
        <v>-1789</v>
      </c>
      <c r="B8121" s="201">
        <v>-716</v>
      </c>
      <c r="C8121" s="201">
        <v>0</v>
      </c>
      <c r="D8121" s="201">
        <v>0</v>
      </c>
      <c r="E8121" s="201">
        <v>-792</v>
      </c>
      <c r="F8121">
        <v>-68</v>
      </c>
      <c r="G8121">
        <v>0</v>
      </c>
      <c r="H8121">
        <v>-642</v>
      </c>
      <c r="I8121">
        <v>-224</v>
      </c>
      <c r="J8121">
        <v>553</v>
      </c>
    </row>
    <row r="8122" spans="1:10" x14ac:dyDescent="0.25">
      <c r="A8122">
        <v>-365</v>
      </c>
      <c r="B8122" s="201">
        <v>-3772</v>
      </c>
      <c r="C8122">
        <v>-2537</v>
      </c>
      <c r="D8122" s="201">
        <v>-1430</v>
      </c>
      <c r="E8122" s="201">
        <v>0</v>
      </c>
      <c r="F8122">
        <v>0</v>
      </c>
      <c r="G8122">
        <v>0</v>
      </c>
      <c r="H8122">
        <v>0</v>
      </c>
      <c r="I8122">
        <v>0</v>
      </c>
      <c r="J8122">
        <v>-4272</v>
      </c>
    </row>
    <row r="8123" spans="1:10" x14ac:dyDescent="0.25">
      <c r="A8123">
        <v>0</v>
      </c>
      <c r="B8123" s="201">
        <v>-9722</v>
      </c>
      <c r="C8123">
        <v>132</v>
      </c>
      <c r="D8123" s="201">
        <v>1826</v>
      </c>
      <c r="E8123" s="201">
        <v>-1024</v>
      </c>
      <c r="F8123">
        <v>0</v>
      </c>
      <c r="G8123">
        <v>2847</v>
      </c>
      <c r="H8123">
        <v>19854</v>
      </c>
      <c r="I8123">
        <v>725</v>
      </c>
      <c r="J8123">
        <v>163</v>
      </c>
    </row>
    <row r="8124" spans="1:10" x14ac:dyDescent="0.25">
      <c r="A8124">
        <v>-20</v>
      </c>
      <c r="B8124" s="201">
        <v>0</v>
      </c>
      <c r="C8124">
        <v>408</v>
      </c>
      <c r="D8124" s="201">
        <v>5146</v>
      </c>
      <c r="E8124" s="201">
        <v>2634</v>
      </c>
      <c r="F8124">
        <v>496</v>
      </c>
      <c r="G8124">
        <v>0</v>
      </c>
      <c r="H8124">
        <v>106</v>
      </c>
      <c r="I8124">
        <v>11686</v>
      </c>
      <c r="J8124">
        <v>0</v>
      </c>
    </row>
    <row r="8125" spans="1:10" x14ac:dyDescent="0.25">
      <c r="A8125">
        <v>0</v>
      </c>
      <c r="B8125" s="201">
        <v>0</v>
      </c>
      <c r="C8125">
        <v>591</v>
      </c>
      <c r="D8125" s="201">
        <v>671</v>
      </c>
      <c r="E8125" s="201">
        <v>0</v>
      </c>
      <c r="F8125">
        <v>1374</v>
      </c>
      <c r="G8125">
        <v>-634</v>
      </c>
      <c r="H8125">
        <v>-527</v>
      </c>
      <c r="I8125">
        <v>-640</v>
      </c>
      <c r="J8125">
        <v>0</v>
      </c>
    </row>
    <row r="8126" spans="1:10" x14ac:dyDescent="0.25">
      <c r="A8126">
        <v>0</v>
      </c>
      <c r="B8126" s="201">
        <v>0</v>
      </c>
      <c r="C8126" s="201">
        <v>0</v>
      </c>
      <c r="D8126" s="201">
        <v>0</v>
      </c>
      <c r="E8126" s="201">
        <v>-4198</v>
      </c>
      <c r="F8126">
        <v>0</v>
      </c>
      <c r="G8126">
        <v>-28371</v>
      </c>
      <c r="H8126">
        <v>367</v>
      </c>
      <c r="I8126">
        <v>1269</v>
      </c>
      <c r="J8126">
        <v>-121</v>
      </c>
    </row>
    <row r="8127" spans="1:10" x14ac:dyDescent="0.25">
      <c r="A8127">
        <v>0</v>
      </c>
      <c r="B8127" s="201">
        <v>2197</v>
      </c>
      <c r="C8127">
        <v>23090</v>
      </c>
      <c r="D8127" s="201">
        <v>-51</v>
      </c>
      <c r="E8127" s="201">
        <v>847</v>
      </c>
      <c r="F8127">
        <v>-131</v>
      </c>
      <c r="G8127">
        <v>603</v>
      </c>
      <c r="H8127">
        <v>2898</v>
      </c>
      <c r="I8127">
        <v>4825</v>
      </c>
      <c r="J8127">
        <v>0</v>
      </c>
    </row>
    <row r="8128" spans="1:10" x14ac:dyDescent="0.25">
      <c r="A8128">
        <v>138</v>
      </c>
      <c r="B8128" s="201">
        <v>0</v>
      </c>
      <c r="C8128" s="201">
        <v>0</v>
      </c>
      <c r="D8128" s="201">
        <v>13832</v>
      </c>
      <c r="E8128" s="201">
        <v>-403</v>
      </c>
      <c r="F8128">
        <v>0</v>
      </c>
      <c r="G8128">
        <v>-725</v>
      </c>
      <c r="H8128">
        <v>0</v>
      </c>
      <c r="I8128">
        <v>0</v>
      </c>
      <c r="J8128">
        <v>481</v>
      </c>
    </row>
    <row r="8129" spans="1:10" x14ac:dyDescent="0.25">
      <c r="A8129">
        <v>0</v>
      </c>
      <c r="B8129" s="201">
        <v>850</v>
      </c>
      <c r="C8129">
        <v>-1195</v>
      </c>
      <c r="D8129" s="201">
        <v>380</v>
      </c>
      <c r="E8129" s="201">
        <v>0</v>
      </c>
      <c r="F8129">
        <v>0</v>
      </c>
      <c r="G8129">
        <v>0</v>
      </c>
      <c r="H8129">
        <v>0</v>
      </c>
      <c r="I8129">
        <v>0</v>
      </c>
      <c r="J8129">
        <v>-3832</v>
      </c>
    </row>
    <row r="8130" spans="1:10" x14ac:dyDescent="0.25">
      <c r="A8130">
        <v>0</v>
      </c>
      <c r="B8130" s="201">
        <v>-30533</v>
      </c>
      <c r="C8130">
        <v>1835</v>
      </c>
      <c r="D8130" s="201">
        <v>406</v>
      </c>
      <c r="E8130" s="201">
        <v>-1048</v>
      </c>
      <c r="F8130">
        <v>0</v>
      </c>
      <c r="G8130">
        <v>959</v>
      </c>
      <c r="H8130">
        <v>13447</v>
      </c>
      <c r="I8130">
        <v>-559</v>
      </c>
      <c r="J8130">
        <v>0</v>
      </c>
    </row>
    <row r="8131" spans="1:10" x14ac:dyDescent="0.25">
      <c r="A8131">
        <v>0</v>
      </c>
      <c r="B8131" s="201">
        <v>0</v>
      </c>
      <c r="C8131">
        <v>232</v>
      </c>
      <c r="D8131" s="201">
        <v>6146</v>
      </c>
      <c r="E8131" s="201">
        <v>3618</v>
      </c>
      <c r="F8131">
        <v>2832</v>
      </c>
      <c r="G8131">
        <v>1351</v>
      </c>
      <c r="H8131">
        <v>0</v>
      </c>
      <c r="I8131">
        <v>11673</v>
      </c>
      <c r="J8131">
        <v>0</v>
      </c>
    </row>
    <row r="8132" spans="1:10" x14ac:dyDescent="0.25">
      <c r="A8132">
        <v>0</v>
      </c>
      <c r="B8132" s="201">
        <v>816</v>
      </c>
      <c r="C8132">
        <v>0</v>
      </c>
      <c r="D8132" s="201">
        <v>-292</v>
      </c>
      <c r="E8132" s="201">
        <v>0</v>
      </c>
      <c r="F8132">
        <v>978</v>
      </c>
      <c r="G8132">
        <v>0</v>
      </c>
      <c r="H8132">
        <v>0</v>
      </c>
      <c r="I8132">
        <v>0</v>
      </c>
      <c r="J8132">
        <v>0</v>
      </c>
    </row>
    <row r="8133" spans="1:10" x14ac:dyDescent="0.25">
      <c r="A8133">
        <v>0</v>
      </c>
      <c r="B8133" s="201">
        <v>0</v>
      </c>
      <c r="C8133" s="201">
        <v>0</v>
      </c>
      <c r="D8133" s="201">
        <v>0</v>
      </c>
      <c r="E8133" s="201">
        <v>-4168</v>
      </c>
      <c r="F8133">
        <v>0</v>
      </c>
      <c r="G8133">
        <v>-25539</v>
      </c>
      <c r="H8133">
        <v>-141</v>
      </c>
      <c r="I8133">
        <v>-441</v>
      </c>
      <c r="J8133">
        <v>-380</v>
      </c>
    </row>
    <row r="8134" spans="1:10" x14ac:dyDescent="0.25">
      <c r="A8134" s="201">
        <v>0</v>
      </c>
      <c r="B8134" s="201">
        <v>5013</v>
      </c>
      <c r="C8134" s="201">
        <v>23917</v>
      </c>
      <c r="D8134" s="201">
        <v>0</v>
      </c>
      <c r="E8134" s="201">
        <v>0</v>
      </c>
      <c r="F8134">
        <v>0</v>
      </c>
      <c r="G8134">
        <v>0</v>
      </c>
      <c r="H8134">
        <v>0</v>
      </c>
      <c r="I8134">
        <v>4869</v>
      </c>
      <c r="J8134">
        <v>1184</v>
      </c>
    </row>
    <row r="8135" spans="1:10" x14ac:dyDescent="0.25">
      <c r="A8135" s="201">
        <v>-2037</v>
      </c>
      <c r="B8135" s="201">
        <v>-4225</v>
      </c>
      <c r="C8135">
        <v>-3983</v>
      </c>
      <c r="D8135" s="201">
        <v>8867</v>
      </c>
      <c r="E8135" s="201">
        <v>0</v>
      </c>
      <c r="F8135">
        <v>0</v>
      </c>
      <c r="G8135">
        <v>0</v>
      </c>
      <c r="H8135">
        <v>0</v>
      </c>
      <c r="I8135">
        <v>-1313</v>
      </c>
      <c r="J8135">
        <v>0</v>
      </c>
    </row>
    <row r="8136" spans="1:10" x14ac:dyDescent="0.25">
      <c r="A8136">
        <v>-1148</v>
      </c>
      <c r="B8136" s="201">
        <v>0</v>
      </c>
      <c r="C8136">
        <v>0</v>
      </c>
      <c r="D8136" s="201">
        <v>-342</v>
      </c>
      <c r="E8136" s="201">
        <v>298</v>
      </c>
      <c r="F8136">
        <v>0</v>
      </c>
      <c r="G8136">
        <v>0</v>
      </c>
      <c r="H8136">
        <v>0</v>
      </c>
      <c r="I8136">
        <v>0</v>
      </c>
      <c r="J8136">
        <v>-4502</v>
      </c>
    </row>
    <row r="8137" spans="1:10" x14ac:dyDescent="0.25">
      <c r="A8137" s="201">
        <v>0</v>
      </c>
      <c r="B8137" s="201">
        <v>-29538</v>
      </c>
      <c r="C8137">
        <v>1246</v>
      </c>
      <c r="D8137" s="201">
        <v>-50</v>
      </c>
      <c r="E8137" s="201">
        <v>-679</v>
      </c>
      <c r="F8137">
        <v>2019</v>
      </c>
      <c r="G8137">
        <v>2599</v>
      </c>
      <c r="H8137">
        <v>960</v>
      </c>
      <c r="I8137">
        <v>2092</v>
      </c>
      <c r="J8137">
        <v>415</v>
      </c>
    </row>
    <row r="8138" spans="1:10" x14ac:dyDescent="0.25">
      <c r="A8138" s="201">
        <v>-299</v>
      </c>
      <c r="B8138" s="201">
        <v>-2161</v>
      </c>
      <c r="C8138">
        <v>0</v>
      </c>
      <c r="D8138" s="201">
        <v>0</v>
      </c>
      <c r="E8138" s="201">
        <v>0</v>
      </c>
      <c r="F8138">
        <v>0</v>
      </c>
      <c r="G8138">
        <v>0</v>
      </c>
      <c r="H8138">
        <v>0</v>
      </c>
      <c r="I8138">
        <v>0</v>
      </c>
      <c r="J8138">
        <v>1235</v>
      </c>
    </row>
    <row r="8139" spans="1:10" x14ac:dyDescent="0.25">
      <c r="A8139" s="201">
        <v>-133</v>
      </c>
      <c r="B8139" s="201">
        <v>1220</v>
      </c>
      <c r="C8139" s="201">
        <v>-683</v>
      </c>
      <c r="D8139" s="201">
        <v>-281</v>
      </c>
      <c r="E8139" s="201">
        <v>-52</v>
      </c>
      <c r="F8139">
        <v>0</v>
      </c>
      <c r="G8139">
        <v>0</v>
      </c>
      <c r="H8139">
        <v>250</v>
      </c>
      <c r="I8139">
        <v>0</v>
      </c>
      <c r="J8139">
        <v>2809</v>
      </c>
    </row>
    <row r="8140" spans="1:10" x14ac:dyDescent="0.25">
      <c r="A8140" s="201">
        <v>-1401</v>
      </c>
      <c r="B8140" s="201">
        <v>0</v>
      </c>
      <c r="C8140">
        <v>-1094</v>
      </c>
      <c r="D8140" s="201">
        <v>-1164</v>
      </c>
      <c r="E8140" s="201">
        <v>919</v>
      </c>
      <c r="F8140">
        <v>0</v>
      </c>
      <c r="G8140">
        <v>0</v>
      </c>
      <c r="H8140">
        <v>0</v>
      </c>
      <c r="I8140">
        <v>1052</v>
      </c>
      <c r="J8140">
        <v>0</v>
      </c>
    </row>
    <row r="8141" spans="1:10" x14ac:dyDescent="0.25">
      <c r="A8141">
        <v>-10119</v>
      </c>
      <c r="B8141" s="201">
        <v>-1588</v>
      </c>
      <c r="C8141">
        <v>0</v>
      </c>
      <c r="D8141" s="201">
        <v>0</v>
      </c>
      <c r="E8141" s="201">
        <v>0</v>
      </c>
      <c r="F8141">
        <v>0</v>
      </c>
      <c r="G8141">
        <v>0</v>
      </c>
      <c r="H8141">
        <v>0</v>
      </c>
      <c r="I8141">
        <v>0</v>
      </c>
      <c r="J8141">
        <v>0</v>
      </c>
    </row>
    <row r="8142" spans="1:10" x14ac:dyDescent="0.25">
      <c r="A8142">
        <v>0</v>
      </c>
      <c r="B8142" s="201">
        <v>0</v>
      </c>
      <c r="C8142" s="201">
        <v>0</v>
      </c>
      <c r="D8142" s="201">
        <v>0</v>
      </c>
      <c r="E8142" s="201">
        <v>0</v>
      </c>
      <c r="F8142">
        <v>0</v>
      </c>
      <c r="G8142">
        <v>0</v>
      </c>
      <c r="H8142">
        <v>2230</v>
      </c>
      <c r="I8142">
        <v>0</v>
      </c>
      <c r="J8142">
        <v>0</v>
      </c>
    </row>
    <row r="8143" spans="1:10" x14ac:dyDescent="0.25">
      <c r="A8143" s="201">
        <v>0</v>
      </c>
      <c r="B8143" s="201">
        <v>0</v>
      </c>
      <c r="C8143">
        <v>-1912</v>
      </c>
      <c r="D8143" s="201">
        <v>-1201</v>
      </c>
      <c r="E8143" s="201">
        <v>487</v>
      </c>
      <c r="F8143">
        <v>0</v>
      </c>
      <c r="G8143">
        <v>-4417</v>
      </c>
      <c r="H8143">
        <v>1994</v>
      </c>
      <c r="I8143">
        <v>304</v>
      </c>
      <c r="J8143">
        <v>-184</v>
      </c>
    </row>
    <row r="8144" spans="1:10" x14ac:dyDescent="0.25">
      <c r="A8144" s="201">
        <v>4157</v>
      </c>
      <c r="B8144" s="201">
        <v>4761</v>
      </c>
      <c r="C8144">
        <v>4450</v>
      </c>
      <c r="D8144" s="201">
        <v>-12241</v>
      </c>
      <c r="E8144" s="201">
        <v>5379</v>
      </c>
      <c r="F8144">
        <v>-1146</v>
      </c>
      <c r="G8144">
        <v>-2550</v>
      </c>
      <c r="H8144">
        <v>-1791</v>
      </c>
      <c r="I8144">
        <v>3152</v>
      </c>
      <c r="J8144">
        <v>699</v>
      </c>
    </row>
    <row r="8145" spans="1:10" x14ac:dyDescent="0.25">
      <c r="A8145">
        <v>1845</v>
      </c>
      <c r="B8145" s="201">
        <v>5008</v>
      </c>
      <c r="C8145">
        <v>1417</v>
      </c>
      <c r="D8145" s="201">
        <v>0</v>
      </c>
      <c r="E8145" s="201">
        <v>-391</v>
      </c>
      <c r="F8145">
        <v>-698</v>
      </c>
      <c r="G8145">
        <v>755</v>
      </c>
      <c r="H8145">
        <v>396</v>
      </c>
      <c r="I8145">
        <v>-466</v>
      </c>
      <c r="J8145">
        <v>5451</v>
      </c>
    </row>
    <row r="8146" spans="1:10" x14ac:dyDescent="0.25">
      <c r="A8146">
        <v>592</v>
      </c>
      <c r="B8146" s="201">
        <v>164</v>
      </c>
      <c r="C8146">
        <v>-318</v>
      </c>
      <c r="D8146" s="201">
        <v>415</v>
      </c>
      <c r="E8146" s="201">
        <v>7134</v>
      </c>
      <c r="F8146">
        <v>308</v>
      </c>
      <c r="G8146">
        <v>630</v>
      </c>
      <c r="H8146">
        <v>295</v>
      </c>
      <c r="I8146">
        <v>103</v>
      </c>
      <c r="J8146">
        <v>6639</v>
      </c>
    </row>
    <row r="8147" spans="1:10" x14ac:dyDescent="0.25">
      <c r="A8147" s="201">
        <v>171</v>
      </c>
      <c r="B8147" s="201">
        <v>-881</v>
      </c>
      <c r="C8147">
        <v>1243</v>
      </c>
      <c r="D8147" s="201">
        <v>282</v>
      </c>
      <c r="E8147" s="201">
        <v>1826</v>
      </c>
      <c r="F8147">
        <v>1805</v>
      </c>
      <c r="G8147">
        <v>2603</v>
      </c>
      <c r="H8147">
        <v>3259</v>
      </c>
      <c r="I8147">
        <v>3231</v>
      </c>
      <c r="J8147">
        <v>2598</v>
      </c>
    </row>
    <row r="8148" spans="1:10" x14ac:dyDescent="0.25">
      <c r="A8148" s="201">
        <v>2914</v>
      </c>
      <c r="B8148" s="201">
        <v>-136</v>
      </c>
      <c r="C8148">
        <v>-537</v>
      </c>
      <c r="D8148" s="201">
        <v>1724</v>
      </c>
      <c r="E8148" s="201">
        <v>-761</v>
      </c>
      <c r="F8148">
        <v>-1670</v>
      </c>
      <c r="G8148">
        <v>-1222</v>
      </c>
      <c r="H8148">
        <v>-1328</v>
      </c>
      <c r="I8148">
        <v>-912</v>
      </c>
      <c r="J8148">
        <v>-628</v>
      </c>
    </row>
    <row r="8149" spans="1:10" x14ac:dyDescent="0.25">
      <c r="A8149" s="201">
        <v>-425</v>
      </c>
      <c r="B8149" s="201">
        <v>-1344</v>
      </c>
      <c r="C8149" s="201">
        <v>-762</v>
      </c>
      <c r="D8149" s="201">
        <v>-2071</v>
      </c>
      <c r="E8149" s="201">
        <v>-23049</v>
      </c>
      <c r="F8149">
        <v>-31578</v>
      </c>
      <c r="G8149">
        <v>-31650</v>
      </c>
      <c r="H8149">
        <v>-32063</v>
      </c>
      <c r="I8149">
        <v>-26023</v>
      </c>
      <c r="J8149">
        <v>-27075</v>
      </c>
    </row>
    <row r="8150" spans="1:10" x14ac:dyDescent="0.25">
      <c r="A8150" s="201">
        <v>-37739</v>
      </c>
      <c r="B8150" s="201">
        <v>-36444</v>
      </c>
      <c r="C8150" s="201">
        <v>-38140</v>
      </c>
      <c r="D8150" s="201">
        <v>-40662</v>
      </c>
      <c r="E8150" s="201">
        <v>-5097</v>
      </c>
      <c r="F8150">
        <v>-2814</v>
      </c>
      <c r="G8150">
        <v>-2463</v>
      </c>
      <c r="H8150">
        <v>-1738</v>
      </c>
      <c r="I8150">
        <v>-384</v>
      </c>
      <c r="J8150">
        <v>-152</v>
      </c>
    </row>
    <row r="8151" spans="1:10" x14ac:dyDescent="0.25">
      <c r="A8151" s="201">
        <v>-716</v>
      </c>
      <c r="B8151" s="201">
        <v>-1284</v>
      </c>
      <c r="C8151">
        <v>-1125</v>
      </c>
      <c r="D8151" s="201">
        <v>-57293</v>
      </c>
      <c r="E8151" s="201">
        <v>-41566</v>
      </c>
      <c r="F8151">
        <v>-33024</v>
      </c>
      <c r="G8151">
        <v>-55770</v>
      </c>
      <c r="H8151">
        <v>-40562</v>
      </c>
      <c r="I8151">
        <v>-32841</v>
      </c>
      <c r="J8151">
        <v>-49795</v>
      </c>
    </row>
    <row r="8152" spans="1:10" x14ac:dyDescent="0.25">
      <c r="A8152" s="201">
        <v>-37181</v>
      </c>
      <c r="B8152" s="201">
        <v>-3564</v>
      </c>
      <c r="C8152">
        <v>2230</v>
      </c>
      <c r="D8152" s="201">
        <v>-2630</v>
      </c>
      <c r="E8152" s="201">
        <v>1622</v>
      </c>
      <c r="F8152">
        <v>-1227</v>
      </c>
      <c r="G8152">
        <v>0</v>
      </c>
      <c r="H8152">
        <v>-23929</v>
      </c>
      <c r="I8152">
        <v>-3809</v>
      </c>
      <c r="J8152">
        <v>0</v>
      </c>
    </row>
    <row r="8153" spans="1:10" x14ac:dyDescent="0.25">
      <c r="A8153">
        <v>-11005</v>
      </c>
      <c r="B8153" s="201">
        <v>0</v>
      </c>
      <c r="C8153">
        <v>0</v>
      </c>
      <c r="D8153" s="201">
        <v>0</v>
      </c>
      <c r="E8153" s="201">
        <v>0</v>
      </c>
      <c r="F8153">
        <v>0</v>
      </c>
      <c r="G8153">
        <v>0</v>
      </c>
      <c r="H8153">
        <v>0</v>
      </c>
      <c r="I8153">
        <v>0</v>
      </c>
      <c r="J8153">
        <v>0</v>
      </c>
    </row>
    <row r="8154" spans="1:10" x14ac:dyDescent="0.25">
      <c r="A8154">
        <v>0</v>
      </c>
      <c r="B8154" s="201">
        <v>0</v>
      </c>
      <c r="C8154">
        <v>0</v>
      </c>
      <c r="D8154" s="201">
        <v>0</v>
      </c>
      <c r="E8154" s="201">
        <v>0</v>
      </c>
      <c r="F8154">
        <v>0</v>
      </c>
      <c r="G8154">
        <v>0</v>
      </c>
      <c r="H8154">
        <v>0</v>
      </c>
      <c r="I8154">
        <v>0</v>
      </c>
      <c r="J8154">
        <v>0</v>
      </c>
    </row>
    <row r="8155" spans="1:10" x14ac:dyDescent="0.25">
      <c r="A8155">
        <v>0</v>
      </c>
      <c r="B8155" s="201">
        <v>0</v>
      </c>
      <c r="C8155">
        <v>0</v>
      </c>
      <c r="D8155" s="201">
        <v>0</v>
      </c>
      <c r="E8155" s="201">
        <v>0</v>
      </c>
      <c r="F8155">
        <v>0</v>
      </c>
      <c r="G8155">
        <v>0</v>
      </c>
      <c r="H8155">
        <v>0</v>
      </c>
      <c r="I8155">
        <v>0</v>
      </c>
      <c r="J8155">
        <v>0</v>
      </c>
    </row>
    <row r="8156" spans="1:10" x14ac:dyDescent="0.25">
      <c r="A8156">
        <v>0</v>
      </c>
      <c r="B8156" s="201">
        <v>0</v>
      </c>
      <c r="C8156">
        <v>0</v>
      </c>
      <c r="D8156" s="201">
        <v>0</v>
      </c>
      <c r="E8156" s="201">
        <v>0</v>
      </c>
      <c r="F8156">
        <v>0</v>
      </c>
      <c r="G8156">
        <v>0</v>
      </c>
      <c r="H8156">
        <v>0</v>
      </c>
      <c r="I8156">
        <v>0</v>
      </c>
      <c r="J8156">
        <v>0</v>
      </c>
    </row>
    <row r="8157" spans="1:10" x14ac:dyDescent="0.25">
      <c r="A8157">
        <v>0</v>
      </c>
      <c r="B8157" s="201">
        <v>0</v>
      </c>
      <c r="C8157">
        <v>0</v>
      </c>
      <c r="D8157" s="201">
        <v>0</v>
      </c>
      <c r="E8157" s="201">
        <v>0</v>
      </c>
      <c r="F8157">
        <v>0</v>
      </c>
      <c r="G8157">
        <v>0</v>
      </c>
      <c r="H8157">
        <v>0</v>
      </c>
      <c r="I8157">
        <v>0</v>
      </c>
      <c r="J8157">
        <v>0</v>
      </c>
    </row>
    <row r="8158" spans="1:10" x14ac:dyDescent="0.25">
      <c r="A8158">
        <v>0</v>
      </c>
      <c r="B8158" s="201">
        <v>0</v>
      </c>
      <c r="C8158">
        <v>0</v>
      </c>
      <c r="D8158" s="201">
        <v>0</v>
      </c>
      <c r="E8158" s="201">
        <v>0</v>
      </c>
      <c r="F8158">
        <v>0</v>
      </c>
      <c r="G8158">
        <v>0</v>
      </c>
      <c r="H8158">
        <v>0</v>
      </c>
      <c r="I8158">
        <v>0</v>
      </c>
      <c r="J8158">
        <v>0</v>
      </c>
    </row>
    <row r="8159" spans="1:10" x14ac:dyDescent="0.25">
      <c r="A8159">
        <v>0</v>
      </c>
      <c r="B8159" s="201">
        <v>0</v>
      </c>
      <c r="C8159">
        <v>0</v>
      </c>
      <c r="D8159" s="201">
        <v>0</v>
      </c>
      <c r="E8159" s="201">
        <v>0</v>
      </c>
      <c r="F8159">
        <v>0</v>
      </c>
      <c r="G8159">
        <v>0</v>
      </c>
      <c r="H8159">
        <v>0</v>
      </c>
      <c r="I8159">
        <v>0</v>
      </c>
      <c r="J8159">
        <v>0</v>
      </c>
    </row>
    <row r="8160" spans="1:10" x14ac:dyDescent="0.25">
      <c r="A8160">
        <v>0</v>
      </c>
      <c r="B8160" s="201">
        <v>0</v>
      </c>
      <c r="C8160">
        <v>0</v>
      </c>
      <c r="D8160" s="201">
        <v>0</v>
      </c>
      <c r="E8160" s="201">
        <v>0</v>
      </c>
      <c r="F8160">
        <v>0</v>
      </c>
      <c r="G8160">
        <v>0</v>
      </c>
      <c r="H8160">
        <v>0</v>
      </c>
      <c r="I8160">
        <v>0</v>
      </c>
      <c r="J8160">
        <v>0</v>
      </c>
    </row>
    <row r="8161" spans="1:10" x14ac:dyDescent="0.25">
      <c r="A8161">
        <v>0</v>
      </c>
      <c r="B8161" s="201">
        <v>0</v>
      </c>
      <c r="C8161">
        <v>0</v>
      </c>
      <c r="D8161" s="201">
        <v>0</v>
      </c>
      <c r="E8161" s="201">
        <v>0</v>
      </c>
      <c r="F8161">
        <v>0</v>
      </c>
      <c r="G8161">
        <v>0</v>
      </c>
      <c r="H8161">
        <v>0</v>
      </c>
      <c r="I8161">
        <v>0</v>
      </c>
      <c r="J8161">
        <v>0</v>
      </c>
    </row>
    <row r="8162" spans="1:10" x14ac:dyDescent="0.25">
      <c r="A8162">
        <v>0</v>
      </c>
      <c r="B8162" s="201">
        <v>0</v>
      </c>
      <c r="C8162">
        <v>0</v>
      </c>
      <c r="D8162" s="201">
        <v>0</v>
      </c>
      <c r="E8162" s="201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25">
      <c r="A8163">
        <v>0</v>
      </c>
      <c r="B8163" s="201">
        <v>0</v>
      </c>
      <c r="C8163">
        <v>0</v>
      </c>
      <c r="D8163" s="201">
        <v>0</v>
      </c>
      <c r="E8163" s="201">
        <v>0</v>
      </c>
      <c r="F8163">
        <v>0</v>
      </c>
      <c r="G8163">
        <v>0</v>
      </c>
      <c r="H8163">
        <v>0</v>
      </c>
      <c r="I8163">
        <v>0</v>
      </c>
      <c r="J8163">
        <v>0</v>
      </c>
    </row>
    <row r="8164" spans="1:10" x14ac:dyDescent="0.25">
      <c r="A8164">
        <v>0</v>
      </c>
      <c r="B8164" s="201">
        <v>0</v>
      </c>
      <c r="C8164">
        <v>0</v>
      </c>
      <c r="D8164" s="201">
        <v>0</v>
      </c>
      <c r="E8164" s="201">
        <v>0</v>
      </c>
      <c r="F8164">
        <v>0</v>
      </c>
      <c r="G8164">
        <v>0</v>
      </c>
      <c r="H8164">
        <v>0</v>
      </c>
      <c r="I8164">
        <v>0</v>
      </c>
      <c r="J8164">
        <v>0</v>
      </c>
    </row>
    <row r="8165" spans="1:10" x14ac:dyDescent="0.25">
      <c r="A8165">
        <v>0</v>
      </c>
      <c r="B8165" s="201">
        <v>0</v>
      </c>
      <c r="C8165">
        <v>0</v>
      </c>
      <c r="D8165" s="201">
        <v>0</v>
      </c>
      <c r="E8165" s="201">
        <v>0</v>
      </c>
      <c r="F8165">
        <v>0</v>
      </c>
      <c r="G8165">
        <v>0</v>
      </c>
      <c r="H8165">
        <v>0</v>
      </c>
      <c r="I8165">
        <v>0</v>
      </c>
      <c r="J8165">
        <v>0</v>
      </c>
    </row>
    <row r="8166" spans="1:10" x14ac:dyDescent="0.25">
      <c r="A8166">
        <v>0</v>
      </c>
      <c r="B8166" s="201">
        <v>0</v>
      </c>
      <c r="C8166">
        <v>0</v>
      </c>
      <c r="D8166" s="201">
        <v>0</v>
      </c>
      <c r="E8166" s="201">
        <v>0</v>
      </c>
      <c r="F8166">
        <v>0</v>
      </c>
      <c r="G8166">
        <v>0</v>
      </c>
      <c r="H8166">
        <v>0</v>
      </c>
      <c r="I8166">
        <v>0</v>
      </c>
      <c r="J8166">
        <v>0</v>
      </c>
    </row>
    <row r="8167" spans="1:10" x14ac:dyDescent="0.25">
      <c r="A8167">
        <v>0</v>
      </c>
      <c r="B8167" s="201">
        <v>0</v>
      </c>
      <c r="C8167">
        <v>0</v>
      </c>
      <c r="D8167" s="201">
        <v>0</v>
      </c>
      <c r="E8167" s="201">
        <v>0</v>
      </c>
      <c r="F8167">
        <v>0</v>
      </c>
      <c r="G8167">
        <v>0</v>
      </c>
      <c r="H8167">
        <v>0</v>
      </c>
      <c r="I8167">
        <v>0</v>
      </c>
      <c r="J8167">
        <v>0</v>
      </c>
    </row>
    <row r="8168" spans="1:10" x14ac:dyDescent="0.25">
      <c r="A8168">
        <v>0</v>
      </c>
      <c r="B8168" s="201">
        <v>0</v>
      </c>
      <c r="C8168">
        <v>0</v>
      </c>
      <c r="D8168" s="201">
        <v>0</v>
      </c>
      <c r="E8168" s="201">
        <v>0</v>
      </c>
      <c r="F8168">
        <v>0</v>
      </c>
      <c r="G8168">
        <v>0</v>
      </c>
      <c r="H8168">
        <v>0</v>
      </c>
      <c r="I8168">
        <v>0</v>
      </c>
      <c r="J8168">
        <v>0</v>
      </c>
    </row>
    <row r="8169" spans="1:10" x14ac:dyDescent="0.25">
      <c r="A8169">
        <v>0</v>
      </c>
      <c r="B8169" s="201">
        <v>0</v>
      </c>
      <c r="C8169">
        <v>0</v>
      </c>
      <c r="D8169" s="201">
        <v>0</v>
      </c>
      <c r="E8169" s="201">
        <v>0</v>
      </c>
      <c r="F8169">
        <v>0</v>
      </c>
      <c r="G8169">
        <v>0</v>
      </c>
      <c r="H8169">
        <v>0</v>
      </c>
      <c r="I8169">
        <v>0</v>
      </c>
      <c r="J8169">
        <v>0</v>
      </c>
    </row>
    <row r="8170" spans="1:10" x14ac:dyDescent="0.25">
      <c r="A8170">
        <v>0</v>
      </c>
      <c r="B8170" s="201">
        <v>0</v>
      </c>
      <c r="C8170">
        <v>0</v>
      </c>
      <c r="D8170" s="201">
        <v>0</v>
      </c>
      <c r="E8170" s="201">
        <v>0</v>
      </c>
      <c r="F8170">
        <v>0</v>
      </c>
      <c r="G8170">
        <v>0</v>
      </c>
      <c r="H8170">
        <v>0</v>
      </c>
      <c r="I8170">
        <v>0</v>
      </c>
      <c r="J8170">
        <v>0</v>
      </c>
    </row>
    <row r="8171" spans="1:10" x14ac:dyDescent="0.25">
      <c r="A8171">
        <v>0</v>
      </c>
      <c r="B8171" s="201">
        <v>0</v>
      </c>
      <c r="C8171">
        <v>0</v>
      </c>
      <c r="D8171" s="201">
        <v>0</v>
      </c>
      <c r="E8171" s="201">
        <v>0</v>
      </c>
      <c r="F8171">
        <v>0</v>
      </c>
      <c r="G8171">
        <v>0</v>
      </c>
      <c r="H8171">
        <v>0</v>
      </c>
      <c r="I8171">
        <v>0</v>
      </c>
      <c r="J8171">
        <v>0</v>
      </c>
    </row>
    <row r="8172" spans="1:10" x14ac:dyDescent="0.25">
      <c r="A8172">
        <v>0</v>
      </c>
      <c r="B8172" s="201">
        <v>0</v>
      </c>
      <c r="C8172">
        <v>0</v>
      </c>
      <c r="D8172" s="201">
        <v>0</v>
      </c>
      <c r="E8172" s="201">
        <v>0</v>
      </c>
      <c r="F8172">
        <v>0</v>
      </c>
      <c r="G8172">
        <v>0</v>
      </c>
      <c r="H8172">
        <v>0</v>
      </c>
      <c r="I8172">
        <v>0</v>
      </c>
      <c r="J8172">
        <v>0</v>
      </c>
    </row>
    <row r="8173" spans="1:10" x14ac:dyDescent="0.25">
      <c r="A8173">
        <v>0</v>
      </c>
      <c r="B8173" s="201">
        <v>0</v>
      </c>
      <c r="C8173">
        <v>0</v>
      </c>
      <c r="D8173" s="201">
        <v>0</v>
      </c>
      <c r="E8173" s="201">
        <v>0</v>
      </c>
      <c r="F8173">
        <v>0</v>
      </c>
      <c r="G8173">
        <v>0</v>
      </c>
      <c r="H8173">
        <v>0</v>
      </c>
      <c r="I8173">
        <v>0</v>
      </c>
      <c r="J8173">
        <v>0</v>
      </c>
    </row>
    <row r="8174" spans="1:10" x14ac:dyDescent="0.25">
      <c r="A8174">
        <v>0</v>
      </c>
      <c r="B8174" s="201">
        <v>0</v>
      </c>
      <c r="C8174">
        <v>0</v>
      </c>
      <c r="D8174" s="201">
        <v>0</v>
      </c>
      <c r="E8174" s="201">
        <v>0</v>
      </c>
      <c r="F8174">
        <v>0</v>
      </c>
      <c r="G8174">
        <v>0</v>
      </c>
      <c r="H8174">
        <v>0</v>
      </c>
      <c r="I8174">
        <v>0</v>
      </c>
      <c r="J8174">
        <v>0</v>
      </c>
    </row>
    <row r="8175" spans="1:10" x14ac:dyDescent="0.25">
      <c r="A8175">
        <v>0</v>
      </c>
      <c r="B8175" s="201">
        <v>0</v>
      </c>
      <c r="C8175">
        <v>0</v>
      </c>
      <c r="D8175" s="201">
        <v>0</v>
      </c>
      <c r="E8175" s="201">
        <v>0</v>
      </c>
      <c r="F8175">
        <v>0</v>
      </c>
      <c r="G8175">
        <v>0</v>
      </c>
      <c r="H8175">
        <v>0</v>
      </c>
      <c r="I8175">
        <v>0</v>
      </c>
      <c r="J8175">
        <v>0</v>
      </c>
    </row>
    <row r="8176" spans="1:10" x14ac:dyDescent="0.25">
      <c r="A8176">
        <v>0</v>
      </c>
      <c r="B8176" s="201">
        <v>0</v>
      </c>
      <c r="C8176">
        <v>0</v>
      </c>
      <c r="D8176" s="201">
        <v>0</v>
      </c>
      <c r="E8176" s="201">
        <v>0</v>
      </c>
      <c r="F8176">
        <v>0</v>
      </c>
      <c r="G8176">
        <v>0</v>
      </c>
      <c r="H8176">
        <v>0</v>
      </c>
      <c r="I8176">
        <v>0</v>
      </c>
      <c r="J8176">
        <v>0</v>
      </c>
    </row>
    <row r="8177" spans="1:10" x14ac:dyDescent="0.25">
      <c r="A8177">
        <v>0</v>
      </c>
      <c r="B8177" s="201">
        <v>0</v>
      </c>
      <c r="C8177">
        <v>0</v>
      </c>
      <c r="D8177" s="201">
        <v>0</v>
      </c>
      <c r="E8177" s="201">
        <v>0</v>
      </c>
      <c r="F8177">
        <v>0</v>
      </c>
      <c r="G8177">
        <v>0</v>
      </c>
      <c r="H8177">
        <v>0</v>
      </c>
      <c r="I8177">
        <v>0</v>
      </c>
      <c r="J8177">
        <v>0</v>
      </c>
    </row>
    <row r="8178" spans="1:10" x14ac:dyDescent="0.25">
      <c r="A8178">
        <v>0</v>
      </c>
      <c r="B8178" s="201">
        <v>0</v>
      </c>
      <c r="C8178">
        <v>0</v>
      </c>
      <c r="D8178" s="201">
        <v>0</v>
      </c>
      <c r="E8178" s="201">
        <v>0</v>
      </c>
      <c r="F8178">
        <v>0</v>
      </c>
      <c r="G8178">
        <v>0</v>
      </c>
      <c r="H8178">
        <v>0</v>
      </c>
      <c r="I8178">
        <v>0</v>
      </c>
      <c r="J8178">
        <v>0</v>
      </c>
    </row>
    <row r="8179" spans="1:10" x14ac:dyDescent="0.25">
      <c r="A8179">
        <v>0</v>
      </c>
      <c r="B8179" s="201">
        <v>0</v>
      </c>
      <c r="C8179">
        <v>0</v>
      </c>
      <c r="D8179" s="201">
        <v>0</v>
      </c>
      <c r="E8179" s="201">
        <v>0</v>
      </c>
      <c r="F8179">
        <v>0</v>
      </c>
      <c r="G8179">
        <v>0</v>
      </c>
      <c r="H8179">
        <v>0</v>
      </c>
      <c r="I8179">
        <v>0</v>
      </c>
      <c r="J8179">
        <v>0</v>
      </c>
    </row>
    <row r="8180" spans="1:10" x14ac:dyDescent="0.25">
      <c r="A8180">
        <v>0</v>
      </c>
      <c r="B8180" s="201">
        <v>0</v>
      </c>
      <c r="C8180">
        <v>0</v>
      </c>
      <c r="D8180" s="201">
        <v>0</v>
      </c>
      <c r="E8180" s="201">
        <v>0</v>
      </c>
      <c r="F8180">
        <v>0</v>
      </c>
      <c r="G8180">
        <v>0</v>
      </c>
      <c r="H8180">
        <v>0</v>
      </c>
      <c r="I8180">
        <v>0</v>
      </c>
      <c r="J8180">
        <v>0</v>
      </c>
    </row>
    <row r="8181" spans="1:10" x14ac:dyDescent="0.25">
      <c r="A8181">
        <v>0</v>
      </c>
      <c r="B8181" s="201">
        <v>0</v>
      </c>
      <c r="C8181">
        <v>0</v>
      </c>
      <c r="D8181" s="201">
        <v>0</v>
      </c>
      <c r="E8181" s="201">
        <v>0</v>
      </c>
      <c r="F8181">
        <v>0</v>
      </c>
      <c r="G8181">
        <v>0</v>
      </c>
      <c r="H8181">
        <v>0</v>
      </c>
      <c r="I8181">
        <v>0</v>
      </c>
      <c r="J8181">
        <v>0</v>
      </c>
    </row>
    <row r="8182" spans="1:10" x14ac:dyDescent="0.25">
      <c r="A8182">
        <v>0</v>
      </c>
      <c r="B8182" s="201">
        <v>0</v>
      </c>
      <c r="C8182">
        <v>0</v>
      </c>
      <c r="D8182" s="201">
        <v>0</v>
      </c>
      <c r="E8182" s="201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25">
      <c r="A8183">
        <v>0</v>
      </c>
      <c r="B8183" s="201">
        <v>0</v>
      </c>
      <c r="C8183">
        <v>0</v>
      </c>
      <c r="D8183" s="201">
        <v>0</v>
      </c>
      <c r="E8183" s="201">
        <v>0</v>
      </c>
      <c r="F8183">
        <v>0</v>
      </c>
      <c r="G8183">
        <v>0</v>
      </c>
      <c r="H8183">
        <v>0</v>
      </c>
      <c r="I8183">
        <v>0</v>
      </c>
      <c r="J8183">
        <v>0</v>
      </c>
    </row>
    <row r="8184" spans="1:10" x14ac:dyDescent="0.25">
      <c r="A8184">
        <v>0</v>
      </c>
      <c r="B8184" s="201">
        <v>0</v>
      </c>
      <c r="C8184">
        <v>0</v>
      </c>
      <c r="D8184" s="201">
        <v>0</v>
      </c>
      <c r="E8184" s="201">
        <v>0</v>
      </c>
      <c r="F8184">
        <v>0</v>
      </c>
      <c r="G8184">
        <v>0</v>
      </c>
      <c r="H8184">
        <v>0</v>
      </c>
      <c r="I8184">
        <v>0</v>
      </c>
      <c r="J8184">
        <v>0</v>
      </c>
    </row>
    <row r="8185" spans="1:10" x14ac:dyDescent="0.25">
      <c r="A8185">
        <v>0</v>
      </c>
      <c r="B8185" s="201">
        <v>0</v>
      </c>
      <c r="C8185">
        <v>0</v>
      </c>
      <c r="D8185" s="201">
        <v>0</v>
      </c>
      <c r="E8185" s="201">
        <v>0</v>
      </c>
      <c r="F8185">
        <v>0</v>
      </c>
      <c r="G8185">
        <v>0</v>
      </c>
      <c r="H8185">
        <v>0</v>
      </c>
      <c r="I8185">
        <v>0</v>
      </c>
      <c r="J8185">
        <v>0</v>
      </c>
    </row>
    <row r="8186" spans="1:10" x14ac:dyDescent="0.25">
      <c r="A8186">
        <v>0</v>
      </c>
      <c r="B8186" s="201">
        <v>0</v>
      </c>
      <c r="C8186">
        <v>0</v>
      </c>
      <c r="D8186" s="201">
        <v>0</v>
      </c>
      <c r="E8186" s="201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25">
      <c r="A8187">
        <v>0</v>
      </c>
      <c r="B8187" s="201">
        <v>0</v>
      </c>
      <c r="C8187">
        <v>0</v>
      </c>
      <c r="D8187" s="201">
        <v>0</v>
      </c>
      <c r="E8187" s="201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25">
      <c r="A8188">
        <v>0</v>
      </c>
      <c r="B8188" s="201">
        <v>0</v>
      </c>
      <c r="C8188">
        <v>0</v>
      </c>
      <c r="D8188" s="201">
        <v>0</v>
      </c>
      <c r="E8188" s="201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25">
      <c r="A8189">
        <v>0</v>
      </c>
      <c r="B8189" s="201">
        <v>0</v>
      </c>
      <c r="C8189">
        <v>0</v>
      </c>
      <c r="D8189" s="201">
        <v>0</v>
      </c>
      <c r="E8189" s="201">
        <v>0</v>
      </c>
      <c r="F8189">
        <v>0</v>
      </c>
      <c r="G8189">
        <v>0</v>
      </c>
      <c r="H8189">
        <v>0</v>
      </c>
      <c r="I8189">
        <v>0</v>
      </c>
      <c r="J8189">
        <v>0</v>
      </c>
    </row>
    <row r="8190" spans="1:10" x14ac:dyDescent="0.25">
      <c r="A8190">
        <v>0</v>
      </c>
      <c r="B8190" s="201">
        <v>0</v>
      </c>
      <c r="C8190">
        <v>0</v>
      </c>
      <c r="D8190" s="201">
        <v>0</v>
      </c>
      <c r="E8190" s="201">
        <v>0</v>
      </c>
      <c r="F8190">
        <v>0</v>
      </c>
      <c r="G8190">
        <v>0</v>
      </c>
      <c r="H8190">
        <v>0</v>
      </c>
      <c r="I8190">
        <v>0</v>
      </c>
      <c r="J8190">
        <v>0</v>
      </c>
    </row>
    <row r="8191" spans="1:10" x14ac:dyDescent="0.25">
      <c r="A8191">
        <v>0</v>
      </c>
      <c r="B8191" s="201">
        <v>0</v>
      </c>
      <c r="C8191">
        <v>0</v>
      </c>
      <c r="D8191" s="201">
        <v>0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0</v>
      </c>
    </row>
    <row r="8192" spans="1:10" x14ac:dyDescent="0.25">
      <c r="A8192">
        <v>0</v>
      </c>
      <c r="B8192">
        <v>0</v>
      </c>
      <c r="C8192">
        <v>0</v>
      </c>
      <c r="D8192">
        <v>0</v>
      </c>
      <c r="E8192">
        <v>0</v>
      </c>
    </row>
  </sheetData>
  <pageMargins bottom="0.75" footer="0.3" header="0.3" left="0.7" right="0.7" top="0.75"/>
  <pageSetup orientation="portrait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customHeight="1" ht="14.25" r="1" spans="1:13" x14ac:dyDescent="0.2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/>
      <c r="J1" s="102"/>
      <c r="K1" s="110"/>
    </row>
    <row customHeight="1" ht="14.25" r="2" spans="1:13" x14ac:dyDescent="0.25">
      <c r="A2" s="104">
        <v>1</v>
      </c>
      <c r="B2" s="105" t="s">
        <v>1069</v>
      </c>
      <c r="C2" s="105"/>
      <c r="D2" s="105"/>
      <c r="E2" s="105"/>
      <c r="F2" s="105"/>
      <c r="G2" s="105"/>
      <c r="H2" s="105"/>
      <c r="I2" s="105"/>
      <c r="J2" s="105"/>
      <c r="K2" s="111"/>
    </row>
    <row customHeight="1" ht="14.25" r="3" spans="1:13" x14ac:dyDescent="0.2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11"/>
    </row>
    <row customHeight="1" ht="14.25" r="4" spans="1:13" x14ac:dyDescent="0.2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11"/>
    </row>
    <row customHeight="1" ht="14.25" r="5" spans="1:13" x14ac:dyDescent="0.25">
      <c r="A5" s="104">
        <v>4</v>
      </c>
      <c r="B5" s="105" t="s">
        <v>1070</v>
      </c>
      <c r="C5" s="105"/>
      <c r="D5" s="105"/>
      <c r="E5" s="105"/>
      <c r="F5" s="105"/>
      <c r="G5" s="105"/>
      <c r="H5" s="105"/>
      <c r="I5" s="105"/>
      <c r="J5" s="105"/>
      <c r="K5" s="111"/>
    </row>
    <row customHeight="1" ht="14.25" r="6" spans="1:13" x14ac:dyDescent="0.25">
      <c r="A6" s="112"/>
      <c r="B6" s="107"/>
      <c r="C6" s="107"/>
      <c r="D6" s="107"/>
      <c r="E6" s="107"/>
      <c r="F6" s="107"/>
      <c r="G6" s="107"/>
      <c r="H6" s="107"/>
      <c r="I6" s="107"/>
      <c r="J6" s="107"/>
      <c r="K6" s="108"/>
      <c r="L6" s="201"/>
      <c r="M6" s="201"/>
    </row>
    <row customHeight="1" ht="14.25" r="7" spans="1:13" x14ac:dyDescent="0.25">
      <c r="A7" s="201"/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</row>
    <row customHeight="1" ht="14.25" r="8" spans="1:13" x14ac:dyDescent="0.25">
      <c r="A8" s="201" t="s">
        <v>23</v>
      </c>
      <c r="B8" s="201" t="s">
        <v>1071</v>
      </c>
      <c r="C8" s="201" t="s">
        <v>1072</v>
      </c>
      <c r="D8" s="201" t="s">
        <v>1073</v>
      </c>
      <c r="E8" s="201" t="s">
        <v>1074</v>
      </c>
      <c r="F8" s="201" t="s">
        <v>257</v>
      </c>
      <c r="G8" s="201" t="s">
        <v>1075</v>
      </c>
      <c r="H8" s="201"/>
      <c r="I8" s="201"/>
      <c r="J8" s="201"/>
      <c r="K8" s="201"/>
      <c r="L8" s="201"/>
      <c r="M8" s="201"/>
    </row>
    <row customHeight="1" ht="14.25" r="9" spans="1:13" x14ac:dyDescent="0.25">
      <c r="A9" s="201" t="s">
        <v>1023</v>
      </c>
      <c r="B9" s="201" t="s">
        <v>1024</v>
      </c>
      <c r="C9" s="201" t="s">
        <v>1025</v>
      </c>
      <c r="D9" s="201" t="s">
        <v>1021</v>
      </c>
      <c r="E9" s="201">
        <v>4</v>
      </c>
      <c r="F9" s="69">
        <v>0.52747685185185189</v>
      </c>
      <c r="G9" s="201" t="s">
        <v>1026</v>
      </c>
      <c r="H9" s="201">
        <v>6</v>
      </c>
      <c r="I9" s="201" t="s">
        <v>1262</v>
      </c>
      <c r="J9" s="201">
        <v>12</v>
      </c>
      <c r="K9" s="201"/>
      <c r="L9" s="201"/>
      <c r="M9" s="201"/>
    </row>
    <row customHeight="1" ht="14.25" r="10" spans="1:13" x14ac:dyDescent="0.25">
      <c r="A10" s="201" t="s">
        <v>1027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customHeight="1" ht="14.25" r="11" spans="1:13" x14ac:dyDescent="0.25">
      <c r="A11" s="201"/>
      <c r="B11" s="201">
        <v>1</v>
      </c>
      <c r="C11" s="201" t="s">
        <v>1136</v>
      </c>
      <c r="D11" s="201" t="s">
        <v>312</v>
      </c>
      <c r="E11" s="201">
        <v>-1.427506529303</v>
      </c>
      <c r="F11" s="201">
        <v>0.230710861441</v>
      </c>
      <c r="G11" s="201"/>
      <c r="H11" s="201"/>
      <c r="I11" s="201"/>
      <c r="J11" s="201"/>
      <c r="K11" s="201"/>
      <c r="L11" s="201"/>
      <c r="M11" s="201"/>
    </row>
    <row customHeight="1" ht="14.25" r="12" spans="1:13" x14ac:dyDescent="0.25">
      <c r="A12" s="201"/>
      <c r="B12" s="201">
        <v>3</v>
      </c>
      <c r="C12" s="201" t="s">
        <v>1142</v>
      </c>
      <c r="D12" s="201" t="s">
        <v>312</v>
      </c>
      <c r="E12" s="201">
        <v>-2.1173031158029998</v>
      </c>
      <c r="F12" s="201">
        <v>0.61960484291200002</v>
      </c>
      <c r="G12" s="201"/>
      <c r="H12" s="201"/>
      <c r="I12" s="201"/>
      <c r="J12" s="201"/>
      <c r="K12" s="201"/>
      <c r="L12" s="201"/>
      <c r="M12" s="201"/>
    </row>
    <row customHeight="1" ht="14.25" r="13" spans="1:13" x14ac:dyDescent="0.25">
      <c r="A13" s="201"/>
      <c r="B13" s="201">
        <v>4</v>
      </c>
      <c r="C13" s="201" t="s">
        <v>1145</v>
      </c>
      <c r="D13" s="201" t="s">
        <v>312</v>
      </c>
      <c r="E13" s="201">
        <v>-2.9720527882979999</v>
      </c>
      <c r="F13" s="201">
        <v>0.499140793754</v>
      </c>
      <c r="G13" s="201"/>
      <c r="H13" s="201"/>
      <c r="I13" s="201"/>
      <c r="J13" s="201"/>
      <c r="K13" s="201"/>
      <c r="L13" s="201"/>
      <c r="M13" s="201"/>
    </row>
    <row customHeight="1" ht="14.25" r="14" spans="1:13" x14ac:dyDescent="0.25">
      <c r="A14" s="201"/>
      <c r="B14" s="201">
        <v>6</v>
      </c>
      <c r="C14" s="201" t="s">
        <v>1148</v>
      </c>
      <c r="D14" s="201" t="s">
        <v>312</v>
      </c>
      <c r="E14" s="201">
        <v>-2.0696298973410001</v>
      </c>
      <c r="F14" s="201">
        <v>0.23526160279200001</v>
      </c>
      <c r="G14" s="201"/>
      <c r="H14" s="201"/>
      <c r="I14" s="201"/>
      <c r="J14" s="201"/>
      <c r="K14" s="201"/>
      <c r="L14" s="201"/>
      <c r="M14" s="201"/>
    </row>
    <row customHeight="1" ht="14.25" r="15" spans="1:13" x14ac:dyDescent="0.25">
      <c r="A15" s="201"/>
      <c r="B15" s="201">
        <v>8</v>
      </c>
      <c r="C15" s="201" t="s">
        <v>1151</v>
      </c>
      <c r="D15" s="201" t="s">
        <v>312</v>
      </c>
      <c r="E15" s="201">
        <v>-2.299467632007</v>
      </c>
      <c r="F15" s="201">
        <v>0.24371580515399999</v>
      </c>
      <c r="G15" s="201"/>
      <c r="H15" s="201"/>
      <c r="I15" s="201"/>
      <c r="J15" s="201"/>
      <c r="K15" s="201"/>
      <c r="L15" s="201"/>
      <c r="M15" s="201"/>
    </row>
    <row customHeight="1" ht="14.25" r="16" spans="1:13" x14ac:dyDescent="0.25">
      <c r="A16" s="201"/>
      <c r="B16" s="201">
        <v>10</v>
      </c>
      <c r="C16" s="201" t="s">
        <v>1153</v>
      </c>
      <c r="D16" s="201" t="s">
        <v>312</v>
      </c>
      <c r="E16" s="201">
        <v>-1.0725277546400001</v>
      </c>
      <c r="F16" s="201">
        <v>0.22181389830000001</v>
      </c>
      <c r="G16" s="201"/>
      <c r="H16" s="201"/>
      <c r="I16" s="201"/>
      <c r="J16" s="201"/>
      <c r="K16" s="201"/>
      <c r="L16" s="201"/>
      <c r="M16" s="201"/>
    </row>
    <row customHeight="1" ht="14.25" r="17" spans="1:13" x14ac:dyDescent="0.25">
      <c r="A17" s="201"/>
      <c r="B17" s="201">
        <v>13</v>
      </c>
      <c r="C17" s="201" t="s">
        <v>1156</v>
      </c>
      <c r="D17" s="201" t="s">
        <v>312</v>
      </c>
      <c r="E17" s="201">
        <v>-2.2431847091349999</v>
      </c>
      <c r="F17" s="201">
        <v>0.26412407779500002</v>
      </c>
      <c r="G17" s="201"/>
      <c r="H17" s="201"/>
      <c r="I17" s="201"/>
      <c r="J17" s="201"/>
      <c r="K17" s="201"/>
      <c r="L17" s="201"/>
      <c r="M17" s="201"/>
    </row>
    <row customHeight="1" ht="14.25" r="18" spans="1:13" x14ac:dyDescent="0.25">
      <c r="A18" s="201"/>
      <c r="B18" s="201">
        <v>15</v>
      </c>
      <c r="C18" s="201" t="s">
        <v>1158</v>
      </c>
      <c r="D18" s="201" t="s">
        <v>312</v>
      </c>
      <c r="E18" s="201">
        <v>1.5746620251300001</v>
      </c>
      <c r="F18" s="70">
        <v>0.139256633046</v>
      </c>
      <c r="G18" s="201"/>
      <c r="H18" s="201"/>
      <c r="I18" s="201"/>
      <c r="J18" s="201"/>
      <c r="K18" s="201"/>
      <c r="L18" s="201"/>
      <c r="M18" s="201"/>
    </row>
    <row customHeight="1" ht="14.25" r="19" spans="1:13" x14ac:dyDescent="0.25">
      <c r="A19" s="201"/>
      <c r="B19" s="201">
        <v>16</v>
      </c>
      <c r="C19" s="201" t="s">
        <v>1161</v>
      </c>
      <c r="D19" s="201" t="s">
        <v>312</v>
      </c>
      <c r="E19" s="201">
        <v>0.37706326152399999</v>
      </c>
      <c r="F19" s="70">
        <v>0.11102883699</v>
      </c>
      <c r="G19" s="201"/>
      <c r="H19" s="201"/>
      <c r="I19" s="201"/>
      <c r="J19" s="201"/>
      <c r="K19" s="201"/>
      <c r="L19" s="201"/>
      <c r="M19" s="201"/>
    </row>
    <row customHeight="1" ht="14.25" r="20" spans="1:13" x14ac:dyDescent="0.25">
      <c r="A20" s="201"/>
      <c r="B20" s="201">
        <v>18</v>
      </c>
      <c r="C20" s="201" t="s">
        <v>1164</v>
      </c>
      <c r="D20" s="201" t="s">
        <v>312</v>
      </c>
      <c r="E20" s="201">
        <v>0.735525734682</v>
      </c>
      <c r="F20" s="201">
        <v>0.163490879176</v>
      </c>
      <c r="G20" s="201"/>
      <c r="H20" s="201"/>
      <c r="I20" s="201"/>
      <c r="J20" s="201"/>
      <c r="K20" s="201"/>
      <c r="L20" s="201"/>
      <c r="M20" s="201"/>
    </row>
    <row customHeight="1" ht="14.25" r="21" spans="1:13" x14ac:dyDescent="0.25">
      <c r="A21" s="201"/>
      <c r="B21" s="201">
        <v>22</v>
      </c>
      <c r="C21" s="201" t="s">
        <v>1167</v>
      </c>
      <c r="D21" s="201" t="s">
        <v>312</v>
      </c>
      <c r="E21" s="70">
        <v>2.8900644071999999E-2</v>
      </c>
      <c r="F21" s="201">
        <v>0.44987173359900001</v>
      </c>
      <c r="G21" s="201"/>
      <c r="H21" s="201"/>
      <c r="I21" s="201"/>
      <c r="J21" s="201"/>
      <c r="K21" s="201"/>
      <c r="L21" s="201"/>
      <c r="M21" s="201"/>
    </row>
    <row customHeight="1" ht="14.25" r="22" spans="1:13" x14ac:dyDescent="0.25">
      <c r="A22" s="201"/>
      <c r="B22" s="201">
        <v>23</v>
      </c>
      <c r="C22" s="201" t="s">
        <v>1170</v>
      </c>
      <c r="D22" s="201" t="s">
        <v>312</v>
      </c>
      <c r="E22" s="70">
        <v>2.8305073313000001E-2</v>
      </c>
      <c r="F22" s="70">
        <v>0.11676786812000001</v>
      </c>
      <c r="G22" s="201"/>
      <c r="H22" s="201"/>
      <c r="I22" s="201"/>
      <c r="J22" s="201"/>
      <c r="K22" s="201"/>
      <c r="L22" s="201"/>
      <c r="M22" s="201"/>
    </row>
    <row customHeight="1" ht="14.25" r="23" spans="1:13" x14ac:dyDescent="0.25">
      <c r="A23" s="201"/>
      <c r="B23" s="201">
        <v>32</v>
      </c>
      <c r="C23" s="201" t="s">
        <v>1173</v>
      </c>
      <c r="D23" s="201" t="s">
        <v>312</v>
      </c>
      <c r="E23" s="70">
        <v>-5.5020049286000003E-2</v>
      </c>
      <c r="F23" s="70">
        <v>2.6467336868399999E-2</v>
      </c>
      <c r="G23" s="201"/>
      <c r="H23" s="201"/>
      <c r="I23" s="201"/>
      <c r="J23" s="201"/>
      <c r="K23" s="201"/>
      <c r="L23" s="201"/>
      <c r="M23" s="201"/>
    </row>
    <row customHeight="1" ht="14.25" r="24" spans="1:13" x14ac:dyDescent="0.25">
      <c r="A24" s="201"/>
      <c r="B24" s="201">
        <v>39</v>
      </c>
      <c r="C24" s="201" t="s">
        <v>1178</v>
      </c>
      <c r="D24" s="201" t="s">
        <v>312</v>
      </c>
      <c r="E24" s="70">
        <v>0.11888357382299999</v>
      </c>
      <c r="F24" s="70">
        <v>9.01918825112E-2</v>
      </c>
      <c r="G24" s="201"/>
      <c r="H24" s="201"/>
      <c r="I24" s="201"/>
      <c r="J24" s="201"/>
      <c r="K24" s="201"/>
      <c r="L24" s="201"/>
      <c r="M24" s="201"/>
    </row>
    <row customHeight="1" ht="14.25" r="25" spans="1:13" x14ac:dyDescent="0.25">
      <c r="A25" s="201"/>
      <c r="B25" s="201">
        <v>50</v>
      </c>
      <c r="C25" s="201" t="s">
        <v>1076</v>
      </c>
      <c r="D25" s="201" t="s">
        <v>312</v>
      </c>
      <c r="E25" s="201">
        <v>1.3366248075</v>
      </c>
      <c r="F25" s="70">
        <v>9.8951200970600006E-2</v>
      </c>
      <c r="G25" s="201"/>
      <c r="H25" s="201"/>
      <c r="I25" s="201"/>
      <c r="J25" s="201"/>
      <c r="K25" s="201"/>
      <c r="L25" s="201"/>
      <c r="M25" s="201"/>
    </row>
    <row customHeight="1" ht="14.25" r="26" spans="1:13" x14ac:dyDescent="0.25">
      <c r="A26" s="201"/>
      <c r="B26" s="201">
        <v>-1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</row>
    <row customHeight="1" ht="14.25" r="27" spans="1:13" x14ac:dyDescent="0.25">
      <c r="A27" s="201"/>
      <c r="B27" s="201">
        <v>2386</v>
      </c>
      <c r="C27" s="70">
        <v>-1566.3239440899999</v>
      </c>
      <c r="D27" s="70">
        <v>-2296.6794281500001</v>
      </c>
      <c r="E27" s="70">
        <v>-1376.0831929399999</v>
      </c>
      <c r="F27" s="201"/>
      <c r="G27" s="201"/>
      <c r="H27" s="201"/>
      <c r="I27" s="201"/>
      <c r="J27" s="201"/>
      <c r="K27" s="201"/>
      <c r="L27" s="201"/>
      <c r="M27" s="201"/>
    </row>
    <row customHeight="1" ht="14.25" r="28" spans="1:13" x14ac:dyDescent="0.25">
      <c r="A28" s="201"/>
      <c r="B28" s="201">
        <v>16</v>
      </c>
      <c r="C28" s="201" t="s">
        <v>1263</v>
      </c>
      <c r="D28" s="201" t="s">
        <v>1026</v>
      </c>
      <c r="E28" s="201">
        <v>6</v>
      </c>
      <c r="F28" s="201" t="s">
        <v>1262</v>
      </c>
      <c r="G28" s="201">
        <v>12</v>
      </c>
      <c r="H28" s="201"/>
      <c r="I28" s="201"/>
      <c r="J28" s="201"/>
      <c r="K28" s="201"/>
      <c r="L28" s="201"/>
      <c r="M28" s="201"/>
    </row>
    <row customHeight="1" ht="14.25" r="29" spans="1:13" x14ac:dyDescent="0.25">
      <c r="A29" s="201"/>
      <c r="B29" s="201">
        <v>30077</v>
      </c>
      <c r="C29" s="201">
        <v>40018</v>
      </c>
      <c r="D29" s="201">
        <v>18598</v>
      </c>
      <c r="E29" s="201">
        <v>80903</v>
      </c>
      <c r="F29" s="201">
        <v>34889</v>
      </c>
      <c r="G29" s="201">
        <v>44178</v>
      </c>
      <c r="H29" s="201">
        <v>77336</v>
      </c>
      <c r="I29" s="201">
        <v>34568</v>
      </c>
      <c r="J29" s="201">
        <v>43319</v>
      </c>
      <c r="K29" s="201">
        <v>83650</v>
      </c>
      <c r="L29" s="201"/>
      <c r="M29" s="201"/>
    </row>
    <row customHeight="1" ht="14.25" r="30" spans="1:13" x14ac:dyDescent="0.25">
      <c r="A30" s="201"/>
      <c r="B30" s="201">
        <v>87036</v>
      </c>
      <c r="C30" s="201">
        <v>32697</v>
      </c>
      <c r="D30" s="201">
        <v>43142</v>
      </c>
      <c r="E30" s="201">
        <v>86266</v>
      </c>
      <c r="F30" s="201">
        <v>82841</v>
      </c>
      <c r="G30" s="201">
        <v>72192</v>
      </c>
      <c r="H30" s="201">
        <v>29915</v>
      </c>
      <c r="I30" s="201">
        <v>38390</v>
      </c>
      <c r="J30" s="201">
        <v>75373</v>
      </c>
      <c r="K30" s="201">
        <v>73156</v>
      </c>
      <c r="L30" s="201"/>
      <c r="M30" s="201"/>
    </row>
    <row customHeight="1" ht="14.25" r="31" spans="1:13" x14ac:dyDescent="0.25">
      <c r="A31" s="201"/>
      <c r="B31" s="201">
        <v>76681</v>
      </c>
      <c r="C31" s="201">
        <v>7848</v>
      </c>
      <c r="D31" s="201">
        <v>-13554</v>
      </c>
      <c r="E31" s="201">
        <v>-12048</v>
      </c>
      <c r="F31" s="201">
        <v>-14751</v>
      </c>
      <c r="G31" s="201">
        <v>-18366</v>
      </c>
      <c r="H31" s="201">
        <v>4088</v>
      </c>
      <c r="I31" s="201">
        <v>-10198</v>
      </c>
      <c r="J31" s="201">
        <v>11363</v>
      </c>
      <c r="K31" s="201">
        <v>-451</v>
      </c>
      <c r="L31" s="201"/>
      <c r="M31" s="201"/>
    </row>
    <row customHeight="1" ht="14.25" r="32" spans="1:13" x14ac:dyDescent="0.25">
      <c r="A32" s="201"/>
      <c r="B32" s="201">
        <v>2254</v>
      </c>
      <c r="C32" s="201">
        <v>8706</v>
      </c>
      <c r="D32" s="201">
        <v>8603</v>
      </c>
      <c r="E32" s="201">
        <v>13818</v>
      </c>
      <c r="F32" s="201">
        <v>7394</v>
      </c>
      <c r="G32" s="201">
        <v>16874</v>
      </c>
      <c r="H32" s="201">
        <v>8245</v>
      </c>
      <c r="I32" s="201">
        <v>-4866</v>
      </c>
      <c r="J32" s="201">
        <v>-4923</v>
      </c>
      <c r="K32" s="201">
        <v>-4390</v>
      </c>
      <c r="L32" s="201"/>
      <c r="M32" s="201"/>
    </row>
    <row customHeight="1" ht="14.25" r="33" spans="1:13" x14ac:dyDescent="0.25">
      <c r="A33" s="201"/>
      <c r="B33" s="201">
        <v>-8061</v>
      </c>
      <c r="C33" s="201">
        <v>1783</v>
      </c>
      <c r="D33" s="201">
        <v>-2192</v>
      </c>
      <c r="E33" s="201">
        <v>25772</v>
      </c>
      <c r="F33" s="201">
        <v>-36156</v>
      </c>
      <c r="G33" s="201">
        <v>19695</v>
      </c>
      <c r="H33" s="201">
        <v>6173</v>
      </c>
      <c r="I33" s="201">
        <v>8145</v>
      </c>
      <c r="J33" s="201">
        <v>18094</v>
      </c>
      <c r="K33" s="201">
        <v>17831</v>
      </c>
      <c r="L33" s="201"/>
      <c r="M33" s="201"/>
    </row>
    <row customHeight="1" ht="14.25" r="34" spans="1:13" x14ac:dyDescent="0.25">
      <c r="A34" s="201"/>
      <c r="B34" s="201">
        <v>20820</v>
      </c>
      <c r="C34" s="201">
        <v>15433</v>
      </c>
      <c r="D34" s="201">
        <v>1613</v>
      </c>
      <c r="E34" s="201">
        <v>5480</v>
      </c>
      <c r="F34" s="201">
        <v>1543</v>
      </c>
      <c r="G34" s="201">
        <v>21396</v>
      </c>
      <c r="H34" s="201">
        <v>5362</v>
      </c>
      <c r="I34" s="201">
        <v>9711</v>
      </c>
      <c r="J34" s="201">
        <v>20572</v>
      </c>
      <c r="K34" s="201">
        <v>19186</v>
      </c>
      <c r="L34" s="201"/>
      <c r="M34" s="201"/>
    </row>
    <row customHeight="1" ht="14.25" r="35" spans="1:13" x14ac:dyDescent="0.25">
      <c r="A35" s="201"/>
      <c r="B35" s="201">
        <v>22502</v>
      </c>
      <c r="C35" s="201">
        <v>19975</v>
      </c>
      <c r="D35" s="201">
        <v>4884</v>
      </c>
      <c r="E35" s="201">
        <v>-5000</v>
      </c>
      <c r="F35" s="201">
        <v>865</v>
      </c>
      <c r="G35" s="201">
        <v>6500</v>
      </c>
      <c r="H35" s="201">
        <v>88224</v>
      </c>
      <c r="I35" s="201">
        <v>35199</v>
      </c>
      <c r="J35" s="201">
        <v>45638</v>
      </c>
      <c r="K35" s="201">
        <v>89877</v>
      </c>
      <c r="L35" s="201"/>
      <c r="M35" s="201"/>
    </row>
    <row customHeight="1" ht="14.25" r="36" spans="1:13" x14ac:dyDescent="0.25">
      <c r="A36" s="201"/>
      <c r="B36" s="201">
        <v>86698</v>
      </c>
      <c r="C36" s="201">
        <v>92992</v>
      </c>
      <c r="D36" s="201">
        <v>79683</v>
      </c>
      <c r="E36" s="201">
        <v>-10978</v>
      </c>
      <c r="F36" s="201">
        <v>-590</v>
      </c>
      <c r="G36" s="201">
        <v>601</v>
      </c>
      <c r="H36" s="201">
        <v>18462</v>
      </c>
      <c r="I36" s="201">
        <v>17152</v>
      </c>
      <c r="J36" s="201">
        <v>-1595</v>
      </c>
      <c r="K36" s="201">
        <v>362</v>
      </c>
      <c r="L36" s="201"/>
      <c r="M36" s="201"/>
    </row>
    <row customHeight="1" ht="14.25" r="37" spans="1:13" x14ac:dyDescent="0.25">
      <c r="A37" s="201"/>
      <c r="B37" s="201">
        <v>-79238</v>
      </c>
      <c r="C37" s="201">
        <v>-247</v>
      </c>
      <c r="D37" s="201">
        <v>-80</v>
      </c>
      <c r="E37" s="201">
        <v>-1525</v>
      </c>
      <c r="F37" s="201">
        <v>-395</v>
      </c>
      <c r="G37" s="201">
        <v>-3043</v>
      </c>
      <c r="H37" s="201">
        <v>-529</v>
      </c>
      <c r="I37" s="201">
        <v>-1104</v>
      </c>
      <c r="J37" s="201">
        <v>499</v>
      </c>
      <c r="K37" s="201">
        <v>986</v>
      </c>
      <c r="L37" s="201"/>
      <c r="M37" s="201"/>
    </row>
    <row customHeight="1" ht="14.25" r="38" spans="1:13" x14ac:dyDescent="0.25">
      <c r="A38" s="201"/>
      <c r="B38" s="201">
        <v>-1452</v>
      </c>
      <c r="C38" s="201">
        <v>-88</v>
      </c>
      <c r="D38" s="201">
        <v>20609</v>
      </c>
      <c r="E38" s="201">
        <v>19373</v>
      </c>
      <c r="F38" s="201">
        <v>26065</v>
      </c>
      <c r="G38" s="201">
        <v>30333</v>
      </c>
      <c r="H38" s="201">
        <v>5312</v>
      </c>
      <c r="I38" s="201">
        <v>17905</v>
      </c>
      <c r="J38" s="201">
        <v>-64075</v>
      </c>
      <c r="K38" s="201">
        <v>-17862</v>
      </c>
      <c r="L38" s="201"/>
      <c r="M38" s="201"/>
    </row>
    <row customHeight="1" ht="14.25" r="39" spans="1:13" x14ac:dyDescent="0.25">
      <c r="A39" s="201"/>
      <c r="B39" s="201">
        <v>-30496</v>
      </c>
      <c r="C39" s="201">
        <v>-1471</v>
      </c>
      <c r="D39" s="201">
        <v>-5383</v>
      </c>
      <c r="E39" s="201">
        <v>11030</v>
      </c>
      <c r="F39" s="201">
        <v>4193</v>
      </c>
      <c r="G39" s="201"/>
      <c r="H39" s="201"/>
      <c r="I39" s="201"/>
      <c r="J39" s="201"/>
      <c r="K39" s="201"/>
      <c r="L39" s="201"/>
      <c r="M39" s="201"/>
    </row>
    <row customHeight="1" ht="14.25" r="40" spans="1:13" x14ac:dyDescent="0.25">
      <c r="A40" s="201"/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M135"/>
  <sheetViews>
    <sheetView topLeftCell="N1" workbookViewId="0">
      <selection activeCell="U16" sqref="U16"/>
    </sheetView>
  </sheetViews>
  <sheetFormatPr defaultColWidth="10.75" defaultRowHeight="12.75" x14ac:dyDescent="0.2"/>
  <cols>
    <col min="1" max="13" customWidth="true" style="265" width="10.75" collapsed="true"/>
    <col min="14" max="14" bestFit="true" customWidth="true" style="265" width="11.75" collapsed="true"/>
    <col min="15" max="15" bestFit="true" customWidth="true" style="265" width="12.125" collapsed="true"/>
    <col min="16" max="16" bestFit="true" customWidth="true" style="265" width="11.75" collapsed="true"/>
    <col min="17" max="35" customWidth="true" style="265" width="10.75" collapsed="true"/>
    <col min="36" max="36" bestFit="true" customWidth="true" style="265" width="6.625" collapsed="true"/>
    <col min="37" max="43" customWidth="true" style="265" width="10.75" collapsed="true"/>
    <col min="44" max="16384" style="265" width="10.75" collapsed="true"/>
  </cols>
  <sheetData>
    <row customHeight="1" ht="13.15" r="1" spans="1:38" x14ac:dyDescent="0.2">
      <c r="A1" s="264" t="s">
        <v>41</v>
      </c>
      <c r="M1" s="264" t="s">
        <v>41</v>
      </c>
      <c r="Y1" s="264" t="s">
        <v>41</v>
      </c>
    </row>
    <row customHeight="1" ht="13.15" r="2" spans="1:38" x14ac:dyDescent="0.2">
      <c r="A2" s="264" t="s">
        <v>1077</v>
      </c>
      <c r="M2" s="264" t="s">
        <v>1078</v>
      </c>
      <c r="Y2" s="264" t="s">
        <v>1079</v>
      </c>
    </row>
    <row customHeight="1" ht="13.5" r="3" spans="1:38" thickBo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8" x14ac:dyDescent="0.2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5" t="s">
        <v>4</v>
      </c>
    </row>
    <row r="5" spans="1:38" x14ac:dyDescent="0.2">
      <c r="A5" s="265" t="s">
        <v>23</v>
      </c>
      <c r="B5" s="5">
        <f>output_NHTS!B222</f>
        <v>146436.76210210469</v>
      </c>
      <c r="C5" s="5">
        <f>output_NHTS!C222</f>
        <v>18011.011336909913</v>
      </c>
      <c r="D5" s="5">
        <f>output_NHTS!D222</f>
        <v>977.16313366570421</v>
      </c>
      <c r="E5" s="5">
        <f>output_NHTS!E222</f>
        <v>2913.6556092475194</v>
      </c>
      <c r="F5" s="5">
        <f>output_NHTS!F222</f>
        <v>3913.4723200774861</v>
      </c>
      <c r="G5" s="5">
        <f>output_NHTS!G222</f>
        <v>715.44649077562553</v>
      </c>
      <c r="H5" s="5"/>
      <c r="I5" s="5">
        <f>output_NHTS!H222</f>
        <v>547.32754101886007</v>
      </c>
      <c r="J5" s="5">
        <f>output_NHTS!I222</f>
        <v>0</v>
      </c>
      <c r="K5" s="5">
        <f>output_NHTS!J222</f>
        <v>173514.8385337998</v>
      </c>
      <c r="M5" s="265" t="s">
        <v>23</v>
      </c>
      <c r="N5" s="5">
        <f>output!B222</f>
        <v>151241</v>
      </c>
      <c r="O5" s="5">
        <f>output!C222</f>
        <v>11941</v>
      </c>
      <c r="P5" s="5">
        <f>output!D222</f>
        <v>0</v>
      </c>
      <c r="Q5" s="5">
        <f>output!E222</f>
        <v>0</v>
      </c>
      <c r="R5" s="5">
        <f>output!F222</f>
        <v>2793</v>
      </c>
      <c r="S5" s="5">
        <f>output!G222</f>
        <v>628</v>
      </c>
      <c r="T5" s="5"/>
      <c r="U5" s="5">
        <f>output!H222</f>
        <v>0</v>
      </c>
      <c r="V5" s="5">
        <f>output!I222</f>
        <v>0</v>
      </c>
      <c r="W5" s="5">
        <f>output!J222</f>
        <v>166603</v>
      </c>
      <c r="Y5" s="265" t="s">
        <v>23</v>
      </c>
      <c r="Z5" s="5">
        <f ref="Z5:AE12" si="0" t="shared">N5-B5</f>
        <v>4804.2378978953057</v>
      </c>
      <c r="AA5" s="5">
        <f si="0" t="shared"/>
        <v>-6070.0113369099126</v>
      </c>
      <c r="AB5" s="5">
        <f si="0" t="shared"/>
        <v>-977.16313366570421</v>
      </c>
      <c r="AC5" s="5">
        <f si="0" t="shared"/>
        <v>-2913.6556092475194</v>
      </c>
      <c r="AD5" s="5">
        <f si="0" t="shared"/>
        <v>-1120.4723200774861</v>
      </c>
      <c r="AE5" s="5">
        <f si="0" t="shared"/>
        <v>-87.446490775625534</v>
      </c>
      <c r="AF5" s="5"/>
      <c r="AG5" s="5">
        <f ref="AG5:AI12" si="1" t="shared">U5-I5</f>
        <v>-547.32754101886007</v>
      </c>
      <c r="AH5" s="5">
        <f si="1" t="shared"/>
        <v>0</v>
      </c>
      <c r="AI5" s="5">
        <f si="1" t="shared"/>
        <v>-6911.8385337998043</v>
      </c>
      <c r="AK5" s="265">
        <v>318360</v>
      </c>
      <c r="AL5" s="5">
        <f ref="AL5:AL12" si="2" t="shared">W5-AK5</f>
        <v>-151757</v>
      </c>
    </row>
    <row r="6" spans="1:38" x14ac:dyDescent="0.2">
      <c r="A6" s="265" t="s">
        <v>24</v>
      </c>
      <c r="B6" s="5">
        <f>output_NHTS!B223</f>
        <v>5970.6873133775489</v>
      </c>
      <c r="C6" s="5">
        <f>output_NHTS!C223</f>
        <v>1178.2264410397556</v>
      </c>
      <c r="D6" s="5">
        <f>output_NHTS!D223</f>
        <v>0</v>
      </c>
      <c r="E6" s="5">
        <f>output_NHTS!E223</f>
        <v>525.66917383539692</v>
      </c>
      <c r="F6" s="5">
        <f>output_NHTS!F223</f>
        <v>63.481609326437301</v>
      </c>
      <c r="G6" s="5">
        <f>output_NHTS!G223</f>
        <v>2286.8034681977729</v>
      </c>
      <c r="H6" s="5"/>
      <c r="I6" s="5">
        <f>output_NHTS!H223</f>
        <v>9830.7716268697804</v>
      </c>
      <c r="J6" s="5">
        <f>output_NHTS!I223</f>
        <v>0</v>
      </c>
      <c r="K6" s="5">
        <f>output_NHTS!J223</f>
        <v>19855.639632646693</v>
      </c>
      <c r="M6" s="265" t="s">
        <v>24</v>
      </c>
      <c r="N6" s="5">
        <f>output!B223</f>
        <v>5182</v>
      </c>
      <c r="O6" s="5">
        <f>output!C223</f>
        <v>0</v>
      </c>
      <c r="P6" s="5">
        <f>output!D223</f>
        <v>0</v>
      </c>
      <c r="Q6" s="5">
        <f>output!E223</f>
        <v>0</v>
      </c>
      <c r="R6" s="5">
        <f>output!F223</f>
        <v>2584</v>
      </c>
      <c r="S6" s="5">
        <f>output!G223</f>
        <v>6052</v>
      </c>
      <c r="T6" s="5"/>
      <c r="U6" s="5">
        <f>output!H223</f>
        <v>22286</v>
      </c>
      <c r="V6" s="5">
        <f>output!I223</f>
        <v>0</v>
      </c>
      <c r="W6" s="5">
        <f>output!J223</f>
        <v>36104</v>
      </c>
      <c r="Y6" s="265" t="s">
        <v>24</v>
      </c>
      <c r="Z6" s="5">
        <f si="0" t="shared"/>
        <v>-788.68731337754889</v>
      </c>
      <c r="AA6" s="5">
        <f si="0" t="shared"/>
        <v>-1178.2264410397556</v>
      </c>
      <c r="AB6" s="5">
        <f si="0" t="shared"/>
        <v>0</v>
      </c>
      <c r="AC6" s="5">
        <f si="0" t="shared"/>
        <v>-525.66917383539692</v>
      </c>
      <c r="AD6" s="5">
        <f si="0" t="shared"/>
        <v>2520.5183906735629</v>
      </c>
      <c r="AE6" s="5">
        <f si="0" t="shared"/>
        <v>3765.1965318022271</v>
      </c>
      <c r="AF6" s="5"/>
      <c r="AG6" s="5">
        <f si="1" t="shared"/>
        <v>12455.22837313022</v>
      </c>
      <c r="AH6" s="5">
        <f si="1" t="shared"/>
        <v>0</v>
      </c>
      <c r="AI6" s="5">
        <f si="1" t="shared"/>
        <v>16248.360367353307</v>
      </c>
      <c r="AK6" s="265">
        <v>19520</v>
      </c>
      <c r="AL6" s="5">
        <f si="2" t="shared"/>
        <v>16584</v>
      </c>
    </row>
    <row r="7" spans="1:38" x14ac:dyDescent="0.2">
      <c r="A7" s="265" t="s">
        <v>25</v>
      </c>
      <c r="B7" s="5">
        <f>output_NHTS!B224</f>
        <v>210264.15163705559</v>
      </c>
      <c r="C7" s="5">
        <f>output_NHTS!C224</f>
        <v>16967.612220538369</v>
      </c>
      <c r="D7" s="5">
        <f>output_NHTS!D224</f>
        <v>5910.0668435584766</v>
      </c>
      <c r="E7" s="5">
        <f>output_NHTS!E224</f>
        <v>17714.755519625214</v>
      </c>
      <c r="F7" s="5">
        <f>output_NHTS!F224</f>
        <v>4427.1850298092477</v>
      </c>
      <c r="G7" s="5">
        <f>output_NHTS!G224</f>
        <v>4294.1292469222417</v>
      </c>
      <c r="H7" s="5"/>
      <c r="I7" s="5">
        <f>output_NHTS!H224</f>
        <v>28897.29964006248</v>
      </c>
      <c r="J7" s="5">
        <f>output_NHTS!I224</f>
        <v>0</v>
      </c>
      <c r="K7" s="5">
        <f>output_NHTS!J224</f>
        <v>288475.20013757161</v>
      </c>
      <c r="M7" s="265" t="s">
        <v>25</v>
      </c>
      <c r="N7" s="5">
        <f>output!B224</f>
        <v>132486</v>
      </c>
      <c r="O7" s="5">
        <f>output!C224</f>
        <v>19493</v>
      </c>
      <c r="P7" s="5">
        <f>output!D224</f>
        <v>7237</v>
      </c>
      <c r="Q7" s="5">
        <f>output!E224</f>
        <v>24848</v>
      </c>
      <c r="R7" s="5">
        <f>output!F224</f>
        <v>4398</v>
      </c>
      <c r="S7" s="5">
        <f>output!G224</f>
        <v>4221</v>
      </c>
      <c r="T7" s="5"/>
      <c r="U7" s="5">
        <f>output!H224</f>
        <v>17375</v>
      </c>
      <c r="V7" s="5">
        <f>output!I224</f>
        <v>0</v>
      </c>
      <c r="W7" s="5">
        <f>output!J224</f>
        <v>210058</v>
      </c>
      <c r="Y7" s="265" t="s">
        <v>25</v>
      </c>
      <c r="Z7" s="5">
        <f si="0" t="shared"/>
        <v>-77778.151637055591</v>
      </c>
      <c r="AA7" s="5">
        <f si="0" t="shared"/>
        <v>2525.387779461631</v>
      </c>
      <c r="AB7" s="5">
        <f si="0" t="shared"/>
        <v>1326.9331564415234</v>
      </c>
      <c r="AC7" s="5">
        <f si="0" t="shared"/>
        <v>7133.2444803747858</v>
      </c>
      <c r="AD7" s="5">
        <f si="0" t="shared"/>
        <v>-29.185029809247681</v>
      </c>
      <c r="AE7" s="5">
        <f si="0" t="shared"/>
        <v>-73.129246922241691</v>
      </c>
      <c r="AF7" s="5"/>
      <c r="AG7" s="5">
        <f si="1" t="shared"/>
        <v>-11522.29964006248</v>
      </c>
      <c r="AH7" s="5">
        <f si="1" t="shared"/>
        <v>0</v>
      </c>
      <c r="AI7" s="5">
        <f si="1" t="shared"/>
        <v>-78417.200137571606</v>
      </c>
      <c r="AK7" s="265">
        <v>946110</v>
      </c>
      <c r="AL7" s="5">
        <f si="2" t="shared"/>
        <v>-736052</v>
      </c>
    </row>
    <row r="8" spans="1:38" x14ac:dyDescent="0.2">
      <c r="A8" s="265" t="s">
        <v>26</v>
      </c>
      <c r="B8" s="5">
        <f>output_NHTS!B225</f>
        <v>282354.40669936943</v>
      </c>
      <c r="C8" s="5">
        <f>output_NHTS!C225</f>
        <v>44474.157036697696</v>
      </c>
      <c r="D8" s="5">
        <f>output_NHTS!D225</f>
        <v>79453.359358301546</v>
      </c>
      <c r="E8" s="5">
        <f>output_NHTS!E225</f>
        <v>75173.629224921999</v>
      </c>
      <c r="F8" s="5">
        <f>output_NHTS!F225</f>
        <v>9978.4679619656763</v>
      </c>
      <c r="G8" s="5">
        <f>output_NHTS!G225</f>
        <v>12990.483249540996</v>
      </c>
      <c r="H8" s="5"/>
      <c r="I8" s="5">
        <f>output_NHTS!H225</f>
        <v>35646.351297510439</v>
      </c>
      <c r="J8" s="5">
        <f>output_NHTS!I225</f>
        <v>0</v>
      </c>
      <c r="K8" s="5">
        <f>output_NHTS!J225</f>
        <v>540070.85482830787</v>
      </c>
      <c r="M8" s="265" t="s">
        <v>26</v>
      </c>
      <c r="N8" s="5">
        <f>output!B225</f>
        <v>254070</v>
      </c>
      <c r="O8" s="5">
        <f>output!C225</f>
        <v>35057</v>
      </c>
      <c r="P8" s="5">
        <f>output!D225</f>
        <v>68021</v>
      </c>
      <c r="Q8" s="5">
        <f>output!E225</f>
        <v>63424</v>
      </c>
      <c r="R8" s="5">
        <f>output!F225</f>
        <v>6854</v>
      </c>
      <c r="S8" s="5">
        <f>output!G225</f>
        <v>9335</v>
      </c>
      <c r="T8" s="5"/>
      <c r="U8" s="5">
        <f>output!H225</f>
        <v>31315</v>
      </c>
      <c r="V8" s="5">
        <f>output!I225</f>
        <v>0</v>
      </c>
      <c r="W8" s="5">
        <f>output!J225</f>
        <v>468076</v>
      </c>
      <c r="Y8" s="265" t="s">
        <v>26</v>
      </c>
      <c r="Z8" s="5">
        <f si="0" t="shared"/>
        <v>-28284.406699369429</v>
      </c>
      <c r="AA8" s="5">
        <f si="0" t="shared"/>
        <v>-9417.1570366976957</v>
      </c>
      <c r="AB8" s="5">
        <f si="0" t="shared"/>
        <v>-11432.359358301546</v>
      </c>
      <c r="AC8" s="5">
        <f si="0" t="shared"/>
        <v>-11749.629224921999</v>
      </c>
      <c r="AD8" s="5">
        <f si="0" t="shared"/>
        <v>-3124.4679619656763</v>
      </c>
      <c r="AE8" s="5">
        <f si="0" t="shared"/>
        <v>-3655.4832495409955</v>
      </c>
      <c r="AF8" s="5"/>
      <c r="AG8" s="5">
        <f si="1" t="shared"/>
        <v>-4331.3512975104386</v>
      </c>
      <c r="AH8" s="5">
        <f si="1" t="shared"/>
        <v>0</v>
      </c>
      <c r="AI8" s="5">
        <f si="1" t="shared"/>
        <v>-71994.854828307871</v>
      </c>
      <c r="AK8" s="265">
        <v>895490</v>
      </c>
      <c r="AL8" s="5">
        <f si="2" t="shared"/>
        <v>-427414</v>
      </c>
    </row>
    <row r="9" spans="1:38" x14ac:dyDescent="0.2">
      <c r="A9" s="265" t="s">
        <v>27</v>
      </c>
      <c r="B9" s="5">
        <f>output_NHTS!B226</f>
        <v>179642.8396920693</v>
      </c>
      <c r="C9" s="5">
        <f>output_NHTS!C226</f>
        <v>32611.034631052997</v>
      </c>
      <c r="D9" s="5">
        <f>output_NHTS!D226</f>
        <v>67797.725386574966</v>
      </c>
      <c r="E9" s="5">
        <f>output_NHTS!E226</f>
        <v>64440.058133579667</v>
      </c>
      <c r="F9" s="5">
        <f>output_NHTS!F226</f>
        <v>10928.754977614744</v>
      </c>
      <c r="G9" s="5">
        <f>output_NHTS!G226</f>
        <v>3521.8510842737828</v>
      </c>
      <c r="H9" s="5"/>
      <c r="I9" s="5">
        <f>output_NHTS!H226</f>
        <v>18270.244910896246</v>
      </c>
      <c r="J9" s="5">
        <f>output_NHTS!I226</f>
        <v>0</v>
      </c>
      <c r="K9" s="5">
        <f>output_NHTS!J226</f>
        <v>377212.50881606166</v>
      </c>
      <c r="M9" s="265" t="s">
        <v>27</v>
      </c>
      <c r="N9" s="5">
        <f>output!B226</f>
        <v>174948</v>
      </c>
      <c r="O9" s="5">
        <f>output!C226</f>
        <v>30204</v>
      </c>
      <c r="P9" s="5">
        <f>output!D226</f>
        <v>51401</v>
      </c>
      <c r="Q9" s="5">
        <f>output!E226</f>
        <v>52671</v>
      </c>
      <c r="R9" s="5">
        <f>output!F226</f>
        <v>7347</v>
      </c>
      <c r="S9" s="5">
        <f>output!G226</f>
        <v>3251</v>
      </c>
      <c r="T9" s="5"/>
      <c r="U9" s="5">
        <f>output!H226</f>
        <v>15299</v>
      </c>
      <c r="V9" s="5">
        <f>output!I226</f>
        <v>0</v>
      </c>
      <c r="W9" s="5">
        <f>output!J226</f>
        <v>335121</v>
      </c>
      <c r="Y9" s="265" t="s">
        <v>27</v>
      </c>
      <c r="Z9" s="5">
        <f si="0" t="shared"/>
        <v>-4694.8396920693049</v>
      </c>
      <c r="AA9" s="5">
        <f si="0" t="shared"/>
        <v>-2407.0346310529967</v>
      </c>
      <c r="AB9" s="5">
        <f si="0" t="shared"/>
        <v>-16396.725386574966</v>
      </c>
      <c r="AC9" s="5">
        <f si="0" t="shared"/>
        <v>-11769.058133579667</v>
      </c>
      <c r="AD9" s="5">
        <f si="0" t="shared"/>
        <v>-3581.7549776147443</v>
      </c>
      <c r="AE9" s="5">
        <f si="0" t="shared"/>
        <v>-270.85108427378282</v>
      </c>
      <c r="AF9" s="5"/>
      <c r="AG9" s="5">
        <f si="1" t="shared"/>
        <v>-2971.2449108962464</v>
      </c>
      <c r="AH9" s="5">
        <f si="1" t="shared"/>
        <v>0</v>
      </c>
      <c r="AI9" s="5">
        <f si="1" t="shared"/>
        <v>-42091.508816061658</v>
      </c>
      <c r="AK9" s="265">
        <v>935110</v>
      </c>
      <c r="AL9" s="5">
        <f si="2" t="shared"/>
        <v>-599989</v>
      </c>
    </row>
    <row r="10" spans="1:38" x14ac:dyDescent="0.2">
      <c r="A10" s="265" t="s">
        <v>28</v>
      </c>
      <c r="B10" s="5">
        <f>output_NHTS!B227</f>
        <v>136986.2772561</v>
      </c>
      <c r="C10" s="5">
        <f>output_NHTS!C227</f>
        <v>12179.557818052263</v>
      </c>
      <c r="D10" s="5">
        <f>output_NHTS!D227</f>
        <v>20500.120231938636</v>
      </c>
      <c r="E10" s="5">
        <f>output_NHTS!E227</f>
        <v>20208.539476925969</v>
      </c>
      <c r="F10" s="5">
        <f>output_NHTS!F227</f>
        <v>2949.6027365101413</v>
      </c>
      <c r="G10" s="5">
        <f>output_NHTS!G227</f>
        <v>4380.5362137410075</v>
      </c>
      <c r="H10" s="5"/>
      <c r="I10" s="5">
        <f>output_NHTS!H227</f>
        <v>11573.28891060579</v>
      </c>
      <c r="J10" s="5">
        <f>output_NHTS!I227</f>
        <v>0</v>
      </c>
      <c r="K10" s="5">
        <f>output_NHTS!J227</f>
        <v>208777.92264387381</v>
      </c>
      <c r="M10" s="265" t="s">
        <v>28</v>
      </c>
      <c r="N10" s="5">
        <f>output!B227</f>
        <v>186296</v>
      </c>
      <c r="O10" s="5">
        <f>output!C227</f>
        <v>17368</v>
      </c>
      <c r="P10" s="5">
        <f>output!D227</f>
        <v>27032</v>
      </c>
      <c r="Q10" s="5">
        <f>output!E227</f>
        <v>20639</v>
      </c>
      <c r="R10" s="5">
        <f>output!F227</f>
        <v>5857</v>
      </c>
      <c r="S10" s="5">
        <f>output!G227</f>
        <v>3486</v>
      </c>
      <c r="T10" s="5"/>
      <c r="U10" s="5">
        <f>output!H227</f>
        <v>15045</v>
      </c>
      <c r="V10" s="5">
        <f>output!I227</f>
        <v>0</v>
      </c>
      <c r="W10" s="5">
        <f>output!J227</f>
        <v>275723</v>
      </c>
      <c r="Y10" s="265" t="s">
        <v>28</v>
      </c>
      <c r="Z10" s="5">
        <f si="0" t="shared"/>
        <v>49309.722743899998</v>
      </c>
      <c r="AA10" s="5">
        <f si="0" t="shared"/>
        <v>5188.4421819477375</v>
      </c>
      <c r="AB10" s="5">
        <f si="0" t="shared"/>
        <v>6531.8797680613643</v>
      </c>
      <c r="AC10" s="5">
        <f si="0" t="shared"/>
        <v>430.46052307403079</v>
      </c>
      <c r="AD10" s="5">
        <f si="0" t="shared"/>
        <v>2907.3972634898587</v>
      </c>
      <c r="AE10" s="5">
        <f si="0" t="shared"/>
        <v>-894.53621374100749</v>
      </c>
      <c r="AF10" s="5"/>
      <c r="AG10" s="5">
        <f si="1" t="shared"/>
        <v>3471.7110893942099</v>
      </c>
      <c r="AH10" s="5">
        <f si="1" t="shared"/>
        <v>0</v>
      </c>
      <c r="AI10" s="5">
        <f si="1" t="shared"/>
        <v>66945.077356126189</v>
      </c>
      <c r="AK10" s="265">
        <v>426400</v>
      </c>
      <c r="AL10" s="5">
        <f si="2" t="shared"/>
        <v>-150677</v>
      </c>
    </row>
    <row r="11" spans="1:38" x14ac:dyDescent="0.2">
      <c r="A11" s="265" t="s">
        <v>29</v>
      </c>
      <c r="B11" s="5">
        <f>output_NHTS!B228</f>
        <v>85686.071083875097</v>
      </c>
      <c r="C11" s="5">
        <f>output_NHTS!C228</f>
        <v>12439.653544185423</v>
      </c>
      <c r="D11" s="5">
        <f>output_NHTS!D228</f>
        <v>18598.641817159965</v>
      </c>
      <c r="E11" s="5">
        <f>output_NHTS!E228</f>
        <v>22965.975803917583</v>
      </c>
      <c r="F11" s="5">
        <f>output_NHTS!F228</f>
        <v>4819.9223741672104</v>
      </c>
      <c r="G11" s="5">
        <f>output_NHTS!G228</f>
        <v>13183.873124305563</v>
      </c>
      <c r="H11" s="5"/>
      <c r="I11" s="5">
        <f>output_NHTS!H228</f>
        <v>34925.82006270394</v>
      </c>
      <c r="J11" s="5">
        <f>output_NHTS!I228</f>
        <v>0</v>
      </c>
      <c r="K11" s="5">
        <f>output_NHTS!J228</f>
        <v>192619.95781031481</v>
      </c>
      <c r="M11" s="265" t="s">
        <v>29</v>
      </c>
      <c r="N11" s="5">
        <f>output!B228</f>
        <v>95430</v>
      </c>
      <c r="O11" s="5">
        <f>output!C228</f>
        <v>12873</v>
      </c>
      <c r="P11" s="5">
        <f>output!D228</f>
        <v>17810</v>
      </c>
      <c r="Q11" s="5">
        <f>output!E228</f>
        <v>19740</v>
      </c>
      <c r="R11" s="5">
        <f>output!F228</f>
        <v>3280</v>
      </c>
      <c r="S11" s="5">
        <f>output!G228</f>
        <v>10165</v>
      </c>
      <c r="T11" s="5"/>
      <c r="U11" s="5">
        <f>output!H228</f>
        <v>51127</v>
      </c>
      <c r="V11" s="5">
        <f>output!I228</f>
        <v>0</v>
      </c>
      <c r="W11" s="5">
        <f>output!J228</f>
        <v>210425</v>
      </c>
      <c r="Y11" s="265" t="s">
        <v>29</v>
      </c>
      <c r="Z11" s="5">
        <f si="0" t="shared"/>
        <v>9743.9289161249035</v>
      </c>
      <c r="AA11" s="5">
        <f si="0" t="shared"/>
        <v>433.34645581457698</v>
      </c>
      <c r="AB11" s="5">
        <f si="0" t="shared"/>
        <v>-788.64181715996529</v>
      </c>
      <c r="AC11" s="5">
        <f si="0" t="shared"/>
        <v>-3225.9758039175831</v>
      </c>
      <c r="AD11" s="5">
        <f si="0" t="shared"/>
        <v>-1539.9223741672104</v>
      </c>
      <c r="AE11" s="5">
        <f si="0" t="shared"/>
        <v>-3018.8731243055627</v>
      </c>
      <c r="AF11" s="5"/>
      <c r="AG11" s="5">
        <f si="1" t="shared"/>
        <v>16201.17993729606</v>
      </c>
      <c r="AH11" s="5">
        <f si="1" t="shared"/>
        <v>0</v>
      </c>
      <c r="AI11" s="5">
        <f si="1" t="shared"/>
        <v>17805.042189685191</v>
      </c>
      <c r="AK11" s="265">
        <v>481730</v>
      </c>
      <c r="AL11" s="5">
        <f si="2" t="shared"/>
        <v>-271305</v>
      </c>
    </row>
    <row customHeight="1" ht="13.15" r="12" spans="1:38" thickBot="1" x14ac:dyDescent="0.25">
      <c r="A12" s="8" t="s">
        <v>4</v>
      </c>
      <c r="B12" s="9">
        <f ref="B12:G12" si="3" t="shared">SUM(B5:B11)</f>
        <v>1047341.1957839517</v>
      </c>
      <c r="C12" s="9">
        <f si="3" t="shared"/>
        <v>137861.25302847641</v>
      </c>
      <c r="D12" s="9">
        <f si="3" t="shared"/>
        <v>193237.0767711993</v>
      </c>
      <c r="E12" s="9">
        <f si="3" t="shared"/>
        <v>203942.28294205337</v>
      </c>
      <c r="F12" s="9">
        <f si="3" t="shared"/>
        <v>37080.887009470942</v>
      </c>
      <c r="G12" s="9">
        <f si="3" t="shared"/>
        <v>41373.122877756992</v>
      </c>
      <c r="H12" s="9"/>
      <c r="I12" s="9">
        <f>SUM(I5:I11)</f>
        <v>139691.10398966752</v>
      </c>
      <c r="J12" s="9">
        <f>SUM(J5:J11)</f>
        <v>0</v>
      </c>
      <c r="K12" s="9">
        <f>SUM(K5:K11)</f>
        <v>1800526.9224025763</v>
      </c>
      <c r="M12" s="8" t="s">
        <v>4</v>
      </c>
      <c r="N12" s="9">
        <f ref="N12:S12" si="4" t="shared">SUM(N5:N11)</f>
        <v>999653</v>
      </c>
      <c r="O12" s="9">
        <f si="4" t="shared"/>
        <v>126936</v>
      </c>
      <c r="P12" s="9">
        <f si="4" t="shared"/>
        <v>171501</v>
      </c>
      <c r="Q12" s="9">
        <f si="4" t="shared"/>
        <v>181322</v>
      </c>
      <c r="R12" s="9">
        <f si="4" t="shared"/>
        <v>33113</v>
      </c>
      <c r="S12" s="9">
        <f si="4" t="shared"/>
        <v>37138</v>
      </c>
      <c r="T12" s="9"/>
      <c r="U12" s="9">
        <f>SUM(U5:U11)</f>
        <v>152447</v>
      </c>
      <c r="V12" s="9">
        <f>SUM(V5:V11)</f>
        <v>0</v>
      </c>
      <c r="W12" s="9">
        <f>SUM(W5:W11)</f>
        <v>1702110</v>
      </c>
      <c r="Y12" s="8" t="s">
        <v>4</v>
      </c>
      <c r="Z12" s="9">
        <f si="0" t="shared"/>
        <v>-47688.195783951669</v>
      </c>
      <c r="AA12" s="9">
        <f si="0" t="shared"/>
        <v>-10925.253028476407</v>
      </c>
      <c r="AB12" s="9">
        <f si="0" t="shared"/>
        <v>-21736.076771199296</v>
      </c>
      <c r="AC12" s="9">
        <f si="0" t="shared"/>
        <v>-22620.282942053367</v>
      </c>
      <c r="AD12" s="9">
        <f si="0" t="shared"/>
        <v>-3967.8870094709418</v>
      </c>
      <c r="AE12" s="9">
        <f si="0" t="shared"/>
        <v>-4235.1228777569922</v>
      </c>
      <c r="AF12" s="9"/>
      <c r="AG12" s="9">
        <f si="1" t="shared"/>
        <v>12755.896010332479</v>
      </c>
      <c r="AH12" s="9">
        <f si="1" t="shared"/>
        <v>0</v>
      </c>
      <c r="AI12" s="9">
        <f si="1" t="shared"/>
        <v>-98416.922402576311</v>
      </c>
      <c r="AK12" s="265">
        <v>4022720</v>
      </c>
      <c r="AL12" s="5">
        <f si="2" t="shared"/>
        <v>-2320610</v>
      </c>
    </row>
    <row r="14" spans="1:38" x14ac:dyDescent="0.2">
      <c r="A14" s="265" t="s">
        <v>174</v>
      </c>
      <c r="B14" s="5">
        <f>ToursByTourPurpose!B15</f>
        <v>852014.9999999993</v>
      </c>
      <c r="C14" s="5">
        <f>ToursByTourPurpose!C15</f>
        <v>108625</v>
      </c>
      <c r="D14" s="5">
        <f>ToursByTourPurpose!D15</f>
        <v>215410.00000000029</v>
      </c>
      <c r="E14" s="5">
        <f>ToursByTourPurpose!E15</f>
        <v>202915.0000000002</v>
      </c>
      <c r="F14" s="5">
        <f>ToursByTourPurpose!F15</f>
        <v>64632.999999999993</v>
      </c>
      <c r="G14" s="5">
        <f>ToursByTourPurpose!G15</f>
        <v>55502.000000000007</v>
      </c>
      <c r="H14" s="5"/>
      <c r="I14" s="5">
        <f>ToursByTourPurpose!I15</f>
        <v>267121.00000000006</v>
      </c>
      <c r="J14" s="5">
        <f>ToursByTourPurpose!J15</f>
        <v>0</v>
      </c>
      <c r="K14" s="5">
        <f>ToursByTourPurpose!K15</f>
        <v>1766220.9999999998</v>
      </c>
      <c r="M14" s="265" t="s">
        <v>174</v>
      </c>
      <c r="N14" s="5">
        <f>ToursByTourPurpose!N15</f>
        <v>852015</v>
      </c>
      <c r="O14" s="5">
        <f>ToursByTourPurpose!O15</f>
        <v>108625</v>
      </c>
      <c r="P14" s="5">
        <f>ToursByTourPurpose!P15</f>
        <v>215410</v>
      </c>
      <c r="Q14" s="5">
        <f>ToursByTourPurpose!Q15</f>
        <v>202915</v>
      </c>
      <c r="R14" s="5">
        <f>ToursByTourPurpose!R15</f>
        <v>64633</v>
      </c>
      <c r="S14" s="5">
        <f>ToursByTourPurpose!S15</f>
        <v>55502</v>
      </c>
      <c r="T14" s="5"/>
      <c r="U14" s="5">
        <f>ToursByTourPurpose!U15</f>
        <v>267121</v>
      </c>
      <c r="V14" s="5">
        <f>ToursByTourPurpose!V15</f>
        <v>0</v>
      </c>
      <c r="W14" s="5">
        <f>ToursByTourPurpose!W15</f>
        <v>1766221</v>
      </c>
      <c r="Y14" s="265" t="s">
        <v>174</v>
      </c>
      <c r="Z14" s="5">
        <f ref="Z14:AE15" si="5" t="shared">N14-B14</f>
        <v>0</v>
      </c>
      <c r="AA14" s="5">
        <f si="5" t="shared"/>
        <v>0</v>
      </c>
      <c r="AB14" s="5">
        <f si="5" t="shared"/>
        <v>-2.9103830456733704E-10</v>
      </c>
      <c r="AC14" s="5">
        <f si="5" t="shared"/>
        <v>0</v>
      </c>
      <c r="AD14" s="5">
        <f si="5" t="shared"/>
        <v>0</v>
      </c>
      <c r="AE14" s="5">
        <f si="5" t="shared"/>
        <v>0</v>
      </c>
      <c r="AF14" s="5"/>
      <c r="AG14" s="5">
        <f ref="AG14:AI15" si="6" t="shared">U14-I14</f>
        <v>0</v>
      </c>
      <c r="AH14" s="5">
        <f si="6" t="shared"/>
        <v>0</v>
      </c>
      <c r="AI14" s="5">
        <f si="6" t="shared"/>
        <v>0</v>
      </c>
    </row>
    <row r="15" spans="1:38" x14ac:dyDescent="0.2">
      <c r="A15" s="265" t="s">
        <v>1080</v>
      </c>
      <c r="B15" s="219">
        <f ref="B15:G15" si="7" t="shared">B12/B14</f>
        <v>1.2292520622101166</v>
      </c>
      <c r="C15" s="219">
        <f si="7" t="shared"/>
        <v>1.2691484743703236</v>
      </c>
      <c r="D15" s="219">
        <f si="7" t="shared"/>
        <v>0.89706641646719765</v>
      </c>
      <c r="E15" s="219">
        <f si="7" t="shared"/>
        <v>1.0050626269228651</v>
      </c>
      <c r="F15" s="219">
        <f si="7" t="shared"/>
        <v>0.57371446489364486</v>
      </c>
      <c r="G15" s="219">
        <f si="7" t="shared"/>
        <v>0.74543481095738873</v>
      </c>
      <c r="H15" s="219"/>
      <c r="I15" s="219">
        <f>I12/I14</f>
        <v>0.52295066276955948</v>
      </c>
      <c r="J15" s="219" t="e">
        <f>J12/J14</f>
        <v>#DIV/0!</v>
      </c>
      <c r="K15" s="219">
        <f>K12/K14</f>
        <v>1.0194233464569704</v>
      </c>
      <c r="M15" s="265" t="s">
        <v>1080</v>
      </c>
      <c r="N15" s="219">
        <f ref="N15:S15" si="8" t="shared">N12/N14</f>
        <v>1.1732809868370861</v>
      </c>
      <c r="O15" s="219">
        <f si="8" t="shared"/>
        <v>1.1685707710011508</v>
      </c>
      <c r="P15" s="219">
        <f si="8" t="shared"/>
        <v>0.79616080961886637</v>
      </c>
      <c r="Q15" s="219">
        <f si="8" t="shared"/>
        <v>0.89358598427913161</v>
      </c>
      <c r="R15" s="219">
        <f si="8" t="shared"/>
        <v>0.51232342611359527</v>
      </c>
      <c r="S15" s="219">
        <f si="8" t="shared"/>
        <v>0.6691290403949407</v>
      </c>
      <c r="T15" s="219"/>
      <c r="U15" s="219">
        <f>U12/U14</f>
        <v>0.57070391320787206</v>
      </c>
      <c r="V15" s="219" t="e">
        <f>V12/V14</f>
        <v>#DIV/0!</v>
      </c>
      <c r="W15" s="219">
        <f>W12/W14</f>
        <v>0.96370159793140264</v>
      </c>
      <c r="Y15" s="265" t="s">
        <v>1080</v>
      </c>
      <c r="Z15" s="219">
        <f si="5" t="shared"/>
        <v>-5.5971075373030477E-2</v>
      </c>
      <c r="AA15" s="219">
        <f si="5" t="shared"/>
        <v>-0.10057770336917282</v>
      </c>
      <c r="AB15" s="219">
        <f si="5" t="shared"/>
        <v>-0.10090560684833128</v>
      </c>
      <c r="AC15" s="219">
        <f si="5" t="shared"/>
        <v>-0.11147664264373347</v>
      </c>
      <c r="AD15" s="219">
        <f si="5" t="shared"/>
        <v>-6.1391038780049589E-2</v>
      </c>
      <c r="AE15" s="219">
        <f si="5" t="shared"/>
        <v>-7.6305770562448028E-2</v>
      </c>
      <c r="AF15" s="219"/>
      <c r="AG15" s="219">
        <f si="6" t="shared"/>
        <v>4.7753250438312578E-2</v>
      </c>
      <c r="AH15" s="219" t="e">
        <f si="6" t="shared"/>
        <v>#DIV/0!</v>
      </c>
      <c r="AI15" s="219">
        <f si="6" t="shared"/>
        <v>-5.5721748525567771E-2</v>
      </c>
    </row>
    <row customHeight="1" ht="13.15" r="17" spans="1:35" x14ac:dyDescent="0.2">
      <c r="A17" s="264" t="s">
        <v>41</v>
      </c>
      <c r="M17" s="264" t="s">
        <v>41</v>
      </c>
      <c r="Y17" s="264" t="s">
        <v>41</v>
      </c>
    </row>
    <row customHeight="1" ht="13.15" r="18" spans="1:35" x14ac:dyDescent="0.2">
      <c r="A18" s="264" t="s">
        <v>1081</v>
      </c>
      <c r="M18" s="264" t="s">
        <v>1082</v>
      </c>
      <c r="Y18" s="264" t="s">
        <v>1083</v>
      </c>
    </row>
    <row customHeight="1" ht="13.5" r="19" spans="1:35" thickBo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N19" s="2"/>
      <c r="O19" s="2"/>
      <c r="P19" s="2"/>
      <c r="Q19" s="2"/>
      <c r="R19" s="2"/>
      <c r="S19" s="2"/>
      <c r="T19" s="2"/>
      <c r="U19" s="2"/>
      <c r="V19" s="2"/>
      <c r="W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customHeight="1" ht="13.15" r="20" spans="1:35" x14ac:dyDescent="0.2">
      <c r="A20" s="3" t="s">
        <v>37</v>
      </c>
      <c r="B20" s="4" t="s">
        <v>12</v>
      </c>
      <c r="C20" s="4" t="s">
        <v>13</v>
      </c>
      <c r="D20" s="4" t="s">
        <v>14</v>
      </c>
      <c r="E20" s="4" t="s">
        <v>15</v>
      </c>
      <c r="F20" s="4" t="s">
        <v>16</v>
      </c>
      <c r="G20" s="4" t="s">
        <v>17</v>
      </c>
      <c r="H20" s="4"/>
      <c r="I20" s="4" t="s">
        <v>18</v>
      </c>
      <c r="J20" s="4" t="s">
        <v>19</v>
      </c>
      <c r="K20" s="4" t="s">
        <v>4</v>
      </c>
      <c r="M20" s="3" t="s">
        <v>37</v>
      </c>
      <c r="N20" s="4" t="s">
        <v>12</v>
      </c>
      <c r="O20" s="4" t="s">
        <v>13</v>
      </c>
      <c r="P20" s="4" t="s">
        <v>14</v>
      </c>
      <c r="Q20" s="4" t="s">
        <v>15</v>
      </c>
      <c r="R20" s="4" t="s">
        <v>16</v>
      </c>
      <c r="S20" s="4" t="s">
        <v>17</v>
      </c>
      <c r="T20" s="4"/>
      <c r="U20" s="4" t="s">
        <v>18</v>
      </c>
      <c r="V20" s="4" t="s">
        <v>19</v>
      </c>
      <c r="W20" s="4" t="s">
        <v>4</v>
      </c>
      <c r="Y20" s="3" t="s">
        <v>37</v>
      </c>
      <c r="Z20" s="4" t="s">
        <v>12</v>
      </c>
      <c r="AA20" s="4" t="s">
        <v>13</v>
      </c>
      <c r="AB20" s="4" t="s">
        <v>14</v>
      </c>
      <c r="AC20" s="4" t="s">
        <v>15</v>
      </c>
      <c r="AD20" s="4" t="s">
        <v>16</v>
      </c>
      <c r="AE20" s="4" t="s">
        <v>17</v>
      </c>
      <c r="AF20" s="4"/>
      <c r="AG20" s="4" t="s">
        <v>18</v>
      </c>
      <c r="AH20" s="4" t="s">
        <v>19</v>
      </c>
      <c r="AI20" s="4" t="s">
        <v>4</v>
      </c>
    </row>
    <row r="21" spans="1:35" x14ac:dyDescent="0.2">
      <c r="A21" s="265" t="s">
        <v>23</v>
      </c>
      <c r="B21" s="10">
        <f ref="B21:G28" si="9" t="shared">B5/B$12</f>
        <v>0.13981762838278736</v>
      </c>
      <c r="C21" s="10">
        <f si="9" t="shared"/>
        <v>0.13064592799827218</v>
      </c>
      <c r="D21" s="10">
        <f si="9" t="shared"/>
        <v>5.0568097489008586E-3</v>
      </c>
      <c r="E21" s="10">
        <f si="9" t="shared"/>
        <v>1.4286667616030285E-2</v>
      </c>
      <c r="F21" s="10">
        <f si="9" t="shared"/>
        <v>0.10553880005831398</v>
      </c>
      <c r="G21" s="10">
        <f si="9" t="shared"/>
        <v>1.729254262216362E-2</v>
      </c>
      <c r="H21" s="10"/>
      <c r="I21" s="10">
        <f ref="I21:K28" si="10" t="shared">I5/I$12</f>
        <v>3.9181273924168E-3</v>
      </c>
      <c r="J21" s="10" t="e">
        <f si="10" t="shared"/>
        <v>#DIV/0!</v>
      </c>
      <c r="K21" s="10">
        <f si="10" t="shared"/>
        <v>9.6368921994382684E-2</v>
      </c>
      <c r="M21" s="265" t="s">
        <v>23</v>
      </c>
      <c r="N21" s="10">
        <f ref="N21:S28" si="11" t="shared">N5/N$12</f>
        <v>0.1512934988440989</v>
      </c>
      <c r="O21" s="10">
        <f si="11" t="shared"/>
        <v>9.4071027919581524E-2</v>
      </c>
      <c r="P21" s="10">
        <f si="11" t="shared"/>
        <v>0</v>
      </c>
      <c r="Q21" s="10">
        <f si="11" t="shared"/>
        <v>0</v>
      </c>
      <c r="R21" s="10">
        <f si="11" t="shared"/>
        <v>8.4347537221031013E-2</v>
      </c>
      <c r="S21" s="10">
        <f si="11" t="shared"/>
        <v>1.6909903602778824E-2</v>
      </c>
      <c r="T21" s="10"/>
      <c r="U21" s="10">
        <f ref="U21:W28" si="12" t="shared">U5/U$12</f>
        <v>0</v>
      </c>
      <c r="V21" s="10" t="e">
        <f si="12" t="shared"/>
        <v>#DIV/0!</v>
      </c>
      <c r="W21" s="10">
        <f si="12" t="shared"/>
        <v>9.7880278007884333E-2</v>
      </c>
      <c r="Y21" s="265" t="s">
        <v>23</v>
      </c>
      <c r="Z21" s="10">
        <f ref="Z21:AE28" si="13" t="shared">N21-B21</f>
        <v>1.1475870461311544E-2</v>
      </c>
      <c r="AA21" s="10">
        <f si="13" t="shared"/>
        <v>-3.6574900078690659E-2</v>
      </c>
      <c r="AB21" s="10">
        <f si="13" t="shared"/>
        <v>-5.0568097489008586E-3</v>
      </c>
      <c r="AC21" s="10">
        <f si="13" t="shared"/>
        <v>-1.4286667616030285E-2</v>
      </c>
      <c r="AD21" s="10">
        <f si="13" t="shared"/>
        <v>-2.1191262837282968E-2</v>
      </c>
      <c r="AE21" s="10">
        <f si="13" t="shared"/>
        <v>-3.8263901938479644E-4</v>
      </c>
      <c r="AF21" s="10"/>
      <c r="AG21" s="10">
        <f ref="AG21:AI28" si="14" t="shared">U21-I21</f>
        <v>-3.9181273924168E-3</v>
      </c>
      <c r="AH21" s="10" t="e">
        <f si="14" t="shared"/>
        <v>#DIV/0!</v>
      </c>
      <c r="AI21" s="10">
        <f si="14" t="shared"/>
        <v>1.5113560135016496E-3</v>
      </c>
    </row>
    <row r="22" spans="1:35" x14ac:dyDescent="0.2">
      <c r="A22" s="265" t="s">
        <v>24</v>
      </c>
      <c r="B22" s="10">
        <f si="9" t="shared"/>
        <v>5.7008044154210832E-3</v>
      </c>
      <c r="C22" s="10">
        <f si="9" t="shared"/>
        <v>8.5464654872706176E-3</v>
      </c>
      <c r="D22" s="10">
        <f si="9" t="shared"/>
        <v>0</v>
      </c>
      <c r="E22" s="10">
        <f si="9" t="shared"/>
        <v>2.5775389303882442E-3</v>
      </c>
      <c r="F22" s="10">
        <f si="9" t="shared"/>
        <v>1.7119765584416378E-3</v>
      </c>
      <c r="G22" s="10">
        <f si="9" t="shared"/>
        <v>5.5272682097372051E-2</v>
      </c>
      <c r="H22" s="10"/>
      <c r="I22" s="10">
        <f si="10" t="shared"/>
        <v>7.0375072900826452E-2</v>
      </c>
      <c r="J22" s="10" t="e">
        <f si="10" t="shared"/>
        <v>#DIV/0!</v>
      </c>
      <c r="K22" s="10">
        <f si="10" t="shared"/>
        <v>1.1027682721984431E-2</v>
      </c>
      <c r="M22" s="265" t="s">
        <v>24</v>
      </c>
      <c r="N22" s="10">
        <f si="11" t="shared"/>
        <v>5.183798778176027E-3</v>
      </c>
      <c r="O22" s="10">
        <f si="11" t="shared"/>
        <v>0</v>
      </c>
      <c r="P22" s="10">
        <f si="11" t="shared"/>
        <v>0</v>
      </c>
      <c r="Q22" s="10">
        <f si="11" t="shared"/>
        <v>0</v>
      </c>
      <c r="R22" s="10">
        <f si="11" t="shared"/>
        <v>7.8035816748708964E-2</v>
      </c>
      <c r="S22" s="10">
        <f si="11" t="shared"/>
        <v>0.16295977166244816</v>
      </c>
      <c r="T22" s="10"/>
      <c r="U22" s="10">
        <f si="12" t="shared"/>
        <v>0.14618851141708267</v>
      </c>
      <c r="V22" s="10" t="e">
        <f si="12" t="shared"/>
        <v>#DIV/0!</v>
      </c>
      <c r="W22" s="10">
        <f si="12" t="shared"/>
        <v>2.1211320067445701E-2</v>
      </c>
      <c r="Y22" s="265" t="s">
        <v>24</v>
      </c>
      <c r="Z22" s="10">
        <f si="13" t="shared"/>
        <v>-5.1700563724505627E-4</v>
      </c>
      <c r="AA22" s="10">
        <f si="13" t="shared"/>
        <v>-8.5464654872706176E-3</v>
      </c>
      <c r="AB22" s="10">
        <f si="13" t="shared"/>
        <v>0</v>
      </c>
      <c r="AC22" s="10">
        <f si="13" t="shared"/>
        <v>-2.5775389303882442E-3</v>
      </c>
      <c r="AD22" s="10">
        <f si="13" t="shared"/>
        <v>7.632384019026732E-2</v>
      </c>
      <c r="AE22" s="10">
        <f si="13" t="shared"/>
        <v>0.10768708956507611</v>
      </c>
      <c r="AF22" s="10"/>
      <c r="AG22" s="10">
        <f si="14" t="shared"/>
        <v>7.5813438516256215E-2</v>
      </c>
      <c r="AH22" s="10" t="e">
        <f si="14" t="shared"/>
        <v>#DIV/0!</v>
      </c>
      <c r="AI22" s="10">
        <f si="14" t="shared"/>
        <v>1.018363734546127E-2</v>
      </c>
    </row>
    <row r="23" spans="1:35" x14ac:dyDescent="0.2">
      <c r="A23" s="265" t="s">
        <v>25</v>
      </c>
      <c r="B23" s="10">
        <f si="9" t="shared"/>
        <v>0.20075993619220669</v>
      </c>
      <c r="C23" s="10">
        <f si="9" t="shared"/>
        <v>0.12307745539664844</v>
      </c>
      <c r="D23" s="10">
        <f si="9" t="shared"/>
        <v>3.0584538652259994E-2</v>
      </c>
      <c r="E23" s="10">
        <f si="9" t="shared"/>
        <v>8.686161233498868E-2</v>
      </c>
      <c r="F23" s="10">
        <f si="9" t="shared"/>
        <v>0.11939264097642775</v>
      </c>
      <c r="G23" s="10">
        <f si="9" t="shared"/>
        <v>0.10379030994614261</v>
      </c>
      <c r="H23" s="10"/>
      <c r="I23" s="10">
        <f si="10" t="shared"/>
        <v>0.20686571166478801</v>
      </c>
      <c r="J23" s="10" t="e">
        <f si="10" t="shared"/>
        <v>#DIV/0!</v>
      </c>
      <c r="K23" s="10">
        <f si="10" t="shared"/>
        <v>0.16021709897713599</v>
      </c>
      <c r="M23" s="265" t="s">
        <v>25</v>
      </c>
      <c r="N23" s="10">
        <f si="11" t="shared"/>
        <v>0.13253198860004423</v>
      </c>
      <c r="O23" s="10">
        <f si="11" t="shared"/>
        <v>0.15356557635343795</v>
      </c>
      <c r="P23" s="10">
        <f si="11" t="shared"/>
        <v>4.2198004676357571E-2</v>
      </c>
      <c r="Q23" s="10">
        <f si="11" t="shared"/>
        <v>0.13703797663824577</v>
      </c>
      <c r="R23" s="10">
        <f si="11" t="shared"/>
        <v>0.13281792649412619</v>
      </c>
      <c r="S23" s="10">
        <f si="11" t="shared"/>
        <v>0.11365717055307233</v>
      </c>
      <c r="T23" s="10"/>
      <c r="U23" s="10">
        <f si="12" t="shared"/>
        <v>0.11397403687839053</v>
      </c>
      <c r="V23" s="10" t="e">
        <f si="12" t="shared"/>
        <v>#DIV/0!</v>
      </c>
      <c r="W23" s="10">
        <f si="12" t="shared"/>
        <v>0.1234103553824371</v>
      </c>
      <c r="Y23" s="265" t="s">
        <v>25</v>
      </c>
      <c r="Z23" s="10">
        <f si="13" t="shared"/>
        <v>-6.8227947592162469E-2</v>
      </c>
      <c r="AA23" s="10">
        <f si="13" t="shared"/>
        <v>3.0488120956789516E-2</v>
      </c>
      <c r="AB23" s="10">
        <f si="13" t="shared"/>
        <v>1.1613466024097577E-2</v>
      </c>
      <c r="AC23" s="10">
        <f si="13" t="shared"/>
        <v>5.0176364303257087E-2</v>
      </c>
      <c r="AD23" s="10">
        <f si="13" t="shared"/>
        <v>1.3425285517698435E-2</v>
      </c>
      <c r="AE23" s="10">
        <f si="13" t="shared"/>
        <v>9.8668606069297199E-3</v>
      </c>
      <c r="AF23" s="10"/>
      <c r="AG23" s="10">
        <f si="14" t="shared"/>
        <v>-9.2891674786397482E-2</v>
      </c>
      <c r="AH23" s="10" t="e">
        <f si="14" t="shared"/>
        <v>#DIV/0!</v>
      </c>
      <c r="AI23" s="10">
        <f si="14" t="shared"/>
        <v>-3.680674359469889E-2</v>
      </c>
    </row>
    <row r="24" spans="1:35" x14ac:dyDescent="0.2">
      <c r="A24" s="265" t="s">
        <v>26</v>
      </c>
      <c r="B24" s="10">
        <f si="9" t="shared"/>
        <v>0.2695916171692479</v>
      </c>
      <c r="C24" s="10">
        <f si="9" t="shared"/>
        <v>0.32260084729906802</v>
      </c>
      <c r="D24" s="10">
        <f si="9" t="shared"/>
        <v>0.41117036484865488</v>
      </c>
      <c r="E24" s="10">
        <f si="9" t="shared"/>
        <v>0.36860246997569046</v>
      </c>
      <c r="F24" s="10">
        <f si="9" t="shared"/>
        <v>0.26910003418788353</v>
      </c>
      <c r="G24" s="10">
        <f si="9" t="shared"/>
        <v>0.31398362864517865</v>
      </c>
      <c r="H24" s="10"/>
      <c r="I24" s="10">
        <f si="10" t="shared"/>
        <v>0.25517982376420389</v>
      </c>
      <c r="J24" s="10" t="e">
        <f si="10" t="shared"/>
        <v>#DIV/0!</v>
      </c>
      <c r="K24" s="10">
        <f si="10" t="shared"/>
        <v>0.2999515575738525</v>
      </c>
      <c r="M24" s="265" t="s">
        <v>26</v>
      </c>
      <c r="N24" s="10">
        <f si="11" t="shared"/>
        <v>0.25415819289293384</v>
      </c>
      <c r="O24" s="10">
        <f si="11" t="shared"/>
        <v>0.27617854666918762</v>
      </c>
      <c r="P24" s="10">
        <f si="11" t="shared"/>
        <v>0.39662159404318342</v>
      </c>
      <c r="Q24" s="10">
        <f si="11" t="shared"/>
        <v>0.34978656754282439</v>
      </c>
      <c r="R24" s="10">
        <f si="11" t="shared"/>
        <v>0.20698819194878146</v>
      </c>
      <c r="S24" s="10">
        <f si="11" t="shared"/>
        <v>0.25135979320372664</v>
      </c>
      <c r="T24" s="10"/>
      <c r="U24" s="10">
        <f si="12" t="shared"/>
        <v>0.2054156526530532</v>
      </c>
      <c r="V24" s="10" t="e">
        <f si="12" t="shared"/>
        <v>#DIV/0!</v>
      </c>
      <c r="W24" s="10">
        <f si="12" t="shared"/>
        <v>0.27499750309909465</v>
      </c>
      <c r="Y24" s="265" t="s">
        <v>26</v>
      </c>
      <c r="Z24" s="10">
        <f si="13" t="shared"/>
        <v>-1.5433424276314056E-2</v>
      </c>
      <c r="AA24" s="10">
        <f si="13" t="shared"/>
        <v>-4.6422300629880398E-2</v>
      </c>
      <c r="AB24" s="10">
        <f si="13" t="shared"/>
        <v>-1.4548770805471456E-2</v>
      </c>
      <c r="AC24" s="10">
        <f si="13" t="shared"/>
        <v>-1.8815902432866072E-2</v>
      </c>
      <c r="AD24" s="10">
        <f si="13" t="shared"/>
        <v>-6.2111842239102072E-2</v>
      </c>
      <c r="AE24" s="10">
        <f si="13" t="shared"/>
        <v>-6.2623835441452003E-2</v>
      </c>
      <c r="AF24" s="10"/>
      <c r="AG24" s="10">
        <f si="14" t="shared"/>
        <v>-4.9764171111150696E-2</v>
      </c>
      <c r="AH24" s="10" t="e">
        <f si="14" t="shared"/>
        <v>#DIV/0!</v>
      </c>
      <c r="AI24" s="10">
        <f si="14" t="shared"/>
        <v>-2.4954054474757847E-2</v>
      </c>
    </row>
    <row r="25" spans="1:35" x14ac:dyDescent="0.2">
      <c r="A25" s="265" t="s">
        <v>27</v>
      </c>
      <c r="B25" s="10">
        <f si="9" t="shared"/>
        <v>0.17152274771126877</v>
      </c>
      <c r="C25" s="10">
        <f si="9" t="shared"/>
        <v>0.23654967523265519</v>
      </c>
      <c r="D25" s="10">
        <f si="9" t="shared"/>
        <v>0.35085257197742792</v>
      </c>
      <c r="E25" s="10">
        <f si="9" t="shared"/>
        <v>0.31597203485208208</v>
      </c>
      <c r="F25" s="10">
        <f si="9" t="shared"/>
        <v>0.29472744205993234</v>
      </c>
      <c r="G25" s="10">
        <f si="9" t="shared"/>
        <v>8.5124129853083902E-2</v>
      </c>
      <c r="H25" s="10"/>
      <c r="I25" s="10">
        <f si="10" t="shared"/>
        <v>0.13079032514660086</v>
      </c>
      <c r="J25" s="10" t="e">
        <f si="10" t="shared"/>
        <v>#DIV/0!</v>
      </c>
      <c r="K25" s="10">
        <f si="10" t="shared"/>
        <v>0.20950117664040208</v>
      </c>
      <c r="M25" s="265" t="s">
        <v>27</v>
      </c>
      <c r="N25" s="10">
        <f si="11" t="shared"/>
        <v>0.17500872802862594</v>
      </c>
      <c r="O25" s="10">
        <f si="11" t="shared"/>
        <v>0.23794668179239931</v>
      </c>
      <c r="P25" s="10">
        <f si="11" t="shared"/>
        <v>0.29971253811931126</v>
      </c>
      <c r="Q25" s="10">
        <f si="11" t="shared"/>
        <v>0.29048322873120747</v>
      </c>
      <c r="R25" s="10">
        <f si="11" t="shared"/>
        <v>0.22187660435478512</v>
      </c>
      <c r="S25" s="10">
        <f si="11" t="shared"/>
        <v>8.7538370402283378E-2</v>
      </c>
      <c r="T25" s="10"/>
      <c r="U25" s="10">
        <f si="12" t="shared"/>
        <v>0.10035618936417247</v>
      </c>
      <c r="V25" s="10" t="e">
        <f si="12" t="shared"/>
        <v>#DIV/0!</v>
      </c>
      <c r="W25" s="10">
        <f si="12" t="shared"/>
        <v>0.19688563018841321</v>
      </c>
      <c r="Y25" s="265" t="s">
        <v>27</v>
      </c>
      <c r="Z25" s="10">
        <f si="13" t="shared"/>
        <v>3.485980317357168E-3</v>
      </c>
      <c r="AA25" s="10">
        <f si="13" t="shared"/>
        <v>1.3970065597441184E-3</v>
      </c>
      <c r="AB25" s="10">
        <f si="13" t="shared"/>
        <v>-5.1140033858116662E-2</v>
      </c>
      <c r="AC25" s="10">
        <f si="13" t="shared"/>
        <v>-2.5488806120874619E-2</v>
      </c>
      <c r="AD25" s="10">
        <f si="13" t="shared"/>
        <v>-7.285083770514722E-2</v>
      </c>
      <c r="AE25" s="10">
        <f si="13" t="shared"/>
        <v>2.4142405491994756E-3</v>
      </c>
      <c r="AF25" s="10"/>
      <c r="AG25" s="10">
        <f si="14" t="shared"/>
        <v>-3.0434135782428387E-2</v>
      </c>
      <c r="AH25" s="10" t="e">
        <f si="14" t="shared"/>
        <v>#DIV/0!</v>
      </c>
      <c r="AI25" s="10">
        <f si="14" t="shared"/>
        <v>-1.2615546451988868E-2</v>
      </c>
    </row>
    <row r="26" spans="1:35" x14ac:dyDescent="0.2">
      <c r="A26" s="265" t="s">
        <v>28</v>
      </c>
      <c r="B26" s="10">
        <f si="9" t="shared"/>
        <v>0.13079431784745521</v>
      </c>
      <c r="C26" s="10">
        <f si="9" t="shared"/>
        <v>8.8346490043409595E-2</v>
      </c>
      <c r="D26" s="10">
        <f si="9" t="shared"/>
        <v>0.10608792357282255</v>
      </c>
      <c r="E26" s="10">
        <f si="9" t="shared"/>
        <v>9.9089503095676698E-2</v>
      </c>
      <c r="F26" s="10">
        <f si="9" t="shared"/>
        <v>7.954509652794374E-2</v>
      </c>
      <c r="G26" s="10">
        <f si="9" t="shared"/>
        <v>0.10587879060239057</v>
      </c>
      <c r="H26" s="10"/>
      <c r="I26" s="10">
        <f si="10" t="shared"/>
        <v>8.2849147727129618E-2</v>
      </c>
      <c r="J26" s="10" t="e">
        <f si="10" t="shared"/>
        <v>#DIV/0!</v>
      </c>
      <c r="K26" s="10">
        <f si="10" t="shared"/>
        <v>0.11595379110759754</v>
      </c>
      <c r="M26" s="265" t="s">
        <v>28</v>
      </c>
      <c r="N26" s="10">
        <f si="11" t="shared"/>
        <v>0.18636066715150157</v>
      </c>
      <c r="O26" s="10">
        <f si="11" t="shared"/>
        <v>0.13682485662065924</v>
      </c>
      <c r="P26" s="10">
        <f si="11" t="shared"/>
        <v>0.157620072186168</v>
      </c>
      <c r="Q26" s="10">
        <f si="11" t="shared"/>
        <v>0.11382512877643088</v>
      </c>
      <c r="R26" s="10">
        <f si="11" t="shared"/>
        <v>0.17687917132244133</v>
      </c>
      <c r="S26" s="10">
        <f si="11" t="shared"/>
        <v>9.386612095427864E-2</v>
      </c>
      <c r="T26" s="10"/>
      <c r="U26" s="10">
        <f si="12" t="shared"/>
        <v>9.8690036537288375E-2</v>
      </c>
      <c r="V26" s="10" t="e">
        <f si="12" t="shared"/>
        <v>#DIV/0!</v>
      </c>
      <c r="W26" s="10">
        <f si="12" t="shared"/>
        <v>0.16198894313528503</v>
      </c>
      <c r="Y26" s="265" t="s">
        <v>28</v>
      </c>
      <c r="Z26" s="10">
        <f si="13" t="shared"/>
        <v>5.5566349304046359E-2</v>
      </c>
      <c r="AA26" s="10">
        <f si="13" t="shared"/>
        <v>4.8478366577249646E-2</v>
      </c>
      <c r="AB26" s="10">
        <f si="13" t="shared"/>
        <v>5.1532148613345444E-2</v>
      </c>
      <c r="AC26" s="10">
        <f si="13" t="shared"/>
        <v>1.4735625680754177E-2</v>
      </c>
      <c r="AD26" s="10">
        <f si="13" t="shared"/>
        <v>9.7334074794497585E-2</v>
      </c>
      <c r="AE26" s="10">
        <f si="13" t="shared"/>
        <v>-1.2012669648111929E-2</v>
      </c>
      <c r="AF26" s="10"/>
      <c r="AG26" s="10">
        <f si="14" t="shared"/>
        <v>1.5840888810158757E-2</v>
      </c>
      <c r="AH26" s="10" t="e">
        <f si="14" t="shared"/>
        <v>#DIV/0!</v>
      </c>
      <c r="AI26" s="10">
        <f si="14" t="shared"/>
        <v>4.6035152027687487E-2</v>
      </c>
    </row>
    <row r="27" spans="1:35" x14ac:dyDescent="0.2">
      <c r="A27" s="265" t="s">
        <v>29</v>
      </c>
      <c r="B27" s="10">
        <f si="9" t="shared"/>
        <v>8.1812948281612952E-2</v>
      </c>
      <c r="C27" s="10">
        <f si="9" t="shared"/>
        <v>9.0233138542676006E-2</v>
      </c>
      <c r="D27" s="10">
        <f si="9" t="shared"/>
        <v>9.6247791199933791E-2</v>
      </c>
      <c r="E27" s="10">
        <f si="9" t="shared"/>
        <v>0.11261017319514346</v>
      </c>
      <c r="F27" s="10">
        <f si="9" t="shared"/>
        <v>0.12998400963105708</v>
      </c>
      <c r="G27" s="10">
        <f si="9" t="shared"/>
        <v>0.31865791623366851</v>
      </c>
      <c r="H27" s="10"/>
      <c r="I27" s="10">
        <f si="10" t="shared"/>
        <v>0.25002179140403447</v>
      </c>
      <c r="J27" s="10" t="e">
        <f si="10" t="shared"/>
        <v>#DIV/0!</v>
      </c>
      <c r="K27" s="10">
        <f si="10" t="shared"/>
        <v>0.10697977098464473</v>
      </c>
      <c r="M27" s="265" t="s">
        <v>29</v>
      </c>
      <c r="N27" s="10">
        <f si="11" t="shared"/>
        <v>9.5463125704619498E-2</v>
      </c>
      <c r="O27" s="10">
        <f si="11" t="shared"/>
        <v>0.10141331064473436</v>
      </c>
      <c r="P27" s="10">
        <f si="11" t="shared"/>
        <v>0.10384779097497973</v>
      </c>
      <c r="Q27" s="10">
        <f si="11" t="shared"/>
        <v>0.10886709831129152</v>
      </c>
      <c r="R27" s="10">
        <f si="11" t="shared"/>
        <v>9.9054751910125929E-2</v>
      </c>
      <c r="S27" s="10">
        <f si="11" t="shared"/>
        <v>0.27370886962141205</v>
      </c>
      <c r="T27" s="10"/>
      <c r="U27" s="10">
        <f si="12" t="shared"/>
        <v>0.33537557315001282</v>
      </c>
      <c r="V27" s="10" t="e">
        <f si="12" t="shared"/>
        <v>#DIV/0!</v>
      </c>
      <c r="W27" s="10">
        <f si="12" t="shared"/>
        <v>0.12362597011943999</v>
      </c>
      <c r="Y27" s="265" t="s">
        <v>29</v>
      </c>
      <c r="Z27" s="10">
        <f si="13" t="shared"/>
        <v>1.3650177423006546E-2</v>
      </c>
      <c r="AA27" s="10">
        <f si="13" t="shared"/>
        <v>1.118017210205835E-2</v>
      </c>
      <c r="AB27" s="10">
        <f si="13" t="shared"/>
        <v>7.5999997750459403E-3</v>
      </c>
      <c r="AC27" s="10">
        <f si="13" t="shared"/>
        <v>-3.743074883851949E-3</v>
      </c>
      <c r="AD27" s="10">
        <f si="13" t="shared"/>
        <v>-3.092925772093115E-2</v>
      </c>
      <c r="AE27" s="10">
        <f si="13" t="shared"/>
        <v>-4.494904661225646E-2</v>
      </c>
      <c r="AF27" s="10"/>
      <c r="AG27" s="10">
        <f si="14" t="shared"/>
        <v>8.5353781745978352E-2</v>
      </c>
      <c r="AH27" s="10" t="e">
        <f si="14" t="shared"/>
        <v>#DIV/0!</v>
      </c>
      <c r="AI27" s="10">
        <f si="14" t="shared"/>
        <v>1.6646199134795259E-2</v>
      </c>
    </row>
    <row customHeight="1" ht="13.15" r="28" spans="1:35" thickBot="1" x14ac:dyDescent="0.25">
      <c r="A28" s="8" t="s">
        <v>4</v>
      </c>
      <c r="B28" s="12">
        <f si="9" t="shared"/>
        <v>1</v>
      </c>
      <c r="C28" s="12">
        <f si="9" t="shared"/>
        <v>1</v>
      </c>
      <c r="D28" s="12">
        <f si="9" t="shared"/>
        <v>1</v>
      </c>
      <c r="E28" s="12">
        <f si="9" t="shared"/>
        <v>1</v>
      </c>
      <c r="F28" s="12">
        <f si="9" t="shared"/>
        <v>1</v>
      </c>
      <c r="G28" s="12">
        <f si="9" t="shared"/>
        <v>1</v>
      </c>
      <c r="H28" s="12"/>
      <c r="I28" s="12">
        <f si="10" t="shared"/>
        <v>1</v>
      </c>
      <c r="J28" s="12" t="e">
        <f si="10" t="shared"/>
        <v>#DIV/0!</v>
      </c>
      <c r="K28" s="12">
        <f si="10" t="shared"/>
        <v>1</v>
      </c>
      <c r="M28" s="8" t="s">
        <v>4</v>
      </c>
      <c r="N28" s="12">
        <f si="11" t="shared"/>
        <v>1</v>
      </c>
      <c r="O28" s="12">
        <f si="11" t="shared"/>
        <v>1</v>
      </c>
      <c r="P28" s="12">
        <f si="11" t="shared"/>
        <v>1</v>
      </c>
      <c r="Q28" s="12">
        <f si="11" t="shared"/>
        <v>1</v>
      </c>
      <c r="R28" s="12">
        <f si="11" t="shared"/>
        <v>1</v>
      </c>
      <c r="S28" s="12">
        <f si="11" t="shared"/>
        <v>1</v>
      </c>
      <c r="T28" s="12"/>
      <c r="U28" s="12">
        <f si="12" t="shared"/>
        <v>1</v>
      </c>
      <c r="V28" s="12" t="e">
        <f si="12" t="shared"/>
        <v>#DIV/0!</v>
      </c>
      <c r="W28" s="12">
        <f si="12" t="shared"/>
        <v>1</v>
      </c>
      <c r="Y28" s="8" t="s">
        <v>4</v>
      </c>
      <c r="Z28" s="12">
        <f si="13" t="shared"/>
        <v>0</v>
      </c>
      <c r="AA28" s="12">
        <f si="13" t="shared"/>
        <v>0</v>
      </c>
      <c r="AB28" s="12">
        <f si="13" t="shared"/>
        <v>0</v>
      </c>
      <c r="AC28" s="12">
        <f si="13" t="shared"/>
        <v>0</v>
      </c>
      <c r="AD28" s="12">
        <f si="13" t="shared"/>
        <v>0</v>
      </c>
      <c r="AE28" s="12">
        <f si="13" t="shared"/>
        <v>0</v>
      </c>
      <c r="AF28" s="12"/>
      <c r="AG28" s="12">
        <f si="14" t="shared"/>
        <v>0</v>
      </c>
      <c r="AH28" s="12" t="e">
        <f si="14" t="shared"/>
        <v>#DIV/0!</v>
      </c>
      <c r="AI28" s="12">
        <f si="14" t="shared"/>
        <v>0</v>
      </c>
    </row>
    <row customHeight="1" ht="13.15" r="33" spans="1:32" x14ac:dyDescent="0.2">
      <c r="A33" s="264" t="s">
        <v>41</v>
      </c>
      <c r="M33" s="264" t="s">
        <v>41</v>
      </c>
      <c r="Y33" s="264" t="s">
        <v>41</v>
      </c>
    </row>
    <row customHeight="1" ht="13.15" r="34" spans="1:32" x14ac:dyDescent="0.2">
      <c r="A34" s="264" t="s">
        <v>1084</v>
      </c>
      <c r="M34" s="264" t="s">
        <v>1085</v>
      </c>
      <c r="Y34" s="264" t="s">
        <v>1086</v>
      </c>
    </row>
    <row customHeight="1" ht="13.15" r="35" spans="1:32" thickBot="1" x14ac:dyDescent="0.25">
      <c r="B35" s="13"/>
      <c r="C35" s="13"/>
      <c r="D35" s="13"/>
      <c r="E35" s="13"/>
      <c r="F35" s="13"/>
      <c r="G35" s="13"/>
      <c r="N35" s="13"/>
      <c r="O35" s="13"/>
      <c r="P35" s="13"/>
      <c r="Q35" s="13"/>
      <c r="R35" s="13"/>
      <c r="S35" s="13"/>
      <c r="Z35" s="13"/>
      <c r="AA35" s="13"/>
      <c r="AB35" s="13"/>
      <c r="AC35" s="13"/>
      <c r="AD35" s="13"/>
      <c r="AE35" s="13"/>
    </row>
    <row customHeight="1" ht="13.15" r="36" spans="1:32" x14ac:dyDescent="0.2">
      <c r="A36" s="3" t="s">
        <v>37</v>
      </c>
      <c r="B36" s="4" t="s">
        <v>182</v>
      </c>
      <c r="C36" s="4" t="s">
        <v>183</v>
      </c>
      <c r="D36" s="4" t="s">
        <v>184</v>
      </c>
      <c r="E36" s="4" t="s">
        <v>185</v>
      </c>
      <c r="F36" s="4" t="s">
        <v>186</v>
      </c>
      <c r="G36" s="4" t="s">
        <v>4</v>
      </c>
      <c r="H36" s="52"/>
      <c r="M36" s="3" t="s">
        <v>37</v>
      </c>
      <c r="N36" s="4" t="s">
        <v>182</v>
      </c>
      <c r="O36" s="4" t="s">
        <v>183</v>
      </c>
      <c r="P36" s="4" t="s">
        <v>184</v>
      </c>
      <c r="Q36" s="4" t="s">
        <v>185</v>
      </c>
      <c r="R36" s="4" t="s">
        <v>186</v>
      </c>
      <c r="S36" s="4" t="s">
        <v>4</v>
      </c>
      <c r="T36" s="52"/>
      <c r="Y36" s="3" t="s">
        <v>37</v>
      </c>
      <c r="Z36" s="4" t="s">
        <v>182</v>
      </c>
      <c r="AA36" s="4" t="s">
        <v>183</v>
      </c>
      <c r="AB36" s="4" t="s">
        <v>184</v>
      </c>
      <c r="AC36" s="4" t="s">
        <v>185</v>
      </c>
      <c r="AD36" s="4" t="s">
        <v>186</v>
      </c>
      <c r="AE36" s="4" t="s">
        <v>4</v>
      </c>
      <c r="AF36" s="52"/>
    </row>
    <row r="37" spans="1:32" x14ac:dyDescent="0.2">
      <c r="A37" s="265" t="s">
        <v>23</v>
      </c>
      <c r="B37" s="5">
        <f>output_NHTS!B232</f>
        <v>1322.12000258137</v>
      </c>
      <c r="C37" s="5">
        <f>output_NHTS!C232</f>
        <v>52427.568861741223</v>
      </c>
      <c r="D37" s="5">
        <f>output_NHTS!D232</f>
        <v>32348.534627414887</v>
      </c>
      <c r="E37" s="5">
        <f>output_NHTS!E232</f>
        <v>72223.924943118924</v>
      </c>
      <c r="F37" s="5"/>
      <c r="G37" s="5">
        <f ref="G37:G43" si="15" t="shared">SUM(B37:E37)</f>
        <v>158322.14843485638</v>
      </c>
      <c r="H37" s="5"/>
      <c r="M37" s="265" t="s">
        <v>23</v>
      </c>
      <c r="N37" s="5">
        <f>output!B232</f>
        <v>2446</v>
      </c>
      <c r="O37" s="5">
        <f>output!C232</f>
        <v>21345</v>
      </c>
      <c r="P37" s="5">
        <f>output!D232</f>
        <v>23333</v>
      </c>
      <c r="Q37" s="5">
        <f>output!E232</f>
        <v>119461</v>
      </c>
      <c r="R37" s="5"/>
      <c r="S37" s="5">
        <f ref="S37:S43" si="16" t="shared">SUM(N37:Q37)</f>
        <v>166585</v>
      </c>
      <c r="T37" s="5"/>
      <c r="Y37" s="265" t="s">
        <v>23</v>
      </c>
      <c r="Z37" s="5">
        <f ref="Z37:AE44" si="17" t="shared">N37-B37</f>
        <v>1123.87999741863</v>
      </c>
      <c r="AA37" s="5">
        <f si="17" t="shared"/>
        <v>-31082.568861741223</v>
      </c>
      <c r="AB37" s="5">
        <f si="17" t="shared"/>
        <v>-9015.5346274148869</v>
      </c>
      <c r="AC37" s="5">
        <f si="17" t="shared"/>
        <v>47237.075056881076</v>
      </c>
      <c r="AD37" s="5">
        <f si="17" t="shared"/>
        <v>0</v>
      </c>
      <c r="AE37" s="5">
        <f si="17" t="shared"/>
        <v>8262.8515651436173</v>
      </c>
      <c r="AF37" s="5"/>
    </row>
    <row r="38" spans="1:32" x14ac:dyDescent="0.2">
      <c r="A38" s="265" t="s">
        <v>24</v>
      </c>
      <c r="B38" s="5">
        <f>output_NHTS!B233</f>
        <v>417.37763990329722</v>
      </c>
      <c r="C38" s="5">
        <f>output_NHTS!C233</f>
        <v>4049.589913851145</v>
      </c>
      <c r="D38" s="5">
        <f>output_NHTS!D233</f>
        <v>4678.8031209406363</v>
      </c>
      <c r="E38" s="5">
        <f>output_NHTS!E233</f>
        <v>8653.7691656915595</v>
      </c>
      <c r="F38" s="5"/>
      <c r="G38" s="5">
        <f si="15" t="shared"/>
        <v>17799.539840386638</v>
      </c>
      <c r="H38" s="5"/>
      <c r="M38" s="265" t="s">
        <v>24</v>
      </c>
      <c r="N38" s="5">
        <f>output!B233</f>
        <v>1514</v>
      </c>
      <c r="O38" s="5">
        <f>output!C233</f>
        <v>6040</v>
      </c>
      <c r="P38" s="5">
        <f>output!D233</f>
        <v>4414</v>
      </c>
      <c r="Q38" s="5">
        <f>output!E233</f>
        <v>24135</v>
      </c>
      <c r="R38" s="5"/>
      <c r="S38" s="5">
        <f si="16" t="shared"/>
        <v>36103</v>
      </c>
      <c r="T38" s="5"/>
      <c r="Y38" s="265" t="s">
        <v>24</v>
      </c>
      <c r="Z38" s="5">
        <f si="17" t="shared"/>
        <v>1096.6223600967028</v>
      </c>
      <c r="AA38" s="5">
        <f si="17" t="shared"/>
        <v>1990.410086148855</v>
      </c>
      <c r="AB38" s="5">
        <f si="17" t="shared"/>
        <v>-264.80312094063629</v>
      </c>
      <c r="AC38" s="5">
        <f si="17" t="shared"/>
        <v>15481.230834308441</v>
      </c>
      <c r="AD38" s="5">
        <f si="17" t="shared"/>
        <v>0</v>
      </c>
      <c r="AE38" s="5">
        <f si="17" t="shared"/>
        <v>18303.460159613362</v>
      </c>
      <c r="AF38" s="5"/>
    </row>
    <row r="39" spans="1:32" x14ac:dyDescent="0.2">
      <c r="A39" s="265" t="s">
        <v>25</v>
      </c>
      <c r="B39" s="5">
        <f>output_NHTS!B234</f>
        <v>8897.7389363476595</v>
      </c>
      <c r="C39" s="5">
        <f>output_NHTS!C234</f>
        <v>57599.143522069644</v>
      </c>
      <c r="D39" s="5">
        <f>output_NHTS!D234</f>
        <v>52083.364257706089</v>
      </c>
      <c r="E39" s="5">
        <f>output_NHTS!E234</f>
        <v>136350.17195668217</v>
      </c>
      <c r="F39" s="5"/>
      <c r="G39" s="5">
        <f si="15" t="shared"/>
        <v>254930.41867280556</v>
      </c>
      <c r="H39" s="5"/>
      <c r="M39" s="265" t="s">
        <v>25</v>
      </c>
      <c r="N39" s="5">
        <f>output!B234</f>
        <v>6689</v>
      </c>
      <c r="O39" s="5">
        <f>output!C234</f>
        <v>29918</v>
      </c>
      <c r="P39" s="5">
        <f>output!D234</f>
        <v>27314</v>
      </c>
      <c r="Q39" s="5">
        <f>output!E234</f>
        <v>146117</v>
      </c>
      <c r="R39" s="5"/>
      <c r="S39" s="5">
        <f si="16" t="shared"/>
        <v>210038</v>
      </c>
      <c r="T39" s="5"/>
      <c r="Y39" s="265" t="s">
        <v>25</v>
      </c>
      <c r="Z39" s="5">
        <f si="17" t="shared"/>
        <v>-2208.7389363476595</v>
      </c>
      <c r="AA39" s="5">
        <f si="17" t="shared"/>
        <v>-27681.143522069644</v>
      </c>
      <c r="AB39" s="5">
        <f si="17" t="shared"/>
        <v>-24769.364257706089</v>
      </c>
      <c r="AC39" s="5">
        <f si="17" t="shared"/>
        <v>9766.8280433178297</v>
      </c>
      <c r="AD39" s="5">
        <f si="17" t="shared"/>
        <v>0</v>
      </c>
      <c r="AE39" s="5">
        <f si="17" t="shared"/>
        <v>-44892.418672805565</v>
      </c>
      <c r="AF39" s="5"/>
    </row>
    <row r="40" spans="1:32" x14ac:dyDescent="0.2">
      <c r="A40" s="265" t="s">
        <v>26</v>
      </c>
      <c r="B40" s="5">
        <f>output_NHTS!B235</f>
        <v>8532.1495229280736</v>
      </c>
      <c r="C40" s="5">
        <f>output_NHTS!C235</f>
        <v>151265.93962449016</v>
      </c>
      <c r="D40" s="5">
        <f>output_NHTS!D235</f>
        <v>119502.1897725671</v>
      </c>
      <c r="E40" s="5">
        <f>output_NHTS!E235</f>
        <v>195117.71733707277</v>
      </c>
      <c r="F40" s="5"/>
      <c r="G40" s="5">
        <f si="15" t="shared"/>
        <v>474417.99625705811</v>
      </c>
      <c r="H40" s="5"/>
      <c r="M40" s="265" t="s">
        <v>26</v>
      </c>
      <c r="N40" s="5">
        <f>output!B235</f>
        <v>19198</v>
      </c>
      <c r="O40" s="5">
        <f>output!C235</f>
        <v>78159</v>
      </c>
      <c r="P40" s="5">
        <f>output!D235</f>
        <v>69968</v>
      </c>
      <c r="Q40" s="5">
        <f>output!E235</f>
        <v>300688</v>
      </c>
      <c r="R40" s="5"/>
      <c r="S40" s="5">
        <f si="16" t="shared"/>
        <v>468013</v>
      </c>
      <c r="T40" s="5"/>
      <c r="Y40" s="265" t="s">
        <v>26</v>
      </c>
      <c r="Z40" s="5">
        <f si="17" t="shared"/>
        <v>10665.850477071926</v>
      </c>
      <c r="AA40" s="5">
        <f si="17" t="shared"/>
        <v>-73106.939624490158</v>
      </c>
      <c r="AB40" s="5">
        <f si="17" t="shared"/>
        <v>-49534.189772567101</v>
      </c>
      <c r="AC40" s="5">
        <f si="17" t="shared"/>
        <v>105570.28266292723</v>
      </c>
      <c r="AD40" s="5">
        <f si="17" t="shared"/>
        <v>0</v>
      </c>
      <c r="AE40" s="5">
        <f si="17" t="shared"/>
        <v>-6404.996257058112</v>
      </c>
      <c r="AF40" s="5"/>
    </row>
    <row r="41" spans="1:32" x14ac:dyDescent="0.2">
      <c r="A41" s="265" t="s">
        <v>27</v>
      </c>
      <c r="B41" s="5">
        <f>output_NHTS!B236</f>
        <v>6808.2493820531217</v>
      </c>
      <c r="C41" s="5">
        <f>output_NHTS!C236</f>
        <v>110459.69804510975</v>
      </c>
      <c r="D41" s="5">
        <f>output_NHTS!D236</f>
        <v>84514.268861003613</v>
      </c>
      <c r="E41" s="5">
        <f>output_NHTS!E236</f>
        <v>126352.80569890722</v>
      </c>
      <c r="F41" s="5"/>
      <c r="G41" s="5">
        <f si="15" t="shared"/>
        <v>328135.02198707371</v>
      </c>
      <c r="H41" s="5"/>
      <c r="M41" s="265" t="s">
        <v>27</v>
      </c>
      <c r="N41" s="5">
        <f>output!B236</f>
        <v>15820</v>
      </c>
      <c r="O41" s="5">
        <f>output!C236</f>
        <v>60614</v>
      </c>
      <c r="P41" s="5">
        <f>output!D236</f>
        <v>52628</v>
      </c>
      <c r="Q41" s="5">
        <f>output!E236</f>
        <v>206011</v>
      </c>
      <c r="R41" s="5"/>
      <c r="S41" s="5">
        <f si="16" t="shared"/>
        <v>335073</v>
      </c>
      <c r="T41" s="5"/>
      <c r="Y41" s="265" t="s">
        <v>27</v>
      </c>
      <c r="Z41" s="5">
        <f si="17" t="shared"/>
        <v>9011.7506179468783</v>
      </c>
      <c r="AA41" s="5">
        <f si="17" t="shared"/>
        <v>-49845.698045109748</v>
      </c>
      <c r="AB41" s="5">
        <f si="17" t="shared"/>
        <v>-31886.268861003613</v>
      </c>
      <c r="AC41" s="5">
        <f si="17" t="shared"/>
        <v>79658.194301092779</v>
      </c>
      <c r="AD41" s="5">
        <f si="17" t="shared"/>
        <v>0</v>
      </c>
      <c r="AE41" s="5">
        <f si="17" t="shared"/>
        <v>6937.9780129262945</v>
      </c>
      <c r="AF41" s="5"/>
    </row>
    <row r="42" spans="1:32" x14ac:dyDescent="0.2">
      <c r="A42" s="265" t="s">
        <v>28</v>
      </c>
      <c r="B42" s="5">
        <f>output_NHTS!B237</f>
        <v>1366.5855668790218</v>
      </c>
      <c r="C42" s="5">
        <f>output_NHTS!C237</f>
        <v>50012.571376899134</v>
      </c>
      <c r="D42" s="5">
        <f>output_NHTS!D237</f>
        <v>39235.831197789521</v>
      </c>
      <c r="E42" s="5">
        <f>output_NHTS!E237</f>
        <v>88813.984017977244</v>
      </c>
      <c r="F42" s="5"/>
      <c r="G42" s="5">
        <f si="15" t="shared"/>
        <v>179428.97215954494</v>
      </c>
      <c r="H42" s="5"/>
      <c r="M42" s="265" t="s">
        <v>28</v>
      </c>
      <c r="N42" s="5">
        <f>output!B237</f>
        <v>8066</v>
      </c>
      <c r="O42" s="5">
        <f>output!C237</f>
        <v>39015</v>
      </c>
      <c r="P42" s="5">
        <f>output!D237</f>
        <v>42029</v>
      </c>
      <c r="Q42" s="5">
        <f>output!E237</f>
        <v>186578</v>
      </c>
      <c r="R42" s="5"/>
      <c r="S42" s="5">
        <f si="16" t="shared"/>
        <v>275688</v>
      </c>
      <c r="T42" s="5"/>
      <c r="Y42" s="265" t="s">
        <v>28</v>
      </c>
      <c r="Z42" s="5">
        <f si="17" t="shared"/>
        <v>6699.4144331209782</v>
      </c>
      <c r="AA42" s="5">
        <f si="17" t="shared"/>
        <v>-10997.571376899134</v>
      </c>
      <c r="AB42" s="5">
        <f si="17" t="shared"/>
        <v>2793.168802210479</v>
      </c>
      <c r="AC42" s="5">
        <f si="17" t="shared"/>
        <v>97764.015982022756</v>
      </c>
      <c r="AD42" s="5">
        <f si="17" t="shared"/>
        <v>0</v>
      </c>
      <c r="AE42" s="5">
        <f si="17" t="shared"/>
        <v>96259.027840455063</v>
      </c>
      <c r="AF42" s="5"/>
    </row>
    <row r="43" spans="1:32" x14ac:dyDescent="0.2">
      <c r="A43" s="265" t="s">
        <v>29</v>
      </c>
      <c r="B43" s="5">
        <f>output_NHTS!B238</f>
        <v>3124.8304340282139</v>
      </c>
      <c r="C43" s="5">
        <f>output_NHTS!C238</f>
        <v>43472.92100821378</v>
      </c>
      <c r="D43" s="5">
        <f>output_NHTS!D238</f>
        <v>37225.138022718056</v>
      </c>
      <c r="E43" s="5">
        <f>output_NHTS!E238</f>
        <v>84808.402521320008</v>
      </c>
      <c r="F43" s="7"/>
      <c r="G43" s="5">
        <f si="15" t="shared"/>
        <v>168631.29198628006</v>
      </c>
      <c r="H43" s="5"/>
      <c r="M43" s="265" t="s">
        <v>29</v>
      </c>
      <c r="N43" s="7">
        <f>output!B238</f>
        <v>6249</v>
      </c>
      <c r="O43" s="7">
        <f>output!C238</f>
        <v>29263</v>
      </c>
      <c r="P43" s="7">
        <f>output!D238</f>
        <v>27941</v>
      </c>
      <c r="Q43" s="7">
        <f>output!E238</f>
        <v>146954</v>
      </c>
      <c r="R43" s="7"/>
      <c r="S43" s="7">
        <f si="16" t="shared"/>
        <v>210407</v>
      </c>
      <c r="T43" s="5"/>
      <c r="Y43" s="265" t="s">
        <v>29</v>
      </c>
      <c r="Z43" s="7">
        <f si="17" t="shared"/>
        <v>3124.1695659717861</v>
      </c>
      <c r="AA43" s="7">
        <f si="17" t="shared"/>
        <v>-14209.92100821378</v>
      </c>
      <c r="AB43" s="7">
        <f si="17" t="shared"/>
        <v>-9284.1380227180562</v>
      </c>
      <c r="AC43" s="7">
        <f si="17" t="shared"/>
        <v>62145.597478679992</v>
      </c>
      <c r="AD43" s="7">
        <f si="17" t="shared"/>
        <v>0</v>
      </c>
      <c r="AE43" s="7">
        <f si="17" t="shared"/>
        <v>41775.708013719937</v>
      </c>
      <c r="AF43" s="5"/>
    </row>
    <row customHeight="1" ht="13.15" r="44" spans="1:32" thickBot="1" x14ac:dyDescent="0.25">
      <c r="A44" s="8" t="s">
        <v>4</v>
      </c>
      <c r="B44" s="9">
        <f>SUM(B37:B43)</f>
        <v>30469.05148472076</v>
      </c>
      <c r="C44" s="9">
        <f>SUM(C37:C43)</f>
        <v>469287.43235237483</v>
      </c>
      <c r="D44" s="9">
        <f>SUM(D37:D43)</f>
        <v>369588.12986013992</v>
      </c>
      <c r="E44" s="9">
        <f>SUM(E37:E43)</f>
        <v>712320.77564076998</v>
      </c>
      <c r="F44" s="9"/>
      <c r="G44" s="9">
        <f>SUM(G37:G43)</f>
        <v>1581665.3893380053</v>
      </c>
      <c r="H44" s="5"/>
      <c r="M44" s="8" t="s">
        <v>4</v>
      </c>
      <c r="N44" s="9">
        <f>SUM(N37:N43)</f>
        <v>59982</v>
      </c>
      <c r="O44" s="9">
        <f>SUM(O37:O43)</f>
        <v>264354</v>
      </c>
      <c r="P44" s="9">
        <f>SUM(P37:P43)</f>
        <v>247627</v>
      </c>
      <c r="Q44" s="9">
        <f>SUM(Q37:Q43)</f>
        <v>1129944</v>
      </c>
      <c r="R44" s="9"/>
      <c r="S44" s="9">
        <f>SUM(S37:S43)</f>
        <v>1701907</v>
      </c>
      <c r="T44" s="5"/>
      <c r="Y44" s="8" t="s">
        <v>4</v>
      </c>
      <c r="Z44" s="9">
        <f si="17" t="shared"/>
        <v>29512.94851527924</v>
      </c>
      <c r="AA44" s="9">
        <f si="17" t="shared"/>
        <v>-204933.43235237483</v>
      </c>
      <c r="AB44" s="9">
        <f si="17" t="shared"/>
        <v>-121961.12986013992</v>
      </c>
      <c r="AC44" s="9">
        <f si="17" t="shared"/>
        <v>417623.22435923002</v>
      </c>
      <c r="AD44" s="9">
        <f si="17" t="shared"/>
        <v>0</v>
      </c>
      <c r="AE44" s="9">
        <f si="17" t="shared"/>
        <v>120241.61066199467</v>
      </c>
      <c r="AF44" s="5"/>
    </row>
    <row r="46" spans="1:32" x14ac:dyDescent="0.2">
      <c r="A46" s="265" t="s">
        <v>174</v>
      </c>
      <c r="B46" s="5">
        <f>ToursByTourPurpose!B50</f>
        <v>52642.63273887401</v>
      </c>
      <c r="C46" s="5">
        <f>ToursByTourPurpose!C50</f>
        <v>465116.39388516947</v>
      </c>
      <c r="D46" s="5">
        <f>ToursByTourPurpose!D50</f>
        <v>354363.57349479233</v>
      </c>
      <c r="E46" s="5">
        <f>ToursByTourPurpose!E50</f>
        <v>654986.77908716607</v>
      </c>
      <c r="F46" s="5"/>
      <c r="G46" s="5">
        <f>ToursByTourPurpose!G50</f>
        <v>1527109.3792060018</v>
      </c>
      <c r="H46" s="5"/>
      <c r="M46" s="265" t="s">
        <v>174</v>
      </c>
      <c r="N46" s="5">
        <f>ToursByTourPurpose!N50</f>
        <v>93580</v>
      </c>
      <c r="O46" s="5">
        <f>ToursByTourPurpose!O50</f>
        <v>322979</v>
      </c>
      <c r="P46" s="5">
        <f>ToursByTourPurpose!P50</f>
        <v>258316</v>
      </c>
      <c r="Q46" s="5">
        <f>ToursByTourPurpose!Q50</f>
        <v>1091148</v>
      </c>
      <c r="R46" s="5" t="e">
        <f>ToursByTourPurpose!#REF!</f>
        <v>#REF!</v>
      </c>
      <c r="S46" s="5">
        <f>ToursByTourPurpose!S50</f>
        <v>1766023</v>
      </c>
      <c r="T46" s="5"/>
      <c r="Y46" s="265" t="s">
        <v>174</v>
      </c>
      <c r="Z46" s="5">
        <f ref="Z46:AC47" si="18" t="shared">N46-B46</f>
        <v>40937.36726112599</v>
      </c>
      <c r="AA46" s="5">
        <f si="18" t="shared"/>
        <v>-142137.39388516947</v>
      </c>
      <c r="AB46" s="5">
        <f si="18" t="shared"/>
        <v>-96047.573494792334</v>
      </c>
      <c r="AC46" s="5">
        <f si="18" t="shared"/>
        <v>436161.22091283393</v>
      </c>
      <c r="AD46" s="5"/>
      <c r="AE46" s="5">
        <f>S46-G46</f>
        <v>238913.62079399824</v>
      </c>
      <c r="AF46" s="5"/>
    </row>
    <row r="47" spans="1:32" x14ac:dyDescent="0.2">
      <c r="A47" s="265" t="s">
        <v>1080</v>
      </c>
      <c r="B47" s="219">
        <f ref="B47:G47" si="19" t="shared">B44/B46</f>
        <v>0.57879041946587251</v>
      </c>
      <c r="C47" s="219">
        <f si="19" t="shared"/>
        <v>1.0089677304907794</v>
      </c>
      <c r="D47" s="219">
        <f si="19" t="shared"/>
        <v>1.0429630963905248</v>
      </c>
      <c r="E47" s="219">
        <f si="19" t="shared"/>
        <v>1.0875345860163903</v>
      </c>
      <c r="F47" s="219" t="e">
        <f si="19" t="shared"/>
        <v>#DIV/0!</v>
      </c>
      <c r="G47" s="219">
        <f si="19" t="shared"/>
        <v>1.0357250180470827</v>
      </c>
      <c r="H47" s="219"/>
      <c r="M47" s="265" t="s">
        <v>1080</v>
      </c>
      <c r="N47" s="219">
        <f ref="N47:S47" si="20" t="shared">N44/N46</f>
        <v>0.64097029279760631</v>
      </c>
      <c r="O47" s="219">
        <f si="20" t="shared"/>
        <v>0.81848665083488403</v>
      </c>
      <c r="P47" s="219">
        <f si="20" t="shared"/>
        <v>0.9586204493720869</v>
      </c>
      <c r="Q47" s="219">
        <f si="20" t="shared"/>
        <v>1.0355552134082635</v>
      </c>
      <c r="R47" s="219" t="e">
        <f si="20" t="shared"/>
        <v>#REF!</v>
      </c>
      <c r="S47" s="219">
        <f si="20" t="shared"/>
        <v>0.96369469706793176</v>
      </c>
      <c r="T47" s="219"/>
      <c r="Y47" s="265" t="s">
        <v>1080</v>
      </c>
      <c r="Z47" s="219">
        <f si="18" t="shared"/>
        <v>6.2179873331733804E-2</v>
      </c>
      <c r="AA47" s="219">
        <f si="18" t="shared"/>
        <v>-0.19048107965589534</v>
      </c>
      <c r="AB47" s="219">
        <f si="18" t="shared"/>
        <v>-8.4342647018437855E-2</v>
      </c>
      <c r="AC47" s="219">
        <f si="18" t="shared"/>
        <v>-5.1979372608126795E-2</v>
      </c>
      <c r="AD47" s="219"/>
      <c r="AE47" s="219">
        <f>S47-G47</f>
        <v>-7.2030320979150964E-2</v>
      </c>
      <c r="AF47" s="219"/>
    </row>
    <row customHeight="1" ht="13.15" r="49" spans="1:32" x14ac:dyDescent="0.2">
      <c r="A49" s="264" t="s">
        <v>41</v>
      </c>
      <c r="M49" s="264" t="s">
        <v>41</v>
      </c>
      <c r="Y49" s="264" t="s">
        <v>41</v>
      </c>
    </row>
    <row customHeight="1" ht="13.15" r="50" spans="1:32" x14ac:dyDescent="0.2">
      <c r="A50" s="264" t="s">
        <v>1087</v>
      </c>
      <c r="M50" s="264" t="s">
        <v>1088</v>
      </c>
      <c r="Y50" s="264" t="s">
        <v>1089</v>
      </c>
    </row>
    <row customHeight="1" ht="13.15" r="51" spans="1:32" thickBot="1" x14ac:dyDescent="0.25">
      <c r="B51" s="13"/>
      <c r="C51" s="13"/>
      <c r="D51" s="13"/>
      <c r="E51" s="13"/>
      <c r="F51" s="13"/>
      <c r="G51" s="13"/>
      <c r="N51" s="13"/>
      <c r="O51" s="13"/>
      <c r="P51" s="13"/>
      <c r="Q51" s="13"/>
      <c r="R51" s="13"/>
      <c r="S51" s="13"/>
      <c r="Z51" s="13"/>
      <c r="AA51" s="13"/>
      <c r="AB51" s="13"/>
      <c r="AC51" s="13"/>
      <c r="AD51" s="13"/>
      <c r="AE51" s="13"/>
    </row>
    <row customHeight="1" ht="13.15" r="52" spans="1:32" x14ac:dyDescent="0.2">
      <c r="A52" s="3" t="s">
        <v>37</v>
      </c>
      <c r="B52" s="4" t="s">
        <v>182</v>
      </c>
      <c r="C52" s="4" t="s">
        <v>183</v>
      </c>
      <c r="D52" s="4" t="s">
        <v>184</v>
      </c>
      <c r="E52" s="4" t="s">
        <v>185</v>
      </c>
      <c r="F52" s="4" t="s">
        <v>186</v>
      </c>
      <c r="G52" s="4" t="s">
        <v>4</v>
      </c>
      <c r="H52" s="52"/>
      <c r="M52" s="3" t="s">
        <v>37</v>
      </c>
      <c r="N52" s="4" t="s">
        <v>182</v>
      </c>
      <c r="O52" s="4" t="s">
        <v>183</v>
      </c>
      <c r="P52" s="4" t="s">
        <v>184</v>
      </c>
      <c r="Q52" s="4" t="s">
        <v>185</v>
      </c>
      <c r="R52" s="4" t="s">
        <v>186</v>
      </c>
      <c r="S52" s="4" t="s">
        <v>4</v>
      </c>
      <c r="T52" s="52"/>
      <c r="Y52" s="3" t="s">
        <v>37</v>
      </c>
      <c r="Z52" s="4" t="s">
        <v>182</v>
      </c>
      <c r="AA52" s="4" t="s">
        <v>183</v>
      </c>
      <c r="AB52" s="4" t="s">
        <v>184</v>
      </c>
      <c r="AC52" s="4" t="s">
        <v>185</v>
      </c>
      <c r="AD52" s="4" t="s">
        <v>186</v>
      </c>
      <c r="AE52" s="4" t="s">
        <v>4</v>
      </c>
      <c r="AF52" s="52"/>
    </row>
    <row r="53" spans="1:32" x14ac:dyDescent="0.2">
      <c r="A53" s="265" t="s">
        <v>23</v>
      </c>
      <c r="B53" s="10">
        <f ref="B53:G60" si="21" t="shared">B37/B$44</f>
        <v>4.33922271339615E-2</v>
      </c>
      <c r="C53" s="10">
        <f si="21" t="shared"/>
        <v>0.11171739374937027</v>
      </c>
      <c r="D53" s="10">
        <f si="21" t="shared"/>
        <v>8.7525902521967541E-2</v>
      </c>
      <c r="E53" s="10">
        <f si="21" t="shared"/>
        <v>0.10139241674953213</v>
      </c>
      <c r="F53" s="10" t="e">
        <f si="21" t="shared"/>
        <v>#DIV/0!</v>
      </c>
      <c r="G53" s="10">
        <f si="21" t="shared"/>
        <v>0.10009838332564196</v>
      </c>
      <c r="H53" s="10"/>
      <c r="M53" s="265" t="s">
        <v>23</v>
      </c>
      <c r="N53" s="10">
        <f ref="N53:S60" si="22" t="shared">N37/N$44</f>
        <v>4.0778900336767697E-2</v>
      </c>
      <c r="O53" s="10">
        <f si="22" t="shared"/>
        <v>8.074400236047119E-2</v>
      </c>
      <c r="P53" s="10">
        <f si="22" t="shared"/>
        <v>9.4226396959943781E-2</v>
      </c>
      <c r="Q53" s="10">
        <f si="22" t="shared"/>
        <v>0.10572293848190707</v>
      </c>
      <c r="R53" s="10" t="e">
        <f si="22" t="shared"/>
        <v>#DIV/0!</v>
      </c>
      <c r="S53" s="10">
        <f si="22" t="shared"/>
        <v>9.7881376596958586E-2</v>
      </c>
      <c r="T53" s="10"/>
      <c r="Y53" s="265" t="s">
        <v>23</v>
      </c>
      <c r="Z53" s="10">
        <f ref="Z53:AC60" si="23" t="shared">N53-B53</f>
        <v>-2.6133267971938032E-3</v>
      </c>
      <c r="AA53" s="10">
        <f si="23" t="shared"/>
        <v>-3.0973391388899082E-2</v>
      </c>
      <c r="AB53" s="10">
        <f si="23" t="shared"/>
        <v>6.7004944379762399E-3</v>
      </c>
      <c r="AC53" s="10">
        <f si="23" t="shared"/>
        <v>4.3305217323749423E-3</v>
      </c>
      <c r="AD53" s="10"/>
      <c r="AE53" s="10">
        <f ref="AE53:AE60" si="24" t="shared">S53-G53</f>
        <v>-2.2170067286833711E-3</v>
      </c>
      <c r="AF53" s="10"/>
    </row>
    <row r="54" spans="1:32" x14ac:dyDescent="0.2">
      <c r="A54" s="265" t="s">
        <v>24</v>
      </c>
      <c r="B54" s="10">
        <f si="21" t="shared"/>
        <v>1.3698412637249262E-2</v>
      </c>
      <c r="C54" s="10">
        <f si="21" t="shared"/>
        <v>8.6292315427071165E-3</v>
      </c>
      <c r="D54" s="10">
        <f si="21" t="shared"/>
        <v>1.2659505928156286E-2</v>
      </c>
      <c r="E54" s="10">
        <f si="21" t="shared"/>
        <v>1.2148696853474531E-2</v>
      </c>
      <c r="F54" s="10" t="e">
        <f si="21" t="shared"/>
        <v>#DIV/0!</v>
      </c>
      <c r="G54" s="10">
        <f si="21" t="shared"/>
        <v>1.12536696828376E-2</v>
      </c>
      <c r="H54" s="10"/>
      <c r="M54" s="265" t="s">
        <v>24</v>
      </c>
      <c r="N54" s="10">
        <f si="22" t="shared"/>
        <v>2.5240905605014838E-2</v>
      </c>
      <c r="O54" s="10">
        <f si="22" t="shared"/>
        <v>2.2848150585956708E-2</v>
      </c>
      <c r="P54" s="10">
        <f si="22" t="shared"/>
        <v>1.7825196767719192E-2</v>
      </c>
      <c r="Q54" s="10">
        <f si="22" t="shared"/>
        <v>2.1359465601835135E-2</v>
      </c>
      <c r="R54" s="10" t="e">
        <f si="22" t="shared"/>
        <v>#DIV/0!</v>
      </c>
      <c r="S54" s="10">
        <f si="22" t="shared"/>
        <v>2.1213262534321792E-2</v>
      </c>
      <c r="T54" s="10"/>
      <c r="Y54" s="265" t="s">
        <v>24</v>
      </c>
      <c r="Z54" s="10">
        <f si="23" t="shared"/>
        <v>1.1542492967765576E-2</v>
      </c>
      <c r="AA54" s="10">
        <f si="23" t="shared"/>
        <v>1.4218919043249591E-2</v>
      </c>
      <c r="AB54" s="10">
        <f si="23" t="shared"/>
        <v>5.1656908395629059E-3</v>
      </c>
      <c r="AC54" s="10">
        <f si="23" t="shared"/>
        <v>9.2107687483606038E-3</v>
      </c>
      <c r="AD54" s="10"/>
      <c r="AE54" s="10">
        <f si="24" t="shared"/>
        <v>9.9595928514841919E-3</v>
      </c>
      <c r="AF54" s="10"/>
    </row>
    <row r="55" spans="1:32" x14ac:dyDescent="0.2">
      <c r="A55" s="265" t="s">
        <v>25</v>
      </c>
      <c r="B55" s="10">
        <f si="21" t="shared"/>
        <v>0.29202546527612083</v>
      </c>
      <c r="C55" s="10">
        <f si="21" t="shared"/>
        <v>0.1227374516154101</v>
      </c>
      <c r="D55" s="10">
        <f si="21" t="shared"/>
        <v>0.14092271923726435</v>
      </c>
      <c r="E55" s="10">
        <f si="21" t="shared"/>
        <v>0.19141681194687607</v>
      </c>
      <c r="F55" s="10" t="e">
        <f si="21" t="shared"/>
        <v>#DIV/0!</v>
      </c>
      <c r="G55" s="10">
        <f si="21" t="shared"/>
        <v>0.16117847706050195</v>
      </c>
      <c r="H55" s="10"/>
      <c r="M55" s="265" t="s">
        <v>25</v>
      </c>
      <c r="N55" s="10">
        <f si="22" t="shared"/>
        <v>0.11151678836984429</v>
      </c>
      <c r="O55" s="10">
        <f si="22" t="shared"/>
        <v>0.11317400152825378</v>
      </c>
      <c r="P55" s="10">
        <f si="22" t="shared"/>
        <v>0.11030299603839645</v>
      </c>
      <c r="Q55" s="10">
        <f si="22" t="shared"/>
        <v>0.12931348810206522</v>
      </c>
      <c r="R55" s="10" t="e">
        <f si="22" t="shared"/>
        <v>#DIV/0!</v>
      </c>
      <c r="S55" s="10">
        <f si="22" t="shared"/>
        <v>0.12341332399478938</v>
      </c>
      <c r="T55" s="10"/>
      <c r="Y55" s="265" t="s">
        <v>25</v>
      </c>
      <c r="Z55" s="10">
        <f si="23" t="shared"/>
        <v>-0.18050867690627653</v>
      </c>
      <c r="AA55" s="10">
        <f si="23" t="shared"/>
        <v>-9.5634500871563111E-3</v>
      </c>
      <c r="AB55" s="10">
        <f si="23" t="shared"/>
        <v>-3.0619723198867896E-2</v>
      </c>
      <c r="AC55" s="10">
        <f si="23" t="shared"/>
        <v>-6.2103323844810848E-2</v>
      </c>
      <c r="AD55" s="10"/>
      <c r="AE55" s="10">
        <f si="24" t="shared"/>
        <v>-3.776515306571257E-2</v>
      </c>
      <c r="AF55" s="10"/>
    </row>
    <row r="56" spans="1:32" x14ac:dyDescent="0.2">
      <c r="A56" s="265" t="s">
        <v>26</v>
      </c>
      <c r="B56" s="10">
        <f si="21" t="shared"/>
        <v>0.28002675197180554</v>
      </c>
      <c r="C56" s="10">
        <f si="21" t="shared"/>
        <v>0.32233111137506187</v>
      </c>
      <c r="D56" s="10">
        <f si="21" t="shared"/>
        <v>0.32333881993934516</v>
      </c>
      <c r="E56" s="10">
        <f si="21" t="shared"/>
        <v>0.27391833006913791</v>
      </c>
      <c r="F56" s="10" t="e">
        <f si="21" t="shared"/>
        <v>#DIV/0!</v>
      </c>
      <c r="G56" s="10">
        <f si="21" t="shared"/>
        <v>0.29994839582070032</v>
      </c>
      <c r="H56" s="10"/>
      <c r="M56" s="265" t="s">
        <v>26</v>
      </c>
      <c r="N56" s="10">
        <f si="22" t="shared"/>
        <v>0.32006268547230837</v>
      </c>
      <c r="O56" s="10">
        <f si="22" t="shared"/>
        <v>0.29566036451122357</v>
      </c>
      <c r="P56" s="10">
        <f si="22" t="shared"/>
        <v>0.28255400259260904</v>
      </c>
      <c r="Q56" s="10">
        <f si="22" t="shared"/>
        <v>0.2661087629121443</v>
      </c>
      <c r="R56" s="10" t="e">
        <f si="22" t="shared"/>
        <v>#DIV/0!</v>
      </c>
      <c r="S56" s="10">
        <f si="22" t="shared"/>
        <v>0.27499328694223596</v>
      </c>
      <c r="T56" s="10"/>
      <c r="Y56" s="265" t="s">
        <v>26</v>
      </c>
      <c r="Z56" s="10">
        <f si="23" t="shared"/>
        <v>4.0035933500502829E-2</v>
      </c>
      <c r="AA56" s="10">
        <f si="23" t="shared"/>
        <v>-2.6670746863838302E-2</v>
      </c>
      <c r="AB56" s="10">
        <f si="23" t="shared"/>
        <v>-4.0784817346736113E-2</v>
      </c>
      <c r="AC56" s="10">
        <f si="23" t="shared"/>
        <v>-7.809567156993602E-3</v>
      </c>
      <c r="AD56" s="10"/>
      <c r="AE56" s="10">
        <f si="24" t="shared"/>
        <v>-2.495510887846436E-2</v>
      </c>
      <c r="AF56" s="10"/>
    </row>
    <row r="57" spans="1:32" x14ac:dyDescent="0.2">
      <c r="A57" s="265" t="s">
        <v>27</v>
      </c>
      <c r="B57" s="10">
        <f si="21" t="shared"/>
        <v>0.22344802513682574</v>
      </c>
      <c r="C57" s="10">
        <f si="21" t="shared"/>
        <v>0.23537749027587138</v>
      </c>
      <c r="D57" s="10">
        <f si="21" t="shared"/>
        <v>0.22867149140581336</v>
      </c>
      <c r="E57" s="10">
        <f si="21" t="shared"/>
        <v>0.17738189032216031</v>
      </c>
      <c r="F57" s="10" t="e">
        <f si="21" t="shared"/>
        <v>#DIV/0!</v>
      </c>
      <c r="G57" s="10">
        <f si="21" t="shared"/>
        <v>0.20746171990550558</v>
      </c>
      <c r="H57" s="10"/>
      <c r="M57" s="265" t="s">
        <v>27</v>
      </c>
      <c r="N57" s="10">
        <f si="22" t="shared"/>
        <v>0.26374579040378782</v>
      </c>
      <c r="O57" s="10">
        <f si="22" t="shared"/>
        <v>0.22929102642668542</v>
      </c>
      <c r="P57" s="10">
        <f si="22" t="shared"/>
        <v>0.21252932838503072</v>
      </c>
      <c r="Q57" s="10">
        <f si="22" t="shared"/>
        <v>0.18231965477935189</v>
      </c>
      <c r="R57" s="10" t="e">
        <f si="22" t="shared"/>
        <v>#DIV/0!</v>
      </c>
      <c r="S57" s="10">
        <f si="22" t="shared"/>
        <v>0.19688091064905427</v>
      </c>
      <c r="T57" s="10"/>
      <c r="Y57" s="265" t="s">
        <v>27</v>
      </c>
      <c r="Z57" s="10">
        <f si="23" t="shared"/>
        <v>4.0297765266962077E-2</v>
      </c>
      <c r="AA57" s="10">
        <f si="23" t="shared"/>
        <v>-6.086463849185958E-3</v>
      </c>
      <c r="AB57" s="10">
        <f si="23" t="shared"/>
        <v>-1.6142163020782641E-2</v>
      </c>
      <c r="AC57" s="10">
        <f si="23" t="shared"/>
        <v>4.9377644571915735E-3</v>
      </c>
      <c r="AD57" s="10"/>
      <c r="AE57" s="10">
        <f si="24" t="shared"/>
        <v>-1.0580809256451301E-2</v>
      </c>
      <c r="AF57" s="10"/>
    </row>
    <row r="58" spans="1:32" x14ac:dyDescent="0.2">
      <c r="A58" s="265" t="s">
        <v>28</v>
      </c>
      <c r="B58" s="10">
        <f si="21" t="shared"/>
        <v>4.4851595316786286E-2</v>
      </c>
      <c r="C58" s="10">
        <f si="21" t="shared"/>
        <v>0.10657129922743401</v>
      </c>
      <c r="D58" s="10">
        <f si="21" t="shared"/>
        <v>0.10616096142654041</v>
      </c>
      <c r="E58" s="10">
        <f si="21" t="shared"/>
        <v>0.12468256866168813</v>
      </c>
      <c r="F58" s="10" t="e">
        <f si="21" t="shared"/>
        <v>#DIV/0!</v>
      </c>
      <c r="G58" s="10">
        <f si="21" t="shared"/>
        <v>0.11344306663664408</v>
      </c>
      <c r="H58" s="10"/>
      <c r="M58" s="265" t="s">
        <v>28</v>
      </c>
      <c r="N58" s="10">
        <f si="22" t="shared"/>
        <v>0.13447367543596411</v>
      </c>
      <c r="O58" s="10">
        <f si="22" t="shared"/>
        <v>0.14758619124355976</v>
      </c>
      <c r="P58" s="10">
        <f si="22" t="shared"/>
        <v>0.16972704915053691</v>
      </c>
      <c r="Q58" s="10">
        <f si="22" t="shared"/>
        <v>0.16512145734655878</v>
      </c>
      <c r="R58" s="10" t="e">
        <f si="22" t="shared"/>
        <v>#DIV/0!</v>
      </c>
      <c r="S58" s="10">
        <f si="22" t="shared"/>
        <v>0.16198769968041732</v>
      </c>
      <c r="T58" s="10"/>
      <c r="Y58" s="265" t="s">
        <v>28</v>
      </c>
      <c r="Z58" s="10">
        <f si="23" t="shared"/>
        <v>8.9622080119177827E-2</v>
      </c>
      <c r="AA58" s="10">
        <f si="23" t="shared"/>
        <v>4.1014892016125751E-2</v>
      </c>
      <c r="AB58" s="10">
        <f si="23" t="shared"/>
        <v>6.3566087723996495E-2</v>
      </c>
      <c r="AC58" s="10">
        <f si="23" t="shared"/>
        <v>4.0438888684870652E-2</v>
      </c>
      <c r="AD58" s="10"/>
      <c r="AE58" s="10">
        <f si="24" t="shared"/>
        <v>4.8544633043773239E-2</v>
      </c>
      <c r="AF58" s="10"/>
    </row>
    <row r="59" spans="1:32" x14ac:dyDescent="0.2">
      <c r="A59" s="265" t="s">
        <v>29</v>
      </c>
      <c r="B59" s="11">
        <f si="21" t="shared"/>
        <v>0.10255752252725081</v>
      </c>
      <c r="C59" s="11">
        <f si="21" t="shared"/>
        <v>9.2636022214145242E-2</v>
      </c>
      <c r="D59" s="11">
        <f si="21" t="shared"/>
        <v>0.10072059954091288</v>
      </c>
      <c r="E59" s="11">
        <f si="21" t="shared"/>
        <v>0.1190592853971308</v>
      </c>
      <c r="F59" s="11" t="e">
        <f si="21" t="shared"/>
        <v>#DIV/0!</v>
      </c>
      <c r="G59" s="11">
        <f si="21" t="shared"/>
        <v>0.10661628756816856</v>
      </c>
      <c r="H59" s="10"/>
      <c r="M59" s="265" t="s">
        <v>29</v>
      </c>
      <c r="N59" s="11">
        <f si="22" t="shared"/>
        <v>0.1041812543763129</v>
      </c>
      <c r="O59" s="11">
        <f si="22" t="shared"/>
        <v>0.11069626334384954</v>
      </c>
      <c r="P59" s="11">
        <f si="22" t="shared"/>
        <v>0.11283503010576391</v>
      </c>
      <c r="Q59" s="11">
        <f si="22" t="shared"/>
        <v>0.13005423277613759</v>
      </c>
      <c r="R59" s="11" t="e">
        <f si="22" t="shared"/>
        <v>#DIV/0!</v>
      </c>
      <c r="S59" s="11">
        <f si="22" t="shared"/>
        <v>0.12363013960222269</v>
      </c>
      <c r="T59" s="10"/>
      <c r="Y59" s="265" t="s">
        <v>29</v>
      </c>
      <c r="Z59" s="10">
        <f si="23" t="shared"/>
        <v>1.6237318490620878E-3</v>
      </c>
      <c r="AA59" s="10">
        <f si="23" t="shared"/>
        <v>1.8060241129704294E-2</v>
      </c>
      <c r="AB59" s="10">
        <f si="23" t="shared"/>
        <v>1.2114430564851036E-2</v>
      </c>
      <c r="AC59" s="10">
        <f si="23" t="shared"/>
        <v>1.0994947379006789E-2</v>
      </c>
      <c r="AD59" s="10"/>
      <c r="AE59" s="10">
        <f si="24" t="shared"/>
        <v>1.701385203405413E-2</v>
      </c>
      <c r="AF59" s="10"/>
    </row>
    <row customHeight="1" ht="13.15" r="60" spans="1:32" thickBot="1" x14ac:dyDescent="0.25">
      <c r="A60" s="8" t="s">
        <v>4</v>
      </c>
      <c r="B60" s="15">
        <f si="21" t="shared"/>
        <v>1</v>
      </c>
      <c r="C60" s="15">
        <f si="21" t="shared"/>
        <v>1</v>
      </c>
      <c r="D60" s="15">
        <f si="21" t="shared"/>
        <v>1</v>
      </c>
      <c r="E60" s="15">
        <f si="21" t="shared"/>
        <v>1</v>
      </c>
      <c r="F60" s="15" t="e">
        <f si="21" t="shared"/>
        <v>#DIV/0!</v>
      </c>
      <c r="G60" s="15">
        <f si="21" t="shared"/>
        <v>1</v>
      </c>
      <c r="H60" s="10"/>
      <c r="M60" s="8" t="s">
        <v>4</v>
      </c>
      <c r="N60" s="15">
        <f si="22" t="shared"/>
        <v>1</v>
      </c>
      <c r="O60" s="15">
        <f si="22" t="shared"/>
        <v>1</v>
      </c>
      <c r="P60" s="15">
        <f si="22" t="shared"/>
        <v>1</v>
      </c>
      <c r="Q60" s="15">
        <f si="22" t="shared"/>
        <v>1</v>
      </c>
      <c r="R60" s="15" t="e">
        <f si="22" t="shared"/>
        <v>#DIV/0!</v>
      </c>
      <c r="S60" s="15">
        <f si="22" t="shared"/>
        <v>1</v>
      </c>
      <c r="T60" s="10"/>
      <c r="Y60" s="8" t="s">
        <v>4</v>
      </c>
      <c r="Z60" s="12">
        <f si="23" t="shared"/>
        <v>0</v>
      </c>
      <c r="AA60" s="12">
        <f si="23" t="shared"/>
        <v>0</v>
      </c>
      <c r="AB60" s="12">
        <f si="23" t="shared"/>
        <v>0</v>
      </c>
      <c r="AC60" s="12">
        <f si="23" t="shared"/>
        <v>0</v>
      </c>
      <c r="AD60" s="12"/>
      <c r="AE60" s="12">
        <f si="24" t="shared"/>
        <v>0</v>
      </c>
      <c r="AF60" s="10"/>
    </row>
    <row customHeight="1" ht="13.15" r="65" spans="1:30" x14ac:dyDescent="0.2">
      <c r="A65" s="264" t="s">
        <v>41</v>
      </c>
      <c r="M65" s="264" t="s">
        <v>41</v>
      </c>
      <c r="Y65" s="264" t="s">
        <v>41</v>
      </c>
    </row>
    <row customHeight="1" ht="13.15" r="66" spans="1:30" x14ac:dyDescent="0.2">
      <c r="A66" s="264" t="s">
        <v>1090</v>
      </c>
      <c r="M66" s="264" t="s">
        <v>1091</v>
      </c>
      <c r="Y66" s="264" t="s">
        <v>1092</v>
      </c>
    </row>
    <row customHeight="1" ht="13.15" r="67" spans="1:30" thickBot="1" x14ac:dyDescent="0.25">
      <c r="B67" s="13"/>
      <c r="C67" s="13"/>
      <c r="D67" s="13"/>
      <c r="E67" s="13"/>
      <c r="F67" s="13"/>
      <c r="N67" s="13"/>
      <c r="O67" s="13"/>
      <c r="P67" s="13"/>
      <c r="Q67" s="13"/>
      <c r="R67" s="13"/>
      <c r="Z67" s="13"/>
      <c r="AA67" s="13"/>
      <c r="AB67" s="13"/>
      <c r="AC67" s="13"/>
      <c r="AD67" s="13"/>
    </row>
    <row customHeight="1" ht="13.15" r="68" spans="1:30" x14ac:dyDescent="0.2">
      <c r="A68" s="3" t="s">
        <v>37</v>
      </c>
      <c r="B68" s="4" t="s">
        <v>193</v>
      </c>
      <c r="C68" s="4" t="s">
        <v>194</v>
      </c>
      <c r="D68" s="4" t="s">
        <v>195</v>
      </c>
      <c r="E68" s="4" t="s">
        <v>196</v>
      </c>
      <c r="F68" s="4" t="s">
        <v>4</v>
      </c>
      <c r="M68" s="3" t="s">
        <v>37</v>
      </c>
      <c r="N68" s="4" t="s">
        <v>193</v>
      </c>
      <c r="O68" s="4" t="s">
        <v>194</v>
      </c>
      <c r="P68" s="4" t="s">
        <v>195</v>
      </c>
      <c r="Q68" s="4" t="s">
        <v>196</v>
      </c>
      <c r="R68" s="4" t="s">
        <v>4</v>
      </c>
      <c r="Y68" s="3" t="s">
        <v>37</v>
      </c>
      <c r="Z68" s="4" t="s">
        <v>193</v>
      </c>
      <c r="AA68" s="4" t="s">
        <v>194</v>
      </c>
      <c r="AB68" s="4" t="s">
        <v>195</v>
      </c>
      <c r="AC68" s="4" t="s">
        <v>196</v>
      </c>
      <c r="AD68" s="4" t="s">
        <v>4</v>
      </c>
    </row>
    <row r="69" spans="1:30" x14ac:dyDescent="0.2">
      <c r="A69" s="265" t="s">
        <v>23</v>
      </c>
      <c r="B69" s="5">
        <f>output_NHTS!B242</f>
        <v>599.22778112646859</v>
      </c>
      <c r="C69" s="5">
        <f>output_NHTS!C242</f>
        <v>32133.259850556715</v>
      </c>
      <c r="D69" s="5">
        <f>output_NHTS!D242</f>
        <v>98941.054862678386</v>
      </c>
      <c r="E69" s="5">
        <f>output_NHTS!E242</f>
        <v>41841.296039438246</v>
      </c>
      <c r="F69" s="5">
        <f>output_NHTS!F242</f>
        <v>173514.83853379983</v>
      </c>
      <c r="M69" s="265" t="s">
        <v>23</v>
      </c>
      <c r="N69" s="5">
        <f>output!B242</f>
        <v>1586</v>
      </c>
      <c r="O69" s="5">
        <f>output!C242</f>
        <v>21533</v>
      </c>
      <c r="P69" s="5">
        <f>output!D242</f>
        <v>108232</v>
      </c>
      <c r="Q69" s="5">
        <f>output!E242</f>
        <v>35252</v>
      </c>
      <c r="R69" s="5">
        <f>output!F242</f>
        <v>166603</v>
      </c>
      <c r="Y69" s="265" t="s">
        <v>23</v>
      </c>
      <c r="Z69" s="5">
        <f ref="Z69:AD76" si="25" t="shared">N69-B69</f>
        <v>986.77221887353141</v>
      </c>
      <c r="AA69" s="5">
        <f si="25" t="shared"/>
        <v>-10600.259850556715</v>
      </c>
      <c r="AB69" s="5">
        <f si="25" t="shared"/>
        <v>9290.9451373216143</v>
      </c>
      <c r="AC69" s="5">
        <f si="25" t="shared"/>
        <v>-6589.2960394382462</v>
      </c>
      <c r="AD69" s="5">
        <f si="25" t="shared"/>
        <v>-6911.8385337998334</v>
      </c>
    </row>
    <row r="70" spans="1:30" x14ac:dyDescent="0.2">
      <c r="A70" s="265" t="s">
        <v>24</v>
      </c>
      <c r="B70" s="5">
        <f>output_NHTS!B243</f>
        <v>481.25122114767953</v>
      </c>
      <c r="C70" s="5">
        <f>output_NHTS!C243</f>
        <v>6188.0592333361146</v>
      </c>
      <c r="D70" s="5">
        <f>output_NHTS!D243</f>
        <v>10047.951499933515</v>
      </c>
      <c r="E70" s="5">
        <f>output_NHTS!E243</f>
        <v>3138.3776782293826</v>
      </c>
      <c r="F70" s="5">
        <f>output_NHTS!F243</f>
        <v>19855.639632646693</v>
      </c>
      <c r="M70" s="265" t="s">
        <v>24</v>
      </c>
      <c r="N70" s="5">
        <f>output!B243</f>
        <v>497</v>
      </c>
      <c r="O70" s="5">
        <f>output!C243</f>
        <v>6890</v>
      </c>
      <c r="P70" s="5">
        <f>output!D243</f>
        <v>22394</v>
      </c>
      <c r="Q70" s="5">
        <f>output!E243</f>
        <v>6323</v>
      </c>
      <c r="R70" s="5">
        <f>output!F243</f>
        <v>36104</v>
      </c>
      <c r="Y70" s="265" t="s">
        <v>24</v>
      </c>
      <c r="Z70" s="5">
        <f si="25" t="shared"/>
        <v>15.74877885232047</v>
      </c>
      <c r="AA70" s="5">
        <f si="25" t="shared"/>
        <v>701.94076666388537</v>
      </c>
      <c r="AB70" s="5">
        <f si="25" t="shared"/>
        <v>12346.048500066485</v>
      </c>
      <c r="AC70" s="5">
        <f si="25" t="shared"/>
        <v>3184.6223217706174</v>
      </c>
      <c r="AD70" s="5">
        <f si="25" t="shared"/>
        <v>16248.360367353307</v>
      </c>
    </row>
    <row r="71" spans="1:30" x14ac:dyDescent="0.2">
      <c r="A71" s="265" t="s">
        <v>25</v>
      </c>
      <c r="B71" s="5">
        <f>output_NHTS!B244</f>
        <v>245.0366375749249</v>
      </c>
      <c r="C71" s="5">
        <f>output_NHTS!C244</f>
        <v>47520.956653070272</v>
      </c>
      <c r="D71" s="5">
        <f>output_NHTS!D244</f>
        <v>174278.06357616762</v>
      </c>
      <c r="E71" s="5">
        <f>output_NHTS!E244</f>
        <v>66431.14327075881</v>
      </c>
      <c r="F71" s="5">
        <f>output_NHTS!F244</f>
        <v>288475.20013757161</v>
      </c>
      <c r="M71" s="265" t="s">
        <v>25</v>
      </c>
      <c r="N71" s="5">
        <f>output!B244</f>
        <v>4341</v>
      </c>
      <c r="O71" s="5">
        <f>output!C244</f>
        <v>34155</v>
      </c>
      <c r="P71" s="5">
        <f>output!D244</f>
        <v>132027</v>
      </c>
      <c r="Q71" s="5">
        <f>output!E244</f>
        <v>39535</v>
      </c>
      <c r="R71" s="5">
        <f>output!F244</f>
        <v>210058</v>
      </c>
      <c r="Y71" s="265" t="s">
        <v>25</v>
      </c>
      <c r="Z71" s="5">
        <f si="25" t="shared"/>
        <v>4095.963362425075</v>
      </c>
      <c r="AA71" s="5">
        <f si="25" t="shared"/>
        <v>-13365.956653070272</v>
      </c>
      <c r="AB71" s="5">
        <f si="25" t="shared"/>
        <v>-42251.063576167624</v>
      </c>
      <c r="AC71" s="5">
        <f si="25" t="shared"/>
        <v>-26896.14327075881</v>
      </c>
      <c r="AD71" s="5">
        <f si="25" t="shared"/>
        <v>-78417.200137571606</v>
      </c>
    </row>
    <row r="72" spans="1:30" x14ac:dyDescent="0.2">
      <c r="A72" s="265" t="s">
        <v>26</v>
      </c>
      <c r="B72" s="5">
        <f>output_NHTS!B245</f>
        <v>8199.868621274054</v>
      </c>
      <c r="C72" s="5">
        <f>output_NHTS!C245</f>
        <v>69063.186262997697</v>
      </c>
      <c r="D72" s="5">
        <f>output_NHTS!D245</f>
        <v>331076.85081615159</v>
      </c>
      <c r="E72" s="5">
        <f>output_NHTS!E245</f>
        <v>131730.94912788444</v>
      </c>
      <c r="F72" s="5">
        <f>output_NHTS!F245</f>
        <v>540070.85482830775</v>
      </c>
      <c r="M72" s="265" t="s">
        <v>26</v>
      </c>
      <c r="N72" s="5">
        <f>output!B245</f>
        <v>11482</v>
      </c>
      <c r="O72" s="5">
        <f>output!C245</f>
        <v>72322</v>
      </c>
      <c r="P72" s="5">
        <f>output!D245</f>
        <v>295402</v>
      </c>
      <c r="Q72" s="5">
        <f>output!E245</f>
        <v>88870</v>
      </c>
      <c r="R72" s="5">
        <f>output!F245</f>
        <v>468076</v>
      </c>
      <c r="Y72" s="265" t="s">
        <v>26</v>
      </c>
      <c r="Z72" s="5">
        <f si="25" t="shared"/>
        <v>3282.131378725946</v>
      </c>
      <c r="AA72" s="5">
        <f si="25" t="shared"/>
        <v>3258.8137370023032</v>
      </c>
      <c r="AB72" s="5">
        <f si="25" t="shared"/>
        <v>-35674.850816151593</v>
      </c>
      <c r="AC72" s="5">
        <f si="25" t="shared"/>
        <v>-42860.949127884436</v>
      </c>
      <c r="AD72" s="5">
        <f si="25" t="shared"/>
        <v>-71994.854828307754</v>
      </c>
    </row>
    <row r="73" spans="1:30" x14ac:dyDescent="0.2">
      <c r="A73" s="265" t="s">
        <v>27</v>
      </c>
      <c r="B73" s="5">
        <f>output_NHTS!B246</f>
        <v>6312.8747006882295</v>
      </c>
      <c r="C73" s="5">
        <f>output_NHTS!C246</f>
        <v>65063.938704572225</v>
      </c>
      <c r="D73" s="5">
        <f>output_NHTS!D246</f>
        <v>227862.59358356692</v>
      </c>
      <c r="E73" s="5">
        <f>output_NHTS!E246</f>
        <v>77973.101827234321</v>
      </c>
      <c r="F73" s="5">
        <f>output_NHTS!F246</f>
        <v>377212.50881606172</v>
      </c>
      <c r="M73" s="265" t="s">
        <v>27</v>
      </c>
      <c r="N73" s="5">
        <f>output!B246</f>
        <v>8767</v>
      </c>
      <c r="O73" s="5">
        <f>output!C246</f>
        <v>50027</v>
      </c>
      <c r="P73" s="5">
        <f>output!D246</f>
        <v>212772</v>
      </c>
      <c r="Q73" s="5">
        <f>output!E246</f>
        <v>63555</v>
      </c>
      <c r="R73" s="5">
        <f>output!F246</f>
        <v>335121</v>
      </c>
      <c r="Y73" s="265" t="s">
        <v>27</v>
      </c>
      <c r="Z73" s="5">
        <f si="25" t="shared"/>
        <v>2454.1252993117705</v>
      </c>
      <c r="AA73" s="5">
        <f si="25" t="shared"/>
        <v>-15036.938704572225</v>
      </c>
      <c r="AB73" s="5">
        <f si="25" t="shared"/>
        <v>-15090.593583566922</v>
      </c>
      <c r="AC73" s="5">
        <f si="25" t="shared"/>
        <v>-14418.101827234321</v>
      </c>
      <c r="AD73" s="5">
        <f si="25" t="shared"/>
        <v>-42091.508816061716</v>
      </c>
    </row>
    <row r="74" spans="1:30" x14ac:dyDescent="0.2">
      <c r="A74" s="265" t="s">
        <v>28</v>
      </c>
      <c r="B74" s="5">
        <f>output_NHTS!B247</f>
        <v>2374.6350037685506</v>
      </c>
      <c r="C74" s="5">
        <f>output_NHTS!C247</f>
        <v>26986.058232582716</v>
      </c>
      <c r="D74" s="5">
        <f>output_NHTS!D247</f>
        <v>124582.21175195918</v>
      </c>
      <c r="E74" s="5">
        <f>output_NHTS!E247</f>
        <v>54835.017655563352</v>
      </c>
      <c r="F74" s="5">
        <f>output_NHTS!F247</f>
        <v>208777.92264387378</v>
      </c>
      <c r="M74" s="265" t="s">
        <v>28</v>
      </c>
      <c r="N74" s="5">
        <f>output!B247</f>
        <v>4656</v>
      </c>
      <c r="O74" s="5">
        <f>output!C247</f>
        <v>36674</v>
      </c>
      <c r="P74" s="5">
        <f>output!D247</f>
        <v>178992</v>
      </c>
      <c r="Q74" s="5">
        <f>output!E247</f>
        <v>55401</v>
      </c>
      <c r="R74" s="5">
        <f>output!F247</f>
        <v>275723</v>
      </c>
      <c r="Y74" s="265" t="s">
        <v>28</v>
      </c>
      <c r="Z74" s="5">
        <f si="25" t="shared"/>
        <v>2281.3649962314494</v>
      </c>
      <c r="AA74" s="5">
        <f si="25" t="shared"/>
        <v>9687.9417674172837</v>
      </c>
      <c r="AB74" s="5">
        <f si="25" t="shared"/>
        <v>54409.788248040815</v>
      </c>
      <c r="AC74" s="5">
        <f si="25" t="shared"/>
        <v>565.98234443664842</v>
      </c>
      <c r="AD74" s="5">
        <f si="25" t="shared"/>
        <v>66945.077356126218</v>
      </c>
    </row>
    <row r="75" spans="1:30" x14ac:dyDescent="0.2">
      <c r="A75" s="265" t="s">
        <v>29</v>
      </c>
      <c r="B75" s="5">
        <f>output_NHTS!B248</f>
        <v>3002.8189477316155</v>
      </c>
      <c r="C75" s="5">
        <f>output_NHTS!C248</f>
        <v>24882.652454716921</v>
      </c>
      <c r="D75" s="5">
        <f>output_NHTS!D248</f>
        <v>115081.79517625857</v>
      </c>
      <c r="E75" s="5">
        <f>output_NHTS!E248</f>
        <v>49652.691231607678</v>
      </c>
      <c r="F75" s="5">
        <f>output_NHTS!F248</f>
        <v>192619.95781031478</v>
      </c>
      <c r="M75" s="265" t="s">
        <v>29</v>
      </c>
      <c r="N75" s="7">
        <f>output!B248</f>
        <v>3244</v>
      </c>
      <c r="O75" s="7">
        <f>output!C248</f>
        <v>31498</v>
      </c>
      <c r="P75" s="7">
        <f>output!D248</f>
        <v>134731</v>
      </c>
      <c r="Q75" s="7">
        <f>output!E248</f>
        <v>40952</v>
      </c>
      <c r="R75" s="7">
        <f>output!F248</f>
        <v>210425</v>
      </c>
      <c r="Y75" s="265" t="s">
        <v>29</v>
      </c>
      <c r="Z75" s="7">
        <f si="25" t="shared"/>
        <v>241.18105226838452</v>
      </c>
      <c r="AA75" s="7">
        <f si="25" t="shared"/>
        <v>6615.3475452830789</v>
      </c>
      <c r="AB75" s="7">
        <f si="25" t="shared"/>
        <v>19649.204823741427</v>
      </c>
      <c r="AC75" s="7">
        <f si="25" t="shared"/>
        <v>-8700.6912316076778</v>
      </c>
      <c r="AD75" s="7">
        <f si="25" t="shared"/>
        <v>17805.04218968522</v>
      </c>
    </row>
    <row customHeight="1" ht="13.15" r="76" spans="1:30" thickBot="1" x14ac:dyDescent="0.25">
      <c r="A76" s="8" t="s">
        <v>4</v>
      </c>
      <c r="B76" s="9">
        <f>SUM(B69:B75)</f>
        <v>21215.712913311523</v>
      </c>
      <c r="C76" s="9">
        <f>SUM(C69:C75)</f>
        <v>271838.1113918327</v>
      </c>
      <c r="D76" s="9">
        <f>SUM(D69:D75)</f>
        <v>1081870.5212667158</v>
      </c>
      <c r="E76" s="9">
        <f>SUM(E69:E75)</f>
        <v>425602.57683071628</v>
      </c>
      <c r="F76" s="9">
        <f>SUM(F69:F75)</f>
        <v>1800526.9224025763</v>
      </c>
      <c r="M76" s="8" t="s">
        <v>4</v>
      </c>
      <c r="N76" s="9">
        <f>SUM(N69:N75)</f>
        <v>34573</v>
      </c>
      <c r="O76" s="9">
        <f>SUM(O69:O75)</f>
        <v>253099</v>
      </c>
      <c r="P76" s="9">
        <f>SUM(P69:P75)</f>
        <v>1084550</v>
      </c>
      <c r="Q76" s="9">
        <f>SUM(Q69:Q75)</f>
        <v>329888</v>
      </c>
      <c r="R76" s="9">
        <f>SUM(R69:R75)</f>
        <v>1702110</v>
      </c>
      <c r="Y76" s="8" t="s">
        <v>4</v>
      </c>
      <c r="Z76" s="9">
        <f si="25" t="shared"/>
        <v>13357.287086688477</v>
      </c>
      <c r="AA76" s="9">
        <f si="25" t="shared"/>
        <v>-18739.111391832703</v>
      </c>
      <c r="AB76" s="9">
        <f si="25" t="shared"/>
        <v>2679.4787332841661</v>
      </c>
      <c r="AC76" s="9">
        <f si="25" t="shared"/>
        <v>-95714.57683071628</v>
      </c>
      <c r="AD76" s="9">
        <f si="25" t="shared"/>
        <v>-98416.922402576311</v>
      </c>
    </row>
    <row r="78" spans="1:30" x14ac:dyDescent="0.2">
      <c r="A78" s="265" t="s">
        <v>174</v>
      </c>
      <c r="B78" s="5">
        <f>ToursByTourPurpose!B84</f>
        <v>53499.322307846342</v>
      </c>
      <c r="C78" s="5">
        <f>ToursByTourPurpose!C84</f>
        <v>321887.45525557804</v>
      </c>
      <c r="D78" s="5">
        <f>ToursByTourPurpose!D84</f>
        <v>1027057.240466507</v>
      </c>
      <c r="E78" s="5">
        <f>ToursByTourPurpose!E84</f>
        <v>363776.98197006836</v>
      </c>
      <c r="F78" s="5">
        <f>ToursByTourPurpose!F84</f>
        <v>1766220.9999999998</v>
      </c>
      <c r="M78" s="265" t="s">
        <v>174</v>
      </c>
      <c r="N78" s="5">
        <f>ToursByTourPurpose!N84</f>
        <v>54596</v>
      </c>
      <c r="O78" s="5">
        <f>ToursByTourPurpose!O84</f>
        <v>318052</v>
      </c>
      <c r="P78" s="5">
        <f>ToursByTourPurpose!P84</f>
        <v>1076719</v>
      </c>
      <c r="Q78" s="5">
        <f>ToursByTourPurpose!Q84</f>
        <v>316854</v>
      </c>
      <c r="R78" s="5">
        <f>ToursByTourPurpose!R84</f>
        <v>1766221</v>
      </c>
      <c r="Y78" s="265" t="s">
        <v>174</v>
      </c>
      <c r="Z78" s="5">
        <f ref="Z78:AD79" si="26" t="shared">N78-B78</f>
        <v>1096.6776921536584</v>
      </c>
      <c r="AA78" s="5">
        <f si="26" t="shared"/>
        <v>-3835.4552555780392</v>
      </c>
      <c r="AB78" s="5">
        <f si="26" t="shared"/>
        <v>49661.759533492965</v>
      </c>
      <c r="AC78" s="5">
        <f si="26" t="shared"/>
        <v>-46922.981970068358</v>
      </c>
      <c r="AD78" s="5">
        <f si="26" t="shared"/>
        <v>0</v>
      </c>
    </row>
    <row r="79" spans="1:30" x14ac:dyDescent="0.2">
      <c r="A79" s="265" t="s">
        <v>1080</v>
      </c>
      <c r="B79" s="219">
        <f>B76/B78</f>
        <v>0.39656040484460447</v>
      </c>
      <c r="C79" s="219">
        <f>C76/C78</f>
        <v>0.84451290956956915</v>
      </c>
      <c r="D79" s="219">
        <f>D76/D78</f>
        <v>1.0533692560069112</v>
      </c>
      <c r="E79" s="219">
        <f>E76/E78</f>
        <v>1.1699546643270984</v>
      </c>
      <c r="F79" s="219">
        <f>F76/F78</f>
        <v>1.0194233464569704</v>
      </c>
      <c r="M79" s="265" t="s">
        <v>1080</v>
      </c>
      <c r="N79" s="219">
        <f>N76/N78</f>
        <v>0.63325152025789433</v>
      </c>
      <c r="O79" s="219">
        <f>O76/O78</f>
        <v>0.79577867770050181</v>
      </c>
      <c r="P79" s="219">
        <f>P76/P78</f>
        <v>1.0072730210946403</v>
      </c>
      <c r="Q79" s="219">
        <f>Q76/Q78</f>
        <v>1.0411356650065962</v>
      </c>
      <c r="R79" s="219">
        <f>R76/R78</f>
        <v>0.96370159793140264</v>
      </c>
      <c r="Y79" s="265" t="s">
        <v>1080</v>
      </c>
      <c r="Z79" s="219">
        <f si="26" t="shared"/>
        <v>0.23669111541328985</v>
      </c>
      <c r="AA79" s="219">
        <f si="26" t="shared"/>
        <v>-4.8734231869067335E-2</v>
      </c>
      <c r="AB79" s="219">
        <f si="26" t="shared"/>
        <v>-4.6096234912270884E-2</v>
      </c>
      <c r="AC79" s="219">
        <f si="26" t="shared"/>
        <v>-0.12881899932050223</v>
      </c>
      <c r="AD79" s="219">
        <f si="26" t="shared"/>
        <v>-5.5721748525567771E-2</v>
      </c>
    </row>
    <row customHeight="1" ht="13.15" r="81" spans="1:30" x14ac:dyDescent="0.2">
      <c r="A81" s="264" t="s">
        <v>41</v>
      </c>
      <c r="M81" s="264" t="s">
        <v>41</v>
      </c>
      <c r="Y81" s="264" t="s">
        <v>41</v>
      </c>
    </row>
    <row customHeight="1" ht="13.15" r="82" spans="1:30" x14ac:dyDescent="0.2">
      <c r="A82" s="264" t="s">
        <v>1093</v>
      </c>
      <c r="M82" s="264" t="s">
        <v>1094</v>
      </c>
      <c r="Y82" s="264" t="s">
        <v>1095</v>
      </c>
    </row>
    <row customHeight="1" ht="13.15" r="83" spans="1:30" thickBot="1" x14ac:dyDescent="0.25">
      <c r="B83" s="13"/>
      <c r="C83" s="13"/>
      <c r="D83" s="13"/>
      <c r="E83" s="13"/>
      <c r="F83" s="13"/>
      <c r="N83" s="13"/>
      <c r="O83" s="13"/>
      <c r="P83" s="13"/>
      <c r="Q83" s="13"/>
      <c r="R83" s="13"/>
      <c r="Z83" s="13"/>
      <c r="AA83" s="13"/>
      <c r="AB83" s="13"/>
      <c r="AC83" s="13"/>
      <c r="AD83" s="13"/>
    </row>
    <row customHeight="1" ht="13.15" r="84" spans="1:30" x14ac:dyDescent="0.2">
      <c r="A84" s="3" t="s">
        <v>37</v>
      </c>
      <c r="B84" s="4" t="s">
        <v>193</v>
      </c>
      <c r="C84" s="4" t="s">
        <v>194</v>
      </c>
      <c r="D84" s="4" t="s">
        <v>195</v>
      </c>
      <c r="E84" s="4" t="s">
        <v>196</v>
      </c>
      <c r="F84" s="4" t="s">
        <v>4</v>
      </c>
      <c r="M84" s="3" t="s">
        <v>37</v>
      </c>
      <c r="N84" s="4" t="s">
        <v>193</v>
      </c>
      <c r="O84" s="4" t="s">
        <v>194</v>
      </c>
      <c r="P84" s="4" t="s">
        <v>195</v>
      </c>
      <c r="Q84" s="4" t="s">
        <v>196</v>
      </c>
      <c r="R84" s="4" t="s">
        <v>4</v>
      </c>
      <c r="Y84" s="3" t="s">
        <v>37</v>
      </c>
      <c r="Z84" s="4" t="s">
        <v>193</v>
      </c>
      <c r="AA84" s="4" t="s">
        <v>194</v>
      </c>
      <c r="AB84" s="4" t="s">
        <v>195</v>
      </c>
      <c r="AC84" s="4" t="s">
        <v>196</v>
      </c>
      <c r="AD84" s="4" t="s">
        <v>4</v>
      </c>
    </row>
    <row r="85" spans="1:30" x14ac:dyDescent="0.2">
      <c r="A85" s="265" t="s">
        <v>23</v>
      </c>
      <c r="B85" s="10">
        <f ref="B85:F92" si="27" t="shared">B69/B$76</f>
        <v>2.824452723200694E-2</v>
      </c>
      <c r="C85" s="10">
        <f si="27" t="shared"/>
        <v>0.11820733923595876</v>
      </c>
      <c r="D85" s="10">
        <f si="27" t="shared"/>
        <v>9.145369331889415E-2</v>
      </c>
      <c r="E85" s="10">
        <f si="27" t="shared"/>
        <v>9.8310720651676536E-2</v>
      </c>
      <c r="F85" s="10">
        <f si="27" t="shared"/>
        <v>9.6368921994382697E-2</v>
      </c>
      <c r="M85" s="265" t="s">
        <v>23</v>
      </c>
      <c r="N85" s="10">
        <f ref="N85:R92" si="28" t="shared">N69/N$76</f>
        <v>4.5873947878402224E-2</v>
      </c>
      <c r="O85" s="10">
        <f si="28" t="shared"/>
        <v>8.5077380787754994E-2</v>
      </c>
      <c r="P85" s="10">
        <f si="28" t="shared"/>
        <v>9.9794384767876082E-2</v>
      </c>
      <c r="Q85" s="10">
        <f si="28" t="shared"/>
        <v>0.10686051023377631</v>
      </c>
      <c r="R85" s="10">
        <f si="28" t="shared"/>
        <v>9.7880278007884333E-2</v>
      </c>
      <c r="Y85" s="265" t="s">
        <v>23</v>
      </c>
      <c r="Z85" s="10">
        <f ref="Z85:AD92" si="29" t="shared">N85-B85</f>
        <v>1.7629420646395284E-2</v>
      </c>
      <c r="AA85" s="10">
        <f si="29" t="shared"/>
        <v>-3.3129958448203767E-2</v>
      </c>
      <c r="AB85" s="10">
        <f si="29" t="shared"/>
        <v>8.3406914489819323E-3</v>
      </c>
      <c r="AC85" s="10">
        <f si="29" t="shared"/>
        <v>8.5497895820997732E-3</v>
      </c>
      <c r="AD85" s="10">
        <f si="29" t="shared"/>
        <v>1.5113560135016357E-3</v>
      </c>
    </row>
    <row r="86" spans="1:30" x14ac:dyDescent="0.2">
      <c r="A86" s="265" t="s">
        <v>24</v>
      </c>
      <c r="B86" s="10">
        <f si="27" t="shared"/>
        <v>2.2683716692156252E-2</v>
      </c>
      <c r="C86" s="10">
        <f si="27" t="shared"/>
        <v>2.2763766278586766E-2</v>
      </c>
      <c r="D86" s="10">
        <f si="27" t="shared"/>
        <v>9.287573052798221E-3</v>
      </c>
      <c r="E86" s="10">
        <f si="27" t="shared"/>
        <v>7.3739630563319511E-3</v>
      </c>
      <c r="F86" s="10">
        <f si="27" t="shared"/>
        <v>1.1027682721984431E-2</v>
      </c>
      <c r="M86" s="265" t="s">
        <v>24</v>
      </c>
      <c r="N86" s="10">
        <f si="28" t="shared"/>
        <v>1.4375379631504353E-2</v>
      </c>
      <c r="O86" s="10">
        <f si="28" t="shared"/>
        <v>2.7222549279135831E-2</v>
      </c>
      <c r="P86" s="10">
        <f si="28" t="shared"/>
        <v>2.0648195103960168E-2</v>
      </c>
      <c r="Q86" s="10">
        <f si="28" t="shared"/>
        <v>1.9167111262004075E-2</v>
      </c>
      <c r="R86" s="10">
        <f si="28" t="shared"/>
        <v>2.1211320067445701E-2</v>
      </c>
      <c r="Y86" s="265" t="s">
        <v>24</v>
      </c>
      <c r="Z86" s="10">
        <f si="29" t="shared"/>
        <v>-8.3083370606518991E-3</v>
      </c>
      <c r="AA86" s="10">
        <f si="29" t="shared"/>
        <v>4.4587830005490652E-3</v>
      </c>
      <c r="AB86" s="10">
        <f si="29" t="shared"/>
        <v>1.1360622051161947E-2</v>
      </c>
      <c r="AC86" s="10">
        <f si="29" t="shared"/>
        <v>1.1793148205672125E-2</v>
      </c>
      <c r="AD86" s="10">
        <f si="29" t="shared"/>
        <v>1.018363734546127E-2</v>
      </c>
    </row>
    <row r="87" spans="1:30" x14ac:dyDescent="0.2">
      <c r="A87" s="265" t="s">
        <v>25</v>
      </c>
      <c r="B87" s="10">
        <f si="27" t="shared"/>
        <v>1.1549771557343229E-2</v>
      </c>
      <c r="C87" s="10">
        <f si="27" t="shared"/>
        <v>0.17481344469971191</v>
      </c>
      <c r="D87" s="10">
        <f si="27" t="shared"/>
        <v>0.16108957601701995</v>
      </c>
      <c r="E87" s="10">
        <f si="27" t="shared"/>
        <v>0.15608726752888491</v>
      </c>
      <c r="F87" s="10">
        <f si="27" t="shared"/>
        <v>0.16021709897713599</v>
      </c>
      <c r="M87" s="265" t="s">
        <v>25</v>
      </c>
      <c r="N87" s="10">
        <f si="28" t="shared"/>
        <v>0.12556040841118793</v>
      </c>
      <c r="O87" s="10">
        <f si="28" t="shared"/>
        <v>0.13494719457603546</v>
      </c>
      <c r="P87" s="10">
        <f si="28" t="shared"/>
        <v>0.12173435987275828</v>
      </c>
      <c r="Q87" s="10">
        <f si="28" t="shared"/>
        <v>0.11984370453002231</v>
      </c>
      <c r="R87" s="10">
        <f si="28" t="shared"/>
        <v>0.1234103553824371</v>
      </c>
      <c r="Y87" s="265" t="s">
        <v>25</v>
      </c>
      <c r="Z87" s="10">
        <f si="29" t="shared"/>
        <v>0.1140106368538447</v>
      </c>
      <c r="AA87" s="10">
        <f si="29" t="shared"/>
        <v>-3.986625012367645E-2</v>
      </c>
      <c r="AB87" s="10">
        <f si="29" t="shared"/>
        <v>-3.935521614426167E-2</v>
      </c>
      <c r="AC87" s="10">
        <f si="29" t="shared"/>
        <v>-3.6243562998862597E-2</v>
      </c>
      <c r="AD87" s="10">
        <f si="29" t="shared"/>
        <v>-3.680674359469889E-2</v>
      </c>
    </row>
    <row r="88" spans="1:30" x14ac:dyDescent="0.2">
      <c r="A88" s="265" t="s">
        <v>26</v>
      </c>
      <c r="B88" s="10">
        <f si="27" t="shared"/>
        <v>0.38649979167700527</v>
      </c>
      <c r="C88" s="10">
        <f si="27" t="shared"/>
        <v>0.25405998411844721</v>
      </c>
      <c r="D88" s="10">
        <f si="27" t="shared"/>
        <v>0.30602261944295134</v>
      </c>
      <c r="E88" s="10">
        <f si="27" t="shared"/>
        <v>0.30951633354485192</v>
      </c>
      <c r="F88" s="10">
        <f si="27" t="shared"/>
        <v>0.29995155757385245</v>
      </c>
      <c r="M88" s="265" t="s">
        <v>26</v>
      </c>
      <c r="N88" s="10">
        <f si="28" t="shared"/>
        <v>0.3321088710843722</v>
      </c>
      <c r="O88" s="10">
        <f si="28" t="shared"/>
        <v>0.28574589389922522</v>
      </c>
      <c r="P88" s="10">
        <f si="28" t="shared"/>
        <v>0.27237287354202205</v>
      </c>
      <c r="Q88" s="10">
        <f si="28" t="shared"/>
        <v>0.26939446115045107</v>
      </c>
      <c r="R88" s="10">
        <f si="28" t="shared"/>
        <v>0.27499750309909465</v>
      </c>
      <c r="Y88" s="265" t="s">
        <v>26</v>
      </c>
      <c r="Z88" s="10">
        <f si="29" t="shared"/>
        <v>-5.4390920592633063E-2</v>
      </c>
      <c r="AA88" s="10">
        <f si="29" t="shared"/>
        <v>3.168590978077801E-2</v>
      </c>
      <c r="AB88" s="10">
        <f si="29" t="shared"/>
        <v>-3.3649745900929284E-2</v>
      </c>
      <c r="AC88" s="10">
        <f si="29" t="shared"/>
        <v>-4.0121872394400848E-2</v>
      </c>
      <c r="AD88" s="10">
        <f si="29" t="shared"/>
        <v>-2.4954054474757792E-2</v>
      </c>
    </row>
    <row r="89" spans="1:30" x14ac:dyDescent="0.2">
      <c r="A89" s="265" t="s">
        <v>27</v>
      </c>
      <c r="B89" s="10">
        <f si="27" t="shared"/>
        <v>0.29755656698801286</v>
      </c>
      <c r="C89" s="10">
        <f si="27" t="shared"/>
        <v>0.23934811190174804</v>
      </c>
      <c r="D89" s="10">
        <f si="27" t="shared"/>
        <v>0.21061909822329974</v>
      </c>
      <c r="E89" s="10">
        <f si="27" t="shared"/>
        <v>0.1832063668595883</v>
      </c>
      <c r="F89" s="10">
        <f si="27" t="shared"/>
        <v>0.2095011766404021</v>
      </c>
      <c r="M89" s="265" t="s">
        <v>27</v>
      </c>
      <c r="N89" s="10">
        <f si="28" t="shared"/>
        <v>0.25357938275532932</v>
      </c>
      <c r="O89" s="10">
        <f si="28" t="shared"/>
        <v>0.19765783349598379</v>
      </c>
      <c r="P89" s="10">
        <f si="28" t="shared"/>
        <v>0.1961845926882117</v>
      </c>
      <c r="Q89" s="10">
        <f si="28" t="shared"/>
        <v>0.1926562954699777</v>
      </c>
      <c r="R89" s="10">
        <f si="28" t="shared"/>
        <v>0.19688563018841321</v>
      </c>
      <c r="Y89" s="265" t="s">
        <v>27</v>
      </c>
      <c r="Z89" s="10">
        <f si="29" t="shared"/>
        <v>-4.3977184232683542E-2</v>
      </c>
      <c r="AA89" s="10">
        <f si="29" t="shared"/>
        <v>-4.1690278405764253E-2</v>
      </c>
      <c r="AB89" s="10">
        <f si="29" t="shared"/>
        <v>-1.4434505535088044E-2</v>
      </c>
      <c r="AC89" s="10">
        <f si="29" t="shared"/>
        <v>9.449928610389402E-3</v>
      </c>
      <c r="AD89" s="10">
        <f si="29" t="shared"/>
        <v>-1.2615546451988896E-2</v>
      </c>
    </row>
    <row r="90" spans="1:30" x14ac:dyDescent="0.2">
      <c r="A90" s="265" t="s">
        <v>28</v>
      </c>
      <c r="B90" s="10">
        <f si="27" t="shared"/>
        <v>0.11192812673660459</v>
      </c>
      <c r="C90" s="10">
        <f si="27" t="shared"/>
        <v>9.9272534283040587E-2</v>
      </c>
      <c r="D90" s="10">
        <f si="27" t="shared"/>
        <v>0.11515445638179624</v>
      </c>
      <c r="E90" s="10">
        <f si="27" t="shared"/>
        <v>0.1288408967443212</v>
      </c>
      <c r="F90" s="10">
        <f si="27" t="shared"/>
        <v>0.11595379110759751</v>
      </c>
      <c r="M90" s="265" t="s">
        <v>28</v>
      </c>
      <c r="N90" s="10">
        <f si="28" t="shared"/>
        <v>0.13467156451566251</v>
      </c>
      <c r="O90" s="10">
        <f si="28" t="shared"/>
        <v>0.14489982180885741</v>
      </c>
      <c r="P90" s="10">
        <f si="28" t="shared"/>
        <v>0.16503803420773594</v>
      </c>
      <c r="Q90" s="10">
        <f si="28" t="shared"/>
        <v>0.16793881559802115</v>
      </c>
      <c r="R90" s="10">
        <f si="28" t="shared"/>
        <v>0.16198894313528503</v>
      </c>
      <c r="Y90" s="265" t="s">
        <v>28</v>
      </c>
      <c r="Z90" s="10">
        <f si="29" t="shared"/>
        <v>2.2743437779057921E-2</v>
      </c>
      <c r="AA90" s="10">
        <f si="29" t="shared"/>
        <v>4.5627287525816823E-2</v>
      </c>
      <c r="AB90" s="10">
        <f si="29" t="shared"/>
        <v>4.9883577825939704E-2</v>
      </c>
      <c r="AC90" s="10">
        <f si="29" t="shared"/>
        <v>3.9097918853699953E-2</v>
      </c>
      <c r="AD90" s="10">
        <f si="29" t="shared"/>
        <v>4.6035152027687515E-2</v>
      </c>
    </row>
    <row r="91" spans="1:30" x14ac:dyDescent="0.2">
      <c r="A91" s="265" t="s">
        <v>29</v>
      </c>
      <c r="B91" s="11">
        <f si="27" t="shared"/>
        <v>0.14153749911687086</v>
      </c>
      <c r="C91" s="11">
        <f si="27" t="shared"/>
        <v>9.153481948250658E-2</v>
      </c>
      <c r="D91" s="11">
        <f si="27" t="shared"/>
        <v>0.10637298356324029</v>
      </c>
      <c r="E91" s="11">
        <f si="27" t="shared"/>
        <v>0.11666445161434506</v>
      </c>
      <c r="F91" s="11">
        <f si="27" t="shared"/>
        <v>0.10697977098464471</v>
      </c>
      <c r="M91" s="265" t="s">
        <v>29</v>
      </c>
      <c r="N91" s="11">
        <f si="28" t="shared"/>
        <v>9.3830445723541489E-2</v>
      </c>
      <c r="O91" s="11">
        <f si="28" t="shared"/>
        <v>0.12444932615300733</v>
      </c>
      <c r="P91" s="11">
        <f si="28" t="shared"/>
        <v>0.1242275598174358</v>
      </c>
      <c r="Q91" s="11">
        <f si="28" t="shared"/>
        <v>0.12413910175574741</v>
      </c>
      <c r="R91" s="11">
        <f si="28" t="shared"/>
        <v>0.12362597011943999</v>
      </c>
      <c r="Y91" s="265" t="s">
        <v>29</v>
      </c>
      <c r="Z91" s="10">
        <f si="29" t="shared"/>
        <v>-4.7707053393329368E-2</v>
      </c>
      <c r="AA91" s="10">
        <f si="29" t="shared"/>
        <v>3.2914506670500748E-2</v>
      </c>
      <c r="AB91" s="10">
        <f si="29" t="shared"/>
        <v>1.7854576254195509E-2</v>
      </c>
      <c r="AC91" s="10">
        <f si="29" t="shared"/>
        <v>7.4746501414023475E-3</v>
      </c>
      <c r="AD91" s="10">
        <f si="29" t="shared"/>
        <v>1.6646199134795273E-2</v>
      </c>
    </row>
    <row customHeight="1" ht="13.15" r="92" spans="1:30" thickBot="1" x14ac:dyDescent="0.25">
      <c r="A92" s="8" t="s">
        <v>4</v>
      </c>
      <c r="B92" s="15">
        <f si="27" t="shared"/>
        <v>1</v>
      </c>
      <c r="C92" s="15">
        <f si="27" t="shared"/>
        <v>1</v>
      </c>
      <c r="D92" s="15">
        <f si="27" t="shared"/>
        <v>1</v>
      </c>
      <c r="E92" s="15">
        <f si="27" t="shared"/>
        <v>1</v>
      </c>
      <c r="F92" s="15">
        <f si="27" t="shared"/>
        <v>1</v>
      </c>
      <c r="M92" s="8" t="s">
        <v>4</v>
      </c>
      <c r="N92" s="15">
        <f si="28" t="shared"/>
        <v>1</v>
      </c>
      <c r="O92" s="15">
        <f si="28" t="shared"/>
        <v>1</v>
      </c>
      <c r="P92" s="15">
        <f si="28" t="shared"/>
        <v>1</v>
      </c>
      <c r="Q92" s="15">
        <f si="28" t="shared"/>
        <v>1</v>
      </c>
      <c r="R92" s="15">
        <f si="28" t="shared"/>
        <v>1</v>
      </c>
      <c r="Y92" s="8" t="s">
        <v>4</v>
      </c>
      <c r="Z92" s="12">
        <f si="29" t="shared"/>
        <v>0</v>
      </c>
      <c r="AA92" s="12">
        <f si="29" t="shared"/>
        <v>0</v>
      </c>
      <c r="AB92" s="12">
        <f si="29" t="shared"/>
        <v>0</v>
      </c>
      <c r="AC92" s="12">
        <f si="29" t="shared"/>
        <v>0</v>
      </c>
      <c r="AD92" s="12">
        <f si="29" t="shared"/>
        <v>0</v>
      </c>
    </row>
    <row customHeight="1" ht="13.15" r="97" spans="1:36" x14ac:dyDescent="0.2">
      <c r="A97" s="264" t="s">
        <v>41</v>
      </c>
      <c r="M97" s="264" t="s">
        <v>41</v>
      </c>
      <c r="Y97" s="264" t="s">
        <v>41</v>
      </c>
    </row>
    <row customHeight="1" ht="13.15" r="98" spans="1:36" x14ac:dyDescent="0.2">
      <c r="A98" s="264" t="s">
        <v>1096</v>
      </c>
      <c r="M98" s="264" t="s">
        <v>1097</v>
      </c>
      <c r="Y98" s="264" t="s">
        <v>1098</v>
      </c>
    </row>
    <row customHeight="1" ht="13.15" r="99" spans="1:36" thickBot="1" x14ac:dyDescent="0.25">
      <c r="B99" s="13"/>
      <c r="C99" s="13"/>
      <c r="D99" s="13"/>
      <c r="E99" s="13"/>
      <c r="F99" s="13"/>
      <c r="I99" s="13"/>
      <c r="J99" s="13"/>
      <c r="K99" s="13"/>
      <c r="N99" s="13"/>
      <c r="O99" s="13"/>
      <c r="P99" s="13"/>
      <c r="Q99" s="13"/>
      <c r="R99" s="13"/>
      <c r="Z99" s="13"/>
      <c r="AA99" s="13"/>
      <c r="AB99" s="13"/>
      <c r="AC99" s="13"/>
      <c r="AD99" s="13"/>
    </row>
    <row customHeight="1" ht="13.15" r="100" spans="1:36" x14ac:dyDescent="0.2">
      <c r="A100" s="3" t="s">
        <v>37</v>
      </c>
      <c r="B100" s="89">
        <v>1</v>
      </c>
      <c r="C100" s="89">
        <v>2</v>
      </c>
      <c r="D100" s="89">
        <v>3</v>
      </c>
      <c r="E100" s="89">
        <v>4</v>
      </c>
      <c r="F100" s="89">
        <v>5</v>
      </c>
      <c r="G100" s="89">
        <v>6</v>
      </c>
      <c r="H100" s="4">
        <v>7</v>
      </c>
      <c r="I100" s="85">
        <v>8</v>
      </c>
      <c r="J100" s="27">
        <v>9</v>
      </c>
      <c r="K100" s="85">
        <v>10</v>
      </c>
      <c r="L100" s="4" t="s">
        <v>4</v>
      </c>
      <c r="M100" s="3" t="s">
        <v>37</v>
      </c>
      <c r="N100" s="4">
        <f ref="N100:W100" si="30" t="shared">B100</f>
        <v>1</v>
      </c>
      <c r="O100" s="4">
        <f si="30" t="shared"/>
        <v>2</v>
      </c>
      <c r="P100" s="4">
        <f si="30" t="shared"/>
        <v>3</v>
      </c>
      <c r="Q100" s="4">
        <f si="30" t="shared"/>
        <v>4</v>
      </c>
      <c r="R100" s="4">
        <f si="30" t="shared"/>
        <v>5</v>
      </c>
      <c r="S100" s="4">
        <f si="30" t="shared"/>
        <v>6</v>
      </c>
      <c r="T100" s="4">
        <f si="30" t="shared"/>
        <v>7</v>
      </c>
      <c r="U100" s="4">
        <f si="30" t="shared"/>
        <v>8</v>
      </c>
      <c r="V100" s="4">
        <f si="30" t="shared"/>
        <v>9</v>
      </c>
      <c r="W100" s="4">
        <f si="30" t="shared"/>
        <v>10</v>
      </c>
      <c r="X100" s="4" t="s">
        <v>4</v>
      </c>
      <c r="Y100" s="3" t="s">
        <v>37</v>
      </c>
      <c r="Z100" s="4">
        <f ref="Z100:AI100" si="31" t="shared">B100</f>
        <v>1</v>
      </c>
      <c r="AA100" s="4">
        <f si="31" t="shared"/>
        <v>2</v>
      </c>
      <c r="AB100" s="4">
        <f si="31" t="shared"/>
        <v>3</v>
      </c>
      <c r="AC100" s="4">
        <f si="31" t="shared"/>
        <v>4</v>
      </c>
      <c r="AD100" s="4">
        <f si="31" t="shared"/>
        <v>5</v>
      </c>
      <c r="AE100" s="4">
        <f si="31" t="shared"/>
        <v>6</v>
      </c>
      <c r="AF100" s="4">
        <f si="31" t="shared"/>
        <v>7</v>
      </c>
      <c r="AG100" s="4">
        <f si="31" t="shared"/>
        <v>8</v>
      </c>
      <c r="AH100" s="4">
        <f si="31" t="shared"/>
        <v>9</v>
      </c>
      <c r="AI100" s="4">
        <f si="31" t="shared"/>
        <v>10</v>
      </c>
      <c r="AJ100" s="4" t="s">
        <v>4</v>
      </c>
    </row>
    <row r="101" spans="1:36" x14ac:dyDescent="0.2">
      <c r="A101" s="265" t="s">
        <v>23</v>
      </c>
      <c r="B101" s="5">
        <f>output_NHTS!B252</f>
        <v>85942.359572784859</v>
      </c>
      <c r="C101" s="5">
        <f>output_NHTS!C252</f>
        <v>9160.0921320614289</v>
      </c>
      <c r="D101" s="5">
        <f>output_NHTS!D252</f>
        <v>11342.958400844816</v>
      </c>
      <c r="E101" s="5">
        <f>output_NHTS!E252</f>
        <v>26854.114858944133</v>
      </c>
      <c r="F101" s="5">
        <f>output_NHTS!F252</f>
        <v>12934.49953207092</v>
      </c>
      <c r="G101" s="5">
        <f>output_NHTS!G252</f>
        <v>14465.58763666141</v>
      </c>
      <c r="H101" s="5">
        <f>output_NHTS!H252</f>
        <v>12815.226400432244</v>
      </c>
      <c r="I101" s="5">
        <f>output_NHTS!I252</f>
        <v>0</v>
      </c>
      <c r="J101" s="5">
        <f>output_NHTS!J252</f>
        <v>0</v>
      </c>
      <c r="K101" s="5">
        <f>output_NHTS!K252</f>
        <v>0</v>
      </c>
      <c r="L101" s="5">
        <f ref="L101:L107" si="32" t="shared">SUM(B101:K101)</f>
        <v>173514.8385337998</v>
      </c>
      <c r="M101" s="265" t="s">
        <v>23</v>
      </c>
      <c r="N101" s="5">
        <f>output!B252</f>
        <v>67548</v>
      </c>
      <c r="O101" s="5">
        <f>output!C252</f>
        <v>8607</v>
      </c>
      <c r="P101" s="5">
        <f>output!D252</f>
        <v>6373</v>
      </c>
      <c r="Q101" s="5">
        <f>output!E252</f>
        <v>31274</v>
      </c>
      <c r="R101" s="5">
        <f>output!F252</f>
        <v>17498</v>
      </c>
      <c r="S101" s="5">
        <f>output!G252</f>
        <v>21218</v>
      </c>
      <c r="T101" s="5">
        <f>output!H252</f>
        <v>14085</v>
      </c>
      <c r="U101" s="5">
        <f>output!I252</f>
        <v>0</v>
      </c>
      <c r="V101" s="5">
        <f>output!J252</f>
        <v>0</v>
      </c>
      <c r="W101" s="5">
        <f>output!K252</f>
        <v>0</v>
      </c>
      <c r="X101" s="5">
        <f ref="X101:X107" si="33" t="shared">SUM(N101:W101)</f>
        <v>166603</v>
      </c>
      <c r="Y101" s="265" t="s">
        <v>23</v>
      </c>
      <c r="Z101" s="5">
        <f ref="Z101:AJ108" si="34" t="shared">N101-B101</f>
        <v>-18394.359572784859</v>
      </c>
      <c r="AA101" s="5">
        <f si="34" t="shared"/>
        <v>-553.09213206142886</v>
      </c>
      <c r="AB101" s="5">
        <f si="34" t="shared"/>
        <v>-4969.9584008448164</v>
      </c>
      <c r="AC101" s="5">
        <f si="34" t="shared"/>
        <v>4419.8851410558673</v>
      </c>
      <c r="AD101" s="5">
        <f si="34" t="shared"/>
        <v>4563.5004679290796</v>
      </c>
      <c r="AE101" s="5">
        <f si="34" t="shared"/>
        <v>6752.4123633385898</v>
      </c>
      <c r="AF101" s="5">
        <f si="34" t="shared"/>
        <v>1269.7735995677558</v>
      </c>
      <c r="AG101" s="5">
        <f si="34" t="shared"/>
        <v>0</v>
      </c>
      <c r="AH101" s="5">
        <f si="34" t="shared"/>
        <v>0</v>
      </c>
      <c r="AI101" s="5">
        <f si="34" t="shared"/>
        <v>0</v>
      </c>
      <c r="AJ101" s="5">
        <f si="34" t="shared"/>
        <v>-6911.8385337998043</v>
      </c>
    </row>
    <row r="102" spans="1:36" x14ac:dyDescent="0.2">
      <c r="A102" s="265" t="s">
        <v>24</v>
      </c>
      <c r="B102" s="5">
        <f>output_NHTS!B253</f>
        <v>10476.177476472298</v>
      </c>
      <c r="C102" s="5">
        <f>output_NHTS!C253</f>
        <v>345.80125043274001</v>
      </c>
      <c r="D102" s="5">
        <f>output_NHTS!D253</f>
        <v>334.88790110621653</v>
      </c>
      <c r="E102" s="5">
        <f>output_NHTS!E253</f>
        <v>3328.0977706246695</v>
      </c>
      <c r="F102" s="5">
        <f>output_NHTS!F253</f>
        <v>696.15123332932967</v>
      </c>
      <c r="G102" s="5">
        <f>output_NHTS!G253</f>
        <v>3518.3862593815047</v>
      </c>
      <c r="H102" s="5">
        <f>output_NHTS!H253</f>
        <v>1156.1377412999339</v>
      </c>
      <c r="I102" s="5">
        <f>output_NHTS!I253</f>
        <v>0</v>
      </c>
      <c r="J102" s="5">
        <f>output_NHTS!J253</f>
        <v>0</v>
      </c>
      <c r="K102" s="5">
        <f>output_NHTS!K253</f>
        <v>0</v>
      </c>
      <c r="L102" s="5">
        <f si="32" t="shared"/>
        <v>19855.639632646693</v>
      </c>
      <c r="M102" s="265" t="s">
        <v>24</v>
      </c>
      <c r="N102" s="5">
        <f>output!B253</f>
        <v>11786</v>
      </c>
      <c r="O102" s="5">
        <f>output!C253</f>
        <v>2084</v>
      </c>
      <c r="P102" s="5">
        <f>output!D253</f>
        <v>1409</v>
      </c>
      <c r="Q102" s="5">
        <f>output!E253</f>
        <v>7876</v>
      </c>
      <c r="R102" s="5">
        <f>output!F253</f>
        <v>3914</v>
      </c>
      <c r="S102" s="5">
        <f>output!G253</f>
        <v>5921</v>
      </c>
      <c r="T102" s="5">
        <f>output!H253</f>
        <v>3114</v>
      </c>
      <c r="U102" s="5">
        <f>output!I253</f>
        <v>0</v>
      </c>
      <c r="V102" s="5">
        <f>output!J253</f>
        <v>0</v>
      </c>
      <c r="W102" s="5">
        <f>output!K253</f>
        <v>0</v>
      </c>
      <c r="X102" s="5">
        <f si="33" t="shared"/>
        <v>36104</v>
      </c>
      <c r="Y102" s="265" t="s">
        <v>24</v>
      </c>
      <c r="Z102" s="5">
        <f si="34" t="shared"/>
        <v>1309.8225235277023</v>
      </c>
      <c r="AA102" s="5">
        <f si="34" t="shared"/>
        <v>1738.1987495672599</v>
      </c>
      <c r="AB102" s="5">
        <f si="34" t="shared"/>
        <v>1074.1120988937835</v>
      </c>
      <c r="AC102" s="5">
        <f si="34" t="shared"/>
        <v>4547.9022293753305</v>
      </c>
      <c r="AD102" s="5">
        <f si="34" t="shared"/>
        <v>3217.8487666706706</v>
      </c>
      <c r="AE102" s="5">
        <f si="34" t="shared"/>
        <v>2402.6137406184953</v>
      </c>
      <c r="AF102" s="5">
        <f si="34" t="shared"/>
        <v>1957.8622587000661</v>
      </c>
      <c r="AG102" s="5">
        <f si="34" t="shared"/>
        <v>0</v>
      </c>
      <c r="AH102" s="5">
        <f si="34" t="shared"/>
        <v>0</v>
      </c>
      <c r="AI102" s="5">
        <f si="34" t="shared"/>
        <v>0</v>
      </c>
      <c r="AJ102" s="5">
        <f si="34" t="shared"/>
        <v>16248.360367353307</v>
      </c>
    </row>
    <row r="103" spans="1:36" x14ac:dyDescent="0.2">
      <c r="A103" s="265" t="s">
        <v>25</v>
      </c>
      <c r="B103" s="5">
        <f>output_NHTS!B254</f>
        <v>120671.62932453681</v>
      </c>
      <c r="C103" s="5">
        <f>output_NHTS!C254</f>
        <v>13572.687461775018</v>
      </c>
      <c r="D103" s="5">
        <f>output_NHTS!D254</f>
        <v>9832.9816152675103</v>
      </c>
      <c r="E103" s="5">
        <f>output_NHTS!E254</f>
        <v>64477.569972782301</v>
      </c>
      <c r="F103" s="5">
        <f>output_NHTS!F254</f>
        <v>26946.208965682457</v>
      </c>
      <c r="G103" s="5">
        <f>output_NHTS!G254</f>
        <v>34474.563150538699</v>
      </c>
      <c r="H103" s="5">
        <f>output_NHTS!H254</f>
        <v>18499.559646988833</v>
      </c>
      <c r="I103" s="5">
        <f>output_NHTS!I254</f>
        <v>0</v>
      </c>
      <c r="J103" s="5">
        <f>output_NHTS!J254</f>
        <v>0</v>
      </c>
      <c r="K103" s="5">
        <f>output_NHTS!K254</f>
        <v>0</v>
      </c>
      <c r="L103" s="5">
        <f si="32" t="shared"/>
        <v>288475.20013757161</v>
      </c>
      <c r="M103" s="265" t="s">
        <v>25</v>
      </c>
      <c r="N103" s="5">
        <f>output!B254</f>
        <v>76124</v>
      </c>
      <c r="O103" s="5">
        <f>output!C254</f>
        <v>10978</v>
      </c>
      <c r="P103" s="5">
        <f>output!D254</f>
        <v>8081</v>
      </c>
      <c r="Q103" s="5">
        <f>output!E254</f>
        <v>42417</v>
      </c>
      <c r="R103" s="5">
        <f>output!F254</f>
        <v>23213</v>
      </c>
      <c r="S103" s="5">
        <f>output!G254</f>
        <v>31127</v>
      </c>
      <c r="T103" s="5">
        <f>output!H254</f>
        <v>18118</v>
      </c>
      <c r="U103" s="5">
        <f>output!I254</f>
        <v>0</v>
      </c>
      <c r="V103" s="5">
        <f>output!J254</f>
        <v>0</v>
      </c>
      <c r="W103" s="5">
        <f>output!K254</f>
        <v>0</v>
      </c>
      <c r="X103" s="5">
        <f si="33" t="shared"/>
        <v>210058</v>
      </c>
      <c r="Y103" s="265" t="s">
        <v>25</v>
      </c>
      <c r="Z103" s="5">
        <f si="34" t="shared"/>
        <v>-44547.629324536814</v>
      </c>
      <c r="AA103" s="5">
        <f si="34" t="shared"/>
        <v>-2594.6874617750182</v>
      </c>
      <c r="AB103" s="5">
        <f si="34" t="shared"/>
        <v>-1751.9816152675103</v>
      </c>
      <c r="AC103" s="5">
        <f si="34" t="shared"/>
        <v>-22060.569972782301</v>
      </c>
      <c r="AD103" s="5">
        <f si="34" t="shared"/>
        <v>-3733.2089656824573</v>
      </c>
      <c r="AE103" s="5">
        <f si="34" t="shared"/>
        <v>-3347.5631505386991</v>
      </c>
      <c r="AF103" s="5">
        <f si="34" t="shared"/>
        <v>-381.55964698883326</v>
      </c>
      <c r="AG103" s="5">
        <f si="34" t="shared"/>
        <v>0</v>
      </c>
      <c r="AH103" s="5">
        <f si="34" t="shared"/>
        <v>0</v>
      </c>
      <c r="AI103" s="5">
        <f si="34" t="shared"/>
        <v>0</v>
      </c>
      <c r="AJ103" s="5">
        <f si="34" t="shared"/>
        <v>-78417.200137571606</v>
      </c>
    </row>
    <row r="104" spans="1:36" x14ac:dyDescent="0.2">
      <c r="A104" s="265" t="s">
        <v>26</v>
      </c>
      <c r="B104" s="5">
        <f>output_NHTS!B255</f>
        <v>185127.46755918858</v>
      </c>
      <c r="C104" s="5">
        <f>output_NHTS!C255</f>
        <v>36053.832363036192</v>
      </c>
      <c r="D104" s="5">
        <f>output_NHTS!D255</f>
        <v>15825.857564265576</v>
      </c>
      <c r="E104" s="5">
        <f>output_NHTS!E255</f>
        <v>111122.50749535073</v>
      </c>
      <c r="F104" s="5">
        <f>output_NHTS!F255</f>
        <v>63769.658798565324</v>
      </c>
      <c r="G104" s="5">
        <f>output_NHTS!G255</f>
        <v>80088.882855475851</v>
      </c>
      <c r="H104" s="5">
        <f>output_NHTS!H255</f>
        <v>48082.648192425535</v>
      </c>
      <c r="I104" s="5">
        <f>output_NHTS!I255</f>
        <v>0</v>
      </c>
      <c r="J104" s="5">
        <f>output_NHTS!J255</f>
        <v>0</v>
      </c>
      <c r="K104" s="5">
        <f>output_NHTS!K255</f>
        <v>0</v>
      </c>
      <c r="L104" s="5">
        <f si="32" t="shared"/>
        <v>540070.85482830775</v>
      </c>
      <c r="M104" s="265" t="s">
        <v>26</v>
      </c>
      <c r="N104" s="5">
        <f>output!B255</f>
        <v>169446</v>
      </c>
      <c r="O104" s="5">
        <f>output!C255</f>
        <v>28367</v>
      </c>
      <c r="P104" s="5">
        <f>output!D255</f>
        <v>20435</v>
      </c>
      <c r="Q104" s="5">
        <f>output!E255</f>
        <v>87484</v>
      </c>
      <c r="R104" s="5">
        <f>output!F255</f>
        <v>53587</v>
      </c>
      <c r="S104" s="5">
        <f>output!G255</f>
        <v>66043</v>
      </c>
      <c r="T104" s="5">
        <f>output!H255</f>
        <v>42714</v>
      </c>
      <c r="U104" s="5">
        <f>output!I255</f>
        <v>0</v>
      </c>
      <c r="V104" s="5">
        <f>output!J255</f>
        <v>0</v>
      </c>
      <c r="W104" s="5">
        <f>output!K255</f>
        <v>0</v>
      </c>
      <c r="X104" s="5">
        <f si="33" t="shared"/>
        <v>468076</v>
      </c>
      <c r="Y104" s="265" t="s">
        <v>26</v>
      </c>
      <c r="Z104" s="5">
        <f si="34" t="shared"/>
        <v>-15681.467559188575</v>
      </c>
      <c r="AA104" s="5">
        <f si="34" t="shared"/>
        <v>-7686.832363036192</v>
      </c>
      <c r="AB104" s="5">
        <f si="34" t="shared"/>
        <v>4609.142435734424</v>
      </c>
      <c r="AC104" s="5">
        <f si="34" t="shared"/>
        <v>-23638.507495350728</v>
      </c>
      <c r="AD104" s="5">
        <f si="34" t="shared"/>
        <v>-10182.658798565324</v>
      </c>
      <c r="AE104" s="5">
        <f si="34" t="shared"/>
        <v>-14045.882855475851</v>
      </c>
      <c r="AF104" s="5">
        <f si="34" t="shared"/>
        <v>-5368.6481924255349</v>
      </c>
      <c r="AG104" s="5">
        <f si="34" t="shared"/>
        <v>0</v>
      </c>
      <c r="AH104" s="5">
        <f si="34" t="shared"/>
        <v>0</v>
      </c>
      <c r="AI104" s="5">
        <f si="34" t="shared"/>
        <v>0</v>
      </c>
      <c r="AJ104" s="5">
        <f si="34" t="shared"/>
        <v>-71994.854828307754</v>
      </c>
    </row>
    <row r="105" spans="1:36" x14ac:dyDescent="0.2">
      <c r="A105" s="265" t="s">
        <v>27</v>
      </c>
      <c r="B105" s="5">
        <f>output_NHTS!B256</f>
        <v>116406.47783666644</v>
      </c>
      <c r="C105" s="5">
        <f>output_NHTS!C256</f>
        <v>21763.544316286814</v>
      </c>
      <c r="D105" s="5">
        <f>output_NHTS!D256</f>
        <v>16132.70441496159</v>
      </c>
      <c r="E105" s="5">
        <f>output_NHTS!E256</f>
        <v>77760.657183135641</v>
      </c>
      <c r="F105" s="5">
        <f>output_NHTS!F256</f>
        <v>44375.183732994294</v>
      </c>
      <c r="G105" s="5">
        <f>output_NHTS!G256</f>
        <v>70057.238441059992</v>
      </c>
      <c r="H105" s="5">
        <f>output_NHTS!H256</f>
        <v>30716.702890956927</v>
      </c>
      <c r="I105" s="5">
        <f>output_NHTS!I256</f>
        <v>0</v>
      </c>
      <c r="J105" s="5">
        <f>output_NHTS!J256</f>
        <v>0</v>
      </c>
      <c r="K105" s="5">
        <f>output_NHTS!K256</f>
        <v>0</v>
      </c>
      <c r="L105" s="5">
        <f si="32" t="shared"/>
        <v>377212.50881606177</v>
      </c>
      <c r="M105" s="265" t="s">
        <v>27</v>
      </c>
      <c r="N105" s="5">
        <f>output!B256</f>
        <v>125178</v>
      </c>
      <c r="O105" s="5">
        <f>output!C256</f>
        <v>20028</v>
      </c>
      <c r="P105" s="5">
        <f>output!D256</f>
        <v>13938</v>
      </c>
      <c r="Q105" s="5">
        <f>output!E256</f>
        <v>62152</v>
      </c>
      <c r="R105" s="5">
        <f>output!F256</f>
        <v>37946</v>
      </c>
      <c r="S105" s="5">
        <f>output!G256</f>
        <v>46332</v>
      </c>
      <c r="T105" s="5">
        <f>output!H256</f>
        <v>29547</v>
      </c>
      <c r="U105" s="5">
        <f>output!I256</f>
        <v>0</v>
      </c>
      <c r="V105" s="5">
        <f>output!J256</f>
        <v>0</v>
      </c>
      <c r="W105" s="5">
        <f>output!K256</f>
        <v>0</v>
      </c>
      <c r="X105" s="5">
        <f si="33" t="shared"/>
        <v>335121</v>
      </c>
      <c r="Y105" s="265" t="s">
        <v>27</v>
      </c>
      <c r="Z105" s="5">
        <f si="34" t="shared"/>
        <v>8771.5221633335605</v>
      </c>
      <c r="AA105" s="5">
        <f si="34" t="shared"/>
        <v>-1735.5443162868141</v>
      </c>
      <c r="AB105" s="5">
        <f si="34" t="shared"/>
        <v>-2194.7044149615904</v>
      </c>
      <c r="AC105" s="5">
        <f si="34" t="shared"/>
        <v>-15608.657183135641</v>
      </c>
      <c r="AD105" s="5">
        <f si="34" t="shared"/>
        <v>-6429.1837329942937</v>
      </c>
      <c r="AE105" s="5">
        <f si="34" t="shared"/>
        <v>-23725.238441059992</v>
      </c>
      <c r="AF105" s="5">
        <f si="34" t="shared"/>
        <v>-1169.7028909569271</v>
      </c>
      <c r="AG105" s="5">
        <f si="34" t="shared"/>
        <v>0</v>
      </c>
      <c r="AH105" s="5">
        <f si="34" t="shared"/>
        <v>0</v>
      </c>
      <c r="AI105" s="5">
        <f si="34" t="shared"/>
        <v>0</v>
      </c>
      <c r="AJ105" s="5">
        <f si="34" t="shared"/>
        <v>-42091.508816061774</v>
      </c>
    </row>
    <row r="106" spans="1:36" x14ac:dyDescent="0.2">
      <c r="A106" s="265" t="s">
        <v>28</v>
      </c>
      <c r="B106" s="5">
        <f>output_NHTS!B257</f>
        <v>76399.817601195333</v>
      </c>
      <c r="C106" s="5">
        <f>output_NHTS!C257</f>
        <v>9848.6299380015225</v>
      </c>
      <c r="D106" s="5">
        <f>output_NHTS!D257</f>
        <v>10415.37967571947</v>
      </c>
      <c r="E106" s="5">
        <f>output_NHTS!E257</f>
        <v>37389.231900363542</v>
      </c>
      <c r="F106" s="5">
        <f>output_NHTS!F257</f>
        <v>23072.76039508979</v>
      </c>
      <c r="G106" s="5">
        <f>output_NHTS!G257</f>
        <v>29096.123840976274</v>
      </c>
      <c r="H106" s="5">
        <f>output_NHTS!H257</f>
        <v>22555.979292527871</v>
      </c>
      <c r="I106" s="5">
        <f>output_NHTS!I257</f>
        <v>0</v>
      </c>
      <c r="J106" s="5">
        <f>output_NHTS!J257</f>
        <v>0</v>
      </c>
      <c r="K106" s="5">
        <f>output_NHTS!K257</f>
        <v>0</v>
      </c>
      <c r="L106" s="5">
        <f si="32" t="shared"/>
        <v>208777.92264387381</v>
      </c>
      <c r="M106" s="265" t="s">
        <v>28</v>
      </c>
      <c r="N106" s="5">
        <f>output!B257</f>
        <v>101355</v>
      </c>
      <c r="O106" s="5">
        <f>output!C257</f>
        <v>16559</v>
      </c>
      <c r="P106" s="5">
        <f>output!D257</f>
        <v>11969</v>
      </c>
      <c r="Q106" s="5">
        <f>output!E257</f>
        <v>52011</v>
      </c>
      <c r="R106" s="5">
        <f>output!F257</f>
        <v>31200</v>
      </c>
      <c r="S106" s="5">
        <f>output!G257</f>
        <v>37487</v>
      </c>
      <c r="T106" s="5">
        <f>output!H257</f>
        <v>25142</v>
      </c>
      <c r="U106" s="5">
        <f>output!I257</f>
        <v>0</v>
      </c>
      <c r="V106" s="5">
        <f>output!J257</f>
        <v>0</v>
      </c>
      <c r="W106" s="5">
        <f>output!K257</f>
        <v>0</v>
      </c>
      <c r="X106" s="5">
        <f si="33" t="shared"/>
        <v>275723</v>
      </c>
      <c r="Y106" s="265" t="s">
        <v>28</v>
      </c>
      <c r="Z106" s="5">
        <f si="34" t="shared"/>
        <v>24955.182398804667</v>
      </c>
      <c r="AA106" s="5">
        <f si="34" t="shared"/>
        <v>6710.3700619984775</v>
      </c>
      <c r="AB106" s="5">
        <f si="34" t="shared"/>
        <v>1553.6203242805295</v>
      </c>
      <c r="AC106" s="5">
        <f si="34" t="shared"/>
        <v>14621.768099636458</v>
      </c>
      <c r="AD106" s="5">
        <f si="34" t="shared"/>
        <v>8127.2396049102099</v>
      </c>
      <c r="AE106" s="5">
        <f si="34" t="shared"/>
        <v>8390.8761590237264</v>
      </c>
      <c r="AF106" s="5">
        <f si="34" t="shared"/>
        <v>2586.0207074721293</v>
      </c>
      <c r="AG106" s="5">
        <f si="34" t="shared"/>
        <v>0</v>
      </c>
      <c r="AH106" s="5">
        <f si="34" t="shared"/>
        <v>0</v>
      </c>
      <c r="AI106" s="5">
        <f si="34" t="shared"/>
        <v>0</v>
      </c>
      <c r="AJ106" s="5">
        <f si="34" t="shared"/>
        <v>66945.077356126189</v>
      </c>
    </row>
    <row r="107" spans="1:36" x14ac:dyDescent="0.2">
      <c r="A107" s="265" t="s">
        <v>29</v>
      </c>
      <c r="B107" s="5">
        <f>output_NHTS!B258</f>
        <v>76574.963115983133</v>
      </c>
      <c r="C107" s="5">
        <f>output_NHTS!C258</f>
        <v>10092.269054707936</v>
      </c>
      <c r="D107" s="5">
        <f>output_NHTS!D258</f>
        <v>9771.4383404745004</v>
      </c>
      <c r="E107" s="5">
        <f>output_NHTS!E258</f>
        <v>34575.708584477463</v>
      </c>
      <c r="F107" s="5">
        <f>output_NHTS!F258</f>
        <v>19703.261498536318</v>
      </c>
      <c r="G107" s="5">
        <f>output_NHTS!G258</f>
        <v>29175.864071530319</v>
      </c>
      <c r="H107" s="5">
        <f>output_NHTS!H258</f>
        <v>12726.453144605111</v>
      </c>
      <c r="I107" s="5">
        <f>output_NHTS!I258</f>
        <v>0</v>
      </c>
      <c r="J107" s="5">
        <f>output_NHTS!J258</f>
        <v>0</v>
      </c>
      <c r="K107" s="5">
        <f>output_NHTS!K258</f>
        <v>0</v>
      </c>
      <c r="L107" s="5">
        <f si="32" t="shared"/>
        <v>192619.95781031478</v>
      </c>
      <c r="M107" s="265" t="s">
        <v>29</v>
      </c>
      <c r="N107" s="7">
        <f>output!B258</f>
        <v>69108</v>
      </c>
      <c r="O107" s="7">
        <f>output!C258</f>
        <v>13571</v>
      </c>
      <c r="P107" s="7">
        <f>output!D258</f>
        <v>9691</v>
      </c>
      <c r="Q107" s="5">
        <f>output!E258</f>
        <v>40869</v>
      </c>
      <c r="R107" s="5">
        <f>output!F258</f>
        <v>25020</v>
      </c>
      <c r="S107" s="5">
        <f>output!G258</f>
        <v>32315</v>
      </c>
      <c r="T107" s="5">
        <f>output!H258</f>
        <v>19851</v>
      </c>
      <c r="U107" s="5">
        <f>output!I258</f>
        <v>0</v>
      </c>
      <c r="V107" s="5">
        <f>output!J258</f>
        <v>0</v>
      </c>
      <c r="W107" s="5">
        <f>output!K258</f>
        <v>0</v>
      </c>
      <c r="X107" s="5">
        <f si="33" t="shared"/>
        <v>210425</v>
      </c>
      <c r="Y107" s="265" t="s">
        <v>29</v>
      </c>
      <c r="Z107" s="7">
        <f si="34" t="shared"/>
        <v>-7466.9631159831333</v>
      </c>
      <c r="AA107" s="7">
        <f si="34" t="shared"/>
        <v>3478.7309452920636</v>
      </c>
      <c r="AB107" s="7">
        <f si="34" t="shared"/>
        <v>-80.438340474500365</v>
      </c>
      <c r="AC107" s="7">
        <f si="34" t="shared"/>
        <v>6293.2914155225371</v>
      </c>
      <c r="AD107" s="7">
        <f si="34" t="shared"/>
        <v>5316.738501463682</v>
      </c>
      <c r="AE107" s="7">
        <f si="34" t="shared"/>
        <v>3139.1359284696809</v>
      </c>
      <c r="AF107" s="5">
        <f si="34" t="shared"/>
        <v>7124.5468553948886</v>
      </c>
      <c r="AG107" s="5">
        <f si="34" t="shared"/>
        <v>0</v>
      </c>
      <c r="AH107" s="5">
        <f si="34" t="shared"/>
        <v>0</v>
      </c>
      <c r="AI107" s="5">
        <f si="34" t="shared"/>
        <v>0</v>
      </c>
      <c r="AJ107" s="7">
        <f si="34" t="shared"/>
        <v>17805.04218968522</v>
      </c>
    </row>
    <row customHeight="1" ht="13.15" r="108" spans="1:36" thickBot="1" x14ac:dyDescent="0.25">
      <c r="A108" s="8" t="s">
        <v>4</v>
      </c>
      <c r="B108" s="9">
        <f ref="B108:L108" si="35" t="shared">SUM(B101:B107)</f>
        <v>671598.89248682756</v>
      </c>
      <c r="C108" s="9">
        <f si="35" t="shared"/>
        <v>100836.85651630166</v>
      </c>
      <c r="D108" s="9">
        <f si="35" t="shared"/>
        <v>73656.207912639686</v>
      </c>
      <c r="E108" s="9">
        <f si="35" t="shared"/>
        <v>355507.88776567846</v>
      </c>
      <c r="F108" s="9">
        <f si="35" t="shared"/>
        <v>191497.72415626846</v>
      </c>
      <c r="G108" s="9">
        <f si="35" t="shared"/>
        <v>260876.64625562404</v>
      </c>
      <c r="H108" s="9">
        <f si="35" t="shared"/>
        <v>146552.70730923646</v>
      </c>
      <c r="I108" s="9">
        <f si="35" t="shared"/>
        <v>0</v>
      </c>
      <c r="J108" s="9">
        <f si="35" t="shared"/>
        <v>0</v>
      </c>
      <c r="K108" s="9">
        <f si="35" t="shared"/>
        <v>0</v>
      </c>
      <c r="L108" s="9">
        <f si="35" t="shared"/>
        <v>1800526.9224025763</v>
      </c>
      <c r="M108" s="8" t="s">
        <v>4</v>
      </c>
      <c r="N108" s="9">
        <f ref="N108:X108" si="36" t="shared">SUM(N101:N107)</f>
        <v>620545</v>
      </c>
      <c r="O108" s="9">
        <f si="36" t="shared"/>
        <v>100194</v>
      </c>
      <c r="P108" s="9">
        <f si="36" t="shared"/>
        <v>71896</v>
      </c>
      <c r="Q108" s="9">
        <f si="36" t="shared"/>
        <v>324083</v>
      </c>
      <c r="R108" s="9">
        <f si="36" t="shared"/>
        <v>192378</v>
      </c>
      <c r="S108" s="9">
        <f si="36" t="shared"/>
        <v>240443</v>
      </c>
      <c r="T108" s="9">
        <f si="36" t="shared"/>
        <v>152571</v>
      </c>
      <c r="U108" s="9">
        <f si="36" t="shared"/>
        <v>0</v>
      </c>
      <c r="V108" s="9">
        <f si="36" t="shared"/>
        <v>0</v>
      </c>
      <c r="W108" s="9">
        <f si="36" t="shared"/>
        <v>0</v>
      </c>
      <c r="X108" s="9">
        <f si="36" t="shared"/>
        <v>1702110</v>
      </c>
      <c r="Y108" s="8" t="s">
        <v>4</v>
      </c>
      <c r="Z108" s="9">
        <f si="34" t="shared"/>
        <v>-51053.892486827564</v>
      </c>
      <c r="AA108" s="9">
        <f si="34" t="shared"/>
        <v>-642.85651630166103</v>
      </c>
      <c r="AB108" s="9">
        <f si="34" t="shared"/>
        <v>-1760.2079126396857</v>
      </c>
      <c r="AC108" s="9">
        <f si="34" t="shared"/>
        <v>-31424.887765678461</v>
      </c>
      <c r="AD108" s="9">
        <f si="34" t="shared"/>
        <v>880.27584373153513</v>
      </c>
      <c r="AE108" s="9">
        <f si="34" t="shared"/>
        <v>-20433.646255624044</v>
      </c>
      <c r="AF108" s="9">
        <f si="34" t="shared"/>
        <v>6018.292690763541</v>
      </c>
      <c r="AG108" s="9">
        <f si="34" t="shared"/>
        <v>0</v>
      </c>
      <c r="AH108" s="9">
        <f si="34" t="shared"/>
        <v>0</v>
      </c>
      <c r="AI108" s="9">
        <f si="34" t="shared"/>
        <v>0</v>
      </c>
      <c r="AJ108" s="9">
        <f si="34" t="shared"/>
        <v>-98416.922402576311</v>
      </c>
    </row>
    <row r="110" spans="1:36" x14ac:dyDescent="0.2">
      <c r="A110" s="265" t="s">
        <v>174</v>
      </c>
      <c r="B110" s="5">
        <f>ToursByTourPurpose!B118</f>
        <v>653169.10305177723</v>
      </c>
      <c r="C110" s="5">
        <f>ToursByTourPurpose!C118</f>
        <v>103500.99999999993</v>
      </c>
      <c r="D110" s="5">
        <f>ToursByTourPurpose!D118</f>
        <v>72126.842960679831</v>
      </c>
      <c r="E110" s="5">
        <f>ToursByTourPurpose!E118</f>
        <v>339467.00000000047</v>
      </c>
      <c r="F110" s="5">
        <f>ToursByTourPurpose!F118</f>
        <v>193840.00865513986</v>
      </c>
      <c r="G110" s="5">
        <f>ToursByTourPurpose!G118</f>
        <v>251106.05398754237</v>
      </c>
      <c r="H110" s="5">
        <f>ToursByTourPurpose!H118</f>
        <v>153010.99134486017</v>
      </c>
      <c r="I110" s="5">
        <f>ToursByTourPurpose!I118</f>
        <v>0</v>
      </c>
      <c r="J110" s="5">
        <f>ToursByTourPurpose!J118</f>
        <v>0</v>
      </c>
      <c r="K110" s="5">
        <f>ToursByTourPurpose!K118</f>
        <v>0</v>
      </c>
      <c r="L110" s="5">
        <f>ToursByTourPurpose!L118</f>
        <v>1766221</v>
      </c>
      <c r="M110" s="265" t="s">
        <v>174</v>
      </c>
      <c r="N110" s="5">
        <f>ToursByTourPurpose!N118</f>
        <v>653968</v>
      </c>
      <c r="O110" s="5">
        <f>ToursByTourPurpose!O118</f>
        <v>103501</v>
      </c>
      <c r="P110" s="5">
        <f>ToursByTourPurpose!P118</f>
        <v>71370</v>
      </c>
      <c r="Q110" s="5">
        <f>ToursByTourPurpose!Q118</f>
        <v>339384</v>
      </c>
      <c r="R110" s="5">
        <f>ToursByTourPurpose!R118</f>
        <v>193955</v>
      </c>
      <c r="S110" s="5">
        <f>ToursByTourPurpose!S118</f>
        <v>251147</v>
      </c>
      <c r="T110" s="5">
        <f>ToursByTourPurpose!T118</f>
        <v>152896</v>
      </c>
      <c r="U110" s="5">
        <f>ToursByTourPurpose!U118</f>
        <v>0</v>
      </c>
      <c r="V110" s="5">
        <f>ToursByTourPurpose!V118</f>
        <v>0</v>
      </c>
      <c r="W110" s="5">
        <f>ToursByTourPurpose!W118</f>
        <v>0</v>
      </c>
      <c r="X110" s="5">
        <f>ToursByTourPurpose!X118</f>
        <v>1766221</v>
      </c>
      <c r="Y110" s="265" t="s">
        <v>174</v>
      </c>
      <c r="Z110" s="5">
        <f ref="Z110:AJ111" si="37" t="shared">N110-B110</f>
        <v>798.89694822276942</v>
      </c>
      <c r="AA110" s="5">
        <f si="37" t="shared"/>
        <v>0</v>
      </c>
      <c r="AB110" s="5">
        <f si="37" t="shared"/>
        <v>-756.84296067983087</v>
      </c>
      <c r="AC110" s="5">
        <f si="37" t="shared"/>
        <v>-83.000000000465661</v>
      </c>
      <c r="AD110" s="5">
        <f si="37" t="shared"/>
        <v>114.99134486014373</v>
      </c>
      <c r="AE110" s="5">
        <f si="37" t="shared"/>
        <v>40.946012457628967</v>
      </c>
      <c r="AF110" s="5">
        <f si="37" t="shared"/>
        <v>-114.99134486017283</v>
      </c>
      <c r="AG110" s="5">
        <f si="37" t="shared"/>
        <v>0</v>
      </c>
      <c r="AH110" s="5">
        <f si="37" t="shared"/>
        <v>0</v>
      </c>
      <c r="AI110" s="5">
        <f si="37" t="shared"/>
        <v>0</v>
      </c>
      <c r="AJ110" s="5">
        <f si="37" t="shared"/>
        <v>0</v>
      </c>
    </row>
    <row r="111" spans="1:36" x14ac:dyDescent="0.2">
      <c r="A111" s="265" t="s">
        <v>1080</v>
      </c>
      <c r="B111" s="219">
        <f ref="B111:L111" si="38" t="shared">B108/B110</f>
        <v>1.0282159541058227</v>
      </c>
      <c r="C111" s="219">
        <f si="38" t="shared"/>
        <v>0.97425973194753412</v>
      </c>
      <c r="D111" s="219">
        <f si="38" t="shared"/>
        <v>1.0212038249448072</v>
      </c>
      <c r="E111" s="219">
        <f si="38" t="shared"/>
        <v>1.0472531579378201</v>
      </c>
      <c r="F111" s="219">
        <f si="38" t="shared"/>
        <v>0.98791640324862684</v>
      </c>
      <c r="G111" s="219">
        <f si="38" t="shared"/>
        <v>1.0389102218482011</v>
      </c>
      <c r="H111" s="219">
        <f si="38" t="shared"/>
        <v>0.95779202540379693</v>
      </c>
      <c r="I111" s="219" t="e">
        <f si="38" t="shared"/>
        <v>#DIV/0!</v>
      </c>
      <c r="J111" s="219" t="e">
        <f si="38" t="shared"/>
        <v>#DIV/0!</v>
      </c>
      <c r="K111" s="219" t="e">
        <f si="38" t="shared"/>
        <v>#DIV/0!</v>
      </c>
      <c r="L111" s="219">
        <f si="38" t="shared"/>
        <v>1.0194233464569702</v>
      </c>
      <c r="M111" s="265" t="s">
        <v>1080</v>
      </c>
      <c r="N111" s="219">
        <f ref="N111:X111" si="39" t="shared">N108/N110</f>
        <v>0.94889199471533781</v>
      </c>
      <c r="O111" s="219">
        <f si="39" t="shared"/>
        <v>0.96804861788774987</v>
      </c>
      <c r="P111" s="219">
        <f si="39" t="shared"/>
        <v>1.0073700434356172</v>
      </c>
      <c r="Q111" s="219">
        <f si="39" t="shared"/>
        <v>0.95491537609315702</v>
      </c>
      <c r="R111" s="219">
        <f si="39" t="shared"/>
        <v>0.99186924802144827</v>
      </c>
      <c r="S111" s="219">
        <f si="39" t="shared"/>
        <v>0.95737954265828384</v>
      </c>
      <c r="T111" s="219">
        <f si="39" t="shared"/>
        <v>0.99787437212222685</v>
      </c>
      <c r="U111" s="219" t="e">
        <f si="39" t="shared"/>
        <v>#DIV/0!</v>
      </c>
      <c r="V111" s="219" t="e">
        <f si="39" t="shared"/>
        <v>#DIV/0!</v>
      </c>
      <c r="W111" s="219" t="e">
        <f si="39" t="shared"/>
        <v>#DIV/0!</v>
      </c>
      <c r="X111" s="219">
        <f si="39" t="shared"/>
        <v>0.96370159793140264</v>
      </c>
      <c r="Y111" s="265" t="s">
        <v>1080</v>
      </c>
      <c r="Z111" s="219">
        <f si="37" t="shared"/>
        <v>-7.9323959390484866E-2</v>
      </c>
      <c r="AA111" s="219">
        <f si="37" t="shared"/>
        <v>-6.2111140597842507E-3</v>
      </c>
      <c r="AB111" s="219">
        <f si="37" t="shared"/>
        <v>-1.3833781509190013E-2</v>
      </c>
      <c r="AC111" s="219">
        <f si="37" t="shared"/>
        <v>-9.2337781844663125E-2</v>
      </c>
      <c r="AD111" s="219">
        <f si="37" t="shared"/>
        <v>3.9528447728214289E-3</v>
      </c>
      <c r="AE111" s="219">
        <f si="37" t="shared"/>
        <v>-8.1530679189917299E-2</v>
      </c>
      <c r="AF111" s="219">
        <f si="37" t="shared"/>
        <v>4.0082346718429918E-2</v>
      </c>
      <c r="AG111" s="219" t="e">
        <f si="37" t="shared"/>
        <v>#DIV/0!</v>
      </c>
      <c r="AH111" s="219" t="e">
        <f si="37" t="shared"/>
        <v>#DIV/0!</v>
      </c>
      <c r="AI111" s="219" t="e">
        <f si="37" t="shared"/>
        <v>#DIV/0!</v>
      </c>
      <c r="AJ111" s="219">
        <f si="37" t="shared"/>
        <v>-5.5721748525567549E-2</v>
      </c>
    </row>
    <row customHeight="1" ht="13.15" r="113" spans="1:36" x14ac:dyDescent="0.2">
      <c r="A113" s="264" t="s">
        <v>41</v>
      </c>
      <c r="M113" s="264" t="s">
        <v>41</v>
      </c>
      <c r="Y113" s="264" t="s">
        <v>41</v>
      </c>
    </row>
    <row customHeight="1" ht="13.15" r="114" spans="1:36" x14ac:dyDescent="0.2">
      <c r="A114" s="264" t="s">
        <v>1099</v>
      </c>
      <c r="M114" s="264" t="s">
        <v>1100</v>
      </c>
      <c r="Y114" s="264" t="s">
        <v>1101</v>
      </c>
    </row>
    <row customHeight="1" ht="13.15" r="115" spans="1:36" thickBot="1" x14ac:dyDescent="0.25">
      <c r="B115" s="13"/>
      <c r="C115" s="13"/>
      <c r="D115" s="13"/>
      <c r="E115" s="13"/>
      <c r="F115" s="13"/>
      <c r="I115" s="13"/>
      <c r="J115" s="13"/>
      <c r="K115" s="13"/>
      <c r="N115" s="13"/>
      <c r="O115" s="13"/>
      <c r="P115" s="13"/>
      <c r="Q115" s="13"/>
      <c r="R115" s="13"/>
      <c r="U115" s="13"/>
      <c r="V115" s="13"/>
      <c r="W115" s="13"/>
      <c r="Z115" s="13"/>
      <c r="AA115" s="13"/>
      <c r="AB115" s="13"/>
      <c r="AC115" s="13"/>
      <c r="AD115" s="13"/>
    </row>
    <row customHeight="1" ht="13.15" r="116" spans="1:36" x14ac:dyDescent="0.2">
      <c r="A116" s="3" t="s">
        <v>37</v>
      </c>
      <c r="B116" s="4">
        <f ref="B116:H116" si="40" t="shared">B100</f>
        <v>1</v>
      </c>
      <c r="C116" s="4">
        <f si="40" t="shared"/>
        <v>2</v>
      </c>
      <c r="D116" s="4">
        <f si="40" t="shared"/>
        <v>3</v>
      </c>
      <c r="E116" s="4">
        <f si="40" t="shared"/>
        <v>4</v>
      </c>
      <c r="F116" s="4">
        <f si="40" t="shared"/>
        <v>5</v>
      </c>
      <c r="G116" s="4">
        <f si="40" t="shared"/>
        <v>6</v>
      </c>
      <c r="H116" s="4">
        <f si="40" t="shared"/>
        <v>7</v>
      </c>
      <c r="I116" s="85">
        <v>8</v>
      </c>
      <c r="J116" s="27">
        <v>9</v>
      </c>
      <c r="K116" s="85">
        <v>10</v>
      </c>
      <c r="L116" s="4" t="s">
        <v>4</v>
      </c>
      <c r="M116" s="3" t="s">
        <v>37</v>
      </c>
      <c r="N116" s="4">
        <f ref="N116:T116" si="41" t="shared">B100</f>
        <v>1</v>
      </c>
      <c r="O116" s="4">
        <f si="41" t="shared"/>
        <v>2</v>
      </c>
      <c r="P116" s="4">
        <f si="41" t="shared"/>
        <v>3</v>
      </c>
      <c r="Q116" s="4">
        <f si="41" t="shared"/>
        <v>4</v>
      </c>
      <c r="R116" s="4">
        <f si="41" t="shared"/>
        <v>5</v>
      </c>
      <c r="S116" s="4">
        <f si="41" t="shared"/>
        <v>6</v>
      </c>
      <c r="T116" s="4">
        <f si="41" t="shared"/>
        <v>7</v>
      </c>
      <c r="U116" s="6">
        <v>8</v>
      </c>
      <c r="V116" s="27">
        <v>9</v>
      </c>
      <c r="W116" s="6">
        <v>10</v>
      </c>
      <c r="X116" s="4" t="s">
        <v>4</v>
      </c>
      <c r="Y116" s="3" t="s">
        <v>37</v>
      </c>
      <c r="Z116" s="4">
        <f ref="Z116:AI116" si="42" t="shared">B100</f>
        <v>1</v>
      </c>
      <c r="AA116" s="4">
        <f si="42" t="shared"/>
        <v>2</v>
      </c>
      <c r="AB116" s="4">
        <f si="42" t="shared"/>
        <v>3</v>
      </c>
      <c r="AC116" s="4">
        <f si="42" t="shared"/>
        <v>4</v>
      </c>
      <c r="AD116" s="4">
        <f si="42" t="shared"/>
        <v>5</v>
      </c>
      <c r="AE116" s="4">
        <f si="42" t="shared"/>
        <v>6</v>
      </c>
      <c r="AF116" s="4">
        <f si="42" t="shared"/>
        <v>7</v>
      </c>
      <c r="AG116" s="4">
        <f si="42" t="shared"/>
        <v>8</v>
      </c>
      <c r="AH116" s="4">
        <f si="42" t="shared"/>
        <v>9</v>
      </c>
      <c r="AI116" s="4">
        <f si="42" t="shared"/>
        <v>10</v>
      </c>
      <c r="AJ116" s="4" t="s">
        <v>4</v>
      </c>
    </row>
    <row r="117" spans="1:36" x14ac:dyDescent="0.2">
      <c r="A117" s="265" t="s">
        <v>23</v>
      </c>
      <c r="B117" s="10">
        <f ref="B117:L117" si="43" t="shared">B101/B$108</f>
        <v>0.12796679764398286</v>
      </c>
      <c r="C117" s="10">
        <f si="43" t="shared"/>
        <v>9.0840714878696896E-2</v>
      </c>
      <c r="D117" s="10">
        <f si="43" t="shared"/>
        <v>0.1539986746846673</v>
      </c>
      <c r="E117" s="10">
        <f si="43" t="shared"/>
        <v>7.553732500203808E-2</v>
      </c>
      <c r="F117" s="10">
        <f si="43" t="shared"/>
        <v>6.7543881208300641E-2</v>
      </c>
      <c r="G117" s="10">
        <f si="43" t="shared"/>
        <v>5.5449914142514233E-2</v>
      </c>
      <c r="H117" s="10">
        <f si="43" t="shared"/>
        <v>8.7444487623085806E-2</v>
      </c>
      <c r="I117" s="10" t="e">
        <f si="43" t="shared"/>
        <v>#DIV/0!</v>
      </c>
      <c r="J117" s="10" t="e">
        <f si="43" t="shared"/>
        <v>#DIV/0!</v>
      </c>
      <c r="K117" s="10" t="e">
        <f si="43" t="shared"/>
        <v>#DIV/0!</v>
      </c>
      <c r="L117" s="10">
        <f si="43" t="shared"/>
        <v>9.6368921994382684E-2</v>
      </c>
      <c r="M117" s="265" t="s">
        <v>23</v>
      </c>
      <c r="N117" s="10">
        <f ref="N117:X117" si="44" t="shared">N101/N$108</f>
        <v>0.10885270206028572</v>
      </c>
      <c r="O117" s="10">
        <f si="44" t="shared"/>
        <v>8.5903347505838668E-2</v>
      </c>
      <c r="P117" s="10">
        <f si="44" t="shared"/>
        <v>8.8641927228218537E-2</v>
      </c>
      <c r="Q117" s="10">
        <f si="44" t="shared"/>
        <v>9.6499970686521663E-2</v>
      </c>
      <c r="R117" s="10">
        <f si="44" t="shared"/>
        <v>9.0956346359770873E-2</v>
      </c>
      <c r="S117" s="10">
        <f si="44" t="shared"/>
        <v>8.8245446945845796E-2</v>
      </c>
      <c r="T117" s="10">
        <f si="44" t="shared"/>
        <v>9.2317675049649009E-2</v>
      </c>
      <c r="U117" s="10" t="e">
        <f si="44" t="shared"/>
        <v>#DIV/0!</v>
      </c>
      <c r="V117" s="10" t="e">
        <f si="44" t="shared"/>
        <v>#DIV/0!</v>
      </c>
      <c r="W117" s="10" t="e">
        <f si="44" t="shared"/>
        <v>#DIV/0!</v>
      </c>
      <c r="X117" s="10">
        <f si="44" t="shared"/>
        <v>9.7880278007884333E-2</v>
      </c>
      <c r="Y117" s="265" t="s">
        <v>23</v>
      </c>
      <c r="Z117" s="10">
        <f ref="Z117:AJ124" si="45" t="shared">N117-B117</f>
        <v>-1.9114095583697144E-2</v>
      </c>
      <c r="AA117" s="10">
        <f si="45" t="shared"/>
        <v>-4.9373673728582285E-3</v>
      </c>
      <c r="AB117" s="10">
        <f si="45" t="shared"/>
        <v>-6.535674745644876E-2</v>
      </c>
      <c r="AC117" s="10">
        <f si="45" t="shared"/>
        <v>2.0962645684483583E-2</v>
      </c>
      <c r="AD117" s="10">
        <f si="45" t="shared"/>
        <v>2.3412465151470233E-2</v>
      </c>
      <c r="AE117" s="10">
        <f si="45" t="shared"/>
        <v>3.2795532803331563E-2</v>
      </c>
      <c r="AF117" s="10">
        <f si="45" t="shared"/>
        <v>4.8731874265632025E-3</v>
      </c>
      <c r="AG117" s="10" t="e">
        <f si="45" t="shared"/>
        <v>#DIV/0!</v>
      </c>
      <c r="AH117" s="10" t="e">
        <f si="45" t="shared"/>
        <v>#DIV/0!</v>
      </c>
      <c r="AI117" s="10" t="e">
        <f si="45" t="shared"/>
        <v>#DIV/0!</v>
      </c>
      <c r="AJ117" s="10">
        <f si="45" t="shared"/>
        <v>1.5113560135016496E-3</v>
      </c>
    </row>
    <row r="118" spans="1:36" x14ac:dyDescent="0.2">
      <c r="A118" s="265" t="s">
        <v>24</v>
      </c>
      <c r="B118" s="10">
        <f ref="B118:L118" si="46" t="shared">B102/B$108</f>
        <v>1.5598860560476241E-2</v>
      </c>
      <c r="C118" s="10">
        <f si="46" t="shared"/>
        <v>3.429314066100786E-3</v>
      </c>
      <c r="D118" s="10">
        <f si="46" t="shared"/>
        <v>4.5466351119163237E-3</v>
      </c>
      <c r="E118" s="10">
        <f si="46" t="shared"/>
        <v>9.3615300395761616E-3</v>
      </c>
      <c r="F118" s="10">
        <f si="46" t="shared"/>
        <v>3.6352976851111154E-3</v>
      </c>
      <c r="G118" s="10">
        <f si="46" t="shared"/>
        <v>1.3486781242710239E-2</v>
      </c>
      <c r="H118" s="10">
        <f si="46" t="shared"/>
        <v>7.8888869576486387E-3</v>
      </c>
      <c r="I118" s="10" t="e">
        <f si="46" t="shared"/>
        <v>#DIV/0!</v>
      </c>
      <c r="J118" s="10" t="e">
        <f si="46" t="shared"/>
        <v>#DIV/0!</v>
      </c>
      <c r="K118" s="10" t="e">
        <f si="46" t="shared"/>
        <v>#DIV/0!</v>
      </c>
      <c r="L118" s="10">
        <f si="46" t="shared"/>
        <v>1.1027682721984431E-2</v>
      </c>
      <c r="M118" s="265" t="s">
        <v>24</v>
      </c>
      <c r="N118" s="10">
        <f ref="N118:X118" si="47" t="shared">N102/N$108</f>
        <v>1.8992981975521517E-2</v>
      </c>
      <c r="O118" s="10">
        <f si="47" t="shared"/>
        <v>2.0799648681557779E-2</v>
      </c>
      <c r="P118" s="10">
        <f si="47" t="shared"/>
        <v>1.9597752308890621E-2</v>
      </c>
      <c r="Q118" s="10">
        <f si="47" t="shared"/>
        <v>2.4302416356303785E-2</v>
      </c>
      <c r="R118" s="10">
        <f si="47" t="shared"/>
        <v>2.0345361735749409E-2</v>
      </c>
      <c r="S118" s="10">
        <f si="47" t="shared"/>
        <v>2.4625378987951408E-2</v>
      </c>
      <c r="T118" s="10">
        <f si="47" t="shared"/>
        <v>2.0410169691487897E-2</v>
      </c>
      <c r="U118" s="10" t="e">
        <f si="47" t="shared"/>
        <v>#DIV/0!</v>
      </c>
      <c r="V118" s="10" t="e">
        <f si="47" t="shared"/>
        <v>#DIV/0!</v>
      </c>
      <c r="W118" s="10" t="e">
        <f si="47" t="shared"/>
        <v>#DIV/0!</v>
      </c>
      <c r="X118" s="10">
        <f si="47" t="shared"/>
        <v>2.1211320067445701E-2</v>
      </c>
      <c r="Y118" s="265" t="s">
        <v>24</v>
      </c>
      <c r="Z118" s="10">
        <f si="45" t="shared"/>
        <v>3.3941214150452759E-3</v>
      </c>
      <c r="AA118" s="10">
        <f si="45" t="shared"/>
        <v>1.7370334615456992E-2</v>
      </c>
      <c r="AB118" s="10">
        <f si="45" t="shared"/>
        <v>1.5051117196974297E-2</v>
      </c>
      <c r="AC118" s="10">
        <f si="45" t="shared"/>
        <v>1.4940886316727624E-2</v>
      </c>
      <c r="AD118" s="10">
        <f si="45" t="shared"/>
        <v>1.6710064050638292E-2</v>
      </c>
      <c r="AE118" s="10">
        <f si="45" t="shared"/>
        <v>1.1138597745241169E-2</v>
      </c>
      <c r="AF118" s="10">
        <f si="45" t="shared"/>
        <v>1.2521282733839258E-2</v>
      </c>
      <c r="AG118" s="10" t="e">
        <f si="45" t="shared"/>
        <v>#DIV/0!</v>
      </c>
      <c r="AH118" s="10" t="e">
        <f si="45" t="shared"/>
        <v>#DIV/0!</v>
      </c>
      <c r="AI118" s="10" t="e">
        <f si="45" t="shared"/>
        <v>#DIV/0!</v>
      </c>
      <c r="AJ118" s="10">
        <f si="45" t="shared"/>
        <v>1.018363734546127E-2</v>
      </c>
    </row>
    <row r="119" spans="1:36" x14ac:dyDescent="0.2">
      <c r="A119" s="265" t="s">
        <v>25</v>
      </c>
      <c r="B119" s="10">
        <f ref="B119:L119" si="48" t="shared">B103/B$108</f>
        <v>0.17967812436037275</v>
      </c>
      <c r="C119" s="10">
        <f si="48" t="shared"/>
        <v>0.13460046188152253</v>
      </c>
      <c r="D119" s="10">
        <f si="48" t="shared"/>
        <v>0.13349834174099715</v>
      </c>
      <c r="E119" s="10">
        <f si="48" t="shared"/>
        <v>0.18136748069927666</v>
      </c>
      <c r="F119" s="10">
        <f si="48" t="shared"/>
        <v>0.1407129462473061</v>
      </c>
      <c r="G119" s="10">
        <f si="48" t="shared"/>
        <v>0.13214890502984411</v>
      </c>
      <c r="H119" s="10">
        <f si="48" t="shared"/>
        <v>0.1262314425072576</v>
      </c>
      <c r="I119" s="10" t="e">
        <f si="48" t="shared"/>
        <v>#DIV/0!</v>
      </c>
      <c r="J119" s="10" t="e">
        <f si="48" t="shared"/>
        <v>#DIV/0!</v>
      </c>
      <c r="K119" s="10" t="e">
        <f si="48" t="shared"/>
        <v>#DIV/0!</v>
      </c>
      <c r="L119" s="10">
        <f si="48" t="shared"/>
        <v>0.16021709897713599</v>
      </c>
      <c r="M119" s="265" t="s">
        <v>25</v>
      </c>
      <c r="N119" s="10">
        <f ref="N119:X119" si="49" t="shared">N103/N$108</f>
        <v>0.12267281180252843</v>
      </c>
      <c r="O119" s="10">
        <f si="49" t="shared"/>
        <v>0.10956743916801405</v>
      </c>
      <c r="P119" s="10">
        <f si="49" t="shared"/>
        <v>0.11239846444864805</v>
      </c>
      <c r="Q119" s="10">
        <f si="49" t="shared"/>
        <v>0.13088313796157158</v>
      </c>
      <c r="R119" s="10">
        <f si="49" t="shared"/>
        <v>0.12066348542972689</v>
      </c>
      <c r="S119" s="10">
        <f si="49" t="shared"/>
        <v>0.1294568775135895</v>
      </c>
      <c r="T119" s="10">
        <f si="49" t="shared"/>
        <v>0.11875126990057089</v>
      </c>
      <c r="U119" s="10" t="e">
        <f si="49" t="shared"/>
        <v>#DIV/0!</v>
      </c>
      <c r="V119" s="10" t="e">
        <f si="49" t="shared"/>
        <v>#DIV/0!</v>
      </c>
      <c r="W119" s="10" t="e">
        <f si="49" t="shared"/>
        <v>#DIV/0!</v>
      </c>
      <c r="X119" s="10">
        <f si="49" t="shared"/>
        <v>0.1234103553824371</v>
      </c>
      <c r="Y119" s="265" t="s">
        <v>25</v>
      </c>
      <c r="Z119" s="10">
        <f si="45" t="shared"/>
        <v>-5.7005312557844329E-2</v>
      </c>
      <c r="AA119" s="10">
        <f si="45" t="shared"/>
        <v>-2.5033022713508477E-2</v>
      </c>
      <c r="AB119" s="10">
        <f si="45" t="shared"/>
        <v>-2.1099877292349092E-2</v>
      </c>
      <c r="AC119" s="10">
        <f si="45" t="shared"/>
        <v>-5.0484342737705079E-2</v>
      </c>
      <c r="AD119" s="10">
        <f si="45" t="shared"/>
        <v>-2.0049460817579204E-2</v>
      </c>
      <c r="AE119" s="10">
        <f si="45" t="shared"/>
        <v>-2.6920275162546081E-3</v>
      </c>
      <c r="AF119" s="10">
        <f si="45" t="shared"/>
        <v>-7.480172606686708E-3</v>
      </c>
      <c r="AG119" s="10" t="e">
        <f si="45" t="shared"/>
        <v>#DIV/0!</v>
      </c>
      <c r="AH119" s="10" t="e">
        <f si="45" t="shared"/>
        <v>#DIV/0!</v>
      </c>
      <c r="AI119" s="10" t="e">
        <f si="45" t="shared"/>
        <v>#DIV/0!</v>
      </c>
      <c r="AJ119" s="10">
        <f si="45" t="shared"/>
        <v>-3.680674359469889E-2</v>
      </c>
    </row>
    <row r="120" spans="1:36" x14ac:dyDescent="0.2">
      <c r="A120" s="265" t="s">
        <v>26</v>
      </c>
      <c r="B120" s="10">
        <f ref="B120:L120" si="50" t="shared">B104/B$108</f>
        <v>0.27565183568675938</v>
      </c>
      <c r="C120" s="10">
        <f si="50" t="shared"/>
        <v>0.35754617516470871</v>
      </c>
      <c r="D120" s="10">
        <f si="50" t="shared"/>
        <v>0.21486115037358308</v>
      </c>
      <c r="E120" s="10">
        <f si="50" t="shared"/>
        <v>0.31257395776431701</v>
      </c>
      <c r="F120" s="10">
        <f si="50" t="shared"/>
        <v>0.33300478676460499</v>
      </c>
      <c r="G120" s="10">
        <f si="50" t="shared"/>
        <v>0.30699905110325404</v>
      </c>
      <c r="H120" s="10">
        <f si="50" t="shared"/>
        <v>0.32809116307191644</v>
      </c>
      <c r="I120" s="10" t="e">
        <f si="50" t="shared"/>
        <v>#DIV/0!</v>
      </c>
      <c r="J120" s="10" t="e">
        <f si="50" t="shared"/>
        <v>#DIV/0!</v>
      </c>
      <c r="K120" s="10" t="e">
        <f si="50" t="shared"/>
        <v>#DIV/0!</v>
      </c>
      <c r="L120" s="10">
        <f si="50" t="shared"/>
        <v>0.29995155757385245</v>
      </c>
      <c r="M120" s="265" t="s">
        <v>26</v>
      </c>
      <c r="N120" s="10">
        <f ref="N120:X120" si="51" t="shared">N104/N$108</f>
        <v>0.27305997147668581</v>
      </c>
      <c r="O120" s="10">
        <f si="51" t="shared"/>
        <v>0.2831207457532387</v>
      </c>
      <c r="P120" s="10">
        <f si="51" t="shared"/>
        <v>0.28422999888728162</v>
      </c>
      <c r="Q120" s="10">
        <f si="51" t="shared"/>
        <v>0.26994319356461155</v>
      </c>
      <c r="R120" s="10">
        <f si="51" t="shared"/>
        <v>0.27855056191456401</v>
      </c>
      <c r="S120" s="10">
        <f si="51" t="shared"/>
        <v>0.27467216762392749</v>
      </c>
      <c r="T120" s="10">
        <f si="51" t="shared"/>
        <v>0.27996146056590049</v>
      </c>
      <c r="U120" s="10" t="e">
        <f si="51" t="shared"/>
        <v>#DIV/0!</v>
      </c>
      <c r="V120" s="10" t="e">
        <f si="51" t="shared"/>
        <v>#DIV/0!</v>
      </c>
      <c r="W120" s="10" t="e">
        <f si="51" t="shared"/>
        <v>#DIV/0!</v>
      </c>
      <c r="X120" s="10">
        <f si="51" t="shared"/>
        <v>0.27499750309909465</v>
      </c>
      <c r="Y120" s="265" t="s">
        <v>26</v>
      </c>
      <c r="Z120" s="10">
        <f si="45" t="shared"/>
        <v>-2.5918642100735689E-3</v>
      </c>
      <c r="AA120" s="10">
        <f si="45" t="shared"/>
        <v>-7.4425429411470012E-2</v>
      </c>
      <c r="AB120" s="10">
        <f si="45" t="shared"/>
        <v>6.9368848513698539E-2</v>
      </c>
      <c r="AC120" s="10">
        <f si="45" t="shared"/>
        <v>-4.2630764199705462E-2</v>
      </c>
      <c r="AD120" s="10">
        <f si="45" t="shared"/>
        <v>-5.4454224850040978E-2</v>
      </c>
      <c r="AE120" s="10">
        <f si="45" t="shared"/>
        <v>-3.2326883479326551E-2</v>
      </c>
      <c r="AF120" s="10">
        <f si="45" t="shared"/>
        <v>-4.8129702506015948E-2</v>
      </c>
      <c r="AG120" s="10" t="e">
        <f si="45" t="shared"/>
        <v>#DIV/0!</v>
      </c>
      <c r="AH120" s="10" t="e">
        <f si="45" t="shared"/>
        <v>#DIV/0!</v>
      </c>
      <c r="AI120" s="10" t="e">
        <f si="45" t="shared"/>
        <v>#DIV/0!</v>
      </c>
      <c r="AJ120" s="10">
        <f si="45" t="shared"/>
        <v>-2.4954054474757792E-2</v>
      </c>
    </row>
    <row r="121" spans="1:36" x14ac:dyDescent="0.2">
      <c r="A121" s="265" t="s">
        <v>27</v>
      </c>
      <c r="B121" s="10">
        <f ref="B121:L121" si="52" t="shared">B105/B$108</f>
        <v>0.17332738207121087</v>
      </c>
      <c r="C121" s="10">
        <f si="52" t="shared"/>
        <v>0.21582926192040147</v>
      </c>
      <c r="D121" s="10">
        <f si="52" t="shared"/>
        <v>0.21902708369260424</v>
      </c>
      <c r="E121" s="10">
        <f si="52" t="shared"/>
        <v>0.21873117266638276</v>
      </c>
      <c r="F121" s="10">
        <f si="52" t="shared"/>
        <v>0.23172695095207857</v>
      </c>
      <c r="G121" s="10">
        <f si="52" t="shared"/>
        <v>0.26854545796488549</v>
      </c>
      <c r="H121" s="10">
        <f si="52" t="shared"/>
        <v>0.20959491949979836</v>
      </c>
      <c r="I121" s="10" t="e">
        <f si="52" t="shared"/>
        <v>#DIV/0!</v>
      </c>
      <c r="J121" s="10" t="e">
        <f si="52" t="shared"/>
        <v>#DIV/0!</v>
      </c>
      <c r="K121" s="10" t="e">
        <f si="52" t="shared"/>
        <v>#DIV/0!</v>
      </c>
      <c r="L121" s="10">
        <f si="52" t="shared"/>
        <v>0.20950117664040213</v>
      </c>
      <c r="M121" s="265" t="s">
        <v>27</v>
      </c>
      <c r="N121" s="10">
        <f ref="N121:X121" si="53" t="shared">N105/N$108</f>
        <v>0.20172267925774923</v>
      </c>
      <c r="O121" s="10">
        <f si="53" t="shared"/>
        <v>0.19989220911431821</v>
      </c>
      <c r="P121" s="10">
        <f si="53" t="shared"/>
        <v>0.19386335818404363</v>
      </c>
      <c r="Q121" s="10">
        <f si="53" t="shared"/>
        <v>0.19177803217077108</v>
      </c>
      <c r="R121" s="10">
        <f si="53" t="shared"/>
        <v>0.19724708646518832</v>
      </c>
      <c r="S121" s="10">
        <f si="53" t="shared"/>
        <v>0.19269431840394605</v>
      </c>
      <c r="T121" s="10">
        <f si="53" t="shared"/>
        <v>0.19366065635015828</v>
      </c>
      <c r="U121" s="10" t="e">
        <f si="53" t="shared"/>
        <v>#DIV/0!</v>
      </c>
      <c r="V121" s="10" t="e">
        <f si="53" t="shared"/>
        <v>#DIV/0!</v>
      </c>
      <c r="W121" s="10" t="e">
        <f si="53" t="shared"/>
        <v>#DIV/0!</v>
      </c>
      <c r="X121" s="10">
        <f si="53" t="shared"/>
        <v>0.19688563018841321</v>
      </c>
      <c r="Y121" s="265" t="s">
        <v>27</v>
      </c>
      <c r="Z121" s="10">
        <f si="45" t="shared"/>
        <v>2.8395297186538354E-2</v>
      </c>
      <c r="AA121" s="10">
        <f si="45" t="shared"/>
        <v>-1.5937052806083263E-2</v>
      </c>
      <c r="AB121" s="10">
        <f si="45" t="shared"/>
        <v>-2.5163725508560608E-2</v>
      </c>
      <c r="AC121" s="10">
        <f si="45" t="shared"/>
        <v>-2.6953140495611677E-2</v>
      </c>
      <c r="AD121" s="10">
        <f si="45" t="shared"/>
        <v>-3.4479864486890249E-2</v>
      </c>
      <c r="AE121" s="10">
        <f si="45" t="shared"/>
        <v>-7.5851139560939446E-2</v>
      </c>
      <c r="AF121" s="10">
        <f si="45" t="shared"/>
        <v>-1.5934263149640082E-2</v>
      </c>
      <c r="AG121" s="10" t="e">
        <f si="45" t="shared"/>
        <v>#DIV/0!</v>
      </c>
      <c r="AH121" s="10" t="e">
        <f si="45" t="shared"/>
        <v>#DIV/0!</v>
      </c>
      <c r="AI121" s="10" t="e">
        <f si="45" t="shared"/>
        <v>#DIV/0!</v>
      </c>
      <c r="AJ121" s="10">
        <f si="45" t="shared"/>
        <v>-1.2615546451988924E-2</v>
      </c>
    </row>
    <row r="122" spans="1:36" x14ac:dyDescent="0.2">
      <c r="A122" s="265" t="s">
        <v>28</v>
      </c>
      <c r="B122" s="10">
        <f ref="B122:L122" si="54" t="shared">B106/B$108</f>
        <v>0.11375810540469854</v>
      </c>
      <c r="C122" s="10">
        <f si="54" t="shared"/>
        <v>9.7668950404154617E-2</v>
      </c>
      <c r="D122" s="10">
        <f si="54" t="shared"/>
        <v>0.14140532035090217</v>
      </c>
      <c r="E122" s="10">
        <f si="54" t="shared"/>
        <v>0.1051713145813728</v>
      </c>
      <c r="F122" s="10">
        <f si="54" t="shared"/>
        <v>0.12048582037592079</v>
      </c>
      <c r="G122" s="10">
        <f si="54" t="shared"/>
        <v>0.11153211396495025</v>
      </c>
      <c r="H122" s="10">
        <f si="54" t="shared"/>
        <v>0.15391035557557581</v>
      </c>
      <c r="I122" s="10" t="e">
        <f si="54" t="shared"/>
        <v>#DIV/0!</v>
      </c>
      <c r="J122" s="10" t="e">
        <f si="54" t="shared"/>
        <v>#DIV/0!</v>
      </c>
      <c r="K122" s="10" t="e">
        <f si="54" t="shared"/>
        <v>#DIV/0!</v>
      </c>
      <c r="L122" s="10">
        <f si="54" t="shared"/>
        <v>0.11595379110759754</v>
      </c>
      <c r="M122" s="265" t="s">
        <v>28</v>
      </c>
      <c r="N122" s="10">
        <f ref="N122:X122" si="55" t="shared">N106/N$108</f>
        <v>0.1633322321507707</v>
      </c>
      <c r="O122" s="10">
        <f si="55" t="shared"/>
        <v>0.16526937740782882</v>
      </c>
      <c r="P122" s="10">
        <f si="55" t="shared"/>
        <v>0.16647657727829088</v>
      </c>
      <c r="Q122" s="10">
        <f si="55" t="shared"/>
        <v>0.16048666545298582</v>
      </c>
      <c r="R122" s="10">
        <f si="55" t="shared"/>
        <v>0.1621807067336182</v>
      </c>
      <c r="S122" s="10">
        <f si="55" t="shared"/>
        <v>0.15590805305207472</v>
      </c>
      <c r="T122" s="10">
        <f si="55" t="shared"/>
        <v>0.16478885240314345</v>
      </c>
      <c r="U122" s="10" t="e">
        <f si="55" t="shared"/>
        <v>#DIV/0!</v>
      </c>
      <c r="V122" s="10" t="e">
        <f si="55" t="shared"/>
        <v>#DIV/0!</v>
      </c>
      <c r="W122" s="10" t="e">
        <f si="55" t="shared"/>
        <v>#DIV/0!</v>
      </c>
      <c r="X122" s="10">
        <f si="55" t="shared"/>
        <v>0.16198894313528503</v>
      </c>
      <c r="Y122" s="265" t="s">
        <v>28</v>
      </c>
      <c r="Z122" s="10">
        <f si="45" t="shared"/>
        <v>4.9574126746072159E-2</v>
      </c>
      <c r="AA122" s="10">
        <f si="45" t="shared"/>
        <v>6.7600427003674204E-2</v>
      </c>
      <c r="AB122" s="10">
        <f si="45" t="shared"/>
        <v>2.5071256927388708E-2</v>
      </c>
      <c r="AC122" s="10">
        <f si="45" t="shared"/>
        <v>5.5315350871613017E-2</v>
      </c>
      <c r="AD122" s="10">
        <f si="45" t="shared"/>
        <v>4.1694886357697414E-2</v>
      </c>
      <c r="AE122" s="10">
        <f si="45" t="shared"/>
        <v>4.4375939087124477E-2</v>
      </c>
      <c r="AF122" s="10">
        <f si="45" t="shared"/>
        <v>1.0878496827567641E-2</v>
      </c>
      <c r="AG122" s="10" t="e">
        <f si="45" t="shared"/>
        <v>#DIV/0!</v>
      </c>
      <c r="AH122" s="10" t="e">
        <f si="45" t="shared"/>
        <v>#DIV/0!</v>
      </c>
      <c r="AI122" s="10" t="e">
        <f si="45" t="shared"/>
        <v>#DIV/0!</v>
      </c>
      <c r="AJ122" s="10">
        <f si="45" t="shared"/>
        <v>4.6035152027687487E-2</v>
      </c>
    </row>
    <row r="123" spans="1:36" x14ac:dyDescent="0.2">
      <c r="A123" s="265" t="s">
        <v>29</v>
      </c>
      <c r="B123" s="11">
        <f ref="B123:L123" si="56" t="shared">B107/B$108</f>
        <v>0.11401889427249917</v>
      </c>
      <c r="C123" s="11">
        <f si="56" t="shared"/>
        <v>0.10008512168441488</v>
      </c>
      <c r="D123" s="11">
        <f si="56" t="shared"/>
        <v>0.13266279404532968</v>
      </c>
      <c r="E123" s="11">
        <f si="56" t="shared"/>
        <v>9.7257219247036578E-2</v>
      </c>
      <c r="F123" s="11">
        <f si="56" t="shared"/>
        <v>0.10289031676667763</v>
      </c>
      <c r="G123" s="11">
        <f si="56" t="shared"/>
        <v>0.11183777655184164</v>
      </c>
      <c r="H123" s="11">
        <f si="56" t="shared"/>
        <v>8.6838744764717354E-2</v>
      </c>
      <c r="I123" s="11" t="e">
        <f si="56" t="shared"/>
        <v>#DIV/0!</v>
      </c>
      <c r="J123" s="11" t="e">
        <f si="56" t="shared"/>
        <v>#DIV/0!</v>
      </c>
      <c r="K123" s="11" t="e">
        <f si="56" t="shared"/>
        <v>#DIV/0!</v>
      </c>
      <c r="L123" s="11">
        <f si="56" t="shared"/>
        <v>0.10697977098464471</v>
      </c>
      <c r="M123" s="265" t="s">
        <v>29</v>
      </c>
      <c r="N123" s="11">
        <f ref="N123:X123" si="57" t="shared">N107/N$108</f>
        <v>0.11136662127645859</v>
      </c>
      <c r="O123" s="11">
        <f si="57" t="shared"/>
        <v>0.13544723236920375</v>
      </c>
      <c r="P123" s="11">
        <f si="57" t="shared"/>
        <v>0.1347919216646267</v>
      </c>
      <c r="Q123" s="11">
        <f si="57" t="shared"/>
        <v>0.12610658380723458</v>
      </c>
      <c r="R123" s="11">
        <f si="57" t="shared"/>
        <v>0.13005645136138227</v>
      </c>
      <c r="S123" s="11">
        <f si="57" t="shared"/>
        <v>0.13439775747266505</v>
      </c>
      <c r="T123" s="11">
        <f si="57" t="shared"/>
        <v>0.13010991603909</v>
      </c>
      <c r="U123" s="11" t="e">
        <f si="57" t="shared"/>
        <v>#DIV/0!</v>
      </c>
      <c r="V123" s="11" t="e">
        <f si="57" t="shared"/>
        <v>#DIV/0!</v>
      </c>
      <c r="W123" s="11" t="e">
        <f si="57" t="shared"/>
        <v>#DIV/0!</v>
      </c>
      <c r="X123" s="11">
        <f si="57" t="shared"/>
        <v>0.12362597011943999</v>
      </c>
      <c r="Y123" s="265" t="s">
        <v>29</v>
      </c>
      <c r="Z123" s="10">
        <f si="45" t="shared"/>
        <v>-2.6522729960405805E-3</v>
      </c>
      <c r="AA123" s="10">
        <f si="45" t="shared"/>
        <v>3.5362110684788867E-2</v>
      </c>
      <c r="AB123" s="10">
        <f si="45" t="shared"/>
        <v>2.129127619297011E-3</v>
      </c>
      <c r="AC123" s="10">
        <f si="45" t="shared"/>
        <v>2.8849364560198001E-2</v>
      </c>
      <c r="AD123" s="10">
        <f si="45" t="shared"/>
        <v>2.7166134594704641E-2</v>
      </c>
      <c r="AE123" s="10">
        <f si="45" t="shared"/>
        <v>2.2559980920823411E-2</v>
      </c>
      <c r="AF123" s="10">
        <f si="45" t="shared"/>
        <v>4.3271171274372647E-2</v>
      </c>
      <c r="AG123" s="10" t="e">
        <f si="45" t="shared"/>
        <v>#DIV/0!</v>
      </c>
      <c r="AH123" s="10" t="e">
        <f si="45" t="shared"/>
        <v>#DIV/0!</v>
      </c>
      <c r="AI123" s="10" t="e">
        <f si="45" t="shared"/>
        <v>#DIV/0!</v>
      </c>
      <c r="AJ123" s="10">
        <f si="45" t="shared"/>
        <v>1.6646199134795273E-2</v>
      </c>
    </row>
    <row customHeight="1" ht="13.15" r="124" spans="1:36" thickBot="1" x14ac:dyDescent="0.25">
      <c r="A124" s="8" t="s">
        <v>4</v>
      </c>
      <c r="B124" s="15">
        <f ref="B124:L124" si="58" t="shared">B108/B$108</f>
        <v>1</v>
      </c>
      <c r="C124" s="15">
        <f si="58" t="shared"/>
        <v>1</v>
      </c>
      <c r="D124" s="15">
        <f si="58" t="shared"/>
        <v>1</v>
      </c>
      <c r="E124" s="15">
        <f si="58" t="shared"/>
        <v>1</v>
      </c>
      <c r="F124" s="15">
        <f si="58" t="shared"/>
        <v>1</v>
      </c>
      <c r="G124" s="15">
        <f si="58" t="shared"/>
        <v>1</v>
      </c>
      <c r="H124" s="15">
        <f si="58" t="shared"/>
        <v>1</v>
      </c>
      <c r="I124" s="15" t="e">
        <f si="58" t="shared"/>
        <v>#DIV/0!</v>
      </c>
      <c r="J124" s="15" t="e">
        <f si="58" t="shared"/>
        <v>#DIV/0!</v>
      </c>
      <c r="K124" s="15" t="e">
        <f si="58" t="shared"/>
        <v>#DIV/0!</v>
      </c>
      <c r="L124" s="15">
        <f si="58" t="shared"/>
        <v>1</v>
      </c>
      <c r="M124" s="8" t="s">
        <v>4</v>
      </c>
      <c r="N124" s="15">
        <f ref="N124:X124" si="59" t="shared">N108/N$108</f>
        <v>1</v>
      </c>
      <c r="O124" s="15">
        <f si="59" t="shared"/>
        <v>1</v>
      </c>
      <c r="P124" s="15">
        <f si="59" t="shared"/>
        <v>1</v>
      </c>
      <c r="Q124" s="15">
        <f si="59" t="shared"/>
        <v>1</v>
      </c>
      <c r="R124" s="15">
        <f si="59" t="shared"/>
        <v>1</v>
      </c>
      <c r="S124" s="15">
        <f si="59" t="shared"/>
        <v>1</v>
      </c>
      <c r="T124" s="15">
        <f si="59" t="shared"/>
        <v>1</v>
      </c>
      <c r="U124" s="15" t="e">
        <f si="59" t="shared"/>
        <v>#DIV/0!</v>
      </c>
      <c r="V124" s="15" t="e">
        <f si="59" t="shared"/>
        <v>#DIV/0!</v>
      </c>
      <c r="W124" s="15" t="e">
        <f si="59" t="shared"/>
        <v>#DIV/0!</v>
      </c>
      <c r="X124" s="15">
        <f si="59" t="shared"/>
        <v>1</v>
      </c>
      <c r="Y124" s="8" t="s">
        <v>4</v>
      </c>
      <c r="Z124" s="12">
        <f si="45" t="shared"/>
        <v>0</v>
      </c>
      <c r="AA124" s="12">
        <f si="45" t="shared"/>
        <v>0</v>
      </c>
      <c r="AB124" s="12">
        <f si="45" t="shared"/>
        <v>0</v>
      </c>
      <c r="AC124" s="12">
        <f si="45" t="shared"/>
        <v>0</v>
      </c>
      <c r="AD124" s="12">
        <f si="45" t="shared"/>
        <v>0</v>
      </c>
      <c r="AE124" s="12">
        <f si="45" t="shared"/>
        <v>0</v>
      </c>
      <c r="AF124" s="12">
        <f si="45" t="shared"/>
        <v>0</v>
      </c>
      <c r="AG124" s="12" t="e">
        <f si="45" t="shared"/>
        <v>#DIV/0!</v>
      </c>
      <c r="AH124" s="12" t="e">
        <f si="45" t="shared"/>
        <v>#DIV/0!</v>
      </c>
      <c r="AI124" s="12" t="e">
        <f si="45" t="shared"/>
        <v>#DIV/0!</v>
      </c>
      <c r="AJ124" s="12">
        <f si="45" t="shared"/>
        <v>0</v>
      </c>
    </row>
    <row r="129" spans="14:16" x14ac:dyDescent="0.2">
      <c r="N129" s="217"/>
      <c r="O129" s="217"/>
      <c r="P129" s="217"/>
    </row>
    <row r="130" spans="14:16" x14ac:dyDescent="0.2">
      <c r="N130" s="217"/>
      <c r="O130" s="217"/>
      <c r="P130" s="217"/>
    </row>
    <row r="131" spans="14:16" x14ac:dyDescent="0.2">
      <c r="N131" s="217"/>
      <c r="O131" s="217"/>
      <c r="P131" s="217"/>
    </row>
    <row r="132" spans="14:16" x14ac:dyDescent="0.2">
      <c r="N132" s="217"/>
      <c r="O132" s="217"/>
      <c r="P132" s="217"/>
    </row>
    <row r="133" spans="14:16" x14ac:dyDescent="0.2">
      <c r="N133" s="217"/>
      <c r="O133" s="217"/>
      <c r="P133" s="217"/>
    </row>
    <row r="134" spans="14:16" x14ac:dyDescent="0.2">
      <c r="N134" s="217"/>
      <c r="O134" s="217"/>
      <c r="P134" s="217"/>
    </row>
    <row r="135" spans="14:16" x14ac:dyDescent="0.2">
      <c r="N135" s="217"/>
      <c r="O135" s="217"/>
      <c r="P135" s="217"/>
    </row>
  </sheetData>
  <conditionalFormatting sqref="Z21:AI28 Z85:AD92 Z53:AF60 Z117:AC124 AJ117:AJ124 AD117:AI123">
    <cfRule dxfId="15" operator="notBetween" priority="4" stopIfTrue="1" type="cellIs">
      <formula>-0.15</formula>
      <formula>0.15</formula>
    </cfRule>
    <cfRule dxfId="14" operator="notBetween" priority="5" stopIfTrue="1" type="cellIs">
      <formula>-0.1</formula>
      <formula>0.1</formula>
    </cfRule>
    <cfRule dxfId="13" operator="notBetween" priority="6" stopIfTrue="1" type="cellIs">
      <formula>-0.05</formula>
      <formula>0.05</formula>
    </cfRule>
  </conditionalFormatting>
  <conditionalFormatting sqref="AD124:AI124">
    <cfRule dxfId="12" operator="notBetween" priority="1" stopIfTrue="1" type="cellIs">
      <formula>-0.15</formula>
      <formula>0.15</formula>
    </cfRule>
    <cfRule dxfId="11" operator="notBetween" priority="2" stopIfTrue="1" type="cellIs">
      <formula>-0.1</formula>
      <formula>0.1</formula>
    </cfRule>
    <cfRule dxfId="1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228"/>
  <sheetViews>
    <sheetView workbookViewId="0" zoomScaleNormal="100">
      <selection activeCell="N218" sqref="N218"/>
    </sheetView>
  </sheetViews>
  <sheetFormatPr defaultRowHeight="12.75" x14ac:dyDescent="0.2"/>
  <cols>
    <col min="2" max="2" bestFit="true" customWidth="true" width="19.875" collapsed="true"/>
    <col min="3" max="3" bestFit="true" customWidth="true" width="14.0" collapsed="true"/>
    <col min="4" max="6" bestFit="true" customWidth="true" width="13.0" collapsed="true"/>
    <col min="7" max="7" customWidth="true" width="12.125" collapsed="true"/>
    <col min="8" max="9" bestFit="true" customWidth="true" width="13.0" collapsed="true"/>
    <col min="10" max="10" bestFit="true" customWidth="true" width="14.0" collapsed="true"/>
    <col min="13" max="19" bestFit="true" customWidth="true" width="11.375" collapsed="true"/>
    <col min="20" max="20" bestFit="true" customWidth="true" width="13.0" collapsed="true"/>
  </cols>
  <sheetData>
    <row r="1" spans="2:25" x14ac:dyDescent="0.2">
      <c r="B1" s="31" t="s">
        <v>1102</v>
      </c>
      <c r="C1" s="200">
        <f>Summary!C27/Summary!B27</f>
        <v>1.0000000000000002</v>
      </c>
    </row>
    <row r="2" spans="2:25" x14ac:dyDescent="0.2">
      <c r="B2" s="29" t="s">
        <v>1103</v>
      </c>
    </row>
    <row customHeight="1" ht="14.25" r="3" spans="2:25" x14ac:dyDescent="0.25">
      <c r="B3" s="71" t="s">
        <v>22</v>
      </c>
      <c r="C3" s="91" t="s">
        <v>2</v>
      </c>
      <c r="D3" s="91" t="s">
        <v>1104</v>
      </c>
      <c r="E3" s="91" t="s">
        <v>3</v>
      </c>
      <c r="F3" s="91" t="s">
        <v>9</v>
      </c>
      <c r="G3" s="204"/>
      <c r="P3" s="203"/>
      <c r="Q3" s="203"/>
      <c r="R3" s="203"/>
      <c r="V3" t="s">
        <v>306</v>
      </c>
      <c r="W3" t="s">
        <v>1105</v>
      </c>
      <c r="X3" t="s">
        <v>1106</v>
      </c>
      <c r="Y3" t="s">
        <v>1107</v>
      </c>
    </row>
    <row customHeight="1" ht="14.25" r="4" spans="2:25" x14ac:dyDescent="0.25">
      <c r="B4" s="201" t="s">
        <v>23</v>
      </c>
      <c r="C4" s="75">
        <f>output_NHTS!W31+output_NHTS!W32</f>
        <v>768938.32619294594</v>
      </c>
      <c r="D4" s="75">
        <f ref="D4:D10" si="0" t="shared">C4*$C$1</f>
        <v>768938.32619294606</v>
      </c>
      <c r="E4" s="75">
        <f>output!W31+output!W32</f>
        <v>638792</v>
      </c>
      <c r="F4" s="205">
        <f ref="F4:F10" si="1" t="shared">D4/E4</f>
        <v>1.2037381905110678</v>
      </c>
      <c r="G4" s="205"/>
      <c r="L4" s="203"/>
      <c r="M4" s="203"/>
      <c r="N4" s="203"/>
      <c r="O4" s="203"/>
      <c r="P4" s="203"/>
      <c r="Q4" s="203"/>
      <c r="R4" s="203"/>
      <c r="V4" s="203">
        <v>1311</v>
      </c>
      <c r="W4">
        <f>IFERROR(VLOOKUP(V4,calibration!$T$3:$W$408,3,FALSE),0)</f>
        <v>-3.0895488316500002</v>
      </c>
      <c r="X4" s="207">
        <f>K60</f>
        <v>0</v>
      </c>
      <c r="Y4" s="207">
        <f ref="Y4:Y35" si="2" t="shared">W4+X4</f>
        <v>-3.0895488316500002</v>
      </c>
    </row>
    <row customHeight="1" ht="14.25" r="5" spans="2:25" x14ac:dyDescent="0.25">
      <c r="B5" s="201" t="s">
        <v>24</v>
      </c>
      <c r="C5" s="75">
        <f>output_NHTS!W38+output_NHTS!W39</f>
        <v>263430.08903358859</v>
      </c>
      <c r="D5" s="75">
        <f si="0" t="shared"/>
        <v>263430.08903358865</v>
      </c>
      <c r="E5" s="75">
        <f>output!W38+output!W39</f>
        <v>221200</v>
      </c>
      <c r="F5" s="205">
        <f si="1" t="shared"/>
        <v>1.1909136032259884</v>
      </c>
      <c r="G5" s="205"/>
      <c r="L5" s="203"/>
      <c r="M5" s="203"/>
      <c r="N5" s="203"/>
      <c r="O5" s="203"/>
      <c r="P5" s="203"/>
      <c r="Q5" s="203"/>
      <c r="R5" s="203"/>
      <c r="V5" s="203">
        <v>1321</v>
      </c>
      <c r="W5">
        <f>IFERROR(VLOOKUP(V5,calibration!$T$3:$W$408,3,FALSE),0)</f>
        <v>-2.98919984582</v>
      </c>
      <c r="X5" s="207">
        <f>K61</f>
        <v>0</v>
      </c>
      <c r="Y5" s="207">
        <f si="2" t="shared"/>
        <v>-2.98919984582</v>
      </c>
    </row>
    <row customHeight="1" ht="14.25" r="6" spans="2:25" x14ac:dyDescent="0.25">
      <c r="B6" s="201" t="s">
        <v>25</v>
      </c>
      <c r="C6" s="75">
        <f>output_NHTS!W45+output_NHTS!W46</f>
        <v>152712.10860677902</v>
      </c>
      <c r="D6" s="75">
        <f si="0" t="shared"/>
        <v>152712.10860677905</v>
      </c>
      <c r="E6" s="75">
        <f>output!W45+output!W46</f>
        <v>141555</v>
      </c>
      <c r="F6" s="205">
        <f si="1" t="shared"/>
        <v>1.0788181880313592</v>
      </c>
      <c r="G6" s="205"/>
      <c r="L6" s="203"/>
      <c r="M6" s="203"/>
      <c r="N6" s="203"/>
      <c r="O6" s="203"/>
      <c r="P6" s="203"/>
      <c r="Q6" s="203"/>
      <c r="R6" s="203"/>
      <c r="V6" s="203">
        <v>1331</v>
      </c>
      <c r="W6">
        <f>IFERROR(VLOOKUP(V6,calibration!$T$3:$W$408,3,FALSE),0)</f>
        <v>-2.7935912245000001</v>
      </c>
      <c r="X6" s="207">
        <f>K62</f>
        <v>0</v>
      </c>
      <c r="Y6" s="207">
        <f si="2" t="shared"/>
        <v>-2.7935912245000001</v>
      </c>
    </row>
    <row customHeight="1" ht="14.25" r="7" spans="2:25" x14ac:dyDescent="0.25">
      <c r="B7" s="201" t="s">
        <v>26</v>
      </c>
      <c r="C7" s="75">
        <f>output_NHTS!W52+output_NHTS!W53</f>
        <v>235177.86175191862</v>
      </c>
      <c r="D7" s="75">
        <f si="0" t="shared"/>
        <v>235177.86175191868</v>
      </c>
      <c r="E7" s="75">
        <f>output!W52+output!W53</f>
        <v>214767</v>
      </c>
      <c r="F7" s="205">
        <f si="1" t="shared"/>
        <v>1.0950372345468284</v>
      </c>
      <c r="G7" s="205"/>
      <c r="L7" s="203"/>
      <c r="M7" s="203"/>
      <c r="N7" s="203"/>
      <c r="O7" s="203"/>
      <c r="P7" s="203"/>
      <c r="Q7" s="203"/>
      <c r="R7" s="203"/>
      <c r="V7" s="203">
        <v>1312</v>
      </c>
      <c r="W7">
        <f>IFERROR(VLOOKUP(V7,calibration!$T$3:$W$408,3,FALSE),0)</f>
        <v>-4.6880391214500001</v>
      </c>
      <c r="X7" s="207">
        <f>L60</f>
        <v>0</v>
      </c>
      <c r="Y7" s="207">
        <f si="2" t="shared"/>
        <v>-4.6880391214500001</v>
      </c>
    </row>
    <row customHeight="1" ht="14.25" r="8" spans="2:25" x14ac:dyDescent="0.25">
      <c r="B8" s="201" t="s">
        <v>27</v>
      </c>
      <c r="C8" s="75">
        <f>output_NHTS!W59+output_NHTS!W60</f>
        <v>164594.37114647069</v>
      </c>
      <c r="D8" s="75">
        <f si="0" t="shared"/>
        <v>164594.37114647072</v>
      </c>
      <c r="E8" s="75">
        <f>output!W59+output!W60</f>
        <v>157263</v>
      </c>
      <c r="F8" s="205">
        <f si="1" t="shared"/>
        <v>1.0466185380316457</v>
      </c>
      <c r="G8" s="205"/>
      <c r="L8" s="203"/>
      <c r="M8" s="203"/>
      <c r="N8" s="203"/>
      <c r="O8" s="203"/>
      <c r="P8" s="203"/>
      <c r="Q8" s="203"/>
      <c r="R8" s="203"/>
      <c r="V8" s="203">
        <v>1322</v>
      </c>
      <c r="W8">
        <f>IFERROR(VLOOKUP(V8,calibration!$T$3:$W$408,3,FALSE),0)</f>
        <v>-4.5628566934299997</v>
      </c>
      <c r="X8" s="207">
        <f>L61</f>
        <v>0</v>
      </c>
      <c r="Y8" s="207">
        <f si="2" t="shared"/>
        <v>-4.5628566934299997</v>
      </c>
    </row>
    <row customHeight="1" ht="14.25" r="9" spans="2:25" x14ac:dyDescent="0.25">
      <c r="B9" s="201" t="s">
        <v>28</v>
      </c>
      <c r="C9" s="75">
        <f>output_NHTS!W66+output_NHTS!W67</f>
        <v>101957.69670262662</v>
      </c>
      <c r="D9" s="75">
        <f si="0" t="shared"/>
        <v>101957.69670262665</v>
      </c>
      <c r="E9" s="75">
        <f>output!W66+output!W67</f>
        <v>95858</v>
      </c>
      <c r="F9" s="205">
        <f si="1" t="shared"/>
        <v>1.0636326305851014</v>
      </c>
      <c r="G9" s="205"/>
      <c r="L9" s="203"/>
      <c r="M9" s="203"/>
      <c r="N9" s="203"/>
      <c r="O9" s="203"/>
      <c r="P9" s="203"/>
      <c r="Q9" s="203"/>
      <c r="R9" s="203"/>
      <c r="V9" s="203">
        <v>1332</v>
      </c>
      <c r="W9">
        <f>IFERROR(VLOOKUP(V9,calibration!$T$3:$W$408,3,FALSE),0)</f>
        <v>-4.48645805507</v>
      </c>
      <c r="X9" s="207">
        <f>L62</f>
        <v>0</v>
      </c>
      <c r="Y9" s="207">
        <f si="2" t="shared"/>
        <v>-4.48645805507</v>
      </c>
    </row>
    <row customHeight="1" ht="14.25" r="10" spans="2:25" x14ac:dyDescent="0.25">
      <c r="B10" s="201" t="s">
        <v>29</v>
      </c>
      <c r="C10" s="75">
        <f>output_NHTS!W73+output_NHTS!W74</f>
        <v>232675.89518744434</v>
      </c>
      <c r="D10" s="75">
        <f si="0" t="shared"/>
        <v>232675.8951874444</v>
      </c>
      <c r="E10" s="75">
        <f>output!W73+output!W74</f>
        <v>209159</v>
      </c>
      <c r="F10" s="205">
        <f si="1" t="shared"/>
        <v>1.1124354925556366</v>
      </c>
      <c r="G10" s="205"/>
      <c r="O10" s="203"/>
      <c r="Q10" s="203"/>
      <c r="V10" s="203">
        <v>1313</v>
      </c>
      <c r="W10">
        <f>IFERROR(VLOOKUP(V10,calibration!$T$3:$W$408,3,FALSE),0)</f>
        <v>-5.2719733197699998</v>
      </c>
      <c r="X10" s="207">
        <f>M60</f>
        <v>0</v>
      </c>
      <c r="Y10" s="207">
        <f si="2" t="shared"/>
        <v>-5.2719733197699998</v>
      </c>
    </row>
    <row customHeight="1" ht="14.25" r="11" spans="2:25" x14ac:dyDescent="0.25">
      <c r="B11" s="72"/>
      <c r="C11" s="81"/>
      <c r="D11" s="81"/>
      <c r="E11" s="81"/>
      <c r="F11" s="73"/>
      <c r="G11" s="205"/>
      <c r="O11" s="203"/>
      <c r="Q11" s="203"/>
      <c r="V11" s="203">
        <v>1323</v>
      </c>
      <c r="W11">
        <f>IFERROR(VLOOKUP(V11,calibration!$T$3:$W$408,3,FALSE),0)</f>
        <v>-5.1473826788899997</v>
      </c>
      <c r="X11" s="207">
        <f>M61</f>
        <v>0</v>
      </c>
      <c r="Y11" s="207">
        <f si="2" t="shared"/>
        <v>-5.1473826788899997</v>
      </c>
    </row>
    <row customHeight="1" ht="14.65" r="12" spans="2:25" thickBot="1" x14ac:dyDescent="0.3">
      <c r="B12" s="74" t="s">
        <v>4</v>
      </c>
      <c r="C12" s="80"/>
      <c r="D12" s="80"/>
      <c r="E12" s="80"/>
      <c r="F12" s="118"/>
      <c r="G12" s="205"/>
      <c r="O12" s="203"/>
      <c r="Q12" s="203"/>
      <c r="V12" s="203">
        <v>1333</v>
      </c>
      <c r="W12">
        <f>IFERROR(VLOOKUP(V12,calibration!$T$3:$W$408,3,FALSE),0)</f>
        <v>0</v>
      </c>
      <c r="X12" s="207">
        <f>M62</f>
        <v>0</v>
      </c>
      <c r="Y12" s="207">
        <f si="2" t="shared"/>
        <v>0</v>
      </c>
    </row>
    <row r="13" spans="2:25" x14ac:dyDescent="0.2">
      <c r="O13" s="203"/>
      <c r="Q13" s="203"/>
      <c r="V13" s="203">
        <v>1011</v>
      </c>
      <c r="W13">
        <f>IFERROR(VLOOKUP(V13,calibration!$T$3:$W$408,3,FALSE),0)</f>
        <v>-1.89314616394</v>
      </c>
      <c r="X13" s="207">
        <f ref="X13:X19" si="3" t="shared">M114</f>
        <v>0</v>
      </c>
      <c r="Y13" s="207">
        <f si="2" t="shared"/>
        <v>-1.89314616394</v>
      </c>
    </row>
    <row r="14" spans="2:25" x14ac:dyDescent="0.2">
      <c r="O14" s="203"/>
      <c r="Q14" s="203"/>
      <c r="V14" s="203">
        <v>1012</v>
      </c>
      <c r="W14">
        <f>IFERROR(VLOOKUP(V14,calibration!$T$3:$W$408,3,FALSE),0)</f>
        <v>0.18030694579000001</v>
      </c>
      <c r="X14" s="207">
        <f si="3" t="shared"/>
        <v>0</v>
      </c>
      <c r="Y14" s="207">
        <f si="2" t="shared"/>
        <v>0.18030694579000001</v>
      </c>
    </row>
    <row r="15" spans="2:25" x14ac:dyDescent="0.2">
      <c r="O15" s="203"/>
      <c r="Q15" s="203"/>
      <c r="V15" s="203">
        <v>1013</v>
      </c>
      <c r="W15">
        <f>IFERROR(VLOOKUP(V15,calibration!$T$3:$W$408,3,FALSE),0)</f>
        <v>1.0017474184599999</v>
      </c>
      <c r="X15" s="207">
        <f si="3" t="shared"/>
        <v>0</v>
      </c>
      <c r="Y15" s="207">
        <f si="2" t="shared"/>
        <v>1.0017474184599999</v>
      </c>
    </row>
    <row r="16" spans="2:25" x14ac:dyDescent="0.2">
      <c r="B16" s="29" t="s">
        <v>1108</v>
      </c>
      <c r="V16" s="203">
        <v>1014</v>
      </c>
      <c r="W16">
        <f>IFERROR(VLOOKUP(V16,calibration!$T$3:$W$408,3,FALSE),0)</f>
        <v>-0.28287807831</v>
      </c>
      <c r="X16" s="207">
        <f si="3" t="shared"/>
        <v>0</v>
      </c>
      <c r="Y16" s="207">
        <f si="2" t="shared"/>
        <v>-0.28287807831</v>
      </c>
    </row>
    <row customHeight="1" ht="14.25" r="17" spans="2:25" x14ac:dyDescent="0.25">
      <c r="B17" s="71" t="s">
        <v>22</v>
      </c>
      <c r="C17" s="91" t="s">
        <v>2</v>
      </c>
      <c r="D17" s="91" t="s">
        <v>1104</v>
      </c>
      <c r="E17" s="91" t="s">
        <v>3</v>
      </c>
      <c r="F17" s="91" t="s">
        <v>9</v>
      </c>
      <c r="G17" s="204"/>
      <c r="V17" s="203">
        <v>1015</v>
      </c>
      <c r="W17">
        <f>IFERROR(VLOOKUP(V17,calibration!$T$3:$W$408,3,FALSE),0)</f>
        <v>-0.19412767935</v>
      </c>
      <c r="X17" s="207">
        <f si="3" t="shared"/>
        <v>0</v>
      </c>
      <c r="Y17" s="207">
        <f si="2" t="shared"/>
        <v>-0.19412767935</v>
      </c>
    </row>
    <row customHeight="1" ht="14.25" r="18" spans="2:25" x14ac:dyDescent="0.25">
      <c r="B18" s="201" t="s">
        <v>23</v>
      </c>
      <c r="C18" s="75">
        <f>output_NHTS!W30+output_NHTS!W32</f>
        <v>92465.362286811593</v>
      </c>
      <c r="D18" s="75">
        <f ref="D18:D24" si="4" t="shared">C18*$C$1</f>
        <v>92465.362286811607</v>
      </c>
      <c r="E18" s="75">
        <f>output!W30+output!W32</f>
        <v>166603</v>
      </c>
      <c r="F18" s="205">
        <f ref="F18:F24" si="5" t="shared">D18/E18</f>
        <v>0.55500418531966178</v>
      </c>
      <c r="G18" s="205"/>
      <c r="V18" s="203">
        <v>1016</v>
      </c>
      <c r="W18">
        <f>IFERROR(VLOOKUP(V18,calibration!$T$3:$W$408,3,FALSE),0)</f>
        <v>0.46459217164</v>
      </c>
      <c r="X18" s="207">
        <f si="3" t="shared"/>
        <v>0</v>
      </c>
      <c r="Y18" s="207">
        <f si="2" t="shared"/>
        <v>0.46459217164</v>
      </c>
    </row>
    <row customHeight="1" ht="14.25" r="19" spans="2:25" x14ac:dyDescent="0.25">
      <c r="B19" s="201" t="s">
        <v>24</v>
      </c>
      <c r="C19" s="75">
        <f>output_NHTS!W37+output_NHTS!W39</f>
        <v>16852.133150078014</v>
      </c>
      <c r="D19" s="75">
        <f si="4" t="shared"/>
        <v>16852.133150078018</v>
      </c>
      <c r="E19" s="75">
        <f>output!W37+output!W39</f>
        <v>36104</v>
      </c>
      <c r="F19" s="205">
        <f si="5" t="shared"/>
        <v>0.46676637353417955</v>
      </c>
      <c r="G19" s="205"/>
      <c r="V19" s="203">
        <v>1017</v>
      </c>
      <c r="W19">
        <f>IFERROR(VLOOKUP(V19,calibration!$T$3:$W$408,3,FALSE),0)</f>
        <v>0</v>
      </c>
      <c r="X19" s="207">
        <f si="3" t="shared"/>
        <v>0</v>
      </c>
      <c r="Y19" s="207">
        <f si="2" t="shared"/>
        <v>0</v>
      </c>
    </row>
    <row customHeight="1" ht="14.25" r="20" spans="2:25" x14ac:dyDescent="0.25">
      <c r="B20" s="201" t="s">
        <v>25</v>
      </c>
      <c r="C20" s="75">
        <f>output_NHTS!W44+output_NHTS!W46</f>
        <v>183767.00704613421</v>
      </c>
      <c r="D20" s="75">
        <f si="4" t="shared"/>
        <v>183767.00704613424</v>
      </c>
      <c r="E20" s="75">
        <f>output!W44+output!W46</f>
        <v>210058</v>
      </c>
      <c r="F20" s="205">
        <f si="5" t="shared"/>
        <v>0.87483936363354042</v>
      </c>
      <c r="G20" s="205"/>
      <c r="V20" s="203">
        <v>1021</v>
      </c>
      <c r="W20">
        <f>IFERROR(VLOOKUP(V20,calibration!$T$3:$W$408,3,FALSE),0)</f>
        <v>4.6119139490000002E-2</v>
      </c>
      <c r="X20" s="207">
        <f ref="X20:X26" si="6" t="shared">N114</f>
        <v>0</v>
      </c>
      <c r="Y20" s="207">
        <f si="2" t="shared"/>
        <v>4.6119139490000002E-2</v>
      </c>
    </row>
    <row customHeight="1" ht="14.25" r="21" spans="2:25" x14ac:dyDescent="0.25">
      <c r="B21" s="201" t="s">
        <v>26</v>
      </c>
      <c r="C21" s="75">
        <f>output_NHTS!W51+output_NHTS!W53</f>
        <v>365570.39905545616</v>
      </c>
      <c r="D21" s="75">
        <f si="4" t="shared"/>
        <v>365570.39905545622</v>
      </c>
      <c r="E21" s="75">
        <f>output!W51+output!W53</f>
        <v>468076</v>
      </c>
      <c r="F21" s="205">
        <f si="5" t="shared"/>
        <v>0.78100650119949799</v>
      </c>
      <c r="G21" s="205"/>
      <c r="V21" s="203">
        <v>1022</v>
      </c>
      <c r="W21">
        <f>IFERROR(VLOOKUP(V21,calibration!$T$3:$W$408,3,FALSE),0)</f>
        <v>-0.50334562370000002</v>
      </c>
      <c r="X21" s="207">
        <f si="6" t="shared"/>
        <v>0</v>
      </c>
      <c r="Y21" s="207">
        <f si="2" t="shared"/>
        <v>-0.50334562370000002</v>
      </c>
    </row>
    <row customHeight="1" ht="14.25" r="22" spans="2:25" x14ac:dyDescent="0.25">
      <c r="B22" s="201" t="s">
        <v>27</v>
      </c>
      <c r="C22" s="75">
        <f>output_NHTS!W58+output_NHTS!W60</f>
        <v>267166.7308377361</v>
      </c>
      <c r="D22" s="75">
        <f si="4" t="shared"/>
        <v>267166.73083773616</v>
      </c>
      <c r="E22" s="75">
        <f>output!W58+output!W60</f>
        <v>335121</v>
      </c>
      <c r="F22" s="205">
        <f si="5" t="shared"/>
        <v>0.79722467657274887</v>
      </c>
      <c r="G22" s="205"/>
      <c r="V22" s="203">
        <v>1023</v>
      </c>
      <c r="W22">
        <f>IFERROR(VLOOKUP(V22,calibration!$T$3:$W$408,3,FALSE),0)</f>
        <v>1.0587748827500001</v>
      </c>
      <c r="X22" s="207">
        <f si="6" t="shared"/>
        <v>0</v>
      </c>
      <c r="Y22" s="207">
        <f si="2" t="shared"/>
        <v>1.0587748827500001</v>
      </c>
    </row>
    <row customHeight="1" ht="14.25" r="23" spans="2:25" x14ac:dyDescent="0.25">
      <c r="B23" s="201" t="s">
        <v>28</v>
      </c>
      <c r="C23" s="75">
        <f>output_NHTS!W65+output_NHTS!W67</f>
        <v>190936.89571603065</v>
      </c>
      <c r="D23" s="75">
        <f si="4" t="shared"/>
        <v>190936.89571603067</v>
      </c>
      <c r="E23" s="75">
        <f>output!W65+output!W67</f>
        <v>275723</v>
      </c>
      <c r="F23" s="205">
        <f si="5" t="shared"/>
        <v>0.69249535118952965</v>
      </c>
      <c r="G23" s="205"/>
      <c r="V23" s="203">
        <v>1024</v>
      </c>
      <c r="W23">
        <f>IFERROR(VLOOKUP(V23,calibration!$T$3:$W$408,3,FALSE),0)</f>
        <v>-0.53848378215000003</v>
      </c>
      <c r="X23" s="207">
        <f si="6" t="shared"/>
        <v>0</v>
      </c>
      <c r="Y23" s="207">
        <f si="2" t="shared"/>
        <v>-0.53848378215000003</v>
      </c>
    </row>
    <row customHeight="1" ht="14.25" r="24" spans="2:25" x14ac:dyDescent="0.25">
      <c r="B24" s="201" t="s">
        <v>29</v>
      </c>
      <c r="C24" s="75">
        <f>output_NHTS!W72+output_NHTS!W74</f>
        <v>156040.8829393663</v>
      </c>
      <c r="D24" s="75">
        <f si="4" t="shared"/>
        <v>156040.88293936633</v>
      </c>
      <c r="E24" s="75">
        <f>output!W72+output!W74</f>
        <v>210425</v>
      </c>
      <c r="F24" s="205">
        <f si="5" t="shared"/>
        <v>0.74155106541221971</v>
      </c>
      <c r="G24" s="205"/>
      <c r="V24" s="203">
        <v>1025</v>
      </c>
      <c r="W24">
        <f>IFERROR(VLOOKUP(V24,calibration!$T$3:$W$408,3,FALSE),0)</f>
        <v>-0.56980481664000004</v>
      </c>
      <c r="X24" s="207">
        <f si="6" t="shared"/>
        <v>0</v>
      </c>
      <c r="Y24" s="207">
        <f si="2" t="shared"/>
        <v>-0.56980481664000004</v>
      </c>
    </row>
    <row customHeight="1" ht="14.25" r="25" spans="2:25" x14ac:dyDescent="0.25">
      <c r="B25" s="72"/>
      <c r="C25" s="81"/>
      <c r="D25" s="81"/>
      <c r="E25" s="81"/>
      <c r="F25" s="73"/>
      <c r="G25" s="205"/>
      <c r="V25" s="203">
        <v>1026</v>
      </c>
      <c r="W25">
        <f>IFERROR(VLOOKUP(V25,calibration!$T$3:$W$408,3,FALSE),0)</f>
        <v>-0.36556883931</v>
      </c>
      <c r="X25" s="207">
        <f si="6" t="shared"/>
        <v>0</v>
      </c>
      <c r="Y25" s="207">
        <f si="2" t="shared"/>
        <v>-0.36556883931</v>
      </c>
    </row>
    <row customHeight="1" ht="14.65" r="26" spans="2:25" thickBot="1" x14ac:dyDescent="0.3">
      <c r="B26" s="74" t="s">
        <v>4</v>
      </c>
      <c r="C26" s="80"/>
      <c r="D26" s="80"/>
      <c r="E26" s="80"/>
      <c r="F26" s="118"/>
      <c r="G26" s="205"/>
      <c r="V26" s="203">
        <v>1027</v>
      </c>
      <c r="W26">
        <f>IFERROR(VLOOKUP(V26,calibration!$T$3:$W$408,3,FALSE),0)</f>
        <v>0</v>
      </c>
      <c r="X26" s="207">
        <f si="6" t="shared"/>
        <v>0</v>
      </c>
      <c r="Y26" s="207">
        <f si="2" t="shared"/>
        <v>0</v>
      </c>
    </row>
    <row r="27" spans="2:25" x14ac:dyDescent="0.2">
      <c r="V27" s="203">
        <v>1031</v>
      </c>
      <c r="W27">
        <f>IFERROR(VLOOKUP(V27,calibration!$T$3:$W$408,3,FALSE),0)</f>
        <v>0</v>
      </c>
      <c r="X27" s="207">
        <f ref="X27:X33" si="7" t="shared">O114</f>
        <v>0</v>
      </c>
      <c r="Y27" s="207">
        <f si="2" t="shared"/>
        <v>0</v>
      </c>
    </row>
    <row customHeight="1" ht="14.25" r="28" spans="2:25" x14ac:dyDescent="0.25">
      <c r="B28" s="201" t="s">
        <v>1109</v>
      </c>
      <c r="I28" s="201" t="s">
        <v>3</v>
      </c>
      <c r="V28" s="203">
        <v>1032</v>
      </c>
      <c r="W28">
        <f>IFERROR(VLOOKUP(V28,calibration!$T$3:$W$408,3,FALSE),0)</f>
        <v>0</v>
      </c>
      <c r="X28" s="207">
        <f si="7" t="shared"/>
        <v>0</v>
      </c>
      <c r="Y28" s="207">
        <f si="2" t="shared"/>
        <v>0</v>
      </c>
    </row>
    <row r="29" spans="2:25" x14ac:dyDescent="0.2">
      <c r="B29" s="31" t="s">
        <v>1110</v>
      </c>
      <c r="I29" s="31" t="s">
        <v>1110</v>
      </c>
      <c r="V29" s="203">
        <v>1033</v>
      </c>
      <c r="W29">
        <f>IFERROR(VLOOKUP(V29,calibration!$T$3:$W$408,3,FALSE),0)</f>
        <v>2.3191467598700002</v>
      </c>
      <c r="X29" s="207">
        <f si="7" t="shared"/>
        <v>0</v>
      </c>
      <c r="Y29" s="207">
        <f si="2" t="shared"/>
        <v>2.3191467598700002</v>
      </c>
    </row>
    <row r="30" spans="2:25" x14ac:dyDescent="0.2">
      <c r="B30" s="31" t="s">
        <v>1111</v>
      </c>
      <c r="C30">
        <v>0</v>
      </c>
      <c r="D30">
        <v>1</v>
      </c>
      <c r="E30">
        <v>2</v>
      </c>
      <c r="F30" s="31" t="s">
        <v>94</v>
      </c>
      <c r="G30" s="31" t="s">
        <v>1112</v>
      </c>
      <c r="I30" s="31" t="s">
        <v>1111</v>
      </c>
      <c r="J30">
        <v>0</v>
      </c>
      <c r="K30">
        <v>1</v>
      </c>
      <c r="L30">
        <v>2</v>
      </c>
      <c r="M30" s="199" t="s">
        <v>94</v>
      </c>
      <c r="N30" s="31" t="s">
        <v>1112</v>
      </c>
      <c r="V30" s="203">
        <v>1034</v>
      </c>
      <c r="W30">
        <f>IFERROR(VLOOKUP(V30,calibration!$T$3:$W$408,3,FALSE),0)</f>
        <v>0.43882869600000002</v>
      </c>
      <c r="X30" s="207">
        <f si="7" t="shared"/>
        <v>0</v>
      </c>
      <c r="Y30" s="207">
        <f si="2" t="shared"/>
        <v>0.43882869600000002</v>
      </c>
    </row>
    <row r="31" spans="2:25" x14ac:dyDescent="0.2">
      <c r="B31">
        <v>0</v>
      </c>
      <c r="C31" s="216">
        <f>output_NHTS!W11</f>
        <v>304150.57872150192</v>
      </c>
      <c r="D31" s="216"/>
      <c r="E31" s="216"/>
      <c r="F31" s="216"/>
      <c r="G31" s="216">
        <f>SUM(C31:F31)</f>
        <v>304150.57872150192</v>
      </c>
      <c r="I31">
        <v>0</v>
      </c>
      <c r="J31" s="216">
        <f>output!W11</f>
        <v>497656</v>
      </c>
      <c r="K31" s="216"/>
      <c r="L31" s="216"/>
      <c r="M31" s="216"/>
      <c r="N31" s="216">
        <f>SUM(J31:M31)</f>
        <v>497656</v>
      </c>
      <c r="V31" s="203">
        <v>1035</v>
      </c>
      <c r="W31">
        <f>IFERROR(VLOOKUP(V31,calibration!$T$3:$W$408,3,FALSE),0)</f>
        <v>0.38801901626000002</v>
      </c>
      <c r="X31" s="207">
        <f si="7" t="shared"/>
        <v>0</v>
      </c>
      <c r="Y31" s="207">
        <f si="2" t="shared"/>
        <v>0.38801901626000002</v>
      </c>
    </row>
    <row r="32" spans="2:25" x14ac:dyDescent="0.2">
      <c r="B32">
        <v>1</v>
      </c>
      <c r="C32" s="216">
        <f>output_NHTS!W12</f>
        <v>505099.65413100913</v>
      </c>
      <c r="D32" s="216">
        <f>output_NHTS!W13</f>
        <v>210849.16522458839</v>
      </c>
      <c r="E32" s="216">
        <f>output_NHTS!W14</f>
        <v>124413.75577016125</v>
      </c>
      <c r="F32" s="216">
        <f>output_NHTS!W15</f>
        <v>134607.46752613568</v>
      </c>
      <c r="G32" s="216">
        <f>SUM(C32:F32)</f>
        <v>974970.0426518945</v>
      </c>
      <c r="I32">
        <v>1</v>
      </c>
      <c r="J32" s="216">
        <f>output!W12</f>
        <v>280414</v>
      </c>
      <c r="K32" s="216">
        <f>output!W13</f>
        <v>230423</v>
      </c>
      <c r="L32" s="216">
        <f>output!W14</f>
        <v>172204</v>
      </c>
      <c r="M32" s="216">
        <f>output!W15</f>
        <v>135295</v>
      </c>
      <c r="N32" s="216">
        <f>SUM(J32:M32)</f>
        <v>818336</v>
      </c>
      <c r="V32" s="203">
        <v>1036</v>
      </c>
      <c r="W32">
        <f>IFERROR(VLOOKUP(V32,calibration!$T$3:$W$408,3,FALSE),0)</f>
        <v>0.60596435895</v>
      </c>
      <c r="X32" s="207">
        <f si="7" t="shared"/>
        <v>0</v>
      </c>
      <c r="Y32" s="207">
        <f si="2" t="shared"/>
        <v>0.60596435895</v>
      </c>
    </row>
    <row r="33" spans="2:25" x14ac:dyDescent="0.2">
      <c r="B33">
        <v>2</v>
      </c>
      <c r="C33" s="216">
        <f>output_NHTS!W16</f>
        <v>140674.39232468643</v>
      </c>
      <c r="D33" s="216">
        <f>output_NHTS!W17</f>
        <v>96138.544352318568</v>
      </c>
      <c r="E33" s="216">
        <f>output_NHTS!W18</f>
        <v>68785.296830945736</v>
      </c>
      <c r="F33" s="216">
        <f>output_NHTS!W19</f>
        <v>75236.515070510126</v>
      </c>
      <c r="G33" s="216">
        <f>SUM(C33:F33)</f>
        <v>380834.74857846089</v>
      </c>
      <c r="I33">
        <v>2</v>
      </c>
      <c r="J33" s="216">
        <f>output!W16</f>
        <v>75811</v>
      </c>
      <c r="K33" s="216">
        <f>output!W17</f>
        <v>99432</v>
      </c>
      <c r="L33" s="216">
        <f>output!W18</f>
        <v>98809</v>
      </c>
      <c r="M33" s="216">
        <f>output!W19</f>
        <v>77751</v>
      </c>
      <c r="N33" s="216">
        <f>SUM(J33:M33)</f>
        <v>351803</v>
      </c>
      <c r="V33" s="203">
        <v>1037</v>
      </c>
      <c r="W33">
        <f>IFERROR(VLOOKUP(V33,calibration!$T$3:$W$408,3,FALSE),0)</f>
        <v>0</v>
      </c>
      <c r="X33" s="207">
        <f si="7" t="shared"/>
        <v>0</v>
      </c>
      <c r="Y33" s="207">
        <f si="2" t="shared"/>
        <v>0</v>
      </c>
    </row>
    <row r="34" spans="2:25" x14ac:dyDescent="0.2">
      <c r="B34" s="199" t="s">
        <v>94</v>
      </c>
      <c r="C34" s="216">
        <f>output_NHTS!W20</f>
        <v>28440.140457830981</v>
      </c>
      <c r="D34" s="216">
        <f>output_NHTS!W21</f>
        <v>26859.858246614604</v>
      </c>
      <c r="E34" s="216">
        <f>output_NHTS!W22</f>
        <v>18952.7901912282</v>
      </c>
      <c r="F34" s="216">
        <f>output_NHTS!W23</f>
        <v>32012.8411524689</v>
      </c>
      <c r="G34" s="216">
        <f>SUM(C34:F34)</f>
        <v>106265.63004814269</v>
      </c>
      <c r="I34" s="199" t="s">
        <v>94</v>
      </c>
      <c r="J34" s="216">
        <f>output!W20</f>
        <v>15133</v>
      </c>
      <c r="K34" s="216">
        <f>output!W21</f>
        <v>29940</v>
      </c>
      <c r="L34" s="216">
        <f>output!W22</f>
        <v>36542</v>
      </c>
      <c r="M34" s="216">
        <f>output!W23</f>
        <v>16811</v>
      </c>
      <c r="N34" s="216">
        <f>SUM(J34:M34)</f>
        <v>98426</v>
      </c>
      <c r="V34" s="203">
        <v>1041</v>
      </c>
      <c r="W34">
        <f>IFERROR(VLOOKUP(V34,calibration!$T$3:$W$408,3,FALSE),0)</f>
        <v>0</v>
      </c>
      <c r="X34" s="207">
        <f ref="X34:X40" si="8" t="shared">P114</f>
        <v>0</v>
      </c>
      <c r="Y34" s="207">
        <f si="2" t="shared"/>
        <v>0</v>
      </c>
    </row>
    <row r="35" spans="2:25" x14ac:dyDescent="0.2">
      <c r="B35" s="31" t="s">
        <v>1112</v>
      </c>
      <c r="C35" s="221">
        <f>SUM(C31:C34)</f>
        <v>978364.76563502848</v>
      </c>
      <c r="D35" s="221">
        <f>SUM(D31:D34)</f>
        <v>333847.56782352156</v>
      </c>
      <c r="E35" s="221">
        <f>SUM(E31:E34)</f>
        <v>212151.8427923352</v>
      </c>
      <c r="F35" s="221">
        <f>SUM(F31:F34)</f>
        <v>241856.8237491147</v>
      </c>
      <c r="G35" s="221">
        <f>SUM(G31:G34)</f>
        <v>1766221</v>
      </c>
      <c r="I35" s="31" t="s">
        <v>1112</v>
      </c>
      <c r="J35" s="221">
        <f>SUM(J31:J34)</f>
        <v>869014</v>
      </c>
      <c r="K35" s="221">
        <f>SUM(K31:K34)</f>
        <v>359795</v>
      </c>
      <c r="L35" s="221">
        <f>SUM(L31:L34)</f>
        <v>307555</v>
      </c>
      <c r="M35" s="221">
        <f>SUM(M31:M34)</f>
        <v>229857</v>
      </c>
      <c r="N35" s="221">
        <f>SUM(N31:N34)</f>
        <v>1766221</v>
      </c>
      <c r="V35" s="203">
        <v>1042</v>
      </c>
      <c r="W35">
        <f>IFERROR(VLOOKUP(V35,calibration!$T$3:$W$408,3,FALSE),0)</f>
        <v>0</v>
      </c>
      <c r="X35" s="207">
        <f si="8" t="shared"/>
        <v>0</v>
      </c>
      <c r="Y35" s="207">
        <f si="2" t="shared"/>
        <v>0</v>
      </c>
    </row>
    <row r="36" spans="2:25" x14ac:dyDescent="0.2">
      <c r="B36" s="31"/>
      <c r="C36" s="221"/>
      <c r="D36" s="221"/>
      <c r="E36" s="221"/>
      <c r="F36" s="221"/>
      <c r="G36" s="221"/>
      <c r="I36" s="31"/>
      <c r="J36" s="221"/>
      <c r="K36" s="221"/>
      <c r="L36" s="221"/>
      <c r="M36" s="221"/>
      <c r="N36" s="221"/>
      <c r="V36" s="203">
        <v>1043</v>
      </c>
      <c r="W36">
        <f>IFERROR(VLOOKUP(V36,calibration!$T$3:$W$408,3,FALSE),0)</f>
        <v>-0.54382622784000001</v>
      </c>
      <c r="X36" s="207">
        <f si="8" t="shared"/>
        <v>0</v>
      </c>
      <c r="Y36" s="207">
        <f ref="Y36:Y67" si="9" t="shared">W36+X36</f>
        <v>-0.54382622784000001</v>
      </c>
    </row>
    <row customHeight="1" ht="14.25" r="37" spans="2:25" x14ac:dyDescent="0.25">
      <c r="B37" s="201" t="s">
        <v>1113</v>
      </c>
      <c r="I37" s="201" t="s">
        <v>3</v>
      </c>
      <c r="V37" s="203">
        <v>1044</v>
      </c>
      <c r="W37">
        <f>IFERROR(VLOOKUP(V37,calibration!$T$3:$W$408,3,FALSE),0)</f>
        <v>0.15599073697999999</v>
      </c>
      <c r="X37" s="207">
        <f si="8" t="shared"/>
        <v>0</v>
      </c>
      <c r="Y37" s="207">
        <f si="9" t="shared"/>
        <v>0.15599073697999999</v>
      </c>
    </row>
    <row r="38" spans="2:25" x14ac:dyDescent="0.2">
      <c r="B38" s="31" t="s">
        <v>1110</v>
      </c>
      <c r="I38" s="31" t="s">
        <v>1110</v>
      </c>
      <c r="V38" s="203">
        <v>1045</v>
      </c>
      <c r="W38">
        <f>IFERROR(VLOOKUP(V38,calibration!$T$3:$W$408,3,FALSE),0)</f>
        <v>0.14237055478999999</v>
      </c>
      <c r="X38" s="207">
        <f si="8" t="shared"/>
        <v>0</v>
      </c>
      <c r="Y38" s="207">
        <f si="9" t="shared"/>
        <v>0.14237055478999999</v>
      </c>
    </row>
    <row r="39" spans="2:25" x14ac:dyDescent="0.2">
      <c r="B39" s="31" t="s">
        <v>1111</v>
      </c>
      <c r="C39">
        <v>0</v>
      </c>
      <c r="D39">
        <v>1</v>
      </c>
      <c r="E39">
        <v>2</v>
      </c>
      <c r="F39" s="199" t="s">
        <v>94</v>
      </c>
      <c r="G39" s="31" t="s">
        <v>1112</v>
      </c>
      <c r="I39" s="31" t="s">
        <v>1111</v>
      </c>
      <c r="J39">
        <v>0</v>
      </c>
      <c r="K39">
        <v>1</v>
      </c>
      <c r="L39">
        <v>2</v>
      </c>
      <c r="M39" s="199" t="s">
        <v>94</v>
      </c>
      <c r="N39" s="31" t="s">
        <v>1112</v>
      </c>
      <c r="V39" s="203">
        <v>1046</v>
      </c>
      <c r="W39">
        <f>IFERROR(VLOOKUP(V39,calibration!$T$3:$W$408,3,FALSE),0)</f>
        <v>0.23516411118</v>
      </c>
      <c r="X39" s="207">
        <f si="8" t="shared"/>
        <v>0</v>
      </c>
      <c r="Y39" s="207">
        <f si="9" t="shared"/>
        <v>0.23516411118</v>
      </c>
    </row>
    <row r="40" spans="2:25" x14ac:dyDescent="0.2">
      <c r="B40">
        <v>0</v>
      </c>
      <c r="C40" s="216">
        <f ref="C40:F43" si="10" t="shared">C31*$C$1</f>
        <v>304150.57872150198</v>
      </c>
      <c r="D40" s="216">
        <f si="10" t="shared"/>
        <v>0</v>
      </c>
      <c r="E40" s="216">
        <f si="10" t="shared"/>
        <v>0</v>
      </c>
      <c r="F40" s="216">
        <f si="10" t="shared"/>
        <v>0</v>
      </c>
      <c r="G40" s="216">
        <f>SUM(C40:F40)</f>
        <v>304150.57872150198</v>
      </c>
      <c r="I40">
        <v>0</v>
      </c>
      <c r="J40" s="216">
        <f ref="J40:M43" si="11" t="shared">J31</f>
        <v>497656</v>
      </c>
      <c r="K40" s="216">
        <f si="11" t="shared"/>
        <v>0</v>
      </c>
      <c r="L40" s="216">
        <f si="11" t="shared"/>
        <v>0</v>
      </c>
      <c r="M40" s="216">
        <f si="11" t="shared"/>
        <v>0</v>
      </c>
      <c r="N40" s="216">
        <f>SUM(J40:M40)</f>
        <v>497656</v>
      </c>
      <c r="V40" s="203">
        <v>1047</v>
      </c>
      <c r="W40">
        <f>IFERROR(VLOOKUP(V40,calibration!$T$3:$W$408,3,FALSE),0)</f>
        <v>0</v>
      </c>
      <c r="X40" s="207">
        <f si="8" t="shared"/>
        <v>0</v>
      </c>
      <c r="Y40" s="207">
        <f si="9" t="shared"/>
        <v>0</v>
      </c>
    </row>
    <row r="41" spans="2:25" x14ac:dyDescent="0.2">
      <c r="B41">
        <v>1</v>
      </c>
      <c r="C41" s="216">
        <f si="10" t="shared"/>
        <v>505099.65413100924</v>
      </c>
      <c r="D41" s="216">
        <f si="10" t="shared"/>
        <v>210849.16522458845</v>
      </c>
      <c r="E41" s="216">
        <f si="10" t="shared"/>
        <v>124413.75577016128</v>
      </c>
      <c r="F41" s="216">
        <f si="10" t="shared"/>
        <v>134607.4675261357</v>
      </c>
      <c r="G41" s="216">
        <f>SUM(C41:F41)</f>
        <v>974970.04265189474</v>
      </c>
      <c r="I41">
        <v>1</v>
      </c>
      <c r="J41" s="216">
        <f si="11" t="shared"/>
        <v>280414</v>
      </c>
      <c r="K41" s="216">
        <f si="11" t="shared"/>
        <v>230423</v>
      </c>
      <c r="L41" s="216">
        <f si="11" t="shared"/>
        <v>172204</v>
      </c>
      <c r="M41" s="216">
        <f si="11" t="shared"/>
        <v>135295</v>
      </c>
      <c r="N41" s="216">
        <f>SUM(J41:M41)</f>
        <v>818336</v>
      </c>
      <c r="V41" s="203">
        <v>1051</v>
      </c>
      <c r="W41">
        <f>IFERROR(VLOOKUP(V41,calibration!$T$3:$W$408,3,FALSE),0)</f>
        <v>0</v>
      </c>
      <c r="X41" s="207">
        <f ref="X41:X47" si="12" t="shared">Q114</f>
        <v>0</v>
      </c>
      <c r="Y41" s="207">
        <f si="9" t="shared"/>
        <v>0</v>
      </c>
    </row>
    <row r="42" spans="2:25" x14ac:dyDescent="0.2">
      <c r="B42">
        <v>2</v>
      </c>
      <c r="C42" s="216">
        <f si="10" t="shared"/>
        <v>140674.39232468646</v>
      </c>
      <c r="D42" s="216">
        <f si="10" t="shared"/>
        <v>96138.544352318582</v>
      </c>
      <c r="E42" s="216">
        <f si="10" t="shared"/>
        <v>68785.29683094575</v>
      </c>
      <c r="F42" s="216">
        <f si="10" t="shared"/>
        <v>75236.515070510141</v>
      </c>
      <c r="G42" s="216">
        <f>SUM(C42:F42)</f>
        <v>380834.74857846095</v>
      </c>
      <c r="I42">
        <v>2</v>
      </c>
      <c r="J42" s="216">
        <f si="11" t="shared"/>
        <v>75811</v>
      </c>
      <c r="K42" s="216">
        <f si="11" t="shared"/>
        <v>99432</v>
      </c>
      <c r="L42" s="216">
        <f si="11" t="shared"/>
        <v>98809</v>
      </c>
      <c r="M42" s="216">
        <f si="11" t="shared"/>
        <v>77751</v>
      </c>
      <c r="N42" s="216">
        <f>SUM(J42:M42)</f>
        <v>351803</v>
      </c>
      <c r="V42" s="203">
        <v>1052</v>
      </c>
      <c r="W42">
        <f>IFERROR(VLOOKUP(V42,calibration!$T$3:$W$408,3,FALSE),0)</f>
        <v>0</v>
      </c>
      <c r="X42" s="207">
        <f si="12" t="shared"/>
        <v>0</v>
      </c>
      <c r="Y42" s="207">
        <f si="9" t="shared"/>
        <v>0</v>
      </c>
    </row>
    <row r="43" spans="2:25" x14ac:dyDescent="0.2">
      <c r="B43" s="199" t="s">
        <v>94</v>
      </c>
      <c r="C43" s="216">
        <f si="10" t="shared"/>
        <v>28440.140457830988</v>
      </c>
      <c r="D43" s="216">
        <f si="10" t="shared"/>
        <v>26859.858246614611</v>
      </c>
      <c r="E43" s="216">
        <f si="10" t="shared"/>
        <v>18952.790191228203</v>
      </c>
      <c r="F43" s="216">
        <f si="10" t="shared"/>
        <v>32012.841152468907</v>
      </c>
      <c r="G43" s="216">
        <f>SUM(C43:F43)</f>
        <v>106265.63004814272</v>
      </c>
      <c r="I43" s="199" t="s">
        <v>94</v>
      </c>
      <c r="J43" s="216">
        <f si="11" t="shared"/>
        <v>15133</v>
      </c>
      <c r="K43" s="216">
        <f si="11" t="shared"/>
        <v>29940</v>
      </c>
      <c r="L43" s="216">
        <f si="11" t="shared"/>
        <v>36542</v>
      </c>
      <c r="M43" s="216">
        <f si="11" t="shared"/>
        <v>16811</v>
      </c>
      <c r="N43" s="216">
        <f>SUM(J43:M43)</f>
        <v>98426</v>
      </c>
      <c r="V43" s="203">
        <v>1053</v>
      </c>
      <c r="W43">
        <f>IFERROR(VLOOKUP(V43,calibration!$T$3:$W$408,3,FALSE),0)</f>
        <v>-0.39185646229999999</v>
      </c>
      <c r="X43" s="207">
        <f si="12" t="shared"/>
        <v>0</v>
      </c>
      <c r="Y43" s="207">
        <f si="9" t="shared"/>
        <v>-0.39185646229999999</v>
      </c>
    </row>
    <row r="44" spans="2:25" x14ac:dyDescent="0.2">
      <c r="B44" s="31" t="s">
        <v>1112</v>
      </c>
      <c r="C44" s="221">
        <f>SUM(C40:C43)</f>
        <v>978364.7656350286</v>
      </c>
      <c r="D44" s="221">
        <f>SUM(D40:D43)</f>
        <v>333847.56782352168</v>
      </c>
      <c r="E44" s="221">
        <f>SUM(E40:E43)</f>
        <v>212151.84279233526</v>
      </c>
      <c r="F44" s="221">
        <f>SUM(F40:F43)</f>
        <v>241856.82374911473</v>
      </c>
      <c r="G44" s="221">
        <f>SUM(G40:G43)</f>
        <v>1766221.0000000005</v>
      </c>
      <c r="I44" s="31" t="s">
        <v>1112</v>
      </c>
      <c r="J44" s="221">
        <f>SUM(J40:J43)</f>
        <v>869014</v>
      </c>
      <c r="K44" s="221">
        <f>SUM(K40:K43)</f>
        <v>359795</v>
      </c>
      <c r="L44" s="221">
        <f>SUM(L40:L43)</f>
        <v>307555</v>
      </c>
      <c r="M44" s="221">
        <f>SUM(M40:M43)</f>
        <v>229857</v>
      </c>
      <c r="N44" s="221">
        <f>SUM(N40:N43)</f>
        <v>1766221</v>
      </c>
      <c r="V44" s="203">
        <v>1054</v>
      </c>
      <c r="W44">
        <f>IFERROR(VLOOKUP(V44,calibration!$T$3:$W$408,3,FALSE),0)</f>
        <v>0.18528363720999999</v>
      </c>
      <c r="X44" s="207">
        <f si="12" t="shared"/>
        <v>0</v>
      </c>
      <c r="Y44" s="207">
        <f si="9" t="shared"/>
        <v>0.18528363720999999</v>
      </c>
    </row>
    <row r="45" spans="2:25" x14ac:dyDescent="0.2">
      <c r="B45" s="31"/>
      <c r="C45" s="221"/>
      <c r="D45" s="221"/>
      <c r="E45" s="221"/>
      <c r="F45" s="221"/>
      <c r="G45" s="221"/>
      <c r="I45" s="31"/>
      <c r="J45" s="221"/>
      <c r="K45" s="221"/>
      <c r="L45" s="221"/>
      <c r="M45" s="221"/>
      <c r="N45" s="221"/>
      <c r="V45" s="203">
        <v>1055</v>
      </c>
      <c r="W45">
        <f>IFERROR(VLOOKUP(V45,calibration!$T$3:$W$408,3,FALSE),0)</f>
        <v>0.50750506111000004</v>
      </c>
      <c r="X45" s="207">
        <f si="12" t="shared"/>
        <v>0</v>
      </c>
      <c r="Y45" s="207">
        <f si="9" t="shared"/>
        <v>0.50750506111000004</v>
      </c>
    </row>
    <row customHeight="1" ht="14.25" r="46" spans="2:25" x14ac:dyDescent="0.25">
      <c r="B46" s="202" t="s">
        <v>1114</v>
      </c>
      <c r="I46" s="206" t="s">
        <v>1115</v>
      </c>
      <c r="V46" s="203">
        <v>1056</v>
      </c>
      <c r="W46">
        <f>IFERROR(VLOOKUP(V46,calibration!$T$3:$W$408,3,FALSE),0)</f>
        <v>-0.31245288367000001</v>
      </c>
      <c r="X46" s="207">
        <f si="12" t="shared"/>
        <v>0</v>
      </c>
      <c r="Y46" s="207">
        <f si="9" t="shared"/>
        <v>-0.31245288367000001</v>
      </c>
    </row>
    <row r="47" spans="2:25" x14ac:dyDescent="0.2">
      <c r="B47" s="31" t="s">
        <v>1110</v>
      </c>
      <c r="I47" s="31" t="s">
        <v>1110</v>
      </c>
      <c r="N47" s="31"/>
      <c r="V47" s="203">
        <v>1057</v>
      </c>
      <c r="W47">
        <f>IFERROR(VLOOKUP(V47,calibration!$T$3:$W$408,3,FALSE),0)</f>
        <v>0</v>
      </c>
      <c r="X47" s="207">
        <f si="12" t="shared"/>
        <v>0</v>
      </c>
      <c r="Y47" s="207">
        <f si="9" t="shared"/>
        <v>0</v>
      </c>
    </row>
    <row r="48" spans="2:25" x14ac:dyDescent="0.2">
      <c r="B48" s="31" t="s">
        <v>1111</v>
      </c>
      <c r="C48">
        <v>0</v>
      </c>
      <c r="D48">
        <v>1</v>
      </c>
      <c r="E48">
        <v>2</v>
      </c>
      <c r="F48" s="199" t="s">
        <v>94</v>
      </c>
      <c r="G48" s="31"/>
      <c r="I48" s="31" t="s">
        <v>1111</v>
      </c>
      <c r="J48">
        <v>0</v>
      </c>
      <c r="K48">
        <v>1</v>
      </c>
      <c r="L48">
        <v>2</v>
      </c>
      <c r="M48" s="199" t="s">
        <v>94</v>
      </c>
      <c r="N48" s="31" t="s">
        <v>1112</v>
      </c>
      <c r="V48" s="203">
        <v>1061</v>
      </c>
      <c r="W48">
        <f>IFERROR(VLOOKUP(V48,calibration!$T$3:$W$408,3,FALSE),0)</f>
        <v>0</v>
      </c>
      <c r="X48" s="207">
        <f ref="X48:X54" si="13" t="shared">R114</f>
        <v>0</v>
      </c>
      <c r="Y48" s="207">
        <f si="9" t="shared"/>
        <v>0</v>
      </c>
    </row>
    <row r="49" spans="2:25" x14ac:dyDescent="0.2">
      <c r="B49">
        <v>0</v>
      </c>
      <c r="C49" s="200"/>
      <c r="D49" s="200"/>
      <c r="E49" s="200"/>
      <c r="F49" s="200"/>
      <c r="G49" s="216"/>
      <c r="I49">
        <v>0</v>
      </c>
      <c r="J49" s="200">
        <f ref="J49:N53" si="14" t="shared">IFERROR(C40/J40,0)</f>
        <v>0.61116630508122471</v>
      </c>
      <c r="K49" s="200">
        <f si="14" t="shared"/>
        <v>0</v>
      </c>
      <c r="L49" s="200">
        <f si="14" t="shared"/>
        <v>0</v>
      </c>
      <c r="M49" s="200">
        <f si="14" t="shared"/>
        <v>0</v>
      </c>
      <c r="N49" s="200">
        <f si="14" t="shared"/>
        <v>0.61116630508122471</v>
      </c>
      <c r="V49" s="203">
        <v>1062</v>
      </c>
      <c r="W49">
        <f>IFERROR(VLOOKUP(V49,calibration!$T$3:$W$408,3,FALSE),0)</f>
        <v>0</v>
      </c>
      <c r="X49" s="207">
        <f si="13" t="shared"/>
        <v>0</v>
      </c>
      <c r="Y49" s="207">
        <f si="9" t="shared"/>
        <v>0</v>
      </c>
    </row>
    <row r="50" spans="2:25" x14ac:dyDescent="0.2">
      <c r="B50">
        <v>1</v>
      </c>
      <c r="C50" s="200"/>
      <c r="D50" s="203">
        <v>1311</v>
      </c>
      <c r="E50" s="203">
        <v>1312</v>
      </c>
      <c r="F50" s="203">
        <v>1313</v>
      </c>
      <c r="G50" s="216"/>
      <c r="I50">
        <v>1</v>
      </c>
      <c r="J50" s="200">
        <f si="14" t="shared"/>
        <v>1.8012640386393306</v>
      </c>
      <c r="K50" s="200">
        <f si="14" t="shared"/>
        <v>0.91505259989058574</v>
      </c>
      <c r="L50" s="200">
        <f si="14" t="shared"/>
        <v>0.72247889578732949</v>
      </c>
      <c r="M50" s="200">
        <f si="14" t="shared"/>
        <v>0.99491827137836364</v>
      </c>
      <c r="N50" s="200">
        <f si="14" t="shared"/>
        <v>1.1914055383753064</v>
      </c>
      <c r="V50" s="203">
        <v>1063</v>
      </c>
      <c r="W50">
        <f>IFERROR(VLOOKUP(V50,calibration!$T$3:$W$408,3,FALSE),0)</f>
        <v>-6.4681278980000007E-2</v>
      </c>
      <c r="X50" s="207">
        <f si="13" t="shared"/>
        <v>0</v>
      </c>
      <c r="Y50" s="207">
        <f si="9" t="shared"/>
        <v>-6.4681278980000007E-2</v>
      </c>
    </row>
    <row r="51" spans="2:25" x14ac:dyDescent="0.2">
      <c r="B51">
        <v>2</v>
      </c>
      <c r="C51" s="200"/>
      <c r="D51" s="203">
        <v>1321</v>
      </c>
      <c r="E51" s="203">
        <v>1322</v>
      </c>
      <c r="F51" s="203">
        <v>1323</v>
      </c>
      <c r="G51" s="216"/>
      <c r="I51">
        <v>2</v>
      </c>
      <c r="J51" s="200">
        <f si="14" t="shared"/>
        <v>1.8555934142101602</v>
      </c>
      <c r="K51" s="200">
        <f si="14" t="shared"/>
        <v>0.96687730662481475</v>
      </c>
      <c r="L51" s="200">
        <f si="14" t="shared"/>
        <v>0.69614404387197271</v>
      </c>
      <c r="M51" s="200">
        <f si="14" t="shared"/>
        <v>0.9676597737715289</v>
      </c>
      <c r="N51" s="200">
        <f si="14" t="shared"/>
        <v>1.0825227430648998</v>
      </c>
      <c r="V51" s="203">
        <v>1064</v>
      </c>
      <c r="W51">
        <f>IFERROR(VLOOKUP(V51,calibration!$T$3:$W$408,3,FALSE),0)</f>
        <v>0.22146406565999999</v>
      </c>
      <c r="X51" s="207">
        <f si="13" t="shared"/>
        <v>0</v>
      </c>
      <c r="Y51" s="207">
        <f si="9" t="shared"/>
        <v>0.22146406565999999</v>
      </c>
    </row>
    <row r="52" spans="2:25" x14ac:dyDescent="0.2">
      <c r="B52" s="199" t="s">
        <v>94</v>
      </c>
      <c r="C52" s="200"/>
      <c r="D52" s="203">
        <v>1331</v>
      </c>
      <c r="E52" s="203">
        <v>1332</v>
      </c>
      <c r="F52" s="203">
        <v>1333</v>
      </c>
      <c r="G52" s="216"/>
      <c r="I52" s="199" t="s">
        <v>94</v>
      </c>
      <c r="J52" s="200">
        <f si="14" t="shared"/>
        <v>1.8793458308221098</v>
      </c>
      <c r="K52" s="200">
        <f si="14" t="shared"/>
        <v>0.89712285392834368</v>
      </c>
      <c r="L52" s="200">
        <f si="14" t="shared"/>
        <v>0.518657714170768</v>
      </c>
      <c r="M52" s="200">
        <f si="14" t="shared"/>
        <v>1.9042794094621918</v>
      </c>
      <c r="N52" s="200">
        <f si="14" t="shared"/>
        <v>1.0796499913452007</v>
      </c>
      <c r="V52" s="203">
        <v>1065</v>
      </c>
      <c r="W52">
        <f>IFERROR(VLOOKUP(V52,calibration!$T$3:$W$408,3,FALSE),0)</f>
        <v>0.29629414685</v>
      </c>
      <c r="X52" s="207">
        <f si="13" t="shared"/>
        <v>0</v>
      </c>
      <c r="Y52" s="207">
        <f si="9" t="shared"/>
        <v>0.29629414685</v>
      </c>
    </row>
    <row r="53" spans="2:25" x14ac:dyDescent="0.2">
      <c r="B53" s="31"/>
      <c r="C53" s="221"/>
      <c r="D53" s="221"/>
      <c r="E53" s="221"/>
      <c r="F53" s="221"/>
      <c r="G53" s="221"/>
      <c r="I53" s="31" t="s">
        <v>1112</v>
      </c>
      <c r="J53" s="200">
        <f si="14" t="shared"/>
        <v>1.1258331461116031</v>
      </c>
      <c r="K53" s="200">
        <f si="14" t="shared"/>
        <v>0.92788273273258848</v>
      </c>
      <c r="L53" s="200">
        <f si="14" t="shared"/>
        <v>0.68980131291097613</v>
      </c>
      <c r="M53" s="200">
        <f si="14" t="shared"/>
        <v>1.0522056050027397</v>
      </c>
      <c r="N53" s="200">
        <f si="14" t="shared"/>
        <v>1.0000000000000002</v>
      </c>
      <c r="V53" s="203">
        <v>1066</v>
      </c>
      <c r="W53">
        <f>IFERROR(VLOOKUP(V53,calibration!$T$3:$W$408,3,FALSE),0)</f>
        <v>-0.26730699518000001</v>
      </c>
      <c r="X53" s="207">
        <f si="13" t="shared"/>
        <v>0</v>
      </c>
      <c r="Y53" s="207">
        <f si="9" t="shared"/>
        <v>-0.26730699518000001</v>
      </c>
    </row>
    <row r="54" spans="2:25" x14ac:dyDescent="0.2">
      <c r="B54" s="31"/>
      <c r="C54" s="221"/>
      <c r="D54" s="221"/>
      <c r="E54" s="221"/>
      <c r="F54" s="221"/>
      <c r="G54" s="221"/>
      <c r="I54" s="31"/>
      <c r="J54" s="200"/>
      <c r="K54" s="200"/>
      <c r="L54" s="200"/>
      <c r="M54" s="200"/>
      <c r="N54" s="200"/>
      <c r="P54" s="31"/>
      <c r="Q54" s="200"/>
      <c r="R54" s="200"/>
      <c r="S54" s="200"/>
      <c r="T54" s="200"/>
      <c r="U54" s="200"/>
      <c r="V54" s="203">
        <v>1067</v>
      </c>
      <c r="W54">
        <f>IFERROR(VLOOKUP(V54,calibration!$T$3:$W$408,3,FALSE),0)</f>
        <v>0</v>
      </c>
      <c r="X54" s="207">
        <f si="13" t="shared"/>
        <v>0</v>
      </c>
      <c r="Y54" s="207">
        <f si="9" t="shared"/>
        <v>0</v>
      </c>
    </row>
    <row r="55" spans="2:25" x14ac:dyDescent="0.2">
      <c r="B55" s="31"/>
      <c r="C55" s="221"/>
      <c r="D55" s="221"/>
      <c r="E55" s="221"/>
      <c r="F55" s="221"/>
      <c r="G55" s="221"/>
      <c r="I55" s="31"/>
      <c r="J55" s="200"/>
      <c r="K55" s="200"/>
      <c r="L55" s="200"/>
      <c r="M55" s="200"/>
      <c r="N55" s="200"/>
      <c r="P55" s="31"/>
      <c r="Q55" s="200"/>
      <c r="R55" s="200"/>
      <c r="S55" s="200"/>
      <c r="T55" s="200"/>
      <c r="U55" s="200"/>
      <c r="V55" s="203">
        <v>1071</v>
      </c>
      <c r="W55">
        <f>IFERROR(VLOOKUP(V55,calibration!$T$3:$W$408,3,FALSE),0)</f>
        <v>0</v>
      </c>
      <c r="X55" s="207">
        <f ref="X55:X61" si="15" t="shared">S114</f>
        <v>0</v>
      </c>
      <c r="Y55" s="207">
        <f si="9" t="shared"/>
        <v>0</v>
      </c>
    </row>
    <row customHeight="1" ht="14.25" r="56" spans="2:25" x14ac:dyDescent="0.25">
      <c r="B56" s="31"/>
      <c r="C56" s="221"/>
      <c r="D56" s="221"/>
      <c r="E56" s="221"/>
      <c r="F56" s="221"/>
      <c r="G56" s="221"/>
      <c r="I56" s="206" t="s">
        <v>1116</v>
      </c>
      <c r="J56" t="s">
        <v>1117</v>
      </c>
      <c r="K56" s="208">
        <v>0</v>
      </c>
      <c r="P56" s="31"/>
      <c r="Q56" s="200"/>
      <c r="R56" s="200"/>
      <c r="S56" s="200"/>
      <c r="T56" s="200"/>
      <c r="U56" s="200"/>
      <c r="V56" s="203">
        <v>1072</v>
      </c>
      <c r="W56">
        <f>IFERROR(VLOOKUP(V56,calibration!$T$3:$W$408,3,FALSE),0)</f>
        <v>0</v>
      </c>
      <c r="X56" s="207">
        <f si="15" t="shared"/>
        <v>0</v>
      </c>
      <c r="Y56" s="207">
        <f si="9" t="shared"/>
        <v>0</v>
      </c>
    </row>
    <row r="57" spans="2:25" x14ac:dyDescent="0.2">
      <c r="B57" s="31"/>
      <c r="C57" s="221"/>
      <c r="D57" s="221"/>
      <c r="E57" s="221"/>
      <c r="F57" s="221"/>
      <c r="G57" s="221"/>
      <c r="I57" s="31" t="s">
        <v>1110</v>
      </c>
      <c r="N57" s="31"/>
      <c r="P57" s="31"/>
      <c r="Q57" s="200"/>
      <c r="R57" s="200"/>
      <c r="S57" s="200"/>
      <c r="T57" s="200"/>
      <c r="U57" s="200"/>
      <c r="V57" s="203">
        <v>1073</v>
      </c>
      <c r="W57">
        <f>IFERROR(VLOOKUP(V57,calibration!$T$3:$W$408,3,FALSE),0)</f>
        <v>-0.5416388862</v>
      </c>
      <c r="X57" s="207">
        <f si="15" t="shared"/>
        <v>0</v>
      </c>
      <c r="Y57" s="207">
        <f si="9" t="shared"/>
        <v>-0.5416388862</v>
      </c>
    </row>
    <row r="58" spans="2:25" x14ac:dyDescent="0.2">
      <c r="B58" s="31"/>
      <c r="C58" s="221"/>
      <c r="D58" s="221"/>
      <c r="E58" s="221"/>
      <c r="F58" s="221"/>
      <c r="G58" s="221"/>
      <c r="I58" s="31" t="s">
        <v>1111</v>
      </c>
      <c r="J58">
        <v>0</v>
      </c>
      <c r="K58">
        <v>1</v>
      </c>
      <c r="L58">
        <v>2</v>
      </c>
      <c r="M58" s="199" t="s">
        <v>94</v>
      </c>
      <c r="N58" s="31"/>
      <c r="P58" s="31"/>
      <c r="Q58" s="200"/>
      <c r="R58" s="200"/>
      <c r="S58" s="200"/>
      <c r="T58" s="200"/>
      <c r="U58" s="200"/>
      <c r="V58" s="203">
        <v>1074</v>
      </c>
      <c r="W58">
        <f>IFERROR(VLOOKUP(V58,calibration!$T$3:$W$408,3,FALSE),0)</f>
        <v>-7.6209529090000006E-2</v>
      </c>
      <c r="X58" s="207">
        <f si="15" t="shared"/>
        <v>0</v>
      </c>
      <c r="Y58" s="207">
        <f si="9" t="shared"/>
        <v>-7.6209529090000006E-2</v>
      </c>
    </row>
    <row r="59" spans="2:25" x14ac:dyDescent="0.2">
      <c r="B59" s="31"/>
      <c r="C59" s="221"/>
      <c r="D59" s="221"/>
      <c r="E59" s="221"/>
      <c r="F59" s="221"/>
      <c r="G59" s="221"/>
      <c r="I59">
        <v>0</v>
      </c>
      <c r="J59" s="200"/>
      <c r="K59" s="200"/>
      <c r="L59" s="200"/>
      <c r="M59" s="200"/>
      <c r="N59" s="200"/>
      <c r="P59" s="31"/>
      <c r="Q59" s="200"/>
      <c r="R59" s="200"/>
      <c r="S59" s="200"/>
      <c r="T59" s="200"/>
      <c r="U59" s="200"/>
      <c r="V59" s="203">
        <v>1075</v>
      </c>
      <c r="W59">
        <f>IFERROR(VLOOKUP(V59,calibration!$T$3:$W$408,3,FALSE),0)</f>
        <v>0.11079465702999999</v>
      </c>
      <c r="X59" s="207">
        <f si="15" t="shared"/>
        <v>0</v>
      </c>
      <c r="Y59" s="207">
        <f si="9" t="shared"/>
        <v>0.11079465702999999</v>
      </c>
    </row>
    <row r="60" spans="2:25" x14ac:dyDescent="0.2">
      <c r="B60" s="31"/>
      <c r="C60" s="221"/>
      <c r="D60" s="221"/>
      <c r="E60" s="221"/>
      <c r="F60" s="221"/>
      <c r="G60" s="221"/>
      <c r="I60">
        <v>1</v>
      </c>
      <c r="J60" s="200">
        <f ref="J60:M62" si="16" t="shared">LN(J50)*$K$56</f>
        <v>0</v>
      </c>
      <c r="K60" s="200">
        <f si="16" t="shared"/>
        <v>0</v>
      </c>
      <c r="L60" s="200">
        <f si="16" t="shared"/>
        <v>0</v>
      </c>
      <c r="M60" s="200">
        <f si="16" t="shared"/>
        <v>0</v>
      </c>
      <c r="N60" s="200"/>
      <c r="P60" s="31"/>
      <c r="Q60" s="200"/>
      <c r="R60" s="200"/>
      <c r="S60" s="200"/>
      <c r="T60" s="200"/>
      <c r="U60" s="200"/>
      <c r="V60" s="203">
        <v>1076</v>
      </c>
      <c r="W60">
        <f>IFERROR(VLOOKUP(V60,calibration!$T$3:$W$408,3,FALSE),0)</f>
        <v>0.41172526745999999</v>
      </c>
      <c r="X60" s="207">
        <f si="15" t="shared"/>
        <v>0</v>
      </c>
      <c r="Y60" s="207">
        <f si="9" t="shared"/>
        <v>0.41172526745999999</v>
      </c>
    </row>
    <row r="61" spans="2:25" x14ac:dyDescent="0.2">
      <c r="B61" s="31"/>
      <c r="C61" s="221"/>
      <c r="D61" s="221"/>
      <c r="E61" s="221"/>
      <c r="F61" s="221"/>
      <c r="G61" s="221"/>
      <c r="I61">
        <v>2</v>
      </c>
      <c r="J61" s="200">
        <f si="16" t="shared"/>
        <v>0</v>
      </c>
      <c r="K61" s="200">
        <f si="16" t="shared"/>
        <v>0</v>
      </c>
      <c r="L61" s="200">
        <f si="16" t="shared"/>
        <v>0</v>
      </c>
      <c r="M61" s="200">
        <f si="16" t="shared"/>
        <v>0</v>
      </c>
      <c r="N61" s="200"/>
      <c r="P61" s="31"/>
      <c r="Q61" s="200"/>
      <c r="R61" s="200"/>
      <c r="S61" s="200"/>
      <c r="T61" s="200"/>
      <c r="U61" s="200"/>
      <c r="V61" s="203">
        <v>1077</v>
      </c>
      <c r="W61">
        <f>IFERROR(VLOOKUP(V61,calibration!$T$3:$W$408,3,FALSE),0)</f>
        <v>0</v>
      </c>
      <c r="X61" s="207">
        <f si="15" t="shared"/>
        <v>0</v>
      </c>
      <c r="Y61" s="207">
        <f si="9" t="shared"/>
        <v>0</v>
      </c>
    </row>
    <row r="62" spans="2:25" x14ac:dyDescent="0.2">
      <c r="B62" s="31"/>
      <c r="C62" s="221"/>
      <c r="D62" s="221"/>
      <c r="E62" s="221"/>
      <c r="F62" s="221"/>
      <c r="G62" s="221"/>
      <c r="I62" s="199" t="s">
        <v>94</v>
      </c>
      <c r="J62" s="200">
        <f si="16" t="shared"/>
        <v>0</v>
      </c>
      <c r="K62" s="200">
        <f si="16" t="shared"/>
        <v>0</v>
      </c>
      <c r="L62" s="200">
        <f si="16" t="shared"/>
        <v>0</v>
      </c>
      <c r="M62" s="200">
        <f si="16" t="shared"/>
        <v>0</v>
      </c>
      <c r="N62" s="200"/>
      <c r="P62" s="31"/>
      <c r="Q62" s="200"/>
      <c r="R62" s="200"/>
      <c r="S62" s="200"/>
      <c r="T62" s="200"/>
      <c r="U62" s="200"/>
      <c r="V62">
        <v>1112</v>
      </c>
      <c r="W62">
        <f>IFERROR(VLOOKUP(V62,calibration!$T$3:$W$408,3,FALSE),0)</f>
        <v>-1.5644309596599999</v>
      </c>
      <c r="X62" s="207">
        <f ref="X62:X67" si="17" t="shared">M169</f>
        <v>0</v>
      </c>
      <c r="Y62" s="207">
        <f si="9" t="shared"/>
        <v>-1.5644309596599999</v>
      </c>
    </row>
    <row r="63" spans="2:25" x14ac:dyDescent="0.2">
      <c r="I63" s="31"/>
      <c r="J63" s="200"/>
      <c r="K63" s="200"/>
      <c r="L63" s="200"/>
      <c r="M63" s="200"/>
      <c r="N63" s="200"/>
      <c r="V63">
        <v>1113</v>
      </c>
      <c r="W63">
        <f>IFERROR(VLOOKUP(V63,calibration!$T$3:$W$408,3,FALSE),0)</f>
        <v>-1.2740274169500001</v>
      </c>
      <c r="X63" s="207">
        <f si="17" t="shared"/>
        <v>0</v>
      </c>
      <c r="Y63" s="207">
        <f si="9" t="shared"/>
        <v>-1.2740274169500001</v>
      </c>
    </row>
    <row r="64" spans="2:25" x14ac:dyDescent="0.2">
      <c r="B64" s="31" t="s">
        <v>1118</v>
      </c>
      <c r="L64" s="31" t="s">
        <v>1119</v>
      </c>
      <c r="V64">
        <v>1114</v>
      </c>
      <c r="W64">
        <f>IFERROR(VLOOKUP(V64,calibration!$T$3:$W$408,3,FALSE),0)</f>
        <v>-1.0749348599599999</v>
      </c>
      <c r="X64" s="207">
        <f si="17" t="shared"/>
        <v>0</v>
      </c>
      <c r="Y64" s="207">
        <f si="9" t="shared"/>
        <v>-1.0749348599599999</v>
      </c>
    </row>
    <row r="65" spans="2:25" x14ac:dyDescent="0.2">
      <c r="B65" s="31" t="s">
        <v>1120</v>
      </c>
      <c r="L65" s="31" t="s">
        <v>1120</v>
      </c>
      <c r="V65">
        <v>1115</v>
      </c>
      <c r="W65">
        <f>IFERROR(VLOOKUP(V65,calibration!$T$3:$W$408,3,FALSE),0)</f>
        <v>-0.94518526709999995</v>
      </c>
      <c r="X65" s="207">
        <f si="17" t="shared"/>
        <v>0</v>
      </c>
      <c r="Y65" s="207">
        <f si="9" t="shared"/>
        <v>-0.94518526709999995</v>
      </c>
    </row>
    <row r="66" spans="2:25" x14ac:dyDescent="0.2">
      <c r="B66" s="31"/>
      <c r="C66" s="31" t="s">
        <v>1121</v>
      </c>
      <c r="L66" s="31"/>
      <c r="M66" s="31" t="s">
        <v>1121</v>
      </c>
      <c r="V66">
        <v>1116</v>
      </c>
      <c r="W66">
        <f>IFERROR(VLOOKUP(V66,calibration!$T$3:$W$408,3,FALSE),0)</f>
        <v>-0.50215980633000001</v>
      </c>
      <c r="X66" s="207">
        <f si="17" t="shared"/>
        <v>0</v>
      </c>
      <c r="Y66" s="207">
        <f si="9" t="shared"/>
        <v>-0.50215980633000001</v>
      </c>
    </row>
    <row r="67" spans="2:25" x14ac:dyDescent="0.2">
      <c r="B67" s="31" t="s">
        <v>1122</v>
      </c>
      <c r="C67" s="31" t="s">
        <v>23</v>
      </c>
      <c r="D67" s="31" t="s">
        <v>24</v>
      </c>
      <c r="E67" s="31" t="s">
        <v>25</v>
      </c>
      <c r="F67" s="31" t="s">
        <v>249</v>
      </c>
      <c r="G67" s="31" t="s">
        <v>27</v>
      </c>
      <c r="H67" s="31" t="s">
        <v>28</v>
      </c>
      <c r="I67" s="31" t="s">
        <v>29</v>
      </c>
      <c r="J67" s="31"/>
      <c r="L67" s="31" t="s">
        <v>1122</v>
      </c>
      <c r="M67" s="31" t="s">
        <v>23</v>
      </c>
      <c r="N67" s="31" t="s">
        <v>24</v>
      </c>
      <c r="O67" s="31" t="s">
        <v>25</v>
      </c>
      <c r="P67" s="31" t="s">
        <v>249</v>
      </c>
      <c r="Q67" s="31" t="s">
        <v>27</v>
      </c>
      <c r="R67" s="31" t="s">
        <v>28</v>
      </c>
      <c r="S67" s="31" t="s">
        <v>29</v>
      </c>
      <c r="T67" s="31"/>
      <c r="V67">
        <v>1117</v>
      </c>
      <c r="W67">
        <f>IFERROR(VLOOKUP(V67,calibration!$T$3:$W$408,3,FALSE),0)</f>
        <v>-0.54063652535999995</v>
      </c>
      <c r="X67" s="207">
        <f si="17" t="shared"/>
        <v>0</v>
      </c>
      <c r="Y67" s="207">
        <f si="9" t="shared"/>
        <v>-0.54063652535999995</v>
      </c>
    </row>
    <row r="68" spans="2:25" x14ac:dyDescent="0.2">
      <c r="B68" s="31" t="s">
        <v>46</v>
      </c>
      <c r="C68" s="216">
        <f>output_NHTS!B344</f>
        <v>1314369.0722889169</v>
      </c>
      <c r="D68" s="216">
        <f>output_NHTS!C344</f>
        <v>1673140.3701550292</v>
      </c>
      <c r="E68" s="216">
        <f>output_NHTS!D344</f>
        <v>1653457.8953034473</v>
      </c>
      <c r="F68" s="216">
        <f>output_NHTS!E344</f>
        <v>1626434.8494628125</v>
      </c>
      <c r="G68" s="216">
        <f>output_NHTS!F344</f>
        <v>1668793.266243675</v>
      </c>
      <c r="H68" s="216">
        <f>output_NHTS!G344</f>
        <v>1699795.9478483328</v>
      </c>
      <c r="I68" s="216">
        <f>output_NHTS!H344</f>
        <v>1635573.9240106684</v>
      </c>
      <c r="J68" s="216"/>
      <c r="L68" s="31" t="s">
        <v>46</v>
      </c>
      <c r="M68" s="216">
        <f>output!B344</f>
        <v>1269887</v>
      </c>
      <c r="N68" s="216">
        <f>output!C344</f>
        <v>1658984</v>
      </c>
      <c r="O68" s="216">
        <f>output!D344</f>
        <v>1642356</v>
      </c>
      <c r="P68" s="216">
        <f>output!E344</f>
        <v>1597513</v>
      </c>
      <c r="Q68" s="216">
        <f>output!F344</f>
        <v>1643585</v>
      </c>
      <c r="R68" s="216">
        <f>output!G344</f>
        <v>1695663</v>
      </c>
      <c r="S68" s="216">
        <f>output!H344</f>
        <v>1623934</v>
      </c>
      <c r="T68" s="216"/>
      <c r="V68">
        <v>1123</v>
      </c>
      <c r="W68">
        <f>IFERROR(VLOOKUP(V68,calibration!$T$3:$W$408,3,FALSE),0)</f>
        <v>-1.3616026243299999</v>
      </c>
      <c r="X68" s="207">
        <f>N170</f>
        <v>0</v>
      </c>
      <c r="Y68" s="207">
        <f ref="Y68:Y99" si="18" t="shared">W68+X68</f>
        <v>-1.3616026243299999</v>
      </c>
    </row>
    <row r="69" spans="2:25" x14ac:dyDescent="0.2">
      <c r="B69" s="31" t="s">
        <v>23</v>
      </c>
      <c r="C69" s="216">
        <f>output_NHTS!B345</f>
        <v>22723.36519792</v>
      </c>
      <c r="D69" s="216">
        <f>output_NHTS!C345</f>
        <v>1730.0701088613382</v>
      </c>
      <c r="E69" s="216">
        <f>output_NHTS!D345</f>
        <v>256.76518051688561</v>
      </c>
      <c r="F69" s="216">
        <f>output_NHTS!E345</f>
        <v>960.30052579126527</v>
      </c>
      <c r="G69" s="216">
        <f>output_NHTS!F345</f>
        <v>1379.7879591957819</v>
      </c>
      <c r="H69" s="216">
        <f>output_NHTS!G345</f>
        <v>1617.3828014641474</v>
      </c>
      <c r="I69" s="216">
        <f>output_NHTS!H345</f>
        <v>1094.4894888648087</v>
      </c>
      <c r="J69" s="216"/>
      <c r="L69" s="31" t="s">
        <v>23</v>
      </c>
      <c r="M69" s="216">
        <f>output!B345</f>
        <v>28835</v>
      </c>
      <c r="N69" s="216">
        <f>output!C345</f>
        <v>1172</v>
      </c>
      <c r="O69" s="216">
        <f>output!D345</f>
        <v>705</v>
      </c>
      <c r="P69" s="216">
        <f>output!E345</f>
        <v>1740</v>
      </c>
      <c r="Q69" s="216">
        <f>output!F345</f>
        <v>1459</v>
      </c>
      <c r="R69" s="216">
        <f>output!G345</f>
        <v>1343</v>
      </c>
      <c r="S69" s="216">
        <f>output!H345</f>
        <v>2720</v>
      </c>
      <c r="T69" s="216"/>
      <c r="V69">
        <v>1124</v>
      </c>
      <c r="W69">
        <f>IFERROR(VLOOKUP(V69,calibration!$T$3:$W$408,3,FALSE),0)</f>
        <v>-0.84898836228999996</v>
      </c>
      <c r="X69" s="207">
        <f>N171</f>
        <v>0</v>
      </c>
      <c r="Y69" s="207">
        <f si="18" t="shared"/>
        <v>-0.84898836228999996</v>
      </c>
    </row>
    <row r="70" spans="2:25" x14ac:dyDescent="0.2">
      <c r="B70" s="31" t="s">
        <v>24</v>
      </c>
      <c r="C70" s="216">
        <f>output_NHTS!B346</f>
        <v>2404.8230142671796</v>
      </c>
      <c r="D70" s="216">
        <f>output_NHTS!C346</f>
        <v>5264.7771873797401</v>
      </c>
      <c r="E70" s="216">
        <f>output_NHTS!D346</f>
        <v>0</v>
      </c>
      <c r="F70" s="216">
        <f>output_NHTS!E346</f>
        <v>0</v>
      </c>
      <c r="G70" s="216">
        <f>output_NHTS!F346</f>
        <v>160.22400959608299</v>
      </c>
      <c r="H70" s="216">
        <f>output_NHTS!G346</f>
        <v>0</v>
      </c>
      <c r="I70" s="216">
        <f>output_NHTS!H346</f>
        <v>0</v>
      </c>
      <c r="J70" s="216"/>
      <c r="L70" s="31" t="s">
        <v>24</v>
      </c>
      <c r="M70" s="216">
        <f>output!B346</f>
        <v>1096</v>
      </c>
      <c r="N70" s="216">
        <f>output!C346</f>
        <v>9249</v>
      </c>
      <c r="O70" s="216">
        <f>output!D346</f>
        <v>66</v>
      </c>
      <c r="P70" s="216">
        <f>output!E346</f>
        <v>300</v>
      </c>
      <c r="Q70" s="216">
        <f>output!F346</f>
        <v>194</v>
      </c>
      <c r="R70" s="216">
        <f>output!G346</f>
        <v>222</v>
      </c>
      <c r="S70" s="216">
        <f>output!H346</f>
        <v>1358</v>
      </c>
      <c r="T70" s="216"/>
      <c r="V70">
        <v>1125</v>
      </c>
      <c r="W70">
        <f>IFERROR(VLOOKUP(V70,calibration!$T$3:$W$408,3,FALSE),0)</f>
        <v>-0.78613389561000002</v>
      </c>
      <c r="X70" s="207">
        <f>N172</f>
        <v>0</v>
      </c>
      <c r="Y70" s="207">
        <f si="18" t="shared"/>
        <v>-0.78613389561000002</v>
      </c>
    </row>
    <row r="71" spans="2:25" x14ac:dyDescent="0.2">
      <c r="B71" s="31" t="s">
        <v>25</v>
      </c>
      <c r="C71" s="216">
        <f>output_NHTS!B347</f>
        <v>56664.491318322885</v>
      </c>
      <c r="D71" s="216">
        <f>output_NHTS!C347</f>
        <v>14333.543021949225</v>
      </c>
      <c r="E71" s="216">
        <f>output_NHTS!D347</f>
        <v>10466.530025608597</v>
      </c>
      <c r="F71" s="216">
        <f>output_NHTS!E347</f>
        <v>7215.7187975204215</v>
      </c>
      <c r="G71" s="216">
        <f>output_NHTS!F347</f>
        <v>327.45978299499006</v>
      </c>
      <c r="H71" s="216">
        <f>output_NHTS!G347</f>
        <v>457.09580894600367</v>
      </c>
      <c r="I71" s="216">
        <f>output_NHTS!H347</f>
        <v>6551.6438702360929</v>
      </c>
      <c r="J71" s="216"/>
      <c r="L71" s="31" t="s">
        <v>25</v>
      </c>
      <c r="M71" s="216">
        <f>output!B347</f>
        <v>32917</v>
      </c>
      <c r="N71" s="216">
        <f>output!C347</f>
        <v>9371</v>
      </c>
      <c r="O71" s="216">
        <f>output!D347</f>
        <v>19214</v>
      </c>
      <c r="P71" s="216">
        <f>output!E347</f>
        <v>2836</v>
      </c>
      <c r="Q71" s="216">
        <f>output!F347</f>
        <v>2323</v>
      </c>
      <c r="R71" s="216">
        <f>output!G347</f>
        <v>2154</v>
      </c>
      <c r="S71" s="216">
        <f>output!H347</f>
        <v>4086</v>
      </c>
      <c r="T71" s="216"/>
      <c r="V71">
        <v>1126</v>
      </c>
      <c r="W71">
        <f>IFERROR(VLOOKUP(V71,calibration!$T$3:$W$408,3,FALSE),0)</f>
        <v>-0.54681847911000003</v>
      </c>
      <c r="X71" s="207">
        <f>N173</f>
        <v>0</v>
      </c>
      <c r="Y71" s="207">
        <f si="18" t="shared"/>
        <v>-0.54681847911000003</v>
      </c>
    </row>
    <row r="72" spans="2:25" x14ac:dyDescent="0.2">
      <c r="B72" s="31" t="s">
        <v>249</v>
      </c>
      <c r="C72" s="216">
        <f>output_NHTS!B348</f>
        <v>98996.129654174263</v>
      </c>
      <c r="D72" s="216">
        <f>output_NHTS!C348</f>
        <v>21351.61379151107</v>
      </c>
      <c r="E72" s="216">
        <f>output_NHTS!D348</f>
        <v>24583.985820362435</v>
      </c>
      <c r="F72" s="216">
        <f>output_NHTS!E348</f>
        <v>42749.607195252363</v>
      </c>
      <c r="G72" s="216">
        <f>output_NHTS!F348</f>
        <v>28563.217798002541</v>
      </c>
      <c r="H72" s="216">
        <f>output_NHTS!G348</f>
        <v>21630.273754568629</v>
      </c>
      <c r="I72" s="216">
        <f>output_NHTS!H348</f>
        <v>29452.828651620814</v>
      </c>
      <c r="J72" s="216"/>
      <c r="L72" s="31" t="s">
        <v>249</v>
      </c>
      <c r="M72" s="216">
        <f>output!B348</f>
        <v>89074</v>
      </c>
      <c r="N72" s="216">
        <f>output!C348</f>
        <v>17887</v>
      </c>
      <c r="O72" s="216">
        <f>output!D348</f>
        <v>23322</v>
      </c>
      <c r="P72" s="216">
        <f>output!E348</f>
        <v>54568</v>
      </c>
      <c r="Q72" s="216">
        <f>output!F348</f>
        <v>17819</v>
      </c>
      <c r="R72" s="216">
        <f>output!G348</f>
        <v>13410</v>
      </c>
      <c r="S72" s="216">
        <f>output!H348</f>
        <v>21480</v>
      </c>
      <c r="T72" s="216"/>
      <c r="V72">
        <v>1127</v>
      </c>
      <c r="W72">
        <f>IFERROR(VLOOKUP(V72,calibration!$T$3:$W$408,3,FALSE),0)</f>
        <v>-0.52556611821999999</v>
      </c>
      <c r="X72" s="207">
        <f>N174</f>
        <v>0</v>
      </c>
      <c r="Y72" s="207">
        <f si="18" t="shared"/>
        <v>-0.52556611821999999</v>
      </c>
    </row>
    <row r="73" spans="2:25" x14ac:dyDescent="0.2">
      <c r="B73" s="31" t="s">
        <v>27</v>
      </c>
      <c r="C73" s="216">
        <f>output_NHTS!B349</f>
        <v>94492.733316782891</v>
      </c>
      <c r="D73" s="216">
        <f>output_NHTS!C349</f>
        <v>13141.457833215347</v>
      </c>
      <c r="E73" s="216">
        <f>output_NHTS!D349</f>
        <v>27009.413349041959</v>
      </c>
      <c r="F73" s="216">
        <f>output_NHTS!E349</f>
        <v>39417.516072323349</v>
      </c>
      <c r="G73" s="216">
        <f>output_NHTS!F349</f>
        <v>37507.515423024372</v>
      </c>
      <c r="H73" s="216">
        <f>output_NHTS!G349</f>
        <v>15975.994268472419</v>
      </c>
      <c r="I73" s="216">
        <f>output_NHTS!H349</f>
        <v>38529.641239967452</v>
      </c>
      <c r="J73" s="216"/>
      <c r="L73" s="31" t="s">
        <v>27</v>
      </c>
      <c r="M73" s="216">
        <f>output!B349</f>
        <v>102688</v>
      </c>
      <c r="N73" s="216">
        <f>output!C349</f>
        <v>9064</v>
      </c>
      <c r="O73" s="216">
        <f>output!D349</f>
        <v>31850</v>
      </c>
      <c r="P73" s="216">
        <f>output!E349</f>
        <v>47524</v>
      </c>
      <c r="Q73" s="216">
        <f>output!F349</f>
        <v>64801</v>
      </c>
      <c r="R73" s="216">
        <f>output!G349</f>
        <v>15911</v>
      </c>
      <c r="S73" s="216">
        <f>output!H349</f>
        <v>26469</v>
      </c>
      <c r="T73" s="216"/>
      <c r="V73">
        <v>1134</v>
      </c>
      <c r="W73">
        <f>IFERROR(VLOOKUP(V73,calibration!$T$3:$W$408,3,FALSE),0)</f>
        <v>0.36235102463000002</v>
      </c>
      <c r="X73" s="207">
        <f>O171</f>
        <v>0</v>
      </c>
      <c r="Y73" s="207">
        <f si="18" t="shared"/>
        <v>0.36235102463000002</v>
      </c>
    </row>
    <row r="74" spans="2:25" x14ac:dyDescent="0.2">
      <c r="B74" s="31" t="s">
        <v>28</v>
      </c>
      <c r="C74" s="216">
        <f>output_NHTS!B350</f>
        <v>105041.63147994311</v>
      </c>
      <c r="D74" s="216">
        <f>output_NHTS!C350</f>
        <v>7683.5878220315753</v>
      </c>
      <c r="E74" s="216">
        <f>output_NHTS!D350</f>
        <v>16442.796200721059</v>
      </c>
      <c r="F74" s="216">
        <f>output_NHTS!E350</f>
        <v>26016.680304324051</v>
      </c>
      <c r="G74" s="216">
        <f>output_NHTS!F350</f>
        <v>17047.663690978672</v>
      </c>
      <c r="H74" s="216">
        <f>output_NHTS!G350</f>
        <v>10873.717864460134</v>
      </c>
      <c r="I74" s="216">
        <f>output_NHTS!H350</f>
        <v>25356.675036126879</v>
      </c>
      <c r="J74" s="216"/>
      <c r="L74" s="31" t="s">
        <v>28</v>
      </c>
      <c r="M74" s="216">
        <f>output!B350</f>
        <v>145625</v>
      </c>
      <c r="N74" s="216">
        <f>output!C350</f>
        <v>9276</v>
      </c>
      <c r="O74" s="216">
        <f>output!D350</f>
        <v>28322</v>
      </c>
      <c r="P74" s="216">
        <f>output!E350</f>
        <v>35511</v>
      </c>
      <c r="Q74" s="216">
        <f>output!F350</f>
        <v>17467</v>
      </c>
      <c r="R74" s="216">
        <f>output!G350</f>
        <v>25559</v>
      </c>
      <c r="S74" s="216">
        <f>output!H350</f>
        <v>27373</v>
      </c>
      <c r="T74" s="216"/>
      <c r="V74">
        <v>1135</v>
      </c>
      <c r="W74">
        <f>IFERROR(VLOOKUP(V74,calibration!$T$3:$W$408,3,FALSE),0)</f>
        <v>-0.10012866324</v>
      </c>
      <c r="X74" s="207">
        <f>O172</f>
        <v>0</v>
      </c>
      <c r="Y74" s="207">
        <f si="18" t="shared"/>
        <v>-0.10012866324</v>
      </c>
    </row>
    <row r="75" spans="2:25" x14ac:dyDescent="0.2">
      <c r="B75" s="31" t="s">
        <v>29</v>
      </c>
      <c r="C75" s="216">
        <f>output_NHTS!B351</f>
        <v>71528.753729672739</v>
      </c>
      <c r="D75" s="216">
        <f>output_NHTS!C351</f>
        <v>29575.580080022279</v>
      </c>
      <c r="E75" s="216">
        <f>output_NHTS!D351</f>
        <v>34003.614120301689</v>
      </c>
      <c r="F75" s="216">
        <f>output_NHTS!E351</f>
        <v>23426.327641975859</v>
      </c>
      <c r="G75" s="216">
        <f>output_NHTS!F351</f>
        <v>12441.865092532353</v>
      </c>
      <c r="H75" s="216">
        <f>output_NHTS!G351</f>
        <v>15870.587653755669</v>
      </c>
      <c r="I75" s="216">
        <f>output_NHTS!H351</f>
        <v>29661.797702515487</v>
      </c>
      <c r="J75" s="216"/>
      <c r="L75" s="31" t="s">
        <v>29</v>
      </c>
      <c r="M75" s="216">
        <f>output!B351</f>
        <v>96099</v>
      </c>
      <c r="N75" s="216">
        <f>output!C351</f>
        <v>51218</v>
      </c>
      <c r="O75" s="216">
        <f>output!D351</f>
        <v>20386</v>
      </c>
      <c r="P75" s="216">
        <f>output!E351</f>
        <v>26229</v>
      </c>
      <c r="Q75" s="216">
        <f>output!F351</f>
        <v>18573</v>
      </c>
      <c r="R75" s="216">
        <f>output!G351</f>
        <v>11959</v>
      </c>
      <c r="S75" s="216">
        <f>output!H351</f>
        <v>58801</v>
      </c>
      <c r="T75" s="216"/>
      <c r="V75">
        <v>1136</v>
      </c>
      <c r="W75">
        <f>IFERROR(VLOOKUP(V75,calibration!$T$3:$W$408,3,FALSE),0)</f>
        <v>-0.10673219229</v>
      </c>
      <c r="X75" s="207">
        <f>O173</f>
        <v>0</v>
      </c>
      <c r="Y75" s="207">
        <f si="18" t="shared"/>
        <v>-0.10673219229</v>
      </c>
    </row>
    <row r="76" spans="2:25" x14ac:dyDescent="0.2">
      <c r="B76" s="31" t="s">
        <v>240</v>
      </c>
      <c r="C76" s="216">
        <f ref="C76:I76" si="19" t="shared">SUM(C68:C75)</f>
        <v>1766221</v>
      </c>
      <c r="D76" s="216">
        <f si="19" t="shared"/>
        <v>1766221</v>
      </c>
      <c r="E76" s="216">
        <f si="19" t="shared"/>
        <v>1766221</v>
      </c>
      <c r="F76" s="216">
        <f si="19" t="shared"/>
        <v>1766220.9999999998</v>
      </c>
      <c r="G76" s="216">
        <f si="19" t="shared"/>
        <v>1766220.9999999995</v>
      </c>
      <c r="H76" s="216">
        <f si="19" t="shared"/>
        <v>1766220.9999999995</v>
      </c>
      <c r="I76" s="216">
        <f si="19" t="shared"/>
        <v>1766221</v>
      </c>
      <c r="J76" s="216"/>
      <c r="L76" s="31" t="s">
        <v>240</v>
      </c>
      <c r="M76" s="216">
        <f ref="M76:S76" si="20" t="shared">SUM(M68:M75)</f>
        <v>1766221</v>
      </c>
      <c r="N76" s="216">
        <f si="20" t="shared"/>
        <v>1766221</v>
      </c>
      <c r="O76" s="216">
        <f si="20" t="shared"/>
        <v>1766221</v>
      </c>
      <c r="P76" s="216">
        <f si="20" t="shared"/>
        <v>1766221</v>
      </c>
      <c r="Q76" s="216">
        <f si="20" t="shared"/>
        <v>1766221</v>
      </c>
      <c r="R76" s="216">
        <f si="20" t="shared"/>
        <v>1766221</v>
      </c>
      <c r="S76" s="216">
        <f si="20" t="shared"/>
        <v>1766221</v>
      </c>
      <c r="T76" s="216"/>
      <c r="V76">
        <v>1137</v>
      </c>
      <c r="W76">
        <f>IFERROR(VLOOKUP(V76,calibration!$T$3:$W$408,3,FALSE),0)</f>
        <v>0.21650598322</v>
      </c>
      <c r="X76" s="207">
        <f>O174</f>
        <v>0</v>
      </c>
      <c r="Y76" s="207">
        <f si="18" t="shared"/>
        <v>0.21650598322</v>
      </c>
    </row>
    <row r="77" spans="2:25" x14ac:dyDescent="0.2">
      <c r="V77">
        <v>1145</v>
      </c>
      <c r="W77">
        <f>IFERROR(VLOOKUP(V77,calibration!$T$3:$W$408,3,FALSE),0)</f>
        <v>-5.5921311629999998E-2</v>
      </c>
      <c r="X77" s="207">
        <f>P172</f>
        <v>0</v>
      </c>
      <c r="Y77" s="207">
        <f si="18" t="shared"/>
        <v>-5.5921311629999998E-2</v>
      </c>
    </row>
    <row r="78" spans="2:25" x14ac:dyDescent="0.2">
      <c r="V78">
        <v>1146</v>
      </c>
      <c r="W78">
        <f>IFERROR(VLOOKUP(V78,calibration!$T$3:$W$408,3,FALSE),0)</f>
        <v>0.24358333610999999</v>
      </c>
      <c r="X78" s="207">
        <f>P173</f>
        <v>0</v>
      </c>
      <c r="Y78" s="207">
        <f si="18" t="shared"/>
        <v>0.24358333610999999</v>
      </c>
    </row>
    <row r="79" spans="2:25" x14ac:dyDescent="0.2">
      <c r="B79" s="31" t="s">
        <v>1123</v>
      </c>
      <c r="L79" s="31" t="s">
        <v>1119</v>
      </c>
      <c r="V79">
        <v>1147</v>
      </c>
      <c r="W79">
        <f>IFERROR(VLOOKUP(V79,calibration!$T$3:$W$408,3,FALSE),0)</f>
        <v>-0.18853487848</v>
      </c>
      <c r="X79" s="207">
        <f>P174</f>
        <v>0</v>
      </c>
      <c r="Y79" s="207">
        <f si="18" t="shared"/>
        <v>-0.18853487848</v>
      </c>
    </row>
    <row r="80" spans="2:25" x14ac:dyDescent="0.2">
      <c r="B80" s="31" t="s">
        <v>1120</v>
      </c>
      <c r="L80" s="31" t="s">
        <v>1120</v>
      </c>
      <c r="V80">
        <v>1156</v>
      </c>
      <c r="W80">
        <f>IFERROR(VLOOKUP(V80,calibration!$T$3:$W$408,3,FALSE),0)</f>
        <v>-0.44226070846999999</v>
      </c>
      <c r="X80" s="207">
        <f>Q173</f>
        <v>0</v>
      </c>
      <c r="Y80" s="207">
        <f si="18" t="shared"/>
        <v>-0.44226070846999999</v>
      </c>
    </row>
    <row r="81" spans="2:25" x14ac:dyDescent="0.2">
      <c r="B81" s="31"/>
      <c r="C81" s="31" t="s">
        <v>1121</v>
      </c>
      <c r="L81" s="31"/>
      <c r="M81" s="31" t="s">
        <v>1121</v>
      </c>
      <c r="V81">
        <v>1157</v>
      </c>
      <c r="W81">
        <f>IFERROR(VLOOKUP(V81,calibration!$T$3:$W$408,3,FALSE),0)</f>
        <v>1.030149396E-2</v>
      </c>
      <c r="X81" s="207">
        <f>Q174</f>
        <v>0</v>
      </c>
      <c r="Y81" s="207">
        <f si="18" t="shared"/>
        <v>1.030149396E-2</v>
      </c>
    </row>
    <row r="82" spans="2:25" x14ac:dyDescent="0.2">
      <c r="B82" s="31" t="s">
        <v>1122</v>
      </c>
      <c r="C82" s="31" t="s">
        <v>23</v>
      </c>
      <c r="D82" s="31" t="s">
        <v>24</v>
      </c>
      <c r="E82" s="31" t="s">
        <v>25</v>
      </c>
      <c r="F82" s="31" t="s">
        <v>249</v>
      </c>
      <c r="G82" s="31" t="s">
        <v>27</v>
      </c>
      <c r="H82" s="31" t="s">
        <v>28</v>
      </c>
      <c r="I82" s="31" t="s">
        <v>29</v>
      </c>
      <c r="J82" s="31"/>
      <c r="L82" s="31" t="s">
        <v>1122</v>
      </c>
      <c r="M82" s="31" t="s">
        <v>23</v>
      </c>
      <c r="N82" s="31" t="s">
        <v>24</v>
      </c>
      <c r="O82" s="31" t="s">
        <v>25</v>
      </c>
      <c r="P82" s="31" t="s">
        <v>249</v>
      </c>
      <c r="Q82" s="31" t="s">
        <v>27</v>
      </c>
      <c r="R82" s="31" t="s">
        <v>28</v>
      </c>
      <c r="S82" s="31" t="s">
        <v>29</v>
      </c>
      <c r="T82" s="31"/>
      <c r="V82">
        <v>1212</v>
      </c>
      <c r="W82">
        <f>IFERROR(VLOOKUP(V82,calibration!$T$3:$W$408,3,FALSE),0)</f>
        <v>0</v>
      </c>
      <c r="X82" s="207">
        <f ref="X82:X87" si="21" t="shared">M223</f>
        <v>0</v>
      </c>
      <c r="Y82" s="207">
        <f si="18" t="shared"/>
        <v>0</v>
      </c>
    </row>
    <row r="83" spans="2:25" x14ac:dyDescent="0.2">
      <c r="B83" s="31" t="s">
        <v>46</v>
      </c>
      <c r="C83" s="216">
        <f ref="C83:I90" si="22" t="shared">C68*$C$1</f>
        <v>1314369.0722889171</v>
      </c>
      <c r="D83" s="216">
        <f si="22" t="shared"/>
        <v>1673140.3701550297</v>
      </c>
      <c r="E83" s="216">
        <f si="22" t="shared"/>
        <v>1653457.8953034477</v>
      </c>
      <c r="F83" s="216">
        <f si="22" t="shared"/>
        <v>1626434.849462813</v>
      </c>
      <c r="G83" s="216">
        <f si="22" t="shared"/>
        <v>1668793.2662436755</v>
      </c>
      <c r="H83" s="216">
        <f si="22" t="shared"/>
        <v>1699795.9478483333</v>
      </c>
      <c r="I83" s="216">
        <f si="22" t="shared"/>
        <v>1635573.9240106689</v>
      </c>
      <c r="J83" s="216"/>
      <c r="L83" s="31" t="s">
        <v>46</v>
      </c>
      <c r="M83" s="216">
        <f ref="M83:S90" si="23" t="shared">M68</f>
        <v>1269887</v>
      </c>
      <c r="N83" s="216">
        <f si="23" t="shared"/>
        <v>1658984</v>
      </c>
      <c r="O83" s="216">
        <f si="23" t="shared"/>
        <v>1642356</v>
      </c>
      <c r="P83" s="216">
        <f si="23" t="shared"/>
        <v>1597513</v>
      </c>
      <c r="Q83" s="216">
        <f si="23" t="shared"/>
        <v>1643585</v>
      </c>
      <c r="R83" s="216">
        <f si="23" t="shared"/>
        <v>1695663</v>
      </c>
      <c r="S83" s="216">
        <f si="23" t="shared"/>
        <v>1623934</v>
      </c>
      <c r="T83" s="216"/>
      <c r="V83">
        <v>1213</v>
      </c>
      <c r="W83">
        <f>IFERROR(VLOOKUP(V83,calibration!$T$3:$W$408,3,FALSE),0)</f>
        <v>-1.36481525144</v>
      </c>
      <c r="X83" s="207">
        <f si="21" t="shared"/>
        <v>0</v>
      </c>
      <c r="Y83" s="207">
        <f si="18" t="shared"/>
        <v>-1.36481525144</v>
      </c>
    </row>
    <row r="84" spans="2:25" x14ac:dyDescent="0.2">
      <c r="B84" s="31" t="s">
        <v>23</v>
      </c>
      <c r="C84" s="216">
        <f si="22" t="shared"/>
        <v>22723.365197920004</v>
      </c>
      <c r="D84" s="216">
        <f si="22" t="shared"/>
        <v>1730.0701088613387</v>
      </c>
      <c r="E84" s="216">
        <f si="22" t="shared"/>
        <v>256.76518051688566</v>
      </c>
      <c r="F84" s="216">
        <f si="22" t="shared"/>
        <v>960.3005257912655</v>
      </c>
      <c r="G84" s="216">
        <f si="22" t="shared"/>
        <v>1379.7879591957822</v>
      </c>
      <c r="H84" s="216">
        <f si="22" t="shared"/>
        <v>1617.3828014641479</v>
      </c>
      <c r="I84" s="216">
        <f si="22" t="shared"/>
        <v>1094.4894888648089</v>
      </c>
      <c r="J84" s="216"/>
      <c r="L84" s="31" t="s">
        <v>23</v>
      </c>
      <c r="M84" s="216">
        <f si="23" t="shared"/>
        <v>28835</v>
      </c>
      <c r="N84" s="216">
        <f si="23" t="shared"/>
        <v>1172</v>
      </c>
      <c r="O84" s="216">
        <f si="23" t="shared"/>
        <v>705</v>
      </c>
      <c r="P84" s="216">
        <f si="23" t="shared"/>
        <v>1740</v>
      </c>
      <c r="Q84" s="216">
        <f si="23" t="shared"/>
        <v>1459</v>
      </c>
      <c r="R84" s="216">
        <f si="23" t="shared"/>
        <v>1343</v>
      </c>
      <c r="S84" s="216">
        <f si="23" t="shared"/>
        <v>2720</v>
      </c>
      <c r="T84" s="216"/>
      <c r="V84">
        <v>1214</v>
      </c>
      <c r="W84">
        <f>IFERROR(VLOOKUP(V84,calibration!$T$3:$W$408,3,FALSE),0)</f>
        <v>-0.61775033894999998</v>
      </c>
      <c r="X84" s="207">
        <f si="21" t="shared"/>
        <v>0</v>
      </c>
      <c r="Y84" s="207">
        <f si="18" t="shared"/>
        <v>-0.61775033894999998</v>
      </c>
    </row>
    <row r="85" spans="2:25" x14ac:dyDescent="0.2">
      <c r="B85" s="31" t="s">
        <v>24</v>
      </c>
      <c r="C85" s="216">
        <f si="22" t="shared"/>
        <v>2404.82301426718</v>
      </c>
      <c r="D85" s="216">
        <f si="22" t="shared"/>
        <v>5264.777187379741</v>
      </c>
      <c r="E85" s="216">
        <f si="22" t="shared"/>
        <v>0</v>
      </c>
      <c r="F85" s="216">
        <f si="22" t="shared"/>
        <v>0</v>
      </c>
      <c r="G85" s="216">
        <f si="22" t="shared"/>
        <v>160.22400959608302</v>
      </c>
      <c r="H85" s="216">
        <f si="22" t="shared"/>
        <v>0</v>
      </c>
      <c r="I85" s="216">
        <f si="22" t="shared"/>
        <v>0</v>
      </c>
      <c r="J85" s="216"/>
      <c r="L85" s="31" t="s">
        <v>24</v>
      </c>
      <c r="M85" s="216">
        <f si="23" t="shared"/>
        <v>1096</v>
      </c>
      <c r="N85" s="216">
        <f si="23" t="shared"/>
        <v>9249</v>
      </c>
      <c r="O85" s="216">
        <f si="23" t="shared"/>
        <v>66</v>
      </c>
      <c r="P85" s="216">
        <f si="23" t="shared"/>
        <v>300</v>
      </c>
      <c r="Q85" s="216">
        <f si="23" t="shared"/>
        <v>194</v>
      </c>
      <c r="R85" s="216">
        <f si="23" t="shared"/>
        <v>222</v>
      </c>
      <c r="S85" s="216">
        <f si="23" t="shared"/>
        <v>1358</v>
      </c>
      <c r="T85" s="216"/>
      <c r="V85">
        <v>1215</v>
      </c>
      <c r="W85">
        <f>IFERROR(VLOOKUP(V85,calibration!$T$3:$W$408,3,FALSE),0)</f>
        <v>-0.64325229668999995</v>
      </c>
      <c r="X85" s="207">
        <f si="21" t="shared"/>
        <v>0</v>
      </c>
      <c r="Y85" s="207">
        <f si="18" t="shared"/>
        <v>-0.64325229668999995</v>
      </c>
    </row>
    <row r="86" spans="2:25" x14ac:dyDescent="0.2">
      <c r="B86" s="31" t="s">
        <v>25</v>
      </c>
      <c r="C86" s="216">
        <f si="22" t="shared"/>
        <v>56664.4913183229</v>
      </c>
      <c r="D86" s="216">
        <f si="22" t="shared"/>
        <v>14333.543021949228</v>
      </c>
      <c r="E86" s="216">
        <f si="22" t="shared"/>
        <v>10466.530025608599</v>
      </c>
      <c r="F86" s="216">
        <f si="22" t="shared"/>
        <v>7215.7187975204233</v>
      </c>
      <c r="G86" s="216">
        <f si="22" t="shared"/>
        <v>327.45978299499012</v>
      </c>
      <c r="H86" s="216">
        <f si="22" t="shared"/>
        <v>457.09580894600379</v>
      </c>
      <c r="I86" s="216">
        <f si="22" t="shared"/>
        <v>6551.6438702360947</v>
      </c>
      <c r="J86" s="216"/>
      <c r="L86" s="31" t="s">
        <v>25</v>
      </c>
      <c r="M86" s="216">
        <f si="23" t="shared"/>
        <v>32917</v>
      </c>
      <c r="N86" s="216">
        <f si="23" t="shared"/>
        <v>9371</v>
      </c>
      <c r="O86" s="216">
        <f si="23" t="shared"/>
        <v>19214</v>
      </c>
      <c r="P86" s="216">
        <f si="23" t="shared"/>
        <v>2836</v>
      </c>
      <c r="Q86" s="216">
        <f si="23" t="shared"/>
        <v>2323</v>
      </c>
      <c r="R86" s="216">
        <f si="23" t="shared"/>
        <v>2154</v>
      </c>
      <c r="S86" s="216">
        <f si="23" t="shared"/>
        <v>4086</v>
      </c>
      <c r="T86" s="216"/>
      <c r="V86">
        <v>1216</v>
      </c>
      <c r="W86">
        <f>IFERROR(VLOOKUP(V86,calibration!$T$3:$W$408,3,FALSE),0)</f>
        <v>-0.44793136683000001</v>
      </c>
      <c r="X86" s="207">
        <f si="21" t="shared"/>
        <v>0</v>
      </c>
      <c r="Y86" s="207">
        <f si="18" t="shared"/>
        <v>-0.44793136683000001</v>
      </c>
    </row>
    <row r="87" spans="2:25" x14ac:dyDescent="0.2">
      <c r="B87" s="31" t="s">
        <v>249</v>
      </c>
      <c r="C87" s="216">
        <f si="22" t="shared"/>
        <v>98996.129654174292</v>
      </c>
      <c r="D87" s="216">
        <f si="22" t="shared"/>
        <v>21351.613791511074</v>
      </c>
      <c r="E87" s="216">
        <f si="22" t="shared"/>
        <v>24583.985820362443</v>
      </c>
      <c r="F87" s="216">
        <f si="22" t="shared"/>
        <v>42749.607195252371</v>
      </c>
      <c r="G87" s="216">
        <f si="22" t="shared"/>
        <v>28563.217798002548</v>
      </c>
      <c r="H87" s="216">
        <f si="22" t="shared"/>
        <v>21630.273754568632</v>
      </c>
      <c r="I87" s="216">
        <f si="22" t="shared"/>
        <v>29452.828651620821</v>
      </c>
      <c r="J87" s="216"/>
      <c r="L87" s="31" t="s">
        <v>249</v>
      </c>
      <c r="M87" s="216">
        <f si="23" t="shared"/>
        <v>89074</v>
      </c>
      <c r="N87" s="216">
        <f si="23" t="shared"/>
        <v>17887</v>
      </c>
      <c r="O87" s="216">
        <f si="23" t="shared"/>
        <v>23322</v>
      </c>
      <c r="P87" s="216">
        <f si="23" t="shared"/>
        <v>54568</v>
      </c>
      <c r="Q87" s="216">
        <f si="23" t="shared"/>
        <v>17819</v>
      </c>
      <c r="R87" s="216">
        <f si="23" t="shared"/>
        <v>13410</v>
      </c>
      <c r="S87" s="216">
        <f si="23" t="shared"/>
        <v>21480</v>
      </c>
      <c r="T87" s="216"/>
      <c r="V87">
        <v>1217</v>
      </c>
      <c r="W87">
        <f>IFERROR(VLOOKUP(V87,calibration!$T$3:$W$408,3,FALSE),0)</f>
        <v>-0.93801074919000005</v>
      </c>
      <c r="X87" s="207">
        <f si="21" t="shared"/>
        <v>0</v>
      </c>
      <c r="Y87" s="207">
        <f si="18" t="shared"/>
        <v>-0.93801074919000005</v>
      </c>
    </row>
    <row r="88" spans="2:25" x14ac:dyDescent="0.2">
      <c r="B88" s="31" t="s">
        <v>27</v>
      </c>
      <c r="C88" s="216">
        <f si="22" t="shared"/>
        <v>94492.733316782906</v>
      </c>
      <c r="D88" s="216">
        <f si="22" t="shared"/>
        <v>13141.457833215351</v>
      </c>
      <c r="E88" s="216">
        <f si="22" t="shared"/>
        <v>27009.413349041966</v>
      </c>
      <c r="F88" s="216">
        <f si="22" t="shared"/>
        <v>39417.516072323357</v>
      </c>
      <c r="G88" s="216">
        <f si="22" t="shared"/>
        <v>37507.515423024379</v>
      </c>
      <c r="H88" s="216">
        <f si="22" t="shared"/>
        <v>15975.994268472423</v>
      </c>
      <c r="I88" s="216">
        <f si="22" t="shared"/>
        <v>38529.641239967459</v>
      </c>
      <c r="J88" s="216"/>
      <c r="L88" s="31" t="s">
        <v>27</v>
      </c>
      <c r="M88" s="216">
        <f si="23" t="shared"/>
        <v>102688</v>
      </c>
      <c r="N88" s="216">
        <f si="23" t="shared"/>
        <v>9064</v>
      </c>
      <c r="O88" s="216">
        <f si="23" t="shared"/>
        <v>31850</v>
      </c>
      <c r="P88" s="216">
        <f si="23" t="shared"/>
        <v>47524</v>
      </c>
      <c r="Q88" s="216">
        <f si="23" t="shared"/>
        <v>64801</v>
      </c>
      <c r="R88" s="216">
        <f si="23" t="shared"/>
        <v>15911</v>
      </c>
      <c r="S88" s="216">
        <f si="23" t="shared"/>
        <v>26469</v>
      </c>
      <c r="T88" s="216"/>
      <c r="V88">
        <v>1223</v>
      </c>
      <c r="W88">
        <f>IFERROR(VLOOKUP(V88,calibration!$T$3:$W$408,3,FALSE),0)</f>
        <v>-1.1092063858900001</v>
      </c>
      <c r="X88" s="207">
        <f>N224</f>
        <v>0</v>
      </c>
      <c r="Y88" s="207">
        <f si="18" t="shared"/>
        <v>-1.1092063858900001</v>
      </c>
    </row>
    <row r="89" spans="2:25" x14ac:dyDescent="0.2">
      <c r="B89" s="31" t="s">
        <v>28</v>
      </c>
      <c r="C89" s="216">
        <f si="22" t="shared"/>
        <v>105041.63147994314</v>
      </c>
      <c r="D89" s="216">
        <f si="22" t="shared"/>
        <v>7683.5878220315772</v>
      </c>
      <c r="E89" s="216">
        <f si="22" t="shared"/>
        <v>16442.796200721063</v>
      </c>
      <c r="F89" s="216">
        <f si="22" t="shared"/>
        <v>26016.680304324058</v>
      </c>
      <c r="G89" s="216">
        <f si="22" t="shared"/>
        <v>17047.663690978676</v>
      </c>
      <c r="H89" s="216">
        <f si="22" t="shared"/>
        <v>10873.717864460135</v>
      </c>
      <c r="I89" s="216">
        <f si="22" t="shared"/>
        <v>25356.675036126886</v>
      </c>
      <c r="J89" s="216"/>
      <c r="L89" s="31" t="s">
        <v>28</v>
      </c>
      <c r="M89" s="216">
        <f si="23" t="shared"/>
        <v>145625</v>
      </c>
      <c r="N89" s="216">
        <f si="23" t="shared"/>
        <v>9276</v>
      </c>
      <c r="O89" s="216">
        <f si="23" t="shared"/>
        <v>28322</v>
      </c>
      <c r="P89" s="216">
        <f si="23" t="shared"/>
        <v>35511</v>
      </c>
      <c r="Q89" s="216">
        <f si="23" t="shared"/>
        <v>17467</v>
      </c>
      <c r="R89" s="216">
        <f si="23" t="shared"/>
        <v>25559</v>
      </c>
      <c r="S89" s="216">
        <f si="23" t="shared"/>
        <v>27373</v>
      </c>
      <c r="T89" s="216"/>
      <c r="V89">
        <v>1224</v>
      </c>
      <c r="W89">
        <f>IFERROR(VLOOKUP(V89,calibration!$T$3:$W$408,3,FALSE),0)</f>
        <v>-0.37840972925999999</v>
      </c>
      <c r="X89" s="207">
        <f>N225</f>
        <v>0</v>
      </c>
      <c r="Y89" s="207">
        <f si="18" t="shared"/>
        <v>-0.37840972925999999</v>
      </c>
    </row>
    <row r="90" spans="2:25" x14ac:dyDescent="0.2">
      <c r="B90" s="31" t="s">
        <v>29</v>
      </c>
      <c r="C90" s="216">
        <f si="22" t="shared"/>
        <v>71528.753729672753</v>
      </c>
      <c r="D90" s="216">
        <f si="22" t="shared"/>
        <v>29575.580080022286</v>
      </c>
      <c r="E90" s="216">
        <f si="22" t="shared"/>
        <v>34003.614120301696</v>
      </c>
      <c r="F90" s="216">
        <f si="22" t="shared"/>
        <v>23426.327641975862</v>
      </c>
      <c r="G90" s="216">
        <f si="22" t="shared"/>
        <v>12441.865092532356</v>
      </c>
      <c r="H90" s="216">
        <f si="22" t="shared"/>
        <v>15870.587653755672</v>
      </c>
      <c r="I90" s="216">
        <f si="22" t="shared"/>
        <v>29661.797702515494</v>
      </c>
      <c r="J90" s="216"/>
      <c r="L90" s="31" t="s">
        <v>29</v>
      </c>
      <c r="M90" s="216">
        <f si="23" t="shared"/>
        <v>96099</v>
      </c>
      <c r="N90" s="216">
        <f si="23" t="shared"/>
        <v>51218</v>
      </c>
      <c r="O90" s="216">
        <f si="23" t="shared"/>
        <v>20386</v>
      </c>
      <c r="P90" s="216">
        <f si="23" t="shared"/>
        <v>26229</v>
      </c>
      <c r="Q90" s="216">
        <f si="23" t="shared"/>
        <v>18573</v>
      </c>
      <c r="R90" s="216">
        <f si="23" t="shared"/>
        <v>11959</v>
      </c>
      <c r="S90" s="216">
        <f si="23" t="shared"/>
        <v>58801</v>
      </c>
      <c r="T90" s="216"/>
      <c r="V90">
        <v>1225</v>
      </c>
      <c r="W90">
        <f>IFERROR(VLOOKUP(V90,calibration!$T$3:$W$408,3,FALSE),0)</f>
        <v>-1.13150811347</v>
      </c>
      <c r="X90" s="207">
        <f>N226</f>
        <v>0</v>
      </c>
      <c r="Y90" s="207">
        <f si="18" t="shared"/>
        <v>-1.13150811347</v>
      </c>
    </row>
    <row r="91" spans="2:25" x14ac:dyDescent="0.2">
      <c r="B91" s="31" t="s">
        <v>240</v>
      </c>
      <c r="C91" s="216">
        <f ref="C91:I91" si="24" t="shared">SUM(C83:C90)</f>
        <v>1766221.0000000005</v>
      </c>
      <c r="D91" s="216">
        <f si="24" t="shared"/>
        <v>1766221.0000000005</v>
      </c>
      <c r="E91" s="216">
        <f si="24" t="shared"/>
        <v>1766221.0000000005</v>
      </c>
      <c r="F91" s="216">
        <f si="24" t="shared"/>
        <v>1766221.0000000002</v>
      </c>
      <c r="G91" s="216">
        <f si="24" t="shared"/>
        <v>1766221</v>
      </c>
      <c r="H91" s="216">
        <f si="24" t="shared"/>
        <v>1766221.0000000002</v>
      </c>
      <c r="I91" s="216">
        <f si="24" t="shared"/>
        <v>1766221.0000000005</v>
      </c>
      <c r="J91" s="216"/>
      <c r="L91" s="31" t="s">
        <v>240</v>
      </c>
      <c r="M91" s="216">
        <f ref="M91:S91" si="25" t="shared">SUM(M83:M90)</f>
        <v>1766221</v>
      </c>
      <c r="N91" s="216">
        <f si="25" t="shared"/>
        <v>1766221</v>
      </c>
      <c r="O91" s="216">
        <f si="25" t="shared"/>
        <v>1766221</v>
      </c>
      <c r="P91" s="216">
        <f si="25" t="shared"/>
        <v>1766221</v>
      </c>
      <c r="Q91" s="216">
        <f si="25" t="shared"/>
        <v>1766221</v>
      </c>
      <c r="R91" s="216">
        <f si="25" t="shared"/>
        <v>1766221</v>
      </c>
      <c r="S91" s="216">
        <f si="25" t="shared"/>
        <v>1766221</v>
      </c>
      <c r="T91" s="216"/>
      <c r="V91">
        <v>1226</v>
      </c>
      <c r="W91">
        <f>IFERROR(VLOOKUP(V91,calibration!$T$3:$W$408,3,FALSE),0)</f>
        <v>0.46235910839</v>
      </c>
      <c r="X91" s="207">
        <f>N227</f>
        <v>0</v>
      </c>
      <c r="Y91" s="207">
        <f si="18" t="shared"/>
        <v>0.46235910839</v>
      </c>
    </row>
    <row r="92" spans="2:25" x14ac:dyDescent="0.2">
      <c r="V92">
        <v>1227</v>
      </c>
      <c r="W92">
        <f>IFERROR(VLOOKUP(V92,calibration!$T$3:$W$408,3,FALSE),0)</f>
        <v>-0.18611062162</v>
      </c>
      <c r="X92" s="207">
        <f>N228</f>
        <v>0</v>
      </c>
      <c r="Y92" s="207">
        <f si="18" t="shared"/>
        <v>-0.18611062162</v>
      </c>
    </row>
    <row r="93" spans="2:25" x14ac:dyDescent="0.2">
      <c r="V93">
        <v>1234</v>
      </c>
      <c r="W93">
        <f>IFERROR(VLOOKUP(V93,calibration!$T$3:$W$408,3,FALSE),0)</f>
        <v>-0.52820419371000005</v>
      </c>
      <c r="X93" s="207">
        <f>O225</f>
        <v>0</v>
      </c>
      <c r="Y93" s="207">
        <f si="18" t="shared"/>
        <v>-0.52820419371000005</v>
      </c>
    </row>
    <row customHeight="1" ht="14.25" r="94" spans="2:25" x14ac:dyDescent="0.25">
      <c r="B94" s="31" t="s">
        <v>1124</v>
      </c>
      <c r="L94" s="206" t="s">
        <v>1115</v>
      </c>
      <c r="V94">
        <v>1235</v>
      </c>
      <c r="W94">
        <f>IFERROR(VLOOKUP(V94,calibration!$T$3:$W$408,3,FALSE),0)</f>
        <v>-0.73156894307999998</v>
      </c>
      <c r="X94" s="207">
        <f>O226</f>
        <v>0</v>
      </c>
      <c r="Y94" s="207">
        <f si="18" t="shared"/>
        <v>-0.73156894307999998</v>
      </c>
    </row>
    <row r="95" spans="2:25" x14ac:dyDescent="0.2">
      <c r="B95" s="31" t="s">
        <v>1120</v>
      </c>
      <c r="L95" s="31" t="s">
        <v>1120</v>
      </c>
      <c r="V95">
        <v>1236</v>
      </c>
      <c r="W95">
        <f>IFERROR(VLOOKUP(V95,calibration!$T$3:$W$408,3,FALSE),0)</f>
        <v>-0.38019855195000002</v>
      </c>
      <c r="X95" s="207">
        <f>O227</f>
        <v>0</v>
      </c>
      <c r="Y95" s="207">
        <f si="18" t="shared"/>
        <v>-0.38019855195000002</v>
      </c>
    </row>
    <row r="96" spans="2:25" x14ac:dyDescent="0.2">
      <c r="B96" s="31"/>
      <c r="C96" s="31" t="s">
        <v>1121</v>
      </c>
      <c r="L96" s="31"/>
      <c r="M96" s="31" t="s">
        <v>1121</v>
      </c>
      <c r="V96">
        <v>1237</v>
      </c>
      <c r="W96">
        <f>IFERROR(VLOOKUP(V96,calibration!$T$3:$W$408,3,FALSE),0)</f>
        <v>-0.17169006107000001</v>
      </c>
      <c r="X96" s="207">
        <f>O228</f>
        <v>0</v>
      </c>
      <c r="Y96" s="207">
        <f si="18" t="shared"/>
        <v>-0.17169006107000001</v>
      </c>
    </row>
    <row r="97" spans="2:25" x14ac:dyDescent="0.2">
      <c r="B97" s="31" t="s">
        <v>1122</v>
      </c>
      <c r="C97" s="31" t="s">
        <v>23</v>
      </c>
      <c r="D97" s="31" t="s">
        <v>24</v>
      </c>
      <c r="E97" s="31" t="s">
        <v>25</v>
      </c>
      <c r="F97" s="31" t="s">
        <v>249</v>
      </c>
      <c r="G97" s="31" t="s">
        <v>27</v>
      </c>
      <c r="H97" s="31" t="s">
        <v>28</v>
      </c>
      <c r="I97" s="31" t="s">
        <v>29</v>
      </c>
      <c r="L97" s="31" t="s">
        <v>1122</v>
      </c>
      <c r="M97" s="31" t="s">
        <v>23</v>
      </c>
      <c r="N97" s="31" t="s">
        <v>24</v>
      </c>
      <c r="O97" s="31" t="s">
        <v>25</v>
      </c>
      <c r="P97" s="31" t="s">
        <v>249</v>
      </c>
      <c r="Q97" s="31" t="s">
        <v>27</v>
      </c>
      <c r="R97" s="31" t="s">
        <v>28</v>
      </c>
      <c r="S97" s="31" t="s">
        <v>29</v>
      </c>
      <c r="T97" s="31"/>
      <c r="V97">
        <v>1245</v>
      </c>
      <c r="W97">
        <f>IFERROR(VLOOKUP(V97,calibration!$T$3:$W$408,3,FALSE),0)</f>
        <v>-0.20732203726000001</v>
      </c>
      <c r="X97" s="207">
        <f>P226</f>
        <v>0</v>
      </c>
      <c r="Y97" s="207">
        <f si="18" t="shared"/>
        <v>-0.20732203726000001</v>
      </c>
    </row>
    <row r="98" spans="2:25" x14ac:dyDescent="0.2">
      <c r="B98" s="31" t="s">
        <v>46</v>
      </c>
      <c r="E98" s="216"/>
      <c r="F98" s="216"/>
      <c r="G98" s="216"/>
      <c r="H98" s="216"/>
      <c r="I98" s="216"/>
      <c r="L98" s="31" t="s">
        <v>46</v>
      </c>
      <c r="M98" s="200">
        <f ref="M98:M106" si="26" t="shared">IFERROR(C83/M83,0)</f>
        <v>1.0350283704683307</v>
      </c>
      <c r="N98" s="200">
        <f ref="N98:N106" si="27" t="shared">IFERROR(D83/N83,0)</f>
        <v>1.0085331565313649</v>
      </c>
      <c r="O98" s="200">
        <f ref="O98:O106" si="28" t="shared">IFERROR(E83/O83,0)</f>
        <v>1.0067597374159121</v>
      </c>
      <c r="P98" s="200">
        <f ref="P98:P106" si="29" t="shared">IFERROR(F83/P83,0)</f>
        <v>1.0181042967805665</v>
      </c>
      <c r="Q98" s="200">
        <f ref="Q98:Q106" si="30" t="shared">IFERROR(G83/Q83,0)</f>
        <v>1.0153373669409709</v>
      </c>
      <c r="R98" s="200">
        <f ref="R98:R106" si="31" t="shared">IFERROR(H83/R83,0)</f>
        <v>1.0024373639386679</v>
      </c>
      <c r="S98" s="200">
        <f ref="S98:S106" si="32" t="shared">IFERROR(I83/S83,0)</f>
        <v>1.0071677321927301</v>
      </c>
      <c r="T98" s="200"/>
      <c r="V98">
        <v>1246</v>
      </c>
      <c r="W98">
        <f>IFERROR(VLOOKUP(V98,calibration!$T$3:$W$408,3,FALSE),0)</f>
        <v>-0.48987563117999999</v>
      </c>
      <c r="X98" s="207">
        <f>P227</f>
        <v>0</v>
      </c>
      <c r="Y98" s="207">
        <f si="18" t="shared"/>
        <v>-0.48987563117999999</v>
      </c>
    </row>
    <row r="99" spans="2:25" x14ac:dyDescent="0.2">
      <c r="B99" s="31" t="s">
        <v>23</v>
      </c>
      <c r="C99" s="261">
        <v>1011</v>
      </c>
      <c r="D99" s="261">
        <v>1021</v>
      </c>
      <c r="E99" s="203"/>
      <c r="F99" s="203"/>
      <c r="G99" s="203"/>
      <c r="H99" s="203"/>
      <c r="I99" s="203"/>
      <c r="L99" s="31" t="s">
        <v>23</v>
      </c>
      <c r="M99" s="200">
        <f si="26" t="shared"/>
        <v>0.78804803876955098</v>
      </c>
      <c r="N99" s="200">
        <f si="27" t="shared"/>
        <v>1.4761690348646235</v>
      </c>
      <c r="O99" s="200">
        <f si="28" t="shared"/>
        <v>0.36420592981118532</v>
      </c>
      <c r="P99" s="200">
        <f si="29" t="shared"/>
        <v>0.55189685390302612</v>
      </c>
      <c r="Q99" s="200">
        <f si="30" t="shared"/>
        <v>0.94570799122397675</v>
      </c>
      <c r="R99" s="200">
        <f si="31" t="shared"/>
        <v>1.2043058834431482</v>
      </c>
      <c r="S99" s="200">
        <f si="32" t="shared"/>
        <v>0.40238584149441503</v>
      </c>
      <c r="T99" s="200"/>
      <c r="V99">
        <v>1247</v>
      </c>
      <c r="W99">
        <f>IFERROR(VLOOKUP(V99,calibration!$T$3:$W$408,3,FALSE),0)</f>
        <v>-0.70672408033</v>
      </c>
      <c r="X99" s="207">
        <f>P228</f>
        <v>0</v>
      </c>
      <c r="Y99" s="207">
        <f si="18" t="shared"/>
        <v>-0.70672408033</v>
      </c>
    </row>
    <row r="100" spans="2:25" x14ac:dyDescent="0.2">
      <c r="B100" s="31" t="s">
        <v>24</v>
      </c>
      <c r="C100" s="261">
        <v>1012</v>
      </c>
      <c r="D100" s="261">
        <v>1022</v>
      </c>
      <c r="E100" s="203"/>
      <c r="F100" s="203"/>
      <c r="G100" s="203"/>
      <c r="H100" s="203"/>
      <c r="I100" s="203"/>
      <c r="L100" s="31" t="s">
        <v>24</v>
      </c>
      <c r="M100" s="200">
        <f si="26" t="shared"/>
        <v>2.1941815823605659</v>
      </c>
      <c r="N100" s="200">
        <f si="27" t="shared"/>
        <v>0.56922663935341566</v>
      </c>
      <c r="O100" s="200">
        <f si="28" t="shared"/>
        <v>0</v>
      </c>
      <c r="P100" s="200">
        <f si="29" t="shared"/>
        <v>0</v>
      </c>
      <c r="Q100" s="200">
        <f si="30" t="shared"/>
        <v>0.82589695668084029</v>
      </c>
      <c r="R100" s="200">
        <f si="31" t="shared"/>
        <v>0</v>
      </c>
      <c r="S100" s="200">
        <f si="32" t="shared"/>
        <v>0</v>
      </c>
      <c r="T100" s="200"/>
      <c r="V100">
        <v>1256</v>
      </c>
      <c r="W100">
        <f>IFERROR(VLOOKUP(V100,calibration!$T$3:$W$408,3,FALSE),0)</f>
        <v>-0.48653889900000002</v>
      </c>
      <c r="X100" s="207">
        <f>Q227</f>
        <v>0</v>
      </c>
      <c r="Y100" s="207">
        <f ref="Y100:Y101" si="33" t="shared">W100+X100</f>
        <v>-0.48653889900000002</v>
      </c>
    </row>
    <row r="101" spans="2:25" x14ac:dyDescent="0.2">
      <c r="B101" s="31" t="s">
        <v>25</v>
      </c>
      <c r="C101" s="261">
        <v>1013</v>
      </c>
      <c r="D101" s="261">
        <v>1023</v>
      </c>
      <c r="E101" s="261">
        <v>1033</v>
      </c>
      <c r="F101" s="261">
        <v>1043</v>
      </c>
      <c r="G101" s="261">
        <v>1053</v>
      </c>
      <c r="H101" s="261">
        <v>1063</v>
      </c>
      <c r="I101" s="261">
        <v>1073</v>
      </c>
      <c r="L101" s="31" t="s">
        <v>25</v>
      </c>
      <c r="M101" s="200">
        <f si="26" t="shared"/>
        <v>1.7214354685519002</v>
      </c>
      <c r="N101" s="200">
        <f si="27" t="shared"/>
        <v>1.5295638695922771</v>
      </c>
      <c r="O101" s="200">
        <f si="28" t="shared"/>
        <v>0.54473456987657953</v>
      </c>
      <c r="P101" s="200">
        <f si="29" t="shared"/>
        <v>2.5443296183076245</v>
      </c>
      <c r="Q101" s="200">
        <f si="30" t="shared"/>
        <v>0.14096417692423166</v>
      </c>
      <c r="R101" s="200">
        <f si="31" t="shared"/>
        <v>0.21220789644661273</v>
      </c>
      <c r="S101" s="200">
        <f si="32" t="shared"/>
        <v>1.6034370705423628</v>
      </c>
      <c r="T101" s="200"/>
      <c r="V101">
        <v>1257</v>
      </c>
      <c r="W101">
        <f>IFERROR(VLOOKUP(V101,calibration!$T$3:$W$408,3,FALSE),0)</f>
        <v>-0.64057657043000005</v>
      </c>
      <c r="X101" s="207">
        <f>Q228</f>
        <v>0</v>
      </c>
      <c r="Y101" s="207">
        <f si="33" t="shared"/>
        <v>-0.64057657043000005</v>
      </c>
    </row>
    <row r="102" spans="2:25" x14ac:dyDescent="0.2">
      <c r="B102" s="31" t="s">
        <v>249</v>
      </c>
      <c r="C102" s="261">
        <v>1014</v>
      </c>
      <c r="D102" s="261">
        <v>1024</v>
      </c>
      <c r="E102" s="261">
        <v>1034</v>
      </c>
      <c r="F102" s="261">
        <v>1044</v>
      </c>
      <c r="G102" s="261">
        <v>1054</v>
      </c>
      <c r="H102" s="261">
        <v>1064</v>
      </c>
      <c r="I102" s="261">
        <v>1074</v>
      </c>
      <c r="L102" s="31" t="s">
        <v>249</v>
      </c>
      <c r="M102" s="200">
        <f si="26" t="shared"/>
        <v>1.1113919848011125</v>
      </c>
      <c r="N102" s="200">
        <f si="27" t="shared"/>
        <v>1.1936945150953806</v>
      </c>
      <c r="O102" s="200">
        <f si="28" t="shared"/>
        <v>1.0541113892617462</v>
      </c>
      <c r="P102" s="200">
        <f si="29" t="shared"/>
        <v>0.78341898539899524</v>
      </c>
      <c r="Q102" s="200">
        <f si="30" t="shared"/>
        <v>1.602964128065691</v>
      </c>
      <c r="R102" s="200">
        <f si="31" t="shared"/>
        <v>1.6129958057098159</v>
      </c>
      <c r="S102" s="200">
        <f si="32" t="shared"/>
        <v>1.3711745182318817</v>
      </c>
      <c r="T102" s="200"/>
    </row>
    <row r="103" spans="2:25" x14ac:dyDescent="0.2">
      <c r="B103" s="31" t="s">
        <v>27</v>
      </c>
      <c r="C103" s="261">
        <v>1015</v>
      </c>
      <c r="D103" s="261">
        <v>1025</v>
      </c>
      <c r="E103" s="261">
        <v>1035</v>
      </c>
      <c r="F103" s="261">
        <v>1045</v>
      </c>
      <c r="G103" s="261">
        <v>1055</v>
      </c>
      <c r="H103" s="261">
        <v>1065</v>
      </c>
      <c r="I103" s="261">
        <v>1075</v>
      </c>
      <c r="L103" s="31" t="s">
        <v>27</v>
      </c>
      <c r="M103" s="200">
        <f si="26" t="shared"/>
        <v>0.92019255722950011</v>
      </c>
      <c r="N103" s="200">
        <f si="27" t="shared"/>
        <v>1.449851923346795</v>
      </c>
      <c r="O103" s="200">
        <f si="28" t="shared"/>
        <v>0.84801925742674933</v>
      </c>
      <c r="P103" s="200">
        <f si="29" t="shared"/>
        <v>0.82942336655844118</v>
      </c>
      <c r="Q103" s="200">
        <f si="30" t="shared"/>
        <v>0.57881075018941652</v>
      </c>
      <c r="R103" s="200">
        <f si="31" t="shared"/>
        <v>1.0040848638346065</v>
      </c>
      <c r="S103" s="200">
        <f si="32" t="shared"/>
        <v>1.4556515637148157</v>
      </c>
      <c r="T103" s="200"/>
    </row>
    <row r="104" spans="2:25" x14ac:dyDescent="0.2">
      <c r="B104" s="31" t="s">
        <v>28</v>
      </c>
      <c r="C104" s="261">
        <v>1016</v>
      </c>
      <c r="D104" s="261">
        <v>1026</v>
      </c>
      <c r="E104" s="261">
        <v>1036</v>
      </c>
      <c r="F104" s="261">
        <v>1046</v>
      </c>
      <c r="G104" s="261">
        <v>1056</v>
      </c>
      <c r="H104" s="261">
        <v>1066</v>
      </c>
      <c r="I104" s="261">
        <v>1076</v>
      </c>
      <c r="L104" s="31" t="s">
        <v>28</v>
      </c>
      <c r="M104" s="200">
        <f si="26" t="shared"/>
        <v>0.72131592432578984</v>
      </c>
      <c r="N104" s="200">
        <f si="27" t="shared"/>
        <v>0.82832986438460299</v>
      </c>
      <c r="O104" s="200">
        <f si="28" t="shared"/>
        <v>0.58056621003887654</v>
      </c>
      <c r="P104" s="200">
        <f si="29" t="shared"/>
        <v>0.73263721957489392</v>
      </c>
      <c r="Q104" s="200">
        <f si="30" t="shared"/>
        <v>0.97599265420385162</v>
      </c>
      <c r="R104" s="200">
        <f si="31" t="shared"/>
        <v>0.42543596637036407</v>
      </c>
      <c r="S104" s="200">
        <f si="32" t="shared"/>
        <v>0.92633891192514106</v>
      </c>
      <c r="T104" s="200"/>
    </row>
    <row r="105" spans="2:25" x14ac:dyDescent="0.2">
      <c r="B105" s="31" t="s">
        <v>29</v>
      </c>
      <c r="C105" s="203"/>
      <c r="D105" s="203"/>
      <c r="E105" s="203"/>
      <c r="F105" s="203"/>
      <c r="G105" s="203"/>
      <c r="H105" s="203"/>
      <c r="I105" s="203"/>
      <c r="L105" s="31" t="s">
        <v>29</v>
      </c>
      <c r="M105" s="200">
        <f si="26" t="shared"/>
        <v>0.74432360097059025</v>
      </c>
      <c r="N105" s="200">
        <f si="27" t="shared"/>
        <v>0.57744504041591405</v>
      </c>
      <c r="O105" s="200">
        <f si="28" t="shared"/>
        <v>1.6679885274355781</v>
      </c>
      <c r="P105" s="200">
        <f si="29" t="shared"/>
        <v>0.89314604605497205</v>
      </c>
      <c r="Q105" s="200">
        <f si="30" t="shared"/>
        <v>0.66988989891414186</v>
      </c>
      <c r="R105" s="200">
        <f si="31" t="shared"/>
        <v>1.3270831719839178</v>
      </c>
      <c r="S105" s="200">
        <f si="32" t="shared"/>
        <v>0.50444376290395565</v>
      </c>
      <c r="T105" s="200"/>
    </row>
    <row r="106" spans="2:25" x14ac:dyDescent="0.2">
      <c r="B106" s="31" t="s">
        <v>240</v>
      </c>
      <c r="C106" s="216"/>
      <c r="D106" s="216"/>
      <c r="E106" s="216"/>
      <c r="F106" s="216"/>
      <c r="G106" s="216"/>
      <c r="H106" s="216"/>
      <c r="I106" s="216"/>
      <c r="L106" s="31" t="s">
        <v>240</v>
      </c>
      <c r="M106" s="200">
        <f si="26" t="shared"/>
        <v>1.0000000000000002</v>
      </c>
      <c r="N106" s="200">
        <f si="27" t="shared"/>
        <v>1.0000000000000002</v>
      </c>
      <c r="O106" s="200">
        <f si="28" t="shared"/>
        <v>1.0000000000000002</v>
      </c>
      <c r="P106" s="200">
        <f si="29" t="shared"/>
        <v>1.0000000000000002</v>
      </c>
      <c r="Q106" s="200">
        <f si="30" t="shared"/>
        <v>1</v>
      </c>
      <c r="R106" s="200">
        <f si="31" t="shared"/>
        <v>1.0000000000000002</v>
      </c>
      <c r="S106" s="200">
        <f si="32" t="shared"/>
        <v>1.0000000000000002</v>
      </c>
      <c r="T106" s="200"/>
    </row>
    <row customHeight="1" ht="14.25" r="109" spans="2:25" x14ac:dyDescent="0.25">
      <c r="L109" s="206" t="s">
        <v>1116</v>
      </c>
      <c r="N109" t="s">
        <v>1117</v>
      </c>
      <c r="O109" s="208">
        <v>0</v>
      </c>
    </row>
    <row r="110" spans="2:25" x14ac:dyDescent="0.2">
      <c r="L110" s="31" t="s">
        <v>1120</v>
      </c>
    </row>
    <row r="111" spans="2:25" x14ac:dyDescent="0.2">
      <c r="L111" s="31"/>
      <c r="M111" s="31" t="s">
        <v>1121</v>
      </c>
    </row>
    <row r="112" spans="2:25" x14ac:dyDescent="0.2">
      <c r="L112" s="31" t="s">
        <v>1122</v>
      </c>
      <c r="M112" s="31" t="s">
        <v>23</v>
      </c>
      <c r="N112" s="31" t="s">
        <v>24</v>
      </c>
      <c r="O112" s="31" t="s">
        <v>25</v>
      </c>
      <c r="P112" s="31" t="s">
        <v>249</v>
      </c>
      <c r="Q112" s="31" t="s">
        <v>27</v>
      </c>
      <c r="R112" s="31" t="s">
        <v>28</v>
      </c>
      <c r="S112" s="31" t="s">
        <v>29</v>
      </c>
    </row>
    <row r="113" spans="2:19" x14ac:dyDescent="0.2">
      <c r="L113" s="31" t="s">
        <v>46</v>
      </c>
      <c r="M113" s="200"/>
      <c r="N113" s="200"/>
      <c r="O113" s="200"/>
      <c r="P113" s="200"/>
      <c r="Q113" s="200"/>
      <c r="R113" s="200"/>
      <c r="S113" s="200"/>
    </row>
    <row r="114" spans="2:19" x14ac:dyDescent="0.2">
      <c r="L114" s="31" t="s">
        <v>23</v>
      </c>
      <c r="M114" s="200">
        <f ref="M114:S120" si="34" t="shared">IFERROR(LN(M99)*$O$109,0)</f>
        <v>0</v>
      </c>
      <c r="N114" s="200">
        <f si="34" t="shared"/>
        <v>0</v>
      </c>
      <c r="O114" s="200">
        <f si="34" t="shared"/>
        <v>0</v>
      </c>
      <c r="P114" s="200">
        <f si="34" t="shared"/>
        <v>0</v>
      </c>
      <c r="Q114" s="200">
        <f si="34" t="shared"/>
        <v>0</v>
      </c>
      <c r="R114" s="200">
        <f si="34" t="shared"/>
        <v>0</v>
      </c>
      <c r="S114" s="200">
        <f si="34" t="shared"/>
        <v>0</v>
      </c>
    </row>
    <row r="115" spans="2:19" x14ac:dyDescent="0.2">
      <c r="L115" s="31" t="s">
        <v>24</v>
      </c>
      <c r="M115" s="200">
        <f si="34" t="shared"/>
        <v>0</v>
      </c>
      <c r="N115" s="200">
        <f si="34" t="shared"/>
        <v>0</v>
      </c>
      <c r="O115" s="200">
        <f si="34" t="shared"/>
        <v>0</v>
      </c>
      <c r="P115" s="200">
        <f si="34" t="shared"/>
        <v>0</v>
      </c>
      <c r="Q115" s="200">
        <f si="34" t="shared"/>
        <v>0</v>
      </c>
      <c r="R115" s="200">
        <f si="34" t="shared"/>
        <v>0</v>
      </c>
      <c r="S115" s="200">
        <f si="34" t="shared"/>
        <v>0</v>
      </c>
    </row>
    <row r="116" spans="2:19" x14ac:dyDescent="0.2">
      <c r="L116" s="31" t="s">
        <v>25</v>
      </c>
      <c r="M116" s="200">
        <f si="34" t="shared"/>
        <v>0</v>
      </c>
      <c r="N116" s="200">
        <f si="34" t="shared"/>
        <v>0</v>
      </c>
      <c r="O116" s="200">
        <f si="34" t="shared"/>
        <v>0</v>
      </c>
      <c r="P116" s="200">
        <f si="34" t="shared"/>
        <v>0</v>
      </c>
      <c r="Q116" s="200">
        <f si="34" t="shared"/>
        <v>0</v>
      </c>
      <c r="R116" s="200">
        <f si="34" t="shared"/>
        <v>0</v>
      </c>
      <c r="S116" s="200">
        <f si="34" t="shared"/>
        <v>0</v>
      </c>
    </row>
    <row r="117" spans="2:19" x14ac:dyDescent="0.2">
      <c r="L117" s="31" t="s">
        <v>249</v>
      </c>
      <c r="M117" s="200">
        <f si="34" t="shared"/>
        <v>0</v>
      </c>
      <c r="N117" s="200">
        <f si="34" t="shared"/>
        <v>0</v>
      </c>
      <c r="O117" s="200">
        <f si="34" t="shared"/>
        <v>0</v>
      </c>
      <c r="P117" s="200">
        <f si="34" t="shared"/>
        <v>0</v>
      </c>
      <c r="Q117" s="200">
        <f si="34" t="shared"/>
        <v>0</v>
      </c>
      <c r="R117" s="200">
        <f si="34" t="shared"/>
        <v>0</v>
      </c>
      <c r="S117" s="200">
        <f si="34" t="shared"/>
        <v>0</v>
      </c>
    </row>
    <row r="118" spans="2:19" x14ac:dyDescent="0.2">
      <c r="L118" s="31" t="s">
        <v>27</v>
      </c>
      <c r="M118" s="200">
        <f si="34" t="shared"/>
        <v>0</v>
      </c>
      <c r="N118" s="200">
        <f si="34" t="shared"/>
        <v>0</v>
      </c>
      <c r="O118" s="200">
        <f si="34" t="shared"/>
        <v>0</v>
      </c>
      <c r="P118" s="200">
        <f si="34" t="shared"/>
        <v>0</v>
      </c>
      <c r="Q118" s="200">
        <f si="34" t="shared"/>
        <v>0</v>
      </c>
      <c r="R118" s="200">
        <f si="34" t="shared"/>
        <v>0</v>
      </c>
      <c r="S118" s="200">
        <f si="34" t="shared"/>
        <v>0</v>
      </c>
    </row>
    <row r="119" spans="2:19" x14ac:dyDescent="0.2">
      <c r="L119" s="31" t="s">
        <v>28</v>
      </c>
      <c r="M119" s="200">
        <f si="34" t="shared"/>
        <v>0</v>
      </c>
      <c r="N119" s="200">
        <f si="34" t="shared"/>
        <v>0</v>
      </c>
      <c r="O119" s="200">
        <f si="34" t="shared"/>
        <v>0</v>
      </c>
      <c r="P119" s="200">
        <f si="34" t="shared"/>
        <v>0</v>
      </c>
      <c r="Q119" s="200">
        <f si="34" t="shared"/>
        <v>0</v>
      </c>
      <c r="R119" s="200">
        <f si="34" t="shared"/>
        <v>0</v>
      </c>
      <c r="S119" s="200">
        <f si="34" t="shared"/>
        <v>0</v>
      </c>
    </row>
    <row r="120" spans="2:19" x14ac:dyDescent="0.2">
      <c r="L120" s="31" t="s">
        <v>29</v>
      </c>
      <c r="M120" s="200">
        <f si="34" t="shared"/>
        <v>0</v>
      </c>
      <c r="N120" s="200">
        <f si="34" t="shared"/>
        <v>0</v>
      </c>
      <c r="O120" s="200">
        <f si="34" t="shared"/>
        <v>0</v>
      </c>
      <c r="P120" s="200">
        <f si="34" t="shared"/>
        <v>0</v>
      </c>
      <c r="Q120" s="200">
        <f si="34" t="shared"/>
        <v>0</v>
      </c>
      <c r="R120" s="200">
        <f si="34" t="shared"/>
        <v>0</v>
      </c>
      <c r="S120" s="200">
        <f si="34" t="shared"/>
        <v>0</v>
      </c>
    </row>
    <row r="121" spans="2:19" x14ac:dyDescent="0.2">
      <c r="L121" s="31"/>
      <c r="M121" s="200"/>
      <c r="N121" s="200"/>
      <c r="O121" s="200"/>
      <c r="P121" s="200"/>
      <c r="Q121" s="200"/>
      <c r="R121" s="200"/>
      <c r="S121" s="200"/>
    </row>
    <row r="122" spans="2:19" x14ac:dyDescent="0.2">
      <c r="B122" t="s">
        <v>1118</v>
      </c>
    </row>
    <row r="123" spans="2:19" x14ac:dyDescent="0.2">
      <c r="B123" s="31" t="s">
        <v>302</v>
      </c>
      <c r="L123" s="31" t="s">
        <v>302</v>
      </c>
    </row>
    <row r="124" spans="2:19" x14ac:dyDescent="0.2">
      <c r="B124" s="31"/>
      <c r="C124" s="31" t="s">
        <v>1121</v>
      </c>
      <c r="L124" s="31"/>
      <c r="M124" s="31" t="s">
        <v>1121</v>
      </c>
    </row>
    <row r="125" spans="2:19" x14ac:dyDescent="0.2">
      <c r="B125" s="31" t="s">
        <v>1121</v>
      </c>
      <c r="C125" s="31" t="s">
        <v>23</v>
      </c>
      <c r="D125" s="31" t="s">
        <v>24</v>
      </c>
      <c r="E125" s="31" t="s">
        <v>25</v>
      </c>
      <c r="F125" s="31" t="s">
        <v>249</v>
      </c>
      <c r="G125" s="31" t="s">
        <v>27</v>
      </c>
      <c r="H125" s="31" t="s">
        <v>28</v>
      </c>
      <c r="I125" s="31" t="s">
        <v>29</v>
      </c>
      <c r="J125" s="31"/>
      <c r="L125" s="31" t="s">
        <v>1121</v>
      </c>
      <c r="M125" s="31" t="s">
        <v>23</v>
      </c>
      <c r="N125" s="31" t="s">
        <v>24</v>
      </c>
      <c r="O125" s="31" t="s">
        <v>25</v>
      </c>
      <c r="P125" s="31" t="s">
        <v>249</v>
      </c>
      <c r="Q125" s="31" t="s">
        <v>27</v>
      </c>
      <c r="R125" s="31" t="s">
        <v>28</v>
      </c>
      <c r="S125" s="31" t="s">
        <v>29</v>
      </c>
    </row>
    <row r="126" spans="2:19" x14ac:dyDescent="0.2">
      <c r="B126" s="31" t="s">
        <v>23</v>
      </c>
      <c r="C126" s="216">
        <f>output_NHTS!B356</f>
        <v>828136.22620000003</v>
      </c>
      <c r="D126" s="216">
        <f>output_NHTS!C356</f>
        <v>0</v>
      </c>
      <c r="E126" s="216">
        <f>output_NHTS!D356</f>
        <v>0</v>
      </c>
      <c r="F126" s="216">
        <f>output_NHTS!E356</f>
        <v>0</v>
      </c>
      <c r="G126" s="216">
        <f>output_NHTS!F356</f>
        <v>0</v>
      </c>
      <c r="H126" s="216">
        <f>output_NHTS!G356</f>
        <v>0</v>
      </c>
      <c r="I126" s="216">
        <f>output_NHTS!H356</f>
        <v>0</v>
      </c>
      <c r="J126" s="216"/>
      <c r="L126" s="31" t="s">
        <v>23</v>
      </c>
      <c r="M126" s="216">
        <f>output!B356</f>
        <v>793933.33333253721</v>
      </c>
      <c r="N126" s="216">
        <f>output!C356</f>
        <v>0</v>
      </c>
      <c r="O126" s="216">
        <f>output!D356</f>
        <v>0</v>
      </c>
      <c r="P126" s="216">
        <f>output!E356</f>
        <v>0</v>
      </c>
      <c r="Q126" s="216">
        <f>output!F356</f>
        <v>0</v>
      </c>
      <c r="R126" s="216">
        <f>output!G356</f>
        <v>0</v>
      </c>
      <c r="S126" s="216">
        <f>output!H356</f>
        <v>0</v>
      </c>
    </row>
    <row r="127" spans="2:19" x14ac:dyDescent="0.2">
      <c r="B127" s="31" t="s">
        <v>24</v>
      </c>
      <c r="C127" s="216">
        <f>output_NHTS!B357</f>
        <v>7737.3564999999999</v>
      </c>
      <c r="D127" s="216">
        <f>output_NHTS!C357</f>
        <v>863789.81160000002</v>
      </c>
      <c r="E127" s="216">
        <f>output_NHTS!D357</f>
        <v>0</v>
      </c>
      <c r="F127" s="216">
        <f>output_NHTS!E357</f>
        <v>0</v>
      </c>
      <c r="G127" s="216">
        <f>output_NHTS!F357</f>
        <v>0</v>
      </c>
      <c r="H127" s="216">
        <f>output_NHTS!G357</f>
        <v>0</v>
      </c>
      <c r="I127" s="216">
        <f>output_NHTS!H357</f>
        <v>0</v>
      </c>
      <c r="J127" s="216"/>
      <c r="L127" s="31" t="s">
        <v>24</v>
      </c>
      <c r="M127" s="216">
        <f>output!B357</f>
        <v>6729.9999999932697</v>
      </c>
      <c r="N127" s="216">
        <f>output!C357</f>
        <v>851281.66666581261</v>
      </c>
      <c r="O127" s="216">
        <f>output!D357</f>
        <v>0</v>
      </c>
      <c r="P127" s="216">
        <f>output!E357</f>
        <v>0</v>
      </c>
      <c r="Q127" s="216">
        <f>output!F357</f>
        <v>0</v>
      </c>
      <c r="R127" s="216">
        <f>output!G357</f>
        <v>0</v>
      </c>
      <c r="S127" s="216">
        <f>output!H357</f>
        <v>0</v>
      </c>
    </row>
    <row r="128" spans="2:19" x14ac:dyDescent="0.2">
      <c r="B128" s="31" t="s">
        <v>25</v>
      </c>
      <c r="C128" s="216">
        <f>output_NHTS!B358</f>
        <v>12000.5095</v>
      </c>
      <c r="D128" s="216">
        <f>output_NHTS!C358</f>
        <v>3841.4481000000001</v>
      </c>
      <c r="E128" s="216">
        <f>output_NHTS!D358</f>
        <v>867818.82380000001</v>
      </c>
      <c r="F128" s="216">
        <f>output_NHTS!E358</f>
        <v>0</v>
      </c>
      <c r="G128" s="216">
        <f>output_NHTS!F358</f>
        <v>0</v>
      </c>
      <c r="H128" s="216">
        <f>output_NHTS!G358</f>
        <v>0</v>
      </c>
      <c r="I128" s="216">
        <f>output_NHTS!H358</f>
        <v>0</v>
      </c>
      <c r="J128" s="216"/>
      <c r="L128" s="31" t="s">
        <v>25</v>
      </c>
      <c r="M128" s="216">
        <f>output!B358</f>
        <v>24959.99999997504</v>
      </c>
      <c r="N128" s="216">
        <f>output!C358</f>
        <v>8468.3333333248647</v>
      </c>
      <c r="O128" s="216">
        <f>output!D358</f>
        <v>840658.33333248994</v>
      </c>
      <c r="P128" s="216">
        <f>output!E358</f>
        <v>0</v>
      </c>
      <c r="Q128" s="216">
        <f>output!F358</f>
        <v>0</v>
      </c>
      <c r="R128" s="216">
        <f>output!G358</f>
        <v>0</v>
      </c>
      <c r="S128" s="216">
        <f>output!H358</f>
        <v>0</v>
      </c>
    </row>
    <row r="129" spans="2:19" x14ac:dyDescent="0.2">
      <c r="B129" s="31" t="s">
        <v>249</v>
      </c>
      <c r="C129" s="216">
        <f>output_NHTS!B359</f>
        <v>9176.7682000000004</v>
      </c>
      <c r="D129" s="216">
        <f>output_NHTS!C359</f>
        <v>6726.1538</v>
      </c>
      <c r="E129" s="216">
        <f>output_NHTS!D359</f>
        <v>9006.6995999999999</v>
      </c>
      <c r="F129" s="216">
        <f>output_NHTS!E359</f>
        <v>882051.85459999996</v>
      </c>
      <c r="G129" s="216">
        <f>output_NHTS!F359</f>
        <v>0</v>
      </c>
      <c r="H129" s="216">
        <f>output_NHTS!G359</f>
        <v>0</v>
      </c>
      <c r="I129" s="216">
        <f>output_NHTS!H359</f>
        <v>0</v>
      </c>
      <c r="J129" s="216"/>
      <c r="L129" s="31" t="s">
        <v>249</v>
      </c>
      <c r="M129" s="216">
        <f>output!B359</f>
        <v>13486.66666665318</v>
      </c>
      <c r="N129" s="216">
        <f>output!C359</f>
        <v>10748.333333322584</v>
      </c>
      <c r="O129" s="216">
        <f>output!D359</f>
        <v>16339.999999983658</v>
      </c>
      <c r="P129" s="216">
        <f>output!E359</f>
        <v>877253.33333245292</v>
      </c>
      <c r="Q129" s="216">
        <f>output!F359</f>
        <v>0</v>
      </c>
      <c r="R129" s="216">
        <f>output!G359</f>
        <v>0</v>
      </c>
      <c r="S129" s="216">
        <f>output!H359</f>
        <v>0</v>
      </c>
    </row>
    <row r="130" spans="2:19" x14ac:dyDescent="0.2">
      <c r="B130" s="31" t="s">
        <v>27</v>
      </c>
      <c r="C130" s="216">
        <f>output_NHTS!B360</f>
        <v>11487.002199999999</v>
      </c>
      <c r="D130" s="216">
        <f>output_NHTS!C360</f>
        <v>932.14569999999992</v>
      </c>
      <c r="E130" s="216">
        <f>output_NHTS!D360</f>
        <v>12289.315999999999</v>
      </c>
      <c r="F130" s="216">
        <f>output_NHTS!E360</f>
        <v>6795.3742999999995</v>
      </c>
      <c r="G130" s="216">
        <f>output_NHTS!F360</f>
        <v>878314.91579999996</v>
      </c>
      <c r="H130" s="216">
        <f>output_NHTS!G360</f>
        <v>0</v>
      </c>
      <c r="I130" s="216">
        <f>output_NHTS!H360</f>
        <v>0</v>
      </c>
      <c r="J130" s="216"/>
      <c r="L130" s="31" t="s">
        <v>27</v>
      </c>
      <c r="M130" s="216">
        <f>output!B360</f>
        <v>15026.666666651639</v>
      </c>
      <c r="N130" s="216">
        <f>output!C360</f>
        <v>1856.66666666481</v>
      </c>
      <c r="O130" s="216">
        <f>output!D360</f>
        <v>23324.999999976673</v>
      </c>
      <c r="P130" s="216">
        <f>output!E360</f>
        <v>10514.999999989484</v>
      </c>
      <c r="Q130" s="216">
        <f>output!F360</f>
        <v>875616.66666578793</v>
      </c>
      <c r="R130" s="216">
        <f>output!G360</f>
        <v>0</v>
      </c>
      <c r="S130" s="216">
        <f>output!H360</f>
        <v>0</v>
      </c>
    </row>
    <row r="131" spans="2:19" x14ac:dyDescent="0.2">
      <c r="B131" s="31" t="s">
        <v>28</v>
      </c>
      <c r="C131" s="216">
        <f>output_NHTS!B361</f>
        <v>7898.3492999999999</v>
      </c>
      <c r="D131" s="216">
        <f>output_NHTS!C361</f>
        <v>7053.4885999999997</v>
      </c>
      <c r="E131" s="216">
        <f>output_NHTS!D361</f>
        <v>3011.7606000000001</v>
      </c>
      <c r="F131" s="216">
        <f>output_NHTS!E361</f>
        <v>2980.1797000000001</v>
      </c>
      <c r="G131" s="216">
        <f>output_NHTS!F361</f>
        <v>11263.047199999999</v>
      </c>
      <c r="H131" s="216">
        <f>output_NHTS!G361</f>
        <v>897651.50060000003</v>
      </c>
      <c r="I131" s="216">
        <f>output_NHTS!H361</f>
        <v>0</v>
      </c>
      <c r="J131" s="216"/>
      <c r="L131" s="31" t="s">
        <v>28</v>
      </c>
      <c r="M131" s="216">
        <f>output!B361</f>
        <v>8718.3333333246155</v>
      </c>
      <c r="N131" s="216">
        <f>output!C361</f>
        <v>5374.9999999946249</v>
      </c>
      <c r="O131" s="216">
        <f>output!D361</f>
        <v>4353.3333333289802</v>
      </c>
      <c r="P131" s="216">
        <f>output!E361</f>
        <v>2754.9999999972451</v>
      </c>
      <c r="Q131" s="216">
        <f>output!F361</f>
        <v>11644.999999988355</v>
      </c>
      <c r="R131" s="216">
        <f>output!G361</f>
        <v>894876.66666576848</v>
      </c>
      <c r="S131" s="216">
        <f>output!H361</f>
        <v>0</v>
      </c>
    </row>
    <row r="132" spans="2:19" x14ac:dyDescent="0.2">
      <c r="B132" s="31" t="s">
        <v>29</v>
      </c>
      <c r="C132" s="216">
        <f>output_NHTS!B362</f>
        <v>24437.8724</v>
      </c>
      <c r="D132" s="216">
        <f>output_NHTS!C362</f>
        <v>18531.036500000002</v>
      </c>
      <c r="E132" s="216">
        <f>output_NHTS!D362</f>
        <v>8747.4843000000001</v>
      </c>
      <c r="F132" s="216">
        <f>output_NHTS!E362</f>
        <v>9046.6756999999998</v>
      </c>
      <c r="G132" s="216">
        <f>output_NHTS!F362</f>
        <v>11296.121299999999</v>
      </c>
      <c r="H132" s="216">
        <f>output_NHTS!G362</f>
        <v>3222.5837000000001</v>
      </c>
      <c r="I132" s="216">
        <f>output_NHTS!H362</f>
        <v>0</v>
      </c>
      <c r="J132" s="216"/>
      <c r="L132" s="31" t="s">
        <v>29</v>
      </c>
      <c r="M132" s="216">
        <f>output!B362</f>
        <v>39058.333333294278</v>
      </c>
      <c r="N132" s="216">
        <f>output!C362</f>
        <v>24183.333333309147</v>
      </c>
      <c r="O132" s="216">
        <f>output!D362</f>
        <v>17236.666666649427</v>
      </c>
      <c r="P132" s="216">
        <f>output!E362</f>
        <v>11389.999999988609</v>
      </c>
      <c r="Q132" s="216">
        <f>output!F362</f>
        <v>14651.666666652014</v>
      </c>
      <c r="R132" s="216">
        <f>output!G362</f>
        <v>7036.6666666596302</v>
      </c>
      <c r="S132" s="216">
        <f>output!H362</f>
        <v>0</v>
      </c>
    </row>
    <row r="133" spans="2:19" x14ac:dyDescent="0.2">
      <c r="B133" s="31" t="s">
        <v>240</v>
      </c>
      <c r="C133" s="216">
        <f ref="C133:I133" si="35" t="shared">SUM(C126:C132)</f>
        <v>900874.0843000001</v>
      </c>
      <c r="D133" s="216">
        <f si="35" t="shared"/>
        <v>900874.0843000001</v>
      </c>
      <c r="E133" s="216">
        <f si="35" t="shared"/>
        <v>900874.0843000001</v>
      </c>
      <c r="F133" s="216">
        <f si="35" t="shared"/>
        <v>900874.08429999999</v>
      </c>
      <c r="G133" s="216">
        <f si="35" t="shared"/>
        <v>900874.08429999999</v>
      </c>
      <c r="H133" s="216">
        <f si="35" t="shared"/>
        <v>900874.08429999999</v>
      </c>
      <c r="I133" s="216">
        <f si="35" t="shared"/>
        <v>0</v>
      </c>
      <c r="J133" s="216"/>
      <c r="L133" s="31" t="s">
        <v>240</v>
      </c>
      <c r="M133" s="216">
        <f ref="M133:S133" si="36" t="shared">SUM(M126:M132)</f>
        <v>901913.33333242917</v>
      </c>
      <c r="N133" s="216">
        <f si="36" t="shared"/>
        <v>901913.33333242859</v>
      </c>
      <c r="O133" s="216">
        <f si="36" t="shared"/>
        <v>901913.33333242871</v>
      </c>
      <c r="P133" s="216">
        <f si="36" t="shared"/>
        <v>901913.33333242824</v>
      </c>
      <c r="Q133" s="216">
        <f si="36" t="shared"/>
        <v>901913.33333242824</v>
      </c>
      <c r="R133" s="216">
        <f si="36" t="shared"/>
        <v>901913.33333242813</v>
      </c>
      <c r="S133" s="216">
        <f si="36" t="shared"/>
        <v>0</v>
      </c>
    </row>
    <row r="136" spans="2:19" x14ac:dyDescent="0.2">
      <c r="B136" s="31" t="s">
        <v>1123</v>
      </c>
      <c r="L136" s="31" t="s">
        <v>1119</v>
      </c>
    </row>
    <row r="137" spans="2:19" x14ac:dyDescent="0.2">
      <c r="B137" s="31" t="str">
        <f>B123</f>
        <v>tour and tour combination</v>
      </c>
      <c r="L137" s="31" t="str">
        <f>L125</f>
        <v>tour purpose</v>
      </c>
    </row>
    <row r="138" spans="2:19" x14ac:dyDescent="0.2">
      <c r="B138" s="31"/>
      <c r="C138" s="31" t="s">
        <v>1121</v>
      </c>
      <c r="L138" s="31"/>
      <c r="M138" s="31" t="s">
        <v>1121</v>
      </c>
    </row>
    <row r="139" spans="2:19" x14ac:dyDescent="0.2">
      <c r="B139" s="31" t="str">
        <f>B125</f>
        <v>tour purpose</v>
      </c>
      <c r="C139" s="31" t="s">
        <v>23</v>
      </c>
      <c r="D139" s="31" t="s">
        <v>24</v>
      </c>
      <c r="E139" s="31" t="s">
        <v>25</v>
      </c>
      <c r="F139" s="31" t="s">
        <v>249</v>
      </c>
      <c r="G139" s="31" t="s">
        <v>27</v>
      </c>
      <c r="H139" s="31" t="s">
        <v>28</v>
      </c>
      <c r="I139" s="31" t="s">
        <v>29</v>
      </c>
      <c r="J139" s="31"/>
      <c r="L139" s="31" t="str">
        <f>L125</f>
        <v>tour purpose</v>
      </c>
      <c r="M139" s="31" t="s">
        <v>23</v>
      </c>
      <c r="N139" s="31" t="s">
        <v>24</v>
      </c>
      <c r="O139" s="31" t="s">
        <v>25</v>
      </c>
      <c r="P139" s="31" t="s">
        <v>249</v>
      </c>
      <c r="Q139" s="31" t="s">
        <v>27</v>
      </c>
      <c r="R139" s="31" t="s">
        <v>28</v>
      </c>
      <c r="S139" s="31" t="s">
        <v>29</v>
      </c>
    </row>
    <row r="140" spans="2:19" x14ac:dyDescent="0.2">
      <c r="B140" s="31" t="s">
        <v>23</v>
      </c>
      <c r="C140" s="216">
        <f ref="C140:I146" si="37" t="shared">C126*$C$1</f>
        <v>828136.22620000027</v>
      </c>
      <c r="D140" s="216">
        <f si="37" t="shared"/>
        <v>0</v>
      </c>
      <c r="E140" s="216">
        <f si="37" t="shared"/>
        <v>0</v>
      </c>
      <c r="F140" s="216">
        <f si="37" t="shared"/>
        <v>0</v>
      </c>
      <c r="G140" s="216">
        <f si="37" t="shared"/>
        <v>0</v>
      </c>
      <c r="H140" s="216">
        <f si="37" t="shared"/>
        <v>0</v>
      </c>
      <c r="I140" s="216">
        <f si="37" t="shared"/>
        <v>0</v>
      </c>
      <c r="J140" s="216"/>
      <c r="L140" s="31" t="s">
        <v>23</v>
      </c>
      <c r="M140" s="216">
        <f ref="M140:S146" si="38" t="shared">M126</f>
        <v>793933.33333253721</v>
      </c>
      <c r="N140" s="216">
        <f si="38" t="shared"/>
        <v>0</v>
      </c>
      <c r="O140" s="216">
        <f si="38" t="shared"/>
        <v>0</v>
      </c>
      <c r="P140" s="216">
        <f si="38" t="shared"/>
        <v>0</v>
      </c>
      <c r="Q140" s="216">
        <f si="38" t="shared"/>
        <v>0</v>
      </c>
      <c r="R140" s="216">
        <f si="38" t="shared"/>
        <v>0</v>
      </c>
      <c r="S140" s="216">
        <f si="38" t="shared"/>
        <v>0</v>
      </c>
    </row>
    <row r="141" spans="2:19" x14ac:dyDescent="0.2">
      <c r="B141" s="31" t="s">
        <v>24</v>
      </c>
      <c r="C141" s="216">
        <f si="37" t="shared"/>
        <v>7737.3565000000017</v>
      </c>
      <c r="D141" s="216">
        <f si="37" t="shared"/>
        <v>863789.81160000025</v>
      </c>
      <c r="E141" s="216">
        <f si="37" t="shared"/>
        <v>0</v>
      </c>
      <c r="F141" s="216">
        <f si="37" t="shared"/>
        <v>0</v>
      </c>
      <c r="G141" s="216">
        <f si="37" t="shared"/>
        <v>0</v>
      </c>
      <c r="H141" s="216">
        <f si="37" t="shared"/>
        <v>0</v>
      </c>
      <c r="I141" s="216">
        <f si="37" t="shared"/>
        <v>0</v>
      </c>
      <c r="J141" s="216"/>
      <c r="L141" s="31" t="s">
        <v>24</v>
      </c>
      <c r="M141" s="216">
        <f si="38" t="shared"/>
        <v>6729.9999999932697</v>
      </c>
      <c r="N141" s="216">
        <f si="38" t="shared"/>
        <v>851281.66666581261</v>
      </c>
      <c r="O141" s="216">
        <f si="38" t="shared"/>
        <v>0</v>
      </c>
      <c r="P141" s="216">
        <f si="38" t="shared"/>
        <v>0</v>
      </c>
      <c r="Q141" s="216">
        <f si="38" t="shared"/>
        <v>0</v>
      </c>
      <c r="R141" s="216">
        <f si="38" t="shared"/>
        <v>0</v>
      </c>
      <c r="S141" s="216">
        <f si="38" t="shared"/>
        <v>0</v>
      </c>
    </row>
    <row r="142" spans="2:19" x14ac:dyDescent="0.2">
      <c r="B142" s="31" t="s">
        <v>25</v>
      </c>
      <c r="C142" s="216">
        <f si="37" t="shared"/>
        <v>12000.509500000002</v>
      </c>
      <c r="D142" s="216">
        <f si="37" t="shared"/>
        <v>3841.448100000001</v>
      </c>
      <c r="E142" s="216">
        <f si="37" t="shared"/>
        <v>867818.82380000025</v>
      </c>
      <c r="F142" s="216">
        <f si="37" t="shared"/>
        <v>0</v>
      </c>
      <c r="G142" s="216">
        <f si="37" t="shared"/>
        <v>0</v>
      </c>
      <c r="H142" s="216">
        <f si="37" t="shared"/>
        <v>0</v>
      </c>
      <c r="I142" s="216">
        <f si="37" t="shared"/>
        <v>0</v>
      </c>
      <c r="J142" s="216"/>
      <c r="L142" s="31" t="s">
        <v>25</v>
      </c>
      <c r="M142" s="216">
        <f si="38" t="shared"/>
        <v>24959.99999997504</v>
      </c>
      <c r="N142" s="216">
        <f si="38" t="shared"/>
        <v>8468.3333333248647</v>
      </c>
      <c r="O142" s="216">
        <f si="38" t="shared"/>
        <v>840658.33333248994</v>
      </c>
      <c r="P142" s="216">
        <f si="38" t="shared"/>
        <v>0</v>
      </c>
      <c r="Q142" s="216">
        <f si="38" t="shared"/>
        <v>0</v>
      </c>
      <c r="R142" s="216">
        <f si="38" t="shared"/>
        <v>0</v>
      </c>
      <c r="S142" s="216">
        <f si="38" t="shared"/>
        <v>0</v>
      </c>
    </row>
    <row r="143" spans="2:19" x14ac:dyDescent="0.2">
      <c r="B143" s="31" t="s">
        <v>249</v>
      </c>
      <c r="C143" s="216">
        <f si="37" t="shared"/>
        <v>9176.7682000000023</v>
      </c>
      <c r="D143" s="216">
        <f si="37" t="shared"/>
        <v>6726.1538000000019</v>
      </c>
      <c r="E143" s="216">
        <f si="37" t="shared"/>
        <v>9006.6996000000017</v>
      </c>
      <c r="F143" s="216">
        <f si="37" t="shared"/>
        <v>882051.8546000002</v>
      </c>
      <c r="G143" s="216">
        <f si="37" t="shared"/>
        <v>0</v>
      </c>
      <c r="H143" s="216">
        <f si="37" t="shared"/>
        <v>0</v>
      </c>
      <c r="I143" s="216">
        <f si="37" t="shared"/>
        <v>0</v>
      </c>
      <c r="J143" s="216"/>
      <c r="L143" s="31" t="s">
        <v>249</v>
      </c>
      <c r="M143" s="216">
        <f si="38" t="shared"/>
        <v>13486.66666665318</v>
      </c>
      <c r="N143" s="216">
        <f si="38" t="shared"/>
        <v>10748.333333322584</v>
      </c>
      <c r="O143" s="216">
        <f si="38" t="shared"/>
        <v>16339.999999983658</v>
      </c>
      <c r="P143" s="216">
        <f si="38" t="shared"/>
        <v>877253.33333245292</v>
      </c>
      <c r="Q143" s="216">
        <f si="38" t="shared"/>
        <v>0</v>
      </c>
      <c r="R143" s="216">
        <f si="38" t="shared"/>
        <v>0</v>
      </c>
      <c r="S143" s="216">
        <f si="38" t="shared"/>
        <v>0</v>
      </c>
    </row>
    <row r="144" spans="2:19" x14ac:dyDescent="0.2">
      <c r="B144" s="31" t="s">
        <v>27</v>
      </c>
      <c r="C144" s="216">
        <f si="37" t="shared"/>
        <v>11487.002200000001</v>
      </c>
      <c r="D144" s="216">
        <f si="37" t="shared"/>
        <v>932.14570000000015</v>
      </c>
      <c r="E144" s="216">
        <f si="37" t="shared"/>
        <v>12289.316000000003</v>
      </c>
      <c r="F144" s="216">
        <f si="37" t="shared"/>
        <v>6795.3743000000013</v>
      </c>
      <c r="G144" s="216">
        <f si="37" t="shared"/>
        <v>878314.91580000019</v>
      </c>
      <c r="H144" s="216">
        <f si="37" t="shared"/>
        <v>0</v>
      </c>
      <c r="I144" s="216">
        <f si="37" t="shared"/>
        <v>0</v>
      </c>
      <c r="J144" s="216"/>
      <c r="L144" s="31" t="s">
        <v>27</v>
      </c>
      <c r="M144" s="216">
        <f si="38" t="shared"/>
        <v>15026.666666651639</v>
      </c>
      <c r="N144" s="216">
        <f si="38" t="shared"/>
        <v>1856.66666666481</v>
      </c>
      <c r="O144" s="216">
        <f si="38" t="shared"/>
        <v>23324.999999976673</v>
      </c>
      <c r="P144" s="216">
        <f si="38" t="shared"/>
        <v>10514.999999989484</v>
      </c>
      <c r="Q144" s="216">
        <f si="38" t="shared"/>
        <v>875616.66666578793</v>
      </c>
      <c r="R144" s="216">
        <f si="38" t="shared"/>
        <v>0</v>
      </c>
      <c r="S144" s="216">
        <f si="38" t="shared"/>
        <v>0</v>
      </c>
    </row>
    <row r="145" spans="1:19" x14ac:dyDescent="0.2">
      <c r="B145" s="31" t="s">
        <v>28</v>
      </c>
      <c r="C145" s="216">
        <f si="37" t="shared"/>
        <v>7898.3493000000017</v>
      </c>
      <c r="D145" s="216">
        <f si="37" t="shared"/>
        <v>7053.4886000000015</v>
      </c>
      <c r="E145" s="216">
        <f si="37" t="shared"/>
        <v>3011.7606000000005</v>
      </c>
      <c r="F145" s="216">
        <f si="37" t="shared"/>
        <v>2980.1797000000006</v>
      </c>
      <c r="G145" s="216">
        <f si="37" t="shared"/>
        <v>11263.047200000001</v>
      </c>
      <c r="H145" s="216">
        <f si="37" t="shared"/>
        <v>897651.50060000026</v>
      </c>
      <c r="I145" s="216">
        <f si="37" t="shared"/>
        <v>0</v>
      </c>
      <c r="J145" s="216"/>
      <c r="L145" s="31" t="s">
        <v>28</v>
      </c>
      <c r="M145" s="216">
        <f si="38" t="shared"/>
        <v>8718.3333333246155</v>
      </c>
      <c r="N145" s="216">
        <f si="38" t="shared"/>
        <v>5374.9999999946249</v>
      </c>
      <c r="O145" s="216">
        <f si="38" t="shared"/>
        <v>4353.3333333289802</v>
      </c>
      <c r="P145" s="216">
        <f si="38" t="shared"/>
        <v>2754.9999999972451</v>
      </c>
      <c r="Q145" s="216">
        <f si="38" t="shared"/>
        <v>11644.999999988355</v>
      </c>
      <c r="R145" s="216">
        <f si="38" t="shared"/>
        <v>894876.66666576848</v>
      </c>
      <c r="S145" s="216">
        <f si="38" t="shared"/>
        <v>0</v>
      </c>
    </row>
    <row r="146" spans="1:19" x14ac:dyDescent="0.2">
      <c r="B146" s="31" t="s">
        <v>29</v>
      </c>
      <c r="C146" s="216">
        <f si="37" t="shared"/>
        <v>24437.872400000004</v>
      </c>
      <c r="D146" s="216">
        <f si="37" t="shared"/>
        <v>18531.036500000006</v>
      </c>
      <c r="E146" s="216">
        <f si="37" t="shared"/>
        <v>8747.4843000000019</v>
      </c>
      <c r="F146" s="216">
        <f si="37" t="shared"/>
        <v>9046.6757000000016</v>
      </c>
      <c r="G146" s="216">
        <f si="37" t="shared"/>
        <v>11296.121300000001</v>
      </c>
      <c r="H146" s="216">
        <f si="37" t="shared"/>
        <v>3222.583700000001</v>
      </c>
      <c r="I146" s="216">
        <f si="37" t="shared"/>
        <v>0</v>
      </c>
      <c r="J146" s="216"/>
      <c r="L146" s="31" t="s">
        <v>29</v>
      </c>
      <c r="M146" s="216">
        <f si="38" t="shared"/>
        <v>39058.333333294278</v>
      </c>
      <c r="N146" s="216">
        <f si="38" t="shared"/>
        <v>24183.333333309147</v>
      </c>
      <c r="O146" s="216">
        <f si="38" t="shared"/>
        <v>17236.666666649427</v>
      </c>
      <c r="P146" s="216">
        <f si="38" t="shared"/>
        <v>11389.999999988609</v>
      </c>
      <c r="Q146" s="216">
        <f si="38" t="shared"/>
        <v>14651.666666652014</v>
      </c>
      <c r="R146" s="216">
        <f si="38" t="shared"/>
        <v>7036.6666666596302</v>
      </c>
      <c r="S146" s="216">
        <f si="38" t="shared"/>
        <v>0</v>
      </c>
    </row>
    <row r="147" spans="1:19" x14ac:dyDescent="0.2">
      <c r="B147" s="31" t="s">
        <v>240</v>
      </c>
      <c r="C147" s="216">
        <f ref="C147:I147" si="39" t="shared">SUM(C140:C146)</f>
        <v>900874.08430000034</v>
      </c>
      <c r="D147" s="216">
        <f si="39" t="shared"/>
        <v>900874.08430000034</v>
      </c>
      <c r="E147" s="216">
        <f si="39" t="shared"/>
        <v>900874.08430000034</v>
      </c>
      <c r="F147" s="216">
        <f si="39" t="shared"/>
        <v>900874.08430000022</v>
      </c>
      <c r="G147" s="216">
        <f si="39" t="shared"/>
        <v>900874.08430000022</v>
      </c>
      <c r="H147" s="216">
        <f si="39" t="shared"/>
        <v>900874.08430000022</v>
      </c>
      <c r="I147" s="216">
        <f si="39" t="shared"/>
        <v>0</v>
      </c>
      <c r="J147" s="216"/>
      <c r="L147" s="31" t="s">
        <v>240</v>
      </c>
      <c r="M147" s="216">
        <f ref="M147:S147" si="40" t="shared">SUM(M140:M146)</f>
        <v>901913.33333242917</v>
      </c>
      <c r="N147" s="216">
        <f si="40" t="shared"/>
        <v>901913.33333242859</v>
      </c>
      <c r="O147" s="216">
        <f si="40" t="shared"/>
        <v>901913.33333242871</v>
      </c>
      <c r="P147" s="216">
        <f si="40" t="shared"/>
        <v>901913.33333242824</v>
      </c>
      <c r="Q147" s="216">
        <f si="40" t="shared"/>
        <v>901913.33333242824</v>
      </c>
      <c r="R147" s="216">
        <f si="40" t="shared"/>
        <v>901913.33333242813</v>
      </c>
      <c r="S147" s="216">
        <f si="40" t="shared"/>
        <v>0</v>
      </c>
    </row>
    <row customHeight="1" ht="14.25" r="150" spans="1:19" x14ac:dyDescent="0.25">
      <c r="B150" s="31" t="s">
        <v>1124</v>
      </c>
      <c r="L150" s="206" t="s">
        <v>1115</v>
      </c>
    </row>
    <row r="151" spans="1:19" x14ac:dyDescent="0.2">
      <c r="B151" s="31" t="str">
        <f>B137</f>
        <v>tour and tour combination</v>
      </c>
      <c r="C151">
        <v>1</v>
      </c>
      <c r="D151">
        <v>2</v>
      </c>
      <c r="E151">
        <v>3</v>
      </c>
      <c r="F151">
        <v>4</v>
      </c>
      <c r="G151">
        <v>5</v>
      </c>
      <c r="H151">
        <v>6</v>
      </c>
      <c r="I151">
        <v>7</v>
      </c>
      <c r="L151" s="31" t="str">
        <f>L139</f>
        <v>tour purpose</v>
      </c>
    </row>
    <row r="152" spans="1:19" x14ac:dyDescent="0.2">
      <c r="B152" s="31"/>
      <c r="C152" s="31" t="s">
        <v>1121</v>
      </c>
      <c r="L152" s="31"/>
      <c r="M152" s="31" t="s">
        <v>1121</v>
      </c>
    </row>
    <row r="153" spans="1:19" x14ac:dyDescent="0.2">
      <c r="B153" s="31" t="str">
        <f>B139</f>
        <v>tour purpose</v>
      </c>
      <c r="C153" s="31" t="s">
        <v>23</v>
      </c>
      <c r="D153" s="31" t="s">
        <v>24</v>
      </c>
      <c r="E153" s="31" t="s">
        <v>25</v>
      </c>
      <c r="F153" s="31" t="s">
        <v>249</v>
      </c>
      <c r="G153" s="31" t="s">
        <v>27</v>
      </c>
      <c r="H153" s="31" t="s">
        <v>28</v>
      </c>
      <c r="I153" s="31" t="s">
        <v>29</v>
      </c>
      <c r="L153" s="31" t="str">
        <f>L139</f>
        <v>tour purpose</v>
      </c>
      <c r="M153" s="31" t="s">
        <v>23</v>
      </c>
      <c r="N153" s="31" t="s">
        <v>24</v>
      </c>
      <c r="O153" s="31" t="s">
        <v>25</v>
      </c>
      <c r="P153" s="31" t="s">
        <v>249</v>
      </c>
      <c r="Q153" s="31" t="s">
        <v>27</v>
      </c>
      <c r="R153" s="31" t="s">
        <v>28</v>
      </c>
      <c r="S153" s="31" t="s">
        <v>29</v>
      </c>
    </row>
    <row r="154" spans="1:19" x14ac:dyDescent="0.2">
      <c r="A154">
        <v>1</v>
      </c>
      <c r="B154" s="31" t="s">
        <v>23</v>
      </c>
      <c r="C154" s="261"/>
      <c r="D154" s="261"/>
      <c r="E154" s="203"/>
      <c r="F154" s="203"/>
      <c r="G154" s="203"/>
      <c r="H154" s="203"/>
      <c r="I154" s="203"/>
      <c r="L154" s="31" t="s">
        <v>23</v>
      </c>
      <c r="M154" s="200">
        <f ref="M154:S161" si="41" t="shared">IFERROR(C140/M140,0)</f>
        <v>1.0430803084232481</v>
      </c>
      <c r="N154" s="200">
        <f si="41" t="shared"/>
        <v>0</v>
      </c>
      <c r="O154" s="200">
        <f si="41" t="shared"/>
        <v>0</v>
      </c>
      <c r="P154" s="200">
        <f si="41" t="shared"/>
        <v>0</v>
      </c>
      <c r="Q154" s="200">
        <f si="41" t="shared"/>
        <v>0</v>
      </c>
      <c r="R154" s="200">
        <f si="41" t="shared"/>
        <v>0</v>
      </c>
      <c r="S154" s="200">
        <f si="41" t="shared"/>
        <v>0</v>
      </c>
    </row>
    <row r="155" spans="1:19" x14ac:dyDescent="0.2">
      <c r="A155">
        <v>2</v>
      </c>
      <c r="B155" s="31" t="s">
        <v>24</v>
      </c>
      <c r="C155" s="261">
        <f ref="C155:C160" si="42" t="shared">1100+10*C$151+$A155</f>
        <v>1112</v>
      </c>
      <c r="D155" s="261"/>
      <c r="E155" s="261"/>
      <c r="F155" s="261"/>
      <c r="G155" s="261"/>
      <c r="H155" s="203"/>
      <c r="I155" s="203"/>
      <c r="L155" s="31" t="s">
        <v>24</v>
      </c>
      <c r="M155" s="200">
        <f si="41" t="shared"/>
        <v>1.1496815007440919</v>
      </c>
      <c r="N155" s="200">
        <f si="41" t="shared"/>
        <v>1.0146933094226942</v>
      </c>
      <c r="O155" s="200">
        <f si="41" t="shared"/>
        <v>0</v>
      </c>
      <c r="P155" s="200">
        <f si="41" t="shared"/>
        <v>0</v>
      </c>
      <c r="Q155" s="200">
        <f si="41" t="shared"/>
        <v>0</v>
      </c>
      <c r="R155" s="200">
        <f si="41" t="shared"/>
        <v>0</v>
      </c>
      <c r="S155" s="200">
        <f si="41" t="shared"/>
        <v>0</v>
      </c>
    </row>
    <row r="156" spans="1:19" x14ac:dyDescent="0.2">
      <c r="A156">
        <v>3</v>
      </c>
      <c r="B156" s="31" t="s">
        <v>25</v>
      </c>
      <c r="C156" s="261">
        <f si="42" t="shared"/>
        <v>1113</v>
      </c>
      <c r="D156" s="261">
        <f>1100+10*D$151+$A156</f>
        <v>1123</v>
      </c>
      <c r="E156" s="261"/>
      <c r="F156" s="261"/>
      <c r="G156" s="261"/>
      <c r="H156" s="261"/>
      <c r="I156" s="261"/>
      <c r="L156" s="31" t="s">
        <v>25</v>
      </c>
      <c r="M156" s="200">
        <f si="41" t="shared"/>
        <v>0.48078964342996805</v>
      </c>
      <c r="N156" s="200">
        <f si="41" t="shared"/>
        <v>0.45362504625119182</v>
      </c>
      <c r="O156" s="200">
        <f si="41" t="shared"/>
        <v>1.0323085960021858</v>
      </c>
      <c r="P156" s="200">
        <f si="41" t="shared"/>
        <v>0</v>
      </c>
      <c r="Q156" s="200">
        <f si="41" t="shared"/>
        <v>0</v>
      </c>
      <c r="R156" s="200">
        <f si="41" t="shared"/>
        <v>0</v>
      </c>
      <c r="S156" s="200">
        <f si="41" t="shared"/>
        <v>0</v>
      </c>
    </row>
    <row r="157" spans="1:19" x14ac:dyDescent="0.2">
      <c r="A157">
        <v>4</v>
      </c>
      <c r="B157" s="31" t="s">
        <v>249</v>
      </c>
      <c r="C157" s="261">
        <f si="42" t="shared"/>
        <v>1114</v>
      </c>
      <c r="D157" s="261">
        <f>1100+10*D$151+$A157</f>
        <v>1124</v>
      </c>
      <c r="E157" s="261">
        <f>1100+10*E$151+$A157</f>
        <v>1134</v>
      </c>
      <c r="F157" s="261"/>
      <c r="G157" s="261"/>
      <c r="H157" s="261"/>
      <c r="I157" s="261"/>
      <c r="L157" s="31" t="s">
        <v>249</v>
      </c>
      <c r="M157" s="200">
        <f si="41" t="shared"/>
        <v>0.68043263964477352</v>
      </c>
      <c r="N157" s="200">
        <f si="41" t="shared"/>
        <v>0.62578574662801012</v>
      </c>
      <c r="O157" s="200">
        <f si="41" t="shared"/>
        <v>0.55120560587570433</v>
      </c>
      <c r="P157" s="200">
        <f si="41" t="shared"/>
        <v>1.005469937913281</v>
      </c>
      <c r="Q157" s="200">
        <f si="41" t="shared"/>
        <v>0</v>
      </c>
      <c r="R157" s="200">
        <f si="41" t="shared"/>
        <v>0</v>
      </c>
      <c r="S157" s="200">
        <f si="41" t="shared"/>
        <v>0</v>
      </c>
    </row>
    <row r="158" spans="1:19" x14ac:dyDescent="0.2">
      <c r="A158">
        <v>5</v>
      </c>
      <c r="B158" s="31" t="s">
        <v>27</v>
      </c>
      <c r="C158" s="261">
        <f si="42" t="shared"/>
        <v>1115</v>
      </c>
      <c r="D158" s="261">
        <f>1100+10*D$151+$A158</f>
        <v>1125</v>
      </c>
      <c r="E158" s="261">
        <f>1100+10*E$151+$A158</f>
        <v>1135</v>
      </c>
      <c r="F158" s="261">
        <f>1100+10*F$151+$A158</f>
        <v>1145</v>
      </c>
      <c r="G158" s="261"/>
      <c r="H158" s="261"/>
      <c r="I158" s="261"/>
      <c r="L158" s="31" t="s">
        <v>27</v>
      </c>
      <c r="M158" s="200">
        <f si="41" t="shared"/>
        <v>0.76444114019597309</v>
      </c>
      <c r="N158" s="200">
        <f si="41" t="shared"/>
        <v>0.50205333931827589</v>
      </c>
      <c r="O158" s="200">
        <f si="41" t="shared"/>
        <v>0.5268731404078153</v>
      </c>
      <c r="P158" s="200">
        <f si="41" t="shared"/>
        <v>0.64625528292979528</v>
      </c>
      <c r="Q158" s="200">
        <f si="41" t="shared"/>
        <v>1.0030815415431582</v>
      </c>
      <c r="R158" s="200">
        <f si="41" t="shared"/>
        <v>0</v>
      </c>
      <c r="S158" s="200">
        <f si="41" t="shared"/>
        <v>0</v>
      </c>
    </row>
    <row r="159" spans="1:19" x14ac:dyDescent="0.2">
      <c r="A159">
        <v>6</v>
      </c>
      <c r="B159" s="31" t="s">
        <v>28</v>
      </c>
      <c r="C159" s="261">
        <f si="42" t="shared"/>
        <v>1116</v>
      </c>
      <c r="D159" s="261">
        <f>1100+10*D$151+$A159</f>
        <v>1126</v>
      </c>
      <c r="E159" s="261">
        <f>1100+10*E$151+$A159</f>
        <v>1136</v>
      </c>
      <c r="F159" s="261">
        <f>1100+10*F$151+$A159</f>
        <v>1146</v>
      </c>
      <c r="G159" s="261">
        <f>1100+10*G$151+$A159</f>
        <v>1156</v>
      </c>
      <c r="H159" s="261"/>
      <c r="I159" s="261"/>
      <c r="L159" s="31" t="s">
        <v>28</v>
      </c>
      <c r="M159" s="200">
        <f si="41" t="shared"/>
        <v>0.90594715733220033</v>
      </c>
      <c r="N159" s="200">
        <f si="41" t="shared"/>
        <v>1.312276948838522</v>
      </c>
      <c r="O159" s="200">
        <f si="41" t="shared"/>
        <v>0.69182862174648063</v>
      </c>
      <c r="P159" s="200">
        <f si="41" t="shared"/>
        <v>1.0817349183313905</v>
      </c>
      <c r="Q159" s="200">
        <f si="41" t="shared"/>
        <v>0.96720027479701709</v>
      </c>
      <c r="R159" s="200">
        <f si="41" t="shared"/>
        <v>1.003100800409257</v>
      </c>
      <c r="S159" s="200">
        <f si="41" t="shared"/>
        <v>0</v>
      </c>
    </row>
    <row r="160" spans="1:19" x14ac:dyDescent="0.2">
      <c r="A160">
        <v>7</v>
      </c>
      <c r="B160" s="31" t="s">
        <v>29</v>
      </c>
      <c r="C160" s="261">
        <f si="42" t="shared"/>
        <v>1117</v>
      </c>
      <c r="D160" s="261">
        <f>1100+10*D$151+$A160</f>
        <v>1127</v>
      </c>
      <c r="E160" s="261">
        <f>1100+10*E$151+$A160</f>
        <v>1137</v>
      </c>
      <c r="F160" s="261">
        <f>1100+10*F$151+$A160</f>
        <v>1147</v>
      </c>
      <c r="G160" s="261">
        <f>1100+10*G$151+$A160</f>
        <v>1157</v>
      </c>
      <c r="H160" s="203"/>
      <c r="I160" s="203"/>
      <c r="L160" s="31" t="s">
        <v>29</v>
      </c>
      <c r="M160" s="200">
        <f si="41" t="shared"/>
        <v>0.62567627224299827</v>
      </c>
      <c r="N160" s="200">
        <f si="41" t="shared"/>
        <v>0.76627304617581826</v>
      </c>
      <c r="O160" s="200">
        <f si="41" t="shared"/>
        <v>0.50749280410029496</v>
      </c>
      <c r="P160" s="200">
        <f si="41" t="shared"/>
        <v>0.79426476734056617</v>
      </c>
      <c r="Q160" s="200">
        <f si="41" t="shared"/>
        <v>0.77097858946727094</v>
      </c>
      <c r="R160" s="200">
        <f si="41" t="shared"/>
        <v>0.45797020843248082</v>
      </c>
      <c r="S160" s="200">
        <f si="41" t="shared"/>
        <v>0</v>
      </c>
    </row>
    <row r="161" spans="2:19" x14ac:dyDescent="0.2">
      <c r="B161" s="31" t="s">
        <v>240</v>
      </c>
      <c r="C161" s="216"/>
      <c r="D161" s="216"/>
      <c r="E161" s="216"/>
      <c r="F161" s="216"/>
      <c r="G161" s="216"/>
      <c r="H161" s="216"/>
      <c r="I161" s="216"/>
      <c r="L161" s="31" t="s">
        <v>240</v>
      </c>
      <c r="M161" s="200">
        <f si="41" t="shared"/>
        <v>0.99884772849671821</v>
      </c>
      <c r="N161" s="200">
        <f si="41" t="shared"/>
        <v>0.99884772849671888</v>
      </c>
      <c r="O161" s="200">
        <f si="41" t="shared"/>
        <v>0.99884772849671877</v>
      </c>
      <c r="P161" s="200">
        <f si="41" t="shared"/>
        <v>0.9988477284967191</v>
      </c>
      <c r="Q161" s="200">
        <f si="41" t="shared"/>
        <v>0.9988477284967191</v>
      </c>
      <c r="R161" s="200">
        <f si="41" t="shared"/>
        <v>0.99884772849671921</v>
      </c>
      <c r="S161" s="200">
        <f si="41" t="shared"/>
        <v>0</v>
      </c>
    </row>
    <row customHeight="1" ht="14.25" r="164" spans="2:19" x14ac:dyDescent="0.25">
      <c r="L164" s="206" t="s">
        <v>1116</v>
      </c>
      <c r="N164" t="s">
        <v>1117</v>
      </c>
      <c r="O164" s="208">
        <v>0</v>
      </c>
    </row>
    <row r="165" spans="2:19" x14ac:dyDescent="0.2">
      <c r="L165" s="31" t="str">
        <f>B151</f>
        <v>tour and tour combination</v>
      </c>
    </row>
    <row r="166" spans="2:19" x14ac:dyDescent="0.2">
      <c r="L166" s="31"/>
      <c r="M166" s="31" t="s">
        <v>1121</v>
      </c>
    </row>
    <row r="167" spans="2:19" x14ac:dyDescent="0.2">
      <c r="L167" s="31" t="str">
        <f>L153</f>
        <v>tour purpose</v>
      </c>
      <c r="M167" s="31" t="s">
        <v>23</v>
      </c>
      <c r="N167" s="31" t="s">
        <v>24</v>
      </c>
      <c r="O167" s="31" t="s">
        <v>25</v>
      </c>
      <c r="P167" s="31" t="s">
        <v>249</v>
      </c>
      <c r="Q167" s="31" t="s">
        <v>27</v>
      </c>
      <c r="R167" s="31" t="s">
        <v>28</v>
      </c>
      <c r="S167" s="31" t="s">
        <v>29</v>
      </c>
    </row>
    <row r="168" spans="2:19" x14ac:dyDescent="0.2">
      <c r="L168" s="31" t="s">
        <v>23</v>
      </c>
      <c r="M168" s="262"/>
      <c r="N168" s="262"/>
      <c r="O168" s="262"/>
      <c r="P168" s="262"/>
      <c r="Q168" s="262"/>
      <c r="R168" s="262"/>
      <c r="S168" s="262"/>
    </row>
    <row r="169" spans="2:19" x14ac:dyDescent="0.2">
      <c r="L169" s="31" t="s">
        <v>24</v>
      </c>
      <c r="M169" s="200">
        <f ref="M169:M174" si="43" t="shared">IFERROR(LN(M155)*$O$164,0)</f>
        <v>0</v>
      </c>
      <c r="N169" s="262"/>
      <c r="O169" s="262"/>
      <c r="P169" s="262"/>
      <c r="Q169" s="262"/>
      <c r="R169" s="262"/>
      <c r="S169" s="262"/>
    </row>
    <row r="170" spans="2:19" x14ac:dyDescent="0.2">
      <c r="L170" s="31" t="s">
        <v>25</v>
      </c>
      <c r="M170" s="200">
        <f si="43" t="shared"/>
        <v>0</v>
      </c>
      <c r="N170" s="200">
        <f>IFERROR(LN(N156)*$O$164,0)</f>
        <v>0</v>
      </c>
      <c r="O170" s="262"/>
      <c r="P170" s="262"/>
      <c r="Q170" s="262"/>
      <c r="R170" s="262"/>
      <c r="S170" s="262"/>
    </row>
    <row r="171" spans="2:19" x14ac:dyDescent="0.2">
      <c r="L171" s="31" t="s">
        <v>249</v>
      </c>
      <c r="M171" s="200">
        <f si="43" t="shared"/>
        <v>0</v>
      </c>
      <c r="N171" s="200">
        <f>IFERROR(LN(N157)*$O$164,0)</f>
        <v>0</v>
      </c>
      <c r="O171" s="200">
        <f>IFERROR(LN(O157)*$O$164,0)</f>
        <v>0</v>
      </c>
      <c r="P171" s="262"/>
      <c r="Q171" s="262"/>
      <c r="R171" s="262"/>
      <c r="S171" s="262"/>
    </row>
    <row r="172" spans="2:19" x14ac:dyDescent="0.2">
      <c r="L172" s="31" t="s">
        <v>27</v>
      </c>
      <c r="M172" s="200">
        <f si="43" t="shared"/>
        <v>0</v>
      </c>
      <c r="N172" s="200">
        <f>IFERROR(LN(N158)*$O$164,0)</f>
        <v>0</v>
      </c>
      <c r="O172" s="200">
        <f>IFERROR(LN(O158)*$O$164,0)</f>
        <v>0</v>
      </c>
      <c r="P172" s="200">
        <f>IFERROR(LN(P158)*$O$164,0)</f>
        <v>0</v>
      </c>
      <c r="Q172" s="262"/>
      <c r="R172" s="262"/>
      <c r="S172" s="262"/>
    </row>
    <row r="173" spans="2:19" x14ac:dyDescent="0.2">
      <c r="L173" s="31" t="s">
        <v>28</v>
      </c>
      <c r="M173" s="200">
        <f si="43" t="shared"/>
        <v>0</v>
      </c>
      <c r="N173" s="200">
        <f>IFERROR(LN(N159)*$O$164,0)</f>
        <v>0</v>
      </c>
      <c r="O173" s="200">
        <f>IFERROR(LN(O159)*$O$164,0)</f>
        <v>0</v>
      </c>
      <c r="P173" s="200">
        <f>IFERROR(LN(P159)*$O$164,0)</f>
        <v>0</v>
      </c>
      <c r="Q173" s="200">
        <f>IFERROR(LN(Q159)*$O$164,0)</f>
        <v>0</v>
      </c>
      <c r="R173" s="262"/>
      <c r="S173" s="262"/>
    </row>
    <row r="174" spans="2:19" x14ac:dyDescent="0.2">
      <c r="L174" s="31" t="s">
        <v>29</v>
      </c>
      <c r="M174" s="200">
        <f si="43" t="shared"/>
        <v>0</v>
      </c>
      <c r="N174" s="200">
        <f>IFERROR(LN(N160)*$O$164,0)</f>
        <v>0</v>
      </c>
      <c r="O174" s="200">
        <f>IFERROR(LN(O160)*$O$164,0)</f>
        <v>0</v>
      </c>
      <c r="P174" s="200">
        <f>IFERROR(LN(P160)*$O$164,0)</f>
        <v>0</v>
      </c>
      <c r="Q174" s="200">
        <f>IFERROR(LN(Q160)*$O$164,0)</f>
        <v>0</v>
      </c>
      <c r="R174" s="262"/>
      <c r="S174" s="262"/>
    </row>
    <row r="176" spans="2:19" x14ac:dyDescent="0.2">
      <c r="B176" t="s">
        <v>1118</v>
      </c>
    </row>
    <row r="177" spans="2:19" x14ac:dyDescent="0.2">
      <c r="B177" s="31" t="s">
        <v>304</v>
      </c>
      <c r="L177" s="31" t="str">
        <f>B177</f>
        <v>stop and stop combination</v>
      </c>
    </row>
    <row r="178" spans="2:19" x14ac:dyDescent="0.2">
      <c r="B178" s="31"/>
      <c r="C178" s="31" t="s">
        <v>1122</v>
      </c>
      <c r="L178" s="31"/>
      <c r="M178" s="31" t="s">
        <v>1122</v>
      </c>
    </row>
    <row r="179" spans="2:19" x14ac:dyDescent="0.2">
      <c r="B179" s="31" t="s">
        <v>1122</v>
      </c>
      <c r="C179" s="31" t="s">
        <v>23</v>
      </c>
      <c r="D179" s="31" t="s">
        <v>24</v>
      </c>
      <c r="E179" s="31" t="s">
        <v>25</v>
      </c>
      <c r="F179" s="31" t="s">
        <v>249</v>
      </c>
      <c r="G179" s="31" t="s">
        <v>27</v>
      </c>
      <c r="H179" s="31" t="s">
        <v>28</v>
      </c>
      <c r="I179" s="31" t="s">
        <v>29</v>
      </c>
      <c r="J179" s="31"/>
      <c r="L179" s="31" t="str">
        <f>B179</f>
        <v>stop purpose</v>
      </c>
      <c r="M179" s="31" t="s">
        <v>23</v>
      </c>
      <c r="N179" s="31" t="s">
        <v>24</v>
      </c>
      <c r="O179" s="31" t="s">
        <v>25</v>
      </c>
      <c r="P179" s="31" t="s">
        <v>249</v>
      </c>
      <c r="Q179" s="31" t="s">
        <v>27</v>
      </c>
      <c r="R179" s="31" t="s">
        <v>28</v>
      </c>
      <c r="S179" s="31" t="s">
        <v>29</v>
      </c>
    </row>
    <row r="180" spans="2:19" x14ac:dyDescent="0.2">
      <c r="B180" s="31" t="s">
        <v>23</v>
      </c>
      <c r="C180" s="216">
        <f>output_NHTS!B368</f>
        <v>879285.97589999996</v>
      </c>
      <c r="D180" s="216">
        <f>output_NHTS!C368</f>
        <v>0</v>
      </c>
      <c r="E180" s="216">
        <f>output_NHTS!D368</f>
        <v>0</v>
      </c>
      <c r="F180" s="216">
        <f>output_NHTS!E368</f>
        <v>0</v>
      </c>
      <c r="G180" s="216">
        <f>output_NHTS!F368</f>
        <v>0</v>
      </c>
      <c r="H180" s="216">
        <f>output_NHTS!G368</f>
        <v>0</v>
      </c>
      <c r="I180" s="216">
        <f>output_NHTS!H368</f>
        <v>0</v>
      </c>
      <c r="J180" s="216"/>
      <c r="L180" s="31" t="s">
        <v>23</v>
      </c>
      <c r="M180" s="216">
        <f>output!B368</f>
        <v>846586.66666581726</v>
      </c>
      <c r="N180" s="216">
        <f>output!C368</f>
        <v>0</v>
      </c>
      <c r="O180" s="216">
        <f>output!D368</f>
        <v>0</v>
      </c>
      <c r="P180" s="216">
        <f>output!E368</f>
        <v>0</v>
      </c>
      <c r="Q180" s="216">
        <f>output!F368</f>
        <v>0</v>
      </c>
      <c r="R180" s="216">
        <f>output!G368</f>
        <v>0</v>
      </c>
      <c r="S180" s="216">
        <f>output!H368</f>
        <v>0</v>
      </c>
    </row>
    <row r="181" spans="2:19" x14ac:dyDescent="0.2">
      <c r="B181" s="31" t="s">
        <v>24</v>
      </c>
      <c r="C181" s="216">
        <f>output_NHTS!B369</f>
        <v>0</v>
      </c>
      <c r="D181" s="216">
        <f>output_NHTS!C369</f>
        <v>894155.81160000002</v>
      </c>
      <c r="E181" s="216">
        <f>output_NHTS!D369</f>
        <v>0</v>
      </c>
      <c r="F181" s="216">
        <f>output_NHTS!E369</f>
        <v>0</v>
      </c>
      <c r="G181" s="216">
        <f>output_NHTS!F369</f>
        <v>0</v>
      </c>
      <c r="H181" s="216">
        <f>output_NHTS!G369</f>
        <v>0</v>
      </c>
      <c r="I181" s="216">
        <f>output_NHTS!H369</f>
        <v>0</v>
      </c>
      <c r="J181" s="216"/>
      <c r="L181" s="31" t="s">
        <v>24</v>
      </c>
      <c r="M181" s="216">
        <f>output!B369</f>
        <v>0</v>
      </c>
      <c r="N181" s="216">
        <f>output!C369</f>
        <v>882998.3333324471</v>
      </c>
      <c r="O181" s="216">
        <f>output!D369</f>
        <v>0</v>
      </c>
      <c r="P181" s="216">
        <f>output!E369</f>
        <v>0</v>
      </c>
      <c r="Q181" s="216">
        <f>output!F369</f>
        <v>0</v>
      </c>
      <c r="R181" s="216">
        <f>output!G369</f>
        <v>0</v>
      </c>
      <c r="S181" s="216">
        <f>output!H369</f>
        <v>0</v>
      </c>
    </row>
    <row r="182" spans="2:19" x14ac:dyDescent="0.2">
      <c r="B182" s="31" t="s">
        <v>25</v>
      </c>
      <c r="C182" s="216">
        <f>output_NHTS!B370</f>
        <v>523.59349999999995</v>
      </c>
      <c r="D182" s="216">
        <f>output_NHTS!C370</f>
        <v>1936.7293999999999</v>
      </c>
      <c r="E182" s="216">
        <f>output_NHTS!D370</f>
        <v>870257.92929999996</v>
      </c>
      <c r="F182" s="216">
        <f>output_NHTS!E370</f>
        <v>0</v>
      </c>
      <c r="G182" s="216">
        <f>output_NHTS!F370</f>
        <v>0</v>
      </c>
      <c r="H182" s="216">
        <f>output_NHTS!G370</f>
        <v>0</v>
      </c>
      <c r="I182" s="216">
        <f>output_NHTS!H370</f>
        <v>0</v>
      </c>
      <c r="J182" s="216"/>
      <c r="L182" s="31" t="s">
        <v>25</v>
      </c>
      <c r="M182" s="216">
        <f>output!B370</f>
        <v>486.66666666618005</v>
      </c>
      <c r="N182" s="216">
        <f>output!C370</f>
        <v>2239.9999999977599</v>
      </c>
      <c r="O182" s="216">
        <f>output!D370</f>
        <v>795673.33333253546</v>
      </c>
      <c r="P182" s="216">
        <f>output!E370</f>
        <v>0</v>
      </c>
      <c r="Q182" s="216">
        <f>output!F370</f>
        <v>0</v>
      </c>
      <c r="R182" s="216">
        <f>output!G370</f>
        <v>0</v>
      </c>
      <c r="S182" s="216">
        <f>output!H370</f>
        <v>0</v>
      </c>
    </row>
    <row r="183" spans="2:19" x14ac:dyDescent="0.2">
      <c r="B183" s="31" t="s">
        <v>249</v>
      </c>
      <c r="C183" s="216">
        <f>output_NHTS!B371</f>
        <v>6028.9278999999997</v>
      </c>
      <c r="D183" s="216">
        <f>output_NHTS!C371</f>
        <v>1153.797</v>
      </c>
      <c r="E183" s="216">
        <f>output_NHTS!D371</f>
        <v>4711.6208999999999</v>
      </c>
      <c r="F183" s="216">
        <f>output_NHTS!E371</f>
        <v>832648.69770000002</v>
      </c>
      <c r="G183" s="216">
        <f>output_NHTS!F371</f>
        <v>0</v>
      </c>
      <c r="H183" s="216">
        <f>output_NHTS!G371</f>
        <v>0</v>
      </c>
      <c r="I183" s="216">
        <f>output_NHTS!H371</f>
        <v>0</v>
      </c>
      <c r="J183" s="216"/>
      <c r="L183" s="31" t="s">
        <v>249</v>
      </c>
      <c r="M183" s="216">
        <f>output!B371</f>
        <v>3188.3333333301453</v>
      </c>
      <c r="N183" s="216">
        <f>output!C371</f>
        <v>1648.333333331685</v>
      </c>
      <c r="O183" s="216">
        <f>output!D371</f>
        <v>4729.9999999952697</v>
      </c>
      <c r="P183" s="216">
        <f>output!E371</f>
        <v>771794.9999992263</v>
      </c>
      <c r="Q183" s="216">
        <f>output!F371</f>
        <v>0</v>
      </c>
      <c r="R183" s="216">
        <f>output!G371</f>
        <v>0</v>
      </c>
      <c r="S183" s="216">
        <f>output!H371</f>
        <v>0</v>
      </c>
    </row>
    <row r="184" spans="2:19" x14ac:dyDescent="0.2">
      <c r="B184" s="31" t="s">
        <v>27</v>
      </c>
      <c r="C184" s="216">
        <f>output_NHTS!B372</f>
        <v>4845.6759000000002</v>
      </c>
      <c r="D184" s="216">
        <f>output_NHTS!C372</f>
        <v>0</v>
      </c>
      <c r="E184" s="216">
        <f>output_NHTS!D372</f>
        <v>11406.1469</v>
      </c>
      <c r="F184" s="216">
        <f>output_NHTS!E372</f>
        <v>24484.0288</v>
      </c>
      <c r="G184" s="216">
        <f>output_NHTS!F372</f>
        <v>830474.97369999997</v>
      </c>
      <c r="H184" s="216">
        <f>output_NHTS!G372</f>
        <v>0</v>
      </c>
      <c r="I184" s="216">
        <f>output_NHTS!H372</f>
        <v>0</v>
      </c>
      <c r="J184" s="216"/>
      <c r="L184" s="31" t="s">
        <v>27</v>
      </c>
      <c r="M184" s="216">
        <f>output!B372</f>
        <v>15144.999999984855</v>
      </c>
      <c r="N184" s="216">
        <f>output!C372</f>
        <v>5548.3333333277851</v>
      </c>
      <c r="O184" s="216">
        <f>output!D372</f>
        <v>37178.333333296156</v>
      </c>
      <c r="P184" s="216">
        <f>output!E372</f>
        <v>44501.666666622172</v>
      </c>
      <c r="Q184" s="216">
        <f>output!F372</f>
        <v>668418.33333266422</v>
      </c>
      <c r="R184" s="216">
        <f>output!G372</f>
        <v>0</v>
      </c>
      <c r="S184" s="216">
        <f>output!H372</f>
        <v>0</v>
      </c>
    </row>
    <row r="185" spans="2:19" x14ac:dyDescent="0.2">
      <c r="B185" s="31" t="s">
        <v>28</v>
      </c>
      <c r="C185" s="216">
        <f>output_NHTS!B373</f>
        <v>6291.2919999999995</v>
      </c>
      <c r="D185" s="216">
        <f>output_NHTS!C373</f>
        <v>694.49429999999995</v>
      </c>
      <c r="E185" s="216">
        <f>output_NHTS!D373</f>
        <v>5866.2605000000003</v>
      </c>
      <c r="F185" s="216">
        <f>output_NHTS!E373</f>
        <v>24770.4715</v>
      </c>
      <c r="G185" s="216">
        <f>output_NHTS!F373</f>
        <v>46629.869100000004</v>
      </c>
      <c r="H185" s="216">
        <f>output_NHTS!G373</f>
        <v>876192.92359999998</v>
      </c>
      <c r="I185" s="216">
        <f>output_NHTS!H373</f>
        <v>0</v>
      </c>
      <c r="J185" s="216"/>
      <c r="L185" s="31" t="s">
        <v>28</v>
      </c>
      <c r="M185" s="216">
        <f>output!B373</f>
        <v>30044.999999969954</v>
      </c>
      <c r="N185" s="216">
        <f>output!C373</f>
        <v>4339.9999999956599</v>
      </c>
      <c r="O185" s="216">
        <f>output!D373</f>
        <v>41711.666666624958</v>
      </c>
      <c r="P185" s="216">
        <f>output!E373</f>
        <v>64999.999999935026</v>
      </c>
      <c r="Q185" s="216">
        <f>output!F373</f>
        <v>162016.66666650464</v>
      </c>
      <c r="R185" s="216">
        <f>output!G373</f>
        <v>841786.66666582215</v>
      </c>
      <c r="S185" s="216">
        <f>output!H373</f>
        <v>0</v>
      </c>
    </row>
    <row r="186" spans="2:19" x14ac:dyDescent="0.2">
      <c r="B186" s="31" t="s">
        <v>29</v>
      </c>
      <c r="C186" s="216">
        <f>output_NHTS!B374</f>
        <v>3898.6190999999999</v>
      </c>
      <c r="D186" s="216">
        <f>output_NHTS!C374</f>
        <v>2933.252</v>
      </c>
      <c r="E186" s="216">
        <f>output_NHTS!D374</f>
        <v>8632.1266999999989</v>
      </c>
      <c r="F186" s="216">
        <f>output_NHTS!E374</f>
        <v>18970.886299999998</v>
      </c>
      <c r="G186" s="216">
        <f>output_NHTS!F374</f>
        <v>23769.2415</v>
      </c>
      <c r="H186" s="216">
        <f>output_NHTS!G374</f>
        <v>24681.1607</v>
      </c>
      <c r="I186" s="216">
        <f>output_NHTS!H374</f>
        <v>0</v>
      </c>
      <c r="J186" s="216"/>
      <c r="L186" s="31" t="s">
        <v>29</v>
      </c>
      <c r="M186" s="216">
        <f>output!B374</f>
        <v>6461.666666660205</v>
      </c>
      <c r="N186" s="216">
        <f>output!C374</f>
        <v>5138.3333333281953</v>
      </c>
      <c r="O186" s="216">
        <f>output!D374</f>
        <v>22619.999999977379</v>
      </c>
      <c r="P186" s="216">
        <f>output!E374</f>
        <v>20616.666666646048</v>
      </c>
      <c r="Q186" s="216">
        <f>output!F374</f>
        <v>71478.333333261893</v>
      </c>
      <c r="R186" s="216">
        <f>output!G374</f>
        <v>60126.666666606565</v>
      </c>
      <c r="S186" s="216">
        <f>output!H374</f>
        <v>0</v>
      </c>
    </row>
    <row r="187" spans="2:19" x14ac:dyDescent="0.2">
      <c r="B187" s="31" t="s">
        <v>240</v>
      </c>
      <c r="C187" s="216">
        <f ref="C187:I187" si="44" t="shared">SUM(C180:C186)</f>
        <v>900874.08429999999</v>
      </c>
      <c r="D187" s="216">
        <f si="44" t="shared"/>
        <v>900874.08429999999</v>
      </c>
      <c r="E187" s="216">
        <f si="44" t="shared"/>
        <v>900874.08429999999</v>
      </c>
      <c r="F187" s="216">
        <f si="44" t="shared"/>
        <v>900874.08429999999</v>
      </c>
      <c r="G187" s="216">
        <f si="44" t="shared"/>
        <v>900874.08429999999</v>
      </c>
      <c r="H187" s="216">
        <f si="44" t="shared"/>
        <v>900874.08429999999</v>
      </c>
      <c r="I187" s="216">
        <f si="44" t="shared"/>
        <v>0</v>
      </c>
      <c r="J187" s="216"/>
      <c r="L187" s="31" t="s">
        <v>240</v>
      </c>
      <c r="M187" s="216">
        <f ref="M187:S187" si="45" t="shared">SUM(M180:M186)</f>
        <v>901913.33333242859</v>
      </c>
      <c r="N187" s="216">
        <f si="45" t="shared"/>
        <v>901913.33333242836</v>
      </c>
      <c r="O187" s="216">
        <f si="45" t="shared"/>
        <v>901913.33333242917</v>
      </c>
      <c r="P187" s="216">
        <f si="45" t="shared"/>
        <v>901913.33333242952</v>
      </c>
      <c r="Q187" s="216">
        <f si="45" t="shared"/>
        <v>901913.33333243069</v>
      </c>
      <c r="R187" s="216">
        <f si="45" t="shared"/>
        <v>901913.33333242871</v>
      </c>
      <c r="S187" s="216">
        <f si="45" t="shared"/>
        <v>0</v>
      </c>
    </row>
    <row r="190" spans="2:19" x14ac:dyDescent="0.2">
      <c r="B190" s="31" t="s">
        <v>1123</v>
      </c>
      <c r="L190" s="31" t="s">
        <v>1119</v>
      </c>
    </row>
    <row r="191" spans="2:19" x14ac:dyDescent="0.2">
      <c r="B191" s="31" t="str">
        <f>B177</f>
        <v>stop and stop combination</v>
      </c>
      <c r="L191" s="31" t="str">
        <f>L177</f>
        <v>stop and stop combination</v>
      </c>
    </row>
    <row r="192" spans="2:19" x14ac:dyDescent="0.2">
      <c r="B192" s="31"/>
      <c r="C192" s="31" t="str">
        <f>C178</f>
        <v>stop purpose</v>
      </c>
      <c r="L192" s="31"/>
      <c r="M192" s="31" t="str">
        <f>M178</f>
        <v>stop purpose</v>
      </c>
    </row>
    <row r="193" spans="1:19" x14ac:dyDescent="0.2">
      <c r="B193" s="31" t="str">
        <f>B179</f>
        <v>stop purpose</v>
      </c>
      <c r="C193" s="31" t="s">
        <v>23</v>
      </c>
      <c r="D193" s="31" t="s">
        <v>24</v>
      </c>
      <c r="E193" s="31" t="s">
        <v>25</v>
      </c>
      <c r="F193" s="31" t="s">
        <v>249</v>
      </c>
      <c r="G193" s="31" t="s">
        <v>27</v>
      </c>
      <c r="H193" s="31" t="s">
        <v>28</v>
      </c>
      <c r="I193" s="31" t="s">
        <v>29</v>
      </c>
      <c r="J193" s="31"/>
      <c r="L193" s="31" t="str">
        <f>L179</f>
        <v>stop purpose</v>
      </c>
      <c r="M193" s="31" t="s">
        <v>23</v>
      </c>
      <c r="N193" s="31" t="s">
        <v>24</v>
      </c>
      <c r="O193" s="31" t="s">
        <v>25</v>
      </c>
      <c r="P193" s="31" t="s">
        <v>249</v>
      </c>
      <c r="Q193" s="31" t="s">
        <v>27</v>
      </c>
      <c r="R193" s="31" t="s">
        <v>28</v>
      </c>
      <c r="S193" s="31" t="s">
        <v>29</v>
      </c>
    </row>
    <row r="194" spans="1:19" x14ac:dyDescent="0.2">
      <c r="B194" s="31" t="s">
        <v>23</v>
      </c>
      <c r="C194" s="216">
        <f ref="C194:I200" si="46" t="shared">C180*$C$1</f>
        <v>879285.97590000019</v>
      </c>
      <c r="D194" s="216">
        <f si="46" t="shared"/>
        <v>0</v>
      </c>
      <c r="E194" s="216">
        <f si="46" t="shared"/>
        <v>0</v>
      </c>
      <c r="F194" s="216">
        <f si="46" t="shared"/>
        <v>0</v>
      </c>
      <c r="G194" s="216">
        <f si="46" t="shared"/>
        <v>0</v>
      </c>
      <c r="H194" s="216">
        <f si="46" t="shared"/>
        <v>0</v>
      </c>
      <c r="I194" s="216">
        <f si="46" t="shared"/>
        <v>0</v>
      </c>
      <c r="J194" s="216"/>
      <c r="L194" s="31" t="s">
        <v>23</v>
      </c>
      <c r="M194" s="216">
        <f ref="M194:S200" si="47" t="shared">M180</f>
        <v>846586.66666581726</v>
      </c>
      <c r="N194" s="216">
        <f si="47" t="shared"/>
        <v>0</v>
      </c>
      <c r="O194" s="216">
        <f si="47" t="shared"/>
        <v>0</v>
      </c>
      <c r="P194" s="216">
        <f si="47" t="shared"/>
        <v>0</v>
      </c>
      <c r="Q194" s="216">
        <f si="47" t="shared"/>
        <v>0</v>
      </c>
      <c r="R194" s="216">
        <f si="47" t="shared"/>
        <v>0</v>
      </c>
      <c r="S194" s="216">
        <f si="47" t="shared"/>
        <v>0</v>
      </c>
    </row>
    <row r="195" spans="1:19" x14ac:dyDescent="0.2">
      <c r="B195" s="31" t="s">
        <v>24</v>
      </c>
      <c r="C195" s="216">
        <f si="46" t="shared"/>
        <v>0</v>
      </c>
      <c r="D195" s="216">
        <f si="46" t="shared"/>
        <v>894155.81160000025</v>
      </c>
      <c r="E195" s="216">
        <f si="46" t="shared"/>
        <v>0</v>
      </c>
      <c r="F195" s="216">
        <f si="46" t="shared"/>
        <v>0</v>
      </c>
      <c r="G195" s="216">
        <f si="46" t="shared"/>
        <v>0</v>
      </c>
      <c r="H195" s="216">
        <f si="46" t="shared"/>
        <v>0</v>
      </c>
      <c r="I195" s="216">
        <f si="46" t="shared"/>
        <v>0</v>
      </c>
      <c r="J195" s="216"/>
      <c r="L195" s="31" t="s">
        <v>24</v>
      </c>
      <c r="M195" s="216">
        <f si="47" t="shared"/>
        <v>0</v>
      </c>
      <c r="N195" s="216">
        <f si="47" t="shared"/>
        <v>882998.3333324471</v>
      </c>
      <c r="O195" s="216">
        <f si="47" t="shared"/>
        <v>0</v>
      </c>
      <c r="P195" s="216">
        <f si="47" t="shared"/>
        <v>0</v>
      </c>
      <c r="Q195" s="216">
        <f si="47" t="shared"/>
        <v>0</v>
      </c>
      <c r="R195" s="216">
        <f si="47" t="shared"/>
        <v>0</v>
      </c>
      <c r="S195" s="216">
        <f si="47" t="shared"/>
        <v>0</v>
      </c>
    </row>
    <row r="196" spans="1:19" x14ac:dyDescent="0.2">
      <c r="B196" s="31" t="s">
        <v>25</v>
      </c>
      <c r="C196" s="216">
        <f si="46" t="shared"/>
        <v>523.59350000000006</v>
      </c>
      <c r="D196" s="216">
        <f si="46" t="shared"/>
        <v>1936.7294000000004</v>
      </c>
      <c r="E196" s="216">
        <f si="46" t="shared"/>
        <v>870257.92930000019</v>
      </c>
      <c r="F196" s="216">
        <f si="46" t="shared"/>
        <v>0</v>
      </c>
      <c r="G196" s="216">
        <f si="46" t="shared"/>
        <v>0</v>
      </c>
      <c r="H196" s="216">
        <f si="46" t="shared"/>
        <v>0</v>
      </c>
      <c r="I196" s="216">
        <f si="46" t="shared"/>
        <v>0</v>
      </c>
      <c r="J196" s="216"/>
      <c r="L196" s="31" t="s">
        <v>25</v>
      </c>
      <c r="M196" s="216">
        <f si="47" t="shared"/>
        <v>486.66666666618005</v>
      </c>
      <c r="N196" s="216">
        <f si="47" t="shared"/>
        <v>2239.9999999977599</v>
      </c>
      <c r="O196" s="216">
        <f si="47" t="shared"/>
        <v>795673.33333253546</v>
      </c>
      <c r="P196" s="216">
        <f si="47" t="shared"/>
        <v>0</v>
      </c>
      <c r="Q196" s="216">
        <f si="47" t="shared"/>
        <v>0</v>
      </c>
      <c r="R196" s="216">
        <f si="47" t="shared"/>
        <v>0</v>
      </c>
      <c r="S196" s="216">
        <f si="47" t="shared"/>
        <v>0</v>
      </c>
    </row>
    <row r="197" spans="1:19" x14ac:dyDescent="0.2">
      <c r="B197" s="31" t="s">
        <v>249</v>
      </c>
      <c r="C197" s="216">
        <f si="46" t="shared"/>
        <v>6028.9279000000006</v>
      </c>
      <c r="D197" s="216">
        <f si="46" t="shared"/>
        <v>1153.7970000000003</v>
      </c>
      <c r="E197" s="216">
        <f si="46" t="shared"/>
        <v>4711.6209000000008</v>
      </c>
      <c r="F197" s="216">
        <f si="46" t="shared"/>
        <v>832648.69770000025</v>
      </c>
      <c r="G197" s="216">
        <f si="46" t="shared"/>
        <v>0</v>
      </c>
      <c r="H197" s="216">
        <f si="46" t="shared"/>
        <v>0</v>
      </c>
      <c r="I197" s="216">
        <f si="46" t="shared"/>
        <v>0</v>
      </c>
      <c r="J197" s="216"/>
      <c r="L197" s="31" t="s">
        <v>249</v>
      </c>
      <c r="M197" s="216">
        <f si="47" t="shared"/>
        <v>3188.3333333301453</v>
      </c>
      <c r="N197" s="216">
        <f si="47" t="shared"/>
        <v>1648.333333331685</v>
      </c>
      <c r="O197" s="216">
        <f si="47" t="shared"/>
        <v>4729.9999999952697</v>
      </c>
      <c r="P197" s="216">
        <f si="47" t="shared"/>
        <v>771794.9999992263</v>
      </c>
      <c r="Q197" s="216">
        <f si="47" t="shared"/>
        <v>0</v>
      </c>
      <c r="R197" s="216">
        <f si="47" t="shared"/>
        <v>0</v>
      </c>
      <c r="S197" s="216">
        <f si="47" t="shared"/>
        <v>0</v>
      </c>
    </row>
    <row r="198" spans="1:19" x14ac:dyDescent="0.2">
      <c r="B198" s="31" t="s">
        <v>27</v>
      </c>
      <c r="C198" s="216">
        <f si="46" t="shared"/>
        <v>4845.6759000000011</v>
      </c>
      <c r="D198" s="216">
        <f si="46" t="shared"/>
        <v>0</v>
      </c>
      <c r="E198" s="216">
        <f si="46" t="shared"/>
        <v>11406.146900000002</v>
      </c>
      <c r="F198" s="216">
        <f si="46" t="shared"/>
        <v>24484.028800000004</v>
      </c>
      <c r="G198" s="216">
        <f si="46" t="shared"/>
        <v>830474.97370000021</v>
      </c>
      <c r="H198" s="216">
        <f si="46" t="shared"/>
        <v>0</v>
      </c>
      <c r="I198" s="216">
        <f si="46" t="shared"/>
        <v>0</v>
      </c>
      <c r="J198" s="216"/>
      <c r="L198" s="31" t="s">
        <v>27</v>
      </c>
      <c r="M198" s="216">
        <f si="47" t="shared"/>
        <v>15144.999999984855</v>
      </c>
      <c r="N198" s="216">
        <f si="47" t="shared"/>
        <v>5548.3333333277851</v>
      </c>
      <c r="O198" s="216">
        <f si="47" t="shared"/>
        <v>37178.333333296156</v>
      </c>
      <c r="P198" s="216">
        <f si="47" t="shared"/>
        <v>44501.666666622172</v>
      </c>
      <c r="Q198" s="216">
        <f si="47" t="shared"/>
        <v>668418.33333266422</v>
      </c>
      <c r="R198" s="216">
        <f si="47" t="shared"/>
        <v>0</v>
      </c>
      <c r="S198" s="216">
        <f si="47" t="shared"/>
        <v>0</v>
      </c>
    </row>
    <row r="199" spans="1:19" x14ac:dyDescent="0.2">
      <c r="B199" s="31" t="s">
        <v>28</v>
      </c>
      <c r="C199" s="216">
        <f si="46" t="shared"/>
        <v>6291.2920000000013</v>
      </c>
      <c r="D199" s="216">
        <f si="46" t="shared"/>
        <v>694.49430000000007</v>
      </c>
      <c r="E199" s="216">
        <f si="46" t="shared"/>
        <v>5866.2605000000012</v>
      </c>
      <c r="F199" s="216">
        <f si="46" t="shared"/>
        <v>24770.471500000007</v>
      </c>
      <c r="G199" s="216">
        <f si="46" t="shared"/>
        <v>46629.869100000011</v>
      </c>
      <c r="H199" s="216">
        <f si="46" t="shared"/>
        <v>876192.92360000021</v>
      </c>
      <c r="I199" s="216">
        <f si="46" t="shared"/>
        <v>0</v>
      </c>
      <c r="J199" s="216"/>
      <c r="L199" s="31" t="s">
        <v>28</v>
      </c>
      <c r="M199" s="216">
        <f si="47" t="shared"/>
        <v>30044.999999969954</v>
      </c>
      <c r="N199" s="216">
        <f si="47" t="shared"/>
        <v>4339.9999999956599</v>
      </c>
      <c r="O199" s="216">
        <f si="47" t="shared"/>
        <v>41711.666666624958</v>
      </c>
      <c r="P199" s="216">
        <f si="47" t="shared"/>
        <v>64999.999999935026</v>
      </c>
      <c r="Q199" s="216">
        <f si="47" t="shared"/>
        <v>162016.66666650464</v>
      </c>
      <c r="R199" s="216">
        <f si="47" t="shared"/>
        <v>841786.66666582215</v>
      </c>
      <c r="S199" s="216">
        <f si="47" t="shared"/>
        <v>0</v>
      </c>
    </row>
    <row r="200" spans="1:19" x14ac:dyDescent="0.2">
      <c r="B200" s="31" t="s">
        <v>29</v>
      </c>
      <c r="C200" s="216">
        <f si="46" t="shared"/>
        <v>3898.6191000000008</v>
      </c>
      <c r="D200" s="216">
        <f si="46" t="shared"/>
        <v>2933.2520000000004</v>
      </c>
      <c r="E200" s="216">
        <f si="46" t="shared"/>
        <v>8632.1267000000007</v>
      </c>
      <c r="F200" s="216">
        <f si="46" t="shared"/>
        <v>18970.886300000002</v>
      </c>
      <c r="G200" s="216">
        <f si="46" t="shared"/>
        <v>23769.241500000004</v>
      </c>
      <c r="H200" s="216">
        <f si="46" t="shared"/>
        <v>24681.160700000008</v>
      </c>
      <c r="I200" s="216">
        <f si="46" t="shared"/>
        <v>0</v>
      </c>
      <c r="J200" s="216"/>
      <c r="L200" s="31" t="s">
        <v>29</v>
      </c>
      <c r="M200" s="216">
        <f si="47" t="shared"/>
        <v>6461.666666660205</v>
      </c>
      <c r="N200" s="216">
        <f si="47" t="shared"/>
        <v>5138.3333333281953</v>
      </c>
      <c r="O200" s="216">
        <f si="47" t="shared"/>
        <v>22619.999999977379</v>
      </c>
      <c r="P200" s="216">
        <f si="47" t="shared"/>
        <v>20616.666666646048</v>
      </c>
      <c r="Q200" s="216">
        <f si="47" t="shared"/>
        <v>71478.333333261893</v>
      </c>
      <c r="R200" s="216">
        <f si="47" t="shared"/>
        <v>60126.666666606565</v>
      </c>
      <c r="S200" s="216">
        <f si="47" t="shared"/>
        <v>0</v>
      </c>
    </row>
    <row r="201" spans="1:19" x14ac:dyDescent="0.2">
      <c r="B201" s="31" t="s">
        <v>240</v>
      </c>
      <c r="C201" s="216">
        <f ref="C201:I201" si="48" t="shared">SUM(C194:C200)</f>
        <v>900874.08430000022</v>
      </c>
      <c r="D201" s="216">
        <f si="48" t="shared"/>
        <v>900874.08430000022</v>
      </c>
      <c r="E201" s="216">
        <f si="48" t="shared"/>
        <v>900874.08430000022</v>
      </c>
      <c r="F201" s="216">
        <f si="48" t="shared"/>
        <v>900874.08430000022</v>
      </c>
      <c r="G201" s="216">
        <f si="48" t="shared"/>
        <v>900874.08430000022</v>
      </c>
      <c r="H201" s="216">
        <f si="48" t="shared"/>
        <v>900874.08430000022</v>
      </c>
      <c r="I201" s="216">
        <f si="48" t="shared"/>
        <v>0</v>
      </c>
      <c r="J201" s="216"/>
      <c r="L201" s="31" t="s">
        <v>240</v>
      </c>
      <c r="M201" s="216">
        <f ref="M201:S201" si="49" t="shared">SUM(M194:M200)</f>
        <v>901913.33333242859</v>
      </c>
      <c r="N201" s="216">
        <f si="49" t="shared"/>
        <v>901913.33333242836</v>
      </c>
      <c r="O201" s="216">
        <f si="49" t="shared"/>
        <v>901913.33333242917</v>
      </c>
      <c r="P201" s="216">
        <f si="49" t="shared"/>
        <v>901913.33333242952</v>
      </c>
      <c r="Q201" s="216">
        <f si="49" t="shared"/>
        <v>901913.33333243069</v>
      </c>
      <c r="R201" s="216">
        <f si="49" t="shared"/>
        <v>901913.33333242871</v>
      </c>
      <c r="S201" s="216">
        <f si="49" t="shared"/>
        <v>0</v>
      </c>
    </row>
    <row customHeight="1" ht="14.25" r="204" spans="1:19" x14ac:dyDescent="0.25">
      <c r="B204" s="31" t="s">
        <v>1124</v>
      </c>
      <c r="L204" s="206" t="s">
        <v>1115</v>
      </c>
    </row>
    <row r="205" spans="1:19" x14ac:dyDescent="0.2">
      <c r="B205" s="31" t="str">
        <f>B191</f>
        <v>stop and stop combination</v>
      </c>
      <c r="C205">
        <v>1</v>
      </c>
      <c r="D205">
        <v>2</v>
      </c>
      <c r="E205">
        <v>3</v>
      </c>
      <c r="F205">
        <v>4</v>
      </c>
      <c r="G205">
        <v>5</v>
      </c>
      <c r="H205">
        <v>6</v>
      </c>
      <c r="I205">
        <v>7</v>
      </c>
      <c r="L205" s="31" t="str">
        <f>L191</f>
        <v>stop and stop combination</v>
      </c>
    </row>
    <row r="206" spans="1:19" x14ac:dyDescent="0.2">
      <c r="B206" s="31"/>
      <c r="C206" s="31" t="str">
        <f>C192</f>
        <v>stop purpose</v>
      </c>
      <c r="L206" s="31"/>
      <c r="M206" s="31" t="str">
        <f>M192</f>
        <v>stop purpose</v>
      </c>
    </row>
    <row r="207" spans="1:19" x14ac:dyDescent="0.2">
      <c r="B207" s="31" t="str">
        <f>B193</f>
        <v>stop purpose</v>
      </c>
      <c r="C207" s="31" t="s">
        <v>23</v>
      </c>
      <c r="D207" s="31" t="s">
        <v>24</v>
      </c>
      <c r="E207" s="31" t="s">
        <v>25</v>
      </c>
      <c r="F207" s="31" t="s">
        <v>249</v>
      </c>
      <c r="G207" s="31" t="s">
        <v>27</v>
      </c>
      <c r="H207" s="31" t="s">
        <v>28</v>
      </c>
      <c r="I207" s="31" t="s">
        <v>29</v>
      </c>
      <c r="L207" s="31" t="str">
        <f>L193</f>
        <v>stop purpose</v>
      </c>
      <c r="M207" s="31" t="s">
        <v>23</v>
      </c>
      <c r="N207" s="31" t="s">
        <v>24</v>
      </c>
      <c r="O207" s="31" t="s">
        <v>25</v>
      </c>
      <c r="P207" s="31" t="s">
        <v>249</v>
      </c>
      <c r="Q207" s="31" t="s">
        <v>27</v>
      </c>
      <c r="R207" s="31" t="s">
        <v>28</v>
      </c>
      <c r="S207" s="31" t="s">
        <v>29</v>
      </c>
    </row>
    <row r="208" spans="1:19" x14ac:dyDescent="0.2">
      <c r="A208">
        <v>1</v>
      </c>
      <c r="B208" s="31" t="s">
        <v>23</v>
      </c>
      <c r="C208" s="261"/>
      <c r="D208" s="261"/>
      <c r="E208" s="203"/>
      <c r="F208" s="203"/>
      <c r="G208" s="203"/>
      <c r="H208" s="203"/>
      <c r="I208" s="203"/>
      <c r="L208" s="31" t="s">
        <v>23</v>
      </c>
      <c r="M208" s="200">
        <f ref="M208:S215" si="50" t="shared">IFERROR(C194/M194,0)</f>
        <v>1.0386248809740477</v>
      </c>
      <c r="N208" s="200">
        <f si="50" t="shared"/>
        <v>0</v>
      </c>
      <c r="O208" s="200">
        <f si="50" t="shared"/>
        <v>0</v>
      </c>
      <c r="P208" s="200">
        <f si="50" t="shared"/>
        <v>0</v>
      </c>
      <c r="Q208" s="200">
        <f si="50" t="shared"/>
        <v>0</v>
      </c>
      <c r="R208" s="200">
        <f si="50" t="shared"/>
        <v>0</v>
      </c>
      <c r="S208" s="200">
        <f si="50" t="shared"/>
        <v>0</v>
      </c>
    </row>
    <row r="209" spans="1:19" x14ac:dyDescent="0.2">
      <c r="A209">
        <v>2</v>
      </c>
      <c r="B209" s="31" t="s">
        <v>24</v>
      </c>
      <c r="C209" s="261">
        <f ref="C209:C214" si="51" t="shared">1200+10*C$151+$A209</f>
        <v>1212</v>
      </c>
      <c r="D209" s="261"/>
      <c r="E209" s="261"/>
      <c r="F209" s="261"/>
      <c r="G209" s="261"/>
      <c r="H209" s="203"/>
      <c r="I209" s="203"/>
      <c r="L209" s="31" t="s">
        <v>24</v>
      </c>
      <c r="M209" s="200">
        <f si="50" t="shared"/>
        <v>0</v>
      </c>
      <c r="N209" s="200">
        <f si="50" t="shared"/>
        <v>1.012635899578026</v>
      </c>
      <c r="O209" s="200">
        <f si="50" t="shared"/>
        <v>0</v>
      </c>
      <c r="P209" s="200">
        <f si="50" t="shared"/>
        <v>0</v>
      </c>
      <c r="Q209" s="200">
        <f si="50" t="shared"/>
        <v>0</v>
      </c>
      <c r="R209" s="200">
        <f si="50" t="shared"/>
        <v>0</v>
      </c>
      <c r="S209" s="200">
        <f si="50" t="shared"/>
        <v>0</v>
      </c>
    </row>
    <row r="210" spans="1:19" x14ac:dyDescent="0.2">
      <c r="A210">
        <v>3</v>
      </c>
      <c r="B210" s="31" t="s">
        <v>25</v>
      </c>
      <c r="C210" s="261">
        <f si="51" t="shared"/>
        <v>1213</v>
      </c>
      <c r="D210" s="261">
        <f>1200+10*D$151+$A210</f>
        <v>1223</v>
      </c>
      <c r="E210" s="261"/>
      <c r="F210" s="261"/>
      <c r="G210" s="261"/>
      <c r="H210" s="261"/>
      <c r="I210" s="261"/>
      <c r="L210" s="31" t="s">
        <v>25</v>
      </c>
      <c r="M210" s="200">
        <f si="50" t="shared"/>
        <v>1.0758770547955965</v>
      </c>
      <c r="N210" s="200">
        <f si="50" t="shared"/>
        <v>0.86461133928657907</v>
      </c>
      <c r="O210" s="200">
        <f si="50" t="shared"/>
        <v>1.0937377097395995</v>
      </c>
      <c r="P210" s="200">
        <f si="50" t="shared"/>
        <v>0</v>
      </c>
      <c r="Q210" s="200">
        <f si="50" t="shared"/>
        <v>0</v>
      </c>
      <c r="R210" s="200">
        <f si="50" t="shared"/>
        <v>0</v>
      </c>
      <c r="S210" s="200">
        <f si="50" t="shared"/>
        <v>0</v>
      </c>
    </row>
    <row r="211" spans="1:19" x14ac:dyDescent="0.2">
      <c r="A211">
        <v>4</v>
      </c>
      <c r="B211" s="31" t="s">
        <v>249</v>
      </c>
      <c r="C211" s="261">
        <f si="51" t="shared"/>
        <v>1214</v>
      </c>
      <c r="D211" s="261">
        <f>1200+10*D$151+$A211</f>
        <v>1224</v>
      </c>
      <c r="E211" s="261">
        <f>1200+10*E$151+$A211</f>
        <v>1234</v>
      </c>
      <c r="F211" s="261"/>
      <c r="G211" s="261"/>
      <c r="H211" s="261"/>
      <c r="I211" s="261"/>
      <c r="L211" s="31" t="s">
        <v>249</v>
      </c>
      <c r="M211" s="200">
        <f si="50" t="shared"/>
        <v>1.8909339989564127</v>
      </c>
      <c r="N211" s="200">
        <f si="50" t="shared"/>
        <v>0.69997795753356162</v>
      </c>
      <c r="O211" s="200">
        <f si="50" t="shared"/>
        <v>0.99611435518070035</v>
      </c>
      <c r="P211" s="200">
        <f si="50" t="shared"/>
        <v>1.0788469706344754</v>
      </c>
      <c r="Q211" s="200">
        <f si="50" t="shared"/>
        <v>0</v>
      </c>
      <c r="R211" s="200">
        <f si="50" t="shared"/>
        <v>0</v>
      </c>
      <c r="S211" s="200">
        <f si="50" t="shared"/>
        <v>0</v>
      </c>
    </row>
    <row r="212" spans="1:19" x14ac:dyDescent="0.2">
      <c r="A212">
        <v>5</v>
      </c>
      <c r="B212" s="31" t="s">
        <v>27</v>
      </c>
      <c r="C212" s="261">
        <f si="51" t="shared"/>
        <v>1215</v>
      </c>
      <c r="D212" s="261">
        <f>1200+10*D$151+$A212</f>
        <v>1225</v>
      </c>
      <c r="E212" s="261">
        <f>1200+10*E$151+$A212</f>
        <v>1235</v>
      </c>
      <c r="F212" s="261">
        <f>1200+10*F$151+$A212</f>
        <v>1245</v>
      </c>
      <c r="G212" s="261"/>
      <c r="H212" s="261"/>
      <c r="I212" s="261"/>
      <c r="L212" s="31" t="s">
        <v>27</v>
      </c>
      <c r="M212" s="200">
        <f si="50" t="shared"/>
        <v>0.31995218884152171</v>
      </c>
      <c r="N212" s="200">
        <f si="50" t="shared"/>
        <v>0</v>
      </c>
      <c r="O212" s="200">
        <f si="50" t="shared"/>
        <v>0.30679554131020953</v>
      </c>
      <c r="P212" s="200">
        <f si="50" t="shared"/>
        <v>0.550182288304359</v>
      </c>
      <c r="Q212" s="200">
        <f si="50" t="shared"/>
        <v>1.2424479286188015</v>
      </c>
      <c r="R212" s="200">
        <f si="50" t="shared"/>
        <v>0</v>
      </c>
      <c r="S212" s="200">
        <f si="50" t="shared"/>
        <v>0</v>
      </c>
    </row>
    <row r="213" spans="1:19" x14ac:dyDescent="0.2">
      <c r="A213">
        <v>6</v>
      </c>
      <c r="B213" s="31" t="s">
        <v>28</v>
      </c>
      <c r="C213" s="261">
        <f si="51" t="shared"/>
        <v>1216</v>
      </c>
      <c r="D213" s="261">
        <f>1200+10*D$151+$A213</f>
        <v>1226</v>
      </c>
      <c r="E213" s="261">
        <f>1200+10*E$151+$A213</f>
        <v>1236</v>
      </c>
      <c r="F213" s="261">
        <f>1200+10*F$151+$A213</f>
        <v>1246</v>
      </c>
      <c r="G213" s="261">
        <f>1200+10*G$151+$A213</f>
        <v>1256</v>
      </c>
      <c r="H213" s="261"/>
      <c r="I213" s="261"/>
      <c r="L213" s="31" t="s">
        <v>28</v>
      </c>
      <c r="M213" s="200">
        <f si="50" t="shared"/>
        <v>0.2093956398737325</v>
      </c>
      <c r="N213" s="200">
        <f si="50" t="shared"/>
        <v>0.16002172811075913</v>
      </c>
      <c r="O213" s="200">
        <f si="50" t="shared"/>
        <v>0.14063836256856677</v>
      </c>
      <c r="P213" s="200">
        <f si="50" t="shared"/>
        <v>0.38108417692345797</v>
      </c>
      <c r="Q213" s="200">
        <f si="50" t="shared"/>
        <v>0.28780908815994227</v>
      </c>
      <c r="R213" s="200">
        <f si="50" t="shared"/>
        <v>1.0408728936874891</v>
      </c>
      <c r="S213" s="200">
        <f si="50" t="shared"/>
        <v>0</v>
      </c>
    </row>
    <row r="214" spans="1:19" x14ac:dyDescent="0.2">
      <c r="A214">
        <v>7</v>
      </c>
      <c r="B214" s="31" t="s">
        <v>29</v>
      </c>
      <c r="C214" s="261">
        <f si="51" t="shared"/>
        <v>1217</v>
      </c>
      <c r="D214" s="261">
        <f>1200+10*D$151+$A214</f>
        <v>1227</v>
      </c>
      <c r="E214" s="261">
        <f>1200+10*E$151+$A214</f>
        <v>1237</v>
      </c>
      <c r="F214" s="261">
        <f>1200+10*F$151+$A214</f>
        <v>1247</v>
      </c>
      <c r="G214" s="261">
        <f>1200+10*G$151+$A214</f>
        <v>1257</v>
      </c>
      <c r="H214" s="203"/>
      <c r="I214" s="203"/>
      <c r="L214" s="31" t="s">
        <v>29</v>
      </c>
      <c r="M214" s="200">
        <f si="50" t="shared"/>
        <v>0.60334574671197827</v>
      </c>
      <c r="N214" s="200">
        <f si="50" t="shared"/>
        <v>0.57085669802197858</v>
      </c>
      <c r="O214" s="200">
        <f si="50" t="shared"/>
        <v>0.38161479664052311</v>
      </c>
      <c r="P214" s="200">
        <f si="50" t="shared"/>
        <v>0.92017233468159942</v>
      </c>
      <c r="Q214" s="200">
        <f si="50" t="shared"/>
        <v>0.332537713060234</v>
      </c>
      <c r="R214" s="200">
        <f si="50" t="shared"/>
        <v>0.41048609657431001</v>
      </c>
      <c r="S214" s="200">
        <f si="50" t="shared"/>
        <v>0</v>
      </c>
    </row>
    <row r="215" spans="1:19" x14ac:dyDescent="0.2">
      <c r="B215" s="31" t="s">
        <v>240</v>
      </c>
      <c r="C215" s="216"/>
      <c r="D215" s="216"/>
      <c r="E215" s="216"/>
      <c r="F215" s="216"/>
      <c r="G215" s="216"/>
      <c r="H215" s="216"/>
      <c r="I215" s="216"/>
      <c r="L215" s="31" t="s">
        <v>240</v>
      </c>
      <c r="M215" s="200">
        <f si="50" t="shared"/>
        <v>0.99884772849671877</v>
      </c>
      <c r="N215" s="200">
        <f si="50" t="shared"/>
        <v>0.99884772849671899</v>
      </c>
      <c r="O215" s="200">
        <f si="50" t="shared"/>
        <v>0.9988477284967181</v>
      </c>
      <c r="P215" s="200">
        <f si="50" t="shared"/>
        <v>0.99884772849671766</v>
      </c>
      <c r="Q215" s="200">
        <f si="50" t="shared"/>
        <v>0.99884772849671644</v>
      </c>
      <c r="R215" s="200">
        <f si="50" t="shared"/>
        <v>0.99884772849671866</v>
      </c>
      <c r="S215" s="200">
        <f si="50" t="shared"/>
        <v>0</v>
      </c>
    </row>
    <row customHeight="1" ht="14.25" r="218" spans="1:19" x14ac:dyDescent="0.25">
      <c r="L218" s="206" t="s">
        <v>1116</v>
      </c>
      <c r="N218" t="s">
        <v>1117</v>
      </c>
      <c r="O218" s="208">
        <v>0</v>
      </c>
    </row>
    <row r="219" spans="1:19" x14ac:dyDescent="0.2">
      <c r="L219" s="31" t="str">
        <f>B205</f>
        <v>stop and stop combination</v>
      </c>
    </row>
    <row r="220" spans="1:19" x14ac:dyDescent="0.2">
      <c r="L220" s="31"/>
      <c r="M220" s="31" t="str">
        <f>M206</f>
        <v>stop purpose</v>
      </c>
    </row>
    <row r="221" spans="1:19" x14ac:dyDescent="0.2">
      <c r="L221" s="31" t="str">
        <f>L207</f>
        <v>stop purpose</v>
      </c>
      <c r="M221" s="31" t="s">
        <v>23</v>
      </c>
      <c r="N221" s="31" t="s">
        <v>24</v>
      </c>
      <c r="O221" s="31" t="s">
        <v>25</v>
      </c>
      <c r="P221" s="31" t="s">
        <v>249</v>
      </c>
      <c r="Q221" s="31" t="s">
        <v>27</v>
      </c>
      <c r="R221" s="31" t="s">
        <v>28</v>
      </c>
      <c r="S221" s="31" t="s">
        <v>29</v>
      </c>
    </row>
    <row r="222" spans="1:19" x14ac:dyDescent="0.2">
      <c r="L222" s="31" t="s">
        <v>23</v>
      </c>
      <c r="M222" s="262"/>
      <c r="N222" s="262"/>
      <c r="O222" s="262"/>
      <c r="P222" s="262"/>
      <c r="Q222" s="262"/>
      <c r="R222" s="262"/>
      <c r="S222" s="262"/>
    </row>
    <row r="223" spans="1:19" x14ac:dyDescent="0.2">
      <c r="L223" s="31" t="s">
        <v>24</v>
      </c>
      <c r="M223" s="200">
        <f ref="M223:M228" si="52" t="shared">IFERROR(LN(M209)*$O$218,0)</f>
        <v>0</v>
      </c>
      <c r="N223" s="262"/>
      <c r="O223" s="262"/>
      <c r="P223" s="262"/>
      <c r="Q223" s="262"/>
      <c r="R223" s="262"/>
      <c r="S223" s="262"/>
    </row>
    <row r="224" spans="1:19" x14ac:dyDescent="0.2">
      <c r="L224" s="31" t="s">
        <v>25</v>
      </c>
      <c r="M224" s="200">
        <f si="52" t="shared"/>
        <v>0</v>
      </c>
      <c r="N224" s="200">
        <f>IFERROR(LN(N210)*$O$218,0)</f>
        <v>0</v>
      </c>
      <c r="O224" s="262"/>
      <c r="P224" s="262"/>
      <c r="Q224" s="262"/>
      <c r="R224" s="262"/>
      <c r="S224" s="262"/>
    </row>
    <row r="225" spans="12:19" x14ac:dyDescent="0.2">
      <c r="L225" s="31" t="s">
        <v>249</v>
      </c>
      <c r="M225" s="200">
        <f si="52" t="shared"/>
        <v>0</v>
      </c>
      <c r="N225" s="200">
        <f>IFERROR(LN(N211)*$O$218,0)</f>
        <v>0</v>
      </c>
      <c r="O225" s="200">
        <f>IFERROR(LN(O211)*$O$218,0)</f>
        <v>0</v>
      </c>
      <c r="P225" s="262"/>
      <c r="Q225" s="262"/>
      <c r="R225" s="262"/>
      <c r="S225" s="262"/>
    </row>
    <row r="226" spans="12:19" x14ac:dyDescent="0.2">
      <c r="L226" s="31" t="s">
        <v>27</v>
      </c>
      <c r="M226" s="200">
        <f si="52" t="shared"/>
        <v>0</v>
      </c>
      <c r="N226" s="200">
        <f>IFERROR(LN(N212)*$O$218,0)</f>
        <v>0</v>
      </c>
      <c r="O226" s="200">
        <f>IFERROR(LN(O212)*$O$218,0)</f>
        <v>0</v>
      </c>
      <c r="P226" s="200">
        <f>IFERROR(LN(P212)*$O$218,0)</f>
        <v>0</v>
      </c>
      <c r="Q226" s="262"/>
      <c r="R226" s="262"/>
      <c r="S226" s="262"/>
    </row>
    <row r="227" spans="12:19" x14ac:dyDescent="0.2">
      <c r="L227" s="31" t="s">
        <v>28</v>
      </c>
      <c r="M227" s="200">
        <f si="52" t="shared"/>
        <v>0</v>
      </c>
      <c r="N227" s="200">
        <f>IFERROR(LN(N213)*$O$218,0)</f>
        <v>0</v>
      </c>
      <c r="O227" s="200">
        <f>IFERROR(LN(O213)*$O$218,0)</f>
        <v>0</v>
      </c>
      <c r="P227" s="200">
        <f>IFERROR(LN(P213)*$O$218,0)</f>
        <v>0</v>
      </c>
      <c r="Q227" s="200">
        <f>IFERROR(LN(Q213)*$O$218,0)</f>
        <v>0</v>
      </c>
      <c r="R227" s="262"/>
      <c r="S227" s="262"/>
    </row>
    <row r="228" spans="12:19" x14ac:dyDescent="0.2">
      <c r="L228" s="31" t="s">
        <v>29</v>
      </c>
      <c r="M228" s="200">
        <f si="52" t="shared"/>
        <v>0</v>
      </c>
      <c r="N228" s="200">
        <f>IFERROR(LN(N214)*$O$218,0)</f>
        <v>0</v>
      </c>
      <c r="O228" s="200">
        <f>IFERROR(LN(O214)*$O$218,0)</f>
        <v>0</v>
      </c>
      <c r="P228" s="200">
        <f>IFERROR(LN(P214)*$O$218,0)</f>
        <v>0</v>
      </c>
      <c r="Q228" s="200">
        <f>IFERROR(LN(Q214)*$O$218,0)</f>
        <v>0</v>
      </c>
      <c r="R228" s="262"/>
      <c r="S228" s="262"/>
    </row>
  </sheetData>
  <conditionalFormatting sqref="M98:S106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49:M52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4:S161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08:S215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408"/>
  <sheetViews>
    <sheetView tabSelected="1" workbookViewId="0" zoomScaleNormal="100">
      <selection activeCell="J101" sqref="J101"/>
    </sheetView>
  </sheetViews>
  <sheetFormatPr defaultColWidth="9" defaultRowHeight="15" x14ac:dyDescent="0.25"/>
  <cols>
    <col min="1" max="2" customWidth="true" style="201" width="9.0" collapsed="true"/>
    <col min="3" max="3" bestFit="true" customWidth="true" style="201" width="12.375" collapsed="true"/>
    <col min="4" max="4" customWidth="true" style="201" width="10.375" collapsed="true"/>
    <col min="5" max="5" bestFit="true" customWidth="true" style="201" width="9.25" collapsed="true"/>
    <col min="6" max="6" bestFit="true" customWidth="true" style="201" width="10.125" collapsed="true"/>
    <col min="7" max="8" bestFit="true" customWidth="true" style="201" width="9.25" collapsed="true"/>
    <col min="9" max="9" bestFit="true" customWidth="true" style="201" width="14.25" collapsed="true"/>
    <col min="10" max="10" customWidth="true" style="201" width="9.0" collapsed="true"/>
    <col min="11" max="11" customWidth="true" style="201" width="15.0" collapsed="true"/>
    <col min="12" max="12" bestFit="true" customWidth="true" style="201" width="12.5" collapsed="true"/>
    <col min="13" max="13" customWidth="true" style="201" width="12.75" collapsed="true"/>
    <col min="14" max="14" bestFit="true" customWidth="true" style="201" width="12.5" collapsed="true"/>
    <col min="15" max="18" customWidth="true" style="201" width="9.0" collapsed="true"/>
    <col min="19" max="19" customWidth="true" style="201" width="10.0" collapsed="true"/>
    <col min="20" max="21" customWidth="true" style="201" width="9.0" collapsed="true"/>
    <col min="22" max="23" bestFit="true" customWidth="true" style="201" width="13.0" collapsed="true"/>
    <col min="24" max="27" customWidth="true" style="201" width="9.0" collapsed="true"/>
    <col min="28" max="29" bestFit="true" customWidth="true" style="201" width="13.5" collapsed="true"/>
    <col min="30" max="33" customWidth="true" style="201" width="9.0" collapsed="true"/>
    <col min="34" max="34" bestFit="true" customWidth="true" style="201" width="78.125" collapsed="true"/>
    <col min="35" max="41" customWidth="true" style="201" width="9.0" collapsed="true"/>
    <col min="42" max="16384" style="201" width="9.0" collapsed="true"/>
  </cols>
  <sheetData>
    <row r="1" spans="2:37" x14ac:dyDescent="0.25">
      <c r="N1" s="78" t="s">
        <v>1125</v>
      </c>
      <c r="T1" s="78" t="s">
        <v>1125</v>
      </c>
      <c r="X1" s="201">
        <f>SUM(X3:X398)</f>
        <v>7</v>
      </c>
      <c r="Z1" s="78" t="s">
        <v>1126</v>
      </c>
      <c r="AG1" s="78" t="s">
        <v>1127</v>
      </c>
    </row>
    <row r="2" spans="2:37" x14ac:dyDescent="0.25">
      <c r="B2" s="78" t="s">
        <v>1128</v>
      </c>
      <c r="G2" s="78" t="s">
        <v>1128</v>
      </c>
      <c r="H2" s="202" t="s">
        <v>1129</v>
      </c>
      <c r="I2" s="90">
        <v>1</v>
      </c>
      <c r="O2" s="68" t="s">
        <v>1130</v>
      </c>
      <c r="V2" s="204" t="s">
        <v>1131</v>
      </c>
      <c r="W2" s="204" t="s">
        <v>1132</v>
      </c>
      <c r="X2" s="204" t="s">
        <v>173</v>
      </c>
      <c r="AB2" s="204" t="s">
        <v>1131</v>
      </c>
      <c r="AC2" s="204" t="s">
        <v>1132</v>
      </c>
      <c r="AD2" s="204" t="s">
        <v>173</v>
      </c>
      <c r="AI2" s="201" t="s">
        <v>1131</v>
      </c>
      <c r="AJ2" s="201" t="s">
        <v>1132</v>
      </c>
      <c r="AK2" s="201" t="s">
        <v>1133</v>
      </c>
    </row>
    <row customHeight="1" ht="14.65" r="3" spans="2:37" thickBot="1" x14ac:dyDescent="0.3">
      <c r="B3" s="74"/>
      <c r="C3" s="74"/>
      <c r="D3" s="74"/>
      <c r="E3" s="74"/>
      <c r="G3" s="83" t="s">
        <v>1134</v>
      </c>
      <c r="H3" s="74"/>
      <c r="I3" s="74"/>
      <c r="J3" s="1"/>
      <c r="K3" s="74"/>
      <c r="L3" s="74"/>
      <c r="M3" s="74"/>
      <c r="N3">
        <v>1</v>
      </c>
      <c r="O3" s="31" t="s">
        <v>1135</v>
      </c>
      <c r="T3" s="201">
        <f>DayPatternCoefficients!A11</f>
        <v>20</v>
      </c>
      <c r="U3" s="201" t="str">
        <f>DayPatternCoefficients!B11</f>
        <v>X-WKATHOME</v>
      </c>
      <c r="V3" s="222">
        <f>DayPatternCoefficients!D11</f>
        <v>1</v>
      </c>
      <c r="W3" s="223">
        <f>_xlfn.IFNA(VLOOKUP(T3,$K$63:$M$111,3,FALSE),_xlfn.IFNA(VLOOKUP(T3,$G$5:$K$11,5,FALSE),_xlfn.IFNA(IF(VLOOKUP(T3,$G$19:$K$25,4,FALSE)&gt;0,VLOOKUP(T3,$G$19:$K$25,5,FALSE),VLOOKUP(T3,$G$33:$K$39,5,FALSE)),_xlfn.IFNA(VLOOKUP(T3,new_summaries!$V$4:$Y$101,4,FALSE),V3))))</f>
        <v>1</v>
      </c>
      <c r="X3" s="201">
        <f ref="X3:X66" si="0" t="shared">IF(V3=W3,0,1)</f>
        <v>0</v>
      </c>
      <c r="Z3" s="84">
        <f>WorkbasedSubtourGenerationCoeff!B11</f>
        <v>1</v>
      </c>
      <c r="AA3" s="84" t="str">
        <f>WorkbasedSubtourGenerationCoeff!C11</f>
        <v>Beta00001</v>
      </c>
      <c r="AB3" s="224">
        <f>WorkbasedSubtourGenerationCoeff!E11</f>
        <v>-1.427506529303</v>
      </c>
      <c r="AC3" s="225">
        <f ref="AC3:AC9" si="1" t="shared">K132</f>
        <v>-1.427506529303</v>
      </c>
      <c r="AD3" s="201">
        <f ref="AD3:AD17" si="2" t="shared">IF(AB3=AC3,0,1)</f>
        <v>0</v>
      </c>
      <c r="AG3" s="201">
        <v>1</v>
      </c>
      <c r="AH3" s="201" t="s">
        <v>1137</v>
      </c>
      <c r="AI3" s="201">
        <v>0.42649170864199998</v>
      </c>
      <c r="AK3" s="201" t="s">
        <v>1138</v>
      </c>
    </row>
    <row r="4" spans="2:37" x14ac:dyDescent="0.25">
      <c r="B4" s="71" t="str">
        <f>Summary!A33</f>
        <v>Purpose</v>
      </c>
      <c r="C4" s="91" t="str">
        <f>Summary!B33</f>
        <v>ExpandSurv</v>
      </c>
      <c r="D4" s="91" t="str">
        <f>Summary!C33</f>
        <v>Model</v>
      </c>
      <c r="E4" s="91" t="s">
        <v>9</v>
      </c>
      <c r="F4" s="202"/>
      <c r="G4" s="71" t="s">
        <v>306</v>
      </c>
      <c r="H4" s="71" t="s">
        <v>307</v>
      </c>
      <c r="I4" s="93" t="s">
        <v>1105</v>
      </c>
      <c r="J4" s="71" t="s">
        <v>1106</v>
      </c>
      <c r="K4" s="100" t="s">
        <v>1107</v>
      </c>
      <c r="L4" s="96" t="s">
        <v>1139</v>
      </c>
      <c r="M4" s="96" t="s">
        <v>1140</v>
      </c>
      <c r="N4">
        <v>2</v>
      </c>
      <c r="O4" s="31" t="s">
        <v>1141</v>
      </c>
      <c r="T4" s="201">
        <f>DayPatternCoefficients!A12</f>
        <v>100</v>
      </c>
      <c r="U4" s="201" t="str">
        <f>DayPatternCoefficients!B12</f>
        <v>W-TASC</v>
      </c>
      <c r="V4" s="222">
        <f>DayPatternCoefficients!D12</f>
        <v>1.9017439303100001</v>
      </c>
      <c r="W4" s="223">
        <f>_xlfn.IFNA(VLOOKUP(T4,$K$63:$M$111,3,FALSE),_xlfn.IFNA(VLOOKUP(T4,$G$5:$K$11,5,FALSE),_xlfn.IFNA(IF(VLOOKUP(T4,$G$19:$K$25,4,FALSE)&gt;0,VLOOKUP(T4,$G$19:$K$25,5,FALSE),VLOOKUP(T4,$G$33:$K$39,5,FALSE)),_xlfn.IFNA(VLOOKUP(T4,new_summaries!$V$4:$Y$101,4,FALSE),V4))))</f>
        <v>1.9192054073393854</v>
      </c>
      <c r="X4" s="201">
        <f si="0" t="shared"/>
        <v>1</v>
      </c>
      <c r="Z4" s="84">
        <f>WorkbasedSubtourGenerationCoeff!B12</f>
        <v>3</v>
      </c>
      <c r="AA4" s="84" t="str">
        <f>WorkbasedSubtourGenerationCoeff!C12</f>
        <v>Beta00003</v>
      </c>
      <c r="AB4" s="224">
        <f>WorkbasedSubtourGenerationCoeff!E12</f>
        <v>-2.1173031158029998</v>
      </c>
      <c r="AC4" s="225">
        <f si="1" t="shared"/>
        <v>-2.1173031158029998</v>
      </c>
      <c r="AD4" s="201">
        <f si="2" t="shared"/>
        <v>0</v>
      </c>
      <c r="AG4" s="201">
        <v>2</v>
      </c>
      <c r="AH4" s="201" t="s">
        <v>1143</v>
      </c>
      <c r="AI4" s="201">
        <v>0.52969549157399998</v>
      </c>
      <c r="AK4" s="201" t="s">
        <v>1138</v>
      </c>
    </row>
    <row r="5" spans="2:37" x14ac:dyDescent="0.25">
      <c r="B5" s="201" t="str">
        <f>Summary!A34</f>
        <v>work</v>
      </c>
      <c r="C5" s="75">
        <f>survey_scaling!M5</f>
        <v>686347.61469968222</v>
      </c>
      <c r="D5" s="75">
        <f>ToursByTourPurpose!R74</f>
        <v>674467</v>
      </c>
      <c r="E5" s="209">
        <f ref="E5:E11" si="3" t="shared">C5/D5</f>
        <v>1.01761481984987</v>
      </c>
      <c r="F5" s="205"/>
      <c r="G5" s="201">
        <v>100</v>
      </c>
      <c r="H5" s="222" t="s">
        <v>311</v>
      </c>
      <c r="I5" s="226">
        <f ref="I5:I11" si="4" t="shared">VLOOKUP(G5,$T$3:$V$352,3,FALSE)</f>
        <v>1.9017439303100001</v>
      </c>
      <c r="J5" s="227">
        <f ref="J5:J11" si="5" t="shared">$I$2*LN(E5)</f>
        <v>1.7461477029385331E-2</v>
      </c>
      <c r="K5" s="228">
        <f ref="K5:K11" si="6" t="shared">I5+J5</f>
        <v>1.9192054073393854</v>
      </c>
      <c r="L5" s="229">
        <f ref="L5:L11" si="7" t="shared">VLOOKUP(G5,$T$3:$W$352,4,FALSE)</f>
        <v>1.9192054073393854</v>
      </c>
      <c r="M5" s="94">
        <f ref="M5:M11" si="8" t="shared">IF(K5=L5,0,1)</f>
        <v>0</v>
      </c>
      <c r="N5">
        <v>3</v>
      </c>
      <c r="O5" s="201" t="s">
        <v>1144</v>
      </c>
      <c r="T5" s="201">
        <f>DayPatternCoefficients!A13</f>
        <v>101</v>
      </c>
      <c r="U5" s="201" t="str">
        <f>DayPatternCoefficients!B13</f>
        <v>W-SASC</v>
      </c>
      <c r="V5" s="222">
        <f>DayPatternCoefficients!D13</f>
        <v>3.6928987586500002</v>
      </c>
      <c r="W5" s="223">
        <f>_xlfn.IFNA(VLOOKUP(T5,$K$63:$M$111,3,FALSE),_xlfn.IFNA(VLOOKUP(T5,$G$5:$K$11,5,FALSE),_xlfn.IFNA(IF(VLOOKUP(T5,$G$19:$K$25,4,FALSE)&gt;0,VLOOKUP(T5,$G$19:$K$25,5,FALSE),VLOOKUP(T5,$G$33:$K$39,5,FALSE)),_xlfn.IFNA(VLOOKUP(T5,new_summaries!$V$4:$Y$101,4,FALSE),V5))))</f>
        <v>3.6928987586500002</v>
      </c>
      <c r="X5" s="201">
        <f si="0" t="shared"/>
        <v>0</v>
      </c>
      <c r="Z5" s="84">
        <f>WorkbasedSubtourGenerationCoeff!B13</f>
        <v>4</v>
      </c>
      <c r="AA5" s="84" t="str">
        <f>WorkbasedSubtourGenerationCoeff!C13</f>
        <v>Beta00004</v>
      </c>
      <c r="AB5" s="224">
        <f>WorkbasedSubtourGenerationCoeff!E13</f>
        <v>-2.9720527882979999</v>
      </c>
      <c r="AC5" s="225">
        <f si="1" t="shared"/>
        <v>-2.9720527882979999</v>
      </c>
      <c r="AD5" s="201">
        <f si="2" t="shared"/>
        <v>0</v>
      </c>
      <c r="AG5" s="201">
        <v>3</v>
      </c>
      <c r="AH5" s="201" t="s">
        <v>1146</v>
      </c>
      <c r="AI5" s="201">
        <v>0.75024585208399996</v>
      </c>
      <c r="AK5" s="201" t="s">
        <v>1138</v>
      </c>
    </row>
    <row r="6" spans="2:37" x14ac:dyDescent="0.25">
      <c r="B6" s="201" t="str">
        <f>Summary!A35</f>
        <v>school</v>
      </c>
      <c r="C6" s="75">
        <f>survey_scaling!M6</f>
        <v>231862.14240649904</v>
      </c>
      <c r="D6" s="75">
        <f>ToursByTourPurpose!R75</f>
        <v>231781</v>
      </c>
      <c r="E6" s="209">
        <f si="3" t="shared"/>
        <v>1.0003500822176927</v>
      </c>
      <c r="F6" s="205"/>
      <c r="G6" s="201">
        <v>200</v>
      </c>
      <c r="H6" s="222" t="s">
        <v>363</v>
      </c>
      <c r="I6" s="226">
        <f si="4" t="shared"/>
        <v>-1.1650098583199999</v>
      </c>
      <c r="J6" s="227">
        <f si="5" t="shared"/>
        <v>3.5002095321114086E-4</v>
      </c>
      <c r="K6" s="228">
        <f si="6" t="shared"/>
        <v>-1.1646598373667887</v>
      </c>
      <c r="L6" s="229">
        <f si="7" t="shared"/>
        <v>-1.1646598373667887</v>
      </c>
      <c r="M6" s="94">
        <f si="8" t="shared"/>
        <v>0</v>
      </c>
      <c r="N6">
        <v>4</v>
      </c>
      <c r="O6" s="201" t="s">
        <v>1147</v>
      </c>
      <c r="T6" s="201">
        <f>DayPatternCoefficients!A14</f>
        <v>102</v>
      </c>
      <c r="U6" s="201" t="str">
        <f>DayPatternCoefficients!B14</f>
        <v>W-PTW</v>
      </c>
      <c r="V6" s="222">
        <f>DayPatternCoefficients!D14</f>
        <v>-0.12630532374</v>
      </c>
      <c r="W6" s="223">
        <f>_xlfn.IFNA(VLOOKUP(T6,$K$63:$M$111,3,FALSE),_xlfn.IFNA(VLOOKUP(T6,$G$5:$K$11,5,FALSE),_xlfn.IFNA(IF(VLOOKUP(T6,$G$19:$K$25,4,FALSE)&gt;0,VLOOKUP(T6,$G$19:$K$25,5,FALSE),VLOOKUP(T6,$G$33:$K$39,5,FALSE)),_xlfn.IFNA(VLOOKUP(T6,new_summaries!$V$4:$Y$101,4,FALSE),V6))))</f>
        <v>-0.12630532374</v>
      </c>
      <c r="X6" s="201">
        <f si="0" t="shared"/>
        <v>0</v>
      </c>
      <c r="Z6" s="84">
        <f>WorkbasedSubtourGenerationCoeff!B14</f>
        <v>6</v>
      </c>
      <c r="AA6" s="84" t="str">
        <f>WorkbasedSubtourGenerationCoeff!C14</f>
        <v>Beta00006</v>
      </c>
      <c r="AB6" s="224">
        <f>WorkbasedSubtourGenerationCoeff!E14</f>
        <v>-2.0696298973410001</v>
      </c>
      <c r="AC6" s="225">
        <f si="1" t="shared"/>
        <v>-2.0696298973410001</v>
      </c>
      <c r="AD6" s="201">
        <f si="2" t="shared"/>
        <v>0</v>
      </c>
      <c r="AG6" s="201">
        <v>4</v>
      </c>
      <c r="AH6" s="201" t="s">
        <v>1149</v>
      </c>
      <c r="AI6" s="201">
        <v>0.751938985542</v>
      </c>
      <c r="AK6" s="201" t="s">
        <v>1138</v>
      </c>
    </row>
    <row r="7" spans="2:37" x14ac:dyDescent="0.25">
      <c r="B7" s="201" t="str">
        <f>Summary!A36</f>
        <v>escort</v>
      </c>
      <c r="C7" s="75">
        <f>survey_scaling!M7</f>
        <v>189197.46149001515</v>
      </c>
      <c r="D7" s="75">
        <f>ToursByTourPurpose!R76</f>
        <v>193716</v>
      </c>
      <c r="E7" s="209">
        <f si="3" t="shared"/>
        <v>0.97667441765272434</v>
      </c>
      <c r="F7" s="205"/>
      <c r="G7" s="201">
        <v>300</v>
      </c>
      <c r="H7" s="222" t="s">
        <v>419</v>
      </c>
      <c r="I7" s="226">
        <f si="4" t="shared"/>
        <v>-3.20782328605</v>
      </c>
      <c r="J7" s="227">
        <f si="5" t="shared"/>
        <v>-2.3601929507425953E-2</v>
      </c>
      <c r="K7" s="228">
        <f si="6" t="shared"/>
        <v>-3.2314252155574259</v>
      </c>
      <c r="L7" s="229">
        <f si="7" t="shared"/>
        <v>-3.2314252155574259</v>
      </c>
      <c r="M7" s="94">
        <f si="8" t="shared"/>
        <v>0</v>
      </c>
      <c r="N7" s="201">
        <v>5</v>
      </c>
      <c r="O7" s="201" t="s">
        <v>1150</v>
      </c>
      <c r="T7" s="201">
        <f>DayPatternCoefficients!A15</f>
        <v>105</v>
      </c>
      <c r="U7" s="201" t="str">
        <f>DayPatternCoefficients!B15</f>
        <v>W-UNI</v>
      </c>
      <c r="V7" s="222">
        <f>DayPatternCoefficients!D15</f>
        <v>-2.5142965129700001</v>
      </c>
      <c r="W7" s="223">
        <f>_xlfn.IFNA(VLOOKUP(T7,$K$63:$M$111,3,FALSE),_xlfn.IFNA(VLOOKUP(T7,$G$5:$K$11,5,FALSE),_xlfn.IFNA(IF(VLOOKUP(T7,$G$19:$K$25,4,FALSE)&gt;0,VLOOKUP(T7,$G$19:$K$25,5,FALSE),VLOOKUP(T7,$G$33:$K$39,5,FALSE)),_xlfn.IFNA(VLOOKUP(T7,new_summaries!$V$4:$Y$101,4,FALSE),V7))))</f>
        <v>-2.5142965129700001</v>
      </c>
      <c r="X7" s="201">
        <f si="0" t="shared"/>
        <v>0</v>
      </c>
      <c r="Z7" s="84">
        <f>WorkbasedSubtourGenerationCoeff!B15</f>
        <v>8</v>
      </c>
      <c r="AA7" s="84" t="str">
        <f>WorkbasedSubtourGenerationCoeff!C15</f>
        <v>Beta00008</v>
      </c>
      <c r="AB7" s="224">
        <f>WorkbasedSubtourGenerationCoeff!E15</f>
        <v>-2.299467632007</v>
      </c>
      <c r="AC7" s="225">
        <f si="1" t="shared"/>
        <v>-2.299467632007</v>
      </c>
      <c r="AD7" s="201">
        <f si="2" t="shared"/>
        <v>0</v>
      </c>
      <c r="AG7" s="201">
        <v>5</v>
      </c>
      <c r="AH7" s="201" t="s">
        <v>1152</v>
      </c>
      <c r="AI7" s="201">
        <v>0.75835463608200004</v>
      </c>
      <c r="AK7" s="201" t="s">
        <v>1138</v>
      </c>
    </row>
    <row r="8" spans="2:37" x14ac:dyDescent="0.25">
      <c r="B8" s="201" t="str">
        <f>Summary!A37</f>
        <v>pers.bus</v>
      </c>
      <c r="C8" s="75">
        <f>survey_scaling!M8</f>
        <v>243773.39288810201</v>
      </c>
      <c r="D8" s="75">
        <f>ToursByTourPurpose!R77</f>
        <v>250044</v>
      </c>
      <c r="E8" s="209">
        <f si="3" t="shared"/>
        <v>0.97492198528299823</v>
      </c>
      <c r="F8" s="205"/>
      <c r="G8" s="201">
        <v>400</v>
      </c>
      <c r="H8" s="222" t="s">
        <v>478</v>
      </c>
      <c r="I8" s="226">
        <f si="4" t="shared"/>
        <v>-1.5432299922999999</v>
      </c>
      <c r="J8" s="227">
        <f si="5" t="shared"/>
        <v>-2.5397826280029106E-2</v>
      </c>
      <c r="K8" s="228">
        <f si="6" t="shared"/>
        <v>-1.5686278185800291</v>
      </c>
      <c r="L8" s="229">
        <f si="7" t="shared"/>
        <v>-1.5686278185800291</v>
      </c>
      <c r="M8" s="94">
        <f si="8" t="shared"/>
        <v>0</v>
      </c>
      <c r="T8" s="201">
        <f>DayPatternCoefficients!A16</f>
        <v>106</v>
      </c>
      <c r="U8" s="201" t="str">
        <f>DayPatternCoefficients!B16</f>
        <v>W-DAS</v>
      </c>
      <c r="V8" s="222">
        <f>DayPatternCoefficients!D16</f>
        <v>-3.8295481163199998</v>
      </c>
      <c r="W8" s="223">
        <f>_xlfn.IFNA(VLOOKUP(T8,$K$63:$M$111,3,FALSE),_xlfn.IFNA(VLOOKUP(T8,$G$5:$K$11,5,FALSE),_xlfn.IFNA(IF(VLOOKUP(T8,$G$19:$K$25,4,FALSE)&gt;0,VLOOKUP(T8,$G$19:$K$25,5,FALSE),VLOOKUP(T8,$G$33:$K$39,5,FALSE)),_xlfn.IFNA(VLOOKUP(T8,new_summaries!$V$4:$Y$101,4,FALSE),V8))))</f>
        <v>-3.8295481163199998</v>
      </c>
      <c r="X8" s="201">
        <f si="0" t="shared"/>
        <v>0</v>
      </c>
      <c r="Z8" s="84">
        <f>WorkbasedSubtourGenerationCoeff!B16</f>
        <v>10</v>
      </c>
      <c r="AA8" s="84" t="str">
        <f>WorkbasedSubtourGenerationCoeff!C16</f>
        <v>Beta00010</v>
      </c>
      <c r="AB8" s="224">
        <f>WorkbasedSubtourGenerationCoeff!E16</f>
        <v>-1.0725277546400001</v>
      </c>
      <c r="AC8" s="225">
        <f si="1" t="shared"/>
        <v>-1.0725277546400001</v>
      </c>
      <c r="AD8" s="201">
        <f si="2" t="shared"/>
        <v>0</v>
      </c>
      <c r="AG8" s="201">
        <v>6</v>
      </c>
      <c r="AH8" s="201" t="s">
        <v>1154</v>
      </c>
      <c r="AI8" s="201">
        <v>0.99547769337100001</v>
      </c>
      <c r="AK8" s="201" t="s">
        <v>1138</v>
      </c>
    </row>
    <row r="9" spans="2:37" x14ac:dyDescent="0.25">
      <c r="B9" s="201" t="str">
        <f>Summary!A38</f>
        <v>shop</v>
      </c>
      <c r="C9" s="75">
        <f>survey_scaling!M9</f>
        <v>153022.09437220605</v>
      </c>
      <c r="D9" s="75">
        <f>ToursByTourPurpose!R78</f>
        <v>164317</v>
      </c>
      <c r="E9" s="209">
        <f si="3" t="shared"/>
        <v>0.93126149072954134</v>
      </c>
      <c r="F9" s="205"/>
      <c r="G9" s="201">
        <v>500</v>
      </c>
      <c r="H9" s="222" t="s">
        <v>537</v>
      </c>
      <c r="I9" s="226">
        <f si="4" t="shared"/>
        <v>-1.8946560162599999</v>
      </c>
      <c r="J9" s="227">
        <f si="5" t="shared"/>
        <v>-7.1215170326059438E-2</v>
      </c>
      <c r="K9" s="228">
        <f si="6" t="shared"/>
        <v>-1.9658711865860594</v>
      </c>
      <c r="L9" s="229">
        <f si="7" t="shared"/>
        <v>-1.9658711865860594</v>
      </c>
      <c r="M9" s="94">
        <f si="8" t="shared"/>
        <v>0</v>
      </c>
      <c r="O9" s="78" t="s">
        <v>1155</v>
      </c>
      <c r="T9" s="201">
        <f>DayPatternCoefficients!A17</f>
        <v>109</v>
      </c>
      <c r="U9" s="201" t="str">
        <f>DayPatternCoefficients!B17</f>
        <v>W-VLINC</v>
      </c>
      <c r="V9" s="222">
        <f>DayPatternCoefficients!D17</f>
        <v>0</v>
      </c>
      <c r="W9" s="223">
        <f>_xlfn.IFNA(VLOOKUP(T9,$K$63:$M$111,3,FALSE),_xlfn.IFNA(VLOOKUP(T9,$G$5:$K$11,5,FALSE),_xlfn.IFNA(IF(VLOOKUP(T9,$G$19:$K$25,4,FALSE)&gt;0,VLOOKUP(T9,$G$19:$K$25,5,FALSE),VLOOKUP(T9,$G$33:$K$39,5,FALSE)),_xlfn.IFNA(VLOOKUP(T9,new_summaries!$V$4:$Y$101,4,FALSE),V9))))</f>
        <v>0</v>
      </c>
      <c r="X9" s="201">
        <f si="0" t="shared"/>
        <v>0</v>
      </c>
      <c r="Z9" s="84">
        <f>WorkbasedSubtourGenerationCoeff!B17</f>
        <v>13</v>
      </c>
      <c r="AA9" s="84" t="str">
        <f>WorkbasedSubtourGenerationCoeff!C17</f>
        <v>Beta00013</v>
      </c>
      <c r="AB9" s="224">
        <f>WorkbasedSubtourGenerationCoeff!E17</f>
        <v>-2.2431847091349999</v>
      </c>
      <c r="AC9" s="225">
        <f si="1" t="shared"/>
        <v>-2.2431847091349999</v>
      </c>
      <c r="AD9" s="201">
        <f si="2" t="shared"/>
        <v>0</v>
      </c>
      <c r="AG9" s="201">
        <v>7</v>
      </c>
      <c r="AH9" s="201" t="s">
        <v>1157</v>
      </c>
      <c r="AI9" s="201">
        <v>0.95328729751300001</v>
      </c>
      <c r="AK9" s="201" t="s">
        <v>1138</v>
      </c>
    </row>
    <row r="10" spans="2:37" x14ac:dyDescent="0.25">
      <c r="B10" s="201" t="str">
        <f>Summary!A39</f>
        <v>meal</v>
      </c>
      <c r="C10" s="75">
        <f>survey_scaling!M10</f>
        <v>92869.654233319816</v>
      </c>
      <c r="D10" s="75">
        <f>ToursByTourPurpose!R79</f>
        <v>98329</v>
      </c>
      <c r="E10" s="209">
        <f si="3" t="shared"/>
        <v>0.94447878279368058</v>
      </c>
      <c r="F10" s="205"/>
      <c r="G10" s="201">
        <v>600</v>
      </c>
      <c r="H10" s="222" t="s">
        <v>596</v>
      </c>
      <c r="I10" s="226">
        <f si="4" t="shared"/>
        <v>-2.06583195268</v>
      </c>
      <c r="J10" s="227">
        <f si="5" t="shared"/>
        <v>-5.712205624876146E-2</v>
      </c>
      <c r="K10" s="228">
        <f si="6" t="shared"/>
        <v>-2.1229540089287613</v>
      </c>
      <c r="L10" s="229">
        <f si="7" t="shared"/>
        <v>-2.1229540089287613</v>
      </c>
      <c r="M10" s="94">
        <f si="8" t="shared"/>
        <v>0</v>
      </c>
      <c r="N10" s="201">
        <v>1</v>
      </c>
      <c r="O10" s="31" t="s">
        <v>1135</v>
      </c>
      <c r="T10" s="201">
        <f>DayPatternCoefficients!A18</f>
        <v>110</v>
      </c>
      <c r="U10" s="201" t="str">
        <f>DayPatternCoefficients!B18</f>
        <v>W-LOINC</v>
      </c>
      <c r="V10" s="222">
        <f>DayPatternCoefficients!D18</f>
        <v>0</v>
      </c>
      <c r="W10" s="223">
        <f>_xlfn.IFNA(VLOOKUP(T10,$K$63:$M$111,3,FALSE),_xlfn.IFNA(VLOOKUP(T10,$G$5:$K$11,5,FALSE),_xlfn.IFNA(IF(VLOOKUP(T10,$G$19:$K$25,4,FALSE)&gt;0,VLOOKUP(T10,$G$19:$K$25,5,FALSE),VLOOKUP(T10,$G$33:$K$39,5,FALSE)),_xlfn.IFNA(VLOOKUP(T10,new_summaries!$V$4:$Y$101,4,FALSE),V10))))</f>
        <v>0</v>
      </c>
      <c r="X10" s="201">
        <f si="0" t="shared"/>
        <v>0</v>
      </c>
      <c r="Z10" s="201">
        <f>WorkbasedSubtourGenerationCoeff!B18</f>
        <v>15</v>
      </c>
      <c r="AA10" s="201" t="str">
        <f>WorkbasedSubtourGenerationCoeff!C18</f>
        <v>Beta00015</v>
      </c>
      <c r="AB10" s="230">
        <f>WorkbasedSubtourGenerationCoeff!E18</f>
        <v>1.5746620251300001</v>
      </c>
      <c r="AC10" s="225">
        <f ref="AC10:AC17" si="9" t="shared">AB10</f>
        <v>1.5746620251300001</v>
      </c>
      <c r="AD10" s="201">
        <f si="2" t="shared"/>
        <v>0</v>
      </c>
      <c r="AG10" s="201">
        <v>8</v>
      </c>
      <c r="AH10" s="201" t="s">
        <v>1159</v>
      </c>
      <c r="AI10" s="201">
        <v>1.0428398506300001</v>
      </c>
      <c r="AK10" s="201" t="s">
        <v>1138</v>
      </c>
    </row>
    <row customHeight="1" ht="14.65" r="11" spans="2:37" thickBot="1" x14ac:dyDescent="0.3">
      <c r="B11" s="201" t="str">
        <f>Summary!A40</f>
        <v>soc/rec</v>
      </c>
      <c r="C11" s="75">
        <f>survey_scaling!M11</f>
        <v>216838.63017546618</v>
      </c>
      <c r="D11" s="75">
        <f>ToursByTourPurpose!R80</f>
        <v>224720</v>
      </c>
      <c r="E11" s="209">
        <f si="3" t="shared"/>
        <v>0.96492804456864623</v>
      </c>
      <c r="F11" s="205"/>
      <c r="G11" s="74">
        <v>700</v>
      </c>
      <c r="H11" s="231" t="s">
        <v>655</v>
      </c>
      <c r="I11" s="232">
        <f si="4" t="shared"/>
        <v>-1.2801669037600001</v>
      </c>
      <c r="J11" s="233">
        <f si="5" t="shared"/>
        <v>-3.5701745637112994E-2</v>
      </c>
      <c r="K11" s="234">
        <f si="6" t="shared"/>
        <v>-1.315868649397113</v>
      </c>
      <c r="L11" s="235">
        <f si="7" t="shared"/>
        <v>-1.315868649397113</v>
      </c>
      <c r="M11" s="95">
        <f si="8" t="shared"/>
        <v>0</v>
      </c>
      <c r="N11" s="201">
        <v>2</v>
      </c>
      <c r="O11" s="201" t="s">
        <v>1160</v>
      </c>
      <c r="T11" s="201">
        <f>DayPatternCoefficients!A19</f>
        <v>111</v>
      </c>
      <c r="U11" s="201" t="str">
        <f>DayPatternCoefficients!B19</f>
        <v>W-HIINC</v>
      </c>
      <c r="V11" s="222">
        <f>DayPatternCoefficients!D19</f>
        <v>8.8907504740000004E-2</v>
      </c>
      <c r="W11" s="223">
        <f>_xlfn.IFNA(VLOOKUP(T11,$K$63:$M$111,3,FALSE),_xlfn.IFNA(VLOOKUP(T11,$G$5:$K$11,5,FALSE),_xlfn.IFNA(IF(VLOOKUP(T11,$G$19:$K$25,4,FALSE)&gt;0,VLOOKUP(T11,$G$19:$K$25,5,FALSE),VLOOKUP(T11,$G$33:$K$39,5,FALSE)),_xlfn.IFNA(VLOOKUP(T11,new_summaries!$V$4:$Y$101,4,FALSE),V11))))</f>
        <v>8.8907504740000004E-2</v>
      </c>
      <c r="X11" s="201">
        <f si="0" t="shared"/>
        <v>0</v>
      </c>
      <c r="Z11" s="201">
        <f>WorkbasedSubtourGenerationCoeff!B19</f>
        <v>16</v>
      </c>
      <c r="AA11" s="201" t="str">
        <f>WorkbasedSubtourGenerationCoeff!C19</f>
        <v>Beta00016</v>
      </c>
      <c r="AB11" s="230">
        <f>WorkbasedSubtourGenerationCoeff!E19</f>
        <v>0.37706326152399999</v>
      </c>
      <c r="AC11" s="225">
        <f si="9" t="shared"/>
        <v>0.37706326152399999</v>
      </c>
      <c r="AD11" s="201">
        <f si="2" t="shared"/>
        <v>0</v>
      </c>
      <c r="AG11" s="201">
        <v>9</v>
      </c>
      <c r="AH11" s="201" t="s">
        <v>1162</v>
      </c>
      <c r="AI11" s="201">
        <v>0.32698344901800003</v>
      </c>
      <c r="AK11" s="201" t="s">
        <v>1138</v>
      </c>
    </row>
    <row r="12" spans="2:37" x14ac:dyDescent="0.25">
      <c r="B12" s="72" t="str">
        <f>Summary!A41</f>
        <v>workbased</v>
      </c>
      <c r="C12" s="81">
        <f>survey_scaling!M12</f>
        <v>108770.43691387697</v>
      </c>
      <c r="D12" s="81">
        <f>ToursByTourPurpose!R81</f>
        <v>104201</v>
      </c>
      <c r="E12" s="210"/>
      <c r="M12" s="202">
        <f>SUM(M5:M11)</f>
        <v>0</v>
      </c>
      <c r="N12" s="201">
        <v>3</v>
      </c>
      <c r="O12" s="201" t="s">
        <v>1163</v>
      </c>
      <c r="T12" s="201">
        <f>DayPatternCoefficients!A20</f>
        <v>112</v>
      </c>
      <c r="U12" s="201" t="str">
        <f>DayPatternCoefficients!B20</f>
        <v>W-CARSPD</v>
      </c>
      <c r="V12" s="222">
        <f>DayPatternCoefficients!D20</f>
        <v>0</v>
      </c>
      <c r="W12" s="223">
        <f>_xlfn.IFNA(VLOOKUP(T12,$K$63:$M$111,3,FALSE),_xlfn.IFNA(VLOOKUP(T12,$G$5:$K$11,5,FALSE),_xlfn.IFNA(IF(VLOOKUP(T12,$G$19:$K$25,4,FALSE)&gt;0,VLOOKUP(T12,$G$19:$K$25,5,FALSE),VLOOKUP(T12,$G$33:$K$39,5,FALSE)),_xlfn.IFNA(VLOOKUP(T12,new_summaries!$V$4:$Y$101,4,FALSE),V12))))</f>
        <v>0</v>
      </c>
      <c r="X12" s="201">
        <f si="0" t="shared"/>
        <v>0</v>
      </c>
      <c r="Z12" s="201">
        <f>WorkbasedSubtourGenerationCoeff!B20</f>
        <v>18</v>
      </c>
      <c r="AA12" s="201" t="str">
        <f>WorkbasedSubtourGenerationCoeff!C20</f>
        <v>Beta00018</v>
      </c>
      <c r="AB12" s="230">
        <f>WorkbasedSubtourGenerationCoeff!E20</f>
        <v>0.735525734682</v>
      </c>
      <c r="AC12" s="225">
        <f si="9" t="shared"/>
        <v>0.735525734682</v>
      </c>
      <c r="AD12" s="201">
        <f si="2" t="shared"/>
        <v>0</v>
      </c>
      <c r="AG12" s="201">
        <v>10</v>
      </c>
      <c r="AH12" s="201" t="s">
        <v>1165</v>
      </c>
      <c r="AI12" s="70">
        <v>-4.97436549984E-2</v>
      </c>
      <c r="AK12" s="201" t="s">
        <v>1138</v>
      </c>
    </row>
    <row customHeight="1" ht="14.65" r="13" spans="2:37" thickBot="1" x14ac:dyDescent="0.3">
      <c r="B13" s="74" t="str">
        <f>Summary!A42</f>
        <v>Total</v>
      </c>
      <c r="C13" s="80">
        <f>SUM(C5:C12)</f>
        <v>1922681.4271791675</v>
      </c>
      <c r="D13" s="80">
        <f>SUM(D5:D12)</f>
        <v>1941575</v>
      </c>
      <c r="E13" s="211"/>
      <c r="F13" s="236"/>
      <c r="N13" s="201">
        <v>4</v>
      </c>
      <c r="O13" s="201" t="s">
        <v>1166</v>
      </c>
      <c r="T13" s="201">
        <f>DayPatternCoefficients!A21</f>
        <v>113</v>
      </c>
      <c r="U13" s="201" t="str">
        <f>DayPatternCoefficients!B21</f>
        <v>W-ONLYAD</v>
      </c>
      <c r="V13" s="222">
        <f>DayPatternCoefficients!D21</f>
        <v>0</v>
      </c>
      <c r="W13" s="223">
        <f>_xlfn.IFNA(VLOOKUP(T13,$K$63:$M$111,3,FALSE),_xlfn.IFNA(VLOOKUP(T13,$G$5:$K$11,5,FALSE),_xlfn.IFNA(IF(VLOOKUP(T13,$G$19:$K$25,4,FALSE)&gt;0,VLOOKUP(T13,$G$19:$K$25,5,FALSE),VLOOKUP(T13,$G$33:$K$39,5,FALSE)),_xlfn.IFNA(VLOOKUP(T13,new_summaries!$V$4:$Y$101,4,FALSE),V13))))</f>
        <v>0</v>
      </c>
      <c r="X13" s="201">
        <f si="0" t="shared"/>
        <v>0</v>
      </c>
      <c r="Z13" s="201">
        <f>WorkbasedSubtourGenerationCoeff!B21</f>
        <v>22</v>
      </c>
      <c r="AA13" s="201" t="str">
        <f>WorkbasedSubtourGenerationCoeff!C21</f>
        <v>Beta00022</v>
      </c>
      <c r="AB13" s="230">
        <f>WorkbasedSubtourGenerationCoeff!E21</f>
        <v>2.8900644071999999E-2</v>
      </c>
      <c r="AC13" s="225">
        <f si="9" t="shared"/>
        <v>2.8900644071999999E-2</v>
      </c>
      <c r="AD13" s="201">
        <f si="2" t="shared"/>
        <v>0</v>
      </c>
      <c r="AG13" s="201">
        <v>11</v>
      </c>
      <c r="AH13" s="201" t="s">
        <v>1168</v>
      </c>
      <c r="AI13" s="201">
        <v>0.97584168442800001</v>
      </c>
      <c r="AK13" s="201" t="s">
        <v>1138</v>
      </c>
    </row>
    <row r="14" spans="2:37" x14ac:dyDescent="0.25">
      <c r="N14" s="201">
        <v>5</v>
      </c>
      <c r="O14" s="201" t="s">
        <v>1169</v>
      </c>
      <c r="T14" s="201">
        <f>DayPatternCoefficients!A22</f>
        <v>114</v>
      </c>
      <c r="U14" s="201" t="str">
        <f>DayPatternCoefficients!B22</f>
        <v>W-ONLYWK</v>
      </c>
      <c r="V14" s="222">
        <f>DayPatternCoefficients!D22</f>
        <v>0</v>
      </c>
      <c r="W14" s="223">
        <f>_xlfn.IFNA(VLOOKUP(T14,$K$63:$M$111,3,FALSE),_xlfn.IFNA(VLOOKUP(T14,$G$5:$K$11,5,FALSE),_xlfn.IFNA(IF(VLOOKUP(T14,$G$19:$K$25,4,FALSE)&gt;0,VLOOKUP(T14,$G$19:$K$25,5,FALSE),VLOOKUP(T14,$G$33:$K$39,5,FALSE)),_xlfn.IFNA(VLOOKUP(T14,new_summaries!$V$4:$Y$101,4,FALSE),V14))))</f>
        <v>0</v>
      </c>
      <c r="X14" s="201">
        <f si="0" t="shared"/>
        <v>0</v>
      </c>
      <c r="Z14" s="201">
        <f>WorkbasedSubtourGenerationCoeff!B22</f>
        <v>23</v>
      </c>
      <c r="AA14" s="201" t="str">
        <f>WorkbasedSubtourGenerationCoeff!C22</f>
        <v>Beta00023</v>
      </c>
      <c r="AB14" s="230">
        <f>WorkbasedSubtourGenerationCoeff!E22</f>
        <v>2.8305073313000001E-2</v>
      </c>
      <c r="AC14" s="225">
        <f si="9" t="shared"/>
        <v>2.8305073313000001E-2</v>
      </c>
      <c r="AD14" s="201">
        <f si="2" t="shared"/>
        <v>0</v>
      </c>
      <c r="AG14" s="201">
        <v>12</v>
      </c>
      <c r="AH14" s="201" t="s">
        <v>1171</v>
      </c>
      <c r="AI14" s="201">
        <v>0.17427614586599999</v>
      </c>
      <c r="AK14" s="201" t="s">
        <v>1138</v>
      </c>
    </row>
    <row r="15" spans="2:37" x14ac:dyDescent="0.25">
      <c r="N15" s="201">
        <v>6</v>
      </c>
      <c r="O15" s="201" t="s">
        <v>1172</v>
      </c>
      <c r="T15" s="201">
        <f>DayPatternCoefficients!A23</f>
        <v>116</v>
      </c>
      <c r="U15" s="201" t="str">
        <f>DayPatternCoefficients!B23</f>
        <v>W-FEMNOC</v>
      </c>
      <c r="V15" s="222">
        <f>DayPatternCoefficients!D23</f>
        <v>8.3424060300000005E-2</v>
      </c>
      <c r="W15" s="223">
        <f>_xlfn.IFNA(VLOOKUP(T15,$K$63:$M$111,3,FALSE),_xlfn.IFNA(VLOOKUP(T15,$G$5:$K$11,5,FALSE),_xlfn.IFNA(IF(VLOOKUP(T15,$G$19:$K$25,4,FALSE)&gt;0,VLOOKUP(T15,$G$19:$K$25,5,FALSE),VLOOKUP(T15,$G$33:$K$39,5,FALSE)),_xlfn.IFNA(VLOOKUP(T15,new_summaries!$V$4:$Y$101,4,FALSE),V15))))</f>
        <v>8.3424060300000005E-2</v>
      </c>
      <c r="X15" s="201">
        <f si="0" t="shared"/>
        <v>0</v>
      </c>
      <c r="Z15" s="201">
        <f>WorkbasedSubtourGenerationCoeff!B23</f>
        <v>32</v>
      </c>
      <c r="AA15" s="201" t="str">
        <f>WorkbasedSubtourGenerationCoeff!C23</f>
        <v>Beta00032</v>
      </c>
      <c r="AB15" s="230">
        <f>WorkbasedSubtourGenerationCoeff!E23</f>
        <v>-5.5020049286000003E-2</v>
      </c>
      <c r="AC15" s="225">
        <f si="9" t="shared"/>
        <v>-5.5020049286000003E-2</v>
      </c>
      <c r="AD15" s="201">
        <f si="2" t="shared"/>
        <v>0</v>
      </c>
      <c r="AG15" s="201">
        <v>16</v>
      </c>
      <c r="AH15" s="201" t="s">
        <v>1174</v>
      </c>
      <c r="AI15" s="201">
        <v>0.106206083683</v>
      </c>
      <c r="AK15" s="201" t="s">
        <v>1138</v>
      </c>
    </row>
    <row r="16" spans="2:37" x14ac:dyDescent="0.25">
      <c r="B16" s="78" t="s">
        <v>1175</v>
      </c>
      <c r="D16" s="212" t="s">
        <v>1176</v>
      </c>
      <c r="G16" s="78" t="s">
        <v>1177</v>
      </c>
      <c r="H16" s="202" t="s">
        <v>1129</v>
      </c>
      <c r="I16" s="214">
        <v>0</v>
      </c>
      <c r="N16" s="201">
        <v>7</v>
      </c>
      <c r="O16" s="201" t="s">
        <v>1147</v>
      </c>
      <c r="T16" s="201">
        <f>DayPatternCoefficients!A24</f>
        <v>117</v>
      </c>
      <c r="U16" s="201" t="str">
        <f>DayPatternCoefficients!B24</f>
        <v>W-FADCU5</v>
      </c>
      <c r="V16" s="222">
        <f>DayPatternCoefficients!D24</f>
        <v>-0.36733346327999999</v>
      </c>
      <c r="W16" s="223">
        <f>_xlfn.IFNA(VLOOKUP(T16,$K$63:$M$111,3,FALSE),_xlfn.IFNA(VLOOKUP(T16,$G$5:$K$11,5,FALSE),_xlfn.IFNA(IF(VLOOKUP(T16,$G$19:$K$25,4,FALSE)&gt;0,VLOOKUP(T16,$G$19:$K$25,5,FALSE),VLOOKUP(T16,$G$33:$K$39,5,FALSE)),_xlfn.IFNA(VLOOKUP(T16,new_summaries!$V$4:$Y$101,4,FALSE),V16))))</f>
        <v>-0.36733346327999999</v>
      </c>
      <c r="X16" s="201">
        <f si="0" t="shared"/>
        <v>0</v>
      </c>
      <c r="Z16" s="201">
        <f>WorkbasedSubtourGenerationCoeff!B24</f>
        <v>39</v>
      </c>
      <c r="AA16" s="201" t="str">
        <f>WorkbasedSubtourGenerationCoeff!C24</f>
        <v>Beta00039</v>
      </c>
      <c r="AB16" s="230">
        <f>WorkbasedSubtourGenerationCoeff!E24</f>
        <v>0.11888357382299999</v>
      </c>
      <c r="AC16" s="225">
        <f si="9" t="shared"/>
        <v>0.11888357382299999</v>
      </c>
      <c r="AD16" s="201">
        <f si="2" t="shared"/>
        <v>0</v>
      </c>
      <c r="AG16" s="201">
        <v>17</v>
      </c>
      <c r="AH16" s="201" t="s">
        <v>1179</v>
      </c>
      <c r="AI16" s="201">
        <v>-0.86772791392500004</v>
      </c>
      <c r="AK16" s="201" t="s">
        <v>1138</v>
      </c>
    </row>
    <row customHeight="1" ht="14.65" r="17" spans="1:37" thickBot="1" x14ac:dyDescent="0.3">
      <c r="B17" s="74"/>
      <c r="C17" s="74"/>
      <c r="D17" s="74"/>
      <c r="E17" s="74"/>
      <c r="G17" s="83" t="s">
        <v>1134</v>
      </c>
      <c r="H17" s="74"/>
      <c r="I17" s="74"/>
      <c r="J17" s="74"/>
      <c r="K17" s="74"/>
      <c r="L17" s="74"/>
      <c r="M17" s="74"/>
      <c r="N17" s="201">
        <v>8</v>
      </c>
      <c r="O17" s="201" t="s">
        <v>1180</v>
      </c>
      <c r="T17" s="201">
        <f>DayPatternCoefficients!A25</f>
        <v>118</v>
      </c>
      <c r="U17" s="201" t="str">
        <f>DayPatternCoefficients!B25</f>
        <v>W-FAD515</v>
      </c>
      <c r="V17" s="222">
        <f>DayPatternCoefficients!D25</f>
        <v>0</v>
      </c>
      <c r="W17" s="223">
        <f>_xlfn.IFNA(VLOOKUP(T17,$K$63:$M$111,3,FALSE),_xlfn.IFNA(VLOOKUP(T17,$G$5:$K$11,5,FALSE),_xlfn.IFNA(IF(VLOOKUP(T17,$G$19:$K$25,4,FALSE)&gt;0,VLOOKUP(T17,$G$19:$K$25,5,FALSE),VLOOKUP(T17,$G$33:$K$39,5,FALSE)),_xlfn.IFNA(VLOOKUP(T17,new_summaries!$V$4:$Y$101,4,FALSE),V17))))</f>
        <v>0</v>
      </c>
      <c r="X17" s="201">
        <f si="0" t="shared"/>
        <v>0</v>
      </c>
      <c r="Z17" s="201">
        <f>WorkbasedSubtourGenerationCoeff!B25</f>
        <v>50</v>
      </c>
      <c r="AA17" s="201" t="str">
        <f>WorkbasedSubtourGenerationCoeff!C25</f>
        <v>Theta0050</v>
      </c>
      <c r="AB17" s="230">
        <f>WorkbasedSubtourGenerationCoeff!E25</f>
        <v>1.3366248075</v>
      </c>
      <c r="AC17" s="225">
        <f si="9" t="shared"/>
        <v>1.3366248075</v>
      </c>
      <c r="AD17" s="201">
        <f si="2" t="shared"/>
        <v>0</v>
      </c>
      <c r="AG17" s="201">
        <v>33</v>
      </c>
      <c r="AH17" s="201" t="s">
        <v>1181</v>
      </c>
      <c r="AI17" s="201">
        <v>-3.35946120388</v>
      </c>
      <c r="AK17" s="201" t="s">
        <v>1182</v>
      </c>
    </row>
    <row r="18" spans="1:37" x14ac:dyDescent="0.25">
      <c r="B18" s="71" t="str">
        <f>B4</f>
        <v>Purpose</v>
      </c>
      <c r="C18" s="91" t="str">
        <f>C4</f>
        <v>ExpandSurv</v>
      </c>
      <c r="D18" s="91" t="str">
        <f>D4</f>
        <v>Model</v>
      </c>
      <c r="E18" s="91" t="str">
        <f>E4</f>
        <v>Ratio</v>
      </c>
      <c r="F18" s="204" t="s">
        <v>1117</v>
      </c>
      <c r="G18" s="71" t="s">
        <v>306</v>
      </c>
      <c r="H18" s="71" t="s">
        <v>307</v>
      </c>
      <c r="I18" s="93" t="s">
        <v>1105</v>
      </c>
      <c r="J18" s="71" t="s">
        <v>1106</v>
      </c>
      <c r="K18" s="99" t="s">
        <v>1107</v>
      </c>
      <c r="L18" s="96" t="s">
        <v>1139</v>
      </c>
      <c r="M18" s="96" t="s">
        <v>1140</v>
      </c>
      <c r="T18" s="201">
        <f>DayPatternCoefficients!A26</f>
        <v>119</v>
      </c>
      <c r="U18" s="201" t="str">
        <f>DayPatternCoefficients!B26</f>
        <v>W-MADCU5</v>
      </c>
      <c r="V18" s="222">
        <f>DayPatternCoefficients!D26</f>
        <v>0</v>
      </c>
      <c r="W18" s="223">
        <f>_xlfn.IFNA(VLOOKUP(T18,$K$63:$M$111,3,FALSE),_xlfn.IFNA(VLOOKUP(T18,$G$5:$K$11,5,FALSE),_xlfn.IFNA(IF(VLOOKUP(T18,$G$19:$K$25,4,FALSE)&gt;0,VLOOKUP(T18,$G$19:$K$25,5,FALSE),VLOOKUP(T18,$G$33:$K$39,5,FALSE)),_xlfn.IFNA(VLOOKUP(T18,new_summaries!$V$4:$Y$101,4,FALSE),V18))))</f>
        <v>0</v>
      </c>
      <c r="X18" s="201">
        <f si="0" t="shared"/>
        <v>0</v>
      </c>
      <c r="AG18" s="201">
        <v>34</v>
      </c>
      <c r="AH18" s="201" t="s">
        <v>1181</v>
      </c>
      <c r="AI18" s="201">
        <v>-0.91027883769600004</v>
      </c>
      <c r="AK18" s="201" t="s">
        <v>1183</v>
      </c>
    </row>
    <row r="19" spans="1:37" x14ac:dyDescent="0.25">
      <c r="A19" s="201">
        <v>1</v>
      </c>
      <c r="B19" s="201" t="str">
        <f ref="B19:B25" si="10" t="shared">B5</f>
        <v>work</v>
      </c>
      <c r="C19" s="75">
        <f>StopsByStopPurpose!K5*survey_scaling!$M$44</f>
        <v>150957.9095244059</v>
      </c>
      <c r="D19" s="75">
        <f>StopsByStopPurpose!W5</f>
        <v>166603</v>
      </c>
      <c r="E19" s="205">
        <f ref="E19:E25" si="11" t="shared">(C19)/(D19)</f>
        <v>0.90609358489586567</v>
      </c>
      <c r="F19" s="138">
        <f ref="F19:F25" si="12" t="shared">$I$16</f>
        <v>0</v>
      </c>
      <c r="G19" s="201">
        <v>101</v>
      </c>
      <c r="H19" s="222" t="s">
        <v>314</v>
      </c>
      <c r="I19" s="226">
        <f ref="I19:I25" si="13" t="shared">VLOOKUP(G19,$T$3:$V$352,3,FALSE)</f>
        <v>3.6928987586500002</v>
      </c>
      <c r="J19" s="227">
        <f ref="J19:J25" si="14" t="shared">$F19*LN(E19)</f>
        <v>0</v>
      </c>
      <c r="K19" s="228">
        <f ref="K19:K25" si="15" t="shared">I19+J19</f>
        <v>3.6928987586500002</v>
      </c>
      <c r="L19" s="229">
        <f ref="L19:L25" si="16" t="shared">VLOOKUP(G19,$T$3:$W$352,4,FALSE)</f>
        <v>3.6928987586500002</v>
      </c>
      <c r="M19" s="94">
        <f ref="M19:M25" si="17" t="shared">IF(K19=L19,0,1)</f>
        <v>0</v>
      </c>
      <c r="N19" s="78" t="s">
        <v>1126</v>
      </c>
      <c r="T19" s="201">
        <f>DayPatternCoefficients!A27</f>
        <v>120</v>
      </c>
      <c r="U19" s="201" t="str">
        <f>DayPatternCoefficients!B27</f>
        <v>W-MAD515</v>
      </c>
      <c r="V19" s="222">
        <f>DayPatternCoefficients!D27</f>
        <v>0</v>
      </c>
      <c r="W19" s="223">
        <f>_xlfn.IFNA(VLOOKUP(T19,$K$63:$M$111,3,FALSE),_xlfn.IFNA(VLOOKUP(T19,$G$5:$K$11,5,FALSE),_xlfn.IFNA(IF(VLOOKUP(T19,$G$19:$K$25,4,FALSE)&gt;0,VLOOKUP(T19,$G$19:$K$25,5,FALSE),VLOOKUP(T19,$G$33:$K$39,5,FALSE)),_xlfn.IFNA(VLOOKUP(T19,new_summaries!$V$4:$Y$101,4,FALSE),V19))))</f>
        <v>0</v>
      </c>
      <c r="X19" s="201">
        <f si="0" t="shared"/>
        <v>0</v>
      </c>
      <c r="AG19" s="201">
        <v>35</v>
      </c>
      <c r="AH19" s="201" t="s">
        <v>1181</v>
      </c>
      <c r="AI19" s="201">
        <v>-1.36681198819</v>
      </c>
      <c r="AK19" s="201" t="s">
        <v>1184</v>
      </c>
    </row>
    <row r="20" spans="1:37" x14ac:dyDescent="0.25">
      <c r="A20" s="201">
        <v>2</v>
      </c>
      <c r="B20" s="201" t="str">
        <f si="10" t="shared"/>
        <v>school</v>
      </c>
      <c r="C20" s="75">
        <f>StopsByStopPurpose!K6*survey_scaling!$M$44</f>
        <v>17274.406480402631</v>
      </c>
      <c r="D20" s="75">
        <f>StopsByStopPurpose!W6</f>
        <v>36104</v>
      </c>
      <c r="E20" s="205">
        <f si="11" t="shared"/>
        <v>0.47846239974525345</v>
      </c>
      <c r="F20" s="138">
        <f si="12" t="shared"/>
        <v>0</v>
      </c>
      <c r="G20" s="201">
        <v>201</v>
      </c>
      <c r="H20" s="222" t="s">
        <v>365</v>
      </c>
      <c r="I20" s="226">
        <f si="13" t="shared"/>
        <v>0.39716470355</v>
      </c>
      <c r="J20" s="227">
        <f si="14" t="shared"/>
        <v>0</v>
      </c>
      <c r="K20" s="228">
        <f si="15" t="shared"/>
        <v>0.39716470355</v>
      </c>
      <c r="L20" s="229">
        <f si="16" t="shared"/>
        <v>0.39716470355</v>
      </c>
      <c r="M20" s="94">
        <f si="17" t="shared"/>
        <v>0</v>
      </c>
      <c r="N20" s="201">
        <v>1</v>
      </c>
      <c r="O20" s="201" t="s">
        <v>1185</v>
      </c>
      <c r="T20" s="201">
        <f>DayPatternCoefficients!A28</f>
        <v>121</v>
      </c>
      <c r="U20" s="201" t="str">
        <f>DayPatternCoefficients!B28</f>
        <v>W-AG1825</v>
      </c>
      <c r="V20" s="222">
        <f>DayPatternCoefficients!D28</f>
        <v>0</v>
      </c>
      <c r="W20" s="223">
        <f>_xlfn.IFNA(VLOOKUP(T20,$K$63:$M$111,3,FALSE),_xlfn.IFNA(VLOOKUP(T20,$G$5:$K$11,5,FALSE),_xlfn.IFNA(IF(VLOOKUP(T20,$G$19:$K$25,4,FALSE)&gt;0,VLOOKUP(T20,$G$19:$K$25,5,FALSE),VLOOKUP(T20,$G$33:$K$39,5,FALSE)),_xlfn.IFNA(VLOOKUP(T20,new_summaries!$V$4:$Y$101,4,FALSE),V20))))</f>
        <v>0</v>
      </c>
      <c r="X20" s="201">
        <f si="0" t="shared"/>
        <v>0</v>
      </c>
      <c r="AG20" s="201">
        <v>36</v>
      </c>
      <c r="AH20" s="201" t="s">
        <v>1181</v>
      </c>
      <c r="AI20" s="201">
        <v>-0.91192691386699998</v>
      </c>
      <c r="AK20" s="201" t="s">
        <v>1186</v>
      </c>
    </row>
    <row r="21" spans="1:37" x14ac:dyDescent="0.25">
      <c r="A21" s="201">
        <v>3</v>
      </c>
      <c r="B21" s="201" t="str">
        <f si="10" t="shared"/>
        <v>escort</v>
      </c>
      <c r="C21" s="75">
        <f>StopsByStopPurpose!K7*survey_scaling!$M$44</f>
        <v>250973.42411968741</v>
      </c>
      <c r="D21" s="75">
        <f>StopsByStopPurpose!W7</f>
        <v>210058</v>
      </c>
      <c r="E21" s="205">
        <f si="11" t="shared"/>
        <v>1.1947815561401489</v>
      </c>
      <c r="F21" s="138">
        <f si="12" t="shared"/>
        <v>0</v>
      </c>
      <c r="G21" s="201">
        <v>301</v>
      </c>
      <c r="H21" s="222" t="s">
        <v>421</v>
      </c>
      <c r="I21" s="226">
        <f si="13" t="shared"/>
        <v>-0.40483252988000001</v>
      </c>
      <c r="J21" s="227">
        <f si="14" t="shared"/>
        <v>0</v>
      </c>
      <c r="K21" s="228">
        <f si="15" t="shared"/>
        <v>-0.40483252988000001</v>
      </c>
      <c r="L21" s="229">
        <f si="16" t="shared"/>
        <v>-0.40483252988000001</v>
      </c>
      <c r="M21" s="94">
        <f si="17" t="shared"/>
        <v>0</v>
      </c>
      <c r="N21" s="201">
        <v>2</v>
      </c>
      <c r="O21" s="201" t="s">
        <v>1187</v>
      </c>
      <c r="T21" s="201">
        <f>DayPatternCoefficients!A29</f>
        <v>122</v>
      </c>
      <c r="U21" s="201" t="str">
        <f>DayPatternCoefficients!B29</f>
        <v>W-AG2635</v>
      </c>
      <c r="V21" s="222">
        <f>DayPatternCoefficients!D29</f>
        <v>0</v>
      </c>
      <c r="W21" s="223">
        <f>_xlfn.IFNA(VLOOKUP(T21,$K$63:$M$111,3,FALSE),_xlfn.IFNA(VLOOKUP(T21,$G$5:$K$11,5,FALSE),_xlfn.IFNA(IF(VLOOKUP(T21,$G$19:$K$25,4,FALSE)&gt;0,VLOOKUP(T21,$G$19:$K$25,5,FALSE),VLOOKUP(T21,$G$33:$K$39,5,FALSE)),_xlfn.IFNA(VLOOKUP(T21,new_summaries!$V$4:$Y$101,4,FALSE),V21))))</f>
        <v>0</v>
      </c>
      <c r="X21" s="201">
        <f si="0" t="shared"/>
        <v>0</v>
      </c>
      <c r="AG21" s="201">
        <v>37</v>
      </c>
      <c r="AH21" s="201" t="s">
        <v>1181</v>
      </c>
      <c r="AI21" s="201">
        <v>-0.51005943175099999</v>
      </c>
      <c r="AK21" s="201" t="s">
        <v>1188</v>
      </c>
    </row>
    <row r="22" spans="1:37" x14ac:dyDescent="0.25">
      <c r="A22" s="201">
        <v>4</v>
      </c>
      <c r="B22" s="201" t="str">
        <f si="10" t="shared"/>
        <v>pers.bus</v>
      </c>
      <c r="C22" s="75">
        <f>StopsByStopPurpose!K8*survey_scaling!$M$44</f>
        <v>469861.64370062802</v>
      </c>
      <c r="D22" s="75">
        <f>StopsByStopPurpose!W8</f>
        <v>468076</v>
      </c>
      <c r="E22" s="205">
        <f si="11" t="shared"/>
        <v>1.0038148584858613</v>
      </c>
      <c r="F22" s="138">
        <f si="12" t="shared"/>
        <v>0</v>
      </c>
      <c r="G22" s="201">
        <v>401</v>
      </c>
      <c r="H22" s="222" t="s">
        <v>480</v>
      </c>
      <c r="I22" s="226">
        <f si="13" t="shared"/>
        <v>3.31854492639</v>
      </c>
      <c r="J22" s="227">
        <f si="14" t="shared"/>
        <v>0</v>
      </c>
      <c r="K22" s="228">
        <f si="15" t="shared"/>
        <v>3.31854492639</v>
      </c>
      <c r="L22" s="229">
        <f si="16" t="shared"/>
        <v>3.31854492639</v>
      </c>
      <c r="M22" s="94">
        <f si="17" t="shared"/>
        <v>0</v>
      </c>
      <c r="N22" s="201">
        <v>3</v>
      </c>
      <c r="O22" s="201" t="s">
        <v>1189</v>
      </c>
      <c r="T22" s="201">
        <f>DayPatternCoefficients!A30</f>
        <v>123</v>
      </c>
      <c r="U22" s="201" t="str">
        <f>DayPatternCoefficients!B30</f>
        <v>W-AG5165</v>
      </c>
      <c r="V22" s="222">
        <f>DayPatternCoefficients!D30</f>
        <v>0</v>
      </c>
      <c r="W22" s="223">
        <f>_xlfn.IFNA(VLOOKUP(T22,$K$63:$M$111,3,FALSE),_xlfn.IFNA(VLOOKUP(T22,$G$5:$K$11,5,FALSE),_xlfn.IFNA(IF(VLOOKUP(T22,$G$19:$K$25,4,FALSE)&gt;0,VLOOKUP(T22,$G$19:$K$25,5,FALSE),VLOOKUP(T22,$G$33:$K$39,5,FALSE)),_xlfn.IFNA(VLOOKUP(T22,new_summaries!$V$4:$Y$101,4,FALSE),V22))))</f>
        <v>0</v>
      </c>
      <c r="X22" s="201">
        <f si="0" t="shared"/>
        <v>0</v>
      </c>
      <c r="AG22" s="201">
        <v>38</v>
      </c>
      <c r="AH22" s="201" t="s">
        <v>1190</v>
      </c>
      <c r="AI22" s="201">
        <v>-2.0855290326799998</v>
      </c>
      <c r="AK22" s="201" t="s">
        <v>1191</v>
      </c>
    </row>
    <row r="23" spans="1:37" x14ac:dyDescent="0.25">
      <c r="A23" s="201">
        <v>5</v>
      </c>
      <c r="B23" s="201" t="str">
        <f si="10" t="shared"/>
        <v>shop</v>
      </c>
      <c r="C23" s="75">
        <f>StopsByStopPurpose!K9*survey_scaling!$M$44</f>
        <v>328174.88266997377</v>
      </c>
      <c r="D23" s="75">
        <f>StopsByStopPurpose!W9</f>
        <v>335121</v>
      </c>
      <c r="E23" s="205">
        <f si="11" t="shared"/>
        <v>0.97927280794093408</v>
      </c>
      <c r="F23" s="138">
        <f si="12" t="shared"/>
        <v>0</v>
      </c>
      <c r="G23" s="201">
        <v>501</v>
      </c>
      <c r="H23" s="222" t="s">
        <v>539</v>
      </c>
      <c r="I23" s="226">
        <f si="13" t="shared"/>
        <v>2.2010931360999999</v>
      </c>
      <c r="J23" s="227">
        <f si="14" t="shared"/>
        <v>0</v>
      </c>
      <c r="K23" s="228">
        <f si="15" t="shared"/>
        <v>2.2010931360999999</v>
      </c>
      <c r="L23" s="229">
        <f si="16" t="shared"/>
        <v>2.2010931360999999</v>
      </c>
      <c r="M23" s="94">
        <f si="17" t="shared"/>
        <v>0</v>
      </c>
      <c r="N23" s="201">
        <v>4</v>
      </c>
      <c r="O23" s="201" t="s">
        <v>1192</v>
      </c>
      <c r="T23" s="201">
        <f>DayPatternCoefficients!A31</f>
        <v>124</v>
      </c>
      <c r="U23" s="201" t="str">
        <f>DayPatternCoefficients!B31</f>
        <v>W-WAHOME</v>
      </c>
      <c r="V23" s="222">
        <f>DayPatternCoefficients!D31</f>
        <v>-2.1672870261199999</v>
      </c>
      <c r="W23" s="223">
        <f>_xlfn.IFNA(VLOOKUP(T23,$K$63:$M$111,3,FALSE),_xlfn.IFNA(VLOOKUP(T23,$G$5:$K$11,5,FALSE),_xlfn.IFNA(IF(VLOOKUP(T23,$G$19:$K$25,4,FALSE)&gt;0,VLOOKUP(T23,$G$19:$K$25,5,FALSE),VLOOKUP(T23,$G$33:$K$39,5,FALSE)),_xlfn.IFNA(VLOOKUP(T23,new_summaries!$V$4:$Y$101,4,FALSE),V23))))</f>
        <v>-2.1672870261199999</v>
      </c>
      <c r="X23" s="201">
        <f si="0" t="shared"/>
        <v>0</v>
      </c>
      <c r="AG23" s="201">
        <v>39</v>
      </c>
      <c r="AH23" s="201" t="s">
        <v>1193</v>
      </c>
      <c r="AI23" s="201">
        <v>-0.96265564624099997</v>
      </c>
      <c r="AK23" s="201" t="s">
        <v>1194</v>
      </c>
    </row>
    <row r="24" spans="1:37" x14ac:dyDescent="0.25">
      <c r="A24" s="201">
        <v>6</v>
      </c>
      <c r="B24" s="201" t="str">
        <f si="10" t="shared"/>
        <v>meal</v>
      </c>
      <c r="C24" s="75">
        <f>StopsByStopPurpose!K10*survey_scaling!$M$44</f>
        <v>181636.79270017028</v>
      </c>
      <c r="D24" s="75">
        <f>StopsByStopPurpose!W10</f>
        <v>275723</v>
      </c>
      <c r="E24" s="205">
        <f si="11" t="shared"/>
        <v>0.65876547368253746</v>
      </c>
      <c r="F24" s="138">
        <f si="12" t="shared"/>
        <v>0</v>
      </c>
      <c r="G24" s="201">
        <v>601</v>
      </c>
      <c r="H24" s="222" t="s">
        <v>598</v>
      </c>
      <c r="I24" s="226">
        <f si="13" t="shared"/>
        <v>1.6525579475700001</v>
      </c>
      <c r="J24" s="227">
        <f si="14" t="shared"/>
        <v>0</v>
      </c>
      <c r="K24" s="228">
        <f si="15" t="shared"/>
        <v>1.6525579475700001</v>
      </c>
      <c r="L24" s="229">
        <f si="16" t="shared"/>
        <v>1.6525579475700001</v>
      </c>
      <c r="M24" s="94">
        <f si="17" t="shared"/>
        <v>0</v>
      </c>
      <c r="N24" s="201">
        <v>5</v>
      </c>
      <c r="O24" s="201" t="s">
        <v>1195</v>
      </c>
      <c r="T24" s="201">
        <f>DayPatternCoefficients!A32</f>
        <v>125</v>
      </c>
      <c r="U24" s="201" t="str">
        <f>DayPatternCoefficients!B32</f>
        <v>W-MIXDEN</v>
      </c>
      <c r="V24" s="222">
        <f>DayPatternCoefficients!D32</f>
        <v>0</v>
      </c>
      <c r="W24" s="223">
        <f>_xlfn.IFNA(VLOOKUP(T24,$K$63:$M$111,3,FALSE),_xlfn.IFNA(VLOOKUP(T24,$G$5:$K$11,5,FALSE),_xlfn.IFNA(IF(VLOOKUP(T24,$G$19:$K$25,4,FALSE)&gt;0,VLOOKUP(T24,$G$19:$K$25,5,FALSE),VLOOKUP(T24,$G$33:$K$39,5,FALSE)),_xlfn.IFNA(VLOOKUP(T24,new_summaries!$V$4:$Y$101,4,FALSE),V24))))</f>
        <v>0</v>
      </c>
      <c r="X24" s="201">
        <f si="0" t="shared"/>
        <v>0</v>
      </c>
      <c r="AG24" s="201">
        <v>40</v>
      </c>
      <c r="AH24" s="201" t="s">
        <v>1196</v>
      </c>
      <c r="AI24" s="201">
        <v>0.14939280807899999</v>
      </c>
      <c r="AK24" s="201" t="s">
        <v>1138</v>
      </c>
    </row>
    <row customHeight="1" ht="14.65" r="25" spans="1:37" thickBot="1" x14ac:dyDescent="0.3">
      <c r="A25" s="201">
        <v>7</v>
      </c>
      <c r="B25" s="201" t="str">
        <f si="10" t="shared"/>
        <v>soc/rec</v>
      </c>
      <c r="C25" s="75">
        <f>StopsByStopPurpose!K11*survey_scaling!$M$44</f>
        <v>167579.36329497394</v>
      </c>
      <c r="D25" s="75">
        <f>StopsByStopPurpose!W11</f>
        <v>210425</v>
      </c>
      <c r="E25" s="205">
        <f si="11" t="shared"/>
        <v>0.79638523604597333</v>
      </c>
      <c r="F25" s="138">
        <f si="12" t="shared"/>
        <v>0</v>
      </c>
      <c r="G25" s="74">
        <v>701</v>
      </c>
      <c r="H25" s="231" t="s">
        <v>657</v>
      </c>
      <c r="I25" s="232">
        <f si="13" t="shared"/>
        <v>2.0647581169100002</v>
      </c>
      <c r="J25" s="233">
        <f si="14" t="shared"/>
        <v>0</v>
      </c>
      <c r="K25" s="234">
        <f si="15" t="shared"/>
        <v>2.0647581169100002</v>
      </c>
      <c r="L25" s="235">
        <f si="16" t="shared"/>
        <v>2.0647581169100002</v>
      </c>
      <c r="M25" s="95">
        <f si="17" t="shared"/>
        <v>0</v>
      </c>
      <c r="T25" s="201">
        <f>DayPatternCoefficients!A33</f>
        <v>126</v>
      </c>
      <c r="U25" s="201" t="str">
        <f>DayPatternCoefficients!B33</f>
        <v>W-INTDEN</v>
      </c>
      <c r="V25" s="222">
        <f>DayPatternCoefficients!D33</f>
        <v>0</v>
      </c>
      <c r="W25" s="223">
        <f>_xlfn.IFNA(VLOOKUP(T25,$K$63:$M$111,3,FALSE),_xlfn.IFNA(VLOOKUP(T25,$G$5:$K$11,5,FALSE),_xlfn.IFNA(IF(VLOOKUP(T25,$G$19:$K$25,4,FALSE)&gt;0,VLOOKUP(T25,$G$19:$K$25,5,FALSE),VLOOKUP(T25,$G$33:$K$39,5,FALSE)),_xlfn.IFNA(VLOOKUP(T25,new_summaries!$V$4:$Y$101,4,FALSE),V25))))</f>
        <v>0</v>
      </c>
      <c r="X25" s="201">
        <f si="0" t="shared"/>
        <v>0</v>
      </c>
      <c r="AG25" s="201">
        <v>46</v>
      </c>
      <c r="AH25" s="201" t="s">
        <v>1196</v>
      </c>
      <c r="AI25" s="201">
        <v>-1.67372492356</v>
      </c>
      <c r="AK25" s="201" t="s">
        <v>1191</v>
      </c>
    </row>
    <row r="26" spans="1:37" x14ac:dyDescent="0.25">
      <c r="A26" s="201">
        <v>10</v>
      </c>
      <c r="B26" s="72" t="s">
        <v>1197</v>
      </c>
      <c r="C26" s="81"/>
      <c r="D26" s="81"/>
      <c r="E26" s="73"/>
      <c r="F26" s="205"/>
      <c r="G26" s="79"/>
      <c r="H26" s="79"/>
      <c r="M26" s="202">
        <f>SUM(M19:M25)</f>
        <v>0</v>
      </c>
      <c r="T26" s="201">
        <f>DayPatternCoefficients!A34</f>
        <v>127</v>
      </c>
      <c r="U26" s="201" t="str">
        <f>DayPatternCoefficients!B34</f>
        <v>W-ACCLOG</v>
      </c>
      <c r="V26" s="222">
        <f>DayPatternCoefficients!D34</f>
        <v>0.38761782790999999</v>
      </c>
      <c r="W26" s="223">
        <f>_xlfn.IFNA(VLOOKUP(T26,$K$63:$M$111,3,FALSE),_xlfn.IFNA(VLOOKUP(T26,$G$5:$K$11,5,FALSE),_xlfn.IFNA(IF(VLOOKUP(T26,$G$19:$K$25,4,FALSE)&gt;0,VLOOKUP(T26,$G$19:$K$25,5,FALSE),VLOOKUP(T26,$G$33:$K$39,5,FALSE)),_xlfn.IFNA(VLOOKUP(T26,new_summaries!$V$4:$Y$101,4,FALSE),V26))))</f>
        <v>0.38761782790999999</v>
      </c>
      <c r="X26" s="201">
        <f si="0" t="shared"/>
        <v>0</v>
      </c>
      <c r="AG26" s="201">
        <v>49</v>
      </c>
      <c r="AH26" s="201" t="s">
        <v>1198</v>
      </c>
      <c r="AI26" s="201">
        <v>-1.8826581679000001</v>
      </c>
      <c r="AK26" s="201" t="s">
        <v>1184</v>
      </c>
    </row>
    <row customHeight="1" ht="14.65" r="27" spans="1:37" thickBot="1" x14ac:dyDescent="0.3">
      <c r="B27" s="74" t="str">
        <f>B13</f>
        <v>Total</v>
      </c>
      <c r="C27" s="80">
        <f>SUM(C19:C25)</f>
        <v>1566458.4224902422</v>
      </c>
      <c r="D27" s="80">
        <f>SUM(D19:D25)</f>
        <v>1702110</v>
      </c>
      <c r="E27" s="118">
        <f>(C27)/(D27)</f>
        <v>0.9203038713656827</v>
      </c>
      <c r="F27" s="205"/>
      <c r="O27" s="78" t="s">
        <v>1199</v>
      </c>
      <c r="T27" s="201">
        <f>DayPatternCoefficients!A35</f>
        <v>128</v>
      </c>
      <c r="U27" s="201" t="str">
        <f>DayPatternCoefficients!B35</f>
        <v>W-TPASS</v>
      </c>
      <c r="V27" s="222">
        <f>DayPatternCoefficients!D35</f>
        <v>0</v>
      </c>
      <c r="W27" s="223">
        <f>_xlfn.IFNA(VLOOKUP(T27,$K$63:$M$111,3,FALSE),_xlfn.IFNA(VLOOKUP(T27,$G$5:$K$11,5,FALSE),_xlfn.IFNA(IF(VLOOKUP(T27,$G$19:$K$25,4,FALSE)&gt;0,VLOOKUP(T27,$G$19:$K$25,5,FALSE),VLOOKUP(T27,$G$33:$K$39,5,FALSE)),_xlfn.IFNA(VLOOKUP(T27,new_summaries!$V$4:$Y$101,4,FALSE),V27))))</f>
        <v>0</v>
      </c>
      <c r="X27" s="201">
        <f si="0" t="shared"/>
        <v>0</v>
      </c>
      <c r="AG27" s="201">
        <v>50</v>
      </c>
      <c r="AH27" s="201" t="s">
        <v>1198</v>
      </c>
      <c r="AI27" s="201">
        <v>-1.1201828115200001</v>
      </c>
      <c r="AK27" s="201" t="s">
        <v>1186</v>
      </c>
    </row>
    <row r="28" spans="1:37" x14ac:dyDescent="0.25">
      <c r="C28" s="236"/>
      <c r="D28" s="236"/>
      <c r="O28" s="201" t="s">
        <v>1200</v>
      </c>
      <c r="T28" s="201">
        <f>DayPatternCoefficients!A36</f>
        <v>129</v>
      </c>
      <c r="U28" s="201" t="str">
        <f>DayPatternCoefficients!B36</f>
        <v>W-T-LOGS</v>
      </c>
      <c r="V28" s="222">
        <f>DayPatternCoefficients!D36</f>
        <v>-0.23310400815000001</v>
      </c>
      <c r="W28" s="223">
        <f>_xlfn.IFNA(VLOOKUP(T28,$K$63:$M$111,3,FALSE),_xlfn.IFNA(VLOOKUP(T28,$G$5:$K$11,5,FALSE),_xlfn.IFNA(IF(VLOOKUP(T28,$G$19:$K$25,4,FALSE)&gt;0,VLOOKUP(T28,$G$19:$K$25,5,FALSE),VLOOKUP(T28,$G$33:$K$39,5,FALSE)),_xlfn.IFNA(VLOOKUP(T28,new_summaries!$V$4:$Y$101,4,FALSE),V28))))</f>
        <v>-0.23310400815000001</v>
      </c>
      <c r="X28" s="201">
        <f si="0" t="shared"/>
        <v>0</v>
      </c>
      <c r="AG28" s="201">
        <v>51</v>
      </c>
      <c r="AH28" s="201" t="s">
        <v>1198</v>
      </c>
      <c r="AI28" s="201">
        <v>-0.64615152716199997</v>
      </c>
      <c r="AK28" s="201" t="s">
        <v>1188</v>
      </c>
    </row>
    <row r="29" spans="1:37" x14ac:dyDescent="0.25">
      <c r="O29" s="201" t="s">
        <v>1201</v>
      </c>
      <c r="T29" s="201">
        <f>DayPatternCoefficients!A37</f>
        <v>130</v>
      </c>
      <c r="U29" s="201" t="str">
        <f>DayPatternCoefficients!B37</f>
        <v>W-T-PPRK</v>
      </c>
      <c r="V29" s="222">
        <f>DayPatternCoefficients!D37</f>
        <v>0</v>
      </c>
      <c r="W29" s="223">
        <f>_xlfn.IFNA(VLOOKUP(T29,$K$63:$M$111,3,FALSE),_xlfn.IFNA(VLOOKUP(T29,$G$5:$K$11,5,FALSE),_xlfn.IFNA(IF(VLOOKUP(T29,$G$19:$K$25,4,FALSE)&gt;0,VLOOKUP(T29,$G$19:$K$25,5,FALSE),VLOOKUP(T29,$G$33:$K$39,5,FALSE)),_xlfn.IFNA(VLOOKUP(T29,new_summaries!$V$4:$Y$101,4,FALSE),V29))))</f>
        <v>0</v>
      </c>
      <c r="X29" s="201">
        <f si="0" t="shared"/>
        <v>0</v>
      </c>
      <c r="AG29" s="201">
        <v>52</v>
      </c>
      <c r="AH29" s="201" t="s">
        <v>1198</v>
      </c>
      <c r="AI29" s="201">
        <v>-2.0029030718700001</v>
      </c>
      <c r="AK29" s="201" t="s">
        <v>1191</v>
      </c>
    </row>
    <row r="30" spans="1:37" x14ac:dyDescent="0.25">
      <c r="B30" s="78" t="s">
        <v>1202</v>
      </c>
      <c r="G30" s="78" t="s">
        <v>1177</v>
      </c>
      <c r="H30" s="202" t="s">
        <v>1129</v>
      </c>
      <c r="I30" s="90">
        <v>0</v>
      </c>
      <c r="T30" s="201">
        <f>DayPatternCoefficients!A38</f>
        <v>131</v>
      </c>
      <c r="U30" s="201" t="str">
        <f>DayPatternCoefficients!B38</f>
        <v>W-S-LOGS</v>
      </c>
      <c r="V30" s="222">
        <f>DayPatternCoefficients!D38</f>
        <v>-0.32003778984999998</v>
      </c>
      <c r="W30" s="223">
        <f>_xlfn.IFNA(VLOOKUP(T30,$K$63:$M$111,3,FALSE),_xlfn.IFNA(VLOOKUP(T30,$G$5:$K$11,5,FALSE),_xlfn.IFNA(IF(VLOOKUP(T30,$G$19:$K$25,4,FALSE)&gt;0,VLOOKUP(T30,$G$19:$K$25,5,FALSE),VLOOKUP(T30,$G$33:$K$39,5,FALSE)),_xlfn.IFNA(VLOOKUP(T30,new_summaries!$V$4:$Y$101,4,FALSE),V30))))</f>
        <v>-0.32003778984999998</v>
      </c>
      <c r="X30" s="201">
        <f si="0" t="shared"/>
        <v>0</v>
      </c>
      <c r="AG30" s="201">
        <v>53</v>
      </c>
      <c r="AH30" s="201" t="s">
        <v>1198</v>
      </c>
      <c r="AI30" s="201">
        <v>-1.02594557043</v>
      </c>
      <c r="AK30" s="201" t="s">
        <v>1194</v>
      </c>
    </row>
    <row customHeight="1" ht="14.65" r="31" spans="1:37" thickBot="1" x14ac:dyDescent="0.3">
      <c r="B31" s="74"/>
      <c r="C31" s="74"/>
      <c r="D31" s="74"/>
      <c r="E31" s="74" t="s">
        <v>1203</v>
      </c>
      <c r="G31" s="83" t="s">
        <v>1134</v>
      </c>
      <c r="H31" s="74"/>
      <c r="I31" s="74"/>
      <c r="J31" s="74"/>
      <c r="K31" s="74"/>
      <c r="L31" s="74"/>
      <c r="M31" s="74"/>
      <c r="T31" s="201">
        <f>DayPatternCoefficients!A39</f>
        <v>132</v>
      </c>
      <c r="U31" s="201" t="str">
        <f>DayPatternCoefficients!B39</f>
        <v>W-NODIAR</v>
      </c>
      <c r="V31" s="222">
        <f>DayPatternCoefficients!D39</f>
        <v>-0.91278430805999999</v>
      </c>
      <c r="W31" s="223">
        <f>_xlfn.IFNA(VLOOKUP(T31,$K$63:$M$111,3,FALSE),_xlfn.IFNA(VLOOKUP(T31,$G$5:$K$11,5,FALSE),_xlfn.IFNA(IF(VLOOKUP(T31,$G$19:$K$25,4,FALSE)&gt;0,VLOOKUP(T31,$G$19:$K$25,5,FALSE),VLOOKUP(T31,$G$33:$K$39,5,FALSE)),_xlfn.IFNA(VLOOKUP(T31,new_summaries!$V$4:$Y$101,4,FALSE),V31))))</f>
        <v>-0.91278430805999999</v>
      </c>
      <c r="X31" s="201">
        <f si="0" t="shared"/>
        <v>0</v>
      </c>
      <c r="AG31" s="201">
        <v>57</v>
      </c>
      <c r="AH31" s="201" t="s">
        <v>1204</v>
      </c>
      <c r="AI31" s="201">
        <v>-1.15631148732</v>
      </c>
      <c r="AK31" s="201" t="s">
        <v>1186</v>
      </c>
    </row>
    <row r="32" spans="1:37" x14ac:dyDescent="0.25">
      <c r="B32" s="71" t="str">
        <f>B18</f>
        <v>Purpose</v>
      </c>
      <c r="C32" s="91" t="str">
        <f>C18</f>
        <v>ExpandSurv</v>
      </c>
      <c r="D32" s="91" t="str">
        <f>D18</f>
        <v>Model</v>
      </c>
      <c r="E32" s="91" t="str">
        <f>E18</f>
        <v>Ratio</v>
      </c>
      <c r="F32" s="204" t="s">
        <v>1117</v>
      </c>
      <c r="G32" s="91" t="s">
        <v>306</v>
      </c>
      <c r="H32" s="71" t="s">
        <v>307</v>
      </c>
      <c r="I32" s="93" t="s">
        <v>1105</v>
      </c>
      <c r="J32" s="91" t="s">
        <v>1106</v>
      </c>
      <c r="K32" s="100" t="s">
        <v>1107</v>
      </c>
      <c r="L32" s="96" t="s">
        <v>1139</v>
      </c>
      <c r="M32" s="96" t="s">
        <v>1140</v>
      </c>
      <c r="T32" s="201">
        <f>DayPatternCoefficients!A40</f>
        <v>133</v>
      </c>
      <c r="U32" s="201" t="str">
        <f>DayPatternCoefficients!B40</f>
        <v>W-PROXY</v>
      </c>
      <c r="V32" s="222">
        <f>DayPatternCoefficients!D40</f>
        <v>-9.7755538330000002E-2</v>
      </c>
      <c r="W32" s="223">
        <f>_xlfn.IFNA(VLOOKUP(T32,$K$63:$M$111,3,FALSE),_xlfn.IFNA(VLOOKUP(T32,$G$5:$K$11,5,FALSE),_xlfn.IFNA(IF(VLOOKUP(T32,$G$19:$K$25,4,FALSE)&gt;0,VLOOKUP(T32,$G$19:$K$25,5,FALSE),VLOOKUP(T32,$G$33:$K$39,5,FALSE)),_xlfn.IFNA(VLOOKUP(T32,new_summaries!$V$4:$Y$101,4,FALSE),V32))))</f>
        <v>-9.7755538330000002E-2</v>
      </c>
      <c r="X32" s="201">
        <f si="0" t="shared"/>
        <v>0</v>
      </c>
      <c r="AG32" s="201">
        <v>58</v>
      </c>
      <c r="AH32" s="201" t="s">
        <v>1204</v>
      </c>
      <c r="AI32" s="201">
        <v>-0.64916308040199999</v>
      </c>
      <c r="AK32" s="201" t="s">
        <v>1188</v>
      </c>
    </row>
    <row r="33" spans="2:37" x14ac:dyDescent="0.25">
      <c r="B33" s="201" t="str">
        <f ref="B33:B39" si="18" t="shared">B19</f>
        <v>work</v>
      </c>
      <c r="C33" s="75">
        <f>new_summaries!D18</f>
        <v>92465.362286811607</v>
      </c>
      <c r="D33" s="75">
        <f>new_summaries!E18</f>
        <v>166603</v>
      </c>
      <c r="E33" s="205">
        <f>qa_qc!E33</f>
        <v>1.0850031052036586</v>
      </c>
      <c r="F33" s="138">
        <f ref="F33:F39" si="19" t="shared">$I$30</f>
        <v>0</v>
      </c>
      <c r="G33" s="201">
        <v>101</v>
      </c>
      <c r="H33" s="222" t="s">
        <v>314</v>
      </c>
      <c r="I33" s="226">
        <f ref="I33:I39" si="20" t="shared">VLOOKUP(G33,$T$3:$V$352,3,FALSE)</f>
        <v>3.6928987586500002</v>
      </c>
      <c r="J33" s="227">
        <f ref="J33:J39" si="21" t="shared">$F33*LN(E33)</f>
        <v>0</v>
      </c>
      <c r="K33" s="228">
        <f ref="K33:K39" si="22" t="shared">I33+J33</f>
        <v>3.6928987586500002</v>
      </c>
      <c r="L33" s="229">
        <f ref="L33:L39" si="23" t="shared">VLOOKUP(G33,$T$3:$W$352,4,FALSE)</f>
        <v>3.6928987586500002</v>
      </c>
      <c r="M33" s="94">
        <f ref="M33:M39" si="24" t="shared">IF(K33=L33,0,1)</f>
        <v>0</v>
      </c>
      <c r="T33" s="201">
        <f>DayPatternCoefficients!A41</f>
        <v>134</v>
      </c>
      <c r="U33" s="201" t="str">
        <f>DayPatternCoefficients!B41</f>
        <v>W-WATHOME</v>
      </c>
      <c r="V33" s="222">
        <f>DayPatternCoefficients!D41</f>
        <v>-10.210000000000001</v>
      </c>
      <c r="W33" s="223">
        <f>_xlfn.IFNA(VLOOKUP(T33,$K$63:$M$111,3,FALSE),_xlfn.IFNA(VLOOKUP(T33,$G$5:$K$11,5,FALSE),_xlfn.IFNA(IF(VLOOKUP(T33,$G$19:$K$25,4,FALSE)&gt;0,VLOOKUP(T33,$G$19:$K$25,5,FALSE),VLOOKUP(T33,$G$33:$K$39,5,FALSE)),_xlfn.IFNA(VLOOKUP(T33,new_summaries!$V$4:$Y$101,4,FALSE),V33))))</f>
        <v>-10.210000000000001</v>
      </c>
      <c r="X33" s="201">
        <f si="0" t="shared"/>
        <v>0</v>
      </c>
      <c r="AG33" s="201">
        <v>59</v>
      </c>
      <c r="AH33" s="201" t="s">
        <v>1204</v>
      </c>
      <c r="AI33" s="201">
        <v>-2.1812774888600002</v>
      </c>
      <c r="AK33" s="201" t="s">
        <v>1191</v>
      </c>
    </row>
    <row r="34" spans="2:37" x14ac:dyDescent="0.25">
      <c r="B34" s="201" t="str">
        <f si="18" t="shared"/>
        <v>school</v>
      </c>
      <c r="C34" s="75">
        <f>new_summaries!D19</f>
        <v>16852.133150078018</v>
      </c>
      <c r="D34" s="75">
        <f>new_summaries!E19</f>
        <v>36104</v>
      </c>
      <c r="E34" s="205">
        <f>qa_qc!E34</f>
        <v>1.3593474809183774</v>
      </c>
      <c r="F34" s="138">
        <f si="19" t="shared"/>
        <v>0</v>
      </c>
      <c r="G34" s="201">
        <v>201</v>
      </c>
      <c r="H34" s="222" t="s">
        <v>365</v>
      </c>
      <c r="I34" s="226">
        <f si="20" t="shared"/>
        <v>0.39716470355</v>
      </c>
      <c r="J34" s="227">
        <f si="21" t="shared"/>
        <v>0</v>
      </c>
      <c r="K34" s="228">
        <f si="22" t="shared"/>
        <v>0.39716470355</v>
      </c>
      <c r="L34" s="229">
        <f si="23" t="shared"/>
        <v>0.39716470355</v>
      </c>
      <c r="M34" s="94">
        <f si="24" t="shared"/>
        <v>0</v>
      </c>
      <c r="T34" s="201">
        <f>DayPatternCoefficients!A42</f>
        <v>151</v>
      </c>
      <c r="U34" s="201" t="str">
        <f>DayPatternCoefficients!B42</f>
        <v>W-FTW</v>
      </c>
      <c r="V34" s="222">
        <f>DayPatternCoefficients!D42</f>
        <v>-0.47911897977000001</v>
      </c>
      <c r="W34" s="223">
        <f>_xlfn.IFNA(VLOOKUP(T34,$K$63:$M$111,3,FALSE),_xlfn.IFNA(VLOOKUP(T34,$G$5:$K$11,5,FALSE),_xlfn.IFNA(IF(VLOOKUP(T34,$G$19:$K$25,4,FALSE)&gt;0,VLOOKUP(T34,$G$19:$K$25,5,FALSE),VLOOKUP(T34,$G$33:$K$39,5,FALSE)),_xlfn.IFNA(VLOOKUP(T34,new_summaries!$V$4:$Y$101,4,FALSE),V34))))</f>
        <v>-0.47911897977000001</v>
      </c>
      <c r="X34" s="201">
        <f si="0" t="shared"/>
        <v>0</v>
      </c>
      <c r="AG34" s="201">
        <v>60</v>
      </c>
      <c r="AH34" s="201" t="s">
        <v>1204</v>
      </c>
      <c r="AI34" s="201">
        <v>-1.6624340606700001</v>
      </c>
      <c r="AK34" s="201" t="s">
        <v>1194</v>
      </c>
    </row>
    <row r="35" spans="2:37" x14ac:dyDescent="0.25">
      <c r="B35" s="201" t="str">
        <f si="18" t="shared"/>
        <v>escort</v>
      </c>
      <c r="C35" s="75">
        <f>new_summaries!D20</f>
        <v>183767.00704613424</v>
      </c>
      <c r="D35" s="75">
        <f>new_summaries!E20</f>
        <v>210058</v>
      </c>
      <c r="E35" s="205">
        <f>qa_qc!E35</f>
        <v>1.0897753164426349</v>
      </c>
      <c r="F35" s="138">
        <f si="19" t="shared"/>
        <v>0</v>
      </c>
      <c r="G35" s="201">
        <v>301</v>
      </c>
      <c r="H35" s="222" t="s">
        <v>421</v>
      </c>
      <c r="I35" s="226">
        <f si="20" t="shared"/>
        <v>-0.40483252988000001</v>
      </c>
      <c r="J35" s="227">
        <f si="21" t="shared"/>
        <v>0</v>
      </c>
      <c r="K35" s="228">
        <f si="22" t="shared"/>
        <v>-0.40483252988000001</v>
      </c>
      <c r="L35" s="229">
        <f si="23" t="shared"/>
        <v>-0.40483252988000001</v>
      </c>
      <c r="M35" s="94">
        <f si="24" t="shared"/>
        <v>0</v>
      </c>
      <c r="T35" s="201">
        <f>DayPatternCoefficients!A43</f>
        <v>200</v>
      </c>
      <c r="U35" s="201" t="str">
        <f>DayPatternCoefficients!B43</f>
        <v>S-TASC</v>
      </c>
      <c r="V35" s="222">
        <f>DayPatternCoefficients!D43</f>
        <v>-1.1650098583199999</v>
      </c>
      <c r="W35" s="223">
        <f>_xlfn.IFNA(VLOOKUP(T35,$K$63:$M$111,3,FALSE),_xlfn.IFNA(VLOOKUP(T35,$G$5:$K$11,5,FALSE),_xlfn.IFNA(IF(VLOOKUP(T35,$G$19:$K$25,4,FALSE)&gt;0,VLOOKUP(T35,$G$19:$K$25,5,FALSE),VLOOKUP(T35,$G$33:$K$39,5,FALSE)),_xlfn.IFNA(VLOOKUP(T35,new_summaries!$V$4:$Y$101,4,FALSE),V35))))</f>
        <v>-1.1646598373667887</v>
      </c>
      <c r="X35" s="201">
        <f si="0" t="shared"/>
        <v>1</v>
      </c>
      <c r="AG35" s="201">
        <v>64</v>
      </c>
      <c r="AH35" s="201" t="s">
        <v>1205</v>
      </c>
      <c r="AI35" s="201">
        <v>-1.23583911171</v>
      </c>
      <c r="AK35" s="201" t="s">
        <v>1186</v>
      </c>
    </row>
    <row r="36" spans="2:37" x14ac:dyDescent="0.25">
      <c r="B36" s="201" t="str">
        <f si="18" t="shared"/>
        <v>pers.bus</v>
      </c>
      <c r="C36" s="75">
        <f>new_summaries!D21</f>
        <v>365570.39905545622</v>
      </c>
      <c r="D36" s="75">
        <f>new_summaries!E21</f>
        <v>468076</v>
      </c>
      <c r="E36" s="205">
        <f>qa_qc!E36</f>
        <v>1.0353747375552631</v>
      </c>
      <c r="F36" s="138">
        <f si="19" t="shared"/>
        <v>0</v>
      </c>
      <c r="G36" s="201">
        <v>401</v>
      </c>
      <c r="H36" s="222" t="s">
        <v>480</v>
      </c>
      <c r="I36" s="226">
        <f si="20" t="shared"/>
        <v>3.31854492639</v>
      </c>
      <c r="J36" s="227">
        <f si="21" t="shared"/>
        <v>0</v>
      </c>
      <c r="K36" s="228">
        <f si="22" t="shared"/>
        <v>3.31854492639</v>
      </c>
      <c r="L36" s="229">
        <f si="23" t="shared"/>
        <v>3.31854492639</v>
      </c>
      <c r="M36" s="94">
        <f si="24" t="shared"/>
        <v>0</v>
      </c>
      <c r="T36" s="201">
        <f>DayPatternCoefficients!A44</f>
        <v>201</v>
      </c>
      <c r="U36" s="201" t="str">
        <f>DayPatternCoefficients!B44</f>
        <v>S-SASC</v>
      </c>
      <c r="V36" s="222">
        <f>DayPatternCoefficients!D44</f>
        <v>0.39716470355</v>
      </c>
      <c r="W36" s="223">
        <f>_xlfn.IFNA(VLOOKUP(T36,$K$63:$M$111,3,FALSE),_xlfn.IFNA(VLOOKUP(T36,$G$5:$K$11,5,FALSE),_xlfn.IFNA(IF(VLOOKUP(T36,$G$19:$K$25,4,FALSE)&gt;0,VLOOKUP(T36,$G$19:$K$25,5,FALSE),VLOOKUP(T36,$G$33:$K$39,5,FALSE)),_xlfn.IFNA(VLOOKUP(T36,new_summaries!$V$4:$Y$101,4,FALSE),V36))))</f>
        <v>0.39716470355</v>
      </c>
      <c r="X36" s="201">
        <f si="0" t="shared"/>
        <v>0</v>
      </c>
      <c r="AG36" s="201">
        <v>65</v>
      </c>
      <c r="AH36" s="201" t="s">
        <v>1205</v>
      </c>
      <c r="AI36" s="201">
        <v>-0.32342873795299998</v>
      </c>
      <c r="AK36" s="201" t="s">
        <v>1188</v>
      </c>
    </row>
    <row r="37" spans="2:37" x14ac:dyDescent="0.25">
      <c r="B37" s="201" t="str">
        <f si="18" t="shared"/>
        <v>shop</v>
      </c>
      <c r="C37" s="75">
        <f>new_summaries!D22</f>
        <v>267166.73083773616</v>
      </c>
      <c r="D37" s="75">
        <f>new_summaries!E22</f>
        <v>335121</v>
      </c>
      <c r="E37" s="205">
        <f>qa_qc!E37</f>
        <v>1.2077402201585392</v>
      </c>
      <c r="F37" s="138">
        <f si="19" t="shared"/>
        <v>0</v>
      </c>
      <c r="G37" s="201">
        <v>501</v>
      </c>
      <c r="H37" s="222" t="s">
        <v>539</v>
      </c>
      <c r="I37" s="226">
        <f si="20" t="shared"/>
        <v>2.2010931360999999</v>
      </c>
      <c r="J37" s="227">
        <f si="21" t="shared"/>
        <v>0</v>
      </c>
      <c r="K37" s="228">
        <f si="22" t="shared"/>
        <v>2.2010931360999999</v>
      </c>
      <c r="L37" s="229">
        <f si="23" t="shared"/>
        <v>2.2010931360999999</v>
      </c>
      <c r="M37" s="94">
        <f si="24" t="shared"/>
        <v>0</v>
      </c>
      <c r="T37" s="201">
        <f>DayPatternCoefficients!A45</f>
        <v>205</v>
      </c>
      <c r="U37" s="201" t="str">
        <f>DayPatternCoefficients!B45</f>
        <v>S-UNI</v>
      </c>
      <c r="V37" s="222">
        <f>DayPatternCoefficients!D45</f>
        <v>-0.54322823780999996</v>
      </c>
      <c r="W37" s="223">
        <f>_xlfn.IFNA(VLOOKUP(T37,$K$63:$M$111,3,FALSE),_xlfn.IFNA(VLOOKUP(T37,$G$5:$K$11,5,FALSE),_xlfn.IFNA(IF(VLOOKUP(T37,$G$19:$K$25,4,FALSE)&gt;0,VLOOKUP(T37,$G$19:$K$25,5,FALSE),VLOOKUP(T37,$G$33:$K$39,5,FALSE)),_xlfn.IFNA(VLOOKUP(T37,new_summaries!$V$4:$Y$101,4,FALSE),V37))))</f>
        <v>-0.54322823780999996</v>
      </c>
      <c r="X37" s="201">
        <f si="0" t="shared"/>
        <v>0</v>
      </c>
      <c r="AG37" s="201">
        <v>66</v>
      </c>
      <c r="AH37" s="201" t="s">
        <v>1205</v>
      </c>
      <c r="AI37" s="201">
        <v>-2.32428386605</v>
      </c>
      <c r="AK37" s="201" t="s">
        <v>1191</v>
      </c>
    </row>
    <row r="38" spans="2:37" x14ac:dyDescent="0.25">
      <c r="B38" s="201" t="str">
        <f si="18" t="shared"/>
        <v>meal</v>
      </c>
      <c r="C38" s="75">
        <f>new_summaries!D23</f>
        <v>190936.89571603067</v>
      </c>
      <c r="D38" s="75">
        <f>new_summaries!E23</f>
        <v>275723</v>
      </c>
      <c r="E38" s="205">
        <f>qa_qc!E38</f>
        <v>1.0545113569067788</v>
      </c>
      <c r="F38" s="138">
        <f si="19" t="shared"/>
        <v>0</v>
      </c>
      <c r="G38" s="201">
        <v>601</v>
      </c>
      <c r="H38" s="222" t="s">
        <v>598</v>
      </c>
      <c r="I38" s="226">
        <f si="20" t="shared"/>
        <v>1.6525579475700001</v>
      </c>
      <c r="J38" s="227">
        <f si="21" t="shared"/>
        <v>0</v>
      </c>
      <c r="K38" s="228">
        <f si="22" t="shared"/>
        <v>1.6525579475700001</v>
      </c>
      <c r="L38" s="229">
        <f si="23" t="shared"/>
        <v>1.6525579475700001</v>
      </c>
      <c r="M38" s="94">
        <f si="24" t="shared"/>
        <v>0</v>
      </c>
      <c r="T38" s="201">
        <f>DayPatternCoefficients!A46</f>
        <v>206</v>
      </c>
      <c r="U38" s="201" t="str">
        <f>DayPatternCoefficients!B46</f>
        <v>S-DAS</v>
      </c>
      <c r="V38" s="222">
        <f>DayPatternCoefficients!D46</f>
        <v>0.32874149364999999</v>
      </c>
      <c r="W38" s="223">
        <f>_xlfn.IFNA(VLOOKUP(T38,$K$63:$M$111,3,FALSE),_xlfn.IFNA(VLOOKUP(T38,$G$5:$K$11,5,FALSE),_xlfn.IFNA(IF(VLOOKUP(T38,$G$19:$K$25,4,FALSE)&gt;0,VLOOKUP(T38,$G$19:$K$25,5,FALSE),VLOOKUP(T38,$G$33:$K$39,5,FALSE)),_xlfn.IFNA(VLOOKUP(T38,new_summaries!$V$4:$Y$101,4,FALSE),V38))))</f>
        <v>0.32874149364999999</v>
      </c>
      <c r="X38" s="201">
        <f si="0" t="shared"/>
        <v>0</v>
      </c>
      <c r="AG38" s="201">
        <v>67</v>
      </c>
      <c r="AH38" s="201" t="s">
        <v>1205</v>
      </c>
      <c r="AI38" s="201">
        <v>-1.6578909769200001</v>
      </c>
      <c r="AK38" s="201" t="s">
        <v>1194</v>
      </c>
    </row>
    <row customHeight="1" ht="14.65" r="39" spans="2:37" thickBot="1" x14ac:dyDescent="0.3">
      <c r="B39" s="201" t="str">
        <f si="18" t="shared"/>
        <v>soc/rec</v>
      </c>
      <c r="C39" s="75">
        <f>new_summaries!D24</f>
        <v>156040.88293936633</v>
      </c>
      <c r="D39" s="75">
        <f>new_summaries!E24</f>
        <v>210425</v>
      </c>
      <c r="E39" s="205">
        <f>qa_qc!E39</f>
        <v>1.1496505942704249</v>
      </c>
      <c r="F39" s="138">
        <f si="19" t="shared"/>
        <v>0</v>
      </c>
      <c r="G39" s="74">
        <v>701</v>
      </c>
      <c r="H39" s="231" t="s">
        <v>657</v>
      </c>
      <c r="I39" s="232">
        <f si="20" t="shared"/>
        <v>2.0647581169100002</v>
      </c>
      <c r="J39" s="233">
        <f si="21" t="shared"/>
        <v>0</v>
      </c>
      <c r="K39" s="234">
        <f si="22" t="shared"/>
        <v>2.0647581169100002</v>
      </c>
      <c r="L39" s="235">
        <f si="23" t="shared"/>
        <v>2.0647581169100002</v>
      </c>
      <c r="M39" s="95">
        <f si="24" t="shared"/>
        <v>0</v>
      </c>
      <c r="T39" s="201">
        <f>DayPatternCoefficients!A47</f>
        <v>207</v>
      </c>
      <c r="U39" s="201" t="str">
        <f>DayPatternCoefficients!B47</f>
        <v>S-PAS</v>
      </c>
      <c r="V39" s="222">
        <f>DayPatternCoefficients!D47</f>
        <v>2.3775085649699998</v>
      </c>
      <c r="W39" s="223">
        <f>_xlfn.IFNA(VLOOKUP(T39,$K$63:$M$111,3,FALSE),_xlfn.IFNA(VLOOKUP(T39,$G$5:$K$11,5,FALSE),_xlfn.IFNA(IF(VLOOKUP(T39,$G$19:$K$25,4,FALSE)&gt;0,VLOOKUP(T39,$G$19:$K$25,5,FALSE),VLOOKUP(T39,$G$33:$K$39,5,FALSE)),_xlfn.IFNA(VLOOKUP(T39,new_summaries!$V$4:$Y$101,4,FALSE),V39))))</f>
        <v>2.3775085649699998</v>
      </c>
      <c r="X39" s="201">
        <f si="0" t="shared"/>
        <v>0</v>
      </c>
      <c r="AG39" s="201">
        <v>71</v>
      </c>
      <c r="AH39" s="201" t="s">
        <v>1206</v>
      </c>
      <c r="AI39" s="201">
        <v>-1.3046209712800001</v>
      </c>
      <c r="AK39" s="201" t="s">
        <v>1186</v>
      </c>
    </row>
    <row r="40" spans="2:37" x14ac:dyDescent="0.25">
      <c r="B40" s="72"/>
      <c r="C40" s="82" t="s">
        <v>1207</v>
      </c>
      <c r="D40" s="82" t="s">
        <v>1207</v>
      </c>
      <c r="E40" s="82" t="s">
        <v>1207</v>
      </c>
      <c r="F40" s="205"/>
      <c r="G40" s="79"/>
      <c r="H40" s="79"/>
      <c r="M40" s="202">
        <f>SUM(M33:M39)</f>
        <v>0</v>
      </c>
      <c r="T40" s="201">
        <f>DayPatternCoefficients!A48</f>
        <v>208</v>
      </c>
      <c r="U40" s="201" t="str">
        <f>DayPatternCoefficients!B48</f>
        <v>S-CU5</v>
      </c>
      <c r="V40" s="222">
        <f>DayPatternCoefficients!D48</f>
        <v>1.1554295912400001</v>
      </c>
      <c r="W40" s="223">
        <f>_xlfn.IFNA(VLOOKUP(T40,$K$63:$M$111,3,FALSE),_xlfn.IFNA(VLOOKUP(T40,$G$5:$K$11,5,FALSE),_xlfn.IFNA(IF(VLOOKUP(T40,$G$19:$K$25,4,FALSE)&gt;0,VLOOKUP(T40,$G$19:$K$25,5,FALSE),VLOOKUP(T40,$G$33:$K$39,5,FALSE)),_xlfn.IFNA(VLOOKUP(T40,new_summaries!$V$4:$Y$101,4,FALSE),V40))))</f>
        <v>1.1554295912400001</v>
      </c>
      <c r="X40" s="201">
        <f si="0" t="shared"/>
        <v>0</v>
      </c>
      <c r="AG40" s="201">
        <v>72</v>
      </c>
      <c r="AH40" s="201" t="s">
        <v>1206</v>
      </c>
      <c r="AI40" s="201">
        <v>-0.50321932343800002</v>
      </c>
      <c r="AK40" s="201" t="s">
        <v>1188</v>
      </c>
    </row>
    <row customHeight="1" ht="14.65" r="41" spans="2:37" thickBot="1" x14ac:dyDescent="0.3">
      <c r="B41" s="74" t="str">
        <f>B27</f>
        <v>Total</v>
      </c>
      <c r="C41" s="80">
        <f>SUM(C33:C39)</f>
        <v>1272799.4110316134</v>
      </c>
      <c r="D41" s="80">
        <f>SUM(D33:D39)</f>
        <v>1702110</v>
      </c>
      <c r="E41" s="118">
        <f>(C41)/(D41)</f>
        <v>0.74777741217172411</v>
      </c>
      <c r="F41" s="205"/>
      <c r="T41" s="201">
        <f>DayPatternCoefficients!A49</f>
        <v>209</v>
      </c>
      <c r="U41" s="201" t="str">
        <f>DayPatternCoefficients!B49</f>
        <v>S-VLINC</v>
      </c>
      <c r="V41" s="222">
        <f>DayPatternCoefficients!D49</f>
        <v>0</v>
      </c>
      <c r="W41" s="223">
        <f>_xlfn.IFNA(VLOOKUP(T41,$K$63:$M$111,3,FALSE),_xlfn.IFNA(VLOOKUP(T41,$G$5:$K$11,5,FALSE),_xlfn.IFNA(IF(VLOOKUP(T41,$G$19:$K$25,4,FALSE)&gt;0,VLOOKUP(T41,$G$19:$K$25,5,FALSE),VLOOKUP(T41,$G$33:$K$39,5,FALSE)),_xlfn.IFNA(VLOOKUP(T41,new_summaries!$V$4:$Y$101,4,FALSE),V41))))</f>
        <v>0</v>
      </c>
      <c r="X41" s="201">
        <f si="0" t="shared"/>
        <v>0</v>
      </c>
      <c r="AG41" s="201">
        <v>73</v>
      </c>
      <c r="AH41" s="201" t="s">
        <v>1206</v>
      </c>
      <c r="AI41" s="201">
        <v>-4.8332706841800004</v>
      </c>
      <c r="AK41" s="201" t="s">
        <v>1191</v>
      </c>
    </row>
    <row r="42" spans="2:37" x14ac:dyDescent="0.25">
      <c r="T42" s="201">
        <f>DayPatternCoefficients!A50</f>
        <v>210</v>
      </c>
      <c r="U42" s="201" t="str">
        <f>DayPatternCoefficients!B50</f>
        <v>S-LOINC</v>
      </c>
      <c r="V42" s="222">
        <f>DayPatternCoefficients!D50</f>
        <v>0.1877879022</v>
      </c>
      <c r="W42" s="223">
        <f>_xlfn.IFNA(VLOOKUP(T42,$K$63:$M$111,3,FALSE),_xlfn.IFNA(VLOOKUP(T42,$G$5:$K$11,5,FALSE),_xlfn.IFNA(IF(VLOOKUP(T42,$G$19:$K$25,4,FALSE)&gt;0,VLOOKUP(T42,$G$19:$K$25,5,FALSE),VLOOKUP(T42,$G$33:$K$39,5,FALSE)),_xlfn.IFNA(VLOOKUP(T42,new_summaries!$V$4:$Y$101,4,FALSE),V42))))</f>
        <v>0.1877879022</v>
      </c>
      <c r="X42" s="201">
        <f si="0" t="shared"/>
        <v>0</v>
      </c>
      <c r="AG42" s="201">
        <v>74</v>
      </c>
      <c r="AH42" s="201" t="s">
        <v>1206</v>
      </c>
      <c r="AI42" s="201">
        <v>-1.52892590596</v>
      </c>
      <c r="AK42" s="201" t="s">
        <v>1194</v>
      </c>
    </row>
    <row r="43" spans="2:37" x14ac:dyDescent="0.25">
      <c r="T43" s="201">
        <f>DayPatternCoefficients!A51</f>
        <v>211</v>
      </c>
      <c r="U43" s="201" t="str">
        <f>DayPatternCoefficients!B51</f>
        <v>S-HIINC</v>
      </c>
      <c r="V43" s="222">
        <f>DayPatternCoefficients!D51</f>
        <v>0</v>
      </c>
      <c r="W43" s="223">
        <f>_xlfn.IFNA(VLOOKUP(T43,$K$63:$M$111,3,FALSE),_xlfn.IFNA(VLOOKUP(T43,$G$5:$K$11,5,FALSE),_xlfn.IFNA(IF(VLOOKUP(T43,$G$19:$K$25,4,FALSE)&gt;0,VLOOKUP(T43,$G$19:$K$25,5,FALSE),VLOOKUP(T43,$G$33:$K$39,5,FALSE)),_xlfn.IFNA(VLOOKUP(T43,new_summaries!$V$4:$Y$101,4,FALSE),V43))))</f>
        <v>0</v>
      </c>
      <c r="X43" s="201">
        <f si="0" t="shared"/>
        <v>0</v>
      </c>
      <c r="AG43" s="201">
        <v>78</v>
      </c>
      <c r="AH43" s="201" t="s">
        <v>1208</v>
      </c>
      <c r="AI43" s="201">
        <v>-1.3486716266600001</v>
      </c>
      <c r="AK43" s="201" t="s">
        <v>1186</v>
      </c>
    </row>
    <row r="44" spans="2:37" x14ac:dyDescent="0.25">
      <c r="B44" s="264" t="str">
        <f>ToursByTourPurpose!A1</f>
        <v>Table X.X</v>
      </c>
      <c r="C44" s="265"/>
      <c r="D44" s="265"/>
      <c r="E44" s="265"/>
      <c r="F44" s="265"/>
      <c r="G44" s="265"/>
      <c r="H44" s="265"/>
      <c r="I44" s="265"/>
      <c r="J44" s="265"/>
      <c r="K44" s="264" t="str">
        <f>ToursByTourPurpose!M1</f>
        <v>Table X.X</v>
      </c>
      <c r="L44" s="265"/>
      <c r="M44" s="265"/>
      <c r="N44" s="265"/>
      <c r="O44" s="265"/>
      <c r="P44" s="265"/>
      <c r="Q44" s="265"/>
      <c r="R44" s="265"/>
      <c r="T44" s="201">
        <f>DayPatternCoefficients!A52</f>
        <v>212</v>
      </c>
      <c r="U44" s="201" t="str">
        <f>DayPatternCoefficients!B52</f>
        <v>S-CARSPD</v>
      </c>
      <c r="V44" s="222">
        <f>DayPatternCoefficients!D52</f>
        <v>0</v>
      </c>
      <c r="W44" s="223">
        <f>_xlfn.IFNA(VLOOKUP(T44,$K$63:$M$111,3,FALSE),_xlfn.IFNA(VLOOKUP(T44,$G$5:$K$11,5,FALSE),_xlfn.IFNA(IF(VLOOKUP(T44,$G$19:$K$25,4,FALSE)&gt;0,VLOOKUP(T44,$G$19:$K$25,5,FALSE),VLOOKUP(T44,$G$33:$K$39,5,FALSE)),_xlfn.IFNA(VLOOKUP(T44,new_summaries!$V$4:$Y$101,4,FALSE),V44))))</f>
        <v>0</v>
      </c>
      <c r="X44" s="201">
        <f si="0" t="shared"/>
        <v>0</v>
      </c>
      <c r="AG44" s="201">
        <v>79</v>
      </c>
      <c r="AH44" s="201" t="s">
        <v>1208</v>
      </c>
      <c r="AI44" s="201">
        <v>-0.55978493524700002</v>
      </c>
      <c r="AK44" s="201" t="s">
        <v>1188</v>
      </c>
    </row>
    <row r="45" spans="2:37" x14ac:dyDescent="0.25">
      <c r="B45" s="264" t="str">
        <f>ToursByTourPurpose!A2</f>
        <v>OBSERVED TOTAL TOURS (by persontype)</v>
      </c>
      <c r="C45" s="265"/>
      <c r="D45" s="265"/>
      <c r="E45" s="265"/>
      <c r="F45" s="265"/>
      <c r="G45" s="265"/>
      <c r="H45" s="265"/>
      <c r="I45" s="265"/>
      <c r="J45" s="265"/>
      <c r="K45" s="264" t="str">
        <f>ToursByTourPurpose!M2</f>
        <v>ESTIMATED TOTAL TOURS (by persontype)</v>
      </c>
      <c r="L45" s="265"/>
      <c r="M45" s="265"/>
      <c r="N45" s="265"/>
      <c r="O45" s="265"/>
      <c r="P45" s="265"/>
      <c r="Q45" s="265"/>
      <c r="R45" s="265"/>
      <c r="T45" s="201">
        <f>DayPatternCoefficients!A53</f>
        <v>213</v>
      </c>
      <c r="U45" s="201" t="str">
        <f>DayPatternCoefficients!B53</f>
        <v>S-ONLYAD</v>
      </c>
      <c r="V45" s="222">
        <f>DayPatternCoefficients!D53</f>
        <v>0</v>
      </c>
      <c r="W45" s="223">
        <f>_xlfn.IFNA(VLOOKUP(T45,$K$63:$M$111,3,FALSE),_xlfn.IFNA(VLOOKUP(T45,$G$5:$K$11,5,FALSE),_xlfn.IFNA(IF(VLOOKUP(T45,$G$19:$K$25,4,FALSE)&gt;0,VLOOKUP(T45,$G$19:$K$25,5,FALSE),VLOOKUP(T45,$G$33:$K$39,5,FALSE)),_xlfn.IFNA(VLOOKUP(T45,new_summaries!$V$4:$Y$101,4,FALSE),V45))))</f>
        <v>0</v>
      </c>
      <c r="X45" s="201">
        <f si="0" t="shared"/>
        <v>0</v>
      </c>
      <c r="AG45" s="201">
        <v>80</v>
      </c>
      <c r="AH45" s="201" t="s">
        <v>1208</v>
      </c>
      <c r="AI45" s="201">
        <v>-2.1204677092600002</v>
      </c>
      <c r="AK45" s="201" t="s">
        <v>1191</v>
      </c>
    </row>
    <row customHeight="1" ht="14.65" r="46" spans="2:37" thickBot="1" x14ac:dyDescent="0.3">
      <c r="B46" s="265"/>
      <c r="C46" s="2"/>
      <c r="D46" s="2"/>
      <c r="E46" s="2"/>
      <c r="F46" s="2"/>
      <c r="G46" s="2"/>
      <c r="H46" s="2"/>
      <c r="I46" s="2"/>
      <c r="J46" s="264"/>
      <c r="K46" s="265"/>
      <c r="L46" s="2"/>
      <c r="M46" s="2"/>
      <c r="N46" s="2"/>
      <c r="O46" s="2"/>
      <c r="P46" s="2"/>
      <c r="Q46" s="2"/>
      <c r="R46" s="2"/>
      <c r="T46" s="201">
        <f>DayPatternCoefficients!A54</f>
        <v>214</v>
      </c>
      <c r="U46" s="201" t="str">
        <f>DayPatternCoefficients!B54</f>
        <v>S-ONLYWK</v>
      </c>
      <c r="V46" s="222">
        <f>DayPatternCoefficients!D54</f>
        <v>0</v>
      </c>
      <c r="W46" s="223">
        <f>_xlfn.IFNA(VLOOKUP(T46,$K$63:$M$111,3,FALSE),_xlfn.IFNA(VLOOKUP(T46,$G$5:$K$11,5,FALSE),_xlfn.IFNA(IF(VLOOKUP(T46,$G$19:$K$25,4,FALSE)&gt;0,VLOOKUP(T46,$G$19:$K$25,5,FALSE),VLOOKUP(T46,$G$33:$K$39,5,FALSE)),_xlfn.IFNA(VLOOKUP(T46,new_summaries!$V$4:$Y$101,4,FALSE),V46))))</f>
        <v>0</v>
      </c>
      <c r="X46" s="201">
        <f si="0" t="shared"/>
        <v>0</v>
      </c>
      <c r="AG46" s="201">
        <v>81</v>
      </c>
      <c r="AH46" s="201" t="s">
        <v>1208</v>
      </c>
      <c r="AI46" s="201">
        <v>-1.10856035167</v>
      </c>
      <c r="AK46" s="201" t="s">
        <v>1194</v>
      </c>
    </row>
    <row r="47" spans="2:37" x14ac:dyDescent="0.25">
      <c r="B47" s="119" t="str">
        <f>ToursByTourPurpose!A4</f>
        <v>Purpose</v>
      </c>
      <c r="C47" s="120" t="str">
        <f>ToursByTourPurpose!B4</f>
        <v>ft worker</v>
      </c>
      <c r="D47" s="120" t="str">
        <f>ToursByTourPurpose!C4</f>
        <v>pt worker</v>
      </c>
      <c r="E47" s="120" t="str">
        <f>ToursByTourPurpose!D4</f>
        <v>retired</v>
      </c>
      <c r="F47" s="120" t="str">
        <f>ToursByTourPurpose!E4</f>
        <v>nonworker</v>
      </c>
      <c r="G47" s="120" t="str">
        <f>ToursByTourPurpose!F4</f>
        <v>uinv.stud</v>
      </c>
      <c r="H47" s="120" t="str">
        <f>ToursByTourPurpose!G4</f>
        <v>stud 16+</v>
      </c>
      <c r="I47" s="120" t="str">
        <f>ToursByTourPurpose!I4</f>
        <v>stud.5-15</v>
      </c>
      <c r="J47" s="120" t="s">
        <v>1209</v>
      </c>
      <c r="K47" s="122" t="str">
        <f>ToursByTourPurpose!M4</f>
        <v>Purpose</v>
      </c>
      <c r="L47" s="123" t="str">
        <f>ToursByTourPurpose!N4</f>
        <v>ft worker</v>
      </c>
      <c r="M47" s="123" t="str">
        <f>ToursByTourPurpose!O4</f>
        <v>pt worker</v>
      </c>
      <c r="N47" s="123" t="str">
        <f>ToursByTourPurpose!P4</f>
        <v>retired</v>
      </c>
      <c r="O47" s="123" t="str">
        <f>ToursByTourPurpose!Q4</f>
        <v>nonworker</v>
      </c>
      <c r="P47" s="123" t="str">
        <f>ToursByTourPurpose!R4</f>
        <v>uinv.stud</v>
      </c>
      <c r="Q47" s="123" t="str">
        <f>ToursByTourPurpose!S4</f>
        <v>stud 16+</v>
      </c>
      <c r="R47" s="123" t="str">
        <f>ToursByTourPurpose!U4</f>
        <v>stud.5-15</v>
      </c>
      <c r="S47" s="123" t="s">
        <v>1209</v>
      </c>
      <c r="T47" s="201">
        <f>DayPatternCoefficients!A55</f>
        <v>216</v>
      </c>
      <c r="U47" s="201" t="str">
        <f>DayPatternCoefficients!B55</f>
        <v>S-FEMNOC</v>
      </c>
      <c r="V47" s="222">
        <f>DayPatternCoefficients!D55</f>
        <v>0</v>
      </c>
      <c r="W47" s="223">
        <f>_xlfn.IFNA(VLOOKUP(T47,$K$63:$M$111,3,FALSE),_xlfn.IFNA(VLOOKUP(T47,$G$5:$K$11,5,FALSE),_xlfn.IFNA(IF(VLOOKUP(T47,$G$19:$K$25,4,FALSE)&gt;0,VLOOKUP(T47,$G$19:$K$25,5,FALSE),VLOOKUP(T47,$G$33:$K$39,5,FALSE)),_xlfn.IFNA(VLOOKUP(T47,new_summaries!$V$4:$Y$101,4,FALSE),V47))))</f>
        <v>0</v>
      </c>
      <c r="X47" s="201">
        <f si="0" t="shared"/>
        <v>0</v>
      </c>
      <c r="AG47" s="201">
        <v>82</v>
      </c>
      <c r="AH47" s="201" t="s">
        <v>1210</v>
      </c>
      <c r="AI47" s="201">
        <v>1.03609977401</v>
      </c>
      <c r="AK47" s="201" t="s">
        <v>1182</v>
      </c>
    </row>
    <row r="48" spans="2:37" x14ac:dyDescent="0.25">
      <c r="B48" s="128" t="str">
        <f>ToursByTourPurpose!A5</f>
        <v>work</v>
      </c>
      <c r="C48" s="121">
        <f>ToursByTourPurpose!B5</f>
        <v>712869.63537018478</v>
      </c>
      <c r="D48" s="121">
        <f>ToursByTourPurpose!C5</f>
        <v>60992.341011102864</v>
      </c>
      <c r="E48" s="145">
        <v>0</v>
      </c>
      <c r="F48" s="145">
        <v>0</v>
      </c>
      <c r="G48" s="121">
        <f>ToursByTourPurpose!F5</f>
        <v>12765.419500875436</v>
      </c>
      <c r="H48" s="121">
        <f>ToursByTourPurpose!G5</f>
        <v>2277.9083703450824</v>
      </c>
      <c r="I48" s="145">
        <v>0</v>
      </c>
      <c r="J48" s="145">
        <f>ToursByTourPurpose!J5</f>
        <v>0</v>
      </c>
      <c r="K48" s="125" t="str">
        <f>ToursByTourPurpose!M5</f>
        <v>work</v>
      </c>
      <c r="L48" s="124">
        <f>ToursByTourPurpose!N5</f>
        <v>606319</v>
      </c>
      <c r="M48" s="124">
        <f>ToursByTourPurpose!O5</f>
        <v>53540</v>
      </c>
      <c r="N48" s="124">
        <f>ToursByTourPurpose!P5</f>
        <v>0</v>
      </c>
      <c r="O48" s="124">
        <f>ToursByTourPurpose!Q5</f>
        <v>0</v>
      </c>
      <c r="P48" s="124">
        <f>ToursByTourPurpose!R5</f>
        <v>12264</v>
      </c>
      <c r="Q48" s="124">
        <f>ToursByTourPurpose!S5</f>
        <v>2344</v>
      </c>
      <c r="R48" s="124">
        <f>ToursByTourPurpose!U5</f>
        <v>0</v>
      </c>
      <c r="S48" s="124">
        <f>ToursByTourPurpose!V5</f>
        <v>0</v>
      </c>
      <c r="T48" s="201">
        <f>DayPatternCoefficients!A56</f>
        <v>217</v>
      </c>
      <c r="U48" s="201" t="str">
        <f>DayPatternCoefficients!B56</f>
        <v>S-FADCU5</v>
      </c>
      <c r="V48" s="222">
        <f>DayPatternCoefficients!D56</f>
        <v>-1.07693002171</v>
      </c>
      <c r="W48" s="223">
        <f>_xlfn.IFNA(VLOOKUP(T48,$K$63:$M$111,3,FALSE),_xlfn.IFNA(VLOOKUP(T48,$G$5:$K$11,5,FALSE),_xlfn.IFNA(IF(VLOOKUP(T48,$G$19:$K$25,4,FALSE)&gt;0,VLOOKUP(T48,$G$19:$K$25,5,FALSE),VLOOKUP(T48,$G$33:$K$39,5,FALSE)),_xlfn.IFNA(VLOOKUP(T48,new_summaries!$V$4:$Y$101,4,FALSE),V48))))</f>
        <v>-1.07693002171</v>
      </c>
      <c r="X48" s="201">
        <f si="0" t="shared"/>
        <v>0</v>
      </c>
      <c r="AG48" s="201">
        <v>83</v>
      </c>
      <c r="AH48" s="201" t="s">
        <v>1210</v>
      </c>
      <c r="AI48" s="201">
        <v>0.49617548671400002</v>
      </c>
      <c r="AK48" s="201" t="s">
        <v>1183</v>
      </c>
    </row>
    <row r="49" spans="2:37" x14ac:dyDescent="0.25">
      <c r="B49" s="128" t="str">
        <f>ToursByTourPurpose!A6</f>
        <v>school</v>
      </c>
      <c r="C49" s="121">
        <f>ToursByTourPurpose!B6</f>
        <v>7822.3715016728247</v>
      </c>
      <c r="D49" s="145">
        <v>0</v>
      </c>
      <c r="E49" s="145">
        <v>0</v>
      </c>
      <c r="F49" s="145">
        <v>0</v>
      </c>
      <c r="G49" s="121">
        <f>ToursByTourPurpose!F6</f>
        <v>16162.602937271289</v>
      </c>
      <c r="H49" s="121">
        <f>ToursByTourPurpose!G6</f>
        <v>39914.875002653403</v>
      </c>
      <c r="I49" s="121">
        <f>ToursByTourPurpose!I6</f>
        <v>202608.36022104506</v>
      </c>
      <c r="J49" s="121">
        <f>ToursByTourPurpose!J6</f>
        <v>0</v>
      </c>
      <c r="K49" s="125" t="str">
        <f>ToursByTourPurpose!M6</f>
        <v>school</v>
      </c>
      <c r="L49" s="124">
        <f>ToursByTourPurpose!N6</f>
        <v>8916</v>
      </c>
      <c r="M49" s="124">
        <f>ToursByTourPurpose!O6</f>
        <v>0</v>
      </c>
      <c r="N49" s="124">
        <f>ToursByTourPurpose!P6</f>
        <v>0</v>
      </c>
      <c r="O49" s="124">
        <f>ToursByTourPurpose!Q6</f>
        <v>0</v>
      </c>
      <c r="P49" s="124">
        <f>ToursByTourPurpose!R6</f>
        <v>13865</v>
      </c>
      <c r="Q49" s="124">
        <f>ToursByTourPurpose!S6</f>
        <v>33536</v>
      </c>
      <c r="R49" s="124">
        <f>ToursByTourPurpose!U6</f>
        <v>175464</v>
      </c>
      <c r="S49" s="124">
        <f>ToursByTourPurpose!V6</f>
        <v>0</v>
      </c>
      <c r="T49" s="201">
        <f>DayPatternCoefficients!A57</f>
        <v>218</v>
      </c>
      <c r="U49" s="201" t="str">
        <f>DayPatternCoefficients!B57</f>
        <v>S-FAD515</v>
      </c>
      <c r="V49" s="222">
        <f>DayPatternCoefficients!D57</f>
        <v>0</v>
      </c>
      <c r="W49" s="223">
        <f>_xlfn.IFNA(VLOOKUP(T49,$K$63:$M$111,3,FALSE),_xlfn.IFNA(VLOOKUP(T49,$G$5:$K$11,5,FALSE),_xlfn.IFNA(IF(VLOOKUP(T49,$G$19:$K$25,4,FALSE)&gt;0,VLOOKUP(T49,$G$19:$K$25,5,FALSE),VLOOKUP(T49,$G$33:$K$39,5,FALSE)),_xlfn.IFNA(VLOOKUP(T49,new_summaries!$V$4:$Y$101,4,FALSE),V49))))</f>
        <v>0</v>
      </c>
      <c r="X49" s="201">
        <f si="0" t="shared"/>
        <v>0</v>
      </c>
      <c r="AG49" s="201">
        <v>84</v>
      </c>
      <c r="AH49" s="201" t="s">
        <v>1210</v>
      </c>
      <c r="AI49" s="201">
        <v>-0.23939659975899999</v>
      </c>
      <c r="AK49" s="201" t="s">
        <v>1184</v>
      </c>
    </row>
    <row r="50" spans="2:37" x14ac:dyDescent="0.25">
      <c r="B50" s="128" t="str">
        <f>ToursByTourPurpose!A7</f>
        <v>escort</v>
      </c>
      <c r="C50" s="121">
        <f>ToursByTourPurpose!B7</f>
        <v>76516.285465825553</v>
      </c>
      <c r="D50" s="144">
        <f>ToursByTourPurpose!C7+ToursByTourPurpose!C6</f>
        <v>28451.741311768998</v>
      </c>
      <c r="E50" s="144">
        <f>ToursByTourPurpose!D7+ToursByTourPurpose!D6</f>
        <v>18934.4555258252</v>
      </c>
      <c r="F50" s="144">
        <f>ToursByTourPurpose!E7+ToursByTourPurpose!E6</f>
        <v>72328.545114537192</v>
      </c>
      <c r="G50" s="121">
        <f>ToursByTourPurpose!F7</f>
        <v>6606.0629936042124</v>
      </c>
      <c r="H50" s="121">
        <f>ToursByTourPurpose!G7</f>
        <v>3444.8349231508414</v>
      </c>
      <c r="I50" s="121">
        <f>ToursByTourPurpose!I7</f>
        <v>11186.421205535204</v>
      </c>
      <c r="J50" s="121">
        <f>ToursByTourPurpose!J7</f>
        <v>0</v>
      </c>
      <c r="K50" s="125" t="str">
        <f>ToursByTourPurpose!M7</f>
        <v>escort</v>
      </c>
      <c r="L50" s="124">
        <f>ToursByTourPurpose!N7</f>
        <v>75349</v>
      </c>
      <c r="M50" s="124">
        <f>ToursByTourPurpose!O7</f>
        <v>22841</v>
      </c>
      <c r="N50" s="124">
        <f>ToursByTourPurpose!P7</f>
        <v>15008</v>
      </c>
      <c r="O50" s="124">
        <f>ToursByTourPurpose!Q7</f>
        <v>61109</v>
      </c>
      <c r="P50" s="124">
        <f>ToursByTourPurpose!R7</f>
        <v>5863</v>
      </c>
      <c r="Q50" s="124">
        <f>ToursByTourPurpose!S7</f>
        <v>3074</v>
      </c>
      <c r="R50" s="124">
        <f>ToursByTourPurpose!U7</f>
        <v>10472</v>
      </c>
      <c r="S50" s="124">
        <f>ToursByTourPurpose!V7</f>
        <v>0</v>
      </c>
      <c r="T50" s="201">
        <f>DayPatternCoefficients!A58</f>
        <v>219</v>
      </c>
      <c r="U50" s="201" t="str">
        <f>DayPatternCoefficients!B58</f>
        <v>S-MADCU5</v>
      </c>
      <c r="V50" s="222">
        <f>DayPatternCoefficients!D58</f>
        <v>0</v>
      </c>
      <c r="W50" s="223">
        <f>_xlfn.IFNA(VLOOKUP(T50,$K$63:$M$111,3,FALSE),_xlfn.IFNA(VLOOKUP(T50,$G$5:$K$11,5,FALSE),_xlfn.IFNA(IF(VLOOKUP(T50,$G$19:$K$25,4,FALSE)&gt;0,VLOOKUP(T50,$G$19:$K$25,5,FALSE),VLOOKUP(T50,$G$33:$K$39,5,FALSE)),_xlfn.IFNA(VLOOKUP(T50,new_summaries!$V$4:$Y$101,4,FALSE),V50))))</f>
        <v>0</v>
      </c>
      <c r="X50" s="201">
        <f si="0" t="shared"/>
        <v>0</v>
      </c>
      <c r="AG50" s="201">
        <v>85</v>
      </c>
      <c r="AH50" s="201" t="s">
        <v>1210</v>
      </c>
      <c r="AI50" s="201">
        <v>0.141816684612</v>
      </c>
      <c r="AK50" s="201" t="s">
        <v>1186</v>
      </c>
    </row>
    <row r="51" spans="2:37" x14ac:dyDescent="0.25">
      <c r="B51" s="128" t="str">
        <f>ToursByTourPurpose!A8</f>
        <v>pers.bus</v>
      </c>
      <c r="C51" s="121">
        <f>ToursByTourPurpose!B8</f>
        <v>83390.592357353598</v>
      </c>
      <c r="D51" s="121">
        <f>ToursByTourPurpose!C8</f>
        <v>20594.211608790396</v>
      </c>
      <c r="E51" s="144">
        <f>ToursByTourPurpose!D8+ToursByTourPurpose!D5</f>
        <v>80721.761037520933</v>
      </c>
      <c r="F51" s="144">
        <f>ToursByTourPurpose!E8+ToursByTourPurpose!E5</f>
        <v>63939.266845599705</v>
      </c>
      <c r="G51" s="121">
        <f>ToursByTourPurpose!F8</f>
        <v>5318.24815397367</v>
      </c>
      <c r="H51" s="121">
        <f>ToursByTourPurpose!G8</f>
        <v>6114.0016703302927</v>
      </c>
      <c r="I51" s="144">
        <f>ToursByTourPurpose!I8+ToursByTourPurpose!I5</f>
        <v>20121.220496663562</v>
      </c>
      <c r="J51" s="121">
        <f>ToursByTourPurpose!J8</f>
        <v>0</v>
      </c>
      <c r="K51" s="125" t="str">
        <f>ToursByTourPurpose!M8</f>
        <v>pers.bus</v>
      </c>
      <c r="L51" s="124">
        <f>ToursByTourPurpose!N8</f>
        <v>76748</v>
      </c>
      <c r="M51" s="124">
        <f>ToursByTourPurpose!O8</f>
        <v>18731</v>
      </c>
      <c r="N51" s="124">
        <f>ToursByTourPurpose!P8</f>
        <v>70761</v>
      </c>
      <c r="O51" s="124">
        <f>ToursByTourPurpose!Q8</f>
        <v>55525</v>
      </c>
      <c r="P51" s="124">
        <f>ToursByTourPurpose!R8</f>
        <v>5538</v>
      </c>
      <c r="Q51" s="124">
        <f>ToursByTourPurpose!S8</f>
        <v>6037</v>
      </c>
      <c r="R51" s="124">
        <f>ToursByTourPurpose!U8</f>
        <v>16704</v>
      </c>
      <c r="S51" s="124">
        <f>ToursByTourPurpose!V8</f>
        <v>0</v>
      </c>
      <c r="T51" s="201">
        <f>DayPatternCoefficients!A59</f>
        <v>220</v>
      </c>
      <c r="U51" s="201" t="str">
        <f>DayPatternCoefficients!B59</f>
        <v>S-MAD515</v>
      </c>
      <c r="V51" s="222">
        <f>DayPatternCoefficients!D59</f>
        <v>0</v>
      </c>
      <c r="W51" s="223">
        <f>_xlfn.IFNA(VLOOKUP(T51,$K$63:$M$111,3,FALSE),_xlfn.IFNA(VLOOKUP(T51,$G$5:$K$11,5,FALSE),_xlfn.IFNA(IF(VLOOKUP(T51,$G$19:$K$25,4,FALSE)&gt;0,VLOOKUP(T51,$G$19:$K$25,5,FALSE),VLOOKUP(T51,$G$33:$K$39,5,FALSE)),_xlfn.IFNA(VLOOKUP(T51,new_summaries!$V$4:$Y$101,4,FALSE),V51))))</f>
        <v>0</v>
      </c>
      <c r="X51" s="201">
        <f si="0" t="shared"/>
        <v>0</v>
      </c>
      <c r="AG51" s="201">
        <v>86</v>
      </c>
      <c r="AH51" s="201" t="s">
        <v>1210</v>
      </c>
      <c r="AI51" s="201">
        <v>-0.66113956890100001</v>
      </c>
      <c r="AK51" s="201" t="s">
        <v>1188</v>
      </c>
    </row>
    <row r="52" spans="2:37" x14ac:dyDescent="0.25">
      <c r="B52" s="128" t="str">
        <f>ToursByTourPurpose!A9</f>
        <v>shop</v>
      </c>
      <c r="C52" s="121">
        <f>ToursByTourPurpose!B9</f>
        <v>54385.120200664984</v>
      </c>
      <c r="D52" s="121">
        <f>ToursByTourPurpose!C9</f>
        <v>16154.530674901831</v>
      </c>
      <c r="E52" s="121">
        <f>ToursByTourPurpose!D9</f>
        <v>44746.364789534171</v>
      </c>
      <c r="F52" s="121">
        <f>ToursByTourPurpose!E9</f>
        <v>44151.221275920492</v>
      </c>
      <c r="G52" s="121">
        <f>ToursByTourPurpose!F9</f>
        <v>5689.4839786761631</v>
      </c>
      <c r="H52" s="121">
        <f>ToursByTourPurpose!G9</f>
        <v>1915.0974994991036</v>
      </c>
      <c r="I52" s="121">
        <f>ToursByTourPurpose!I9</f>
        <v>8845.6463764424007</v>
      </c>
      <c r="J52" s="121">
        <f>ToursByTourPurpose!J9</f>
        <v>0</v>
      </c>
      <c r="K52" s="125" t="str">
        <f>ToursByTourPurpose!M9</f>
        <v>shop</v>
      </c>
      <c r="L52" s="124">
        <f>ToursByTourPurpose!N9</f>
        <v>48727</v>
      </c>
      <c r="M52" s="124">
        <f>ToursByTourPurpose!O9</f>
        <v>14660</v>
      </c>
      <c r="N52" s="124">
        <f>ToursByTourPurpose!P9</f>
        <v>44075</v>
      </c>
      <c r="O52" s="124">
        <f>ToursByTourPurpose!Q9</f>
        <v>40472</v>
      </c>
      <c r="P52" s="124">
        <f>ToursByTourPurpose!R9</f>
        <v>6054</v>
      </c>
      <c r="Q52" s="124">
        <f>ToursByTourPurpose!S9</f>
        <v>2098</v>
      </c>
      <c r="R52" s="124">
        <f>ToursByTourPurpose!U9</f>
        <v>8231</v>
      </c>
      <c r="S52" s="124">
        <f>ToursByTourPurpose!V9</f>
        <v>0</v>
      </c>
      <c r="T52" s="201">
        <f>DayPatternCoefficients!A60</f>
        <v>221</v>
      </c>
      <c r="U52" s="201" t="str">
        <f>DayPatternCoefficients!B60</f>
        <v>S-AG1825</v>
      </c>
      <c r="V52" s="222">
        <f>DayPatternCoefficients!D60</f>
        <v>0.33401706346999999</v>
      </c>
      <c r="W52" s="223">
        <f>_xlfn.IFNA(VLOOKUP(T52,$K$63:$M$111,3,FALSE),_xlfn.IFNA(VLOOKUP(T52,$G$5:$K$11,5,FALSE),_xlfn.IFNA(IF(VLOOKUP(T52,$G$19:$K$25,4,FALSE)&gt;0,VLOOKUP(T52,$G$19:$K$25,5,FALSE),VLOOKUP(T52,$G$33:$K$39,5,FALSE)),_xlfn.IFNA(VLOOKUP(T52,new_summaries!$V$4:$Y$101,4,FALSE),V52))))</f>
        <v>0.33401706346999999</v>
      </c>
      <c r="X52" s="201">
        <f si="0" t="shared"/>
        <v>0</v>
      </c>
      <c r="AG52" s="201">
        <v>87</v>
      </c>
      <c r="AH52" s="201" t="s">
        <v>1210</v>
      </c>
      <c r="AI52" s="201">
        <v>-0.187451161299</v>
      </c>
      <c r="AK52" s="201" t="s">
        <v>1191</v>
      </c>
    </row>
    <row r="53" spans="2:37" x14ac:dyDescent="0.25">
      <c r="B53" s="128" t="str">
        <f>ToursByTourPurpose!A10</f>
        <v>meal</v>
      </c>
      <c r="C53" s="121">
        <f>ToursByTourPurpose!B10</f>
        <v>49967.163326372502</v>
      </c>
      <c r="D53" s="121">
        <f>ToursByTourPurpose!C10</f>
        <v>7572.4979722401704</v>
      </c>
      <c r="E53" s="121">
        <f>ToursByTourPurpose!D10</f>
        <v>24548.122300078627</v>
      </c>
      <c r="F53" s="121">
        <f>ToursByTourPurpose!E10</f>
        <v>12238.964269697675</v>
      </c>
      <c r="G53" s="121">
        <f>ToursByTourPurpose!F10</f>
        <v>4571.5672147740752</v>
      </c>
      <c r="H53" s="121">
        <f>ToursByTourPurpose!G10</f>
        <v>873.19389448202321</v>
      </c>
      <c r="I53" s="121">
        <f>ToursByTourPurpose!I10</f>
        <v>6975.2200261707976</v>
      </c>
      <c r="J53" s="121">
        <f>ToursByTourPurpose!J10</f>
        <v>0</v>
      </c>
      <c r="K53" s="125" t="str">
        <f>ToursByTourPurpose!M10</f>
        <v>meal</v>
      </c>
      <c r="L53" s="124">
        <f>ToursByTourPurpose!N10</f>
        <v>44566</v>
      </c>
      <c r="M53" s="124">
        <f>ToursByTourPurpose!O10</f>
        <v>6523</v>
      </c>
      <c r="N53" s="124">
        <f>ToursByTourPurpose!P10</f>
        <v>22419</v>
      </c>
      <c r="O53" s="124">
        <f>ToursByTourPurpose!Q10</f>
        <v>13426</v>
      </c>
      <c r="P53" s="124">
        <f>ToursByTourPurpose!R10</f>
        <v>3898</v>
      </c>
      <c r="Q53" s="124">
        <f>ToursByTourPurpose!S10</f>
        <v>1242</v>
      </c>
      <c r="R53" s="124">
        <f>ToursByTourPurpose!U10</f>
        <v>6255</v>
      </c>
      <c r="S53" s="124">
        <f>ToursByTourPurpose!V10</f>
        <v>0</v>
      </c>
      <c r="T53" s="201">
        <f>DayPatternCoefficients!A61</f>
        <v>222</v>
      </c>
      <c r="U53" s="201" t="str">
        <f>DayPatternCoefficients!B61</f>
        <v>S-AG2635</v>
      </c>
      <c r="V53" s="222">
        <f>DayPatternCoefficients!D61</f>
        <v>0</v>
      </c>
      <c r="W53" s="223">
        <f>_xlfn.IFNA(VLOOKUP(T53,$K$63:$M$111,3,FALSE),_xlfn.IFNA(VLOOKUP(T53,$G$5:$K$11,5,FALSE),_xlfn.IFNA(IF(VLOOKUP(T53,$G$19:$K$25,4,FALSE)&gt;0,VLOOKUP(T53,$G$19:$K$25,5,FALSE),VLOOKUP(T53,$G$33:$K$39,5,FALSE)),_xlfn.IFNA(VLOOKUP(T53,new_summaries!$V$4:$Y$101,4,FALSE),V53))))</f>
        <v>0</v>
      </c>
      <c r="X53" s="201">
        <f si="0" t="shared"/>
        <v>0</v>
      </c>
      <c r="AG53" s="201">
        <v>88</v>
      </c>
      <c r="AH53" s="201" t="s">
        <v>1210</v>
      </c>
      <c r="AI53" s="201">
        <v>-0.29525033118999999</v>
      </c>
      <c r="AK53" s="201" t="s">
        <v>1194</v>
      </c>
    </row>
    <row r="54" spans="2:37" x14ac:dyDescent="0.25">
      <c r="B54" s="128" t="str">
        <f>ToursByTourPurpose!A11</f>
        <v>soc/rec</v>
      </c>
      <c r="C54" s="121">
        <f>ToursByTourPurpose!B11</f>
        <v>83463.306692474158</v>
      </c>
      <c r="D54" s="121">
        <f>ToursByTourPurpose!C11</f>
        <v>16949.096854205571</v>
      </c>
      <c r="E54" s="121">
        <f>ToursByTourPurpose!D11</f>
        <v>36428.763891802089</v>
      </c>
      <c r="F54" s="121">
        <f>ToursByTourPurpose!E11</f>
        <v>38988.370276847389</v>
      </c>
      <c r="G54" s="121">
        <f>ToursByTourPurpose!F11</f>
        <v>5941.7383510973232</v>
      </c>
      <c r="H54" s="121">
        <f>ToursByTourPurpose!G11</f>
        <v>11227.316295214649</v>
      </c>
      <c r="I54" s="121">
        <f>ToursByTourPurpose!I11</f>
        <v>56241.212437745249</v>
      </c>
      <c r="J54" s="121">
        <f>ToursByTourPurpose!J11</f>
        <v>0</v>
      </c>
      <c r="K54" s="125" t="str">
        <f>ToursByTourPurpose!M11</f>
        <v>soc/rec</v>
      </c>
      <c r="L54" s="124">
        <f>ToursByTourPurpose!N11</f>
        <v>75123</v>
      </c>
      <c r="M54" s="124">
        <f>ToursByTourPurpose!O11</f>
        <v>15551</v>
      </c>
      <c r="N54" s="124">
        <f>ToursByTourPurpose!P11</f>
        <v>34478</v>
      </c>
      <c r="O54" s="124">
        <f>ToursByTourPurpose!Q11</f>
        <v>34710</v>
      </c>
      <c r="P54" s="124">
        <f>ToursByTourPurpose!R11</f>
        <v>5988</v>
      </c>
      <c r="Q54" s="124">
        <f>ToursByTourPurpose!S11</f>
        <v>12291</v>
      </c>
      <c r="R54" s="124">
        <f>ToursByTourPurpose!U11</f>
        <v>46579</v>
      </c>
      <c r="S54" s="124">
        <f>ToursByTourPurpose!V11</f>
        <v>0</v>
      </c>
      <c r="T54" s="201">
        <f>DayPatternCoefficients!A62</f>
        <v>223</v>
      </c>
      <c r="U54" s="201" t="str">
        <f>DayPatternCoefficients!B62</f>
        <v>S-AG5165</v>
      </c>
      <c r="V54" s="222">
        <f>DayPatternCoefficients!D62</f>
        <v>-0.94598469378000005</v>
      </c>
      <c r="W54" s="223">
        <f>_xlfn.IFNA(VLOOKUP(T54,$K$63:$M$111,3,FALSE),_xlfn.IFNA(VLOOKUP(T54,$G$5:$K$11,5,FALSE),_xlfn.IFNA(IF(VLOOKUP(T54,$G$19:$K$25,4,FALSE)&gt;0,VLOOKUP(T54,$G$19:$K$25,5,FALSE),VLOOKUP(T54,$G$33:$K$39,5,FALSE)),_xlfn.IFNA(VLOOKUP(T54,new_summaries!$V$4:$Y$101,4,FALSE),V54))))</f>
        <v>-0.94598469378000005</v>
      </c>
      <c r="X54" s="201">
        <f si="0" t="shared"/>
        <v>0</v>
      </c>
      <c r="AG54" s="201">
        <v>89</v>
      </c>
      <c r="AH54" s="201" t="s">
        <v>1211</v>
      </c>
      <c r="AI54" s="201">
        <v>0.93398227069700002</v>
      </c>
      <c r="AK54" s="201" t="s">
        <v>1182</v>
      </c>
    </row>
    <row r="55" spans="2:37" x14ac:dyDescent="0.25">
      <c r="B55" s="128" t="str">
        <f>ToursByTourPurpose!A12</f>
        <v>workbased</v>
      </c>
      <c r="C55" s="121">
        <f>ToursByTourPurpose!B12</f>
        <v>118546.15785314803</v>
      </c>
      <c r="D55" s="121">
        <f>ToursByTourPurpose!C12</f>
        <v>6217.0090197566597</v>
      </c>
      <c r="E55" s="145">
        <f>ToursByTourPurpose!D12</f>
        <v>0</v>
      </c>
      <c r="F55" s="145">
        <f>ToursByTourPurpose!E12</f>
        <v>144.71307474982191</v>
      </c>
      <c r="G55" s="121">
        <f>ToursByTourPurpose!F12</f>
        <v>115.6107579511787</v>
      </c>
      <c r="H55" s="121">
        <f>ToursByTourPurpose!G12</f>
        <v>0</v>
      </c>
      <c r="I55" s="145">
        <f>ToursByTourPurpose!I12</f>
        <v>0</v>
      </c>
      <c r="J55" s="145">
        <f>ToursByTourPurpose!J12</f>
        <v>0</v>
      </c>
      <c r="K55" s="125" t="str">
        <f>ToursByTourPurpose!M12</f>
        <v>workbased</v>
      </c>
      <c r="L55" s="124">
        <f>ToursByTourPurpose!N12</f>
        <v>96124</v>
      </c>
      <c r="M55" s="124">
        <f>ToursByTourPurpose!O12</f>
        <v>6542</v>
      </c>
      <c r="N55" s="124">
        <f>ToursByTourPurpose!P12</f>
        <v>0</v>
      </c>
      <c r="O55" s="124">
        <f>ToursByTourPurpose!Q12</f>
        <v>0</v>
      </c>
      <c r="P55" s="124">
        <f>ToursByTourPurpose!R12</f>
        <v>1231</v>
      </c>
      <c r="Q55" s="124">
        <f>ToursByTourPurpose!S12</f>
        <v>304</v>
      </c>
      <c r="R55" s="124">
        <f>ToursByTourPurpose!U12</f>
        <v>0</v>
      </c>
      <c r="S55" s="124">
        <f>ToursByTourPurpose!V12</f>
        <v>0</v>
      </c>
      <c r="T55" s="201">
        <f>DayPatternCoefficients!A63</f>
        <v>224</v>
      </c>
      <c r="U55" s="201" t="str">
        <f>DayPatternCoefficients!B63</f>
        <v>S-WAHOME</v>
      </c>
      <c r="V55" s="222">
        <f>DayPatternCoefficients!D63</f>
        <v>0</v>
      </c>
      <c r="W55" s="223">
        <f>_xlfn.IFNA(VLOOKUP(T55,$K$63:$M$111,3,FALSE),_xlfn.IFNA(VLOOKUP(T55,$G$5:$K$11,5,FALSE),_xlfn.IFNA(IF(VLOOKUP(T55,$G$19:$K$25,4,FALSE)&gt;0,VLOOKUP(T55,$G$19:$K$25,5,FALSE),VLOOKUP(T55,$G$33:$K$39,5,FALSE)),_xlfn.IFNA(VLOOKUP(T55,new_summaries!$V$4:$Y$101,4,FALSE),V55))))</f>
        <v>0</v>
      </c>
      <c r="X55" s="201">
        <f si="0" t="shared"/>
        <v>0</v>
      </c>
      <c r="AG55" s="201">
        <v>90</v>
      </c>
      <c r="AH55" s="201" t="s">
        <v>1212</v>
      </c>
      <c r="AI55" s="201">
        <v>-5</v>
      </c>
      <c r="AK55" s="201" t="s">
        <v>1183</v>
      </c>
    </row>
    <row customHeight="1" ht="14.65" r="56" spans="2:37" thickBot="1" x14ac:dyDescent="0.3">
      <c r="B56" s="129" t="str">
        <f>ToursByTourPurpose!A13</f>
        <v>Total</v>
      </c>
      <c r="C56" s="130">
        <f>ToursByTourPurpose!B13</f>
        <v>1186960.6327676964</v>
      </c>
      <c r="D56" s="130">
        <f>ToursByTourPurpose!C13</f>
        <v>156931.4284527665</v>
      </c>
      <c r="E56" s="130">
        <f>ToursByTourPurpose!D13</f>
        <v>205379.46754476099</v>
      </c>
      <c r="F56" s="130">
        <f>ToursByTourPurpose!E13</f>
        <v>231791.08085735227</v>
      </c>
      <c r="G56" s="130">
        <f>ToursByTourPurpose!F13</f>
        <v>57170.733888223353</v>
      </c>
      <c r="H56" s="130">
        <f>ToursByTourPurpose!G13</f>
        <v>65767.227655675393</v>
      </c>
      <c r="I56" s="130">
        <f>ToursByTourPurpose!I13</f>
        <v>305978.08076360234</v>
      </c>
      <c r="J56" s="130">
        <f>ToursByTourPurpose!J13</f>
        <v>0</v>
      </c>
      <c r="K56" s="126" t="str">
        <f>ToursByTourPurpose!M13</f>
        <v>Total</v>
      </c>
      <c r="L56" s="127">
        <f>ToursByTourPurpose!N13</f>
        <v>1031872</v>
      </c>
      <c r="M56" s="127">
        <f>ToursByTourPurpose!O13</f>
        <v>138388</v>
      </c>
      <c r="N56" s="127">
        <f>ToursByTourPurpose!P13</f>
        <v>186741</v>
      </c>
      <c r="O56" s="127">
        <f>ToursByTourPurpose!Q13</f>
        <v>205242</v>
      </c>
      <c r="P56" s="127">
        <f>ToursByTourPurpose!R13</f>
        <v>54701</v>
      </c>
      <c r="Q56" s="127">
        <f>ToursByTourPurpose!S13</f>
        <v>60926</v>
      </c>
      <c r="R56" s="127">
        <f>ToursByTourPurpose!U13</f>
        <v>263705</v>
      </c>
      <c r="S56" s="127">
        <f>ToursByTourPurpose!V13</f>
        <v>0</v>
      </c>
      <c r="T56" s="201">
        <f>DayPatternCoefficients!A64</f>
        <v>225</v>
      </c>
      <c r="U56" s="201" t="str">
        <f>DayPatternCoefficients!B64</f>
        <v>S-MIXDEN</v>
      </c>
      <c r="V56" s="222">
        <f>DayPatternCoefficients!D64</f>
        <v>0</v>
      </c>
      <c r="W56" s="223">
        <f>_xlfn.IFNA(VLOOKUP(T56,$K$63:$M$111,3,FALSE),_xlfn.IFNA(VLOOKUP(T56,$G$5:$K$11,5,FALSE),_xlfn.IFNA(IF(VLOOKUP(T56,$G$19:$K$25,4,FALSE)&gt;0,VLOOKUP(T56,$G$19:$K$25,5,FALSE),VLOOKUP(T56,$G$33:$K$39,5,FALSE)),_xlfn.IFNA(VLOOKUP(T56,new_summaries!$V$4:$Y$101,4,FALSE),V56))))</f>
        <v>0</v>
      </c>
      <c r="X56" s="201">
        <f si="0" t="shared"/>
        <v>0</v>
      </c>
      <c r="AG56" s="201">
        <v>91</v>
      </c>
      <c r="AH56" s="201" t="s">
        <v>1213</v>
      </c>
      <c r="AI56" s="201">
        <v>-0.46211489475700002</v>
      </c>
      <c r="AK56" s="201" t="s">
        <v>1184</v>
      </c>
    </row>
    <row r="57" spans="2:37" x14ac:dyDescent="0.25">
      <c r="C57" s="143"/>
      <c r="D57" s="143"/>
      <c r="E57" s="143"/>
      <c r="F57" s="143"/>
      <c r="G57" s="143"/>
      <c r="H57" s="143"/>
      <c r="I57" s="143"/>
      <c r="J57" s="143"/>
      <c r="T57" s="201">
        <f>DayPatternCoefficients!A65</f>
        <v>226</v>
      </c>
      <c r="U57" s="201" t="str">
        <f>DayPatternCoefficients!B65</f>
        <v>S-INTDEN</v>
      </c>
      <c r="V57" s="222">
        <f>DayPatternCoefficients!D65</f>
        <v>0</v>
      </c>
      <c r="W57" s="223">
        <f>_xlfn.IFNA(VLOOKUP(T57,$K$63:$M$111,3,FALSE),_xlfn.IFNA(VLOOKUP(T57,$G$5:$K$11,5,FALSE),_xlfn.IFNA(IF(VLOOKUP(T57,$G$19:$K$25,4,FALSE)&gt;0,VLOOKUP(T57,$G$19:$K$25,5,FALSE),VLOOKUP(T57,$G$33:$K$39,5,FALSE)),_xlfn.IFNA(VLOOKUP(T57,new_summaries!$V$4:$Y$101,4,FALSE),V57))))</f>
        <v>0</v>
      </c>
      <c r="X57" s="201">
        <f si="0" t="shared"/>
        <v>0</v>
      </c>
      <c r="AG57" s="201">
        <v>92</v>
      </c>
      <c r="AH57" s="201" t="s">
        <v>1214</v>
      </c>
      <c r="AI57" s="201">
        <v>-0.86143782592100004</v>
      </c>
      <c r="AK57" s="201" t="s">
        <v>1186</v>
      </c>
    </row>
    <row r="58" spans="2:37" x14ac:dyDescent="0.25">
      <c r="T58" s="201">
        <f>DayPatternCoefficients!A66</f>
        <v>227</v>
      </c>
      <c r="U58" s="201" t="str">
        <f>DayPatternCoefficients!B66</f>
        <v>S-ACCLOG</v>
      </c>
      <c r="V58" s="222">
        <f>DayPatternCoefficients!D66</f>
        <v>0</v>
      </c>
      <c r="W58" s="223">
        <f>_xlfn.IFNA(VLOOKUP(T58,$K$63:$M$111,3,FALSE),_xlfn.IFNA(VLOOKUP(T58,$G$5:$K$11,5,FALSE),_xlfn.IFNA(IF(VLOOKUP(T58,$G$19:$K$25,4,FALSE)&gt;0,VLOOKUP(T58,$G$19:$K$25,5,FALSE),VLOOKUP(T58,$G$33:$K$39,5,FALSE)),_xlfn.IFNA(VLOOKUP(T58,new_summaries!$V$4:$Y$101,4,FALSE),V58))))</f>
        <v>0</v>
      </c>
      <c r="X58" s="201">
        <f si="0" t="shared"/>
        <v>0</v>
      </c>
      <c r="AG58" s="201">
        <v>93</v>
      </c>
      <c r="AH58" s="201" t="s">
        <v>1215</v>
      </c>
      <c r="AI58" s="201">
        <v>-1.81254617234</v>
      </c>
      <c r="AK58" s="201" t="s">
        <v>1188</v>
      </c>
    </row>
    <row r="59" spans="2:37" x14ac:dyDescent="0.25">
      <c r="B59" s="264" t="s">
        <v>41</v>
      </c>
      <c r="C59" s="265"/>
      <c r="D59" s="265"/>
      <c r="E59" s="265"/>
      <c r="F59" s="265"/>
      <c r="G59" s="265"/>
      <c r="H59" s="265"/>
      <c r="I59" s="265"/>
      <c r="T59" s="201">
        <f>DayPatternCoefficients!A67</f>
        <v>228</v>
      </c>
      <c r="U59" s="201" t="str">
        <f>DayPatternCoefficients!B67</f>
        <v>S-TPASS</v>
      </c>
      <c r="V59" s="222">
        <f>DayPatternCoefficients!D67</f>
        <v>0</v>
      </c>
      <c r="W59" s="223">
        <f>_xlfn.IFNA(VLOOKUP(T59,$K$63:$M$111,3,FALSE),_xlfn.IFNA(VLOOKUP(T59,$G$5:$K$11,5,FALSE),_xlfn.IFNA(IF(VLOOKUP(T59,$G$19:$K$25,4,FALSE)&gt;0,VLOOKUP(T59,$G$19:$K$25,5,FALSE),VLOOKUP(T59,$G$33:$K$39,5,FALSE)),_xlfn.IFNA(VLOOKUP(T59,new_summaries!$V$4:$Y$101,4,FALSE),V59))))</f>
        <v>0</v>
      </c>
      <c r="X59" s="201">
        <f si="0" t="shared"/>
        <v>0</v>
      </c>
      <c r="AG59" s="201">
        <v>94</v>
      </c>
      <c r="AH59" s="201" t="s">
        <v>1216</v>
      </c>
      <c r="AI59" s="201">
        <v>-2.1522853463799998</v>
      </c>
      <c r="AK59" s="201" t="s">
        <v>1191</v>
      </c>
    </row>
    <row r="60" spans="2:37" x14ac:dyDescent="0.25">
      <c r="B60" s="264" t="s">
        <v>1217</v>
      </c>
      <c r="C60" s="265"/>
      <c r="D60" s="265"/>
      <c r="E60" s="265"/>
      <c r="F60" s="265"/>
      <c r="G60" s="265"/>
      <c r="H60" s="265"/>
      <c r="I60" s="265"/>
      <c r="K60" s="202" t="s">
        <v>1218</v>
      </c>
      <c r="T60" s="201">
        <f>DayPatternCoefficients!A68</f>
        <v>229</v>
      </c>
      <c r="U60" s="201" t="str">
        <f>DayPatternCoefficients!B68</f>
        <v>S-T-LOGS</v>
      </c>
      <c r="V60" s="222">
        <f>DayPatternCoefficients!D68</f>
        <v>0.15632093079000001</v>
      </c>
      <c r="W60" s="223">
        <f>_xlfn.IFNA(VLOOKUP(T60,$K$63:$M$111,3,FALSE),_xlfn.IFNA(VLOOKUP(T60,$G$5:$K$11,5,FALSE),_xlfn.IFNA(IF(VLOOKUP(T60,$G$19:$K$25,4,FALSE)&gt;0,VLOOKUP(T60,$G$19:$K$25,5,FALSE),VLOOKUP(T60,$G$33:$K$39,5,FALSE)),_xlfn.IFNA(VLOOKUP(T60,new_summaries!$V$4:$Y$101,4,FALSE),V60))))</f>
        <v>0.15632093079000001</v>
      </c>
      <c r="X60" s="201">
        <f si="0" t="shared"/>
        <v>0</v>
      </c>
      <c r="AG60" s="201">
        <v>95</v>
      </c>
      <c r="AH60" s="201" t="s">
        <v>1219</v>
      </c>
      <c r="AI60" s="201">
        <v>-1.6486450373699999</v>
      </c>
      <c r="AK60" s="201" t="s">
        <v>1194</v>
      </c>
    </row>
    <row customHeight="1" ht="14.65" r="61" spans="2:37" thickBot="1" x14ac:dyDescent="0.3">
      <c r="B61" s="265"/>
      <c r="C61" s="2"/>
      <c r="D61" s="2"/>
      <c r="E61" s="2"/>
      <c r="F61" s="2"/>
      <c r="G61" s="2"/>
      <c r="H61" s="2"/>
      <c r="I61" s="2"/>
      <c r="K61" s="83" t="s">
        <v>1134</v>
      </c>
      <c r="L61" s="74"/>
      <c r="M61" s="74"/>
      <c r="N61" s="74"/>
      <c r="O61" s="74"/>
      <c r="T61" s="201">
        <f>DayPatternCoefficients!A69</f>
        <v>230</v>
      </c>
      <c r="U61" s="201" t="str">
        <f>DayPatternCoefficients!B69</f>
        <v>S-T-PPRK</v>
      </c>
      <c r="V61" s="222">
        <f>DayPatternCoefficients!D69</f>
        <v>0</v>
      </c>
      <c r="W61" s="223">
        <f>_xlfn.IFNA(VLOOKUP(T61,$K$63:$M$111,3,FALSE),_xlfn.IFNA(VLOOKUP(T61,$G$5:$K$11,5,FALSE),_xlfn.IFNA(IF(VLOOKUP(T61,$G$19:$K$25,4,FALSE)&gt;0,VLOOKUP(T61,$G$19:$K$25,5,FALSE),VLOOKUP(T61,$G$33:$K$39,5,FALSE)),_xlfn.IFNA(VLOOKUP(T61,new_summaries!$V$4:$Y$101,4,FALSE),V61))))</f>
        <v>0</v>
      </c>
      <c r="X61" s="201">
        <f si="0" t="shared"/>
        <v>0</v>
      </c>
      <c r="AG61" s="201">
        <v>96</v>
      </c>
      <c r="AH61" s="201" t="s">
        <v>1220</v>
      </c>
      <c r="AI61" s="201">
        <v>-1.3894520502500001</v>
      </c>
      <c r="AK61" s="201" t="s">
        <v>1182</v>
      </c>
    </row>
    <row r="62" spans="2:37" x14ac:dyDescent="0.25">
      <c r="B62" s="3" t="s">
        <v>22</v>
      </c>
      <c r="C62" s="4" t="s">
        <v>12</v>
      </c>
      <c r="D62" s="4" t="s">
        <v>13</v>
      </c>
      <c r="E62" s="4" t="s">
        <v>14</v>
      </c>
      <c r="F62" s="4" t="s">
        <v>15</v>
      </c>
      <c r="G62" s="4" t="s">
        <v>16</v>
      </c>
      <c r="H62" s="4" t="s">
        <v>17</v>
      </c>
      <c r="I62" s="4" t="s">
        <v>18</v>
      </c>
      <c r="J62" s="4" t="s">
        <v>1209</v>
      </c>
      <c r="K62" s="91" t="s">
        <v>306</v>
      </c>
      <c r="L62" s="71" t="s">
        <v>307</v>
      </c>
      <c r="M62" s="100" t="s">
        <v>1107</v>
      </c>
      <c r="N62" s="97" t="s">
        <v>1139</v>
      </c>
      <c r="O62" s="97" t="s">
        <v>1140</v>
      </c>
      <c r="T62" s="201">
        <f>DayPatternCoefficients!A70</f>
        <v>231</v>
      </c>
      <c r="U62" s="201" t="str">
        <f>DayPatternCoefficients!B70</f>
        <v>S-S-LOGS</v>
      </c>
      <c r="V62" s="222">
        <f>DayPatternCoefficients!D70</f>
        <v>0.44595990495999999</v>
      </c>
      <c r="W62" s="223">
        <f>_xlfn.IFNA(VLOOKUP(T62,$K$63:$M$111,3,FALSE),_xlfn.IFNA(VLOOKUP(T62,$G$5:$K$11,5,FALSE),_xlfn.IFNA(IF(VLOOKUP(T62,$G$19:$K$25,4,FALSE)&gt;0,VLOOKUP(T62,$G$19:$K$25,5,FALSE),VLOOKUP(T62,$G$33:$K$39,5,FALSE)),_xlfn.IFNA(VLOOKUP(T62,new_summaries!$V$4:$Y$101,4,FALSE),V62))))</f>
        <v>0.44595990495999999</v>
      </c>
      <c r="X62" s="201">
        <f si="0" t="shared"/>
        <v>0</v>
      </c>
      <c r="AG62" s="201">
        <v>103</v>
      </c>
      <c r="AH62" s="201" t="s">
        <v>1221</v>
      </c>
      <c r="AI62" s="201">
        <v>0.119796316892</v>
      </c>
      <c r="AK62" s="201" t="s">
        <v>1182</v>
      </c>
    </row>
    <row r="63" spans="2:37" x14ac:dyDescent="0.25">
      <c r="B63" s="265" t="s">
        <v>23</v>
      </c>
      <c r="C63" s="5">
        <v>151</v>
      </c>
      <c r="D63" s="5">
        <v>102</v>
      </c>
      <c r="E63" s="113" t="s">
        <v>1207</v>
      </c>
      <c r="F63" s="113" t="s">
        <v>1207</v>
      </c>
      <c r="G63" s="5">
        <v>105</v>
      </c>
      <c r="H63" s="5">
        <v>106</v>
      </c>
      <c r="I63" s="113" t="s">
        <v>1207</v>
      </c>
      <c r="J63" s="113" t="s">
        <v>1207</v>
      </c>
      <c r="K63" s="92">
        <v>151</v>
      </c>
      <c r="L63" s="222" t="str">
        <f ref="L63:L94" si="25" t="shared">VLOOKUP(K63,$T$3:$V$352,2,FALSE)</f>
        <v>W-FTW</v>
      </c>
      <c r="M63" s="237">
        <f ref="M63:M69" si="26" t="shared">C116</f>
        <v>-0.47911897977000001</v>
      </c>
      <c r="N63" s="238">
        <f ref="N63:N94" si="27" t="shared">VLOOKUP(K63,$T$3:$W$352,4,FALSE)</f>
        <v>-0.47911897977000001</v>
      </c>
      <c r="O63" s="94">
        <f ref="O63:O94" si="28" t="shared">IF(M63=N63,0,1)</f>
        <v>0</v>
      </c>
      <c r="T63" s="201">
        <f>DayPatternCoefficients!A71</f>
        <v>232</v>
      </c>
      <c r="U63" s="201" t="str">
        <f>DayPatternCoefficients!B71</f>
        <v>S-NODIAR</v>
      </c>
      <c r="V63" s="222">
        <f>DayPatternCoefficients!D71</f>
        <v>-0.60208080629000005</v>
      </c>
      <c r="W63" s="223">
        <f>_xlfn.IFNA(VLOOKUP(T63,$K$63:$M$111,3,FALSE),_xlfn.IFNA(VLOOKUP(T63,$G$5:$K$11,5,FALSE),_xlfn.IFNA(IF(VLOOKUP(T63,$G$19:$K$25,4,FALSE)&gt;0,VLOOKUP(T63,$G$19:$K$25,5,FALSE),VLOOKUP(T63,$G$33:$K$39,5,FALSE)),_xlfn.IFNA(VLOOKUP(T63,new_summaries!$V$4:$Y$101,4,FALSE),V63))))</f>
        <v>-0.60208080629000005</v>
      </c>
      <c r="X63" s="201">
        <f si="0" t="shared"/>
        <v>0</v>
      </c>
      <c r="AG63" s="201">
        <v>104</v>
      </c>
      <c r="AH63" s="201" t="s">
        <v>1221</v>
      </c>
      <c r="AI63" s="70">
        <v>-6.0874029466500001E-2</v>
      </c>
      <c r="AK63" s="201" t="s">
        <v>1183</v>
      </c>
    </row>
    <row r="64" spans="2:37" x14ac:dyDescent="0.25">
      <c r="B64" s="265" t="s">
        <v>24</v>
      </c>
      <c r="C64" s="5">
        <v>251</v>
      </c>
      <c r="D64" s="113" t="s">
        <v>1207</v>
      </c>
      <c r="E64" s="113" t="s">
        <v>1207</v>
      </c>
      <c r="F64" s="113" t="s">
        <v>1207</v>
      </c>
      <c r="G64" s="5">
        <v>205</v>
      </c>
      <c r="H64" s="5">
        <v>206</v>
      </c>
      <c r="I64" s="5">
        <v>207</v>
      </c>
      <c r="J64" s="201">
        <v>208</v>
      </c>
      <c r="K64" s="92">
        <v>251</v>
      </c>
      <c r="L64" s="222" t="str">
        <f si="25" t="shared"/>
        <v>S-FTW</v>
      </c>
      <c r="M64" s="237">
        <f si="26" t="shared"/>
        <v>-0.13882682499999999</v>
      </c>
      <c r="N64" s="238">
        <f si="27" t="shared"/>
        <v>-0.13882682499999999</v>
      </c>
      <c r="O64" s="94">
        <f si="28" t="shared"/>
        <v>0</v>
      </c>
      <c r="T64" s="201">
        <f>DayPatternCoefficients!A72</f>
        <v>233</v>
      </c>
      <c r="U64" s="201" t="str">
        <f>DayPatternCoefficients!B72</f>
        <v>S-PROXY</v>
      </c>
      <c r="V64" s="222">
        <f>DayPatternCoefficients!D72</f>
        <v>0</v>
      </c>
      <c r="W64" s="223">
        <f>_xlfn.IFNA(VLOOKUP(T64,$K$63:$M$111,3,FALSE),_xlfn.IFNA(VLOOKUP(T64,$G$5:$K$11,5,FALSE),_xlfn.IFNA(IF(VLOOKUP(T64,$G$19:$K$25,4,FALSE)&gt;0,VLOOKUP(T64,$G$19:$K$25,5,FALSE),VLOOKUP(T64,$G$33:$K$39,5,FALSE)),_xlfn.IFNA(VLOOKUP(T64,new_summaries!$V$4:$Y$101,4,FALSE),V64))))</f>
        <v>0</v>
      </c>
      <c r="X64" s="201">
        <f si="0" t="shared"/>
        <v>0</v>
      </c>
      <c r="AG64" s="201">
        <v>105</v>
      </c>
      <c r="AH64" s="201" t="s">
        <v>1221</v>
      </c>
      <c r="AI64" s="70">
        <v>6.1875263468900002E-2</v>
      </c>
      <c r="AK64" s="201" t="s">
        <v>1184</v>
      </c>
    </row>
    <row r="65" spans="2:37" x14ac:dyDescent="0.25">
      <c r="B65" s="265" t="s">
        <v>25</v>
      </c>
      <c r="C65" s="5">
        <v>351</v>
      </c>
      <c r="D65" s="5">
        <v>302</v>
      </c>
      <c r="E65" s="5">
        <v>303</v>
      </c>
      <c r="F65" s="5">
        <v>304</v>
      </c>
      <c r="G65" s="5">
        <v>305</v>
      </c>
      <c r="H65" s="5">
        <v>306</v>
      </c>
      <c r="I65" s="5">
        <v>307</v>
      </c>
      <c r="J65" s="201">
        <v>308</v>
      </c>
      <c r="K65" s="92">
        <v>351</v>
      </c>
      <c r="L65" s="222" t="str">
        <f si="25" t="shared"/>
        <v>E-FTW</v>
      </c>
      <c r="M65" s="237">
        <f si="26" t="shared"/>
        <v>-1.0623648370200001</v>
      </c>
      <c r="N65" s="238">
        <f si="27" t="shared"/>
        <v>-1.0623648370200001</v>
      </c>
      <c r="O65" s="94">
        <f si="28" t="shared"/>
        <v>0</v>
      </c>
      <c r="T65" s="201">
        <f>DayPatternCoefficients!A73</f>
        <v>234</v>
      </c>
      <c r="U65" s="201" t="str">
        <f>DayPatternCoefficients!B73</f>
        <v>S-WATHOME</v>
      </c>
      <c r="V65" s="222">
        <f>DayPatternCoefficients!D73</f>
        <v>1.3</v>
      </c>
      <c r="W65" s="223">
        <f>_xlfn.IFNA(VLOOKUP(T65,$K$63:$M$111,3,FALSE),_xlfn.IFNA(VLOOKUP(T65,$G$5:$K$11,5,FALSE),_xlfn.IFNA(IF(VLOOKUP(T65,$G$19:$K$25,4,FALSE)&gt;0,VLOOKUP(T65,$G$19:$K$25,5,FALSE),VLOOKUP(T65,$G$33:$K$39,5,FALSE)),_xlfn.IFNA(VLOOKUP(T65,new_summaries!$V$4:$Y$101,4,FALSE),V65))))</f>
        <v>1.3</v>
      </c>
      <c r="X65" s="201">
        <f si="0" t="shared"/>
        <v>0</v>
      </c>
      <c r="AG65" s="201">
        <v>106</v>
      </c>
      <c r="AH65" s="201" t="s">
        <v>1221</v>
      </c>
      <c r="AI65" s="201">
        <v>-0.106693712249</v>
      </c>
      <c r="AK65" s="201" t="s">
        <v>1186</v>
      </c>
    </row>
    <row r="66" spans="2:37" x14ac:dyDescent="0.25">
      <c r="B66" s="265" t="s">
        <v>26</v>
      </c>
      <c r="C66" s="5">
        <v>451</v>
      </c>
      <c r="D66" s="5">
        <v>402</v>
      </c>
      <c r="E66" s="5">
        <v>403</v>
      </c>
      <c r="F66" s="5">
        <v>404</v>
      </c>
      <c r="G66" s="5">
        <v>405</v>
      </c>
      <c r="H66" s="5">
        <v>406</v>
      </c>
      <c r="I66" s="5">
        <v>407</v>
      </c>
      <c r="J66" s="201">
        <v>408</v>
      </c>
      <c r="K66" s="92">
        <v>451</v>
      </c>
      <c r="L66" s="222" t="str">
        <f si="25" t="shared"/>
        <v>P-FTW</v>
      </c>
      <c r="M66" s="237">
        <f si="26" t="shared"/>
        <v>-0.78628794521000001</v>
      </c>
      <c r="N66" s="238">
        <f si="27" t="shared"/>
        <v>-0.78628794521000001</v>
      </c>
      <c r="O66" s="94">
        <f si="28" t="shared"/>
        <v>0</v>
      </c>
      <c r="T66" s="201">
        <f>DayPatternCoefficients!A74</f>
        <v>251</v>
      </c>
      <c r="U66" s="201" t="str">
        <f>DayPatternCoefficients!B74</f>
        <v>S-FTW</v>
      </c>
      <c r="V66" s="222">
        <f>DayPatternCoefficients!D74</f>
        <v>-0.13882682499999999</v>
      </c>
      <c r="W66" s="223">
        <f>_xlfn.IFNA(VLOOKUP(T66,$K$63:$M$111,3,FALSE),_xlfn.IFNA(VLOOKUP(T66,$G$5:$K$11,5,FALSE),_xlfn.IFNA(IF(VLOOKUP(T66,$G$19:$K$25,4,FALSE)&gt;0,VLOOKUP(T66,$G$19:$K$25,5,FALSE),VLOOKUP(T66,$G$33:$K$39,5,FALSE)),_xlfn.IFNA(VLOOKUP(T66,new_summaries!$V$4:$Y$101,4,FALSE),V66))))</f>
        <v>-0.13882682499999999</v>
      </c>
      <c r="X66" s="201">
        <f si="0" t="shared"/>
        <v>0</v>
      </c>
      <c r="AG66" s="201">
        <v>107</v>
      </c>
      <c r="AH66" s="201" t="s">
        <v>1221</v>
      </c>
      <c r="AI66" s="201">
        <v>-0.149975354285</v>
      </c>
      <c r="AK66" s="201" t="s">
        <v>1188</v>
      </c>
    </row>
    <row r="67" spans="2:37" x14ac:dyDescent="0.25">
      <c r="B67" s="265" t="s">
        <v>27</v>
      </c>
      <c r="C67" s="5">
        <v>551</v>
      </c>
      <c r="D67" s="5">
        <v>502</v>
      </c>
      <c r="E67" s="5">
        <v>503</v>
      </c>
      <c r="F67" s="5">
        <v>504</v>
      </c>
      <c r="G67" s="5">
        <v>505</v>
      </c>
      <c r="H67" s="5">
        <v>506</v>
      </c>
      <c r="I67" s="5">
        <v>507</v>
      </c>
      <c r="J67" s="201">
        <v>508</v>
      </c>
      <c r="K67" s="92">
        <v>551</v>
      </c>
      <c r="L67" s="222" t="str">
        <f si="25" t="shared"/>
        <v>H-FTW</v>
      </c>
      <c r="M67" s="237">
        <f si="26" t="shared"/>
        <v>-0.95312305667999997</v>
      </c>
      <c r="N67" s="238">
        <f si="27" t="shared"/>
        <v>-0.95312305667999997</v>
      </c>
      <c r="O67" s="94">
        <f si="28" t="shared"/>
        <v>0</v>
      </c>
      <c r="T67" s="201">
        <f>DayPatternCoefficients!A75</f>
        <v>300</v>
      </c>
      <c r="U67" s="201" t="str">
        <f>DayPatternCoefficients!B75</f>
        <v>E-TASC</v>
      </c>
      <c r="V67" s="222">
        <f>DayPatternCoefficients!D75</f>
        <v>-3.20782328605</v>
      </c>
      <c r="W67" s="223">
        <f>_xlfn.IFNA(VLOOKUP(T67,$K$63:$M$111,3,FALSE),_xlfn.IFNA(VLOOKUP(T67,$G$5:$K$11,5,FALSE),_xlfn.IFNA(IF(VLOOKUP(T67,$G$19:$K$25,4,FALSE)&gt;0,VLOOKUP(T67,$G$19:$K$25,5,FALSE),VLOOKUP(T67,$G$33:$K$39,5,FALSE)),_xlfn.IFNA(VLOOKUP(T67,new_summaries!$V$4:$Y$101,4,FALSE),V67))))</f>
        <v>-3.2314252155574259</v>
      </c>
      <c r="X67" s="201">
        <f ref="X67:X130" si="29" t="shared">IF(V67=W67,0,1)</f>
        <v>1</v>
      </c>
      <c r="AG67" s="201">
        <v>108</v>
      </c>
      <c r="AH67" s="201" t="s">
        <v>1221</v>
      </c>
      <c r="AI67" s="201">
        <v>-0.17908713325299999</v>
      </c>
      <c r="AK67" s="201" t="s">
        <v>1191</v>
      </c>
    </row>
    <row r="68" spans="2:37" x14ac:dyDescent="0.25">
      <c r="B68" s="265" t="s">
        <v>28</v>
      </c>
      <c r="C68" s="5">
        <v>651</v>
      </c>
      <c r="D68" s="5">
        <v>602</v>
      </c>
      <c r="E68" s="5">
        <v>603</v>
      </c>
      <c r="F68" s="5">
        <v>604</v>
      </c>
      <c r="G68" s="5">
        <v>605</v>
      </c>
      <c r="H68" s="5">
        <v>606</v>
      </c>
      <c r="I68" s="5">
        <v>607</v>
      </c>
      <c r="J68" s="201">
        <v>608</v>
      </c>
      <c r="K68" s="92">
        <v>651</v>
      </c>
      <c r="L68" s="222" t="str">
        <f si="25" t="shared"/>
        <v>M-FTW</v>
      </c>
      <c r="M68" s="237">
        <f si="26" t="shared"/>
        <v>-0.67422601961999995</v>
      </c>
      <c r="N68" s="238">
        <f si="27" t="shared"/>
        <v>-0.67422601961999995</v>
      </c>
      <c r="O68" s="94">
        <f si="28" t="shared"/>
        <v>0</v>
      </c>
      <c r="T68" s="201">
        <f>DayPatternCoefficients!A76</f>
        <v>301</v>
      </c>
      <c r="U68" s="201" t="str">
        <f>DayPatternCoefficients!B76</f>
        <v>E-SASC</v>
      </c>
      <c r="V68" s="222">
        <f>DayPatternCoefficients!D76</f>
        <v>-0.40483252988000001</v>
      </c>
      <c r="W68" s="223">
        <f>_xlfn.IFNA(VLOOKUP(T68,$K$63:$M$111,3,FALSE),_xlfn.IFNA(VLOOKUP(T68,$G$5:$K$11,5,FALSE),_xlfn.IFNA(IF(VLOOKUP(T68,$G$19:$K$25,4,FALSE)&gt;0,VLOOKUP(T68,$G$19:$K$25,5,FALSE),VLOOKUP(T68,$G$33:$K$39,5,FALSE)),_xlfn.IFNA(VLOOKUP(T68,new_summaries!$V$4:$Y$101,4,FALSE),V68))))</f>
        <v>-0.40483252988000001</v>
      </c>
      <c r="X68" s="201">
        <f si="29" t="shared"/>
        <v>0</v>
      </c>
      <c r="AG68" s="201">
        <v>109</v>
      </c>
      <c r="AH68" s="201" t="s">
        <v>1221</v>
      </c>
      <c r="AI68" s="201">
        <v>-0.19212914375099999</v>
      </c>
      <c r="AK68" s="201" t="s">
        <v>1194</v>
      </c>
    </row>
    <row customHeight="1" ht="14.65" r="69" spans="2:37" thickBot="1" x14ac:dyDescent="0.3">
      <c r="B69" s="13" t="s">
        <v>29</v>
      </c>
      <c r="C69" s="18">
        <v>751</v>
      </c>
      <c r="D69" s="18">
        <v>702</v>
      </c>
      <c r="E69" s="18">
        <v>703</v>
      </c>
      <c r="F69" s="18">
        <v>704</v>
      </c>
      <c r="G69" s="18">
        <v>705</v>
      </c>
      <c r="H69" s="18">
        <v>706</v>
      </c>
      <c r="I69" s="18">
        <v>707</v>
      </c>
      <c r="J69" s="18">
        <v>708</v>
      </c>
      <c r="K69" s="92">
        <v>751</v>
      </c>
      <c r="L69" s="222" t="str">
        <f si="25" t="shared"/>
        <v>D-FTW</v>
      </c>
      <c r="M69" s="237">
        <f si="26" t="shared"/>
        <v>-1.08724312621</v>
      </c>
      <c r="N69" s="238">
        <f si="27" t="shared"/>
        <v>-1.08724312621</v>
      </c>
      <c r="O69" s="94">
        <f si="28" t="shared"/>
        <v>0</v>
      </c>
      <c r="T69" s="201">
        <f>DayPatternCoefficients!A77</f>
        <v>302</v>
      </c>
      <c r="U69" s="201" t="str">
        <f>DayPatternCoefficients!B77</f>
        <v>E-PTW</v>
      </c>
      <c r="V69" s="222">
        <f>DayPatternCoefficients!D77</f>
        <v>1.2614942409100001</v>
      </c>
      <c r="W69" s="223">
        <f>_xlfn.IFNA(VLOOKUP(T69,$K$63:$M$111,3,FALSE),_xlfn.IFNA(VLOOKUP(T69,$G$5:$K$11,5,FALSE),_xlfn.IFNA(IF(VLOOKUP(T69,$G$19:$K$25,4,FALSE)&gt;0,VLOOKUP(T69,$G$19:$K$25,5,FALSE),VLOOKUP(T69,$G$33:$K$39,5,FALSE)),_xlfn.IFNA(VLOOKUP(T69,new_summaries!$V$4:$Y$101,4,FALSE),V69))))</f>
        <v>1.2614942409100001</v>
      </c>
      <c r="X69" s="201">
        <f si="29" t="shared"/>
        <v>0</v>
      </c>
      <c r="AG69" s="201">
        <v>110</v>
      </c>
      <c r="AH69" s="201" t="s">
        <v>1222</v>
      </c>
      <c r="AI69" s="201">
        <v>0.21578009019899999</v>
      </c>
      <c r="AK69" s="201" t="s">
        <v>1182</v>
      </c>
    </row>
    <row r="70" spans="2:37" x14ac:dyDescent="0.25">
      <c r="K70" s="92">
        <v>102</v>
      </c>
      <c r="L70" s="222" t="str">
        <f si="25" t="shared"/>
        <v>W-PTW</v>
      </c>
      <c r="M70" s="239">
        <f>D116</f>
        <v>-0.12630532374</v>
      </c>
      <c r="N70" s="238">
        <f si="27" t="shared"/>
        <v>-0.12630532374</v>
      </c>
      <c r="O70" s="94">
        <f si="28" t="shared"/>
        <v>0</v>
      </c>
      <c r="T70" s="201">
        <f>DayPatternCoefficients!A78</f>
        <v>303</v>
      </c>
      <c r="U70" s="201" t="str">
        <f>DayPatternCoefficients!B78</f>
        <v>E-RET</v>
      </c>
      <c r="V70" s="222">
        <f>DayPatternCoefficients!D78</f>
        <v>-2.11024149046</v>
      </c>
      <c r="W70" s="223">
        <f>_xlfn.IFNA(VLOOKUP(T70,$K$63:$M$111,3,FALSE),_xlfn.IFNA(VLOOKUP(T70,$G$5:$K$11,5,FALSE),_xlfn.IFNA(IF(VLOOKUP(T70,$G$19:$K$25,4,FALSE)&gt;0,VLOOKUP(T70,$G$19:$K$25,5,FALSE),VLOOKUP(T70,$G$33:$K$39,5,FALSE)),_xlfn.IFNA(VLOOKUP(T70,new_summaries!$V$4:$Y$101,4,FALSE),V70))))</f>
        <v>-2.11024149046</v>
      </c>
      <c r="X70" s="201">
        <f si="29" t="shared"/>
        <v>0</v>
      </c>
      <c r="AG70" s="201">
        <v>111</v>
      </c>
      <c r="AH70" s="201" t="s">
        <v>1222</v>
      </c>
      <c r="AI70" s="201">
        <v>0.173611176344</v>
      </c>
      <c r="AK70" s="201" t="s">
        <v>1183</v>
      </c>
    </row>
    <row r="71" spans="2:37" x14ac:dyDescent="0.25">
      <c r="K71" s="92">
        <v>302</v>
      </c>
      <c r="L71" s="222" t="str">
        <f si="25" t="shared"/>
        <v>E-PTW</v>
      </c>
      <c r="M71" s="239">
        <f>D118</f>
        <v>1.2614942409100001</v>
      </c>
      <c r="N71" s="238">
        <f si="27" t="shared"/>
        <v>1.2614942409100001</v>
      </c>
      <c r="O71" s="94">
        <f si="28" t="shared"/>
        <v>0</v>
      </c>
      <c r="T71" s="201">
        <f>DayPatternCoefficients!A79</f>
        <v>304</v>
      </c>
      <c r="U71" s="201" t="str">
        <f>DayPatternCoefficients!B79</f>
        <v>E-NWA</v>
      </c>
      <c r="V71" s="222">
        <f>DayPatternCoefficients!D79</f>
        <v>-1.1088219987000001</v>
      </c>
      <c r="W71" s="223">
        <f>_xlfn.IFNA(VLOOKUP(T71,$K$63:$M$111,3,FALSE),_xlfn.IFNA(VLOOKUP(T71,$G$5:$K$11,5,FALSE),_xlfn.IFNA(IF(VLOOKUP(T71,$G$19:$K$25,4,FALSE)&gt;0,VLOOKUP(T71,$G$19:$K$25,5,FALSE),VLOOKUP(T71,$G$33:$K$39,5,FALSE)),_xlfn.IFNA(VLOOKUP(T71,new_summaries!$V$4:$Y$101,4,FALSE),V71))))</f>
        <v>-1.1088219987000001</v>
      </c>
      <c r="X71" s="201">
        <f si="29" t="shared"/>
        <v>0</v>
      </c>
      <c r="AG71" s="201">
        <v>112</v>
      </c>
      <c r="AH71" s="201" t="s">
        <v>1223</v>
      </c>
      <c r="AI71" s="70">
        <v>1.5375331316199999E-2</v>
      </c>
      <c r="AK71" s="201" t="s">
        <v>1184</v>
      </c>
    </row>
    <row r="72" spans="2:37" x14ac:dyDescent="0.25">
      <c r="B72" s="264" t="s">
        <v>41</v>
      </c>
      <c r="C72" s="265"/>
      <c r="D72" s="265"/>
      <c r="E72" s="265"/>
      <c r="F72" s="265"/>
      <c r="G72" s="265"/>
      <c r="H72" s="265"/>
      <c r="I72" s="265"/>
      <c r="K72" s="92">
        <v>402</v>
      </c>
      <c r="L72" s="222" t="str">
        <f si="25" t="shared"/>
        <v>P-PTW</v>
      </c>
      <c r="M72" s="239">
        <f>D119</f>
        <v>2.8035772453900001</v>
      </c>
      <c r="N72" s="238">
        <f si="27" t="shared"/>
        <v>2.8035772453900001</v>
      </c>
      <c r="O72" s="94">
        <f si="28" t="shared"/>
        <v>0</v>
      </c>
      <c r="T72" s="201">
        <f>DayPatternCoefficients!A80</f>
        <v>305</v>
      </c>
      <c r="U72" s="201" t="str">
        <f>DayPatternCoefficients!B80</f>
        <v>E-UNI</v>
      </c>
      <c r="V72" s="222">
        <f>DayPatternCoefficients!D80</f>
        <v>-1.4521986715899999</v>
      </c>
      <c r="W72" s="223">
        <f>_xlfn.IFNA(VLOOKUP(T72,$K$63:$M$111,3,FALSE),_xlfn.IFNA(VLOOKUP(T72,$G$5:$K$11,5,FALSE),_xlfn.IFNA(IF(VLOOKUP(T72,$G$19:$K$25,4,FALSE)&gt;0,VLOOKUP(T72,$G$19:$K$25,5,FALSE),VLOOKUP(T72,$G$33:$K$39,5,FALSE)),_xlfn.IFNA(VLOOKUP(T72,new_summaries!$V$4:$Y$101,4,FALSE),V72))))</f>
        <v>-1.4521986715899999</v>
      </c>
      <c r="X72" s="201">
        <f si="29" t="shared"/>
        <v>0</v>
      </c>
      <c r="AG72" s="201">
        <v>113</v>
      </c>
      <c r="AH72" s="201" t="s">
        <v>1222</v>
      </c>
      <c r="AI72" s="70">
        <v>7.5013924216099995E-2</v>
      </c>
      <c r="AK72" s="201" t="s">
        <v>1186</v>
      </c>
    </row>
    <row r="73" spans="2:37" x14ac:dyDescent="0.25">
      <c r="B73" s="264" t="s">
        <v>1224</v>
      </c>
      <c r="C73" s="265"/>
      <c r="D73" s="265"/>
      <c r="E73" s="265"/>
      <c r="F73" s="265"/>
      <c r="G73" s="265"/>
      <c r="H73" s="265"/>
      <c r="I73" s="265"/>
      <c r="K73" s="92">
        <v>502</v>
      </c>
      <c r="L73" s="222" t="str">
        <f si="25" t="shared"/>
        <v>H-PTW</v>
      </c>
      <c r="M73" s="239">
        <f>D120</f>
        <v>2.37096125334</v>
      </c>
      <c r="N73" s="238">
        <f si="27" t="shared"/>
        <v>2.37096125334</v>
      </c>
      <c r="O73" s="94">
        <f si="28" t="shared"/>
        <v>0</v>
      </c>
      <c r="T73" s="201">
        <f>DayPatternCoefficients!A81</f>
        <v>306</v>
      </c>
      <c r="U73" s="201" t="str">
        <f>DayPatternCoefficients!B81</f>
        <v>E-DAS</v>
      </c>
      <c r="V73" s="222">
        <f>DayPatternCoefficients!D81</f>
        <v>-1.83417982882</v>
      </c>
      <c r="W73" s="223">
        <f>_xlfn.IFNA(VLOOKUP(T73,$K$63:$M$111,3,FALSE),_xlfn.IFNA(VLOOKUP(T73,$G$5:$K$11,5,FALSE),_xlfn.IFNA(IF(VLOOKUP(T73,$G$19:$K$25,4,FALSE)&gt;0,VLOOKUP(T73,$G$19:$K$25,5,FALSE),VLOOKUP(T73,$G$33:$K$39,5,FALSE)),_xlfn.IFNA(VLOOKUP(T73,new_summaries!$V$4:$Y$101,4,FALSE),V73))))</f>
        <v>-1.83417982882</v>
      </c>
      <c r="X73" s="201">
        <f si="29" t="shared"/>
        <v>0</v>
      </c>
      <c r="AG73" s="201">
        <v>114</v>
      </c>
      <c r="AH73" s="201" t="s">
        <v>1222</v>
      </c>
      <c r="AI73" s="70">
        <v>7.3351120189599994E-2</v>
      </c>
      <c r="AK73" s="201" t="s">
        <v>1188</v>
      </c>
    </row>
    <row customHeight="1" ht="14.65" r="74" spans="2:37" thickBot="1" x14ac:dyDescent="0.3">
      <c r="B74" s="265"/>
      <c r="C74" s="2"/>
      <c r="D74" s="2"/>
      <c r="E74" s="2"/>
      <c r="F74" s="2"/>
      <c r="G74" s="2"/>
      <c r="H74" s="2"/>
      <c r="I74" s="2"/>
      <c r="K74" s="92">
        <v>602</v>
      </c>
      <c r="L74" s="222" t="str">
        <f si="25" t="shared"/>
        <v>M-PTW</v>
      </c>
      <c r="M74" s="239">
        <f>D121</f>
        <v>0.50535074812000003</v>
      </c>
      <c r="N74" s="238">
        <f si="27" t="shared"/>
        <v>0.50535074812000003</v>
      </c>
      <c r="O74" s="94">
        <f si="28" t="shared"/>
        <v>0</v>
      </c>
      <c r="T74" s="201">
        <f>DayPatternCoefficients!A82</f>
        <v>307</v>
      </c>
      <c r="U74" s="201" t="str">
        <f>DayPatternCoefficients!B82</f>
        <v>E-PAS</v>
      </c>
      <c r="V74" s="222">
        <f>DayPatternCoefficients!D82</f>
        <v>-1.8750020057100001</v>
      </c>
      <c r="W74" s="223">
        <f>_xlfn.IFNA(VLOOKUP(T74,$K$63:$M$111,3,FALSE),_xlfn.IFNA(VLOOKUP(T74,$G$5:$K$11,5,FALSE),_xlfn.IFNA(IF(VLOOKUP(T74,$G$19:$K$25,4,FALSE)&gt;0,VLOOKUP(T74,$G$19:$K$25,5,FALSE),VLOOKUP(T74,$G$33:$K$39,5,FALSE)),_xlfn.IFNA(VLOOKUP(T74,new_summaries!$V$4:$Y$101,4,FALSE),V74))))</f>
        <v>-1.8750020057100001</v>
      </c>
      <c r="X74" s="201">
        <f si="29" t="shared"/>
        <v>0</v>
      </c>
      <c r="AG74" s="201">
        <v>115</v>
      </c>
      <c r="AH74" s="201" t="s">
        <v>1222</v>
      </c>
      <c r="AI74" s="70">
        <v>9.3983942987200003E-2</v>
      </c>
      <c r="AK74" s="201" t="s">
        <v>1191</v>
      </c>
    </row>
    <row r="75" spans="2:37" x14ac:dyDescent="0.25">
      <c r="B75" s="3" t="s">
        <v>22</v>
      </c>
      <c r="C75" s="4" t="s">
        <v>12</v>
      </c>
      <c r="D75" s="4" t="s">
        <v>13</v>
      </c>
      <c r="E75" s="4" t="s">
        <v>14</v>
      </c>
      <c r="F75" s="4" t="s">
        <v>15</v>
      </c>
      <c r="G75" s="4" t="s">
        <v>16</v>
      </c>
      <c r="H75" s="4" t="s">
        <v>17</v>
      </c>
      <c r="I75" s="4" t="s">
        <v>18</v>
      </c>
      <c r="J75" s="4" t="str">
        <f>J62</f>
        <v>Under 5</v>
      </c>
      <c r="K75" s="92">
        <v>702</v>
      </c>
      <c r="L75" s="222" t="str">
        <f si="25" t="shared"/>
        <v>D-PTW</v>
      </c>
      <c r="M75" s="239">
        <f>D122</f>
        <v>0.65142938905000003</v>
      </c>
      <c r="N75" s="238">
        <f si="27" t="shared"/>
        <v>0.65142938905000003</v>
      </c>
      <c r="O75" s="94">
        <f si="28" t="shared"/>
        <v>0</v>
      </c>
      <c r="T75" s="201">
        <f>DayPatternCoefficients!A83</f>
        <v>308</v>
      </c>
      <c r="U75" s="201" t="str">
        <f>DayPatternCoefficients!B83</f>
        <v>E-CU5</v>
      </c>
      <c r="V75" s="222">
        <f>DayPatternCoefficients!D83</f>
        <v>0.58461516065999997</v>
      </c>
      <c r="W75" s="223">
        <f>_xlfn.IFNA(VLOOKUP(T75,$K$63:$M$111,3,FALSE),_xlfn.IFNA(VLOOKUP(T75,$G$5:$K$11,5,FALSE),_xlfn.IFNA(IF(VLOOKUP(T75,$G$19:$K$25,4,FALSE)&gt;0,VLOOKUP(T75,$G$19:$K$25,5,FALSE),VLOOKUP(T75,$G$33:$K$39,5,FALSE)),_xlfn.IFNA(VLOOKUP(T75,new_summaries!$V$4:$Y$101,4,FALSE),V75))))</f>
        <v>0.58461516065999997</v>
      </c>
      <c r="X75" s="201">
        <f si="29" t="shared"/>
        <v>0</v>
      </c>
      <c r="AG75" s="201">
        <v>116</v>
      </c>
      <c r="AH75" s="201" t="s">
        <v>1222</v>
      </c>
      <c r="AI75" s="201">
        <v>0.109678978272</v>
      </c>
      <c r="AK75" s="201" t="s">
        <v>1194</v>
      </c>
    </row>
    <row r="76" spans="2:37" x14ac:dyDescent="0.25">
      <c r="B76" s="265" t="s">
        <v>23</v>
      </c>
      <c r="C76" s="240">
        <f ref="C76:J82" si="30" t="shared">IFERROR(VLOOKUP(C63,$T$3:$W$398,3,FALSE),"--")</f>
        <v>-0.47911897977000001</v>
      </c>
      <c r="D76" s="240">
        <f si="30" t="shared"/>
        <v>-0.12630532374</v>
      </c>
      <c r="E76" s="241" t="str">
        <f si="30" t="shared"/>
        <v>--</v>
      </c>
      <c r="F76" s="241" t="str">
        <f si="30" t="shared"/>
        <v>--</v>
      </c>
      <c r="G76" s="240">
        <f si="30" t="shared"/>
        <v>-2.5142965129700001</v>
      </c>
      <c r="H76" s="240">
        <f si="30" t="shared"/>
        <v>-3.8295481163199998</v>
      </c>
      <c r="I76" s="241" t="str">
        <f si="30" t="shared"/>
        <v>--</v>
      </c>
      <c r="J76" s="241" t="str">
        <f si="30" t="shared"/>
        <v>--</v>
      </c>
      <c r="K76" s="92">
        <v>303</v>
      </c>
      <c r="L76" s="222" t="str">
        <f si="25" t="shared"/>
        <v>E-RET</v>
      </c>
      <c r="M76" s="239">
        <f>E118</f>
        <v>-2.11024149046</v>
      </c>
      <c r="N76" s="238">
        <f si="27" t="shared"/>
        <v>-2.11024149046</v>
      </c>
      <c r="O76" s="94">
        <f si="28" t="shared"/>
        <v>0</v>
      </c>
      <c r="T76" s="201">
        <f>DayPatternCoefficients!A84</f>
        <v>309</v>
      </c>
      <c r="U76" s="201" t="str">
        <f>DayPatternCoefficients!B84</f>
        <v>E-VLINC</v>
      </c>
      <c r="V76" s="222">
        <f>DayPatternCoefficients!D84</f>
        <v>-0.18680904856</v>
      </c>
      <c r="W76" s="223">
        <f>_xlfn.IFNA(VLOOKUP(T76,$K$63:$M$111,3,FALSE),_xlfn.IFNA(VLOOKUP(T76,$G$5:$K$11,5,FALSE),_xlfn.IFNA(IF(VLOOKUP(T76,$G$19:$K$25,4,FALSE)&gt;0,VLOOKUP(T76,$G$19:$K$25,5,FALSE),VLOOKUP(T76,$G$33:$K$39,5,FALSE)),_xlfn.IFNA(VLOOKUP(T76,new_summaries!$V$4:$Y$101,4,FALSE),V76))))</f>
        <v>-0.18680904856</v>
      </c>
      <c r="X76" s="201">
        <f si="29" t="shared"/>
        <v>0</v>
      </c>
      <c r="AG76" s="201">
        <v>131</v>
      </c>
      <c r="AH76" s="201" t="s">
        <v>1225</v>
      </c>
      <c r="AI76" s="201">
        <v>1.1543530286899999</v>
      </c>
      <c r="AK76" s="201" t="s">
        <v>1182</v>
      </c>
    </row>
    <row r="77" spans="2:37" x14ac:dyDescent="0.25">
      <c r="B77" s="265" t="s">
        <v>24</v>
      </c>
      <c r="C77" s="240">
        <f si="30" t="shared"/>
        <v>-0.13882682499999999</v>
      </c>
      <c r="D77" s="241" t="str">
        <f si="30" t="shared"/>
        <v>--</v>
      </c>
      <c r="E77" s="241" t="str">
        <f si="30" t="shared"/>
        <v>--</v>
      </c>
      <c r="F77" s="241" t="str">
        <f si="30" t="shared"/>
        <v>--</v>
      </c>
      <c r="G77" s="240">
        <f si="30" t="shared"/>
        <v>-0.54322823780999996</v>
      </c>
      <c r="H77" s="240">
        <f si="30" t="shared"/>
        <v>0.32874149364999999</v>
      </c>
      <c r="I77" s="240">
        <f si="30" t="shared"/>
        <v>2.3775085649699998</v>
      </c>
      <c r="J77" s="240">
        <f si="30" t="shared"/>
        <v>1.1554295912400001</v>
      </c>
      <c r="K77" s="92">
        <v>403</v>
      </c>
      <c r="L77" s="222" t="str">
        <f si="25" t="shared"/>
        <v>P-RET</v>
      </c>
      <c r="M77" s="239">
        <f>E119</f>
        <v>-0.24624373095999999</v>
      </c>
      <c r="N77" s="238">
        <f si="27" t="shared"/>
        <v>-0.24624373095999999</v>
      </c>
      <c r="O77" s="94">
        <f si="28" t="shared"/>
        <v>0</v>
      </c>
      <c r="T77" s="201">
        <f>DayPatternCoefficients!A85</f>
        <v>310</v>
      </c>
      <c r="U77" s="201" t="str">
        <f>DayPatternCoefficients!B85</f>
        <v>E-LOINC</v>
      </c>
      <c r="V77" s="222">
        <f>DayPatternCoefficients!D85</f>
        <v>-0.11525581364</v>
      </c>
      <c r="W77" s="223">
        <f>_xlfn.IFNA(VLOOKUP(T77,$K$63:$M$111,3,FALSE),_xlfn.IFNA(VLOOKUP(T77,$G$5:$K$11,5,FALSE),_xlfn.IFNA(IF(VLOOKUP(T77,$G$19:$K$25,4,FALSE)&gt;0,VLOOKUP(T77,$G$19:$K$25,5,FALSE),VLOOKUP(T77,$G$33:$K$39,5,FALSE)),_xlfn.IFNA(VLOOKUP(T77,new_summaries!$V$4:$Y$101,4,FALSE),V77))))</f>
        <v>-0.11525581364</v>
      </c>
      <c r="X77" s="201">
        <f si="29" t="shared"/>
        <v>0</v>
      </c>
      <c r="AG77" s="201">
        <v>138</v>
      </c>
      <c r="AH77" s="201" t="s">
        <v>1226</v>
      </c>
      <c r="AI77" s="201">
        <v>-0.89256110400499999</v>
      </c>
      <c r="AK77" s="201" t="s">
        <v>1183</v>
      </c>
    </row>
    <row r="78" spans="2:37" x14ac:dyDescent="0.25">
      <c r="B78" s="265" t="s">
        <v>25</v>
      </c>
      <c r="C78" s="240">
        <f si="30" t="shared"/>
        <v>-1.0623648370200001</v>
      </c>
      <c r="D78" s="240">
        <f si="30" t="shared"/>
        <v>1.2614942409100001</v>
      </c>
      <c r="E78" s="240">
        <f si="30" t="shared"/>
        <v>-2.11024149046</v>
      </c>
      <c r="F78" s="240">
        <f si="30" t="shared"/>
        <v>-1.1088219987000001</v>
      </c>
      <c r="G78" s="240">
        <f si="30" t="shared"/>
        <v>-1.4521986715899999</v>
      </c>
      <c r="H78" s="240">
        <f si="30" t="shared"/>
        <v>-1.83417982882</v>
      </c>
      <c r="I78" s="240">
        <f si="30" t="shared"/>
        <v>-1.8750020057100001</v>
      </c>
      <c r="J78" s="240">
        <f si="30" t="shared"/>
        <v>0.58461516065999997</v>
      </c>
      <c r="K78" s="92">
        <v>503</v>
      </c>
      <c r="L78" s="222" t="str">
        <f si="25" t="shared"/>
        <v>H-RET</v>
      </c>
      <c r="M78" s="239">
        <f>E120</f>
        <v>-0.75642426743000002</v>
      </c>
      <c r="N78" s="238">
        <f si="27" t="shared"/>
        <v>-0.75642426743000002</v>
      </c>
      <c r="O78" s="94">
        <f si="28" t="shared"/>
        <v>0</v>
      </c>
      <c r="T78" s="201">
        <f>DayPatternCoefficients!A86</f>
        <v>311</v>
      </c>
      <c r="U78" s="201" t="str">
        <f>DayPatternCoefficients!B86</f>
        <v>E-HIINC</v>
      </c>
      <c r="V78" s="222">
        <f>DayPatternCoefficients!D86</f>
        <v>0</v>
      </c>
      <c r="W78" s="223">
        <f>_xlfn.IFNA(VLOOKUP(T78,$K$63:$M$111,3,FALSE),_xlfn.IFNA(VLOOKUP(T78,$G$5:$K$11,5,FALSE),_xlfn.IFNA(IF(VLOOKUP(T78,$G$19:$K$25,4,FALSE)&gt;0,VLOOKUP(T78,$G$19:$K$25,5,FALSE),VLOOKUP(T78,$G$33:$K$39,5,FALSE)),_xlfn.IFNA(VLOOKUP(T78,new_summaries!$V$4:$Y$101,4,FALSE),V78))))</f>
        <v>0</v>
      </c>
      <c r="X78" s="201">
        <f si="29" t="shared"/>
        <v>0</v>
      </c>
      <c r="AG78" s="201">
        <v>146</v>
      </c>
      <c r="AH78" s="201" t="s">
        <v>1227</v>
      </c>
      <c r="AI78" s="201">
        <v>0.53132948584100004</v>
      </c>
      <c r="AK78" s="201" t="s">
        <v>1184</v>
      </c>
    </row>
    <row r="79" spans="2:37" x14ac:dyDescent="0.25">
      <c r="B79" s="265" t="s">
        <v>26</v>
      </c>
      <c r="C79" s="240">
        <f si="30" t="shared"/>
        <v>-0.78628794521000001</v>
      </c>
      <c r="D79" s="240">
        <f si="30" t="shared"/>
        <v>2.8035772453900001</v>
      </c>
      <c r="E79" s="240">
        <f si="30" t="shared"/>
        <v>-0.24624373095999999</v>
      </c>
      <c r="F79" s="240">
        <f si="30" t="shared"/>
        <v>-1.1659743151199999</v>
      </c>
      <c r="G79" s="240">
        <f si="30" t="shared"/>
        <v>-2.0528822094499999</v>
      </c>
      <c r="H79" s="240">
        <f si="30" t="shared"/>
        <v>-2.4818889930700001</v>
      </c>
      <c r="I79" s="240">
        <f si="30" t="shared"/>
        <v>-1.73055593888</v>
      </c>
      <c r="J79" s="240">
        <f si="30" t="shared"/>
        <v>-0.41495252702000002</v>
      </c>
      <c r="K79" s="92">
        <v>603</v>
      </c>
      <c r="L79" s="222" t="str">
        <f si="25" t="shared"/>
        <v>M-RET</v>
      </c>
      <c r="M79" s="239">
        <f>E121</f>
        <v>-0.82288544304</v>
      </c>
      <c r="N79" s="238">
        <f si="27" t="shared"/>
        <v>-0.82288544304</v>
      </c>
      <c r="O79" s="94">
        <f si="28" t="shared"/>
        <v>0</v>
      </c>
      <c r="T79" s="201">
        <f>DayPatternCoefficients!A87</f>
        <v>312</v>
      </c>
      <c r="U79" s="201" t="str">
        <f>DayPatternCoefficients!B87</f>
        <v>E-CARSPD</v>
      </c>
      <c r="V79" s="222">
        <f>DayPatternCoefficients!D87</f>
        <v>0</v>
      </c>
      <c r="W79" s="223">
        <f>_xlfn.IFNA(VLOOKUP(T79,$K$63:$M$111,3,FALSE),_xlfn.IFNA(VLOOKUP(T79,$G$5:$K$11,5,FALSE),_xlfn.IFNA(IF(VLOOKUP(T79,$G$19:$K$25,4,FALSE)&gt;0,VLOOKUP(T79,$G$19:$K$25,5,FALSE),VLOOKUP(T79,$G$33:$K$39,5,FALSE)),_xlfn.IFNA(VLOOKUP(T79,new_summaries!$V$4:$Y$101,4,FALSE),V79))))</f>
        <v>0</v>
      </c>
      <c r="X79" s="201">
        <f si="29" t="shared"/>
        <v>0</v>
      </c>
      <c r="AG79" s="201">
        <v>147</v>
      </c>
      <c r="AH79" s="201" t="s">
        <v>1228</v>
      </c>
      <c r="AI79" s="201">
        <v>0.449535970974</v>
      </c>
      <c r="AK79" s="201" t="s">
        <v>1184</v>
      </c>
    </row>
    <row r="80" spans="2:37" x14ac:dyDescent="0.25">
      <c r="B80" s="265" t="s">
        <v>27</v>
      </c>
      <c r="C80" s="240">
        <f si="30" t="shared"/>
        <v>-0.95312305667999997</v>
      </c>
      <c r="D80" s="240">
        <f si="30" t="shared"/>
        <v>2.37096125334</v>
      </c>
      <c r="E80" s="240">
        <f si="30" t="shared"/>
        <v>-0.75642426743000002</v>
      </c>
      <c r="F80" s="240">
        <f si="30" t="shared"/>
        <v>-0.80435735085000004</v>
      </c>
      <c r="G80" s="240">
        <f si="30" t="shared"/>
        <v>-1.32038599973</v>
      </c>
      <c r="H80" s="240">
        <f si="30" t="shared"/>
        <v>-3.1616474248899999</v>
      </c>
      <c r="I80" s="240">
        <f si="30" t="shared"/>
        <v>-2.1164686959500001</v>
      </c>
      <c r="J80" s="240">
        <f si="30" t="shared"/>
        <v>0</v>
      </c>
      <c r="K80" s="92">
        <v>703</v>
      </c>
      <c r="L80" s="222" t="str">
        <f si="25" t="shared"/>
        <v>D-RET</v>
      </c>
      <c r="M80" s="239">
        <f>E122</f>
        <v>-1.1475698162500001</v>
      </c>
      <c r="N80" s="238">
        <f si="27" t="shared"/>
        <v>-1.1475698162500001</v>
      </c>
      <c r="O80" s="94">
        <f si="28" t="shared"/>
        <v>0</v>
      </c>
      <c r="T80" s="201">
        <f>DayPatternCoefficients!A88</f>
        <v>313</v>
      </c>
      <c r="U80" s="201" t="str">
        <f>DayPatternCoefficients!B88</f>
        <v>E-ONLYAD</v>
      </c>
      <c r="V80" s="222">
        <f>DayPatternCoefficients!D88</f>
        <v>0.11275167466</v>
      </c>
      <c r="W80" s="223">
        <f>_xlfn.IFNA(VLOOKUP(T80,$K$63:$M$111,3,FALSE),_xlfn.IFNA(VLOOKUP(T80,$G$5:$K$11,5,FALSE),_xlfn.IFNA(IF(VLOOKUP(T80,$G$19:$K$25,4,FALSE)&gt;0,VLOOKUP(T80,$G$19:$K$25,5,FALSE),VLOOKUP(T80,$G$33:$K$39,5,FALSE)),_xlfn.IFNA(VLOOKUP(T80,new_summaries!$V$4:$Y$101,4,FALSE),V80))))</f>
        <v>0.11275167466</v>
      </c>
      <c r="X80" s="201">
        <f si="29" t="shared"/>
        <v>0</v>
      </c>
      <c r="AG80" s="201">
        <v>154</v>
      </c>
      <c r="AH80" s="201" t="s">
        <v>1226</v>
      </c>
      <c r="AI80" s="201">
        <v>-0.40669471784299999</v>
      </c>
      <c r="AK80" s="201" t="s">
        <v>1229</v>
      </c>
    </row>
    <row r="81" spans="2:37" x14ac:dyDescent="0.25">
      <c r="B81" s="265" t="s">
        <v>28</v>
      </c>
      <c r="C81" s="240">
        <f si="30" t="shared"/>
        <v>-0.67422601961999995</v>
      </c>
      <c r="D81" s="240">
        <f si="30" t="shared"/>
        <v>0.50535074812000003</v>
      </c>
      <c r="E81" s="240">
        <f si="30" t="shared"/>
        <v>-0.82288544304</v>
      </c>
      <c r="F81" s="240">
        <f si="30" t="shared"/>
        <v>-1.4950205351900001</v>
      </c>
      <c r="G81" s="240">
        <f si="30" t="shared"/>
        <v>-0.96389520255000005</v>
      </c>
      <c r="H81" s="240">
        <f si="30" t="shared"/>
        <v>-2.9948228206800001</v>
      </c>
      <c r="I81" s="240">
        <f si="30" t="shared"/>
        <v>-1.98828318011</v>
      </c>
      <c r="J81" s="240">
        <f si="30" t="shared"/>
        <v>-0.28195572471000002</v>
      </c>
      <c r="K81" s="92">
        <v>304</v>
      </c>
      <c r="L81" s="222" t="str">
        <f si="25" t="shared"/>
        <v>E-NWA</v>
      </c>
      <c r="M81" s="239">
        <f>F118</f>
        <v>-1.1088219987000001</v>
      </c>
      <c r="N81" s="238">
        <f si="27" t="shared"/>
        <v>-1.1088219987000001</v>
      </c>
      <c r="O81" s="94">
        <f si="28" t="shared"/>
        <v>0</v>
      </c>
      <c r="T81" s="201">
        <f>DayPatternCoefficients!A89</f>
        <v>314</v>
      </c>
      <c r="U81" s="201" t="str">
        <f>DayPatternCoefficients!B89</f>
        <v>E-ONLYWK</v>
      </c>
      <c r="V81" s="222">
        <f>DayPatternCoefficients!D89</f>
        <v>-0.47378038370999997</v>
      </c>
      <c r="W81" s="223">
        <f>_xlfn.IFNA(VLOOKUP(T81,$K$63:$M$111,3,FALSE),_xlfn.IFNA(VLOOKUP(T81,$G$5:$K$11,5,FALSE),_xlfn.IFNA(IF(VLOOKUP(T81,$G$19:$K$25,4,FALSE)&gt;0,VLOOKUP(T81,$G$19:$K$25,5,FALSE),VLOOKUP(T81,$G$33:$K$39,5,FALSE)),_xlfn.IFNA(VLOOKUP(T81,new_summaries!$V$4:$Y$101,4,FALSE),V81))))</f>
        <v>-0.47378038370999997</v>
      </c>
      <c r="X81" s="201">
        <f si="29" t="shared"/>
        <v>0</v>
      </c>
      <c r="AG81" s="201">
        <v>155</v>
      </c>
      <c r="AH81" s="201" t="s">
        <v>1225</v>
      </c>
      <c r="AI81" s="201">
        <v>0.62763871095099999</v>
      </c>
      <c r="AK81" s="201" t="s">
        <v>1229</v>
      </c>
    </row>
    <row customHeight="1" ht="14.65" r="82" spans="2:37" thickBot="1" x14ac:dyDescent="0.3">
      <c r="B82" s="13" t="s">
        <v>29</v>
      </c>
      <c r="C82" s="242">
        <f si="30" t="shared"/>
        <v>-1.08724312621</v>
      </c>
      <c r="D82" s="242">
        <f si="30" t="shared"/>
        <v>0.65142938905000003</v>
      </c>
      <c r="E82" s="242">
        <f si="30" t="shared"/>
        <v>-1.1475698162500001</v>
      </c>
      <c r="F82" s="242">
        <f si="30" t="shared"/>
        <v>-1.0826110979400001</v>
      </c>
      <c r="G82" s="242">
        <f si="30" t="shared"/>
        <v>-2.0534535142900001</v>
      </c>
      <c r="H82" s="242">
        <f si="30" t="shared"/>
        <v>-1.5469095636900001</v>
      </c>
      <c r="I82" s="242">
        <f si="30" t="shared"/>
        <v>-0.36546801553000002</v>
      </c>
      <c r="J82" s="242">
        <f si="30" t="shared"/>
        <v>0.43115396777999998</v>
      </c>
      <c r="K82" s="92">
        <v>404</v>
      </c>
      <c r="L82" s="222" t="str">
        <f si="25" t="shared"/>
        <v>P-NWA</v>
      </c>
      <c r="M82" s="239">
        <f>F119</f>
        <v>-1.1659743151199999</v>
      </c>
      <c r="N82" s="238">
        <f si="27" t="shared"/>
        <v>-1.1659743151199999</v>
      </c>
      <c r="O82" s="94">
        <f si="28" t="shared"/>
        <v>0</v>
      </c>
      <c r="T82" s="201">
        <f>DayPatternCoefficients!A90</f>
        <v>316</v>
      </c>
      <c r="U82" s="201" t="str">
        <f>DayPatternCoefficients!B90</f>
        <v>E-FEMNOC</v>
      </c>
      <c r="V82" s="222">
        <f>DayPatternCoefficients!D90</f>
        <v>0</v>
      </c>
      <c r="W82" s="223">
        <f>_xlfn.IFNA(VLOOKUP(T82,$K$63:$M$111,3,FALSE),_xlfn.IFNA(VLOOKUP(T82,$G$5:$K$11,5,FALSE),_xlfn.IFNA(IF(VLOOKUP(T82,$G$19:$K$25,4,FALSE)&gt;0,VLOOKUP(T82,$G$19:$K$25,5,FALSE),VLOOKUP(T82,$G$33:$K$39,5,FALSE)),_xlfn.IFNA(VLOOKUP(T82,new_summaries!$V$4:$Y$101,4,FALSE),V82))))</f>
        <v>0</v>
      </c>
      <c r="X82" s="201">
        <f si="29" t="shared"/>
        <v>0</v>
      </c>
      <c r="AG82" s="201">
        <v>162</v>
      </c>
      <c r="AH82" s="201" t="s">
        <v>1230</v>
      </c>
      <c r="AI82" s="201">
        <v>-0.61176239378700004</v>
      </c>
      <c r="AK82" s="201" t="s">
        <v>1188</v>
      </c>
    </row>
    <row r="83" spans="2:37" x14ac:dyDescent="0.25">
      <c r="K83" s="92">
        <v>504</v>
      </c>
      <c r="L83" s="222" t="str">
        <f si="25" t="shared"/>
        <v>H-NWA</v>
      </c>
      <c r="M83" s="239">
        <f>F120</f>
        <v>-0.80435735085000004</v>
      </c>
      <c r="N83" s="238">
        <f si="27" t="shared"/>
        <v>-0.80435735085000004</v>
      </c>
      <c r="O83" s="94">
        <f si="28" t="shared"/>
        <v>0</v>
      </c>
      <c r="T83" s="201">
        <f>DayPatternCoefficients!A91</f>
        <v>317</v>
      </c>
      <c r="U83" s="201" t="str">
        <f>DayPatternCoefficients!B91</f>
        <v>E-FADCU5</v>
      </c>
      <c r="V83" s="222">
        <f>DayPatternCoefficients!D91</f>
        <v>1.25074400924</v>
      </c>
      <c r="W83" s="223">
        <f>_xlfn.IFNA(VLOOKUP(T83,$K$63:$M$111,3,FALSE),_xlfn.IFNA(VLOOKUP(T83,$G$5:$K$11,5,FALSE),_xlfn.IFNA(IF(VLOOKUP(T83,$G$19:$K$25,4,FALSE)&gt;0,VLOOKUP(T83,$G$19:$K$25,5,FALSE),VLOOKUP(T83,$G$33:$K$39,5,FALSE)),_xlfn.IFNA(VLOOKUP(T83,new_summaries!$V$4:$Y$101,4,FALSE),V83))))</f>
        <v>1.25074400924</v>
      </c>
      <c r="X83" s="201">
        <f si="29" t="shared"/>
        <v>0</v>
      </c>
      <c r="AG83" s="201">
        <v>164</v>
      </c>
      <c r="AH83" s="201" t="s">
        <v>1231</v>
      </c>
      <c r="AI83" s="201">
        <v>0.29502698115600001</v>
      </c>
      <c r="AK83" s="201" t="s">
        <v>1188</v>
      </c>
    </row>
    <row r="84" spans="2:37" x14ac:dyDescent="0.25">
      <c r="K84" s="92">
        <v>604</v>
      </c>
      <c r="L84" s="222" t="str">
        <f si="25" t="shared"/>
        <v>M-NWA</v>
      </c>
      <c r="M84" s="239">
        <f>F121</f>
        <v>-1.4950205351900001</v>
      </c>
      <c r="N84" s="238">
        <f si="27" t="shared"/>
        <v>-1.4950205351900001</v>
      </c>
      <c r="O84" s="94">
        <f si="28" t="shared"/>
        <v>0</v>
      </c>
      <c r="T84" s="201">
        <f>DayPatternCoefficients!A92</f>
        <v>318</v>
      </c>
      <c r="U84" s="201" t="str">
        <f>DayPatternCoefficients!B92</f>
        <v>E-FAD515</v>
      </c>
      <c r="V84" s="222">
        <f>DayPatternCoefficients!D92</f>
        <v>1.7780840091600001</v>
      </c>
      <c r="W84" s="223">
        <f>_xlfn.IFNA(VLOOKUP(T84,$K$63:$M$111,3,FALSE),_xlfn.IFNA(VLOOKUP(T84,$G$5:$K$11,5,FALSE),_xlfn.IFNA(IF(VLOOKUP(T84,$G$19:$K$25,4,FALSE)&gt;0,VLOOKUP(T84,$G$19:$K$25,5,FALSE),VLOOKUP(T84,$G$33:$K$39,5,FALSE)),_xlfn.IFNA(VLOOKUP(T84,new_summaries!$V$4:$Y$101,4,FALSE),V84))))</f>
        <v>1.7780840091600001</v>
      </c>
      <c r="X84" s="201">
        <f si="29" t="shared"/>
        <v>0</v>
      </c>
      <c r="AG84" s="201">
        <v>170</v>
      </c>
      <c r="AH84" s="201" t="s">
        <v>1232</v>
      </c>
      <c r="AI84" s="201">
        <v>-1.13679650073</v>
      </c>
      <c r="AK84" s="201" t="s">
        <v>1191</v>
      </c>
    </row>
    <row r="85" spans="2:37" x14ac:dyDescent="0.25">
      <c r="B85" s="264" t="s">
        <v>41</v>
      </c>
      <c r="C85" s="265"/>
      <c r="D85" s="265"/>
      <c r="E85" s="265" t="s">
        <v>1233</v>
      </c>
      <c r="F85" s="265"/>
      <c r="G85" s="265"/>
      <c r="H85" s="265"/>
      <c r="I85" s="265"/>
      <c r="K85" s="92">
        <v>704</v>
      </c>
      <c r="L85" s="222" t="str">
        <f si="25" t="shared"/>
        <v>D-NWA</v>
      </c>
      <c r="M85" s="239">
        <f>F122</f>
        <v>-1.0826110979400001</v>
      </c>
      <c r="N85" s="238">
        <f si="27" t="shared"/>
        <v>-1.0826110979400001</v>
      </c>
      <c r="O85" s="94">
        <f si="28" t="shared"/>
        <v>0</v>
      </c>
      <c r="T85" s="201">
        <f>DayPatternCoefficients!A93</f>
        <v>319</v>
      </c>
      <c r="U85" s="201" t="str">
        <f>DayPatternCoefficients!B93</f>
        <v>E-MADCU5</v>
      </c>
      <c r="V85" s="222">
        <f>DayPatternCoefficients!D93</f>
        <v>0.58933089640000003</v>
      </c>
      <c r="W85" s="223">
        <f>_xlfn.IFNA(VLOOKUP(T85,$K$63:$M$111,3,FALSE),_xlfn.IFNA(VLOOKUP(T85,$G$5:$K$11,5,FALSE),_xlfn.IFNA(IF(VLOOKUP(T85,$G$19:$K$25,4,FALSE)&gt;0,VLOOKUP(T85,$G$19:$K$25,5,FALSE),VLOOKUP(T85,$G$33:$K$39,5,FALSE)),_xlfn.IFNA(VLOOKUP(T85,new_summaries!$V$4:$Y$101,4,FALSE),V85))))</f>
        <v>0.58933089640000003</v>
      </c>
      <c r="X85" s="201">
        <f si="29" t="shared"/>
        <v>0</v>
      </c>
      <c r="AG85" s="201">
        <v>171</v>
      </c>
      <c r="AH85" s="201" t="s">
        <v>1234</v>
      </c>
      <c r="AI85" s="201">
        <v>0.80187878989000005</v>
      </c>
      <c r="AK85" s="201" t="s">
        <v>1191</v>
      </c>
    </row>
    <row r="86" spans="2:37" x14ac:dyDescent="0.25">
      <c r="B86" s="264" t="s">
        <v>1235</v>
      </c>
      <c r="C86" s="265"/>
      <c r="D86" s="265" t="s">
        <v>233</v>
      </c>
      <c r="E86" s="265">
        <v>-1</v>
      </c>
      <c r="F86" s="265"/>
      <c r="G86" s="265"/>
      <c r="H86" s="265"/>
      <c r="I86" s="265"/>
      <c r="K86" s="92">
        <v>105</v>
      </c>
      <c r="L86" s="222" t="str">
        <f si="25" t="shared"/>
        <v>W-UNI</v>
      </c>
      <c r="M86" s="239">
        <f ref="M86:M92" si="31" t="shared">G116</f>
        <v>-2.5142965129700001</v>
      </c>
      <c r="N86" s="238">
        <f si="27" t="shared"/>
        <v>-2.5142965129700001</v>
      </c>
      <c r="O86" s="94">
        <f si="28" t="shared"/>
        <v>0</v>
      </c>
      <c r="T86" s="201">
        <f>DayPatternCoefficients!A94</f>
        <v>320</v>
      </c>
      <c r="U86" s="201" t="str">
        <f>DayPatternCoefficients!B94</f>
        <v>E-MAD515</v>
      </c>
      <c r="V86" s="222">
        <f>DayPatternCoefficients!D94</f>
        <v>1.2248944044500001</v>
      </c>
      <c r="W86" s="223">
        <f>_xlfn.IFNA(VLOOKUP(T86,$K$63:$M$111,3,FALSE),_xlfn.IFNA(VLOOKUP(T86,$G$5:$K$11,5,FALSE),_xlfn.IFNA(IF(VLOOKUP(T86,$G$19:$K$25,4,FALSE)&gt;0,VLOOKUP(T86,$G$19:$K$25,5,FALSE),VLOOKUP(T86,$G$33:$K$39,5,FALSE)),_xlfn.IFNA(VLOOKUP(T86,new_summaries!$V$4:$Y$101,4,FALSE),V86))))</f>
        <v>1.2248944044500001</v>
      </c>
      <c r="X86" s="201">
        <f si="29" t="shared"/>
        <v>0</v>
      </c>
      <c r="AG86" s="201">
        <v>172</v>
      </c>
      <c r="AH86" s="201" t="s">
        <v>1236</v>
      </c>
      <c r="AI86" s="201">
        <v>0.53036306282199996</v>
      </c>
      <c r="AK86" s="201" t="s">
        <v>1191</v>
      </c>
    </row>
    <row customHeight="1" ht="14.65" r="87" spans="2:37" thickBot="1" x14ac:dyDescent="0.3">
      <c r="B87" s="265"/>
      <c r="C87" s="2"/>
      <c r="D87" s="2"/>
      <c r="E87" s="2"/>
      <c r="F87" s="2"/>
      <c r="G87" s="2"/>
      <c r="H87" s="2"/>
      <c r="I87" s="2"/>
      <c r="K87" s="92">
        <v>205</v>
      </c>
      <c r="L87" s="222" t="str">
        <f si="25" t="shared"/>
        <v>S-UNI</v>
      </c>
      <c r="M87" s="239">
        <f si="31" t="shared"/>
        <v>-0.54322823780999996</v>
      </c>
      <c r="N87" s="238">
        <f si="27" t="shared"/>
        <v>-0.54322823780999996</v>
      </c>
      <c r="O87" s="94">
        <f si="28" t="shared"/>
        <v>0</v>
      </c>
      <c r="T87" s="201">
        <f>DayPatternCoefficients!A95</f>
        <v>321</v>
      </c>
      <c r="U87" s="201" t="str">
        <f>DayPatternCoefficients!B95</f>
        <v>E-AG1825</v>
      </c>
      <c r="V87" s="222">
        <f>DayPatternCoefficients!D95</f>
        <v>-0.64118983166999999</v>
      </c>
      <c r="W87" s="223">
        <f>_xlfn.IFNA(VLOOKUP(T87,$K$63:$M$111,3,FALSE),_xlfn.IFNA(VLOOKUP(T87,$G$5:$K$11,5,FALSE),_xlfn.IFNA(IF(VLOOKUP(T87,$G$19:$K$25,4,FALSE)&gt;0,VLOOKUP(T87,$G$19:$K$25,5,FALSE),VLOOKUP(T87,$G$33:$K$39,5,FALSE)),_xlfn.IFNA(VLOOKUP(T87,new_summaries!$V$4:$Y$101,4,FALSE),V87))))</f>
        <v>-0.64118983166999999</v>
      </c>
      <c r="X87" s="201">
        <f si="29" t="shared"/>
        <v>0</v>
      </c>
      <c r="AG87" s="201">
        <v>173</v>
      </c>
      <c r="AH87" s="201" t="s">
        <v>1232</v>
      </c>
      <c r="AI87" s="201">
        <v>-0.48533998618500002</v>
      </c>
      <c r="AK87" s="201" t="s">
        <v>1194</v>
      </c>
    </row>
    <row r="88" spans="2:37" x14ac:dyDescent="0.25">
      <c r="B88" s="259" t="s">
        <v>22</v>
      </c>
      <c r="C88" s="260" t="s">
        <v>12</v>
      </c>
      <c r="D88" s="260" t="s">
        <v>13</v>
      </c>
      <c r="E88" s="260" t="s">
        <v>14</v>
      </c>
      <c r="F88" s="260" t="s">
        <v>15</v>
      </c>
      <c r="G88" s="260" t="s">
        <v>16</v>
      </c>
      <c r="H88" s="260" t="s">
        <v>17</v>
      </c>
      <c r="I88" s="260" t="s">
        <v>18</v>
      </c>
      <c r="J88" s="260" t="str">
        <f>J75</f>
        <v>Under 5</v>
      </c>
      <c r="K88" s="92">
        <v>305</v>
      </c>
      <c r="L88" s="222" t="str">
        <f si="25" t="shared"/>
        <v>E-UNI</v>
      </c>
      <c r="M88" s="239">
        <f si="31" t="shared"/>
        <v>-1.4521986715899999</v>
      </c>
      <c r="N88" s="238">
        <f si="27" t="shared"/>
        <v>-1.4521986715899999</v>
      </c>
      <c r="O88" s="94">
        <f si="28" t="shared"/>
        <v>0</v>
      </c>
      <c r="T88" s="201">
        <f>DayPatternCoefficients!A96</f>
        <v>322</v>
      </c>
      <c r="U88" s="201" t="str">
        <f>DayPatternCoefficients!B96</f>
        <v>E-AG2635</v>
      </c>
      <c r="V88" s="222">
        <f>DayPatternCoefficients!D96</f>
        <v>-0.26216348222000002</v>
      </c>
      <c r="W88" s="223">
        <f>_xlfn.IFNA(VLOOKUP(T88,$K$63:$M$111,3,FALSE),_xlfn.IFNA(VLOOKUP(T88,$G$5:$K$11,5,FALSE),_xlfn.IFNA(IF(VLOOKUP(T88,$G$19:$K$25,4,FALSE)&gt;0,VLOOKUP(T88,$G$19:$K$25,5,FALSE),VLOOKUP(T88,$G$33:$K$39,5,FALSE)),_xlfn.IFNA(VLOOKUP(T88,new_summaries!$V$4:$Y$101,4,FALSE),V88))))</f>
        <v>-0.26216348222000002</v>
      </c>
      <c r="X88" s="201">
        <f si="29" t="shared"/>
        <v>0</v>
      </c>
      <c r="AG88" s="201">
        <v>174</v>
      </c>
      <c r="AH88" s="201" t="s">
        <v>1231</v>
      </c>
      <c r="AI88" s="201">
        <v>0.219330681704</v>
      </c>
      <c r="AK88" s="201" t="s">
        <v>1194</v>
      </c>
    </row>
    <row r="89" spans="2:37" x14ac:dyDescent="0.25">
      <c r="B89" s="201" t="s">
        <v>23</v>
      </c>
      <c r="C89" s="256">
        <f>IF($E$86=1,survey_scaling!U36,IF($E$86=-1,survey_scaling!U94,survey_scaling!U80))</f>
        <v>1.0172491413348483</v>
      </c>
      <c r="D89" s="256">
        <f>IF($E$86=1,survey_scaling!V36,IF($E$86=-1,survey_scaling!V94,survey_scaling!V80))</f>
        <v>1.0101645570408222</v>
      </c>
      <c r="E89" s="257">
        <f>IF($E$86=1,survey_scaling!W36,IF($E$86=-1,survey_scaling!W94,survey_scaling!W80))</f>
        <v>0</v>
      </c>
      <c r="F89" s="257">
        <f>IF($E$86=1,survey_scaling!X36,IF($E$86=-1,survey_scaling!X94,survey_scaling!X80))</f>
        <v>0</v>
      </c>
      <c r="G89" s="256">
        <f>IF($E$86=1,survey_scaling!Y36,IF($E$86=-1,survey_scaling!Y94,survey_scaling!Y80))</f>
        <v>0.90447361010126193</v>
      </c>
      <c r="H89" s="256">
        <f>IF($E$86=1,survey_scaling!Z36,IF($E$86=-1,survey_scaling!Z94,survey_scaling!Z80))</f>
        <v>0.83194569007697838</v>
      </c>
      <c r="I89" s="257">
        <f>IF($E$86=1,survey_scaling!AA36,IF($E$86=-1,survey_scaling!AA94,survey_scaling!AA80))</f>
        <v>0</v>
      </c>
      <c r="J89" s="257">
        <f>IF($E$86=1,survey_scaling!AB36,IF($E$86=-1,survey_scaling!AB94,survey_scaling!AB80))</f>
        <v>0</v>
      </c>
      <c r="K89" s="92">
        <v>405</v>
      </c>
      <c r="L89" s="222" t="str">
        <f si="25" t="shared"/>
        <v>P-UNI</v>
      </c>
      <c r="M89" s="239">
        <f si="31" t="shared"/>
        <v>-2.0528822094499999</v>
      </c>
      <c r="N89" s="238">
        <f si="27" t="shared"/>
        <v>-2.0528822094499999</v>
      </c>
      <c r="O89" s="94">
        <f si="28" t="shared"/>
        <v>0</v>
      </c>
      <c r="T89" s="201">
        <f>DayPatternCoefficients!A97</f>
        <v>323</v>
      </c>
      <c r="U89" s="201" t="str">
        <f>DayPatternCoefficients!B97</f>
        <v>E-AG5165</v>
      </c>
      <c r="V89" s="222">
        <f>DayPatternCoefficients!D97</f>
        <v>-0.34261970775</v>
      </c>
      <c r="W89" s="223">
        <f>_xlfn.IFNA(VLOOKUP(T89,$K$63:$M$111,3,FALSE),_xlfn.IFNA(VLOOKUP(T89,$G$5:$K$11,5,FALSE),_xlfn.IFNA(IF(VLOOKUP(T89,$G$19:$K$25,4,FALSE)&gt;0,VLOOKUP(T89,$G$19:$K$25,5,FALSE),VLOOKUP(T89,$G$33:$K$39,5,FALSE)),_xlfn.IFNA(VLOOKUP(T89,new_summaries!$V$4:$Y$101,4,FALSE),V89))))</f>
        <v>-0.34261970775</v>
      </c>
      <c r="X89" s="201">
        <f si="29" t="shared"/>
        <v>0</v>
      </c>
      <c r="AG89" s="201">
        <v>175</v>
      </c>
      <c r="AH89" s="201" t="s">
        <v>1237</v>
      </c>
      <c r="AI89" s="201">
        <v>0.47838014869200002</v>
      </c>
      <c r="AK89" s="201" t="s">
        <v>1182</v>
      </c>
    </row>
    <row r="90" spans="2:37" x14ac:dyDescent="0.25">
      <c r="B90" s="201" t="s">
        <v>24</v>
      </c>
      <c r="C90" s="209">
        <f>IF($E$86=1,survey_scaling!U37,IF($E$86=-1,survey_scaling!U95,survey_scaling!U81))</f>
        <v>0.89746005608903179</v>
      </c>
      <c r="D90" s="258">
        <f>IF($E$86=1,survey_scaling!V37,IF($E$86=-1,survey_scaling!V95,survey_scaling!V81))</f>
        <v>0</v>
      </c>
      <c r="E90" s="258">
        <f>IF($E$86=1,survey_scaling!W37,IF($E$86=-1,survey_scaling!W95,survey_scaling!W81))</f>
        <v>0</v>
      </c>
      <c r="F90" s="258">
        <f>IF($E$86=1,survey_scaling!X37,IF($E$86=-1,survey_scaling!X95,survey_scaling!X81))</f>
        <v>0</v>
      </c>
      <c r="G90" s="209">
        <f>IF($E$86=1,survey_scaling!Y37,IF($E$86=-1,survey_scaling!Y95,survey_scaling!Y81))</f>
        <v>0.97160263151280235</v>
      </c>
      <c r="H90" s="209">
        <f>IF($E$86=1,survey_scaling!Z37,IF($E$86=-1,survey_scaling!Z95,survey_scaling!Z81))</f>
        <v>1.0258574504508715</v>
      </c>
      <c r="I90" s="209">
        <f>IF($E$86=1,survey_scaling!AA37,IF($E$86=-1,survey_scaling!AA95,survey_scaling!AA81))</f>
        <v>1.0041602974273363</v>
      </c>
      <c r="J90" s="209">
        <f>IF($E$86=1,survey_scaling!AB37,IF($E$86=-1,survey_scaling!AB95,survey_scaling!AB81))</f>
        <v>0</v>
      </c>
      <c r="K90" s="92">
        <v>505</v>
      </c>
      <c r="L90" s="222" t="str">
        <f si="25" t="shared"/>
        <v>H-UNI</v>
      </c>
      <c r="M90" s="239">
        <f si="31" t="shared"/>
        <v>-1.32038599973</v>
      </c>
      <c r="N90" s="238">
        <f si="27" t="shared"/>
        <v>-1.32038599973</v>
      </c>
      <c r="O90" s="94">
        <f si="28" t="shared"/>
        <v>0</v>
      </c>
      <c r="T90" s="201">
        <f>DayPatternCoefficients!A98</f>
        <v>324</v>
      </c>
      <c r="U90" s="201" t="str">
        <f>DayPatternCoefficients!B98</f>
        <v>E-WAHOME</v>
      </c>
      <c r="V90" s="222">
        <f>DayPatternCoefficients!D98</f>
        <v>0</v>
      </c>
      <c r="W90" s="223">
        <f>_xlfn.IFNA(VLOOKUP(T90,$K$63:$M$111,3,FALSE),_xlfn.IFNA(VLOOKUP(T90,$G$5:$K$11,5,FALSE),_xlfn.IFNA(IF(VLOOKUP(T90,$G$19:$K$25,4,FALSE)&gt;0,VLOOKUP(T90,$G$19:$K$25,5,FALSE),VLOOKUP(T90,$G$33:$K$39,5,FALSE)),_xlfn.IFNA(VLOOKUP(T90,new_summaries!$V$4:$Y$101,4,FALSE),V90))))</f>
        <v>0</v>
      </c>
      <c r="X90" s="201">
        <f si="29" t="shared"/>
        <v>0</v>
      </c>
      <c r="AG90" s="201">
        <v>181</v>
      </c>
      <c r="AH90" s="201" t="s">
        <v>1238</v>
      </c>
      <c r="AI90" s="201">
        <v>0.14237400597200001</v>
      </c>
      <c r="AK90" s="201" t="s">
        <v>1184</v>
      </c>
    </row>
    <row r="91" spans="2:37" x14ac:dyDescent="0.25">
      <c r="B91" s="201" t="s">
        <v>25</v>
      </c>
      <c r="C91" s="209">
        <f>IF($E$86=1,survey_scaling!U38,IF($E$86=-1,survey_scaling!U96,survey_scaling!U82))</f>
        <v>0.99280600570723143</v>
      </c>
      <c r="D91" s="209">
        <f>IF($E$86=1,survey_scaling!V38,IF($E$86=-1,survey_scaling!V96,survey_scaling!V82))</f>
        <v>1.0111393987525603</v>
      </c>
      <c r="E91" s="209">
        <f>IF($E$86=1,survey_scaling!W38,IF($E$86=-1,survey_scaling!W96,survey_scaling!W82))</f>
        <v>1.0789432362261189</v>
      </c>
      <c r="F91" s="209">
        <f>IF($E$86=1,survey_scaling!X38,IF($E$86=-1,survey_scaling!X96,survey_scaling!X82))</f>
        <v>0.98325887592295558</v>
      </c>
      <c r="G91" s="209">
        <f>IF($E$86=1,survey_scaling!Y38,IF($E$86=-1,survey_scaling!Y96,survey_scaling!Y82))</f>
        <v>0.94691806804294942</v>
      </c>
      <c r="H91" s="209">
        <f>IF($E$86=1,survey_scaling!Z38,IF($E$86=-1,survey_scaling!Z96,survey_scaling!Z82))</f>
        <v>0.94580875905854822</v>
      </c>
      <c r="I91" s="209">
        <f>IF($E$86=1,survey_scaling!AA38,IF($E$86=-1,survey_scaling!AA96,survey_scaling!AA82))</f>
        <v>1.0554412349043323</v>
      </c>
      <c r="J91" s="209">
        <f>IF($E$86=1,survey_scaling!AB38,IF($E$86=-1,survey_scaling!AB96,survey_scaling!AB82))</f>
        <v>0</v>
      </c>
      <c r="K91" s="92">
        <v>605</v>
      </c>
      <c r="L91" s="222" t="str">
        <f si="25" t="shared"/>
        <v>M-UNI</v>
      </c>
      <c r="M91" s="239">
        <f si="31" t="shared"/>
        <v>-0.96389520255000005</v>
      </c>
      <c r="N91" s="238">
        <f si="27" t="shared"/>
        <v>-0.96389520255000005</v>
      </c>
      <c r="O91" s="94">
        <f si="28" t="shared"/>
        <v>0</v>
      </c>
      <c r="T91" s="201">
        <f>DayPatternCoefficients!A99</f>
        <v>325</v>
      </c>
      <c r="U91" s="201" t="str">
        <f>DayPatternCoefficients!B99</f>
        <v>E-MIXDEN</v>
      </c>
      <c r="V91" s="222">
        <f>DayPatternCoefficients!D99</f>
        <v>0</v>
      </c>
      <c r="W91" s="223">
        <f>_xlfn.IFNA(VLOOKUP(T91,$K$63:$M$111,3,FALSE),_xlfn.IFNA(VLOOKUP(T91,$G$5:$K$11,5,FALSE),_xlfn.IFNA(IF(VLOOKUP(T91,$G$19:$K$25,4,FALSE)&gt;0,VLOOKUP(T91,$G$19:$K$25,5,FALSE),VLOOKUP(T91,$G$33:$K$39,5,FALSE)),_xlfn.IFNA(VLOOKUP(T91,new_summaries!$V$4:$Y$101,4,FALSE),V91))))</f>
        <v>0</v>
      </c>
      <c r="X91" s="201">
        <f si="29" t="shared"/>
        <v>0</v>
      </c>
      <c r="AG91" s="201">
        <v>183</v>
      </c>
      <c r="AH91" s="201" t="s">
        <v>1239</v>
      </c>
      <c r="AI91" s="201">
        <v>1.1661510393600001</v>
      </c>
      <c r="AK91" s="201" t="s">
        <v>1184</v>
      </c>
    </row>
    <row r="92" spans="2:37" x14ac:dyDescent="0.25">
      <c r="B92" s="201" t="s">
        <v>26</v>
      </c>
      <c r="C92" s="209">
        <f>IF($E$86=1,survey_scaling!U39,IF($E$86=-1,survey_scaling!U97,survey_scaling!U83))</f>
        <v>0.98413661530903895</v>
      </c>
      <c r="D92" s="209">
        <f>IF($E$86=1,survey_scaling!V39,IF($E$86=-1,survey_scaling!V97,survey_scaling!V83))</f>
        <v>1.0135339791751368</v>
      </c>
      <c r="E92" s="209">
        <f>IF($E$86=1,survey_scaling!W39,IF($E$86=-1,survey_scaling!W97,survey_scaling!W83))</f>
        <v>1.0101607520804707</v>
      </c>
      <c r="F92" s="209">
        <f>IF($E$86=1,survey_scaling!X39,IF($E$86=-1,survey_scaling!X97,survey_scaling!X83))</f>
        <v>1.021457131490767</v>
      </c>
      <c r="G92" s="209">
        <f>IF($E$86=1,survey_scaling!Y39,IF($E$86=-1,survey_scaling!Y97,survey_scaling!Y83))</f>
        <v>0.96702661114142219</v>
      </c>
      <c r="H92" s="209">
        <f>IF($E$86=1,survey_scaling!Z39,IF($E$86=-1,survey_scaling!Z97,survey_scaling!Z83))</f>
        <v>1.0243114671923275</v>
      </c>
      <c r="I92" s="209">
        <f>IF($E$86=1,survey_scaling!AA39,IF($E$86=-1,survey_scaling!AA97,survey_scaling!AA83))</f>
        <v>1.0765328307762401</v>
      </c>
      <c r="J92" s="209">
        <f>IF($E$86=1,survey_scaling!AB39,IF($E$86=-1,survey_scaling!AB97,survey_scaling!AB83))</f>
        <v>0</v>
      </c>
      <c r="K92" s="92">
        <v>705</v>
      </c>
      <c r="L92" s="222" t="str">
        <f si="25" t="shared"/>
        <v>D-UNI</v>
      </c>
      <c r="M92" s="239">
        <f si="31" t="shared"/>
        <v>-2.0534535142900001</v>
      </c>
      <c r="N92" s="238">
        <f si="27" t="shared"/>
        <v>-2.0534535142900001</v>
      </c>
      <c r="O92" s="94">
        <f si="28" t="shared"/>
        <v>0</v>
      </c>
      <c r="T92" s="201">
        <f>DayPatternCoefficients!A100</f>
        <v>326</v>
      </c>
      <c r="U92" s="201" t="str">
        <f>DayPatternCoefficients!B100</f>
        <v>E-INTDEN</v>
      </c>
      <c r="V92" s="222">
        <f>DayPatternCoefficients!D100</f>
        <v>0</v>
      </c>
      <c r="W92" s="223">
        <f>_xlfn.IFNA(VLOOKUP(T92,$K$63:$M$111,3,FALSE),_xlfn.IFNA(VLOOKUP(T92,$G$5:$K$11,5,FALSE),_xlfn.IFNA(IF(VLOOKUP(T92,$G$19:$K$25,4,FALSE)&gt;0,VLOOKUP(T92,$G$19:$K$25,5,FALSE),VLOOKUP(T92,$G$33:$K$39,5,FALSE)),_xlfn.IFNA(VLOOKUP(T92,new_summaries!$V$4:$Y$101,4,FALSE),V92))))</f>
        <v>0</v>
      </c>
      <c r="X92" s="201">
        <f si="29" t="shared"/>
        <v>0</v>
      </c>
      <c r="AG92" s="201">
        <v>184</v>
      </c>
      <c r="AH92" s="201" t="s">
        <v>1240</v>
      </c>
      <c r="AI92" s="201">
        <v>1.59404940426</v>
      </c>
      <c r="AK92" s="201" t="s">
        <v>1184</v>
      </c>
    </row>
    <row r="93" spans="2:37" x14ac:dyDescent="0.25">
      <c r="B93" s="201" t="s">
        <v>27</v>
      </c>
      <c r="C93" s="209">
        <f>IF($E$86=1,survey_scaling!U40,IF($E$86=-1,survey_scaling!U98,survey_scaling!U84))</f>
        <v>1.0334416410404945</v>
      </c>
      <c r="D93" s="209">
        <f>IF($E$86=1,survey_scaling!V40,IF($E$86=-1,survey_scaling!V98,survey_scaling!V84))</f>
        <v>1.0113879347647088</v>
      </c>
      <c r="E93" s="209">
        <f>IF($E$86=1,survey_scaling!W40,IF($E$86=-1,survey_scaling!W98,survey_scaling!W84))</f>
        <v>1.0019955375129401</v>
      </c>
      <c r="F93" s="209">
        <f>IF($E$86=1,survey_scaling!X40,IF($E$86=-1,survey_scaling!X98,survey_scaling!X84))</f>
        <v>1.0207218592667768</v>
      </c>
      <c r="G93" s="209">
        <f>IF($E$86=1,survey_scaling!Y40,IF($E$86=-1,survey_scaling!Y98,survey_scaling!Y84))</f>
        <v>1.0015868249873501</v>
      </c>
      <c r="H93" s="209">
        <f>IF($E$86=1,survey_scaling!Z40,IF($E$86=-1,survey_scaling!Z98,survey_scaling!Z84))</f>
        <v>0.89467269345771872</v>
      </c>
      <c r="I93" s="209">
        <f>IF($E$86=1,survey_scaling!AA40,IF($E$86=-1,survey_scaling!AA98,survey_scaling!AA84))</f>
        <v>1.0440788673881416</v>
      </c>
      <c r="J93" s="209">
        <f>IF($E$86=1,survey_scaling!AB40,IF($E$86=-1,survey_scaling!AB98,survey_scaling!AB84))</f>
        <v>0</v>
      </c>
      <c r="K93" s="92">
        <v>106</v>
      </c>
      <c r="L93" s="222" t="str">
        <f si="25" t="shared"/>
        <v>W-DAS</v>
      </c>
      <c r="M93" s="239">
        <f ref="M93:M99" si="32" t="shared">H116</f>
        <v>-3.8295481163199998</v>
      </c>
      <c r="N93" s="238">
        <f si="27" t="shared"/>
        <v>-3.8295481163199998</v>
      </c>
      <c r="O93" s="94">
        <f si="28" t="shared"/>
        <v>0</v>
      </c>
      <c r="T93" s="201">
        <f>DayPatternCoefficients!A101</f>
        <v>327</v>
      </c>
      <c r="U93" s="201" t="str">
        <f>DayPatternCoefficients!B101</f>
        <v>E-ACCLOG</v>
      </c>
      <c r="V93" s="222">
        <f>DayPatternCoefficients!D101</f>
        <v>0</v>
      </c>
      <c r="W93" s="223">
        <f>_xlfn.IFNA(VLOOKUP(T93,$K$63:$M$111,3,FALSE),_xlfn.IFNA(VLOOKUP(T93,$G$5:$K$11,5,FALSE),_xlfn.IFNA(IF(VLOOKUP(T93,$G$19:$K$25,4,FALSE)&gt;0,VLOOKUP(T93,$G$19:$K$25,5,FALSE),VLOOKUP(T93,$G$33:$K$39,5,FALSE)),_xlfn.IFNA(VLOOKUP(T93,new_summaries!$V$4:$Y$101,4,FALSE),V93))))</f>
        <v>0</v>
      </c>
      <c r="X93" s="201">
        <f si="29" t="shared"/>
        <v>0</v>
      </c>
      <c r="AG93" s="201">
        <v>195</v>
      </c>
      <c r="AH93" s="201" t="s">
        <v>1241</v>
      </c>
      <c r="AI93" s="70">
        <v>4.5416395363000003E-2</v>
      </c>
      <c r="AK93" s="201" t="s">
        <v>1186</v>
      </c>
    </row>
    <row r="94" spans="2:37" x14ac:dyDescent="0.25">
      <c r="B94" s="201" t="s">
        <v>28</v>
      </c>
      <c r="C94" s="209">
        <f>IF($E$86=1,survey_scaling!U41,IF($E$86=-1,survey_scaling!U99,survey_scaling!U85))</f>
        <v>0.9802133638900099</v>
      </c>
      <c r="D94" s="209">
        <f>IF($E$86=1,survey_scaling!V41,IF($E$86=-1,survey_scaling!V99,survey_scaling!V85))</f>
        <v>0.98636757188194735</v>
      </c>
      <c r="E94" s="209">
        <f>IF($E$86=1,survey_scaling!W41,IF($E$86=-1,survey_scaling!W99,survey_scaling!W85))</f>
        <v>1.005661155144433</v>
      </c>
      <c r="F94" s="209">
        <f>IF($E$86=1,survey_scaling!X41,IF($E$86=-1,survey_scaling!X99,survey_scaling!X85))</f>
        <v>0.96547346948339996</v>
      </c>
      <c r="G94" s="209">
        <f>IF($E$86=1,survey_scaling!Y41,IF($E$86=-1,survey_scaling!Y99,survey_scaling!Y85))</f>
        <v>0.9482642695053134</v>
      </c>
      <c r="H94" s="209">
        <f>IF($E$86=1,survey_scaling!Z41,IF($E$86=-1,survey_scaling!Z99,survey_scaling!Z85))</f>
        <v>1.0019520195161693</v>
      </c>
      <c r="I94" s="209">
        <f>IF($E$86=1,survey_scaling!AA41,IF($E$86=-1,survey_scaling!AA99,survey_scaling!AA85))</f>
        <v>1.0318886392212934</v>
      </c>
      <c r="J94" s="209">
        <f>IF($E$86=1,survey_scaling!AB41,IF($E$86=-1,survey_scaling!AB99,survey_scaling!AB85))</f>
        <v>0</v>
      </c>
      <c r="K94" s="92">
        <v>206</v>
      </c>
      <c r="L94" s="222" t="str">
        <f si="25" t="shared"/>
        <v>S-DAS</v>
      </c>
      <c r="M94" s="239">
        <f si="32" t="shared"/>
        <v>0.32874149364999999</v>
      </c>
      <c r="N94" s="238">
        <f si="27" t="shared"/>
        <v>0.32874149364999999</v>
      </c>
      <c r="O94" s="94">
        <f si="28" t="shared"/>
        <v>0</v>
      </c>
      <c r="T94" s="201">
        <f>DayPatternCoefficients!A102</f>
        <v>328</v>
      </c>
      <c r="U94" s="201" t="str">
        <f>DayPatternCoefficients!B102</f>
        <v>E-TPASS</v>
      </c>
      <c r="V94" s="222">
        <f>DayPatternCoefficients!D102</f>
        <v>0</v>
      </c>
      <c r="W94" s="223">
        <f>_xlfn.IFNA(VLOOKUP(T94,$K$63:$M$111,3,FALSE),_xlfn.IFNA(VLOOKUP(T94,$G$5:$K$11,5,FALSE),_xlfn.IFNA(IF(VLOOKUP(T94,$G$19:$K$25,4,FALSE)&gt;0,VLOOKUP(T94,$G$19:$K$25,5,FALSE),VLOOKUP(T94,$G$33:$K$39,5,FALSE)),_xlfn.IFNA(VLOOKUP(T94,new_summaries!$V$4:$Y$101,4,FALSE),V94))))</f>
        <v>0</v>
      </c>
      <c r="X94" s="201">
        <f si="29" t="shared"/>
        <v>0</v>
      </c>
      <c r="AG94" s="201">
        <v>196</v>
      </c>
      <c r="AH94" s="201" t="s">
        <v>1239</v>
      </c>
      <c r="AI94" s="201">
        <v>0.14396484352399999</v>
      </c>
      <c r="AK94" s="201" t="s">
        <v>1229</v>
      </c>
    </row>
    <row customHeight="1" ht="14.65" r="95" spans="2:37" thickBot="1" x14ac:dyDescent="0.3">
      <c r="B95" s="74" t="s">
        <v>29</v>
      </c>
      <c r="C95" s="211">
        <f>IF($E$86=1,survey_scaling!U42,IF($E$86=-1,survey_scaling!U100,survey_scaling!U86))</f>
        <v>1.0084763722776553</v>
      </c>
      <c r="D95" s="211">
        <f>IF($E$86=1,survey_scaling!V42,IF($E$86=-1,survey_scaling!V100,survey_scaling!V86))</f>
        <v>0.98519450391401464</v>
      </c>
      <c r="E95" s="211">
        <f>IF($E$86=1,survey_scaling!W42,IF($E$86=-1,survey_scaling!W100,survey_scaling!W86))</f>
        <v>0.99170219175014762</v>
      </c>
      <c r="F95" s="211">
        <f>IF($E$86=1,survey_scaling!X42,IF($E$86=-1,survey_scaling!X100,survey_scaling!X86))</f>
        <v>1.0338382326047926</v>
      </c>
      <c r="G95" s="211">
        <f>IF($E$86=1,survey_scaling!Y42,IF($E$86=-1,survey_scaling!Y100,survey_scaling!Y86))</f>
        <v>0.984987112322119</v>
      </c>
      <c r="H95" s="211">
        <f>IF($E$86=1,survey_scaling!Z42,IF($E$86=-1,survey_scaling!Z100,survey_scaling!Z86))</f>
        <v>0.9610134210744159</v>
      </c>
      <c r="I95" s="211">
        <f>IF($E$86=1,survey_scaling!AA42,IF($E$86=-1,survey_scaling!AA100,survey_scaling!AA86))</f>
        <v>0.99740204620440531</v>
      </c>
      <c r="J95" s="211">
        <f>IF($E$86=1,survey_scaling!AB42,IF($E$86=-1,survey_scaling!AB100,survey_scaling!AB86))</f>
        <v>0</v>
      </c>
      <c r="K95" s="92">
        <v>306</v>
      </c>
      <c r="L95" s="222" t="str">
        <f ref="L95:L111" si="33" t="shared">VLOOKUP(K95,$T$3:$V$352,2,FALSE)</f>
        <v>E-DAS</v>
      </c>
      <c r="M95" s="239">
        <f si="32" t="shared"/>
        <v>-1.83417982882</v>
      </c>
      <c r="N95" s="238">
        <f ref="N95:N111" si="34" t="shared">VLOOKUP(K95,$T$3:$W$352,4,FALSE)</f>
        <v>-1.83417982882</v>
      </c>
      <c r="O95" s="94">
        <f ref="O95:O111" si="35" t="shared">IF(M95=N95,0,1)</f>
        <v>0</v>
      </c>
      <c r="T95" s="201">
        <f>DayPatternCoefficients!A103</f>
        <v>329</v>
      </c>
      <c r="U95" s="201" t="str">
        <f>DayPatternCoefficients!B103</f>
        <v>E-T-LOGS</v>
      </c>
      <c r="V95" s="222">
        <f>DayPatternCoefficients!D103</f>
        <v>6.6231123020000005E-2</v>
      </c>
      <c r="W95" s="223">
        <f>_xlfn.IFNA(VLOOKUP(T95,$K$63:$M$111,3,FALSE),_xlfn.IFNA(VLOOKUP(T95,$G$5:$K$11,5,FALSE),_xlfn.IFNA(IF(VLOOKUP(T95,$G$19:$K$25,4,FALSE)&gt;0,VLOOKUP(T95,$G$19:$K$25,5,FALSE),VLOOKUP(T95,$G$33:$K$39,5,FALSE)),_xlfn.IFNA(VLOOKUP(T95,new_summaries!$V$4:$Y$101,4,FALSE),V95))))</f>
        <v>6.6231123020000005E-2</v>
      </c>
      <c r="X95" s="201">
        <f si="29" t="shared"/>
        <v>0</v>
      </c>
      <c r="AG95" s="201">
        <v>197</v>
      </c>
      <c r="AH95" s="201" t="s">
        <v>1240</v>
      </c>
      <c r="AI95" s="201">
        <v>0.21876493547600001</v>
      </c>
      <c r="AK95" s="201" t="s">
        <v>1186</v>
      </c>
    </row>
    <row r="96" spans="2:37" x14ac:dyDescent="0.25">
      <c r="K96" s="92">
        <v>406</v>
      </c>
      <c r="L96" s="222" t="str">
        <f si="33" t="shared"/>
        <v>P-DAS</v>
      </c>
      <c r="M96" s="239">
        <f si="32" t="shared"/>
        <v>-2.4818889930700001</v>
      </c>
      <c r="N96" s="238">
        <f si="34" t="shared"/>
        <v>-2.4818889930700001</v>
      </c>
      <c r="O96" s="94">
        <f si="35" t="shared"/>
        <v>0</v>
      </c>
      <c r="T96" s="201">
        <f>DayPatternCoefficients!A104</f>
        <v>330</v>
      </c>
      <c r="U96" s="201" t="str">
        <f>DayPatternCoefficients!B104</f>
        <v>E-T-PPRK</v>
      </c>
      <c r="V96" s="222">
        <f>DayPatternCoefficients!D104</f>
        <v>0</v>
      </c>
      <c r="W96" s="223">
        <f>_xlfn.IFNA(VLOOKUP(T96,$K$63:$M$111,3,FALSE),_xlfn.IFNA(VLOOKUP(T96,$G$5:$K$11,5,FALSE),_xlfn.IFNA(IF(VLOOKUP(T96,$G$19:$K$25,4,FALSE)&gt;0,VLOOKUP(T96,$G$19:$K$25,5,FALSE),VLOOKUP(T96,$G$33:$K$39,5,FALSE)),_xlfn.IFNA(VLOOKUP(T96,new_summaries!$V$4:$Y$101,4,FALSE),V96))))</f>
        <v>0</v>
      </c>
      <c r="X96" s="201">
        <f si="29" t="shared"/>
        <v>0</v>
      </c>
      <c r="AG96" s="201">
        <v>207</v>
      </c>
      <c r="AH96" s="201" t="s">
        <v>1238</v>
      </c>
      <c r="AI96" s="201">
        <v>0.114269623332</v>
      </c>
      <c r="AK96" s="201" t="s">
        <v>1188</v>
      </c>
    </row>
    <row r="97" spans="2:37" x14ac:dyDescent="0.25">
      <c r="K97" s="92">
        <v>506</v>
      </c>
      <c r="L97" s="222" t="str">
        <f si="33" t="shared"/>
        <v>H-DAS</v>
      </c>
      <c r="M97" s="239">
        <f si="32" t="shared"/>
        <v>-3.1616474248899999</v>
      </c>
      <c r="N97" s="238">
        <f si="34" t="shared"/>
        <v>-3.1616474248899999</v>
      </c>
      <c r="O97" s="94">
        <f si="35" t="shared"/>
        <v>0</v>
      </c>
      <c r="T97" s="201">
        <f>DayPatternCoefficients!A105</f>
        <v>331</v>
      </c>
      <c r="U97" s="201" t="str">
        <f>DayPatternCoefficients!B105</f>
        <v>E-S-LOGS</v>
      </c>
      <c r="V97" s="222">
        <f>DayPatternCoefficients!D105</f>
        <v>7.8148553590000003E-2</v>
      </c>
      <c r="W97" s="223">
        <f>_xlfn.IFNA(VLOOKUP(T97,$K$63:$M$111,3,FALSE),_xlfn.IFNA(VLOOKUP(T97,$G$5:$K$11,5,FALSE),_xlfn.IFNA(IF(VLOOKUP(T97,$G$19:$K$25,4,FALSE)&gt;0,VLOOKUP(T97,$G$19:$K$25,5,FALSE),VLOOKUP(T97,$G$33:$K$39,5,FALSE)),_xlfn.IFNA(VLOOKUP(T97,new_summaries!$V$4:$Y$101,4,FALSE),V97))))</f>
        <v>7.8148553590000003E-2</v>
      </c>
      <c r="X97" s="201">
        <f si="29" t="shared"/>
        <v>0</v>
      </c>
      <c r="AG97" s="201">
        <v>209</v>
      </c>
      <c r="AH97" s="201" t="s">
        <v>1239</v>
      </c>
      <c r="AI97" s="201">
        <v>0.249122719479</v>
      </c>
      <c r="AK97" s="201" t="s">
        <v>1188</v>
      </c>
    </row>
    <row r="98" spans="2:37" x14ac:dyDescent="0.25">
      <c r="K98" s="92">
        <v>606</v>
      </c>
      <c r="L98" s="222" t="str">
        <f si="33" t="shared"/>
        <v>M-DAS</v>
      </c>
      <c r="M98" s="239">
        <f si="32" t="shared"/>
        <v>-2.9948228206800001</v>
      </c>
      <c r="N98" s="238">
        <f si="34" t="shared"/>
        <v>-2.9948228206800001</v>
      </c>
      <c r="O98" s="94">
        <f si="35" t="shared"/>
        <v>0</v>
      </c>
      <c r="P98" s="265"/>
      <c r="Q98" s="265"/>
      <c r="R98" s="265"/>
      <c r="T98" s="201">
        <f>DayPatternCoefficients!A106</f>
        <v>332</v>
      </c>
      <c r="U98" s="201" t="str">
        <f>DayPatternCoefficients!B106</f>
        <v>E-NODIAR</v>
      </c>
      <c r="V98" s="222">
        <f>DayPatternCoefficients!D106</f>
        <v>-0.36162839107</v>
      </c>
      <c r="W98" s="223">
        <f>_xlfn.IFNA(VLOOKUP(T98,$K$63:$M$111,3,FALSE),_xlfn.IFNA(VLOOKUP(T98,$G$5:$K$11,5,FALSE),_xlfn.IFNA(IF(VLOOKUP(T98,$G$19:$K$25,4,FALSE)&gt;0,VLOOKUP(T98,$G$19:$K$25,5,FALSE),VLOOKUP(T98,$G$33:$K$39,5,FALSE)),_xlfn.IFNA(VLOOKUP(T98,new_summaries!$V$4:$Y$101,4,FALSE),V98))))</f>
        <v>-0.36162839107</v>
      </c>
      <c r="X98" s="201">
        <f si="29" t="shared"/>
        <v>0</v>
      </c>
      <c r="AG98" s="201">
        <v>210</v>
      </c>
      <c r="AH98" s="201" t="s">
        <v>1240</v>
      </c>
      <c r="AI98" s="201">
        <v>0.25694206716599999</v>
      </c>
      <c r="AK98" s="201" t="s">
        <v>1188</v>
      </c>
    </row>
    <row r="99" spans="2:37" x14ac:dyDescent="0.25">
      <c r="B99" s="264" t="s">
        <v>41</v>
      </c>
      <c r="C99" s="265"/>
      <c r="D99" s="265"/>
      <c r="E99" s="265"/>
      <c r="F99" s="265"/>
      <c r="G99" s="265"/>
      <c r="H99" s="265"/>
      <c r="I99" s="265"/>
      <c r="K99" s="92">
        <v>706</v>
      </c>
      <c r="L99" s="222" t="str">
        <f si="33" t="shared"/>
        <v>D-DAS</v>
      </c>
      <c r="M99" s="239">
        <f si="32" t="shared"/>
        <v>-1.5469095636900001</v>
      </c>
      <c r="N99" s="238">
        <f si="34" t="shared"/>
        <v>-1.5469095636900001</v>
      </c>
      <c r="O99" s="94">
        <f si="35" t="shared"/>
        <v>0</v>
      </c>
      <c r="P99" s="265"/>
      <c r="Q99" s="265"/>
      <c r="R99" s="265"/>
      <c r="T99" s="201">
        <f>DayPatternCoefficients!A107</f>
        <v>333</v>
      </c>
      <c r="U99" s="201" t="str">
        <f>DayPatternCoefficients!B107</f>
        <v>E-PROXY</v>
      </c>
      <c r="V99" s="222">
        <f>DayPatternCoefficients!D107</f>
        <v>-0.16749789355</v>
      </c>
      <c r="W99" s="223">
        <f>_xlfn.IFNA(VLOOKUP(T99,$K$63:$M$111,3,FALSE),_xlfn.IFNA(VLOOKUP(T99,$G$5:$K$11,5,FALSE),_xlfn.IFNA(IF(VLOOKUP(T99,$G$19:$K$25,4,FALSE)&gt;0,VLOOKUP(T99,$G$19:$K$25,5,FALSE),VLOOKUP(T99,$G$33:$K$39,5,FALSE)),_xlfn.IFNA(VLOOKUP(T99,new_summaries!$V$4:$Y$101,4,FALSE),V99))))</f>
        <v>-0.16749789355</v>
      </c>
      <c r="X99" s="201">
        <f si="29" t="shared"/>
        <v>0</v>
      </c>
      <c r="AG99" s="201">
        <v>221</v>
      </c>
      <c r="AH99" s="201" t="s">
        <v>1241</v>
      </c>
      <c r="AI99" s="201">
        <v>0.12529901139999999</v>
      </c>
      <c r="AK99" s="201" t="s">
        <v>1191</v>
      </c>
    </row>
    <row r="100" spans="2:37" x14ac:dyDescent="0.25">
      <c r="B100" s="264" t="s">
        <v>1242</v>
      </c>
      <c r="C100" s="265"/>
      <c r="D100" s="265" t="s">
        <v>1129</v>
      </c>
      <c r="E100" s="98">
        <v>0</v>
      </c>
      <c r="F100" s="265"/>
      <c r="G100" s="265"/>
      <c r="H100" s="265"/>
      <c r="I100" s="265"/>
      <c r="K100" s="92">
        <v>207</v>
      </c>
      <c r="L100" s="222" t="str">
        <f si="33" t="shared"/>
        <v>S-PAS</v>
      </c>
      <c r="M100" s="243">
        <f ref="M100:M105" si="36" t="shared">I117</f>
        <v>2.3775085649699998</v>
      </c>
      <c r="N100" s="238">
        <f si="34" t="shared"/>
        <v>2.3775085649699998</v>
      </c>
      <c r="O100" s="94">
        <f si="35" t="shared"/>
        <v>0</v>
      </c>
      <c r="P100" s="264"/>
      <c r="Q100" s="264"/>
      <c r="R100" s="264"/>
      <c r="T100" s="201">
        <f>DayPatternCoefficients!A108</f>
        <v>334</v>
      </c>
      <c r="U100" s="201" t="str">
        <f>DayPatternCoefficients!B108</f>
        <v>E-WATHOME</v>
      </c>
      <c r="V100" s="222">
        <f>DayPatternCoefficients!D108</f>
        <v>-1.4</v>
      </c>
      <c r="W100" s="223">
        <f>_xlfn.IFNA(VLOOKUP(T100,$K$63:$M$111,3,FALSE),_xlfn.IFNA(VLOOKUP(T100,$G$5:$K$11,5,FALSE),_xlfn.IFNA(IF(VLOOKUP(T100,$G$19:$K$25,4,FALSE)&gt;0,VLOOKUP(T100,$G$19:$K$25,5,FALSE),VLOOKUP(T100,$G$33:$K$39,5,FALSE)),_xlfn.IFNA(VLOOKUP(T100,new_summaries!$V$4:$Y$101,4,FALSE),V100))))</f>
        <v>-1.4</v>
      </c>
      <c r="X100" s="201">
        <f si="29" t="shared"/>
        <v>0</v>
      </c>
      <c r="AG100" s="201">
        <v>222</v>
      </c>
      <c r="AH100" s="201" t="s">
        <v>1239</v>
      </c>
      <c r="AI100" s="201">
        <v>0.51645107443399996</v>
      </c>
      <c r="AK100" s="201" t="s">
        <v>1191</v>
      </c>
    </row>
    <row customHeight="1" ht="14.65" r="101" spans="2:37" thickBot="1" x14ac:dyDescent="0.3">
      <c r="B101" s="265" t="s">
        <v>1117</v>
      </c>
      <c r="C101" s="2">
        <f ref="C101:J101" si="37" t="shared">$E$100</f>
        <v>0</v>
      </c>
      <c r="D101" s="2">
        <f si="37" t="shared"/>
        <v>0</v>
      </c>
      <c r="E101" s="2">
        <f si="37" t="shared"/>
        <v>0</v>
      </c>
      <c r="F101" s="2">
        <f si="37" t="shared"/>
        <v>0</v>
      </c>
      <c r="G101" s="2">
        <f si="37" t="shared"/>
        <v>0</v>
      </c>
      <c r="H101" s="2">
        <f si="37" t="shared"/>
        <v>0</v>
      </c>
      <c r="I101" s="2">
        <f si="37" t="shared"/>
        <v>0</v>
      </c>
      <c r="J101" s="2">
        <f si="37" t="shared"/>
        <v>0</v>
      </c>
      <c r="K101" s="92">
        <v>307</v>
      </c>
      <c r="L101" s="222" t="str">
        <f si="33" t="shared"/>
        <v>E-PAS</v>
      </c>
      <c r="M101" s="243">
        <f si="36" t="shared"/>
        <v>-1.8750020057100001</v>
      </c>
      <c r="N101" s="238">
        <f si="34" t="shared"/>
        <v>-1.8750020057100001</v>
      </c>
      <c r="O101" s="94">
        <f si="35" t="shared"/>
        <v>0</v>
      </c>
      <c r="P101" s="52"/>
      <c r="Q101" s="52"/>
      <c r="R101" s="52"/>
      <c r="T101" s="201">
        <f>DayPatternCoefficients!A109</f>
        <v>351</v>
      </c>
      <c r="U101" s="201" t="str">
        <f>DayPatternCoefficients!B109</f>
        <v>E-FTW</v>
      </c>
      <c r="V101" s="222">
        <f>DayPatternCoefficients!D109</f>
        <v>-1.0623648370200001</v>
      </c>
      <c r="W101" s="223">
        <f>_xlfn.IFNA(VLOOKUP(T101,$K$63:$M$111,3,FALSE),_xlfn.IFNA(VLOOKUP(T101,$G$5:$K$11,5,FALSE),_xlfn.IFNA(IF(VLOOKUP(T101,$G$19:$K$25,4,FALSE)&gt;0,VLOOKUP(T101,$G$19:$K$25,5,FALSE),VLOOKUP(T101,$G$33:$K$39,5,FALSE)),_xlfn.IFNA(VLOOKUP(T101,new_summaries!$V$4:$Y$101,4,FALSE),V101))))</f>
        <v>-1.0623648370200001</v>
      </c>
      <c r="X101" s="201">
        <f si="29" t="shared"/>
        <v>0</v>
      </c>
      <c r="AG101" s="201">
        <v>223</v>
      </c>
      <c r="AH101" s="201" t="s">
        <v>1240</v>
      </c>
      <c r="AI101" s="201">
        <v>0.61577891945899998</v>
      </c>
      <c r="AK101" s="201" t="s">
        <v>1191</v>
      </c>
    </row>
    <row r="102" spans="2:37" x14ac:dyDescent="0.25">
      <c r="B102" s="3" t="s">
        <v>22</v>
      </c>
      <c r="C102" s="4" t="s">
        <v>12</v>
      </c>
      <c r="D102" s="4" t="s">
        <v>13</v>
      </c>
      <c r="E102" s="4" t="s">
        <v>14</v>
      </c>
      <c r="F102" s="4" t="s">
        <v>15</v>
      </c>
      <c r="G102" s="4" t="s">
        <v>16</v>
      </c>
      <c r="H102" s="4" t="s">
        <v>17</v>
      </c>
      <c r="I102" s="4" t="s">
        <v>18</v>
      </c>
      <c r="J102" s="4" t="str">
        <f>J88</f>
        <v>Under 5</v>
      </c>
      <c r="K102" s="92">
        <v>407</v>
      </c>
      <c r="L102" s="222" t="str">
        <f si="33" t="shared"/>
        <v>P-PAS</v>
      </c>
      <c r="M102" s="243">
        <f si="36" t="shared"/>
        <v>-1.73055593888</v>
      </c>
      <c r="N102" s="238">
        <f si="34" t="shared"/>
        <v>-1.73055593888</v>
      </c>
      <c r="O102" s="94">
        <f si="35" t="shared"/>
        <v>0</v>
      </c>
      <c r="P102" s="265"/>
      <c r="Q102" s="265"/>
      <c r="R102" s="265"/>
      <c r="T102" s="201">
        <f>DayPatternCoefficients!A110</f>
        <v>400</v>
      </c>
      <c r="U102" s="201" t="str">
        <f>DayPatternCoefficients!B110</f>
        <v>P-TASC</v>
      </c>
      <c r="V102" s="222">
        <f>DayPatternCoefficients!D110</f>
        <v>-1.5432299922999999</v>
      </c>
      <c r="W102" s="223">
        <f>_xlfn.IFNA(VLOOKUP(T102,$K$63:$M$111,3,FALSE),_xlfn.IFNA(VLOOKUP(T102,$G$5:$K$11,5,FALSE),_xlfn.IFNA(IF(VLOOKUP(T102,$G$19:$K$25,4,FALSE)&gt;0,VLOOKUP(T102,$G$19:$K$25,5,FALSE),VLOOKUP(T102,$G$33:$K$39,5,FALSE)),_xlfn.IFNA(VLOOKUP(T102,new_summaries!$V$4:$Y$101,4,FALSE),V102))))</f>
        <v>-1.5686278185800291</v>
      </c>
      <c r="X102" s="201">
        <f si="29" t="shared"/>
        <v>1</v>
      </c>
      <c r="AG102" s="201">
        <v>226</v>
      </c>
      <c r="AH102" s="201" t="s">
        <v>1243</v>
      </c>
      <c r="AI102" s="70">
        <v>2.2703091891400001E-2</v>
      </c>
      <c r="AK102" s="201" t="s">
        <v>1191</v>
      </c>
    </row>
    <row r="103" spans="2:37" x14ac:dyDescent="0.25">
      <c r="B103" s="265" t="s">
        <v>23</v>
      </c>
      <c r="C103" s="240">
        <f ref="C103:C109" si="38" t="shared">IFERROR($C$101*(LN(C89)-$J5),0)</f>
        <v>0</v>
      </c>
      <c r="D103" s="240">
        <f>IFERROR($D$101*(LN(D89)-$J5),0)</f>
        <v>0</v>
      </c>
      <c r="E103" s="198">
        <f>IFERROR($E$100*(LN(E89)-$J5),0)</f>
        <v>0</v>
      </c>
      <c r="F103" s="198">
        <f>IFERROR($E$100*(LN(F89)-$J5),0)</f>
        <v>0</v>
      </c>
      <c r="G103" s="240">
        <f ref="G103:G109" si="39" t="shared">IFERROR($G$101*(LN(G89)-$J5),0)</f>
        <v>0</v>
      </c>
      <c r="H103" s="240">
        <f ref="H103:H109" si="40" t="shared">IFERROR($H$101*(LN(H89)-$J5),0)</f>
        <v>0</v>
      </c>
      <c r="I103" s="198">
        <f>IFERROR($E$100*(LN(I89)-$J5),0)</f>
        <v>0</v>
      </c>
      <c r="J103" s="198">
        <f>IFERROR($E$100*(LN(J89)-$J5),0)</f>
        <v>0</v>
      </c>
      <c r="K103" s="92">
        <v>507</v>
      </c>
      <c r="L103" s="222" t="str">
        <f si="33" t="shared"/>
        <v>H-PAS</v>
      </c>
      <c r="M103" s="243">
        <f si="36" t="shared"/>
        <v>-2.1164686959500001</v>
      </c>
      <c r="N103" s="238">
        <f si="34" t="shared"/>
        <v>-2.1164686959500001</v>
      </c>
      <c r="O103" s="94">
        <f si="35" t="shared"/>
        <v>0</v>
      </c>
      <c r="P103" s="265"/>
      <c r="Q103" s="265"/>
      <c r="R103" s="265"/>
      <c r="T103" s="201">
        <f>DayPatternCoefficients!A111</f>
        <v>401</v>
      </c>
      <c r="U103" s="201" t="str">
        <f>DayPatternCoefficients!B111</f>
        <v>P-SASC</v>
      </c>
      <c r="V103" s="222">
        <f>DayPatternCoefficients!D111</f>
        <v>3.31854492639</v>
      </c>
      <c r="W103" s="223">
        <f>_xlfn.IFNA(VLOOKUP(T103,$K$63:$M$111,3,FALSE),_xlfn.IFNA(VLOOKUP(T103,$G$5:$K$11,5,FALSE),_xlfn.IFNA(IF(VLOOKUP(T103,$G$19:$K$25,4,FALSE)&gt;0,VLOOKUP(T103,$G$19:$K$25,5,FALSE),VLOOKUP(T103,$G$33:$K$39,5,FALSE)),_xlfn.IFNA(VLOOKUP(T103,new_summaries!$V$4:$Y$101,4,FALSE),V103))))</f>
        <v>3.31854492639</v>
      </c>
      <c r="X103" s="201">
        <f si="29" t="shared"/>
        <v>0</v>
      </c>
      <c r="AG103" s="201">
        <v>228</v>
      </c>
      <c r="AH103" s="201" t="s">
        <v>1244</v>
      </c>
      <c r="AI103" s="201">
        <v>-0.124677687572</v>
      </c>
      <c r="AK103" s="201" t="s">
        <v>1191</v>
      </c>
    </row>
    <row r="104" spans="2:37" x14ac:dyDescent="0.25">
      <c r="B104" s="265" t="s">
        <v>24</v>
      </c>
      <c r="C104" s="240">
        <f si="38" t="shared"/>
        <v>0</v>
      </c>
      <c r="D104" s="198">
        <f>IFERROR($E$100*(LN(D90)-$J6),0)</f>
        <v>0</v>
      </c>
      <c r="E104" s="198">
        <f>IFERROR($E$100*(LN(E90)-$J6),0)</f>
        <v>0</v>
      </c>
      <c r="F104" s="198">
        <f>IFERROR($E$100*(LN(F90)-$J6),0)</f>
        <v>0</v>
      </c>
      <c r="G104" s="240">
        <f si="39" t="shared"/>
        <v>0</v>
      </c>
      <c r="H104" s="240">
        <f si="40" t="shared"/>
        <v>0</v>
      </c>
      <c r="I104" s="240">
        <f ref="I104:I109" si="41" t="shared">IFERROR($I$101*(LN(I90)-$J6),0)</f>
        <v>0</v>
      </c>
      <c r="J104" s="240">
        <f ref="J104:J109" si="42" t="shared">IFERROR($J$101*(LN(J90)-$J6),0)</f>
        <v>0</v>
      </c>
      <c r="K104" s="92">
        <v>607</v>
      </c>
      <c r="L104" s="222" t="str">
        <f si="33" t="shared"/>
        <v>M-PAS</v>
      </c>
      <c r="M104" s="243">
        <f si="36" t="shared"/>
        <v>-1.98828318011</v>
      </c>
      <c r="N104" s="238">
        <f si="34" t="shared"/>
        <v>-1.98828318011</v>
      </c>
      <c r="O104" s="94">
        <f si="35" t="shared"/>
        <v>0</v>
      </c>
      <c r="P104" s="265"/>
      <c r="Q104" s="265"/>
      <c r="R104" s="265"/>
      <c r="T104" s="201">
        <f>DayPatternCoefficients!A112</f>
        <v>402</v>
      </c>
      <c r="U104" s="201" t="str">
        <f>DayPatternCoefficients!B112</f>
        <v>P-PTW</v>
      </c>
      <c r="V104" s="222">
        <f>DayPatternCoefficients!D112</f>
        <v>2.8035772453900001</v>
      </c>
      <c r="W104" s="223">
        <f>_xlfn.IFNA(VLOOKUP(T104,$K$63:$M$111,3,FALSE),_xlfn.IFNA(VLOOKUP(T104,$G$5:$K$11,5,FALSE),_xlfn.IFNA(IF(VLOOKUP(T104,$G$19:$K$25,4,FALSE)&gt;0,VLOOKUP(T104,$G$19:$K$25,5,FALSE),VLOOKUP(T104,$G$33:$K$39,5,FALSE)),_xlfn.IFNA(VLOOKUP(T104,new_summaries!$V$4:$Y$101,4,FALSE),V104))))</f>
        <v>2.8035772453900001</v>
      </c>
      <c r="X104" s="201">
        <f si="29" t="shared"/>
        <v>0</v>
      </c>
      <c r="AG104" s="201">
        <v>235</v>
      </c>
      <c r="AH104" s="201" t="s">
        <v>1239</v>
      </c>
      <c r="AI104" s="201">
        <v>0.29394375688000002</v>
      </c>
      <c r="AK104" s="201" t="s">
        <v>1194</v>
      </c>
    </row>
    <row r="105" spans="2:37" x14ac:dyDescent="0.25">
      <c r="B105" s="265" t="s">
        <v>25</v>
      </c>
      <c r="C105" s="240">
        <f si="38" t="shared"/>
        <v>0</v>
      </c>
      <c r="D105" s="240">
        <f>IFERROR($D$101*(LN(D91)-$J7),0)</f>
        <v>0</v>
      </c>
      <c r="E105" s="240">
        <f>IFERROR($E$101*(LN(E91)-$J7),0)</f>
        <v>0</v>
      </c>
      <c r="F105" s="240">
        <f>IFERROR($F$101*(LN(F91)-$J7),0)</f>
        <v>0</v>
      </c>
      <c r="G105" s="240">
        <f si="39" t="shared"/>
        <v>0</v>
      </c>
      <c r="H105" s="240">
        <f si="40" t="shared"/>
        <v>0</v>
      </c>
      <c r="I105" s="240">
        <f si="41" t="shared"/>
        <v>0</v>
      </c>
      <c r="J105" s="240">
        <f si="42" t="shared"/>
        <v>0</v>
      </c>
      <c r="K105" s="92">
        <v>707</v>
      </c>
      <c r="L105" s="222" t="str">
        <f si="33" t="shared"/>
        <v>D-PAS</v>
      </c>
      <c r="M105" s="243">
        <f si="36" t="shared"/>
        <v>-0.36546801553000002</v>
      </c>
      <c r="N105" s="238">
        <f si="34" t="shared"/>
        <v>-0.36546801553000002</v>
      </c>
      <c r="O105" s="94">
        <f si="35" t="shared"/>
        <v>0</v>
      </c>
      <c r="P105" s="265"/>
      <c r="Q105" s="265"/>
      <c r="R105" s="265"/>
      <c r="T105" s="201">
        <f>DayPatternCoefficients!A113</f>
        <v>403</v>
      </c>
      <c r="U105" s="201" t="str">
        <f>DayPatternCoefficients!B113</f>
        <v>P-RET</v>
      </c>
      <c r="V105" s="222">
        <f>DayPatternCoefficients!D113</f>
        <v>-0.24624373095999999</v>
      </c>
      <c r="W105" s="223">
        <f>_xlfn.IFNA(VLOOKUP(T105,$K$63:$M$111,3,FALSE),_xlfn.IFNA(VLOOKUP(T105,$G$5:$K$11,5,FALSE),_xlfn.IFNA(IF(VLOOKUP(T105,$G$19:$K$25,4,FALSE)&gt;0,VLOOKUP(T105,$G$19:$K$25,5,FALSE),VLOOKUP(T105,$G$33:$K$39,5,FALSE)),_xlfn.IFNA(VLOOKUP(T105,new_summaries!$V$4:$Y$101,4,FALSE),V105))))</f>
        <v>-0.24624373095999999</v>
      </c>
      <c r="X105" s="201">
        <f si="29" t="shared"/>
        <v>0</v>
      </c>
      <c r="AG105" s="201">
        <v>236</v>
      </c>
      <c r="AH105" s="201" t="s">
        <v>1240</v>
      </c>
      <c r="AI105" s="201">
        <v>0.352789652234</v>
      </c>
      <c r="AK105" s="201" t="s">
        <v>1194</v>
      </c>
    </row>
    <row r="106" spans="2:37" x14ac:dyDescent="0.25">
      <c r="B106" s="265" t="s">
        <v>26</v>
      </c>
      <c r="C106" s="240">
        <f si="38" t="shared"/>
        <v>0</v>
      </c>
      <c r="D106" s="240">
        <f>IFERROR($D$101*(LN(D92)-$J8),0)</f>
        <v>0</v>
      </c>
      <c r="E106" s="240">
        <f>IFERROR($E$101*(LN(E92)-$J8),0)</f>
        <v>0</v>
      </c>
      <c r="F106" s="240">
        <f>IFERROR($F$101*(LN(F92)-$J8),0)</f>
        <v>0</v>
      </c>
      <c r="G106" s="240">
        <f si="39" t="shared"/>
        <v>0</v>
      </c>
      <c r="H106" s="240">
        <f si="40" t="shared"/>
        <v>0</v>
      </c>
      <c r="I106" s="240">
        <f si="41" t="shared"/>
        <v>0</v>
      </c>
      <c r="J106" s="240">
        <f si="42" t="shared"/>
        <v>0</v>
      </c>
      <c r="K106" s="201">
        <v>208</v>
      </c>
      <c r="L106" s="222" t="str">
        <f si="33" t="shared"/>
        <v>S-CU5</v>
      </c>
      <c r="M106" s="243">
        <f ref="M106:M111" si="43" t="shared">J117</f>
        <v>1.1554295912400001</v>
      </c>
      <c r="N106" s="238">
        <f si="34" t="shared"/>
        <v>1.1554295912400001</v>
      </c>
      <c r="O106" s="94">
        <f si="35" t="shared"/>
        <v>0</v>
      </c>
      <c r="P106" s="265"/>
      <c r="Q106" s="265"/>
      <c r="R106" s="265"/>
      <c r="T106" s="201">
        <f>DayPatternCoefficients!A114</f>
        <v>404</v>
      </c>
      <c r="U106" s="201" t="str">
        <f>DayPatternCoefficients!B114</f>
        <v>P-NWA</v>
      </c>
      <c r="V106" s="222">
        <f>DayPatternCoefficients!D114</f>
        <v>-1.1659743151199999</v>
      </c>
      <c r="W106" s="223">
        <f>_xlfn.IFNA(VLOOKUP(T106,$K$63:$M$111,3,FALSE),_xlfn.IFNA(VLOOKUP(T106,$G$5:$K$11,5,FALSE),_xlfn.IFNA(IF(VLOOKUP(T106,$G$19:$K$25,4,FALSE)&gt;0,VLOOKUP(T106,$G$19:$K$25,5,FALSE),VLOOKUP(T106,$G$33:$K$39,5,FALSE)),_xlfn.IFNA(VLOOKUP(T106,new_summaries!$V$4:$Y$101,4,FALSE),V106))))</f>
        <v>-1.1659743151199999</v>
      </c>
      <c r="X106" s="201">
        <f si="29" t="shared"/>
        <v>0</v>
      </c>
      <c r="AG106" s="201">
        <v>237</v>
      </c>
      <c r="AH106" s="201" t="s">
        <v>1245</v>
      </c>
      <c r="AI106" s="201">
        <v>-1.3902039335800001</v>
      </c>
      <c r="AK106" s="201" t="s">
        <v>1183</v>
      </c>
    </row>
    <row r="107" spans="2:37" x14ac:dyDescent="0.25">
      <c r="B107" s="265" t="s">
        <v>27</v>
      </c>
      <c r="C107" s="240">
        <f si="38" t="shared"/>
        <v>0</v>
      </c>
      <c r="D107" s="240">
        <f>IFERROR($D$101*(LN(D93)-$J9),0)</f>
        <v>0</v>
      </c>
      <c r="E107" s="240">
        <f>IFERROR($E$101*(LN(E93)-$J9),0)</f>
        <v>0</v>
      </c>
      <c r="F107" s="240">
        <f>IFERROR($F$101*(LN(F93)-$J9),0)</f>
        <v>0</v>
      </c>
      <c r="G107" s="240">
        <f si="39" t="shared"/>
        <v>0</v>
      </c>
      <c r="H107" s="240">
        <f si="40" t="shared"/>
        <v>0</v>
      </c>
      <c r="I107" s="240">
        <f si="41" t="shared"/>
        <v>0</v>
      </c>
      <c r="J107" s="240">
        <f si="42" t="shared"/>
        <v>0</v>
      </c>
      <c r="K107" s="201">
        <v>308</v>
      </c>
      <c r="L107" s="222" t="str">
        <f si="33" t="shared"/>
        <v>E-CU5</v>
      </c>
      <c r="M107" s="243">
        <f si="43" t="shared"/>
        <v>0.58461516065999997</v>
      </c>
      <c r="N107" s="238">
        <f si="34" t="shared"/>
        <v>0.58461516065999997</v>
      </c>
      <c r="O107" s="94">
        <f si="35" t="shared"/>
        <v>0</v>
      </c>
      <c r="P107" s="265"/>
      <c r="Q107" s="265"/>
      <c r="R107" s="265"/>
      <c r="T107" s="201">
        <f>DayPatternCoefficients!A115</f>
        <v>405</v>
      </c>
      <c r="U107" s="201" t="str">
        <f>DayPatternCoefficients!B115</f>
        <v>P-UNI</v>
      </c>
      <c r="V107" s="222">
        <f>DayPatternCoefficients!D115</f>
        <v>-2.0528822094499999</v>
      </c>
      <c r="W107" s="223">
        <f>_xlfn.IFNA(VLOOKUP(T107,$K$63:$M$111,3,FALSE),_xlfn.IFNA(VLOOKUP(T107,$G$5:$K$11,5,FALSE),_xlfn.IFNA(IF(VLOOKUP(T107,$G$19:$K$25,4,FALSE)&gt;0,VLOOKUP(T107,$G$19:$K$25,5,FALSE),VLOOKUP(T107,$G$33:$K$39,5,FALSE)),_xlfn.IFNA(VLOOKUP(T107,new_summaries!$V$4:$Y$101,4,FALSE),V107))))</f>
        <v>-2.0528822094499999</v>
      </c>
      <c r="X107" s="201">
        <f si="29" t="shared"/>
        <v>0</v>
      </c>
      <c r="AG107" s="201">
        <v>238</v>
      </c>
      <c r="AH107" s="201" t="s">
        <v>1245</v>
      </c>
      <c r="AI107" s="201">
        <v>0.31366055622900002</v>
      </c>
      <c r="AK107" s="201" t="s">
        <v>1184</v>
      </c>
    </row>
    <row r="108" spans="2:37" x14ac:dyDescent="0.25">
      <c r="B108" s="265" t="s">
        <v>28</v>
      </c>
      <c r="C108" s="240">
        <f si="38" t="shared"/>
        <v>0</v>
      </c>
      <c r="D108" s="240">
        <f>IFERROR($D$101*(LN(D94)-$J10),0)</f>
        <v>0</v>
      </c>
      <c r="E108" s="240">
        <f>IFERROR($E$101*(LN(E94)-$J10),0)</f>
        <v>0</v>
      </c>
      <c r="F108" s="240">
        <f>IFERROR($F$101*(LN(F94)-$J10),0)</f>
        <v>0</v>
      </c>
      <c r="G108" s="240">
        <f si="39" t="shared"/>
        <v>0</v>
      </c>
      <c r="H108" s="240">
        <f si="40" t="shared"/>
        <v>0</v>
      </c>
      <c r="I108" s="240">
        <f si="41" t="shared"/>
        <v>0</v>
      </c>
      <c r="J108" s="240">
        <f si="42" t="shared"/>
        <v>0</v>
      </c>
      <c r="K108" s="201">
        <v>408</v>
      </c>
      <c r="L108" s="222" t="str">
        <f si="33" t="shared"/>
        <v>P-CU5</v>
      </c>
      <c r="M108" s="243">
        <f si="43" t="shared"/>
        <v>-0.41495252702000002</v>
      </c>
      <c r="N108" s="238">
        <f si="34" t="shared"/>
        <v>-0.41495252702000002</v>
      </c>
      <c r="O108" s="94">
        <f si="35" t="shared"/>
        <v>0</v>
      </c>
      <c r="P108" s="265"/>
      <c r="Q108" s="265"/>
      <c r="R108" s="265"/>
      <c r="T108" s="201">
        <f>DayPatternCoefficients!A116</f>
        <v>406</v>
      </c>
      <c r="U108" s="201" t="str">
        <f>DayPatternCoefficients!B116</f>
        <v>P-DAS</v>
      </c>
      <c r="V108" s="222">
        <f>DayPatternCoefficients!D116</f>
        <v>-2.4818889930700001</v>
      </c>
      <c r="W108" s="223">
        <f>_xlfn.IFNA(VLOOKUP(T108,$K$63:$M$111,3,FALSE),_xlfn.IFNA(VLOOKUP(T108,$G$5:$K$11,5,FALSE),_xlfn.IFNA(IF(VLOOKUP(T108,$G$19:$K$25,4,FALSE)&gt;0,VLOOKUP(T108,$G$19:$K$25,5,FALSE),VLOOKUP(T108,$G$33:$K$39,5,FALSE)),_xlfn.IFNA(VLOOKUP(T108,new_summaries!$V$4:$Y$101,4,FALSE),V108))))</f>
        <v>-2.4818889930700001</v>
      </c>
      <c r="X108" s="201">
        <f si="29" t="shared"/>
        <v>0</v>
      </c>
      <c r="AG108" s="201">
        <v>239</v>
      </c>
      <c r="AH108" s="201" t="s">
        <v>1245</v>
      </c>
      <c r="AI108" s="201">
        <v>0.61850625713600005</v>
      </c>
      <c r="AK108" s="201" t="s">
        <v>1191</v>
      </c>
    </row>
    <row customHeight="1" ht="14.65" r="109" spans="2:37" thickBot="1" x14ac:dyDescent="0.3">
      <c r="B109" s="13" t="s">
        <v>29</v>
      </c>
      <c r="C109" s="242">
        <f si="38" t="shared"/>
        <v>0</v>
      </c>
      <c r="D109" s="242">
        <f>IFERROR($D$101*(LN(D95)-$J11),0)</f>
        <v>0</v>
      </c>
      <c r="E109" s="242">
        <f>IFERROR($E$101*(LN(E95)-$J11),0)</f>
        <v>0</v>
      </c>
      <c r="F109" s="242">
        <f>IFERROR($F$101*(LN(F95)-$J11),0)</f>
        <v>0</v>
      </c>
      <c r="G109" s="242">
        <f si="39" t="shared"/>
        <v>0</v>
      </c>
      <c r="H109" s="242">
        <f si="40" t="shared"/>
        <v>0</v>
      </c>
      <c r="I109" s="242">
        <f si="41" t="shared"/>
        <v>0</v>
      </c>
      <c r="J109" s="242">
        <f si="42" t="shared"/>
        <v>0</v>
      </c>
      <c r="K109" s="201">
        <v>508</v>
      </c>
      <c r="L109" s="222" t="str">
        <f si="33" t="shared"/>
        <v>H-CU5</v>
      </c>
      <c r="M109" s="243">
        <f si="43" t="shared"/>
        <v>0</v>
      </c>
      <c r="N109" s="238">
        <f si="34" t="shared"/>
        <v>0</v>
      </c>
      <c r="O109" s="94">
        <f si="35" t="shared"/>
        <v>0</v>
      </c>
      <c r="T109" s="201">
        <f>DayPatternCoefficients!A117</f>
        <v>407</v>
      </c>
      <c r="U109" s="201" t="str">
        <f>DayPatternCoefficients!B117</f>
        <v>P-PAS</v>
      </c>
      <c r="V109" s="222">
        <f>DayPatternCoefficients!D117</f>
        <v>-1.73055593888</v>
      </c>
      <c r="W109" s="223">
        <f>_xlfn.IFNA(VLOOKUP(T109,$K$63:$M$111,3,FALSE),_xlfn.IFNA(VLOOKUP(T109,$G$5:$K$11,5,FALSE),_xlfn.IFNA(IF(VLOOKUP(T109,$G$19:$K$25,4,FALSE)&gt;0,VLOOKUP(T109,$G$19:$K$25,5,FALSE),VLOOKUP(T109,$G$33:$K$39,5,FALSE)),_xlfn.IFNA(VLOOKUP(T109,new_summaries!$V$4:$Y$101,4,FALSE),V109))))</f>
        <v>-1.73055593888</v>
      </c>
      <c r="X109" s="201">
        <f si="29" t="shared"/>
        <v>0</v>
      </c>
    </row>
    <row r="110" spans="2:37" x14ac:dyDescent="0.25">
      <c r="K110" s="201">
        <v>608</v>
      </c>
      <c r="L110" s="222" t="str">
        <f si="33" t="shared"/>
        <v>M-CU5</v>
      </c>
      <c r="M110" s="243">
        <f si="43" t="shared"/>
        <v>-0.28195572471000002</v>
      </c>
      <c r="N110" s="238">
        <f si="34" t="shared"/>
        <v>-0.28195572471000002</v>
      </c>
      <c r="O110" s="94">
        <f si="35" t="shared"/>
        <v>0</v>
      </c>
      <c r="T110" s="201">
        <f>DayPatternCoefficients!A118</f>
        <v>408</v>
      </c>
      <c r="U110" s="201" t="str">
        <f>DayPatternCoefficients!B118</f>
        <v>P-CU5</v>
      </c>
      <c r="V110" s="222">
        <f>DayPatternCoefficients!D118</f>
        <v>-0.41495252702000002</v>
      </c>
      <c r="W110" s="223">
        <f>_xlfn.IFNA(VLOOKUP(T110,$K$63:$M$111,3,FALSE),_xlfn.IFNA(VLOOKUP(T110,$G$5:$K$11,5,FALSE),_xlfn.IFNA(IF(VLOOKUP(T110,$G$19:$K$25,4,FALSE)&gt;0,VLOOKUP(T110,$G$19:$K$25,5,FALSE),VLOOKUP(T110,$G$33:$K$39,5,FALSE)),_xlfn.IFNA(VLOOKUP(T110,new_summaries!$V$4:$Y$101,4,FALSE),V110))))</f>
        <v>-0.41495252702000002</v>
      </c>
      <c r="X110" s="201">
        <f si="29" t="shared"/>
        <v>0</v>
      </c>
    </row>
    <row customHeight="1" ht="14.65" r="111" spans="2:37" thickBot="1" x14ac:dyDescent="0.3">
      <c r="K111" s="18">
        <v>708</v>
      </c>
      <c r="L111" s="231" t="str">
        <f si="33" t="shared"/>
        <v>D-CU5</v>
      </c>
      <c r="M111" s="244">
        <f si="43" t="shared"/>
        <v>0.43115396777999998</v>
      </c>
      <c r="N111" s="245">
        <f si="34" t="shared"/>
        <v>0.43115396777999998</v>
      </c>
      <c r="O111" s="95">
        <f si="35" t="shared"/>
        <v>0</v>
      </c>
      <c r="T111" s="201">
        <f>DayPatternCoefficients!A119</f>
        <v>409</v>
      </c>
      <c r="U111" s="201" t="str">
        <f>DayPatternCoefficients!B119</f>
        <v>P-VLINC</v>
      </c>
      <c r="V111" s="222">
        <f>DayPatternCoefficients!D119</f>
        <v>-7.0369393259999996E-2</v>
      </c>
      <c r="W111" s="223">
        <f>_xlfn.IFNA(VLOOKUP(T111,$K$63:$M$111,3,FALSE),_xlfn.IFNA(VLOOKUP(T111,$G$5:$K$11,5,FALSE),_xlfn.IFNA(IF(VLOOKUP(T111,$G$19:$K$25,4,FALSE)&gt;0,VLOOKUP(T111,$G$19:$K$25,5,FALSE),VLOOKUP(T111,$G$33:$K$39,5,FALSE)),_xlfn.IFNA(VLOOKUP(T111,new_summaries!$V$4:$Y$101,4,FALSE),V111))))</f>
        <v>-7.0369393259999996E-2</v>
      </c>
      <c r="X111" s="201">
        <f si="29" t="shared"/>
        <v>0</v>
      </c>
    </row>
    <row r="112" spans="2:37" x14ac:dyDescent="0.25">
      <c r="B112" s="264" t="s">
        <v>41</v>
      </c>
      <c r="C112" s="265"/>
      <c r="D112" s="265"/>
      <c r="E112" s="265"/>
      <c r="F112" s="265"/>
      <c r="G112" s="265"/>
      <c r="H112" s="265"/>
      <c r="I112" s="265"/>
      <c r="O112" s="202">
        <f>SUM(O63:O111)</f>
        <v>0</v>
      </c>
      <c r="T112" s="201">
        <f>DayPatternCoefficients!A120</f>
        <v>410</v>
      </c>
      <c r="U112" s="201" t="str">
        <f>DayPatternCoefficients!B120</f>
        <v>P-LOINC</v>
      </c>
      <c r="V112" s="222">
        <f>DayPatternCoefficients!D120</f>
        <v>0</v>
      </c>
      <c r="W112" s="223">
        <f>_xlfn.IFNA(VLOOKUP(T112,$K$63:$M$111,3,FALSE),_xlfn.IFNA(VLOOKUP(T112,$G$5:$K$11,5,FALSE),_xlfn.IFNA(IF(VLOOKUP(T112,$G$19:$K$25,4,FALSE)&gt;0,VLOOKUP(T112,$G$19:$K$25,5,FALSE),VLOOKUP(T112,$G$33:$K$39,5,FALSE)),_xlfn.IFNA(VLOOKUP(T112,new_summaries!$V$4:$Y$101,4,FALSE),V112))))</f>
        <v>0</v>
      </c>
      <c r="X112" s="201">
        <f si="29" t="shared"/>
        <v>0</v>
      </c>
    </row>
    <row r="113" spans="2:24" x14ac:dyDescent="0.25">
      <c r="B113" s="264" t="s">
        <v>1246</v>
      </c>
      <c r="C113" s="265"/>
      <c r="F113" s="265"/>
      <c r="G113" s="265"/>
      <c r="H113" s="265"/>
      <c r="I113" s="265"/>
      <c r="T113" s="201">
        <f>DayPatternCoefficients!A121</f>
        <v>411</v>
      </c>
      <c r="U113" s="201" t="str">
        <f>DayPatternCoefficients!B121</f>
        <v>P-HIINC</v>
      </c>
      <c r="V113" s="222">
        <f>DayPatternCoefficients!D121</f>
        <v>0.11538390076</v>
      </c>
      <c r="W113" s="223">
        <f>_xlfn.IFNA(VLOOKUP(T113,$K$63:$M$111,3,FALSE),_xlfn.IFNA(VLOOKUP(T113,$G$5:$K$11,5,FALSE),_xlfn.IFNA(IF(VLOOKUP(T113,$G$19:$K$25,4,FALSE)&gt;0,VLOOKUP(T113,$G$19:$K$25,5,FALSE),VLOOKUP(T113,$G$33:$K$39,5,FALSE)),_xlfn.IFNA(VLOOKUP(T113,new_summaries!$V$4:$Y$101,4,FALSE),V113))))</f>
        <v>0.11538390076</v>
      </c>
      <c r="X113" s="201">
        <f si="29" t="shared"/>
        <v>0</v>
      </c>
    </row>
    <row customHeight="1" ht="14.65" r="114" spans="2:24" thickBot="1" x14ac:dyDescent="0.3">
      <c r="B114" s="265"/>
      <c r="C114" s="2"/>
      <c r="D114" s="2"/>
      <c r="E114" s="2"/>
      <c r="F114" s="2"/>
      <c r="G114" s="2"/>
      <c r="H114" s="2"/>
      <c r="I114" s="2"/>
      <c r="T114" s="201">
        <f>DayPatternCoefficients!A122</f>
        <v>412</v>
      </c>
      <c r="U114" s="201" t="str">
        <f>DayPatternCoefficients!B122</f>
        <v>P-CARSPD</v>
      </c>
      <c r="V114" s="222">
        <f>DayPatternCoefficients!D122</f>
        <v>2.96634151E-2</v>
      </c>
      <c r="W114" s="223">
        <f>_xlfn.IFNA(VLOOKUP(T114,$K$63:$M$111,3,FALSE),_xlfn.IFNA(VLOOKUP(T114,$G$5:$K$11,5,FALSE),_xlfn.IFNA(IF(VLOOKUP(T114,$G$19:$K$25,4,FALSE)&gt;0,VLOOKUP(T114,$G$19:$K$25,5,FALSE),VLOOKUP(T114,$G$33:$K$39,5,FALSE)),_xlfn.IFNA(VLOOKUP(T114,new_summaries!$V$4:$Y$101,4,FALSE),V114))))</f>
        <v>2.96634151E-2</v>
      </c>
      <c r="X114" s="201">
        <f si="29" t="shared"/>
        <v>0</v>
      </c>
    </row>
    <row r="115" spans="2:24" x14ac:dyDescent="0.25">
      <c r="B115" s="3" t="s">
        <v>22</v>
      </c>
      <c r="C115" s="4" t="s">
        <v>12</v>
      </c>
      <c r="D115" s="4" t="s">
        <v>13</v>
      </c>
      <c r="E115" s="4" t="s">
        <v>14</v>
      </c>
      <c r="F115" s="4" t="s">
        <v>15</v>
      </c>
      <c r="G115" s="4" t="s">
        <v>16</v>
      </c>
      <c r="H115" s="4" t="s">
        <v>17</v>
      </c>
      <c r="I115" s="4" t="s">
        <v>18</v>
      </c>
      <c r="J115" s="4" t="str">
        <f>J102</f>
        <v>Under 5</v>
      </c>
      <c r="T115" s="201">
        <f>DayPatternCoefficients!A123</f>
        <v>413</v>
      </c>
      <c r="U115" s="201" t="str">
        <f>DayPatternCoefficients!B123</f>
        <v>P-ONLYAD</v>
      </c>
      <c r="V115" s="222">
        <f>DayPatternCoefficients!D123</f>
        <v>0</v>
      </c>
      <c r="W115" s="223">
        <f>_xlfn.IFNA(VLOOKUP(T115,$K$63:$M$111,3,FALSE),_xlfn.IFNA(VLOOKUP(T115,$G$5:$K$11,5,FALSE),_xlfn.IFNA(IF(VLOOKUP(T115,$G$19:$K$25,4,FALSE)&gt;0,VLOOKUP(T115,$G$19:$K$25,5,FALSE),VLOOKUP(T115,$G$33:$K$39,5,FALSE)),_xlfn.IFNA(VLOOKUP(T115,new_summaries!$V$4:$Y$101,4,FALSE),V115))))</f>
        <v>0</v>
      </c>
      <c r="X115" s="201">
        <f si="29" t="shared"/>
        <v>0</v>
      </c>
    </row>
    <row r="116" spans="2:24" x14ac:dyDescent="0.25">
      <c r="B116" s="265" t="s">
        <v>23</v>
      </c>
      <c r="C116" s="240">
        <f>C76+C103</f>
        <v>-0.47911897977000001</v>
      </c>
      <c r="D116" s="240">
        <f>D76+D103</f>
        <v>-0.12630532374</v>
      </c>
      <c r="E116" s="198" t="s">
        <v>1207</v>
      </c>
      <c r="F116" s="198" t="s">
        <v>1207</v>
      </c>
      <c r="G116" s="240">
        <f ref="G116:H122" si="44" t="shared">G76+G103</f>
        <v>-2.5142965129700001</v>
      </c>
      <c r="H116" s="240">
        <f si="44" t="shared"/>
        <v>-3.8295481163199998</v>
      </c>
      <c r="I116" s="198" t="s">
        <v>1207</v>
      </c>
      <c r="J116" s="198" t="s">
        <v>1207</v>
      </c>
      <c r="T116" s="201">
        <f>DayPatternCoefficients!A124</f>
        <v>414</v>
      </c>
      <c r="U116" s="201" t="str">
        <f>DayPatternCoefficients!B124</f>
        <v>P-ONLYWK</v>
      </c>
      <c r="V116" s="222">
        <f>DayPatternCoefficients!D124</f>
        <v>0</v>
      </c>
      <c r="W116" s="223">
        <f>_xlfn.IFNA(VLOOKUP(T116,$K$63:$M$111,3,FALSE),_xlfn.IFNA(VLOOKUP(T116,$G$5:$K$11,5,FALSE),_xlfn.IFNA(IF(VLOOKUP(T116,$G$19:$K$25,4,FALSE)&gt;0,VLOOKUP(T116,$G$19:$K$25,5,FALSE),VLOOKUP(T116,$G$33:$K$39,5,FALSE)),_xlfn.IFNA(VLOOKUP(T116,new_summaries!$V$4:$Y$101,4,FALSE),V116))))</f>
        <v>0</v>
      </c>
      <c r="X116" s="201">
        <f si="29" t="shared"/>
        <v>0</v>
      </c>
    </row>
    <row r="117" spans="2:24" x14ac:dyDescent="0.25">
      <c r="B117" s="265" t="s">
        <v>24</v>
      </c>
      <c r="C117" s="240">
        <f ref="C117:C122" si="45" t="shared">C77+C104</f>
        <v>-0.13882682499999999</v>
      </c>
      <c r="D117" s="198" t="s">
        <v>1207</v>
      </c>
      <c r="E117" s="198" t="s">
        <v>1207</v>
      </c>
      <c r="F117" s="198" t="s">
        <v>1207</v>
      </c>
      <c r="G117" s="240">
        <f si="44" t="shared"/>
        <v>-0.54322823780999996</v>
      </c>
      <c r="H117" s="240">
        <f si="44" t="shared"/>
        <v>0.32874149364999999</v>
      </c>
      <c r="I117" s="240">
        <f ref="I117:J122" si="46" t="shared">I77+I104</f>
        <v>2.3775085649699998</v>
      </c>
      <c r="J117" s="240">
        <f si="46" t="shared"/>
        <v>1.1554295912400001</v>
      </c>
      <c r="T117" s="201">
        <f>DayPatternCoefficients!A125</f>
        <v>416</v>
      </c>
      <c r="U117" s="201" t="str">
        <f>DayPatternCoefficients!B125</f>
        <v>P-FEMNOC</v>
      </c>
      <c r="V117" s="222">
        <f>DayPatternCoefficients!D125</f>
        <v>0</v>
      </c>
      <c r="W117" s="223">
        <f>_xlfn.IFNA(VLOOKUP(T117,$K$63:$M$111,3,FALSE),_xlfn.IFNA(VLOOKUP(T117,$G$5:$K$11,5,FALSE),_xlfn.IFNA(IF(VLOOKUP(T117,$G$19:$K$25,4,FALSE)&gt;0,VLOOKUP(T117,$G$19:$K$25,5,FALSE),VLOOKUP(T117,$G$33:$K$39,5,FALSE)),_xlfn.IFNA(VLOOKUP(T117,new_summaries!$V$4:$Y$101,4,FALSE),V117))))</f>
        <v>0</v>
      </c>
      <c r="X117" s="201">
        <f si="29" t="shared"/>
        <v>0</v>
      </c>
    </row>
    <row r="118" spans="2:24" x14ac:dyDescent="0.25">
      <c r="B118" s="265" t="s">
        <v>25</v>
      </c>
      <c r="C118" s="240">
        <f si="45" t="shared"/>
        <v>-1.0623648370200001</v>
      </c>
      <c r="D118" s="240">
        <f ref="D118:F122" si="47" t="shared">D78+D105</f>
        <v>1.2614942409100001</v>
      </c>
      <c r="E118" s="240">
        <f si="47" t="shared"/>
        <v>-2.11024149046</v>
      </c>
      <c r="F118" s="240">
        <f si="47" t="shared"/>
        <v>-1.1088219987000001</v>
      </c>
      <c r="G118" s="240">
        <f si="44" t="shared"/>
        <v>-1.4521986715899999</v>
      </c>
      <c r="H118" s="240">
        <f si="44" t="shared"/>
        <v>-1.83417982882</v>
      </c>
      <c r="I118" s="240">
        <f si="46" t="shared"/>
        <v>-1.8750020057100001</v>
      </c>
      <c r="J118" s="240">
        <f si="46" t="shared"/>
        <v>0.58461516065999997</v>
      </c>
      <c r="T118" s="201">
        <f>DayPatternCoefficients!A126</f>
        <v>417</v>
      </c>
      <c r="U118" s="201" t="str">
        <f>DayPatternCoefficients!B126</f>
        <v>P-FADCU5</v>
      </c>
      <c r="V118" s="222">
        <f>DayPatternCoefficients!D126</f>
        <v>-0.38489686671000001</v>
      </c>
      <c r="W118" s="223">
        <f>_xlfn.IFNA(VLOOKUP(T118,$K$63:$M$111,3,FALSE),_xlfn.IFNA(VLOOKUP(T118,$G$5:$K$11,5,FALSE),_xlfn.IFNA(IF(VLOOKUP(T118,$G$19:$K$25,4,FALSE)&gt;0,VLOOKUP(T118,$G$19:$K$25,5,FALSE),VLOOKUP(T118,$G$33:$K$39,5,FALSE)),_xlfn.IFNA(VLOOKUP(T118,new_summaries!$V$4:$Y$101,4,FALSE),V118))))</f>
        <v>-0.38489686671000001</v>
      </c>
      <c r="X118" s="201">
        <f si="29" t="shared"/>
        <v>0</v>
      </c>
    </row>
    <row r="119" spans="2:24" x14ac:dyDescent="0.25">
      <c r="B119" s="265" t="s">
        <v>26</v>
      </c>
      <c r="C119" s="240">
        <f si="45" t="shared"/>
        <v>-0.78628794521000001</v>
      </c>
      <c r="D119" s="240">
        <f si="47" t="shared"/>
        <v>2.8035772453900001</v>
      </c>
      <c r="E119" s="240">
        <f si="47" t="shared"/>
        <v>-0.24624373095999999</v>
      </c>
      <c r="F119" s="240">
        <f si="47" t="shared"/>
        <v>-1.1659743151199999</v>
      </c>
      <c r="G119" s="240">
        <f si="44" t="shared"/>
        <v>-2.0528822094499999</v>
      </c>
      <c r="H119" s="240">
        <f si="44" t="shared"/>
        <v>-2.4818889930700001</v>
      </c>
      <c r="I119" s="240">
        <f si="46" t="shared"/>
        <v>-1.73055593888</v>
      </c>
      <c r="J119" s="240">
        <f si="46" t="shared"/>
        <v>-0.41495252702000002</v>
      </c>
      <c r="T119" s="201">
        <f>DayPatternCoefficients!A127</f>
        <v>418</v>
      </c>
      <c r="U119" s="201" t="str">
        <f>DayPatternCoefficients!B127</f>
        <v>P-FAD515</v>
      </c>
      <c r="V119" s="222">
        <f>DayPatternCoefficients!D127</f>
        <v>-0.29875526683999998</v>
      </c>
      <c r="W119" s="223">
        <f>_xlfn.IFNA(VLOOKUP(T119,$K$63:$M$111,3,FALSE),_xlfn.IFNA(VLOOKUP(T119,$G$5:$K$11,5,FALSE),_xlfn.IFNA(IF(VLOOKUP(T119,$G$19:$K$25,4,FALSE)&gt;0,VLOOKUP(T119,$G$19:$K$25,5,FALSE),VLOOKUP(T119,$G$33:$K$39,5,FALSE)),_xlfn.IFNA(VLOOKUP(T119,new_summaries!$V$4:$Y$101,4,FALSE),V119))))</f>
        <v>-0.29875526683999998</v>
      </c>
      <c r="X119" s="201">
        <f si="29" t="shared"/>
        <v>0</v>
      </c>
    </row>
    <row r="120" spans="2:24" x14ac:dyDescent="0.25">
      <c r="B120" s="265" t="s">
        <v>27</v>
      </c>
      <c r="C120" s="240">
        <f si="45" t="shared"/>
        <v>-0.95312305667999997</v>
      </c>
      <c r="D120" s="240">
        <f si="47" t="shared"/>
        <v>2.37096125334</v>
      </c>
      <c r="E120" s="240">
        <f si="47" t="shared"/>
        <v>-0.75642426743000002</v>
      </c>
      <c r="F120" s="240">
        <f si="47" t="shared"/>
        <v>-0.80435735085000004</v>
      </c>
      <c r="G120" s="240">
        <f si="44" t="shared"/>
        <v>-1.32038599973</v>
      </c>
      <c r="H120" s="240">
        <f si="44" t="shared"/>
        <v>-3.1616474248899999</v>
      </c>
      <c r="I120" s="240">
        <f si="46" t="shared"/>
        <v>-2.1164686959500001</v>
      </c>
      <c r="J120" s="240">
        <f si="46" t="shared"/>
        <v>0</v>
      </c>
      <c r="T120" s="201">
        <f>DayPatternCoefficients!A128</f>
        <v>419</v>
      </c>
      <c r="U120" s="201" t="str">
        <f>DayPatternCoefficients!B128</f>
        <v>P-MADCU5</v>
      </c>
      <c r="V120" s="222">
        <f>DayPatternCoefficients!D128</f>
        <v>0</v>
      </c>
      <c r="W120" s="223">
        <f>_xlfn.IFNA(VLOOKUP(T120,$K$63:$M$111,3,FALSE),_xlfn.IFNA(VLOOKUP(T120,$G$5:$K$11,5,FALSE),_xlfn.IFNA(IF(VLOOKUP(T120,$G$19:$K$25,4,FALSE)&gt;0,VLOOKUP(T120,$G$19:$K$25,5,FALSE),VLOOKUP(T120,$G$33:$K$39,5,FALSE)),_xlfn.IFNA(VLOOKUP(T120,new_summaries!$V$4:$Y$101,4,FALSE),V120))))</f>
        <v>0</v>
      </c>
      <c r="X120" s="201">
        <f si="29" t="shared"/>
        <v>0</v>
      </c>
    </row>
    <row r="121" spans="2:24" x14ac:dyDescent="0.25">
      <c r="B121" s="265" t="s">
        <v>28</v>
      </c>
      <c r="C121" s="240">
        <f si="45" t="shared"/>
        <v>-0.67422601961999995</v>
      </c>
      <c r="D121" s="240">
        <f si="47" t="shared"/>
        <v>0.50535074812000003</v>
      </c>
      <c r="E121" s="240">
        <f si="47" t="shared"/>
        <v>-0.82288544304</v>
      </c>
      <c r="F121" s="240">
        <f si="47" t="shared"/>
        <v>-1.4950205351900001</v>
      </c>
      <c r="G121" s="240">
        <f si="44" t="shared"/>
        <v>-0.96389520255000005</v>
      </c>
      <c r="H121" s="240">
        <f si="44" t="shared"/>
        <v>-2.9948228206800001</v>
      </c>
      <c r="I121" s="240">
        <f si="46" t="shared"/>
        <v>-1.98828318011</v>
      </c>
      <c r="J121" s="240">
        <f si="46" t="shared"/>
        <v>-0.28195572471000002</v>
      </c>
      <c r="T121" s="201">
        <f>DayPatternCoefficients!A129</f>
        <v>420</v>
      </c>
      <c r="U121" s="201" t="str">
        <f>DayPatternCoefficients!B129</f>
        <v>P-MAD515</v>
      </c>
      <c r="V121" s="222">
        <f>DayPatternCoefficients!D129</f>
        <v>-0.45044495679000002</v>
      </c>
      <c r="W121" s="223">
        <f>_xlfn.IFNA(VLOOKUP(T121,$K$63:$M$111,3,FALSE),_xlfn.IFNA(VLOOKUP(T121,$G$5:$K$11,5,FALSE),_xlfn.IFNA(IF(VLOOKUP(T121,$G$19:$K$25,4,FALSE)&gt;0,VLOOKUP(T121,$G$19:$K$25,5,FALSE),VLOOKUP(T121,$G$33:$K$39,5,FALSE)),_xlfn.IFNA(VLOOKUP(T121,new_summaries!$V$4:$Y$101,4,FALSE),V121))))</f>
        <v>-0.45044495679000002</v>
      </c>
      <c r="X121" s="201">
        <f si="29" t="shared"/>
        <v>0</v>
      </c>
    </row>
    <row customHeight="1" ht="14.65" r="122" spans="2:24" thickBot="1" x14ac:dyDescent="0.3">
      <c r="B122" s="13" t="s">
        <v>29</v>
      </c>
      <c r="C122" s="242">
        <f si="45" t="shared"/>
        <v>-1.08724312621</v>
      </c>
      <c r="D122" s="242">
        <f si="47" t="shared"/>
        <v>0.65142938905000003</v>
      </c>
      <c r="E122" s="242">
        <f si="47" t="shared"/>
        <v>-1.1475698162500001</v>
      </c>
      <c r="F122" s="242">
        <f si="47" t="shared"/>
        <v>-1.0826110979400001</v>
      </c>
      <c r="G122" s="242">
        <f si="44" t="shared"/>
        <v>-2.0534535142900001</v>
      </c>
      <c r="H122" s="242">
        <f si="44" t="shared"/>
        <v>-1.5469095636900001</v>
      </c>
      <c r="I122" s="242">
        <f si="46" t="shared"/>
        <v>-0.36546801553000002</v>
      </c>
      <c r="J122" s="242">
        <f si="46" t="shared"/>
        <v>0.43115396777999998</v>
      </c>
      <c r="T122" s="201">
        <f>DayPatternCoefficients!A130</f>
        <v>421</v>
      </c>
      <c r="U122" s="201" t="str">
        <f>DayPatternCoefficients!B130</f>
        <v>P-AG1825</v>
      </c>
      <c r="V122" s="222">
        <f>DayPatternCoefficients!D130</f>
        <v>-0.30637165113999998</v>
      </c>
      <c r="W122" s="223">
        <f>_xlfn.IFNA(VLOOKUP(T122,$K$63:$M$111,3,FALSE),_xlfn.IFNA(VLOOKUP(T122,$G$5:$K$11,5,FALSE),_xlfn.IFNA(IF(VLOOKUP(T122,$G$19:$K$25,4,FALSE)&gt;0,VLOOKUP(T122,$G$19:$K$25,5,FALSE),VLOOKUP(T122,$G$33:$K$39,5,FALSE)),_xlfn.IFNA(VLOOKUP(T122,new_summaries!$V$4:$Y$101,4,FALSE),V122))))</f>
        <v>-0.30637165113999998</v>
      </c>
      <c r="X122" s="201">
        <f si="29" t="shared"/>
        <v>0</v>
      </c>
    </row>
    <row r="123" spans="2:24" x14ac:dyDescent="0.25">
      <c r="T123" s="201">
        <f>DayPatternCoefficients!A131</f>
        <v>422</v>
      </c>
      <c r="U123" s="201" t="str">
        <f>DayPatternCoefficients!B131</f>
        <v>P-AG2635</v>
      </c>
      <c r="V123" s="222">
        <f>DayPatternCoefficients!D131</f>
        <v>-0.20794112521999999</v>
      </c>
      <c r="W123" s="223">
        <f>_xlfn.IFNA(VLOOKUP(T123,$K$63:$M$111,3,FALSE),_xlfn.IFNA(VLOOKUP(T123,$G$5:$K$11,5,FALSE),_xlfn.IFNA(IF(VLOOKUP(T123,$G$19:$K$25,4,FALSE)&gt;0,VLOOKUP(T123,$G$19:$K$25,5,FALSE),VLOOKUP(T123,$G$33:$K$39,5,FALSE)),_xlfn.IFNA(VLOOKUP(T123,new_summaries!$V$4:$Y$101,4,FALSE),V123))))</f>
        <v>-0.20794112521999999</v>
      </c>
      <c r="X123" s="201">
        <f si="29" t="shared"/>
        <v>0</v>
      </c>
    </row>
    <row r="124" spans="2:24" x14ac:dyDescent="0.25">
      <c r="T124" s="201">
        <f>DayPatternCoefficients!A132</f>
        <v>423</v>
      </c>
      <c r="U124" s="201" t="str">
        <f>DayPatternCoefficients!B132</f>
        <v>P-AG5165</v>
      </c>
      <c r="V124" s="222">
        <f>DayPatternCoefficients!D132</f>
        <v>6.3943550629999998E-2</v>
      </c>
      <c r="W124" s="223">
        <f>_xlfn.IFNA(VLOOKUP(T124,$K$63:$M$111,3,FALSE),_xlfn.IFNA(VLOOKUP(T124,$G$5:$K$11,5,FALSE),_xlfn.IFNA(IF(VLOOKUP(T124,$G$19:$K$25,4,FALSE)&gt;0,VLOOKUP(T124,$G$19:$K$25,5,FALSE),VLOOKUP(T124,$G$33:$K$39,5,FALSE)),_xlfn.IFNA(VLOOKUP(T124,new_summaries!$V$4:$Y$101,4,FALSE),V124))))</f>
        <v>6.3943550629999998E-2</v>
      </c>
      <c r="X124" s="201">
        <f si="29" t="shared"/>
        <v>0</v>
      </c>
    </row>
    <row r="125" spans="2:24" x14ac:dyDescent="0.25">
      <c r="T125" s="201">
        <f>DayPatternCoefficients!A133</f>
        <v>424</v>
      </c>
      <c r="U125" s="201" t="str">
        <f>DayPatternCoefficients!B133</f>
        <v>P-WAHOME</v>
      </c>
      <c r="V125" s="222">
        <f>DayPatternCoefficients!D133</f>
        <v>0</v>
      </c>
      <c r="W125" s="223">
        <f>_xlfn.IFNA(VLOOKUP(T125,$K$63:$M$111,3,FALSE),_xlfn.IFNA(VLOOKUP(T125,$G$5:$K$11,5,FALSE),_xlfn.IFNA(IF(VLOOKUP(T125,$G$19:$K$25,4,FALSE)&gt;0,VLOOKUP(T125,$G$19:$K$25,5,FALSE),VLOOKUP(T125,$G$33:$K$39,5,FALSE)),_xlfn.IFNA(VLOOKUP(T125,new_summaries!$V$4:$Y$101,4,FALSE),V125))))</f>
        <v>0</v>
      </c>
      <c r="X125" s="201">
        <f si="29" t="shared"/>
        <v>0</v>
      </c>
    </row>
    <row r="126" spans="2:24" x14ac:dyDescent="0.25">
      <c r="T126" s="201">
        <f>DayPatternCoefficients!A134</f>
        <v>425</v>
      </c>
      <c r="U126" s="201" t="str">
        <f>DayPatternCoefficients!B134</f>
        <v>P-MIXDEN</v>
      </c>
      <c r="V126" s="222">
        <f>DayPatternCoefficients!D134</f>
        <v>0</v>
      </c>
      <c r="W126" s="223">
        <f>_xlfn.IFNA(VLOOKUP(T126,$K$63:$M$111,3,FALSE),_xlfn.IFNA(VLOOKUP(T126,$G$5:$K$11,5,FALSE),_xlfn.IFNA(IF(VLOOKUP(T126,$G$19:$K$25,4,FALSE)&gt;0,VLOOKUP(T126,$G$19:$K$25,5,FALSE),VLOOKUP(T126,$G$33:$K$39,5,FALSE)),_xlfn.IFNA(VLOOKUP(T126,new_summaries!$V$4:$Y$101,4,FALSE),V126))))</f>
        <v>0</v>
      </c>
      <c r="X126" s="201">
        <f si="29" t="shared"/>
        <v>0</v>
      </c>
    </row>
    <row r="127" spans="2:24" x14ac:dyDescent="0.25">
      <c r="T127" s="201">
        <f>DayPatternCoefficients!A135</f>
        <v>426</v>
      </c>
      <c r="U127" s="201" t="str">
        <f>DayPatternCoefficients!B135</f>
        <v>P-INTDEN</v>
      </c>
      <c r="V127" s="222">
        <f>DayPatternCoefficients!D135</f>
        <v>0</v>
      </c>
      <c r="W127" s="223">
        <f>_xlfn.IFNA(VLOOKUP(T127,$K$63:$M$111,3,FALSE),_xlfn.IFNA(VLOOKUP(T127,$G$5:$K$11,5,FALSE),_xlfn.IFNA(IF(VLOOKUP(T127,$G$19:$K$25,4,FALSE)&gt;0,VLOOKUP(T127,$G$19:$K$25,5,FALSE),VLOOKUP(T127,$G$33:$K$39,5,FALSE)),_xlfn.IFNA(VLOOKUP(T127,new_summaries!$V$4:$Y$101,4,FALSE),V127))))</f>
        <v>0</v>
      </c>
      <c r="X127" s="201">
        <f si="29" t="shared"/>
        <v>0</v>
      </c>
    </row>
    <row r="128" spans="2:24" x14ac:dyDescent="0.25">
      <c r="T128" s="201">
        <f>DayPatternCoefficients!A136</f>
        <v>427</v>
      </c>
      <c r="U128" s="201" t="str">
        <f>DayPatternCoefficients!B136</f>
        <v>P-ACCLOG</v>
      </c>
      <c r="V128" s="222">
        <f>DayPatternCoefficients!D136</f>
        <v>0</v>
      </c>
      <c r="W128" s="223">
        <f>_xlfn.IFNA(VLOOKUP(T128,$K$63:$M$111,3,FALSE),_xlfn.IFNA(VLOOKUP(T128,$G$5:$K$11,5,FALSE),_xlfn.IFNA(IF(VLOOKUP(T128,$G$19:$K$25,4,FALSE)&gt;0,VLOOKUP(T128,$G$19:$K$25,5,FALSE),VLOOKUP(T128,$G$33:$K$39,5,FALSE)),_xlfn.IFNA(VLOOKUP(T128,new_summaries!$V$4:$Y$101,4,FALSE),V128))))</f>
        <v>0</v>
      </c>
      <c r="X128" s="201">
        <f si="29" t="shared"/>
        <v>0</v>
      </c>
    </row>
    <row r="129" spans="2:24" x14ac:dyDescent="0.25">
      <c r="B129" s="264" t="s">
        <v>1247</v>
      </c>
      <c r="C129" s="265"/>
      <c r="D129" s="265"/>
      <c r="E129" s="265"/>
      <c r="F129" s="265"/>
      <c r="G129" s="264" t="s">
        <v>1247</v>
      </c>
      <c r="H129" s="265" t="s">
        <v>1129</v>
      </c>
      <c r="I129" s="98">
        <v>0</v>
      </c>
      <c r="T129" s="201">
        <f>DayPatternCoefficients!A137</f>
        <v>428</v>
      </c>
      <c r="U129" s="201" t="str">
        <f>DayPatternCoefficients!B137</f>
        <v>P-TPASS</v>
      </c>
      <c r="V129" s="222">
        <f>DayPatternCoefficients!D137</f>
        <v>0</v>
      </c>
      <c r="W129" s="223">
        <f>_xlfn.IFNA(VLOOKUP(T129,$K$63:$M$111,3,FALSE),_xlfn.IFNA(VLOOKUP(T129,$G$5:$K$11,5,FALSE),_xlfn.IFNA(IF(VLOOKUP(T129,$G$19:$K$25,4,FALSE)&gt;0,VLOOKUP(T129,$G$19:$K$25,5,FALSE),VLOOKUP(T129,$G$33:$K$39,5,FALSE)),_xlfn.IFNA(VLOOKUP(T129,new_summaries!$V$4:$Y$101,4,FALSE),V129))))</f>
        <v>0</v>
      </c>
      <c r="X129" s="201">
        <f si="29" t="shared"/>
        <v>0</v>
      </c>
    </row>
    <row customHeight="1" ht="14.65" r="130" spans="2:24" thickBot="1" x14ac:dyDescent="0.3">
      <c r="B130" s="13"/>
      <c r="C130" s="13"/>
      <c r="D130" s="13"/>
      <c r="E130" s="13"/>
      <c r="F130" s="265"/>
      <c r="G130" s="83" t="s">
        <v>1134</v>
      </c>
      <c r="H130" s="74"/>
      <c r="I130" s="74"/>
      <c r="J130" s="1"/>
      <c r="K130" s="74"/>
      <c r="L130" s="74"/>
      <c r="M130" s="74"/>
      <c r="T130" s="201">
        <f>DayPatternCoefficients!A138</f>
        <v>429</v>
      </c>
      <c r="U130" s="201" t="str">
        <f>DayPatternCoefficients!B138</f>
        <v>P-T-LOGS</v>
      </c>
      <c r="V130" s="222">
        <f>DayPatternCoefficients!D138</f>
        <v>2.930861446E-2</v>
      </c>
      <c r="W130" s="223">
        <f>_xlfn.IFNA(VLOOKUP(T130,$K$63:$M$111,3,FALSE),_xlfn.IFNA(VLOOKUP(T130,$G$5:$K$11,5,FALSE),_xlfn.IFNA(IF(VLOOKUP(T130,$G$19:$K$25,4,FALSE)&gt;0,VLOOKUP(T130,$G$19:$K$25,5,FALSE),VLOOKUP(T130,$G$33:$K$39,5,FALSE)),_xlfn.IFNA(VLOOKUP(T130,new_summaries!$V$4:$Y$101,4,FALSE),V130))))</f>
        <v>2.930861446E-2</v>
      </c>
      <c r="X130" s="201">
        <f si="29" t="shared"/>
        <v>0</v>
      </c>
    </row>
    <row r="131" spans="2:24" x14ac:dyDescent="0.25">
      <c r="B131" s="85" t="s">
        <v>22</v>
      </c>
      <c r="C131" s="85" t="s">
        <v>2</v>
      </c>
      <c r="D131" s="85" t="s">
        <v>33</v>
      </c>
      <c r="E131" s="85" t="s">
        <v>9</v>
      </c>
      <c r="F131" s="265"/>
      <c r="G131" s="71" t="s">
        <v>306</v>
      </c>
      <c r="H131" s="71" t="s">
        <v>307</v>
      </c>
      <c r="I131" s="93" t="s">
        <v>1105</v>
      </c>
      <c r="J131" s="91" t="s">
        <v>1106</v>
      </c>
      <c r="K131" s="100" t="s">
        <v>1107</v>
      </c>
      <c r="L131" s="96" t="s">
        <v>1139</v>
      </c>
      <c r="M131" s="96" t="s">
        <v>1140</v>
      </c>
      <c r="T131" s="201">
        <f>DayPatternCoefficients!A139</f>
        <v>430</v>
      </c>
      <c r="U131" s="201" t="str">
        <f>DayPatternCoefficients!B139</f>
        <v>P-T-PPRK</v>
      </c>
      <c r="V131" s="222">
        <f>DayPatternCoefficients!D139</f>
        <v>0</v>
      </c>
      <c r="W131" s="223">
        <f>_xlfn.IFNA(VLOOKUP(T131,$K$63:$M$111,3,FALSE),_xlfn.IFNA(VLOOKUP(T131,$G$5:$K$11,5,FALSE),_xlfn.IFNA(IF(VLOOKUP(T131,$G$19:$K$25,4,FALSE)&gt;0,VLOOKUP(T131,$G$19:$K$25,5,FALSE),VLOOKUP(T131,$G$33:$K$39,5,FALSE)),_xlfn.IFNA(VLOOKUP(T131,new_summaries!$V$4:$Y$101,4,FALSE),V131))))</f>
        <v>0</v>
      </c>
      <c r="X131" s="201">
        <f ref="X131:X194" si="48" t="shared">IF(V131=W131,0,1)</f>
        <v>0</v>
      </c>
    </row>
    <row r="132" spans="2:24" x14ac:dyDescent="0.25">
      <c r="B132" s="265" t="s">
        <v>143</v>
      </c>
      <c r="C132" s="5">
        <f>output_NHTS!D136</f>
        <v>24021.768677307202</v>
      </c>
      <c r="D132" s="5">
        <f>output!D136</f>
        <v>20180</v>
      </c>
      <c r="E132" s="86">
        <f>qa_qc!J5</f>
        <v>1.0356263007560589</v>
      </c>
      <c r="F132" s="265"/>
      <c r="G132" s="265">
        <v>1</v>
      </c>
      <c r="H132" s="265" t="s">
        <v>143</v>
      </c>
      <c r="I132" s="246">
        <f ref="I132:I138" si="49" t="shared">VLOOKUP(G132,$Z$3:$AB$17,3,FALSE)</f>
        <v>-1.427506529303</v>
      </c>
      <c r="J132" s="247">
        <f ref="J132:J138" si="50" t="shared">IFERROR($I$129*LN(E132),0)</f>
        <v>0</v>
      </c>
      <c r="K132" s="248">
        <f ref="K132:K138" si="51" t="shared">I132+J132</f>
        <v>-1.427506529303</v>
      </c>
      <c r="L132" s="238">
        <f ref="L132:L138" si="52" t="shared">VLOOKUP(G132,$Z$3:$AC$17,4,FALSE)</f>
        <v>-1.427506529303</v>
      </c>
      <c r="M132" s="94">
        <f ref="M132:M138" si="53" t="shared">IF(K132=L132,0,1)</f>
        <v>0</v>
      </c>
      <c r="T132" s="201">
        <f>DayPatternCoefficients!A140</f>
        <v>431</v>
      </c>
      <c r="U132" s="201" t="str">
        <f>DayPatternCoefficients!B140</f>
        <v>P-S-LOGS</v>
      </c>
      <c r="V132" s="222">
        <f>DayPatternCoefficients!D140</f>
        <v>-7.5671272809999995E-2</v>
      </c>
      <c r="W132" s="223">
        <f>_xlfn.IFNA(VLOOKUP(T132,$K$63:$M$111,3,FALSE),_xlfn.IFNA(VLOOKUP(T132,$G$5:$K$11,5,FALSE),_xlfn.IFNA(IF(VLOOKUP(T132,$G$19:$K$25,4,FALSE)&gt;0,VLOOKUP(T132,$G$19:$K$25,5,FALSE),VLOOKUP(T132,$G$33:$K$39,5,FALSE)),_xlfn.IFNA(VLOOKUP(T132,new_summaries!$V$4:$Y$101,4,FALSE),V132))))</f>
        <v>-7.5671272809999995E-2</v>
      </c>
      <c r="X132" s="201">
        <f si="48" t="shared"/>
        <v>0</v>
      </c>
    </row>
    <row r="133" spans="2:24" x14ac:dyDescent="0.25">
      <c r="B133" s="265" t="s">
        <v>144</v>
      </c>
      <c r="C133" s="5">
        <f>output_NHTS!D137</f>
        <v>828.86353131360704</v>
      </c>
      <c r="D133" s="5">
        <f>output!D137</f>
        <v>542</v>
      </c>
      <c r="E133" s="86">
        <f>qa_qc!J6</f>
        <v>1.3304636019240559</v>
      </c>
      <c r="F133" s="265"/>
      <c r="G133" s="265">
        <v>3</v>
      </c>
      <c r="H133" s="265" t="s">
        <v>144</v>
      </c>
      <c r="I133" s="246">
        <f si="49" t="shared"/>
        <v>-2.1173031158029998</v>
      </c>
      <c r="J133" s="247">
        <f si="50" t="shared"/>
        <v>0</v>
      </c>
      <c r="K133" s="248">
        <f si="51" t="shared"/>
        <v>-2.1173031158029998</v>
      </c>
      <c r="L133" s="238">
        <f si="52" t="shared"/>
        <v>-2.1173031158029998</v>
      </c>
      <c r="M133" s="94">
        <f si="53" t="shared"/>
        <v>0</v>
      </c>
      <c r="T133" s="201">
        <f>DayPatternCoefficients!A141</f>
        <v>432</v>
      </c>
      <c r="U133" s="201" t="str">
        <f>DayPatternCoefficients!B141</f>
        <v>P-NODIAR</v>
      </c>
      <c r="V133" s="222">
        <f>DayPatternCoefficients!D141</f>
        <v>-0.97950456358000004</v>
      </c>
      <c r="W133" s="223">
        <f>_xlfn.IFNA(VLOOKUP(T133,$K$63:$M$111,3,FALSE),_xlfn.IFNA(VLOOKUP(T133,$G$5:$K$11,5,FALSE),_xlfn.IFNA(IF(VLOOKUP(T133,$G$19:$K$25,4,FALSE)&gt;0,VLOOKUP(T133,$G$19:$K$25,5,FALSE),VLOOKUP(T133,$G$33:$K$39,5,FALSE)),_xlfn.IFNA(VLOOKUP(T133,new_summaries!$V$4:$Y$101,4,FALSE),V133))))</f>
        <v>-0.97950456358000004</v>
      </c>
      <c r="X133" s="201">
        <f si="48" t="shared"/>
        <v>0</v>
      </c>
    </row>
    <row r="134" spans="2:24" x14ac:dyDescent="0.25">
      <c r="B134" s="265" t="s">
        <v>145</v>
      </c>
      <c r="C134" s="5">
        <f>output_NHTS!D138</f>
        <v>6256.4748282966893</v>
      </c>
      <c r="D134" s="5">
        <f>output!D138</f>
        <v>5715</v>
      </c>
      <c r="E134" s="86">
        <f>qa_qc!J7</f>
        <v>0.952429238953302</v>
      </c>
      <c r="F134" s="265"/>
      <c r="G134" s="265">
        <v>4</v>
      </c>
      <c r="H134" s="265" t="s">
        <v>145</v>
      </c>
      <c r="I134" s="246">
        <f si="49" t="shared"/>
        <v>-2.9720527882979999</v>
      </c>
      <c r="J134" s="247">
        <f si="50" t="shared"/>
        <v>0</v>
      </c>
      <c r="K134" s="248">
        <f si="51" t="shared"/>
        <v>-2.9720527882979999</v>
      </c>
      <c r="L134" s="238">
        <f si="52" t="shared"/>
        <v>-2.9720527882979999</v>
      </c>
      <c r="M134" s="94">
        <f si="53" t="shared"/>
        <v>0</v>
      </c>
      <c r="T134" s="201">
        <f>DayPatternCoefficients!A142</f>
        <v>433</v>
      </c>
      <c r="U134" s="201" t="str">
        <f>DayPatternCoefficients!B142</f>
        <v>P-PROXY</v>
      </c>
      <c r="V134" s="222">
        <f>DayPatternCoefficients!D142</f>
        <v>-0.23241280488999999</v>
      </c>
      <c r="W134" s="223">
        <f>_xlfn.IFNA(VLOOKUP(T134,$K$63:$M$111,3,FALSE),_xlfn.IFNA(VLOOKUP(T134,$G$5:$K$11,5,FALSE),_xlfn.IFNA(IF(VLOOKUP(T134,$G$19:$K$25,4,FALSE)&gt;0,VLOOKUP(T134,$G$19:$K$25,5,FALSE),VLOOKUP(T134,$G$33:$K$39,5,FALSE)),_xlfn.IFNA(VLOOKUP(T134,new_summaries!$V$4:$Y$101,4,FALSE),V134))))</f>
        <v>-0.23241280488999999</v>
      </c>
      <c r="X134" s="201">
        <f si="48" t="shared"/>
        <v>0</v>
      </c>
    </row>
    <row r="135" spans="2:24" x14ac:dyDescent="0.25">
      <c r="B135" s="265" t="s">
        <v>146</v>
      </c>
      <c r="C135" s="5">
        <f>output_NHTS!D139</f>
        <v>22592.208264608256</v>
      </c>
      <c r="D135" s="5">
        <f>output!D139</f>
        <v>19094</v>
      </c>
      <c r="E135" s="86">
        <f>qa_qc!J8</f>
        <v>1.0293925416470715</v>
      </c>
      <c r="F135" s="265"/>
      <c r="G135" s="265">
        <v>6</v>
      </c>
      <c r="H135" s="265" t="s">
        <v>146</v>
      </c>
      <c r="I135" s="246">
        <f si="49" t="shared"/>
        <v>-2.0696298973410001</v>
      </c>
      <c r="J135" s="247">
        <f si="50" t="shared"/>
        <v>0</v>
      </c>
      <c r="K135" s="248">
        <f si="51" t="shared"/>
        <v>-2.0696298973410001</v>
      </c>
      <c r="L135" s="238">
        <f si="52" t="shared"/>
        <v>-2.0696298973410001</v>
      </c>
      <c r="M135" s="94">
        <f si="53" t="shared"/>
        <v>0</v>
      </c>
      <c r="T135" s="201">
        <f>DayPatternCoefficients!A143</f>
        <v>434</v>
      </c>
      <c r="U135" s="201" t="str">
        <f>DayPatternCoefficients!B143</f>
        <v>P-WATHOME</v>
      </c>
      <c r="V135" s="222">
        <f>DayPatternCoefficients!D143</f>
        <v>-1.7</v>
      </c>
      <c r="W135" s="223">
        <f>_xlfn.IFNA(VLOOKUP(T135,$K$63:$M$111,3,FALSE),_xlfn.IFNA(VLOOKUP(T135,$G$5:$K$11,5,FALSE),_xlfn.IFNA(IF(VLOOKUP(T135,$G$19:$K$25,4,FALSE)&gt;0,VLOOKUP(T135,$G$19:$K$25,5,FALSE),VLOOKUP(T135,$G$33:$K$39,5,FALSE)),_xlfn.IFNA(VLOOKUP(T135,new_summaries!$V$4:$Y$101,4,FALSE),V135))))</f>
        <v>-1.7</v>
      </c>
      <c r="X135" s="201">
        <f si="48" t="shared"/>
        <v>0</v>
      </c>
    </row>
    <row r="136" spans="2:24" x14ac:dyDescent="0.25">
      <c r="B136" s="265" t="s">
        <v>147</v>
      </c>
      <c r="C136" s="5">
        <f>output_NHTS!D140</f>
        <v>13390.680524643789</v>
      </c>
      <c r="D136" s="5">
        <f>output!D140</f>
        <v>10558</v>
      </c>
      <c r="E136" s="86">
        <f>qa_qc!J9</f>
        <v>1.1034184558098217</v>
      </c>
      <c r="F136" s="265"/>
      <c r="G136" s="265">
        <v>8</v>
      </c>
      <c r="H136" s="265" t="s">
        <v>147</v>
      </c>
      <c r="I136" s="246">
        <f si="49" t="shared"/>
        <v>-2.299467632007</v>
      </c>
      <c r="J136" s="247">
        <f si="50" t="shared"/>
        <v>0</v>
      </c>
      <c r="K136" s="248">
        <f si="51" t="shared"/>
        <v>-2.299467632007</v>
      </c>
      <c r="L136" s="238">
        <f si="52" t="shared"/>
        <v>-2.299467632007</v>
      </c>
      <c r="M136" s="94">
        <f si="53" t="shared"/>
        <v>0</v>
      </c>
      <c r="T136" s="201">
        <f>DayPatternCoefficients!A144</f>
        <v>451</v>
      </c>
      <c r="U136" s="201" t="str">
        <f>DayPatternCoefficients!B144</f>
        <v>P-FTW</v>
      </c>
      <c r="V136" s="222">
        <f>DayPatternCoefficients!D144</f>
        <v>-0.78628794521000001</v>
      </c>
      <c r="W136" s="223">
        <f>_xlfn.IFNA(VLOOKUP(T136,$K$63:$M$111,3,FALSE),_xlfn.IFNA(VLOOKUP(T136,$G$5:$K$11,5,FALSE),_xlfn.IFNA(IF(VLOOKUP(T136,$G$19:$K$25,4,FALSE)&gt;0,VLOOKUP(T136,$G$19:$K$25,5,FALSE),VLOOKUP(T136,$G$33:$K$39,5,FALSE)),_xlfn.IFNA(VLOOKUP(T136,new_summaries!$V$4:$Y$101,4,FALSE),V136))))</f>
        <v>-0.78628794521000001</v>
      </c>
      <c r="X136" s="201">
        <f si="48" t="shared"/>
        <v>0</v>
      </c>
    </row>
    <row r="137" spans="2:24" x14ac:dyDescent="0.25">
      <c r="B137" s="265" t="s">
        <v>148</v>
      </c>
      <c r="C137" s="5">
        <f>output_NHTS!D141</f>
        <v>50594.498672203605</v>
      </c>
      <c r="D137" s="5">
        <f>output!D141</f>
        <v>41484</v>
      </c>
      <c r="E137" s="86">
        <f>qa_qc!J10</f>
        <v>1.0610648405365235</v>
      </c>
      <c r="F137" s="265"/>
      <c r="G137" s="265">
        <v>10</v>
      </c>
      <c r="H137" s="265" t="s">
        <v>148</v>
      </c>
      <c r="I137" s="246">
        <f si="49" t="shared"/>
        <v>-1.0725277546400001</v>
      </c>
      <c r="J137" s="247">
        <f si="50" t="shared"/>
        <v>0</v>
      </c>
      <c r="K137" s="248">
        <f si="51" t="shared"/>
        <v>-1.0725277546400001</v>
      </c>
      <c r="L137" s="238">
        <f si="52" t="shared"/>
        <v>-1.0725277546400001</v>
      </c>
      <c r="M137" s="94">
        <f si="53" t="shared"/>
        <v>0</v>
      </c>
      <c r="T137" s="201">
        <f>DayPatternCoefficients!A145</f>
        <v>500</v>
      </c>
      <c r="U137" s="201" t="str">
        <f>DayPatternCoefficients!B145</f>
        <v>H-TASC</v>
      </c>
      <c r="V137" s="222">
        <f>DayPatternCoefficients!D145</f>
        <v>-1.8946560162599999</v>
      </c>
      <c r="W137" s="223">
        <f>_xlfn.IFNA(VLOOKUP(T137,$K$63:$M$111,3,FALSE),_xlfn.IFNA(VLOOKUP(T137,$G$5:$K$11,5,FALSE),_xlfn.IFNA(IF(VLOOKUP(T137,$G$19:$K$25,4,FALSE)&gt;0,VLOOKUP(T137,$G$19:$K$25,5,FALSE),VLOOKUP(T137,$G$33:$K$39,5,FALSE)),_xlfn.IFNA(VLOOKUP(T137,new_summaries!$V$4:$Y$101,4,FALSE),V137))))</f>
        <v>-1.9658711865860594</v>
      </c>
      <c r="X137" s="201">
        <f si="48" t="shared"/>
        <v>1</v>
      </c>
    </row>
    <row customHeight="1" ht="14.65" r="138" spans="2:24" thickBot="1" x14ac:dyDescent="0.3">
      <c r="B138" s="13" t="s">
        <v>149</v>
      </c>
      <c r="C138" s="18">
        <f>output_NHTS!D142</f>
        <v>7338.9962072325416</v>
      </c>
      <c r="D138" s="18">
        <f>output!D142</f>
        <v>6628</v>
      </c>
      <c r="E138" s="116">
        <f>qa_qc!J11</f>
        <v>0.9633262975697513</v>
      </c>
      <c r="F138" s="265"/>
      <c r="G138" s="13">
        <v>13</v>
      </c>
      <c r="H138" s="13" t="s">
        <v>149</v>
      </c>
      <c r="I138" s="249">
        <f si="49" t="shared"/>
        <v>-2.2431847091349999</v>
      </c>
      <c r="J138" s="250">
        <f si="50" t="shared"/>
        <v>0</v>
      </c>
      <c r="K138" s="251">
        <f si="51" t="shared"/>
        <v>-2.2431847091349999</v>
      </c>
      <c r="L138" s="245">
        <f si="52" t="shared"/>
        <v>-2.2431847091349999</v>
      </c>
      <c r="M138" s="95">
        <f si="53" t="shared"/>
        <v>0</v>
      </c>
      <c r="T138" s="201">
        <f>DayPatternCoefficients!A146</f>
        <v>501</v>
      </c>
      <c r="U138" s="201" t="str">
        <f>DayPatternCoefficients!B146</f>
        <v>H-SASC</v>
      </c>
      <c r="V138" s="222">
        <f>DayPatternCoefficients!D146</f>
        <v>2.2010931360999999</v>
      </c>
      <c r="W138" s="223">
        <f>_xlfn.IFNA(VLOOKUP(T138,$K$63:$M$111,3,FALSE),_xlfn.IFNA(VLOOKUP(T138,$G$5:$K$11,5,FALSE),_xlfn.IFNA(IF(VLOOKUP(T138,$G$19:$K$25,4,FALSE)&gt;0,VLOOKUP(T138,$G$19:$K$25,5,FALSE),VLOOKUP(T138,$G$33:$K$39,5,FALSE)),_xlfn.IFNA(VLOOKUP(T138,new_summaries!$V$4:$Y$101,4,FALSE),V138))))</f>
        <v>2.2010931360999999</v>
      </c>
      <c r="X138" s="201">
        <f si="48" t="shared"/>
        <v>0</v>
      </c>
    </row>
    <row r="139" spans="2:24" x14ac:dyDescent="0.25">
      <c r="C139" s="75">
        <f>SUM(C132:C138)</f>
        <v>125023.4907056057</v>
      </c>
      <c r="D139" s="75">
        <f>SUM(D132:D138)</f>
        <v>104201</v>
      </c>
      <c r="E139" s="205">
        <f>qa_qc!J12</f>
        <v>1.0438521407076415</v>
      </c>
      <c r="M139" s="202">
        <f>SUM(M132:M138)</f>
        <v>0</v>
      </c>
      <c r="T139" s="201">
        <f>DayPatternCoefficients!A147</f>
        <v>502</v>
      </c>
      <c r="U139" s="201" t="str">
        <f>DayPatternCoefficients!B147</f>
        <v>H-PTW</v>
      </c>
      <c r="V139" s="222">
        <f>DayPatternCoefficients!D147</f>
        <v>2.37096125334</v>
      </c>
      <c r="W139" s="223">
        <f>_xlfn.IFNA(VLOOKUP(T139,$K$63:$M$111,3,FALSE),_xlfn.IFNA(VLOOKUP(T139,$G$5:$K$11,5,FALSE),_xlfn.IFNA(IF(VLOOKUP(T139,$G$19:$K$25,4,FALSE)&gt;0,VLOOKUP(T139,$G$19:$K$25,5,FALSE),VLOOKUP(T139,$G$33:$K$39,5,FALSE)),_xlfn.IFNA(VLOOKUP(T139,new_summaries!$V$4:$Y$101,4,FALSE),V139))))</f>
        <v>2.37096125334</v>
      </c>
      <c r="X139" s="201">
        <f si="48" t="shared"/>
        <v>0</v>
      </c>
    </row>
    <row r="140" spans="2:24" x14ac:dyDescent="0.25">
      <c r="T140" s="201">
        <f>DayPatternCoefficients!A148</f>
        <v>503</v>
      </c>
      <c r="U140" s="201" t="str">
        <f>DayPatternCoefficients!B148</f>
        <v>H-RET</v>
      </c>
      <c r="V140" s="222">
        <f>DayPatternCoefficients!D148</f>
        <v>-0.75642426743000002</v>
      </c>
      <c r="W140" s="223">
        <f>_xlfn.IFNA(VLOOKUP(T140,$K$63:$M$111,3,FALSE),_xlfn.IFNA(VLOOKUP(T140,$G$5:$K$11,5,FALSE),_xlfn.IFNA(IF(VLOOKUP(T140,$G$19:$K$25,4,FALSE)&gt;0,VLOOKUP(T140,$G$19:$K$25,5,FALSE),VLOOKUP(T140,$G$33:$K$39,5,FALSE)),_xlfn.IFNA(VLOOKUP(T140,new_summaries!$V$4:$Y$101,4,FALSE),V140))))</f>
        <v>-0.75642426743000002</v>
      </c>
      <c r="X140" s="201">
        <f si="48" t="shared"/>
        <v>0</v>
      </c>
    </row>
    <row r="141" spans="2:24" x14ac:dyDescent="0.25">
      <c r="T141" s="201">
        <f>DayPatternCoefficients!A149</f>
        <v>504</v>
      </c>
      <c r="U141" s="201" t="str">
        <f>DayPatternCoefficients!B149</f>
        <v>H-NWA</v>
      </c>
      <c r="V141" s="222">
        <f>DayPatternCoefficients!D149</f>
        <v>-0.80435735085000004</v>
      </c>
      <c r="W141" s="223">
        <f>_xlfn.IFNA(VLOOKUP(T141,$K$63:$M$111,3,FALSE),_xlfn.IFNA(VLOOKUP(T141,$G$5:$K$11,5,FALSE),_xlfn.IFNA(IF(VLOOKUP(T141,$G$19:$K$25,4,FALSE)&gt;0,VLOOKUP(T141,$G$19:$K$25,5,FALSE),VLOOKUP(T141,$G$33:$K$39,5,FALSE)),_xlfn.IFNA(VLOOKUP(T141,new_summaries!$V$4:$Y$101,4,FALSE),V141))))</f>
        <v>-0.80435735085000004</v>
      </c>
      <c r="X141" s="201">
        <f si="48" t="shared"/>
        <v>0</v>
      </c>
    </row>
    <row r="142" spans="2:24" x14ac:dyDescent="0.25">
      <c r="T142" s="201">
        <f>DayPatternCoefficients!A150</f>
        <v>505</v>
      </c>
      <c r="U142" s="201" t="str">
        <f>DayPatternCoefficients!B150</f>
        <v>H-UNI</v>
      </c>
      <c r="V142" s="222">
        <f>DayPatternCoefficients!D150</f>
        <v>-1.32038599973</v>
      </c>
      <c r="W142" s="223">
        <f>_xlfn.IFNA(VLOOKUP(T142,$K$63:$M$111,3,FALSE),_xlfn.IFNA(VLOOKUP(T142,$G$5:$K$11,5,FALSE),_xlfn.IFNA(IF(VLOOKUP(T142,$G$19:$K$25,4,FALSE)&gt;0,VLOOKUP(T142,$G$19:$K$25,5,FALSE),VLOOKUP(T142,$G$33:$K$39,5,FALSE)),_xlfn.IFNA(VLOOKUP(T142,new_summaries!$V$4:$Y$101,4,FALSE),V142))))</f>
        <v>-1.32038599973</v>
      </c>
      <c r="X142" s="201">
        <f si="48" t="shared"/>
        <v>0</v>
      </c>
    </row>
    <row r="143" spans="2:24" x14ac:dyDescent="0.25">
      <c r="T143" s="201">
        <f>DayPatternCoefficients!A151</f>
        <v>506</v>
      </c>
      <c r="U143" s="201" t="str">
        <f>DayPatternCoefficients!B151</f>
        <v>H-DAS</v>
      </c>
      <c r="V143" s="222">
        <f>DayPatternCoefficients!D151</f>
        <v>-3.1616474248899999</v>
      </c>
      <c r="W143" s="223">
        <f>_xlfn.IFNA(VLOOKUP(T143,$K$63:$M$111,3,FALSE),_xlfn.IFNA(VLOOKUP(T143,$G$5:$K$11,5,FALSE),_xlfn.IFNA(IF(VLOOKUP(T143,$G$19:$K$25,4,FALSE)&gt;0,VLOOKUP(T143,$G$19:$K$25,5,FALSE),VLOOKUP(T143,$G$33:$K$39,5,FALSE)),_xlfn.IFNA(VLOOKUP(T143,new_summaries!$V$4:$Y$101,4,FALSE),V143))))</f>
        <v>-3.1616474248899999</v>
      </c>
      <c r="X143" s="201">
        <f si="48" t="shared"/>
        <v>0</v>
      </c>
    </row>
    <row r="144" spans="2:24" x14ac:dyDescent="0.25">
      <c r="T144" s="201">
        <f>DayPatternCoefficients!A152</f>
        <v>507</v>
      </c>
      <c r="U144" s="201" t="str">
        <f>DayPatternCoefficients!B152</f>
        <v>H-PAS</v>
      </c>
      <c r="V144" s="222">
        <f>DayPatternCoefficients!D152</f>
        <v>-2.1164686959500001</v>
      </c>
      <c r="W144" s="223">
        <f>_xlfn.IFNA(VLOOKUP(T144,$K$63:$M$111,3,FALSE),_xlfn.IFNA(VLOOKUP(T144,$G$5:$K$11,5,FALSE),_xlfn.IFNA(IF(VLOOKUP(T144,$G$19:$K$25,4,FALSE)&gt;0,VLOOKUP(T144,$G$19:$K$25,5,FALSE),VLOOKUP(T144,$G$33:$K$39,5,FALSE)),_xlfn.IFNA(VLOOKUP(T144,new_summaries!$V$4:$Y$101,4,FALSE),V144))))</f>
        <v>-2.1164686959500001</v>
      </c>
      <c r="X144" s="201">
        <f si="48" t="shared"/>
        <v>0</v>
      </c>
    </row>
    <row r="145" spans="20:24" x14ac:dyDescent="0.25">
      <c r="T145" s="201">
        <f>DayPatternCoefficients!A153</f>
        <v>508</v>
      </c>
      <c r="U145" s="201" t="str">
        <f>DayPatternCoefficients!B153</f>
        <v>H-CU5</v>
      </c>
      <c r="V145" s="222">
        <f>DayPatternCoefficients!D153</f>
        <v>0</v>
      </c>
      <c r="W145" s="223">
        <f>_xlfn.IFNA(VLOOKUP(T145,$K$63:$M$111,3,FALSE),_xlfn.IFNA(VLOOKUP(T145,$G$5:$K$11,5,FALSE),_xlfn.IFNA(IF(VLOOKUP(T145,$G$19:$K$25,4,FALSE)&gt;0,VLOOKUP(T145,$G$19:$K$25,5,FALSE),VLOOKUP(T145,$G$33:$K$39,5,FALSE)),_xlfn.IFNA(VLOOKUP(T145,new_summaries!$V$4:$Y$101,4,FALSE),V145))))</f>
        <v>0</v>
      </c>
      <c r="X145" s="201">
        <f si="48" t="shared"/>
        <v>0</v>
      </c>
    </row>
    <row r="146" spans="20:24" x14ac:dyDescent="0.25">
      <c r="T146" s="201">
        <f>DayPatternCoefficients!A154</f>
        <v>509</v>
      </c>
      <c r="U146" s="201" t="str">
        <f>DayPatternCoefficients!B154</f>
        <v>H-VLINC</v>
      </c>
      <c r="V146" s="222">
        <f>DayPatternCoefficients!D154</f>
        <v>-0.10456159314000001</v>
      </c>
      <c r="W146" s="223">
        <f>_xlfn.IFNA(VLOOKUP(T146,$K$63:$M$111,3,FALSE),_xlfn.IFNA(VLOOKUP(T146,$G$5:$K$11,5,FALSE),_xlfn.IFNA(IF(VLOOKUP(T146,$G$19:$K$25,4,FALSE)&gt;0,VLOOKUP(T146,$G$19:$K$25,5,FALSE),VLOOKUP(T146,$G$33:$K$39,5,FALSE)),_xlfn.IFNA(VLOOKUP(T146,new_summaries!$V$4:$Y$101,4,FALSE),V146))))</f>
        <v>-0.10456159314000001</v>
      </c>
      <c r="X146" s="201">
        <f si="48" t="shared"/>
        <v>0</v>
      </c>
    </row>
    <row r="147" spans="20:24" x14ac:dyDescent="0.25">
      <c r="T147" s="201">
        <f>DayPatternCoefficients!A155</f>
        <v>510</v>
      </c>
      <c r="U147" s="201" t="str">
        <f>DayPatternCoefficients!B155</f>
        <v>H-LOINC</v>
      </c>
      <c r="V147" s="222">
        <f>DayPatternCoefficients!D155</f>
        <v>0</v>
      </c>
      <c r="W147" s="223">
        <f>_xlfn.IFNA(VLOOKUP(T147,$K$63:$M$111,3,FALSE),_xlfn.IFNA(VLOOKUP(T147,$G$5:$K$11,5,FALSE),_xlfn.IFNA(IF(VLOOKUP(T147,$G$19:$K$25,4,FALSE)&gt;0,VLOOKUP(T147,$G$19:$K$25,5,FALSE),VLOOKUP(T147,$G$33:$K$39,5,FALSE)),_xlfn.IFNA(VLOOKUP(T147,new_summaries!$V$4:$Y$101,4,FALSE),V147))))</f>
        <v>0</v>
      </c>
      <c r="X147" s="201">
        <f si="48" t="shared"/>
        <v>0</v>
      </c>
    </row>
    <row r="148" spans="20:24" x14ac:dyDescent="0.25">
      <c r="T148" s="201">
        <f>DayPatternCoefficients!A156</f>
        <v>511</v>
      </c>
      <c r="U148" s="201" t="str">
        <f>DayPatternCoefficients!B156</f>
        <v>H-HIINC</v>
      </c>
      <c r="V148" s="222">
        <f>DayPatternCoefficients!D156</f>
        <v>0</v>
      </c>
      <c r="W148" s="223">
        <f>_xlfn.IFNA(VLOOKUP(T148,$K$63:$M$111,3,FALSE),_xlfn.IFNA(VLOOKUP(T148,$G$5:$K$11,5,FALSE),_xlfn.IFNA(IF(VLOOKUP(T148,$G$19:$K$25,4,FALSE)&gt;0,VLOOKUP(T148,$G$19:$K$25,5,FALSE),VLOOKUP(T148,$G$33:$K$39,5,FALSE)),_xlfn.IFNA(VLOOKUP(T148,new_summaries!$V$4:$Y$101,4,FALSE),V148))))</f>
        <v>0</v>
      </c>
      <c r="X148" s="201">
        <f si="48" t="shared"/>
        <v>0</v>
      </c>
    </row>
    <row r="149" spans="20:24" x14ac:dyDescent="0.25">
      <c r="T149" s="201">
        <f>DayPatternCoefficients!A157</f>
        <v>512</v>
      </c>
      <c r="U149" s="201" t="str">
        <f>DayPatternCoefficients!B157</f>
        <v>H-CARSPD</v>
      </c>
      <c r="V149" s="222">
        <f>DayPatternCoefficients!D157</f>
        <v>5.745555644E-2</v>
      </c>
      <c r="W149" s="223">
        <f>_xlfn.IFNA(VLOOKUP(T149,$K$63:$M$111,3,FALSE),_xlfn.IFNA(VLOOKUP(T149,$G$5:$K$11,5,FALSE),_xlfn.IFNA(IF(VLOOKUP(T149,$G$19:$K$25,4,FALSE)&gt;0,VLOOKUP(T149,$G$19:$K$25,5,FALSE),VLOOKUP(T149,$G$33:$K$39,5,FALSE)),_xlfn.IFNA(VLOOKUP(T149,new_summaries!$V$4:$Y$101,4,FALSE),V149))))</f>
        <v>5.745555644E-2</v>
      </c>
      <c r="X149" s="201">
        <f si="48" t="shared"/>
        <v>0</v>
      </c>
    </row>
    <row r="150" spans="20:24" x14ac:dyDescent="0.25">
      <c r="T150" s="201">
        <f>DayPatternCoefficients!A158</f>
        <v>513</v>
      </c>
      <c r="U150" s="201" t="str">
        <f>DayPatternCoefficients!B158</f>
        <v>H-ONLYAD</v>
      </c>
      <c r="V150" s="222">
        <f>DayPatternCoefficients!D158</f>
        <v>0.19161158986999999</v>
      </c>
      <c r="W150" s="223">
        <f>_xlfn.IFNA(VLOOKUP(T150,$K$63:$M$111,3,FALSE),_xlfn.IFNA(VLOOKUP(T150,$G$5:$K$11,5,FALSE),_xlfn.IFNA(IF(VLOOKUP(T150,$G$19:$K$25,4,FALSE)&gt;0,VLOOKUP(T150,$G$19:$K$25,5,FALSE),VLOOKUP(T150,$G$33:$K$39,5,FALSE)),_xlfn.IFNA(VLOOKUP(T150,new_summaries!$V$4:$Y$101,4,FALSE),V150))))</f>
        <v>0.19161158986999999</v>
      </c>
      <c r="X150" s="201">
        <f si="48" t="shared"/>
        <v>0</v>
      </c>
    </row>
    <row r="151" spans="20:24" x14ac:dyDescent="0.25">
      <c r="T151" s="201">
        <f>DayPatternCoefficients!A159</f>
        <v>514</v>
      </c>
      <c r="U151" s="201" t="str">
        <f>DayPatternCoefficients!B159</f>
        <v>H-ONLYWK</v>
      </c>
      <c r="V151" s="222">
        <f>DayPatternCoefficients!D159</f>
        <v>0</v>
      </c>
      <c r="W151" s="223">
        <f>_xlfn.IFNA(VLOOKUP(T151,$K$63:$M$111,3,FALSE),_xlfn.IFNA(VLOOKUP(T151,$G$5:$K$11,5,FALSE),_xlfn.IFNA(IF(VLOOKUP(T151,$G$19:$K$25,4,FALSE)&gt;0,VLOOKUP(T151,$G$19:$K$25,5,FALSE),VLOOKUP(T151,$G$33:$K$39,5,FALSE)),_xlfn.IFNA(VLOOKUP(T151,new_summaries!$V$4:$Y$101,4,FALSE),V151))))</f>
        <v>0</v>
      </c>
      <c r="X151" s="201">
        <f si="48" t="shared"/>
        <v>0</v>
      </c>
    </row>
    <row r="152" spans="20:24" x14ac:dyDescent="0.25">
      <c r="T152" s="201">
        <f>DayPatternCoefficients!A160</f>
        <v>516</v>
      </c>
      <c r="U152" s="201" t="str">
        <f>DayPatternCoefficients!B160</f>
        <v>H-FEMNOC</v>
      </c>
      <c r="V152" s="222">
        <f>DayPatternCoefficients!D160</f>
        <v>0.15645340274</v>
      </c>
      <c r="W152" s="223">
        <f>_xlfn.IFNA(VLOOKUP(T152,$K$63:$M$111,3,FALSE),_xlfn.IFNA(VLOOKUP(T152,$G$5:$K$11,5,FALSE),_xlfn.IFNA(IF(VLOOKUP(T152,$G$19:$K$25,4,FALSE)&gt;0,VLOOKUP(T152,$G$19:$K$25,5,FALSE),VLOOKUP(T152,$G$33:$K$39,5,FALSE)),_xlfn.IFNA(VLOOKUP(T152,new_summaries!$V$4:$Y$101,4,FALSE),V152))))</f>
        <v>0.15645340274</v>
      </c>
      <c r="X152" s="201">
        <f si="48" t="shared"/>
        <v>0</v>
      </c>
    </row>
    <row r="153" spans="20:24" x14ac:dyDescent="0.25">
      <c r="T153" s="201">
        <f>DayPatternCoefficients!A161</f>
        <v>517</v>
      </c>
      <c r="U153" s="201" t="str">
        <f>DayPatternCoefficients!B161</f>
        <v>H-FADCU5</v>
      </c>
      <c r="V153" s="222">
        <f>DayPatternCoefficients!D161</f>
        <v>0</v>
      </c>
      <c r="W153" s="223">
        <f>_xlfn.IFNA(VLOOKUP(T153,$K$63:$M$111,3,FALSE),_xlfn.IFNA(VLOOKUP(T153,$G$5:$K$11,5,FALSE),_xlfn.IFNA(IF(VLOOKUP(T153,$G$19:$K$25,4,FALSE)&gt;0,VLOOKUP(T153,$G$19:$K$25,5,FALSE),VLOOKUP(T153,$G$33:$K$39,5,FALSE)),_xlfn.IFNA(VLOOKUP(T153,new_summaries!$V$4:$Y$101,4,FALSE),V153))))</f>
        <v>0</v>
      </c>
      <c r="X153" s="201">
        <f si="48" t="shared"/>
        <v>0</v>
      </c>
    </row>
    <row r="154" spans="20:24" x14ac:dyDescent="0.25">
      <c r="T154" s="201">
        <f>DayPatternCoefficients!A162</f>
        <v>518</v>
      </c>
      <c r="U154" s="201" t="str">
        <f>DayPatternCoefficients!B162</f>
        <v>H-FAD515</v>
      </c>
      <c r="V154" s="222">
        <f>DayPatternCoefficients!D162</f>
        <v>0</v>
      </c>
      <c r="W154" s="223">
        <f>_xlfn.IFNA(VLOOKUP(T154,$K$63:$M$111,3,FALSE),_xlfn.IFNA(VLOOKUP(T154,$G$5:$K$11,5,FALSE),_xlfn.IFNA(IF(VLOOKUP(T154,$G$19:$K$25,4,FALSE)&gt;0,VLOOKUP(T154,$G$19:$K$25,5,FALSE),VLOOKUP(T154,$G$33:$K$39,5,FALSE)),_xlfn.IFNA(VLOOKUP(T154,new_summaries!$V$4:$Y$101,4,FALSE),V154))))</f>
        <v>0</v>
      </c>
      <c r="X154" s="201">
        <f si="48" t="shared"/>
        <v>0</v>
      </c>
    </row>
    <row r="155" spans="20:24" x14ac:dyDescent="0.25">
      <c r="T155" s="201">
        <f>DayPatternCoefficients!A163</f>
        <v>519</v>
      </c>
      <c r="U155" s="201" t="str">
        <f>DayPatternCoefficients!B163</f>
        <v>H-MADCU5</v>
      </c>
      <c r="V155" s="222">
        <f>DayPatternCoefficients!D163</f>
        <v>-0.29155341554999997</v>
      </c>
      <c r="W155" s="223">
        <f>_xlfn.IFNA(VLOOKUP(T155,$K$63:$M$111,3,FALSE),_xlfn.IFNA(VLOOKUP(T155,$G$5:$K$11,5,FALSE),_xlfn.IFNA(IF(VLOOKUP(T155,$G$19:$K$25,4,FALSE)&gt;0,VLOOKUP(T155,$G$19:$K$25,5,FALSE),VLOOKUP(T155,$G$33:$K$39,5,FALSE)),_xlfn.IFNA(VLOOKUP(T155,new_summaries!$V$4:$Y$101,4,FALSE),V155))))</f>
        <v>-0.29155341554999997</v>
      </c>
      <c r="X155" s="201">
        <f si="48" t="shared"/>
        <v>0</v>
      </c>
    </row>
    <row r="156" spans="20:24" x14ac:dyDescent="0.25">
      <c r="T156" s="201">
        <f>DayPatternCoefficients!A164</f>
        <v>520</v>
      </c>
      <c r="U156" s="201" t="str">
        <f>DayPatternCoefficients!B164</f>
        <v>H-MAD515</v>
      </c>
      <c r="V156" s="222">
        <f>DayPatternCoefficients!D164</f>
        <v>0</v>
      </c>
      <c r="W156" s="223">
        <f>_xlfn.IFNA(VLOOKUP(T156,$K$63:$M$111,3,FALSE),_xlfn.IFNA(VLOOKUP(T156,$G$5:$K$11,5,FALSE),_xlfn.IFNA(IF(VLOOKUP(T156,$G$19:$K$25,4,FALSE)&gt;0,VLOOKUP(T156,$G$19:$K$25,5,FALSE),VLOOKUP(T156,$G$33:$K$39,5,FALSE)),_xlfn.IFNA(VLOOKUP(T156,new_summaries!$V$4:$Y$101,4,FALSE),V156))))</f>
        <v>0</v>
      </c>
      <c r="X156" s="201">
        <f si="48" t="shared"/>
        <v>0</v>
      </c>
    </row>
    <row r="157" spans="20:24" x14ac:dyDescent="0.25">
      <c r="T157" s="201">
        <f>DayPatternCoefficients!A165</f>
        <v>521</v>
      </c>
      <c r="U157" s="201" t="str">
        <f>DayPatternCoefficients!B165</f>
        <v>H-AG1825</v>
      </c>
      <c r="V157" s="222">
        <f>DayPatternCoefficients!D165</f>
        <v>-0.23060470699999999</v>
      </c>
      <c r="W157" s="223">
        <f>_xlfn.IFNA(VLOOKUP(T157,$K$63:$M$111,3,FALSE),_xlfn.IFNA(VLOOKUP(T157,$G$5:$K$11,5,FALSE),_xlfn.IFNA(IF(VLOOKUP(T157,$G$19:$K$25,4,FALSE)&gt;0,VLOOKUP(T157,$G$19:$K$25,5,FALSE),VLOOKUP(T157,$G$33:$K$39,5,FALSE)),_xlfn.IFNA(VLOOKUP(T157,new_summaries!$V$4:$Y$101,4,FALSE),V157))))</f>
        <v>-0.23060470699999999</v>
      </c>
      <c r="X157" s="201">
        <f si="48" t="shared"/>
        <v>0</v>
      </c>
    </row>
    <row r="158" spans="20:24" x14ac:dyDescent="0.25">
      <c r="T158" s="201">
        <f>DayPatternCoefficients!A166</f>
        <v>522</v>
      </c>
      <c r="U158" s="201" t="str">
        <f>DayPatternCoefficients!B166</f>
        <v>H-AG2635</v>
      </c>
      <c r="V158" s="222">
        <f>DayPatternCoefficients!D166</f>
        <v>-0.30518042548000002</v>
      </c>
      <c r="W158" s="223">
        <f>_xlfn.IFNA(VLOOKUP(T158,$K$63:$M$111,3,FALSE),_xlfn.IFNA(VLOOKUP(T158,$G$5:$K$11,5,FALSE),_xlfn.IFNA(IF(VLOOKUP(T158,$G$19:$K$25,4,FALSE)&gt;0,VLOOKUP(T158,$G$19:$K$25,5,FALSE),VLOOKUP(T158,$G$33:$K$39,5,FALSE)),_xlfn.IFNA(VLOOKUP(T158,new_summaries!$V$4:$Y$101,4,FALSE),V158))))</f>
        <v>-0.30518042548000002</v>
      </c>
      <c r="X158" s="201">
        <f si="48" t="shared"/>
        <v>0</v>
      </c>
    </row>
    <row r="159" spans="20:24" x14ac:dyDescent="0.25">
      <c r="T159" s="201">
        <f>DayPatternCoefficients!A167</f>
        <v>523</v>
      </c>
      <c r="U159" s="201" t="str">
        <f>DayPatternCoefficients!B167</f>
        <v>H-AG5165</v>
      </c>
      <c r="V159" s="222">
        <f>DayPatternCoefficients!D167</f>
        <v>4.7427549270000001E-2</v>
      </c>
      <c r="W159" s="223">
        <f>_xlfn.IFNA(VLOOKUP(T159,$K$63:$M$111,3,FALSE),_xlfn.IFNA(VLOOKUP(T159,$G$5:$K$11,5,FALSE),_xlfn.IFNA(IF(VLOOKUP(T159,$G$19:$K$25,4,FALSE)&gt;0,VLOOKUP(T159,$G$19:$K$25,5,FALSE),VLOOKUP(T159,$G$33:$K$39,5,FALSE)),_xlfn.IFNA(VLOOKUP(T159,new_summaries!$V$4:$Y$101,4,FALSE),V159))))</f>
        <v>4.7427549270000001E-2</v>
      </c>
      <c r="X159" s="201">
        <f si="48" t="shared"/>
        <v>0</v>
      </c>
    </row>
    <row r="160" spans="20:24" x14ac:dyDescent="0.25">
      <c r="T160" s="201">
        <f>DayPatternCoefficients!A168</f>
        <v>524</v>
      </c>
      <c r="U160" s="201" t="str">
        <f>DayPatternCoefficients!B168</f>
        <v>H-WAHOME</v>
      </c>
      <c r="V160" s="222">
        <f>DayPatternCoefficients!D168</f>
        <v>0</v>
      </c>
      <c r="W160" s="223">
        <f>_xlfn.IFNA(VLOOKUP(T160,$K$63:$M$111,3,FALSE),_xlfn.IFNA(VLOOKUP(T160,$G$5:$K$11,5,FALSE),_xlfn.IFNA(IF(VLOOKUP(T160,$G$19:$K$25,4,FALSE)&gt;0,VLOOKUP(T160,$G$19:$K$25,5,FALSE),VLOOKUP(T160,$G$33:$K$39,5,FALSE)),_xlfn.IFNA(VLOOKUP(T160,new_summaries!$V$4:$Y$101,4,FALSE),V160))))</f>
        <v>0</v>
      </c>
      <c r="X160" s="201">
        <f si="48" t="shared"/>
        <v>0</v>
      </c>
    </row>
    <row r="161" spans="20:24" x14ac:dyDescent="0.25">
      <c r="T161" s="201">
        <f>DayPatternCoefficients!A169</f>
        <v>525</v>
      </c>
      <c r="U161" s="201" t="str">
        <f>DayPatternCoefficients!B169</f>
        <v>H-MIXDEN</v>
      </c>
      <c r="V161" s="222">
        <f>DayPatternCoefficients!D169</f>
        <v>0</v>
      </c>
      <c r="W161" s="223">
        <f>_xlfn.IFNA(VLOOKUP(T161,$K$63:$M$111,3,FALSE),_xlfn.IFNA(VLOOKUP(T161,$G$5:$K$11,5,FALSE),_xlfn.IFNA(IF(VLOOKUP(T161,$G$19:$K$25,4,FALSE)&gt;0,VLOOKUP(T161,$G$19:$K$25,5,FALSE),VLOOKUP(T161,$G$33:$K$39,5,FALSE)),_xlfn.IFNA(VLOOKUP(T161,new_summaries!$V$4:$Y$101,4,FALSE),V161))))</f>
        <v>0</v>
      </c>
      <c r="X161" s="201">
        <f si="48" t="shared"/>
        <v>0</v>
      </c>
    </row>
    <row r="162" spans="20:24" x14ac:dyDescent="0.25">
      <c r="T162" s="201">
        <f>DayPatternCoefficients!A170</f>
        <v>526</v>
      </c>
      <c r="U162" s="201" t="str">
        <f>DayPatternCoefficients!B170</f>
        <v>H-INTDEN</v>
      </c>
      <c r="V162" s="222">
        <f>DayPatternCoefficients!D170</f>
        <v>0</v>
      </c>
      <c r="W162" s="223">
        <f>_xlfn.IFNA(VLOOKUP(T162,$K$63:$M$111,3,FALSE),_xlfn.IFNA(VLOOKUP(T162,$G$5:$K$11,5,FALSE),_xlfn.IFNA(IF(VLOOKUP(T162,$G$19:$K$25,4,FALSE)&gt;0,VLOOKUP(T162,$G$19:$K$25,5,FALSE),VLOOKUP(T162,$G$33:$K$39,5,FALSE)),_xlfn.IFNA(VLOOKUP(T162,new_summaries!$V$4:$Y$101,4,FALSE),V162))))</f>
        <v>0</v>
      </c>
      <c r="X162" s="201">
        <f si="48" t="shared"/>
        <v>0</v>
      </c>
    </row>
    <row r="163" spans="20:24" x14ac:dyDescent="0.25">
      <c r="T163" s="201">
        <f>DayPatternCoefficients!A171</f>
        <v>527</v>
      </c>
      <c r="U163" s="201" t="str">
        <f>DayPatternCoefficients!B171</f>
        <v>H-ACCLOG</v>
      </c>
      <c r="V163" s="222">
        <f>DayPatternCoefficients!D171</f>
        <v>0</v>
      </c>
      <c r="W163" s="223">
        <f>_xlfn.IFNA(VLOOKUP(T163,$K$63:$M$111,3,FALSE),_xlfn.IFNA(VLOOKUP(T163,$G$5:$K$11,5,FALSE),_xlfn.IFNA(IF(VLOOKUP(T163,$G$19:$K$25,4,FALSE)&gt;0,VLOOKUP(T163,$G$19:$K$25,5,FALSE),VLOOKUP(T163,$G$33:$K$39,5,FALSE)),_xlfn.IFNA(VLOOKUP(T163,new_summaries!$V$4:$Y$101,4,FALSE),V163))))</f>
        <v>0</v>
      </c>
      <c r="X163" s="201">
        <f si="48" t="shared"/>
        <v>0</v>
      </c>
    </row>
    <row r="164" spans="20:24" x14ac:dyDescent="0.25">
      <c r="T164" s="201">
        <f>DayPatternCoefficients!A172</f>
        <v>528</v>
      </c>
      <c r="U164" s="201" t="str">
        <f>DayPatternCoefficients!B172</f>
        <v>H-TPASS</v>
      </c>
      <c r="V164" s="222">
        <f>DayPatternCoefficients!D172</f>
        <v>0</v>
      </c>
      <c r="W164" s="223">
        <f>_xlfn.IFNA(VLOOKUP(T164,$K$63:$M$111,3,FALSE),_xlfn.IFNA(VLOOKUP(T164,$G$5:$K$11,5,FALSE),_xlfn.IFNA(IF(VLOOKUP(T164,$G$19:$K$25,4,FALSE)&gt;0,VLOOKUP(T164,$G$19:$K$25,5,FALSE),VLOOKUP(T164,$G$33:$K$39,5,FALSE)),_xlfn.IFNA(VLOOKUP(T164,new_summaries!$V$4:$Y$101,4,FALSE),V164))))</f>
        <v>0</v>
      </c>
      <c r="X164" s="201">
        <f si="48" t="shared"/>
        <v>0</v>
      </c>
    </row>
    <row r="165" spans="20:24" x14ac:dyDescent="0.25">
      <c r="T165" s="201">
        <f>DayPatternCoefficients!A173</f>
        <v>529</v>
      </c>
      <c r="U165" s="201" t="str">
        <f>DayPatternCoefficients!B173</f>
        <v>H-T-LOGS</v>
      </c>
      <c r="V165" s="222">
        <f>DayPatternCoefficients!D173</f>
        <v>3.2339996109999998E-2</v>
      </c>
      <c r="W165" s="223">
        <f>_xlfn.IFNA(VLOOKUP(T165,$K$63:$M$111,3,FALSE),_xlfn.IFNA(VLOOKUP(T165,$G$5:$K$11,5,FALSE),_xlfn.IFNA(IF(VLOOKUP(T165,$G$19:$K$25,4,FALSE)&gt;0,VLOOKUP(T165,$G$19:$K$25,5,FALSE),VLOOKUP(T165,$G$33:$K$39,5,FALSE)),_xlfn.IFNA(VLOOKUP(T165,new_summaries!$V$4:$Y$101,4,FALSE),V165))))</f>
        <v>3.2339996109999998E-2</v>
      </c>
      <c r="X165" s="201">
        <f si="48" t="shared"/>
        <v>0</v>
      </c>
    </row>
    <row r="166" spans="20:24" x14ac:dyDescent="0.25">
      <c r="T166" s="201">
        <f>DayPatternCoefficients!A174</f>
        <v>530</v>
      </c>
      <c r="U166" s="201" t="str">
        <f>DayPatternCoefficients!B174</f>
        <v>H-T-PPRK</v>
      </c>
      <c r="V166" s="222">
        <f>DayPatternCoefficients!D174</f>
        <v>0</v>
      </c>
      <c r="W166" s="223">
        <f>_xlfn.IFNA(VLOOKUP(T166,$K$63:$M$111,3,FALSE),_xlfn.IFNA(VLOOKUP(T166,$G$5:$K$11,5,FALSE),_xlfn.IFNA(IF(VLOOKUP(T166,$G$19:$K$25,4,FALSE)&gt;0,VLOOKUP(T166,$G$19:$K$25,5,FALSE),VLOOKUP(T166,$G$33:$K$39,5,FALSE)),_xlfn.IFNA(VLOOKUP(T166,new_summaries!$V$4:$Y$101,4,FALSE),V166))))</f>
        <v>0</v>
      </c>
      <c r="X166" s="201">
        <f si="48" t="shared"/>
        <v>0</v>
      </c>
    </row>
    <row r="167" spans="20:24" x14ac:dyDescent="0.25">
      <c r="T167" s="201">
        <f>DayPatternCoefficients!A175</f>
        <v>531</v>
      </c>
      <c r="U167" s="201" t="str">
        <f>DayPatternCoefficients!B175</f>
        <v>H-S-LOGS</v>
      </c>
      <c r="V167" s="222">
        <f>DayPatternCoefficients!D175</f>
        <v>-3.6036766669999998E-2</v>
      </c>
      <c r="W167" s="223">
        <f>_xlfn.IFNA(VLOOKUP(T167,$K$63:$M$111,3,FALSE),_xlfn.IFNA(VLOOKUP(T167,$G$5:$K$11,5,FALSE),_xlfn.IFNA(IF(VLOOKUP(T167,$G$19:$K$25,4,FALSE)&gt;0,VLOOKUP(T167,$G$19:$K$25,5,FALSE),VLOOKUP(T167,$G$33:$K$39,5,FALSE)),_xlfn.IFNA(VLOOKUP(T167,new_summaries!$V$4:$Y$101,4,FALSE),V167))))</f>
        <v>-3.6036766669999998E-2</v>
      </c>
      <c r="X167" s="201">
        <f si="48" t="shared"/>
        <v>0</v>
      </c>
    </row>
    <row r="168" spans="20:24" x14ac:dyDescent="0.25">
      <c r="T168" s="201">
        <f>DayPatternCoefficients!A176</f>
        <v>532</v>
      </c>
      <c r="U168" s="201" t="str">
        <f>DayPatternCoefficients!B176</f>
        <v>H-NODIAR</v>
      </c>
      <c r="V168" s="222">
        <f>DayPatternCoefficients!D176</f>
        <v>-0.89221574083999999</v>
      </c>
      <c r="W168" s="223">
        <f>_xlfn.IFNA(VLOOKUP(T168,$K$63:$M$111,3,FALSE),_xlfn.IFNA(VLOOKUP(T168,$G$5:$K$11,5,FALSE),_xlfn.IFNA(IF(VLOOKUP(T168,$G$19:$K$25,4,FALSE)&gt;0,VLOOKUP(T168,$G$19:$K$25,5,FALSE),VLOOKUP(T168,$G$33:$K$39,5,FALSE)),_xlfn.IFNA(VLOOKUP(T168,new_summaries!$V$4:$Y$101,4,FALSE),V168))))</f>
        <v>-0.89221574083999999</v>
      </c>
      <c r="X168" s="201">
        <f si="48" t="shared"/>
        <v>0</v>
      </c>
    </row>
    <row r="169" spans="20:24" x14ac:dyDescent="0.25">
      <c r="T169" s="201">
        <f>DayPatternCoefficients!A177</f>
        <v>533</v>
      </c>
      <c r="U169" s="201" t="str">
        <f>DayPatternCoefficients!B177</f>
        <v>H-PROXY</v>
      </c>
      <c r="V169" s="222">
        <f>DayPatternCoefficients!D177</f>
        <v>-0.21394173623000001</v>
      </c>
      <c r="W169" s="223">
        <f>_xlfn.IFNA(VLOOKUP(T169,$K$63:$M$111,3,FALSE),_xlfn.IFNA(VLOOKUP(T169,$G$5:$K$11,5,FALSE),_xlfn.IFNA(IF(VLOOKUP(T169,$G$19:$K$25,4,FALSE)&gt;0,VLOOKUP(T169,$G$19:$K$25,5,FALSE),VLOOKUP(T169,$G$33:$K$39,5,FALSE)),_xlfn.IFNA(VLOOKUP(T169,new_summaries!$V$4:$Y$101,4,FALSE),V169))))</f>
        <v>-0.21394173623000001</v>
      </c>
      <c r="X169" s="201">
        <f si="48" t="shared"/>
        <v>0</v>
      </c>
    </row>
    <row r="170" spans="20:24" x14ac:dyDescent="0.25">
      <c r="T170" s="201">
        <f>DayPatternCoefficients!A178</f>
        <v>534</v>
      </c>
      <c r="U170" s="201" t="str">
        <f>DayPatternCoefficients!B178</f>
        <v>H-WATHOME</v>
      </c>
      <c r="V170" s="222">
        <f>DayPatternCoefficients!D178</f>
        <v>-2</v>
      </c>
      <c r="W170" s="223">
        <f>_xlfn.IFNA(VLOOKUP(T170,$K$63:$M$111,3,FALSE),_xlfn.IFNA(VLOOKUP(T170,$G$5:$K$11,5,FALSE),_xlfn.IFNA(IF(VLOOKUP(T170,$G$19:$K$25,4,FALSE)&gt;0,VLOOKUP(T170,$G$19:$K$25,5,FALSE),VLOOKUP(T170,$G$33:$K$39,5,FALSE)),_xlfn.IFNA(VLOOKUP(T170,new_summaries!$V$4:$Y$101,4,FALSE),V170))))</f>
        <v>-2</v>
      </c>
      <c r="X170" s="201">
        <f si="48" t="shared"/>
        <v>0</v>
      </c>
    </row>
    <row r="171" spans="20:24" x14ac:dyDescent="0.25">
      <c r="T171" s="201">
        <f>DayPatternCoefficients!A179</f>
        <v>551</v>
      </c>
      <c r="U171" s="201" t="str">
        <f>DayPatternCoefficients!B179</f>
        <v>H-FTW</v>
      </c>
      <c r="V171" s="222">
        <f>DayPatternCoefficients!D179</f>
        <v>-0.95312305667999997</v>
      </c>
      <c r="W171" s="223">
        <f>_xlfn.IFNA(VLOOKUP(T171,$K$63:$M$111,3,FALSE),_xlfn.IFNA(VLOOKUP(T171,$G$5:$K$11,5,FALSE),_xlfn.IFNA(IF(VLOOKUP(T171,$G$19:$K$25,4,FALSE)&gt;0,VLOOKUP(T171,$G$19:$K$25,5,FALSE),VLOOKUP(T171,$G$33:$K$39,5,FALSE)),_xlfn.IFNA(VLOOKUP(T171,new_summaries!$V$4:$Y$101,4,FALSE),V171))))</f>
        <v>-0.95312305667999997</v>
      </c>
      <c r="X171" s="201">
        <f si="48" t="shared"/>
        <v>0</v>
      </c>
    </row>
    <row r="172" spans="20:24" x14ac:dyDescent="0.25">
      <c r="T172" s="201">
        <f>DayPatternCoefficients!A180</f>
        <v>600</v>
      </c>
      <c r="U172" s="201" t="str">
        <f>DayPatternCoefficients!B180</f>
        <v>M-TASC</v>
      </c>
      <c r="V172" s="222">
        <f>DayPatternCoefficients!D180</f>
        <v>-2.06583195268</v>
      </c>
      <c r="W172" s="223">
        <f>_xlfn.IFNA(VLOOKUP(T172,$K$63:$M$111,3,FALSE),_xlfn.IFNA(VLOOKUP(T172,$G$5:$K$11,5,FALSE),_xlfn.IFNA(IF(VLOOKUP(T172,$G$19:$K$25,4,FALSE)&gt;0,VLOOKUP(T172,$G$19:$K$25,5,FALSE),VLOOKUP(T172,$G$33:$K$39,5,FALSE)),_xlfn.IFNA(VLOOKUP(T172,new_summaries!$V$4:$Y$101,4,FALSE),V172))))</f>
        <v>-2.1229540089287613</v>
      </c>
      <c r="X172" s="201">
        <f si="48" t="shared"/>
        <v>1</v>
      </c>
    </row>
    <row r="173" spans="20:24" x14ac:dyDescent="0.25">
      <c r="T173" s="201">
        <f>DayPatternCoefficients!A181</f>
        <v>601</v>
      </c>
      <c r="U173" s="201" t="str">
        <f>DayPatternCoefficients!B181</f>
        <v>M-SASC</v>
      </c>
      <c r="V173" s="222">
        <f>DayPatternCoefficients!D181</f>
        <v>1.6525579475700001</v>
      </c>
      <c r="W173" s="223">
        <f>_xlfn.IFNA(VLOOKUP(T173,$K$63:$M$111,3,FALSE),_xlfn.IFNA(VLOOKUP(T173,$G$5:$K$11,5,FALSE),_xlfn.IFNA(IF(VLOOKUP(T173,$G$19:$K$25,4,FALSE)&gt;0,VLOOKUP(T173,$G$19:$K$25,5,FALSE),VLOOKUP(T173,$G$33:$K$39,5,FALSE)),_xlfn.IFNA(VLOOKUP(T173,new_summaries!$V$4:$Y$101,4,FALSE),V173))))</f>
        <v>1.6525579475700001</v>
      </c>
      <c r="X173" s="201">
        <f si="48" t="shared"/>
        <v>0</v>
      </c>
    </row>
    <row r="174" spans="20:24" x14ac:dyDescent="0.25">
      <c r="T174" s="201">
        <f>DayPatternCoefficients!A182</f>
        <v>602</v>
      </c>
      <c r="U174" s="201" t="str">
        <f>DayPatternCoefficients!B182</f>
        <v>M-PTW</v>
      </c>
      <c r="V174" s="222">
        <f>DayPatternCoefficients!D182</f>
        <v>0.50535074812000003</v>
      </c>
      <c r="W174" s="223">
        <f>_xlfn.IFNA(VLOOKUP(T174,$K$63:$M$111,3,FALSE),_xlfn.IFNA(VLOOKUP(T174,$G$5:$K$11,5,FALSE),_xlfn.IFNA(IF(VLOOKUP(T174,$G$19:$K$25,4,FALSE)&gt;0,VLOOKUP(T174,$G$19:$K$25,5,FALSE),VLOOKUP(T174,$G$33:$K$39,5,FALSE)),_xlfn.IFNA(VLOOKUP(T174,new_summaries!$V$4:$Y$101,4,FALSE),V174))))</f>
        <v>0.50535074812000003</v>
      </c>
      <c r="X174" s="201">
        <f si="48" t="shared"/>
        <v>0</v>
      </c>
    </row>
    <row r="175" spans="20:24" x14ac:dyDescent="0.25">
      <c r="T175" s="201">
        <f>DayPatternCoefficients!A183</f>
        <v>603</v>
      </c>
      <c r="U175" s="201" t="str">
        <f>DayPatternCoefficients!B183</f>
        <v>M-RET</v>
      </c>
      <c r="V175" s="222">
        <f>DayPatternCoefficients!D183</f>
        <v>-0.82288544304</v>
      </c>
      <c r="W175" s="223">
        <f>_xlfn.IFNA(VLOOKUP(T175,$K$63:$M$111,3,FALSE),_xlfn.IFNA(VLOOKUP(T175,$G$5:$K$11,5,FALSE),_xlfn.IFNA(IF(VLOOKUP(T175,$G$19:$K$25,4,FALSE)&gt;0,VLOOKUP(T175,$G$19:$K$25,5,FALSE),VLOOKUP(T175,$G$33:$K$39,5,FALSE)),_xlfn.IFNA(VLOOKUP(T175,new_summaries!$V$4:$Y$101,4,FALSE),V175))))</f>
        <v>-0.82288544304</v>
      </c>
      <c r="X175" s="201">
        <f si="48" t="shared"/>
        <v>0</v>
      </c>
    </row>
    <row r="176" spans="20:24" x14ac:dyDescent="0.25">
      <c r="T176" s="201">
        <f>DayPatternCoefficients!A184</f>
        <v>604</v>
      </c>
      <c r="U176" s="201" t="str">
        <f>DayPatternCoefficients!B184</f>
        <v>M-NWA</v>
      </c>
      <c r="V176" s="222">
        <f>DayPatternCoefficients!D184</f>
        <v>-1.4950205351900001</v>
      </c>
      <c r="W176" s="223">
        <f>_xlfn.IFNA(VLOOKUP(T176,$K$63:$M$111,3,FALSE),_xlfn.IFNA(VLOOKUP(T176,$G$5:$K$11,5,FALSE),_xlfn.IFNA(IF(VLOOKUP(T176,$G$19:$K$25,4,FALSE)&gt;0,VLOOKUP(T176,$G$19:$K$25,5,FALSE),VLOOKUP(T176,$G$33:$K$39,5,FALSE)),_xlfn.IFNA(VLOOKUP(T176,new_summaries!$V$4:$Y$101,4,FALSE),V176))))</f>
        <v>-1.4950205351900001</v>
      </c>
      <c r="X176" s="201">
        <f si="48" t="shared"/>
        <v>0</v>
      </c>
    </row>
    <row r="177" spans="20:24" x14ac:dyDescent="0.25">
      <c r="T177" s="201">
        <f>DayPatternCoefficients!A185</f>
        <v>605</v>
      </c>
      <c r="U177" s="201" t="str">
        <f>DayPatternCoefficients!B185</f>
        <v>M-UNI</v>
      </c>
      <c r="V177" s="222">
        <f>DayPatternCoefficients!D185</f>
        <v>-0.96389520255000005</v>
      </c>
      <c r="W177" s="223">
        <f>_xlfn.IFNA(VLOOKUP(T177,$K$63:$M$111,3,FALSE),_xlfn.IFNA(VLOOKUP(T177,$G$5:$K$11,5,FALSE),_xlfn.IFNA(IF(VLOOKUP(T177,$G$19:$K$25,4,FALSE)&gt;0,VLOOKUP(T177,$G$19:$K$25,5,FALSE),VLOOKUP(T177,$G$33:$K$39,5,FALSE)),_xlfn.IFNA(VLOOKUP(T177,new_summaries!$V$4:$Y$101,4,FALSE),V177))))</f>
        <v>-0.96389520255000005</v>
      </c>
      <c r="X177" s="201">
        <f si="48" t="shared"/>
        <v>0</v>
      </c>
    </row>
    <row r="178" spans="20:24" x14ac:dyDescent="0.25">
      <c r="T178" s="201">
        <f>DayPatternCoefficients!A186</f>
        <v>606</v>
      </c>
      <c r="U178" s="201" t="str">
        <f>DayPatternCoefficients!B186</f>
        <v>M-DAS</v>
      </c>
      <c r="V178" s="222">
        <f>DayPatternCoefficients!D186</f>
        <v>-2.9948228206800001</v>
      </c>
      <c r="W178" s="223">
        <f>_xlfn.IFNA(VLOOKUP(T178,$K$63:$M$111,3,FALSE),_xlfn.IFNA(VLOOKUP(T178,$G$5:$K$11,5,FALSE),_xlfn.IFNA(IF(VLOOKUP(T178,$G$19:$K$25,4,FALSE)&gt;0,VLOOKUP(T178,$G$19:$K$25,5,FALSE),VLOOKUP(T178,$G$33:$K$39,5,FALSE)),_xlfn.IFNA(VLOOKUP(T178,new_summaries!$V$4:$Y$101,4,FALSE),V178))))</f>
        <v>-2.9948228206800001</v>
      </c>
      <c r="X178" s="201">
        <f si="48" t="shared"/>
        <v>0</v>
      </c>
    </row>
    <row r="179" spans="20:24" x14ac:dyDescent="0.25">
      <c r="T179" s="201">
        <f>DayPatternCoefficients!A187</f>
        <v>607</v>
      </c>
      <c r="U179" s="201" t="str">
        <f>DayPatternCoefficients!B187</f>
        <v>M-PAS</v>
      </c>
      <c r="V179" s="222">
        <f>DayPatternCoefficients!D187</f>
        <v>-1.98828318011</v>
      </c>
      <c r="W179" s="223">
        <f>_xlfn.IFNA(VLOOKUP(T179,$K$63:$M$111,3,FALSE),_xlfn.IFNA(VLOOKUP(T179,$G$5:$K$11,5,FALSE),_xlfn.IFNA(IF(VLOOKUP(T179,$G$19:$K$25,4,FALSE)&gt;0,VLOOKUP(T179,$G$19:$K$25,5,FALSE),VLOOKUP(T179,$G$33:$K$39,5,FALSE)),_xlfn.IFNA(VLOOKUP(T179,new_summaries!$V$4:$Y$101,4,FALSE),V179))))</f>
        <v>-1.98828318011</v>
      </c>
      <c r="X179" s="201">
        <f si="48" t="shared"/>
        <v>0</v>
      </c>
    </row>
    <row r="180" spans="20:24" x14ac:dyDescent="0.25">
      <c r="T180" s="201">
        <f>DayPatternCoefficients!A188</f>
        <v>608</v>
      </c>
      <c r="U180" s="201" t="str">
        <f>DayPatternCoefficients!B188</f>
        <v>M-CU5</v>
      </c>
      <c r="V180" s="222">
        <f>DayPatternCoefficients!D188</f>
        <v>-0.28195572471000002</v>
      </c>
      <c r="W180" s="223">
        <f>_xlfn.IFNA(VLOOKUP(T180,$K$63:$M$111,3,FALSE),_xlfn.IFNA(VLOOKUP(T180,$G$5:$K$11,5,FALSE),_xlfn.IFNA(IF(VLOOKUP(T180,$G$19:$K$25,4,FALSE)&gt;0,VLOOKUP(T180,$G$19:$K$25,5,FALSE),VLOOKUP(T180,$G$33:$K$39,5,FALSE)),_xlfn.IFNA(VLOOKUP(T180,new_summaries!$V$4:$Y$101,4,FALSE),V180))))</f>
        <v>-0.28195572471000002</v>
      </c>
      <c r="X180" s="201">
        <f si="48" t="shared"/>
        <v>0</v>
      </c>
    </row>
    <row r="181" spans="20:24" x14ac:dyDescent="0.25">
      <c r="T181" s="201">
        <f>DayPatternCoefficients!A189</f>
        <v>609</v>
      </c>
      <c r="U181" s="201" t="str">
        <f>DayPatternCoefficients!B189</f>
        <v>M-VLINC</v>
      </c>
      <c r="V181" s="222">
        <f>DayPatternCoefficients!D189</f>
        <v>-0.10168568981999999</v>
      </c>
      <c r="W181" s="223">
        <f>_xlfn.IFNA(VLOOKUP(T181,$K$63:$M$111,3,FALSE),_xlfn.IFNA(VLOOKUP(T181,$G$5:$K$11,5,FALSE),_xlfn.IFNA(IF(VLOOKUP(T181,$G$19:$K$25,4,FALSE)&gt;0,VLOOKUP(T181,$G$19:$K$25,5,FALSE),VLOOKUP(T181,$G$33:$K$39,5,FALSE)),_xlfn.IFNA(VLOOKUP(T181,new_summaries!$V$4:$Y$101,4,FALSE),V181))))</f>
        <v>-0.10168568981999999</v>
      </c>
      <c r="X181" s="201">
        <f si="48" t="shared"/>
        <v>0</v>
      </c>
    </row>
    <row r="182" spans="20:24" x14ac:dyDescent="0.25">
      <c r="T182" s="201">
        <f>DayPatternCoefficients!A190</f>
        <v>610</v>
      </c>
      <c r="U182" s="201" t="str">
        <f>DayPatternCoefficients!B190</f>
        <v>M-LOINC</v>
      </c>
      <c r="V182" s="222">
        <f>DayPatternCoefficients!D190</f>
        <v>-0.12921988157</v>
      </c>
      <c r="W182" s="223">
        <f>_xlfn.IFNA(VLOOKUP(T182,$K$63:$M$111,3,FALSE),_xlfn.IFNA(VLOOKUP(T182,$G$5:$K$11,5,FALSE),_xlfn.IFNA(IF(VLOOKUP(T182,$G$19:$K$25,4,FALSE)&gt;0,VLOOKUP(T182,$G$19:$K$25,5,FALSE),VLOOKUP(T182,$G$33:$K$39,5,FALSE)),_xlfn.IFNA(VLOOKUP(T182,new_summaries!$V$4:$Y$101,4,FALSE),V182))))</f>
        <v>-0.12921988157</v>
      </c>
      <c r="X182" s="201">
        <f si="48" t="shared"/>
        <v>0</v>
      </c>
    </row>
    <row r="183" spans="20:24" x14ac:dyDescent="0.25">
      <c r="T183" s="201">
        <f>DayPatternCoefficients!A191</f>
        <v>611</v>
      </c>
      <c r="U183" s="201" t="str">
        <f>DayPatternCoefficients!B191</f>
        <v>M-HIINC</v>
      </c>
      <c r="V183" s="222">
        <f>DayPatternCoefficients!D191</f>
        <v>0</v>
      </c>
      <c r="W183" s="223">
        <f>_xlfn.IFNA(VLOOKUP(T183,$K$63:$M$111,3,FALSE),_xlfn.IFNA(VLOOKUP(T183,$G$5:$K$11,5,FALSE),_xlfn.IFNA(IF(VLOOKUP(T183,$G$19:$K$25,4,FALSE)&gt;0,VLOOKUP(T183,$G$19:$K$25,5,FALSE),VLOOKUP(T183,$G$33:$K$39,5,FALSE)),_xlfn.IFNA(VLOOKUP(T183,new_summaries!$V$4:$Y$101,4,FALSE),V183))))</f>
        <v>0</v>
      </c>
      <c r="X183" s="201">
        <f si="48" t="shared"/>
        <v>0</v>
      </c>
    </row>
    <row r="184" spans="20:24" x14ac:dyDescent="0.25">
      <c r="T184" s="201">
        <f>DayPatternCoefficients!A192</f>
        <v>612</v>
      </c>
      <c r="U184" s="201" t="str">
        <f>DayPatternCoefficients!B192</f>
        <v>M-CARSPD</v>
      </c>
      <c r="V184" s="222">
        <f>DayPatternCoefficients!D192</f>
        <v>8.0869880239999997E-2</v>
      </c>
      <c r="W184" s="223">
        <f>_xlfn.IFNA(VLOOKUP(T184,$K$63:$M$111,3,FALSE),_xlfn.IFNA(VLOOKUP(T184,$G$5:$K$11,5,FALSE),_xlfn.IFNA(IF(VLOOKUP(T184,$G$19:$K$25,4,FALSE)&gt;0,VLOOKUP(T184,$G$19:$K$25,5,FALSE),VLOOKUP(T184,$G$33:$K$39,5,FALSE)),_xlfn.IFNA(VLOOKUP(T184,new_summaries!$V$4:$Y$101,4,FALSE),V184))))</f>
        <v>8.0869880239999997E-2</v>
      </c>
      <c r="X184" s="201">
        <f si="48" t="shared"/>
        <v>0</v>
      </c>
    </row>
    <row r="185" spans="20:24" x14ac:dyDescent="0.25">
      <c r="T185" s="201">
        <f>DayPatternCoefficients!A193</f>
        <v>613</v>
      </c>
      <c r="U185" s="201" t="str">
        <f>DayPatternCoefficients!B193</f>
        <v>M-ONLYAD</v>
      </c>
      <c r="V185" s="222">
        <f>DayPatternCoefficients!D193</f>
        <v>0</v>
      </c>
      <c r="W185" s="223">
        <f>_xlfn.IFNA(VLOOKUP(T185,$K$63:$M$111,3,FALSE),_xlfn.IFNA(VLOOKUP(T185,$G$5:$K$11,5,FALSE),_xlfn.IFNA(IF(VLOOKUP(T185,$G$19:$K$25,4,FALSE)&gt;0,VLOOKUP(T185,$G$19:$K$25,5,FALSE),VLOOKUP(T185,$G$33:$K$39,5,FALSE)),_xlfn.IFNA(VLOOKUP(T185,new_summaries!$V$4:$Y$101,4,FALSE),V185))))</f>
        <v>0</v>
      </c>
      <c r="X185" s="201">
        <f si="48" t="shared"/>
        <v>0</v>
      </c>
    </row>
    <row r="186" spans="20:24" x14ac:dyDescent="0.25">
      <c r="T186" s="201">
        <f>DayPatternCoefficients!A194</f>
        <v>614</v>
      </c>
      <c r="U186" s="201" t="str">
        <f>DayPatternCoefficients!B194</f>
        <v>M-ONLYWK</v>
      </c>
      <c r="V186" s="222">
        <f>DayPatternCoefficients!D194</f>
        <v>0</v>
      </c>
      <c r="W186" s="223">
        <f>_xlfn.IFNA(VLOOKUP(T186,$K$63:$M$111,3,FALSE),_xlfn.IFNA(VLOOKUP(T186,$G$5:$K$11,5,FALSE),_xlfn.IFNA(IF(VLOOKUP(T186,$G$19:$K$25,4,FALSE)&gt;0,VLOOKUP(T186,$G$19:$K$25,5,FALSE),VLOOKUP(T186,$G$33:$K$39,5,FALSE)),_xlfn.IFNA(VLOOKUP(T186,new_summaries!$V$4:$Y$101,4,FALSE),V186))))</f>
        <v>0</v>
      </c>
      <c r="X186" s="201">
        <f si="48" t="shared"/>
        <v>0</v>
      </c>
    </row>
    <row r="187" spans="20:24" x14ac:dyDescent="0.25">
      <c r="T187" s="201">
        <f>DayPatternCoefficients!A195</f>
        <v>616</v>
      </c>
      <c r="U187" s="201" t="str">
        <f>DayPatternCoefficients!B195</f>
        <v>M-FEMNOC</v>
      </c>
      <c r="V187" s="222">
        <f>DayPatternCoefficients!D195</f>
        <v>-0.16267799775</v>
      </c>
      <c r="W187" s="223">
        <f>_xlfn.IFNA(VLOOKUP(T187,$K$63:$M$111,3,FALSE),_xlfn.IFNA(VLOOKUP(T187,$G$5:$K$11,5,FALSE),_xlfn.IFNA(IF(VLOOKUP(T187,$G$19:$K$25,4,FALSE)&gt;0,VLOOKUP(T187,$G$19:$K$25,5,FALSE),VLOOKUP(T187,$G$33:$K$39,5,FALSE)),_xlfn.IFNA(VLOOKUP(T187,new_summaries!$V$4:$Y$101,4,FALSE),V187))))</f>
        <v>-0.16267799775</v>
      </c>
      <c r="X187" s="201">
        <f si="48" t="shared"/>
        <v>0</v>
      </c>
    </row>
    <row r="188" spans="20:24" x14ac:dyDescent="0.25">
      <c r="T188" s="201">
        <f>DayPatternCoefficients!A196</f>
        <v>617</v>
      </c>
      <c r="U188" s="201" t="str">
        <f>DayPatternCoefficients!B196</f>
        <v>M-FADCU5</v>
      </c>
      <c r="V188" s="222">
        <f>DayPatternCoefficients!D196</f>
        <v>0</v>
      </c>
      <c r="W188" s="223">
        <f>_xlfn.IFNA(VLOOKUP(T188,$K$63:$M$111,3,FALSE),_xlfn.IFNA(VLOOKUP(T188,$G$5:$K$11,5,FALSE),_xlfn.IFNA(IF(VLOOKUP(T188,$G$19:$K$25,4,FALSE)&gt;0,VLOOKUP(T188,$G$19:$K$25,5,FALSE),VLOOKUP(T188,$G$33:$K$39,5,FALSE)),_xlfn.IFNA(VLOOKUP(T188,new_summaries!$V$4:$Y$101,4,FALSE),V188))))</f>
        <v>0</v>
      </c>
      <c r="X188" s="201">
        <f si="48" t="shared"/>
        <v>0</v>
      </c>
    </row>
    <row r="189" spans="20:24" x14ac:dyDescent="0.25">
      <c r="T189" s="201">
        <f>DayPatternCoefficients!A197</f>
        <v>618</v>
      </c>
      <c r="U189" s="201" t="str">
        <f>DayPatternCoefficients!B197</f>
        <v>M-FAD515</v>
      </c>
      <c r="V189" s="222">
        <f>DayPatternCoefficients!D197</f>
        <v>-0.77288709444000003</v>
      </c>
      <c r="W189" s="223">
        <f>_xlfn.IFNA(VLOOKUP(T189,$K$63:$M$111,3,FALSE),_xlfn.IFNA(VLOOKUP(T189,$G$5:$K$11,5,FALSE),_xlfn.IFNA(IF(VLOOKUP(T189,$G$19:$K$25,4,FALSE)&gt;0,VLOOKUP(T189,$G$19:$K$25,5,FALSE),VLOOKUP(T189,$G$33:$K$39,5,FALSE)),_xlfn.IFNA(VLOOKUP(T189,new_summaries!$V$4:$Y$101,4,FALSE),V189))))</f>
        <v>-0.77288709444000003</v>
      </c>
      <c r="X189" s="201">
        <f si="48" t="shared"/>
        <v>0</v>
      </c>
    </row>
    <row r="190" spans="20:24" x14ac:dyDescent="0.25">
      <c r="T190" s="201">
        <f>DayPatternCoefficients!A198</f>
        <v>619</v>
      </c>
      <c r="U190" s="201" t="str">
        <f>DayPatternCoefficients!B198</f>
        <v>M-MADCU5</v>
      </c>
      <c r="V190" s="222">
        <f>DayPatternCoefficients!D198</f>
        <v>0</v>
      </c>
      <c r="W190" s="223">
        <f>_xlfn.IFNA(VLOOKUP(T190,$K$63:$M$111,3,FALSE),_xlfn.IFNA(VLOOKUP(T190,$G$5:$K$11,5,FALSE),_xlfn.IFNA(IF(VLOOKUP(T190,$G$19:$K$25,4,FALSE)&gt;0,VLOOKUP(T190,$G$19:$K$25,5,FALSE),VLOOKUP(T190,$G$33:$K$39,5,FALSE)),_xlfn.IFNA(VLOOKUP(T190,new_summaries!$V$4:$Y$101,4,FALSE),V190))))</f>
        <v>0</v>
      </c>
      <c r="X190" s="201">
        <f si="48" t="shared"/>
        <v>0</v>
      </c>
    </row>
    <row r="191" spans="20:24" x14ac:dyDescent="0.25">
      <c r="T191" s="201">
        <f>DayPatternCoefficients!A199</f>
        <v>620</v>
      </c>
      <c r="U191" s="201" t="str">
        <f>DayPatternCoefficients!B199</f>
        <v>M-MAD515</v>
      </c>
      <c r="V191" s="222">
        <f>DayPatternCoefficients!D199</f>
        <v>-0.51821598620999998</v>
      </c>
      <c r="W191" s="223">
        <f>_xlfn.IFNA(VLOOKUP(T191,$K$63:$M$111,3,FALSE),_xlfn.IFNA(VLOOKUP(T191,$G$5:$K$11,5,FALSE),_xlfn.IFNA(IF(VLOOKUP(T191,$G$19:$K$25,4,FALSE)&gt;0,VLOOKUP(T191,$G$19:$K$25,5,FALSE),VLOOKUP(T191,$G$33:$K$39,5,FALSE)),_xlfn.IFNA(VLOOKUP(T191,new_summaries!$V$4:$Y$101,4,FALSE),V191))))</f>
        <v>-0.51821598620999998</v>
      </c>
      <c r="X191" s="201">
        <f si="48" t="shared"/>
        <v>0</v>
      </c>
    </row>
    <row r="192" spans="20:24" x14ac:dyDescent="0.25">
      <c r="T192" s="201">
        <f>DayPatternCoefficients!A200</f>
        <v>621</v>
      </c>
      <c r="U192" s="201" t="str">
        <f>DayPatternCoefficients!B200</f>
        <v>M-AG1825</v>
      </c>
      <c r="V192" s="222">
        <f>DayPatternCoefficients!D200</f>
        <v>0</v>
      </c>
      <c r="W192" s="223">
        <f>_xlfn.IFNA(VLOOKUP(T192,$K$63:$M$111,3,FALSE),_xlfn.IFNA(VLOOKUP(T192,$G$5:$K$11,5,FALSE),_xlfn.IFNA(IF(VLOOKUP(T192,$G$19:$K$25,4,FALSE)&gt;0,VLOOKUP(T192,$G$19:$K$25,5,FALSE),VLOOKUP(T192,$G$33:$K$39,5,FALSE)),_xlfn.IFNA(VLOOKUP(T192,new_summaries!$V$4:$Y$101,4,FALSE),V192))))</f>
        <v>0</v>
      </c>
      <c r="X192" s="201">
        <f si="48" t="shared"/>
        <v>0</v>
      </c>
    </row>
    <row r="193" spans="20:24" x14ac:dyDescent="0.25">
      <c r="T193" s="201">
        <f>DayPatternCoefficients!A201</f>
        <v>622</v>
      </c>
      <c r="U193" s="201" t="str">
        <f>DayPatternCoefficients!B201</f>
        <v>M-AG2635</v>
      </c>
      <c r="V193" s="222">
        <f>DayPatternCoefficients!D201</f>
        <v>0</v>
      </c>
      <c r="W193" s="223">
        <f>_xlfn.IFNA(VLOOKUP(T193,$K$63:$M$111,3,FALSE),_xlfn.IFNA(VLOOKUP(T193,$G$5:$K$11,5,FALSE),_xlfn.IFNA(IF(VLOOKUP(T193,$G$19:$K$25,4,FALSE)&gt;0,VLOOKUP(T193,$G$19:$K$25,5,FALSE),VLOOKUP(T193,$G$33:$K$39,5,FALSE)),_xlfn.IFNA(VLOOKUP(T193,new_summaries!$V$4:$Y$101,4,FALSE),V193))))</f>
        <v>0</v>
      </c>
      <c r="X193" s="201">
        <f si="48" t="shared"/>
        <v>0</v>
      </c>
    </row>
    <row r="194" spans="20:24" x14ac:dyDescent="0.25">
      <c r="T194" s="201">
        <f>DayPatternCoefficients!A202</f>
        <v>623</v>
      </c>
      <c r="U194" s="201" t="str">
        <f>DayPatternCoefficients!B202</f>
        <v>M-AG5165</v>
      </c>
      <c r="V194" s="222">
        <f>DayPatternCoefficients!D202</f>
        <v>0</v>
      </c>
      <c r="W194" s="223">
        <f>_xlfn.IFNA(VLOOKUP(T194,$K$63:$M$111,3,FALSE),_xlfn.IFNA(VLOOKUP(T194,$G$5:$K$11,5,FALSE),_xlfn.IFNA(IF(VLOOKUP(T194,$G$19:$K$25,4,FALSE)&gt;0,VLOOKUP(T194,$G$19:$K$25,5,FALSE),VLOOKUP(T194,$G$33:$K$39,5,FALSE)),_xlfn.IFNA(VLOOKUP(T194,new_summaries!$V$4:$Y$101,4,FALSE),V194))))</f>
        <v>0</v>
      </c>
      <c r="X194" s="201">
        <f si="48" t="shared"/>
        <v>0</v>
      </c>
    </row>
    <row r="195" spans="20:24" x14ac:dyDescent="0.25">
      <c r="T195" s="201">
        <f>DayPatternCoefficients!A203</f>
        <v>624</v>
      </c>
      <c r="U195" s="201" t="str">
        <f>DayPatternCoefficients!B203</f>
        <v>M-WAHOME</v>
      </c>
      <c r="V195" s="222">
        <f>DayPatternCoefficients!D203</f>
        <v>0</v>
      </c>
      <c r="W195" s="223">
        <f>_xlfn.IFNA(VLOOKUP(T195,$K$63:$M$111,3,FALSE),_xlfn.IFNA(VLOOKUP(T195,$G$5:$K$11,5,FALSE),_xlfn.IFNA(IF(VLOOKUP(T195,$G$19:$K$25,4,FALSE)&gt;0,VLOOKUP(T195,$G$19:$K$25,5,FALSE),VLOOKUP(T195,$G$33:$K$39,5,FALSE)),_xlfn.IFNA(VLOOKUP(T195,new_summaries!$V$4:$Y$101,4,FALSE),V195))))</f>
        <v>0</v>
      </c>
      <c r="X195" s="201">
        <f ref="X195:X258" si="54" t="shared">IF(V195=W195,0,1)</f>
        <v>0</v>
      </c>
    </row>
    <row r="196" spans="20:24" x14ac:dyDescent="0.25">
      <c r="T196" s="201">
        <f>DayPatternCoefficients!A204</f>
        <v>625</v>
      </c>
      <c r="U196" s="201" t="str">
        <f>DayPatternCoefficients!B204</f>
        <v>M-MIXDEN</v>
      </c>
      <c r="V196" s="222">
        <f>DayPatternCoefficients!D204</f>
        <v>0</v>
      </c>
      <c r="W196" s="223">
        <f>_xlfn.IFNA(VLOOKUP(T196,$K$63:$M$111,3,FALSE),_xlfn.IFNA(VLOOKUP(T196,$G$5:$K$11,5,FALSE),_xlfn.IFNA(IF(VLOOKUP(T196,$G$19:$K$25,4,FALSE)&gt;0,VLOOKUP(T196,$G$19:$K$25,5,FALSE),VLOOKUP(T196,$G$33:$K$39,5,FALSE)),_xlfn.IFNA(VLOOKUP(T196,new_summaries!$V$4:$Y$101,4,FALSE),V196))))</f>
        <v>0</v>
      </c>
      <c r="X196" s="201">
        <f si="54" t="shared"/>
        <v>0</v>
      </c>
    </row>
    <row r="197" spans="20:24" x14ac:dyDescent="0.25">
      <c r="T197" s="201">
        <f>DayPatternCoefficients!A205</f>
        <v>626</v>
      </c>
      <c r="U197" s="201" t="str">
        <f>DayPatternCoefficients!B205</f>
        <v>M-INTDEN</v>
      </c>
      <c r="V197" s="222">
        <f>DayPatternCoefficients!D205</f>
        <v>0</v>
      </c>
      <c r="W197" s="223">
        <f>_xlfn.IFNA(VLOOKUP(T197,$K$63:$M$111,3,FALSE),_xlfn.IFNA(VLOOKUP(T197,$G$5:$K$11,5,FALSE),_xlfn.IFNA(IF(VLOOKUP(T197,$G$19:$K$25,4,FALSE)&gt;0,VLOOKUP(T197,$G$19:$K$25,5,FALSE),VLOOKUP(T197,$G$33:$K$39,5,FALSE)),_xlfn.IFNA(VLOOKUP(T197,new_summaries!$V$4:$Y$101,4,FALSE),V197))))</f>
        <v>0</v>
      </c>
      <c r="X197" s="201">
        <f si="54" t="shared"/>
        <v>0</v>
      </c>
    </row>
    <row r="198" spans="20:24" x14ac:dyDescent="0.25">
      <c r="T198" s="201">
        <f>DayPatternCoefficients!A206</f>
        <v>627</v>
      </c>
      <c r="U198" s="201" t="str">
        <f>DayPatternCoefficients!B206</f>
        <v>M-ACCLOG</v>
      </c>
      <c r="V198" s="222">
        <f>DayPatternCoefficients!D206</f>
        <v>0</v>
      </c>
      <c r="W198" s="223">
        <f>_xlfn.IFNA(VLOOKUP(T198,$K$63:$M$111,3,FALSE),_xlfn.IFNA(VLOOKUP(T198,$G$5:$K$11,5,FALSE),_xlfn.IFNA(IF(VLOOKUP(T198,$G$19:$K$25,4,FALSE)&gt;0,VLOOKUP(T198,$G$19:$K$25,5,FALSE),VLOOKUP(T198,$G$33:$K$39,5,FALSE)),_xlfn.IFNA(VLOOKUP(T198,new_summaries!$V$4:$Y$101,4,FALSE),V198))))</f>
        <v>0</v>
      </c>
      <c r="X198" s="201">
        <f si="54" t="shared"/>
        <v>0</v>
      </c>
    </row>
    <row r="199" spans="20:24" x14ac:dyDescent="0.25">
      <c r="T199" s="201">
        <f>DayPatternCoefficients!A207</f>
        <v>628</v>
      </c>
      <c r="U199" s="201" t="str">
        <f>DayPatternCoefficients!B207</f>
        <v>M-TPASS</v>
      </c>
      <c r="V199" s="222">
        <f>DayPatternCoefficients!D207</f>
        <v>0</v>
      </c>
      <c r="W199" s="223">
        <f>_xlfn.IFNA(VLOOKUP(T199,$K$63:$M$111,3,FALSE),_xlfn.IFNA(VLOOKUP(T199,$G$5:$K$11,5,FALSE),_xlfn.IFNA(IF(VLOOKUP(T199,$G$19:$K$25,4,FALSE)&gt;0,VLOOKUP(T199,$G$19:$K$25,5,FALSE),VLOOKUP(T199,$G$33:$K$39,5,FALSE)),_xlfn.IFNA(VLOOKUP(T199,new_summaries!$V$4:$Y$101,4,FALSE),V199))))</f>
        <v>0</v>
      </c>
      <c r="X199" s="201">
        <f si="54" t="shared"/>
        <v>0</v>
      </c>
    </row>
    <row r="200" spans="20:24" x14ac:dyDescent="0.25">
      <c r="T200" s="201">
        <f>DayPatternCoefficients!A208</f>
        <v>629</v>
      </c>
      <c r="U200" s="201" t="str">
        <f>DayPatternCoefficients!B208</f>
        <v>M-T-LOGS</v>
      </c>
      <c r="V200" s="222">
        <f>DayPatternCoefficients!D208</f>
        <v>2.6649678940000001E-2</v>
      </c>
      <c r="W200" s="223">
        <f>_xlfn.IFNA(VLOOKUP(T200,$K$63:$M$111,3,FALSE),_xlfn.IFNA(VLOOKUP(T200,$G$5:$K$11,5,FALSE),_xlfn.IFNA(IF(VLOOKUP(T200,$G$19:$K$25,4,FALSE)&gt;0,VLOOKUP(T200,$G$19:$K$25,5,FALSE),VLOOKUP(T200,$G$33:$K$39,5,FALSE)),_xlfn.IFNA(VLOOKUP(T200,new_summaries!$V$4:$Y$101,4,FALSE),V200))))</f>
        <v>2.6649678940000001E-2</v>
      </c>
      <c r="X200" s="201">
        <f si="54" t="shared"/>
        <v>0</v>
      </c>
    </row>
    <row r="201" spans="20:24" x14ac:dyDescent="0.25">
      <c r="T201" s="201">
        <f>DayPatternCoefficients!A209</f>
        <v>630</v>
      </c>
      <c r="U201" s="201" t="str">
        <f>DayPatternCoefficients!B209</f>
        <v>M-T-PPRK</v>
      </c>
      <c r="V201" s="222">
        <f>DayPatternCoefficients!D209</f>
        <v>0</v>
      </c>
      <c r="W201" s="223">
        <f>_xlfn.IFNA(VLOOKUP(T201,$K$63:$M$111,3,FALSE),_xlfn.IFNA(VLOOKUP(T201,$G$5:$K$11,5,FALSE),_xlfn.IFNA(IF(VLOOKUP(T201,$G$19:$K$25,4,FALSE)&gt;0,VLOOKUP(T201,$G$19:$K$25,5,FALSE),VLOOKUP(T201,$G$33:$K$39,5,FALSE)),_xlfn.IFNA(VLOOKUP(T201,new_summaries!$V$4:$Y$101,4,FALSE),V201))))</f>
        <v>0</v>
      </c>
      <c r="X201" s="201">
        <f si="54" t="shared"/>
        <v>0</v>
      </c>
    </row>
    <row r="202" spans="20:24" x14ac:dyDescent="0.25">
      <c r="T202" s="201">
        <f>DayPatternCoefficients!A210</f>
        <v>631</v>
      </c>
      <c r="U202" s="201" t="str">
        <f>DayPatternCoefficients!B210</f>
        <v>M-S-LOGS</v>
      </c>
      <c r="V202" s="222">
        <f>DayPatternCoefficients!D210</f>
        <v>-6.5044309719999999E-2</v>
      </c>
      <c r="W202" s="223">
        <f>_xlfn.IFNA(VLOOKUP(T202,$K$63:$M$111,3,FALSE),_xlfn.IFNA(VLOOKUP(T202,$G$5:$K$11,5,FALSE),_xlfn.IFNA(IF(VLOOKUP(T202,$G$19:$K$25,4,FALSE)&gt;0,VLOOKUP(T202,$G$19:$K$25,5,FALSE),VLOOKUP(T202,$G$33:$K$39,5,FALSE)),_xlfn.IFNA(VLOOKUP(T202,new_summaries!$V$4:$Y$101,4,FALSE),V202))))</f>
        <v>-6.5044309719999999E-2</v>
      </c>
      <c r="X202" s="201">
        <f si="54" t="shared"/>
        <v>0</v>
      </c>
    </row>
    <row r="203" spans="20:24" x14ac:dyDescent="0.25">
      <c r="T203" s="201">
        <f>DayPatternCoefficients!A211</f>
        <v>632</v>
      </c>
      <c r="U203" s="201" t="str">
        <f>DayPatternCoefficients!B211</f>
        <v>M-NODIAR</v>
      </c>
      <c r="V203" s="222">
        <f>DayPatternCoefficients!D211</f>
        <v>-0.72078261221999995</v>
      </c>
      <c r="W203" s="223">
        <f>_xlfn.IFNA(VLOOKUP(T203,$K$63:$M$111,3,FALSE),_xlfn.IFNA(VLOOKUP(T203,$G$5:$K$11,5,FALSE),_xlfn.IFNA(IF(VLOOKUP(T203,$G$19:$K$25,4,FALSE)&gt;0,VLOOKUP(T203,$G$19:$K$25,5,FALSE),VLOOKUP(T203,$G$33:$K$39,5,FALSE)),_xlfn.IFNA(VLOOKUP(T203,new_summaries!$V$4:$Y$101,4,FALSE),V203))))</f>
        <v>-0.72078261221999995</v>
      </c>
      <c r="X203" s="201">
        <f si="54" t="shared"/>
        <v>0</v>
      </c>
    </row>
    <row r="204" spans="20:24" x14ac:dyDescent="0.25">
      <c r="T204" s="201">
        <f>DayPatternCoefficients!A212</f>
        <v>633</v>
      </c>
      <c r="U204" s="201" t="str">
        <f>DayPatternCoefficients!B212</f>
        <v>M-PROXY</v>
      </c>
      <c r="V204" s="222">
        <f>DayPatternCoefficients!D212</f>
        <v>-8.6248917470000006E-2</v>
      </c>
      <c r="W204" s="223">
        <f>_xlfn.IFNA(VLOOKUP(T204,$K$63:$M$111,3,FALSE),_xlfn.IFNA(VLOOKUP(T204,$G$5:$K$11,5,FALSE),_xlfn.IFNA(IF(VLOOKUP(T204,$G$19:$K$25,4,FALSE)&gt;0,VLOOKUP(T204,$G$19:$K$25,5,FALSE),VLOOKUP(T204,$G$33:$K$39,5,FALSE)),_xlfn.IFNA(VLOOKUP(T204,new_summaries!$V$4:$Y$101,4,FALSE),V204))))</f>
        <v>-8.6248917470000006E-2</v>
      </c>
      <c r="X204" s="201">
        <f si="54" t="shared"/>
        <v>0</v>
      </c>
    </row>
    <row r="205" spans="20:24" x14ac:dyDescent="0.25">
      <c r="T205" s="201">
        <f>DayPatternCoefficients!A213</f>
        <v>634</v>
      </c>
      <c r="U205" s="201" t="str">
        <f>DayPatternCoefficients!B213</f>
        <v>M-WATHOME</v>
      </c>
      <c r="V205" s="222">
        <f>DayPatternCoefficients!D213</f>
        <v>-0.7</v>
      </c>
      <c r="W205" s="223">
        <f>_xlfn.IFNA(VLOOKUP(T205,$K$63:$M$111,3,FALSE),_xlfn.IFNA(VLOOKUP(T205,$G$5:$K$11,5,FALSE),_xlfn.IFNA(IF(VLOOKUP(T205,$G$19:$K$25,4,FALSE)&gt;0,VLOOKUP(T205,$G$19:$K$25,5,FALSE),VLOOKUP(T205,$G$33:$K$39,5,FALSE)),_xlfn.IFNA(VLOOKUP(T205,new_summaries!$V$4:$Y$101,4,FALSE),V205))))</f>
        <v>-0.7</v>
      </c>
      <c r="X205" s="201">
        <f si="54" t="shared"/>
        <v>0</v>
      </c>
    </row>
    <row r="206" spans="20:24" x14ac:dyDescent="0.25">
      <c r="T206" s="201">
        <f>DayPatternCoefficients!A214</f>
        <v>651</v>
      </c>
      <c r="U206" s="201" t="str">
        <f>DayPatternCoefficients!B214</f>
        <v>M-FTW</v>
      </c>
      <c r="V206" s="222">
        <f>DayPatternCoefficients!D214</f>
        <v>-0.67422601961999995</v>
      </c>
      <c r="W206" s="223">
        <f>_xlfn.IFNA(VLOOKUP(T206,$K$63:$M$111,3,FALSE),_xlfn.IFNA(VLOOKUP(T206,$G$5:$K$11,5,FALSE),_xlfn.IFNA(IF(VLOOKUP(T206,$G$19:$K$25,4,FALSE)&gt;0,VLOOKUP(T206,$G$19:$K$25,5,FALSE),VLOOKUP(T206,$G$33:$K$39,5,FALSE)),_xlfn.IFNA(VLOOKUP(T206,new_summaries!$V$4:$Y$101,4,FALSE),V206))))</f>
        <v>-0.67422601961999995</v>
      </c>
      <c r="X206" s="201">
        <f si="54" t="shared"/>
        <v>0</v>
      </c>
    </row>
    <row r="207" spans="20:24" x14ac:dyDescent="0.25">
      <c r="T207" s="201">
        <f>DayPatternCoefficients!A215</f>
        <v>700</v>
      </c>
      <c r="U207" s="201" t="str">
        <f>DayPatternCoefficients!B215</f>
        <v>D-TASC</v>
      </c>
      <c r="V207" s="222">
        <f>DayPatternCoefficients!D215</f>
        <v>-1.2801669037600001</v>
      </c>
      <c r="W207" s="223">
        <f>_xlfn.IFNA(VLOOKUP(T207,$K$63:$M$111,3,FALSE),_xlfn.IFNA(VLOOKUP(T207,$G$5:$K$11,5,FALSE),_xlfn.IFNA(IF(VLOOKUP(T207,$G$19:$K$25,4,FALSE)&gt;0,VLOOKUP(T207,$G$19:$K$25,5,FALSE),VLOOKUP(T207,$G$33:$K$39,5,FALSE)),_xlfn.IFNA(VLOOKUP(T207,new_summaries!$V$4:$Y$101,4,FALSE),V207))))</f>
        <v>-1.315868649397113</v>
      </c>
      <c r="X207" s="201">
        <f si="54" t="shared"/>
        <v>1</v>
      </c>
    </row>
    <row r="208" spans="20:24" x14ac:dyDescent="0.25">
      <c r="T208" s="201">
        <f>DayPatternCoefficients!A216</f>
        <v>701</v>
      </c>
      <c r="U208" s="201" t="str">
        <f>DayPatternCoefficients!B216</f>
        <v>D-SASC</v>
      </c>
      <c r="V208" s="222">
        <f>DayPatternCoefficients!D216</f>
        <v>2.0647581169100002</v>
      </c>
      <c r="W208" s="223">
        <f>_xlfn.IFNA(VLOOKUP(T208,$K$63:$M$111,3,FALSE),_xlfn.IFNA(VLOOKUP(T208,$G$5:$K$11,5,FALSE),_xlfn.IFNA(IF(VLOOKUP(T208,$G$19:$K$25,4,FALSE)&gt;0,VLOOKUP(T208,$G$19:$K$25,5,FALSE),VLOOKUP(T208,$G$33:$K$39,5,FALSE)),_xlfn.IFNA(VLOOKUP(T208,new_summaries!$V$4:$Y$101,4,FALSE),V208))))</f>
        <v>2.0647581169100002</v>
      </c>
      <c r="X208" s="201">
        <f si="54" t="shared"/>
        <v>0</v>
      </c>
    </row>
    <row r="209" spans="20:24" x14ac:dyDescent="0.25">
      <c r="T209" s="201">
        <f>DayPatternCoefficients!A217</f>
        <v>702</v>
      </c>
      <c r="U209" s="201" t="str">
        <f>DayPatternCoefficients!B217</f>
        <v>D-PTW</v>
      </c>
      <c r="V209" s="222">
        <f>DayPatternCoefficients!D217</f>
        <v>0.65142938905000003</v>
      </c>
      <c r="W209" s="223">
        <f>_xlfn.IFNA(VLOOKUP(T209,$K$63:$M$111,3,FALSE),_xlfn.IFNA(VLOOKUP(T209,$G$5:$K$11,5,FALSE),_xlfn.IFNA(IF(VLOOKUP(T209,$G$19:$K$25,4,FALSE)&gt;0,VLOOKUP(T209,$G$19:$K$25,5,FALSE),VLOOKUP(T209,$G$33:$K$39,5,FALSE)),_xlfn.IFNA(VLOOKUP(T209,new_summaries!$V$4:$Y$101,4,FALSE),V209))))</f>
        <v>0.65142938905000003</v>
      </c>
      <c r="X209" s="201">
        <f si="54" t="shared"/>
        <v>0</v>
      </c>
    </row>
    <row r="210" spans="20:24" x14ac:dyDescent="0.25">
      <c r="T210" s="201">
        <f>DayPatternCoefficients!A218</f>
        <v>703</v>
      </c>
      <c r="U210" s="201" t="str">
        <f>DayPatternCoefficients!B218</f>
        <v>D-RET</v>
      </c>
      <c r="V210" s="222">
        <f>DayPatternCoefficients!D218</f>
        <v>-1.1475698162500001</v>
      </c>
      <c r="W210" s="223">
        <f>_xlfn.IFNA(VLOOKUP(T210,$K$63:$M$111,3,FALSE),_xlfn.IFNA(VLOOKUP(T210,$G$5:$K$11,5,FALSE),_xlfn.IFNA(IF(VLOOKUP(T210,$G$19:$K$25,4,FALSE)&gt;0,VLOOKUP(T210,$G$19:$K$25,5,FALSE),VLOOKUP(T210,$G$33:$K$39,5,FALSE)),_xlfn.IFNA(VLOOKUP(T210,new_summaries!$V$4:$Y$101,4,FALSE),V210))))</f>
        <v>-1.1475698162500001</v>
      </c>
      <c r="X210" s="201">
        <f si="54" t="shared"/>
        <v>0</v>
      </c>
    </row>
    <row r="211" spans="20:24" x14ac:dyDescent="0.25">
      <c r="T211" s="201">
        <f>DayPatternCoefficients!A219</f>
        <v>704</v>
      </c>
      <c r="U211" s="201" t="str">
        <f>DayPatternCoefficients!B219</f>
        <v>D-NWA</v>
      </c>
      <c r="V211" s="222">
        <f>DayPatternCoefficients!D219</f>
        <v>-1.0826110979400001</v>
      </c>
      <c r="W211" s="223">
        <f>_xlfn.IFNA(VLOOKUP(T211,$K$63:$M$111,3,FALSE),_xlfn.IFNA(VLOOKUP(T211,$G$5:$K$11,5,FALSE),_xlfn.IFNA(IF(VLOOKUP(T211,$G$19:$K$25,4,FALSE)&gt;0,VLOOKUP(T211,$G$19:$K$25,5,FALSE),VLOOKUP(T211,$G$33:$K$39,5,FALSE)),_xlfn.IFNA(VLOOKUP(T211,new_summaries!$V$4:$Y$101,4,FALSE),V211))))</f>
        <v>-1.0826110979400001</v>
      </c>
      <c r="X211" s="201">
        <f si="54" t="shared"/>
        <v>0</v>
      </c>
    </row>
    <row r="212" spans="20:24" x14ac:dyDescent="0.25">
      <c r="T212" s="201">
        <f>DayPatternCoefficients!A220</f>
        <v>705</v>
      </c>
      <c r="U212" s="201" t="str">
        <f>DayPatternCoefficients!B220</f>
        <v>D-UNI</v>
      </c>
      <c r="V212" s="222">
        <f>DayPatternCoefficients!D220</f>
        <v>-2.0534535142900001</v>
      </c>
      <c r="W212" s="223">
        <f>_xlfn.IFNA(VLOOKUP(T212,$K$63:$M$111,3,FALSE),_xlfn.IFNA(VLOOKUP(T212,$G$5:$K$11,5,FALSE),_xlfn.IFNA(IF(VLOOKUP(T212,$G$19:$K$25,4,FALSE)&gt;0,VLOOKUP(T212,$G$19:$K$25,5,FALSE),VLOOKUP(T212,$G$33:$K$39,5,FALSE)),_xlfn.IFNA(VLOOKUP(T212,new_summaries!$V$4:$Y$101,4,FALSE),V212))))</f>
        <v>-2.0534535142900001</v>
      </c>
      <c r="X212" s="201">
        <f si="54" t="shared"/>
        <v>0</v>
      </c>
    </row>
    <row r="213" spans="20:24" x14ac:dyDescent="0.25">
      <c r="T213" s="201">
        <f>DayPatternCoefficients!A221</f>
        <v>706</v>
      </c>
      <c r="U213" s="201" t="str">
        <f>DayPatternCoefficients!B221</f>
        <v>D-DAS</v>
      </c>
      <c r="V213" s="222">
        <f>DayPatternCoefficients!D221</f>
        <v>-1.5469095636900001</v>
      </c>
      <c r="W213" s="223">
        <f>_xlfn.IFNA(VLOOKUP(T213,$K$63:$M$111,3,FALSE),_xlfn.IFNA(VLOOKUP(T213,$G$5:$K$11,5,FALSE),_xlfn.IFNA(IF(VLOOKUP(T213,$G$19:$K$25,4,FALSE)&gt;0,VLOOKUP(T213,$G$19:$K$25,5,FALSE),VLOOKUP(T213,$G$33:$K$39,5,FALSE)),_xlfn.IFNA(VLOOKUP(T213,new_summaries!$V$4:$Y$101,4,FALSE),V213))))</f>
        <v>-1.5469095636900001</v>
      </c>
      <c r="X213" s="201">
        <f si="54" t="shared"/>
        <v>0</v>
      </c>
    </row>
    <row r="214" spans="20:24" x14ac:dyDescent="0.25">
      <c r="T214" s="201">
        <f>DayPatternCoefficients!A222</f>
        <v>707</v>
      </c>
      <c r="U214" s="201" t="str">
        <f>DayPatternCoefficients!B222</f>
        <v>D-PAS</v>
      </c>
      <c r="V214" s="222">
        <f>DayPatternCoefficients!D222</f>
        <v>-0.36546801553000002</v>
      </c>
      <c r="W214" s="223">
        <f>_xlfn.IFNA(VLOOKUP(T214,$K$63:$M$111,3,FALSE),_xlfn.IFNA(VLOOKUP(T214,$G$5:$K$11,5,FALSE),_xlfn.IFNA(IF(VLOOKUP(T214,$G$19:$K$25,4,FALSE)&gt;0,VLOOKUP(T214,$G$19:$K$25,5,FALSE),VLOOKUP(T214,$G$33:$K$39,5,FALSE)),_xlfn.IFNA(VLOOKUP(T214,new_summaries!$V$4:$Y$101,4,FALSE),V214))))</f>
        <v>-0.36546801553000002</v>
      </c>
      <c r="X214" s="201">
        <f si="54" t="shared"/>
        <v>0</v>
      </c>
    </row>
    <row r="215" spans="20:24" x14ac:dyDescent="0.25">
      <c r="T215" s="201">
        <f>DayPatternCoefficients!A223</f>
        <v>708</v>
      </c>
      <c r="U215" s="201" t="str">
        <f>DayPatternCoefficients!B223</f>
        <v>D-CU5</v>
      </c>
      <c r="V215" s="222">
        <f>DayPatternCoefficients!D223</f>
        <v>0.43115396777999998</v>
      </c>
      <c r="W215" s="223">
        <f>_xlfn.IFNA(VLOOKUP(T215,$K$63:$M$111,3,FALSE),_xlfn.IFNA(VLOOKUP(T215,$G$5:$K$11,5,FALSE),_xlfn.IFNA(IF(VLOOKUP(T215,$G$19:$K$25,4,FALSE)&gt;0,VLOOKUP(T215,$G$19:$K$25,5,FALSE),VLOOKUP(T215,$G$33:$K$39,5,FALSE)),_xlfn.IFNA(VLOOKUP(T215,new_summaries!$V$4:$Y$101,4,FALSE),V215))))</f>
        <v>0.43115396777999998</v>
      </c>
      <c r="X215" s="201">
        <f si="54" t="shared"/>
        <v>0</v>
      </c>
    </row>
    <row r="216" spans="20:24" x14ac:dyDescent="0.25">
      <c r="T216" s="201">
        <f>DayPatternCoefficients!A224</f>
        <v>709</v>
      </c>
      <c r="U216" s="201" t="str">
        <f>DayPatternCoefficients!B224</f>
        <v>D-VLINC</v>
      </c>
      <c r="V216" s="222">
        <f>DayPatternCoefficients!D224</f>
        <v>-0.23414926352000001</v>
      </c>
      <c r="W216" s="223">
        <f>_xlfn.IFNA(VLOOKUP(T216,$K$63:$M$111,3,FALSE),_xlfn.IFNA(VLOOKUP(T216,$G$5:$K$11,5,FALSE),_xlfn.IFNA(IF(VLOOKUP(T216,$G$19:$K$25,4,FALSE)&gt;0,VLOOKUP(T216,$G$19:$K$25,5,FALSE),VLOOKUP(T216,$G$33:$K$39,5,FALSE)),_xlfn.IFNA(VLOOKUP(T216,new_summaries!$V$4:$Y$101,4,FALSE),V216))))</f>
        <v>-0.23414926352000001</v>
      </c>
      <c r="X216" s="201">
        <f si="54" t="shared"/>
        <v>0</v>
      </c>
    </row>
    <row r="217" spans="20:24" x14ac:dyDescent="0.25">
      <c r="T217" s="201">
        <f>DayPatternCoefficients!A225</f>
        <v>710</v>
      </c>
      <c r="U217" s="201" t="str">
        <f>DayPatternCoefficients!B225</f>
        <v>D-LOINC</v>
      </c>
      <c r="V217" s="222">
        <f>DayPatternCoefficients!D225</f>
        <v>-0.16753633813999999</v>
      </c>
      <c r="W217" s="223">
        <f>_xlfn.IFNA(VLOOKUP(T217,$K$63:$M$111,3,FALSE),_xlfn.IFNA(VLOOKUP(T217,$G$5:$K$11,5,FALSE),_xlfn.IFNA(IF(VLOOKUP(T217,$G$19:$K$25,4,FALSE)&gt;0,VLOOKUP(T217,$G$19:$K$25,5,FALSE),VLOOKUP(T217,$G$33:$K$39,5,FALSE)),_xlfn.IFNA(VLOOKUP(T217,new_summaries!$V$4:$Y$101,4,FALSE),V217))))</f>
        <v>-0.16753633813999999</v>
      </c>
      <c r="X217" s="201">
        <f si="54" t="shared"/>
        <v>0</v>
      </c>
    </row>
    <row r="218" spans="20:24" x14ac:dyDescent="0.25">
      <c r="T218" s="201">
        <f>DayPatternCoefficients!A226</f>
        <v>711</v>
      </c>
      <c r="U218" s="201" t="str">
        <f>DayPatternCoefficients!B226</f>
        <v>D-HIINC</v>
      </c>
      <c r="V218" s="222">
        <f>DayPatternCoefficients!D226</f>
        <v>0.24127006967</v>
      </c>
      <c r="W218" s="223">
        <f>_xlfn.IFNA(VLOOKUP(T218,$K$63:$M$111,3,FALSE),_xlfn.IFNA(VLOOKUP(T218,$G$5:$K$11,5,FALSE),_xlfn.IFNA(IF(VLOOKUP(T218,$G$19:$K$25,4,FALSE)&gt;0,VLOOKUP(T218,$G$19:$K$25,5,FALSE),VLOOKUP(T218,$G$33:$K$39,5,FALSE)),_xlfn.IFNA(VLOOKUP(T218,new_summaries!$V$4:$Y$101,4,FALSE),V218))))</f>
        <v>0.24127006967</v>
      </c>
      <c r="X218" s="201">
        <f si="54" t="shared"/>
        <v>0</v>
      </c>
    </row>
    <row r="219" spans="20:24" x14ac:dyDescent="0.25">
      <c r="T219" s="201">
        <f>DayPatternCoefficients!A227</f>
        <v>712</v>
      </c>
      <c r="U219" s="201" t="str">
        <f>DayPatternCoefficients!B227</f>
        <v>D-CARSPD</v>
      </c>
      <c r="V219" s="222">
        <f>DayPatternCoefficients!D227</f>
        <v>9.3852056000000003E-2</v>
      </c>
      <c r="W219" s="223">
        <f>_xlfn.IFNA(VLOOKUP(T219,$K$63:$M$111,3,FALSE),_xlfn.IFNA(VLOOKUP(T219,$G$5:$K$11,5,FALSE),_xlfn.IFNA(IF(VLOOKUP(T219,$G$19:$K$25,4,FALSE)&gt;0,VLOOKUP(T219,$G$19:$K$25,5,FALSE),VLOOKUP(T219,$G$33:$K$39,5,FALSE)),_xlfn.IFNA(VLOOKUP(T219,new_summaries!$V$4:$Y$101,4,FALSE),V219))))</f>
        <v>9.3852056000000003E-2</v>
      </c>
      <c r="X219" s="201">
        <f si="54" t="shared"/>
        <v>0</v>
      </c>
    </row>
    <row r="220" spans="20:24" x14ac:dyDescent="0.25">
      <c r="T220" s="201">
        <f>DayPatternCoefficients!A228</f>
        <v>713</v>
      </c>
      <c r="U220" s="201" t="str">
        <f>DayPatternCoefficients!B228</f>
        <v>D-ONLYAD</v>
      </c>
      <c r="V220" s="222">
        <f>DayPatternCoefficients!D228</f>
        <v>0</v>
      </c>
      <c r="W220" s="223">
        <f>_xlfn.IFNA(VLOOKUP(T220,$K$63:$M$111,3,FALSE),_xlfn.IFNA(VLOOKUP(T220,$G$5:$K$11,5,FALSE),_xlfn.IFNA(IF(VLOOKUP(T220,$G$19:$K$25,4,FALSE)&gt;0,VLOOKUP(T220,$G$19:$K$25,5,FALSE),VLOOKUP(T220,$G$33:$K$39,5,FALSE)),_xlfn.IFNA(VLOOKUP(T220,new_summaries!$V$4:$Y$101,4,FALSE),V220))))</f>
        <v>0</v>
      </c>
      <c r="X220" s="201">
        <f si="54" t="shared"/>
        <v>0</v>
      </c>
    </row>
    <row r="221" spans="20:24" x14ac:dyDescent="0.25">
      <c r="T221" s="201">
        <f>DayPatternCoefficients!A229</f>
        <v>714</v>
      </c>
      <c r="U221" s="201" t="str">
        <f>DayPatternCoefficients!B229</f>
        <v>D-ONLYWK</v>
      </c>
      <c r="V221" s="222">
        <f>DayPatternCoefficients!D229</f>
        <v>0</v>
      </c>
      <c r="W221" s="223">
        <f>_xlfn.IFNA(VLOOKUP(T221,$K$63:$M$111,3,FALSE),_xlfn.IFNA(VLOOKUP(T221,$G$5:$K$11,5,FALSE),_xlfn.IFNA(IF(VLOOKUP(T221,$G$19:$K$25,4,FALSE)&gt;0,VLOOKUP(T221,$G$19:$K$25,5,FALSE),VLOOKUP(T221,$G$33:$K$39,5,FALSE)),_xlfn.IFNA(VLOOKUP(T221,new_summaries!$V$4:$Y$101,4,FALSE),V221))))</f>
        <v>0</v>
      </c>
      <c r="X221" s="201">
        <f si="54" t="shared"/>
        <v>0</v>
      </c>
    </row>
    <row r="222" spans="20:24" x14ac:dyDescent="0.25">
      <c r="T222" s="201">
        <f>DayPatternCoefficients!A230</f>
        <v>716</v>
      </c>
      <c r="U222" s="201" t="str">
        <f>DayPatternCoefficients!B230</f>
        <v>D-FEMNOC</v>
      </c>
      <c r="V222" s="222">
        <f>DayPatternCoefficients!D230</f>
        <v>0</v>
      </c>
      <c r="W222" s="223">
        <f>_xlfn.IFNA(VLOOKUP(T222,$K$63:$M$111,3,FALSE),_xlfn.IFNA(VLOOKUP(T222,$G$5:$K$11,5,FALSE),_xlfn.IFNA(IF(VLOOKUP(T222,$G$19:$K$25,4,FALSE)&gt;0,VLOOKUP(T222,$G$19:$K$25,5,FALSE),VLOOKUP(T222,$G$33:$K$39,5,FALSE)),_xlfn.IFNA(VLOOKUP(T222,new_summaries!$V$4:$Y$101,4,FALSE),V222))))</f>
        <v>0</v>
      </c>
      <c r="X222" s="201">
        <f si="54" t="shared"/>
        <v>0</v>
      </c>
    </row>
    <row r="223" spans="20:24" x14ac:dyDescent="0.25">
      <c r="T223" s="201">
        <f>DayPatternCoefficients!A231</f>
        <v>717</v>
      </c>
      <c r="U223" s="201" t="str">
        <f>DayPatternCoefficients!B231</f>
        <v>D-FADCU5</v>
      </c>
      <c r="V223" s="222">
        <f>DayPatternCoefficients!D231</f>
        <v>0</v>
      </c>
      <c r="W223" s="223">
        <f>_xlfn.IFNA(VLOOKUP(T223,$K$63:$M$111,3,FALSE),_xlfn.IFNA(VLOOKUP(T223,$G$5:$K$11,5,FALSE),_xlfn.IFNA(IF(VLOOKUP(T223,$G$19:$K$25,4,FALSE)&gt;0,VLOOKUP(T223,$G$19:$K$25,5,FALSE),VLOOKUP(T223,$G$33:$K$39,5,FALSE)),_xlfn.IFNA(VLOOKUP(T223,new_summaries!$V$4:$Y$101,4,FALSE),V223))))</f>
        <v>0</v>
      </c>
      <c r="X223" s="201">
        <f si="54" t="shared"/>
        <v>0</v>
      </c>
    </row>
    <row r="224" spans="20:24" x14ac:dyDescent="0.25">
      <c r="T224" s="201">
        <f>DayPatternCoefficients!A232</f>
        <v>718</v>
      </c>
      <c r="U224" s="201" t="str">
        <f>DayPatternCoefficients!B232</f>
        <v>D-FAD515</v>
      </c>
      <c r="V224" s="222">
        <f>DayPatternCoefficients!D232</f>
        <v>-0.34985702366999999</v>
      </c>
      <c r="W224" s="223">
        <f>_xlfn.IFNA(VLOOKUP(T224,$K$63:$M$111,3,FALSE),_xlfn.IFNA(VLOOKUP(T224,$G$5:$K$11,5,FALSE),_xlfn.IFNA(IF(VLOOKUP(T224,$G$19:$K$25,4,FALSE)&gt;0,VLOOKUP(T224,$G$19:$K$25,5,FALSE),VLOOKUP(T224,$G$33:$K$39,5,FALSE)),_xlfn.IFNA(VLOOKUP(T224,new_summaries!$V$4:$Y$101,4,FALSE),V224))))</f>
        <v>-0.34985702366999999</v>
      </c>
      <c r="X224" s="201">
        <f si="54" t="shared"/>
        <v>0</v>
      </c>
    </row>
    <row r="225" spans="20:24" x14ac:dyDescent="0.25">
      <c r="T225" s="201">
        <f>DayPatternCoefficients!A233</f>
        <v>719</v>
      </c>
      <c r="U225" s="201" t="str">
        <f>DayPatternCoefficients!B233</f>
        <v>D-MADCU5</v>
      </c>
      <c r="V225" s="222">
        <f>DayPatternCoefficients!D233</f>
        <v>0</v>
      </c>
      <c r="W225" s="223">
        <f>_xlfn.IFNA(VLOOKUP(T225,$K$63:$M$111,3,FALSE),_xlfn.IFNA(VLOOKUP(T225,$G$5:$K$11,5,FALSE),_xlfn.IFNA(IF(VLOOKUP(T225,$G$19:$K$25,4,FALSE)&gt;0,VLOOKUP(T225,$G$19:$K$25,5,FALSE),VLOOKUP(T225,$G$33:$K$39,5,FALSE)),_xlfn.IFNA(VLOOKUP(T225,new_summaries!$V$4:$Y$101,4,FALSE),V225))))</f>
        <v>0</v>
      </c>
      <c r="X225" s="201">
        <f si="54" t="shared"/>
        <v>0</v>
      </c>
    </row>
    <row r="226" spans="20:24" x14ac:dyDescent="0.25">
      <c r="T226" s="201">
        <f>DayPatternCoefficients!A234</f>
        <v>720</v>
      </c>
      <c r="U226" s="201" t="str">
        <f>DayPatternCoefficients!B234</f>
        <v>D-MAD515</v>
      </c>
      <c r="V226" s="222">
        <f>DayPatternCoefficients!D234</f>
        <v>-0.36186341506000003</v>
      </c>
      <c r="W226" s="223">
        <f>_xlfn.IFNA(VLOOKUP(T226,$K$63:$M$111,3,FALSE),_xlfn.IFNA(VLOOKUP(T226,$G$5:$K$11,5,FALSE),_xlfn.IFNA(IF(VLOOKUP(T226,$G$19:$K$25,4,FALSE)&gt;0,VLOOKUP(T226,$G$19:$K$25,5,FALSE),VLOOKUP(T226,$G$33:$K$39,5,FALSE)),_xlfn.IFNA(VLOOKUP(T226,new_summaries!$V$4:$Y$101,4,FALSE),V226))))</f>
        <v>-0.36186341506000003</v>
      </c>
      <c r="X226" s="201">
        <f si="54" t="shared"/>
        <v>0</v>
      </c>
    </row>
    <row r="227" spans="20:24" x14ac:dyDescent="0.25">
      <c r="T227" s="201">
        <f>DayPatternCoefficients!A235</f>
        <v>721</v>
      </c>
      <c r="U227" s="201" t="str">
        <f>DayPatternCoefficients!B235</f>
        <v>D-AG1825</v>
      </c>
      <c r="V227" s="222">
        <f>DayPatternCoefficients!D235</f>
        <v>0</v>
      </c>
      <c r="W227" s="223">
        <f>_xlfn.IFNA(VLOOKUP(T227,$K$63:$M$111,3,FALSE),_xlfn.IFNA(VLOOKUP(T227,$G$5:$K$11,5,FALSE),_xlfn.IFNA(IF(VLOOKUP(T227,$G$19:$K$25,4,FALSE)&gt;0,VLOOKUP(T227,$G$19:$K$25,5,FALSE),VLOOKUP(T227,$G$33:$K$39,5,FALSE)),_xlfn.IFNA(VLOOKUP(T227,new_summaries!$V$4:$Y$101,4,FALSE),V227))))</f>
        <v>0</v>
      </c>
      <c r="X227" s="201">
        <f si="54" t="shared"/>
        <v>0</v>
      </c>
    </row>
    <row r="228" spans="20:24" x14ac:dyDescent="0.25">
      <c r="T228" s="201">
        <f>DayPatternCoefficients!A236</f>
        <v>722</v>
      </c>
      <c r="U228" s="201" t="str">
        <f>DayPatternCoefficients!B236</f>
        <v>D-AG2635</v>
      </c>
      <c r="V228" s="222">
        <f>DayPatternCoefficients!D236</f>
        <v>0</v>
      </c>
      <c r="W228" s="223">
        <f>_xlfn.IFNA(VLOOKUP(T228,$K$63:$M$111,3,FALSE),_xlfn.IFNA(VLOOKUP(T228,$G$5:$K$11,5,FALSE),_xlfn.IFNA(IF(VLOOKUP(T228,$G$19:$K$25,4,FALSE)&gt;0,VLOOKUP(T228,$G$19:$K$25,5,FALSE),VLOOKUP(T228,$G$33:$K$39,5,FALSE)),_xlfn.IFNA(VLOOKUP(T228,new_summaries!$V$4:$Y$101,4,FALSE),V228))))</f>
        <v>0</v>
      </c>
      <c r="X228" s="201">
        <f si="54" t="shared"/>
        <v>0</v>
      </c>
    </row>
    <row r="229" spans="20:24" x14ac:dyDescent="0.25">
      <c r="T229" s="201">
        <f>DayPatternCoefficients!A237</f>
        <v>723</v>
      </c>
      <c r="U229" s="201" t="str">
        <f>DayPatternCoefficients!B237</f>
        <v>D-AG5165</v>
      </c>
      <c r="V229" s="222">
        <f>DayPatternCoefficients!D237</f>
        <v>-0.29322999638000002</v>
      </c>
      <c r="W229" s="223">
        <f>_xlfn.IFNA(VLOOKUP(T229,$K$63:$M$111,3,FALSE),_xlfn.IFNA(VLOOKUP(T229,$G$5:$K$11,5,FALSE),_xlfn.IFNA(IF(VLOOKUP(T229,$G$19:$K$25,4,FALSE)&gt;0,VLOOKUP(T229,$G$19:$K$25,5,FALSE),VLOOKUP(T229,$G$33:$K$39,5,FALSE)),_xlfn.IFNA(VLOOKUP(T229,new_summaries!$V$4:$Y$101,4,FALSE),V229))))</f>
        <v>-0.29322999638000002</v>
      </c>
      <c r="X229" s="201">
        <f si="54" t="shared"/>
        <v>0</v>
      </c>
    </row>
    <row r="230" spans="20:24" x14ac:dyDescent="0.25">
      <c r="T230" s="201">
        <f>DayPatternCoefficients!A238</f>
        <v>724</v>
      </c>
      <c r="U230" s="201" t="str">
        <f>DayPatternCoefficients!B238</f>
        <v>D-WAHOME</v>
      </c>
      <c r="V230" s="222">
        <f>DayPatternCoefficients!D238</f>
        <v>-0.54873078521999996</v>
      </c>
      <c r="W230" s="223">
        <f>_xlfn.IFNA(VLOOKUP(T230,$K$63:$M$111,3,FALSE),_xlfn.IFNA(VLOOKUP(T230,$G$5:$K$11,5,FALSE),_xlfn.IFNA(IF(VLOOKUP(T230,$G$19:$K$25,4,FALSE)&gt;0,VLOOKUP(T230,$G$19:$K$25,5,FALSE),VLOOKUP(T230,$G$33:$K$39,5,FALSE)),_xlfn.IFNA(VLOOKUP(T230,new_summaries!$V$4:$Y$101,4,FALSE),V230))))</f>
        <v>-0.54873078521999996</v>
      </c>
      <c r="X230" s="201">
        <f si="54" t="shared"/>
        <v>0</v>
      </c>
    </row>
    <row r="231" spans="20:24" x14ac:dyDescent="0.25">
      <c r="T231" s="201">
        <f>DayPatternCoefficients!A239</f>
        <v>725</v>
      </c>
      <c r="U231" s="201" t="str">
        <f>DayPatternCoefficients!B239</f>
        <v>D-MIXDEN</v>
      </c>
      <c r="V231" s="222">
        <f>DayPatternCoefficients!D239</f>
        <v>0</v>
      </c>
      <c r="W231" s="223">
        <f>_xlfn.IFNA(VLOOKUP(T231,$K$63:$M$111,3,FALSE),_xlfn.IFNA(VLOOKUP(T231,$G$5:$K$11,5,FALSE),_xlfn.IFNA(IF(VLOOKUP(T231,$G$19:$K$25,4,FALSE)&gt;0,VLOOKUP(T231,$G$19:$K$25,5,FALSE),VLOOKUP(T231,$G$33:$K$39,5,FALSE)),_xlfn.IFNA(VLOOKUP(T231,new_summaries!$V$4:$Y$101,4,FALSE),V231))))</f>
        <v>0</v>
      </c>
      <c r="X231" s="201">
        <f si="54" t="shared"/>
        <v>0</v>
      </c>
    </row>
    <row r="232" spans="20:24" x14ac:dyDescent="0.25">
      <c r="T232" s="201">
        <f>DayPatternCoefficients!A240</f>
        <v>726</v>
      </c>
      <c r="U232" s="201" t="str">
        <f>DayPatternCoefficients!B240</f>
        <v>D-INTDEN</v>
      </c>
      <c r="V232" s="222">
        <f>DayPatternCoefficients!D240</f>
        <v>0</v>
      </c>
      <c r="W232" s="223">
        <f>_xlfn.IFNA(VLOOKUP(T232,$K$63:$M$111,3,FALSE),_xlfn.IFNA(VLOOKUP(T232,$G$5:$K$11,5,FALSE),_xlfn.IFNA(IF(VLOOKUP(T232,$G$19:$K$25,4,FALSE)&gt;0,VLOOKUP(T232,$G$19:$K$25,5,FALSE),VLOOKUP(T232,$G$33:$K$39,5,FALSE)),_xlfn.IFNA(VLOOKUP(T232,new_summaries!$V$4:$Y$101,4,FALSE),V232))))</f>
        <v>0</v>
      </c>
      <c r="X232" s="201">
        <f si="54" t="shared"/>
        <v>0</v>
      </c>
    </row>
    <row r="233" spans="20:24" x14ac:dyDescent="0.25">
      <c r="T233" s="201">
        <f>DayPatternCoefficients!A241</f>
        <v>727</v>
      </c>
      <c r="U233" s="201" t="str">
        <f>DayPatternCoefficients!B241</f>
        <v>D-ACCLOG</v>
      </c>
      <c r="V233" s="222">
        <f>DayPatternCoefficients!D241</f>
        <v>0</v>
      </c>
      <c r="W233" s="223">
        <f>_xlfn.IFNA(VLOOKUP(T233,$K$63:$M$111,3,FALSE),_xlfn.IFNA(VLOOKUP(T233,$G$5:$K$11,5,FALSE),_xlfn.IFNA(IF(VLOOKUP(T233,$G$19:$K$25,4,FALSE)&gt;0,VLOOKUP(T233,$G$19:$K$25,5,FALSE),VLOOKUP(T233,$G$33:$K$39,5,FALSE)),_xlfn.IFNA(VLOOKUP(T233,new_summaries!$V$4:$Y$101,4,FALSE),V233))))</f>
        <v>0</v>
      </c>
      <c r="X233" s="201">
        <f si="54" t="shared"/>
        <v>0</v>
      </c>
    </row>
    <row r="234" spans="20:24" x14ac:dyDescent="0.25">
      <c r="T234" s="201">
        <f>DayPatternCoefficients!A242</f>
        <v>728</v>
      </c>
      <c r="U234" s="201" t="str">
        <f>DayPatternCoefficients!B242</f>
        <v>D-TPASS</v>
      </c>
      <c r="V234" s="222">
        <f>DayPatternCoefficients!D242</f>
        <v>0</v>
      </c>
      <c r="W234" s="223">
        <f>_xlfn.IFNA(VLOOKUP(T234,$K$63:$M$111,3,FALSE),_xlfn.IFNA(VLOOKUP(T234,$G$5:$K$11,5,FALSE),_xlfn.IFNA(IF(VLOOKUP(T234,$G$19:$K$25,4,FALSE)&gt;0,VLOOKUP(T234,$G$19:$K$25,5,FALSE),VLOOKUP(T234,$G$33:$K$39,5,FALSE)),_xlfn.IFNA(VLOOKUP(T234,new_summaries!$V$4:$Y$101,4,FALSE),V234))))</f>
        <v>0</v>
      </c>
      <c r="X234" s="201">
        <f si="54" t="shared"/>
        <v>0</v>
      </c>
    </row>
    <row r="235" spans="20:24" x14ac:dyDescent="0.25">
      <c r="T235" s="201">
        <f>DayPatternCoefficients!A243</f>
        <v>729</v>
      </c>
      <c r="U235" s="201" t="str">
        <f>DayPatternCoefficients!B243</f>
        <v>D-T-LOGS</v>
      </c>
      <c r="V235" s="222">
        <f>DayPatternCoefficients!D243</f>
        <v>2.299546198E-2</v>
      </c>
      <c r="W235" s="223">
        <f>_xlfn.IFNA(VLOOKUP(T235,$K$63:$M$111,3,FALSE),_xlfn.IFNA(VLOOKUP(T235,$G$5:$K$11,5,FALSE),_xlfn.IFNA(IF(VLOOKUP(T235,$G$19:$K$25,4,FALSE)&gt;0,VLOOKUP(T235,$G$19:$K$25,5,FALSE),VLOOKUP(T235,$G$33:$K$39,5,FALSE)),_xlfn.IFNA(VLOOKUP(T235,new_summaries!$V$4:$Y$101,4,FALSE),V235))))</f>
        <v>2.299546198E-2</v>
      </c>
      <c r="X235" s="201">
        <f si="54" t="shared"/>
        <v>0</v>
      </c>
    </row>
    <row r="236" spans="20:24" x14ac:dyDescent="0.25">
      <c r="T236" s="201">
        <f>DayPatternCoefficients!A244</f>
        <v>730</v>
      </c>
      <c r="U236" s="201" t="str">
        <f>DayPatternCoefficients!B244</f>
        <v>D-T-PPRK</v>
      </c>
      <c r="V236" s="222">
        <f>DayPatternCoefficients!D244</f>
        <v>0</v>
      </c>
      <c r="W236" s="223">
        <f>_xlfn.IFNA(VLOOKUP(T236,$K$63:$M$111,3,FALSE),_xlfn.IFNA(VLOOKUP(T236,$G$5:$K$11,5,FALSE),_xlfn.IFNA(IF(VLOOKUP(T236,$G$19:$K$25,4,FALSE)&gt;0,VLOOKUP(T236,$G$19:$K$25,5,FALSE),VLOOKUP(T236,$G$33:$K$39,5,FALSE)),_xlfn.IFNA(VLOOKUP(T236,new_summaries!$V$4:$Y$101,4,FALSE),V236))))</f>
        <v>0</v>
      </c>
      <c r="X236" s="201">
        <f si="54" t="shared"/>
        <v>0</v>
      </c>
    </row>
    <row r="237" spans="20:24" x14ac:dyDescent="0.25">
      <c r="T237" s="201">
        <f>DayPatternCoefficients!A245</f>
        <v>731</v>
      </c>
      <c r="U237" s="201" t="str">
        <f>DayPatternCoefficients!B245</f>
        <v>D-S-LOGS</v>
      </c>
      <c r="V237" s="222">
        <f>DayPatternCoefficients!D245</f>
        <v>-0.11198004113</v>
      </c>
      <c r="W237" s="223">
        <f>_xlfn.IFNA(VLOOKUP(T237,$K$63:$M$111,3,FALSE),_xlfn.IFNA(VLOOKUP(T237,$G$5:$K$11,5,FALSE),_xlfn.IFNA(IF(VLOOKUP(T237,$G$19:$K$25,4,FALSE)&gt;0,VLOOKUP(T237,$G$19:$K$25,5,FALSE),VLOOKUP(T237,$G$33:$K$39,5,FALSE)),_xlfn.IFNA(VLOOKUP(T237,new_summaries!$V$4:$Y$101,4,FALSE),V237))))</f>
        <v>-0.11198004113</v>
      </c>
      <c r="X237" s="201">
        <f si="54" t="shared"/>
        <v>0</v>
      </c>
    </row>
    <row r="238" spans="20:24" x14ac:dyDescent="0.25">
      <c r="T238" s="201">
        <f>DayPatternCoefficients!A246</f>
        <v>732</v>
      </c>
      <c r="U238" s="201" t="str">
        <f>DayPatternCoefficients!B246</f>
        <v>D-NODIAR</v>
      </c>
      <c r="V238" s="222">
        <f>DayPatternCoefficients!D246</f>
        <v>-0.68960917957000001</v>
      </c>
      <c r="W238" s="223">
        <f>_xlfn.IFNA(VLOOKUP(T238,$K$63:$M$111,3,FALSE),_xlfn.IFNA(VLOOKUP(T238,$G$5:$K$11,5,FALSE),_xlfn.IFNA(IF(VLOOKUP(T238,$G$19:$K$25,4,FALSE)&gt;0,VLOOKUP(T238,$G$19:$K$25,5,FALSE),VLOOKUP(T238,$G$33:$K$39,5,FALSE)),_xlfn.IFNA(VLOOKUP(T238,new_summaries!$V$4:$Y$101,4,FALSE),V238))))</f>
        <v>-0.68960917957000001</v>
      </c>
      <c r="X238" s="201">
        <f si="54" t="shared"/>
        <v>0</v>
      </c>
    </row>
    <row r="239" spans="20:24" x14ac:dyDescent="0.25">
      <c r="T239" s="201">
        <f>DayPatternCoefficients!A247</f>
        <v>733</v>
      </c>
      <c r="U239" s="201" t="str">
        <f>DayPatternCoefficients!B247</f>
        <v>D-PROXY</v>
      </c>
      <c r="V239" s="222">
        <f>DayPatternCoefficients!D247</f>
        <v>-0.11786941991</v>
      </c>
      <c r="W239" s="223">
        <f>_xlfn.IFNA(VLOOKUP(T239,$K$63:$M$111,3,FALSE),_xlfn.IFNA(VLOOKUP(T239,$G$5:$K$11,5,FALSE),_xlfn.IFNA(IF(VLOOKUP(T239,$G$19:$K$25,4,FALSE)&gt;0,VLOOKUP(T239,$G$19:$K$25,5,FALSE),VLOOKUP(T239,$G$33:$K$39,5,FALSE)),_xlfn.IFNA(VLOOKUP(T239,new_summaries!$V$4:$Y$101,4,FALSE),V239))))</f>
        <v>-0.11786941991</v>
      </c>
      <c r="X239" s="201">
        <f si="54" t="shared"/>
        <v>0</v>
      </c>
    </row>
    <row r="240" spans="20:24" x14ac:dyDescent="0.25">
      <c r="T240" s="201">
        <f>DayPatternCoefficients!A248</f>
        <v>734</v>
      </c>
      <c r="U240" s="201" t="str">
        <f>DayPatternCoefficients!B248</f>
        <v>D-WATHOME</v>
      </c>
      <c r="V240" s="222">
        <f>DayPatternCoefficients!D248</f>
        <v>-1.2</v>
      </c>
      <c r="W240" s="223">
        <f>_xlfn.IFNA(VLOOKUP(T240,$K$63:$M$111,3,FALSE),_xlfn.IFNA(VLOOKUP(T240,$G$5:$K$11,5,FALSE),_xlfn.IFNA(IF(VLOOKUP(T240,$G$19:$K$25,4,FALSE)&gt;0,VLOOKUP(T240,$G$19:$K$25,5,FALSE),VLOOKUP(T240,$G$33:$K$39,5,FALSE)),_xlfn.IFNA(VLOOKUP(T240,new_summaries!$V$4:$Y$101,4,FALSE),V240))))</f>
        <v>-1.2</v>
      </c>
      <c r="X240" s="201">
        <f si="54" t="shared"/>
        <v>0</v>
      </c>
    </row>
    <row r="241" spans="20:24" x14ac:dyDescent="0.25">
      <c r="T241" s="201">
        <f>DayPatternCoefficients!A249</f>
        <v>751</v>
      </c>
      <c r="U241" s="201" t="str">
        <f>DayPatternCoefficients!B249</f>
        <v>D-FTW</v>
      </c>
      <c r="V241" s="222">
        <f>DayPatternCoefficients!D249</f>
        <v>-1.08724312621</v>
      </c>
      <c r="W241" s="223">
        <f>_xlfn.IFNA(VLOOKUP(T241,$K$63:$M$111,3,FALSE),_xlfn.IFNA(VLOOKUP(T241,$G$5:$K$11,5,FALSE),_xlfn.IFNA(IF(VLOOKUP(T241,$G$19:$K$25,4,FALSE)&gt;0,VLOOKUP(T241,$G$19:$K$25,5,FALSE),VLOOKUP(T241,$G$33:$K$39,5,FALSE)),_xlfn.IFNA(VLOOKUP(T241,new_summaries!$V$4:$Y$101,4,FALSE),V241))))</f>
        <v>-1.08724312621</v>
      </c>
      <c r="X241" s="201">
        <f si="54" t="shared"/>
        <v>0</v>
      </c>
    </row>
    <row r="242" spans="20:24" x14ac:dyDescent="0.25">
      <c r="T242" s="201">
        <f>DayPatternCoefficients!A250</f>
        <v>802</v>
      </c>
      <c r="U242" s="201" t="str">
        <f>DayPatternCoefficients!B250</f>
        <v>T-PTW</v>
      </c>
      <c r="V242" s="222">
        <f>DayPatternCoefficients!D250</f>
        <v>0.60977667497999999</v>
      </c>
      <c r="W242" s="223">
        <f>_xlfn.IFNA(VLOOKUP(T242,$K$63:$M$111,3,FALSE),_xlfn.IFNA(VLOOKUP(T242,$G$5:$K$11,5,FALSE),_xlfn.IFNA(IF(VLOOKUP(T242,$G$19:$K$25,4,FALSE)&gt;0,VLOOKUP(T242,$G$19:$K$25,5,FALSE),VLOOKUP(T242,$G$33:$K$39,5,FALSE)),_xlfn.IFNA(VLOOKUP(T242,new_summaries!$V$4:$Y$101,4,FALSE),V242))))</f>
        <v>0.60977667497999999</v>
      </c>
      <c r="X242" s="201">
        <f si="54" t="shared"/>
        <v>0</v>
      </c>
    </row>
    <row r="243" spans="20:24" x14ac:dyDescent="0.25">
      <c r="T243" s="201">
        <f>DayPatternCoefficients!A251</f>
        <v>803</v>
      </c>
      <c r="U243" s="201" t="str">
        <f>DayPatternCoefficients!B251</f>
        <v>T-RET</v>
      </c>
      <c r="V243" s="222">
        <f>DayPatternCoefficients!D251</f>
        <v>0.35295912634999999</v>
      </c>
      <c r="W243" s="223">
        <f>_xlfn.IFNA(VLOOKUP(T243,$K$63:$M$111,3,FALSE),_xlfn.IFNA(VLOOKUP(T243,$G$5:$K$11,5,FALSE),_xlfn.IFNA(IF(VLOOKUP(T243,$G$19:$K$25,4,FALSE)&gt;0,VLOOKUP(T243,$G$19:$K$25,5,FALSE),VLOOKUP(T243,$G$33:$K$39,5,FALSE)),_xlfn.IFNA(VLOOKUP(T243,new_summaries!$V$4:$Y$101,4,FALSE),V243))))</f>
        <v>0.35295912634999999</v>
      </c>
      <c r="X243" s="201">
        <f si="54" t="shared"/>
        <v>0</v>
      </c>
    </row>
    <row r="244" spans="20:24" x14ac:dyDescent="0.25">
      <c r="T244" s="201">
        <f>DayPatternCoefficients!A252</f>
        <v>804</v>
      </c>
      <c r="U244" s="201" t="str">
        <f>DayPatternCoefficients!B252</f>
        <v>T-NWA</v>
      </c>
      <c r="V244" s="222">
        <f>DayPatternCoefficients!D252</f>
        <v>0.20798756905999999</v>
      </c>
      <c r="W244" s="223">
        <f>_xlfn.IFNA(VLOOKUP(T244,$K$63:$M$111,3,FALSE),_xlfn.IFNA(VLOOKUP(T244,$G$5:$K$11,5,FALSE),_xlfn.IFNA(IF(VLOOKUP(T244,$G$19:$K$25,4,FALSE)&gt;0,VLOOKUP(T244,$G$19:$K$25,5,FALSE),VLOOKUP(T244,$G$33:$K$39,5,FALSE)),_xlfn.IFNA(VLOOKUP(T244,new_summaries!$V$4:$Y$101,4,FALSE),V244))))</f>
        <v>0.20798756905999999</v>
      </c>
      <c r="X244" s="201">
        <f si="54" t="shared"/>
        <v>0</v>
      </c>
    </row>
    <row r="245" spans="20:24" x14ac:dyDescent="0.25">
      <c r="T245" s="201">
        <f>DayPatternCoefficients!A253</f>
        <v>805</v>
      </c>
      <c r="U245" s="201" t="str">
        <f>DayPatternCoefficients!B253</f>
        <v>T-UNI</v>
      </c>
      <c r="V245" s="222">
        <f>DayPatternCoefficients!D253</f>
        <v>0.31535405351000001</v>
      </c>
      <c r="W245" s="223">
        <f>_xlfn.IFNA(VLOOKUP(T245,$K$63:$M$111,3,FALSE),_xlfn.IFNA(VLOOKUP(T245,$G$5:$K$11,5,FALSE),_xlfn.IFNA(IF(VLOOKUP(T245,$G$19:$K$25,4,FALSE)&gt;0,VLOOKUP(T245,$G$19:$K$25,5,FALSE),VLOOKUP(T245,$G$33:$K$39,5,FALSE)),_xlfn.IFNA(VLOOKUP(T245,new_summaries!$V$4:$Y$101,4,FALSE),V245))))</f>
        <v>0.31535405351000001</v>
      </c>
      <c r="X245" s="201">
        <f si="54" t="shared"/>
        <v>0</v>
      </c>
    </row>
    <row r="246" spans="20:24" x14ac:dyDescent="0.25">
      <c r="T246" s="201">
        <f>DayPatternCoefficients!A254</f>
        <v>806</v>
      </c>
      <c r="U246" s="201" t="str">
        <f>DayPatternCoefficients!B254</f>
        <v>T-DAS</v>
      </c>
      <c r="V246" s="222">
        <f>DayPatternCoefficients!D254</f>
        <v>0.98676165079</v>
      </c>
      <c r="W246" s="223">
        <f>_xlfn.IFNA(VLOOKUP(T246,$K$63:$M$111,3,FALSE),_xlfn.IFNA(VLOOKUP(T246,$G$5:$K$11,5,FALSE),_xlfn.IFNA(IF(VLOOKUP(T246,$G$19:$K$25,4,FALSE)&gt;0,VLOOKUP(T246,$G$19:$K$25,5,FALSE),VLOOKUP(T246,$G$33:$K$39,5,FALSE)),_xlfn.IFNA(VLOOKUP(T246,new_summaries!$V$4:$Y$101,4,FALSE),V246))))</f>
        <v>0.98676165079</v>
      </c>
      <c r="X246" s="201">
        <f si="54" t="shared"/>
        <v>0</v>
      </c>
    </row>
    <row r="247" spans="20:24" x14ac:dyDescent="0.25">
      <c r="T247" s="201">
        <f>DayPatternCoefficients!A255</f>
        <v>807</v>
      </c>
      <c r="U247" s="201" t="str">
        <f>DayPatternCoefficients!B255</f>
        <v>T-PAS</v>
      </c>
      <c r="V247" s="222">
        <f>DayPatternCoefficients!D255</f>
        <v>0.72867818651000005</v>
      </c>
      <c r="W247" s="223">
        <f>_xlfn.IFNA(VLOOKUP(T247,$K$63:$M$111,3,FALSE),_xlfn.IFNA(VLOOKUP(T247,$G$5:$K$11,5,FALSE),_xlfn.IFNA(IF(VLOOKUP(T247,$G$19:$K$25,4,FALSE)&gt;0,VLOOKUP(T247,$G$19:$K$25,5,FALSE),VLOOKUP(T247,$G$33:$K$39,5,FALSE)),_xlfn.IFNA(VLOOKUP(T247,new_summaries!$V$4:$Y$101,4,FALSE),V247))))</f>
        <v>0.72867818651000005</v>
      </c>
      <c r="X247" s="201">
        <f si="54" t="shared"/>
        <v>0</v>
      </c>
    </row>
    <row r="248" spans="20:24" x14ac:dyDescent="0.25">
      <c r="T248" s="201">
        <f>DayPatternCoefficients!A256</f>
        <v>808</v>
      </c>
      <c r="U248" s="201" t="str">
        <f>DayPatternCoefficients!B256</f>
        <v>T-CU5</v>
      </c>
      <c r="V248" s="222">
        <f>DayPatternCoefficients!D256</f>
        <v>0</v>
      </c>
      <c r="W248" s="223">
        <f>_xlfn.IFNA(VLOOKUP(T248,$K$63:$M$111,3,FALSE),_xlfn.IFNA(VLOOKUP(T248,$G$5:$K$11,5,FALSE),_xlfn.IFNA(IF(VLOOKUP(T248,$G$19:$K$25,4,FALSE)&gt;0,VLOOKUP(T248,$G$19:$K$25,5,FALSE),VLOOKUP(T248,$G$33:$K$39,5,FALSE)),_xlfn.IFNA(VLOOKUP(T248,new_summaries!$V$4:$Y$101,4,FALSE),V248))))</f>
        <v>0</v>
      </c>
      <c r="X248" s="201">
        <f si="54" t="shared"/>
        <v>0</v>
      </c>
    </row>
    <row r="249" spans="20:24" x14ac:dyDescent="0.25">
      <c r="T249" s="201">
        <f>DayPatternCoefficients!A257</f>
        <v>809</v>
      </c>
      <c r="U249" s="201" t="str">
        <f>DayPatternCoefficients!B257</f>
        <v>T-VLINC</v>
      </c>
      <c r="V249" s="222">
        <f>DayPatternCoefficients!D257</f>
        <v>0</v>
      </c>
      <c r="W249" s="223">
        <f>_xlfn.IFNA(VLOOKUP(T249,$K$63:$M$111,3,FALSE),_xlfn.IFNA(VLOOKUP(T249,$G$5:$K$11,5,FALSE),_xlfn.IFNA(IF(VLOOKUP(T249,$G$19:$K$25,4,FALSE)&gt;0,VLOOKUP(T249,$G$19:$K$25,5,FALSE),VLOOKUP(T249,$G$33:$K$39,5,FALSE)),_xlfn.IFNA(VLOOKUP(T249,new_summaries!$V$4:$Y$101,4,FALSE),V249))))</f>
        <v>0</v>
      </c>
      <c r="X249" s="201">
        <f si="54" t="shared"/>
        <v>0</v>
      </c>
    </row>
    <row r="250" spans="20:24" x14ac:dyDescent="0.25">
      <c r="T250" s="201">
        <f>DayPatternCoefficients!A258</f>
        <v>810</v>
      </c>
      <c r="U250" s="201" t="str">
        <f>DayPatternCoefficients!B258</f>
        <v>T-LOINC</v>
      </c>
      <c r="V250" s="222">
        <f>DayPatternCoefficients!D258</f>
        <v>0</v>
      </c>
      <c r="W250" s="223">
        <f>_xlfn.IFNA(VLOOKUP(T250,$K$63:$M$111,3,FALSE),_xlfn.IFNA(VLOOKUP(T250,$G$5:$K$11,5,FALSE),_xlfn.IFNA(IF(VLOOKUP(T250,$G$19:$K$25,4,FALSE)&gt;0,VLOOKUP(T250,$G$19:$K$25,5,FALSE),VLOOKUP(T250,$G$33:$K$39,5,FALSE)),_xlfn.IFNA(VLOOKUP(T250,new_summaries!$V$4:$Y$101,4,FALSE),V250))))</f>
        <v>0</v>
      </c>
      <c r="X250" s="201">
        <f si="54" t="shared"/>
        <v>0</v>
      </c>
    </row>
    <row r="251" spans="20:24" x14ac:dyDescent="0.25">
      <c r="T251" s="201">
        <f>DayPatternCoefficients!A259</f>
        <v>811</v>
      </c>
      <c r="U251" s="201" t="str">
        <f>DayPatternCoefficients!B259</f>
        <v>T-HIINC</v>
      </c>
      <c r="V251" s="222">
        <f>DayPatternCoefficients!D259</f>
        <v>0</v>
      </c>
      <c r="W251" s="223">
        <f>_xlfn.IFNA(VLOOKUP(T251,$K$63:$M$111,3,FALSE),_xlfn.IFNA(VLOOKUP(T251,$G$5:$K$11,5,FALSE),_xlfn.IFNA(IF(VLOOKUP(T251,$G$19:$K$25,4,FALSE)&gt;0,VLOOKUP(T251,$G$19:$K$25,5,FALSE),VLOOKUP(T251,$G$33:$K$39,5,FALSE)),_xlfn.IFNA(VLOOKUP(T251,new_summaries!$V$4:$Y$101,4,FALSE),V251))))</f>
        <v>0</v>
      </c>
      <c r="X251" s="201">
        <f si="54" t="shared"/>
        <v>0</v>
      </c>
    </row>
    <row r="252" spans="20:24" x14ac:dyDescent="0.25">
      <c r="T252" s="201">
        <f>DayPatternCoefficients!A260</f>
        <v>812</v>
      </c>
      <c r="U252" s="201" t="str">
        <f>DayPatternCoefficients!B260</f>
        <v>T-CARSPD</v>
      </c>
      <c r="V252" s="222">
        <f>DayPatternCoefficients!D260</f>
        <v>0</v>
      </c>
      <c r="W252" s="223">
        <f>_xlfn.IFNA(VLOOKUP(T252,$K$63:$M$111,3,FALSE),_xlfn.IFNA(VLOOKUP(T252,$G$5:$K$11,5,FALSE),_xlfn.IFNA(IF(VLOOKUP(T252,$G$19:$K$25,4,FALSE)&gt;0,VLOOKUP(T252,$G$19:$K$25,5,FALSE),VLOOKUP(T252,$G$33:$K$39,5,FALSE)),_xlfn.IFNA(VLOOKUP(T252,new_summaries!$V$4:$Y$101,4,FALSE),V252))))</f>
        <v>0</v>
      </c>
      <c r="X252" s="201">
        <f si="54" t="shared"/>
        <v>0</v>
      </c>
    </row>
    <row r="253" spans="20:24" x14ac:dyDescent="0.25">
      <c r="T253" s="201">
        <f>DayPatternCoefficients!A261</f>
        <v>813</v>
      </c>
      <c r="U253" s="201" t="str">
        <f>DayPatternCoefficients!B261</f>
        <v>T-ONLYAD</v>
      </c>
      <c r="V253" s="222">
        <f>DayPatternCoefficients!D261</f>
        <v>0</v>
      </c>
      <c r="W253" s="223">
        <f>_xlfn.IFNA(VLOOKUP(T253,$K$63:$M$111,3,FALSE),_xlfn.IFNA(VLOOKUP(T253,$G$5:$K$11,5,FALSE),_xlfn.IFNA(IF(VLOOKUP(T253,$G$19:$K$25,4,FALSE)&gt;0,VLOOKUP(T253,$G$19:$K$25,5,FALSE),VLOOKUP(T253,$G$33:$K$39,5,FALSE)),_xlfn.IFNA(VLOOKUP(T253,new_summaries!$V$4:$Y$101,4,FALSE),V253))))</f>
        <v>0</v>
      </c>
      <c r="X253" s="201">
        <f si="54" t="shared"/>
        <v>0</v>
      </c>
    </row>
    <row r="254" spans="20:24" x14ac:dyDescent="0.25">
      <c r="T254" s="201">
        <f>DayPatternCoefficients!A262</f>
        <v>814</v>
      </c>
      <c r="U254" s="201" t="str">
        <f>DayPatternCoefficients!B262</f>
        <v>T-ONLYWK</v>
      </c>
      <c r="V254" s="222">
        <f>DayPatternCoefficients!D262</f>
        <v>0</v>
      </c>
      <c r="W254" s="223">
        <f>_xlfn.IFNA(VLOOKUP(T254,$K$63:$M$111,3,FALSE),_xlfn.IFNA(VLOOKUP(T254,$G$5:$K$11,5,FALSE),_xlfn.IFNA(IF(VLOOKUP(T254,$G$19:$K$25,4,FALSE)&gt;0,VLOOKUP(T254,$G$19:$K$25,5,FALSE),VLOOKUP(T254,$G$33:$K$39,5,FALSE)),_xlfn.IFNA(VLOOKUP(T254,new_summaries!$V$4:$Y$101,4,FALSE),V254))))</f>
        <v>0</v>
      </c>
      <c r="X254" s="201">
        <f si="54" t="shared"/>
        <v>0</v>
      </c>
    </row>
    <row r="255" spans="20:24" x14ac:dyDescent="0.25">
      <c r="T255" s="201">
        <f>DayPatternCoefficients!A263</f>
        <v>816</v>
      </c>
      <c r="U255" s="201" t="str">
        <f>DayPatternCoefficients!B263</f>
        <v>T-FEMNOC</v>
      </c>
      <c r="V255" s="222">
        <f>DayPatternCoefficients!D263</f>
        <v>-0.18079951418000001</v>
      </c>
      <c r="W255" s="223">
        <f>_xlfn.IFNA(VLOOKUP(T255,$K$63:$M$111,3,FALSE),_xlfn.IFNA(VLOOKUP(T255,$G$5:$K$11,5,FALSE),_xlfn.IFNA(IF(VLOOKUP(T255,$G$19:$K$25,4,FALSE)&gt;0,VLOOKUP(T255,$G$19:$K$25,5,FALSE),VLOOKUP(T255,$G$33:$K$39,5,FALSE)),_xlfn.IFNA(VLOOKUP(T255,new_summaries!$V$4:$Y$101,4,FALSE),V255))))</f>
        <v>-0.18079951418000001</v>
      </c>
      <c r="X255" s="201">
        <f si="54" t="shared"/>
        <v>0</v>
      </c>
    </row>
    <row r="256" spans="20:24" x14ac:dyDescent="0.25">
      <c r="T256" s="201">
        <f>DayPatternCoefficients!A264</f>
        <v>817</v>
      </c>
      <c r="U256" s="201" t="str">
        <f>DayPatternCoefficients!B264</f>
        <v>T-FADCU5</v>
      </c>
      <c r="V256" s="222">
        <f>DayPatternCoefficients!D264</f>
        <v>-0.81715753822000003</v>
      </c>
      <c r="W256" s="223">
        <f>_xlfn.IFNA(VLOOKUP(T256,$K$63:$M$111,3,FALSE),_xlfn.IFNA(VLOOKUP(T256,$G$5:$K$11,5,FALSE),_xlfn.IFNA(IF(VLOOKUP(T256,$G$19:$K$25,4,FALSE)&gt;0,VLOOKUP(T256,$G$19:$K$25,5,FALSE),VLOOKUP(T256,$G$33:$K$39,5,FALSE)),_xlfn.IFNA(VLOOKUP(T256,new_summaries!$V$4:$Y$101,4,FALSE),V256))))</f>
        <v>-0.81715753822000003</v>
      </c>
      <c r="X256" s="201">
        <f si="54" t="shared"/>
        <v>0</v>
      </c>
    </row>
    <row r="257" spans="20:24" x14ac:dyDescent="0.25">
      <c r="T257" s="201">
        <f>DayPatternCoefficients!A265</f>
        <v>818</v>
      </c>
      <c r="U257" s="201" t="str">
        <f>DayPatternCoefficients!B265</f>
        <v>T-FAD515</v>
      </c>
      <c r="V257" s="222">
        <f>DayPatternCoefficients!D265</f>
        <v>0.67896564696999995</v>
      </c>
      <c r="W257" s="223">
        <f>_xlfn.IFNA(VLOOKUP(T257,$K$63:$M$111,3,FALSE),_xlfn.IFNA(VLOOKUP(T257,$G$5:$K$11,5,FALSE),_xlfn.IFNA(IF(VLOOKUP(T257,$G$19:$K$25,4,FALSE)&gt;0,VLOOKUP(T257,$G$19:$K$25,5,FALSE),VLOOKUP(T257,$G$33:$K$39,5,FALSE)),_xlfn.IFNA(VLOOKUP(T257,new_summaries!$V$4:$Y$101,4,FALSE),V257))))</f>
        <v>0.67896564696999995</v>
      </c>
      <c r="X257" s="201">
        <f si="54" t="shared"/>
        <v>0</v>
      </c>
    </row>
    <row r="258" spans="20:24" x14ac:dyDescent="0.25">
      <c r="T258" s="201">
        <f>DayPatternCoefficients!A266</f>
        <v>819</v>
      </c>
      <c r="U258" s="201" t="str">
        <f>DayPatternCoefficients!B266</f>
        <v>T-MADCU5</v>
      </c>
      <c r="V258" s="222">
        <f>DayPatternCoefficients!D266</f>
        <v>-0.30146391228000002</v>
      </c>
      <c r="W258" s="223">
        <f>_xlfn.IFNA(VLOOKUP(T258,$K$63:$M$111,3,FALSE),_xlfn.IFNA(VLOOKUP(T258,$G$5:$K$11,5,FALSE),_xlfn.IFNA(IF(VLOOKUP(T258,$G$19:$K$25,4,FALSE)&gt;0,VLOOKUP(T258,$G$19:$K$25,5,FALSE),VLOOKUP(T258,$G$33:$K$39,5,FALSE)),_xlfn.IFNA(VLOOKUP(T258,new_summaries!$V$4:$Y$101,4,FALSE),V258))))</f>
        <v>-0.30146391228000002</v>
      </c>
      <c r="X258" s="201">
        <f si="54" t="shared"/>
        <v>0</v>
      </c>
    </row>
    <row r="259" spans="20:24" x14ac:dyDescent="0.25">
      <c r="T259" s="201">
        <f>DayPatternCoefficients!A267</f>
        <v>820</v>
      </c>
      <c r="U259" s="201" t="str">
        <f>DayPatternCoefficients!B267</f>
        <v>T-MAD515</v>
      </c>
      <c r="V259" s="222">
        <f>DayPatternCoefficients!D267</f>
        <v>0.59568631491000001</v>
      </c>
      <c r="W259" s="223">
        <f>_xlfn.IFNA(VLOOKUP(T259,$K$63:$M$111,3,FALSE),_xlfn.IFNA(VLOOKUP(T259,$G$5:$K$11,5,FALSE),_xlfn.IFNA(IF(VLOOKUP(T259,$G$19:$K$25,4,FALSE)&gt;0,VLOOKUP(T259,$G$19:$K$25,5,FALSE),VLOOKUP(T259,$G$33:$K$39,5,FALSE)),_xlfn.IFNA(VLOOKUP(T259,new_summaries!$V$4:$Y$101,4,FALSE),V259))))</f>
        <v>0.59568631491000001</v>
      </c>
      <c r="X259" s="201">
        <f ref="X259:X322" si="55" t="shared">IF(V259=W259,0,1)</f>
        <v>0</v>
      </c>
    </row>
    <row r="260" spans="20:24" x14ac:dyDescent="0.25">
      <c r="T260" s="201">
        <f>DayPatternCoefficients!A268</f>
        <v>821</v>
      </c>
      <c r="U260" s="201" t="str">
        <f>DayPatternCoefficients!B268</f>
        <v>T-AG1825</v>
      </c>
      <c r="V260" s="222">
        <f>DayPatternCoefficients!D268</f>
        <v>0.48251789562000003</v>
      </c>
      <c r="W260" s="223">
        <f>_xlfn.IFNA(VLOOKUP(T260,$K$63:$M$111,3,FALSE),_xlfn.IFNA(VLOOKUP(T260,$G$5:$K$11,5,FALSE),_xlfn.IFNA(IF(VLOOKUP(T260,$G$19:$K$25,4,FALSE)&gt;0,VLOOKUP(T260,$G$19:$K$25,5,FALSE),VLOOKUP(T260,$G$33:$K$39,5,FALSE)),_xlfn.IFNA(VLOOKUP(T260,new_summaries!$V$4:$Y$101,4,FALSE),V260))))</f>
        <v>0.48251789562000003</v>
      </c>
      <c r="X260" s="201">
        <f si="55" t="shared"/>
        <v>0</v>
      </c>
    </row>
    <row r="261" spans="20:24" x14ac:dyDescent="0.25">
      <c r="T261" s="201">
        <f>DayPatternCoefficients!A269</f>
        <v>822</v>
      </c>
      <c r="U261" s="201" t="str">
        <f>DayPatternCoefficients!B269</f>
        <v>T-AG2635</v>
      </c>
      <c r="V261" s="222">
        <f>DayPatternCoefficients!D269</f>
        <v>0</v>
      </c>
      <c r="W261" s="223">
        <f>_xlfn.IFNA(VLOOKUP(T261,$K$63:$M$111,3,FALSE),_xlfn.IFNA(VLOOKUP(T261,$G$5:$K$11,5,FALSE),_xlfn.IFNA(IF(VLOOKUP(T261,$G$19:$K$25,4,FALSE)&gt;0,VLOOKUP(T261,$G$19:$K$25,5,FALSE),VLOOKUP(T261,$G$33:$K$39,5,FALSE)),_xlfn.IFNA(VLOOKUP(T261,new_summaries!$V$4:$Y$101,4,FALSE),V261))))</f>
        <v>0</v>
      </c>
      <c r="X261" s="201">
        <f si="55" t="shared"/>
        <v>0</v>
      </c>
    </row>
    <row r="262" spans="20:24" x14ac:dyDescent="0.25">
      <c r="T262" s="201">
        <f>DayPatternCoefficients!A270</f>
        <v>823</v>
      </c>
      <c r="U262" s="201" t="str">
        <f>DayPatternCoefficients!B270</f>
        <v>T-AG5165</v>
      </c>
      <c r="V262" s="222">
        <f>DayPatternCoefficients!D270</f>
        <v>0</v>
      </c>
      <c r="W262" s="223">
        <f>_xlfn.IFNA(VLOOKUP(T262,$K$63:$M$111,3,FALSE),_xlfn.IFNA(VLOOKUP(T262,$G$5:$K$11,5,FALSE),_xlfn.IFNA(IF(VLOOKUP(T262,$G$19:$K$25,4,FALSE)&gt;0,VLOOKUP(T262,$G$19:$K$25,5,FALSE),VLOOKUP(T262,$G$33:$K$39,5,FALSE)),_xlfn.IFNA(VLOOKUP(T262,new_summaries!$V$4:$Y$101,4,FALSE),V262))))</f>
        <v>0</v>
      </c>
      <c r="X262" s="201">
        <f si="55" t="shared"/>
        <v>0</v>
      </c>
    </row>
    <row r="263" spans="20:24" x14ac:dyDescent="0.25">
      <c r="T263" s="201">
        <f>DayPatternCoefficients!A271</f>
        <v>824</v>
      </c>
      <c r="U263" s="201" t="str">
        <f>DayPatternCoefficients!B271</f>
        <v>T-WAHOME</v>
      </c>
      <c r="V263" s="222">
        <f>DayPatternCoefficients!D271</f>
        <v>0.57205792138</v>
      </c>
      <c r="W263" s="223">
        <f>_xlfn.IFNA(VLOOKUP(T263,$K$63:$M$111,3,FALSE),_xlfn.IFNA(VLOOKUP(T263,$G$5:$K$11,5,FALSE),_xlfn.IFNA(IF(VLOOKUP(T263,$G$19:$K$25,4,FALSE)&gt;0,VLOOKUP(T263,$G$19:$K$25,5,FALSE),VLOOKUP(T263,$G$33:$K$39,5,FALSE)),_xlfn.IFNA(VLOOKUP(T263,new_summaries!$V$4:$Y$101,4,FALSE),V263))))</f>
        <v>0.57205792138</v>
      </c>
      <c r="X263" s="201">
        <f si="55" t="shared"/>
        <v>0</v>
      </c>
    </row>
    <row r="264" spans="20:24" x14ac:dyDescent="0.25">
      <c r="T264" s="201">
        <f>DayPatternCoefficients!A272</f>
        <v>825</v>
      </c>
      <c r="U264" s="201" t="str">
        <f>DayPatternCoefficients!B272</f>
        <v>T-MIXDEN</v>
      </c>
      <c r="V264" s="222">
        <f>DayPatternCoefficients!D272</f>
        <v>0</v>
      </c>
      <c r="W264" s="223">
        <f>_xlfn.IFNA(VLOOKUP(T264,$K$63:$M$111,3,FALSE),_xlfn.IFNA(VLOOKUP(T264,$G$5:$K$11,5,FALSE),_xlfn.IFNA(IF(VLOOKUP(T264,$G$19:$K$25,4,FALSE)&gt;0,VLOOKUP(T264,$G$19:$K$25,5,FALSE),VLOOKUP(T264,$G$33:$K$39,5,FALSE)),_xlfn.IFNA(VLOOKUP(T264,new_summaries!$V$4:$Y$101,4,FALSE),V264))))</f>
        <v>0</v>
      </c>
      <c r="X264" s="201">
        <f si="55" t="shared"/>
        <v>0</v>
      </c>
    </row>
    <row r="265" spans="20:24" x14ac:dyDescent="0.25">
      <c r="T265" s="201">
        <f>DayPatternCoefficients!A273</f>
        <v>826</v>
      </c>
      <c r="U265" s="201" t="str">
        <f>DayPatternCoefficients!B273</f>
        <v>T-INTDEN</v>
      </c>
      <c r="V265" s="222">
        <f>DayPatternCoefficients!D273</f>
        <v>1.5230910899999999E-3</v>
      </c>
      <c r="W265" s="223">
        <f>_xlfn.IFNA(VLOOKUP(T265,$K$63:$M$111,3,FALSE),_xlfn.IFNA(VLOOKUP(T265,$G$5:$K$11,5,FALSE),_xlfn.IFNA(IF(VLOOKUP(T265,$G$19:$K$25,4,FALSE)&gt;0,VLOOKUP(T265,$G$19:$K$25,5,FALSE),VLOOKUP(T265,$G$33:$K$39,5,FALSE)),_xlfn.IFNA(VLOOKUP(T265,new_summaries!$V$4:$Y$101,4,FALSE),V265))))</f>
        <v>1.5230910899999999E-3</v>
      </c>
      <c r="X265" s="201">
        <f si="55" t="shared"/>
        <v>0</v>
      </c>
    </row>
    <row r="266" spans="20:24" x14ac:dyDescent="0.25">
      <c r="T266" s="201">
        <f>DayPatternCoefficients!A274</f>
        <v>827</v>
      </c>
      <c r="U266" s="201" t="str">
        <f>DayPatternCoefficients!B274</f>
        <v>T-ACCLOG</v>
      </c>
      <c r="V266" s="222">
        <f>DayPatternCoefficients!D274</f>
        <v>1.926247926E-2</v>
      </c>
      <c r="W266" s="223">
        <f>_xlfn.IFNA(VLOOKUP(T266,$K$63:$M$111,3,FALSE),_xlfn.IFNA(VLOOKUP(T266,$G$5:$K$11,5,FALSE),_xlfn.IFNA(IF(VLOOKUP(T266,$G$19:$K$25,4,FALSE)&gt;0,VLOOKUP(T266,$G$19:$K$25,5,FALSE),VLOOKUP(T266,$G$33:$K$39,5,FALSE)),_xlfn.IFNA(VLOOKUP(T266,new_summaries!$V$4:$Y$101,4,FALSE),V266))))</f>
        <v>1.926247926E-2</v>
      </c>
      <c r="X266" s="201">
        <f si="55" t="shared"/>
        <v>0</v>
      </c>
    </row>
    <row r="267" spans="20:24" x14ac:dyDescent="0.25">
      <c r="T267" s="201">
        <f>DayPatternCoefficients!A275</f>
        <v>828</v>
      </c>
      <c r="U267" s="201" t="str">
        <f>DayPatternCoefficients!B275</f>
        <v>T-WISLOG</v>
      </c>
      <c r="V267" s="222">
        <f>DayPatternCoefficients!D275</f>
        <v>0</v>
      </c>
      <c r="W267" s="223">
        <f>_xlfn.IFNA(VLOOKUP(T267,$K$63:$M$111,3,FALSE),_xlfn.IFNA(VLOOKUP(T267,$G$5:$K$11,5,FALSE),_xlfn.IFNA(IF(VLOOKUP(T267,$G$19:$K$25,4,FALSE)&gt;0,VLOOKUP(T267,$G$19:$K$25,5,FALSE),VLOOKUP(T267,$G$33:$K$39,5,FALSE)),_xlfn.IFNA(VLOOKUP(T267,new_summaries!$V$4:$Y$101,4,FALSE),V267))))</f>
        <v>0</v>
      </c>
      <c r="X267" s="201">
        <f si="55" t="shared"/>
        <v>0</v>
      </c>
    </row>
    <row r="268" spans="20:24" x14ac:dyDescent="0.25">
      <c r="T268" s="201">
        <f>DayPatternCoefficients!A276</f>
        <v>834</v>
      </c>
      <c r="U268" s="201" t="str">
        <f>DayPatternCoefficients!B276</f>
        <v>T-WATHOME</v>
      </c>
      <c r="V268" s="222">
        <f>DayPatternCoefficients!D276</f>
        <v>2.2999999999999998</v>
      </c>
      <c r="W268" s="223">
        <f>_xlfn.IFNA(VLOOKUP(T268,$K$63:$M$111,3,FALSE),_xlfn.IFNA(VLOOKUP(T268,$G$5:$K$11,5,FALSE),_xlfn.IFNA(IF(VLOOKUP(T268,$G$19:$K$25,4,FALSE)&gt;0,VLOOKUP(T268,$G$19:$K$25,5,FALSE),VLOOKUP(T268,$G$33:$K$39,5,FALSE)),_xlfn.IFNA(VLOOKUP(T268,new_summaries!$V$4:$Y$101,4,FALSE),V268))))</f>
        <v>2.2999999999999998</v>
      </c>
      <c r="X268" s="201">
        <f si="55" t="shared"/>
        <v>0</v>
      </c>
    </row>
    <row r="269" spans="20:24" x14ac:dyDescent="0.25">
      <c r="T269" s="201">
        <f>DayPatternCoefficients!A277</f>
        <v>851</v>
      </c>
      <c r="U269" s="201" t="str">
        <f>DayPatternCoefficients!B277</f>
        <v>T-FTW</v>
      </c>
      <c r="V269" s="222">
        <f>DayPatternCoefficients!D277</f>
        <v>0</v>
      </c>
      <c r="W269" s="223">
        <f>_xlfn.IFNA(VLOOKUP(T269,$K$63:$M$111,3,FALSE),_xlfn.IFNA(VLOOKUP(T269,$G$5:$K$11,5,FALSE),_xlfn.IFNA(IF(VLOOKUP(T269,$G$19:$K$25,4,FALSE)&gt;0,VLOOKUP(T269,$G$19:$K$25,5,FALSE),VLOOKUP(T269,$G$33:$K$39,5,FALSE)),_xlfn.IFNA(VLOOKUP(T269,new_summaries!$V$4:$Y$101,4,FALSE),V269))))</f>
        <v>0</v>
      </c>
      <c r="X269" s="201">
        <f si="55" t="shared"/>
        <v>0</v>
      </c>
    </row>
    <row r="270" spans="20:24" x14ac:dyDescent="0.25">
      <c r="T270" s="201">
        <f>DayPatternCoefficients!A278</f>
        <v>902</v>
      </c>
      <c r="U270" s="201" t="str">
        <f>DayPatternCoefficients!B278</f>
        <v>I-PTW</v>
      </c>
      <c r="V270" s="222">
        <f>DayPatternCoefficients!D278</f>
        <v>0</v>
      </c>
      <c r="W270" s="223">
        <f>_xlfn.IFNA(VLOOKUP(T270,$K$63:$M$111,3,FALSE),_xlfn.IFNA(VLOOKUP(T270,$G$5:$K$11,5,FALSE),_xlfn.IFNA(IF(VLOOKUP(T270,$G$19:$K$25,4,FALSE)&gt;0,VLOOKUP(T270,$G$19:$K$25,5,FALSE),VLOOKUP(T270,$G$33:$K$39,5,FALSE)),_xlfn.IFNA(VLOOKUP(T270,new_summaries!$V$4:$Y$101,4,FALSE),V270))))</f>
        <v>0</v>
      </c>
      <c r="X270" s="201">
        <f si="55" t="shared"/>
        <v>0</v>
      </c>
    </row>
    <row r="271" spans="20:24" x14ac:dyDescent="0.25">
      <c r="T271" s="201">
        <f>DayPatternCoefficients!A279</f>
        <v>903</v>
      </c>
      <c r="U271" s="201" t="str">
        <f>DayPatternCoefficients!B279</f>
        <v>I-RET</v>
      </c>
      <c r="V271" s="222">
        <f>DayPatternCoefficients!D279</f>
        <v>0</v>
      </c>
      <c r="W271" s="223">
        <f>_xlfn.IFNA(VLOOKUP(T271,$K$63:$M$111,3,FALSE),_xlfn.IFNA(VLOOKUP(T271,$G$5:$K$11,5,FALSE),_xlfn.IFNA(IF(VLOOKUP(T271,$G$19:$K$25,4,FALSE)&gt;0,VLOOKUP(T271,$G$19:$K$25,5,FALSE),VLOOKUP(T271,$G$33:$K$39,5,FALSE)),_xlfn.IFNA(VLOOKUP(T271,new_summaries!$V$4:$Y$101,4,FALSE),V271))))</f>
        <v>0</v>
      </c>
      <c r="X271" s="201">
        <f si="55" t="shared"/>
        <v>0</v>
      </c>
    </row>
    <row r="272" spans="20:24" x14ac:dyDescent="0.25">
      <c r="T272" s="201">
        <f>DayPatternCoefficients!A280</f>
        <v>904</v>
      </c>
      <c r="U272" s="201" t="str">
        <f>DayPatternCoefficients!B280</f>
        <v>I-NWA</v>
      </c>
      <c r="V272" s="222">
        <f>DayPatternCoefficients!D280</f>
        <v>7.1217396059999993E-2</v>
      </c>
      <c r="W272" s="223">
        <f>_xlfn.IFNA(VLOOKUP(T272,$K$63:$M$111,3,FALSE),_xlfn.IFNA(VLOOKUP(T272,$G$5:$K$11,5,FALSE),_xlfn.IFNA(IF(VLOOKUP(T272,$G$19:$K$25,4,FALSE)&gt;0,VLOOKUP(T272,$G$19:$K$25,5,FALSE),VLOOKUP(T272,$G$33:$K$39,5,FALSE)),_xlfn.IFNA(VLOOKUP(T272,new_summaries!$V$4:$Y$101,4,FALSE),V272))))</f>
        <v>7.1217396059999993E-2</v>
      </c>
      <c r="X272" s="201">
        <f si="55" t="shared"/>
        <v>0</v>
      </c>
    </row>
    <row r="273" spans="20:24" x14ac:dyDescent="0.25">
      <c r="T273" s="201">
        <f>DayPatternCoefficients!A281</f>
        <v>905</v>
      </c>
      <c r="U273" s="201" t="str">
        <f>DayPatternCoefficients!B281</f>
        <v>I-UNI</v>
      </c>
      <c r="V273" s="222">
        <f>DayPatternCoefficients!D281</f>
        <v>0</v>
      </c>
      <c r="W273" s="223">
        <f>_xlfn.IFNA(VLOOKUP(T273,$K$63:$M$111,3,FALSE),_xlfn.IFNA(VLOOKUP(T273,$G$5:$K$11,5,FALSE),_xlfn.IFNA(IF(VLOOKUP(T273,$G$19:$K$25,4,FALSE)&gt;0,VLOOKUP(T273,$G$19:$K$25,5,FALSE),VLOOKUP(T273,$G$33:$K$39,5,FALSE)),_xlfn.IFNA(VLOOKUP(T273,new_summaries!$V$4:$Y$101,4,FALSE),V273))))</f>
        <v>0</v>
      </c>
      <c r="X273" s="201">
        <f si="55" t="shared"/>
        <v>0</v>
      </c>
    </row>
    <row r="274" spans="20:24" x14ac:dyDescent="0.25">
      <c r="T274" s="201">
        <f>DayPatternCoefficients!A282</f>
        <v>906</v>
      </c>
      <c r="U274" s="201" t="str">
        <f>DayPatternCoefficients!B282</f>
        <v>I-DAS</v>
      </c>
      <c r="V274" s="222">
        <f>DayPatternCoefficients!D282</f>
        <v>0.96179941879999997</v>
      </c>
      <c r="W274" s="223">
        <f>_xlfn.IFNA(VLOOKUP(T274,$K$63:$M$111,3,FALSE),_xlfn.IFNA(VLOOKUP(T274,$G$5:$K$11,5,FALSE),_xlfn.IFNA(IF(VLOOKUP(T274,$G$19:$K$25,4,FALSE)&gt;0,VLOOKUP(T274,$G$19:$K$25,5,FALSE),VLOOKUP(T274,$G$33:$K$39,5,FALSE)),_xlfn.IFNA(VLOOKUP(T274,new_summaries!$V$4:$Y$101,4,FALSE),V274))))</f>
        <v>0.96179941879999997</v>
      </c>
      <c r="X274" s="201">
        <f si="55" t="shared"/>
        <v>0</v>
      </c>
    </row>
    <row r="275" spans="20:24" x14ac:dyDescent="0.25">
      <c r="T275" s="201">
        <f>DayPatternCoefficients!A283</f>
        <v>907</v>
      </c>
      <c r="U275" s="201" t="str">
        <f>DayPatternCoefficients!B283</f>
        <v>I-PAS</v>
      </c>
      <c r="V275" s="222">
        <f>DayPatternCoefficients!D283</f>
        <v>0.24396724398</v>
      </c>
      <c r="W275" s="223">
        <f>_xlfn.IFNA(VLOOKUP(T275,$K$63:$M$111,3,FALSE),_xlfn.IFNA(VLOOKUP(T275,$G$5:$K$11,5,FALSE),_xlfn.IFNA(IF(VLOOKUP(T275,$G$19:$K$25,4,FALSE)&gt;0,VLOOKUP(T275,$G$19:$K$25,5,FALSE),VLOOKUP(T275,$G$33:$K$39,5,FALSE)),_xlfn.IFNA(VLOOKUP(T275,new_summaries!$V$4:$Y$101,4,FALSE),V275))))</f>
        <v>0.24396724398</v>
      </c>
      <c r="X275" s="201">
        <f si="55" t="shared"/>
        <v>0</v>
      </c>
    </row>
    <row r="276" spans="20:24" x14ac:dyDescent="0.25">
      <c r="T276" s="201">
        <f>DayPatternCoefficients!A284</f>
        <v>908</v>
      </c>
      <c r="U276" s="201" t="str">
        <f>DayPatternCoefficients!B284</f>
        <v>I-CU5</v>
      </c>
      <c r="V276" s="222">
        <f>DayPatternCoefficients!D284</f>
        <v>0</v>
      </c>
      <c r="W276" s="223">
        <f>_xlfn.IFNA(VLOOKUP(T276,$K$63:$M$111,3,FALSE),_xlfn.IFNA(VLOOKUP(T276,$G$5:$K$11,5,FALSE),_xlfn.IFNA(IF(VLOOKUP(T276,$G$19:$K$25,4,FALSE)&gt;0,VLOOKUP(T276,$G$19:$K$25,5,FALSE),VLOOKUP(T276,$G$33:$K$39,5,FALSE)),_xlfn.IFNA(VLOOKUP(T276,new_summaries!$V$4:$Y$101,4,FALSE),V276))))</f>
        <v>0</v>
      </c>
      <c r="X276" s="201">
        <f si="55" t="shared"/>
        <v>0</v>
      </c>
    </row>
    <row r="277" spans="20:24" x14ac:dyDescent="0.25">
      <c r="T277" s="201">
        <f>DayPatternCoefficients!A285</f>
        <v>909</v>
      </c>
      <c r="U277" s="201" t="str">
        <f>DayPatternCoefficients!B285</f>
        <v>I-VLINC</v>
      </c>
      <c r="V277" s="222">
        <f>DayPatternCoefficients!D285</f>
        <v>0</v>
      </c>
      <c r="W277" s="223">
        <f>_xlfn.IFNA(VLOOKUP(T277,$K$63:$M$111,3,FALSE),_xlfn.IFNA(VLOOKUP(T277,$G$5:$K$11,5,FALSE),_xlfn.IFNA(IF(VLOOKUP(T277,$G$19:$K$25,4,FALSE)&gt;0,VLOOKUP(T277,$G$19:$K$25,5,FALSE),VLOOKUP(T277,$G$33:$K$39,5,FALSE)),_xlfn.IFNA(VLOOKUP(T277,new_summaries!$V$4:$Y$101,4,FALSE),V277))))</f>
        <v>0</v>
      </c>
      <c r="X277" s="201">
        <f si="55" t="shared"/>
        <v>0</v>
      </c>
    </row>
    <row r="278" spans="20:24" x14ac:dyDescent="0.25">
      <c r="T278" s="201">
        <f>DayPatternCoefficients!A286</f>
        <v>910</v>
      </c>
      <c r="U278" s="201" t="str">
        <f>DayPatternCoefficients!B286</f>
        <v>I-LOINC</v>
      </c>
      <c r="V278" s="222">
        <f>DayPatternCoefficients!D286</f>
        <v>0</v>
      </c>
      <c r="W278" s="223">
        <f>_xlfn.IFNA(VLOOKUP(T278,$K$63:$M$111,3,FALSE),_xlfn.IFNA(VLOOKUP(T278,$G$5:$K$11,5,FALSE),_xlfn.IFNA(IF(VLOOKUP(T278,$G$19:$K$25,4,FALSE)&gt;0,VLOOKUP(T278,$G$19:$K$25,5,FALSE),VLOOKUP(T278,$G$33:$K$39,5,FALSE)),_xlfn.IFNA(VLOOKUP(T278,new_summaries!$V$4:$Y$101,4,FALSE),V278))))</f>
        <v>0</v>
      </c>
      <c r="X278" s="201">
        <f si="55" t="shared"/>
        <v>0</v>
      </c>
    </row>
    <row r="279" spans="20:24" x14ac:dyDescent="0.25">
      <c r="T279" s="201">
        <f>DayPatternCoefficients!A287</f>
        <v>911</v>
      </c>
      <c r="U279" s="201" t="str">
        <f>DayPatternCoefficients!B287</f>
        <v>I-HIINC</v>
      </c>
      <c r="V279" s="222">
        <f>DayPatternCoefficients!D287</f>
        <v>0</v>
      </c>
      <c r="W279" s="223">
        <f>_xlfn.IFNA(VLOOKUP(T279,$K$63:$M$111,3,FALSE),_xlfn.IFNA(VLOOKUP(T279,$G$5:$K$11,5,FALSE),_xlfn.IFNA(IF(VLOOKUP(T279,$G$19:$K$25,4,FALSE)&gt;0,VLOOKUP(T279,$G$19:$K$25,5,FALSE),VLOOKUP(T279,$G$33:$K$39,5,FALSE)),_xlfn.IFNA(VLOOKUP(T279,new_summaries!$V$4:$Y$101,4,FALSE),V279))))</f>
        <v>0</v>
      </c>
      <c r="X279" s="201">
        <f si="55" t="shared"/>
        <v>0</v>
      </c>
    </row>
    <row r="280" spans="20:24" x14ac:dyDescent="0.25">
      <c r="T280" s="201">
        <f>DayPatternCoefficients!A288</f>
        <v>912</v>
      </c>
      <c r="U280" s="201" t="str">
        <f>DayPatternCoefficients!B288</f>
        <v>I-CARSPD</v>
      </c>
      <c r="V280" s="222">
        <f>DayPatternCoefficients!D288</f>
        <v>0</v>
      </c>
      <c r="W280" s="223">
        <f>_xlfn.IFNA(VLOOKUP(T280,$K$63:$M$111,3,FALSE),_xlfn.IFNA(VLOOKUP(T280,$G$5:$K$11,5,FALSE),_xlfn.IFNA(IF(VLOOKUP(T280,$G$19:$K$25,4,FALSE)&gt;0,VLOOKUP(T280,$G$19:$K$25,5,FALSE),VLOOKUP(T280,$G$33:$K$39,5,FALSE)),_xlfn.IFNA(VLOOKUP(T280,new_summaries!$V$4:$Y$101,4,FALSE),V280))))</f>
        <v>0</v>
      </c>
      <c r="X280" s="201">
        <f si="55" t="shared"/>
        <v>0</v>
      </c>
    </row>
    <row r="281" spans="20:24" x14ac:dyDescent="0.25">
      <c r="T281" s="201">
        <f>DayPatternCoefficients!A289</f>
        <v>913</v>
      </c>
      <c r="U281" s="201" t="str">
        <f>DayPatternCoefficients!B289</f>
        <v>I-ONLYAD</v>
      </c>
      <c r="V281" s="222">
        <f>DayPatternCoefficients!D289</f>
        <v>0</v>
      </c>
      <c r="W281" s="223">
        <f>_xlfn.IFNA(VLOOKUP(T281,$K$63:$M$111,3,FALSE),_xlfn.IFNA(VLOOKUP(T281,$G$5:$K$11,5,FALSE),_xlfn.IFNA(IF(VLOOKUP(T281,$G$19:$K$25,4,FALSE)&gt;0,VLOOKUP(T281,$G$19:$K$25,5,FALSE),VLOOKUP(T281,$G$33:$K$39,5,FALSE)),_xlfn.IFNA(VLOOKUP(T281,new_summaries!$V$4:$Y$101,4,FALSE),V281))))</f>
        <v>0</v>
      </c>
      <c r="X281" s="201">
        <f si="55" t="shared"/>
        <v>0</v>
      </c>
    </row>
    <row r="282" spans="20:24" x14ac:dyDescent="0.25">
      <c r="T282" s="201">
        <f>DayPatternCoefficients!A290</f>
        <v>914</v>
      </c>
      <c r="U282" s="201" t="str">
        <f>DayPatternCoefficients!B290</f>
        <v>I-ONLYWK</v>
      </c>
      <c r="V282" s="222">
        <f>DayPatternCoefficients!D290</f>
        <v>0</v>
      </c>
      <c r="W282" s="223">
        <f>_xlfn.IFNA(VLOOKUP(T282,$K$63:$M$111,3,FALSE),_xlfn.IFNA(VLOOKUP(T282,$G$5:$K$11,5,FALSE),_xlfn.IFNA(IF(VLOOKUP(T282,$G$19:$K$25,4,FALSE)&gt;0,VLOOKUP(T282,$G$19:$K$25,5,FALSE),VLOOKUP(T282,$G$33:$K$39,5,FALSE)),_xlfn.IFNA(VLOOKUP(T282,new_summaries!$V$4:$Y$101,4,FALSE),V282))))</f>
        <v>0</v>
      </c>
      <c r="X282" s="201">
        <f si="55" t="shared"/>
        <v>0</v>
      </c>
    </row>
    <row r="283" spans="20:24" x14ac:dyDescent="0.25">
      <c r="T283" s="201">
        <f>DayPatternCoefficients!A291</f>
        <v>916</v>
      </c>
      <c r="U283" s="201" t="str">
        <f>DayPatternCoefficients!B291</f>
        <v>I-FEMNOC</v>
      </c>
      <c r="V283" s="222">
        <f>DayPatternCoefficients!D291</f>
        <v>0</v>
      </c>
      <c r="W283" s="223">
        <f>_xlfn.IFNA(VLOOKUP(T283,$K$63:$M$111,3,FALSE),_xlfn.IFNA(VLOOKUP(T283,$G$5:$K$11,5,FALSE),_xlfn.IFNA(IF(VLOOKUP(T283,$G$19:$K$25,4,FALSE)&gt;0,VLOOKUP(T283,$G$19:$K$25,5,FALSE),VLOOKUP(T283,$G$33:$K$39,5,FALSE)),_xlfn.IFNA(VLOOKUP(T283,new_summaries!$V$4:$Y$101,4,FALSE),V283))))</f>
        <v>0</v>
      </c>
      <c r="X283" s="201">
        <f si="55" t="shared"/>
        <v>0</v>
      </c>
    </row>
    <row r="284" spans="20:24" x14ac:dyDescent="0.25">
      <c r="T284" s="201">
        <f>DayPatternCoefficients!A292</f>
        <v>917</v>
      </c>
      <c r="U284" s="201" t="str">
        <f>DayPatternCoefficients!B292</f>
        <v>I-FADCU5</v>
      </c>
      <c r="V284" s="222">
        <f>DayPatternCoefficients!D292</f>
        <v>0</v>
      </c>
      <c r="W284" s="223">
        <f>_xlfn.IFNA(VLOOKUP(T284,$K$63:$M$111,3,FALSE),_xlfn.IFNA(VLOOKUP(T284,$G$5:$K$11,5,FALSE),_xlfn.IFNA(IF(VLOOKUP(T284,$G$19:$K$25,4,FALSE)&gt;0,VLOOKUP(T284,$G$19:$K$25,5,FALSE),VLOOKUP(T284,$G$33:$K$39,5,FALSE)),_xlfn.IFNA(VLOOKUP(T284,new_summaries!$V$4:$Y$101,4,FALSE),V284))))</f>
        <v>0</v>
      </c>
      <c r="X284" s="201">
        <f si="55" t="shared"/>
        <v>0</v>
      </c>
    </row>
    <row r="285" spans="20:24" x14ac:dyDescent="0.25">
      <c r="T285" s="201">
        <f>DayPatternCoefficients!A293</f>
        <v>918</v>
      </c>
      <c r="U285" s="201" t="str">
        <f>DayPatternCoefficients!B293</f>
        <v>I-FAD515</v>
      </c>
      <c r="V285" s="222">
        <f>DayPatternCoefficients!D293</f>
        <v>0</v>
      </c>
      <c r="W285" s="223">
        <f>_xlfn.IFNA(VLOOKUP(T285,$K$63:$M$111,3,FALSE),_xlfn.IFNA(VLOOKUP(T285,$G$5:$K$11,5,FALSE),_xlfn.IFNA(IF(VLOOKUP(T285,$G$19:$K$25,4,FALSE)&gt;0,VLOOKUP(T285,$G$19:$K$25,5,FALSE),VLOOKUP(T285,$G$33:$K$39,5,FALSE)),_xlfn.IFNA(VLOOKUP(T285,new_summaries!$V$4:$Y$101,4,FALSE),V285))))</f>
        <v>0</v>
      </c>
      <c r="X285" s="201">
        <f si="55" t="shared"/>
        <v>0</v>
      </c>
    </row>
    <row r="286" spans="20:24" x14ac:dyDescent="0.25">
      <c r="T286" s="201">
        <f>DayPatternCoefficients!A294</f>
        <v>919</v>
      </c>
      <c r="U286" s="201" t="str">
        <f>DayPatternCoefficients!B294</f>
        <v>I-MADCU5</v>
      </c>
      <c r="V286" s="222">
        <f>DayPatternCoefficients!D294</f>
        <v>0</v>
      </c>
      <c r="W286" s="223">
        <f>_xlfn.IFNA(VLOOKUP(T286,$K$63:$M$111,3,FALSE),_xlfn.IFNA(VLOOKUP(T286,$G$5:$K$11,5,FALSE),_xlfn.IFNA(IF(VLOOKUP(T286,$G$19:$K$25,4,FALSE)&gt;0,VLOOKUP(T286,$G$19:$K$25,5,FALSE),VLOOKUP(T286,$G$33:$K$39,5,FALSE)),_xlfn.IFNA(VLOOKUP(T286,new_summaries!$V$4:$Y$101,4,FALSE),V286))))</f>
        <v>0</v>
      </c>
      <c r="X286" s="201">
        <f si="55" t="shared"/>
        <v>0</v>
      </c>
    </row>
    <row r="287" spans="20:24" x14ac:dyDescent="0.25">
      <c r="T287" s="201">
        <f>DayPatternCoefficients!A295</f>
        <v>920</v>
      </c>
      <c r="U287" s="201" t="str">
        <f>DayPatternCoefficients!B295</f>
        <v>I-MAD515</v>
      </c>
      <c r="V287" s="222">
        <f>DayPatternCoefficients!D295</f>
        <v>0</v>
      </c>
      <c r="W287" s="223">
        <f>_xlfn.IFNA(VLOOKUP(T287,$K$63:$M$111,3,FALSE),_xlfn.IFNA(VLOOKUP(T287,$G$5:$K$11,5,FALSE),_xlfn.IFNA(IF(VLOOKUP(T287,$G$19:$K$25,4,FALSE)&gt;0,VLOOKUP(T287,$G$19:$K$25,5,FALSE),VLOOKUP(T287,$G$33:$K$39,5,FALSE)),_xlfn.IFNA(VLOOKUP(T287,new_summaries!$V$4:$Y$101,4,FALSE),V287))))</f>
        <v>0</v>
      </c>
      <c r="X287" s="201">
        <f si="55" t="shared"/>
        <v>0</v>
      </c>
    </row>
    <row r="288" spans="20:24" x14ac:dyDescent="0.25">
      <c r="T288" s="201">
        <f>DayPatternCoefficients!A296</f>
        <v>921</v>
      </c>
      <c r="U288" s="201" t="str">
        <f>DayPatternCoefficients!B296</f>
        <v>I-AG1825</v>
      </c>
      <c r="V288" s="222">
        <f>DayPatternCoefficients!D296</f>
        <v>0</v>
      </c>
      <c r="W288" s="223">
        <f>_xlfn.IFNA(VLOOKUP(T288,$K$63:$M$111,3,FALSE),_xlfn.IFNA(VLOOKUP(T288,$G$5:$K$11,5,FALSE),_xlfn.IFNA(IF(VLOOKUP(T288,$G$19:$K$25,4,FALSE)&gt;0,VLOOKUP(T288,$G$19:$K$25,5,FALSE),VLOOKUP(T288,$G$33:$K$39,5,FALSE)),_xlfn.IFNA(VLOOKUP(T288,new_summaries!$V$4:$Y$101,4,FALSE),V288))))</f>
        <v>0</v>
      </c>
      <c r="X288" s="201">
        <f si="55" t="shared"/>
        <v>0</v>
      </c>
    </row>
    <row r="289" spans="20:24" x14ac:dyDescent="0.25">
      <c r="T289" s="201">
        <f>DayPatternCoefficients!A297</f>
        <v>922</v>
      </c>
      <c r="U289" s="201" t="str">
        <f>DayPatternCoefficients!B297</f>
        <v>I-AG2635</v>
      </c>
      <c r="V289" s="222">
        <f>DayPatternCoefficients!D297</f>
        <v>0</v>
      </c>
      <c r="W289" s="223">
        <f>_xlfn.IFNA(VLOOKUP(T289,$K$63:$M$111,3,FALSE),_xlfn.IFNA(VLOOKUP(T289,$G$5:$K$11,5,FALSE),_xlfn.IFNA(IF(VLOOKUP(T289,$G$19:$K$25,4,FALSE)&gt;0,VLOOKUP(T289,$G$19:$K$25,5,FALSE),VLOOKUP(T289,$G$33:$K$39,5,FALSE)),_xlfn.IFNA(VLOOKUP(T289,new_summaries!$V$4:$Y$101,4,FALSE),V289))))</f>
        <v>0</v>
      </c>
      <c r="X289" s="201">
        <f si="55" t="shared"/>
        <v>0</v>
      </c>
    </row>
    <row r="290" spans="20:24" x14ac:dyDescent="0.25">
      <c r="T290" s="201">
        <f>DayPatternCoefficients!A298</f>
        <v>923</v>
      </c>
      <c r="U290" s="201" t="str">
        <f>DayPatternCoefficients!B298</f>
        <v>I-AG5165</v>
      </c>
      <c r="V290" s="222">
        <f>DayPatternCoefficients!D298</f>
        <v>0</v>
      </c>
      <c r="W290" s="223">
        <f>_xlfn.IFNA(VLOOKUP(T290,$K$63:$M$111,3,FALSE),_xlfn.IFNA(VLOOKUP(T290,$G$5:$K$11,5,FALSE),_xlfn.IFNA(IF(VLOOKUP(T290,$G$19:$K$25,4,FALSE)&gt;0,VLOOKUP(T290,$G$19:$K$25,5,FALSE),VLOOKUP(T290,$G$33:$K$39,5,FALSE)),_xlfn.IFNA(VLOOKUP(T290,new_summaries!$V$4:$Y$101,4,FALSE),V290))))</f>
        <v>0</v>
      </c>
      <c r="X290" s="201">
        <f si="55" t="shared"/>
        <v>0</v>
      </c>
    </row>
    <row r="291" spans="20:24" x14ac:dyDescent="0.25">
      <c r="T291" s="201">
        <f>DayPatternCoefficients!A299</f>
        <v>924</v>
      </c>
      <c r="U291" s="201" t="str">
        <f>DayPatternCoefficients!B299</f>
        <v>I-WAHOME</v>
      </c>
      <c r="V291" s="222">
        <f>DayPatternCoefficients!D299</f>
        <v>0.29114282556999999</v>
      </c>
      <c r="W291" s="223">
        <f>_xlfn.IFNA(VLOOKUP(T291,$K$63:$M$111,3,FALSE),_xlfn.IFNA(VLOOKUP(T291,$G$5:$K$11,5,FALSE),_xlfn.IFNA(IF(VLOOKUP(T291,$G$19:$K$25,4,FALSE)&gt;0,VLOOKUP(T291,$G$19:$K$25,5,FALSE),VLOOKUP(T291,$G$33:$K$39,5,FALSE)),_xlfn.IFNA(VLOOKUP(T291,new_summaries!$V$4:$Y$101,4,FALSE),V291))))</f>
        <v>0.29114282556999999</v>
      </c>
      <c r="X291" s="201">
        <f si="55" t="shared"/>
        <v>0</v>
      </c>
    </row>
    <row r="292" spans="20:24" x14ac:dyDescent="0.25">
      <c r="T292" s="201">
        <f>DayPatternCoefficients!A300</f>
        <v>925</v>
      </c>
      <c r="U292" s="201" t="str">
        <f>DayPatternCoefficients!B300</f>
        <v>I-MIXDEN</v>
      </c>
      <c r="V292" s="222">
        <f>DayPatternCoefficients!D300</f>
        <v>0</v>
      </c>
      <c r="W292" s="223">
        <f>_xlfn.IFNA(VLOOKUP(T292,$K$63:$M$111,3,FALSE),_xlfn.IFNA(VLOOKUP(T292,$G$5:$K$11,5,FALSE),_xlfn.IFNA(IF(VLOOKUP(T292,$G$19:$K$25,4,FALSE)&gt;0,VLOOKUP(T292,$G$19:$K$25,5,FALSE),VLOOKUP(T292,$G$33:$K$39,5,FALSE)),_xlfn.IFNA(VLOOKUP(T292,new_summaries!$V$4:$Y$101,4,FALSE),V292))))</f>
        <v>0</v>
      </c>
      <c r="X292" s="201">
        <f si="55" t="shared"/>
        <v>0</v>
      </c>
    </row>
    <row r="293" spans="20:24" x14ac:dyDescent="0.25">
      <c r="T293" s="201">
        <f>DayPatternCoefficients!A301</f>
        <v>926</v>
      </c>
      <c r="U293" s="201" t="str">
        <f>DayPatternCoefficients!B301</f>
        <v>I-INTDEN</v>
      </c>
      <c r="V293" s="222">
        <f>DayPatternCoefficients!D301</f>
        <v>0</v>
      </c>
      <c r="W293" s="223">
        <f>_xlfn.IFNA(VLOOKUP(T293,$K$63:$M$111,3,FALSE),_xlfn.IFNA(VLOOKUP(T293,$G$5:$K$11,5,FALSE),_xlfn.IFNA(IF(VLOOKUP(T293,$G$19:$K$25,4,FALSE)&gt;0,VLOOKUP(T293,$G$19:$K$25,5,FALSE),VLOOKUP(T293,$G$33:$K$39,5,FALSE)),_xlfn.IFNA(VLOOKUP(T293,new_summaries!$V$4:$Y$101,4,FALSE),V293))))</f>
        <v>0</v>
      </c>
      <c r="X293" s="201">
        <f si="55" t="shared"/>
        <v>0</v>
      </c>
    </row>
    <row r="294" spans="20:24" x14ac:dyDescent="0.25">
      <c r="T294" s="201">
        <f>DayPatternCoefficients!A302</f>
        <v>927</v>
      </c>
      <c r="U294" s="201" t="str">
        <f>DayPatternCoefficients!B302</f>
        <v>I-ACCLOG</v>
      </c>
      <c r="V294" s="222">
        <f>DayPatternCoefficients!D302</f>
        <v>0</v>
      </c>
      <c r="W294" s="223">
        <f>_xlfn.IFNA(VLOOKUP(T294,$K$63:$M$111,3,FALSE),_xlfn.IFNA(VLOOKUP(T294,$G$5:$K$11,5,FALSE),_xlfn.IFNA(IF(VLOOKUP(T294,$G$19:$K$25,4,FALSE)&gt;0,VLOOKUP(T294,$G$19:$K$25,5,FALSE),VLOOKUP(T294,$G$33:$K$39,5,FALSE)),_xlfn.IFNA(VLOOKUP(T294,new_summaries!$V$4:$Y$101,4,FALSE),V294))))</f>
        <v>0</v>
      </c>
      <c r="X294" s="201">
        <f si="55" t="shared"/>
        <v>0</v>
      </c>
    </row>
    <row r="295" spans="20:24" x14ac:dyDescent="0.25">
      <c r="T295" s="201">
        <f>DayPatternCoefficients!A303</f>
        <v>928</v>
      </c>
      <c r="U295" s="201" t="str">
        <f>DayPatternCoefficients!B303</f>
        <v>I-WISLOG</v>
      </c>
      <c r="V295" s="222">
        <f>DayPatternCoefficients!D303</f>
        <v>0</v>
      </c>
      <c r="W295" s="223">
        <f>_xlfn.IFNA(VLOOKUP(T295,$K$63:$M$111,3,FALSE),_xlfn.IFNA(VLOOKUP(T295,$G$5:$K$11,5,FALSE),_xlfn.IFNA(IF(VLOOKUP(T295,$G$19:$K$25,4,FALSE)&gt;0,VLOOKUP(T295,$G$19:$K$25,5,FALSE),VLOOKUP(T295,$G$33:$K$39,5,FALSE)),_xlfn.IFNA(VLOOKUP(T295,new_summaries!$V$4:$Y$101,4,FALSE),V295))))</f>
        <v>0</v>
      </c>
      <c r="X295" s="201">
        <f si="55" t="shared"/>
        <v>0</v>
      </c>
    </row>
    <row r="296" spans="20:24" x14ac:dyDescent="0.25">
      <c r="T296" s="201">
        <f>DayPatternCoefficients!A304</f>
        <v>934</v>
      </c>
      <c r="U296" s="201" t="str">
        <f>DayPatternCoefficients!B304</f>
        <v>M-WATHOME</v>
      </c>
      <c r="V296" s="222">
        <f>DayPatternCoefficients!D304</f>
        <v>-1.6</v>
      </c>
      <c r="W296" s="223">
        <f>_xlfn.IFNA(VLOOKUP(T296,$K$63:$M$111,3,FALSE),_xlfn.IFNA(VLOOKUP(T296,$G$5:$K$11,5,FALSE),_xlfn.IFNA(IF(VLOOKUP(T296,$G$19:$K$25,4,FALSE)&gt;0,VLOOKUP(T296,$G$19:$K$25,5,FALSE),VLOOKUP(T296,$G$33:$K$39,5,FALSE)),_xlfn.IFNA(VLOOKUP(T296,new_summaries!$V$4:$Y$101,4,FALSE),V296))))</f>
        <v>-1.6</v>
      </c>
      <c r="X296" s="201">
        <f si="55" t="shared"/>
        <v>0</v>
      </c>
    </row>
    <row r="297" spans="20:24" x14ac:dyDescent="0.25">
      <c r="T297" s="201">
        <f>DayPatternCoefficients!A305</f>
        <v>951</v>
      </c>
      <c r="U297" s="201" t="str">
        <f>DayPatternCoefficients!B305</f>
        <v>I-FTW</v>
      </c>
      <c r="V297" s="222">
        <f>DayPatternCoefficients!D305</f>
        <v>0</v>
      </c>
      <c r="W297" s="223">
        <f>_xlfn.IFNA(VLOOKUP(T297,$K$63:$M$111,3,FALSE),_xlfn.IFNA(VLOOKUP(T297,$G$5:$K$11,5,FALSE),_xlfn.IFNA(IF(VLOOKUP(T297,$G$19:$K$25,4,FALSE)&gt;0,VLOOKUP(T297,$G$19:$K$25,5,FALSE),VLOOKUP(T297,$G$33:$K$39,5,FALSE)),_xlfn.IFNA(VLOOKUP(T297,new_summaries!$V$4:$Y$101,4,FALSE),V297))))</f>
        <v>0</v>
      </c>
      <c r="X297" s="201">
        <f si="55" t="shared"/>
        <v>0</v>
      </c>
    </row>
    <row r="298" spans="20:24" x14ac:dyDescent="0.25">
      <c r="T298" s="201">
        <f>DayPatternCoefficients!A306</f>
        <v>1010</v>
      </c>
      <c r="U298" s="201" t="str">
        <f>DayPatternCoefficients!B306</f>
        <v>TW/S-LS</v>
      </c>
      <c r="V298" s="222">
        <f>DayPatternCoefficients!D306</f>
        <v>0.45786643087000001</v>
      </c>
      <c r="W298" s="223">
        <f>_xlfn.IFNA(VLOOKUP(T298,$K$63:$M$111,3,FALSE),_xlfn.IFNA(VLOOKUP(T298,$G$5:$K$11,5,FALSE),_xlfn.IFNA(IF(VLOOKUP(T298,$G$19:$K$25,4,FALSE)&gt;0,VLOOKUP(T298,$G$19:$K$25,5,FALSE),VLOOKUP(T298,$G$33:$K$39,5,FALSE)),_xlfn.IFNA(VLOOKUP(T298,new_summaries!$V$4:$Y$101,4,FALSE),V298))))</f>
        <v>0.45786643087000001</v>
      </c>
      <c r="X298" s="201">
        <f si="55" t="shared"/>
        <v>0</v>
      </c>
    </row>
    <row r="299" spans="20:24" x14ac:dyDescent="0.25">
      <c r="T299" s="201">
        <f>DayPatternCoefficients!A307</f>
        <v>1011</v>
      </c>
      <c r="U299" s="201" t="str">
        <f>DayPatternCoefficients!B307</f>
        <v>T/S-W/W</v>
      </c>
      <c r="V299" s="222">
        <f>DayPatternCoefficients!D307</f>
        <v>-1.89314616394</v>
      </c>
      <c r="W299" s="223">
        <f>_xlfn.IFNA(VLOOKUP(T299,$K$63:$M$111,3,FALSE),_xlfn.IFNA(VLOOKUP(T299,$G$5:$K$11,5,FALSE),_xlfn.IFNA(IF(VLOOKUP(T299,$G$19:$K$25,4,FALSE)&gt;0,VLOOKUP(T299,$G$19:$K$25,5,FALSE),VLOOKUP(T299,$G$33:$K$39,5,FALSE)),_xlfn.IFNA(VLOOKUP(T299,new_summaries!$V$4:$Y$101,4,FALSE),V299))))</f>
        <v>-1.89314616394</v>
      </c>
      <c r="X299" s="201">
        <f si="55" t="shared"/>
        <v>0</v>
      </c>
    </row>
    <row r="300" spans="20:24" x14ac:dyDescent="0.25">
      <c r="T300" s="201">
        <f>DayPatternCoefficients!A308</f>
        <v>1012</v>
      </c>
      <c r="U300" s="201" t="str">
        <f>DayPatternCoefficients!B308</f>
        <v>T/S-W/S</v>
      </c>
      <c r="V300" s="222">
        <f>DayPatternCoefficients!D308</f>
        <v>0.18030694579000001</v>
      </c>
      <c r="W300" s="223">
        <f>_xlfn.IFNA(VLOOKUP(T300,$K$63:$M$111,3,FALSE),_xlfn.IFNA(VLOOKUP(T300,$G$5:$K$11,5,FALSE),_xlfn.IFNA(IF(VLOOKUP(T300,$G$19:$K$25,4,FALSE)&gt;0,VLOOKUP(T300,$G$19:$K$25,5,FALSE),VLOOKUP(T300,$G$33:$K$39,5,FALSE)),_xlfn.IFNA(VLOOKUP(T300,new_summaries!$V$4:$Y$101,4,FALSE),V300))))</f>
        <v>0.18030694579000001</v>
      </c>
      <c r="X300" s="201">
        <f si="55" t="shared"/>
        <v>0</v>
      </c>
    </row>
    <row r="301" spans="20:24" x14ac:dyDescent="0.25">
      <c r="T301" s="201">
        <f>DayPatternCoefficients!A309</f>
        <v>1013</v>
      </c>
      <c r="U301" s="201" t="str">
        <f>DayPatternCoefficients!B309</f>
        <v>T/S-W/E</v>
      </c>
      <c r="V301" s="222">
        <f>DayPatternCoefficients!D309</f>
        <v>1.0017474184599999</v>
      </c>
      <c r="W301" s="223">
        <f>_xlfn.IFNA(VLOOKUP(T301,$K$63:$M$111,3,FALSE),_xlfn.IFNA(VLOOKUP(T301,$G$5:$K$11,5,FALSE),_xlfn.IFNA(IF(VLOOKUP(T301,$G$19:$K$25,4,FALSE)&gt;0,VLOOKUP(T301,$G$19:$K$25,5,FALSE),VLOOKUP(T301,$G$33:$K$39,5,FALSE)),_xlfn.IFNA(VLOOKUP(T301,new_summaries!$V$4:$Y$101,4,FALSE),V301))))</f>
        <v>1.0017474184599999</v>
      </c>
      <c r="X301" s="201">
        <f si="55" t="shared"/>
        <v>0</v>
      </c>
    </row>
    <row r="302" spans="20:24" x14ac:dyDescent="0.25">
      <c r="T302" s="201">
        <f>DayPatternCoefficients!A310</f>
        <v>1014</v>
      </c>
      <c r="U302" s="201" t="str">
        <f>DayPatternCoefficients!B310</f>
        <v>T/S-W/P</v>
      </c>
      <c r="V302" s="222">
        <f>DayPatternCoefficients!D310</f>
        <v>-0.28287807831</v>
      </c>
      <c r="W302" s="223">
        <f>_xlfn.IFNA(VLOOKUP(T302,$K$63:$M$111,3,FALSE),_xlfn.IFNA(VLOOKUP(T302,$G$5:$K$11,5,FALSE),_xlfn.IFNA(IF(VLOOKUP(T302,$G$19:$K$25,4,FALSE)&gt;0,VLOOKUP(T302,$G$19:$K$25,5,FALSE),VLOOKUP(T302,$G$33:$K$39,5,FALSE)),_xlfn.IFNA(VLOOKUP(T302,new_summaries!$V$4:$Y$101,4,FALSE),V302))))</f>
        <v>-0.28287807831</v>
      </c>
      <c r="X302" s="201">
        <f si="55" t="shared"/>
        <v>0</v>
      </c>
    </row>
    <row r="303" spans="20:24" x14ac:dyDescent="0.25">
      <c r="T303" s="201">
        <f>DayPatternCoefficients!A311</f>
        <v>1015</v>
      </c>
      <c r="U303" s="201" t="str">
        <f>DayPatternCoefficients!B311</f>
        <v>T/S-W/H</v>
      </c>
      <c r="V303" s="222">
        <f>DayPatternCoefficients!D311</f>
        <v>-0.19412767935</v>
      </c>
      <c r="W303" s="223">
        <f>_xlfn.IFNA(VLOOKUP(T303,$K$63:$M$111,3,FALSE),_xlfn.IFNA(VLOOKUP(T303,$G$5:$K$11,5,FALSE),_xlfn.IFNA(IF(VLOOKUP(T303,$G$19:$K$25,4,FALSE)&gt;0,VLOOKUP(T303,$G$19:$K$25,5,FALSE),VLOOKUP(T303,$G$33:$K$39,5,FALSE)),_xlfn.IFNA(VLOOKUP(T303,new_summaries!$V$4:$Y$101,4,FALSE),V303))))</f>
        <v>-0.19412767935</v>
      </c>
      <c r="X303" s="201">
        <f si="55" t="shared"/>
        <v>0</v>
      </c>
    </row>
    <row r="304" spans="20:24" x14ac:dyDescent="0.25">
      <c r="T304" s="201">
        <f>DayPatternCoefficients!A312</f>
        <v>1016</v>
      </c>
      <c r="U304" s="201" t="str">
        <f>DayPatternCoefficients!B312</f>
        <v>T/S-W/M</v>
      </c>
      <c r="V304" s="222">
        <f>DayPatternCoefficients!D312</f>
        <v>0.46459217164</v>
      </c>
      <c r="W304" s="223">
        <f>_xlfn.IFNA(VLOOKUP(T304,$K$63:$M$111,3,FALSE),_xlfn.IFNA(VLOOKUP(T304,$G$5:$K$11,5,FALSE),_xlfn.IFNA(IF(VLOOKUP(T304,$G$19:$K$25,4,FALSE)&gt;0,VLOOKUP(T304,$G$19:$K$25,5,FALSE),VLOOKUP(T304,$G$33:$K$39,5,FALSE)),_xlfn.IFNA(VLOOKUP(T304,new_summaries!$V$4:$Y$101,4,FALSE),V304))))</f>
        <v>0.46459217164</v>
      </c>
      <c r="X304" s="201">
        <f si="55" t="shared"/>
        <v>0</v>
      </c>
    </row>
    <row r="305" spans="20:24" x14ac:dyDescent="0.25">
      <c r="T305" s="201">
        <f>DayPatternCoefficients!A313</f>
        <v>1018</v>
      </c>
      <c r="U305" s="201" t="str">
        <f>DayPatternCoefficients!B313</f>
        <v>TW/S-HLS</v>
      </c>
      <c r="V305" s="222">
        <f>DayPatternCoefficients!D313</f>
        <v>-1.3899299449999999E-2</v>
      </c>
      <c r="W305" s="223">
        <f>_xlfn.IFNA(VLOOKUP(T305,$K$63:$M$111,3,FALSE),_xlfn.IFNA(VLOOKUP(T305,$G$5:$K$11,5,FALSE),_xlfn.IFNA(IF(VLOOKUP(T305,$G$19:$K$25,4,FALSE)&gt;0,VLOOKUP(T305,$G$19:$K$25,5,FALSE),VLOOKUP(T305,$G$33:$K$39,5,FALSE)),_xlfn.IFNA(VLOOKUP(T305,new_summaries!$V$4:$Y$101,4,FALSE),V305))))</f>
        <v>-1.3899299449999999E-2</v>
      </c>
      <c r="X305" s="201">
        <f si="55" t="shared"/>
        <v>0</v>
      </c>
    </row>
    <row r="306" spans="20:24" x14ac:dyDescent="0.25">
      <c r="T306" s="201">
        <f>DayPatternCoefficients!A314</f>
        <v>1019</v>
      </c>
      <c r="U306" s="201" t="str">
        <f>DayPatternCoefficients!B314</f>
        <v>TW/S-WLS</v>
      </c>
      <c r="V306" s="222">
        <f>DayPatternCoefficients!D314</f>
        <v>-2.669063524E-2</v>
      </c>
      <c r="W306" s="223">
        <f>_xlfn.IFNA(VLOOKUP(T306,$K$63:$M$111,3,FALSE),_xlfn.IFNA(VLOOKUP(T306,$G$5:$K$11,5,FALSE),_xlfn.IFNA(IF(VLOOKUP(T306,$G$19:$K$25,4,FALSE)&gt;0,VLOOKUP(T306,$G$19:$K$25,5,FALSE),VLOOKUP(T306,$G$33:$K$39,5,FALSE)),_xlfn.IFNA(VLOOKUP(T306,new_summaries!$V$4:$Y$101,4,FALSE),V306))))</f>
        <v>-2.669063524E-2</v>
      </c>
      <c r="X306" s="201">
        <f si="55" t="shared"/>
        <v>0</v>
      </c>
    </row>
    <row r="307" spans="20:24" x14ac:dyDescent="0.25">
      <c r="T307" s="201">
        <f>DayPatternCoefficients!A315</f>
        <v>1020</v>
      </c>
      <c r="U307" s="201" t="str">
        <f>DayPatternCoefficients!B315</f>
        <v>TS/S-LS</v>
      </c>
      <c r="V307" s="222">
        <f>DayPatternCoefficients!D315</f>
        <v>0.95021951402000004</v>
      </c>
      <c r="W307" s="223">
        <f>_xlfn.IFNA(VLOOKUP(T307,$K$63:$M$111,3,FALSE),_xlfn.IFNA(VLOOKUP(T307,$G$5:$K$11,5,FALSE),_xlfn.IFNA(IF(VLOOKUP(T307,$G$19:$K$25,4,FALSE)&gt;0,VLOOKUP(T307,$G$19:$K$25,5,FALSE),VLOOKUP(T307,$G$33:$K$39,5,FALSE)),_xlfn.IFNA(VLOOKUP(T307,new_summaries!$V$4:$Y$101,4,FALSE),V307))))</f>
        <v>0.95021951402000004</v>
      </c>
      <c r="X307" s="201">
        <f si="55" t="shared"/>
        <v>0</v>
      </c>
    </row>
    <row r="308" spans="20:24" x14ac:dyDescent="0.25">
      <c r="T308" s="201">
        <f>DayPatternCoefficients!A316</f>
        <v>1021</v>
      </c>
      <c r="U308" s="201" t="str">
        <f>DayPatternCoefficients!B316</f>
        <v>T/S-S/W</v>
      </c>
      <c r="V308" s="222">
        <f>DayPatternCoefficients!D316</f>
        <v>4.6119139490000002E-2</v>
      </c>
      <c r="W308" s="223">
        <f>_xlfn.IFNA(VLOOKUP(T308,$K$63:$M$111,3,FALSE),_xlfn.IFNA(VLOOKUP(T308,$G$5:$K$11,5,FALSE),_xlfn.IFNA(IF(VLOOKUP(T308,$G$19:$K$25,4,FALSE)&gt;0,VLOOKUP(T308,$G$19:$K$25,5,FALSE),VLOOKUP(T308,$G$33:$K$39,5,FALSE)),_xlfn.IFNA(VLOOKUP(T308,new_summaries!$V$4:$Y$101,4,FALSE),V308))))</f>
        <v>4.6119139490000002E-2</v>
      </c>
      <c r="X308" s="201">
        <f si="55" t="shared"/>
        <v>0</v>
      </c>
    </row>
    <row r="309" spans="20:24" x14ac:dyDescent="0.25">
      <c r="T309" s="201">
        <f>DayPatternCoefficients!A317</f>
        <v>1022</v>
      </c>
      <c r="U309" s="201" t="str">
        <f>DayPatternCoefficients!B317</f>
        <v>T/S-S/S</v>
      </c>
      <c r="V309" s="222">
        <f>DayPatternCoefficients!D317</f>
        <v>-0.50334562370000002</v>
      </c>
      <c r="W309" s="223">
        <f>_xlfn.IFNA(VLOOKUP(T309,$K$63:$M$111,3,FALSE),_xlfn.IFNA(VLOOKUP(T309,$G$5:$K$11,5,FALSE),_xlfn.IFNA(IF(VLOOKUP(T309,$G$19:$K$25,4,FALSE)&gt;0,VLOOKUP(T309,$G$19:$K$25,5,FALSE),VLOOKUP(T309,$G$33:$K$39,5,FALSE)),_xlfn.IFNA(VLOOKUP(T309,new_summaries!$V$4:$Y$101,4,FALSE),V309))))</f>
        <v>-0.50334562370000002</v>
      </c>
      <c r="X309" s="201">
        <f si="55" t="shared"/>
        <v>0</v>
      </c>
    </row>
    <row r="310" spans="20:24" x14ac:dyDescent="0.25">
      <c r="T310" s="201">
        <f>DayPatternCoefficients!A318</f>
        <v>1023</v>
      </c>
      <c r="U310" s="201" t="str">
        <f>DayPatternCoefficients!B318</f>
        <v>T/S-S/E</v>
      </c>
      <c r="V310" s="222">
        <f>DayPatternCoefficients!D318</f>
        <v>1.0587748827500001</v>
      </c>
      <c r="W310" s="223">
        <f>_xlfn.IFNA(VLOOKUP(T310,$K$63:$M$111,3,FALSE),_xlfn.IFNA(VLOOKUP(T310,$G$5:$K$11,5,FALSE),_xlfn.IFNA(IF(VLOOKUP(T310,$G$19:$K$25,4,FALSE)&gt;0,VLOOKUP(T310,$G$19:$K$25,5,FALSE),VLOOKUP(T310,$G$33:$K$39,5,FALSE)),_xlfn.IFNA(VLOOKUP(T310,new_summaries!$V$4:$Y$101,4,FALSE),V310))))</f>
        <v>1.0587748827500001</v>
      </c>
      <c r="X310" s="201">
        <f si="55" t="shared"/>
        <v>0</v>
      </c>
    </row>
    <row r="311" spans="20:24" x14ac:dyDescent="0.25">
      <c r="T311" s="201">
        <f>DayPatternCoefficients!A319</f>
        <v>1024</v>
      </c>
      <c r="U311" s="201" t="str">
        <f>DayPatternCoefficients!B319</f>
        <v>T/S-S/P</v>
      </c>
      <c r="V311" s="222">
        <f>DayPatternCoefficients!D319</f>
        <v>-0.53848378215000003</v>
      </c>
      <c r="W311" s="223">
        <f>_xlfn.IFNA(VLOOKUP(T311,$K$63:$M$111,3,FALSE),_xlfn.IFNA(VLOOKUP(T311,$G$5:$K$11,5,FALSE),_xlfn.IFNA(IF(VLOOKUP(T311,$G$19:$K$25,4,FALSE)&gt;0,VLOOKUP(T311,$G$19:$K$25,5,FALSE),VLOOKUP(T311,$G$33:$K$39,5,FALSE)),_xlfn.IFNA(VLOOKUP(T311,new_summaries!$V$4:$Y$101,4,FALSE),V311))))</f>
        <v>-0.53848378215000003</v>
      </c>
      <c r="X311" s="201">
        <f si="55" t="shared"/>
        <v>0</v>
      </c>
    </row>
    <row r="312" spans="20:24" x14ac:dyDescent="0.25">
      <c r="T312" s="201">
        <f>DayPatternCoefficients!A320</f>
        <v>1025</v>
      </c>
      <c r="U312" s="201" t="str">
        <f>DayPatternCoefficients!B320</f>
        <v>T/S-S/H</v>
      </c>
      <c r="V312" s="222">
        <f>DayPatternCoefficients!D320</f>
        <v>-0.56980481664000004</v>
      </c>
      <c r="W312" s="223">
        <f>_xlfn.IFNA(VLOOKUP(T312,$K$63:$M$111,3,FALSE),_xlfn.IFNA(VLOOKUP(T312,$G$5:$K$11,5,FALSE),_xlfn.IFNA(IF(VLOOKUP(T312,$G$19:$K$25,4,FALSE)&gt;0,VLOOKUP(T312,$G$19:$K$25,5,FALSE),VLOOKUP(T312,$G$33:$K$39,5,FALSE)),_xlfn.IFNA(VLOOKUP(T312,new_summaries!$V$4:$Y$101,4,FALSE),V312))))</f>
        <v>-0.56980481664000004</v>
      </c>
      <c r="X312" s="201">
        <f si="55" t="shared"/>
        <v>0</v>
      </c>
    </row>
    <row r="313" spans="20:24" x14ac:dyDescent="0.25">
      <c r="T313" s="201">
        <f>DayPatternCoefficients!A321</f>
        <v>1026</v>
      </c>
      <c r="U313" s="201" t="str">
        <f>DayPatternCoefficients!B321</f>
        <v>T/S-S/M</v>
      </c>
      <c r="V313" s="222">
        <f>DayPatternCoefficients!D321</f>
        <v>-0.36556883931</v>
      </c>
      <c r="W313" s="223">
        <f>_xlfn.IFNA(VLOOKUP(T313,$K$63:$M$111,3,FALSE),_xlfn.IFNA(VLOOKUP(T313,$G$5:$K$11,5,FALSE),_xlfn.IFNA(IF(VLOOKUP(T313,$G$19:$K$25,4,FALSE)&gt;0,VLOOKUP(T313,$G$19:$K$25,5,FALSE),VLOOKUP(T313,$G$33:$K$39,5,FALSE)),_xlfn.IFNA(VLOOKUP(T313,new_summaries!$V$4:$Y$101,4,FALSE),V313))))</f>
        <v>-0.36556883931</v>
      </c>
      <c r="X313" s="201">
        <f si="55" t="shared"/>
        <v>0</v>
      </c>
    </row>
    <row r="314" spans="20:24" x14ac:dyDescent="0.25">
      <c r="T314" s="201">
        <f>DayPatternCoefficients!A322</f>
        <v>1028</v>
      </c>
      <c r="U314" s="201" t="str">
        <f>DayPatternCoefficients!B322</f>
        <v>TS/S-HLS</v>
      </c>
      <c r="V314" s="222">
        <f>DayPatternCoefficients!D322</f>
        <v>-5.1231861699999999E-2</v>
      </c>
      <c r="W314" s="223">
        <f>_xlfn.IFNA(VLOOKUP(T314,$K$63:$M$111,3,FALSE),_xlfn.IFNA(VLOOKUP(T314,$G$5:$K$11,5,FALSE),_xlfn.IFNA(IF(VLOOKUP(T314,$G$19:$K$25,4,FALSE)&gt;0,VLOOKUP(T314,$G$19:$K$25,5,FALSE),VLOOKUP(T314,$G$33:$K$39,5,FALSE)),_xlfn.IFNA(VLOOKUP(T314,new_summaries!$V$4:$Y$101,4,FALSE),V314))))</f>
        <v>-5.1231861699999999E-2</v>
      </c>
      <c r="X314" s="201">
        <f si="55" t="shared"/>
        <v>0</v>
      </c>
    </row>
    <row r="315" spans="20:24" x14ac:dyDescent="0.25">
      <c r="T315" s="201">
        <f>DayPatternCoefficients!A323</f>
        <v>1029</v>
      </c>
      <c r="U315" s="201" t="str">
        <f>DayPatternCoefficients!B323</f>
        <v>TS/S-SLS</v>
      </c>
      <c r="V315" s="222">
        <f>DayPatternCoefficients!D323</f>
        <v>0</v>
      </c>
      <c r="W315" s="223">
        <f>_xlfn.IFNA(VLOOKUP(T315,$K$63:$M$111,3,FALSE),_xlfn.IFNA(VLOOKUP(T315,$G$5:$K$11,5,FALSE),_xlfn.IFNA(IF(VLOOKUP(T315,$G$19:$K$25,4,FALSE)&gt;0,VLOOKUP(T315,$G$19:$K$25,5,FALSE),VLOOKUP(T315,$G$33:$K$39,5,FALSE)),_xlfn.IFNA(VLOOKUP(T315,new_summaries!$V$4:$Y$101,4,FALSE),V315))))</f>
        <v>0</v>
      </c>
      <c r="X315" s="201">
        <f si="55" t="shared"/>
        <v>0</v>
      </c>
    </row>
    <row r="316" spans="20:24" x14ac:dyDescent="0.25">
      <c r="T316" s="201">
        <f>DayPatternCoefficients!A324</f>
        <v>1033</v>
      </c>
      <c r="U316" s="201" t="str">
        <f>DayPatternCoefficients!B324</f>
        <v>T/S-E/E</v>
      </c>
      <c r="V316" s="222">
        <f>DayPatternCoefficients!D324</f>
        <v>2.3191467598700002</v>
      </c>
      <c r="W316" s="223">
        <f>_xlfn.IFNA(VLOOKUP(T316,$K$63:$M$111,3,FALSE),_xlfn.IFNA(VLOOKUP(T316,$G$5:$K$11,5,FALSE),_xlfn.IFNA(IF(VLOOKUP(T316,$G$19:$K$25,4,FALSE)&gt;0,VLOOKUP(T316,$G$19:$K$25,5,FALSE),VLOOKUP(T316,$G$33:$K$39,5,FALSE)),_xlfn.IFNA(VLOOKUP(T316,new_summaries!$V$4:$Y$101,4,FALSE),V316))))</f>
        <v>2.3191467598700002</v>
      </c>
      <c r="X316" s="201">
        <f si="55" t="shared"/>
        <v>0</v>
      </c>
    </row>
    <row r="317" spans="20:24" x14ac:dyDescent="0.25">
      <c r="T317" s="201">
        <f>DayPatternCoefficients!A325</f>
        <v>1034</v>
      </c>
      <c r="U317" s="201" t="str">
        <f>DayPatternCoefficients!B325</f>
        <v>T/S-E/P</v>
      </c>
      <c r="V317" s="222">
        <f>DayPatternCoefficients!D325</f>
        <v>0.43882869600000002</v>
      </c>
      <c r="W317" s="223">
        <f>_xlfn.IFNA(VLOOKUP(T317,$K$63:$M$111,3,FALSE),_xlfn.IFNA(VLOOKUP(T317,$G$5:$K$11,5,FALSE),_xlfn.IFNA(IF(VLOOKUP(T317,$G$19:$K$25,4,FALSE)&gt;0,VLOOKUP(T317,$G$19:$K$25,5,FALSE),VLOOKUP(T317,$G$33:$K$39,5,FALSE)),_xlfn.IFNA(VLOOKUP(T317,new_summaries!$V$4:$Y$101,4,FALSE),V317))))</f>
        <v>0.43882869600000002</v>
      </c>
      <c r="X317" s="201">
        <f si="55" t="shared"/>
        <v>0</v>
      </c>
    </row>
    <row r="318" spans="20:24" x14ac:dyDescent="0.25">
      <c r="T318" s="201">
        <f>DayPatternCoefficients!A326</f>
        <v>1035</v>
      </c>
      <c r="U318" s="201" t="str">
        <f>DayPatternCoefficients!B326</f>
        <v>T/S-E/H</v>
      </c>
      <c r="V318" s="222">
        <f>DayPatternCoefficients!D326</f>
        <v>0.38801901626000002</v>
      </c>
      <c r="W318" s="223">
        <f>_xlfn.IFNA(VLOOKUP(T318,$K$63:$M$111,3,FALSE),_xlfn.IFNA(VLOOKUP(T318,$G$5:$K$11,5,FALSE),_xlfn.IFNA(IF(VLOOKUP(T318,$G$19:$K$25,4,FALSE)&gt;0,VLOOKUP(T318,$G$19:$K$25,5,FALSE),VLOOKUP(T318,$G$33:$K$39,5,FALSE)),_xlfn.IFNA(VLOOKUP(T318,new_summaries!$V$4:$Y$101,4,FALSE),V318))))</f>
        <v>0.38801901626000002</v>
      </c>
      <c r="X318" s="201">
        <f si="55" t="shared"/>
        <v>0</v>
      </c>
    </row>
    <row r="319" spans="20:24" x14ac:dyDescent="0.25">
      <c r="T319" s="201">
        <f>DayPatternCoefficients!A327</f>
        <v>1036</v>
      </c>
      <c r="U319" s="201" t="str">
        <f>DayPatternCoefficients!B327</f>
        <v>T/S-E/M</v>
      </c>
      <c r="V319" s="222">
        <f>DayPatternCoefficients!D327</f>
        <v>0.60596435895</v>
      </c>
      <c r="W319" s="223">
        <f>_xlfn.IFNA(VLOOKUP(T319,$K$63:$M$111,3,FALSE),_xlfn.IFNA(VLOOKUP(T319,$G$5:$K$11,5,FALSE),_xlfn.IFNA(IF(VLOOKUP(T319,$G$19:$K$25,4,FALSE)&gt;0,VLOOKUP(T319,$G$19:$K$25,5,FALSE),VLOOKUP(T319,$G$33:$K$39,5,FALSE)),_xlfn.IFNA(VLOOKUP(T319,new_summaries!$V$4:$Y$101,4,FALSE),V319))))</f>
        <v>0.60596435895</v>
      </c>
      <c r="X319" s="201">
        <f si="55" t="shared"/>
        <v>0</v>
      </c>
    </row>
    <row r="320" spans="20:24" x14ac:dyDescent="0.25">
      <c r="T320" s="201">
        <f>DayPatternCoefficients!A328</f>
        <v>1043</v>
      </c>
      <c r="U320" s="201" t="str">
        <f>DayPatternCoefficients!B328</f>
        <v>T/S-P/E</v>
      </c>
      <c r="V320" s="222">
        <f>DayPatternCoefficients!D328</f>
        <v>-0.54382622784000001</v>
      </c>
      <c r="W320" s="223">
        <f>_xlfn.IFNA(VLOOKUP(T320,$K$63:$M$111,3,FALSE),_xlfn.IFNA(VLOOKUP(T320,$G$5:$K$11,5,FALSE),_xlfn.IFNA(IF(VLOOKUP(T320,$G$19:$K$25,4,FALSE)&gt;0,VLOOKUP(T320,$G$19:$K$25,5,FALSE),VLOOKUP(T320,$G$33:$K$39,5,FALSE)),_xlfn.IFNA(VLOOKUP(T320,new_summaries!$V$4:$Y$101,4,FALSE),V320))))</f>
        <v>-0.54382622784000001</v>
      </c>
      <c r="X320" s="201">
        <f si="55" t="shared"/>
        <v>0</v>
      </c>
    </row>
    <row r="321" spans="20:24" x14ac:dyDescent="0.25">
      <c r="T321" s="201">
        <f>DayPatternCoefficients!A329</f>
        <v>1044</v>
      </c>
      <c r="U321" s="201" t="str">
        <f>DayPatternCoefficients!B329</f>
        <v>T/S-P/P</v>
      </c>
      <c r="V321" s="222">
        <f>DayPatternCoefficients!D329</f>
        <v>0.15599073697999999</v>
      </c>
      <c r="W321" s="223">
        <f>_xlfn.IFNA(VLOOKUP(T321,$K$63:$M$111,3,FALSE),_xlfn.IFNA(VLOOKUP(T321,$G$5:$K$11,5,FALSE),_xlfn.IFNA(IF(VLOOKUP(T321,$G$19:$K$25,4,FALSE)&gt;0,VLOOKUP(T321,$G$19:$K$25,5,FALSE),VLOOKUP(T321,$G$33:$K$39,5,FALSE)),_xlfn.IFNA(VLOOKUP(T321,new_summaries!$V$4:$Y$101,4,FALSE),V321))))</f>
        <v>0.15599073697999999</v>
      </c>
      <c r="X321" s="201">
        <f si="55" t="shared"/>
        <v>0</v>
      </c>
    </row>
    <row r="322" spans="20:24" x14ac:dyDescent="0.25">
      <c r="T322" s="201">
        <f>DayPatternCoefficients!A330</f>
        <v>1045</v>
      </c>
      <c r="U322" s="201" t="str">
        <f>DayPatternCoefficients!B330</f>
        <v>T/S-P/H</v>
      </c>
      <c r="V322" s="222">
        <f>DayPatternCoefficients!D330</f>
        <v>0.14237055478999999</v>
      </c>
      <c r="W322" s="223">
        <f>_xlfn.IFNA(VLOOKUP(T322,$K$63:$M$111,3,FALSE),_xlfn.IFNA(VLOOKUP(T322,$G$5:$K$11,5,FALSE),_xlfn.IFNA(IF(VLOOKUP(T322,$G$19:$K$25,4,FALSE)&gt;0,VLOOKUP(T322,$G$19:$K$25,5,FALSE),VLOOKUP(T322,$G$33:$K$39,5,FALSE)),_xlfn.IFNA(VLOOKUP(T322,new_summaries!$V$4:$Y$101,4,FALSE),V322))))</f>
        <v>0.14237055478999999</v>
      </c>
      <c r="X322" s="201">
        <f si="55" t="shared"/>
        <v>0</v>
      </c>
    </row>
    <row r="323" spans="20:24" x14ac:dyDescent="0.25">
      <c r="T323" s="201">
        <f>DayPatternCoefficients!A331</f>
        <v>1046</v>
      </c>
      <c r="U323" s="201" t="str">
        <f>DayPatternCoefficients!B331</f>
        <v>T/S-P/M</v>
      </c>
      <c r="V323" s="222">
        <f>DayPatternCoefficients!D331</f>
        <v>0.23516411118</v>
      </c>
      <c r="W323" s="223">
        <f>_xlfn.IFNA(VLOOKUP(T323,$K$63:$M$111,3,FALSE),_xlfn.IFNA(VLOOKUP(T323,$G$5:$K$11,5,FALSE),_xlfn.IFNA(IF(VLOOKUP(T323,$G$19:$K$25,4,FALSE)&gt;0,VLOOKUP(T323,$G$19:$K$25,5,FALSE),VLOOKUP(T323,$G$33:$K$39,5,FALSE)),_xlfn.IFNA(VLOOKUP(T323,new_summaries!$V$4:$Y$101,4,FALSE),V323))))</f>
        <v>0.23516411118</v>
      </c>
      <c r="X323" s="201">
        <f ref="X323:X386" si="56" t="shared">IF(V323=W323,0,1)</f>
        <v>0</v>
      </c>
    </row>
    <row r="324" spans="20:24" x14ac:dyDescent="0.25">
      <c r="T324" s="201">
        <f>DayPatternCoefficients!A332</f>
        <v>1053</v>
      </c>
      <c r="U324" s="201" t="str">
        <f>DayPatternCoefficients!B332</f>
        <v>T/S-H/E</v>
      </c>
      <c r="V324" s="222">
        <f>DayPatternCoefficients!D332</f>
        <v>-0.39185646229999999</v>
      </c>
      <c r="W324" s="223">
        <f>_xlfn.IFNA(VLOOKUP(T324,$K$63:$M$111,3,FALSE),_xlfn.IFNA(VLOOKUP(T324,$G$5:$K$11,5,FALSE),_xlfn.IFNA(IF(VLOOKUP(T324,$G$19:$K$25,4,FALSE)&gt;0,VLOOKUP(T324,$G$19:$K$25,5,FALSE),VLOOKUP(T324,$G$33:$K$39,5,FALSE)),_xlfn.IFNA(VLOOKUP(T324,new_summaries!$V$4:$Y$101,4,FALSE),V324))))</f>
        <v>-0.39185646229999999</v>
      </c>
      <c r="X324" s="201">
        <f si="56" t="shared"/>
        <v>0</v>
      </c>
    </row>
    <row r="325" spans="20:24" x14ac:dyDescent="0.25">
      <c r="T325" s="201">
        <f>DayPatternCoefficients!A333</f>
        <v>1054</v>
      </c>
      <c r="U325" s="201" t="str">
        <f>DayPatternCoefficients!B333</f>
        <v>T/S-H/P</v>
      </c>
      <c r="V325" s="222">
        <f>DayPatternCoefficients!D333</f>
        <v>0.18528363720999999</v>
      </c>
      <c r="W325" s="223">
        <f>_xlfn.IFNA(VLOOKUP(T325,$K$63:$M$111,3,FALSE),_xlfn.IFNA(VLOOKUP(T325,$G$5:$K$11,5,FALSE),_xlfn.IFNA(IF(VLOOKUP(T325,$G$19:$K$25,4,FALSE)&gt;0,VLOOKUP(T325,$G$19:$K$25,5,FALSE),VLOOKUP(T325,$G$33:$K$39,5,FALSE)),_xlfn.IFNA(VLOOKUP(T325,new_summaries!$V$4:$Y$101,4,FALSE),V325))))</f>
        <v>0.18528363720999999</v>
      </c>
      <c r="X325" s="201">
        <f si="56" t="shared"/>
        <v>0</v>
      </c>
    </row>
    <row r="326" spans="20:24" x14ac:dyDescent="0.25">
      <c r="T326" s="201">
        <f>DayPatternCoefficients!A334</f>
        <v>1055</v>
      </c>
      <c r="U326" s="201" t="str">
        <f>DayPatternCoefficients!B334</f>
        <v>T/S-H/H</v>
      </c>
      <c r="V326" s="222">
        <f>DayPatternCoefficients!D334</f>
        <v>0.50750506111000004</v>
      </c>
      <c r="W326" s="223">
        <f>_xlfn.IFNA(VLOOKUP(T326,$K$63:$M$111,3,FALSE),_xlfn.IFNA(VLOOKUP(T326,$G$5:$K$11,5,FALSE),_xlfn.IFNA(IF(VLOOKUP(T326,$G$19:$K$25,4,FALSE)&gt;0,VLOOKUP(T326,$G$19:$K$25,5,FALSE),VLOOKUP(T326,$G$33:$K$39,5,FALSE)),_xlfn.IFNA(VLOOKUP(T326,new_summaries!$V$4:$Y$101,4,FALSE),V326))))</f>
        <v>0.50750506111000004</v>
      </c>
      <c r="X326" s="201">
        <f si="56" t="shared"/>
        <v>0</v>
      </c>
    </row>
    <row r="327" spans="20:24" x14ac:dyDescent="0.25">
      <c r="T327" s="201">
        <f>DayPatternCoefficients!A335</f>
        <v>1056</v>
      </c>
      <c r="U327" s="201" t="str">
        <f>DayPatternCoefficients!B335</f>
        <v>T/S-H/M</v>
      </c>
      <c r="V327" s="222">
        <f>DayPatternCoefficients!D335</f>
        <v>-0.31245288367000001</v>
      </c>
      <c r="W327" s="223">
        <f>_xlfn.IFNA(VLOOKUP(T327,$K$63:$M$111,3,FALSE),_xlfn.IFNA(VLOOKUP(T327,$G$5:$K$11,5,FALSE),_xlfn.IFNA(IF(VLOOKUP(T327,$G$19:$K$25,4,FALSE)&gt;0,VLOOKUP(T327,$G$19:$K$25,5,FALSE),VLOOKUP(T327,$G$33:$K$39,5,FALSE)),_xlfn.IFNA(VLOOKUP(T327,new_summaries!$V$4:$Y$101,4,FALSE),V327))))</f>
        <v>-0.31245288367000001</v>
      </c>
      <c r="X327" s="201">
        <f si="56" t="shared"/>
        <v>0</v>
      </c>
    </row>
    <row r="328" spans="20:24" x14ac:dyDescent="0.25">
      <c r="T328" s="201">
        <f>DayPatternCoefficients!A336</f>
        <v>1063</v>
      </c>
      <c r="U328" s="201" t="str">
        <f>DayPatternCoefficients!B336</f>
        <v>T/S-M/E</v>
      </c>
      <c r="V328" s="222">
        <f>DayPatternCoefficients!D336</f>
        <v>-6.4681278980000007E-2</v>
      </c>
      <c r="W328" s="223">
        <f>_xlfn.IFNA(VLOOKUP(T328,$K$63:$M$111,3,FALSE),_xlfn.IFNA(VLOOKUP(T328,$G$5:$K$11,5,FALSE),_xlfn.IFNA(IF(VLOOKUP(T328,$G$19:$K$25,4,FALSE)&gt;0,VLOOKUP(T328,$G$19:$K$25,5,FALSE),VLOOKUP(T328,$G$33:$K$39,5,FALSE)),_xlfn.IFNA(VLOOKUP(T328,new_summaries!$V$4:$Y$101,4,FALSE),V328))))</f>
        <v>-6.4681278980000007E-2</v>
      </c>
      <c r="X328" s="201">
        <f si="56" t="shared"/>
        <v>0</v>
      </c>
    </row>
    <row r="329" spans="20:24" x14ac:dyDescent="0.25">
      <c r="T329" s="201">
        <f>DayPatternCoefficients!A337</f>
        <v>1064</v>
      </c>
      <c r="U329" s="201" t="str">
        <f>DayPatternCoefficients!B337</f>
        <v>T/S-M/P</v>
      </c>
      <c r="V329" s="222">
        <f>DayPatternCoefficients!D337</f>
        <v>0.22146406565999999</v>
      </c>
      <c r="W329" s="223">
        <f>_xlfn.IFNA(VLOOKUP(T329,$K$63:$M$111,3,FALSE),_xlfn.IFNA(VLOOKUP(T329,$G$5:$K$11,5,FALSE),_xlfn.IFNA(IF(VLOOKUP(T329,$G$19:$K$25,4,FALSE)&gt;0,VLOOKUP(T329,$G$19:$K$25,5,FALSE),VLOOKUP(T329,$G$33:$K$39,5,FALSE)),_xlfn.IFNA(VLOOKUP(T329,new_summaries!$V$4:$Y$101,4,FALSE),V329))))</f>
        <v>0.22146406565999999</v>
      </c>
      <c r="X329" s="201">
        <f si="56" t="shared"/>
        <v>0</v>
      </c>
    </row>
    <row r="330" spans="20:24" x14ac:dyDescent="0.25">
      <c r="T330" s="201">
        <f>DayPatternCoefficients!A338</f>
        <v>1065</v>
      </c>
      <c r="U330" s="201" t="str">
        <f>DayPatternCoefficients!B338</f>
        <v>T/S-M/H</v>
      </c>
      <c r="V330" s="222">
        <f>DayPatternCoefficients!D338</f>
        <v>0.29629414685</v>
      </c>
      <c r="W330" s="223">
        <f>_xlfn.IFNA(VLOOKUP(T330,$K$63:$M$111,3,FALSE),_xlfn.IFNA(VLOOKUP(T330,$G$5:$K$11,5,FALSE),_xlfn.IFNA(IF(VLOOKUP(T330,$G$19:$K$25,4,FALSE)&gt;0,VLOOKUP(T330,$G$19:$K$25,5,FALSE),VLOOKUP(T330,$G$33:$K$39,5,FALSE)),_xlfn.IFNA(VLOOKUP(T330,new_summaries!$V$4:$Y$101,4,FALSE),V330))))</f>
        <v>0.29629414685</v>
      </c>
      <c r="X330" s="201">
        <f si="56" t="shared"/>
        <v>0</v>
      </c>
    </row>
    <row r="331" spans="20:24" x14ac:dyDescent="0.25">
      <c r="T331" s="201">
        <f>DayPatternCoefficients!A339</f>
        <v>1066</v>
      </c>
      <c r="U331" s="201" t="str">
        <f>DayPatternCoefficients!B339</f>
        <v>T/S-M/M</v>
      </c>
      <c r="V331" s="222">
        <f>DayPatternCoefficients!D339</f>
        <v>-0.26730699518000001</v>
      </c>
      <c r="W331" s="223">
        <f>_xlfn.IFNA(VLOOKUP(T331,$K$63:$M$111,3,FALSE),_xlfn.IFNA(VLOOKUP(T331,$G$5:$K$11,5,FALSE),_xlfn.IFNA(IF(VLOOKUP(T331,$G$19:$K$25,4,FALSE)&gt;0,VLOOKUP(T331,$G$19:$K$25,5,FALSE),VLOOKUP(T331,$G$33:$K$39,5,FALSE)),_xlfn.IFNA(VLOOKUP(T331,new_summaries!$V$4:$Y$101,4,FALSE),V331))))</f>
        <v>-0.26730699518000001</v>
      </c>
      <c r="X331" s="201">
        <f si="56" t="shared"/>
        <v>0</v>
      </c>
    </row>
    <row r="332" spans="20:24" x14ac:dyDescent="0.25">
      <c r="T332" s="201">
        <f>DayPatternCoefficients!A340</f>
        <v>1073</v>
      </c>
      <c r="U332" s="201" t="str">
        <f>DayPatternCoefficients!B340</f>
        <v>T/S-D/E</v>
      </c>
      <c r="V332" s="222">
        <f>DayPatternCoefficients!D340</f>
        <v>-0.5416388862</v>
      </c>
      <c r="W332" s="223">
        <f>_xlfn.IFNA(VLOOKUP(T332,$K$63:$M$111,3,FALSE),_xlfn.IFNA(VLOOKUP(T332,$G$5:$K$11,5,FALSE),_xlfn.IFNA(IF(VLOOKUP(T332,$G$19:$K$25,4,FALSE)&gt;0,VLOOKUP(T332,$G$19:$K$25,5,FALSE),VLOOKUP(T332,$G$33:$K$39,5,FALSE)),_xlfn.IFNA(VLOOKUP(T332,new_summaries!$V$4:$Y$101,4,FALSE),V332))))</f>
        <v>-0.5416388862</v>
      </c>
      <c r="X332" s="201">
        <f si="56" t="shared"/>
        <v>0</v>
      </c>
    </row>
    <row r="333" spans="20:24" x14ac:dyDescent="0.25">
      <c r="T333" s="201">
        <f>DayPatternCoefficients!A341</f>
        <v>1074</v>
      </c>
      <c r="U333" s="201" t="str">
        <f>DayPatternCoefficients!B341</f>
        <v>T/S-D/P</v>
      </c>
      <c r="V333" s="222">
        <f>DayPatternCoefficients!D341</f>
        <v>-7.6209529090000006E-2</v>
      </c>
      <c r="W333" s="223">
        <f>_xlfn.IFNA(VLOOKUP(T333,$K$63:$M$111,3,FALSE),_xlfn.IFNA(VLOOKUP(T333,$G$5:$K$11,5,FALSE),_xlfn.IFNA(IF(VLOOKUP(T333,$G$19:$K$25,4,FALSE)&gt;0,VLOOKUP(T333,$G$19:$K$25,5,FALSE),VLOOKUP(T333,$G$33:$K$39,5,FALSE)),_xlfn.IFNA(VLOOKUP(T333,new_summaries!$V$4:$Y$101,4,FALSE),V333))))</f>
        <v>-7.6209529090000006E-2</v>
      </c>
      <c r="X333" s="201">
        <f si="56" t="shared"/>
        <v>0</v>
      </c>
    </row>
    <row r="334" spans="20:24" x14ac:dyDescent="0.25">
      <c r="T334" s="201">
        <f>DayPatternCoefficients!A342</f>
        <v>1075</v>
      </c>
      <c r="U334" s="201" t="str">
        <f>DayPatternCoefficients!B342</f>
        <v>T/S-D/H</v>
      </c>
      <c r="V334" s="222">
        <f>DayPatternCoefficients!D342</f>
        <v>0.11079465702999999</v>
      </c>
      <c r="W334" s="223">
        <f>_xlfn.IFNA(VLOOKUP(T334,$K$63:$M$111,3,FALSE),_xlfn.IFNA(VLOOKUP(T334,$G$5:$K$11,5,FALSE),_xlfn.IFNA(IF(VLOOKUP(T334,$G$19:$K$25,4,FALSE)&gt;0,VLOOKUP(T334,$G$19:$K$25,5,FALSE),VLOOKUP(T334,$G$33:$K$39,5,FALSE)),_xlfn.IFNA(VLOOKUP(T334,new_summaries!$V$4:$Y$101,4,FALSE),V334))))</f>
        <v>0.11079465702999999</v>
      </c>
      <c r="X334" s="201">
        <f si="56" t="shared"/>
        <v>0</v>
      </c>
    </row>
    <row r="335" spans="20:24" x14ac:dyDescent="0.25">
      <c r="T335" s="201">
        <f>DayPatternCoefficients!A343</f>
        <v>1076</v>
      </c>
      <c r="U335" s="201" t="str">
        <f>DayPatternCoefficients!B343</f>
        <v>T/S-D/M</v>
      </c>
      <c r="V335" s="222">
        <f>DayPatternCoefficients!D343</f>
        <v>0.41172526745999999</v>
      </c>
      <c r="W335" s="223">
        <f>_xlfn.IFNA(VLOOKUP(T335,$K$63:$M$111,3,FALSE),_xlfn.IFNA(VLOOKUP(T335,$G$5:$K$11,5,FALSE),_xlfn.IFNA(IF(VLOOKUP(T335,$G$19:$K$25,4,FALSE)&gt;0,VLOOKUP(T335,$G$19:$K$25,5,FALSE),VLOOKUP(T335,$G$33:$K$39,5,FALSE)),_xlfn.IFNA(VLOOKUP(T335,new_summaries!$V$4:$Y$101,4,FALSE),V335))))</f>
        <v>0.41172526745999999</v>
      </c>
      <c r="X335" s="201">
        <f si="56" t="shared"/>
        <v>0</v>
      </c>
    </row>
    <row r="336" spans="20:24" x14ac:dyDescent="0.25">
      <c r="T336" s="201">
        <f>DayPatternCoefficients!A344</f>
        <v>1112</v>
      </c>
      <c r="U336" s="201" t="str">
        <f>DayPatternCoefficients!B344</f>
        <v>T/T-W/S</v>
      </c>
      <c r="V336" s="222">
        <f>DayPatternCoefficients!D344</f>
        <v>-1.5644309596599999</v>
      </c>
      <c r="W336" s="223">
        <f>_xlfn.IFNA(VLOOKUP(T336,$K$63:$M$111,3,FALSE),_xlfn.IFNA(VLOOKUP(T336,$G$5:$K$11,5,FALSE),_xlfn.IFNA(IF(VLOOKUP(T336,$G$19:$K$25,4,FALSE)&gt;0,VLOOKUP(T336,$G$19:$K$25,5,FALSE),VLOOKUP(T336,$G$33:$K$39,5,FALSE)),_xlfn.IFNA(VLOOKUP(T336,new_summaries!$V$4:$Y$101,4,FALSE),V336))))</f>
        <v>-1.5644309596599999</v>
      </c>
      <c r="X336" s="201">
        <f si="56" t="shared"/>
        <v>0</v>
      </c>
    </row>
    <row r="337" spans="20:24" x14ac:dyDescent="0.25">
      <c r="T337" s="201">
        <f>DayPatternCoefficients!A345</f>
        <v>1113</v>
      </c>
      <c r="U337" s="201" t="str">
        <f>DayPatternCoefficients!B345</f>
        <v>T/T-W/E</v>
      </c>
      <c r="V337" s="222">
        <f>DayPatternCoefficients!D345</f>
        <v>-1.2740274169500001</v>
      </c>
      <c r="W337" s="223">
        <f>_xlfn.IFNA(VLOOKUP(T337,$K$63:$M$111,3,FALSE),_xlfn.IFNA(VLOOKUP(T337,$G$5:$K$11,5,FALSE),_xlfn.IFNA(IF(VLOOKUP(T337,$G$19:$K$25,4,FALSE)&gt;0,VLOOKUP(T337,$G$19:$K$25,5,FALSE),VLOOKUP(T337,$G$33:$K$39,5,FALSE)),_xlfn.IFNA(VLOOKUP(T337,new_summaries!$V$4:$Y$101,4,FALSE),V337))))</f>
        <v>-1.2740274169500001</v>
      </c>
      <c r="X337" s="201">
        <f si="56" t="shared"/>
        <v>0</v>
      </c>
    </row>
    <row r="338" spans="20:24" x14ac:dyDescent="0.25">
      <c r="T338" s="201">
        <f>DayPatternCoefficients!A346</f>
        <v>1114</v>
      </c>
      <c r="U338" s="201" t="str">
        <f>DayPatternCoefficients!B346</f>
        <v>T/T-W/P</v>
      </c>
      <c r="V338" s="222">
        <f>DayPatternCoefficients!D346</f>
        <v>-1.0749348599599999</v>
      </c>
      <c r="W338" s="223">
        <f>_xlfn.IFNA(VLOOKUP(T338,$K$63:$M$111,3,FALSE),_xlfn.IFNA(VLOOKUP(T338,$G$5:$K$11,5,FALSE),_xlfn.IFNA(IF(VLOOKUP(T338,$G$19:$K$25,4,FALSE)&gt;0,VLOOKUP(T338,$G$19:$K$25,5,FALSE),VLOOKUP(T338,$G$33:$K$39,5,FALSE)),_xlfn.IFNA(VLOOKUP(T338,new_summaries!$V$4:$Y$101,4,FALSE),V338))))</f>
        <v>-1.0749348599599999</v>
      </c>
      <c r="X338" s="201">
        <f si="56" t="shared"/>
        <v>0</v>
      </c>
    </row>
    <row r="339" spans="20:24" x14ac:dyDescent="0.25">
      <c r="T339" s="201">
        <f>DayPatternCoefficients!A347</f>
        <v>1115</v>
      </c>
      <c r="U339" s="201" t="str">
        <f>DayPatternCoefficients!B347</f>
        <v>T/T-W/H</v>
      </c>
      <c r="V339" s="222">
        <f>DayPatternCoefficients!D347</f>
        <v>-0.94518526709999995</v>
      </c>
      <c r="W339" s="223">
        <f>_xlfn.IFNA(VLOOKUP(T339,$K$63:$M$111,3,FALSE),_xlfn.IFNA(VLOOKUP(T339,$G$5:$K$11,5,FALSE),_xlfn.IFNA(IF(VLOOKUP(T339,$G$19:$K$25,4,FALSE)&gt;0,VLOOKUP(T339,$G$19:$K$25,5,FALSE),VLOOKUP(T339,$G$33:$K$39,5,FALSE)),_xlfn.IFNA(VLOOKUP(T339,new_summaries!$V$4:$Y$101,4,FALSE),V339))))</f>
        <v>-0.94518526709999995</v>
      </c>
      <c r="X339" s="201">
        <f si="56" t="shared"/>
        <v>0</v>
      </c>
    </row>
    <row r="340" spans="20:24" x14ac:dyDescent="0.25">
      <c r="T340" s="201">
        <f>DayPatternCoefficients!A348</f>
        <v>1116</v>
      </c>
      <c r="U340" s="201" t="str">
        <f>DayPatternCoefficients!B348</f>
        <v>T/T-W/M</v>
      </c>
      <c r="V340" s="222">
        <f>DayPatternCoefficients!D348</f>
        <v>-0.50215980633000001</v>
      </c>
      <c r="W340" s="223">
        <f>_xlfn.IFNA(VLOOKUP(T340,$K$63:$M$111,3,FALSE),_xlfn.IFNA(VLOOKUP(T340,$G$5:$K$11,5,FALSE),_xlfn.IFNA(IF(VLOOKUP(T340,$G$19:$K$25,4,FALSE)&gt;0,VLOOKUP(T340,$G$19:$K$25,5,FALSE),VLOOKUP(T340,$G$33:$K$39,5,FALSE)),_xlfn.IFNA(VLOOKUP(T340,new_summaries!$V$4:$Y$101,4,FALSE),V340))))</f>
        <v>-0.50215980633000001</v>
      </c>
      <c r="X340" s="201">
        <f si="56" t="shared"/>
        <v>0</v>
      </c>
    </row>
    <row r="341" spans="20:24" x14ac:dyDescent="0.25">
      <c r="T341" s="201">
        <f>DayPatternCoefficients!A349</f>
        <v>1117</v>
      </c>
      <c r="U341" s="201" t="str">
        <f>DayPatternCoefficients!B349</f>
        <v>T/T-W/D</v>
      </c>
      <c r="V341" s="222">
        <f>DayPatternCoefficients!D349</f>
        <v>-0.54063652535999995</v>
      </c>
      <c r="W341" s="223">
        <f>_xlfn.IFNA(VLOOKUP(T341,$K$63:$M$111,3,FALSE),_xlfn.IFNA(VLOOKUP(T341,$G$5:$K$11,5,FALSE),_xlfn.IFNA(IF(VLOOKUP(T341,$G$19:$K$25,4,FALSE)&gt;0,VLOOKUP(T341,$G$19:$K$25,5,FALSE),VLOOKUP(T341,$G$33:$K$39,5,FALSE)),_xlfn.IFNA(VLOOKUP(T341,new_summaries!$V$4:$Y$101,4,FALSE),V341))))</f>
        <v>-0.54063652535999995</v>
      </c>
      <c r="X341" s="201">
        <f si="56" t="shared"/>
        <v>0</v>
      </c>
    </row>
    <row r="342" spans="20:24" x14ac:dyDescent="0.25">
      <c r="T342" s="201">
        <f>DayPatternCoefficients!A350</f>
        <v>1123</v>
      </c>
      <c r="U342" s="201" t="str">
        <f>DayPatternCoefficients!B350</f>
        <v>T/T-S/E</v>
      </c>
      <c r="V342" s="222">
        <f>DayPatternCoefficients!D350</f>
        <v>-1.3616026243299999</v>
      </c>
      <c r="W342" s="223">
        <f>_xlfn.IFNA(VLOOKUP(T342,$K$63:$M$111,3,FALSE),_xlfn.IFNA(VLOOKUP(T342,$G$5:$K$11,5,FALSE),_xlfn.IFNA(IF(VLOOKUP(T342,$G$19:$K$25,4,FALSE)&gt;0,VLOOKUP(T342,$G$19:$K$25,5,FALSE),VLOOKUP(T342,$G$33:$K$39,5,FALSE)),_xlfn.IFNA(VLOOKUP(T342,new_summaries!$V$4:$Y$101,4,FALSE),V342))))</f>
        <v>-1.3616026243299999</v>
      </c>
      <c r="X342" s="201">
        <f si="56" t="shared"/>
        <v>0</v>
      </c>
    </row>
    <row r="343" spans="20:24" x14ac:dyDescent="0.25">
      <c r="T343" s="201">
        <f>DayPatternCoefficients!A351</f>
        <v>1124</v>
      </c>
      <c r="U343" s="201" t="str">
        <f>DayPatternCoefficients!B351</f>
        <v>T/T-S/P</v>
      </c>
      <c r="V343" s="222">
        <f>DayPatternCoefficients!D351</f>
        <v>-0.84898836228999996</v>
      </c>
      <c r="W343" s="223">
        <f>_xlfn.IFNA(VLOOKUP(T343,$K$63:$M$111,3,FALSE),_xlfn.IFNA(VLOOKUP(T343,$G$5:$K$11,5,FALSE),_xlfn.IFNA(IF(VLOOKUP(T343,$G$19:$K$25,4,FALSE)&gt;0,VLOOKUP(T343,$G$19:$K$25,5,FALSE),VLOOKUP(T343,$G$33:$K$39,5,FALSE)),_xlfn.IFNA(VLOOKUP(T343,new_summaries!$V$4:$Y$101,4,FALSE),V343))))</f>
        <v>-0.84898836228999996</v>
      </c>
      <c r="X343" s="201">
        <f si="56" t="shared"/>
        <v>0</v>
      </c>
    </row>
    <row r="344" spans="20:24" x14ac:dyDescent="0.25">
      <c r="T344" s="201">
        <f>DayPatternCoefficients!A352</f>
        <v>1125</v>
      </c>
      <c r="U344" s="201" t="str">
        <f>DayPatternCoefficients!B352</f>
        <v>T/T-S/H</v>
      </c>
      <c r="V344" s="222">
        <f>DayPatternCoefficients!D352</f>
        <v>-0.78613389561000002</v>
      </c>
      <c r="W344" s="223">
        <f>_xlfn.IFNA(VLOOKUP(T344,$K$63:$M$111,3,FALSE),_xlfn.IFNA(VLOOKUP(T344,$G$5:$K$11,5,FALSE),_xlfn.IFNA(IF(VLOOKUP(T344,$G$19:$K$25,4,FALSE)&gt;0,VLOOKUP(T344,$G$19:$K$25,5,FALSE),VLOOKUP(T344,$G$33:$K$39,5,FALSE)),_xlfn.IFNA(VLOOKUP(T344,new_summaries!$V$4:$Y$101,4,FALSE),V344))))</f>
        <v>-0.78613389561000002</v>
      </c>
      <c r="X344" s="201">
        <f si="56" t="shared"/>
        <v>0</v>
      </c>
    </row>
    <row r="345" spans="20:24" x14ac:dyDescent="0.25">
      <c r="T345" s="201">
        <f>DayPatternCoefficients!A353</f>
        <v>1126</v>
      </c>
      <c r="U345" s="201" t="str">
        <f>DayPatternCoefficients!B353</f>
        <v>T/T-S/M</v>
      </c>
      <c r="V345" s="222">
        <f>DayPatternCoefficients!D353</f>
        <v>-0.54681847911000003</v>
      </c>
      <c r="W345" s="223">
        <f>_xlfn.IFNA(VLOOKUP(T345,$K$63:$M$111,3,FALSE),_xlfn.IFNA(VLOOKUP(T345,$G$5:$K$11,5,FALSE),_xlfn.IFNA(IF(VLOOKUP(T345,$G$19:$K$25,4,FALSE)&gt;0,VLOOKUP(T345,$G$19:$K$25,5,FALSE),VLOOKUP(T345,$G$33:$K$39,5,FALSE)),_xlfn.IFNA(VLOOKUP(T345,new_summaries!$V$4:$Y$101,4,FALSE),V345))))</f>
        <v>-0.54681847911000003</v>
      </c>
      <c r="X345" s="201">
        <f si="56" t="shared"/>
        <v>0</v>
      </c>
    </row>
    <row r="346" spans="20:24" x14ac:dyDescent="0.25">
      <c r="T346" s="201">
        <f>DayPatternCoefficients!A354</f>
        <v>1127</v>
      </c>
      <c r="U346" s="201" t="str">
        <f>DayPatternCoefficients!B354</f>
        <v>T/T-S/D</v>
      </c>
      <c r="V346" s="222">
        <f>DayPatternCoefficients!D354</f>
        <v>-0.52556611821999999</v>
      </c>
      <c r="W346" s="223">
        <f>_xlfn.IFNA(VLOOKUP(T346,$K$63:$M$111,3,FALSE),_xlfn.IFNA(VLOOKUP(T346,$G$5:$K$11,5,FALSE),_xlfn.IFNA(IF(VLOOKUP(T346,$G$19:$K$25,4,FALSE)&gt;0,VLOOKUP(T346,$G$19:$K$25,5,FALSE),VLOOKUP(T346,$G$33:$K$39,5,FALSE)),_xlfn.IFNA(VLOOKUP(T346,new_summaries!$V$4:$Y$101,4,FALSE),V346))))</f>
        <v>-0.52556611821999999</v>
      </c>
      <c r="X346" s="201">
        <f si="56" t="shared"/>
        <v>0</v>
      </c>
    </row>
    <row r="347" spans="20:24" x14ac:dyDescent="0.25">
      <c r="T347" s="201">
        <f>DayPatternCoefficients!A355</f>
        <v>1134</v>
      </c>
      <c r="U347" s="201" t="str">
        <f>DayPatternCoefficients!B355</f>
        <v>T/T-E/P</v>
      </c>
      <c r="V347" s="222">
        <f>DayPatternCoefficients!D355</f>
        <v>0.36235102463000002</v>
      </c>
      <c r="W347" s="223">
        <f>_xlfn.IFNA(VLOOKUP(T347,$K$63:$M$111,3,FALSE),_xlfn.IFNA(VLOOKUP(T347,$G$5:$K$11,5,FALSE),_xlfn.IFNA(IF(VLOOKUP(T347,$G$19:$K$25,4,FALSE)&gt;0,VLOOKUP(T347,$G$19:$K$25,5,FALSE),VLOOKUP(T347,$G$33:$K$39,5,FALSE)),_xlfn.IFNA(VLOOKUP(T347,new_summaries!$V$4:$Y$101,4,FALSE),V347))))</f>
        <v>0.36235102463000002</v>
      </c>
      <c r="X347" s="201">
        <f si="56" t="shared"/>
        <v>0</v>
      </c>
    </row>
    <row r="348" spans="20:24" x14ac:dyDescent="0.25">
      <c r="T348" s="201">
        <f>DayPatternCoefficients!A356</f>
        <v>1135</v>
      </c>
      <c r="U348" s="201" t="str">
        <f>DayPatternCoefficients!B356</f>
        <v>T/T-E/H</v>
      </c>
      <c r="V348" s="222">
        <f>DayPatternCoefficients!D356</f>
        <v>-0.10012866324</v>
      </c>
      <c r="W348" s="223">
        <f>_xlfn.IFNA(VLOOKUP(T348,$K$63:$M$111,3,FALSE),_xlfn.IFNA(VLOOKUP(T348,$G$5:$K$11,5,FALSE),_xlfn.IFNA(IF(VLOOKUP(T348,$G$19:$K$25,4,FALSE)&gt;0,VLOOKUP(T348,$G$19:$K$25,5,FALSE),VLOOKUP(T348,$G$33:$K$39,5,FALSE)),_xlfn.IFNA(VLOOKUP(T348,new_summaries!$V$4:$Y$101,4,FALSE),V348))))</f>
        <v>-0.10012866324</v>
      </c>
      <c r="X348" s="201">
        <f si="56" t="shared"/>
        <v>0</v>
      </c>
    </row>
    <row r="349" spans="20:24" x14ac:dyDescent="0.25">
      <c r="T349" s="201">
        <f>DayPatternCoefficients!A357</f>
        <v>1136</v>
      </c>
      <c r="U349" s="201" t="str">
        <f>DayPatternCoefficients!B357</f>
        <v>T/T-E/M</v>
      </c>
      <c r="V349" s="222">
        <f>DayPatternCoefficients!D357</f>
        <v>-0.10673219229</v>
      </c>
      <c r="W349" s="223">
        <f>_xlfn.IFNA(VLOOKUP(T349,$K$63:$M$111,3,FALSE),_xlfn.IFNA(VLOOKUP(T349,$G$5:$K$11,5,FALSE),_xlfn.IFNA(IF(VLOOKUP(T349,$G$19:$K$25,4,FALSE)&gt;0,VLOOKUP(T349,$G$19:$K$25,5,FALSE),VLOOKUP(T349,$G$33:$K$39,5,FALSE)),_xlfn.IFNA(VLOOKUP(T349,new_summaries!$V$4:$Y$101,4,FALSE),V349))))</f>
        <v>-0.10673219229</v>
      </c>
      <c r="X349" s="201">
        <f si="56" t="shared"/>
        <v>0</v>
      </c>
    </row>
    <row r="350" spans="20:24" x14ac:dyDescent="0.25">
      <c r="T350" s="201">
        <f>DayPatternCoefficients!A358</f>
        <v>1137</v>
      </c>
      <c r="U350" s="201" t="str">
        <f>DayPatternCoefficients!B358</f>
        <v>T/T-E/D</v>
      </c>
      <c r="V350" s="222">
        <f>DayPatternCoefficients!D358</f>
        <v>0.21650598322</v>
      </c>
      <c r="W350" s="223">
        <f>_xlfn.IFNA(VLOOKUP(T350,$K$63:$M$111,3,FALSE),_xlfn.IFNA(VLOOKUP(T350,$G$5:$K$11,5,FALSE),_xlfn.IFNA(IF(VLOOKUP(T350,$G$19:$K$25,4,FALSE)&gt;0,VLOOKUP(T350,$G$19:$K$25,5,FALSE),VLOOKUP(T350,$G$33:$K$39,5,FALSE)),_xlfn.IFNA(VLOOKUP(T350,new_summaries!$V$4:$Y$101,4,FALSE),V350))))</f>
        <v>0.21650598322</v>
      </c>
      <c r="X350" s="201">
        <f si="56" t="shared"/>
        <v>0</v>
      </c>
    </row>
    <row r="351" spans="20:24" x14ac:dyDescent="0.25">
      <c r="T351" s="201">
        <f>DayPatternCoefficients!A359</f>
        <v>1145</v>
      </c>
      <c r="U351" s="201" t="str">
        <f>DayPatternCoefficients!B359</f>
        <v>T/T-P/H</v>
      </c>
      <c r="V351" s="222">
        <f>DayPatternCoefficients!D359</f>
        <v>-5.5921311629999998E-2</v>
      </c>
      <c r="W351" s="223">
        <f>_xlfn.IFNA(VLOOKUP(T351,$K$63:$M$111,3,FALSE),_xlfn.IFNA(VLOOKUP(T351,$G$5:$K$11,5,FALSE),_xlfn.IFNA(IF(VLOOKUP(T351,$G$19:$K$25,4,FALSE)&gt;0,VLOOKUP(T351,$G$19:$K$25,5,FALSE),VLOOKUP(T351,$G$33:$K$39,5,FALSE)),_xlfn.IFNA(VLOOKUP(T351,new_summaries!$V$4:$Y$101,4,FALSE),V351))))</f>
        <v>-5.5921311629999998E-2</v>
      </c>
      <c r="X351" s="201">
        <f si="56" t="shared"/>
        <v>0</v>
      </c>
    </row>
    <row r="352" spans="20:24" x14ac:dyDescent="0.25">
      <c r="T352" s="201">
        <f>DayPatternCoefficients!A360</f>
        <v>1146</v>
      </c>
      <c r="U352" s="201" t="str">
        <f>DayPatternCoefficients!B360</f>
        <v>T/T-P/M</v>
      </c>
      <c r="V352" s="222">
        <f>DayPatternCoefficients!D360</f>
        <v>0.24358333610999999</v>
      </c>
      <c r="W352" s="223">
        <f>_xlfn.IFNA(VLOOKUP(T352,$K$63:$M$111,3,FALSE),_xlfn.IFNA(VLOOKUP(T352,$G$5:$K$11,5,FALSE),_xlfn.IFNA(IF(VLOOKUP(T352,$G$19:$K$25,4,FALSE)&gt;0,VLOOKUP(T352,$G$19:$K$25,5,FALSE),VLOOKUP(T352,$G$33:$K$39,5,FALSE)),_xlfn.IFNA(VLOOKUP(T352,new_summaries!$V$4:$Y$101,4,FALSE),V352))))</f>
        <v>0.24358333610999999</v>
      </c>
      <c r="X352" s="201">
        <f si="56" t="shared"/>
        <v>0</v>
      </c>
    </row>
    <row r="353" spans="20:24" x14ac:dyDescent="0.25">
      <c r="T353" s="201">
        <f>DayPatternCoefficients!A361</f>
        <v>1147</v>
      </c>
      <c r="U353" s="201" t="str">
        <f>DayPatternCoefficients!B361</f>
        <v>T/T-P/D</v>
      </c>
      <c r="V353" s="222">
        <f>DayPatternCoefficients!D361</f>
        <v>-0.18853487848</v>
      </c>
      <c r="W353" s="223">
        <f>_xlfn.IFNA(VLOOKUP(T353,$K$63:$M$111,3,FALSE),_xlfn.IFNA(VLOOKUP(T353,$G$5:$K$11,5,FALSE),_xlfn.IFNA(IF(VLOOKUP(T353,$G$19:$K$25,4,FALSE)&gt;0,VLOOKUP(T353,$G$19:$K$25,5,FALSE),VLOOKUP(T353,$G$33:$K$39,5,FALSE)),_xlfn.IFNA(VLOOKUP(T353,new_summaries!$V$4:$Y$101,4,FALSE),V353))))</f>
        <v>-0.18853487848</v>
      </c>
      <c r="X353" s="201">
        <f si="56" t="shared"/>
        <v>0</v>
      </c>
    </row>
    <row r="354" spans="20:24" x14ac:dyDescent="0.25">
      <c r="T354" s="201">
        <f>DayPatternCoefficients!A362</f>
        <v>1156</v>
      </c>
      <c r="U354" s="201" t="str">
        <f>DayPatternCoefficients!B362</f>
        <v>T/T-H/M</v>
      </c>
      <c r="V354" s="222">
        <f>DayPatternCoefficients!D362</f>
        <v>-0.44226070846999999</v>
      </c>
      <c r="W354" s="223">
        <f>_xlfn.IFNA(VLOOKUP(T354,$K$63:$M$111,3,FALSE),_xlfn.IFNA(VLOOKUP(T354,$G$5:$K$11,5,FALSE),_xlfn.IFNA(IF(VLOOKUP(T354,$G$19:$K$25,4,FALSE)&gt;0,VLOOKUP(T354,$G$19:$K$25,5,FALSE),VLOOKUP(T354,$G$33:$K$39,5,FALSE)),_xlfn.IFNA(VLOOKUP(T354,new_summaries!$V$4:$Y$101,4,FALSE),V354))))</f>
        <v>-0.44226070846999999</v>
      </c>
      <c r="X354" s="201">
        <f si="56" t="shared"/>
        <v>0</v>
      </c>
    </row>
    <row r="355" spans="20:24" x14ac:dyDescent="0.25">
      <c r="T355" s="201">
        <f>DayPatternCoefficients!A363</f>
        <v>1157</v>
      </c>
      <c r="U355" s="201" t="str">
        <f>DayPatternCoefficients!B363</f>
        <v>T/T-H/D</v>
      </c>
      <c r="V355" s="222">
        <f>DayPatternCoefficients!D363</f>
        <v>1.030149396E-2</v>
      </c>
      <c r="W355" s="223">
        <f>_xlfn.IFNA(VLOOKUP(T355,$K$63:$M$111,3,FALSE),_xlfn.IFNA(VLOOKUP(T355,$G$5:$K$11,5,FALSE),_xlfn.IFNA(IF(VLOOKUP(T355,$G$19:$K$25,4,FALSE)&gt;0,VLOOKUP(T355,$G$19:$K$25,5,FALSE),VLOOKUP(T355,$G$33:$K$39,5,FALSE)),_xlfn.IFNA(VLOOKUP(T355,new_summaries!$V$4:$Y$101,4,FALSE),V355))))</f>
        <v>1.030149396E-2</v>
      </c>
      <c r="X355" s="201">
        <f si="56" t="shared"/>
        <v>0</v>
      </c>
    </row>
    <row r="356" spans="20:24" x14ac:dyDescent="0.25">
      <c r="T356" s="201">
        <f>DayPatternCoefficients!A364</f>
        <v>1213</v>
      </c>
      <c r="U356" s="201" t="str">
        <f>DayPatternCoefficients!B364</f>
        <v>S/S-W/E</v>
      </c>
      <c r="V356" s="222">
        <f>DayPatternCoefficients!D364</f>
        <v>-1.36481525144</v>
      </c>
      <c r="W356" s="223">
        <f>_xlfn.IFNA(VLOOKUP(T356,$K$63:$M$111,3,FALSE),_xlfn.IFNA(VLOOKUP(T356,$G$5:$K$11,5,FALSE),_xlfn.IFNA(IF(VLOOKUP(T356,$G$19:$K$25,4,FALSE)&gt;0,VLOOKUP(T356,$G$19:$K$25,5,FALSE),VLOOKUP(T356,$G$33:$K$39,5,FALSE)),_xlfn.IFNA(VLOOKUP(T356,new_summaries!$V$4:$Y$101,4,FALSE),V356))))</f>
        <v>-1.36481525144</v>
      </c>
      <c r="X356" s="201">
        <f si="56" t="shared"/>
        <v>0</v>
      </c>
    </row>
    <row r="357" spans="20:24" x14ac:dyDescent="0.25">
      <c r="T357" s="201">
        <f>DayPatternCoefficients!A365</f>
        <v>1214</v>
      </c>
      <c r="U357" s="201" t="str">
        <f>DayPatternCoefficients!B365</f>
        <v>S/S-W/P</v>
      </c>
      <c r="V357" s="222">
        <f>DayPatternCoefficients!D365</f>
        <v>-0.61775033894999998</v>
      </c>
      <c r="W357" s="223">
        <f>_xlfn.IFNA(VLOOKUP(T357,$K$63:$M$111,3,FALSE),_xlfn.IFNA(VLOOKUP(T357,$G$5:$K$11,5,FALSE),_xlfn.IFNA(IF(VLOOKUP(T357,$G$19:$K$25,4,FALSE)&gt;0,VLOOKUP(T357,$G$19:$K$25,5,FALSE),VLOOKUP(T357,$G$33:$K$39,5,FALSE)),_xlfn.IFNA(VLOOKUP(T357,new_summaries!$V$4:$Y$101,4,FALSE),V357))))</f>
        <v>-0.61775033894999998</v>
      </c>
      <c r="X357" s="201">
        <f si="56" t="shared"/>
        <v>0</v>
      </c>
    </row>
    <row r="358" spans="20:24" x14ac:dyDescent="0.25">
      <c r="T358" s="201">
        <f>DayPatternCoefficients!A366</f>
        <v>1215</v>
      </c>
      <c r="U358" s="201" t="str">
        <f>DayPatternCoefficients!B366</f>
        <v>S/S-W/H</v>
      </c>
      <c r="V358" s="222">
        <f>DayPatternCoefficients!D366</f>
        <v>-0.64325229668999995</v>
      </c>
      <c r="W358" s="223">
        <f>_xlfn.IFNA(VLOOKUP(T358,$K$63:$M$111,3,FALSE),_xlfn.IFNA(VLOOKUP(T358,$G$5:$K$11,5,FALSE),_xlfn.IFNA(IF(VLOOKUP(T358,$G$19:$K$25,4,FALSE)&gt;0,VLOOKUP(T358,$G$19:$K$25,5,FALSE),VLOOKUP(T358,$G$33:$K$39,5,FALSE)),_xlfn.IFNA(VLOOKUP(T358,new_summaries!$V$4:$Y$101,4,FALSE),V358))))</f>
        <v>-0.64325229668999995</v>
      </c>
      <c r="X358" s="201">
        <f si="56" t="shared"/>
        <v>0</v>
      </c>
    </row>
    <row r="359" spans="20:24" x14ac:dyDescent="0.25">
      <c r="T359" s="201">
        <f>DayPatternCoefficients!A367</f>
        <v>1216</v>
      </c>
      <c r="U359" s="201" t="str">
        <f>DayPatternCoefficients!B367</f>
        <v>S/S-W/M</v>
      </c>
      <c r="V359" s="222">
        <f>DayPatternCoefficients!D367</f>
        <v>-0.44793136683000001</v>
      </c>
      <c r="W359" s="223">
        <f>_xlfn.IFNA(VLOOKUP(T359,$K$63:$M$111,3,FALSE),_xlfn.IFNA(VLOOKUP(T359,$G$5:$K$11,5,FALSE),_xlfn.IFNA(IF(VLOOKUP(T359,$G$19:$K$25,4,FALSE)&gt;0,VLOOKUP(T359,$G$19:$K$25,5,FALSE),VLOOKUP(T359,$G$33:$K$39,5,FALSE)),_xlfn.IFNA(VLOOKUP(T359,new_summaries!$V$4:$Y$101,4,FALSE),V359))))</f>
        <v>-0.44793136683000001</v>
      </c>
      <c r="X359" s="201">
        <f si="56" t="shared"/>
        <v>0</v>
      </c>
    </row>
    <row r="360" spans="20:24" x14ac:dyDescent="0.25">
      <c r="T360" s="201">
        <f>DayPatternCoefficients!A368</f>
        <v>1217</v>
      </c>
      <c r="U360" s="201" t="str">
        <f>DayPatternCoefficients!B368</f>
        <v>S/S-W/D</v>
      </c>
      <c r="V360" s="222">
        <f>DayPatternCoefficients!D368</f>
        <v>-0.93801074919000005</v>
      </c>
      <c r="W360" s="223">
        <f>_xlfn.IFNA(VLOOKUP(T360,$K$63:$M$111,3,FALSE),_xlfn.IFNA(VLOOKUP(T360,$G$5:$K$11,5,FALSE),_xlfn.IFNA(IF(VLOOKUP(T360,$G$19:$K$25,4,FALSE)&gt;0,VLOOKUP(T360,$G$19:$K$25,5,FALSE),VLOOKUP(T360,$G$33:$K$39,5,FALSE)),_xlfn.IFNA(VLOOKUP(T360,new_summaries!$V$4:$Y$101,4,FALSE),V360))))</f>
        <v>-0.93801074919000005</v>
      </c>
      <c r="X360" s="201">
        <f si="56" t="shared"/>
        <v>0</v>
      </c>
    </row>
    <row r="361" spans="20:24" x14ac:dyDescent="0.25">
      <c r="T361" s="201">
        <f>DayPatternCoefficients!A369</f>
        <v>1223</v>
      </c>
      <c r="U361" s="201" t="str">
        <f>DayPatternCoefficients!B369</f>
        <v>S/S-S/E</v>
      </c>
      <c r="V361" s="222">
        <f>DayPatternCoefficients!D369</f>
        <v>-1.1092063858900001</v>
      </c>
      <c r="W361" s="223">
        <f>_xlfn.IFNA(VLOOKUP(T361,$K$63:$M$111,3,FALSE),_xlfn.IFNA(VLOOKUP(T361,$G$5:$K$11,5,FALSE),_xlfn.IFNA(IF(VLOOKUP(T361,$G$19:$K$25,4,FALSE)&gt;0,VLOOKUP(T361,$G$19:$K$25,5,FALSE),VLOOKUP(T361,$G$33:$K$39,5,FALSE)),_xlfn.IFNA(VLOOKUP(T361,new_summaries!$V$4:$Y$101,4,FALSE),V361))))</f>
        <v>-1.1092063858900001</v>
      </c>
      <c r="X361" s="201">
        <f si="56" t="shared"/>
        <v>0</v>
      </c>
    </row>
    <row r="362" spans="20:24" x14ac:dyDescent="0.25">
      <c r="T362" s="201">
        <f>DayPatternCoefficients!A370</f>
        <v>1224</v>
      </c>
      <c r="U362" s="201" t="str">
        <f>DayPatternCoefficients!B370</f>
        <v>S/S-S/P</v>
      </c>
      <c r="V362" s="222">
        <f>DayPatternCoefficients!D370</f>
        <v>-0.37840972925999999</v>
      </c>
      <c r="W362" s="223">
        <f>_xlfn.IFNA(VLOOKUP(T362,$K$63:$M$111,3,FALSE),_xlfn.IFNA(VLOOKUP(T362,$G$5:$K$11,5,FALSE),_xlfn.IFNA(IF(VLOOKUP(T362,$G$19:$K$25,4,FALSE)&gt;0,VLOOKUP(T362,$G$19:$K$25,5,FALSE),VLOOKUP(T362,$G$33:$K$39,5,FALSE)),_xlfn.IFNA(VLOOKUP(T362,new_summaries!$V$4:$Y$101,4,FALSE),V362))))</f>
        <v>-0.37840972925999999</v>
      </c>
      <c r="X362" s="201">
        <f si="56" t="shared"/>
        <v>0</v>
      </c>
    </row>
    <row r="363" spans="20:24" x14ac:dyDescent="0.25">
      <c r="T363" s="201">
        <f>DayPatternCoefficients!A371</f>
        <v>1225</v>
      </c>
      <c r="U363" s="201" t="str">
        <f>DayPatternCoefficients!B371</f>
        <v>S/S-S/H</v>
      </c>
      <c r="V363" s="222">
        <f>DayPatternCoefficients!D371</f>
        <v>-1.13150811347</v>
      </c>
      <c r="W363" s="223">
        <f>_xlfn.IFNA(VLOOKUP(T363,$K$63:$M$111,3,FALSE),_xlfn.IFNA(VLOOKUP(T363,$G$5:$K$11,5,FALSE),_xlfn.IFNA(IF(VLOOKUP(T363,$G$19:$K$25,4,FALSE)&gt;0,VLOOKUP(T363,$G$19:$K$25,5,FALSE),VLOOKUP(T363,$G$33:$K$39,5,FALSE)),_xlfn.IFNA(VLOOKUP(T363,new_summaries!$V$4:$Y$101,4,FALSE),V363))))</f>
        <v>-1.13150811347</v>
      </c>
      <c r="X363" s="201">
        <f si="56" t="shared"/>
        <v>0</v>
      </c>
    </row>
    <row r="364" spans="20:24" x14ac:dyDescent="0.25">
      <c r="T364" s="201">
        <f>DayPatternCoefficients!A372</f>
        <v>1226</v>
      </c>
      <c r="U364" s="201" t="str">
        <f>DayPatternCoefficients!B372</f>
        <v>S/S-S/M</v>
      </c>
      <c r="V364" s="222">
        <f>DayPatternCoefficients!D372</f>
        <v>0.46235910839</v>
      </c>
      <c r="W364" s="223">
        <f>_xlfn.IFNA(VLOOKUP(T364,$K$63:$M$111,3,FALSE),_xlfn.IFNA(VLOOKUP(T364,$G$5:$K$11,5,FALSE),_xlfn.IFNA(IF(VLOOKUP(T364,$G$19:$K$25,4,FALSE)&gt;0,VLOOKUP(T364,$G$19:$K$25,5,FALSE),VLOOKUP(T364,$G$33:$K$39,5,FALSE)),_xlfn.IFNA(VLOOKUP(T364,new_summaries!$V$4:$Y$101,4,FALSE),V364))))</f>
        <v>0.46235910839</v>
      </c>
      <c r="X364" s="201">
        <f si="56" t="shared"/>
        <v>0</v>
      </c>
    </row>
    <row r="365" spans="20:24" x14ac:dyDescent="0.25">
      <c r="T365" s="201">
        <f>DayPatternCoefficients!A373</f>
        <v>1227</v>
      </c>
      <c r="U365" s="201" t="str">
        <f>DayPatternCoefficients!B373</f>
        <v>S/S-S/D</v>
      </c>
      <c r="V365" s="222">
        <f>DayPatternCoefficients!D373</f>
        <v>-0.18611062162</v>
      </c>
      <c r="W365" s="223">
        <f>_xlfn.IFNA(VLOOKUP(T365,$K$63:$M$111,3,FALSE),_xlfn.IFNA(VLOOKUP(T365,$G$5:$K$11,5,FALSE),_xlfn.IFNA(IF(VLOOKUP(T365,$G$19:$K$25,4,FALSE)&gt;0,VLOOKUP(T365,$G$19:$K$25,5,FALSE),VLOOKUP(T365,$G$33:$K$39,5,FALSE)),_xlfn.IFNA(VLOOKUP(T365,new_summaries!$V$4:$Y$101,4,FALSE),V365))))</f>
        <v>-0.18611062162</v>
      </c>
      <c r="X365" s="201">
        <f si="56" t="shared"/>
        <v>0</v>
      </c>
    </row>
    <row r="366" spans="20:24" x14ac:dyDescent="0.25">
      <c r="T366" s="201">
        <f>DayPatternCoefficients!A374</f>
        <v>1234</v>
      </c>
      <c r="U366" s="201" t="str">
        <f>DayPatternCoefficients!B374</f>
        <v>S/S-E/P</v>
      </c>
      <c r="V366" s="222">
        <f>DayPatternCoefficients!D374</f>
        <v>-0.52820419371000005</v>
      </c>
      <c r="W366" s="223">
        <f>_xlfn.IFNA(VLOOKUP(T366,$K$63:$M$111,3,FALSE),_xlfn.IFNA(VLOOKUP(T366,$G$5:$K$11,5,FALSE),_xlfn.IFNA(IF(VLOOKUP(T366,$G$19:$K$25,4,FALSE)&gt;0,VLOOKUP(T366,$G$19:$K$25,5,FALSE),VLOOKUP(T366,$G$33:$K$39,5,FALSE)),_xlfn.IFNA(VLOOKUP(T366,new_summaries!$V$4:$Y$101,4,FALSE),V366))))</f>
        <v>-0.52820419371000005</v>
      </c>
      <c r="X366" s="201">
        <f si="56" t="shared"/>
        <v>0</v>
      </c>
    </row>
    <row r="367" spans="20:24" x14ac:dyDescent="0.25">
      <c r="T367" s="201">
        <f>DayPatternCoefficients!A375</f>
        <v>1235</v>
      </c>
      <c r="U367" s="201" t="str">
        <f>DayPatternCoefficients!B375</f>
        <v>S/S-E/H</v>
      </c>
      <c r="V367" s="222">
        <f>DayPatternCoefficients!D375</f>
        <v>-0.73156894307999998</v>
      </c>
      <c r="W367" s="223">
        <f>_xlfn.IFNA(VLOOKUP(T367,$K$63:$M$111,3,FALSE),_xlfn.IFNA(VLOOKUP(T367,$G$5:$K$11,5,FALSE),_xlfn.IFNA(IF(VLOOKUP(T367,$G$19:$K$25,4,FALSE)&gt;0,VLOOKUP(T367,$G$19:$K$25,5,FALSE),VLOOKUP(T367,$G$33:$K$39,5,FALSE)),_xlfn.IFNA(VLOOKUP(T367,new_summaries!$V$4:$Y$101,4,FALSE),V367))))</f>
        <v>-0.73156894307999998</v>
      </c>
      <c r="X367" s="201">
        <f si="56" t="shared"/>
        <v>0</v>
      </c>
    </row>
    <row r="368" spans="20:24" x14ac:dyDescent="0.25">
      <c r="T368" s="201">
        <f>DayPatternCoefficients!A376</f>
        <v>1236</v>
      </c>
      <c r="U368" s="201" t="str">
        <f>DayPatternCoefficients!B376</f>
        <v>S/S-E/M</v>
      </c>
      <c r="V368" s="222">
        <f>DayPatternCoefficients!D376</f>
        <v>-0.38019855195000002</v>
      </c>
      <c r="W368" s="223">
        <f>_xlfn.IFNA(VLOOKUP(T368,$K$63:$M$111,3,FALSE),_xlfn.IFNA(VLOOKUP(T368,$G$5:$K$11,5,FALSE),_xlfn.IFNA(IF(VLOOKUP(T368,$G$19:$K$25,4,FALSE)&gt;0,VLOOKUP(T368,$G$19:$K$25,5,FALSE),VLOOKUP(T368,$G$33:$K$39,5,FALSE)),_xlfn.IFNA(VLOOKUP(T368,new_summaries!$V$4:$Y$101,4,FALSE),V368))))</f>
        <v>-0.38019855195000002</v>
      </c>
      <c r="X368" s="201">
        <f si="56" t="shared"/>
        <v>0</v>
      </c>
    </row>
    <row r="369" spans="20:24" x14ac:dyDescent="0.25">
      <c r="T369" s="201">
        <f>DayPatternCoefficients!A377</f>
        <v>1237</v>
      </c>
      <c r="U369" s="201" t="str">
        <f>DayPatternCoefficients!B377</f>
        <v>S/S-E/D</v>
      </c>
      <c r="V369" s="222">
        <f>DayPatternCoefficients!D377</f>
        <v>-0.17169006107000001</v>
      </c>
      <c r="W369" s="223">
        <f>_xlfn.IFNA(VLOOKUP(T369,$K$63:$M$111,3,FALSE),_xlfn.IFNA(VLOOKUP(T369,$G$5:$K$11,5,FALSE),_xlfn.IFNA(IF(VLOOKUP(T369,$G$19:$K$25,4,FALSE)&gt;0,VLOOKUP(T369,$G$19:$K$25,5,FALSE),VLOOKUP(T369,$G$33:$K$39,5,FALSE)),_xlfn.IFNA(VLOOKUP(T369,new_summaries!$V$4:$Y$101,4,FALSE),V369))))</f>
        <v>-0.17169006107000001</v>
      </c>
      <c r="X369" s="201">
        <f si="56" t="shared"/>
        <v>0</v>
      </c>
    </row>
    <row r="370" spans="20:24" x14ac:dyDescent="0.25">
      <c r="T370" s="201">
        <f>DayPatternCoefficients!A378</f>
        <v>1245</v>
      </c>
      <c r="U370" s="201" t="str">
        <f>DayPatternCoefficients!B378</f>
        <v>S/S-P/H</v>
      </c>
      <c r="V370" s="222">
        <f>DayPatternCoefficients!D378</f>
        <v>-0.20732203726000001</v>
      </c>
      <c r="W370" s="223">
        <f>_xlfn.IFNA(VLOOKUP(T370,$K$63:$M$111,3,FALSE),_xlfn.IFNA(VLOOKUP(T370,$G$5:$K$11,5,FALSE),_xlfn.IFNA(IF(VLOOKUP(T370,$G$19:$K$25,4,FALSE)&gt;0,VLOOKUP(T370,$G$19:$K$25,5,FALSE),VLOOKUP(T370,$G$33:$K$39,5,FALSE)),_xlfn.IFNA(VLOOKUP(T370,new_summaries!$V$4:$Y$101,4,FALSE),V370))))</f>
        <v>-0.20732203726000001</v>
      </c>
      <c r="X370" s="201">
        <f si="56" t="shared"/>
        <v>0</v>
      </c>
    </row>
    <row r="371" spans="20:24" x14ac:dyDescent="0.25">
      <c r="T371" s="201">
        <f>DayPatternCoefficients!A379</f>
        <v>1246</v>
      </c>
      <c r="U371" s="201" t="str">
        <f>DayPatternCoefficients!B379</f>
        <v>S/S-P/M</v>
      </c>
      <c r="V371" s="222">
        <f>DayPatternCoefficients!D379</f>
        <v>-0.48987563117999999</v>
      </c>
      <c r="W371" s="223">
        <f>_xlfn.IFNA(VLOOKUP(T371,$K$63:$M$111,3,FALSE),_xlfn.IFNA(VLOOKUP(T371,$G$5:$K$11,5,FALSE),_xlfn.IFNA(IF(VLOOKUP(T371,$G$19:$K$25,4,FALSE)&gt;0,VLOOKUP(T371,$G$19:$K$25,5,FALSE),VLOOKUP(T371,$G$33:$K$39,5,FALSE)),_xlfn.IFNA(VLOOKUP(T371,new_summaries!$V$4:$Y$101,4,FALSE),V371))))</f>
        <v>-0.48987563117999999</v>
      </c>
      <c r="X371" s="201">
        <f si="56" t="shared"/>
        <v>0</v>
      </c>
    </row>
    <row r="372" spans="20:24" x14ac:dyDescent="0.25">
      <c r="T372" s="201">
        <f>DayPatternCoefficients!A380</f>
        <v>1247</v>
      </c>
      <c r="U372" s="201" t="str">
        <f>DayPatternCoefficients!B380</f>
        <v>S/S-P/D</v>
      </c>
      <c r="V372" s="222">
        <f>DayPatternCoefficients!D380</f>
        <v>-0.70672408033</v>
      </c>
      <c r="W372" s="223">
        <f>_xlfn.IFNA(VLOOKUP(T372,$K$63:$M$111,3,FALSE),_xlfn.IFNA(VLOOKUP(T372,$G$5:$K$11,5,FALSE),_xlfn.IFNA(IF(VLOOKUP(T372,$G$19:$K$25,4,FALSE)&gt;0,VLOOKUP(T372,$G$19:$K$25,5,FALSE),VLOOKUP(T372,$G$33:$K$39,5,FALSE)),_xlfn.IFNA(VLOOKUP(T372,new_summaries!$V$4:$Y$101,4,FALSE),V372))))</f>
        <v>-0.70672408033</v>
      </c>
      <c r="X372" s="201">
        <f si="56" t="shared"/>
        <v>0</v>
      </c>
    </row>
    <row r="373" spans="20:24" x14ac:dyDescent="0.25">
      <c r="T373" s="201">
        <f>DayPatternCoefficients!A381</f>
        <v>1256</v>
      </c>
      <c r="U373" s="201" t="str">
        <f>DayPatternCoefficients!B381</f>
        <v>S/S-H/M</v>
      </c>
      <c r="V373" s="222">
        <f>DayPatternCoefficients!D381</f>
        <v>-0.48653889900000002</v>
      </c>
      <c r="W373" s="223">
        <f>_xlfn.IFNA(VLOOKUP(T373,$K$63:$M$111,3,FALSE),_xlfn.IFNA(VLOOKUP(T373,$G$5:$K$11,5,FALSE),_xlfn.IFNA(IF(VLOOKUP(T373,$G$19:$K$25,4,FALSE)&gt;0,VLOOKUP(T373,$G$19:$K$25,5,FALSE),VLOOKUP(T373,$G$33:$K$39,5,FALSE)),_xlfn.IFNA(VLOOKUP(T373,new_summaries!$V$4:$Y$101,4,FALSE),V373))))</f>
        <v>-0.48653889900000002</v>
      </c>
      <c r="X373" s="201">
        <f si="56" t="shared"/>
        <v>0</v>
      </c>
    </row>
    <row r="374" spans="20:24" x14ac:dyDescent="0.25">
      <c r="T374" s="201">
        <f>DayPatternCoefficients!A382</f>
        <v>1257</v>
      </c>
      <c r="U374" s="201" t="str">
        <f>DayPatternCoefficients!B382</f>
        <v>S/S-H/D</v>
      </c>
      <c r="V374" s="222">
        <f>DayPatternCoefficients!D382</f>
        <v>-0.64057657043000005</v>
      </c>
      <c r="W374" s="223">
        <f>_xlfn.IFNA(VLOOKUP(T374,$K$63:$M$111,3,FALSE),_xlfn.IFNA(VLOOKUP(T374,$G$5:$K$11,5,FALSE),_xlfn.IFNA(IF(VLOOKUP(T374,$G$19:$K$25,4,FALSE)&gt;0,VLOOKUP(T374,$G$19:$K$25,5,FALSE),VLOOKUP(T374,$G$33:$K$39,5,FALSE)),_xlfn.IFNA(VLOOKUP(T374,new_summaries!$V$4:$Y$101,4,FALSE),V374))))</f>
        <v>-0.64057657043000005</v>
      </c>
      <c r="X374" s="201">
        <f si="56" t="shared"/>
        <v>0</v>
      </c>
    </row>
    <row r="375" spans="20:24" x14ac:dyDescent="0.25">
      <c r="T375" s="201">
        <f>DayPatternCoefficients!A383</f>
        <v>1311</v>
      </c>
      <c r="U375" s="201" t="str">
        <f>DayPatternCoefficients!B383</f>
        <v>NT/NS-1/1</v>
      </c>
      <c r="V375" s="222">
        <f>DayPatternCoefficients!D383</f>
        <v>-3.0895488316500002</v>
      </c>
      <c r="W375" s="223">
        <f>_xlfn.IFNA(VLOOKUP(T375,$K$63:$M$111,3,FALSE),_xlfn.IFNA(VLOOKUP(T375,$G$5:$K$11,5,FALSE),_xlfn.IFNA(IF(VLOOKUP(T375,$G$19:$K$25,4,FALSE)&gt;0,VLOOKUP(T375,$G$19:$K$25,5,FALSE),VLOOKUP(T375,$G$33:$K$39,5,FALSE)),_xlfn.IFNA(VLOOKUP(T375,new_summaries!$V$4:$Y$101,4,FALSE),V375))))</f>
        <v>-3.0895488316500002</v>
      </c>
      <c r="X375" s="201">
        <f si="56" t="shared"/>
        <v>0</v>
      </c>
    </row>
    <row r="376" spans="20:24" x14ac:dyDescent="0.25">
      <c r="T376" s="201">
        <f>DayPatternCoefficients!A384</f>
        <v>1312</v>
      </c>
      <c r="U376" s="201" t="str">
        <f>DayPatternCoefficients!B384</f>
        <v>NT/NS-1/2</v>
      </c>
      <c r="V376" s="222">
        <f>DayPatternCoefficients!D384</f>
        <v>-4.6880391214500001</v>
      </c>
      <c r="W376" s="223">
        <f>_xlfn.IFNA(VLOOKUP(T376,$K$63:$M$111,3,FALSE),_xlfn.IFNA(VLOOKUP(T376,$G$5:$K$11,5,FALSE),_xlfn.IFNA(IF(VLOOKUP(T376,$G$19:$K$25,4,FALSE)&gt;0,VLOOKUP(T376,$G$19:$K$25,5,FALSE),VLOOKUP(T376,$G$33:$K$39,5,FALSE)),_xlfn.IFNA(VLOOKUP(T376,new_summaries!$V$4:$Y$101,4,FALSE),V376))))</f>
        <v>-4.6880391214500001</v>
      </c>
      <c r="X376" s="201">
        <f si="56" t="shared"/>
        <v>0</v>
      </c>
    </row>
    <row r="377" spans="20:24" x14ac:dyDescent="0.25">
      <c r="T377" s="201">
        <f>DayPatternCoefficients!A385</f>
        <v>1313</v>
      </c>
      <c r="U377" s="201" t="str">
        <f>DayPatternCoefficients!B385</f>
        <v>NT/NS-1/3</v>
      </c>
      <c r="V377" s="222">
        <f>DayPatternCoefficients!D385</f>
        <v>-5.2719733197699998</v>
      </c>
      <c r="W377" s="223">
        <f>_xlfn.IFNA(VLOOKUP(T377,$K$63:$M$111,3,FALSE),_xlfn.IFNA(VLOOKUP(T377,$G$5:$K$11,5,FALSE),_xlfn.IFNA(IF(VLOOKUP(T377,$G$19:$K$25,4,FALSE)&gt;0,VLOOKUP(T377,$G$19:$K$25,5,FALSE),VLOOKUP(T377,$G$33:$K$39,5,FALSE)),_xlfn.IFNA(VLOOKUP(T377,new_summaries!$V$4:$Y$101,4,FALSE),V377))))</f>
        <v>-5.2719733197699998</v>
      </c>
      <c r="X377" s="201">
        <f si="56" t="shared"/>
        <v>0</v>
      </c>
    </row>
    <row r="378" spans="20:24" x14ac:dyDescent="0.25">
      <c r="T378" s="201">
        <f>DayPatternCoefficients!A386</f>
        <v>1321</v>
      </c>
      <c r="U378" s="201" t="str">
        <f>DayPatternCoefficients!B386</f>
        <v>NT/NS-2/1</v>
      </c>
      <c r="V378" s="222">
        <f>DayPatternCoefficients!D386</f>
        <v>-2.98919984582</v>
      </c>
      <c r="W378" s="223">
        <f>_xlfn.IFNA(VLOOKUP(T378,$K$63:$M$111,3,FALSE),_xlfn.IFNA(VLOOKUP(T378,$G$5:$K$11,5,FALSE),_xlfn.IFNA(IF(VLOOKUP(T378,$G$19:$K$25,4,FALSE)&gt;0,VLOOKUP(T378,$G$19:$K$25,5,FALSE),VLOOKUP(T378,$G$33:$K$39,5,FALSE)),_xlfn.IFNA(VLOOKUP(T378,new_summaries!$V$4:$Y$101,4,FALSE),V378))))</f>
        <v>-2.98919984582</v>
      </c>
      <c r="X378" s="201">
        <f si="56" t="shared"/>
        <v>0</v>
      </c>
    </row>
    <row r="379" spans="20:24" x14ac:dyDescent="0.25">
      <c r="T379" s="201">
        <f>DayPatternCoefficients!A387</f>
        <v>1322</v>
      </c>
      <c r="U379" s="201" t="str">
        <f>DayPatternCoefficients!B387</f>
        <v>NT/NS-2/2</v>
      </c>
      <c r="V379" s="222">
        <f>DayPatternCoefficients!D387</f>
        <v>-4.5628566934299997</v>
      </c>
      <c r="W379" s="223">
        <f>_xlfn.IFNA(VLOOKUP(T379,$K$63:$M$111,3,FALSE),_xlfn.IFNA(VLOOKUP(T379,$G$5:$K$11,5,FALSE),_xlfn.IFNA(IF(VLOOKUP(T379,$G$19:$K$25,4,FALSE)&gt;0,VLOOKUP(T379,$G$19:$K$25,5,FALSE),VLOOKUP(T379,$G$33:$K$39,5,FALSE)),_xlfn.IFNA(VLOOKUP(T379,new_summaries!$V$4:$Y$101,4,FALSE),V379))))</f>
        <v>-4.5628566934299997</v>
      </c>
      <c r="X379" s="201">
        <f si="56" t="shared"/>
        <v>0</v>
      </c>
    </row>
    <row r="380" spans="20:24" x14ac:dyDescent="0.25">
      <c r="T380" s="201">
        <f>DayPatternCoefficients!A388</f>
        <v>1323</v>
      </c>
      <c r="U380" s="201" t="str">
        <f>DayPatternCoefficients!B388</f>
        <v>NT/NS-2/3</v>
      </c>
      <c r="V380" s="222">
        <f>DayPatternCoefficients!D388</f>
        <v>-5.1473826788899997</v>
      </c>
      <c r="W380" s="223">
        <f>_xlfn.IFNA(VLOOKUP(T380,$K$63:$M$111,3,FALSE),_xlfn.IFNA(VLOOKUP(T380,$G$5:$K$11,5,FALSE),_xlfn.IFNA(IF(VLOOKUP(T380,$G$19:$K$25,4,FALSE)&gt;0,VLOOKUP(T380,$G$19:$K$25,5,FALSE),VLOOKUP(T380,$G$33:$K$39,5,FALSE)),_xlfn.IFNA(VLOOKUP(T380,new_summaries!$V$4:$Y$101,4,FALSE),V380))))</f>
        <v>-5.1473826788899997</v>
      </c>
      <c r="X380" s="201">
        <f si="56" t="shared"/>
        <v>0</v>
      </c>
    </row>
    <row r="381" spans="20:24" x14ac:dyDescent="0.25">
      <c r="T381" s="201">
        <f>DayPatternCoefficients!A389</f>
        <v>1331</v>
      </c>
      <c r="U381" s="201" t="str">
        <f>DayPatternCoefficients!B389</f>
        <v>NT/NS-3/1</v>
      </c>
      <c r="V381" s="222">
        <f>DayPatternCoefficients!D389</f>
        <v>-2.7935912245000001</v>
      </c>
      <c r="W381" s="223">
        <f>_xlfn.IFNA(VLOOKUP(T381,$K$63:$M$111,3,FALSE),_xlfn.IFNA(VLOOKUP(T381,$G$5:$K$11,5,FALSE),_xlfn.IFNA(IF(VLOOKUP(T381,$G$19:$K$25,4,FALSE)&gt;0,VLOOKUP(T381,$G$19:$K$25,5,FALSE),VLOOKUP(T381,$G$33:$K$39,5,FALSE)),_xlfn.IFNA(VLOOKUP(T381,new_summaries!$V$4:$Y$101,4,FALSE),V381))))</f>
        <v>-2.7935912245000001</v>
      </c>
      <c r="X381" s="201">
        <f si="56" t="shared"/>
        <v>0</v>
      </c>
    </row>
    <row r="382" spans="20:24" x14ac:dyDescent="0.25">
      <c r="T382" s="201">
        <f>DayPatternCoefficients!A390</f>
        <v>1332</v>
      </c>
      <c r="U382" s="201" t="str">
        <f>DayPatternCoefficients!B390</f>
        <v>NT/NS-3/2</v>
      </c>
      <c r="V382" s="222">
        <f>DayPatternCoefficients!D390</f>
        <v>-4.48645805507</v>
      </c>
      <c r="W382" s="223">
        <f>_xlfn.IFNA(VLOOKUP(T382,$K$63:$M$111,3,FALSE),_xlfn.IFNA(VLOOKUP(T382,$G$5:$K$11,5,FALSE),_xlfn.IFNA(IF(VLOOKUP(T382,$G$19:$K$25,4,FALSE)&gt;0,VLOOKUP(T382,$G$19:$K$25,5,FALSE),VLOOKUP(T382,$G$33:$K$39,5,FALSE)),_xlfn.IFNA(VLOOKUP(T382,new_summaries!$V$4:$Y$101,4,FALSE),V382))))</f>
        <v>-4.48645805507</v>
      </c>
      <c r="X382" s="201">
        <f si="56" t="shared"/>
        <v>0</v>
      </c>
    </row>
    <row r="383" spans="20:24" x14ac:dyDescent="0.25">
      <c r="T383" s="201">
        <f>DayPatternCoefficients!A391</f>
        <v>1401</v>
      </c>
      <c r="U383" s="201" t="str">
        <f>DayPatternCoefficients!B391</f>
        <v>TxCARSPD</v>
      </c>
      <c r="V383" s="222">
        <f>DayPatternCoefficients!D391</f>
        <v>6.7478150240000007E-2</v>
      </c>
      <c r="W383" s="223">
        <f>_xlfn.IFNA(VLOOKUP(T383,$K$63:$M$111,3,FALSE),_xlfn.IFNA(VLOOKUP(T383,$G$5:$K$11,5,FALSE),_xlfn.IFNA(IF(VLOOKUP(T383,$G$19:$K$25,4,FALSE)&gt;0,VLOOKUP(T383,$G$19:$K$25,5,FALSE),VLOOKUP(T383,$G$33:$K$39,5,FALSE)),_xlfn.IFNA(VLOOKUP(T383,new_summaries!$V$4:$Y$101,4,FALSE),V383))))</f>
        <v>6.7478150240000007E-2</v>
      </c>
      <c r="X383" s="201">
        <f si="56" t="shared"/>
        <v>0</v>
      </c>
    </row>
    <row r="384" spans="20:24" x14ac:dyDescent="0.25">
      <c r="T384" s="201">
        <f>DayPatternCoefficients!A392</f>
        <v>1402</v>
      </c>
      <c r="U384" s="201" t="str">
        <f>DayPatternCoefficients!B392</f>
        <v>TxWAHOME</v>
      </c>
      <c r="V384" s="222">
        <f>DayPatternCoefficients!D392</f>
        <v>0.24276221477000001</v>
      </c>
      <c r="W384" s="223">
        <f>_xlfn.IFNA(VLOOKUP(T384,$K$63:$M$111,3,FALSE),_xlfn.IFNA(VLOOKUP(T384,$G$5:$K$11,5,FALSE),_xlfn.IFNA(IF(VLOOKUP(T384,$G$19:$K$25,4,FALSE)&gt;0,VLOOKUP(T384,$G$19:$K$25,5,FALSE),VLOOKUP(T384,$G$33:$K$39,5,FALSE)),_xlfn.IFNA(VLOOKUP(T384,new_summaries!$V$4:$Y$101,4,FALSE),V384))))</f>
        <v>0.24276221477000001</v>
      </c>
      <c r="X384" s="201">
        <f si="56" t="shared"/>
        <v>0</v>
      </c>
    </row>
    <row r="385" spans="20:24" x14ac:dyDescent="0.25">
      <c r="T385" s="201">
        <f>DayPatternCoefficients!A393</f>
        <v>1403</v>
      </c>
      <c r="U385" s="201" t="str">
        <f>DayPatternCoefficients!B393</f>
        <v>TxMIXDEN</v>
      </c>
      <c r="V385" s="222">
        <f>DayPatternCoefficients!D393</f>
        <v>0.56918922084000001</v>
      </c>
      <c r="W385" s="223">
        <f>_xlfn.IFNA(VLOOKUP(T385,$K$63:$M$111,3,FALSE),_xlfn.IFNA(VLOOKUP(T385,$G$5:$K$11,5,FALSE),_xlfn.IFNA(IF(VLOOKUP(T385,$G$19:$K$25,4,FALSE)&gt;0,VLOOKUP(T385,$G$19:$K$25,5,FALSE),VLOOKUP(T385,$G$33:$K$39,5,FALSE)),_xlfn.IFNA(VLOOKUP(T385,new_summaries!$V$4:$Y$101,4,FALSE),V385))))</f>
        <v>0.56918922084000001</v>
      </c>
      <c r="X385" s="201">
        <f si="56" t="shared"/>
        <v>0</v>
      </c>
    </row>
    <row r="386" spans="20:24" x14ac:dyDescent="0.25">
      <c r="T386" s="201">
        <f>DayPatternCoefficients!A394</f>
        <v>1404</v>
      </c>
      <c r="U386" s="201" t="str">
        <f>DayPatternCoefficients!B394</f>
        <v>TxMDEN515</v>
      </c>
      <c r="V386" s="222">
        <f>DayPatternCoefficients!D394</f>
        <v>-0.78749655288999998</v>
      </c>
      <c r="W386" s="223">
        <f>_xlfn.IFNA(VLOOKUP(T386,$K$63:$M$111,3,FALSE),_xlfn.IFNA(VLOOKUP(T386,$G$5:$K$11,5,FALSE),_xlfn.IFNA(IF(VLOOKUP(T386,$G$19:$K$25,4,FALSE)&gt;0,VLOOKUP(T386,$G$19:$K$25,5,FALSE),VLOOKUP(T386,$G$33:$K$39,5,FALSE)),_xlfn.IFNA(VLOOKUP(T386,new_summaries!$V$4:$Y$101,4,FALSE),V386))))</f>
        <v>-0.78749655288999998</v>
      </c>
      <c r="X386" s="201">
        <f si="56" t="shared"/>
        <v>0</v>
      </c>
    </row>
    <row r="387" spans="20:24" x14ac:dyDescent="0.25">
      <c r="T387" s="201">
        <f>DayPatternCoefficients!A395</f>
        <v>1405</v>
      </c>
      <c r="U387" s="201" t="str">
        <f>DayPatternCoefficients!B395</f>
        <v>TxHLOGS</v>
      </c>
      <c r="V387" s="222">
        <f>DayPatternCoefficients!D395</f>
        <v>-3.3357793339999997E-2</v>
      </c>
      <c r="W387" s="223">
        <f>_xlfn.IFNA(VLOOKUP(T387,$K$63:$M$111,3,FALSE),_xlfn.IFNA(VLOOKUP(T387,$G$5:$K$11,5,FALSE),_xlfn.IFNA(IF(VLOOKUP(T387,$G$19:$K$25,4,FALSE)&gt;0,VLOOKUP(T387,$G$19:$K$25,5,FALSE),VLOOKUP(T387,$G$33:$K$39,5,FALSE)),_xlfn.IFNA(VLOOKUP(T387,new_summaries!$V$4:$Y$101,4,FALSE),V387))))</f>
        <v>-3.3357793339999997E-2</v>
      </c>
      <c r="X387" s="201">
        <f ref="X387:X394" si="57" t="shared">IF(V387=W387,0,1)</f>
        <v>0</v>
      </c>
    </row>
    <row r="388" spans="20:24" x14ac:dyDescent="0.25">
      <c r="T388" s="201">
        <f>DayPatternCoefficients!A396</f>
        <v>1406</v>
      </c>
      <c r="U388" s="201" t="str">
        <f>DayPatternCoefficients!B396</f>
        <v>TxTPASS</v>
      </c>
      <c r="V388" s="222">
        <f>DayPatternCoefficients!D396</f>
        <v>0</v>
      </c>
      <c r="W388" s="223">
        <f>_xlfn.IFNA(VLOOKUP(T388,$K$63:$M$111,3,FALSE),_xlfn.IFNA(VLOOKUP(T388,$G$5:$K$11,5,FALSE),_xlfn.IFNA(IF(VLOOKUP(T388,$G$19:$K$25,4,FALSE)&gt;0,VLOOKUP(T388,$G$19:$K$25,5,FALSE),VLOOKUP(T388,$G$33:$K$39,5,FALSE)),_xlfn.IFNA(VLOOKUP(T388,new_summaries!$V$4:$Y$101,4,FALSE),V388))))</f>
        <v>0</v>
      </c>
      <c r="X388" s="201">
        <f si="57" t="shared"/>
        <v>0</v>
      </c>
    </row>
    <row r="389" spans="20:24" x14ac:dyDescent="0.25">
      <c r="T389" s="201">
        <f>DayPatternCoefficients!A397</f>
        <v>1411</v>
      </c>
      <c r="U389" s="201" t="str">
        <f>DayPatternCoefficients!B397</f>
        <v>SxCARSPD</v>
      </c>
      <c r="V389" s="222">
        <f>DayPatternCoefficients!D397</f>
        <v>0.27559751794999998</v>
      </c>
      <c r="W389" s="223">
        <f>_xlfn.IFNA(VLOOKUP(T389,$K$63:$M$111,3,FALSE),_xlfn.IFNA(VLOOKUP(T389,$G$5:$K$11,5,FALSE),_xlfn.IFNA(IF(VLOOKUP(T389,$G$19:$K$25,4,FALSE)&gt;0,VLOOKUP(T389,$G$19:$K$25,5,FALSE),VLOOKUP(T389,$G$33:$K$39,5,FALSE)),_xlfn.IFNA(VLOOKUP(T389,new_summaries!$V$4:$Y$101,4,FALSE),V389))))</f>
        <v>0.27559751794999998</v>
      </c>
      <c r="X389" s="201">
        <f si="57" t="shared"/>
        <v>0</v>
      </c>
    </row>
    <row r="390" spans="20:24" x14ac:dyDescent="0.25">
      <c r="T390" s="201">
        <f>DayPatternCoefficients!A398</f>
        <v>1412</v>
      </c>
      <c r="U390" s="201" t="str">
        <f>DayPatternCoefficients!B398</f>
        <v>SxWAHOME</v>
      </c>
      <c r="V390" s="222">
        <f>DayPatternCoefficients!D398</f>
        <v>0.17673343790000001</v>
      </c>
      <c r="W390" s="223">
        <f>_xlfn.IFNA(VLOOKUP(T390,$K$63:$M$111,3,FALSE),_xlfn.IFNA(VLOOKUP(T390,$G$5:$K$11,5,FALSE),_xlfn.IFNA(IF(VLOOKUP(T390,$G$19:$K$25,4,FALSE)&gt;0,VLOOKUP(T390,$G$19:$K$25,5,FALSE),VLOOKUP(T390,$G$33:$K$39,5,FALSE)),_xlfn.IFNA(VLOOKUP(T390,new_summaries!$V$4:$Y$101,4,FALSE),V390))))</f>
        <v>0.17673343790000001</v>
      </c>
      <c r="X390" s="201">
        <f si="57" t="shared"/>
        <v>0</v>
      </c>
    </row>
    <row r="391" spans="20:24" x14ac:dyDescent="0.25">
      <c r="T391" s="201">
        <f>DayPatternCoefficients!A399</f>
        <v>1413</v>
      </c>
      <c r="U391" s="201" t="str">
        <f>DayPatternCoefficients!B399</f>
        <v>SxMIXDEN</v>
      </c>
      <c r="V391" s="222">
        <f>DayPatternCoefficients!D399</f>
        <v>0</v>
      </c>
      <c r="W391" s="223">
        <f>_xlfn.IFNA(VLOOKUP(T391,$K$63:$M$111,3,FALSE),_xlfn.IFNA(VLOOKUP(T391,$G$5:$K$11,5,FALSE),_xlfn.IFNA(IF(VLOOKUP(T391,$G$19:$K$25,4,FALSE)&gt;0,VLOOKUP(T391,$G$19:$K$25,5,FALSE),VLOOKUP(T391,$G$33:$K$39,5,FALSE)),_xlfn.IFNA(VLOOKUP(T391,new_summaries!$V$4:$Y$101,4,FALSE),V391))))</f>
        <v>0</v>
      </c>
      <c r="X391" s="201">
        <f si="57" t="shared"/>
        <v>0</v>
      </c>
    </row>
    <row r="392" spans="20:24" x14ac:dyDescent="0.25">
      <c r="T392" s="201">
        <f>DayPatternCoefficients!A400</f>
        <v>1414</v>
      </c>
      <c r="U392" s="201" t="str">
        <f>DayPatternCoefficients!B400</f>
        <v>SxMDEN515</v>
      </c>
      <c r="V392" s="222">
        <f>DayPatternCoefficients!D400</f>
        <v>0.53708781768000002</v>
      </c>
      <c r="W392" s="223">
        <f>_xlfn.IFNA(VLOOKUP(T392,$K$63:$M$111,3,FALSE),_xlfn.IFNA(VLOOKUP(T392,$G$5:$K$11,5,FALSE),_xlfn.IFNA(IF(VLOOKUP(T392,$G$19:$K$25,4,FALSE)&gt;0,VLOOKUP(T392,$G$19:$K$25,5,FALSE),VLOOKUP(T392,$G$33:$K$39,5,FALSE)),_xlfn.IFNA(VLOOKUP(T392,new_summaries!$V$4:$Y$101,4,FALSE),V392))))</f>
        <v>0.53708781768000002</v>
      </c>
      <c r="X392" s="201">
        <f si="57" t="shared"/>
        <v>0</v>
      </c>
    </row>
    <row r="393" spans="20:24" x14ac:dyDescent="0.25">
      <c r="T393" s="201">
        <f>DayPatternCoefficients!A401</f>
        <v>1415</v>
      </c>
      <c r="U393" s="201" t="str">
        <f>DayPatternCoefficients!B401</f>
        <v>SxHLOGS</v>
      </c>
      <c r="V393" s="222">
        <f>DayPatternCoefficients!D401</f>
        <v>4.1828202400000002E-3</v>
      </c>
      <c r="W393" s="223">
        <f>_xlfn.IFNA(VLOOKUP(T393,$K$63:$M$111,3,FALSE),_xlfn.IFNA(VLOOKUP(T393,$G$5:$K$11,5,FALSE),_xlfn.IFNA(IF(VLOOKUP(T393,$G$19:$K$25,4,FALSE)&gt;0,VLOOKUP(T393,$G$19:$K$25,5,FALSE),VLOOKUP(T393,$G$33:$K$39,5,FALSE)),_xlfn.IFNA(VLOOKUP(T393,new_summaries!$V$4:$Y$101,4,FALSE),V393))))</f>
        <v>4.1828202400000002E-3</v>
      </c>
      <c r="X393" s="201">
        <f si="57" t="shared"/>
        <v>0</v>
      </c>
    </row>
    <row r="394" spans="20:24" x14ac:dyDescent="0.25">
      <c r="T394" s="201">
        <f>DayPatternCoefficients!A402</f>
        <v>1416</v>
      </c>
      <c r="U394" s="201" t="str">
        <f>DayPatternCoefficients!B402</f>
        <v>SxTPASS</v>
      </c>
      <c r="V394" s="222">
        <f>DayPatternCoefficients!D402</f>
        <v>0</v>
      </c>
      <c r="W394" s="223">
        <f>_xlfn.IFNA(VLOOKUP(T394,$K$63:$M$111,3,FALSE),_xlfn.IFNA(VLOOKUP(T394,$G$5:$K$11,5,FALSE),_xlfn.IFNA(IF(VLOOKUP(T394,$G$19:$K$25,4,FALSE)&gt;0,VLOOKUP(T394,$G$19:$K$25,5,FALSE),VLOOKUP(T394,$G$33:$K$39,5,FALSE)),_xlfn.IFNA(VLOOKUP(T394,new_summaries!$V$4:$Y$101,4,FALSE),V394))))</f>
        <v>0</v>
      </c>
      <c r="X394" s="201">
        <f si="57" t="shared"/>
        <v>0</v>
      </c>
    </row>
    <row r="395" spans="20:24" x14ac:dyDescent="0.25">
      <c r="V395" s="222"/>
      <c r="W395" s="223"/>
    </row>
    <row r="396" spans="20:24" x14ac:dyDescent="0.25">
      <c r="V396" s="222"/>
      <c r="W396" s="223"/>
    </row>
    <row r="397" spans="20:24" x14ac:dyDescent="0.25">
      <c r="V397" s="222"/>
      <c r="W397" s="223"/>
    </row>
    <row r="398" spans="20:24" x14ac:dyDescent="0.25">
      <c r="V398" s="222"/>
      <c r="W398" s="223"/>
    </row>
    <row r="399" spans="20:24" x14ac:dyDescent="0.25">
      <c r="V399" s="222"/>
      <c r="W399" s="223"/>
    </row>
    <row r="400" spans="20:24" x14ac:dyDescent="0.25">
      <c r="V400" s="222"/>
      <c r="W400" s="223"/>
    </row>
    <row r="401" spans="22:23" x14ac:dyDescent="0.25">
      <c r="V401" s="222"/>
      <c r="W401" s="223"/>
    </row>
    <row r="402" spans="22:23" x14ac:dyDescent="0.25">
      <c r="V402" s="222"/>
      <c r="W402" s="223"/>
    </row>
    <row r="403" spans="22:23" x14ac:dyDescent="0.25">
      <c r="V403" s="222"/>
      <c r="W403" s="223"/>
    </row>
    <row r="404" spans="22:23" x14ac:dyDescent="0.25">
      <c r="V404" s="222"/>
      <c r="W404" s="223"/>
    </row>
    <row r="405" spans="22:23" x14ac:dyDescent="0.25">
      <c r="V405" s="222"/>
      <c r="W405" s="223"/>
    </row>
    <row r="406" spans="22:23" x14ac:dyDescent="0.25">
      <c r="V406" s="222"/>
      <c r="W406" s="223"/>
    </row>
    <row r="407" spans="22:23" x14ac:dyDescent="0.25">
      <c r="V407" s="222"/>
      <c r="W407" s="223"/>
    </row>
    <row r="408" spans="22:23" x14ac:dyDescent="0.25">
      <c r="V408" s="222"/>
      <c r="W408" s="223"/>
    </row>
  </sheetData>
  <autoFilter ref="AG2:AK122"/>
  <conditionalFormatting sqref="X3:X408">
    <cfRule dxfId="9" operator="greaterThan" priority="10" type="cellIs">
      <formula>0</formula>
    </cfRule>
  </conditionalFormatting>
  <conditionalFormatting sqref="AD3:AD17">
    <cfRule dxfId="8" operator="greaterThan" priority="9" type="cellIs">
      <formula>0</formula>
    </cfRule>
  </conditionalFormatting>
  <conditionalFormatting sqref="C91:I95 C89:D89 G90:I90 G89:H89 C90 J90:J95">
    <cfRule dxfId="7" operator="lessThan" priority="1" type="cellIs">
      <formula>0.95</formula>
    </cfRule>
    <cfRule dxfId="6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1:AP100"/>
  <sheetViews>
    <sheetView topLeftCell="A46" workbookViewId="0" zoomScaleNormal="100">
      <pane activePane="topRight" state="frozen" topLeftCell="O1" xSplit="2"/>
      <selection activeCell="A8" sqref="A8"/>
      <selection activeCell="I1" pane="topRight" sqref="I1"/>
    </sheetView>
  </sheetViews>
  <sheetFormatPr defaultColWidth="9" defaultRowHeight="12.75" x14ac:dyDescent="0.2"/>
  <cols>
    <col min="1" max="4" customWidth="true" style="147" width="9.0" collapsed="true"/>
    <col min="5" max="5" bestFit="true" customWidth="true" style="147" width="10.0" collapsed="true"/>
    <col min="6" max="7" customWidth="true" style="147" width="9.0" collapsed="true"/>
    <col min="8" max="8" bestFit="true" customWidth="true" style="147" width="9.625" collapsed="true"/>
    <col min="9" max="9" bestFit="true" customWidth="true" style="147" width="10.625" collapsed="true"/>
    <col min="10" max="10" bestFit="true" customWidth="true" style="147" width="11.625" collapsed="true"/>
    <col min="11" max="11" bestFit="true" customWidth="true" style="147" width="10.625" collapsed="true"/>
    <col min="12" max="12" customWidth="true" style="147" width="9.0" collapsed="true"/>
    <col min="13" max="13" bestFit="true" customWidth="true" style="147" width="10.5" collapsed="true"/>
    <col min="14" max="14" customWidth="true" style="147" width="9.0" collapsed="true"/>
    <col min="15" max="15" bestFit="true" customWidth="true" style="147" width="10.5" collapsed="true"/>
    <col min="16" max="22" customWidth="true" style="147" width="9.0" collapsed="true"/>
    <col min="23" max="16384" style="147" width="9.0" collapsed="true"/>
  </cols>
  <sheetData>
    <row r="1" spans="2:41" x14ac:dyDescent="0.2">
      <c r="H1" s="147" t="s">
        <v>1248</v>
      </c>
      <c r="I1" s="263">
        <v>0.87</v>
      </c>
    </row>
    <row r="2" spans="2:41" x14ac:dyDescent="0.2">
      <c r="B2" s="146" t="s">
        <v>20</v>
      </c>
      <c r="M2" s="146" t="str">
        <f>B2</f>
        <v>TABLE 3. TOURS BY PURPOSE</v>
      </c>
      <c r="T2" s="146" t="s">
        <v>41</v>
      </c>
    </row>
    <row customHeight="1" ht="13.5" r="3" spans="2:41" thickBot="1" x14ac:dyDescent="0.25">
      <c r="C3" s="148"/>
      <c r="D3" s="148"/>
      <c r="E3" s="148"/>
      <c r="F3" s="148"/>
      <c r="M3" s="148"/>
      <c r="N3" s="148"/>
      <c r="O3" s="148"/>
      <c r="P3" s="148"/>
      <c r="Q3" s="148"/>
      <c r="T3" s="146" t="s">
        <v>170</v>
      </c>
    </row>
    <row customHeight="1" ht="13.5" r="4" spans="2:41" thickBot="1" x14ac:dyDescent="0.25">
      <c r="B4" s="149" t="s">
        <v>22</v>
      </c>
      <c r="C4" s="193" t="s">
        <v>2</v>
      </c>
      <c r="D4" s="193" t="s">
        <v>3</v>
      </c>
      <c r="E4" s="161" t="s">
        <v>2</v>
      </c>
      <c r="F4" s="161" t="s">
        <v>3</v>
      </c>
      <c r="H4" s="167"/>
      <c r="M4" s="161" t="s">
        <v>1249</v>
      </c>
      <c r="N4" s="161" t="s">
        <v>3</v>
      </c>
      <c r="O4" s="161" t="s">
        <v>1249</v>
      </c>
      <c r="P4" s="161" t="s">
        <v>3</v>
      </c>
      <c r="Q4" s="166" t="s">
        <v>1250</v>
      </c>
      <c r="U4" s="169"/>
      <c r="V4" s="169"/>
      <c r="W4" s="169"/>
      <c r="X4" s="169"/>
      <c r="Y4" s="169"/>
      <c r="Z4" s="169"/>
      <c r="AA4" s="169"/>
      <c r="AB4" s="146"/>
    </row>
    <row r="5" spans="2:41" x14ac:dyDescent="0.2">
      <c r="B5" s="147" t="s">
        <v>23</v>
      </c>
      <c r="C5" s="150">
        <f>SUM(calibration!C48:J48)</f>
        <v>788905.30425250821</v>
      </c>
      <c r="D5" s="150">
        <f>calibration!D5</f>
        <v>674467</v>
      </c>
      <c r="E5" s="197">
        <f ref="E5:E13" si="0" t="shared">C5/C$13</f>
        <v>0.35697417419101329</v>
      </c>
      <c r="F5" s="197">
        <f ref="F5:F13" si="1" t="shared">D5/D$13</f>
        <v>0.34738137852001599</v>
      </c>
      <c r="H5" s="252"/>
      <c r="M5" s="252">
        <f ref="M5:M12" si="2" t="shared">C5*D$13/C$13*(H$28/I$28)</f>
        <v>686347.61469968222</v>
      </c>
      <c r="N5" s="150">
        <f ref="N5:N12" si="3" t="shared">D5</f>
        <v>674467</v>
      </c>
      <c r="O5" s="197">
        <f ref="O5:O13" si="4" t="shared">M5/M$13</f>
        <v>0.35697417419101329</v>
      </c>
      <c r="P5" s="197">
        <f ref="P5:P13" si="5" t="shared">N5/N$13</f>
        <v>0.34738137852001599</v>
      </c>
      <c r="Q5" s="197">
        <f ref="Q5:Q13" si="6" t="shared">(N5-M5)/M5</f>
        <v>-1.7309908922581007E-2</v>
      </c>
      <c r="T5" s="170" t="s">
        <v>22</v>
      </c>
      <c r="U5" s="171" t="s">
        <v>12</v>
      </c>
      <c r="V5" s="171" t="s">
        <v>13</v>
      </c>
      <c r="W5" s="171" t="s">
        <v>14</v>
      </c>
      <c r="X5" s="171" t="s">
        <v>15</v>
      </c>
      <c r="Y5" s="171" t="s">
        <v>16</v>
      </c>
      <c r="Z5" s="171" t="s">
        <v>17</v>
      </c>
      <c r="AA5" s="171" t="s">
        <v>18</v>
      </c>
      <c r="AB5" s="171" t="s">
        <v>1209</v>
      </c>
      <c r="AC5" s="171" t="s">
        <v>4</v>
      </c>
      <c r="AE5" s="172" t="s">
        <v>22</v>
      </c>
      <c r="AF5" s="173" t="s">
        <v>12</v>
      </c>
      <c r="AG5" s="173" t="s">
        <v>13</v>
      </c>
      <c r="AH5" s="173" t="s">
        <v>14</v>
      </c>
      <c r="AI5" s="173" t="s">
        <v>15</v>
      </c>
      <c r="AJ5" s="173" t="s">
        <v>16</v>
      </c>
      <c r="AK5" s="173" t="s">
        <v>17</v>
      </c>
      <c r="AL5" s="173" t="s">
        <v>18</v>
      </c>
      <c r="AM5" s="173" t="s">
        <v>1209</v>
      </c>
      <c r="AN5" s="173" t="s">
        <v>4</v>
      </c>
    </row>
    <row r="6" spans="2:41" x14ac:dyDescent="0.2">
      <c r="B6" s="147" t="s">
        <v>24</v>
      </c>
      <c r="C6" s="150">
        <f>SUM(calibration!C49:J49)</f>
        <v>266508.20966264256</v>
      </c>
      <c r="D6" s="150">
        <f>calibration!D6</f>
        <v>231781</v>
      </c>
      <c r="E6" s="197">
        <f si="0" t="shared"/>
        <v>0.12059311497415982</v>
      </c>
      <c r="F6" s="197">
        <f si="1" t="shared"/>
        <v>0.11937782470417058</v>
      </c>
      <c r="H6" s="252"/>
      <c r="M6" s="252">
        <f si="2" t="shared"/>
        <v>231862.14240649904</v>
      </c>
      <c r="N6" s="150">
        <f si="3" t="shared"/>
        <v>231781</v>
      </c>
      <c r="O6" s="197">
        <f si="4" t="shared"/>
        <v>0.12059311497415982</v>
      </c>
      <c r="P6" s="197">
        <f si="5" t="shared"/>
        <v>0.11937782470417058</v>
      </c>
      <c r="Q6" s="197">
        <f si="6" t="shared"/>
        <v>-3.4995970302380855E-4</v>
      </c>
      <c r="T6" s="174" t="s">
        <v>23</v>
      </c>
      <c r="U6" s="175">
        <f>calibration!C48</f>
        <v>712869.63537018478</v>
      </c>
      <c r="V6" s="175">
        <f>calibration!D48</f>
        <v>60992.341011102864</v>
      </c>
      <c r="W6" s="175">
        <f>calibration!E48</f>
        <v>0</v>
      </c>
      <c r="X6" s="175">
        <f>calibration!F48</f>
        <v>0</v>
      </c>
      <c r="Y6" s="175">
        <f>calibration!G48</f>
        <v>12765.419500875436</v>
      </c>
      <c r="Z6" s="175">
        <f>calibration!H48</f>
        <v>2277.9083703450824</v>
      </c>
      <c r="AA6" s="175">
        <f>calibration!I48</f>
        <v>0</v>
      </c>
      <c r="AB6" s="175">
        <f>calibration!J48</f>
        <v>0</v>
      </c>
      <c r="AC6" s="176">
        <f ref="AC6:AC13" si="7" t="shared">SUM(U6:AB6)</f>
        <v>788905.30425250821</v>
      </c>
      <c r="AE6" s="177" t="s">
        <v>23</v>
      </c>
      <c r="AF6" s="178">
        <f>calibration!L48</f>
        <v>606319</v>
      </c>
      <c r="AG6" s="178">
        <f>calibration!M48</f>
        <v>53540</v>
      </c>
      <c r="AH6" s="178">
        <f>calibration!N48</f>
        <v>0</v>
      </c>
      <c r="AI6" s="178">
        <f>calibration!O48</f>
        <v>0</v>
      </c>
      <c r="AJ6" s="178">
        <f>calibration!P48</f>
        <v>12264</v>
      </c>
      <c r="AK6" s="178">
        <f>calibration!Q48</f>
        <v>2344</v>
      </c>
      <c r="AL6" s="178">
        <f>calibration!R48</f>
        <v>0</v>
      </c>
      <c r="AM6" s="178">
        <f>calibration!S48</f>
        <v>0</v>
      </c>
      <c r="AN6" s="178">
        <f ref="AN6:AN13" si="8" t="shared">SUM(AF6:AM6)</f>
        <v>674467</v>
      </c>
      <c r="AO6" s="197">
        <f ref="AO6:AO14" si="9" t="shared">AN6/AN$14</f>
        <v>0.34738137852001599</v>
      </c>
    </row>
    <row r="7" spans="2:41" x14ac:dyDescent="0.2">
      <c r="B7" s="147" t="s">
        <v>25</v>
      </c>
      <c r="C7" s="150">
        <f>SUM(calibration!C50:J50)</f>
        <v>217468.34654024724</v>
      </c>
      <c r="D7" s="150">
        <f>calibration!D7</f>
        <v>193716</v>
      </c>
      <c r="E7" s="197">
        <f si="0" t="shared"/>
        <v>9.8402917308871726E-2</v>
      </c>
      <c r="F7" s="197">
        <f si="1" t="shared"/>
        <v>9.9772607290472937E-2</v>
      </c>
      <c r="H7" s="252"/>
      <c r="M7" s="252">
        <f si="2" t="shared"/>
        <v>189197.46149001515</v>
      </c>
      <c r="N7" s="150">
        <f si="3" t="shared"/>
        <v>193716</v>
      </c>
      <c r="O7" s="197">
        <f si="4" t="shared"/>
        <v>9.8402917308871754E-2</v>
      </c>
      <c r="P7" s="197">
        <f si="5" t="shared"/>
        <v>9.9772607290472937E-2</v>
      </c>
      <c r="Q7" s="197">
        <f si="6" t="shared"/>
        <v>2.3882659283054466E-2</v>
      </c>
      <c r="T7" s="174" t="s">
        <v>24</v>
      </c>
      <c r="U7" s="175">
        <f>calibration!C49</f>
        <v>7822.3715016728247</v>
      </c>
      <c r="V7" s="175">
        <f>calibration!D49</f>
        <v>0</v>
      </c>
      <c r="W7" s="175">
        <f>calibration!E49</f>
        <v>0</v>
      </c>
      <c r="X7" s="175">
        <f>calibration!F49</f>
        <v>0</v>
      </c>
      <c r="Y7" s="175">
        <f>calibration!G49</f>
        <v>16162.602937271289</v>
      </c>
      <c r="Z7" s="175">
        <f>calibration!H49</f>
        <v>39914.875002653403</v>
      </c>
      <c r="AA7" s="175">
        <f>calibration!I49</f>
        <v>202608.36022104506</v>
      </c>
      <c r="AB7" s="175">
        <f>calibration!J49</f>
        <v>0</v>
      </c>
      <c r="AC7" s="176">
        <f si="7" t="shared"/>
        <v>266508.20966264256</v>
      </c>
      <c r="AE7" s="177" t="s">
        <v>24</v>
      </c>
      <c r="AF7" s="178">
        <f>calibration!L49</f>
        <v>8916</v>
      </c>
      <c r="AG7" s="178">
        <f>calibration!M49</f>
        <v>0</v>
      </c>
      <c r="AH7" s="178">
        <f>calibration!N49</f>
        <v>0</v>
      </c>
      <c r="AI7" s="178">
        <f>calibration!O49</f>
        <v>0</v>
      </c>
      <c r="AJ7" s="178">
        <f>calibration!P49</f>
        <v>13865</v>
      </c>
      <c r="AK7" s="178">
        <f>calibration!Q49</f>
        <v>33536</v>
      </c>
      <c r="AL7" s="178">
        <f>calibration!R49</f>
        <v>175464</v>
      </c>
      <c r="AM7" s="178">
        <f>calibration!S49</f>
        <v>0</v>
      </c>
      <c r="AN7" s="178">
        <f si="8" t="shared"/>
        <v>231781</v>
      </c>
      <c r="AO7" s="197">
        <f si="9" t="shared"/>
        <v>0.11937782470417058</v>
      </c>
    </row>
    <row r="8" spans="2:41" x14ac:dyDescent="0.2">
      <c r="B8" s="147" t="s">
        <v>26</v>
      </c>
      <c r="C8" s="150">
        <f>SUM(calibration!C51:J51)</f>
        <v>280199.30217023217</v>
      </c>
      <c r="D8" s="150">
        <f>calibration!D8</f>
        <v>250044</v>
      </c>
      <c r="E8" s="197">
        <f si="0" t="shared"/>
        <v>0.12678823930064712</v>
      </c>
      <c r="F8" s="197">
        <f si="1" t="shared"/>
        <v>0.12878410568739296</v>
      </c>
      <c r="H8" s="252"/>
      <c r="M8" s="252">
        <f si="2" t="shared"/>
        <v>243773.39288810201</v>
      </c>
      <c r="N8" s="150">
        <f si="3" t="shared"/>
        <v>250044</v>
      </c>
      <c r="O8" s="197">
        <f si="4" t="shared"/>
        <v>0.12678823930064712</v>
      </c>
      <c r="P8" s="197">
        <f si="5" t="shared"/>
        <v>0.12878410568739296</v>
      </c>
      <c r="Q8" s="197">
        <f si="6" t="shared"/>
        <v>2.5723098971577887E-2</v>
      </c>
      <c r="T8" s="174" t="s">
        <v>25</v>
      </c>
      <c r="U8" s="175">
        <f>calibration!C50</f>
        <v>76516.285465825553</v>
      </c>
      <c r="V8" s="175">
        <f>calibration!D50</f>
        <v>28451.741311768998</v>
      </c>
      <c r="W8" s="175">
        <f>calibration!E50</f>
        <v>18934.4555258252</v>
      </c>
      <c r="X8" s="175">
        <f>calibration!F50</f>
        <v>72328.545114537192</v>
      </c>
      <c r="Y8" s="175">
        <f>calibration!G50</f>
        <v>6606.0629936042124</v>
      </c>
      <c r="Z8" s="175">
        <f>calibration!H50</f>
        <v>3444.8349231508414</v>
      </c>
      <c r="AA8" s="175">
        <f>calibration!I50</f>
        <v>11186.421205535204</v>
      </c>
      <c r="AB8" s="175">
        <f>calibration!J50</f>
        <v>0</v>
      </c>
      <c r="AC8" s="176">
        <f si="7" t="shared"/>
        <v>217468.34654024724</v>
      </c>
      <c r="AE8" s="177" t="s">
        <v>25</v>
      </c>
      <c r="AF8" s="178">
        <f>calibration!L50</f>
        <v>75349</v>
      </c>
      <c r="AG8" s="178">
        <f>calibration!M50</f>
        <v>22841</v>
      </c>
      <c r="AH8" s="178">
        <f>calibration!N50</f>
        <v>15008</v>
      </c>
      <c r="AI8" s="178">
        <f>calibration!O50</f>
        <v>61109</v>
      </c>
      <c r="AJ8" s="178">
        <f>calibration!P50</f>
        <v>5863</v>
      </c>
      <c r="AK8" s="178">
        <f>calibration!Q50</f>
        <v>3074</v>
      </c>
      <c r="AL8" s="178">
        <f>calibration!R50</f>
        <v>10472</v>
      </c>
      <c r="AM8" s="178">
        <f>calibration!S50</f>
        <v>0</v>
      </c>
      <c r="AN8" s="178">
        <f si="8" t="shared"/>
        <v>193716</v>
      </c>
      <c r="AO8" s="197">
        <f si="9" t="shared"/>
        <v>9.9772607290472937E-2</v>
      </c>
    </row>
    <row r="9" spans="2:41" x14ac:dyDescent="0.2">
      <c r="B9" s="147" t="s">
        <v>27</v>
      </c>
      <c r="C9" s="150">
        <f>SUM(calibration!C52:J52)</f>
        <v>175887.46479563916</v>
      </c>
      <c r="D9" s="150">
        <f>calibration!D9</f>
        <v>164317</v>
      </c>
      <c r="E9" s="197">
        <f si="0" t="shared"/>
        <v>7.9587856942431742E-2</v>
      </c>
      <c r="F9" s="197">
        <f si="1" t="shared"/>
        <v>8.4630776560266796E-2</v>
      </c>
      <c r="H9" s="252"/>
      <c r="M9" s="252">
        <f si="2" t="shared"/>
        <v>153022.09437220605</v>
      </c>
      <c r="N9" s="150">
        <f si="3" t="shared"/>
        <v>164317</v>
      </c>
      <c r="O9" s="197">
        <f si="4" t="shared"/>
        <v>7.9587856942431728E-2</v>
      </c>
      <c r="P9" s="197">
        <f si="5" t="shared"/>
        <v>8.4630776560266796E-2</v>
      </c>
      <c r="Q9" s="197">
        <f si="6" t="shared"/>
        <v>7.3812253545037662E-2</v>
      </c>
      <c r="T9" s="174" t="s">
        <v>26</v>
      </c>
      <c r="U9" s="175">
        <f>calibration!C51</f>
        <v>83390.592357353598</v>
      </c>
      <c r="V9" s="175">
        <f>calibration!D51</f>
        <v>20594.211608790396</v>
      </c>
      <c r="W9" s="175">
        <f>calibration!E51</f>
        <v>80721.761037520933</v>
      </c>
      <c r="X9" s="175">
        <f>calibration!F51</f>
        <v>63939.266845599705</v>
      </c>
      <c r="Y9" s="175">
        <f>calibration!G51</f>
        <v>5318.24815397367</v>
      </c>
      <c r="Z9" s="175">
        <f>calibration!H51</f>
        <v>6114.0016703302927</v>
      </c>
      <c r="AA9" s="175">
        <f>calibration!I51</f>
        <v>20121.220496663562</v>
      </c>
      <c r="AB9" s="175">
        <f>calibration!J51</f>
        <v>0</v>
      </c>
      <c r="AC9" s="176">
        <f si="7" t="shared"/>
        <v>280199.30217023217</v>
      </c>
      <c r="AE9" s="177" t="s">
        <v>26</v>
      </c>
      <c r="AF9" s="178">
        <f>calibration!L51</f>
        <v>76748</v>
      </c>
      <c r="AG9" s="178">
        <f>calibration!M51</f>
        <v>18731</v>
      </c>
      <c r="AH9" s="178">
        <f>calibration!N51</f>
        <v>70761</v>
      </c>
      <c r="AI9" s="178">
        <f>calibration!O51</f>
        <v>55525</v>
      </c>
      <c r="AJ9" s="178">
        <f>calibration!P51</f>
        <v>5538</v>
      </c>
      <c r="AK9" s="178">
        <f>calibration!Q51</f>
        <v>6037</v>
      </c>
      <c r="AL9" s="178">
        <f>calibration!R51</f>
        <v>16704</v>
      </c>
      <c r="AM9" s="178">
        <f>calibration!S51</f>
        <v>0</v>
      </c>
      <c r="AN9" s="178">
        <f si="8" t="shared"/>
        <v>250044</v>
      </c>
      <c r="AO9" s="197">
        <f si="9" t="shared"/>
        <v>0.12878410568739296</v>
      </c>
    </row>
    <row r="10" spans="2:41" x14ac:dyDescent="0.2">
      <c r="B10" s="147" t="s">
        <v>28</v>
      </c>
      <c r="C10" s="150">
        <f>SUM(calibration!C53:J53)</f>
        <v>106746.72900381587</v>
      </c>
      <c r="D10" s="150">
        <f>calibration!D10</f>
        <v>98329</v>
      </c>
      <c r="E10" s="197">
        <f si="0" t="shared"/>
        <v>4.8302153919264769E-2</v>
      </c>
      <c r="F10" s="197">
        <f si="1" t="shared"/>
        <v>5.0643935979810206E-2</v>
      </c>
      <c r="H10" s="252"/>
      <c r="M10" s="252">
        <f si="2" t="shared"/>
        <v>92869.654233319816</v>
      </c>
      <c r="N10" s="150">
        <f si="3" t="shared"/>
        <v>98329</v>
      </c>
      <c r="O10" s="197">
        <f si="4" t="shared"/>
        <v>4.8302153919264776E-2</v>
      </c>
      <c r="P10" s="197">
        <f si="5" t="shared"/>
        <v>5.0643935979810206E-2</v>
      </c>
      <c r="Q10" s="197">
        <f si="6" t="shared"/>
        <v>5.8785033838550438E-2</v>
      </c>
      <c r="T10" s="174" t="s">
        <v>27</v>
      </c>
      <c r="U10" s="175">
        <f>calibration!C52</f>
        <v>54385.120200664984</v>
      </c>
      <c r="V10" s="175">
        <f>calibration!D52</f>
        <v>16154.530674901831</v>
      </c>
      <c r="W10" s="175">
        <f>calibration!E52</f>
        <v>44746.364789534171</v>
      </c>
      <c r="X10" s="175">
        <f>calibration!F52</f>
        <v>44151.221275920492</v>
      </c>
      <c r="Y10" s="175">
        <f>calibration!G52</f>
        <v>5689.4839786761631</v>
      </c>
      <c r="Z10" s="175">
        <f>calibration!H52</f>
        <v>1915.0974994991036</v>
      </c>
      <c r="AA10" s="175">
        <f>calibration!I52</f>
        <v>8845.6463764424007</v>
      </c>
      <c r="AB10" s="175">
        <f>calibration!J52</f>
        <v>0</v>
      </c>
      <c r="AC10" s="176">
        <f si="7" t="shared"/>
        <v>175887.46479563916</v>
      </c>
      <c r="AE10" s="177" t="s">
        <v>27</v>
      </c>
      <c r="AF10" s="178">
        <f>calibration!L52</f>
        <v>48727</v>
      </c>
      <c r="AG10" s="178">
        <f>calibration!M52</f>
        <v>14660</v>
      </c>
      <c r="AH10" s="178">
        <f>calibration!N52</f>
        <v>44075</v>
      </c>
      <c r="AI10" s="178">
        <f>calibration!O52</f>
        <v>40472</v>
      </c>
      <c r="AJ10" s="178">
        <f>calibration!P52</f>
        <v>6054</v>
      </c>
      <c r="AK10" s="178">
        <f>calibration!Q52</f>
        <v>2098</v>
      </c>
      <c r="AL10" s="178">
        <f>calibration!R52</f>
        <v>8231</v>
      </c>
      <c r="AM10" s="178">
        <f>calibration!S52</f>
        <v>0</v>
      </c>
      <c r="AN10" s="178">
        <f si="8" t="shared"/>
        <v>164317</v>
      </c>
      <c r="AO10" s="197">
        <f si="9" t="shared"/>
        <v>8.4630776560266796E-2</v>
      </c>
    </row>
    <row r="11" spans="2:41" x14ac:dyDescent="0.2">
      <c r="B11" s="147" t="s">
        <v>29</v>
      </c>
      <c r="C11" s="150">
        <f>SUM(calibration!C54:J54)</f>
        <v>249239.80479938642</v>
      </c>
      <c r="D11" s="150">
        <f>calibration!D11</f>
        <v>224720</v>
      </c>
      <c r="E11" s="197">
        <f si="0" t="shared"/>
        <v>0.11277928163772698</v>
      </c>
      <c r="F11" s="197">
        <f si="1" t="shared"/>
        <v>0.11574108648906171</v>
      </c>
      <c r="H11" s="252"/>
      <c r="M11" s="252">
        <f si="2" t="shared"/>
        <v>216838.63017546618</v>
      </c>
      <c r="N11" s="150">
        <f si="3" t="shared"/>
        <v>224720</v>
      </c>
      <c r="O11" s="197">
        <f si="4" t="shared"/>
        <v>0.11277928163772698</v>
      </c>
      <c r="P11" s="197">
        <f si="5" t="shared"/>
        <v>0.11574108648906171</v>
      </c>
      <c r="Q11" s="197">
        <f si="6" t="shared"/>
        <v>3.634670546551691E-2</v>
      </c>
      <c r="T11" s="174" t="s">
        <v>28</v>
      </c>
      <c r="U11" s="175">
        <f>calibration!C53</f>
        <v>49967.163326372502</v>
      </c>
      <c r="V11" s="175">
        <f>calibration!D53</f>
        <v>7572.4979722401704</v>
      </c>
      <c r="W11" s="175">
        <f>calibration!E53</f>
        <v>24548.122300078627</v>
      </c>
      <c r="X11" s="175">
        <f>calibration!F53</f>
        <v>12238.964269697675</v>
      </c>
      <c r="Y11" s="175">
        <f>calibration!G53</f>
        <v>4571.5672147740752</v>
      </c>
      <c r="Z11" s="175">
        <f>calibration!H53</f>
        <v>873.19389448202321</v>
      </c>
      <c r="AA11" s="175">
        <f>calibration!I53</f>
        <v>6975.2200261707976</v>
      </c>
      <c r="AB11" s="175">
        <f>calibration!J53</f>
        <v>0</v>
      </c>
      <c r="AC11" s="176">
        <f si="7" t="shared"/>
        <v>106746.72900381587</v>
      </c>
      <c r="AE11" s="177" t="s">
        <v>28</v>
      </c>
      <c r="AF11" s="178">
        <f>calibration!L53</f>
        <v>44566</v>
      </c>
      <c r="AG11" s="178">
        <f>calibration!M53</f>
        <v>6523</v>
      </c>
      <c r="AH11" s="178">
        <f>calibration!N53</f>
        <v>22419</v>
      </c>
      <c r="AI11" s="178">
        <f>calibration!O53</f>
        <v>13426</v>
      </c>
      <c r="AJ11" s="178">
        <f>calibration!P53</f>
        <v>3898</v>
      </c>
      <c r="AK11" s="178">
        <f>calibration!Q53</f>
        <v>1242</v>
      </c>
      <c r="AL11" s="178">
        <f>calibration!R53</f>
        <v>6255</v>
      </c>
      <c r="AM11" s="178">
        <f>calibration!S53</f>
        <v>0</v>
      </c>
      <c r="AN11" s="178">
        <f si="8" t="shared"/>
        <v>98329</v>
      </c>
      <c r="AO11" s="197">
        <f si="9" t="shared"/>
        <v>5.0643935979810206E-2</v>
      </c>
    </row>
    <row r="12" spans="2:41" x14ac:dyDescent="0.2">
      <c r="B12" s="147" t="s">
        <v>30</v>
      </c>
      <c r="C12" s="152">
        <f>SUM(calibration!C55:J55)</f>
        <v>125023.49070560568</v>
      </c>
      <c r="D12" s="152">
        <f>calibration!D12</f>
        <v>104201</v>
      </c>
      <c r="E12" s="162">
        <f si="0" t="shared"/>
        <v>5.6572261725884469E-2</v>
      </c>
      <c r="F12" s="162">
        <f si="1" t="shared"/>
        <v>5.3668284768808826E-2</v>
      </c>
      <c r="H12" s="252"/>
      <c r="M12" s="253">
        <f si="2" t="shared"/>
        <v>108770.43691387697</v>
      </c>
      <c r="N12" s="152">
        <f si="3" t="shared"/>
        <v>104201</v>
      </c>
      <c r="O12" s="162">
        <f si="4" t="shared"/>
        <v>5.6572261725884483E-2</v>
      </c>
      <c r="P12" s="162">
        <f si="5" t="shared"/>
        <v>5.3668284768808826E-2</v>
      </c>
      <c r="Q12" s="162">
        <f si="6" t="shared"/>
        <v>-4.2009915961769929E-2</v>
      </c>
      <c r="T12" s="174" t="s">
        <v>29</v>
      </c>
      <c r="U12" s="175">
        <f>calibration!C54</f>
        <v>83463.306692474158</v>
      </c>
      <c r="V12" s="175">
        <f>calibration!D54</f>
        <v>16949.096854205571</v>
      </c>
      <c r="W12" s="175">
        <f>calibration!E54</f>
        <v>36428.763891802089</v>
      </c>
      <c r="X12" s="175">
        <f>calibration!F54</f>
        <v>38988.370276847389</v>
      </c>
      <c r="Y12" s="175">
        <f>calibration!G54</f>
        <v>5941.7383510973232</v>
      </c>
      <c r="Z12" s="175">
        <f>calibration!H54</f>
        <v>11227.316295214649</v>
      </c>
      <c r="AA12" s="175">
        <f>calibration!I54</f>
        <v>56241.212437745249</v>
      </c>
      <c r="AB12" s="175">
        <f>calibration!J54</f>
        <v>0</v>
      </c>
      <c r="AC12" s="176">
        <f si="7" t="shared"/>
        <v>249239.80479938642</v>
      </c>
      <c r="AE12" s="177" t="s">
        <v>29</v>
      </c>
      <c r="AF12" s="178">
        <f>calibration!L54</f>
        <v>75123</v>
      </c>
      <c r="AG12" s="178">
        <f>calibration!M54</f>
        <v>15551</v>
      </c>
      <c r="AH12" s="178">
        <f>calibration!N54</f>
        <v>34478</v>
      </c>
      <c r="AI12" s="178">
        <f>calibration!O54</f>
        <v>34710</v>
      </c>
      <c r="AJ12" s="178">
        <f>calibration!P54</f>
        <v>5988</v>
      </c>
      <c r="AK12" s="178">
        <f>calibration!Q54</f>
        <v>12291</v>
      </c>
      <c r="AL12" s="178">
        <f>calibration!R54</f>
        <v>46579</v>
      </c>
      <c r="AM12" s="178">
        <f>calibration!S54</f>
        <v>0</v>
      </c>
      <c r="AN12" s="178">
        <f si="8" t="shared"/>
        <v>224720</v>
      </c>
      <c r="AO12" s="197">
        <f si="9" t="shared"/>
        <v>0.11574108648906171</v>
      </c>
    </row>
    <row customHeight="1" ht="13.5" r="13" spans="2:41" thickBot="1" x14ac:dyDescent="0.25">
      <c r="B13" s="154" t="s">
        <v>4</v>
      </c>
      <c r="C13" s="163">
        <f>SUM(C5:C12)</f>
        <v>2209978.6519300775</v>
      </c>
      <c r="D13" s="155">
        <f>SUM(D5:D12)</f>
        <v>1941575</v>
      </c>
      <c r="E13" s="164">
        <f si="0" t="shared"/>
        <v>1</v>
      </c>
      <c r="F13" s="164">
        <f si="1" t="shared"/>
        <v>1</v>
      </c>
      <c r="M13" s="163">
        <f>SUM(M5:M12)</f>
        <v>1922681.4271791675</v>
      </c>
      <c r="N13" s="163">
        <f>SUM(N5:N12)</f>
        <v>1941575</v>
      </c>
      <c r="O13" s="164">
        <f si="4" t="shared"/>
        <v>1</v>
      </c>
      <c r="P13" s="164">
        <f si="5" t="shared"/>
        <v>1</v>
      </c>
      <c r="Q13" s="165">
        <f si="6" t="shared"/>
        <v>9.8266788006330843E-3</v>
      </c>
      <c r="T13" s="174" t="s">
        <v>30</v>
      </c>
      <c r="U13" s="175">
        <f>calibration!C55</f>
        <v>118546.15785314803</v>
      </c>
      <c r="V13" s="175">
        <f>calibration!D55</f>
        <v>6217.0090197566597</v>
      </c>
      <c r="W13" s="175">
        <f>calibration!E55</f>
        <v>0</v>
      </c>
      <c r="X13" s="175">
        <f>calibration!F55</f>
        <v>144.71307474982191</v>
      </c>
      <c r="Y13" s="175">
        <f>calibration!G55</f>
        <v>115.6107579511787</v>
      </c>
      <c r="Z13" s="175">
        <f>calibration!H55</f>
        <v>0</v>
      </c>
      <c r="AA13" s="175">
        <f>calibration!I55</f>
        <v>0</v>
      </c>
      <c r="AB13" s="175">
        <f>calibration!J55</f>
        <v>0</v>
      </c>
      <c r="AC13" s="176">
        <f si="7" t="shared"/>
        <v>125023.49070560568</v>
      </c>
      <c r="AE13" s="177" t="s">
        <v>30</v>
      </c>
      <c r="AF13" s="178">
        <f>calibration!L55</f>
        <v>96124</v>
      </c>
      <c r="AG13" s="178">
        <f>calibration!M55</f>
        <v>6542</v>
      </c>
      <c r="AH13" s="178">
        <f>calibration!N55</f>
        <v>0</v>
      </c>
      <c r="AI13" s="178">
        <f>calibration!O55</f>
        <v>0</v>
      </c>
      <c r="AJ13" s="178">
        <f>calibration!P55</f>
        <v>1231</v>
      </c>
      <c r="AK13" s="178">
        <f>calibration!Q55</f>
        <v>304</v>
      </c>
      <c r="AL13" s="178">
        <f>calibration!R55</f>
        <v>0</v>
      </c>
      <c r="AM13" s="178">
        <f>calibration!S55</f>
        <v>0</v>
      </c>
      <c r="AN13" s="178">
        <f si="8" t="shared"/>
        <v>104201</v>
      </c>
      <c r="AO13" s="197">
        <f si="9" t="shared"/>
        <v>5.3668284768808826E-2</v>
      </c>
    </row>
    <row customHeight="1" ht="13.5" r="14" spans="2:41" thickBot="1" x14ac:dyDescent="0.25">
      <c r="C14" s="150"/>
      <c r="D14" s="150"/>
      <c r="E14" s="150"/>
      <c r="M14" s="160">
        <f>M13/C13</f>
        <v>0.87000000000000011</v>
      </c>
      <c r="T14" s="179" t="s">
        <v>4</v>
      </c>
      <c r="U14" s="180">
        <f ref="U14:AC14" si="10" t="shared">SUM(U6:U13)</f>
        <v>1186960.6327676964</v>
      </c>
      <c r="V14" s="180">
        <f si="10" t="shared"/>
        <v>156931.4284527665</v>
      </c>
      <c r="W14" s="180">
        <f si="10" t="shared"/>
        <v>205379.46754476099</v>
      </c>
      <c r="X14" s="180">
        <f si="10" t="shared"/>
        <v>231791.08085735227</v>
      </c>
      <c r="Y14" s="180">
        <f si="10" t="shared"/>
        <v>57170.733888223353</v>
      </c>
      <c r="Z14" s="180">
        <f si="10" t="shared"/>
        <v>65767.227655675393</v>
      </c>
      <c r="AA14" s="180">
        <f si="10" t="shared"/>
        <v>305978.08076360228</v>
      </c>
      <c r="AB14" s="180">
        <f si="10" t="shared"/>
        <v>0</v>
      </c>
      <c r="AC14" s="180">
        <f si="10" t="shared"/>
        <v>2209978.6519300775</v>
      </c>
      <c r="AE14" s="181" t="s">
        <v>4</v>
      </c>
      <c r="AF14" s="182">
        <f ref="AF14:AN14" si="11" t="shared">SUM(AF6:AF13)</f>
        <v>1031872</v>
      </c>
      <c r="AG14" s="182">
        <f si="11" t="shared"/>
        <v>138388</v>
      </c>
      <c r="AH14" s="182">
        <f si="11" t="shared"/>
        <v>186741</v>
      </c>
      <c r="AI14" s="182">
        <f si="11" t="shared"/>
        <v>205242</v>
      </c>
      <c r="AJ14" s="182">
        <f si="11" t="shared"/>
        <v>54701</v>
      </c>
      <c r="AK14" s="182">
        <f si="11" t="shared"/>
        <v>60926</v>
      </c>
      <c r="AL14" s="182">
        <f si="11" t="shared"/>
        <v>263705</v>
      </c>
      <c r="AM14" s="182">
        <f si="11" t="shared"/>
        <v>0</v>
      </c>
      <c r="AN14" s="182">
        <f si="11" t="shared"/>
        <v>1941575</v>
      </c>
      <c r="AO14" s="197">
        <f si="9" t="shared"/>
        <v>1</v>
      </c>
    </row>
    <row r="15" spans="2:41" x14ac:dyDescent="0.2">
      <c r="C15" s="150"/>
      <c r="D15" s="150"/>
      <c r="E15" s="150"/>
      <c r="M15" s="254"/>
      <c r="AF15" s="197">
        <f ref="AF15:AN15" si="12" t="shared">AF14/$AN$14</f>
        <v>0.53146131362424831</v>
      </c>
      <c r="AG15" s="197">
        <f si="12" t="shared"/>
        <v>7.1276154668246147E-2</v>
      </c>
      <c r="AH15" s="197">
        <f si="12" t="shared"/>
        <v>9.6180163011987688E-2</v>
      </c>
      <c r="AI15" s="197">
        <f si="12" t="shared"/>
        <v>0.10570902488958706</v>
      </c>
      <c r="AJ15" s="197">
        <f si="12" t="shared"/>
        <v>2.8173518921494146E-2</v>
      </c>
      <c r="AK15" s="197">
        <f si="12" t="shared"/>
        <v>3.1379678868959482E-2</v>
      </c>
      <c r="AL15" s="197">
        <f si="12" t="shared"/>
        <v>0.13582014601547712</v>
      </c>
      <c r="AM15" s="197">
        <f si="12" t="shared"/>
        <v>0</v>
      </c>
      <c r="AN15" s="197">
        <f si="12" t="shared"/>
        <v>1</v>
      </c>
    </row>
    <row r="16" spans="2:41" x14ac:dyDescent="0.2">
      <c r="C16" s="150"/>
      <c r="D16" s="150"/>
      <c r="E16" s="150"/>
    </row>
    <row r="17" spans="2:41" x14ac:dyDescent="0.2">
      <c r="B17" s="146" t="s">
        <v>31</v>
      </c>
      <c r="H17" s="146" t="s">
        <v>32</v>
      </c>
      <c r="M17" s="146" t="str">
        <f>B17</f>
        <v>TABLE 5. TOURS BY PERSONTYPE</v>
      </c>
      <c r="T17" s="168" t="s">
        <v>1251</v>
      </c>
      <c r="AE17" s="168"/>
    </row>
    <row customHeight="1" ht="13.5" r="18" spans="2:41" thickBot="1" x14ac:dyDescent="0.25">
      <c r="C18" s="148"/>
      <c r="D18" s="148"/>
      <c r="E18" s="148"/>
      <c r="F18" s="148"/>
      <c r="H18" s="148"/>
      <c r="I18" s="148"/>
      <c r="J18" s="148"/>
      <c r="K18" s="148"/>
      <c r="M18" s="148"/>
      <c r="N18" s="148"/>
      <c r="O18" s="148"/>
      <c r="P18" s="148"/>
      <c r="Q18" s="148"/>
    </row>
    <row r="19" spans="2:41" x14ac:dyDescent="0.2">
      <c r="B19" s="149" t="s">
        <v>6</v>
      </c>
      <c r="C19" s="193" t="s">
        <v>2</v>
      </c>
      <c r="D19" s="193" t="s">
        <v>33</v>
      </c>
      <c r="E19" s="161" t="s">
        <v>2</v>
      </c>
      <c r="F19" s="161" t="s">
        <v>3</v>
      </c>
      <c r="H19" s="193" t="s">
        <v>2</v>
      </c>
      <c r="I19" s="193" t="s">
        <v>33</v>
      </c>
      <c r="J19" s="193" t="s">
        <v>7</v>
      </c>
      <c r="K19" s="193" t="s">
        <v>8</v>
      </c>
      <c r="M19" s="166" t="s">
        <v>1249</v>
      </c>
      <c r="N19" s="166" t="s">
        <v>3</v>
      </c>
      <c r="O19" s="166" t="s">
        <v>1249</v>
      </c>
      <c r="P19" s="166" t="s">
        <v>3</v>
      </c>
      <c r="Q19" s="166" t="s">
        <v>1250</v>
      </c>
      <c r="T19" s="170" t="s">
        <v>22</v>
      </c>
      <c r="U19" s="171" t="s">
        <v>12</v>
      </c>
      <c r="V19" s="171" t="s">
        <v>13</v>
      </c>
      <c r="W19" s="171" t="s">
        <v>14</v>
      </c>
      <c r="X19" s="171" t="s">
        <v>15</v>
      </c>
      <c r="Y19" s="171" t="s">
        <v>16</v>
      </c>
      <c r="Z19" s="171" t="s">
        <v>17</v>
      </c>
      <c r="AA19" s="171" t="s">
        <v>18</v>
      </c>
      <c r="AB19" s="171" t="s">
        <v>1209</v>
      </c>
      <c r="AC19" s="171" t="s">
        <v>4</v>
      </c>
      <c r="AE19" s="194"/>
      <c r="AF19" s="195"/>
      <c r="AG19" s="195"/>
      <c r="AH19" s="195"/>
      <c r="AI19" s="195"/>
      <c r="AJ19" s="195"/>
      <c r="AK19" s="195"/>
      <c r="AL19" s="195"/>
      <c r="AM19" s="195"/>
      <c r="AN19" s="195"/>
    </row>
    <row r="20" spans="2:41" x14ac:dyDescent="0.2">
      <c r="B20" s="147" t="s">
        <v>12</v>
      </c>
      <c r="C20" s="150">
        <f>calibration!C56</f>
        <v>1186960.6327676964</v>
      </c>
      <c r="D20" s="150">
        <f>Summary!C49</f>
        <v>1031872</v>
      </c>
      <c r="E20" s="197">
        <f ref="E20:E28" si="13" t="shared">C20/C$28</f>
        <v>0.5370914473454611</v>
      </c>
      <c r="F20" s="197">
        <f ref="F20:F28" si="14" t="shared">D20/D$28</f>
        <v>0.53146131362424831</v>
      </c>
      <c r="H20" s="157"/>
      <c r="I20" s="157"/>
      <c r="J20" s="157"/>
      <c r="K20" s="151"/>
      <c r="M20" s="252">
        <f ref="M20:M27" si="15" t="shared">C20*M$13/C$28</f>
        <v>1032655.750507896</v>
      </c>
      <c r="N20" s="252">
        <f ref="N20:N27" si="16" t="shared">D20</f>
        <v>1031872</v>
      </c>
      <c r="O20" s="197">
        <f ref="O20:O28" si="17" t="shared">M20/M$28</f>
        <v>0.53709144734546121</v>
      </c>
      <c r="P20" s="197">
        <f ref="P20:P28" si="18" t="shared">N20/N$28</f>
        <v>0.53146131362424831</v>
      </c>
      <c r="Q20" s="197">
        <f ref="Q20:Q28" si="19" t="shared">(N20-M20)/M20</f>
        <v>-7.5896590660583208E-4</v>
      </c>
      <c r="T20" s="174" t="s">
        <v>23</v>
      </c>
      <c r="U20" s="175">
        <f ref="U20:AB27" si="20" t="shared">U6*$M$14</f>
        <v>620196.58277206088</v>
      </c>
      <c r="V20" s="175">
        <f si="20" t="shared"/>
        <v>53063.3366796595</v>
      </c>
      <c r="W20" s="183">
        <f si="20" t="shared"/>
        <v>0</v>
      </c>
      <c r="X20" s="183">
        <f si="20" t="shared"/>
        <v>0</v>
      </c>
      <c r="Y20" s="175">
        <f si="20" t="shared"/>
        <v>11105.914965761631</v>
      </c>
      <c r="Z20" s="175">
        <f si="20" t="shared"/>
        <v>1981.780282200222</v>
      </c>
      <c r="AA20" s="183">
        <f si="20" t="shared"/>
        <v>0</v>
      </c>
      <c r="AB20" s="183">
        <f si="20" t="shared"/>
        <v>0</v>
      </c>
      <c r="AC20" s="176">
        <f ref="AC20:AC27" si="21" t="shared">SUM(U20:AB20)</f>
        <v>686347.61469968222</v>
      </c>
      <c r="AD20" s="197">
        <f ref="AD20:AD28" si="22" t="shared">AC20/AC$28</f>
        <v>0.35697417419101329</v>
      </c>
      <c r="AE20" s="146"/>
      <c r="AF20" s="150"/>
      <c r="AG20" s="150"/>
      <c r="AH20" s="150"/>
      <c r="AI20" s="150"/>
      <c r="AJ20" s="150"/>
      <c r="AK20" s="150"/>
      <c r="AL20" s="150"/>
      <c r="AM20" s="150"/>
      <c r="AN20" s="196"/>
      <c r="AO20" s="197"/>
    </row>
    <row r="21" spans="2:41" x14ac:dyDescent="0.2">
      <c r="B21" s="147" t="s">
        <v>13</v>
      </c>
      <c r="C21" s="150">
        <f>calibration!D56</f>
        <v>156931.4284527665</v>
      </c>
      <c r="D21" s="150">
        <f>Summary!C50</f>
        <v>138388</v>
      </c>
      <c r="E21" s="197">
        <f si="13" t="shared"/>
        <v>7.1010382075732251E-2</v>
      </c>
      <c r="F21" s="197">
        <f si="14" t="shared"/>
        <v>7.1276154668246147E-2</v>
      </c>
      <c r="H21" s="157"/>
      <c r="I21" s="157"/>
      <c r="J21" s="157"/>
      <c r="K21" s="151"/>
      <c r="M21" s="252">
        <f si="15" t="shared"/>
        <v>136530.34275390685</v>
      </c>
      <c r="N21" s="252">
        <f si="16" t="shared"/>
        <v>138388</v>
      </c>
      <c r="O21" s="197">
        <f si="17" t="shared"/>
        <v>7.1010382075732251E-2</v>
      </c>
      <c r="P21" s="197">
        <f si="18" t="shared"/>
        <v>7.1276154668246147E-2</v>
      </c>
      <c r="Q21" s="197">
        <f si="19" t="shared"/>
        <v>1.360618605815367E-2</v>
      </c>
      <c r="T21" s="174" t="s">
        <v>24</v>
      </c>
      <c r="U21" s="175">
        <f si="20" t="shared"/>
        <v>6805.463206455358</v>
      </c>
      <c r="V21" s="183">
        <f si="20" t="shared"/>
        <v>0</v>
      </c>
      <c r="W21" s="183">
        <f si="20" t="shared"/>
        <v>0</v>
      </c>
      <c r="X21" s="183">
        <f si="20" t="shared"/>
        <v>0</v>
      </c>
      <c r="Y21" s="175">
        <f si="20" t="shared"/>
        <v>14061.464555426024</v>
      </c>
      <c r="Z21" s="175">
        <f si="20" t="shared"/>
        <v>34725.941252308468</v>
      </c>
      <c r="AA21" s="175">
        <f si="20" t="shared"/>
        <v>176269.27339230923</v>
      </c>
      <c r="AB21" s="175">
        <f si="20" t="shared"/>
        <v>0</v>
      </c>
      <c r="AC21" s="176">
        <f si="21" t="shared"/>
        <v>231862.14240649907</v>
      </c>
      <c r="AD21" s="197">
        <f si="22" t="shared"/>
        <v>0.12059311497415984</v>
      </c>
      <c r="AE21" s="146"/>
      <c r="AF21" s="150"/>
      <c r="AG21" s="150"/>
      <c r="AH21" s="150"/>
      <c r="AI21" s="150"/>
      <c r="AJ21" s="150"/>
      <c r="AK21" s="150"/>
      <c r="AL21" s="150"/>
      <c r="AM21" s="150"/>
      <c r="AN21" s="196"/>
      <c r="AO21" s="197"/>
    </row>
    <row r="22" spans="2:41" x14ac:dyDescent="0.2">
      <c r="B22" s="147" t="s">
        <v>14</v>
      </c>
      <c r="C22" s="150">
        <f>calibration!E56</f>
        <v>205379.46754476099</v>
      </c>
      <c r="D22" s="150">
        <f>Summary!C51</f>
        <v>186741</v>
      </c>
      <c r="E22" s="197">
        <f si="13" t="shared"/>
        <v>9.293278347525824E-2</v>
      </c>
      <c r="F22" s="197">
        <f si="14" t="shared"/>
        <v>9.6180163011987688E-2</v>
      </c>
      <c r="H22" s="157"/>
      <c r="I22" s="157"/>
      <c r="J22" s="157"/>
      <c r="K22" s="151"/>
      <c r="M22" s="252">
        <f si="15" t="shared"/>
        <v>178680.13676394208</v>
      </c>
      <c r="N22" s="252">
        <f si="16" t="shared"/>
        <v>186741</v>
      </c>
      <c r="O22" s="197">
        <f si="17" t="shared"/>
        <v>9.2932783475258254E-2</v>
      </c>
      <c r="P22" s="197">
        <f si="18" t="shared"/>
        <v>9.6180163011987688E-2</v>
      </c>
      <c r="Q22" s="197">
        <f si="19" t="shared"/>
        <v>4.5113370641232997E-2</v>
      </c>
      <c r="T22" s="174" t="s">
        <v>25</v>
      </c>
      <c r="U22" s="175">
        <f si="20" t="shared"/>
        <v>66569.168355268237</v>
      </c>
      <c r="V22" s="184">
        <f si="20" t="shared"/>
        <v>24753.014941239031</v>
      </c>
      <c r="W22" s="175">
        <f si="20" t="shared"/>
        <v>16472.976307467925</v>
      </c>
      <c r="X22" s="184">
        <f si="20" t="shared"/>
        <v>62925.834249647363</v>
      </c>
      <c r="Y22" s="175">
        <f si="20" t="shared"/>
        <v>5747.2748044356658</v>
      </c>
      <c r="Z22" s="175">
        <f si="20" t="shared"/>
        <v>2997.0063831412322</v>
      </c>
      <c r="AA22" s="175">
        <f si="20" t="shared"/>
        <v>9732.186448815628</v>
      </c>
      <c r="AB22" s="175">
        <f si="20" t="shared"/>
        <v>0</v>
      </c>
      <c r="AC22" s="176">
        <f si="21" t="shared"/>
        <v>189197.46149001509</v>
      </c>
      <c r="AD22" s="197">
        <f si="22" t="shared"/>
        <v>9.8402917308871726E-2</v>
      </c>
      <c r="AE22" s="146"/>
      <c r="AF22" s="150"/>
      <c r="AG22" s="150"/>
      <c r="AH22" s="150"/>
      <c r="AI22" s="150"/>
      <c r="AJ22" s="150"/>
      <c r="AK22" s="150"/>
      <c r="AL22" s="150"/>
      <c r="AM22" s="150"/>
      <c r="AN22" s="196"/>
      <c r="AO22" s="197"/>
    </row>
    <row r="23" spans="2:41" x14ac:dyDescent="0.2">
      <c r="B23" s="147" t="s">
        <v>15</v>
      </c>
      <c r="C23" s="150">
        <f>calibration!F56</f>
        <v>231791.08085735227</v>
      </c>
      <c r="D23" s="150">
        <f>Summary!C52</f>
        <v>205242</v>
      </c>
      <c r="E23" s="197">
        <f si="13" t="shared"/>
        <v>0.1048838551697856</v>
      </c>
      <c r="F23" s="197">
        <f si="14" t="shared"/>
        <v>0.10570902488958706</v>
      </c>
      <c r="H23" s="157"/>
      <c r="I23" s="157"/>
      <c r="J23" s="157"/>
      <c r="K23" s="151"/>
      <c r="M23" s="252">
        <f si="15" t="shared"/>
        <v>201658.24034589648</v>
      </c>
      <c r="N23" s="252">
        <f si="16" t="shared"/>
        <v>205242</v>
      </c>
      <c r="O23" s="197">
        <f si="17" t="shared"/>
        <v>0.10488385516978561</v>
      </c>
      <c r="P23" s="197">
        <f si="18" t="shared"/>
        <v>0.10570902488958706</v>
      </c>
      <c r="Q23" s="197">
        <f si="19" t="shared"/>
        <v>1.7771451580438438E-2</v>
      </c>
      <c r="T23" s="174" t="s">
        <v>26</v>
      </c>
      <c r="U23" s="175">
        <f si="20" t="shared"/>
        <v>72549.815350897639</v>
      </c>
      <c r="V23" s="175">
        <f si="20" t="shared"/>
        <v>17916.964099647648</v>
      </c>
      <c r="W23" s="184">
        <f si="20" t="shared"/>
        <v>70227.932102643215</v>
      </c>
      <c r="X23" s="184">
        <f si="20" t="shared"/>
        <v>55627.162155671751</v>
      </c>
      <c r="Y23" s="175">
        <f si="20" t="shared"/>
        <v>4626.8758939570935</v>
      </c>
      <c r="Z23" s="175">
        <f si="20" t="shared"/>
        <v>5319.1814531873551</v>
      </c>
      <c r="AA23" s="184">
        <f si="20" t="shared"/>
        <v>17505.461832097302</v>
      </c>
      <c r="AB23" s="175">
        <f si="20" t="shared"/>
        <v>0</v>
      </c>
      <c r="AC23" s="176">
        <f si="21" t="shared"/>
        <v>243773.39288810201</v>
      </c>
      <c r="AD23" s="197">
        <f si="22" t="shared"/>
        <v>0.12678823930064712</v>
      </c>
      <c r="AE23" s="146"/>
      <c r="AF23" s="150"/>
      <c r="AG23" s="150"/>
      <c r="AH23" s="150"/>
      <c r="AI23" s="150"/>
      <c r="AJ23" s="150"/>
      <c r="AK23" s="150"/>
      <c r="AL23" s="150"/>
      <c r="AM23" s="150"/>
      <c r="AN23" s="196"/>
      <c r="AO23" s="197"/>
    </row>
    <row r="24" spans="2:41" x14ac:dyDescent="0.2">
      <c r="B24" s="147" t="s">
        <v>16</v>
      </c>
      <c r="C24" s="150">
        <f>calibration!G56</f>
        <v>57170.733888223353</v>
      </c>
      <c r="D24" s="150">
        <f>Summary!C53</f>
        <v>54701</v>
      </c>
      <c r="E24" s="197">
        <f si="13" t="shared"/>
        <v>2.5869360248477281E-2</v>
      </c>
      <c r="F24" s="197">
        <f si="14" t="shared"/>
        <v>2.8173518921494146E-2</v>
      </c>
      <c r="H24" s="157"/>
      <c r="I24" s="157"/>
      <c r="J24" s="157"/>
      <c r="K24" s="151"/>
      <c r="M24" s="252">
        <f si="15" t="shared"/>
        <v>49738.538482754324</v>
      </c>
      <c r="N24" s="252">
        <f si="16" t="shared"/>
        <v>54701</v>
      </c>
      <c r="O24" s="197">
        <f si="17" t="shared"/>
        <v>2.5869360248477285E-2</v>
      </c>
      <c r="P24" s="197">
        <f si="18" t="shared"/>
        <v>2.8173518921494146E-2</v>
      </c>
      <c r="Q24" s="197">
        <f si="19" t="shared"/>
        <v>9.977095565375918E-2</v>
      </c>
      <c r="T24" s="174" t="s">
        <v>27</v>
      </c>
      <c r="U24" s="175">
        <f si="20" t="shared"/>
        <v>47315.054574578542</v>
      </c>
      <c r="V24" s="175">
        <f si="20" t="shared"/>
        <v>14054.441687164595</v>
      </c>
      <c r="W24" s="175">
        <f si="20" t="shared"/>
        <v>38929.337366894732</v>
      </c>
      <c r="X24" s="175">
        <f si="20" t="shared"/>
        <v>38411.562510050833</v>
      </c>
      <c r="Y24" s="175">
        <f si="20" t="shared"/>
        <v>4949.851061448263</v>
      </c>
      <c r="Z24" s="175">
        <f si="20" t="shared"/>
        <v>1666.1348245642203</v>
      </c>
      <c r="AA24" s="175">
        <f si="20" t="shared"/>
        <v>7695.7123475048893</v>
      </c>
      <c r="AB24" s="175">
        <f si="20" t="shared"/>
        <v>0</v>
      </c>
      <c r="AC24" s="176">
        <f si="21" t="shared"/>
        <v>153022.09437220605</v>
      </c>
      <c r="AD24" s="197">
        <f si="22" t="shared"/>
        <v>7.9587856942431728E-2</v>
      </c>
      <c r="AE24" s="146"/>
      <c r="AF24" s="150"/>
      <c r="AG24" s="150"/>
      <c r="AH24" s="150"/>
      <c r="AI24" s="150"/>
      <c r="AJ24" s="150"/>
      <c r="AK24" s="150"/>
      <c r="AL24" s="150"/>
      <c r="AM24" s="150"/>
      <c r="AN24" s="196"/>
      <c r="AO24" s="197"/>
    </row>
    <row r="25" spans="2:41" x14ac:dyDescent="0.2">
      <c r="B25" s="147" t="s">
        <v>17</v>
      </c>
      <c r="C25" s="150">
        <f>calibration!H56</f>
        <v>65767.227655675393</v>
      </c>
      <c r="D25" s="150">
        <f>Summary!C54</f>
        <v>60926</v>
      </c>
      <c r="E25" s="197">
        <f si="13" t="shared"/>
        <v>2.9759214007899038E-2</v>
      </c>
      <c r="F25" s="197">
        <f si="14" t="shared"/>
        <v>3.1379678868959482E-2</v>
      </c>
      <c r="H25" s="157"/>
      <c r="I25" s="157"/>
      <c r="J25" s="157"/>
      <c r="K25" s="151"/>
      <c r="M25" s="252">
        <f si="15" t="shared"/>
        <v>57217.488060437594</v>
      </c>
      <c r="N25" s="252">
        <f si="16" t="shared"/>
        <v>60926</v>
      </c>
      <c r="O25" s="197">
        <f si="17" t="shared"/>
        <v>2.9759214007899042E-2</v>
      </c>
      <c r="P25" s="197">
        <f si="18" t="shared"/>
        <v>3.1379678868959482E-2</v>
      </c>
      <c r="Q25" s="197">
        <f si="19" t="shared"/>
        <v>6.4814308793933517E-2</v>
      </c>
      <c r="T25" s="174" t="s">
        <v>28</v>
      </c>
      <c r="U25" s="175">
        <f si="20" t="shared"/>
        <v>43471.43209394408</v>
      </c>
      <c r="V25" s="175">
        <f si="20" t="shared"/>
        <v>6588.0732358489495</v>
      </c>
      <c r="W25" s="175">
        <f si="20" t="shared"/>
        <v>21356.866401068408</v>
      </c>
      <c r="X25" s="175">
        <f si="20" t="shared"/>
        <v>10647.898914636979</v>
      </c>
      <c r="Y25" s="175">
        <f si="20" t="shared"/>
        <v>3977.2634768534458</v>
      </c>
      <c r="Z25" s="175">
        <f si="20" t="shared"/>
        <v>759.67868819936029</v>
      </c>
      <c r="AA25" s="175">
        <f si="20" t="shared"/>
        <v>6068.4414227685947</v>
      </c>
      <c r="AB25" s="175">
        <f si="20" t="shared"/>
        <v>0</v>
      </c>
      <c r="AC25" s="176">
        <f si="21" t="shared"/>
        <v>92869.654233319816</v>
      </c>
      <c r="AD25" s="197">
        <f si="22" t="shared"/>
        <v>4.8302153919264776E-2</v>
      </c>
      <c r="AE25" s="146"/>
      <c r="AF25" s="150"/>
      <c r="AG25" s="150"/>
      <c r="AH25" s="150"/>
      <c r="AI25" s="150"/>
      <c r="AJ25" s="150"/>
      <c r="AK25" s="150"/>
      <c r="AL25" s="150"/>
      <c r="AM25" s="150"/>
      <c r="AN25" s="196"/>
      <c r="AO25" s="197"/>
    </row>
    <row r="26" spans="2:41" x14ac:dyDescent="0.2">
      <c r="B26" s="147" t="s">
        <v>18</v>
      </c>
      <c r="C26" s="150">
        <f>calibration!I56</f>
        <v>305978.08076360234</v>
      </c>
      <c r="D26" s="150">
        <f>Summary!C55</f>
        <v>263705</v>
      </c>
      <c r="E26" s="197">
        <f si="13" t="shared"/>
        <v>0.13845295767738633</v>
      </c>
      <c r="F26" s="197">
        <f si="14" t="shared"/>
        <v>0.13582014601547712</v>
      </c>
      <c r="H26" s="157"/>
      <c r="I26" s="157"/>
      <c r="J26" s="157"/>
      <c r="K26" s="151"/>
      <c r="M26" s="252">
        <f si="15" t="shared"/>
        <v>266200.93026433402</v>
      </c>
      <c r="N26" s="252">
        <f si="16" t="shared"/>
        <v>263705</v>
      </c>
      <c r="O26" s="197">
        <f si="17" t="shared"/>
        <v>0.13845295767738636</v>
      </c>
      <c r="P26" s="197">
        <f si="18" t="shared"/>
        <v>0.13582014601547712</v>
      </c>
      <c r="Q26" s="197">
        <f si="19" t="shared"/>
        <v>-9.3761139822298653E-3</v>
      </c>
      <c r="T26" s="174" t="s">
        <v>29</v>
      </c>
      <c r="U26" s="175">
        <f si="20" t="shared"/>
        <v>72613.076822452524</v>
      </c>
      <c r="V26" s="175">
        <f si="20" t="shared"/>
        <v>14745.714263158849</v>
      </c>
      <c r="W26" s="175">
        <f si="20" t="shared"/>
        <v>31693.024585867821</v>
      </c>
      <c r="X26" s="175">
        <f si="20" t="shared"/>
        <v>33919.882140857233</v>
      </c>
      <c r="Y26" s="175">
        <f si="20" t="shared"/>
        <v>5169.3123654546716</v>
      </c>
      <c r="Z26" s="175">
        <f si="20" t="shared"/>
        <v>9767.765176836745</v>
      </c>
      <c r="AA26" s="175">
        <f si="20" t="shared"/>
        <v>48929.854820838373</v>
      </c>
      <c r="AB26" s="175">
        <f si="20" t="shared"/>
        <v>0</v>
      </c>
      <c r="AC26" s="176">
        <f si="21" t="shared"/>
        <v>216838.63017546624</v>
      </c>
      <c r="AD26" s="197">
        <f si="22" t="shared"/>
        <v>0.11277928163772701</v>
      </c>
      <c r="AE26" s="146"/>
      <c r="AF26" s="150"/>
      <c r="AG26" s="150"/>
      <c r="AH26" s="150"/>
      <c r="AI26" s="150"/>
      <c r="AJ26" s="150"/>
      <c r="AK26" s="150"/>
      <c r="AL26" s="150"/>
      <c r="AM26" s="150"/>
      <c r="AN26" s="196"/>
      <c r="AO26" s="197"/>
    </row>
    <row r="27" spans="2:41" x14ac:dyDescent="0.2">
      <c r="B27" s="147" t="s">
        <v>19</v>
      </c>
      <c r="C27" s="152">
        <f>calibration!J56</f>
        <v>0</v>
      </c>
      <c r="D27" s="152">
        <f>Summary!C56</f>
        <v>0</v>
      </c>
      <c r="E27" s="162">
        <f si="13" t="shared"/>
        <v>0</v>
      </c>
      <c r="F27" s="162">
        <f si="14" t="shared"/>
        <v>0</v>
      </c>
      <c r="H27" s="158"/>
      <c r="I27" s="158"/>
      <c r="J27" s="158"/>
      <c r="K27" s="153"/>
      <c r="M27" s="253">
        <f si="15" t="shared"/>
        <v>0</v>
      </c>
      <c r="N27" s="253">
        <f si="16" t="shared"/>
        <v>0</v>
      </c>
      <c r="O27" s="162">
        <f si="17" t="shared"/>
        <v>0</v>
      </c>
      <c r="P27" s="162">
        <f si="18" t="shared"/>
        <v>0</v>
      </c>
      <c r="Q27" s="162" t="e">
        <f si="19" t="shared"/>
        <v>#DIV/0!</v>
      </c>
      <c r="T27" s="174" t="s">
        <v>30</v>
      </c>
      <c r="U27" s="175">
        <f si="20" t="shared"/>
        <v>103135.1573322388</v>
      </c>
      <c r="V27" s="175">
        <f si="20" t="shared"/>
        <v>5408.7978471882943</v>
      </c>
      <c r="W27" s="183">
        <f si="20" t="shared"/>
        <v>0</v>
      </c>
      <c r="X27" s="183">
        <f si="20" t="shared"/>
        <v>125.90037503234508</v>
      </c>
      <c r="Y27" s="175">
        <f si="20" t="shared"/>
        <v>100.58135941752548</v>
      </c>
      <c r="Z27" s="175">
        <f si="20" t="shared"/>
        <v>0</v>
      </c>
      <c r="AA27" s="183">
        <f si="20" t="shared"/>
        <v>0</v>
      </c>
      <c r="AB27" s="183">
        <f si="20" t="shared"/>
        <v>0</v>
      </c>
      <c r="AC27" s="176">
        <f si="21" t="shared"/>
        <v>108770.43691387697</v>
      </c>
      <c r="AD27" s="197">
        <f si="22" t="shared"/>
        <v>5.6572261725884483E-2</v>
      </c>
      <c r="AE27" s="146"/>
      <c r="AF27" s="150"/>
      <c r="AG27" s="150"/>
      <c r="AH27" s="150"/>
      <c r="AI27" s="150"/>
      <c r="AJ27" s="150"/>
      <c r="AK27" s="150"/>
      <c r="AL27" s="150"/>
      <c r="AM27" s="150"/>
      <c r="AN27" s="196"/>
      <c r="AO27" s="197"/>
    </row>
    <row customHeight="1" ht="13.5" r="28" spans="2:41" thickBot="1" x14ac:dyDescent="0.25">
      <c r="B28" s="154" t="s">
        <v>4</v>
      </c>
      <c r="C28" s="155">
        <f>SUM(C20:C27)</f>
        <v>2209978.6519300775</v>
      </c>
      <c r="D28" s="155">
        <f>SUM(D20:D27)</f>
        <v>1941575</v>
      </c>
      <c r="E28" s="164">
        <f si="13" t="shared"/>
        <v>1</v>
      </c>
      <c r="F28" s="164">
        <f si="14" t="shared"/>
        <v>1</v>
      </c>
      <c r="H28" s="159">
        <f>I1*C28/Summary!B27</f>
        <v>1.0885848527331334</v>
      </c>
      <c r="I28" s="159">
        <f>D28/Summary!C27</f>
        <v>1.0992820264281764</v>
      </c>
      <c r="J28" s="159"/>
      <c r="K28" s="156"/>
      <c r="M28" s="255">
        <f>SUM(M20:M27)</f>
        <v>1922681.4271791673</v>
      </c>
      <c r="N28" s="255">
        <f>SUM(N20:N27)</f>
        <v>1941575</v>
      </c>
      <c r="O28" s="165">
        <f si="17" t="shared"/>
        <v>1</v>
      </c>
      <c r="P28" s="165">
        <f si="18" t="shared"/>
        <v>1</v>
      </c>
      <c r="Q28" s="165">
        <f si="19" t="shared"/>
        <v>9.8266788006332057E-3</v>
      </c>
      <c r="T28" s="179" t="s">
        <v>4</v>
      </c>
      <c r="U28" s="180">
        <f ref="U28:AC28" si="23" t="shared">SUM(U20:U27)</f>
        <v>1032655.7505078958</v>
      </c>
      <c r="V28" s="180">
        <f si="23" t="shared"/>
        <v>136530.34275390685</v>
      </c>
      <c r="W28" s="180">
        <f si="23" t="shared"/>
        <v>178680.13676394211</v>
      </c>
      <c r="X28" s="180">
        <f si="23" t="shared"/>
        <v>201658.24034589648</v>
      </c>
      <c r="Y28" s="180">
        <f si="23" t="shared"/>
        <v>49738.538482754331</v>
      </c>
      <c r="Z28" s="180">
        <f si="23" t="shared"/>
        <v>57217.488060437601</v>
      </c>
      <c r="AA28" s="180">
        <f si="23" t="shared"/>
        <v>266200.93026433402</v>
      </c>
      <c r="AB28" s="180">
        <f si="23" t="shared"/>
        <v>0</v>
      </c>
      <c r="AC28" s="180">
        <f si="23" t="shared"/>
        <v>1922681.4271791675</v>
      </c>
      <c r="AD28" s="197">
        <f si="22" t="shared"/>
        <v>1</v>
      </c>
      <c r="AE28" s="146"/>
      <c r="AF28" s="196"/>
      <c r="AG28" s="196"/>
      <c r="AH28" s="196"/>
      <c r="AI28" s="196"/>
      <c r="AJ28" s="196"/>
      <c r="AK28" s="196"/>
      <c r="AL28" s="196"/>
      <c r="AM28" s="196"/>
      <c r="AN28" s="196"/>
      <c r="AO28" s="197"/>
    </row>
    <row r="29" spans="2:41" x14ac:dyDescent="0.2">
      <c r="U29" s="197">
        <f ref="U29:AC29" si="24" t="shared">U28/$AC$28</f>
        <v>0.5370914473454611</v>
      </c>
      <c r="V29" s="197">
        <f si="24" t="shared"/>
        <v>7.1010382075732251E-2</v>
      </c>
      <c r="W29" s="197">
        <f si="24" t="shared"/>
        <v>9.2932783475258254E-2</v>
      </c>
      <c r="X29" s="197">
        <f si="24" t="shared"/>
        <v>0.1048838551697856</v>
      </c>
      <c r="Y29" s="197">
        <f si="24" t="shared"/>
        <v>2.5869360248477285E-2</v>
      </c>
      <c r="Z29" s="197">
        <f si="24" t="shared"/>
        <v>2.9759214007899042E-2</v>
      </c>
      <c r="AA29" s="197">
        <f si="24" t="shared"/>
        <v>0.13845295767738633</v>
      </c>
      <c r="AB29" s="197">
        <f si="24" t="shared"/>
        <v>0</v>
      </c>
      <c r="AC29" s="197">
        <f si="24" t="shared"/>
        <v>1</v>
      </c>
      <c r="AF29" s="197"/>
      <c r="AG29" s="197"/>
      <c r="AH29" s="197"/>
      <c r="AI29" s="197"/>
      <c r="AJ29" s="197"/>
      <c r="AK29" s="197"/>
      <c r="AL29" s="197"/>
      <c r="AM29" s="197"/>
      <c r="AN29" s="197"/>
    </row>
    <row r="32" spans="2:41" x14ac:dyDescent="0.2">
      <c r="B32" s="146" t="s">
        <v>34</v>
      </c>
      <c r="H32" s="146" t="s">
        <v>35</v>
      </c>
      <c r="M32" s="146" t="str">
        <f>B32</f>
        <v>TABLE 7. TRIPS BY DESTINATION PURPOSE</v>
      </c>
      <c r="T32" s="146" t="s">
        <v>41</v>
      </c>
    </row>
    <row customHeight="1" ht="13.5" r="33" spans="2:28" thickBot="1" x14ac:dyDescent="0.25">
      <c r="C33" s="148"/>
      <c r="D33" s="148"/>
      <c r="E33" s="148"/>
      <c r="F33" s="148"/>
      <c r="H33" s="148"/>
      <c r="I33" s="148"/>
      <c r="J33" s="148"/>
      <c r="K33" s="148"/>
      <c r="M33" s="148"/>
      <c r="N33" s="148"/>
      <c r="O33" s="148"/>
      <c r="P33" s="148"/>
      <c r="Q33" s="148"/>
      <c r="T33" s="146" t="s">
        <v>1235</v>
      </c>
    </row>
    <row customHeight="1" ht="13.5" r="34" spans="2:28" thickBot="1" x14ac:dyDescent="0.25">
      <c r="B34" s="149" t="s">
        <v>37</v>
      </c>
      <c r="C34" s="193" t="s">
        <v>2</v>
      </c>
      <c r="D34" s="193" t="s">
        <v>33</v>
      </c>
      <c r="E34" s="193" t="s">
        <v>7</v>
      </c>
      <c r="F34" s="193" t="s">
        <v>8</v>
      </c>
      <c r="H34" s="193" t="s">
        <v>2</v>
      </c>
      <c r="I34" s="193" t="s">
        <v>33</v>
      </c>
      <c r="J34" s="193" t="s">
        <v>7</v>
      </c>
      <c r="K34" s="193" t="s">
        <v>8</v>
      </c>
      <c r="M34" s="161" t="s">
        <v>1249</v>
      </c>
      <c r="N34" s="161" t="s">
        <v>3</v>
      </c>
      <c r="O34" s="161" t="s">
        <v>1249</v>
      </c>
      <c r="P34" s="161" t="s">
        <v>3</v>
      </c>
      <c r="Q34" s="166" t="s">
        <v>1250</v>
      </c>
      <c r="U34" s="169"/>
      <c r="V34" s="169"/>
      <c r="W34" s="169"/>
      <c r="X34" s="169"/>
      <c r="Y34" s="169"/>
      <c r="Z34" s="169"/>
      <c r="AA34" s="169"/>
    </row>
    <row r="35" spans="2:28" x14ac:dyDescent="0.2">
      <c r="B35" s="147" t="s">
        <v>23</v>
      </c>
      <c r="C35" s="150">
        <f>Summary!B64</f>
        <v>1101441.8246395225</v>
      </c>
      <c r="D35" s="150">
        <f>Summary!C64</f>
        <v>929942</v>
      </c>
      <c r="E35" s="150">
        <f ref="E35:E43" si="25" t="shared">D35-C35</f>
        <v>-171499.82463952247</v>
      </c>
      <c r="F35" s="151">
        <f ref="F35:F43" si="26" t="shared">E35/C35</f>
        <v>-0.15570484142060845</v>
      </c>
      <c r="H35" s="157"/>
      <c r="I35" s="157"/>
      <c r="J35" s="157"/>
      <c r="K35" s="151"/>
      <c r="M35" s="252">
        <f ref="M35:M42" si="27" t="shared">C35*D$43/C$43*(H$43/I$43)</f>
        <v>958254.38743638468</v>
      </c>
      <c r="N35" s="150">
        <f ref="N35:N42" si="28" t="shared">D35</f>
        <v>929942</v>
      </c>
      <c r="O35" s="197">
        <f ref="O35:O43" si="29" t="shared">M35/M$43</f>
        <v>0.18070163990237909</v>
      </c>
      <c r="P35" s="197">
        <f ref="P35:P43" si="30" t="shared">N35/N$43</f>
        <v>0.17834722035233636</v>
      </c>
      <c r="Q35" s="197">
        <f ref="Q35:Q43" si="31" t="shared">(N35-M35)/M35</f>
        <v>-2.954579473633169E-2</v>
      </c>
      <c r="R35" s="213"/>
      <c r="T35" s="149" t="s">
        <v>22</v>
      </c>
      <c r="U35" s="185" t="s">
        <v>12</v>
      </c>
      <c r="V35" s="185" t="s">
        <v>13</v>
      </c>
      <c r="W35" s="185" t="s">
        <v>14</v>
      </c>
      <c r="X35" s="185" t="s">
        <v>15</v>
      </c>
      <c r="Y35" s="185" t="s">
        <v>16</v>
      </c>
      <c r="Z35" s="185" t="s">
        <v>17</v>
      </c>
      <c r="AA35" s="185" t="s">
        <v>18</v>
      </c>
      <c r="AB35" s="185" t="s">
        <v>1209</v>
      </c>
    </row>
    <row r="36" spans="2:28" x14ac:dyDescent="0.2">
      <c r="B36" s="147" t="s">
        <v>24</v>
      </c>
      <c r="C36" s="150">
        <f>Summary!B65</f>
        <v>290411.60606545332</v>
      </c>
      <c r="D36" s="150">
        <f>Summary!C65</f>
        <v>247091</v>
      </c>
      <c r="E36" s="150">
        <f si="25" t="shared"/>
        <v>-43320.606065453321</v>
      </c>
      <c r="F36" s="151">
        <f si="26" t="shared"/>
        <v>-0.14916967903717204</v>
      </c>
      <c r="H36" s="157"/>
      <c r="I36" s="157"/>
      <c r="J36" s="157"/>
      <c r="K36" s="151"/>
      <c r="M36" s="252">
        <f si="27" t="shared"/>
        <v>252658.09727694443</v>
      </c>
      <c r="N36" s="150">
        <f si="28" t="shared"/>
        <v>247091</v>
      </c>
      <c r="O36" s="197">
        <f si="29" t="shared"/>
        <v>4.7644689250733653E-2</v>
      </c>
      <c r="P36" s="197">
        <f si="30" t="shared"/>
        <v>4.7387894109610217E-2</v>
      </c>
      <c r="Q36" s="197">
        <f si="31" t="shared"/>
        <v>-2.2034113835830121E-2</v>
      </c>
      <c r="R36" s="213"/>
      <c r="T36" s="147" t="s">
        <v>23</v>
      </c>
      <c r="U36" s="186">
        <f ref="U36:AB42" si="32" t="shared">IF(AF6&gt;0,U20/AF6,0)</f>
        <v>1.0228882531671626</v>
      </c>
      <c r="V36" s="186">
        <f si="32" t="shared"/>
        <v>0.99109706162980016</v>
      </c>
      <c r="W36" s="187">
        <f si="32" t="shared"/>
        <v>0</v>
      </c>
      <c r="X36" s="187">
        <f si="32" t="shared"/>
        <v>0</v>
      </c>
      <c r="Y36" s="186">
        <f si="32" t="shared"/>
        <v>0.90557036576660399</v>
      </c>
      <c r="Z36" s="186">
        <f si="32" t="shared"/>
        <v>0.84546940366903667</v>
      </c>
      <c r="AA36" s="187">
        <f si="32" t="shared"/>
        <v>0</v>
      </c>
      <c r="AB36" s="187">
        <f si="32" t="shared"/>
        <v>0</v>
      </c>
    </row>
    <row r="37" spans="2:28" x14ac:dyDescent="0.2">
      <c r="B37" s="147" t="s">
        <v>25</v>
      </c>
      <c r="C37" s="150">
        <f>Summary!B66</f>
        <v>503794.57246368844</v>
      </c>
      <c r="D37" s="150">
        <f>Summary!C66</f>
        <v>423019</v>
      </c>
      <c r="E37" s="150">
        <f si="25" t="shared"/>
        <v>-80775.572463688441</v>
      </c>
      <c r="F37" s="151">
        <f si="26" t="shared"/>
        <v>-0.16033434435125923</v>
      </c>
      <c r="H37" s="157"/>
      <c r="I37" s="157"/>
      <c r="J37" s="157"/>
      <c r="K37" s="151"/>
      <c r="M37" s="252">
        <f si="27" t="shared"/>
        <v>438301.27804340905</v>
      </c>
      <c r="N37" s="150">
        <f si="28" t="shared"/>
        <v>423019</v>
      </c>
      <c r="O37" s="197">
        <f si="29" t="shared"/>
        <v>8.2652123227571012E-2</v>
      </c>
      <c r="P37" s="197">
        <f si="30" t="shared"/>
        <v>8.1127922823385726E-2</v>
      </c>
      <c r="Q37" s="197">
        <f si="31" t="shared"/>
        <v>-3.4867062472711992E-2</v>
      </c>
      <c r="R37" s="213"/>
      <c r="T37" s="147" t="s">
        <v>24</v>
      </c>
      <c r="U37" s="188">
        <f si="32" t="shared"/>
        <v>0.76328658663698501</v>
      </c>
      <c r="V37" s="189">
        <f si="32" t="shared"/>
        <v>0</v>
      </c>
      <c r="W37" s="189">
        <f si="32" t="shared"/>
        <v>0</v>
      </c>
      <c r="X37" s="189">
        <f si="32" t="shared"/>
        <v>0</v>
      </c>
      <c r="Y37" s="188">
        <f si="32" t="shared"/>
        <v>1.0141698200812135</v>
      </c>
      <c r="Z37" s="188">
        <f si="32" t="shared"/>
        <v>1.0354825039452669</v>
      </c>
      <c r="AA37" s="188">
        <f si="32" t="shared"/>
        <v>1.0045893937919415</v>
      </c>
      <c r="AB37" s="188">
        <f si="32" t="shared"/>
        <v>0</v>
      </c>
    </row>
    <row r="38" spans="2:28" x14ac:dyDescent="0.2">
      <c r="B38" s="147" t="s">
        <v>26</v>
      </c>
      <c r="C38" s="150">
        <f>Summary!B67</f>
        <v>803449.93999445066</v>
      </c>
      <c r="D38" s="150">
        <f>Summary!C67</f>
        <v>689829</v>
      </c>
      <c r="E38" s="150">
        <f si="25" t="shared"/>
        <v>-113620.93999445066</v>
      </c>
      <c r="F38" s="151">
        <f si="26" t="shared"/>
        <v>-0.14141632768711815</v>
      </c>
      <c r="H38" s="157"/>
      <c r="I38" s="157"/>
      <c r="J38" s="157"/>
      <c r="K38" s="151"/>
      <c r="M38" s="252">
        <f si="27" t="shared"/>
        <v>699001.44779517222</v>
      </c>
      <c r="N38" s="150">
        <f si="28" t="shared"/>
        <v>689829</v>
      </c>
      <c r="O38" s="197">
        <f si="29" t="shared"/>
        <v>0.13181333638204729</v>
      </c>
      <c r="P38" s="197">
        <f si="30" t="shared"/>
        <v>0.13229758917054166</v>
      </c>
      <c r="Q38" s="197">
        <f si="31" t="shared"/>
        <v>-1.3122215732319937E-2</v>
      </c>
      <c r="R38" s="213"/>
      <c r="T38" s="147" t="s">
        <v>25</v>
      </c>
      <c r="U38" s="188">
        <f si="32" t="shared"/>
        <v>0.88347779473208987</v>
      </c>
      <c r="V38" s="188">
        <f si="32" t="shared"/>
        <v>1.0837097737068881</v>
      </c>
      <c r="W38" s="188">
        <f si="32" t="shared"/>
        <v>1.0976130268835238</v>
      </c>
      <c r="X38" s="188">
        <f si="32" t="shared"/>
        <v>1.0297310420665919</v>
      </c>
      <c r="Y38" s="188">
        <f si="32" t="shared"/>
        <v>0.98026177800369529</v>
      </c>
      <c r="Z38" s="188">
        <f si="32" t="shared"/>
        <v>0.97495328013703064</v>
      </c>
      <c r="AA38" s="188">
        <f si="32" t="shared"/>
        <v>0.92935317502059089</v>
      </c>
      <c r="AB38" s="188">
        <f si="32" t="shared"/>
        <v>0</v>
      </c>
    </row>
    <row r="39" spans="2:28" x14ac:dyDescent="0.2">
      <c r="B39" s="147" t="s">
        <v>27</v>
      </c>
      <c r="C39" s="150">
        <f>Summary!B68</f>
        <v>553552.03062019264</v>
      </c>
      <c r="D39" s="150">
        <f>Summary!C68</f>
        <v>437281</v>
      </c>
      <c r="E39" s="150">
        <f si="25" t="shared"/>
        <v>-116271.03062019264</v>
      </c>
      <c r="F39" s="151">
        <f si="26" t="shared"/>
        <v>-0.21004535109359831</v>
      </c>
      <c r="H39" s="157"/>
      <c r="I39" s="157"/>
      <c r="J39" s="157"/>
      <c r="K39" s="151"/>
      <c r="M39" s="252">
        <f si="27" t="shared"/>
        <v>481590.26663956768</v>
      </c>
      <c r="N39" s="150">
        <f si="28" t="shared"/>
        <v>437281</v>
      </c>
      <c r="O39" s="197">
        <f si="29" t="shared"/>
        <v>9.0815290891189504E-2</v>
      </c>
      <c r="P39" s="197">
        <f si="30" t="shared"/>
        <v>8.386313432761397E-2</v>
      </c>
      <c r="Q39" s="197">
        <f si="31" t="shared"/>
        <v>-9.2006150682297047E-2</v>
      </c>
      <c r="R39" s="213"/>
      <c r="T39" s="147" t="s">
        <v>26</v>
      </c>
      <c r="U39" s="188">
        <f si="32" t="shared"/>
        <v>0.9452991003139839</v>
      </c>
      <c r="V39" s="188">
        <f si="32" t="shared"/>
        <v>0.9565407132372884</v>
      </c>
      <c r="W39" s="188">
        <f si="32" t="shared"/>
        <v>0.99246664267948748</v>
      </c>
      <c r="X39" s="188">
        <f si="32" t="shared"/>
        <v>1.0018399307640118</v>
      </c>
      <c r="Y39" s="188">
        <f si="32" t="shared"/>
        <v>0.83547777066758644</v>
      </c>
      <c r="Z39" s="188">
        <f si="32" t="shared"/>
        <v>0.88109681185810085</v>
      </c>
      <c r="AA39" s="188">
        <f si="32" t="shared"/>
        <v>1.0479802342012274</v>
      </c>
      <c r="AB39" s="188">
        <f si="32" t="shared"/>
        <v>0</v>
      </c>
    </row>
    <row r="40" spans="2:28" x14ac:dyDescent="0.2">
      <c r="B40" s="147" t="s">
        <v>28</v>
      </c>
      <c r="C40" s="150">
        <f>Summary!B69</f>
        <v>315628.2306758046</v>
      </c>
      <c r="D40" s="150">
        <f>Summary!C69</f>
        <v>270404</v>
      </c>
      <c r="E40" s="150">
        <f si="25" t="shared"/>
        <v>-45224.230675804603</v>
      </c>
      <c r="F40" s="151">
        <f si="26" t="shared"/>
        <v>-0.14328322463099433</v>
      </c>
      <c r="H40" s="157"/>
      <c r="I40" s="157"/>
      <c r="J40" s="157"/>
      <c r="K40" s="151"/>
      <c r="M40" s="252">
        <f si="27" t="shared"/>
        <v>274596.56068795011</v>
      </c>
      <c r="N40" s="150">
        <f si="28" t="shared"/>
        <v>270404</v>
      </c>
      <c r="O40" s="197">
        <f si="29" t="shared"/>
        <v>5.1781707945647008E-2</v>
      </c>
      <c r="P40" s="197">
        <f si="30" t="shared"/>
        <v>5.185893504342546E-2</v>
      </c>
      <c r="Q40" s="197">
        <f si="31" t="shared"/>
        <v>-1.5268074288499609E-2</v>
      </c>
      <c r="R40" s="213"/>
      <c r="T40" s="147" t="s">
        <v>27</v>
      </c>
      <c r="U40" s="188">
        <f si="32" t="shared"/>
        <v>0.97102334587761496</v>
      </c>
      <c r="V40" s="188">
        <f si="32" t="shared"/>
        <v>0.95869315737821248</v>
      </c>
      <c r="W40" s="188">
        <f si="32" t="shared"/>
        <v>0.88325212403618225</v>
      </c>
      <c r="X40" s="188">
        <f si="32" t="shared"/>
        <v>0.94908980307498603</v>
      </c>
      <c r="Y40" s="188">
        <f si="32" t="shared"/>
        <v>0.8176166272626797</v>
      </c>
      <c r="Z40" s="188">
        <f si="32" t="shared"/>
        <v>0.794153872528227</v>
      </c>
      <c r="AA40" s="188">
        <f si="32" t="shared"/>
        <v>0.93496687492466157</v>
      </c>
      <c r="AB40" s="188">
        <f si="32" t="shared"/>
        <v>0</v>
      </c>
    </row>
    <row r="41" spans="2:28" x14ac:dyDescent="0.2">
      <c r="B41" s="147" t="s">
        <v>29</v>
      </c>
      <c r="C41" s="150">
        <f>Summary!B70</f>
        <v>452895.51507167297</v>
      </c>
      <c r="D41" s="150">
        <f>Summary!C70</f>
        <v>379911</v>
      </c>
      <c r="E41" s="150">
        <f si="25" t="shared"/>
        <v>-72984.515071672969</v>
      </c>
      <c r="F41" s="151">
        <f si="26" t="shared"/>
        <v>-0.16115088942782488</v>
      </c>
      <c r="H41" s="157"/>
      <c r="I41" s="157"/>
      <c r="J41" s="157"/>
      <c r="K41" s="151"/>
      <c r="M41" s="252">
        <f si="27" t="shared"/>
        <v>394019.09811235557</v>
      </c>
      <c r="N41" s="150">
        <f si="28" t="shared"/>
        <v>379911</v>
      </c>
      <c r="O41" s="197">
        <f si="29" t="shared"/>
        <v>7.4301665732248764E-2</v>
      </c>
      <c r="P41" s="197">
        <f si="30" t="shared"/>
        <v>7.2860534131458154E-2</v>
      </c>
      <c r="Q41" s="197">
        <f si="31" t="shared"/>
        <v>-3.5805620031982836E-2</v>
      </c>
      <c r="R41" s="213"/>
      <c r="T41" s="147" t="s">
        <v>28</v>
      </c>
      <c r="U41" s="188">
        <f si="32" t="shared"/>
        <v>0.97543939536741198</v>
      </c>
      <c r="V41" s="188">
        <f si="32" t="shared"/>
        <v>1.0099759674764601</v>
      </c>
      <c r="W41" s="188">
        <f si="32" t="shared"/>
        <v>0.95262350689452735</v>
      </c>
      <c r="X41" s="188">
        <f si="32" t="shared"/>
        <v>0.79308050905980776</v>
      </c>
      <c r="Y41" s="188">
        <f si="32" t="shared"/>
        <v>1.0203343963195088</v>
      </c>
      <c r="Z41" s="188">
        <f si="32" t="shared"/>
        <v>0.61165755893668305</v>
      </c>
      <c r="AA41" s="188">
        <f si="32" t="shared"/>
        <v>0.97017448805253315</v>
      </c>
      <c r="AB41" s="188">
        <f si="32" t="shared"/>
        <v>0</v>
      </c>
    </row>
    <row customHeight="1" ht="13.5" r="42" spans="2:28" thickBot="1" x14ac:dyDescent="0.25">
      <c r="B42" s="190" t="s">
        <v>38</v>
      </c>
      <c r="C42" s="150">
        <f>Summary!B71</f>
        <v>2074187.8125203748</v>
      </c>
      <c r="D42" s="150">
        <f>Summary!C71</f>
        <v>1836745</v>
      </c>
      <c r="E42" s="152">
        <f si="25" t="shared"/>
        <v>-237442.81252037478</v>
      </c>
      <c r="F42" s="153">
        <f si="26" t="shared"/>
        <v>-0.1144750784317138</v>
      </c>
      <c r="H42" s="157"/>
      <c r="I42" s="157"/>
      <c r="J42" s="158"/>
      <c r="K42" s="153"/>
      <c r="M42" s="252">
        <f si="27" t="shared"/>
        <v>1804543.3968927264</v>
      </c>
      <c r="N42" s="152">
        <f si="28" t="shared"/>
        <v>1836745</v>
      </c>
      <c r="O42" s="162">
        <f si="29" t="shared"/>
        <v>0.34028954666818367</v>
      </c>
      <c r="P42" s="162">
        <f si="30" t="shared"/>
        <v>0.35225677004162848</v>
      </c>
      <c r="Q42" s="162">
        <f si="31" t="shared"/>
        <v>1.784473743481152E-2</v>
      </c>
      <c r="R42" s="213"/>
      <c r="T42" s="148" t="s">
        <v>29</v>
      </c>
      <c r="U42" s="191">
        <f si="32" t="shared"/>
        <v>0.96658915142436441</v>
      </c>
      <c r="V42" s="191">
        <f si="32" t="shared"/>
        <v>0.94821646602526199</v>
      </c>
      <c r="W42" s="191">
        <f si="32" t="shared"/>
        <v>0.91922456598027213</v>
      </c>
      <c r="X42" s="191">
        <f si="32" t="shared"/>
        <v>0.97723659293740228</v>
      </c>
      <c r="Y42" s="191">
        <f si="32" t="shared"/>
        <v>0.86327861814540274</v>
      </c>
      <c r="Z42" s="191">
        <f si="32" t="shared"/>
        <v>0.7947087443525136</v>
      </c>
      <c r="AA42" s="191">
        <f si="32" t="shared"/>
        <v>1.050470272458369</v>
      </c>
      <c r="AB42" s="191">
        <f si="32" t="shared"/>
        <v>0</v>
      </c>
    </row>
    <row customHeight="1" ht="13.5" r="43" spans="2:28" thickBot="1" x14ac:dyDescent="0.25">
      <c r="B43" s="154" t="s">
        <v>4</v>
      </c>
      <c r="C43" s="163">
        <f>SUM(C35:C42)</f>
        <v>6095361.5320511591</v>
      </c>
      <c r="D43" s="163">
        <f>SUM(D35:D42)</f>
        <v>5214222</v>
      </c>
      <c r="E43" s="155">
        <f si="25" t="shared"/>
        <v>-881139.53205115907</v>
      </c>
      <c r="F43" s="156">
        <f si="26" t="shared"/>
        <v>-0.14455902696138279</v>
      </c>
      <c r="H43" s="192">
        <f>I1*C43/Summary!B27</f>
        <v>3.0024354443099188</v>
      </c>
      <c r="I43" s="192">
        <f>D43/Summary!C27</f>
        <v>2.9521911470874822</v>
      </c>
      <c r="J43" s="159"/>
      <c r="K43" s="156"/>
      <c r="M43" s="163">
        <f>SUM(M35:M42)</f>
        <v>5302964.5328845102</v>
      </c>
      <c r="N43" s="163">
        <f>SUM(N35:N42)</f>
        <v>5214222</v>
      </c>
      <c r="O43" s="164">
        <f si="29" t="shared"/>
        <v>1</v>
      </c>
      <c r="P43" s="164">
        <f si="30" t="shared"/>
        <v>1</v>
      </c>
      <c r="Q43" s="165">
        <f si="31" t="shared"/>
        <v>-1.6734513748716203E-2</v>
      </c>
    </row>
    <row r="44" spans="2:28" x14ac:dyDescent="0.2">
      <c r="M44" s="160">
        <f>M43/C43</f>
        <v>0.87000000000000033</v>
      </c>
    </row>
    <row r="46" spans="2:28" x14ac:dyDescent="0.2">
      <c r="T46" s="146" t="s">
        <v>41</v>
      </c>
    </row>
    <row r="47" spans="2:28" x14ac:dyDescent="0.2">
      <c r="B47" s="146" t="s">
        <v>39</v>
      </c>
      <c r="H47" s="146" t="s">
        <v>40</v>
      </c>
      <c r="M47" s="146" t="str">
        <f>B47</f>
        <v>TABLE 9. TRIPS BY PERSONTYPE</v>
      </c>
      <c r="T47" s="146" t="s">
        <v>204</v>
      </c>
    </row>
    <row customHeight="1" ht="13.5" r="48" spans="2:28" thickBot="1" x14ac:dyDescent="0.25">
      <c r="C48" s="148"/>
      <c r="D48" s="148"/>
      <c r="E48" s="148"/>
      <c r="F48" s="148"/>
      <c r="H48" s="148"/>
      <c r="I48" s="148"/>
      <c r="J48" s="148"/>
      <c r="K48" s="148"/>
      <c r="M48" s="148"/>
      <c r="N48" s="148"/>
      <c r="O48" s="148"/>
      <c r="P48" s="148"/>
      <c r="Q48" s="148"/>
      <c r="U48" s="169"/>
      <c r="V48" s="169"/>
      <c r="W48" s="169"/>
      <c r="X48" s="169"/>
      <c r="Y48" s="169"/>
      <c r="Z48" s="169"/>
      <c r="AA48" s="169"/>
      <c r="AB48" s="146"/>
    </row>
    <row r="49" spans="2:41" x14ac:dyDescent="0.2">
      <c r="B49" s="149" t="s">
        <v>6</v>
      </c>
      <c r="C49" s="193" t="s">
        <v>2</v>
      </c>
      <c r="D49" s="193" t="s">
        <v>33</v>
      </c>
      <c r="E49" s="193" t="s">
        <v>7</v>
      </c>
      <c r="F49" s="193" t="s">
        <v>8</v>
      </c>
      <c r="H49" s="193" t="s">
        <v>2</v>
      </c>
      <c r="I49" s="193" t="s">
        <v>33</v>
      </c>
      <c r="J49" s="193" t="s">
        <v>7</v>
      </c>
      <c r="K49" s="193" t="s">
        <v>8</v>
      </c>
      <c r="M49" s="161" t="s">
        <v>1249</v>
      </c>
      <c r="N49" s="161" t="s">
        <v>3</v>
      </c>
      <c r="O49" s="161" t="s">
        <v>1249</v>
      </c>
      <c r="P49" s="161" t="s">
        <v>3</v>
      </c>
      <c r="Q49" s="166" t="s">
        <v>1250</v>
      </c>
      <c r="T49" s="170" t="s">
        <v>22</v>
      </c>
      <c r="U49" s="171" t="s">
        <v>12</v>
      </c>
      <c r="V49" s="171" t="s">
        <v>13</v>
      </c>
      <c r="W49" s="171" t="s">
        <v>14</v>
      </c>
      <c r="X49" s="171" t="s">
        <v>15</v>
      </c>
      <c r="Y49" s="171" t="s">
        <v>16</v>
      </c>
      <c r="Z49" s="171" t="s">
        <v>17</v>
      </c>
      <c r="AA49" s="171" t="s">
        <v>18</v>
      </c>
      <c r="AB49" s="171" t="s">
        <v>1209</v>
      </c>
      <c r="AC49" s="171" t="s">
        <v>4</v>
      </c>
      <c r="AE49" s="172" t="s">
        <v>22</v>
      </c>
      <c r="AF49" s="173" t="s">
        <v>12</v>
      </c>
      <c r="AG49" s="173" t="s">
        <v>13</v>
      </c>
      <c r="AH49" s="173" t="s">
        <v>14</v>
      </c>
      <c r="AI49" s="173" t="s">
        <v>15</v>
      </c>
      <c r="AJ49" s="173" t="s">
        <v>16</v>
      </c>
      <c r="AK49" s="173" t="s">
        <v>17</v>
      </c>
      <c r="AL49" s="173" t="s">
        <v>18</v>
      </c>
      <c r="AM49" s="173" t="s">
        <v>1209</v>
      </c>
      <c r="AN49" s="173" t="s">
        <v>4</v>
      </c>
    </row>
    <row r="50" spans="2:41" x14ac:dyDescent="0.2">
      <c r="B50" s="147" t="s">
        <v>12</v>
      </c>
      <c r="C50" s="150">
        <f>Summary!B79</f>
        <v>3302617.0999602312</v>
      </c>
      <c r="D50" s="150">
        <f>Summary!C79</f>
        <v>2822093</v>
      </c>
      <c r="E50" s="150">
        <f ref="E50:E58" si="33" t="shared">D50-C50</f>
        <v>-480524.09996023122</v>
      </c>
      <c r="F50" s="151">
        <f ref="F50:F58" si="34" t="shared">E50/C50</f>
        <v>-0.1454979749139001</v>
      </c>
      <c r="H50" s="157"/>
      <c r="I50" s="157"/>
      <c r="J50" s="157"/>
      <c r="K50" s="151"/>
      <c r="M50" s="252">
        <f ref="M50:M57" si="35" t="shared">C50*M$43/C$43</f>
        <v>2873276.8769654022</v>
      </c>
      <c r="N50" s="150">
        <f ref="N50:N57" si="36" t="shared">D50</f>
        <v>2822093</v>
      </c>
      <c r="O50" s="197">
        <f ref="O50:O58" si="37" t="shared">M50/M$58</f>
        <v>0.54182464528053398</v>
      </c>
      <c r="P50" s="197">
        <f ref="P50:P58" si="38" t="shared">N50/N$58</f>
        <v>0.54122992845337237</v>
      </c>
      <c r="Q50" s="197">
        <f ref="Q50:Q58" si="39" t="shared">(N50-M50)/M50</f>
        <v>-1.7813764268851031E-2</v>
      </c>
      <c r="T50" s="174" t="s">
        <v>23</v>
      </c>
      <c r="U50" s="175">
        <f>TripsByDestinationPurpose!B5</f>
        <v>975639.73494775128</v>
      </c>
      <c r="V50" s="175">
        <f>TripsByDestinationPurpose!C5</f>
        <v>84611.155888975118</v>
      </c>
      <c r="W50" s="175">
        <v>0</v>
      </c>
      <c r="X50" s="175">
        <v>0</v>
      </c>
      <c r="Y50" s="175">
        <f>TripsByDestinationPurpose!F5</f>
        <v>16794.502578904099</v>
      </c>
      <c r="Z50" s="175">
        <f>TripsByDestinationPurpose!G5</f>
        <v>2993.3548611207079</v>
      </c>
      <c r="AA50" s="175">
        <v>0</v>
      </c>
      <c r="AB50" s="175">
        <f>TripsByDestinationPurpose!J5</f>
        <v>0</v>
      </c>
      <c r="AC50" s="176">
        <f ref="AC50:AC57" si="40" t="shared">SUM(U50:AB50)</f>
        <v>1080038.7482767513</v>
      </c>
      <c r="AE50" s="177" t="s">
        <v>23</v>
      </c>
      <c r="AF50" s="178">
        <f>TripsByDestinationPurpose!N5</f>
        <v>839065</v>
      </c>
      <c r="AG50" s="178">
        <f>TripsByDestinationPurpose!O5</f>
        <v>71521</v>
      </c>
      <c r="AH50" s="178">
        <f>TripsByDestinationPurpose!P5</f>
        <v>0</v>
      </c>
      <c r="AI50" s="178">
        <f>TripsByDestinationPurpose!Q5</f>
        <v>0</v>
      </c>
      <c r="AJ50" s="178">
        <f>TripsByDestinationPurpose!R5</f>
        <v>16174</v>
      </c>
      <c r="AK50" s="178">
        <f>TripsByDestinationPurpose!S5</f>
        <v>3182</v>
      </c>
      <c r="AL50" s="178">
        <f>TripsByDestinationPurpose!U5</f>
        <v>0</v>
      </c>
      <c r="AM50" s="178">
        <f>TripsByDestinationPurpose!V5</f>
        <v>0</v>
      </c>
      <c r="AN50" s="178">
        <f ref="AN50:AN57" si="41" t="shared">SUM(AF50:AM50)</f>
        <v>929942</v>
      </c>
      <c r="AO50" s="197">
        <f ref="AO50:AO58" si="42" t="shared">AN50/AN$58</f>
        <v>0.17834722035233636</v>
      </c>
    </row>
    <row r="51" spans="2:41" x14ac:dyDescent="0.2">
      <c r="B51" s="147" t="s">
        <v>13</v>
      </c>
      <c r="C51" s="150">
        <f>Summary!B80</f>
        <v>445507.10091425281</v>
      </c>
      <c r="D51" s="150">
        <f>Summary!C80</f>
        <v>383145</v>
      </c>
      <c r="E51" s="150">
        <f si="33" t="shared"/>
        <v>-62362.100914252806</v>
      </c>
      <c r="F51" s="151">
        <f si="34" t="shared"/>
        <v>-0.13998003799776854</v>
      </c>
      <c r="H51" s="157"/>
      <c r="I51" s="157"/>
      <c r="J51" s="157"/>
      <c r="K51" s="151"/>
      <c r="M51" s="252">
        <f si="35" t="shared"/>
        <v>387591.17779540009</v>
      </c>
      <c r="N51" s="150">
        <f si="36" t="shared"/>
        <v>383145</v>
      </c>
      <c r="O51" s="197">
        <f si="37" t="shared"/>
        <v>7.3089528581963298E-2</v>
      </c>
      <c r="P51" s="197">
        <f si="38" t="shared"/>
        <v>7.3480760888201532E-2</v>
      </c>
      <c r="Q51" s="197">
        <f si="39" t="shared"/>
        <v>-1.1471308043412471E-2</v>
      </c>
      <c r="T51" s="174" t="s">
        <v>24</v>
      </c>
      <c r="U51" s="175">
        <f>TripsByDestinationPurpose!B6</f>
        <v>13793.058815050374</v>
      </c>
      <c r="V51" s="175">
        <v>0</v>
      </c>
      <c r="W51" s="175">
        <v>0</v>
      </c>
      <c r="X51" s="175">
        <v>0</v>
      </c>
      <c r="Y51" s="175">
        <f>TripsByDestinationPurpose!F6</f>
        <v>16226.084546597727</v>
      </c>
      <c r="Z51" s="175">
        <f>TripsByDestinationPurpose!G6</f>
        <v>42201.678470851177</v>
      </c>
      <c r="AA51" s="175">
        <f>TripsByDestinationPurpose!I6</f>
        <v>212439.13184791486</v>
      </c>
      <c r="AB51" s="175">
        <f>TripsByDestinationPurpose!J6</f>
        <v>0</v>
      </c>
      <c r="AC51" s="176">
        <f si="40" t="shared"/>
        <v>284659.95368041412</v>
      </c>
      <c r="AE51" s="177" t="s">
        <v>24</v>
      </c>
      <c r="AF51" s="178">
        <f>TripsByDestinationPurpose!N6</f>
        <v>11632</v>
      </c>
      <c r="AG51" s="178">
        <f>TripsByDestinationPurpose!O6</f>
        <v>0</v>
      </c>
      <c r="AH51" s="178">
        <f>TripsByDestinationPurpose!P6</f>
        <v>0</v>
      </c>
      <c r="AI51" s="178">
        <f>TripsByDestinationPurpose!Q6</f>
        <v>0</v>
      </c>
      <c r="AJ51" s="178">
        <f>TripsByDestinationPurpose!R6</f>
        <v>15195</v>
      </c>
      <c r="AK51" s="178">
        <f>TripsByDestinationPurpose!S6</f>
        <v>36129</v>
      </c>
      <c r="AL51" s="178">
        <f>TripsByDestinationPurpose!U6</f>
        <v>184135</v>
      </c>
      <c r="AM51" s="178">
        <f>TripsByDestinationPurpose!V6</f>
        <v>0</v>
      </c>
      <c r="AN51" s="178">
        <f si="41" t="shared"/>
        <v>247091</v>
      </c>
      <c r="AO51" s="197">
        <f si="42" t="shared"/>
        <v>4.7387894109610217E-2</v>
      </c>
    </row>
    <row r="52" spans="2:41" x14ac:dyDescent="0.2">
      <c r="B52" s="147" t="s">
        <v>14</v>
      </c>
      <c r="C52" s="150">
        <f>Summary!B81</f>
        <v>603996.01186072128</v>
      </c>
      <c r="D52" s="150">
        <f>Summary!C81</f>
        <v>514635</v>
      </c>
      <c r="E52" s="150">
        <f si="33" t="shared"/>
        <v>-89361.011860721279</v>
      </c>
      <c r="F52" s="151">
        <f si="34" t="shared"/>
        <v>-0.14794967202751583</v>
      </c>
      <c r="H52" s="157"/>
      <c r="I52" s="157"/>
      <c r="J52" s="157"/>
      <c r="K52" s="151"/>
      <c r="M52" s="252">
        <f si="35" t="shared"/>
        <v>525476.5303188276</v>
      </c>
      <c r="N52" s="150">
        <f si="36" t="shared"/>
        <v>514635</v>
      </c>
      <c r="O52" s="197">
        <f si="37" t="shared"/>
        <v>9.9091088967362628E-2</v>
      </c>
      <c r="P52" s="197">
        <f si="38" t="shared"/>
        <v>9.8698329300133364E-2</v>
      </c>
      <c r="Q52" s="197">
        <f si="39" t="shared"/>
        <v>-2.0631806928179289E-2</v>
      </c>
      <c r="T52" s="174" t="s">
        <v>25</v>
      </c>
      <c r="U52" s="175">
        <f>TripsByDestinationPurpose!B7</f>
        <v>288070.01418012049</v>
      </c>
      <c r="V52" s="184">
        <f>TripsByDestinationPurpose!C7+TripsByDestinationPurpose!C6</f>
        <v>47206.785452141441</v>
      </c>
      <c r="W52" s="184">
        <f>TripsByDestinationPurpose!D7+TripsByDestinationPurpose!D6</f>
        <v>24844.522369383678</v>
      </c>
      <c r="X52" s="184">
        <f>TripsByDestinationPurpose!E7+TripsByDestinationPurpose!E6</f>
        <v>90568.969807997797</v>
      </c>
      <c r="Y52" s="175">
        <f>TripsByDestinationPurpose!F7</f>
        <v>11033.24802341346</v>
      </c>
      <c r="Z52" s="175">
        <f>TripsByDestinationPurpose!G7</f>
        <v>7738.9641700730836</v>
      </c>
      <c r="AA52" s="175">
        <f>TripsByDestinationPurpose!I7</f>
        <v>40083.720845597687</v>
      </c>
      <c r="AB52" s="175">
        <f>TripsByDestinationPurpose!J7</f>
        <v>0</v>
      </c>
      <c r="AC52" s="176">
        <f si="40" t="shared"/>
        <v>509546.22484872764</v>
      </c>
      <c r="AE52" s="177" t="s">
        <v>25</v>
      </c>
      <c r="AF52" s="178">
        <f>TripsByDestinationPurpose!N7</f>
        <v>227396</v>
      </c>
      <c r="AG52" s="178">
        <f>TripsByDestinationPurpose!O7</f>
        <v>43758</v>
      </c>
      <c r="AH52" s="178">
        <f>TripsByDestinationPurpose!P7</f>
        <v>20386</v>
      </c>
      <c r="AI52" s="178">
        <f>TripsByDestinationPurpose!Q7</f>
        <v>84112</v>
      </c>
      <c r="AJ52" s="178">
        <f>TripsByDestinationPurpose!R7</f>
        <v>10507</v>
      </c>
      <c r="AK52" s="178">
        <f>TripsByDestinationPurpose!S7</f>
        <v>7345</v>
      </c>
      <c r="AL52" s="178">
        <f>TripsByDestinationPurpose!U7</f>
        <v>29515</v>
      </c>
      <c r="AM52" s="178">
        <f>TripsByDestinationPurpose!V7</f>
        <v>0</v>
      </c>
      <c r="AN52" s="178">
        <f si="41" t="shared"/>
        <v>423019</v>
      </c>
      <c r="AO52" s="197">
        <f si="42" t="shared"/>
        <v>8.1127922823385726E-2</v>
      </c>
    </row>
    <row r="53" spans="2:41" x14ac:dyDescent="0.2">
      <c r="B53" s="147" t="s">
        <v>15</v>
      </c>
      <c r="C53" s="150">
        <f>Summary!B82</f>
        <v>667379.73158200807</v>
      </c>
      <c r="D53" s="150">
        <f>Summary!C82</f>
        <v>569105</v>
      </c>
      <c r="E53" s="150">
        <f si="33" t="shared"/>
        <v>-98274.731582008069</v>
      </c>
      <c r="F53" s="151">
        <f si="34" t="shared"/>
        <v>-0.14725459424584278</v>
      </c>
      <c r="H53" s="157"/>
      <c r="I53" s="157"/>
      <c r="J53" s="157"/>
      <c r="K53" s="151"/>
      <c r="M53" s="252">
        <f si="35" t="shared"/>
        <v>580620.3664763472</v>
      </c>
      <c r="N53" s="150">
        <f si="36" t="shared"/>
        <v>569105</v>
      </c>
      <c r="O53" s="197">
        <f si="37" t="shared"/>
        <v>0.10948976989678692</v>
      </c>
      <c r="P53" s="197">
        <f si="38" t="shared"/>
        <v>0.10914475831677285</v>
      </c>
      <c r="Q53" s="197">
        <f si="39" t="shared"/>
        <v>-1.9832866949244892E-2</v>
      </c>
      <c r="T53" s="174" t="s">
        <v>26</v>
      </c>
      <c r="U53" s="175">
        <f>TripsByDestinationPurpose!B8</f>
        <v>365744.99905672303</v>
      </c>
      <c r="V53" s="175">
        <f>TripsByDestinationPurpose!C8</f>
        <v>65068.368645488095</v>
      </c>
      <c r="W53" s="184">
        <f>TripsByDestinationPurpose!D8+TripsByDestinationPurpose!D5</f>
        <v>161152.28352948817</v>
      </c>
      <c r="X53" s="184">
        <f>TripsByDestinationPurpose!E8+TripsByDestinationPurpose!E5</f>
        <v>142171.26475451904</v>
      </c>
      <c r="Y53" s="175">
        <f>TripsByDestinationPurpose!F8</f>
        <v>15296.716115939347</v>
      </c>
      <c r="Z53" s="175">
        <f>TripsByDestinationPurpose!G8</f>
        <v>19104.484919871287</v>
      </c>
      <c r="AA53" s="184">
        <f>TripsByDestinationPurpose!I8+TripsByDestinationPurpose!I5</f>
        <v>56314.899335192866</v>
      </c>
      <c r="AB53" s="175">
        <f>TripsByDestinationPurpose!J8</f>
        <v>0</v>
      </c>
      <c r="AC53" s="176">
        <f si="40" t="shared"/>
        <v>824853.01635722176</v>
      </c>
      <c r="AE53" s="177" t="s">
        <v>26</v>
      </c>
      <c r="AF53" s="178">
        <f>TripsByDestinationPurpose!N8</f>
        <v>311052</v>
      </c>
      <c r="AG53" s="178">
        <f>TripsByDestinationPurpose!O8</f>
        <v>52880</v>
      </c>
      <c r="AH53" s="178">
        <f>TripsByDestinationPurpose!P8</f>
        <v>136403</v>
      </c>
      <c r="AI53" s="178">
        <f>TripsByDestinationPurpose!Q8</f>
        <v>118809</v>
      </c>
      <c r="AJ53" s="178">
        <f>TripsByDestinationPurpose!R8</f>
        <v>12114</v>
      </c>
      <c r="AK53" s="178">
        <f>TripsByDestinationPurpose!S8</f>
        <v>14236</v>
      </c>
      <c r="AL53" s="178">
        <f>TripsByDestinationPurpose!U8</f>
        <v>44335</v>
      </c>
      <c r="AM53" s="178">
        <f>TripsByDestinationPurpose!V8</f>
        <v>0</v>
      </c>
      <c r="AN53" s="178">
        <f si="41" t="shared"/>
        <v>689829</v>
      </c>
      <c r="AO53" s="197">
        <f si="42" t="shared"/>
        <v>0.13229758917054166</v>
      </c>
    </row>
    <row r="54" spans="2:41" x14ac:dyDescent="0.2">
      <c r="B54" s="147" t="s">
        <v>16</v>
      </c>
      <c r="C54" s="150">
        <f>Summary!B83</f>
        <v>151306.74402796646</v>
      </c>
      <c r="D54" s="150">
        <f>Summary!C83</f>
        <v>135583</v>
      </c>
      <c r="E54" s="150">
        <f si="33" t="shared"/>
        <v>-15723.744027966459</v>
      </c>
      <c r="F54" s="151">
        <f si="34" t="shared"/>
        <v>-0.10391965096453464</v>
      </c>
      <c r="H54" s="157"/>
      <c r="I54" s="157"/>
      <c r="J54" s="157"/>
      <c r="K54" s="151"/>
      <c r="M54" s="252">
        <f si="35" t="shared"/>
        <v>131636.86730433087</v>
      </c>
      <c r="N54" s="150">
        <f si="36" t="shared"/>
        <v>135583</v>
      </c>
      <c r="O54" s="197">
        <f si="37" t="shared"/>
        <v>2.4823259987508894E-2</v>
      </c>
      <c r="P54" s="197">
        <f si="38" t="shared"/>
        <v>2.6002536907711257E-2</v>
      </c>
      <c r="Q54" s="197">
        <f si="39" t="shared"/>
        <v>2.9977412684442588E-2</v>
      </c>
      <c r="T54" s="174" t="s">
        <v>27</v>
      </c>
      <c r="U54" s="175">
        <f>TripsByDestinationPurpose!B9</f>
        <v>234480.01690122604</v>
      </c>
      <c r="V54" s="175">
        <f>TripsByDestinationPurpose!C9</f>
        <v>48765.565305954828</v>
      </c>
      <c r="W54" s="175">
        <f>TripsByDestinationPurpose!D9</f>
        <v>112544.09017610914</v>
      </c>
      <c r="X54" s="175">
        <f>TripsByDestinationPurpose!E9</f>
        <v>108591.27940950016</v>
      </c>
      <c r="Y54" s="175">
        <f>TripsByDestinationPurpose!F9</f>
        <v>16618.238956290908</v>
      </c>
      <c r="Z54" s="175">
        <f>TripsByDestinationPurpose!G9</f>
        <v>5436.9485837728862</v>
      </c>
      <c r="AA54" s="175">
        <f>TripsByDestinationPurpose!I9</f>
        <v>27115.891287338647</v>
      </c>
      <c r="AB54" s="175">
        <f>TripsByDestinationPurpose!J9</f>
        <v>0</v>
      </c>
      <c r="AC54" s="176">
        <f si="40" t="shared"/>
        <v>553552.03062019264</v>
      </c>
      <c r="AE54" s="177" t="s">
        <v>27</v>
      </c>
      <c r="AF54" s="178">
        <f>TripsByDestinationPurpose!N9</f>
        <v>186153</v>
      </c>
      <c r="AG54" s="178">
        <f>TripsByDestinationPurpose!O9</f>
        <v>39871</v>
      </c>
      <c r="AH54" s="178">
        <f>TripsByDestinationPurpose!P9</f>
        <v>87365</v>
      </c>
      <c r="AI54" s="178">
        <f>TripsByDestinationPurpose!Q9</f>
        <v>86487</v>
      </c>
      <c r="AJ54" s="178">
        <f>TripsByDestinationPurpose!R9</f>
        <v>12195</v>
      </c>
      <c r="AK54" s="178">
        <f>TripsByDestinationPurpose!S9</f>
        <v>4753</v>
      </c>
      <c r="AL54" s="178">
        <f>TripsByDestinationPurpose!U9</f>
        <v>20457</v>
      </c>
      <c r="AM54" s="178">
        <f>TripsByDestinationPurpose!V9</f>
        <v>0</v>
      </c>
      <c r="AN54" s="178">
        <f si="41" t="shared"/>
        <v>437281</v>
      </c>
      <c r="AO54" s="197">
        <f si="42" t="shared"/>
        <v>8.386313432761397E-2</v>
      </c>
    </row>
    <row r="55" spans="2:41" x14ac:dyDescent="0.2">
      <c r="B55" s="147" t="s">
        <v>17</v>
      </c>
      <c r="C55" s="150">
        <f>Summary!B84</f>
        <v>172907.57818910776</v>
      </c>
      <c r="D55" s="150">
        <f>Summary!C84</f>
        <v>149079</v>
      </c>
      <c r="E55" s="150">
        <f si="33" t="shared"/>
        <v>-23828.578189107764</v>
      </c>
      <c r="F55" s="151">
        <f si="34" t="shared"/>
        <v>-0.13781106900385026</v>
      </c>
      <c r="H55" s="157"/>
      <c r="I55" s="157"/>
      <c r="J55" s="157"/>
      <c r="K55" s="151"/>
      <c r="M55" s="252">
        <f si="35" t="shared"/>
        <v>150429.59302452381</v>
      </c>
      <c r="N55" s="150">
        <f si="36" t="shared"/>
        <v>149079</v>
      </c>
      <c r="O55" s="197">
        <f si="37" t="shared"/>
        <v>2.8367075075023875E-2</v>
      </c>
      <c r="P55" s="197">
        <f si="38" t="shared"/>
        <v>2.8590842507281049E-2</v>
      </c>
      <c r="Q55" s="197">
        <f si="39" t="shared"/>
        <v>-8.9782402343110222E-3</v>
      </c>
      <c r="T55" s="174" t="s">
        <v>28</v>
      </c>
      <c r="U55" s="175">
        <f>TripsByDestinationPurpose!B10</f>
        <v>187057.01961058742</v>
      </c>
      <c r="V55" s="175">
        <f>TripsByDestinationPurpose!C10</f>
        <v>19752.055790292434</v>
      </c>
      <c r="W55" s="175">
        <f>TripsByDestinationPurpose!D10</f>
        <v>45048.242532017262</v>
      </c>
      <c r="X55" s="175">
        <f>TripsByDestinationPurpose!E10</f>
        <v>32447.503746623643</v>
      </c>
      <c r="Y55" s="175">
        <f>TripsByDestinationPurpose!F10</f>
        <v>7521.169951284216</v>
      </c>
      <c r="Z55" s="175">
        <f>TripsByDestinationPurpose!G10</f>
        <v>5253.7301082230306</v>
      </c>
      <c r="AA55" s="175">
        <f>TripsByDestinationPurpose!I10</f>
        <v>18548.508936776587</v>
      </c>
      <c r="AB55" s="175">
        <f>TripsByDestinationPurpose!J10</f>
        <v>0</v>
      </c>
      <c r="AC55" s="176">
        <f si="40" t="shared"/>
        <v>315628.2306758046</v>
      </c>
      <c r="AE55" s="177" t="s">
        <v>28</v>
      </c>
      <c r="AF55" s="178">
        <f>TripsByDestinationPurpose!N10</f>
        <v>165220</v>
      </c>
      <c r="AG55" s="178">
        <f>TripsByDestinationPurpose!O10</f>
        <v>17849</v>
      </c>
      <c r="AH55" s="178">
        <f>TripsByDestinationPurpose!P10</f>
        <v>37019</v>
      </c>
      <c r="AI55" s="178">
        <f>TripsByDestinationPurpose!Q10</f>
        <v>24809</v>
      </c>
      <c r="AJ55" s="178">
        <f>TripsByDestinationPurpose!R10</f>
        <v>7468</v>
      </c>
      <c r="AK55" s="178">
        <f>TripsByDestinationPurpose!S10</f>
        <v>3283</v>
      </c>
      <c r="AL55" s="178">
        <f>TripsByDestinationPurpose!U10</f>
        <v>14756</v>
      </c>
      <c r="AM55" s="178">
        <f>TripsByDestinationPurpose!V10</f>
        <v>0</v>
      </c>
      <c r="AN55" s="178">
        <f si="41" t="shared"/>
        <v>270404</v>
      </c>
      <c r="AO55" s="197">
        <f si="42" t="shared"/>
        <v>5.185893504342546E-2</v>
      </c>
    </row>
    <row r="56" spans="2:41" x14ac:dyDescent="0.2">
      <c r="B56" s="147" t="s">
        <v>18</v>
      </c>
      <c r="C56" s="150">
        <f>Summary!B85</f>
        <v>751647.26551687205</v>
      </c>
      <c r="D56" s="150">
        <f>Summary!C85</f>
        <v>640582</v>
      </c>
      <c r="E56" s="150">
        <f si="33" t="shared"/>
        <v>-111065.26551687205</v>
      </c>
      <c r="F56" s="151">
        <f si="34" t="shared"/>
        <v>-0.14776248196751937</v>
      </c>
      <c r="H56" s="157"/>
      <c r="I56" s="157"/>
      <c r="J56" s="157"/>
      <c r="K56" s="151"/>
      <c r="M56" s="252">
        <f si="35" t="shared"/>
        <v>653933.12099967885</v>
      </c>
      <c r="N56" s="150">
        <f si="36" t="shared"/>
        <v>640582</v>
      </c>
      <c r="O56" s="197">
        <f si="37" t="shared"/>
        <v>0.12331463221082049</v>
      </c>
      <c r="P56" s="197">
        <f si="38" t="shared"/>
        <v>0.1228528436265276</v>
      </c>
      <c r="Q56" s="197">
        <f si="39" t="shared"/>
        <v>-2.041664593967769E-2</v>
      </c>
      <c r="T56" s="174" t="s">
        <v>29</v>
      </c>
      <c r="U56" s="175">
        <f>TripsByDestinationPurpose!B11</f>
        <v>176190.64520362957</v>
      </c>
      <c r="V56" s="175">
        <f>TripsByDestinationPurpose!C11</f>
        <v>29872.111350960175</v>
      </c>
      <c r="W56" s="175">
        <f>TripsByDestinationPurpose!D11</f>
        <v>57148.902591210339</v>
      </c>
      <c r="X56" s="175">
        <f>TripsByDestinationPurpose!E11</f>
        <v>62230.275469326298</v>
      </c>
      <c r="Y56" s="175">
        <f>TripsByDestinationPurpose!F11</f>
        <v>10761.660725264534</v>
      </c>
      <c r="Z56" s="175">
        <f>TripsByDestinationPurpose!G11</f>
        <v>25327.079930490614</v>
      </c>
      <c r="AA56" s="175">
        <f>TripsByDestinationPurpose!I11</f>
        <v>91364.839800791393</v>
      </c>
      <c r="AB56" s="175">
        <f>TripsByDestinationPurpose!J11</f>
        <v>0</v>
      </c>
      <c r="AC56" s="176">
        <f si="40" t="shared"/>
        <v>452895.51507167297</v>
      </c>
      <c r="AE56" s="177" t="s">
        <v>29</v>
      </c>
      <c r="AF56" s="178">
        <f>TripsByDestinationPurpose!N11</f>
        <v>145936</v>
      </c>
      <c r="AG56" s="178">
        <f>TripsByDestinationPurpose!O11</f>
        <v>25425</v>
      </c>
      <c r="AH56" s="178">
        <f>TripsByDestinationPurpose!P11</f>
        <v>46721</v>
      </c>
      <c r="AI56" s="178">
        <f>TripsByDestinationPurpose!Q11</f>
        <v>49650</v>
      </c>
      <c r="AJ56" s="178">
        <f>TripsByDestinationPurpose!R11</f>
        <v>8460</v>
      </c>
      <c r="AK56" s="178">
        <f>TripsByDestinationPurpose!S11</f>
        <v>19546</v>
      </c>
      <c r="AL56" s="178">
        <f>TripsByDestinationPurpose!U11</f>
        <v>84173</v>
      </c>
      <c r="AM56" s="178">
        <f>TripsByDestinationPurpose!V11</f>
        <v>0</v>
      </c>
      <c r="AN56" s="178">
        <f si="41" t="shared"/>
        <v>379911</v>
      </c>
      <c r="AO56" s="197">
        <f si="42" t="shared"/>
        <v>7.2860534131458154E-2</v>
      </c>
    </row>
    <row r="57" spans="2:41" x14ac:dyDescent="0.2">
      <c r="B57" s="147" t="s">
        <v>19</v>
      </c>
      <c r="C57" s="152">
        <f>Summary!B86</f>
        <v>0</v>
      </c>
      <c r="D57" s="152">
        <f>Summary!C86</f>
        <v>0</v>
      </c>
      <c r="E57" s="152">
        <f si="33" t="shared"/>
        <v>0</v>
      </c>
      <c r="F57" s="153" t="e">
        <f si="34" t="shared"/>
        <v>#DIV/0!</v>
      </c>
      <c r="H57" s="157"/>
      <c r="I57" s="157"/>
      <c r="J57" s="158"/>
      <c r="K57" s="153"/>
      <c r="M57" s="252">
        <f si="35" t="shared"/>
        <v>0</v>
      </c>
      <c r="N57" s="152">
        <f si="36" t="shared"/>
        <v>0</v>
      </c>
      <c r="O57" s="162">
        <f si="37" t="shared"/>
        <v>0</v>
      </c>
      <c r="P57" s="162">
        <f si="38" t="shared"/>
        <v>0</v>
      </c>
      <c r="Q57" s="162" t="e">
        <f si="39" t="shared"/>
        <v>#DIV/0!</v>
      </c>
      <c r="T57" s="174" t="s">
        <v>38</v>
      </c>
      <c r="U57" s="175">
        <f>TripsByDestinationPurpose!B12</f>
        <v>1061641.611245143</v>
      </c>
      <c r="V57" s="175">
        <f>TripsByDestinationPurpose!C12</f>
        <v>150231.05848044067</v>
      </c>
      <c r="W57" s="175">
        <f>TripsByDestinationPurpose!D12</f>
        <v>203257.97066251273</v>
      </c>
      <c r="X57" s="175">
        <f>TripsByDestinationPurpose!E12</f>
        <v>231370.43839404112</v>
      </c>
      <c r="Y57" s="175">
        <f>TripsByDestinationPurpose!F12</f>
        <v>57055.123130272172</v>
      </c>
      <c r="Z57" s="175">
        <f>TripsByDestinationPurpose!G12</f>
        <v>64851.337144704987</v>
      </c>
      <c r="AA57" s="175">
        <f>TripsByDestinationPurpose!I12</f>
        <v>305780.27346326009</v>
      </c>
      <c r="AB57" s="175">
        <f>TripsByDestinationPurpose!J12</f>
        <v>0</v>
      </c>
      <c r="AC57" s="176">
        <f si="40" t="shared"/>
        <v>2074187.8125203748</v>
      </c>
      <c r="AE57" s="177" t="s">
        <v>38</v>
      </c>
      <c r="AF57" s="178">
        <f>TripsByDestinationPurpose!N12</f>
        <v>935639</v>
      </c>
      <c r="AG57" s="178">
        <f>TripsByDestinationPurpose!O12</f>
        <v>131841</v>
      </c>
      <c r="AH57" s="178">
        <f>TripsByDestinationPurpose!P12</f>
        <v>186741</v>
      </c>
      <c r="AI57" s="178">
        <f>TripsByDestinationPurpose!Q12</f>
        <v>205238</v>
      </c>
      <c r="AJ57" s="178">
        <f>TripsByDestinationPurpose!R12</f>
        <v>53470</v>
      </c>
      <c r="AK57" s="178">
        <f>TripsByDestinationPurpose!S12</f>
        <v>60605</v>
      </c>
      <c r="AL57" s="178">
        <f>TripsByDestinationPurpose!U12</f>
        <v>263211</v>
      </c>
      <c r="AM57" s="178">
        <f>TripsByDestinationPurpose!V12</f>
        <v>0</v>
      </c>
      <c r="AN57" s="178">
        <f si="41" t="shared"/>
        <v>1836745</v>
      </c>
      <c r="AO57" s="197">
        <f si="42" t="shared"/>
        <v>0.35225677004162848</v>
      </c>
    </row>
    <row customHeight="1" ht="13.5" r="58" spans="2:41" thickBot="1" x14ac:dyDescent="0.25">
      <c r="B58" s="154" t="s">
        <v>4</v>
      </c>
      <c r="C58" s="155">
        <f>SUM(C50:C57)</f>
        <v>6095361.5320511609</v>
      </c>
      <c r="D58" s="155">
        <f>SUM(D50:D57)</f>
        <v>5214222</v>
      </c>
      <c r="E58" s="155">
        <f si="33" t="shared"/>
        <v>-881139.53205116093</v>
      </c>
      <c r="F58" s="156">
        <f si="34" t="shared"/>
        <v>-0.14455902696138306</v>
      </c>
      <c r="H58" s="192">
        <f>C58/Summary!B27</f>
        <v>3.4510752233447355</v>
      </c>
      <c r="I58" s="192">
        <f>D58/Summary!C27</f>
        <v>2.9521911470874822</v>
      </c>
      <c r="J58" s="159"/>
      <c r="K58" s="156"/>
      <c r="M58" s="163">
        <f>SUM(M50:M57)</f>
        <v>5302964.5328845102</v>
      </c>
      <c r="N58" s="163">
        <f>SUM(N50:N57)</f>
        <v>5214222</v>
      </c>
      <c r="O58" s="164">
        <f si="37" t="shared"/>
        <v>1</v>
      </c>
      <c r="P58" s="164">
        <f si="38" t="shared"/>
        <v>1</v>
      </c>
      <c r="Q58" s="165">
        <f si="39" t="shared"/>
        <v>-1.6734513748716203E-2</v>
      </c>
      <c r="T58" s="179" t="s">
        <v>4</v>
      </c>
      <c r="U58" s="180">
        <f ref="U58:AC58" si="43" t="shared">SUM(U50:U57)</f>
        <v>3302617.0999602312</v>
      </c>
      <c r="V58" s="180">
        <f si="43" t="shared"/>
        <v>445507.10091425281</v>
      </c>
      <c r="W58" s="180">
        <f si="43" t="shared"/>
        <v>603996.01186072128</v>
      </c>
      <c r="X58" s="180">
        <f si="43" t="shared"/>
        <v>667379.73158200807</v>
      </c>
      <c r="Y58" s="180">
        <f si="43" t="shared"/>
        <v>151306.74402796646</v>
      </c>
      <c r="Z58" s="180">
        <f si="43" t="shared"/>
        <v>172907.57818910776</v>
      </c>
      <c r="AA58" s="180">
        <f si="43" t="shared"/>
        <v>751647.26551687217</v>
      </c>
      <c r="AB58" s="180">
        <f si="43" t="shared"/>
        <v>0</v>
      </c>
      <c r="AC58" s="180">
        <f si="43" t="shared"/>
        <v>6095361.5320511591</v>
      </c>
      <c r="AE58" s="181" t="s">
        <v>4</v>
      </c>
      <c r="AF58" s="182">
        <f ref="AF58:AN58" si="44" t="shared">SUM(AF50:AF57)</f>
        <v>2822093</v>
      </c>
      <c r="AG58" s="182">
        <f si="44" t="shared"/>
        <v>383145</v>
      </c>
      <c r="AH58" s="182">
        <f si="44" t="shared"/>
        <v>514635</v>
      </c>
      <c r="AI58" s="182">
        <f si="44" t="shared"/>
        <v>569105</v>
      </c>
      <c r="AJ58" s="182">
        <f si="44" t="shared"/>
        <v>135583</v>
      </c>
      <c r="AK58" s="182">
        <f si="44" t="shared"/>
        <v>149079</v>
      </c>
      <c r="AL58" s="182">
        <f si="44" t="shared"/>
        <v>640582</v>
      </c>
      <c r="AM58" s="182">
        <f si="44" t="shared"/>
        <v>0</v>
      </c>
      <c r="AN58" s="182">
        <f si="44" t="shared"/>
        <v>5214222</v>
      </c>
      <c r="AO58" s="197">
        <f si="42" t="shared"/>
        <v>1</v>
      </c>
    </row>
    <row r="59" spans="2:41" x14ac:dyDescent="0.2">
      <c r="AF59" s="197">
        <f ref="AF59:AN59" si="45" t="shared">AF58/$AN$58</f>
        <v>0.54122992845337237</v>
      </c>
      <c r="AG59" s="197">
        <f si="45" t="shared"/>
        <v>7.3480760888201532E-2</v>
      </c>
      <c r="AH59" s="197">
        <f si="45" t="shared"/>
        <v>9.8698329300133364E-2</v>
      </c>
      <c r="AI59" s="197">
        <f si="45" t="shared"/>
        <v>0.10914475831677285</v>
      </c>
      <c r="AJ59" s="197">
        <f si="45" t="shared"/>
        <v>2.6002536907711257E-2</v>
      </c>
      <c r="AK59" s="197">
        <f si="45" t="shared"/>
        <v>2.8590842507281049E-2</v>
      </c>
      <c r="AL59" s="197">
        <f si="45" t="shared"/>
        <v>0.1228528436265276</v>
      </c>
      <c r="AM59" s="197">
        <f si="45" t="shared"/>
        <v>0</v>
      </c>
      <c r="AN59" s="197">
        <f si="45" t="shared"/>
        <v>1</v>
      </c>
    </row>
    <row r="61" spans="2:41" x14ac:dyDescent="0.2">
      <c r="T61" s="168" t="s">
        <v>1251</v>
      </c>
      <c r="AE61" s="168"/>
    </row>
    <row customHeight="1" ht="13.5" r="62" spans="2:41" thickBot="1" x14ac:dyDescent="0.25"/>
    <row r="63" spans="2:41" x14ac:dyDescent="0.2">
      <c r="T63" s="170" t="s">
        <v>22</v>
      </c>
      <c r="U63" s="171" t="s">
        <v>12</v>
      </c>
      <c r="V63" s="171" t="s">
        <v>13</v>
      </c>
      <c r="W63" s="171" t="s">
        <v>14</v>
      </c>
      <c r="X63" s="171" t="s">
        <v>15</v>
      </c>
      <c r="Y63" s="171" t="s">
        <v>16</v>
      </c>
      <c r="Z63" s="171" t="s">
        <v>17</v>
      </c>
      <c r="AA63" s="171" t="s">
        <v>18</v>
      </c>
      <c r="AB63" s="171" t="s">
        <v>1209</v>
      </c>
      <c r="AC63" s="171" t="s">
        <v>4</v>
      </c>
      <c r="AE63" s="194"/>
      <c r="AF63" s="195"/>
      <c r="AG63" s="195"/>
      <c r="AH63" s="195"/>
      <c r="AI63" s="195"/>
      <c r="AJ63" s="195"/>
      <c r="AK63" s="195"/>
      <c r="AL63" s="195"/>
      <c r="AM63" s="195"/>
      <c r="AN63" s="195"/>
    </row>
    <row r="64" spans="2:41" x14ac:dyDescent="0.2">
      <c r="T64" s="174" t="s">
        <v>23</v>
      </c>
      <c r="U64" s="175">
        <f ref="U64:AB71" si="46" t="shared">U50*$M$14</f>
        <v>848806.56940454373</v>
      </c>
      <c r="V64" s="175">
        <f si="46" t="shared"/>
        <v>73611.705623408357</v>
      </c>
      <c r="W64" s="183">
        <f si="46" t="shared"/>
        <v>0</v>
      </c>
      <c r="X64" s="183">
        <f si="46" t="shared"/>
        <v>0</v>
      </c>
      <c r="Y64" s="175">
        <f si="46" t="shared"/>
        <v>14611.217243646568</v>
      </c>
      <c r="Z64" s="175">
        <f si="46" t="shared"/>
        <v>2604.2187291750161</v>
      </c>
      <c r="AA64" s="183">
        <f si="46" t="shared"/>
        <v>0</v>
      </c>
      <c r="AB64" s="183">
        <f si="46" t="shared"/>
        <v>0</v>
      </c>
      <c r="AC64" s="176">
        <f ref="AC64:AC71" si="47" t="shared">SUM(U64:AB64)</f>
        <v>939633.71100077371</v>
      </c>
      <c r="AD64" s="197">
        <f ref="AD64:AD72" si="48" t="shared">AC64/AC$72</f>
        <v>0.17719026879662472</v>
      </c>
      <c r="AE64" s="146"/>
      <c r="AF64" s="150"/>
      <c r="AG64" s="150"/>
      <c r="AH64" s="150"/>
      <c r="AI64" s="150"/>
      <c r="AJ64" s="150"/>
      <c r="AK64" s="150"/>
      <c r="AL64" s="150"/>
      <c r="AM64" s="150"/>
      <c r="AN64" s="196"/>
      <c r="AO64" s="197"/>
    </row>
    <row r="65" spans="20:41" x14ac:dyDescent="0.2">
      <c r="T65" s="174" t="s">
        <v>24</v>
      </c>
      <c r="U65" s="175">
        <f si="46" t="shared"/>
        <v>11999.961169093827</v>
      </c>
      <c r="V65" s="183">
        <f si="46" t="shared"/>
        <v>0</v>
      </c>
      <c r="W65" s="183">
        <f si="46" t="shared"/>
        <v>0</v>
      </c>
      <c r="X65" s="183">
        <f si="46" t="shared"/>
        <v>0</v>
      </c>
      <c r="Y65" s="175">
        <f si="46" t="shared"/>
        <v>14116.693555540025</v>
      </c>
      <c r="Z65" s="175">
        <f si="46" t="shared"/>
        <v>36715.460269640527</v>
      </c>
      <c r="AA65" s="175">
        <f si="46" t="shared"/>
        <v>184822.04470768594</v>
      </c>
      <c r="AB65" s="175">
        <f si="46" t="shared"/>
        <v>0</v>
      </c>
      <c r="AC65" s="176">
        <f si="47" t="shared"/>
        <v>247654.15970196034</v>
      </c>
      <c r="AD65" s="197">
        <f si="48" t="shared"/>
        <v>4.670107789071911E-2</v>
      </c>
      <c r="AE65" s="146"/>
      <c r="AF65" s="150"/>
      <c r="AG65" s="150"/>
      <c r="AH65" s="150"/>
      <c r="AI65" s="150"/>
      <c r="AJ65" s="150"/>
      <c r="AK65" s="150"/>
      <c r="AL65" s="150"/>
      <c r="AM65" s="150"/>
      <c r="AN65" s="196"/>
      <c r="AO65" s="197"/>
    </row>
    <row r="66" spans="20:41" x14ac:dyDescent="0.2">
      <c r="T66" s="174" t="s">
        <v>25</v>
      </c>
      <c r="U66" s="175">
        <f si="46" t="shared"/>
        <v>250620.91233670485</v>
      </c>
      <c r="V66" s="184">
        <f si="46" t="shared"/>
        <v>41069.903343363061</v>
      </c>
      <c r="W66" s="175">
        <f si="46" t="shared"/>
        <v>21614.734461363802</v>
      </c>
      <c r="X66" s="184">
        <f si="46" t="shared"/>
        <v>78795.003732958095</v>
      </c>
      <c r="Y66" s="175">
        <f si="46" t="shared"/>
        <v>9598.925780369711</v>
      </c>
      <c r="Z66" s="175">
        <f si="46" t="shared"/>
        <v>6732.8988279635832</v>
      </c>
      <c r="AA66" s="175">
        <f si="46" t="shared"/>
        <v>34872.837135669994</v>
      </c>
      <c r="AB66" s="175">
        <f si="46" t="shared"/>
        <v>0</v>
      </c>
      <c r="AC66" s="176">
        <f si="47" t="shared"/>
        <v>443305.21561839315</v>
      </c>
      <c r="AD66" s="197">
        <f si="48" t="shared"/>
        <v>8.3595734587585568E-2</v>
      </c>
      <c r="AE66" s="146"/>
      <c r="AF66" s="150"/>
      <c r="AG66" s="150"/>
      <c r="AH66" s="150"/>
      <c r="AI66" s="150"/>
      <c r="AJ66" s="150"/>
      <c r="AK66" s="150"/>
      <c r="AL66" s="150"/>
      <c r="AM66" s="150"/>
      <c r="AN66" s="196"/>
      <c r="AO66" s="197"/>
    </row>
    <row r="67" spans="20:41" x14ac:dyDescent="0.2">
      <c r="T67" s="174" t="s">
        <v>26</v>
      </c>
      <c r="U67" s="175">
        <f si="46" t="shared"/>
        <v>318198.14917934907</v>
      </c>
      <c r="V67" s="175">
        <f si="46" t="shared"/>
        <v>56609.480721574648</v>
      </c>
      <c r="W67" s="184">
        <f si="46" t="shared"/>
        <v>140202.48667065473</v>
      </c>
      <c r="X67" s="184">
        <f si="46" t="shared"/>
        <v>123689.00033643158</v>
      </c>
      <c r="Y67" s="175">
        <f si="46" t="shared"/>
        <v>13308.143020867234</v>
      </c>
      <c r="Z67" s="175">
        <f si="46" t="shared"/>
        <v>16620.901880288024</v>
      </c>
      <c r="AA67" s="184">
        <f si="46" t="shared"/>
        <v>48993.962421617798</v>
      </c>
      <c r="AB67" s="175">
        <f si="46" t="shared"/>
        <v>0</v>
      </c>
      <c r="AC67" s="176">
        <f si="47" t="shared"/>
        <v>717622.12423078308</v>
      </c>
      <c r="AD67" s="197">
        <f si="48" t="shared"/>
        <v>0.13532470748780168</v>
      </c>
      <c r="AE67" s="146"/>
      <c r="AF67" s="150"/>
      <c r="AG67" s="150"/>
      <c r="AH67" s="150"/>
      <c r="AI67" s="150"/>
      <c r="AJ67" s="150"/>
      <c r="AK67" s="150"/>
      <c r="AL67" s="150"/>
      <c r="AM67" s="150"/>
      <c r="AN67" s="196"/>
      <c r="AO67" s="197"/>
    </row>
    <row r="68" spans="20:41" x14ac:dyDescent="0.2">
      <c r="T68" s="174" t="s">
        <v>27</v>
      </c>
      <c r="U68" s="175">
        <f si="46" t="shared"/>
        <v>203997.61470406668</v>
      </c>
      <c r="V68" s="175">
        <f si="46" t="shared"/>
        <v>42426.041816180703</v>
      </c>
      <c r="W68" s="175">
        <f si="46" t="shared"/>
        <v>97913.358453214954</v>
      </c>
      <c r="X68" s="175">
        <f si="46" t="shared"/>
        <v>94474.413086265151</v>
      </c>
      <c r="Y68" s="175">
        <f si="46" t="shared"/>
        <v>14457.867891973092</v>
      </c>
      <c r="Z68" s="175">
        <f si="46" t="shared"/>
        <v>4730.1452678824116</v>
      </c>
      <c r="AA68" s="175">
        <f si="46" t="shared"/>
        <v>23590.825419984627</v>
      </c>
      <c r="AB68" s="175">
        <f si="46" t="shared"/>
        <v>0</v>
      </c>
      <c r="AC68" s="176">
        <f si="47" t="shared"/>
        <v>481590.26663956762</v>
      </c>
      <c r="AD68" s="197">
        <f si="48" t="shared"/>
        <v>9.0815290891189518E-2</v>
      </c>
      <c r="AE68" s="146"/>
      <c r="AF68" s="150"/>
      <c r="AG68" s="150"/>
      <c r="AH68" s="150"/>
      <c r="AI68" s="150"/>
      <c r="AJ68" s="150"/>
      <c r="AK68" s="150"/>
      <c r="AL68" s="150"/>
      <c r="AM68" s="150"/>
      <c r="AN68" s="196"/>
      <c r="AO68" s="197"/>
    </row>
    <row r="69" spans="20:41" x14ac:dyDescent="0.2">
      <c r="T69" s="174" t="s">
        <v>28</v>
      </c>
      <c r="U69" s="175">
        <f si="46" t="shared"/>
        <v>162739.60706121108</v>
      </c>
      <c r="V69" s="175">
        <f si="46" t="shared"/>
        <v>17184.288537554421</v>
      </c>
      <c r="W69" s="175">
        <f si="46" t="shared"/>
        <v>39191.971002855025</v>
      </c>
      <c r="X69" s="175">
        <f si="46" t="shared"/>
        <v>28229.328259562571</v>
      </c>
      <c r="Y69" s="175">
        <f si="46" t="shared"/>
        <v>6543.417857617269</v>
      </c>
      <c r="Z69" s="175">
        <f si="46" t="shared"/>
        <v>4570.7451941540376</v>
      </c>
      <c r="AA69" s="175">
        <f si="46" t="shared"/>
        <v>16137.202774995632</v>
      </c>
      <c r="AB69" s="175">
        <f si="46" t="shared"/>
        <v>0</v>
      </c>
      <c r="AC69" s="176">
        <f si="47" t="shared"/>
        <v>274596.56068795</v>
      </c>
      <c r="AD69" s="197">
        <f si="48" t="shared"/>
        <v>5.1781707945646994E-2</v>
      </c>
      <c r="AE69" s="146"/>
      <c r="AF69" s="150"/>
      <c r="AG69" s="150"/>
      <c r="AH69" s="150"/>
      <c r="AI69" s="150"/>
      <c r="AJ69" s="150"/>
      <c r="AK69" s="150"/>
      <c r="AL69" s="150"/>
      <c r="AM69" s="150"/>
      <c r="AN69" s="196"/>
      <c r="AO69" s="197"/>
    </row>
    <row r="70" spans="20:41" x14ac:dyDescent="0.2">
      <c r="T70" s="174" t="s">
        <v>29</v>
      </c>
      <c r="U70" s="175">
        <f si="46" t="shared"/>
        <v>153285.86132715773</v>
      </c>
      <c r="V70" s="175">
        <f si="46" t="shared"/>
        <v>25988.736875335355</v>
      </c>
      <c r="W70" s="175">
        <f si="46" t="shared"/>
        <v>49719.545254352997</v>
      </c>
      <c r="X70" s="175">
        <f si="46" t="shared"/>
        <v>54140.339658313889</v>
      </c>
      <c r="Y70" s="175">
        <f si="46" t="shared"/>
        <v>9362.6448309801453</v>
      </c>
      <c r="Z70" s="175">
        <f si="46" t="shared"/>
        <v>22034.559539526836</v>
      </c>
      <c r="AA70" s="175">
        <f si="46" t="shared"/>
        <v>79487.410626688521</v>
      </c>
      <c r="AB70" s="175">
        <f si="46" t="shared"/>
        <v>0</v>
      </c>
      <c r="AC70" s="176">
        <f si="47" t="shared"/>
        <v>394019.09811235545</v>
      </c>
      <c r="AD70" s="197">
        <f si="48" t="shared"/>
        <v>7.4301665732248751E-2</v>
      </c>
      <c r="AE70" s="146"/>
      <c r="AF70" s="150"/>
      <c r="AG70" s="150"/>
      <c r="AH70" s="150"/>
      <c r="AI70" s="150"/>
      <c r="AJ70" s="150"/>
      <c r="AK70" s="150"/>
      <c r="AL70" s="150"/>
      <c r="AM70" s="150"/>
      <c r="AN70" s="196"/>
      <c r="AO70" s="197"/>
    </row>
    <row r="71" spans="20:41" x14ac:dyDescent="0.2">
      <c r="T71" s="174" t="s">
        <v>38</v>
      </c>
      <c r="U71" s="175">
        <f si="46" t="shared"/>
        <v>923628.20178327453</v>
      </c>
      <c r="V71" s="175">
        <f si="46" t="shared"/>
        <v>130701.02087798339</v>
      </c>
      <c r="W71" s="175">
        <f si="46" t="shared"/>
        <v>176834.43447638609</v>
      </c>
      <c r="X71" s="175">
        <f si="46" t="shared"/>
        <v>201292.2814028158</v>
      </c>
      <c r="Y71" s="175">
        <f si="46" t="shared"/>
        <v>49637.957123336797</v>
      </c>
      <c r="Z71" s="175">
        <f si="46" t="shared"/>
        <v>56420.663315893347</v>
      </c>
      <c r="AA71" s="175">
        <f si="46" t="shared"/>
        <v>266028.83791303629</v>
      </c>
      <c r="AB71" s="175">
        <f si="46" t="shared"/>
        <v>0</v>
      </c>
      <c r="AC71" s="176">
        <f si="47" t="shared"/>
        <v>1804543.3968927264</v>
      </c>
      <c r="AD71" s="197">
        <f si="48" t="shared"/>
        <v>0.34028954666818373</v>
      </c>
      <c r="AE71" s="146"/>
      <c r="AF71" s="150"/>
      <c r="AG71" s="150"/>
      <c r="AH71" s="150"/>
      <c r="AI71" s="150"/>
      <c r="AJ71" s="150"/>
      <c r="AK71" s="150"/>
      <c r="AL71" s="150"/>
      <c r="AM71" s="150"/>
      <c r="AN71" s="196"/>
      <c r="AO71" s="197"/>
    </row>
    <row customHeight="1" ht="13.5" r="72" spans="20:41" thickBot="1" x14ac:dyDescent="0.25">
      <c r="T72" s="179" t="s">
        <v>4</v>
      </c>
      <c r="U72" s="180">
        <f ref="U72:AC72" si="49" t="shared">SUM(U64:U71)</f>
        <v>2873276.8769654017</v>
      </c>
      <c r="V72" s="180">
        <f si="49" t="shared"/>
        <v>387591.17779539991</v>
      </c>
      <c r="W72" s="180">
        <f si="49" t="shared"/>
        <v>525476.5303188276</v>
      </c>
      <c r="X72" s="180">
        <f si="49" t="shared"/>
        <v>580620.36647634709</v>
      </c>
      <c r="Y72" s="180">
        <f si="49" t="shared"/>
        <v>131636.86730433084</v>
      </c>
      <c r="Z72" s="180">
        <f si="49" t="shared"/>
        <v>150429.59302452378</v>
      </c>
      <c r="AA72" s="180">
        <f si="49" t="shared"/>
        <v>653933.12099967885</v>
      </c>
      <c r="AB72" s="180">
        <f si="49" t="shared"/>
        <v>0</v>
      </c>
      <c r="AC72" s="180">
        <f si="49" t="shared"/>
        <v>5302964.5328845093</v>
      </c>
      <c r="AD72" s="197">
        <f si="48" t="shared"/>
        <v>1</v>
      </c>
      <c r="AE72" s="14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7"/>
    </row>
    <row r="73" spans="20:41" x14ac:dyDescent="0.2">
      <c r="U73" s="197">
        <f ref="U73:AC73" si="50" t="shared">U72/$AC$72</f>
        <v>0.54182464528053398</v>
      </c>
      <c r="V73" s="197">
        <f si="50" t="shared"/>
        <v>7.3089528581963284E-2</v>
      </c>
      <c r="W73" s="197">
        <f si="50" t="shared"/>
        <v>9.9091088967362642E-2</v>
      </c>
      <c r="X73" s="197">
        <f si="50" t="shared"/>
        <v>0.10948976989678692</v>
      </c>
      <c r="Y73" s="197">
        <f si="50" t="shared"/>
        <v>2.4823259987508894E-2</v>
      </c>
      <c r="Z73" s="197">
        <f si="50" t="shared"/>
        <v>2.8367075075023875E-2</v>
      </c>
      <c r="AA73" s="197">
        <f si="50" t="shared"/>
        <v>0.12331463221082051</v>
      </c>
      <c r="AB73" s="197">
        <f si="50" t="shared"/>
        <v>0</v>
      </c>
      <c r="AC73" s="197">
        <f si="50" t="shared"/>
        <v>1</v>
      </c>
      <c r="AF73" s="197"/>
      <c r="AG73" s="197"/>
      <c r="AH73" s="197"/>
      <c r="AI73" s="197"/>
      <c r="AJ73" s="197"/>
      <c r="AK73" s="197"/>
      <c r="AL73" s="197"/>
      <c r="AM73" s="197"/>
      <c r="AN73" s="197"/>
    </row>
    <row r="76" spans="20:41" x14ac:dyDescent="0.2">
      <c r="T76" s="146" t="s">
        <v>41</v>
      </c>
    </row>
    <row r="77" spans="20:41" x14ac:dyDescent="0.2">
      <c r="T77" s="146" t="s">
        <v>1235</v>
      </c>
    </row>
    <row customHeight="1" ht="13.5" r="78" spans="20:41" thickBot="1" x14ac:dyDescent="0.25">
      <c r="U78" s="169"/>
      <c r="V78" s="169"/>
      <c r="W78" s="169"/>
      <c r="X78" s="169"/>
      <c r="Y78" s="169"/>
      <c r="Z78" s="169"/>
      <c r="AA78" s="169"/>
    </row>
    <row r="79" spans="20:41" x14ac:dyDescent="0.2">
      <c r="T79" s="149" t="s">
        <v>22</v>
      </c>
      <c r="U79" s="185" t="s">
        <v>12</v>
      </c>
      <c r="V79" s="185" t="s">
        <v>13</v>
      </c>
      <c r="W79" s="185" t="s">
        <v>14</v>
      </c>
      <c r="X79" s="185" t="s">
        <v>15</v>
      </c>
      <c r="Y79" s="185" t="s">
        <v>16</v>
      </c>
      <c r="Z79" s="185" t="s">
        <v>17</v>
      </c>
      <c r="AA79" s="185" t="s">
        <v>18</v>
      </c>
      <c r="AB79" s="185" t="s">
        <v>1209</v>
      </c>
    </row>
    <row r="80" spans="20:41" x14ac:dyDescent="0.2">
      <c r="T80" s="147" t="s">
        <v>23</v>
      </c>
      <c r="U80" s="186">
        <f ref="U80:AB86" si="51" t="shared">IF(AF50&gt;0,U64/AF50,0)</f>
        <v>1.0116100295025341</v>
      </c>
      <c r="V80" s="186">
        <f si="51" t="shared"/>
        <v>1.0292320524518443</v>
      </c>
      <c r="W80" s="187">
        <f si="51" t="shared"/>
        <v>0</v>
      </c>
      <c r="X80" s="187">
        <f si="51" t="shared"/>
        <v>0</v>
      </c>
      <c r="Y80" s="186">
        <f si="51" t="shared"/>
        <v>0.90337685443591986</v>
      </c>
      <c r="Z80" s="186">
        <f si="51" t="shared"/>
        <v>0.81842197648492021</v>
      </c>
      <c r="AA80" s="187">
        <f si="51" t="shared"/>
        <v>0</v>
      </c>
      <c r="AB80" s="187">
        <f si="51" t="shared"/>
        <v>0</v>
      </c>
    </row>
    <row r="81" spans="20:28" x14ac:dyDescent="0.2">
      <c r="T81" s="147" t="s">
        <v>24</v>
      </c>
      <c r="U81" s="188">
        <f si="51" t="shared"/>
        <v>1.0316335255410787</v>
      </c>
      <c r="V81" s="189">
        <f si="51" t="shared"/>
        <v>0</v>
      </c>
      <c r="W81" s="189">
        <f si="51" t="shared"/>
        <v>0</v>
      </c>
      <c r="X81" s="189">
        <f si="51" t="shared"/>
        <v>0</v>
      </c>
      <c r="Y81" s="188">
        <f si="51" t="shared"/>
        <v>0.92903544294439122</v>
      </c>
      <c r="Z81" s="188">
        <f si="51" t="shared"/>
        <v>1.0162323969564762</v>
      </c>
      <c r="AA81" s="188">
        <f si="51" t="shared"/>
        <v>1.0037312010627308</v>
      </c>
      <c r="AB81" s="188">
        <f si="51" t="shared"/>
        <v>0</v>
      </c>
    </row>
    <row r="82" spans="20:28" x14ac:dyDescent="0.2">
      <c r="T82" s="147" t="s">
        <v>25</v>
      </c>
      <c r="U82" s="188">
        <f si="51" t="shared"/>
        <v>1.1021342166823729</v>
      </c>
      <c r="V82" s="188">
        <f si="51" t="shared"/>
        <v>0.93856902379823259</v>
      </c>
      <c r="W82" s="188">
        <f si="51" t="shared"/>
        <v>1.0602734455687139</v>
      </c>
      <c r="X82" s="188">
        <f si="51" t="shared"/>
        <v>0.93678670977931922</v>
      </c>
      <c r="Y82" s="188">
        <f si="51" t="shared"/>
        <v>0.91357435808220344</v>
      </c>
      <c r="Z82" s="188">
        <f si="51" t="shared"/>
        <v>0.9166642379800658</v>
      </c>
      <c r="AA82" s="188">
        <f si="51" t="shared"/>
        <v>1.1815292947880736</v>
      </c>
      <c r="AB82" s="188">
        <f si="51" t="shared"/>
        <v>0</v>
      </c>
    </row>
    <row r="83" spans="20:28" x14ac:dyDescent="0.2">
      <c r="T83" s="147" t="s">
        <v>26</v>
      </c>
      <c r="U83" s="188">
        <f si="51" t="shared"/>
        <v>1.022974130304094</v>
      </c>
      <c r="V83" s="188">
        <f si="51" t="shared"/>
        <v>1.070527245112985</v>
      </c>
      <c r="W83" s="188">
        <f si="51" t="shared"/>
        <v>1.0278548614814538</v>
      </c>
      <c r="X83" s="188">
        <f si="51" t="shared"/>
        <v>1.041074332217522</v>
      </c>
      <c r="Y83" s="188">
        <f si="51" t="shared"/>
        <v>1.0985754516152579</v>
      </c>
      <c r="Z83" s="188">
        <f si="51" t="shared"/>
        <v>1.1675261225265541</v>
      </c>
      <c r="AA83" s="188">
        <f si="51" t="shared"/>
        <v>1.1050854273512529</v>
      </c>
      <c r="AB83" s="188">
        <f si="51" t="shared"/>
        <v>0</v>
      </c>
    </row>
    <row r="84" spans="20:28" x14ac:dyDescent="0.2">
      <c r="T84" s="147" t="s">
        <v>27</v>
      </c>
      <c r="U84" s="188">
        <f si="51" t="shared"/>
        <v>1.0958599362033741</v>
      </c>
      <c r="V84" s="188">
        <f si="51" t="shared"/>
        <v>1.0640827121512053</v>
      </c>
      <c r="W84" s="188">
        <f si="51" t="shared"/>
        <v>1.1207389509896979</v>
      </c>
      <c r="X84" s="188">
        <f si="51" t="shared"/>
        <v>1.0923539154585677</v>
      </c>
      <c r="Y84" s="188">
        <f si="51" t="shared"/>
        <v>1.1855570227120207</v>
      </c>
      <c r="Z84" s="188">
        <f si="51" t="shared"/>
        <v>0.99519151438721054</v>
      </c>
      <c r="AA84" s="188">
        <f si="51" t="shared"/>
        <v>1.1531908598516218</v>
      </c>
      <c r="AB84" s="188">
        <f si="51" t="shared"/>
        <v>0</v>
      </c>
    </row>
    <row r="85" spans="20:28" x14ac:dyDescent="0.2">
      <c r="T85" s="147" t="s">
        <v>28</v>
      </c>
      <c r="U85" s="188">
        <f si="51" t="shared"/>
        <v>0.98498733241260794</v>
      </c>
      <c r="V85" s="188">
        <f si="51" t="shared"/>
        <v>0.96275917628743468</v>
      </c>
      <c r="W85" s="188">
        <f si="51" t="shared"/>
        <v>1.0586988033943387</v>
      </c>
      <c r="X85" s="188">
        <f si="51" t="shared"/>
        <v>1.1378664299069923</v>
      </c>
      <c r="Y85" s="188">
        <f si="51" t="shared"/>
        <v>0.87619414269111795</v>
      </c>
      <c r="Z85" s="188">
        <f si="51" t="shared"/>
        <v>1.3922464800956558</v>
      </c>
      <c r="AA85" s="188">
        <f si="51" t="shared"/>
        <v>1.0936027903900536</v>
      </c>
      <c r="AB85" s="188">
        <f si="51" t="shared"/>
        <v>0</v>
      </c>
    </row>
    <row customHeight="1" ht="13.5" r="86" spans="20:28" thickBot="1" x14ac:dyDescent="0.25">
      <c r="T86" s="148" t="s">
        <v>29</v>
      </c>
      <c r="U86" s="191">
        <f si="51" t="shared"/>
        <v>1.0503635931309461</v>
      </c>
      <c r="V86" s="191">
        <f si="51" t="shared"/>
        <v>1.0221725418027672</v>
      </c>
      <c r="W86" s="191">
        <f si="51" t="shared"/>
        <v>1.064179817520023</v>
      </c>
      <c r="X86" s="191">
        <f si="51" t="shared"/>
        <v>1.0904398722721831</v>
      </c>
      <c r="Y86" s="191">
        <f si="51" t="shared"/>
        <v>1.1066956064988351</v>
      </c>
      <c r="Z86" s="191">
        <f si="51" t="shared"/>
        <v>1.1273180977963182</v>
      </c>
      <c r="AA86" s="191">
        <f si="51" t="shared"/>
        <v>0.94433381995044163</v>
      </c>
      <c r="AB86" s="191">
        <f si="51" t="shared"/>
        <v>0</v>
      </c>
    </row>
    <row r="90" spans="20:28" x14ac:dyDescent="0.2">
      <c r="T90" s="146" t="s">
        <v>41</v>
      </c>
    </row>
    <row r="91" spans="20:28" x14ac:dyDescent="0.2">
      <c r="T91" s="146" t="s">
        <v>1252</v>
      </c>
    </row>
    <row customHeight="1" ht="13.5" r="92" spans="20:28" thickBot="1" x14ac:dyDescent="0.25">
      <c r="U92" s="169"/>
      <c r="V92" s="169"/>
      <c r="W92" s="169"/>
      <c r="X92" s="169"/>
      <c r="Y92" s="169"/>
      <c r="Z92" s="169"/>
      <c r="AA92" s="169"/>
    </row>
    <row r="93" spans="20:28" x14ac:dyDescent="0.2">
      <c r="T93" s="149" t="s">
        <v>22</v>
      </c>
      <c r="U93" s="185" t="s">
        <v>12</v>
      </c>
      <c r="V93" s="185" t="s">
        <v>13</v>
      </c>
      <c r="W93" s="185" t="s">
        <v>14</v>
      </c>
      <c r="X93" s="185" t="s">
        <v>15</v>
      </c>
      <c r="Y93" s="185" t="s">
        <v>16</v>
      </c>
      <c r="Z93" s="185" t="s">
        <v>17</v>
      </c>
      <c r="AA93" s="185" t="s">
        <v>18</v>
      </c>
      <c r="AB93" s="185" t="s">
        <v>1209</v>
      </c>
    </row>
    <row r="94" spans="20:28" x14ac:dyDescent="0.2">
      <c r="T94" s="147" t="s">
        <v>23</v>
      </c>
      <c r="U94" s="186">
        <f ref="U94:AB100" si="52" t="shared">0.5*(U36+U80)</f>
        <v>1.0172491413348483</v>
      </c>
      <c r="V94" s="186">
        <f si="52" t="shared"/>
        <v>1.0101645570408222</v>
      </c>
      <c r="W94" s="187">
        <f si="52" t="shared"/>
        <v>0</v>
      </c>
      <c r="X94" s="187">
        <f si="52" t="shared"/>
        <v>0</v>
      </c>
      <c r="Y94" s="186">
        <f si="52" t="shared"/>
        <v>0.90447361010126193</v>
      </c>
      <c r="Z94" s="186">
        <f si="52" t="shared"/>
        <v>0.83194569007697838</v>
      </c>
      <c r="AA94" s="187">
        <f si="52" t="shared"/>
        <v>0</v>
      </c>
      <c r="AB94" s="187">
        <f si="52" t="shared"/>
        <v>0</v>
      </c>
    </row>
    <row r="95" spans="20:28" x14ac:dyDescent="0.2">
      <c r="T95" s="147" t="s">
        <v>24</v>
      </c>
      <c r="U95" s="188">
        <f si="52" t="shared"/>
        <v>0.89746005608903179</v>
      </c>
      <c r="V95" s="189">
        <f si="52" t="shared"/>
        <v>0</v>
      </c>
      <c r="W95" s="189">
        <f si="52" t="shared"/>
        <v>0</v>
      </c>
      <c r="X95" s="189">
        <f si="52" t="shared"/>
        <v>0</v>
      </c>
      <c r="Y95" s="188">
        <f si="52" t="shared"/>
        <v>0.97160263151280235</v>
      </c>
      <c r="Z95" s="188">
        <f si="52" t="shared"/>
        <v>1.0258574504508715</v>
      </c>
      <c r="AA95" s="188">
        <f si="52" t="shared"/>
        <v>1.0041602974273363</v>
      </c>
      <c r="AB95" s="188">
        <f si="52" t="shared"/>
        <v>0</v>
      </c>
    </row>
    <row r="96" spans="20:28" x14ac:dyDescent="0.2">
      <c r="T96" s="147" t="s">
        <v>25</v>
      </c>
      <c r="U96" s="188">
        <f si="52" t="shared"/>
        <v>0.99280600570723143</v>
      </c>
      <c r="V96" s="188">
        <f si="52" t="shared"/>
        <v>1.0111393987525603</v>
      </c>
      <c r="W96" s="188">
        <f si="52" t="shared"/>
        <v>1.0789432362261189</v>
      </c>
      <c r="X96" s="188">
        <f si="52" t="shared"/>
        <v>0.98325887592295558</v>
      </c>
      <c r="Y96" s="188">
        <f si="52" t="shared"/>
        <v>0.94691806804294942</v>
      </c>
      <c r="Z96" s="188">
        <f si="52" t="shared"/>
        <v>0.94580875905854822</v>
      </c>
      <c r="AA96" s="188">
        <f si="52" t="shared"/>
        <v>1.0554412349043323</v>
      </c>
      <c r="AB96" s="188">
        <f si="52" t="shared"/>
        <v>0</v>
      </c>
    </row>
    <row r="97" spans="20:28" x14ac:dyDescent="0.2">
      <c r="T97" s="147" t="s">
        <v>26</v>
      </c>
      <c r="U97" s="188">
        <f si="52" t="shared"/>
        <v>0.98413661530903895</v>
      </c>
      <c r="V97" s="188">
        <f si="52" t="shared"/>
        <v>1.0135339791751368</v>
      </c>
      <c r="W97" s="188">
        <f si="52" t="shared"/>
        <v>1.0101607520804707</v>
      </c>
      <c r="X97" s="188">
        <f si="52" t="shared"/>
        <v>1.021457131490767</v>
      </c>
      <c r="Y97" s="188">
        <f si="52" t="shared"/>
        <v>0.96702661114142219</v>
      </c>
      <c r="Z97" s="188">
        <f si="52" t="shared"/>
        <v>1.0243114671923275</v>
      </c>
      <c r="AA97" s="188">
        <f si="52" t="shared"/>
        <v>1.0765328307762401</v>
      </c>
      <c r="AB97" s="188">
        <f si="52" t="shared"/>
        <v>0</v>
      </c>
    </row>
    <row r="98" spans="20:28" x14ac:dyDescent="0.2">
      <c r="T98" s="147" t="s">
        <v>27</v>
      </c>
      <c r="U98" s="188">
        <f si="52" t="shared"/>
        <v>1.0334416410404945</v>
      </c>
      <c r="V98" s="188">
        <f si="52" t="shared"/>
        <v>1.0113879347647088</v>
      </c>
      <c r="W98" s="188">
        <f si="52" t="shared"/>
        <v>1.0019955375129401</v>
      </c>
      <c r="X98" s="188">
        <f si="52" t="shared"/>
        <v>1.0207218592667768</v>
      </c>
      <c r="Y98" s="188">
        <f si="52" t="shared"/>
        <v>1.0015868249873501</v>
      </c>
      <c r="Z98" s="188">
        <f si="52" t="shared"/>
        <v>0.89467269345771872</v>
      </c>
      <c r="AA98" s="188">
        <f si="52" t="shared"/>
        <v>1.0440788673881416</v>
      </c>
      <c r="AB98" s="188">
        <f si="52" t="shared"/>
        <v>0</v>
      </c>
    </row>
    <row r="99" spans="20:28" x14ac:dyDescent="0.2">
      <c r="T99" s="147" t="s">
        <v>28</v>
      </c>
      <c r="U99" s="188">
        <f si="52" t="shared"/>
        <v>0.9802133638900099</v>
      </c>
      <c r="V99" s="188">
        <f si="52" t="shared"/>
        <v>0.98636757188194735</v>
      </c>
      <c r="W99" s="188">
        <f si="52" t="shared"/>
        <v>1.005661155144433</v>
      </c>
      <c r="X99" s="188">
        <f si="52" t="shared"/>
        <v>0.96547346948339996</v>
      </c>
      <c r="Y99" s="188">
        <f si="52" t="shared"/>
        <v>0.9482642695053134</v>
      </c>
      <c r="Z99" s="188">
        <f si="52" t="shared"/>
        <v>1.0019520195161693</v>
      </c>
      <c r="AA99" s="188">
        <f si="52" t="shared"/>
        <v>1.0318886392212934</v>
      </c>
      <c r="AB99" s="188">
        <f si="52" t="shared"/>
        <v>0</v>
      </c>
    </row>
    <row customHeight="1" ht="13.5" r="100" spans="20:28" thickBot="1" x14ac:dyDescent="0.25">
      <c r="T100" s="148" t="s">
        <v>29</v>
      </c>
      <c r="U100" s="191">
        <f si="52" t="shared"/>
        <v>1.0084763722776553</v>
      </c>
      <c r="V100" s="191">
        <f si="52" t="shared"/>
        <v>0.98519450391401464</v>
      </c>
      <c r="W100" s="191">
        <f si="52" t="shared"/>
        <v>0.99170219175014762</v>
      </c>
      <c r="X100" s="191">
        <f si="52" t="shared"/>
        <v>1.0338382326047926</v>
      </c>
      <c r="Y100" s="191">
        <f si="52" t="shared"/>
        <v>0.984987112322119</v>
      </c>
      <c r="Z100" s="191">
        <f si="52" t="shared"/>
        <v>0.9610134210744159</v>
      </c>
      <c r="AA100" s="191">
        <f si="52" t="shared"/>
        <v>0.99740204620440531</v>
      </c>
      <c r="AB100" s="191">
        <f si="52" t="shared"/>
        <v>0</v>
      </c>
    </row>
  </sheetData>
  <conditionalFormatting sqref="U38:AA42 U36:V36 Y37:AA37 Y36:Z36 U37 AB37:AB42">
    <cfRule dxfId="5" operator="lessThan" priority="7" type="cellIs">
      <formula>0.95</formula>
    </cfRule>
    <cfRule dxfId="4" operator="greaterThan" priority="8" type="cellIs">
      <formula>1.05</formula>
    </cfRule>
  </conditionalFormatting>
  <conditionalFormatting sqref="U82:AA86 U80:V80 Y81:AA81 Y80:Z80 U81 AB81:AB86">
    <cfRule dxfId="3" operator="lessThan" priority="5" type="cellIs">
      <formula>0.95</formula>
    </cfRule>
    <cfRule dxfId="2" operator="greaterThan" priority="6" type="cellIs">
      <formula>1.05</formula>
    </cfRule>
  </conditionalFormatting>
  <conditionalFormatting sqref="U96:AA100 U94:V94 Y95:AA95 Y94:Z94 U95 AB95:AB100">
    <cfRule dxfId="1" operator="lessThan" priority="1" type="cellIs">
      <formula>0.95</formula>
    </cfRule>
    <cfRule dxfId="0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P42"/>
  <sheetViews>
    <sheetView topLeftCell="B1" workbookViewId="0">
      <selection activeCell="C41" sqref="C41"/>
    </sheetView>
  </sheetViews>
  <sheetFormatPr defaultRowHeight="12.75" x14ac:dyDescent="0.2"/>
  <cols>
    <col min="4" max="4" bestFit="true" customWidth="true" width="14.375" collapsed="true"/>
    <col min="7" max="7" customWidth="true" width="12.75" collapsed="true"/>
    <col min="8" max="8" bestFit="true" customWidth="true" width="10.125" collapsed="true"/>
    <col min="13" max="13" customWidth="true" width="11.25" collapsed="true"/>
  </cols>
  <sheetData>
    <row customHeight="1" ht="14.25" r="2" spans="2:13" x14ac:dyDescent="0.25">
      <c r="B2" s="78" t="s">
        <v>1128</v>
      </c>
      <c r="C2" s="201"/>
      <c r="D2" s="201"/>
      <c r="E2" s="201"/>
      <c r="G2" s="78" t="s">
        <v>1247</v>
      </c>
      <c r="H2" s="265"/>
      <c r="I2" s="265"/>
      <c r="J2" s="265"/>
      <c r="L2" t="s">
        <v>1253</v>
      </c>
      <c r="M2" t="s">
        <v>1254</v>
      </c>
    </row>
    <row customHeight="1" ht="14.65" r="3" spans="2:13" thickBot="1" x14ac:dyDescent="0.3">
      <c r="B3" s="74"/>
      <c r="C3" s="74"/>
      <c r="D3" s="74"/>
      <c r="E3" s="74"/>
      <c r="G3" s="13"/>
      <c r="H3" s="13"/>
      <c r="I3" s="13"/>
      <c r="J3" s="13"/>
      <c r="L3" t="s">
        <v>1253</v>
      </c>
      <c r="M3" t="s">
        <v>1255</v>
      </c>
    </row>
    <row customHeight="1" ht="14.25" r="4" spans="2:13" x14ac:dyDescent="0.25">
      <c r="B4" s="71" t="str">
        <f>Summary!A33</f>
        <v>Purpose</v>
      </c>
      <c r="C4" s="91" t="s">
        <v>1109</v>
      </c>
      <c r="D4" s="91" t="s">
        <v>1256</v>
      </c>
      <c r="E4" s="91" t="s">
        <v>9</v>
      </c>
      <c r="G4" s="85" t="s">
        <v>22</v>
      </c>
      <c r="H4" s="131" t="str">
        <f>C4</f>
        <v>Survey</v>
      </c>
      <c r="I4" s="131" t="str">
        <f>D4</f>
        <v>ABM</v>
      </c>
      <c r="J4" s="91" t="s">
        <v>9</v>
      </c>
      <c r="L4" t="s">
        <v>1253</v>
      </c>
      <c r="M4" t="s">
        <v>1257</v>
      </c>
    </row>
    <row customHeight="1" ht="14.25" r="5" spans="2:13" x14ac:dyDescent="0.25">
      <c r="B5" s="201" t="str">
        <f>Summary!A34</f>
        <v>work</v>
      </c>
      <c r="C5" s="75">
        <f>calibration!C5</f>
        <v>686347.61469968222</v>
      </c>
      <c r="D5" s="75">
        <f>calibration!D5</f>
        <v>674467</v>
      </c>
      <c r="E5" s="205">
        <f ref="E5:E13" si="0" t="shared">(C5)/(D5)</f>
        <v>1.01761481984987</v>
      </c>
      <c r="G5" s="265" t="s">
        <v>143</v>
      </c>
      <c r="H5" s="117">
        <f>calibration!C132*($C$12/calibration!$C$139)</f>
        <v>20898.938749257268</v>
      </c>
      <c r="I5" s="117">
        <f>calibration!D132</f>
        <v>20180</v>
      </c>
      <c r="J5" s="205">
        <f ref="J5:J12" si="1" t="shared">(H5)/(I5)</f>
        <v>1.0356263007560589</v>
      </c>
    </row>
    <row customHeight="1" ht="14.25" r="6" spans="2:13" x14ac:dyDescent="0.25">
      <c r="B6" s="201" t="str">
        <f>Summary!A35</f>
        <v>school</v>
      </c>
      <c r="C6" s="75">
        <f>calibration!C6</f>
        <v>231862.14240649904</v>
      </c>
      <c r="D6" s="75">
        <f>calibration!D6</f>
        <v>231781</v>
      </c>
      <c r="E6" s="205">
        <f si="0" t="shared"/>
        <v>1.0003500822176927</v>
      </c>
      <c r="G6" s="265" t="s">
        <v>144</v>
      </c>
      <c r="H6" s="5">
        <f>calibration!C133*($C$12/calibration!$C$139)</f>
        <v>721.11127224283825</v>
      </c>
      <c r="I6" s="5">
        <f>calibration!D133</f>
        <v>542</v>
      </c>
      <c r="J6" s="205">
        <f si="1" t="shared"/>
        <v>1.3304636019240559</v>
      </c>
    </row>
    <row customHeight="1" ht="14.25" r="7" spans="2:13" x14ac:dyDescent="0.25">
      <c r="B7" s="201" t="str">
        <f>Summary!A36</f>
        <v>escort</v>
      </c>
      <c r="C7" s="75">
        <f>calibration!C7</f>
        <v>189197.46149001515</v>
      </c>
      <c r="D7" s="75">
        <f>calibration!D7</f>
        <v>193716</v>
      </c>
      <c r="E7" s="205">
        <f si="0" t="shared"/>
        <v>0.97667441765272434</v>
      </c>
      <c r="G7" s="265" t="s">
        <v>145</v>
      </c>
      <c r="H7" s="5">
        <f>calibration!C134*($C$12/calibration!$C$139)</f>
        <v>5443.1331006181208</v>
      </c>
      <c r="I7" s="5">
        <f>calibration!D134</f>
        <v>5715</v>
      </c>
      <c r="J7" s="205">
        <f si="1" t="shared"/>
        <v>0.952429238953302</v>
      </c>
    </row>
    <row customHeight="1" ht="14.25" r="8" spans="2:13" x14ac:dyDescent="0.25">
      <c r="B8" s="201" t="str">
        <f>Summary!A37</f>
        <v>pers.bus</v>
      </c>
      <c r="C8" s="75">
        <f>calibration!C8</f>
        <v>243773.39288810201</v>
      </c>
      <c r="D8" s="75">
        <f>calibration!D8</f>
        <v>250044</v>
      </c>
      <c r="E8" s="205">
        <f si="0" t="shared"/>
        <v>0.97492198528299823</v>
      </c>
      <c r="G8" s="265" t="s">
        <v>146</v>
      </c>
      <c r="H8" s="5">
        <f>calibration!C135*($C$12/calibration!$C$139)</f>
        <v>19655.221190209184</v>
      </c>
      <c r="I8" s="5">
        <f>calibration!D135</f>
        <v>19094</v>
      </c>
      <c r="J8" s="205">
        <f si="1" t="shared"/>
        <v>1.0293925416470715</v>
      </c>
    </row>
    <row customHeight="1" ht="14.25" r="9" spans="2:13" x14ac:dyDescent="0.25">
      <c r="B9" s="201" t="str">
        <f>Summary!A38</f>
        <v>shop</v>
      </c>
      <c r="C9" s="75">
        <f>calibration!C9</f>
        <v>153022.09437220605</v>
      </c>
      <c r="D9" s="75">
        <f>calibration!D9</f>
        <v>164317</v>
      </c>
      <c r="E9" s="205">
        <f si="0" t="shared"/>
        <v>0.93126149072954134</v>
      </c>
      <c r="G9" s="265" t="s">
        <v>147</v>
      </c>
      <c r="H9" s="5">
        <f>calibration!C136*($C$12/calibration!$C$139)</f>
        <v>11649.892056440098</v>
      </c>
      <c r="I9" s="5">
        <f>calibration!D136</f>
        <v>10558</v>
      </c>
      <c r="J9" s="205">
        <f si="1" t="shared"/>
        <v>1.1034184558098217</v>
      </c>
    </row>
    <row customHeight="1" ht="14.25" r="10" spans="2:13" x14ac:dyDescent="0.25">
      <c r="B10" s="201" t="str">
        <f>Summary!A39</f>
        <v>meal</v>
      </c>
      <c r="C10" s="75">
        <f>calibration!C10</f>
        <v>92869.654233319816</v>
      </c>
      <c r="D10" s="75">
        <f>calibration!D10</f>
        <v>98329</v>
      </c>
      <c r="E10" s="205">
        <f si="0" t="shared"/>
        <v>0.94447878279368058</v>
      </c>
      <c r="G10" s="265" t="s">
        <v>148</v>
      </c>
      <c r="H10" s="5">
        <f>calibration!C137*($C$12/calibration!$C$139)</f>
        <v>44017.213844817139</v>
      </c>
      <c r="I10" s="5">
        <f>calibration!D137</f>
        <v>41484</v>
      </c>
      <c r="J10" s="205">
        <f si="1" t="shared"/>
        <v>1.0610648405365235</v>
      </c>
    </row>
    <row customHeight="1" ht="14.25" r="11" spans="2:13" x14ac:dyDescent="0.25">
      <c r="B11" s="201" t="str">
        <f>Summary!A40</f>
        <v>soc/rec</v>
      </c>
      <c r="C11" s="75">
        <f>calibration!C11</f>
        <v>216838.63017546618</v>
      </c>
      <c r="D11" s="75">
        <f>calibration!D11</f>
        <v>224720</v>
      </c>
      <c r="E11" s="205">
        <f si="0" t="shared"/>
        <v>0.96492804456864623</v>
      </c>
      <c r="G11" s="6" t="s">
        <v>149</v>
      </c>
      <c r="H11" s="7">
        <f>calibration!C138*($C$12/calibration!$C$139)</f>
        <v>6384.9267002923116</v>
      </c>
      <c r="I11" s="7">
        <f>calibration!D138</f>
        <v>6628</v>
      </c>
      <c r="J11" s="73">
        <f si="1" t="shared"/>
        <v>0.9633262975697513</v>
      </c>
    </row>
    <row customHeight="1" ht="14.65" r="12" spans="2:13" thickBot="1" x14ac:dyDescent="0.3">
      <c r="B12" s="72" t="str">
        <f>Summary!A41</f>
        <v>workbased</v>
      </c>
      <c r="C12" s="81">
        <f>calibration!C12</f>
        <v>108770.43691387697</v>
      </c>
      <c r="D12" s="81">
        <f>calibration!D12</f>
        <v>104201</v>
      </c>
      <c r="E12" s="73">
        <f si="0" t="shared"/>
        <v>1.0438521407076418</v>
      </c>
      <c r="G12" s="13" t="s">
        <v>4</v>
      </c>
      <c r="H12" s="132">
        <f>SUM(H5:H11)</f>
        <v>108770.43691387695</v>
      </c>
      <c r="I12" s="132">
        <f>SUM(I5:I11)</f>
        <v>104201</v>
      </c>
      <c r="J12" s="118">
        <f si="1" t="shared"/>
        <v>1.0438521407076415</v>
      </c>
    </row>
    <row customHeight="1" ht="14.65" r="13" spans="2:13" thickBot="1" x14ac:dyDescent="0.3">
      <c r="B13" s="74" t="str">
        <f>Summary!A42</f>
        <v>Total</v>
      </c>
      <c r="C13" s="80">
        <f>SUM(C5:C12)</f>
        <v>1922681.4271791675</v>
      </c>
      <c r="D13" s="80">
        <f>SUM(D5:D12)</f>
        <v>1941575</v>
      </c>
      <c r="E13" s="118">
        <f si="0" t="shared"/>
        <v>0.99026894514977148</v>
      </c>
      <c r="J13" s="201"/>
    </row>
    <row customHeight="1" ht="14.25" r="14" spans="2:13" x14ac:dyDescent="0.25">
      <c r="B14" s="201"/>
      <c r="C14" s="201"/>
      <c r="D14" s="201"/>
      <c r="E14" s="201"/>
    </row>
    <row customHeight="1" ht="14.25" r="15" spans="2:13" x14ac:dyDescent="0.25">
      <c r="B15" s="201"/>
      <c r="C15" s="201"/>
      <c r="D15" s="201"/>
      <c r="E15" s="201"/>
    </row>
    <row customHeight="1" ht="14.25" r="16" spans="2:13" x14ac:dyDescent="0.25">
      <c r="B16" s="78" t="str">
        <f>calibration!B16</f>
        <v>Stops by Destination Purpose</v>
      </c>
      <c r="C16" s="201"/>
      <c r="D16" s="201"/>
      <c r="E16" s="201"/>
      <c r="G16" s="78" t="s">
        <v>1258</v>
      </c>
      <c r="L16" s="78" t="s">
        <v>1259</v>
      </c>
    </row>
    <row customHeight="1" ht="14.65" r="17" spans="2:15" thickBot="1" x14ac:dyDescent="0.3">
      <c r="B17" s="74"/>
      <c r="C17" s="74"/>
      <c r="D17" s="74"/>
      <c r="E17" s="74"/>
      <c r="H17" s="1"/>
      <c r="I17" s="1"/>
      <c r="J17" s="1"/>
      <c r="M17" s="1"/>
      <c r="N17" s="1"/>
      <c r="O17" s="1"/>
    </row>
    <row customHeight="1" ht="14.25" r="18" spans="2:15" x14ac:dyDescent="0.25">
      <c r="B18" s="71" t="str">
        <f>B4</f>
        <v>Purpose</v>
      </c>
      <c r="C18" s="91" t="str">
        <f>C4</f>
        <v>Survey</v>
      </c>
      <c r="D18" s="91" t="str">
        <f>D4</f>
        <v>ABM</v>
      </c>
      <c r="E18" s="91" t="str">
        <f>E4</f>
        <v>Ratio</v>
      </c>
      <c r="G18" s="33" t="s">
        <v>37</v>
      </c>
      <c r="H18" s="133" t="str">
        <f>C4</f>
        <v>Survey</v>
      </c>
      <c r="I18" s="133" t="str">
        <f>D4</f>
        <v>ABM</v>
      </c>
      <c r="J18" s="91" t="s">
        <v>9</v>
      </c>
      <c r="L18" s="33" t="s">
        <v>37</v>
      </c>
      <c r="M18" s="133" t="str">
        <f>H4</f>
        <v>Survey</v>
      </c>
      <c r="N18" s="133" t="str">
        <f>I4</f>
        <v>ABM</v>
      </c>
      <c r="O18" s="91" t="s">
        <v>9</v>
      </c>
    </row>
    <row customHeight="1" ht="14.25" r="19" spans="2:15" x14ac:dyDescent="0.25">
      <c r="B19" s="201" t="str">
        <f ref="B19:B25" si="2" t="shared">B5</f>
        <v>work</v>
      </c>
      <c r="C19" s="134">
        <f>calibration!C19</f>
        <v>150957.9095244059</v>
      </c>
      <c r="D19" s="134">
        <f>calibration!D19</f>
        <v>166603</v>
      </c>
      <c r="E19" s="205">
        <f ref="E19:E25" si="3" t="shared">(C19)/(D19)</f>
        <v>0.90609358489586567</v>
      </c>
      <c r="G19" s="31" t="s">
        <v>23</v>
      </c>
      <c r="H19" s="49">
        <f>C5+C19+C12</f>
        <v>946075.96113796509</v>
      </c>
      <c r="I19" s="49">
        <f>D5+D19+D12</f>
        <v>945271</v>
      </c>
      <c r="J19" s="205">
        <f ref="J19:J27" si="4" t="shared">(H19)/(I19)</f>
        <v>1.0008515665221562</v>
      </c>
      <c r="L19" s="31" t="s">
        <v>23</v>
      </c>
      <c r="M19" s="135">
        <f>Summary!B64*survey_scaling!$M$44</f>
        <v>958254.38743638492</v>
      </c>
      <c r="N19" s="135">
        <f>Summary!C64</f>
        <v>929942</v>
      </c>
      <c r="O19" s="205">
        <f ref="O19:O27" si="5" t="shared">(M19)/(N19)</f>
        <v>1.0304453260917186</v>
      </c>
    </row>
    <row customHeight="1" ht="14.25" r="20" spans="2:15" x14ac:dyDescent="0.25">
      <c r="B20" s="201" t="str">
        <f si="2" t="shared"/>
        <v>school</v>
      </c>
      <c r="C20" s="75">
        <f>calibration!C20</f>
        <v>17274.406480402631</v>
      </c>
      <c r="D20" s="75">
        <f>calibration!D20</f>
        <v>36104</v>
      </c>
      <c r="E20" s="205">
        <f si="3" t="shared"/>
        <v>0.47846239974525345</v>
      </c>
      <c r="G20" s="31" t="s">
        <v>24</v>
      </c>
      <c r="H20" s="49">
        <f ref="H20:I25" si="6" t="shared">C6+C20</f>
        <v>249136.54888690167</v>
      </c>
      <c r="I20" s="49">
        <f si="6" t="shared"/>
        <v>267885</v>
      </c>
      <c r="J20" s="205">
        <f si="4" t="shared"/>
        <v>0.93001306115273963</v>
      </c>
      <c r="L20" s="31" t="s">
        <v>24</v>
      </c>
      <c r="M20" s="49">
        <f>Summary!B65*survey_scaling!$M$44</f>
        <v>252658.09727694449</v>
      </c>
      <c r="N20" s="49">
        <f>Summary!C65</f>
        <v>247091</v>
      </c>
      <c r="O20" s="205">
        <f si="5" t="shared"/>
        <v>1.0225305546415875</v>
      </c>
    </row>
    <row customHeight="1" ht="14.25" r="21" spans="2:15" x14ac:dyDescent="0.25">
      <c r="B21" s="201" t="str">
        <f si="2" t="shared"/>
        <v>escort</v>
      </c>
      <c r="C21" s="75">
        <f>calibration!C21</f>
        <v>250973.42411968741</v>
      </c>
      <c r="D21" s="75">
        <f>calibration!D21</f>
        <v>210058</v>
      </c>
      <c r="E21" s="205">
        <f si="3" t="shared"/>
        <v>1.1947815561401489</v>
      </c>
      <c r="G21" s="31" t="s">
        <v>25</v>
      </c>
      <c r="H21" s="49">
        <f si="6" t="shared"/>
        <v>440170.88560970256</v>
      </c>
      <c r="I21" s="49">
        <f si="6" t="shared"/>
        <v>403774</v>
      </c>
      <c r="J21" s="205">
        <f si="4" t="shared"/>
        <v>1.0901417268316003</v>
      </c>
      <c r="L21" s="31" t="s">
        <v>25</v>
      </c>
      <c r="M21" s="49">
        <f>Summary!B66*survey_scaling!$M$44</f>
        <v>438301.27804340911</v>
      </c>
      <c r="N21" s="49">
        <f>Summary!C66</f>
        <v>423019</v>
      </c>
      <c r="O21" s="205">
        <f si="5" t="shared"/>
        <v>1.0361266941754605</v>
      </c>
    </row>
    <row customHeight="1" ht="14.25" r="22" spans="2:15" x14ac:dyDescent="0.25">
      <c r="B22" s="201" t="str">
        <f si="2" t="shared"/>
        <v>pers.bus</v>
      </c>
      <c r="C22" s="75">
        <f>calibration!C22</f>
        <v>469861.64370062802</v>
      </c>
      <c r="D22" s="75">
        <f>calibration!D22</f>
        <v>468076</v>
      </c>
      <c r="E22" s="205">
        <f si="3" t="shared"/>
        <v>1.0038148584858613</v>
      </c>
      <c r="G22" s="31" t="s">
        <v>26</v>
      </c>
      <c r="H22" s="49">
        <f si="6" t="shared"/>
        <v>713635.03658873006</v>
      </c>
      <c r="I22" s="49">
        <f si="6" t="shared"/>
        <v>718120</v>
      </c>
      <c r="J22" s="205">
        <f si="4" t="shared"/>
        <v>0.99375457665672873</v>
      </c>
      <c r="L22" s="31" t="s">
        <v>26</v>
      </c>
      <c r="M22" s="49">
        <f>Summary!B67*survey_scaling!$M$44</f>
        <v>699001.44779517234</v>
      </c>
      <c r="N22" s="49">
        <f>Summary!C67</f>
        <v>689829</v>
      </c>
      <c r="O22" s="205">
        <f si="5" t="shared"/>
        <v>1.0132966978703017</v>
      </c>
    </row>
    <row customHeight="1" ht="14.25" r="23" spans="2:15" x14ac:dyDescent="0.25">
      <c r="B23" s="201" t="str">
        <f si="2" t="shared"/>
        <v>shop</v>
      </c>
      <c r="C23" s="75">
        <f>calibration!C23</f>
        <v>328174.88266997377</v>
      </c>
      <c r="D23" s="75">
        <f>calibration!D23</f>
        <v>335121</v>
      </c>
      <c r="E23" s="205">
        <f si="3" t="shared"/>
        <v>0.97927280794093408</v>
      </c>
      <c r="G23" s="31" t="s">
        <v>27</v>
      </c>
      <c r="H23" s="49">
        <f si="6" t="shared"/>
        <v>481196.97704217979</v>
      </c>
      <c r="I23" s="49">
        <f si="6" t="shared"/>
        <v>499438</v>
      </c>
      <c r="J23" s="205">
        <f si="4" t="shared"/>
        <v>0.96347690212234505</v>
      </c>
      <c r="L23" s="31" t="s">
        <v>27</v>
      </c>
      <c r="M23" s="49">
        <f>Summary!B68*survey_scaling!$M$44</f>
        <v>481590.2666395678</v>
      </c>
      <c r="N23" s="49">
        <f>Summary!C68</f>
        <v>437281</v>
      </c>
      <c r="O23" s="205">
        <f si="5" t="shared"/>
        <v>1.1013290461729821</v>
      </c>
    </row>
    <row customHeight="1" ht="14.25" r="24" spans="2:15" x14ac:dyDescent="0.25">
      <c r="B24" s="201" t="str">
        <f si="2" t="shared"/>
        <v>meal</v>
      </c>
      <c r="C24" s="75">
        <f>calibration!C24</f>
        <v>181636.79270017028</v>
      </c>
      <c r="D24" s="75">
        <f>calibration!D24</f>
        <v>275723</v>
      </c>
      <c r="E24" s="205">
        <f si="3" t="shared"/>
        <v>0.65876547368253746</v>
      </c>
      <c r="G24" s="31" t="s">
        <v>28</v>
      </c>
      <c r="H24" s="49">
        <f si="6" t="shared"/>
        <v>274506.44693349011</v>
      </c>
      <c r="I24" s="49">
        <f si="6" t="shared"/>
        <v>374052</v>
      </c>
      <c r="J24" s="205">
        <f si="4" t="shared"/>
        <v>0.73387242130369601</v>
      </c>
      <c r="L24" s="31" t="s">
        <v>28</v>
      </c>
      <c r="M24" s="49">
        <f>Summary!B69*survey_scaling!$M$44</f>
        <v>274596.56068795011</v>
      </c>
      <c r="N24" s="49">
        <f>Summary!C69</f>
        <v>270404</v>
      </c>
      <c r="O24" s="205">
        <f si="5" t="shared"/>
        <v>1.0155048027690052</v>
      </c>
    </row>
    <row customHeight="1" ht="14.25" r="25" spans="2:15" x14ac:dyDescent="0.25">
      <c r="B25" s="201" t="str">
        <f si="2" t="shared"/>
        <v>soc/rec</v>
      </c>
      <c r="C25" s="75">
        <f>calibration!C25</f>
        <v>167579.36329497394</v>
      </c>
      <c r="D25" s="75">
        <f>calibration!D25</f>
        <v>210425</v>
      </c>
      <c r="E25" s="205">
        <f si="3" t="shared"/>
        <v>0.79638523604597333</v>
      </c>
      <c r="G25" s="31" t="s">
        <v>29</v>
      </c>
      <c r="H25" s="49">
        <f si="6" t="shared"/>
        <v>384417.99347044015</v>
      </c>
      <c r="I25" s="49">
        <f si="6" t="shared"/>
        <v>435145</v>
      </c>
      <c r="J25" s="205">
        <f si="4" t="shared"/>
        <v>0.88342505020266848</v>
      </c>
      <c r="L25" s="31" t="s">
        <v>29</v>
      </c>
      <c r="M25" s="49">
        <f>Summary!B70*survey_scaling!$M$44</f>
        <v>394019.09811235563</v>
      </c>
      <c r="N25" s="49">
        <f>Summary!C70</f>
        <v>379911</v>
      </c>
      <c r="O25" s="205">
        <f si="5" t="shared"/>
        <v>1.0371352714513546</v>
      </c>
    </row>
    <row customHeight="1" ht="14.25" r="26" spans="2:15" x14ac:dyDescent="0.25">
      <c r="B26" s="72" t="s">
        <v>1197</v>
      </c>
      <c r="C26" s="81">
        <f>calibration!C26</f>
        <v>0</v>
      </c>
      <c r="D26" s="81">
        <f>calibration!D26</f>
        <v>0</v>
      </c>
      <c r="E26" s="73"/>
      <c r="G26" s="136" t="s">
        <v>38</v>
      </c>
      <c r="H26" s="137">
        <f>C13-C12</f>
        <v>1813910.9902652905</v>
      </c>
      <c r="I26" s="137">
        <f>D13-D12</f>
        <v>1837374</v>
      </c>
      <c r="J26" s="73">
        <f si="4" t="shared"/>
        <v>0.98723013946278249</v>
      </c>
      <c r="L26" s="136" t="s">
        <v>38</v>
      </c>
      <c r="M26" s="137">
        <f>Summary!B71*survey_scaling!$M$44</f>
        <v>1804543.3968927267</v>
      </c>
      <c r="N26" s="137">
        <f>Summary!C71</f>
        <v>1836745</v>
      </c>
      <c r="O26" s="73">
        <f si="5" t="shared"/>
        <v>0.98246811445939786</v>
      </c>
    </row>
    <row customHeight="1" ht="14.65" r="27" spans="2:15" thickBot="1" x14ac:dyDescent="0.3">
      <c r="B27" s="74" t="str">
        <f>B13</f>
        <v>Total</v>
      </c>
      <c r="C27" s="80">
        <f>SUM(C19:C25)</f>
        <v>1566458.4224902422</v>
      </c>
      <c r="D27" s="80">
        <f>SUM(D19:D25)</f>
        <v>1702110</v>
      </c>
      <c r="E27" s="118">
        <f>(C27)/(D27)</f>
        <v>0.9203038713656827</v>
      </c>
      <c r="G27" s="50" t="s">
        <v>4</v>
      </c>
      <c r="H27" s="51">
        <f>SUM(H19:H26)</f>
        <v>5303050.8399347002</v>
      </c>
      <c r="I27" s="51">
        <f>SUM(I19:I26)</f>
        <v>5481059</v>
      </c>
      <c r="J27" s="118">
        <f si="4" t="shared"/>
        <v>0.96752303522634953</v>
      </c>
      <c r="L27" s="50" t="s">
        <v>4</v>
      </c>
      <c r="M27" s="51">
        <f>SUM(M19:M26)</f>
        <v>5302964.5328845112</v>
      </c>
      <c r="N27" s="51">
        <f>SUM(N19:N26)</f>
        <v>5214222</v>
      </c>
      <c r="O27" s="118">
        <f si="5" t="shared"/>
        <v>1.0170193238578087</v>
      </c>
    </row>
    <row customHeight="1" ht="14.25" r="28" spans="2:15" x14ac:dyDescent="0.25">
      <c r="B28" s="201"/>
      <c r="C28" s="236"/>
      <c r="D28" s="236"/>
      <c r="E28" s="201"/>
    </row>
    <row customHeight="1" ht="14.25" r="30" spans="2:15" x14ac:dyDescent="0.25">
      <c r="B30" s="78" t="s">
        <v>1260</v>
      </c>
      <c r="C30" s="201"/>
      <c r="D30" s="201"/>
      <c r="E30" s="201"/>
    </row>
    <row customHeight="1" ht="14.65" r="31" spans="2:15" thickBot="1" x14ac:dyDescent="0.3">
      <c r="B31" s="74"/>
      <c r="C31" s="74"/>
      <c r="D31" s="74"/>
      <c r="E31" s="74"/>
    </row>
    <row customHeight="1" ht="14.25" r="32" spans="2:15" x14ac:dyDescent="0.25">
      <c r="B32" s="71" t="str">
        <f>B18</f>
        <v>Purpose</v>
      </c>
      <c r="C32" s="91" t="str">
        <f>C18</f>
        <v>Survey</v>
      </c>
      <c r="D32" s="91" t="str">
        <f>D18</f>
        <v>ABM</v>
      </c>
      <c r="E32" s="91" t="str">
        <f>E18</f>
        <v>Ratio</v>
      </c>
    </row>
    <row customHeight="1" ht="14.25" r="33" spans="2:5" x14ac:dyDescent="0.25">
      <c r="B33" s="201" t="str">
        <f ref="B33:B39" si="7" t="shared">B19</f>
        <v>work</v>
      </c>
      <c r="C33" s="134">
        <f>M19-(C5+C12+H5)</f>
        <v>142237.39707356843</v>
      </c>
      <c r="D33" s="134">
        <f>N19-(D5+D12+I5)</f>
        <v>131094</v>
      </c>
      <c r="E33" s="205">
        <f ref="E33:E39" si="8" t="shared">(C33)/(D33)</f>
        <v>1.0850031052036586</v>
      </c>
    </row>
    <row customHeight="1" ht="14.25" r="34" spans="2:5" x14ac:dyDescent="0.25">
      <c r="B34" s="201" t="str">
        <f si="7" t="shared"/>
        <v>school</v>
      </c>
      <c r="C34" s="75">
        <f ref="C34:D39" si="9" t="shared">M20-(C6+H6)</f>
        <v>20074.843598202599</v>
      </c>
      <c r="D34" s="236">
        <f si="9" t="shared"/>
        <v>14768</v>
      </c>
      <c r="E34" s="205">
        <f si="8" t="shared"/>
        <v>1.3593474809183774</v>
      </c>
    </row>
    <row customHeight="1" ht="14.25" r="35" spans="2:5" x14ac:dyDescent="0.25">
      <c r="B35" s="201" t="str">
        <f si="7" t="shared"/>
        <v>escort</v>
      </c>
      <c r="C35" s="75">
        <f si="9" t="shared"/>
        <v>243660.68345277585</v>
      </c>
      <c r="D35" s="236">
        <f si="9" t="shared"/>
        <v>223588</v>
      </c>
      <c r="E35" s="205">
        <f si="8" t="shared"/>
        <v>1.0897753164426349</v>
      </c>
    </row>
    <row customHeight="1" ht="14.25" r="36" spans="2:5" x14ac:dyDescent="0.25">
      <c r="B36" s="201" t="str">
        <f si="7" t="shared"/>
        <v>pers.bus</v>
      </c>
      <c r="C36" s="75">
        <f si="9" t="shared"/>
        <v>435572.83371686115</v>
      </c>
      <c r="D36" s="236">
        <f si="9" t="shared"/>
        <v>420691</v>
      </c>
      <c r="E36" s="205">
        <f si="8" t="shared"/>
        <v>1.0353747375552631</v>
      </c>
    </row>
    <row customHeight="1" ht="14.25" r="37" spans="2:5" x14ac:dyDescent="0.25">
      <c r="B37" s="201" t="str">
        <f si="7" t="shared"/>
        <v>shop</v>
      </c>
      <c r="C37" s="75">
        <f si="9" t="shared"/>
        <v>316918.28021092166</v>
      </c>
      <c r="D37" s="236">
        <f si="9" t="shared"/>
        <v>262406</v>
      </c>
      <c r="E37" s="205">
        <f si="8" t="shared"/>
        <v>1.2077402201585392</v>
      </c>
    </row>
    <row customHeight="1" ht="14.25" r="38" spans="2:5" x14ac:dyDescent="0.25">
      <c r="B38" s="201" t="str">
        <f si="7" t="shared"/>
        <v>meal</v>
      </c>
      <c r="C38" s="75">
        <f si="9" t="shared"/>
        <v>137709.69260981315</v>
      </c>
      <c r="D38" s="236">
        <f si="9" t="shared"/>
        <v>130591</v>
      </c>
      <c r="E38" s="205">
        <f si="8" t="shared"/>
        <v>1.0545113569067788</v>
      </c>
    </row>
    <row customHeight="1" ht="14.25" r="39" spans="2:5" x14ac:dyDescent="0.25">
      <c r="B39" s="201" t="str">
        <f si="7" t="shared"/>
        <v>soc/rec</v>
      </c>
      <c r="C39" s="75">
        <f si="9" t="shared"/>
        <v>170795.54123659714</v>
      </c>
      <c r="D39" s="236">
        <f si="9" t="shared"/>
        <v>148563</v>
      </c>
      <c r="E39" s="205">
        <f si="8" t="shared"/>
        <v>1.1496505942704249</v>
      </c>
    </row>
    <row customHeight="1" ht="14.25" r="40" spans="2:5" x14ac:dyDescent="0.25">
      <c r="B40" s="72" t="s">
        <v>38</v>
      </c>
      <c r="C40" s="81" t="str">
        <f>calibration!C40</f>
        <v>--</v>
      </c>
      <c r="D40" s="81" t="str">
        <f>calibration!D40</f>
        <v>--</v>
      </c>
      <c r="E40" s="73"/>
    </row>
    <row customHeight="1" ht="14.65" r="41" spans="2:5" thickBot="1" x14ac:dyDescent="0.3">
      <c r="B41" s="74" t="str">
        <f>B27</f>
        <v>Total</v>
      </c>
      <c r="C41" s="80">
        <f>SUM(C33:C39)</f>
        <v>1466969.27189874</v>
      </c>
      <c r="D41" s="80">
        <f>SUM(D33:D39)</f>
        <v>1331701</v>
      </c>
      <c r="E41" s="118">
        <f>(C41)/(D41)</f>
        <v>1.1015755578006925</v>
      </c>
    </row>
    <row customHeight="1" ht="14.25" r="42" spans="2:5" x14ac:dyDescent="0.25">
      <c r="B42" s="201"/>
      <c r="C42" s="236"/>
      <c r="D42" s="236"/>
      <c r="E42" s="201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267</vt:i4>
      </vt:variant>
    </vt:vector>
  </HeadingPairs>
  <TitlesOfParts>
    <vt:vector baseType="lpstr" size="287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StopsByStopPurpose</vt:lpstr>
      <vt:lpstr>new_summaries</vt:lpstr>
      <vt:lpstr>calibration</vt:lpstr>
      <vt:lpstr>survey_scaling</vt:lpstr>
      <vt:lpstr>qa_qc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out_111</vt:lpstr>
      <vt:lpstr>out_112</vt:lpstr>
      <vt:lpstr>out_113</vt:lpstr>
      <vt:lpstr>out_114</vt:lpstr>
      <vt:lpstr>out_115</vt:lpstr>
      <vt:lpstr>out_116</vt:lpstr>
      <vt:lpstr>out_117</vt:lpstr>
      <vt:lpstr>out_118</vt:lpstr>
      <vt:lpstr>out_119</vt:lpstr>
      <vt:lpstr>out_12</vt:lpstr>
      <vt:lpstr>out_120</vt:lpstr>
      <vt:lpstr>out_121</vt:lpstr>
      <vt:lpstr>out_122</vt:lpstr>
      <vt:lpstr>out_123</vt:lpstr>
      <vt:lpstr>out_124</vt:lpstr>
      <vt:lpstr>out_125</vt:lpstr>
      <vt:lpstr>out_126</vt:lpstr>
      <vt:lpstr>out_127</vt:lpstr>
      <vt:lpstr>out_128</vt:lpstr>
      <vt:lpstr>out_129</vt:lpstr>
      <vt:lpstr>out_13</vt:lpstr>
      <vt:lpstr>out_130</vt:lpstr>
      <vt:lpstr>out_131</vt:lpstr>
      <vt:lpstr>out_132</vt:lpstr>
      <vt:lpstr>out_133</vt:lpstr>
      <vt:lpstr>out_134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Aditya Gore</cp:lastModifiedBy>
  <dcterms:modified xsi:type="dcterms:W3CDTF">2024-08-29T02:34:52Z</dcterms:modified>
</cp:coreProperties>
</file>