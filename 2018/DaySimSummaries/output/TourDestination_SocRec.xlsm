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4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6DDE5528-E2BC-412F-BBC9-2C00D9E285D8}" revIDLastSave="0" xr10:uidLastSave="{00000000-0000-0000-0000-000000000000}" xr6:coauthVersionLast="47" xr6:coauthVersionMax="47"/>
  <bookViews>
    <workbookView windowHeight="11596" windowWidth="19396" xWindow="-98" xr2:uid="{00000000-000D-0000-FFFF-FFFF00000000}" yWindow="-98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6" l="1" r="B36"/>
  <c i="6" r="B46" s="1"/>
  <c i="6" r="B35"/>
  <c i="6" r="B45" s="1"/>
  <c i="6" r="B34"/>
  <c i="6" r="B44" s="1"/>
  <c i="6" r="B33"/>
  <c i="6" r="B43" s="1"/>
  <c i="6" l="1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D8"/>
  <c i="1" r="H15"/>
  <c i="1" r="J13"/>
  <c i="6" l="1" r="D14"/>
  <c i="6" r="F23"/>
  <c i="6" r="G12"/>
  <c i="6" r="G23"/>
  <c i="6" r="G14"/>
  <c i="6" r="G15"/>
  <c i="6" r="G16"/>
  <c i="6" r="G13"/>
  <c i="6" r="D13"/>
  <c i="6" r="D16"/>
  <c i="6" r="D12"/>
  <c i="6" r="D15"/>
  <c i="1" r="S15"/>
  <c i="1" r="U13"/>
  <c i="6" l="1" r="I14"/>
  <c i="6" r="J14" s="1"/>
  <c i="6" r="F24"/>
  <c i="6" r="H23"/>
  <c i="6" r="G24"/>
  <c i="6" r="I23"/>
  <c i="6" r="I13"/>
  <c i="6" r="J13" s="1"/>
  <c i="6" r="I15"/>
  <c i="6" r="J15" s="1"/>
  <c i="6" r="I12"/>
  <c i="6" r="J12" s="1"/>
  <c i="1" r="B26"/>
  <c i="1" r="C26"/>
  <c i="1" r="D26"/>
  <c i="1" r="E26"/>
  <c i="1" r="F26"/>
  <c i="1" r="G26"/>
  <c i="1" r="H26"/>
  <c i="1" r="S28"/>
  <c i="1" r="U26"/>
  <c i="1" r="J27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K15"/>
  <c i="6" r="D36" s="1"/>
  <c i="6" r="D46" s="1"/>
  <c i="6" r="Q55" s="1"/>
  <c i="6" r="G25"/>
  <c i="6" r="I24"/>
  <c i="6" r="J23"/>
  <c i="6" r="K23" s="1"/>
  <c i="6" r="L23" s="1"/>
  <c i="6" r="F25"/>
  <c i="6" r="H24"/>
  <c i="6" r="J24" s="1"/>
  <c i="6" r="K24" s="1"/>
  <c i="6" r="K12"/>
  <c i="6" r="D33" s="1"/>
  <c i="6" r="D43" s="1"/>
  <c i="6" r="Q52" s="1"/>
  <c i="6" r="K14"/>
  <c i="6" r="D35" s="1"/>
  <c i="6" r="D45" s="1"/>
  <c i="6" r="Q54" s="1"/>
  <c i="6" r="K13"/>
  <c i="6" r="D34" s="1"/>
  <c i="6" r="D44" s="1"/>
  <c i="6" r="Q5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H25"/>
  <c i="6" r="F26"/>
  <c i="6" r="H26" s="1"/>
  <c i="6" r="G26"/>
  <c i="6" r="I26" s="1"/>
  <c i="6" r="I25"/>
  <c i="1" r="Q15"/>
  <c i="1" r="Q28" s="1"/>
  <c i="1" r="R15"/>
  <c i="1" r="R28" s="1"/>
  <c i="1" r="U10"/>
  <c i="1" r="U11"/>
  <c i="1" r="U12"/>
  <c i="1" r="F15"/>
  <c i="1" r="G15"/>
  <c i="1" r="J10"/>
  <c i="1" r="J11"/>
  <c i="1" r="J12"/>
  <c i="6" l="1" r="J26"/>
  <c i="6" r="K26" s="1"/>
  <c i="6" r="J25"/>
  <c i="6" r="K25" s="1"/>
  <c i="1" r="H24"/>
  <c i="1" r="H25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1"/>
  <c i="1" r="H22"/>
  <c i="1" r="J24"/>
  <c i="1" r="J25"/>
  <c i="1" r="J23"/>
  <c i="1" r="U20"/>
  <c i="1" r="U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U22"/>
  <c i="1" r="D20"/>
  <c i="1" r="G20"/>
  <c i="1" r="E22"/>
  <c i="1" r="C20"/>
  <c i="4" r="F102"/>
  <c i="4" r="G101" s="1"/>
  <c i="4" r="B102"/>
  <c i="4" r="C102" s="1"/>
  <c i="3" r="F102"/>
  <c i="3" r="G101" s="1"/>
  <c i="3" r="B102"/>
  <c i="3" r="C14" s="1"/>
  <c i="1" l="1" r="F28"/>
  <c i="1" r="S36"/>
  <c i="1" r="S35"/>
  <c i="1" r="M39"/>
  <c i="1" r="N39"/>
  <c i="1" r="O39"/>
  <c i="1" r="P39"/>
  <c i="1" r="R39"/>
  <c i="1" r="S39"/>
  <c i="1" r="S34"/>
  <c i="1" r="S33"/>
  <c i="1" r="S38"/>
  <c i="1" r="S37"/>
  <c i="1" r="Q39"/>
  <c i="1" r="G28"/>
  <c i="1" r="S41"/>
  <c i="1" r="U39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F39"/>
  <c i="1" r="AB39" s="1"/>
  <c i="1" r="E39"/>
  <c i="1" r="AA39" s="1"/>
  <c i="1" r="G39"/>
  <c i="1" r="AC39" s="1"/>
  <c i="1" r="D39"/>
  <c i="1" r="Z39" s="1"/>
  <c i="1" r="H39"/>
  <c i="1" r="AD39" s="1"/>
  <c i="1" r="C39"/>
  <c i="1" r="Y39" s="1"/>
  <c i="1" r="B39"/>
  <c i="1" r="X39" s="1"/>
  <c i="1" r="H36"/>
  <c i="1" r="AD36" s="1"/>
  <c i="1" r="H38"/>
  <c i="1" r="AD38" s="1"/>
  <c i="1" r="H37"/>
  <c i="1" r="AD37" s="1"/>
  <c i="1" r="H34"/>
  <c i="1" r="AD34" s="1"/>
  <c i="1" r="H35"/>
  <c i="1" r="AD35" s="1"/>
  <c i="1" r="H33"/>
  <c i="1" r="AD33" s="1"/>
  <c i="1" r="J39"/>
  <c i="1" r="AF39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AE41" s="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<sst xmlns="http://schemas.openxmlformats.org/spreadsheetml/2006/main" count="719" uniqueCount="289">
  <si>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</si>
  <si>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</si>
  <si>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</si>
  <si>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</si>
  <si>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</si>
  <si>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</si>
  <si>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</si>
  <si>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</si>
  <si>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</si>
  <si>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</si>
  <si>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</si>
  <si>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</si>
  <si>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</si>
  <si>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</si>
  <si>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</si>
  <si>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</si>
  <si>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</si>
  <si>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</si>
  <si>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</si>
  <si>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</si>
  <si>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</si>
  <si>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</si>
  <si>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</si>
  <si>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</si>
  <si>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</si>
  <si>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</si>
  <si>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</si>
  <si>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</si>
  <si>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</si>
  <si>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</si>
  <si>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</si>
  <si>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</si>
  <si>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</si>
  <si>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</si>
  <si>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</si>
  <si>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</si>
  <si>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</si>
  <si>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</si>
  <si>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</si>
  <si>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</si>
  <si>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</si>
  <si>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</si>
  <si>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</si>
  <si>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</si>
  <si>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</si>
  <si>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</si>
  <si>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</si>
  <si>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</si>
  <si>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</si>
  <si>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</si>
  <si>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</si>
  <si>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</si>
  <si>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</si>
  <si>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</si>
  <si>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</si>
  <si>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</si>
  <si>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</si>
  <si>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</si>
  <si>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</si>
  <si>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</si>
  <si>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</si>
  <si>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</si>
  <si>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</si>
  <si>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</si>
  <si>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</si>
  <si>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</si>
  <si>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</si>
  <si>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</si>
  <si>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</si>
  <si>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</si>
  <si>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</si>
  <si>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</si>
  <si>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</si>
  <si>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</si>
  <si>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</si>
  <si>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</si>
  <si>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</si>
  <si>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</si>
  <si>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</si>
  <si>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</si>
  <si>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</si>
  <si>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</si>
  <si>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</si>
  <si>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</si>
  <si>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</si>
  <si>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</si>
  <si>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</si>
  <si>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</si>
  <si>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</si>
  <si>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</si>
  <si>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</si>
  <si>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</si>
  <si>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</si>
  <si>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</si>
  <si>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</si>
  <si>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</si>
  <si>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</si>
  <si>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</si>
  <si>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</si>
  <si>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</si>
  <si>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</si>
  <si>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</si>
  <si>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</si>
  <si>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</si>
  <si>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</si>
  <si>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</si>
  <si>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</si>
  <si>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</si>
  <si>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</si>
  <si>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</si>
  <si>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</si>
  <si>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</si>
  <si>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</si>
  <si>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</si>
  <si>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</si>
  <si>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</si>
  <si>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</si>
  <si>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</si>
  <si>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</si>
  <si>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</si>
  <si>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</si>
  <si>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</si>
  <si>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</si>
  <si>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</si>
  <si>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</si>
  <si>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</si>
  <si>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</si>
  <si>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</si>
  <si>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</si>
  <si>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</si>
  <si>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</si>
  <si>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</si>
  <si>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</si>
  <si>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</si>
  <si>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</si>
  <si>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</si>
  <si>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</si>
  <si>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</si>
  <si>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</si>
  <si>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</si>
  <si>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</si>
  <si>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</si>
  <si>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</si>
  <si>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</si>
  <si>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</si>
  <si>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</si>
  <si>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</si>
  <si>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</si>
  <si>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</si>
  <si>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</si>
  <si>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</si>
  <si>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</si>
  <si>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</si>
  <si>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</si>
  <si>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</si>
  <si>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</si>
  <si>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</si>
  <si>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</si>
  <si>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</si>
  <si>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</si>
  <si>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</si>
  <si>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</si>
  <si>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</si>
  <si>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</si>
  <si>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</si>
  <si>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</si>
  <si>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</si>
  <si>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</si>
  <si>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</si>
  <si>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</si>
  <si>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</si>
  <si>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</si>
  <si>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</si>
  <si>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</si>
  <si>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</si>
  <si>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</si>
  <si>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</si>
  <si>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</si>
  <si>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</si>
  <si>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</si>
  <si>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</si>
  <si>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</si>
  <si>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</si>
  <si>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</si>
  <si>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</si>
  <si>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</si>
  <si>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</si>
  <si>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</si>
  <si>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</si>
  <si>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</si>
  <si>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</si>
  <si>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</si>
  <si>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</si>
  <si>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</si>
  <si>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</si>
  <si>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</si>
  <si>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</si>
  <si>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</si>
  <si>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</si>
  <si>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</si>
  <si>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</si>
  <si>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</si>
  <si>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</si>
  <si>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</si>
  <si>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</si>
  <si>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</si>
  <si>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</si>
  <si>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</si>
  <si>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</si>
  <si>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</si>
  <si>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</si>
  <si>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</si>
  <si>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</si>
  <si>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</si>
  <si>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</si>
  <si>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</si>
  <si>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</si>
  <si>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</si>
  <si>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</si>
  <si>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</si>
  <si>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</si>
  <si>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</si>
  <si>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</si>
  <si>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</si>
  <si>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</si>
  <si>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</si>
  <si>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</si>
  <si>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</si>
  <si>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</si>
  <si>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</si>
  <si>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</si>
  <si>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</si>
  <si>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</si>
  <si>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</si>
  <si>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</si>
  <si>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</si>
  <si>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</si>
  <si>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</si>
  <si>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</si>
  <si>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</si>
  <si>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</si>
  <si>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</si>
  <si>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</si>
  <si>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</si>
  <si>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</si>
  <si>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</si>
  <si>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</si>
  <si>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</si>
  <si>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</si>
  <si>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</si>
  <si>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</si>
  <si>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</si>
  <si>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</si>
  <si>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</si>
  <si>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Beta00118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</si>
  <si>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</si>
  <si>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</si>
  <si>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</si>
  <si>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</si>
  <si>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</si>
  <si>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</si>
  <si>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</si>
  <si>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</si>
  <si>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</si>
  <si>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</si>
  <si>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</si>
  <si>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</si>
  <si>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</si>
  <si>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</si>
  <si>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</si>
  <si>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</si>
  <si>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</si>
  <si>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</si>
  <si>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</si>
  <si>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</si>
  <si>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</si>
  <si>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</si>
  <si>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</si>
  <si>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</si>
  <si>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</si>
  <si>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</si>
  <si>
    <t>svn</t>
  </si>
  <si>
    <t>v1799,</t>
  </si>
  <si>
    <t>alo</t>
  </si>
  <si>
    <t>v0601)</t>
  </si>
  <si>
    <t>May</t>
  </si>
  <si>
    <t>Gamma120</t>
  </si>
  <si>
    <t>011:39:57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</si>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</sst>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9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Border="1" applyNumberFormat="1" borderId="4" fillId="0" fontId="0" numFmtId="164" xfId="0"/>
    <xf applyAlignment="1" applyNumberFormat="1" borderId="0" fillId="0" fontId="0" numFmtId="1" xfId="0">
      <alignment horizontal="right"/>
    </xf>
    <xf applyFont="1" borderId="0" fillId="0" fontId="5" numFmtId="0" xfId="0"/>
    <xf applyNumberFormat="1" borderId="0" fillId="0" fontId="0" numFmtId="166" xfId="0"/>
    <xf applyAlignment="1" applyBorder="1" applyNumberFormat="1" borderId="2" fillId="0" fontId="0" numFmtId="1" xfId="0">
      <alignment horizontal="center" vertical="top"/>
    </xf>
    <xf applyAlignment="1" borderId="0" fillId="0" fontId="0" numFmtId="0" xfId="0">
      <alignment horizontal="center" vertical="top"/>
    </xf>
    <xf applyAlignment="1" borderId="0" fillId="0" fontId="0" numFmtId="0" xfId="0">
      <alignment horizontal="left" vertical="top"/>
    </xf>
    <xf applyAlignment="1" applyNumberFormat="1" borderId="0" fillId="0" fontId="0" numFmtId="3" xfId="0">
      <alignment horizontal="right" vertical="top"/>
    </xf>
    <xf applyNumberFormat="1" borderId="0" fillId="0" fontId="0" numFmtId="1" xfId="0"/>
    <xf applyAlignment="1" applyNumberFormat="1" borderId="0" fillId="0" fontId="0" numFmtId="3" xfId="0">
      <alignment horizontal="right"/>
    </xf>
    <xf applyAlignment="1" applyBorder="1" applyNumberFormat="1" borderId="3" fillId="0" fontId="0" numFmtId="3" xfId="0">
      <alignment horizontal="right"/>
    </xf>
    <xf applyBorder="1" applyNumberFormat="1" borderId="4" fillId="0" fontId="0" numFmtId="3" xfId="0"/>
    <xf applyAlignment="1" applyBorder="1" applyNumberFormat="1" borderId="4" fillId="0" fontId="0" numFmtId="3" xfId="0">
      <alignment horizontal="right"/>
    </xf>
    <xf applyFont="1" applyNumberFormat="1" borderId="0" fillId="0" fontId="5" numFmtId="3" xfId="0"/>
    <xf applyNumberFormat="1" borderId="0" fillId="0" fontId="0" numFmtId="9" xfId="0"/>
    <xf applyAlignment="1" applyNumberFormat="1" borderId="0" fillId="0" fontId="0" numFmtId="164" xfId="0">
      <alignment horizontal="right" vertical="top"/>
    </xf>
    <xf applyAlignment="1" applyNumberFormat="1" borderId="0" fillId="0" fontId="0" numFmtId="164" xfId="0">
      <alignment horizontal="right"/>
    </xf>
    <xf applyAlignment="1" applyBorder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NumberFormat="1" borderId="0" fillId="0" fontId="0" numFmtId="167" xfId="0">
      <alignment horizontal="right"/>
    </xf>
    <xf applyAlignme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NumberFormat="1" borderId="0" fillId="3" fontId="0" numFmtId="167" xfId="0"/>
    <xf applyFill="1" borderId="0" fillId="4" fontId="0" numFmtId="0" xfId="0"/>
    <xf applyFill="1" applyNumberFormat="1" borderId="0" fillId="4" fontId="0" numFmtId="166" xfId="0"/>
    <xf applyFill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borderId="0" fillId="0" fontId="0" numFmtId="0" xfId="0">
      <alignment horizontal="left"/>
    </xf>
    <xf applyAlignment="1" applyBorder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borderId="12" fillId="0" fontId="0" numFmtId="0" xfId="0">
      <alignment horizontal="left"/>
    </xf>
    <xf applyAlignment="1" applyNumberFormat="1" borderId="0" fillId="0" fontId="0" numFmtId="1" xfId="0">
      <alignment horizontal="center" vertical="top"/>
    </xf>
    <xf applyAlignment="1" applyBorder="1" applyNumberFormat="1" borderId="1" fillId="0" fontId="0" numFmtId="1" xfId="0">
      <alignment horizontal="right"/>
    </xf>
    <xf applyAlignment="1" applyNumberFormat="1" borderId="0" fillId="0" fontId="0" numFmtId="2" xfId="0">
      <alignment horizontal="right" vertical="top"/>
    </xf>
    <xf applyAlignment="1" applyNumberFormat="1" borderId="0" fillId="0" fontId="0" numFmtId="170" xfId="0">
      <alignment horizontal="right" vertical="top"/>
    </xf>
    <xf applyAlignment="1" applyBorder="1" applyNumberFormat="1" borderId="1" fillId="0" fontId="0" numFmtId="2" xfId="0">
      <alignment horizontal="right" vertical="top"/>
    </xf>
    <xf applyAlignment="1" applyBorder="1" applyNumberFormat="1" borderId="1" fillId="0" fontId="0" numFmtId="170" xfId="0">
      <alignment horizontal="right" vertical="top"/>
    </xf>
    <xf applyAlignment="1" applyNumberFormat="1" borderId="0" fillId="0" fontId="0" numFmtId="2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Fill="1" applyNumberFormat="1" borderId="0" fillId="7" fontId="0" numFmtId="171" xfId="0">
      <alignment horizontal="right"/>
    </xf>
    <xf applyNumberFormat="1" borderId="0" fillId="0" fontId="0" numFmtId="169" xfId="0"/>
    <xf applyAlignment="1" applyFont="1" borderId="0" fillId="0" fontId="0" numFmtId="9" xfId="9">
      <alignment horizontal="right"/>
    </xf>
  </cellXfs>
  <cellStyles count="10">
    <cellStyle builtinId="3" name="Comma" xfId="8"/>
    <cellStyle builtinId="0" name="Normal" xfId="0"/>
    <cellStyle builtinId="5" name="Percent" xfId="9"/>
    <cellStyle name="XLConnect.Boolean" xfId="6" xr:uid="{00000000-0005-0000-0000-000003000000}"/>
    <cellStyle name="XLConnect.Date" xfId="3" xr:uid="{00000000-0005-0000-0000-000004000000}"/>
    <cellStyle name="XLConnect.DateTime" xfId="7" xr:uid="{00000000-0005-0000-0000-000005000000}"/>
    <cellStyle name="XLConnect.General" xfId="1" xr:uid="{00000000-0005-0000-0000-000006000000}"/>
    <cellStyle name="XLConnect.Header" xfId="2" xr:uid="{00000000-0005-0000-0000-000007000000}"/>
    <cellStyle name="XLConnect.Numeric" xfId="5" xr:uid="{00000000-0005-0000-0000-000008000000}"/>
    <cellStyle name="XLConnect.String" xfId="4" xr:uid="{00000000-0005-0000-0000-000009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../customXml/item1.xml" Type="http://schemas.openxmlformats.org/officeDocument/2006/relationships/customXml"/>
    <Relationship Id="rId13" Target="../customXml/item2.xml" Type="http://schemas.openxmlformats.org/officeDocument/2006/relationships/customXml"/>
    <Relationship Id="rId14" Target="../customXml/item3.xml" Type="http://schemas.openxmlformats.org/officeDocument/2006/relationships/customXml"/>
    <Relationship Id="rId15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8.6964371519967665E-2</c:v>
                </c:pt>
                <c:pt idx="1">
                  <c:v>0.14885502450282742</c:v>
                </c:pt>
                <c:pt idx="2">
                  <c:v>0.13303341284610876</c:v>
                </c:pt>
                <c:pt idx="3">
                  <c:v>0.11878508182413181</c:v>
                </c:pt>
                <c:pt idx="4">
                  <c:v>9.6963637334934238E-2</c:v>
                </c:pt>
                <c:pt idx="5">
                  <c:v>5.7617952280890991E-2</c:v>
                </c:pt>
                <c:pt idx="6">
                  <c:v>7.1155558727517873E-2</c:v>
                </c:pt>
                <c:pt idx="7">
                  <c:v>3.4546296838069528E-2</c:v>
                </c:pt>
                <c:pt idx="8">
                  <c:v>5.0760437862467575E-2</c:v>
                </c:pt>
                <c:pt idx="9">
                  <c:v>1.5895008126728137E-2</c:v>
                </c:pt>
                <c:pt idx="10">
                  <c:v>3.2239927363914345E-2</c:v>
                </c:pt>
                <c:pt idx="11">
                  <c:v>1.623173743698772E-2</c:v>
                </c:pt>
                <c:pt idx="12">
                  <c:v>2.1054416756468176E-2</c:v>
                </c:pt>
                <c:pt idx="13">
                  <c:v>2.2008874739583469E-2</c:v>
                </c:pt>
                <c:pt idx="14">
                  <c:v>1.4090594546538467E-2</c:v>
                </c:pt>
                <c:pt idx="15">
                  <c:v>1.144389069814282E-2</c:v>
                </c:pt>
                <c:pt idx="16">
                  <c:v>6.7458194989562133E-3</c:v>
                </c:pt>
                <c:pt idx="17">
                  <c:v>4.3590117841146737E-3</c:v>
                </c:pt>
                <c:pt idx="18">
                  <c:v>2.8383755327444824E-3</c:v>
                </c:pt>
                <c:pt idx="19">
                  <c:v>4.5548602201898091E-3</c:v>
                </c:pt>
                <c:pt idx="20">
                  <c:v>6.3697362208442101E-3</c:v>
                </c:pt>
                <c:pt idx="21">
                  <c:v>1.3063446540034613E-3</c:v>
                </c:pt>
                <c:pt idx="22">
                  <c:v>5.9345598260131978E-3</c:v>
                </c:pt>
                <c:pt idx="23">
                  <c:v>6.4295718121884634E-3</c:v>
                </c:pt>
                <c:pt idx="24">
                  <c:v>4.5019743450442871E-3</c:v>
                </c:pt>
                <c:pt idx="25">
                  <c:v>1.4703767313292318E-3</c:v>
                </c:pt>
                <c:pt idx="26">
                  <c:v>1.7235388873099774E-3</c:v>
                </c:pt>
                <c:pt idx="27">
                  <c:v>5.0447094286270818E-4</c:v>
                </c:pt>
                <c:pt idx="28">
                  <c:v>1.2977199263715115E-3</c:v>
                </c:pt>
                <c:pt idx="29">
                  <c:v>2.9537022973400378E-4</c:v>
                </c:pt>
                <c:pt idx="30">
                  <c:v>0</c:v>
                </c:pt>
                <c:pt idx="31">
                  <c:v>2.7159524424995767E-3</c:v>
                </c:pt>
                <c:pt idx="32">
                  <c:v>7.4135012293443363E-3</c:v>
                </c:pt>
                <c:pt idx="33">
                  <c:v>6.5983016476376961E-4</c:v>
                </c:pt>
                <c:pt idx="34">
                  <c:v>2.6701135444450095E-3</c:v>
                </c:pt>
                <c:pt idx="35">
                  <c:v>0</c:v>
                </c:pt>
                <c:pt idx="36">
                  <c:v>1.0593176644186904E-3</c:v>
                </c:pt>
                <c:pt idx="37">
                  <c:v>3.3030319251591591E-4</c:v>
                </c:pt>
                <c:pt idx="38">
                  <c:v>1.5611623197402919E-4</c:v>
                </c:pt>
                <c:pt idx="39">
                  <c:v>0</c:v>
                </c:pt>
                <c:pt idx="40">
                  <c:v>0</c:v>
                </c:pt>
                <c:pt idx="41">
                  <c:v>3.8327735503089068E-3</c:v>
                </c:pt>
                <c:pt idx="42">
                  <c:v>4.4191224698133082E-4</c:v>
                </c:pt>
                <c:pt idx="43">
                  <c:v>3.4071288695450779E-4</c:v>
                </c:pt>
                <c:pt idx="44">
                  <c:v>0</c:v>
                </c:pt>
                <c:pt idx="45">
                  <c:v>0</c:v>
                </c:pt>
                <c:pt idx="46">
                  <c:v>4.0151282880834831E-4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0.10735430246461218</c:v>
                </c:pt>
                <c:pt idx="1">
                  <c:v>0.13095421761098469</c:v>
                </c:pt>
                <c:pt idx="2">
                  <c:v>0.13453639063524511</c:v>
                </c:pt>
                <c:pt idx="3">
                  <c:v>0.12728044123886295</c:v>
                </c:pt>
                <c:pt idx="4">
                  <c:v>9.6998302927450153E-2</c:v>
                </c:pt>
                <c:pt idx="5">
                  <c:v>7.4386739692212753E-2</c:v>
                </c:pt>
                <c:pt idx="6">
                  <c:v>5.7820997415821342E-2</c:v>
                </c:pt>
                <c:pt idx="7">
                  <c:v>4.276912099355884E-2</c:v>
                </c:pt>
                <c:pt idx="8">
                  <c:v>2.9698769622401356E-2</c:v>
                </c:pt>
                <c:pt idx="9">
                  <c:v>2.1227870559648244E-2</c:v>
                </c:pt>
                <c:pt idx="10">
                  <c:v>1.8320669572260577E-2</c:v>
                </c:pt>
                <c:pt idx="11">
                  <c:v>1.6175222740772169E-2</c:v>
                </c:pt>
                <c:pt idx="12">
                  <c:v>1.4940988159061981E-2</c:v>
                </c:pt>
                <c:pt idx="13">
                  <c:v>1.1821653102942878E-2</c:v>
                </c:pt>
                <c:pt idx="14">
                  <c:v>1.1103290006556871E-2</c:v>
                </c:pt>
                <c:pt idx="15">
                  <c:v>9.4110386855401698E-3</c:v>
                </c:pt>
                <c:pt idx="16">
                  <c:v>8.7505303351718289E-3</c:v>
                </c:pt>
                <c:pt idx="17">
                  <c:v>7.7959270258803563E-3</c:v>
                </c:pt>
                <c:pt idx="18">
                  <c:v>7.1980946503644849E-3</c:v>
                </c:pt>
                <c:pt idx="19">
                  <c:v>6.3929494349519809E-3</c:v>
                </c:pt>
                <c:pt idx="20">
                  <c:v>5.481737185173757E-3</c:v>
                </c:pt>
                <c:pt idx="21">
                  <c:v>6.2386701122382074E-3</c:v>
                </c:pt>
                <c:pt idx="22">
                  <c:v>4.8067651483009993E-3</c:v>
                </c:pt>
                <c:pt idx="23">
                  <c:v>4.5801673930651442E-3</c:v>
                </c:pt>
                <c:pt idx="24">
                  <c:v>4.2908936629768198E-3</c:v>
                </c:pt>
                <c:pt idx="25">
                  <c:v>3.9485864157056353E-3</c:v>
                </c:pt>
                <c:pt idx="26">
                  <c:v>3.2012959463107956E-3</c:v>
                </c:pt>
                <c:pt idx="27">
                  <c:v>3.0952289119450765E-3</c:v>
                </c:pt>
                <c:pt idx="28">
                  <c:v>2.7818490376827244E-3</c:v>
                </c:pt>
                <c:pt idx="29">
                  <c:v>2.4009719597330968E-3</c:v>
                </c:pt>
                <c:pt idx="30">
                  <c:v>2.0779496278011339E-3</c:v>
                </c:pt>
                <c:pt idx="31">
                  <c:v>2.0008099664442472E-3</c:v>
                </c:pt>
                <c:pt idx="32">
                  <c:v>1.788675897712809E-3</c:v>
                </c:pt>
                <c:pt idx="33">
                  <c:v>1.6874300921818953E-3</c:v>
                </c:pt>
                <c:pt idx="34">
                  <c:v>1.5572569136421491E-3</c:v>
                </c:pt>
                <c:pt idx="35">
                  <c:v>1.195664751031743E-3</c:v>
                </c:pt>
                <c:pt idx="36">
                  <c:v>1.0751340301616075E-3</c:v>
                </c:pt>
                <c:pt idx="37">
                  <c:v>1.1281675473444671E-3</c:v>
                </c:pt>
                <c:pt idx="38">
                  <c:v>8.9192733443900182E-4</c:v>
                </c:pt>
                <c:pt idx="39">
                  <c:v>7.2318432522081228E-4</c:v>
                </c:pt>
                <c:pt idx="40">
                  <c:v>6.9425695221197981E-4</c:v>
                </c:pt>
                <c:pt idx="41">
                  <c:v>5.8336868901145522E-4</c:v>
                </c:pt>
                <c:pt idx="42">
                  <c:v>5.1587148532417939E-4</c:v>
                </c:pt>
                <c:pt idx="43">
                  <c:v>3.4712847610598991E-4</c:v>
                </c:pt>
                <c:pt idx="44">
                  <c:v>4.3391059513248737E-4</c:v>
                </c:pt>
                <c:pt idx="45">
                  <c:v>3.9051953561923861E-4</c:v>
                </c:pt>
                <c:pt idx="46">
                  <c:v>4.8212288348054152E-4</c:v>
                </c:pt>
                <c:pt idx="47">
                  <c:v>2.8445250125351952E-4</c:v>
                </c:pt>
                <c:pt idx="48">
                  <c:v>2.0731283989663284E-4</c:v>
                </c:pt>
                <c:pt idx="49">
                  <c:v>1.7838546688780037E-4</c:v>
                </c:pt>
                <c:pt idx="50">
                  <c:v>2.6998881474910323E-4</c:v>
                </c:pt>
                <c:pt idx="51">
                  <c:v>1.5910055154857869E-4</c:v>
                </c:pt>
                <c:pt idx="52">
                  <c:v>4.1462567979326569E-4</c:v>
                </c:pt>
                <c:pt idx="53">
                  <c:v>2.0249161106182745E-4</c:v>
                </c:pt>
                <c:pt idx="54">
                  <c:v>1.4945809387896788E-4</c:v>
                </c:pt>
                <c:pt idx="55">
                  <c:v>7.2318432522081228E-5</c:v>
                </c:pt>
                <c:pt idx="56">
                  <c:v>2.2177652640104911E-4</c:v>
                </c:pt>
                <c:pt idx="57">
                  <c:v>2.8927373008832491E-4</c:v>
                </c:pt>
                <c:pt idx="58">
                  <c:v>1.0606703436571913E-4</c:v>
                </c:pt>
                <c:pt idx="59">
                  <c:v>1.0124580553091373E-4</c:v>
                </c:pt>
                <c:pt idx="60">
                  <c:v>1.253519497049408E-4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1.2165054571739574E-2</c:v>
                </c:pt>
                <c:pt idx="3">
                  <c:v>8.2178941290283761E-2</c:v>
                </c:pt>
                <c:pt idx="4">
                  <c:v>5.2322169621454598E-2</c:v>
                </c:pt>
                <c:pt idx="5">
                  <c:v>6.6991878946879538E-2</c:v>
                </c:pt>
                <c:pt idx="6">
                  <c:v>4.7302556259512588E-2</c:v>
                </c:pt>
                <c:pt idx="7">
                  <c:v>7.5480285800322539E-2</c:v>
                </c:pt>
                <c:pt idx="8">
                  <c:v>5.770953641964132E-2</c:v>
                </c:pt>
                <c:pt idx="9">
                  <c:v>8.6800129886554139E-2</c:v>
                </c:pt>
                <c:pt idx="10">
                  <c:v>4.0641560146222708E-2</c:v>
                </c:pt>
                <c:pt idx="11">
                  <c:v>6.0010595127268869E-2</c:v>
                </c:pt>
                <c:pt idx="12">
                  <c:v>4.5957442462091304E-2</c:v>
                </c:pt>
                <c:pt idx="13">
                  <c:v>3.9570722986859597E-2</c:v>
                </c:pt>
                <c:pt idx="14">
                  <c:v>2.4545002373076125E-2</c:v>
                </c:pt>
                <c:pt idx="15">
                  <c:v>1.3115625124977002E-2</c:v>
                </c:pt>
                <c:pt idx="16">
                  <c:v>3.1008897524845442E-2</c:v>
                </c:pt>
                <c:pt idx="17">
                  <c:v>2.5886400677420915E-2</c:v>
                </c:pt>
                <c:pt idx="18">
                  <c:v>3.1963601959739338E-2</c:v>
                </c:pt>
                <c:pt idx="19">
                  <c:v>1.9271338510302567E-2</c:v>
                </c:pt>
                <c:pt idx="20">
                  <c:v>7.4222325158361047E-3</c:v>
                </c:pt>
                <c:pt idx="21">
                  <c:v>7.9763858125958109E-3</c:v>
                </c:pt>
                <c:pt idx="22">
                  <c:v>9.9554319598346395E-3</c:v>
                </c:pt>
                <c:pt idx="23">
                  <c:v>7.1004082832752426E-3</c:v>
                </c:pt>
                <c:pt idx="24">
                  <c:v>1.7194276544520076E-2</c:v>
                </c:pt>
                <c:pt idx="25">
                  <c:v>1.1185678193357506E-2</c:v>
                </c:pt>
                <c:pt idx="26">
                  <c:v>1.7465392841535483E-2</c:v>
                </c:pt>
                <c:pt idx="27">
                  <c:v>1.0751766139672264E-2</c:v>
                </c:pt>
                <c:pt idx="28">
                  <c:v>4.2529999296159176E-3</c:v>
                </c:pt>
                <c:pt idx="29">
                  <c:v>4.323810749643755E-3</c:v>
                </c:pt>
                <c:pt idx="30">
                  <c:v>1.2214488954313863E-2</c:v>
                </c:pt>
                <c:pt idx="31">
                  <c:v>1.0430156256463647E-2</c:v>
                </c:pt>
                <c:pt idx="32">
                  <c:v>1.8616229123932955E-3</c:v>
                </c:pt>
                <c:pt idx="33">
                  <c:v>6.4716656343476158E-3</c:v>
                </c:pt>
                <c:pt idx="34">
                  <c:v>1.5380554608988364E-3</c:v>
                </c:pt>
                <c:pt idx="35">
                  <c:v>2.4254431822238612E-3</c:v>
                </c:pt>
                <c:pt idx="36">
                  <c:v>1.6830575469580879E-3</c:v>
                </c:pt>
                <c:pt idx="37">
                  <c:v>2.4005244699045339E-3</c:v>
                </c:pt>
                <c:pt idx="38">
                  <c:v>3.1185842332050392E-3</c:v>
                </c:pt>
                <c:pt idx="39">
                  <c:v>4.8606478802050556E-3</c:v>
                </c:pt>
                <c:pt idx="40">
                  <c:v>2.283396521030392E-3</c:v>
                </c:pt>
                <c:pt idx="41">
                  <c:v>2.3636955371259061E-3</c:v>
                </c:pt>
                <c:pt idx="42">
                  <c:v>0</c:v>
                </c:pt>
                <c:pt idx="43">
                  <c:v>2.6091529947533166E-3</c:v>
                </c:pt>
                <c:pt idx="44">
                  <c:v>1.7352089088881899E-4</c:v>
                </c:pt>
                <c:pt idx="45">
                  <c:v>1.4458658958411521E-4</c:v>
                </c:pt>
                <c:pt idx="46">
                  <c:v>1.6966618375188255E-3</c:v>
                </c:pt>
                <c:pt idx="47">
                  <c:v>5.6992038733031682E-4</c:v>
                </c:pt>
                <c:pt idx="48">
                  <c:v>5.5874631335944825E-4</c:v>
                </c:pt>
                <c:pt idx="49">
                  <c:v>4.5227914398643636E-3</c:v>
                </c:pt>
                <c:pt idx="50">
                  <c:v>5.2228796455664724E-3</c:v>
                </c:pt>
                <c:pt idx="51">
                  <c:v>0</c:v>
                </c:pt>
                <c:pt idx="52">
                  <c:v>0</c:v>
                </c:pt>
                <c:pt idx="53">
                  <c:v>1.6083978704537997E-3</c:v>
                </c:pt>
                <c:pt idx="54">
                  <c:v>6.2650674685425583E-4</c:v>
                </c:pt>
                <c:pt idx="55">
                  <c:v>0</c:v>
                </c:pt>
                <c:pt idx="56">
                  <c:v>1.8828991293147151E-3</c:v>
                </c:pt>
                <c:pt idx="57">
                  <c:v>0</c:v>
                </c:pt>
                <c:pt idx="58">
                  <c:v>2.95370229734004E-4</c:v>
                </c:pt>
                <c:pt idx="59">
                  <c:v>4.7278700103529749E-3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3.1034250009642456E-2</c:v>
                </c:pt>
                <c:pt idx="1">
                  <c:v>1.9135457245342692E-2</c:v>
                </c:pt>
                <c:pt idx="2">
                  <c:v>1.462760828479963E-2</c:v>
                </c:pt>
                <c:pt idx="3">
                  <c:v>2.1994445944382303E-2</c:v>
                </c:pt>
                <c:pt idx="4">
                  <c:v>3.6409920160450499E-2</c:v>
                </c:pt>
                <c:pt idx="5">
                  <c:v>5.1678751880279247E-2</c:v>
                </c:pt>
                <c:pt idx="6">
                  <c:v>6.287364523469742E-2</c:v>
                </c:pt>
                <c:pt idx="7">
                  <c:v>6.7169360126509051E-2</c:v>
                </c:pt>
                <c:pt idx="8">
                  <c:v>6.7236857330196326E-2</c:v>
                </c:pt>
                <c:pt idx="9">
                  <c:v>6.473946079376712E-2</c:v>
                </c:pt>
                <c:pt idx="10">
                  <c:v>5.7994561653874337E-2</c:v>
                </c:pt>
                <c:pt idx="11">
                  <c:v>5.3713310448567128E-2</c:v>
                </c:pt>
                <c:pt idx="12">
                  <c:v>4.8670305087360664E-2</c:v>
                </c:pt>
                <c:pt idx="13">
                  <c:v>4.2031472981833608E-2</c:v>
                </c:pt>
                <c:pt idx="14">
                  <c:v>3.7065607281984034E-2</c:v>
                </c:pt>
                <c:pt idx="15">
                  <c:v>3.1550121494966638E-2</c:v>
                </c:pt>
                <c:pt idx="16">
                  <c:v>2.762564122343503E-2</c:v>
                </c:pt>
                <c:pt idx="17">
                  <c:v>2.3011725228526247E-2</c:v>
                </c:pt>
                <c:pt idx="18">
                  <c:v>1.975739576503259E-2</c:v>
                </c:pt>
                <c:pt idx="19">
                  <c:v>1.8282099741582136E-2</c:v>
                </c:pt>
                <c:pt idx="20">
                  <c:v>1.5452038415551355E-2</c:v>
                </c:pt>
                <c:pt idx="21">
                  <c:v>1.3918887646083233E-2</c:v>
                </c:pt>
                <c:pt idx="22">
                  <c:v>1.2298954757588614E-2</c:v>
                </c:pt>
                <c:pt idx="23">
                  <c:v>1.0679021869093995E-2</c:v>
                </c:pt>
                <c:pt idx="24">
                  <c:v>9.8690554248466855E-3</c:v>
                </c:pt>
                <c:pt idx="25">
                  <c:v>9.3387202530180891E-3</c:v>
                </c:pt>
                <c:pt idx="26">
                  <c:v>8.818027538859104E-3</c:v>
                </c:pt>
                <c:pt idx="27">
                  <c:v>8.4371504609094764E-3</c:v>
                </c:pt>
                <c:pt idx="28">
                  <c:v>7.2993404558953983E-3</c:v>
                </c:pt>
                <c:pt idx="29">
                  <c:v>6.8316812589192732E-3</c:v>
                </c:pt>
                <c:pt idx="30">
                  <c:v>6.0072511281675477E-3</c:v>
                </c:pt>
                <c:pt idx="31">
                  <c:v>5.6890500250703895E-3</c:v>
                </c:pt>
                <c:pt idx="32">
                  <c:v>5.4962008716781729E-3</c:v>
                </c:pt>
                <c:pt idx="33">
                  <c:v>5.1828209974158213E-3</c:v>
                </c:pt>
                <c:pt idx="34">
                  <c:v>4.382497010838122E-3</c:v>
                </c:pt>
                <c:pt idx="35">
                  <c:v>4.0546534500713544E-3</c:v>
                </c:pt>
                <c:pt idx="36">
                  <c:v>4.020904848227716E-3</c:v>
                </c:pt>
                <c:pt idx="37">
                  <c:v>3.6930612874609479E-3</c:v>
                </c:pt>
                <c:pt idx="38">
                  <c:v>3.3796814131985963E-3</c:v>
                </c:pt>
                <c:pt idx="39">
                  <c:v>3.2398657769892392E-3</c:v>
                </c:pt>
                <c:pt idx="40">
                  <c:v>2.6757820033170053E-3</c:v>
                </c:pt>
                <c:pt idx="41">
                  <c:v>2.7432792070042813E-3</c:v>
                </c:pt>
                <c:pt idx="42">
                  <c:v>2.5070389940988159E-3</c:v>
                </c:pt>
                <c:pt idx="43">
                  <c:v>2.3431172137154317E-3</c:v>
                </c:pt>
                <c:pt idx="44">
                  <c:v>2.0345585682878852E-3</c:v>
                </c:pt>
                <c:pt idx="45">
                  <c:v>1.8417094148956686E-3</c:v>
                </c:pt>
                <c:pt idx="46">
                  <c:v>1.6392178038338412E-3</c:v>
                </c:pt>
                <c:pt idx="47">
                  <c:v>1.8561731014000848E-3</c:v>
                </c:pt>
                <c:pt idx="48">
                  <c:v>1.5524356848073437E-3</c:v>
                </c:pt>
                <c:pt idx="49">
                  <c:v>1.4608323369460407E-3</c:v>
                </c:pt>
                <c:pt idx="50">
                  <c:v>1.3017317853974621E-3</c:v>
                </c:pt>
                <c:pt idx="51">
                  <c:v>1.2245921240405754E-3</c:v>
                </c:pt>
                <c:pt idx="52">
                  <c:v>1.161916149188105E-3</c:v>
                </c:pt>
                <c:pt idx="53">
                  <c:v>1.0751340301616075E-3</c:v>
                </c:pt>
                <c:pt idx="54">
                  <c:v>1.1040614031704401E-3</c:v>
                </c:pt>
                <c:pt idx="55">
                  <c:v>9.3531839395225057E-4</c:v>
                </c:pt>
                <c:pt idx="56">
                  <c:v>9.112122497782235E-4</c:v>
                </c:pt>
                <c:pt idx="57">
                  <c:v>8.4853627492575306E-4</c:v>
                </c:pt>
                <c:pt idx="58">
                  <c:v>7.5693292706445015E-4</c:v>
                </c:pt>
                <c:pt idx="59">
                  <c:v>6.4604466386392566E-4</c:v>
                </c:pt>
                <c:pt idx="60">
                  <c:v>6.9907818104678521E-4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tabSelected="1" workbookViewId="0">
      <selection activeCell="G11" sqref="G11"/>
    </sheetView>
  </sheetViews>
  <sheetFormatPr defaultRowHeight="14.25" x14ac:dyDescent="0.45"/>
  <cols>
    <col min="1" max="1" customWidth="true" width="13.59765625" collapsed="true"/>
    <col min="2" max="2" bestFit="true" customWidth="true" width="11.59765625" collapsed="true"/>
    <col min="6" max="6" bestFit="true" customWidth="true" width="11.597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4" t="s">
        <v>34</v>
      </c>
      <c r="B9" s="1"/>
      <c r="E9" s="4" t="s">
        <v>10</v>
      </c>
      <c r="F9" s="1"/>
      <c r="J9" s="9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288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57" t="n">
        <v>21026.006861992355</v>
      </c>
      <c r="C11" s="10">
        <f>B11/B$102</f>
        <v>8.6964371519967665E-2</v>
      </c>
      <c r="D11" s="91"/>
      <c r="E11" s="17">
        <v>0</v>
      </c>
      <c r="F11" s="59" t="n">
        <v>22288.0</v>
      </c>
      <c r="G11" s="10">
        <f>F11/F$102</f>
        <v>0.10735430246461218</v>
      </c>
      <c r="H11" s="91"/>
      <c r="K11" s="7" t="n">
        <v>6.244961953524343</v>
      </c>
      <c r="L11" s="7" t="n">
        <v>6.661274737400696</v>
      </c>
    </row>
    <row r="12" spans="1:12" x14ac:dyDescent="0.45">
      <c r="A12">
        <v>1</v>
      </c>
      <c r="B12" s="57" t="n">
        <v>35989.758931562654</v>
      </c>
      <c r="C12" s="10">
        <f>B12/B$102</f>
        <v>0.14885502450282742</v>
      </c>
      <c r="D12" s="91"/>
      <c r="E12" s="17">
        <v>1</v>
      </c>
      <c r="F12" s="59" t="n">
        <v>27145.0</v>
      </c>
      <c r="G12" s="10">
        <f>F12/F$102</f>
        <v>0.13095421761098469</v>
      </c>
      <c r="H12" s="91"/>
      <c r="K12" s="7"/>
      <c r="L12" s="17"/>
    </row>
    <row r="13" spans="1:12" x14ac:dyDescent="0.45">
      <c r="A13">
        <v>2</v>
      </c>
      <c r="B13" s="57" t="n">
        <v>32164.4531258907</v>
      </c>
      <c r="C13" s="10">
        <f ref="C13:C76" si="0" t="shared">B13/B$102</f>
        <v>0.13303341284610876</v>
      </c>
      <c r="D13" s="91"/>
      <c r="E13" s="17">
        <v>2</v>
      </c>
      <c r="F13" s="59" t="n">
        <v>27564.0</v>
      </c>
      <c r="G13" s="10">
        <f ref="G13:G76" si="1" t="shared">F13/F$102</f>
        <v>0.13453639063524511</v>
      </c>
      <c r="H13" s="91"/>
    </row>
    <row r="14" spans="1:12" x14ac:dyDescent="0.45">
      <c r="A14">
        <v>3</v>
      </c>
      <c r="B14" s="57" t="n">
        <v>28719.530790411758</v>
      </c>
      <c r="C14" s="10">
        <f si="0" t="shared"/>
        <v>0.11878508182413181</v>
      </c>
      <c r="D14" s="91"/>
      <c r="E14" s="17">
        <v>3</v>
      </c>
      <c r="F14" s="59" t="n">
        <v>26627.0</v>
      </c>
      <c r="G14" s="10">
        <f si="1" t="shared"/>
        <v>0.12728044123886295</v>
      </c>
      <c r="H14" s="91"/>
    </row>
    <row r="15" spans="1:12" x14ac:dyDescent="0.45">
      <c r="A15">
        <v>4</v>
      </c>
      <c r="B15" s="57" t="n">
        <v>23443.601883559306</v>
      </c>
      <c r="C15" s="10">
        <f si="0" t="shared"/>
        <v>9.6963637334934238E-2</v>
      </c>
      <c r="D15" s="91"/>
      <c r="E15" s="17">
        <v>4</v>
      </c>
      <c r="F15" s="59" t="n">
        <v>20157.0</v>
      </c>
      <c r="G15" s="10">
        <f si="1" t="shared"/>
        <v>9.6998302927450153E-2</v>
      </c>
      <c r="H15" s="91"/>
    </row>
    <row r="16" spans="1:12" x14ac:dyDescent="0.45">
      <c r="A16">
        <v>5</v>
      </c>
      <c r="B16" s="57" t="n">
        <v>13930.710230612065</v>
      </c>
      <c r="C16" s="10">
        <f si="0" t="shared"/>
        <v>5.7617952280890991E-2</v>
      </c>
      <c r="D16" s="91"/>
      <c r="E16" s="17">
        <v>5</v>
      </c>
      <c r="F16" s="59" t="n">
        <v>15858.0</v>
      </c>
      <c r="G16" s="10">
        <f si="1" t="shared"/>
        <v>7.4386739692212753E-2</v>
      </c>
      <c r="H16" s="91"/>
    </row>
    <row r="17" spans="1:8" x14ac:dyDescent="0.45">
      <c r="A17">
        <v>6</v>
      </c>
      <c r="B17" s="57" t="n">
        <v>17203.795530565883</v>
      </c>
      <c r="C17" s="10">
        <f si="0" t="shared"/>
        <v>7.1155558727517873E-2</v>
      </c>
      <c r="D17" s="91"/>
      <c r="E17" s="17">
        <v>6</v>
      </c>
      <c r="F17" s="59" t="n">
        <v>12133.0</v>
      </c>
      <c r="G17" s="10">
        <f si="1" t="shared"/>
        <v>5.7820997415821342E-2</v>
      </c>
      <c r="H17" s="91"/>
    </row>
    <row r="18" spans="1:8" x14ac:dyDescent="0.45">
      <c r="A18">
        <v>7</v>
      </c>
      <c r="B18" s="57" t="n">
        <v>8352.508753620954</v>
      </c>
      <c r="C18" s="10">
        <f si="0" t="shared"/>
        <v>3.4546296838069528E-2</v>
      </c>
      <c r="D18" s="91"/>
      <c r="E18" s="17">
        <v>7</v>
      </c>
      <c r="F18" s="59" t="n">
        <v>8794.0</v>
      </c>
      <c r="G18" s="10">
        <f si="1" t="shared"/>
        <v>4.276912099355884E-2</v>
      </c>
      <c r="H18" s="91"/>
    </row>
    <row r="19" spans="1:8" x14ac:dyDescent="0.45">
      <c r="A19">
        <v>8</v>
      </c>
      <c r="B19" s="57" t="n">
        <v>12272.719231563953</v>
      </c>
      <c r="C19" s="10">
        <f si="0" t="shared"/>
        <v>5.0760437862467575E-2</v>
      </c>
      <c r="D19" s="91"/>
      <c r="E19" s="17">
        <v>8</v>
      </c>
      <c r="F19" s="59" t="n">
        <v>6090.0</v>
      </c>
      <c r="G19" s="10">
        <f si="1" t="shared"/>
        <v>2.9698769622401356E-2</v>
      </c>
      <c r="H19" s="91"/>
    </row>
    <row r="20" spans="1:8" x14ac:dyDescent="0.45">
      <c r="A20">
        <v>9</v>
      </c>
      <c r="B20" s="57" t="n">
        <v>3843.0514025766665</v>
      </c>
      <c r="C20" s="10">
        <f si="0" t="shared"/>
        <v>1.5895008126728137E-2</v>
      </c>
      <c r="D20" s="91"/>
      <c r="E20" s="17">
        <v>9</v>
      </c>
      <c r="F20" s="59" t="n">
        <v>4384.0</v>
      </c>
      <c r="G20" s="10">
        <f si="1" t="shared"/>
        <v>2.1227870559648244E-2</v>
      </c>
      <c r="H20" s="91"/>
    </row>
    <row r="21" spans="1:8" x14ac:dyDescent="0.45">
      <c r="A21">
        <v>10</v>
      </c>
      <c r="B21" s="57" t="n">
        <v>7794.8810775704</v>
      </c>
      <c r="C21" s="10">
        <f si="0" t="shared"/>
        <v>3.2239927363914345E-2</v>
      </c>
      <c r="D21" s="91"/>
      <c r="E21" s="17">
        <v>10</v>
      </c>
      <c r="F21" s="59" t="n">
        <v>3844.0</v>
      </c>
      <c r="G21" s="10">
        <f si="1" t="shared"/>
        <v>1.8320669572260577E-2</v>
      </c>
      <c r="H21" s="91"/>
    </row>
    <row r="22" spans="1:8" x14ac:dyDescent="0.45">
      <c r="A22">
        <v>11</v>
      </c>
      <c r="B22" s="57" t="n">
        <v>3924.4648902430067</v>
      </c>
      <c r="C22" s="10">
        <f si="0" t="shared"/>
        <v>1.623173743698772E-2</v>
      </c>
      <c r="D22" s="91"/>
      <c r="E22" s="17">
        <v>11</v>
      </c>
      <c r="F22" s="59" t="n">
        <v>3296.0</v>
      </c>
      <c r="G22" s="10">
        <f si="1" t="shared"/>
        <v>1.6175222740772169E-2</v>
      </c>
      <c r="H22" s="91"/>
    </row>
    <row r="23" spans="1:8" x14ac:dyDescent="0.45">
      <c r="A23">
        <v>12</v>
      </c>
      <c r="B23" s="57" t="n">
        <v>5090.479048596375</v>
      </c>
      <c r="C23" s="10">
        <f si="0" t="shared"/>
        <v>2.1054416756468176E-2</v>
      </c>
      <c r="D23" s="91"/>
      <c r="E23" s="17">
        <v>12</v>
      </c>
      <c r="F23" s="59" t="n">
        <v>3109.0</v>
      </c>
      <c r="G23" s="10">
        <f si="1" t="shared"/>
        <v>1.4940988159061981E-2</v>
      </c>
      <c r="H23" s="91"/>
    </row>
    <row r="24" spans="1:8" x14ac:dyDescent="0.45">
      <c r="A24">
        <v>13</v>
      </c>
      <c r="B24" s="57" t="n">
        <v>5321.2452779349915</v>
      </c>
      <c r="C24" s="10">
        <f si="0" t="shared"/>
        <v>2.2008874739583469E-2</v>
      </c>
      <c r="D24" s="91"/>
      <c r="E24" s="17">
        <v>13</v>
      </c>
      <c r="F24" s="59" t="n">
        <v>2442.0</v>
      </c>
      <c r="G24" s="10">
        <f si="1" t="shared"/>
        <v>1.1821653102942878E-2</v>
      </c>
      <c r="H24" s="91"/>
    </row>
    <row r="25" spans="1:8" x14ac:dyDescent="0.45">
      <c r="A25">
        <v>14</v>
      </c>
      <c r="B25" s="57" t="n">
        <v>3406.7852437367906</v>
      </c>
      <c r="C25" s="10">
        <f si="0" t="shared"/>
        <v>1.4090594546538467E-2</v>
      </c>
      <c r="D25" s="91"/>
      <c r="E25" s="17">
        <v>14</v>
      </c>
      <c r="F25" s="59" t="n">
        <v>2277.0</v>
      </c>
      <c r="G25" s="10">
        <f si="1" t="shared"/>
        <v>1.1103290006556871E-2</v>
      </c>
      <c r="H25" s="91"/>
    </row>
    <row r="26" spans="1:8" x14ac:dyDescent="0.45">
      <c r="A26">
        <v>15</v>
      </c>
      <c r="B26" s="57" t="n">
        <v>2766.872457553418</v>
      </c>
      <c r="C26" s="10">
        <f si="0" t="shared"/>
        <v>1.144389069814282E-2</v>
      </c>
      <c r="D26" s="91"/>
      <c r="E26" s="17">
        <v>15</v>
      </c>
      <c r="F26" s="59" t="n">
        <v>1909.0</v>
      </c>
      <c r="G26" s="10">
        <f si="1" t="shared"/>
        <v>9.4110386855401698E-3</v>
      </c>
      <c r="H26" s="91"/>
    </row>
    <row r="27" spans="1:8" x14ac:dyDescent="0.45">
      <c r="A27">
        <v>16</v>
      </c>
      <c r="B27" s="57" t="n">
        <v>1630.985708236254</v>
      </c>
      <c r="C27" s="10">
        <f si="0" t="shared"/>
        <v>6.7458194989562133E-3</v>
      </c>
      <c r="D27" s="91"/>
      <c r="E27" s="17">
        <v>16</v>
      </c>
      <c r="F27" s="59" t="n">
        <v>1830.0</v>
      </c>
      <c r="G27" s="10">
        <f si="1" t="shared"/>
        <v>8.7505303351718289E-3</v>
      </c>
      <c r="H27" s="91"/>
    </row>
    <row r="28" spans="1:8" x14ac:dyDescent="0.45">
      <c r="A28">
        <v>17</v>
      </c>
      <c r="B28" s="57" t="n">
        <v>1053.9098953099033</v>
      </c>
      <c r="C28" s="10">
        <f si="0" t="shared"/>
        <v>4.3590117841146737E-3</v>
      </c>
      <c r="D28" s="91"/>
      <c r="E28" s="17">
        <v>17</v>
      </c>
      <c r="F28" s="59" t="n">
        <v>1538.0</v>
      </c>
      <c r="G28" s="10">
        <f si="1" t="shared"/>
        <v>7.7959270258803563E-3</v>
      </c>
      <c r="H28" s="91"/>
    </row>
    <row r="29" spans="1:8" x14ac:dyDescent="0.45">
      <c r="A29">
        <v>18</v>
      </c>
      <c r="B29" s="57" t="n">
        <v>686.2546395185963</v>
      </c>
      <c r="C29" s="10">
        <f si="0" t="shared"/>
        <v>2.8383755327444824E-3</v>
      </c>
      <c r="D29" s="91"/>
      <c r="E29" s="17">
        <v>18</v>
      </c>
      <c r="F29" s="59" t="n">
        <v>1553.0</v>
      </c>
      <c r="G29" s="10">
        <f si="1" t="shared"/>
        <v>7.1980946503644849E-3</v>
      </c>
      <c r="H29" s="91"/>
    </row>
    <row r="30" spans="1:8" x14ac:dyDescent="0.45">
      <c r="A30">
        <v>19</v>
      </c>
      <c r="B30" s="57" t="n">
        <v>1101.2615922043121</v>
      </c>
      <c r="C30" s="10">
        <f si="0" t="shared"/>
        <v>4.5548602201898091E-3</v>
      </c>
      <c r="D30" s="91"/>
      <c r="E30" s="17">
        <v>19</v>
      </c>
      <c r="F30" s="59" t="n">
        <v>1348.0</v>
      </c>
      <c r="G30" s="10">
        <f si="1" t="shared"/>
        <v>6.3929494349519809E-3</v>
      </c>
      <c r="H30" s="91"/>
    </row>
    <row r="31" spans="1:8" x14ac:dyDescent="0.45">
      <c r="A31">
        <v>20</v>
      </c>
      <c r="B31" s="57" t="n">
        <v>1540.0573263247265</v>
      </c>
      <c r="C31" s="10">
        <f si="0" t="shared"/>
        <v>6.3697362208442101E-3</v>
      </c>
      <c r="D31" s="91"/>
      <c r="E31" s="17">
        <v>20</v>
      </c>
      <c r="F31" s="59" t="n">
        <v>1153.0</v>
      </c>
      <c r="G31" s="10">
        <f si="1" t="shared"/>
        <v>5.481737185173757E-3</v>
      </c>
      <c r="H31" s="91"/>
    </row>
    <row r="32" spans="1:8" x14ac:dyDescent="0.45">
      <c r="A32">
        <v>21</v>
      </c>
      <c r="B32" s="57" t="n">
        <v>315.8444220216911</v>
      </c>
      <c r="C32" s="10">
        <f si="0" t="shared"/>
        <v>1.3063446540034613E-3</v>
      </c>
      <c r="D32" s="91"/>
      <c r="E32" s="17">
        <v>21</v>
      </c>
      <c r="F32" s="59" t="n">
        <v>1216.0</v>
      </c>
      <c r="G32" s="10">
        <f si="1" t="shared"/>
        <v>6.2386701122382074E-3</v>
      </c>
      <c r="H32" s="91"/>
    </row>
    <row r="33" spans="1:8" x14ac:dyDescent="0.45">
      <c r="A33">
        <v>22</v>
      </c>
      <c r="B33" s="57" t="n">
        <v>1434.8415729768967</v>
      </c>
      <c r="C33" s="10">
        <f si="0" t="shared"/>
        <v>5.9345598260131978E-3</v>
      </c>
      <c r="D33" s="91"/>
      <c r="E33" s="17">
        <v>22</v>
      </c>
      <c r="F33" s="59" t="n">
        <v>1017.0</v>
      </c>
      <c r="G33" s="10">
        <f si="1" t="shared"/>
        <v>4.8067651483009993E-3</v>
      </c>
      <c r="H33" s="91"/>
    </row>
    <row r="34" spans="1:8" x14ac:dyDescent="0.45">
      <c r="A34">
        <v>23</v>
      </c>
      <c r="B34" s="57" t="n">
        <v>1554.524211236403</v>
      </c>
      <c r="C34" s="10">
        <f si="0" t="shared"/>
        <v>6.4295718121884634E-3</v>
      </c>
      <c r="D34" s="91"/>
      <c r="E34" s="17">
        <v>23</v>
      </c>
      <c r="F34" s="59" t="n">
        <v>945.0</v>
      </c>
      <c r="G34" s="10">
        <f si="1" t="shared"/>
        <v>4.5801673930651442E-3</v>
      </c>
      <c r="H34" s="91"/>
    </row>
    <row r="35" spans="1:8" x14ac:dyDescent="0.45">
      <c r="A35">
        <v>24</v>
      </c>
      <c r="B35" s="57" t="n">
        <v>1088.474990584856</v>
      </c>
      <c r="C35" s="10">
        <f si="0" t="shared"/>
        <v>4.5019743450442871E-3</v>
      </c>
      <c r="D35" s="91"/>
      <c r="E35" s="17">
        <v>24</v>
      </c>
      <c r="F35" s="59" t="n">
        <v>830.0</v>
      </c>
      <c r="G35" s="10">
        <f si="1" t="shared"/>
        <v>4.2908936629768198E-3</v>
      </c>
      <c r="H35" s="91"/>
    </row>
    <row r="36" spans="1:8" x14ac:dyDescent="0.45">
      <c r="A36">
        <v>25</v>
      </c>
      <c r="B36" s="57" t="n">
        <v>355.50364709464657</v>
      </c>
      <c r="C36" s="10">
        <f si="0" t="shared"/>
        <v>1.4703767313292318E-3</v>
      </c>
      <c r="D36" s="91"/>
      <c r="E36" s="17">
        <v>25</v>
      </c>
      <c r="F36" s="59" t="n">
        <v>833.0</v>
      </c>
      <c r="G36" s="10">
        <f si="1" t="shared"/>
        <v>3.9485864157056353E-3</v>
      </c>
      <c r="H36" s="91"/>
    </row>
    <row r="37" spans="1:8" x14ac:dyDescent="0.45">
      <c r="A37">
        <v>26</v>
      </c>
      <c r="B37" s="57" t="n">
        <v>416.7124977516738</v>
      </c>
      <c r="C37" s="10">
        <f si="0" t="shared"/>
        <v>1.7235388873099774E-3</v>
      </c>
      <c r="D37" s="91"/>
      <c r="E37" s="17">
        <v>26</v>
      </c>
      <c r="F37" s="59" t="n">
        <v>685.0</v>
      </c>
      <c r="G37" s="10">
        <f si="1" t="shared"/>
        <v>3.2012959463107956E-3</v>
      </c>
      <c r="H37" s="91"/>
    </row>
    <row r="38" spans="1:8" x14ac:dyDescent="0.45">
      <c r="A38">
        <v>27</v>
      </c>
      <c r="B38" s="57" t="n">
        <v>121.969598824406</v>
      </c>
      <c r="C38" s="10">
        <f si="0" t="shared"/>
        <v>5.0447094286270818E-4</v>
      </c>
      <c r="D38" s="91"/>
      <c r="E38" s="17">
        <v>27</v>
      </c>
      <c r="F38" s="59" t="n">
        <v>645.0</v>
      </c>
      <c r="G38" s="10">
        <f si="1" t="shared"/>
        <v>3.0952289119450765E-3</v>
      </c>
      <c r="H38" s="91"/>
    </row>
    <row r="39" spans="1:8" x14ac:dyDescent="0.45">
      <c r="A39">
        <v>28</v>
      </c>
      <c r="B39" s="57" t="n">
        <v>313.7591590662686</v>
      </c>
      <c r="C39" s="10">
        <f si="0" t="shared"/>
        <v>1.2977199263715115E-3</v>
      </c>
      <c r="D39" s="91"/>
      <c r="E39" s="17">
        <v>28</v>
      </c>
      <c r="F39" s="59" t="n">
        <v>562.0</v>
      </c>
      <c r="G39" s="10">
        <f si="1" t="shared"/>
        <v>2.7818490376827244E-3</v>
      </c>
      <c r="H39" s="91"/>
    </row>
    <row r="40" spans="1:8" x14ac:dyDescent="0.45">
      <c r="A40">
        <v>29</v>
      </c>
      <c r="B40" s="57" t="n">
        <v>71.4138027869201</v>
      </c>
      <c r="C40" s="10">
        <f si="0" t="shared"/>
        <v>2.9537022973400378E-4</v>
      </c>
      <c r="D40" s="91"/>
      <c r="E40" s="17">
        <v>29</v>
      </c>
      <c r="F40" s="59" t="n">
        <v>459.0</v>
      </c>
      <c r="G40" s="10">
        <f si="1" t="shared"/>
        <v>2.4009719597330968E-3</v>
      </c>
      <c r="H40" s="91"/>
    </row>
    <row r="41" spans="1:8" x14ac:dyDescent="0.45">
      <c r="A41">
        <v>30</v>
      </c>
      <c r="B41" s="57" t="n">
        <v>0.0</v>
      </c>
      <c r="C41" s="10">
        <f si="0" t="shared"/>
        <v>0</v>
      </c>
      <c r="D41" s="91"/>
      <c r="E41" s="17">
        <v>30</v>
      </c>
      <c r="F41" s="59" t="n">
        <v>425.0</v>
      </c>
      <c r="G41" s="10">
        <f si="1" t="shared"/>
        <v>2.0779496278011339E-3</v>
      </c>
      <c r="H41" s="91"/>
    </row>
    <row r="42" spans="1:8" x14ac:dyDescent="0.45">
      <c r="A42">
        <v>31</v>
      </c>
      <c r="B42" s="57" t="n">
        <v>656.6555210455251</v>
      </c>
      <c r="C42" s="10">
        <f si="0" t="shared"/>
        <v>2.7159524424995767E-3</v>
      </c>
      <c r="D42" s="91"/>
      <c r="E42" s="17">
        <v>31</v>
      </c>
      <c r="F42" s="59" t="n">
        <v>457.0</v>
      </c>
      <c r="G42" s="10">
        <f si="1" t="shared"/>
        <v>2.0008099664442472E-3</v>
      </c>
      <c r="H42" s="91"/>
    </row>
    <row r="43" spans="1:8" x14ac:dyDescent="0.45">
      <c r="A43">
        <v>32</v>
      </c>
      <c r="B43" s="57" t="n">
        <v>1792.415962941702</v>
      </c>
      <c r="C43" s="10">
        <f si="0" t="shared"/>
        <v>7.4135012293443363E-3</v>
      </c>
      <c r="D43" s="91"/>
      <c r="E43" s="17">
        <v>32</v>
      </c>
      <c r="F43" s="59" t="n">
        <v>350.0</v>
      </c>
      <c r="G43" s="10">
        <f si="1" t="shared"/>
        <v>1.788675897712809E-3</v>
      </c>
      <c r="H43" s="91"/>
    </row>
    <row r="44" spans="1:8" x14ac:dyDescent="0.45">
      <c r="A44">
        <v>33</v>
      </c>
      <c r="B44" s="57" t="n">
        <v>159.53192473640868</v>
      </c>
      <c r="C44" s="10">
        <f si="0" t="shared"/>
        <v>6.5983016476376961E-4</v>
      </c>
      <c r="D44" s="91"/>
      <c r="E44" s="17">
        <v>33</v>
      </c>
      <c r="F44" s="59" t="n">
        <v>347.0</v>
      </c>
      <c r="G44" s="10">
        <f si="1" t="shared"/>
        <v>1.6874300921818953E-3</v>
      </c>
      <c r="H44" s="91"/>
    </row>
    <row r="45" spans="1:8" x14ac:dyDescent="0.45">
      <c r="A45">
        <v>34</v>
      </c>
      <c r="B45" s="57" t="n">
        <v>645.572718189643</v>
      </c>
      <c r="C45" s="10">
        <f si="0" t="shared"/>
        <v>2.6701135444450095E-3</v>
      </c>
      <c r="D45" s="91"/>
      <c r="E45" s="17">
        <v>34</v>
      </c>
      <c r="F45" s="59" t="n">
        <v>304.0</v>
      </c>
      <c r="G45" s="10">
        <f si="1" t="shared"/>
        <v>1.5572569136421491E-3</v>
      </c>
      <c r="H45" s="91"/>
    </row>
    <row r="46" spans="1:8" x14ac:dyDescent="0.45">
      <c r="A46">
        <v>35</v>
      </c>
      <c r="B46" s="57" t="n">
        <v>0.0</v>
      </c>
      <c r="C46" s="10">
        <f si="0" t="shared"/>
        <v>0</v>
      </c>
      <c r="D46" s="91"/>
      <c r="E46" s="17">
        <v>35</v>
      </c>
      <c r="F46" s="59" t="n">
        <v>254.0</v>
      </c>
      <c r="G46" s="10">
        <f si="1" t="shared"/>
        <v>1.195664751031743E-3</v>
      </c>
      <c r="H46" s="91"/>
    </row>
    <row r="47" spans="1:8" x14ac:dyDescent="0.45">
      <c r="A47">
        <v>36</v>
      </c>
      <c r="B47" s="57" t="n">
        <v>256.118915043076</v>
      </c>
      <c r="C47" s="10">
        <f si="0" t="shared"/>
        <v>1.0593176644186904E-3</v>
      </c>
      <c r="D47" s="91"/>
      <c r="E47" s="17">
        <v>36</v>
      </c>
      <c r="F47" s="59" t="n">
        <v>212.0</v>
      </c>
      <c r="G47" s="10">
        <f si="1" t="shared"/>
        <v>1.0751340301616075E-3</v>
      </c>
      <c r="H47" s="91"/>
    </row>
    <row r="48" spans="1:8" x14ac:dyDescent="0.45">
      <c r="A48">
        <v>37</v>
      </c>
      <c r="B48" s="57" t="n">
        <v>79.8597985703032</v>
      </c>
      <c r="C48" s="10">
        <f si="0" t="shared"/>
        <v>3.3030319251591591E-4</v>
      </c>
      <c r="D48" s="91"/>
      <c r="E48" s="17">
        <v>37</v>
      </c>
      <c r="F48" s="59" t="n">
        <v>197.0</v>
      </c>
      <c r="G48" s="10">
        <f si="1" t="shared"/>
        <v>1.1281675473444671E-3</v>
      </c>
      <c r="H48" s="91"/>
    </row>
    <row r="49" spans="1:8" x14ac:dyDescent="0.45">
      <c r="A49">
        <v>38</v>
      </c>
      <c r="B49" s="57" t="n">
        <v>37.7453537279993</v>
      </c>
      <c r="C49" s="10">
        <f si="0" t="shared"/>
        <v>1.5611623197402919E-4</v>
      </c>
      <c r="D49" s="91"/>
      <c r="E49" s="17">
        <v>38</v>
      </c>
      <c r="F49" s="59" t="n">
        <v>208.0</v>
      </c>
      <c r="G49" s="10">
        <f si="1" t="shared"/>
        <v>8.9192733443900182E-4</v>
      </c>
      <c r="H49" s="91"/>
    </row>
    <row r="50" spans="1:8" x14ac:dyDescent="0.45">
      <c r="A50">
        <v>39</v>
      </c>
      <c r="B50" s="57" t="n">
        <v>0.0</v>
      </c>
      <c r="C50" s="10">
        <f si="0" t="shared"/>
        <v>0</v>
      </c>
      <c r="D50" s="91"/>
      <c r="E50" s="17">
        <v>39</v>
      </c>
      <c r="F50" s="59" t="n">
        <v>154.0</v>
      </c>
      <c r="G50" s="10">
        <f si="1" t="shared"/>
        <v>7.2318432522081228E-4</v>
      </c>
      <c r="H50" s="91"/>
    </row>
    <row r="51" spans="1:8" x14ac:dyDescent="0.45">
      <c r="A51">
        <v>40</v>
      </c>
      <c r="B51" s="57" t="n">
        <v>0.0</v>
      </c>
      <c r="C51" s="10">
        <f si="0" t="shared"/>
        <v>0</v>
      </c>
      <c r="D51" s="91"/>
      <c r="E51" s="17">
        <v>40</v>
      </c>
      <c r="F51" s="59" t="n">
        <v>126.0</v>
      </c>
      <c r="G51" s="10">
        <f si="1" t="shared"/>
        <v>6.9425695221197981E-4</v>
      </c>
      <c r="H51" s="91"/>
    </row>
    <row r="52" spans="1:8" x14ac:dyDescent="0.45">
      <c r="A52">
        <v>41</v>
      </c>
      <c r="B52" s="57" t="n">
        <v>926.6774606742749</v>
      </c>
      <c r="C52" s="10">
        <f si="0" t="shared"/>
        <v>3.8327735503089068E-3</v>
      </c>
      <c r="D52" s="91"/>
      <c r="E52" s="17">
        <v>41</v>
      </c>
      <c r="F52" s="59" t="n">
        <v>136.0</v>
      </c>
      <c r="G52" s="10">
        <f si="1" t="shared"/>
        <v>5.8336868901145522E-4</v>
      </c>
      <c r="H52" s="91"/>
    </row>
    <row r="53" spans="1:8" x14ac:dyDescent="0.45">
      <c r="A53">
        <v>42</v>
      </c>
      <c r="B53" s="57" t="n">
        <v>106.844329177892</v>
      </c>
      <c r="C53" s="10">
        <f si="0" t="shared"/>
        <v>4.4191224698133082E-4</v>
      </c>
      <c r="D53" s="91"/>
      <c r="E53" s="17">
        <v>42</v>
      </c>
      <c r="F53" s="59" t="n">
        <v>128.0</v>
      </c>
      <c r="G53" s="10">
        <f si="1" t="shared"/>
        <v>5.1587148532417939E-4</v>
      </c>
      <c r="H53" s="91"/>
    </row>
    <row r="54" spans="1:8" x14ac:dyDescent="0.45">
      <c r="A54">
        <v>43</v>
      </c>
      <c r="B54" s="57" t="n">
        <v>82.376625897076</v>
      </c>
      <c r="C54" s="10">
        <f si="0" t="shared"/>
        <v>3.4071288695450779E-4</v>
      </c>
      <c r="D54" s="91"/>
      <c r="E54" s="17">
        <v>43</v>
      </c>
      <c r="F54" s="59" t="n">
        <v>70.0</v>
      </c>
      <c r="G54" s="10">
        <f si="1" t="shared"/>
        <v>3.4712847610598991E-4</v>
      </c>
      <c r="H54" s="91"/>
    </row>
    <row r="55" spans="1:8" x14ac:dyDescent="0.45">
      <c r="A55">
        <v>44</v>
      </c>
      <c r="B55" s="57" t="n">
        <v>0.0</v>
      </c>
      <c r="C55" s="10">
        <f si="0" t="shared"/>
        <v>0</v>
      </c>
      <c r="D55" s="91"/>
      <c r="E55" s="17">
        <v>44</v>
      </c>
      <c r="F55" s="59" t="n">
        <v>102.0</v>
      </c>
      <c r="G55" s="10">
        <f si="1" t="shared"/>
        <v>4.3391059513248737E-4</v>
      </c>
      <c r="H55" s="91"/>
    </row>
    <row r="56" spans="1:8" x14ac:dyDescent="0.45">
      <c r="A56">
        <v>45</v>
      </c>
      <c r="B56" s="57" t="n">
        <v>0.0</v>
      </c>
      <c r="C56" s="10">
        <f si="0" t="shared"/>
        <v>0</v>
      </c>
      <c r="D56" s="91"/>
      <c r="E56" s="17">
        <v>45</v>
      </c>
      <c r="F56" s="59" t="n">
        <v>73.0</v>
      </c>
      <c r="G56" s="10">
        <f si="1" t="shared"/>
        <v>3.9051953561923861E-4</v>
      </c>
      <c r="H56" s="91"/>
    </row>
    <row r="57" spans="1:8" x14ac:dyDescent="0.45">
      <c r="A57">
        <v>46</v>
      </c>
      <c r="B57" s="57" t="n">
        <v>97.0766688259674</v>
      </c>
      <c r="C57" s="10">
        <f si="0" t="shared"/>
        <v>4.0151282880834831E-4</v>
      </c>
      <c r="D57" s="91"/>
      <c r="E57" s="17">
        <v>46</v>
      </c>
      <c r="F57" s="59" t="n">
        <v>120.0</v>
      </c>
      <c r="G57" s="10">
        <f si="1" t="shared"/>
        <v>4.8212288348054152E-4</v>
      </c>
      <c r="H57" s="91"/>
    </row>
    <row r="58" spans="1:8" x14ac:dyDescent="0.45">
      <c r="A58">
        <v>47</v>
      </c>
      <c r="B58" s="57" t="n">
        <v>0.0</v>
      </c>
      <c r="C58" s="10">
        <f si="0" t="shared"/>
        <v>0</v>
      </c>
      <c r="D58" s="91"/>
      <c r="E58" s="17">
        <v>47</v>
      </c>
      <c r="F58" s="59" t="n">
        <v>45.0</v>
      </c>
      <c r="G58" s="10">
        <f si="1" t="shared"/>
        <v>2.8445250125351952E-4</v>
      </c>
      <c r="H58" s="91"/>
    </row>
    <row r="59" spans="1:8" x14ac:dyDescent="0.45">
      <c r="A59">
        <v>48</v>
      </c>
      <c r="B59" s="57" t="n">
        <v>0.0</v>
      </c>
      <c r="C59" s="10">
        <f si="0" t="shared"/>
        <v>0</v>
      </c>
      <c r="D59" s="91"/>
      <c r="E59" s="17">
        <v>48</v>
      </c>
      <c r="F59" s="59" t="n">
        <v>29.0</v>
      </c>
      <c r="G59" s="10">
        <f si="1" t="shared"/>
        <v>2.0731283989663284E-4</v>
      </c>
      <c r="H59" s="91"/>
    </row>
    <row r="60" spans="1:8" x14ac:dyDescent="0.45">
      <c r="A60">
        <v>49</v>
      </c>
      <c r="B60" s="57" t="n">
        <v>0.0</v>
      </c>
      <c r="C60" s="10">
        <f si="0" t="shared"/>
        <v>0</v>
      </c>
      <c r="D60" s="91"/>
      <c r="E60" s="17">
        <v>49</v>
      </c>
      <c r="F60" s="59" t="n">
        <v>54.0</v>
      </c>
      <c r="G60" s="10">
        <f si="1" t="shared"/>
        <v>1.7838546688780037E-4</v>
      </c>
      <c r="H60" s="91"/>
    </row>
    <row r="61" spans="1:8" x14ac:dyDescent="0.45">
      <c r="A61">
        <v>50</v>
      </c>
      <c r="B61" s="57" t="n">
        <v>0.0</v>
      </c>
      <c r="C61" s="10">
        <f si="0" t="shared"/>
        <v>0</v>
      </c>
      <c r="D61" s="91"/>
      <c r="E61" s="17">
        <v>50</v>
      </c>
      <c r="F61" s="59" t="n">
        <v>55.0</v>
      </c>
      <c r="G61" s="10">
        <f si="1" t="shared"/>
        <v>2.6998881474910323E-4</v>
      </c>
      <c r="H61" s="91"/>
    </row>
    <row r="62" spans="1:8" x14ac:dyDescent="0.45">
      <c r="A62">
        <v>51</v>
      </c>
      <c r="B62" s="57" t="n">
        <v>0.0</v>
      </c>
      <c r="C62" s="10">
        <f si="0" t="shared"/>
        <v>0</v>
      </c>
      <c r="D62" s="91"/>
      <c r="E62" s="17">
        <v>51</v>
      </c>
      <c r="F62" s="59" t="n">
        <v>38.0</v>
      </c>
      <c r="G62" s="10">
        <f si="1" t="shared"/>
        <v>1.5910055154857869E-4</v>
      </c>
      <c r="H62" s="91"/>
    </row>
    <row r="63" spans="1:8" x14ac:dyDescent="0.45">
      <c r="A63">
        <v>52</v>
      </c>
      <c r="B63" s="57" t="n">
        <v>0.0</v>
      </c>
      <c r="C63" s="10">
        <f si="0" t="shared"/>
        <v>0</v>
      </c>
      <c r="D63" s="91"/>
      <c r="E63" s="17">
        <v>52</v>
      </c>
      <c r="F63" s="59" t="n">
        <v>104.0</v>
      </c>
      <c r="G63" s="10">
        <f si="1" t="shared"/>
        <v>4.1462567979326569E-4</v>
      </c>
      <c r="H63" s="91"/>
    </row>
    <row r="64" spans="1:8" x14ac:dyDescent="0.45">
      <c r="A64">
        <v>53</v>
      </c>
      <c r="B64" s="57" t="n">
        <v>0.0</v>
      </c>
      <c r="C64" s="10">
        <f si="0" t="shared"/>
        <v>0</v>
      </c>
      <c r="D64" s="91"/>
      <c r="E64" s="17">
        <v>53</v>
      </c>
      <c r="F64" s="59" t="n">
        <v>57.0</v>
      </c>
      <c r="G64" s="10">
        <f si="1" t="shared"/>
        <v>2.0249161106182745E-4</v>
      </c>
      <c r="H64" s="91"/>
    </row>
    <row r="65" spans="1:8" x14ac:dyDescent="0.45">
      <c r="A65">
        <v>54</v>
      </c>
      <c r="B65" s="57" t="n">
        <v>0.0</v>
      </c>
      <c r="C65" s="10">
        <f si="0" t="shared"/>
        <v>0</v>
      </c>
      <c r="D65" s="91"/>
      <c r="E65" s="17">
        <v>54</v>
      </c>
      <c r="F65" s="59" t="n">
        <v>31.0</v>
      </c>
      <c r="G65" s="10">
        <f si="1" t="shared"/>
        <v>1.4945809387896788E-4</v>
      </c>
      <c r="H65" s="91"/>
    </row>
    <row r="66" spans="1:8" x14ac:dyDescent="0.45">
      <c r="A66">
        <v>55</v>
      </c>
      <c r="B66" s="57" t="n">
        <v>0.0</v>
      </c>
      <c r="C66" s="10">
        <f si="0" t="shared"/>
        <v>0</v>
      </c>
      <c r="D66" s="91"/>
      <c r="E66" s="17">
        <v>55</v>
      </c>
      <c r="F66" s="59" t="n">
        <v>30.0</v>
      </c>
      <c r="G66" s="10">
        <f si="1" t="shared"/>
        <v>7.2318432522081228E-5</v>
      </c>
      <c r="H66" s="91"/>
    </row>
    <row r="67" spans="1:8" x14ac:dyDescent="0.45">
      <c r="A67">
        <v>56</v>
      </c>
      <c r="B67" s="57" t="n">
        <v>0.0</v>
      </c>
      <c r="C67" s="10">
        <f si="0" t="shared"/>
        <v>0</v>
      </c>
      <c r="D67" s="91"/>
      <c r="E67" s="17">
        <v>56</v>
      </c>
      <c r="F67" s="59" t="n">
        <v>38.0</v>
      </c>
      <c r="G67" s="10">
        <f si="1" t="shared"/>
        <v>2.2177652640104911E-4</v>
      </c>
      <c r="H67" s="91"/>
    </row>
    <row r="68" spans="1:8" x14ac:dyDescent="0.45">
      <c r="A68">
        <v>57</v>
      </c>
      <c r="B68" s="57" t="n">
        <v>0.0</v>
      </c>
      <c r="C68" s="10">
        <f si="0" t="shared"/>
        <v>0</v>
      </c>
      <c r="D68" s="91"/>
      <c r="E68" s="17">
        <v>57</v>
      </c>
      <c r="F68" s="59" t="n">
        <v>50.0</v>
      </c>
      <c r="G68" s="10">
        <f si="1" t="shared"/>
        <v>2.8927373008832491E-4</v>
      </c>
      <c r="H68" s="91"/>
    </row>
    <row r="69" spans="1:8" x14ac:dyDescent="0.45">
      <c r="A69">
        <v>58</v>
      </c>
      <c r="B69" s="57" t="n">
        <v>0.0</v>
      </c>
      <c r="C69" s="10">
        <f si="0" t="shared"/>
        <v>0</v>
      </c>
      <c r="D69" s="91"/>
      <c r="E69" s="17">
        <v>58</v>
      </c>
      <c r="F69" s="59" t="n">
        <v>20.0</v>
      </c>
      <c r="G69" s="10">
        <f si="1" t="shared"/>
        <v>1.0606703436571913E-4</v>
      </c>
      <c r="H69" s="91"/>
    </row>
    <row r="70" spans="1:8" x14ac:dyDescent="0.45">
      <c r="A70">
        <v>59</v>
      </c>
      <c r="B70" s="57" t="n">
        <v>0.0</v>
      </c>
      <c r="C70" s="10">
        <f si="0" t="shared"/>
        <v>0</v>
      </c>
      <c r="D70" s="91"/>
      <c r="E70" s="17">
        <v>59</v>
      </c>
      <c r="F70" s="59" t="n">
        <v>25.0</v>
      </c>
      <c r="G70" s="10">
        <f si="1" t="shared"/>
        <v>1.0124580553091373E-4</v>
      </c>
      <c r="H70" s="91"/>
    </row>
    <row r="71" spans="1:8" x14ac:dyDescent="0.45">
      <c r="A71">
        <v>60</v>
      </c>
      <c r="B71" s="57" t="n">
        <v>0.0</v>
      </c>
      <c r="C71" s="10">
        <f si="0" t="shared"/>
        <v>0</v>
      </c>
      <c r="D71" s="91"/>
      <c r="E71" s="17">
        <v>60</v>
      </c>
      <c r="F71" s="59" t="n">
        <v>34.0</v>
      </c>
      <c r="G71" s="10">
        <f si="1" t="shared"/>
        <v>1.253519497049408E-4</v>
      </c>
      <c r="H71" s="91"/>
    </row>
    <row r="72" spans="1:8" x14ac:dyDescent="0.45">
      <c r="A72">
        <v>61</v>
      </c>
      <c r="B72" s="57" t="n">
        <v>0.0</v>
      </c>
      <c r="C72" s="10">
        <f si="0" t="shared"/>
        <v>0</v>
      </c>
      <c r="D72" s="91"/>
      <c r="E72" s="17">
        <v>61</v>
      </c>
      <c r="F72" s="59" t="n">
        <v>40.0</v>
      </c>
      <c r="G72" s="10">
        <f si="1" t="shared"/>
        <v>2.3141898407065992E-4</v>
      </c>
      <c r="H72" s="91"/>
    </row>
    <row r="73" spans="1:8" x14ac:dyDescent="0.45">
      <c r="A73">
        <v>62</v>
      </c>
      <c r="B73" s="57" t="n">
        <v>0.0</v>
      </c>
      <c r="C73" s="10">
        <f si="0" t="shared"/>
        <v>0</v>
      </c>
      <c r="D73" s="91"/>
      <c r="E73" s="17">
        <v>62</v>
      </c>
      <c r="F73" s="59" t="n">
        <v>22.0</v>
      </c>
      <c r="G73" s="10">
        <f si="1" t="shared"/>
        <v>8.1960890191692056E-5</v>
      </c>
      <c r="H73" s="91"/>
    </row>
    <row r="74" spans="1:8" x14ac:dyDescent="0.45">
      <c r="A74">
        <v>63</v>
      </c>
      <c r="B74" s="57" t="n">
        <v>0.0</v>
      </c>
      <c r="C74" s="10">
        <f si="0" t="shared"/>
        <v>0</v>
      </c>
      <c r="D74" s="91"/>
      <c r="E74" s="17">
        <v>63</v>
      </c>
      <c r="F74" s="59" t="n">
        <v>23.0</v>
      </c>
      <c r="G74" s="10">
        <f si="1" t="shared"/>
        <v>9.6424576696108304E-5</v>
      </c>
      <c r="H74" s="91"/>
    </row>
    <row r="75" spans="1:8" x14ac:dyDescent="0.45">
      <c r="A75">
        <v>64</v>
      </c>
      <c r="B75" s="57" t="n">
        <v>0.0</v>
      </c>
      <c r="C75" s="10">
        <f si="0" t="shared"/>
        <v>0</v>
      </c>
      <c r="D75" s="91"/>
      <c r="E75" s="17">
        <v>64</v>
      </c>
      <c r="F75" s="59" t="n">
        <v>9.0</v>
      </c>
      <c r="G75" s="10">
        <f si="1" t="shared"/>
        <v>6.2675974852470401E-5</v>
      </c>
      <c r="H75" s="91"/>
    </row>
    <row r="76" spans="1:8" x14ac:dyDescent="0.45">
      <c r="A76">
        <v>65</v>
      </c>
      <c r="B76" s="57" t="n">
        <v>0.0</v>
      </c>
      <c r="C76" s="10">
        <f si="0" t="shared"/>
        <v>0</v>
      </c>
      <c r="D76" s="91"/>
      <c r="E76" s="17">
        <v>65</v>
      </c>
      <c r="F76" s="59" t="n">
        <v>22.0</v>
      </c>
      <c r="G76" s="10">
        <f si="1" t="shared"/>
        <v>1.542793227137733E-4</v>
      </c>
      <c r="H76" s="91"/>
    </row>
    <row r="77" spans="1:8" x14ac:dyDescent="0.45">
      <c r="A77">
        <v>66</v>
      </c>
      <c r="B77" s="57" t="n">
        <v>0.0</v>
      </c>
      <c r="C77" s="10">
        <f ref="C77:C102" si="2" t="shared">B77/B$102</f>
        <v>0</v>
      </c>
      <c r="D77" s="91"/>
      <c r="E77" s="17">
        <v>66</v>
      </c>
      <c r="F77" s="59" t="n">
        <v>10.0</v>
      </c>
      <c r="G77" s="10">
        <f ref="G77:G102" si="3" t="shared">F77/F$102</f>
        <v>9.1603347861302884E-5</v>
      </c>
      <c r="H77" s="91"/>
    </row>
    <row r="78" spans="1:8" x14ac:dyDescent="0.45">
      <c r="A78">
        <v>67</v>
      </c>
      <c r="B78" s="57" t="n">
        <v>0.0</v>
      </c>
      <c r="C78" s="10">
        <f si="2" t="shared"/>
        <v>0</v>
      </c>
      <c r="D78" s="91"/>
      <c r="E78" s="17">
        <v>67</v>
      </c>
      <c r="F78" s="59" t="n">
        <v>30.0</v>
      </c>
      <c r="G78" s="10">
        <f si="3" t="shared"/>
        <v>1.8320669572260577E-4</v>
      </c>
      <c r="H78" s="91"/>
    </row>
    <row r="79" spans="1:8" x14ac:dyDescent="0.45">
      <c r="A79">
        <v>68</v>
      </c>
      <c r="B79" s="57" t="n">
        <v>0.0</v>
      </c>
      <c r="C79" s="10">
        <f si="2" t="shared"/>
        <v>0</v>
      </c>
      <c r="D79" s="91"/>
      <c r="E79" s="17">
        <v>68</v>
      </c>
      <c r="F79" s="59" t="n">
        <v>39.0</v>
      </c>
      <c r="G79" s="10">
        <f si="3" t="shared"/>
        <v>1.7838546688780037E-4</v>
      </c>
      <c r="H79" s="91"/>
    </row>
    <row r="80" spans="1:8" x14ac:dyDescent="0.45">
      <c r="A80">
        <v>69</v>
      </c>
      <c r="B80" s="57" t="n">
        <v>0.0</v>
      </c>
      <c r="C80" s="10">
        <f si="2" t="shared"/>
        <v>0</v>
      </c>
      <c r="D80" s="91"/>
      <c r="E80" s="17">
        <v>69</v>
      </c>
      <c r="F80" s="59" t="n">
        <v>8.0</v>
      </c>
      <c r="G80" s="10">
        <f si="3" t="shared"/>
        <v>8.6782119026497477E-5</v>
      </c>
      <c r="H80" s="91"/>
    </row>
    <row r="81" spans="1:8" x14ac:dyDescent="0.45">
      <c r="A81">
        <v>70</v>
      </c>
      <c r="B81" s="57" t="n">
        <v>0.0</v>
      </c>
      <c r="C81" s="10">
        <f si="2" t="shared"/>
        <v>0</v>
      </c>
      <c r="D81" s="91"/>
      <c r="E81" s="17">
        <v>70</v>
      </c>
      <c r="F81" s="59" t="n">
        <v>28.0</v>
      </c>
      <c r="G81" s="10">
        <f si="3" t="shared"/>
        <v>9.6424576696108304E-5</v>
      </c>
      <c r="H81" s="91"/>
    </row>
    <row r="82" spans="1:8" x14ac:dyDescent="0.45">
      <c r="A82">
        <v>71</v>
      </c>
      <c r="B82" s="57" t="n">
        <v>0.0</v>
      </c>
      <c r="C82" s="10">
        <f si="2" t="shared"/>
        <v>0</v>
      </c>
      <c r="D82" s="91"/>
      <c r="E82" s="17">
        <v>71</v>
      </c>
      <c r="F82" s="59" t="n">
        <v>8.0</v>
      </c>
      <c r="G82" s="10">
        <f si="3" t="shared"/>
        <v>1.9284915339221662E-5</v>
      </c>
      <c r="H82" s="91"/>
    </row>
    <row r="83" spans="1:8" x14ac:dyDescent="0.45">
      <c r="A83">
        <v>72</v>
      </c>
      <c r="B83" s="57" t="n">
        <v>0.0</v>
      </c>
      <c r="C83" s="10">
        <f si="2" t="shared"/>
        <v>0</v>
      </c>
      <c r="D83" s="91"/>
      <c r="E83" s="17">
        <v>72</v>
      </c>
      <c r="F83" s="59" t="n">
        <v>18.0</v>
      </c>
      <c r="G83" s="10">
        <f si="3" t="shared"/>
        <v>7.2318432522081228E-5</v>
      </c>
      <c r="H83" s="91"/>
    </row>
    <row r="84" spans="1:8" x14ac:dyDescent="0.45">
      <c r="A84">
        <v>73</v>
      </c>
      <c r="B84" s="57" t="n">
        <v>0.0</v>
      </c>
      <c r="C84" s="10">
        <f si="2" t="shared"/>
        <v>0</v>
      </c>
      <c r="D84" s="91"/>
      <c r="E84" s="17">
        <v>73</v>
      </c>
      <c r="F84" s="59" t="n">
        <v>51.0</v>
      </c>
      <c r="G84" s="10">
        <f si="3" t="shared"/>
        <v>2.55525128244687E-4</v>
      </c>
      <c r="H84" s="91"/>
    </row>
    <row r="85" spans="1:8" x14ac:dyDescent="0.45">
      <c r="A85">
        <v>74</v>
      </c>
      <c r="B85" s="57" t="n">
        <v>0.0</v>
      </c>
      <c r="C85" s="10">
        <f si="2" t="shared"/>
        <v>0</v>
      </c>
      <c r="D85" s="91"/>
      <c r="E85" s="17">
        <v>74</v>
      </c>
      <c r="F85" s="59" t="n">
        <v>27.0</v>
      </c>
      <c r="G85" s="10">
        <f si="3" t="shared"/>
        <v>1.6874300921818953E-4</v>
      </c>
      <c r="H85" s="91"/>
    </row>
    <row r="86" spans="1:8" x14ac:dyDescent="0.45">
      <c r="A86">
        <v>75</v>
      </c>
      <c r="B86" s="57" t="n">
        <v>0.0</v>
      </c>
      <c r="C86" s="10">
        <f si="2" t="shared"/>
        <v>0</v>
      </c>
      <c r="D86" s="91"/>
      <c r="E86" s="17">
        <v>75</v>
      </c>
      <c r="F86" s="59" t="n">
        <v>9.0</v>
      </c>
      <c r="G86" s="10">
        <f si="3" t="shared"/>
        <v>7.2318432522081228E-5</v>
      </c>
      <c r="H86" s="91"/>
    </row>
    <row r="87" spans="1:8" x14ac:dyDescent="0.45">
      <c r="A87">
        <v>76</v>
      </c>
      <c r="B87" s="57" t="n">
        <v>0.0</v>
      </c>
      <c r="C87" s="10">
        <f si="2" t="shared"/>
        <v>0</v>
      </c>
      <c r="D87" s="91"/>
      <c r="E87" s="17">
        <v>76</v>
      </c>
      <c r="F87" s="59" t="n">
        <v>14.0</v>
      </c>
      <c r="G87" s="10">
        <f si="3" t="shared"/>
        <v>6.2675974852470401E-5</v>
      </c>
      <c r="H87" s="91"/>
    </row>
    <row r="88" spans="1:8" x14ac:dyDescent="0.45">
      <c r="A88">
        <v>77</v>
      </c>
      <c r="B88" s="57" t="n">
        <v>0.0</v>
      </c>
      <c r="C88" s="10">
        <f si="2" t="shared"/>
        <v>0</v>
      </c>
      <c r="D88" s="91"/>
      <c r="E88" s="17">
        <v>77</v>
      </c>
      <c r="F88" s="59" t="n">
        <v>14.0</v>
      </c>
      <c r="G88" s="10">
        <f si="3" t="shared"/>
        <v>1.1570949203532996E-4</v>
      </c>
      <c r="H88" s="91"/>
    </row>
    <row r="89" spans="1:8" x14ac:dyDescent="0.45">
      <c r="A89">
        <v>78</v>
      </c>
      <c r="B89" s="57" t="n">
        <v>0.0</v>
      </c>
      <c r="C89" s="10">
        <f si="2" t="shared"/>
        <v>0</v>
      </c>
      <c r="D89" s="91"/>
      <c r="E89" s="17">
        <v>78</v>
      </c>
      <c r="F89" s="59" t="n">
        <v>15.0</v>
      </c>
      <c r="G89" s="10">
        <f si="3" t="shared"/>
        <v>5.785474601766498E-5</v>
      </c>
      <c r="H89" s="91"/>
    </row>
    <row r="90" spans="1:8" x14ac:dyDescent="0.45">
      <c r="A90">
        <v>79</v>
      </c>
      <c r="B90" s="57" t="n">
        <v>0.0</v>
      </c>
      <c r="C90" s="10">
        <f si="2" t="shared"/>
        <v>0</v>
      </c>
      <c r="D90" s="91"/>
      <c r="E90" s="17">
        <v>79</v>
      </c>
      <c r="F90" s="59" t="n">
        <v>18.0</v>
      </c>
      <c r="G90" s="10">
        <f si="3" t="shared"/>
        <v>7.7139661356886649E-5</v>
      </c>
      <c r="H90" s="91"/>
    </row>
    <row r="91" spans="1:8" x14ac:dyDescent="0.45">
      <c r="A91">
        <v>80</v>
      </c>
      <c r="B91" s="57" t="n">
        <v>0.0</v>
      </c>
      <c r="C91" s="10">
        <f si="2" t="shared"/>
        <v>0</v>
      </c>
      <c r="D91" s="91"/>
      <c r="E91" s="17">
        <v>80</v>
      </c>
      <c r="F91" s="59" t="n">
        <v>7.0</v>
      </c>
      <c r="G91" s="10">
        <f si="3" t="shared"/>
        <v>3.8569830678443324E-5</v>
      </c>
      <c r="H91" s="91"/>
    </row>
    <row r="92" spans="1:8" x14ac:dyDescent="0.45">
      <c r="A92">
        <v>81</v>
      </c>
      <c r="B92" s="57" t="n">
        <v>0.0</v>
      </c>
      <c r="C92" s="10">
        <f si="2" t="shared"/>
        <v>0</v>
      </c>
      <c r="D92" s="91"/>
      <c r="E92" s="17">
        <v>81</v>
      </c>
      <c r="F92" s="59" t="n">
        <v>13.0</v>
      </c>
      <c r="G92" s="10">
        <f si="3" t="shared"/>
        <v>5.785474601766498E-5</v>
      </c>
      <c r="H92" s="91"/>
    </row>
    <row r="93" spans="1:8" x14ac:dyDescent="0.45">
      <c r="A93">
        <v>82</v>
      </c>
      <c r="B93" s="57" t="n">
        <v>0.0</v>
      </c>
      <c r="C93" s="10">
        <f si="2" t="shared"/>
        <v>0</v>
      </c>
      <c r="D93" s="91"/>
      <c r="E93" s="17">
        <v>82</v>
      </c>
      <c r="F93" s="59" t="n">
        <v>17.0</v>
      </c>
      <c r="G93" s="10">
        <f si="3" t="shared"/>
        <v>1.0606703436571913E-4</v>
      </c>
      <c r="H93" s="91"/>
    </row>
    <row r="94" spans="1:8" x14ac:dyDescent="0.45">
      <c r="A94">
        <v>83</v>
      </c>
      <c r="B94" s="57" t="n">
        <v>0.0</v>
      </c>
      <c r="C94" s="10">
        <f si="2" t="shared"/>
        <v>0</v>
      </c>
      <c r="D94" s="91"/>
      <c r="E94" s="17">
        <v>83</v>
      </c>
      <c r="F94" s="59" t="n">
        <v>8.0</v>
      </c>
      <c r="G94" s="10">
        <f si="3" t="shared"/>
        <v>5.3033517182859566E-5</v>
      </c>
      <c r="H94" s="91"/>
    </row>
    <row r="95" spans="1:8" x14ac:dyDescent="0.45">
      <c r="A95">
        <v>84</v>
      </c>
      <c r="B95" s="57" t="n">
        <v>0.0</v>
      </c>
      <c r="C95" s="10">
        <f si="2" t="shared"/>
        <v>0</v>
      </c>
      <c r="D95" s="91"/>
      <c r="E95" s="17">
        <v>84</v>
      </c>
      <c r="F95" s="59" t="n">
        <v>1.0</v>
      </c>
      <c r="G95" s="10">
        <f si="3" t="shared"/>
        <v>1.9284915339221662E-5</v>
      </c>
      <c r="H95" s="91"/>
    </row>
    <row r="96" spans="1:8" x14ac:dyDescent="0.45">
      <c r="A96">
        <v>85</v>
      </c>
      <c r="B96" s="57" t="n">
        <v>0.0</v>
      </c>
      <c r="C96" s="10">
        <f si="2" t="shared"/>
        <v>0</v>
      </c>
      <c r="D96" s="91"/>
      <c r="E96" s="17">
        <v>85</v>
      </c>
      <c r="F96" s="59" t="n">
        <v>17.0</v>
      </c>
      <c r="G96" s="10">
        <f si="3" t="shared"/>
        <v>5.785474601766498E-5</v>
      </c>
      <c r="H96" s="91"/>
    </row>
    <row r="97" spans="1:8" x14ac:dyDescent="0.45">
      <c r="A97">
        <v>86</v>
      </c>
      <c r="B97" s="57" t="n">
        <v>0.0</v>
      </c>
      <c r="C97" s="10">
        <f si="2" t="shared"/>
        <v>0</v>
      </c>
      <c r="D97" s="91"/>
      <c r="E97" s="17">
        <v>86</v>
      </c>
      <c r="F97" s="59" t="n">
        <v>12.0</v>
      </c>
      <c r="G97" s="10">
        <f si="3" t="shared"/>
        <v>5.785474601766498E-5</v>
      </c>
      <c r="H97" s="91"/>
    </row>
    <row r="98" spans="1:8" x14ac:dyDescent="0.45">
      <c r="A98">
        <v>87</v>
      </c>
      <c r="B98" s="57" t="n">
        <v>0.0</v>
      </c>
      <c r="C98" s="10">
        <f si="2" t="shared"/>
        <v>0</v>
      </c>
      <c r="D98" s="91"/>
      <c r="E98" s="17">
        <v>87</v>
      </c>
      <c r="F98" s="59" t="n">
        <v>3.0</v>
      </c>
      <c r="G98" s="10">
        <f si="3" t="shared"/>
        <v>2.892737300883249E-5</v>
      </c>
      <c r="H98" s="91"/>
    </row>
    <row r="99" spans="1:8" x14ac:dyDescent="0.45">
      <c r="A99">
        <v>88</v>
      </c>
      <c r="B99" s="57" t="n">
        <v>0.0</v>
      </c>
      <c r="C99" s="10">
        <f si="2" t="shared"/>
        <v>0</v>
      </c>
      <c r="D99" s="91"/>
      <c r="E99" s="17">
        <v>88</v>
      </c>
      <c r="F99" s="59" t="n">
        <v>29.0</v>
      </c>
      <c r="G99" s="10">
        <f si="3" t="shared"/>
        <v>9.1603347861302884E-5</v>
      </c>
      <c r="H99" s="91"/>
    </row>
    <row r="100" spans="1:8" x14ac:dyDescent="0.45">
      <c r="A100">
        <v>89</v>
      </c>
      <c r="B100" s="57" t="n">
        <v>0.0</v>
      </c>
      <c r="C100" s="10">
        <f si="2" t="shared"/>
        <v>0</v>
      </c>
      <c r="D100" s="91"/>
      <c r="E100" s="17">
        <v>89</v>
      </c>
      <c r="F100" s="59" t="n">
        <v>2.0</v>
      </c>
      <c r="G100" s="10">
        <f si="3" t="shared"/>
        <v>4.8212288348054156E-6</v>
      </c>
      <c r="H100" s="91"/>
    </row>
    <row ht="14.65" r="101" spans="1:8" thickBot="1" x14ac:dyDescent="0.5">
      <c r="A101" s="1">
        <v>90</v>
      </c>
      <c r="B101" s="58" t="n">
        <v>0.0</v>
      </c>
      <c r="C101" s="10">
        <f si="2" t="shared"/>
        <v>0</v>
      </c>
      <c r="D101" s="91"/>
      <c r="E101" s="18">
        <v>90</v>
      </c>
      <c r="F101" s="60" t="n">
        <v>249.0</v>
      </c>
      <c r="G101" s="10">
        <f si="3" t="shared"/>
        <v>1.2004859798665484E-3</v>
      </c>
      <c r="H101" s="91"/>
    </row>
    <row r="102" spans="1:8" x14ac:dyDescent="0.45">
      <c r="B102" s="57">
        <f>SUM(B11:B101)</f>
        <v>241777.25308075879</v>
      </c>
      <c r="C102" s="10">
        <f si="2" t="shared"/>
        <v>1</v>
      </c>
      <c r="F102" s="57">
        <f>SUM(F11:F101)</f>
        <v>207416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B11" sqref="B11:B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245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4" t="s">
        <v>36</v>
      </c>
      <c r="B9" s="1"/>
      <c r="E9" s="4" t="s">
        <v>11</v>
      </c>
      <c r="F9" s="1"/>
      <c r="J9" s="9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7" t="n">
        <v>0.0</v>
      </c>
      <c r="C11" s="10">
        <f>B11/B$102</f>
        <v>0</v>
      </c>
      <c r="E11" s="17">
        <v>0</v>
      </c>
      <c r="F11" s="17" t="n">
        <v>6556.0</v>
      </c>
      <c r="G11" s="10">
        <f>F11/F$102</f>
        <v>3.1034250009642456E-2</v>
      </c>
      <c r="K11" s="7" t="n">
        <v>14.239391916756087</v>
      </c>
      <c r="L11" s="7" t="n">
        <v>16.21395569072344</v>
      </c>
    </row>
    <row r="12" spans="1:12" x14ac:dyDescent="0.45">
      <c r="A12">
        <v>1</v>
      </c>
      <c r="B12" s="7" t="n">
        <v>0.0</v>
      </c>
      <c r="C12" s="10">
        <f>B12/B$102</f>
        <v>0</v>
      </c>
      <c r="E12" s="17">
        <v>1</v>
      </c>
      <c r="F12" s="17" t="n">
        <v>4006.0</v>
      </c>
      <c r="G12" s="10">
        <f>F12/F$102</f>
        <v>1.9135457245342692E-2</v>
      </c>
      <c r="K12" s="7"/>
      <c r="L12" s="17"/>
    </row>
    <row r="13" spans="1:12" x14ac:dyDescent="0.45">
      <c r="A13">
        <v>2</v>
      </c>
      <c r="B13" s="7" t="n">
        <v>2941.233477932719</v>
      </c>
      <c r="C13" s="10">
        <f ref="C13:C76" si="0" t="shared">B13/B$102</f>
        <v>1.2165054571739574E-2</v>
      </c>
      <c r="E13" s="17">
        <v>2</v>
      </c>
      <c r="F13" s="17" t="n">
        <v>3097.0</v>
      </c>
      <c r="G13" s="10">
        <f ref="G13:G76" si="1" t="shared">F13/F$102</f>
        <v>1.462760828479963E-2</v>
      </c>
    </row>
    <row r="14" spans="1:12" x14ac:dyDescent="0.45">
      <c r="A14">
        <v>3</v>
      </c>
      <c r="B14" s="7" t="n">
        <v>19868.998686249743</v>
      </c>
      <c r="C14" s="10">
        <f si="0" t="shared"/>
        <v>8.2178941290283761E-2</v>
      </c>
      <c r="E14" s="17">
        <v>3</v>
      </c>
      <c r="F14" s="17" t="n">
        <v>4336.0</v>
      </c>
      <c r="G14" s="10">
        <f si="1" t="shared"/>
        <v>2.1994445944382303E-2</v>
      </c>
    </row>
    <row r="15" spans="1:12" x14ac:dyDescent="0.45">
      <c r="A15">
        <v>4</v>
      </c>
      <c r="B15" s="7" t="n">
        <v>12650.31044630081</v>
      </c>
      <c r="C15" s="10">
        <f si="0" t="shared"/>
        <v>5.2322169621454598E-2</v>
      </c>
      <c r="E15" s="17">
        <v>4</v>
      </c>
      <c r="F15" s="17" t="n">
        <v>7491.0</v>
      </c>
      <c r="G15" s="10">
        <f si="1" t="shared"/>
        <v>3.6409920160450499E-2</v>
      </c>
    </row>
    <row r="16" spans="1:12" x14ac:dyDescent="0.45">
      <c r="A16">
        <v>5</v>
      </c>
      <c r="B16" s="7" t="n">
        <v>16197.112470495242</v>
      </c>
      <c r="C16" s="10">
        <f si="0" t="shared"/>
        <v>6.6991878946879538E-2</v>
      </c>
      <c r="E16" s="17">
        <v>5</v>
      </c>
      <c r="F16" s="17" t="n">
        <v>10770.0</v>
      </c>
      <c r="G16" s="10">
        <f si="1" t="shared"/>
        <v>5.1678751880279247E-2</v>
      </c>
    </row>
    <row r="17" spans="1:7" x14ac:dyDescent="0.45">
      <c r="A17">
        <v>6</v>
      </c>
      <c r="B17" s="7" t="n">
        <v>11436.682116122998</v>
      </c>
      <c r="C17" s="10">
        <f si="0" t="shared"/>
        <v>4.7302556259512588E-2</v>
      </c>
      <c r="E17" s="17">
        <v>6</v>
      </c>
      <c r="F17" s="17" t="n">
        <v>12952.0</v>
      </c>
      <c r="G17" s="10">
        <f si="1" t="shared"/>
        <v>6.287364523469742E-2</v>
      </c>
    </row>
    <row r="18" spans="1:7" x14ac:dyDescent="0.45">
      <c r="A18">
        <v>7</v>
      </c>
      <c r="B18" s="7" t="n">
        <v>18249.416162552574</v>
      </c>
      <c r="C18" s="10">
        <f si="0" t="shared"/>
        <v>7.5480285800322539E-2</v>
      </c>
      <c r="E18" s="17">
        <v>7</v>
      </c>
      <c r="F18" s="17" t="n">
        <v>13573.0</v>
      </c>
      <c r="G18" s="10">
        <f si="1" t="shared"/>
        <v>6.7169360126509051E-2</v>
      </c>
    </row>
    <row r="19" spans="1:7" x14ac:dyDescent="0.45">
      <c r="A19">
        <v>8</v>
      </c>
      <c r="B19" s="7" t="n">
        <v>13952.853192104878</v>
      </c>
      <c r="C19" s="10">
        <f si="0" t="shared"/>
        <v>5.770953641964132E-2</v>
      </c>
      <c r="E19" s="17">
        <v>8</v>
      </c>
      <c r="F19" s="17" t="n">
        <v>13419.0</v>
      </c>
      <c r="G19" s="10">
        <f si="1" t="shared"/>
        <v>6.7236857330196326E-2</v>
      </c>
    </row>
    <row r="20" spans="1:7" x14ac:dyDescent="0.45">
      <c r="A20">
        <v>9</v>
      </c>
      <c r="B20" s="7" t="n">
        <v>20986.296971024123</v>
      </c>
      <c r="C20" s="10">
        <f si="0" t="shared"/>
        <v>8.6800129886554139E-2</v>
      </c>
      <c r="E20" s="17">
        <v>9</v>
      </c>
      <c r="F20" s="17" t="n">
        <v>12943.0</v>
      </c>
      <c r="G20" s="10">
        <f si="1" t="shared"/>
        <v>6.473946079376712E-2</v>
      </c>
    </row>
    <row r="21" spans="1:7" x14ac:dyDescent="0.45">
      <c r="A21">
        <v>10</v>
      </c>
      <c r="B21" s="7" t="n">
        <v>9826.204773070162</v>
      </c>
      <c r="C21" s="10">
        <f si="0" t="shared"/>
        <v>4.0641560146222708E-2</v>
      </c>
      <c r="E21" s="17">
        <v>10</v>
      </c>
      <c r="F21" s="17" t="n">
        <v>11792.0</v>
      </c>
      <c r="G21" s="10">
        <f si="1" t="shared"/>
        <v>5.7994561653874337E-2</v>
      </c>
    </row>
    <row r="22" spans="1:7" x14ac:dyDescent="0.45">
      <c r="A22">
        <v>11</v>
      </c>
      <c r="B22" s="7" t="n">
        <v>14509.196845612627</v>
      </c>
      <c r="C22" s="10">
        <f si="0" t="shared"/>
        <v>6.0010595127268869E-2</v>
      </c>
      <c r="E22" s="17">
        <v>11</v>
      </c>
      <c r="F22" s="17" t="n">
        <v>10588.0</v>
      </c>
      <c r="G22" s="10">
        <f si="1" t="shared"/>
        <v>5.3713310448567128E-2</v>
      </c>
    </row>
    <row r="23" spans="1:7" x14ac:dyDescent="0.45">
      <c r="A23">
        <v>12</v>
      </c>
      <c r="B23" s="7" t="n">
        <v>11111.464197101453</v>
      </c>
      <c r="C23" s="10">
        <f si="0" t="shared"/>
        <v>4.5957442462091304E-2</v>
      </c>
      <c r="E23" s="17">
        <v>12</v>
      </c>
      <c r="F23" s="17" t="n">
        <v>9668.0</v>
      </c>
      <c r="G23" s="10">
        <f si="1" t="shared"/>
        <v>4.8670305087360664E-2</v>
      </c>
    </row>
    <row r="24" spans="1:7" x14ac:dyDescent="0.45">
      <c r="A24">
        <v>13</v>
      </c>
      <c r="B24" s="7" t="n">
        <v>9567.300706182546</v>
      </c>
      <c r="C24" s="10">
        <f si="0" t="shared"/>
        <v>3.9570722986859597E-2</v>
      </c>
      <c r="E24" s="17">
        <v>13</v>
      </c>
      <c r="F24" s="17" t="n">
        <v>8527.0</v>
      </c>
      <c r="G24" s="10">
        <f si="1" t="shared"/>
        <v>4.2031472981833608E-2</v>
      </c>
    </row>
    <row r="25" spans="1:7" x14ac:dyDescent="0.45">
      <c r="A25">
        <v>14</v>
      </c>
      <c r="B25" s="7" t="n">
        <v>5934.423250623048</v>
      </c>
      <c r="C25" s="10">
        <f si="0" t="shared"/>
        <v>2.4545002373076125E-2</v>
      </c>
      <c r="E25" s="17">
        <v>14</v>
      </c>
      <c r="F25" s="17" t="n">
        <v>7315.0</v>
      </c>
      <c r="G25" s="10">
        <f si="1" t="shared"/>
        <v>3.7065607281984034E-2</v>
      </c>
    </row>
    <row r="26" spans="1:7" x14ac:dyDescent="0.45">
      <c r="A26">
        <v>15</v>
      </c>
      <c r="B26" s="7" t="n">
        <v>3171.059815153921</v>
      </c>
      <c r="C26" s="10">
        <f si="0" t="shared"/>
        <v>1.3115625124977002E-2</v>
      </c>
      <c r="E26" s="17">
        <v>15</v>
      </c>
      <c r="F26" s="17" t="n">
        <v>6453.0</v>
      </c>
      <c r="G26" s="10">
        <f si="1" t="shared"/>
        <v>3.1550121494966638E-2</v>
      </c>
    </row>
    <row r="27" spans="1:7" x14ac:dyDescent="0.45">
      <c r="A27">
        <v>16</v>
      </c>
      <c r="B27" s="7" t="n">
        <v>7497.246064619867</v>
      </c>
      <c r="C27" s="10">
        <f si="0" t="shared"/>
        <v>3.1008897524845442E-2</v>
      </c>
      <c r="E27" s="17">
        <v>16</v>
      </c>
      <c r="F27" s="17" t="n">
        <v>5598.0</v>
      </c>
      <c r="G27" s="10">
        <f si="1" t="shared"/>
        <v>2.762564122343503E-2</v>
      </c>
    </row>
    <row r="28" spans="1:7" x14ac:dyDescent="0.45">
      <c r="A28">
        <v>17</v>
      </c>
      <c r="B28" s="7" t="n">
        <v>6258.742847934718</v>
      </c>
      <c r="C28" s="10">
        <f si="0" t="shared"/>
        <v>2.5886400677420915E-2</v>
      </c>
      <c r="E28" s="17">
        <v>17</v>
      </c>
      <c r="F28" s="17" t="n">
        <v>4902.0</v>
      </c>
      <c r="G28" s="10">
        <f si="1" t="shared"/>
        <v>2.3011725228526247E-2</v>
      </c>
    </row>
    <row r="29" spans="1:7" x14ac:dyDescent="0.45">
      <c r="A29">
        <v>18</v>
      </c>
      <c r="B29" s="7" t="n">
        <v>7728.07188039253</v>
      </c>
      <c r="C29" s="10">
        <f si="0" t="shared"/>
        <v>3.1963601959739338E-2</v>
      </c>
      <c r="E29" s="17">
        <v>18</v>
      </c>
      <c r="F29" s="17" t="n">
        <v>4335.0</v>
      </c>
      <c r="G29" s="10">
        <f si="1" t="shared"/>
        <v>1.975739576503259E-2</v>
      </c>
    </row>
    <row r="30" spans="1:7" x14ac:dyDescent="0.45">
      <c r="A30">
        <v>19</v>
      </c>
      <c r="B30" s="7" t="n">
        <v>4659.371288210394</v>
      </c>
      <c r="C30" s="10">
        <f si="0" t="shared"/>
        <v>1.9271338510302567E-2</v>
      </c>
      <c r="E30" s="17">
        <v>19</v>
      </c>
      <c r="F30" s="17" t="n">
        <v>3892.0</v>
      </c>
      <c r="G30" s="10">
        <f si="1" t="shared"/>
        <v>1.8282099741582136E-2</v>
      </c>
    </row>
    <row r="31" spans="1:7" x14ac:dyDescent="0.45">
      <c r="A31">
        <v>20</v>
      </c>
      <c r="B31" s="7" t="n">
        <v>1794.5269894055418</v>
      </c>
      <c r="C31" s="10">
        <f si="0" t="shared"/>
        <v>7.4222325158361047E-3</v>
      </c>
      <c r="E31" s="17">
        <v>20</v>
      </c>
      <c r="F31" s="17" t="n">
        <v>3546.0</v>
      </c>
      <c r="G31" s="10">
        <f si="1" t="shared"/>
        <v>1.5452038415551355E-2</v>
      </c>
    </row>
    <row r="32" spans="1:7" x14ac:dyDescent="0.45">
      <c r="A32">
        <v>21</v>
      </c>
      <c r="B32" s="7" t="n">
        <v>1928.50865128175</v>
      </c>
      <c r="C32" s="10">
        <f si="0" t="shared"/>
        <v>7.9763858125958109E-3</v>
      </c>
      <c r="E32" s="17">
        <v>21</v>
      </c>
      <c r="F32" s="17" t="n">
        <v>3052.0</v>
      </c>
      <c r="G32" s="10">
        <f si="1" t="shared"/>
        <v>1.3918887646083233E-2</v>
      </c>
    </row>
    <row r="33" spans="1:7" x14ac:dyDescent="0.45">
      <c r="A33">
        <v>22</v>
      </c>
      <c r="B33" s="7" t="n">
        <v>2406.9969924812126</v>
      </c>
      <c r="C33" s="10">
        <f si="0" t="shared"/>
        <v>9.9554319598346395E-3</v>
      </c>
      <c r="E33" s="17">
        <v>22</v>
      </c>
      <c r="F33" s="17" t="n">
        <v>2733.0</v>
      </c>
      <c r="G33" s="10">
        <f si="1" t="shared"/>
        <v>1.2298954757588614E-2</v>
      </c>
    </row>
    <row r="34" spans="1:7" x14ac:dyDescent="0.45">
      <c r="A34">
        <v>23</v>
      </c>
      <c r="B34" s="7" t="n">
        <v>1716.7172104821534</v>
      </c>
      <c r="C34" s="10">
        <f si="0" t="shared"/>
        <v>7.1004082832752426E-3</v>
      </c>
      <c r="E34" s="17">
        <v>23</v>
      </c>
      <c r="F34" s="17" t="n">
        <v>2492.0</v>
      </c>
      <c r="G34" s="10">
        <f si="1" t="shared"/>
        <v>1.0679021869093995E-2</v>
      </c>
    </row>
    <row r="35" spans="1:7" x14ac:dyDescent="0.45">
      <c r="A35">
        <v>24</v>
      </c>
      <c r="B35" s="7" t="n">
        <v>4157.184951644983</v>
      </c>
      <c r="C35" s="10">
        <f si="0" t="shared"/>
        <v>1.7194276544520076E-2</v>
      </c>
      <c r="E35" s="17">
        <v>24</v>
      </c>
      <c r="F35" s="17" t="n">
        <v>2252.0</v>
      </c>
      <c r="G35" s="10">
        <f si="1" t="shared"/>
        <v>9.8690554248466855E-3</v>
      </c>
    </row>
    <row r="36" spans="1:7" x14ac:dyDescent="0.45">
      <c r="A36">
        <v>25</v>
      </c>
      <c r="B36" s="7" t="n">
        <v>2704.442547435321</v>
      </c>
      <c r="C36" s="10">
        <f si="0" t="shared"/>
        <v>1.1185678193357506E-2</v>
      </c>
      <c r="E36" s="17">
        <v>25</v>
      </c>
      <c r="F36" s="17" t="n">
        <v>2191.0</v>
      </c>
      <c r="G36" s="10">
        <f si="1" t="shared"/>
        <v>9.3387202530180891E-3</v>
      </c>
    </row>
    <row r="37" spans="1:7" x14ac:dyDescent="0.45">
      <c r="A37">
        <v>26</v>
      </c>
      <c r="B37" s="7" t="n">
        <v>4222.734705202795</v>
      </c>
      <c r="C37" s="10">
        <f si="0" t="shared"/>
        <v>1.7465392841535483E-2</v>
      </c>
      <c r="E37" s="17">
        <v>26</v>
      </c>
      <c r="F37" s="17" t="n">
        <v>1969.0</v>
      </c>
      <c r="G37" s="10">
        <f si="1" t="shared"/>
        <v>8.818027538859104E-3</v>
      </c>
    </row>
    <row r="38" spans="1:7" x14ac:dyDescent="0.45">
      <c r="A38">
        <v>27</v>
      </c>
      <c r="B38" s="7" t="n">
        <v>2599.5324830166724</v>
      </c>
      <c r="C38" s="10">
        <f si="0" t="shared"/>
        <v>1.0751766139672264E-2</v>
      </c>
      <c r="E38" s="17">
        <v>27</v>
      </c>
      <c r="F38" s="17" t="n">
        <v>1726.0</v>
      </c>
      <c r="G38" s="10">
        <f si="1" t="shared"/>
        <v>8.4371504609094764E-3</v>
      </c>
    </row>
    <row r="39" spans="1:7" x14ac:dyDescent="0.45">
      <c r="A39">
        <v>28</v>
      </c>
      <c r="B39" s="7" t="n">
        <v>1028.2786403351963</v>
      </c>
      <c r="C39" s="10">
        <f si="0" t="shared"/>
        <v>4.2529999296159176E-3</v>
      </c>
      <c r="E39" s="17">
        <v>28</v>
      </c>
      <c r="F39" s="17" t="n">
        <v>1557.0</v>
      </c>
      <c r="G39" s="10">
        <f si="1" t="shared"/>
        <v>7.2993404558953983E-3</v>
      </c>
    </row>
    <row r="40" spans="1:7" x14ac:dyDescent="0.45">
      <c r="A40">
        <v>29</v>
      </c>
      <c r="B40" s="7" t="n">
        <v>1045.3990858899228</v>
      </c>
      <c r="C40" s="10">
        <f si="0" t="shared"/>
        <v>4.323810749643755E-3</v>
      </c>
      <c r="E40" s="17">
        <v>29</v>
      </c>
      <c r="F40" s="17" t="n">
        <v>1464.0</v>
      </c>
      <c r="G40" s="10">
        <f si="1" t="shared"/>
        <v>6.8316812589192732E-3</v>
      </c>
    </row>
    <row r="41" spans="1:7" x14ac:dyDescent="0.45">
      <c r="A41">
        <v>30</v>
      </c>
      <c r="B41" s="7" t="n">
        <v>2953.185587159274</v>
      </c>
      <c r="C41" s="10">
        <f si="0" t="shared"/>
        <v>1.2214488954313863E-2</v>
      </c>
      <c r="E41" s="17">
        <v>30</v>
      </c>
      <c r="F41" s="17" t="n">
        <v>1346.0</v>
      </c>
      <c r="G41" s="10">
        <f si="1" t="shared"/>
        <v>6.0072511281675477E-3</v>
      </c>
    </row>
    <row r="42" spans="1:7" x14ac:dyDescent="0.45">
      <c r="A42">
        <v>31</v>
      </c>
      <c r="B42" s="7" t="n">
        <v>2521.774528890869</v>
      </c>
      <c r="C42" s="10">
        <f si="0" t="shared"/>
        <v>1.0430156256463647E-2</v>
      </c>
      <c r="E42" s="17">
        <v>31</v>
      </c>
      <c r="F42" s="17" t="n">
        <v>1270.0</v>
      </c>
      <c r="G42" s="10">
        <f si="1" t="shared"/>
        <v>5.6890500250703895E-3</v>
      </c>
    </row>
    <row r="43" spans="1:7" x14ac:dyDescent="0.45">
      <c r="A43">
        <v>32</v>
      </c>
      <c r="B43" s="7" t="n">
        <v>450.0980740306528</v>
      </c>
      <c r="C43" s="10">
        <f si="0" t="shared"/>
        <v>1.8616229123932955E-3</v>
      </c>
      <c r="E43" s="17">
        <v>32</v>
      </c>
      <c r="F43" s="17" t="n">
        <v>1208.0</v>
      </c>
      <c r="G43" s="10">
        <f si="1" t="shared"/>
        <v>5.4962008716781729E-3</v>
      </c>
    </row>
    <row r="44" spans="1:7" x14ac:dyDescent="0.45">
      <c r="A44">
        <v>33</v>
      </c>
      <c r="B44" s="7" t="n">
        <v>1564.701539929712</v>
      </c>
      <c r="C44" s="10">
        <f si="0" t="shared"/>
        <v>6.4716656343476158E-3</v>
      </c>
      <c r="E44" s="17">
        <v>33</v>
      </c>
      <c r="F44" s="17" t="n">
        <v>1184.0</v>
      </c>
      <c r="G44" s="10">
        <f si="1" t="shared"/>
        <v>5.1828209974158213E-3</v>
      </c>
    </row>
    <row r="45" spans="1:7" x14ac:dyDescent="0.45">
      <c r="A45">
        <v>34</v>
      </c>
      <c r="B45" s="7" t="n">
        <v>371.8668244219809</v>
      </c>
      <c r="C45" s="10">
        <f si="0" t="shared"/>
        <v>1.5380554608988364E-3</v>
      </c>
      <c r="E45" s="17">
        <v>34</v>
      </c>
      <c r="F45" s="17" t="n">
        <v>1104.0</v>
      </c>
      <c r="G45" s="10">
        <f si="1" t="shared"/>
        <v>4.382497010838122E-3</v>
      </c>
    </row>
    <row r="46" spans="1:7" x14ac:dyDescent="0.45">
      <c r="A46">
        <v>35</v>
      </c>
      <c r="B46" s="7" t="n">
        <v>586.4169901015391</v>
      </c>
      <c r="C46" s="10">
        <f si="0" t="shared"/>
        <v>2.4254431822238612E-3</v>
      </c>
      <c r="E46" s="17">
        <v>35</v>
      </c>
      <c r="F46" s="17" t="n">
        <v>1015.0</v>
      </c>
      <c r="G46" s="10">
        <f si="1" t="shared"/>
        <v>4.0546534500713544E-3</v>
      </c>
    </row>
    <row r="47" spans="1:7" x14ac:dyDescent="0.45">
      <c r="A47">
        <v>36</v>
      </c>
      <c r="B47" s="7" t="n">
        <v>406.92503048036644</v>
      </c>
      <c r="C47" s="10">
        <f si="0" t="shared"/>
        <v>1.6830575469580879E-3</v>
      </c>
      <c r="E47" s="17">
        <v>36</v>
      </c>
      <c r="F47" s="17" t="n">
        <v>891.0</v>
      </c>
      <c r="G47" s="10">
        <f si="1" t="shared"/>
        <v>4.020904848227716E-3</v>
      </c>
    </row>
    <row r="48" spans="1:7" x14ac:dyDescent="0.45">
      <c r="A48">
        <v>37</v>
      </c>
      <c r="B48" s="7" t="n">
        <v>580.3922122866625</v>
      </c>
      <c r="C48" s="10">
        <f si="0" t="shared"/>
        <v>2.4005244699045339E-3</v>
      </c>
      <c r="E48" s="17">
        <v>37</v>
      </c>
      <c r="F48" s="17" t="n">
        <v>835.0</v>
      </c>
      <c r="G48" s="10">
        <f si="1" t="shared"/>
        <v>3.6930612874609479E-3</v>
      </c>
    </row>
    <row r="49" spans="1:7" x14ac:dyDescent="0.45">
      <c r="A49">
        <v>38</v>
      </c>
      <c r="B49" s="7" t="n">
        <v>754.0027294052784</v>
      </c>
      <c r="C49" s="10">
        <f si="0" t="shared"/>
        <v>3.1185842332050392E-3</v>
      </c>
      <c r="E49" s="17">
        <v>38</v>
      </c>
      <c r="F49" s="17" t="n">
        <v>813.0</v>
      </c>
      <c r="G49" s="10">
        <f si="1" t="shared"/>
        <v>3.3796814131985963E-3</v>
      </c>
    </row>
    <row r="50" spans="1:7" x14ac:dyDescent="0.45">
      <c r="A50">
        <v>39</v>
      </c>
      <c r="B50" s="7" t="n">
        <v>1175.1940926687907</v>
      </c>
      <c r="C50" s="10">
        <f si="0" t="shared"/>
        <v>4.8606478802050556E-3</v>
      </c>
      <c r="E50" s="17">
        <v>39</v>
      </c>
      <c r="F50" s="17" t="n">
        <v>735.0</v>
      </c>
      <c r="G50" s="10">
        <f si="1" t="shared"/>
        <v>3.2398657769892392E-3</v>
      </c>
    </row>
    <row r="51" spans="1:7" x14ac:dyDescent="0.45">
      <c r="A51">
        <v>40</v>
      </c>
      <c r="B51" s="7" t="n">
        <v>552.073338548889</v>
      </c>
      <c r="C51" s="10">
        <f si="0" t="shared"/>
        <v>2.283396521030392E-3</v>
      </c>
      <c r="E51" s="17">
        <v>40</v>
      </c>
      <c r="F51" s="17" t="n">
        <v>600.0</v>
      </c>
      <c r="G51" s="10">
        <f si="1" t="shared"/>
        <v>2.6757820033170053E-3</v>
      </c>
    </row>
    <row r="52" spans="1:7" x14ac:dyDescent="0.45">
      <c r="A52">
        <v>41</v>
      </c>
      <c r="B52" s="7" t="n">
        <v>571.48781408555</v>
      </c>
      <c r="C52" s="10">
        <f si="0" t="shared"/>
        <v>2.3636955371259061E-3</v>
      </c>
      <c r="E52" s="17">
        <v>41</v>
      </c>
      <c r="F52" s="17" t="n">
        <v>619.0</v>
      </c>
      <c r="G52" s="10">
        <f si="1" t="shared"/>
        <v>2.7432792070042813E-3</v>
      </c>
    </row>
    <row r="53" spans="1:7" x14ac:dyDescent="0.45">
      <c r="A53">
        <v>42</v>
      </c>
      <c r="B53" s="7" t="n">
        <v>0.0</v>
      </c>
      <c r="C53" s="10">
        <f si="0" t="shared"/>
        <v>0</v>
      </c>
      <c r="E53" s="17">
        <v>42</v>
      </c>
      <c r="F53" s="17" t="n">
        <v>538.0</v>
      </c>
      <c r="G53" s="10">
        <f si="1" t="shared"/>
        <v>2.5070389940988159E-3</v>
      </c>
    </row>
    <row r="54" spans="1:7" x14ac:dyDescent="0.45">
      <c r="A54">
        <v>43</v>
      </c>
      <c r="B54" s="7" t="n">
        <v>630.833843938892</v>
      </c>
      <c r="C54" s="10">
        <f si="0" t="shared"/>
        <v>2.6091529947533166E-3</v>
      </c>
      <c r="E54" s="17">
        <v>43</v>
      </c>
      <c r="F54" s="17" t="n">
        <v>474.0</v>
      </c>
      <c r="G54" s="10">
        <f si="1" t="shared"/>
        <v>2.3431172137154317E-3</v>
      </c>
    </row>
    <row r="55" spans="1:7" x14ac:dyDescent="0.45">
      <c r="A55">
        <v>44</v>
      </c>
      <c r="B55" s="7" t="n">
        <v>41.9534043512247</v>
      </c>
      <c r="C55" s="10">
        <f si="0" t="shared"/>
        <v>1.7352089088881899E-4</v>
      </c>
      <c r="E55" s="17">
        <v>44</v>
      </c>
      <c r="F55" s="17" t="n">
        <v>438.0</v>
      </c>
      <c r="G55" s="10">
        <f si="1" t="shared"/>
        <v>2.0345585682878852E-3</v>
      </c>
    </row>
    <row r="56" spans="1:7" x14ac:dyDescent="0.45">
      <c r="A56">
        <v>45</v>
      </c>
      <c r="B56" s="7" t="n">
        <v>34.9577484619624</v>
      </c>
      <c r="C56" s="10">
        <f si="0" t="shared"/>
        <v>1.4458658958411521E-4</v>
      </c>
      <c r="E56" s="17">
        <v>45</v>
      </c>
      <c r="F56" s="17" t="n">
        <v>403.0</v>
      </c>
      <c r="G56" s="10">
        <f si="1" t="shared"/>
        <v>1.8417094148956686E-3</v>
      </c>
    </row>
    <row r="57" spans="1:7" x14ac:dyDescent="0.45">
      <c r="A57">
        <v>46</v>
      </c>
      <c r="B57" s="7" t="n">
        <v>410.2142384822541</v>
      </c>
      <c r="C57" s="10">
        <f si="0" t="shared"/>
        <v>1.6966618375188255E-3</v>
      </c>
      <c r="E57" s="17">
        <v>46</v>
      </c>
      <c r="F57" s="17" t="n">
        <v>360.0</v>
      </c>
      <c r="G57" s="10">
        <f si="1" t="shared"/>
        <v>1.6392178038338412E-3</v>
      </c>
    </row>
    <row r="58" spans="1:7" x14ac:dyDescent="0.45">
      <c r="A58">
        <v>47</v>
      </c>
      <c r="B58" s="7" t="n">
        <v>137.793785723446</v>
      </c>
      <c r="C58" s="10">
        <f si="0" t="shared"/>
        <v>5.6992038733031682E-4</v>
      </c>
      <c r="E58" s="17">
        <v>47</v>
      </c>
      <c r="F58" s="17" t="n">
        <v>374.0</v>
      </c>
      <c r="G58" s="10">
        <f si="1" t="shared"/>
        <v>1.8561731014000848E-3</v>
      </c>
    </row>
    <row r="59" spans="1:7" x14ac:dyDescent="0.45">
      <c r="A59">
        <v>48</v>
      </c>
      <c r="B59" s="7" t="n">
        <v>135.0921488130482</v>
      </c>
      <c r="C59" s="10">
        <f si="0" t="shared"/>
        <v>5.5874631335944825E-4</v>
      </c>
      <c r="E59" s="17">
        <v>48</v>
      </c>
      <c r="F59" s="17" t="n">
        <v>326.0</v>
      </c>
      <c r="G59" s="10">
        <f si="1" t="shared"/>
        <v>1.5524356848073437E-3</v>
      </c>
    </row>
    <row r="60" spans="1:7" x14ac:dyDescent="0.45">
      <c r="A60">
        <v>49</v>
      </c>
      <c r="B60" s="7" t="n">
        <v>1093.508090587575</v>
      </c>
      <c r="C60" s="10">
        <f si="0" t="shared"/>
        <v>4.5227914398643636E-3</v>
      </c>
      <c r="E60" s="17">
        <v>49</v>
      </c>
      <c r="F60" s="17" t="n">
        <v>341.0</v>
      </c>
      <c r="G60" s="10">
        <f si="1" t="shared"/>
        <v>1.4608323369460407E-3</v>
      </c>
    </row>
    <row r="61" spans="1:7" x14ac:dyDescent="0.45">
      <c r="A61">
        <v>50</v>
      </c>
      <c r="B61" s="7" t="n">
        <v>1262.773493876468</v>
      </c>
      <c r="C61" s="10">
        <f si="0" t="shared"/>
        <v>5.2228796455664724E-3</v>
      </c>
      <c r="E61" s="17">
        <v>50</v>
      </c>
      <c r="F61" s="17" t="n">
        <v>321.0</v>
      </c>
      <c r="G61" s="10">
        <f si="1" t="shared"/>
        <v>1.3017317853974621E-3</v>
      </c>
    </row>
    <row r="62" spans="1:7" x14ac:dyDescent="0.45">
      <c r="A62">
        <v>51</v>
      </c>
      <c r="B62" s="7" t="n">
        <v>0.0</v>
      </c>
      <c r="C62" s="10">
        <f si="0" t="shared"/>
        <v>0</v>
      </c>
      <c r="E62" s="17">
        <v>51</v>
      </c>
      <c r="F62" s="17" t="n">
        <v>309.0</v>
      </c>
      <c r="G62" s="10">
        <f si="1" t="shared"/>
        <v>1.2245921240405754E-3</v>
      </c>
    </row>
    <row r="63" spans="1:7" x14ac:dyDescent="0.45">
      <c r="A63">
        <v>52</v>
      </c>
      <c r="B63" s="7" t="n">
        <v>0.0</v>
      </c>
      <c r="C63" s="10">
        <f si="0" t="shared"/>
        <v>0</v>
      </c>
      <c r="E63" s="17">
        <v>52</v>
      </c>
      <c r="F63" s="17" t="n">
        <v>258.0</v>
      </c>
      <c r="G63" s="10">
        <f si="1" t="shared"/>
        <v>1.161916149188105E-3</v>
      </c>
    </row>
    <row r="64" spans="1:7" x14ac:dyDescent="0.45">
      <c r="A64">
        <v>53</v>
      </c>
      <c r="B64" s="7" t="n">
        <v>388.87401897926156</v>
      </c>
      <c r="C64" s="10">
        <f si="0" t="shared"/>
        <v>1.6083978704537997E-3</v>
      </c>
      <c r="E64" s="17">
        <v>53</v>
      </c>
      <c r="F64" s="17" t="n">
        <v>239.0</v>
      </c>
      <c r="G64" s="10">
        <f si="1" t="shared"/>
        <v>1.0751340301616075E-3</v>
      </c>
    </row>
    <row r="65" spans="1:7" x14ac:dyDescent="0.45">
      <c r="A65">
        <v>54</v>
      </c>
      <c r="B65" s="7" t="n">
        <v>151.4750802909842</v>
      </c>
      <c r="C65" s="10">
        <f si="0" t="shared"/>
        <v>6.2650674685425583E-4</v>
      </c>
      <c r="E65" s="17">
        <v>54</v>
      </c>
      <c r="F65" s="17" t="n">
        <v>256.0</v>
      </c>
      <c r="G65" s="10">
        <f si="1" t="shared"/>
        <v>1.1040614031704401E-3</v>
      </c>
    </row>
    <row r="66" spans="1:7" x14ac:dyDescent="0.45">
      <c r="A66">
        <v>55</v>
      </c>
      <c r="B66" s="7" t="n">
        <v>0.0</v>
      </c>
      <c r="C66" s="10">
        <f si="0" t="shared"/>
        <v>0</v>
      </c>
      <c r="E66" s="17">
        <v>55</v>
      </c>
      <c r="F66" s="17" t="n">
        <v>202.0</v>
      </c>
      <c r="G66" s="10">
        <f si="1" t="shared"/>
        <v>9.3531839395225057E-4</v>
      </c>
    </row>
    <row r="67" spans="1:7" x14ac:dyDescent="0.45">
      <c r="A67">
        <v>56</v>
      </c>
      <c r="B67" s="7" t="n">
        <v>455.24217931386397</v>
      </c>
      <c r="C67" s="10">
        <f si="0" t="shared"/>
        <v>1.8828991293147151E-3</v>
      </c>
      <c r="E67" s="17">
        <v>56</v>
      </c>
      <c r="F67" s="17" t="n">
        <v>191.0</v>
      </c>
      <c r="G67" s="10">
        <f si="1" t="shared"/>
        <v>9.112122497782235E-4</v>
      </c>
    </row>
    <row r="68" spans="1:7" x14ac:dyDescent="0.45">
      <c r="A68">
        <v>57</v>
      </c>
      <c r="B68" s="7" t="n">
        <v>0.0</v>
      </c>
      <c r="C68" s="10">
        <f si="0" t="shared"/>
        <v>0</v>
      </c>
      <c r="E68" s="17">
        <v>57</v>
      </c>
      <c r="F68" s="17" t="n">
        <v>173.0</v>
      </c>
      <c r="G68" s="10">
        <f si="1" t="shared"/>
        <v>8.4853627492575306E-4</v>
      </c>
    </row>
    <row r="69" spans="1:7" x14ac:dyDescent="0.45">
      <c r="A69">
        <v>58</v>
      </c>
      <c r="B69" s="7" t="n">
        <v>71.4138027869201</v>
      </c>
      <c r="C69" s="10">
        <f si="0" t="shared"/>
        <v>2.95370229734004E-4</v>
      </c>
      <c r="E69" s="17">
        <v>58</v>
      </c>
      <c r="F69" s="17" t="n">
        <v>140.0</v>
      </c>
      <c r="G69" s="10">
        <f si="1" t="shared"/>
        <v>7.5693292706445015E-4</v>
      </c>
    </row>
    <row r="70" spans="1:7" x14ac:dyDescent="0.45">
      <c r="A70">
        <v>59</v>
      </c>
      <c r="B70" s="7" t="n">
        <v>1143.0914240260402</v>
      </c>
      <c r="C70" s="10">
        <f si="0" t="shared"/>
        <v>4.7278700103529749E-3</v>
      </c>
      <c r="E70" s="17">
        <v>59</v>
      </c>
      <c r="F70" s="17" t="n">
        <v>147.0</v>
      </c>
      <c r="G70" s="10">
        <f si="1" t="shared"/>
        <v>6.4604466386392566E-4</v>
      </c>
    </row>
    <row r="71" spans="1:7" x14ac:dyDescent="0.45">
      <c r="A71">
        <v>60</v>
      </c>
      <c r="B71" s="7" t="n">
        <v>0.0</v>
      </c>
      <c r="C71" s="10">
        <f si="0" t="shared"/>
        <v>0</v>
      </c>
      <c r="E71" s="17">
        <v>60</v>
      </c>
      <c r="F71" s="17" t="n">
        <v>132.0</v>
      </c>
      <c r="G71" s="10">
        <f si="1" t="shared"/>
        <v>6.9907818104678521E-4</v>
      </c>
    </row>
    <row r="72" spans="1:7" x14ac:dyDescent="0.45">
      <c r="A72">
        <v>61</v>
      </c>
      <c r="B72" s="7" t="n">
        <v>0.0</v>
      </c>
      <c r="C72" s="10">
        <f si="0" t="shared"/>
        <v>0</v>
      </c>
      <c r="E72" s="17">
        <v>61</v>
      </c>
      <c r="F72" s="17" t="n">
        <v>120.0</v>
      </c>
      <c r="G72" s="10">
        <f si="1" t="shared"/>
        <v>5.8818991784626061E-4</v>
      </c>
    </row>
    <row r="73" spans="1:7" x14ac:dyDescent="0.45">
      <c r="A73">
        <v>62</v>
      </c>
      <c r="B73" s="7" t="n">
        <v>85.6632519695921</v>
      </c>
      <c r="C73" s="10">
        <f si="0" t="shared"/>
        <v>3.5430649855625079E-4</v>
      </c>
      <c r="E73" s="17">
        <v>62</v>
      </c>
      <c r="F73" s="17" t="n">
        <v>131.0</v>
      </c>
      <c r="G73" s="10">
        <f si="1" t="shared"/>
        <v>4.5319551047170905E-4</v>
      </c>
    </row>
    <row r="74" spans="1:7" x14ac:dyDescent="0.45">
      <c r="A74">
        <v>63</v>
      </c>
      <c r="B74" s="7" t="n">
        <v>0.0</v>
      </c>
      <c r="C74" s="10">
        <f si="0" t="shared"/>
        <v>0</v>
      </c>
      <c r="E74" s="17">
        <v>63</v>
      </c>
      <c r="F74" s="17" t="n">
        <v>113.0</v>
      </c>
      <c r="G74" s="10">
        <f si="1" t="shared"/>
        <v>5.5444131600262275E-4</v>
      </c>
    </row>
    <row r="75" spans="1:7" x14ac:dyDescent="0.45">
      <c r="A75">
        <v>64</v>
      </c>
      <c r="B75" s="7" t="n">
        <v>516.811435478318</v>
      </c>
      <c r="C75" s="10">
        <f si="0" t="shared"/>
        <v>2.1375519363092945E-3</v>
      </c>
      <c r="E75" s="17">
        <v>64</v>
      </c>
      <c r="F75" s="17" t="n">
        <v>114.0</v>
      </c>
      <c r="G75" s="10">
        <f si="1" t="shared"/>
        <v>4.8212288348054152E-4</v>
      </c>
    </row>
    <row r="76" spans="1:7" x14ac:dyDescent="0.45">
      <c r="A76">
        <v>65</v>
      </c>
      <c r="B76" s="7" t="n">
        <v>0.0</v>
      </c>
      <c r="C76" s="10">
        <f si="0" t="shared"/>
        <v>0</v>
      </c>
      <c r="E76" s="17">
        <v>65</v>
      </c>
      <c r="F76" s="17" t="n">
        <v>91.0</v>
      </c>
      <c r="G76" s="10">
        <f si="1" t="shared"/>
        <v>4.4355305280209821E-4</v>
      </c>
    </row>
    <row r="77" spans="1:7" x14ac:dyDescent="0.45">
      <c r="A77">
        <v>66</v>
      </c>
      <c r="B77" s="7" t="n">
        <v>95.8328841917452</v>
      </c>
      <c r="C77" s="10">
        <f ref="C77:C102" si="2" t="shared">B77/B$102</f>
        <v>3.9636848781524959E-4</v>
      </c>
      <c r="E77" s="17">
        <v>66</v>
      </c>
      <c r="F77" s="17" t="n">
        <v>111.0</v>
      </c>
      <c r="G77" s="10">
        <f ref="G77:G102" si="3" t="shared">F77/F$102</f>
        <v>4.049832221236549E-4</v>
      </c>
    </row>
    <row r="78" spans="1:7" x14ac:dyDescent="0.45">
      <c r="A78">
        <v>67</v>
      </c>
      <c r="B78" s="7" t="n">
        <v>347.611158818074</v>
      </c>
      <c r="C78" s="10">
        <f si="2" t="shared"/>
        <v>1.4377330968433355E-3</v>
      </c>
      <c r="E78" s="17">
        <v>67</v>
      </c>
      <c r="F78" s="17" t="n">
        <v>97.0</v>
      </c>
      <c r="G78" s="10">
        <f si="3" t="shared"/>
        <v>4.1944690862807113E-4</v>
      </c>
    </row>
    <row r="79" spans="1:7" x14ac:dyDescent="0.45">
      <c r="A79">
        <v>68</v>
      </c>
      <c r="B79" s="7" t="n">
        <v>97.0766688259674</v>
      </c>
      <c r="C79" s="10">
        <f si="2" t="shared"/>
        <v>4.0151282880834853E-4</v>
      </c>
      <c r="E79" s="17">
        <v>68</v>
      </c>
      <c r="F79" s="17" t="n">
        <v>121.0</v>
      </c>
      <c r="G79" s="10">
        <f si="3" t="shared"/>
        <v>3.8569830678443322E-4</v>
      </c>
    </row>
    <row r="80" spans="1:7" x14ac:dyDescent="0.45">
      <c r="A80">
        <v>69</v>
      </c>
      <c r="B80" s="7" t="n">
        <v>683.3180719176423</v>
      </c>
      <c r="C80" s="10">
        <f si="2" t="shared"/>
        <v>2.8262297764190406E-3</v>
      </c>
      <c r="E80" s="17">
        <v>69</v>
      </c>
      <c r="F80" s="17" t="n">
        <v>93.0</v>
      </c>
      <c r="G80" s="10">
        <f si="3" t="shared"/>
        <v>4.5319551047170905E-4</v>
      </c>
    </row>
    <row r="81" spans="1:7" x14ac:dyDescent="0.45">
      <c r="A81">
        <v>70</v>
      </c>
      <c r="B81" s="7" t="n">
        <v>82.376625897076</v>
      </c>
      <c r="C81" s="10">
        <f si="2" t="shared"/>
        <v>3.4071288695450801E-4</v>
      </c>
      <c r="E81" s="17">
        <v>70</v>
      </c>
      <c r="F81" s="17" t="n">
        <v>70.0</v>
      </c>
      <c r="G81" s="10">
        <f si="3" t="shared"/>
        <v>3.2784356076676822E-4</v>
      </c>
    </row>
    <row r="82" spans="1:7" x14ac:dyDescent="0.45">
      <c r="A82">
        <v>71</v>
      </c>
      <c r="B82" s="7" t="n">
        <v>105.7052757250432</v>
      </c>
      <c r="C82" s="10">
        <f si="2" t="shared"/>
        <v>4.3720107817477532E-4</v>
      </c>
      <c r="E82" s="17">
        <v>71</v>
      </c>
      <c r="F82" s="17" t="n">
        <v>94.0</v>
      </c>
      <c r="G82" s="10">
        <f si="3" t="shared"/>
        <v>3.7605584911482238E-4</v>
      </c>
    </row>
    <row r="83" spans="1:7" x14ac:dyDescent="0.45">
      <c r="A83">
        <v>72</v>
      </c>
      <c r="B83" s="7" t="n">
        <v>79.8597985703032</v>
      </c>
      <c r="C83" s="10">
        <f si="2" t="shared"/>
        <v>3.3030319251591613E-4</v>
      </c>
      <c r="E83" s="17">
        <v>72</v>
      </c>
      <c r="F83" s="17" t="n">
        <v>66.0</v>
      </c>
      <c r="G83" s="10">
        <f si="3" t="shared"/>
        <v>3.1337987426235199E-4</v>
      </c>
    </row>
    <row r="84" spans="1:7" x14ac:dyDescent="0.45">
      <c r="A84">
        <v>73</v>
      </c>
      <c r="B84" s="7" t="n">
        <v>53.8266490113655</v>
      </c>
      <c r="C84" s="10">
        <f si="2" t="shared"/>
        <v>2.2262908658899467E-4</v>
      </c>
      <c r="E84" s="17">
        <v>73</v>
      </c>
      <c r="F84" s="17" t="n">
        <v>86.0</v>
      </c>
      <c r="G84" s="10">
        <f si="3" t="shared"/>
        <v>3.7605584911482238E-4</v>
      </c>
    </row>
    <row r="85" spans="1:7" x14ac:dyDescent="0.45">
      <c r="A85">
        <v>74</v>
      </c>
      <c r="B85" s="7" t="n">
        <v>0.0</v>
      </c>
      <c r="C85" s="10">
        <f si="2" t="shared"/>
        <v>0</v>
      </c>
      <c r="E85" s="17">
        <v>74</v>
      </c>
      <c r="F85" s="17" t="n">
        <v>65.0</v>
      </c>
      <c r="G85" s="10">
        <f si="3" t="shared"/>
        <v>2.8927373008832491E-4</v>
      </c>
    </row>
    <row r="86" spans="1:7" x14ac:dyDescent="0.45">
      <c r="A86">
        <v>75</v>
      </c>
      <c r="B86" s="7" t="n">
        <v>380.84767715949</v>
      </c>
      <c r="C86" s="10">
        <f si="2" t="shared"/>
        <v>1.5752006125749098E-3</v>
      </c>
      <c r="E86" s="17">
        <v>75</v>
      </c>
      <c r="F86" s="17" t="n">
        <v>68.0</v>
      </c>
      <c r="G86" s="10">
        <f si="3" t="shared"/>
        <v>2.8445250125351952E-4</v>
      </c>
    </row>
    <row r="87" spans="1:7" x14ac:dyDescent="0.45">
      <c r="A87">
        <v>76</v>
      </c>
      <c r="B87" s="7" t="n">
        <v>215.645779152528</v>
      </c>
      <c r="C87" s="10">
        <f si="2" t="shared"/>
        <v>8.9191922070724254E-4</v>
      </c>
      <c r="E87" s="17">
        <v>76</v>
      </c>
      <c r="F87" s="17" t="n">
        <v>61.0</v>
      </c>
      <c r="G87" s="10">
        <f si="3" t="shared"/>
        <v>3.5677093377560075E-4</v>
      </c>
    </row>
    <row r="88" spans="1:7" x14ac:dyDescent="0.45">
      <c r="A88">
        <v>77</v>
      </c>
      <c r="B88" s="7" t="n">
        <v>0.0</v>
      </c>
      <c r="C88" s="10">
        <f si="2" t="shared"/>
        <v>0</v>
      </c>
      <c r="E88" s="17">
        <v>77</v>
      </c>
      <c r="F88" s="17" t="n">
        <v>46.0</v>
      </c>
      <c r="G88" s="10">
        <f si="3" t="shared"/>
        <v>2.7481004358390868E-4</v>
      </c>
    </row>
    <row r="89" spans="1:7" x14ac:dyDescent="0.45">
      <c r="A89">
        <v>78</v>
      </c>
      <c r="B89" s="7" t="n">
        <v>0.0</v>
      </c>
      <c r="C89" s="10">
        <f si="2" t="shared"/>
        <v>0</v>
      </c>
      <c r="E89" s="17">
        <v>78</v>
      </c>
      <c r="F89" s="17" t="n">
        <v>40.0</v>
      </c>
      <c r="G89" s="10">
        <f si="3" t="shared"/>
        <v>2.6034635707949244E-4</v>
      </c>
    </row>
    <row r="90" spans="1:7" x14ac:dyDescent="0.45">
      <c r="A90">
        <v>79</v>
      </c>
      <c r="B90" s="7" t="n">
        <v>0.0</v>
      </c>
      <c r="C90" s="10">
        <f si="2" t="shared"/>
        <v>0</v>
      </c>
      <c r="E90" s="17">
        <v>79</v>
      </c>
      <c r="F90" s="17" t="n">
        <v>54.0</v>
      </c>
      <c r="G90" s="10">
        <f si="3" t="shared"/>
        <v>1.6392178038338411E-4</v>
      </c>
    </row>
    <row r="91" spans="1:7" x14ac:dyDescent="0.45">
      <c r="A91">
        <v>80</v>
      </c>
      <c r="B91" s="7" t="n">
        <v>0.0</v>
      </c>
      <c r="C91" s="10">
        <f si="2" t="shared"/>
        <v>0</v>
      </c>
      <c r="E91" s="17">
        <v>80</v>
      </c>
      <c r="F91" s="17" t="n">
        <v>54.0</v>
      </c>
      <c r="G91" s="10">
        <f si="3" t="shared"/>
        <v>2.8927373008832491E-4</v>
      </c>
    </row>
    <row r="92" spans="1:7" x14ac:dyDescent="0.45">
      <c r="A92">
        <v>81</v>
      </c>
      <c r="B92" s="7" t="n">
        <v>0.0</v>
      </c>
      <c r="C92" s="10">
        <f si="2" t="shared"/>
        <v>0</v>
      </c>
      <c r="E92" s="17">
        <v>81</v>
      </c>
      <c r="F92" s="17" t="n">
        <v>50.0</v>
      </c>
      <c r="G92" s="10">
        <f si="3" t="shared"/>
        <v>2.0249161106182745E-4</v>
      </c>
    </row>
    <row r="93" spans="1:7" x14ac:dyDescent="0.45">
      <c r="A93">
        <v>82</v>
      </c>
      <c r="B93" s="7" t="n">
        <v>437.028333540149</v>
      </c>
      <c r="C93" s="10">
        <f si="2" t="shared"/>
        <v>1.8075659640080881E-3</v>
      </c>
      <c r="E93" s="17">
        <v>82</v>
      </c>
      <c r="F93" s="17" t="n">
        <v>49.0</v>
      </c>
      <c r="G93" s="10">
        <f si="3" t="shared"/>
        <v>2.3141898407065992E-4</v>
      </c>
    </row>
    <row r="94" spans="1:7" x14ac:dyDescent="0.45">
      <c r="A94">
        <v>83</v>
      </c>
      <c r="B94" s="7" t="n">
        <v>0.0</v>
      </c>
      <c r="C94" s="10">
        <f si="2" t="shared"/>
        <v>0</v>
      </c>
      <c r="E94" s="17">
        <v>83</v>
      </c>
      <c r="F94" s="17" t="n">
        <v>46.0</v>
      </c>
      <c r="G94" s="10">
        <f si="3" t="shared"/>
        <v>1.5910055154857869E-4</v>
      </c>
    </row>
    <row r="95" spans="1:7" x14ac:dyDescent="0.45">
      <c r="A95">
        <v>84</v>
      </c>
      <c r="B95" s="7" t="n">
        <v>0.0</v>
      </c>
      <c r="C95" s="10">
        <f si="2" t="shared"/>
        <v>0</v>
      </c>
      <c r="E95" s="17">
        <v>84</v>
      </c>
      <c r="F95" s="17" t="n">
        <v>39.0</v>
      </c>
      <c r="G95" s="10">
        <f si="3" t="shared"/>
        <v>2.55525128244687E-4</v>
      </c>
    </row>
    <row r="96" spans="1:7" x14ac:dyDescent="0.45">
      <c r="A96">
        <v>85</v>
      </c>
      <c r="B96" s="7" t="n">
        <v>0.0</v>
      </c>
      <c r="C96" s="10">
        <f si="2" t="shared"/>
        <v>0</v>
      </c>
      <c r="E96" s="17">
        <v>85</v>
      </c>
      <c r="F96" s="17" t="n">
        <v>41.0</v>
      </c>
      <c r="G96" s="10">
        <f si="3" t="shared"/>
        <v>2.0249161106182745E-4</v>
      </c>
    </row>
    <row r="97" spans="1:7" x14ac:dyDescent="0.45">
      <c r="A97">
        <v>86</v>
      </c>
      <c r="B97" s="7" t="n">
        <v>0.0</v>
      </c>
      <c r="C97" s="10">
        <f si="2" t="shared"/>
        <v>0</v>
      </c>
      <c r="E97" s="17">
        <v>86</v>
      </c>
      <c r="F97" s="17" t="n">
        <v>64.0</v>
      </c>
      <c r="G97" s="10">
        <f si="3" t="shared"/>
        <v>2.507038994098816E-4</v>
      </c>
    </row>
    <row r="98" spans="1:7" x14ac:dyDescent="0.45">
      <c r="A98">
        <v>87</v>
      </c>
      <c r="B98" s="7" t="n">
        <v>0.0</v>
      </c>
      <c r="C98" s="10">
        <f si="2" t="shared"/>
        <v>0</v>
      </c>
      <c r="E98" s="17">
        <v>87</v>
      </c>
      <c r="F98" s="17" t="n">
        <v>46.0</v>
      </c>
      <c r="G98" s="10">
        <f si="3" t="shared"/>
        <v>1.7838546688780037E-4</v>
      </c>
    </row>
    <row r="99" spans="1:7" x14ac:dyDescent="0.45">
      <c r="A99">
        <v>88</v>
      </c>
      <c r="B99" s="7" t="n">
        <v>0.0</v>
      </c>
      <c r="C99" s="10">
        <f si="2" t="shared"/>
        <v>0</v>
      </c>
      <c r="E99" s="17">
        <v>88</v>
      </c>
      <c r="F99" s="17" t="n">
        <v>31.0</v>
      </c>
      <c r="G99" s="10">
        <f si="3" t="shared"/>
        <v>1.8320669572260577E-4</v>
      </c>
    </row>
    <row r="100" spans="1:7" x14ac:dyDescent="0.45">
      <c r="A100">
        <v>89</v>
      </c>
      <c r="B100" s="7" t="n">
        <v>0.0</v>
      </c>
      <c r="C100" s="10">
        <f si="2" t="shared"/>
        <v>0</v>
      </c>
      <c r="E100" s="17">
        <v>89</v>
      </c>
      <c r="F100" s="17" t="n">
        <v>35.0</v>
      </c>
      <c r="G100" s="10">
        <f si="3" t="shared"/>
        <v>1.5910055154857869E-4</v>
      </c>
    </row>
    <row ht="14.65" r="101" spans="1:7" thickBot="1" x14ac:dyDescent="0.5">
      <c r="A101" s="1">
        <v>90</v>
      </c>
      <c r="B101" s="8" t="n">
        <v>0.0</v>
      </c>
      <c r="C101" s="10">
        <f si="2" t="shared"/>
        <v>0</v>
      </c>
      <c r="E101" s="18">
        <v>90</v>
      </c>
      <c r="F101" s="18" t="n">
        <v>3034.0</v>
      </c>
      <c r="G101" s="10">
        <f si="3" t="shared"/>
        <v>1.4670999344312879E-2</v>
      </c>
    </row>
    <row r="102" spans="1:7" x14ac:dyDescent="0.45">
      <c r="B102" s="7">
        <f>SUM(B11:B101)</f>
        <v>241777.25308075864</v>
      </c>
      <c r="C102" s="10">
        <f si="2" t="shared"/>
        <v>1</v>
      </c>
      <c r="F102" s="7">
        <f>SUM(F11:F101)</f>
        <v>207416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workbookViewId="0">
      <selection activeCell="M12" sqref="M12"/>
    </sheetView>
  </sheetViews>
  <sheetFormatPr defaultRowHeight="14.25" x14ac:dyDescent="0.45"/>
  <cols>
    <col min="13" max="14" bestFit="true" customWidth="true" width="10.59765625" collapsed="true"/>
    <col min="15" max="18" bestFit="true" customWidth="true" width="11.59765625" collapsed="true"/>
    <col min="19" max="19" bestFit="true" customWidth="true" width="10.597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ht="14.65" r="5" spans="1:21" thickBot="1" x14ac:dyDescent="0.5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19" t="s">
        <v>248</v>
      </c>
      <c r="B7" s="11" t="n">
        <v>74534.64125111542</v>
      </c>
      <c r="C7" s="11" t="n">
        <v>106.844329177892</v>
      </c>
      <c r="D7" s="11" t="n">
        <v>0.0</v>
      </c>
      <c r="E7" s="11" t="n">
        <v>1076.767836639577</v>
      </c>
      <c r="F7" s="11" t="n">
        <v>3336.4823895273403</v>
      </c>
      <c r="G7" s="11" t="n">
        <v>5165.020728715814</v>
      </c>
      <c r="H7" s="11" t="n">
        <v>219.83053331904</v>
      </c>
      <c r="I7" s="11"/>
      <c r="J7" s="11">
        <f>SUM(B7:I7)</f>
        <v>84439.587068495079</v>
      </c>
      <c r="K7" s="11"/>
      <c r="L7" t="str">
        <f>$A$7</f>
        <v>Bellevue</v>
      </c>
      <c r="M7" s="59" t="n">
        <v>69385.0</v>
      </c>
      <c r="N7" s="59" t="n">
        <v>2.0</v>
      </c>
      <c r="O7" s="59" t="n">
        <v>24.0</v>
      </c>
      <c r="P7" s="59" t="n">
        <v>1309.0</v>
      </c>
      <c r="Q7" s="59" t="n">
        <v>239.0</v>
      </c>
      <c r="R7" s="59" t="n">
        <v>3624.0</v>
      </c>
      <c r="S7" s="59" t="n">
        <v>675.0</v>
      </c>
      <c r="T7" s="17"/>
      <c r="U7" s="11">
        <f>SUM(M7:T7)</f>
        <v>75372</v>
      </c>
    </row>
    <row r="8" spans="1:21" x14ac:dyDescent="0.45">
      <c r="A8" t="s">
        <v>249</v>
      </c>
      <c r="B8" s="11" t="n">
        <v>1195.7423654763602</v>
      </c>
      <c r="C8" s="11" t="n">
        <v>10057.016021270925</v>
      </c>
      <c r="D8" s="11" t="n">
        <v>0.0</v>
      </c>
      <c r="E8" s="11" t="n">
        <v>0.0</v>
      </c>
      <c r="F8" s="11" t="n">
        <v>0.0</v>
      </c>
      <c r="G8" s="11" t="n">
        <v>739.5613485482605</v>
      </c>
      <c r="H8" s="11" t="n">
        <v>0.0</v>
      </c>
      <c r="I8" s="11"/>
      <c r="J8" s="11">
        <f ref="J8:J14" si="0" t="shared">SUM(B8:I8)</f>
        <v>11992.319735295547</v>
      </c>
      <c r="K8" s="11"/>
      <c r="L8" t="str">
        <f>$A$8</f>
        <v>Bellevue Downtown</v>
      </c>
      <c r="M8" s="59" t="n">
        <v>261.0</v>
      </c>
      <c r="N8" s="59" t="n">
        <v>9990.0</v>
      </c>
      <c r="O8" s="59" t="n">
        <v>0.0</v>
      </c>
      <c r="P8" s="59" t="n">
        <v>90.0</v>
      </c>
      <c r="Q8" s="59" t="n">
        <v>1.0</v>
      </c>
      <c r="R8" s="59" t="n">
        <v>1904.0</v>
      </c>
      <c r="S8" s="59" t="n">
        <v>2.0</v>
      </c>
      <c r="T8" s="17"/>
      <c r="U8" s="11">
        <f ref="U8:U14" si="1" t="shared">SUM(M8:T8)</f>
        <v>12330</v>
      </c>
    </row>
    <row r="9" spans="1:21" x14ac:dyDescent="0.45">
      <c r="A9" t="s">
        <v>250</v>
      </c>
      <c r="B9" s="11" t="n">
        <v>464.64548361607393</v>
      </c>
      <c r="C9" s="11" t="n">
        <v>0.0</v>
      </c>
      <c r="D9" s="11" t="n">
        <v>6385.897740525515</v>
      </c>
      <c r="E9" s="11" t="n">
        <v>0.0</v>
      </c>
      <c r="F9" s="11" t="n">
        <v>494.9102957395978</v>
      </c>
      <c r="G9" s="11" t="n">
        <v>108.801449974636</v>
      </c>
      <c r="H9" s="11" t="n">
        <v>261.31473271935</v>
      </c>
      <c r="I9" s="11"/>
      <c r="J9" s="11">
        <f si="0" t="shared"/>
        <v>7715.5697025751724</v>
      </c>
      <c r="K9" s="11"/>
      <c r="L9" t="str">
        <f>$A$9</f>
        <v>Kirkland</v>
      </c>
      <c r="M9" s="59" t="n">
        <v>2253.0</v>
      </c>
      <c r="N9" s="59" t="n">
        <v>0.0</v>
      </c>
      <c r="O9" s="59" t="n">
        <v>5576.0</v>
      </c>
      <c r="P9" s="59" t="n">
        <v>11.0</v>
      </c>
      <c r="Q9" s="59" t="n">
        <v>333.0</v>
      </c>
      <c r="R9" s="59" t="n">
        <v>51.0</v>
      </c>
      <c r="S9" s="59" t="n">
        <v>35.0</v>
      </c>
      <c r="T9" s="17"/>
      <c r="U9" s="11">
        <f si="1" t="shared"/>
        <v>8239</v>
      </c>
    </row>
    <row r="10" spans="1:21" x14ac:dyDescent="0.45">
      <c r="A10" t="s">
        <v>251</v>
      </c>
      <c r="B10" s="11" t="n">
        <v>1124.101378195274</v>
      </c>
      <c r="C10" s="11" t="n">
        <v>0.0</v>
      </c>
      <c r="D10" s="11" t="n">
        <v>0.0</v>
      </c>
      <c r="E10" s="11" t="n">
        <v>43480.85270909256</v>
      </c>
      <c r="F10" s="11" t="n">
        <v>53.8266490113655</v>
      </c>
      <c r="G10" s="11" t="n">
        <v>829.794390536125</v>
      </c>
      <c r="H10" s="11" t="n">
        <v>928.7956546936279</v>
      </c>
      <c r="I10" s="11"/>
      <c r="J10" s="11">
        <f si="0" t="shared"/>
        <v>46417.370781528953</v>
      </c>
      <c r="K10" s="11"/>
      <c r="L10" t="str">
        <f>$A$10</f>
        <v>Redmond</v>
      </c>
      <c r="M10" s="59" t="n">
        <v>1504.0</v>
      </c>
      <c r="N10" s="59" t="n">
        <v>3.0</v>
      </c>
      <c r="O10" s="59" t="n">
        <v>0.0</v>
      </c>
      <c r="P10" s="59" t="n">
        <v>36730.0</v>
      </c>
      <c r="Q10" s="59" t="n">
        <v>1.0</v>
      </c>
      <c r="R10" s="59" t="n">
        <v>361.0</v>
      </c>
      <c r="S10" s="59" t="n">
        <v>133.0</v>
      </c>
      <c r="T10" s="17"/>
      <c r="U10" s="11">
        <f si="1" t="shared"/>
        <v>38593</v>
      </c>
    </row>
    <row r="11" spans="1:21" x14ac:dyDescent="0.45">
      <c r="A11" t="s">
        <v>247</v>
      </c>
      <c r="B11" s="11" t="n">
        <v>2552.154022529102</v>
      </c>
      <c r="C11" s="11" t="n">
        <v>0.0</v>
      </c>
      <c r="D11" s="11" t="n">
        <v>1730.450799376942</v>
      </c>
      <c r="E11" s="11" t="n">
        <v>0.0</v>
      </c>
      <c r="F11" s="11" t="n">
        <v>29716.289870208497</v>
      </c>
      <c r="G11" s="11" t="n">
        <v>225.8221522973945</v>
      </c>
      <c r="H11" s="11" t="n">
        <v>576.0426013916522</v>
      </c>
      <c r="I11" s="11"/>
      <c r="J11" s="11">
        <f si="0" t="shared"/>
        <v>34800.759445803582</v>
      </c>
      <c r="K11" s="11"/>
      <c r="L11" t="str">
        <f>$A$11</f>
        <v>Seattle</v>
      </c>
      <c r="M11" s="59" t="n">
        <v>4185.0</v>
      </c>
      <c r="N11" s="59" t="n">
        <v>0.0</v>
      </c>
      <c r="O11" s="59" t="n">
        <v>698.0</v>
      </c>
      <c r="P11" s="59" t="n">
        <v>57.0</v>
      </c>
      <c r="Q11" s="59" t="n">
        <v>17786.0</v>
      </c>
      <c r="R11" s="59" t="n">
        <v>78.0</v>
      </c>
      <c r="S11" s="59" t="n">
        <v>490.0</v>
      </c>
      <c r="T11" s="17"/>
      <c r="U11" s="11">
        <f si="1" t="shared"/>
        <v>23257</v>
      </c>
    </row>
    <row r="12" spans="1:21" x14ac:dyDescent="0.45">
      <c r="A12" t="s">
        <v>252</v>
      </c>
      <c r="B12" s="11" t="n">
        <v>7913.328986053747</v>
      </c>
      <c r="C12" s="11" t="n">
        <v>124.4767670640043</v>
      </c>
      <c r="D12" s="11" t="n">
        <v>0.0</v>
      </c>
      <c r="E12" s="11" t="n">
        <v>145.09195019980092</v>
      </c>
      <c r="F12" s="11" t="n">
        <v>380.84767715949</v>
      </c>
      <c r="G12" s="11" t="n">
        <v>29749.823354724995</v>
      </c>
      <c r="H12" s="11" t="n">
        <v>0.0</v>
      </c>
      <c r="I12" s="11"/>
      <c r="J12" s="11">
        <f si="0" t="shared"/>
        <v>38313.568735202032</v>
      </c>
      <c r="K12" s="11"/>
      <c r="L12" t="str">
        <f>$A$12</f>
        <v>Seattle Downtown</v>
      </c>
      <c r="M12" s="59" t="n">
        <v>3038.0</v>
      </c>
      <c r="N12" s="59" t="n">
        <v>1495.0</v>
      </c>
      <c r="O12" s="59" t="n">
        <v>0.0</v>
      </c>
      <c r="P12" s="59" t="n">
        <v>789.0</v>
      </c>
      <c r="Q12" s="59" t="n">
        <v>3.0</v>
      </c>
      <c r="R12" s="59" t="n">
        <v>26150.0</v>
      </c>
      <c r="S12" s="59" t="n">
        <v>9.0</v>
      </c>
      <c r="T12" s="17"/>
      <c r="U12" s="11">
        <f si="1" t="shared"/>
        <v>31469</v>
      </c>
    </row>
    <row r="13" spans="1:21" x14ac:dyDescent="0.45">
      <c r="A13" t="s">
        <v>253</v>
      </c>
      <c r="B13" s="11" t="n">
        <v>3251.864713812842</v>
      </c>
      <c r="C13" s="11" t="n">
        <v>0.0</v>
      </c>
      <c r="D13" s="11" t="n">
        <v>0.0</v>
      </c>
      <c r="E13" s="11" t="n">
        <v>483.219742449824</v>
      </c>
      <c r="F13" s="11" t="n">
        <v>278.49479259614</v>
      </c>
      <c r="G13" s="11" t="n">
        <v>814.0631898025305</v>
      </c>
      <c r="H13" s="11" t="n">
        <v>13270.435173196985</v>
      </c>
      <c r="I13" s="11"/>
      <c r="J13" s="11">
        <f si="0" t="shared"/>
        <v>18098.077611858324</v>
      </c>
      <c r="K13" s="11"/>
      <c r="L13" t="str">
        <f>$A$13</f>
        <v>Rest</v>
      </c>
      <c r="M13" s="59" t="n">
        <v>3645.0</v>
      </c>
      <c r="N13" s="59" t="n">
        <v>0.0</v>
      </c>
      <c r="O13" s="59" t="n">
        <v>2.0</v>
      </c>
      <c r="P13" s="59" t="n">
        <v>694.0</v>
      </c>
      <c r="Q13" s="59" t="n">
        <v>77.0</v>
      </c>
      <c r="R13" s="59" t="n">
        <v>54.0</v>
      </c>
      <c r="S13" s="59" t="n">
        <v>13820.0</v>
      </c>
      <c r="T13" s="17"/>
      <c r="U13" s="11">
        <f si="1" t="shared"/>
        <v>18156</v>
      </c>
    </row>
    <row r="14" spans="1:21" x14ac:dyDescent="0.45">
      <c r="A14" s="6" t="s">
        <v>13</v>
      </c>
      <c r="B14" s="12"/>
      <c r="C14" s="12"/>
      <c r="D14" s="12"/>
      <c r="E14" s="12"/>
      <c r="F14" s="12"/>
      <c r="G14" s="12"/>
      <c r="H14" s="12"/>
      <c r="I14" s="12"/>
      <c r="J14" s="12">
        <f si="0" t="shared"/>
        <v>0</v>
      </c>
      <c r="K14" s="11"/>
      <c r="L14" s="12" t="s">
        <v>13</v>
      </c>
      <c r="M14" s="12"/>
      <c r="N14" s="12"/>
      <c r="O14" s="12"/>
      <c r="P14" s="12"/>
      <c r="Q14" s="12"/>
      <c r="R14" s="12"/>
      <c r="S14" s="12"/>
      <c r="T14" s="12"/>
      <c r="U14" s="12">
        <f si="1" t="shared"/>
        <v>0</v>
      </c>
    </row>
    <row ht="14.65" r="15" spans="1:21" thickBot="1" x14ac:dyDescent="0.5">
      <c r="A15" s="1" t="s">
        <v>4</v>
      </c>
      <c r="B15" s="13">
        <f ref="B15:J15" si="2" t="shared">SUM(B7:B14)</f>
        <v>91036.478200798811</v>
      </c>
      <c r="C15" s="13">
        <f si="2" t="shared"/>
        <v>10288.337117512821</v>
      </c>
      <c r="D15" s="13">
        <f si="2" t="shared"/>
        <v>8116.3485399024567</v>
      </c>
      <c r="E15" s="13">
        <f si="2" t="shared"/>
        <v>45185.932238381763</v>
      </c>
      <c r="F15" s="13">
        <f si="2" t="shared"/>
        <v>34260.851674242425</v>
      </c>
      <c r="G15" s="13">
        <f si="2" t="shared"/>
        <v>37632.88661459976</v>
      </c>
      <c r="H15" s="13">
        <f si="2" t="shared"/>
        <v>15256.418695320655</v>
      </c>
      <c r="I15" s="13">
        <f si="2" t="shared"/>
        <v>0</v>
      </c>
      <c r="J15" s="13">
        <f si="2" t="shared"/>
        <v>241777.25308075867</v>
      </c>
      <c r="K15" s="11"/>
      <c r="L15" s="13" t="s">
        <v>4</v>
      </c>
      <c r="M15" s="13">
        <f ref="M15:U15" si="3" t="shared">SUM(M7:M14)</f>
        <v>83262</v>
      </c>
      <c r="N15" s="13">
        <f si="3" t="shared"/>
        <v>11507</v>
      </c>
      <c r="O15" s="13">
        <f si="3" t="shared"/>
        <v>6297</v>
      </c>
      <c r="P15" s="13">
        <f si="3" t="shared"/>
        <v>39413</v>
      </c>
      <c r="Q15" s="13">
        <f si="3" t="shared"/>
        <v>18442</v>
      </c>
      <c r="R15" s="13">
        <f si="3" t="shared"/>
        <v>33518</v>
      </c>
      <c r="S15" s="13">
        <f si="3" t="shared"/>
        <v>14977</v>
      </c>
      <c r="T15" s="13">
        <f si="3" t="shared"/>
        <v>0</v>
      </c>
      <c r="U15" s="13">
        <f si="3" t="shared"/>
        <v>207416</v>
      </c>
    </row>
    <row ht="14.65" r="18" spans="1:32" thickBot="1" x14ac:dyDescent="0.5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1">
        <f ref="B20:G20" si="4" t="shared">($U7/$J7)*B7</f>
        <v>66530.701717217613</v>
      </c>
      <c r="C20" s="11">
        <f si="4" t="shared"/>
        <v>95.370797730970025</v>
      </c>
      <c r="D20" s="11">
        <f si="4" t="shared"/>
        <v>0</v>
      </c>
      <c r="E20" s="11">
        <f si="4" t="shared"/>
        <v>961.13858677879284</v>
      </c>
      <c r="F20" s="11">
        <f si="4" t="shared"/>
        <v>2978.1925681311441</v>
      </c>
      <c r="G20" s="11">
        <f si="4" t="shared"/>
        <v>4610.3724080149814</v>
      </c>
      <c r="H20" s="11">
        <f ref="H20" si="5" t="shared">($U7/$J7)*H7</f>
        <v>196.22392212650578</v>
      </c>
      <c r="I20" s="11"/>
      <c r="J20" s="11">
        <f>SUM(B20:I20)</f>
        <v>75372</v>
      </c>
      <c r="K20" s="11"/>
      <c r="L20" t="str">
        <f>$A$7</f>
        <v>Bellevue</v>
      </c>
      <c r="M20" s="11">
        <f ref="M20:M26" si="6" t="shared">M7</f>
        <v>68870</v>
      </c>
      <c r="N20" s="11">
        <f ref="N20:U20" si="7" t="shared">N7</f>
        <v>0</v>
      </c>
      <c r="O20" s="11">
        <f si="7" t="shared"/>
        <v>19</v>
      </c>
      <c r="P20" s="11">
        <f si="7" t="shared"/>
        <v>1263</v>
      </c>
      <c r="Q20" s="11">
        <f si="7" t="shared"/>
        <v>249</v>
      </c>
      <c r="R20" s="11">
        <f si="7" t="shared"/>
        <v>4303</v>
      </c>
      <c r="S20" s="11">
        <f ref="S20" si="8" t="shared">S7</f>
        <v>668</v>
      </c>
      <c r="T20" s="11"/>
      <c r="U20" s="11">
        <f si="7" t="shared"/>
        <v>75372</v>
      </c>
    </row>
    <row r="21" spans="1:32" x14ac:dyDescent="0.45">
      <c r="A21" t="str">
        <f>$A$8</f>
        <v>Bellevue Downtown</v>
      </c>
      <c r="B21" s="11">
        <f ref="B21:G26" si="9" t="shared">($U8/$J8)*B8</f>
        <v>1229.4121314103015</v>
      </c>
      <c r="C21" s="11">
        <f si="9" t="shared"/>
        <v>10340.201919175606</v>
      </c>
      <c r="D21" s="11">
        <f si="9" t="shared"/>
        <v>0</v>
      </c>
      <c r="E21" s="11">
        <f si="9" t="shared"/>
        <v>0</v>
      </c>
      <c r="F21" s="11">
        <f si="9" t="shared"/>
        <v>0</v>
      </c>
      <c r="G21" s="11">
        <f si="9" t="shared"/>
        <v>760.38594941409167</v>
      </c>
      <c r="H21" s="11">
        <f ref="H21" si="10" t="shared">($U8/$J8)*H8</f>
        <v>0</v>
      </c>
      <c r="I21" s="11"/>
      <c r="J21" s="11">
        <f ref="J21:J27" si="11" t="shared">SUM(B21:I21)</f>
        <v>12330</v>
      </c>
      <c r="K21" s="11"/>
      <c r="L21" t="str">
        <f>$A$8</f>
        <v>Bellevue Downtown</v>
      </c>
      <c r="M21" s="11">
        <f si="6" t="shared"/>
        <v>232</v>
      </c>
      <c r="N21" s="11">
        <f ref="N21:R26" si="12" t="shared">N8</f>
        <v>9997</v>
      </c>
      <c r="O21" s="11">
        <f si="12" t="shared"/>
        <v>0</v>
      </c>
      <c r="P21" s="11">
        <f si="12" t="shared"/>
        <v>74</v>
      </c>
      <c r="Q21" s="11">
        <f si="12" t="shared"/>
        <v>0</v>
      </c>
      <c r="R21" s="11">
        <f si="12" t="shared"/>
        <v>2027</v>
      </c>
      <c r="S21" s="11">
        <f ref="S21" si="13" t="shared">S8</f>
        <v>0</v>
      </c>
      <c r="T21" s="11"/>
      <c r="U21" s="11">
        <f ref="U21:U26" si="14" t="shared">U8</f>
        <v>12330</v>
      </c>
    </row>
    <row r="22" spans="1:32" x14ac:dyDescent="0.45">
      <c r="A22" t="str">
        <f>$A$9</f>
        <v>Kirkland</v>
      </c>
      <c r="B22" s="11">
        <f si="9" t="shared"/>
        <v>496.16739749433106</v>
      </c>
      <c r="C22" s="11">
        <f si="9" t="shared"/>
        <v>0</v>
      </c>
      <c r="D22" s="11">
        <f si="9" t="shared"/>
        <v>6819.122049617321</v>
      </c>
      <c r="E22" s="11">
        <f si="9" t="shared"/>
        <v>0</v>
      </c>
      <c r="F22" s="11">
        <f si="9" t="shared"/>
        <v>528.48539819912526</v>
      </c>
      <c r="G22" s="11">
        <f si="9" t="shared"/>
        <v>116.18262563836805</v>
      </c>
      <c r="H22" s="11">
        <f ref="H22" si="15" t="shared">($U9/$J9)*H9</f>
        <v>279.0425290508544</v>
      </c>
      <c r="I22" s="11"/>
      <c r="J22" s="11">
        <f si="11" t="shared"/>
        <v>8239</v>
      </c>
      <c r="K22" s="11"/>
      <c r="L22" t="str">
        <f>$A$9</f>
        <v>Kirkland</v>
      </c>
      <c r="M22" s="11">
        <f si="6" t="shared"/>
        <v>2253</v>
      </c>
      <c r="N22" s="11">
        <f si="12" t="shared"/>
        <v>0</v>
      </c>
      <c r="O22" s="11">
        <f si="12" t="shared"/>
        <v>5573</v>
      </c>
      <c r="P22" s="11">
        <f si="12" t="shared"/>
        <v>14</v>
      </c>
      <c r="Q22" s="11">
        <f si="12" t="shared"/>
        <v>323</v>
      </c>
      <c r="R22" s="11">
        <f si="12" t="shared"/>
        <v>49</v>
      </c>
      <c r="S22" s="11">
        <f ref="S22" si="16" t="shared">S9</f>
        <v>27</v>
      </c>
      <c r="T22" s="11"/>
      <c r="U22" s="11">
        <f si="14" t="shared"/>
        <v>8239</v>
      </c>
    </row>
    <row r="23" spans="1:32" x14ac:dyDescent="0.45">
      <c r="A23" t="str">
        <f>$A$10</f>
        <v>Redmond</v>
      </c>
      <c r="B23" s="11">
        <f si="9" t="shared"/>
        <v>934.61658336653477</v>
      </c>
      <c r="C23" s="11">
        <f si="9" t="shared"/>
        <v>0</v>
      </c>
      <c r="D23" s="11">
        <f si="9" t="shared"/>
        <v>0</v>
      </c>
      <c r="E23" s="11">
        <f si="9" t="shared"/>
        <v>36151.477784040384</v>
      </c>
      <c r="F23" s="11">
        <f si="9" t="shared"/>
        <v>44.753328986963417</v>
      </c>
      <c r="G23" s="11">
        <f si="9" t="shared"/>
        <v>689.91962221833137</v>
      </c>
      <c r="H23" s="11">
        <f ref="H23" si="17" t="shared">($U10/$J10)*H10</f>
        <v>772.2326813877861</v>
      </c>
      <c r="I23" s="11"/>
      <c r="J23" s="11">
        <f>SUM(B23:I23)</f>
        <v>38593</v>
      </c>
      <c r="K23" s="11"/>
      <c r="L23" t="str">
        <f>$A$10</f>
        <v>Redmond</v>
      </c>
      <c r="M23" s="11">
        <f si="6" t="shared"/>
        <v>1521</v>
      </c>
      <c r="N23" s="11">
        <f si="12" t="shared"/>
        <v>4</v>
      </c>
      <c r="O23" s="11">
        <f si="12" t="shared"/>
        <v>0</v>
      </c>
      <c r="P23" s="11">
        <f si="12" t="shared"/>
        <v>36499</v>
      </c>
      <c r="Q23" s="11">
        <f si="12" t="shared"/>
        <v>0</v>
      </c>
      <c r="R23" s="11">
        <f si="12" t="shared"/>
        <v>445</v>
      </c>
      <c r="S23" s="11">
        <f ref="S23" si="18" t="shared">S10</f>
        <v>124</v>
      </c>
      <c r="T23" s="11"/>
      <c r="U23" s="11">
        <f si="14" t="shared"/>
        <v>38593</v>
      </c>
    </row>
    <row r="24" spans="1:32" x14ac:dyDescent="0.45">
      <c r="A24" t="str">
        <f>$A$11</f>
        <v>Seattle</v>
      </c>
      <c r="B24" s="11">
        <f si="9" t="shared"/>
        <v>1705.5790461813224</v>
      </c>
      <c r="C24" s="11">
        <f si="9" t="shared"/>
        <v>0</v>
      </c>
      <c r="D24" s="11">
        <f si="9" t="shared"/>
        <v>1156.4429880843436</v>
      </c>
      <c r="E24" s="11">
        <f si="9" t="shared"/>
        <v>0</v>
      </c>
      <c r="F24" s="11">
        <f si="9" t="shared"/>
        <v>19859.099758662771</v>
      </c>
      <c r="G24" s="11">
        <f si="9" t="shared"/>
        <v>150.914689208422</v>
      </c>
      <c r="H24" s="11">
        <f ref="H24" si="19" t="shared">($U11/$J11)*H11</f>
        <v>384.96351786314602</v>
      </c>
      <c r="I24" s="11"/>
      <c r="J24" s="11">
        <f si="11" t="shared"/>
        <v>23257.000000000004</v>
      </c>
      <c r="K24" s="11"/>
      <c r="L24" t="str">
        <f>$A$11</f>
        <v>Seattle</v>
      </c>
      <c r="M24" s="11">
        <f si="6" t="shared"/>
        <v>4149</v>
      </c>
      <c r="N24" s="11">
        <f si="12" t="shared"/>
        <v>0</v>
      </c>
      <c r="O24" s="11">
        <f si="12" t="shared"/>
        <v>705</v>
      </c>
      <c r="P24" s="11">
        <f si="12" t="shared"/>
        <v>35</v>
      </c>
      <c r="Q24" s="11">
        <f si="12" t="shared"/>
        <v>17795</v>
      </c>
      <c r="R24" s="11">
        <f si="12" t="shared"/>
        <v>116</v>
      </c>
      <c r="S24" s="11">
        <f ref="S24" si="20" t="shared">S11</f>
        <v>457</v>
      </c>
      <c r="T24" s="11"/>
      <c r="U24" s="11">
        <f si="14" t="shared"/>
        <v>23257</v>
      </c>
    </row>
    <row r="25" spans="1:32" x14ac:dyDescent="0.45">
      <c r="A25" t="str">
        <f>$A$12</f>
        <v>Seattle Downtown</v>
      </c>
      <c r="B25" s="11">
        <f si="9" t="shared"/>
        <v>6499.6438098266917</v>
      </c>
      <c r="C25" s="11">
        <f si="9" t="shared"/>
        <v>102.23948099979823</v>
      </c>
      <c r="D25" s="11">
        <f si="9" t="shared"/>
        <v>0</v>
      </c>
      <c r="E25" s="11">
        <f si="9" t="shared"/>
        <v>119.17184254993307</v>
      </c>
      <c r="F25" s="11">
        <f si="9" t="shared"/>
        <v>312.81073385159283</v>
      </c>
      <c r="G25" s="11">
        <f si="9" t="shared"/>
        <v>24435.134132771989</v>
      </c>
      <c r="H25" s="11">
        <f ref="H25:H26" si="21" t="shared">($U12/$J12)*H12</f>
        <v>0</v>
      </c>
      <c r="I25" s="11"/>
      <c r="J25" s="11">
        <f si="11" t="shared"/>
        <v>31469.000000000007</v>
      </c>
      <c r="K25" s="11"/>
      <c r="L25" t="str">
        <f>$A$12</f>
        <v>Seattle Downtown</v>
      </c>
      <c r="M25" s="11">
        <f si="6" t="shared"/>
        <v>2657</v>
      </c>
      <c r="N25" s="11">
        <f si="12" t="shared"/>
        <v>1506</v>
      </c>
      <c r="O25" s="11">
        <f si="12" t="shared"/>
        <v>0</v>
      </c>
      <c r="P25" s="11">
        <f si="12" t="shared"/>
        <v>790</v>
      </c>
      <c r="Q25" s="11">
        <f si="12" t="shared"/>
        <v>0</v>
      </c>
      <c r="R25" s="11">
        <f si="12" t="shared"/>
        <v>26499</v>
      </c>
      <c r="S25" s="11">
        <f ref="S25:S26" si="22" t="shared">S12</f>
        <v>17</v>
      </c>
      <c r="T25" s="11"/>
      <c r="U25" s="11">
        <f si="14" t="shared"/>
        <v>31469</v>
      </c>
    </row>
    <row r="26" spans="1:32" x14ac:dyDescent="0.45">
      <c r="A26" t="str">
        <f>$A$13</f>
        <v>Rest</v>
      </c>
      <c r="B26" s="11">
        <f si="9" t="shared"/>
        <v>3262.2722153263881</v>
      </c>
      <c r="C26" s="11">
        <f si="9" t="shared"/>
        <v>0</v>
      </c>
      <c r="D26" s="11">
        <f si="9" t="shared"/>
        <v>0</v>
      </c>
      <c r="E26" s="11">
        <f si="9" t="shared"/>
        <v>484.76627363839401</v>
      </c>
      <c r="F26" s="11">
        <f si="9" t="shared"/>
        <v>279.38610734338249</v>
      </c>
      <c r="G26" s="11">
        <f si="9" t="shared"/>
        <v>816.66857613487207</v>
      </c>
      <c r="H26" s="11">
        <f si="21" t="shared"/>
        <v>13312.906827556963</v>
      </c>
      <c r="I26" s="11"/>
      <c r="J26" s="11">
        <f si="11" t="shared"/>
        <v>18156</v>
      </c>
      <c r="K26" s="11"/>
      <c r="L26" t="str">
        <f>$A$13</f>
        <v>Rest</v>
      </c>
      <c r="M26" s="11">
        <f si="6" t="shared"/>
        <v>3580</v>
      </c>
      <c r="N26" s="11">
        <f si="12" t="shared"/>
        <v>0</v>
      </c>
      <c r="O26" s="11">
        <f si="12" t="shared"/>
        <v>0</v>
      </c>
      <c r="P26" s="11">
        <f si="12" t="shared"/>
        <v>738</v>
      </c>
      <c r="Q26" s="11">
        <f si="12" t="shared"/>
        <v>75</v>
      </c>
      <c r="R26" s="11">
        <f si="12" t="shared"/>
        <v>79</v>
      </c>
      <c r="S26" s="11">
        <f si="22" t="shared"/>
        <v>13684</v>
      </c>
      <c r="T26" s="11"/>
      <c r="U26" s="11">
        <f si="14" t="shared"/>
        <v>18156</v>
      </c>
    </row>
    <row r="27" spans="1:32" x14ac:dyDescent="0.45">
      <c r="A27" s="6" t="s">
        <v>13</v>
      </c>
      <c r="B27" s="12"/>
      <c r="C27" s="12"/>
      <c r="D27" s="12"/>
      <c r="E27" s="12"/>
      <c r="F27" s="12"/>
      <c r="G27" s="12"/>
      <c r="H27" s="11"/>
      <c r="I27" s="12"/>
      <c r="J27" s="11">
        <f si="11" t="shared"/>
        <v>0</v>
      </c>
      <c r="K27" s="11"/>
      <c r="L27" s="12" t="s">
        <v>13</v>
      </c>
      <c r="M27" s="12"/>
      <c r="N27" s="12"/>
      <c r="O27" s="12"/>
      <c r="P27" s="12"/>
      <c r="Q27" s="12"/>
      <c r="R27" s="12"/>
      <c r="S27" s="12"/>
      <c r="T27" s="12"/>
      <c r="U27" s="12"/>
    </row>
    <row ht="14.65" r="28" spans="1:32" thickBot="1" x14ac:dyDescent="0.5">
      <c r="A28" s="1" t="s">
        <v>4</v>
      </c>
      <c r="B28" s="13">
        <f ref="B28:J28" si="23" t="shared">SUM(B20:B27)</f>
        <v>80658.392900823164</v>
      </c>
      <c r="C28" s="13">
        <f si="23" t="shared"/>
        <v>10537.812197906374</v>
      </c>
      <c r="D28" s="13">
        <f si="23" t="shared"/>
        <v>7975.5650377016646</v>
      </c>
      <c r="E28" s="13">
        <f si="23" t="shared"/>
        <v>37716.554487007503</v>
      </c>
      <c r="F28" s="13">
        <f si="23" t="shared"/>
        <v>24002.727895174979</v>
      </c>
      <c r="G28" s="13">
        <f si="23" t="shared"/>
        <v>31579.578003401053</v>
      </c>
      <c r="H28" s="13">
        <f si="23" t="shared"/>
        <v>14945.369477985256</v>
      </c>
      <c r="I28" s="13">
        <f si="23" t="shared"/>
        <v>0</v>
      </c>
      <c r="J28" s="13">
        <f si="23" t="shared"/>
        <v>207416</v>
      </c>
      <c r="K28" s="11"/>
      <c r="L28" s="13" t="s">
        <v>4</v>
      </c>
      <c r="M28" s="13">
        <f ref="M28:U28" si="24" t="shared">M15</f>
        <v>83262</v>
      </c>
      <c r="N28" s="13">
        <f si="24" t="shared"/>
        <v>11507</v>
      </c>
      <c r="O28" s="13">
        <f si="24" t="shared"/>
        <v>6297</v>
      </c>
      <c r="P28" s="13">
        <f si="24" t="shared"/>
        <v>39413</v>
      </c>
      <c r="Q28" s="13">
        <f si="24" t="shared"/>
        <v>18442</v>
      </c>
      <c r="R28" s="13">
        <f si="24" t="shared"/>
        <v>33518</v>
      </c>
      <c r="S28" s="13">
        <f si="24" t="shared"/>
        <v>14977</v>
      </c>
      <c r="T28" s="13"/>
      <c r="U28" s="13">
        <f si="24" t="shared"/>
        <v>207416</v>
      </c>
    </row>
    <row ht="14.65" r="31" spans="1:32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4">
        <f ref="B33:G33" si="25" t="shared">B20/$J$28</f>
        <v>0.3207597375188877</v>
      </c>
      <c r="C33" s="14">
        <f si="25" t="shared"/>
        <v>4.5980444001894757E-4</v>
      </c>
      <c r="D33" s="14">
        <f si="25" t="shared"/>
        <v>0</v>
      </c>
      <c r="E33" s="14">
        <f si="25" t="shared"/>
        <v>4.6338690688220432E-3</v>
      </c>
      <c r="F33" s="14">
        <f si="25" t="shared"/>
        <v>1.4358547885077063E-2</v>
      </c>
      <c r="G33" s="14">
        <f si="25" t="shared"/>
        <v>2.2227660392713105E-2</v>
      </c>
      <c r="H33" s="14">
        <f ref="H33" si="26" t="shared">H20/$J$28</f>
        <v>9.4604043143492196E-4</v>
      </c>
      <c r="I33" s="11"/>
      <c r="J33" s="14">
        <f ref="J33:J39" si="27" t="shared">J20/$J$28</f>
        <v>0.36338565973695375</v>
      </c>
      <c r="K33" s="11"/>
      <c r="L33" t="str">
        <f>$A$7</f>
        <v>Bellevue</v>
      </c>
      <c r="M33" s="14">
        <f ref="M33:R33" si="28" t="shared">M20/$U$28</f>
        <v>0.33203802985304892</v>
      </c>
      <c r="N33" s="14">
        <f si="28" t="shared"/>
        <v>0</v>
      </c>
      <c r="O33" s="14">
        <f si="28" t="shared"/>
        <v>9.1603347861302884E-5</v>
      </c>
      <c r="P33" s="14">
        <f si="28" t="shared"/>
        <v>6.0892120183592396E-3</v>
      </c>
      <c r="Q33" s="14">
        <f si="28" t="shared"/>
        <v>1.2004859798665484E-3</v>
      </c>
      <c r="R33" s="14">
        <f si="28" t="shared"/>
        <v>2.07457476761677E-2</v>
      </c>
      <c r="S33" s="14">
        <f ref="S33" si="29" t="shared">S20/$U$28</f>
        <v>3.2205808616500172E-3</v>
      </c>
      <c r="T33" s="14"/>
      <c r="U33" s="14">
        <f ref="U33:U39" si="30" t="shared">U20/$U$28</f>
        <v>0.36338565973695375</v>
      </c>
      <c r="W33" t="str">
        <f>$A$7</f>
        <v>Bellevue</v>
      </c>
      <c r="X33" s="14">
        <f ref="X33:AD33" si="31" t="shared">M33-B33</f>
        <v>1.1278292334161222E-2</v>
      </c>
      <c r="Y33" s="14">
        <f si="31" t="shared"/>
        <v>-4.5980444001894757E-4</v>
      </c>
      <c r="Z33" s="14">
        <f si="31" t="shared"/>
        <v>9.1603347861302884E-5</v>
      </c>
      <c r="AA33" s="14">
        <f si="31" t="shared"/>
        <v>1.4553429495371964E-3</v>
      </c>
      <c r="AB33" s="14">
        <f si="31" t="shared"/>
        <v>-1.3158061905210515E-2</v>
      </c>
      <c r="AC33" s="14">
        <f si="31" t="shared"/>
        <v>-1.4819127165454048E-3</v>
      </c>
      <c r="AD33" s="14">
        <f si="31" t="shared"/>
        <v>2.2745404302150951E-3</v>
      </c>
      <c r="AE33" s="14"/>
      <c r="AF33" s="14">
        <f ref="AF33:AF39" si="32" t="shared">U33-J33</f>
        <v>0</v>
      </c>
    </row>
    <row r="34" spans="1:32" x14ac:dyDescent="0.45">
      <c r="A34" t="str">
        <f>$A$8</f>
        <v>Bellevue Downtown</v>
      </c>
      <c r="B34" s="14">
        <f ref="B34:G39" si="33" t="shared">B21/$J$28</f>
        <v>5.92727721781493E-3</v>
      </c>
      <c r="C34" s="14">
        <f si="33" t="shared"/>
        <v>4.9852479650439728E-2</v>
      </c>
      <c r="D34" s="14">
        <f si="33" t="shared"/>
        <v>0</v>
      </c>
      <c r="E34" s="14">
        <f si="33" t="shared"/>
        <v>0</v>
      </c>
      <c r="F34" s="14">
        <f si="33" t="shared"/>
        <v>0</v>
      </c>
      <c r="G34" s="14">
        <f si="33" t="shared"/>
        <v>3.6659946648961105E-3</v>
      </c>
      <c r="H34" s="14">
        <f ref="H34" si="34" t="shared">H21/$J$28</f>
        <v>0</v>
      </c>
      <c r="I34" s="11"/>
      <c r="J34" s="14">
        <f si="27" t="shared"/>
        <v>5.9445751533150772E-2</v>
      </c>
      <c r="K34" s="11"/>
      <c r="L34" t="str">
        <f>$A$8</f>
        <v>Bellevue Downtown</v>
      </c>
      <c r="M34" s="14">
        <f ref="M34:R39" si="35" t="shared">M21/$U$28</f>
        <v>1.1185250896748563E-3</v>
      </c>
      <c r="N34" s="14">
        <f si="35" t="shared"/>
        <v>4.8197824661549739E-2</v>
      </c>
      <c r="O34" s="14">
        <f si="35" t="shared"/>
        <v>0</v>
      </c>
      <c r="P34" s="14">
        <f si="35" t="shared"/>
        <v>3.5677093377560075E-4</v>
      </c>
      <c r="Q34" s="14">
        <f si="35" t="shared"/>
        <v>0</v>
      </c>
      <c r="R34" s="14">
        <f si="35" t="shared"/>
        <v>9.7726308481505767E-3</v>
      </c>
      <c r="S34" s="14">
        <f ref="S34" si="36" t="shared">S21/$U$28</f>
        <v>0</v>
      </c>
      <c r="T34" s="14"/>
      <c r="U34" s="14">
        <f si="30" t="shared"/>
        <v>5.9445751533150772E-2</v>
      </c>
      <c r="W34" t="str">
        <f>$A$8</f>
        <v>Bellevue Downtown</v>
      </c>
      <c r="X34" s="14">
        <f ref="X34:X38" si="37" t="shared">M34-B34</f>
        <v>-4.8087521281400735E-3</v>
      </c>
      <c r="Y34" s="14">
        <f ref="Y34:AD38" si="38" t="shared">N34-C34</f>
        <v>-1.6546549888899892E-3</v>
      </c>
      <c r="Z34" s="14">
        <f si="38" t="shared"/>
        <v>0</v>
      </c>
      <c r="AA34" s="14">
        <f si="38" t="shared"/>
        <v>3.5677093377560075E-4</v>
      </c>
      <c r="AB34" s="14">
        <f si="38" t="shared"/>
        <v>0</v>
      </c>
      <c r="AC34" s="14">
        <f si="38" t="shared"/>
        <v>6.1066361832544658E-3</v>
      </c>
      <c r="AD34" s="14">
        <f si="38" t="shared"/>
        <v>0</v>
      </c>
      <c r="AE34" s="14"/>
      <c r="AF34" s="14">
        <f si="32" t="shared"/>
        <v>0</v>
      </c>
    </row>
    <row r="35" spans="1:32" x14ac:dyDescent="0.45">
      <c r="A35" t="str">
        <f>$A$9</f>
        <v>Kirkland</v>
      </c>
      <c r="B35" s="14">
        <f si="33" t="shared"/>
        <v>2.3921365636900291E-3</v>
      </c>
      <c r="C35" s="14">
        <f si="33" t="shared"/>
        <v>0</v>
      </c>
      <c r="D35" s="14">
        <f si="33" t="shared"/>
        <v>3.287654785367243E-2</v>
      </c>
      <c r="E35" s="14">
        <f si="33" t="shared"/>
        <v>0</v>
      </c>
      <c r="F35" s="14">
        <f si="33" t="shared"/>
        <v>2.5479490405712446E-3</v>
      </c>
      <c r="G35" s="14">
        <f si="33" t="shared"/>
        <v>5.6014302483110292E-4</v>
      </c>
      <c r="H35" s="14">
        <f ref="H35" si="39" t="shared">H22/$J$28</f>
        <v>1.3453278871970069E-3</v>
      </c>
      <c r="I35" s="11"/>
      <c r="J35" s="14">
        <f si="27" t="shared"/>
        <v>3.9722104369961819E-2</v>
      </c>
      <c r="K35" s="11"/>
      <c r="L35" t="str">
        <f>$A$9</f>
        <v>Kirkland</v>
      </c>
      <c r="M35" s="14">
        <f si="35" t="shared"/>
        <v>1.0862228564816601E-2</v>
      </c>
      <c r="N35" s="14">
        <f si="35" t="shared"/>
        <v>0</v>
      </c>
      <c r="O35" s="14">
        <f si="35" t="shared"/>
        <v>2.6868708296370579E-2</v>
      </c>
      <c r="P35" s="14">
        <f si="35" t="shared"/>
        <v>6.7497203687275808E-5</v>
      </c>
      <c r="Q35" s="14">
        <f si="35" t="shared"/>
        <v>1.5572569136421491E-3</v>
      </c>
      <c r="R35" s="14">
        <f si="35" t="shared"/>
        <v>2.3624021290546534E-4</v>
      </c>
      <c r="S35" s="14">
        <f ref="S35" si="40" t="shared">S22/$U$28</f>
        <v>1.3017317853974622E-4</v>
      </c>
      <c r="T35" s="14"/>
      <c r="U35" s="14">
        <f si="30" t="shared"/>
        <v>3.9722104369961819E-2</v>
      </c>
      <c r="W35" t="str">
        <f>$A$9</f>
        <v>Kirkland</v>
      </c>
      <c r="X35" s="14">
        <f si="37" t="shared"/>
        <v>8.470092001126573E-3</v>
      </c>
      <c r="Y35" s="14">
        <f si="38" t="shared"/>
        <v>0</v>
      </c>
      <c r="Z35" s="14">
        <f si="38" t="shared"/>
        <v>-6.0078395573018514E-3</v>
      </c>
      <c r="AA35" s="14">
        <f si="38" t="shared"/>
        <v>6.7497203687275808E-5</v>
      </c>
      <c r="AB35" s="14">
        <f si="38" t="shared"/>
        <v>-9.9069212692909554E-4</v>
      </c>
      <c r="AC35" s="14">
        <f si="38" t="shared"/>
        <v>-3.2390281192563755E-4</v>
      </c>
      <c r="AD35" s="14">
        <f si="38" t="shared"/>
        <v>-1.2151547086572607E-3</v>
      </c>
      <c r="AE35" s="14"/>
      <c r="AF35" s="14">
        <f si="32" t="shared"/>
        <v>0</v>
      </c>
    </row>
    <row r="36" spans="1:32" x14ac:dyDescent="0.45">
      <c r="A36" t="str">
        <f>$A$10</f>
        <v>Redmond</v>
      </c>
      <c r="B36" s="14">
        <f si="33" t="shared"/>
        <v>4.5060004212140563E-3</v>
      </c>
      <c r="C36" s="14">
        <f si="33" t="shared"/>
        <v>0</v>
      </c>
      <c r="D36" s="14">
        <f si="33" t="shared"/>
        <v>0</v>
      </c>
      <c r="E36" s="14">
        <f si="33" t="shared"/>
        <v>0.17429454711324288</v>
      </c>
      <c r="F36" s="14">
        <f si="33" t="shared"/>
        <v>2.1576604016548104E-4</v>
      </c>
      <c r="G36" s="14">
        <f si="33" t="shared"/>
        <v>3.326260376337078E-3</v>
      </c>
      <c r="H36" s="14">
        <f ref="H36" si="41" t="shared">H23/$J$28</f>
        <v>3.7231104706858973E-3</v>
      </c>
      <c r="I36" s="11"/>
      <c r="J36" s="14">
        <f si="27" t="shared"/>
        <v>0.18606568442164539</v>
      </c>
      <c r="K36" s="11"/>
      <c r="L36" t="str">
        <f>$A$10</f>
        <v>Redmond</v>
      </c>
      <c r="M36" s="14">
        <f si="35" t="shared"/>
        <v>7.3330890577390367E-3</v>
      </c>
      <c r="N36" s="14">
        <f si="35" t="shared"/>
        <v>1.9284915339221662E-5</v>
      </c>
      <c r="O36" s="14">
        <f si="35" t="shared"/>
        <v>0</v>
      </c>
      <c r="P36" s="14">
        <f si="35" t="shared"/>
        <v>0.17597003124156285</v>
      </c>
      <c r="Q36" s="14">
        <f si="35" t="shared"/>
        <v>0</v>
      </c>
      <c r="R36" s="14">
        <f si="35" t="shared"/>
        <v>2.1454468314884099E-3</v>
      </c>
      <c r="S36" s="14">
        <f ref="S36" si="42" t="shared">S23/$U$28</f>
        <v>5.9783237551587151E-4</v>
      </c>
      <c r="T36" s="14"/>
      <c r="U36" s="14">
        <f si="30" t="shared"/>
        <v>0.18606568442164539</v>
      </c>
      <c r="W36" t="str">
        <f>$A$10</f>
        <v>Redmond</v>
      </c>
      <c r="X36" s="14">
        <f si="37" t="shared"/>
        <v>2.8270886365249805E-3</v>
      </c>
      <c r="Y36" s="14">
        <f si="38" t="shared"/>
        <v>1.9284915339221662E-5</v>
      </c>
      <c r="Z36" s="14">
        <f si="38" t="shared"/>
        <v>0</v>
      </c>
      <c r="AA36" s="14">
        <f si="38" t="shared"/>
        <v>1.6754841283199706E-3</v>
      </c>
      <c r="AB36" s="14">
        <f si="38" t="shared"/>
        <v>-2.1576604016548104E-4</v>
      </c>
      <c r="AC36" s="14">
        <f si="38" t="shared"/>
        <v>-1.1808135448486681E-3</v>
      </c>
      <c r="AD36" s="14">
        <f si="38" t="shared"/>
        <v>-3.1252780951700259E-3</v>
      </c>
      <c r="AE36" s="14"/>
      <c r="AF36" s="14">
        <f si="32" t="shared"/>
        <v>0</v>
      </c>
    </row>
    <row r="37" spans="1:32" x14ac:dyDescent="0.45">
      <c r="A37" t="str">
        <f>$A$11</f>
        <v>Seattle</v>
      </c>
      <c r="B37" s="14">
        <f si="33" t="shared"/>
        <v>8.2229868774893085E-3</v>
      </c>
      <c r="C37" s="14">
        <f si="33" t="shared"/>
        <v>0</v>
      </c>
      <c r="D37" s="14">
        <f si="33" t="shared"/>
        <v>5.5754762799607727E-3</v>
      </c>
      <c r="E37" s="14">
        <f si="33" t="shared"/>
        <v>0</v>
      </c>
      <c r="F37" s="14">
        <f si="33" t="shared"/>
        <v>9.5745264389742207E-2</v>
      </c>
      <c r="G37" s="14">
        <f si="33" t="shared"/>
        <v>7.2759425120734174E-4</v>
      </c>
      <c r="H37" s="14">
        <f ref="H37" si="43" t="shared">H24/$J$28</f>
        <v>1.855997212669929E-3</v>
      </c>
      <c r="I37" s="11"/>
      <c r="J37" s="14">
        <f si="27" t="shared"/>
        <v>0.11212731901106957</v>
      </c>
      <c r="K37" s="11"/>
      <c r="L37" t="str">
        <f>$A$11</f>
        <v>Seattle</v>
      </c>
      <c r="M37" s="14">
        <f si="35" t="shared"/>
        <v>2.0003278435607667E-2</v>
      </c>
      <c r="N37" s="14">
        <f si="35" t="shared"/>
        <v>0</v>
      </c>
      <c r="O37" s="14">
        <f si="35" t="shared"/>
        <v>3.3989663285378178E-3</v>
      </c>
      <c r="P37" s="14">
        <f si="35" t="shared"/>
        <v>1.6874300921818953E-4</v>
      </c>
      <c r="Q37" s="14">
        <f si="35" t="shared"/>
        <v>8.5793767115362365E-2</v>
      </c>
      <c r="R37" s="14">
        <f si="35" t="shared"/>
        <v>5.5926254483742814E-4</v>
      </c>
      <c r="S37" s="14">
        <f ref="S37" si="44" t="shared">S24/$U$28</f>
        <v>2.2033015775060746E-3</v>
      </c>
      <c r="T37" s="14"/>
      <c r="U37" s="14">
        <f si="30" t="shared"/>
        <v>0.11212731901106954</v>
      </c>
      <c r="W37" t="str">
        <f>$A$11</f>
        <v>Seattle</v>
      </c>
      <c r="X37" s="14">
        <f si="37" t="shared"/>
        <v>1.1780291558118359E-2</v>
      </c>
      <c r="Y37" s="14">
        <f si="38" t="shared"/>
        <v>0</v>
      </c>
      <c r="Z37" s="14">
        <f si="38" t="shared"/>
        <v>-2.1765099514229548E-3</v>
      </c>
      <c r="AA37" s="14">
        <f si="38" t="shared"/>
        <v>1.6874300921818953E-4</v>
      </c>
      <c r="AB37" s="14">
        <f si="38" t="shared"/>
        <v>-9.9514972743798419E-3</v>
      </c>
      <c r="AC37" s="14">
        <f si="38" t="shared"/>
        <v>-1.683317063699136E-4</v>
      </c>
      <c r="AD37" s="14">
        <f si="38" t="shared"/>
        <v>3.4730436483614555E-4</v>
      </c>
      <c r="AE37" s="14"/>
      <c r="AF37" s="14">
        <f si="32" t="shared"/>
        <v>0</v>
      </c>
    </row>
    <row r="38" spans="1:32" x14ac:dyDescent="0.45">
      <c r="A38" t="str">
        <f>$A$12</f>
        <v>Seattle Downtown</v>
      </c>
      <c r="B38" s="14">
        <f si="33" t="shared"/>
        <v>3.133627015190097E-2</v>
      </c>
      <c r="C38" s="14">
        <f si="33" t="shared"/>
        <v>4.9291993385176759E-4</v>
      </c>
      <c r="D38" s="14">
        <f si="33" t="shared"/>
        <v>0</v>
      </c>
      <c r="E38" s="14">
        <f si="33" t="shared"/>
        <v>5.7455472359862819E-4</v>
      </c>
      <c r="F38" s="14">
        <f si="33" t="shared"/>
        <v>1.5081321298819417E-3</v>
      </c>
      <c r="G38" s="14">
        <f si="33" t="shared"/>
        <v>0.11780737326325832</v>
      </c>
      <c r="H38" s="14">
        <f ref="H38:H39" si="45" t="shared">H25/$J$28</f>
        <v>0</v>
      </c>
      <c r="I38" s="11"/>
      <c r="J38" s="14">
        <f si="27" t="shared"/>
        <v>0.15171925020249163</v>
      </c>
      <c r="K38" s="11"/>
      <c r="L38" t="str">
        <f>$A$12</f>
        <v>Seattle Downtown</v>
      </c>
      <c r="M38" s="14">
        <f si="35" t="shared"/>
        <v>1.2810005014077988E-2</v>
      </c>
      <c r="N38" s="14">
        <f si="35" t="shared"/>
        <v>7.2607706252169552E-3</v>
      </c>
      <c r="O38" s="14">
        <f si="35" t="shared"/>
        <v>0</v>
      </c>
      <c r="P38" s="14">
        <f si="35" t="shared"/>
        <v>3.8087707794962778E-3</v>
      </c>
      <c r="Q38" s="14">
        <f si="35" t="shared"/>
        <v>0</v>
      </c>
      <c r="R38" s="14">
        <f si="35" t="shared"/>
        <v>0.12775774289350869</v>
      </c>
      <c r="S38" s="14">
        <f ref="S38:S39" si="46" t="shared">S25/$U$28</f>
        <v>8.1960890191692056E-5</v>
      </c>
      <c r="T38" s="14"/>
      <c r="U38" s="14">
        <f si="30" t="shared"/>
        <v>0.15171925020249161</v>
      </c>
      <c r="W38" t="str">
        <f>$A$12</f>
        <v>Seattle Downtown</v>
      </c>
      <c r="X38" s="14">
        <f si="37" t="shared"/>
        <v>-1.8526265137822982E-2</v>
      </c>
      <c r="Y38" s="14">
        <f si="38" t="shared"/>
        <v>6.7678506913651879E-3</v>
      </c>
      <c r="Z38" s="14">
        <f si="38" t="shared"/>
        <v>0</v>
      </c>
      <c r="AA38" s="14">
        <f si="38" t="shared"/>
        <v>3.2342160558976496E-3</v>
      </c>
      <c r="AB38" s="14">
        <f si="38" t="shared"/>
        <v>-1.5081321298819417E-3</v>
      </c>
      <c r="AC38" s="14">
        <f si="38" t="shared"/>
        <v>9.9503696302503664E-3</v>
      </c>
      <c r="AD38" s="14">
        <f si="38" t="shared"/>
        <v>8.1960890191692056E-5</v>
      </c>
      <c r="AE38" s="14"/>
      <c r="AF38" s="14">
        <f si="32" t="shared"/>
        <v>0</v>
      </c>
    </row>
    <row r="39" spans="1:32" x14ac:dyDescent="0.45">
      <c r="A39" t="str">
        <f>$A$13</f>
        <v>Rest</v>
      </c>
      <c r="B39" s="14">
        <f si="33" t="shared"/>
        <v>1.5728160871516121E-2</v>
      </c>
      <c r="C39" s="14">
        <f si="33" t="shared"/>
        <v>0</v>
      </c>
      <c r="D39" s="14">
        <f si="33" t="shared"/>
        <v>0</v>
      </c>
      <c r="E39" s="14">
        <f si="33" t="shared"/>
        <v>2.3371691366065976E-3</v>
      </c>
      <c r="F39" s="14">
        <f si="33" t="shared"/>
        <v>1.3469843567679566E-3</v>
      </c>
      <c r="G39" s="14">
        <f si="33" t="shared"/>
        <v>3.9373460877409269E-3</v>
      </c>
      <c r="H39" s="14">
        <f si="45" t="shared"/>
        <v>6.4184570272095509E-2</v>
      </c>
      <c r="I39" s="11"/>
      <c r="J39" s="14">
        <f si="27" t="shared"/>
        <v>8.7534230724727116E-2</v>
      </c>
      <c r="K39" s="11"/>
      <c r="L39" t="str">
        <f>$A$13</f>
        <v>Rest</v>
      </c>
      <c r="M39" s="14">
        <f si="35" t="shared"/>
        <v>1.7259999228603388E-2</v>
      </c>
      <c r="N39" s="14">
        <f si="35" t="shared"/>
        <v>0</v>
      </c>
      <c r="O39" s="14">
        <f si="35" t="shared"/>
        <v>0</v>
      </c>
      <c r="P39" s="14">
        <f si="35" t="shared"/>
        <v>3.5580668800863965E-3</v>
      </c>
      <c r="Q39" s="14">
        <f si="35" t="shared"/>
        <v>3.6159216261040614E-4</v>
      </c>
      <c r="R39" s="14">
        <f si="35" t="shared"/>
        <v>3.8087707794962782E-4</v>
      </c>
      <c r="S39" s="14">
        <f si="46" t="shared"/>
        <v>6.5973695375477301E-2</v>
      </c>
      <c r="T39" s="14"/>
      <c r="U39" s="14">
        <f si="30" t="shared"/>
        <v>8.7534230724727116E-2</v>
      </c>
      <c r="W39" t="str">
        <f>$A$13</f>
        <v>Rest</v>
      </c>
      <c r="X39" s="14">
        <f ref="X39" si="47" t="shared">M39-B39</f>
        <v>1.5318383570872666E-3</v>
      </c>
      <c r="Y39" s="14">
        <f ref="Y39" si="48" t="shared">N39-C39</f>
        <v>0</v>
      </c>
      <c r="Z39" s="14">
        <f ref="Z39" si="49" t="shared">O39-D39</f>
        <v>0</v>
      </c>
      <c r="AA39" s="14">
        <f ref="AA39" si="50" t="shared">P39-E39</f>
        <v>1.2208977434797989E-3</v>
      </c>
      <c r="AB39" s="14">
        <f ref="AB39" si="51" t="shared">Q39-F39</f>
        <v>-9.8539219415755058E-4</v>
      </c>
      <c r="AC39" s="14">
        <f ref="AC39:AD39" si="52" t="shared">R39-G39</f>
        <v>-3.5564690097912993E-3</v>
      </c>
      <c r="AD39" s="14">
        <f si="52" t="shared"/>
        <v>1.7891251033817918E-3</v>
      </c>
      <c r="AE39" s="14"/>
      <c r="AF39" s="14">
        <f si="32" t="shared"/>
        <v>0</v>
      </c>
    </row>
    <row r="40" spans="1:32" x14ac:dyDescent="0.45">
      <c r="A40" s="6" t="s">
        <v>13</v>
      </c>
      <c r="B40" s="12"/>
      <c r="C40" s="12"/>
      <c r="D40" s="12"/>
      <c r="E40" s="12"/>
      <c r="F40" s="12"/>
      <c r="G40" s="12"/>
      <c r="H40" s="12"/>
      <c r="I40" s="12"/>
      <c r="J40" s="15"/>
      <c r="K40" s="11"/>
      <c r="L40" s="12" t="s">
        <v>13</v>
      </c>
      <c r="M40" s="15"/>
      <c r="N40" s="15"/>
      <c r="O40" s="15"/>
      <c r="P40" s="15"/>
      <c r="Q40" s="15"/>
      <c r="R40" s="15"/>
      <c r="S40" s="15"/>
      <c r="T40" s="15"/>
      <c r="U40" s="15"/>
      <c r="W40" s="12" t="s">
        <v>13</v>
      </c>
      <c r="X40" s="15"/>
      <c r="Y40" s="15"/>
      <c r="Z40" s="15"/>
      <c r="AA40" s="15"/>
      <c r="AB40" s="15"/>
      <c r="AC40" s="15"/>
      <c r="AD40" s="14"/>
      <c r="AE40" s="15"/>
      <c r="AF40" s="15"/>
    </row>
    <row ht="14.65" r="41" spans="1:32" thickBot="1" x14ac:dyDescent="0.5">
      <c r="A41" s="1" t="s">
        <v>4</v>
      </c>
      <c r="B41" s="16">
        <f ref="B41:J41" si="53" t="shared">B28/$J$28</f>
        <v>0.38887256962251304</v>
      </c>
      <c r="C41" s="16">
        <f si="53" t="shared"/>
        <v>5.0805204024310442E-2</v>
      </c>
      <c r="D41" s="16">
        <f si="53" t="shared"/>
        <v>3.8452024133633203E-2</v>
      </c>
      <c r="E41" s="16">
        <f si="53" t="shared"/>
        <v>0.18184014004227014</v>
      </c>
      <c r="F41" s="16">
        <f si="53" t="shared"/>
        <v>0.1157226438422059</v>
      </c>
      <c r="G41" s="16">
        <f si="53" t="shared"/>
        <v>0.15225237206098399</v>
      </c>
      <c r="H41" s="16">
        <f si="53" t="shared"/>
        <v>7.2055046274083268E-2</v>
      </c>
      <c r="I41" s="16">
        <f si="53" t="shared"/>
        <v>0</v>
      </c>
      <c r="J41" s="16">
        <f si="53" t="shared"/>
        <v>1</v>
      </c>
      <c r="K41" s="11"/>
      <c r="L41" s="13" t="s">
        <v>4</v>
      </c>
      <c r="M41" s="16">
        <f>M28/$U$28</f>
        <v>0.40142515524356848</v>
      </c>
      <c r="N41" s="16">
        <f>N28/$U$28</f>
        <v>5.5477880202105916E-2</v>
      </c>
      <c r="O41" s="16">
        <f>O28/$U$28</f>
        <v>3.0359277972769699E-2</v>
      </c>
      <c r="P41" s="16">
        <f>P28/$U$28</f>
        <v>0.19001909206618584</v>
      </c>
      <c r="Q41" s="16">
        <f ref="Q41:S41" si="54" t="shared">Q28/$U$28</f>
        <v>8.8913102171481462E-2</v>
      </c>
      <c r="R41" s="16">
        <f si="54" t="shared"/>
        <v>0.16159794808500791</v>
      </c>
      <c r="S41" s="16">
        <f si="54" t="shared"/>
        <v>7.2207544258880707E-2</v>
      </c>
      <c r="T41" s="16">
        <f>T28/$U$28</f>
        <v>0</v>
      </c>
      <c r="U41" s="16">
        <f>U28/$U$28</f>
        <v>1</v>
      </c>
      <c r="W41" s="13" t="s">
        <v>4</v>
      </c>
      <c r="X41" s="16">
        <f ref="X41:AF41" si="55" t="shared">M41-B41</f>
        <v>1.2552585621055434E-2</v>
      </c>
      <c r="Y41" s="16">
        <f si="55" t="shared"/>
        <v>4.6726761777954734E-3</v>
      </c>
      <c r="Z41" s="16">
        <f si="55" t="shared"/>
        <v>-8.0927461608635044E-3</v>
      </c>
      <c r="AA41" s="16">
        <f si="55" t="shared"/>
        <v>8.1789520239156921E-3</v>
      </c>
      <c r="AB41" s="16">
        <f si="55" t="shared"/>
        <v>-2.680954167072444E-2</v>
      </c>
      <c r="AC41" s="16">
        <f si="55" t="shared"/>
        <v>9.3455760240239161E-3</v>
      </c>
      <c r="AD41" s="20">
        <f si="55" t="shared"/>
        <v>1.5249798479743948E-4</v>
      </c>
      <c r="AE41" s="16">
        <f si="55" t="shared"/>
        <v>0</v>
      </c>
      <c r="AF41" s="16">
        <f si="55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9" t="s">
        <v>19</v>
      </c>
    </row>
    <row r="2" spans="1:3" x14ac:dyDescent="0.45">
      <c r="A2">
        <v>1</v>
      </c>
      <c r="B2" t="s">
        <v>246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68" workbookViewId="0">
      <selection activeCell="K98" sqref="K98"/>
    </sheetView>
  </sheetViews>
  <sheetFormatPr defaultRowHeight="14.25" x14ac:dyDescent="0.45"/>
  <cols>
    <col min="2" max="2" bestFit="true" customWidth="true" width="10.73046875" collapsed="true"/>
    <col min="3" max="3" bestFit="true" customWidth="true" width="13.73046875" collapsed="true"/>
  </cols>
  <sheetData>
    <row r="1" spans="1:4" x14ac:dyDescent="0.45">
      <c r="A1" s="22" t="s">
        <v>42</v>
      </c>
    </row>
    <row r="2" spans="1:4" x14ac:dyDescent="0.45">
      <c r="A2" t="s">
        <v>255</v>
      </c>
      <c r="B2" t="s">
        <v>256</v>
      </c>
      <c r="C2" t="s">
        <v>91</v>
      </c>
      <c r="D2" t="s">
        <v>257</v>
      </c>
    </row>
    <row r="3" spans="1:4" x14ac:dyDescent="0.45">
      <c r="A3">
        <v>1</v>
      </c>
      <c r="B3" t="s">
        <v>45</v>
      </c>
      <c r="C3" t="s">
        <v>274</v>
      </c>
      <c r="D3" t="s">
        <v>46</v>
      </c>
    </row>
    <row r="4" spans="1:4" x14ac:dyDescent="0.45">
      <c r="A4">
        <v>2</v>
      </c>
      <c r="B4" t="s">
        <v>48</v>
      </c>
      <c r="C4" t="s">
        <v>274</v>
      </c>
      <c r="D4" t="s">
        <v>49</v>
      </c>
    </row>
    <row r="5" spans="1:4" x14ac:dyDescent="0.45">
      <c r="A5">
        <v>3</v>
      </c>
      <c r="B5" t="s">
        <v>51</v>
      </c>
      <c r="C5" t="s">
        <v>274</v>
      </c>
      <c r="D5" t="s">
        <v>52</v>
      </c>
    </row>
    <row r="6" spans="1:4" x14ac:dyDescent="0.45">
      <c r="A6">
        <v>4</v>
      </c>
      <c r="B6" t="s">
        <v>54</v>
      </c>
      <c r="C6" t="s">
        <v>274</v>
      </c>
      <c r="D6" t="s">
        <v>55</v>
      </c>
    </row>
    <row r="7" spans="1:4" x14ac:dyDescent="0.45">
      <c r="A7">
        <v>5</v>
      </c>
      <c r="B7" t="s">
        <v>57</v>
      </c>
      <c r="C7" t="s">
        <v>274</v>
      </c>
      <c r="D7" t="s">
        <v>58</v>
      </c>
    </row>
    <row r="8" spans="1:4" x14ac:dyDescent="0.45">
      <c r="A8">
        <v>6</v>
      </c>
      <c r="B8" t="s">
        <v>59</v>
      </c>
      <c r="C8" t="s">
        <v>274</v>
      </c>
      <c r="D8" t="s">
        <v>60</v>
      </c>
    </row>
    <row r="9" spans="1:4" x14ac:dyDescent="0.45">
      <c r="A9">
        <v>7</v>
      </c>
      <c r="B9" t="s">
        <v>61</v>
      </c>
      <c r="C9" t="s">
        <v>274</v>
      </c>
      <c r="D9" t="s">
        <v>62</v>
      </c>
    </row>
    <row r="10" spans="1:4" x14ac:dyDescent="0.45">
      <c r="A10">
        <v>8</v>
      </c>
      <c r="B10" t="s">
        <v>64</v>
      </c>
      <c r="C10" t="s">
        <v>274</v>
      </c>
      <c r="D10" t="s">
        <v>65</v>
      </c>
    </row>
    <row r="11" spans="1:4" x14ac:dyDescent="0.45">
      <c r="A11">
        <v>9</v>
      </c>
      <c r="B11" t="s">
        <v>66</v>
      </c>
      <c r="C11" t="s">
        <v>274</v>
      </c>
      <c r="D11" t="s">
        <v>67</v>
      </c>
    </row>
    <row r="12" spans="1:4" x14ac:dyDescent="0.45">
      <c r="A12">
        <v>10</v>
      </c>
      <c r="B12" t="s">
        <v>68</v>
      </c>
      <c r="C12" t="s">
        <v>274</v>
      </c>
      <c r="D12" t="s">
        <v>69</v>
      </c>
    </row>
    <row r="13" spans="1:4" x14ac:dyDescent="0.45">
      <c r="A13">
        <v>11</v>
      </c>
      <c r="B13" t="s">
        <v>70</v>
      </c>
      <c r="C13" t="s">
        <v>274</v>
      </c>
      <c r="D13" t="s">
        <v>71</v>
      </c>
    </row>
    <row r="14" spans="1:4" x14ac:dyDescent="0.45">
      <c r="A14">
        <v>12</v>
      </c>
      <c r="B14" t="s">
        <v>72</v>
      </c>
      <c r="C14" t="s">
        <v>274</v>
      </c>
      <c r="D14" t="s">
        <v>73</v>
      </c>
    </row>
    <row r="15" spans="1:4" x14ac:dyDescent="0.45">
      <c r="A15">
        <v>13</v>
      </c>
      <c r="B15" t="s">
        <v>74</v>
      </c>
      <c r="C15" t="s">
        <v>274</v>
      </c>
      <c r="D15" t="s">
        <v>75</v>
      </c>
    </row>
    <row r="16" spans="1:4" x14ac:dyDescent="0.45">
      <c r="A16">
        <v>14</v>
      </c>
      <c r="B16" t="s">
        <v>76</v>
      </c>
      <c r="C16" t="s">
        <v>274</v>
      </c>
      <c r="D16" t="s">
        <v>77</v>
      </c>
    </row>
    <row r="17" spans="1:4" x14ac:dyDescent="0.45">
      <c r="A17">
        <v>15</v>
      </c>
      <c r="B17" t="s">
        <v>78</v>
      </c>
      <c r="C17" t="s">
        <v>274</v>
      </c>
      <c r="D17" t="s">
        <v>79</v>
      </c>
    </row>
    <row r="18" spans="1:4" x14ac:dyDescent="0.45">
      <c r="A18">
        <v>16</v>
      </c>
      <c r="B18" t="s">
        <v>80</v>
      </c>
      <c r="C18" t="s">
        <v>274</v>
      </c>
      <c r="D18" t="s">
        <v>81</v>
      </c>
    </row>
    <row r="19" spans="1:4" x14ac:dyDescent="0.45">
      <c r="A19">
        <v>17</v>
      </c>
      <c r="B19" t="s">
        <v>83</v>
      </c>
      <c r="C19" t="s">
        <v>274</v>
      </c>
      <c r="D19" t="s">
        <v>84</v>
      </c>
    </row>
    <row r="20" spans="1:4" x14ac:dyDescent="0.45">
      <c r="A20">
        <v>18</v>
      </c>
      <c r="B20" t="s">
        <v>86</v>
      </c>
      <c r="C20" t="s">
        <v>274</v>
      </c>
      <c r="D20" t="s">
        <v>87</v>
      </c>
    </row>
    <row r="21" spans="1:4" x14ac:dyDescent="0.45">
      <c r="A21">
        <v>19</v>
      </c>
      <c r="B21" t="s">
        <v>89</v>
      </c>
      <c r="C21" t="s">
        <v>274</v>
      </c>
      <c r="D21" t="s">
        <v>90</v>
      </c>
    </row>
    <row r="22" spans="1:4" x14ac:dyDescent="0.45">
      <c r="A22">
        <v>20</v>
      </c>
      <c r="B22" t="s">
        <v>92</v>
      </c>
      <c r="C22" t="s">
        <v>88</v>
      </c>
      <c r="D22" t="s">
        <v>93</v>
      </c>
    </row>
    <row r="23" spans="1:4" x14ac:dyDescent="0.45">
      <c r="A23">
        <v>21</v>
      </c>
      <c r="B23" t="s">
        <v>94</v>
      </c>
      <c r="C23" t="s">
        <v>88</v>
      </c>
      <c r="D23" t="s">
        <v>95</v>
      </c>
    </row>
    <row r="24" spans="1:4" x14ac:dyDescent="0.45">
      <c r="A24">
        <v>22</v>
      </c>
      <c r="B24" t="s">
        <v>96</v>
      </c>
      <c r="C24" t="s">
        <v>88</v>
      </c>
      <c r="D24" t="s">
        <v>97</v>
      </c>
    </row>
    <row r="25" spans="1:4" x14ac:dyDescent="0.45">
      <c r="A25">
        <v>23</v>
      </c>
      <c r="B25" t="s">
        <v>98</v>
      </c>
      <c r="C25" t="s">
        <v>88</v>
      </c>
      <c r="D25" t="s">
        <v>99</v>
      </c>
    </row>
    <row r="26" spans="1:4" x14ac:dyDescent="0.45">
      <c r="A26">
        <v>24</v>
      </c>
      <c r="B26" t="s">
        <v>100</v>
      </c>
      <c r="C26" t="s">
        <v>88</v>
      </c>
      <c r="D26" t="s">
        <v>101</v>
      </c>
    </row>
    <row r="27" spans="1:4" x14ac:dyDescent="0.45">
      <c r="A27">
        <v>25</v>
      </c>
      <c r="B27" t="s">
        <v>103</v>
      </c>
      <c r="C27" t="s">
        <v>88</v>
      </c>
      <c r="D27" t="s">
        <v>104</v>
      </c>
    </row>
    <row r="28" spans="1:4" x14ac:dyDescent="0.45">
      <c r="A28">
        <v>26</v>
      </c>
      <c r="B28" t="s">
        <v>105</v>
      </c>
      <c r="C28" t="s">
        <v>102</v>
      </c>
      <c r="D28" t="s">
        <v>93</v>
      </c>
    </row>
    <row r="29" spans="1:4" x14ac:dyDescent="0.45">
      <c r="A29">
        <v>27</v>
      </c>
      <c r="B29" t="s">
        <v>106</v>
      </c>
      <c r="C29" t="s">
        <v>102</v>
      </c>
      <c r="D29" t="s">
        <v>95</v>
      </c>
    </row>
    <row r="30" spans="1:4" x14ac:dyDescent="0.45">
      <c r="A30">
        <v>28</v>
      </c>
      <c r="B30" t="s">
        <v>108</v>
      </c>
      <c r="C30" t="s">
        <v>102</v>
      </c>
      <c r="D30" t="s">
        <v>97</v>
      </c>
    </row>
    <row r="31" spans="1:4" x14ac:dyDescent="0.45">
      <c r="A31">
        <v>29</v>
      </c>
      <c r="B31" t="s">
        <v>109</v>
      </c>
      <c r="C31" t="s">
        <v>102</v>
      </c>
      <c r="D31" t="s">
        <v>99</v>
      </c>
    </row>
    <row r="32" spans="1:4" x14ac:dyDescent="0.45">
      <c r="A32">
        <v>30</v>
      </c>
      <c r="B32" t="s">
        <v>110</v>
      </c>
      <c r="C32" t="s">
        <v>102</v>
      </c>
      <c r="D32" t="s">
        <v>111</v>
      </c>
    </row>
    <row r="33" spans="1:4" x14ac:dyDescent="0.45">
      <c r="A33">
        <v>31</v>
      </c>
      <c r="B33" t="s">
        <v>112</v>
      </c>
      <c r="C33" t="s">
        <v>102</v>
      </c>
      <c r="D33" t="s">
        <v>113</v>
      </c>
    </row>
    <row r="34" spans="1:4" x14ac:dyDescent="0.45">
      <c r="A34">
        <v>32</v>
      </c>
      <c r="B34" t="s">
        <v>114</v>
      </c>
      <c r="C34" t="s">
        <v>102</v>
      </c>
      <c r="D34" t="s">
        <v>115</v>
      </c>
    </row>
    <row r="35" spans="1:4" x14ac:dyDescent="0.45">
      <c r="A35">
        <v>33</v>
      </c>
      <c r="B35" t="s">
        <v>116</v>
      </c>
      <c r="C35" t="s">
        <v>102</v>
      </c>
      <c r="D35" t="s">
        <v>117</v>
      </c>
    </row>
    <row r="36" spans="1:4" x14ac:dyDescent="0.45">
      <c r="A36">
        <v>34</v>
      </c>
      <c r="B36" t="s">
        <v>118</v>
      </c>
      <c r="C36" t="s">
        <v>102</v>
      </c>
      <c r="D36" t="s">
        <v>119</v>
      </c>
    </row>
    <row r="37" spans="1:4" x14ac:dyDescent="0.45">
      <c r="A37">
        <v>35</v>
      </c>
      <c r="B37" t="s">
        <v>121</v>
      </c>
      <c r="C37" t="s">
        <v>102</v>
      </c>
      <c r="D37" t="s">
        <v>122</v>
      </c>
    </row>
    <row r="38" spans="1:4" x14ac:dyDescent="0.45">
      <c r="A38">
        <v>36</v>
      </c>
      <c r="B38" t="s">
        <v>123</v>
      </c>
      <c r="C38" t="s">
        <v>120</v>
      </c>
      <c r="D38" t="s">
        <v>93</v>
      </c>
    </row>
    <row r="39" spans="1:4" x14ac:dyDescent="0.45">
      <c r="A39">
        <v>37</v>
      </c>
      <c r="B39" t="s">
        <v>124</v>
      </c>
      <c r="C39" t="s">
        <v>120</v>
      </c>
      <c r="D39" t="s">
        <v>95</v>
      </c>
    </row>
    <row r="40" spans="1:4" x14ac:dyDescent="0.45">
      <c r="A40">
        <v>38</v>
      </c>
      <c r="B40" t="s">
        <v>126</v>
      </c>
      <c r="C40" t="s">
        <v>120</v>
      </c>
      <c r="D40" t="s">
        <v>97</v>
      </c>
    </row>
    <row r="41" spans="1:4" x14ac:dyDescent="0.45">
      <c r="A41">
        <v>39</v>
      </c>
      <c r="B41" t="s">
        <v>127</v>
      </c>
      <c r="C41" t="s">
        <v>120</v>
      </c>
      <c r="D41" t="s">
        <v>99</v>
      </c>
    </row>
    <row r="42" spans="1:4" x14ac:dyDescent="0.45">
      <c r="A42">
        <v>40</v>
      </c>
      <c r="B42" t="s">
        <v>128</v>
      </c>
      <c r="C42" t="s">
        <v>120</v>
      </c>
      <c r="D42" t="s">
        <v>111</v>
      </c>
    </row>
    <row r="43" spans="1:4" x14ac:dyDescent="0.45">
      <c r="A43">
        <v>41</v>
      </c>
      <c r="B43" t="s">
        <v>129</v>
      </c>
      <c r="C43" t="s">
        <v>120</v>
      </c>
      <c r="D43" t="s">
        <v>113</v>
      </c>
    </row>
    <row r="44" spans="1:4" x14ac:dyDescent="0.45">
      <c r="A44">
        <v>42</v>
      </c>
      <c r="B44" t="s">
        <v>131</v>
      </c>
      <c r="C44" t="s">
        <v>120</v>
      </c>
      <c r="D44" t="s">
        <v>132</v>
      </c>
    </row>
    <row r="45" spans="1:4" x14ac:dyDescent="0.45">
      <c r="A45">
        <v>43</v>
      </c>
      <c r="B45" t="s">
        <v>133</v>
      </c>
      <c r="C45" t="s">
        <v>130</v>
      </c>
      <c r="D45" t="s">
        <v>93</v>
      </c>
    </row>
    <row r="46" spans="1:4" x14ac:dyDescent="0.45">
      <c r="A46">
        <v>44</v>
      </c>
      <c r="B46" t="s">
        <v>134</v>
      </c>
      <c r="C46" t="s">
        <v>130</v>
      </c>
      <c r="D46" t="s">
        <v>135</v>
      </c>
    </row>
    <row r="47" spans="1:4" x14ac:dyDescent="0.45">
      <c r="A47">
        <v>45</v>
      </c>
      <c r="B47" t="s">
        <v>136</v>
      </c>
      <c r="C47" t="s">
        <v>130</v>
      </c>
      <c r="D47" t="s">
        <v>137</v>
      </c>
    </row>
    <row r="48" spans="1:4" x14ac:dyDescent="0.45">
      <c r="A48">
        <v>46</v>
      </c>
      <c r="B48" t="s">
        <v>138</v>
      </c>
      <c r="C48" t="s">
        <v>130</v>
      </c>
      <c r="D48" t="s">
        <v>139</v>
      </c>
    </row>
    <row r="49" spans="1:4" x14ac:dyDescent="0.45">
      <c r="A49">
        <v>47</v>
      </c>
      <c r="B49" t="s">
        <v>140</v>
      </c>
      <c r="C49" t="s">
        <v>130</v>
      </c>
      <c r="D49" t="s">
        <v>141</v>
      </c>
    </row>
    <row r="50" spans="1:4" x14ac:dyDescent="0.45">
      <c r="A50">
        <v>48</v>
      </c>
      <c r="B50" t="s">
        <v>143</v>
      </c>
      <c r="C50" t="s">
        <v>130</v>
      </c>
      <c r="D50" t="s">
        <v>144</v>
      </c>
    </row>
    <row r="51" spans="1:4" x14ac:dyDescent="0.45">
      <c r="A51">
        <v>49</v>
      </c>
      <c r="B51" t="s">
        <v>145</v>
      </c>
      <c r="C51" t="s">
        <v>142</v>
      </c>
      <c r="D51" t="s">
        <v>93</v>
      </c>
    </row>
    <row r="52" spans="1:4" x14ac:dyDescent="0.45">
      <c r="A52">
        <v>50</v>
      </c>
      <c r="B52" t="s">
        <v>146</v>
      </c>
      <c r="C52" t="s">
        <v>142</v>
      </c>
      <c r="D52" t="s">
        <v>95</v>
      </c>
    </row>
    <row r="53" spans="1:4" x14ac:dyDescent="0.45">
      <c r="A53">
        <v>51</v>
      </c>
      <c r="B53" t="s">
        <v>147</v>
      </c>
      <c r="C53" t="s">
        <v>142</v>
      </c>
      <c r="D53" t="s">
        <v>97</v>
      </c>
    </row>
    <row r="54" spans="1:4" x14ac:dyDescent="0.45">
      <c r="A54">
        <v>52</v>
      </c>
      <c r="B54" t="s">
        <v>148</v>
      </c>
      <c r="C54" t="s">
        <v>142</v>
      </c>
      <c r="D54" t="s">
        <v>99</v>
      </c>
    </row>
    <row r="55" spans="1:4" x14ac:dyDescent="0.45">
      <c r="A55">
        <v>53</v>
      </c>
      <c r="B55" t="s">
        <v>149</v>
      </c>
      <c r="C55" t="s">
        <v>142</v>
      </c>
      <c r="D55" t="s">
        <v>111</v>
      </c>
    </row>
    <row r="56" spans="1:4" x14ac:dyDescent="0.45">
      <c r="A56">
        <v>54</v>
      </c>
      <c r="B56" t="s">
        <v>150</v>
      </c>
      <c r="C56" t="s">
        <v>142</v>
      </c>
      <c r="D56" t="s">
        <v>151</v>
      </c>
    </row>
    <row r="57" spans="1:4" x14ac:dyDescent="0.45">
      <c r="A57">
        <v>55</v>
      </c>
      <c r="B57" t="s">
        <v>152</v>
      </c>
      <c r="C57" t="s">
        <v>142</v>
      </c>
      <c r="D57" t="s">
        <v>115</v>
      </c>
    </row>
    <row r="58" spans="1:4" x14ac:dyDescent="0.45">
      <c r="A58">
        <v>56</v>
      </c>
      <c r="B58" t="s">
        <v>153</v>
      </c>
      <c r="C58" t="s">
        <v>142</v>
      </c>
      <c r="D58" t="s">
        <v>119</v>
      </c>
    </row>
    <row r="59" spans="1:4" x14ac:dyDescent="0.45">
      <c r="A59">
        <v>57</v>
      </c>
      <c r="B59" t="s">
        <v>154</v>
      </c>
      <c r="C59" t="s">
        <v>142</v>
      </c>
      <c r="D59" t="s">
        <v>122</v>
      </c>
    </row>
    <row r="60" spans="1:4" x14ac:dyDescent="0.45">
      <c r="A60">
        <v>118</v>
      </c>
      <c r="B60" t="s">
        <v>254</v>
      </c>
    </row>
    <row r="61" spans="1:4" x14ac:dyDescent="0.45">
      <c r="A61">
        <v>70</v>
      </c>
      <c r="B61" t="s">
        <v>155</v>
      </c>
      <c r="C61" t="s">
        <v>88</v>
      </c>
    </row>
    <row r="62" spans="1:4" x14ac:dyDescent="0.45">
      <c r="A62">
        <v>71</v>
      </c>
      <c r="B62" t="s">
        <v>156</v>
      </c>
      <c r="C62" t="s">
        <v>88</v>
      </c>
      <c r="D62" t="s">
        <v>157</v>
      </c>
    </row>
    <row r="63" spans="1:4" x14ac:dyDescent="0.45">
      <c r="A63">
        <v>72</v>
      </c>
      <c r="B63" t="s">
        <v>158</v>
      </c>
      <c r="C63" t="s">
        <v>88</v>
      </c>
      <c r="D63" t="s">
        <v>159</v>
      </c>
    </row>
    <row r="64" spans="1:4" x14ac:dyDescent="0.45">
      <c r="A64">
        <v>73</v>
      </c>
      <c r="B64" t="s">
        <v>160</v>
      </c>
      <c r="C64" t="s">
        <v>88</v>
      </c>
      <c r="D64" t="s">
        <v>161</v>
      </c>
    </row>
    <row r="65" spans="1:4" x14ac:dyDescent="0.45">
      <c r="A65">
        <v>74</v>
      </c>
      <c r="B65" t="s">
        <v>162</v>
      </c>
      <c r="C65" t="s">
        <v>88</v>
      </c>
      <c r="D65" t="s">
        <v>163</v>
      </c>
    </row>
    <row r="66" spans="1:4" x14ac:dyDescent="0.45">
      <c r="A66">
        <v>75</v>
      </c>
      <c r="B66" t="s">
        <v>164</v>
      </c>
      <c r="C66" t="s">
        <v>88</v>
      </c>
      <c r="D66" t="s">
        <v>165</v>
      </c>
    </row>
    <row r="67" spans="1:4" x14ac:dyDescent="0.45">
      <c r="A67">
        <v>76</v>
      </c>
      <c r="B67" t="s">
        <v>166</v>
      </c>
      <c r="C67" t="s">
        <v>88</v>
      </c>
      <c r="D67" t="s">
        <v>167</v>
      </c>
    </row>
    <row r="68" spans="1:4" x14ac:dyDescent="0.45">
      <c r="A68">
        <v>77</v>
      </c>
      <c r="B68" t="s">
        <v>168</v>
      </c>
      <c r="C68" t="s">
        <v>88</v>
      </c>
      <c r="D68" t="s">
        <v>169</v>
      </c>
    </row>
    <row r="69" spans="1:4" x14ac:dyDescent="0.45">
      <c r="A69">
        <v>78</v>
      </c>
      <c r="B69" t="s">
        <v>170</v>
      </c>
      <c r="C69" t="s">
        <v>88</v>
      </c>
      <c r="D69" t="s">
        <v>171</v>
      </c>
    </row>
    <row r="70" spans="1:4" x14ac:dyDescent="0.45">
      <c r="A70">
        <v>79</v>
      </c>
      <c r="B70" t="s">
        <v>172</v>
      </c>
      <c r="C70" t="s">
        <v>88</v>
      </c>
      <c r="D70" t="s">
        <v>173</v>
      </c>
    </row>
    <row r="71" spans="1:4" x14ac:dyDescent="0.45">
      <c r="A71">
        <v>80</v>
      </c>
      <c r="B71" t="s">
        <v>174</v>
      </c>
      <c r="C71" t="s">
        <v>88</v>
      </c>
      <c r="D71" t="s">
        <v>175</v>
      </c>
    </row>
    <row r="72" spans="1:4" x14ac:dyDescent="0.45">
      <c r="A72">
        <v>81</v>
      </c>
      <c r="B72" t="s">
        <v>176</v>
      </c>
      <c r="C72" t="s">
        <v>88</v>
      </c>
      <c r="D72" t="s">
        <v>177</v>
      </c>
    </row>
    <row r="73" spans="1:4" x14ac:dyDescent="0.45">
      <c r="A73">
        <v>82</v>
      </c>
      <c r="B73" t="s">
        <v>178</v>
      </c>
      <c r="C73" t="s">
        <v>88</v>
      </c>
      <c r="D73" t="s">
        <v>177</v>
      </c>
    </row>
    <row r="74" spans="1:4" x14ac:dyDescent="0.45">
      <c r="A74">
        <v>83</v>
      </c>
      <c r="B74" t="s">
        <v>179</v>
      </c>
      <c r="C74" t="s">
        <v>88</v>
      </c>
      <c r="D74" t="s">
        <v>180</v>
      </c>
    </row>
    <row r="75" spans="1:4" x14ac:dyDescent="0.45">
      <c r="A75">
        <v>84</v>
      </c>
      <c r="B75" t="s">
        <v>181</v>
      </c>
      <c r="C75" t="s">
        <v>88</v>
      </c>
      <c r="D75" t="s">
        <v>182</v>
      </c>
    </row>
    <row r="76" spans="1:4" x14ac:dyDescent="0.45">
      <c r="A76">
        <v>85</v>
      </c>
      <c r="B76" t="s">
        <v>183</v>
      </c>
      <c r="C76" t="s">
        <v>88</v>
      </c>
      <c r="D76" t="s">
        <v>184</v>
      </c>
    </row>
    <row r="77" spans="1:4" x14ac:dyDescent="0.45">
      <c r="A77">
        <v>86</v>
      </c>
      <c r="B77" t="s">
        <v>185</v>
      </c>
      <c r="C77" t="s">
        <v>88</v>
      </c>
      <c r="D77" t="s">
        <v>186</v>
      </c>
    </row>
    <row r="78" spans="1:4" x14ac:dyDescent="0.45">
      <c r="A78">
        <v>87</v>
      </c>
      <c r="B78" t="s">
        <v>187</v>
      </c>
      <c r="C78" t="s">
        <v>88</v>
      </c>
      <c r="D78" t="s">
        <v>188</v>
      </c>
    </row>
    <row r="79" spans="1:4" x14ac:dyDescent="0.45">
      <c r="A79">
        <v>88</v>
      </c>
      <c r="B79" t="s">
        <v>189</v>
      </c>
      <c r="C79" t="s">
        <v>88</v>
      </c>
      <c r="D79" t="s">
        <v>190</v>
      </c>
    </row>
    <row r="80" spans="1:4" x14ac:dyDescent="0.45">
      <c r="A80">
        <v>89</v>
      </c>
      <c r="B80" t="s">
        <v>191</v>
      </c>
      <c r="C80" t="s">
        <v>102</v>
      </c>
      <c r="D80" t="s">
        <v>192</v>
      </c>
    </row>
    <row r="81" spans="1:4" x14ac:dyDescent="0.45">
      <c r="A81">
        <v>90</v>
      </c>
      <c r="B81" t="s">
        <v>193</v>
      </c>
      <c r="C81" t="s">
        <v>102</v>
      </c>
      <c r="D81" t="s">
        <v>194</v>
      </c>
    </row>
    <row r="82" spans="1:4" x14ac:dyDescent="0.45">
      <c r="A82">
        <v>91</v>
      </c>
      <c r="B82" t="s">
        <v>195</v>
      </c>
      <c r="C82" t="s">
        <v>102</v>
      </c>
      <c r="D82" t="s">
        <v>196</v>
      </c>
    </row>
    <row r="83" spans="1:4" x14ac:dyDescent="0.45">
      <c r="A83">
        <v>92</v>
      </c>
      <c r="B83" t="s">
        <v>197</v>
      </c>
      <c r="C83" t="s">
        <v>102</v>
      </c>
      <c r="D83" t="s">
        <v>198</v>
      </c>
    </row>
    <row r="84" spans="1:4" x14ac:dyDescent="0.45">
      <c r="A84">
        <v>93</v>
      </c>
      <c r="B84" t="s">
        <v>199</v>
      </c>
      <c r="C84" t="s">
        <v>102</v>
      </c>
      <c r="D84" t="s">
        <v>200</v>
      </c>
    </row>
    <row r="85" spans="1:4" x14ac:dyDescent="0.45">
      <c r="A85">
        <v>94</v>
      </c>
      <c r="B85" t="s">
        <v>201</v>
      </c>
      <c r="C85" t="s">
        <v>102</v>
      </c>
      <c r="D85" t="s">
        <v>202</v>
      </c>
    </row>
    <row r="86" spans="1:4" x14ac:dyDescent="0.45">
      <c r="A86">
        <v>95</v>
      </c>
      <c r="B86" t="s">
        <v>203</v>
      </c>
      <c r="C86" t="s">
        <v>102</v>
      </c>
      <c r="D86" t="s">
        <v>204</v>
      </c>
    </row>
    <row r="87" spans="1:4" x14ac:dyDescent="0.45">
      <c r="A87">
        <v>96</v>
      </c>
      <c r="B87" t="s">
        <v>205</v>
      </c>
      <c r="C87" t="s">
        <v>102</v>
      </c>
      <c r="D87" t="s">
        <v>206</v>
      </c>
    </row>
    <row r="88" spans="1:4" x14ac:dyDescent="0.45">
      <c r="A88">
        <v>97</v>
      </c>
      <c r="B88" t="s">
        <v>207</v>
      </c>
      <c r="C88" t="s">
        <v>102</v>
      </c>
      <c r="D88" t="s">
        <v>208</v>
      </c>
    </row>
    <row r="89" spans="1:4" x14ac:dyDescent="0.45">
      <c r="A89">
        <v>98</v>
      </c>
      <c r="B89" t="s">
        <v>209</v>
      </c>
      <c r="C89" t="s">
        <v>120</v>
      </c>
      <c r="D89" t="s">
        <v>194</v>
      </c>
    </row>
    <row r="90" spans="1:4" x14ac:dyDescent="0.45">
      <c r="A90">
        <v>99</v>
      </c>
      <c r="B90" t="s">
        <v>210</v>
      </c>
      <c r="C90" t="s">
        <v>120</v>
      </c>
      <c r="D90" t="s">
        <v>196</v>
      </c>
    </row>
    <row r="91" spans="1:4" x14ac:dyDescent="0.45">
      <c r="A91">
        <v>100</v>
      </c>
      <c r="B91" t="s">
        <v>211</v>
      </c>
      <c r="C91" t="s">
        <v>120</v>
      </c>
      <c r="D91" t="s">
        <v>198</v>
      </c>
    </row>
    <row r="92" spans="1:4" x14ac:dyDescent="0.45">
      <c r="A92">
        <v>101</v>
      </c>
      <c r="B92" t="s">
        <v>212</v>
      </c>
      <c r="C92" t="s">
        <v>120</v>
      </c>
      <c r="D92" t="s">
        <v>200</v>
      </c>
    </row>
    <row r="93" spans="1:4" x14ac:dyDescent="0.45">
      <c r="A93">
        <v>102</v>
      </c>
      <c r="B93" t="s">
        <v>213</v>
      </c>
      <c r="C93" t="s">
        <v>130</v>
      </c>
      <c r="D93" t="s">
        <v>194</v>
      </c>
    </row>
    <row r="94" spans="1:4" x14ac:dyDescent="0.45">
      <c r="A94">
        <v>103</v>
      </c>
      <c r="B94" t="s">
        <v>214</v>
      </c>
      <c r="C94" t="s">
        <v>130</v>
      </c>
      <c r="D94" t="s">
        <v>196</v>
      </c>
    </row>
    <row r="95" spans="1:4" x14ac:dyDescent="0.45">
      <c r="A95">
        <v>104</v>
      </c>
      <c r="B95" t="s">
        <v>215</v>
      </c>
      <c r="C95" t="s">
        <v>130</v>
      </c>
      <c r="D95" t="s">
        <v>198</v>
      </c>
    </row>
    <row r="96" spans="1:4" x14ac:dyDescent="0.45">
      <c r="A96">
        <v>105</v>
      </c>
      <c r="B96" t="s">
        <v>216</v>
      </c>
      <c r="C96" t="s">
        <v>130</v>
      </c>
      <c r="D96" t="s">
        <v>200</v>
      </c>
    </row>
    <row r="97" spans="1:4" x14ac:dyDescent="0.45">
      <c r="A97">
        <v>106</v>
      </c>
      <c r="B97" t="s">
        <v>217</v>
      </c>
      <c r="C97" t="s">
        <v>142</v>
      </c>
      <c r="D97" t="s">
        <v>194</v>
      </c>
    </row>
    <row r="98" spans="1:4" x14ac:dyDescent="0.45">
      <c r="A98">
        <v>107</v>
      </c>
      <c r="B98" t="s">
        <v>218</v>
      </c>
      <c r="C98" t="s">
        <v>142</v>
      </c>
      <c r="D98" t="s">
        <v>219</v>
      </c>
    </row>
    <row r="99" spans="1:4" x14ac:dyDescent="0.45">
      <c r="A99">
        <v>108</v>
      </c>
      <c r="B99" t="s">
        <v>220</v>
      </c>
      <c r="C99" t="s">
        <v>142</v>
      </c>
      <c r="D99" t="s">
        <v>196</v>
      </c>
    </row>
    <row r="100" spans="1:4" x14ac:dyDescent="0.45">
      <c r="A100">
        <v>109</v>
      </c>
      <c r="B100" t="s">
        <v>221</v>
      </c>
      <c r="C100" t="s">
        <v>142</v>
      </c>
      <c r="D100" t="s">
        <v>198</v>
      </c>
    </row>
    <row r="101" spans="1:4" x14ac:dyDescent="0.45">
      <c r="A101">
        <v>110</v>
      </c>
      <c r="B101" t="s">
        <v>222</v>
      </c>
      <c r="C101" t="s">
        <v>142</v>
      </c>
      <c r="D101" t="s">
        <v>200</v>
      </c>
    </row>
    <row r="102" spans="1:4" x14ac:dyDescent="0.45">
      <c r="A102">
        <v>111</v>
      </c>
      <c r="B102" t="s">
        <v>223</v>
      </c>
      <c r="C102" t="s">
        <v>142</v>
      </c>
      <c r="D102" t="s">
        <v>206</v>
      </c>
    </row>
    <row r="103" spans="1:4" x14ac:dyDescent="0.45">
      <c r="A103">
        <v>112</v>
      </c>
      <c r="B103" t="s">
        <v>224</v>
      </c>
      <c r="C103" t="s">
        <v>142</v>
      </c>
      <c r="D103" t="s">
        <v>225</v>
      </c>
    </row>
    <row r="104" spans="1:4" x14ac:dyDescent="0.4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A8" sqref="A8:K620"/>
    </sheetView>
  </sheetViews>
  <sheetFormatPr defaultRowHeight="14.25" x14ac:dyDescent="0.45"/>
  <sheetData>
    <row r="1" spans="1:11" x14ac:dyDescent="0.45">
      <c r="A1" s="66" t="s">
        <v>227</v>
      </c>
      <c r="B1" s="67"/>
      <c r="C1" s="67"/>
      <c r="D1" s="67"/>
      <c r="E1" s="67"/>
      <c r="F1" s="67"/>
      <c r="G1" s="67"/>
      <c r="H1" s="67" t="s">
        <v>228</v>
      </c>
      <c r="I1" s="67"/>
      <c r="J1" s="67"/>
      <c r="K1" s="68"/>
    </row>
    <row r="2" spans="1:11" x14ac:dyDescent="0.45">
      <c r="A2" s="69">
        <v>1</v>
      </c>
      <c r="B2" s="70" t="s">
        <v>261</v>
      </c>
      <c r="C2" s="70"/>
      <c r="D2" s="70"/>
      <c r="E2" s="70"/>
      <c r="F2" s="70"/>
      <c r="G2" s="70"/>
      <c r="H2" s="70"/>
      <c r="I2" s="70"/>
      <c r="J2" s="70"/>
      <c r="K2" s="71"/>
    </row>
    <row r="3" spans="1:11" x14ac:dyDescent="0.45">
      <c r="A3" s="69">
        <v>2</v>
      </c>
      <c r="B3" s="70" t="s">
        <v>229</v>
      </c>
      <c r="C3" s="70"/>
      <c r="D3" s="70"/>
      <c r="E3" s="70"/>
      <c r="F3" s="70"/>
      <c r="G3" s="70"/>
      <c r="H3" s="70"/>
      <c r="I3" s="70"/>
      <c r="J3" s="70"/>
      <c r="K3" s="71"/>
    </row>
    <row r="4" spans="1:11" x14ac:dyDescent="0.45">
      <c r="A4" s="69">
        <v>3</v>
      </c>
      <c r="B4" s="70" t="s">
        <v>230</v>
      </c>
      <c r="C4" s="70"/>
      <c r="D4" s="70"/>
      <c r="E4" s="70"/>
      <c r="F4" s="70"/>
      <c r="G4" s="70"/>
      <c r="H4" s="70"/>
      <c r="I4" s="70"/>
      <c r="J4" s="70"/>
      <c r="K4" s="71"/>
    </row>
    <row r="5" spans="1:11" x14ac:dyDescent="0.45">
      <c r="A5" s="72">
        <v>4</v>
      </c>
      <c r="B5" s="73" t="s">
        <v>231</v>
      </c>
      <c r="C5" s="73"/>
      <c r="D5" s="73"/>
      <c r="E5" s="73"/>
      <c r="F5" s="73"/>
      <c r="G5" s="73"/>
      <c r="H5" s="73"/>
      <c r="I5" s="73"/>
      <c r="J5" s="73"/>
      <c r="K5" s="74"/>
    </row>
    <row r="8" spans="1:11" x14ac:dyDescent="0.45">
      <c r="B8" t="s">
        <v>232</v>
      </c>
      <c r="C8" t="s">
        <v>233</v>
      </c>
      <c r="D8" t="s">
        <v>234</v>
      </c>
      <c r="E8" t="s">
        <v>281</v>
      </c>
      <c r="F8" t="s">
        <v>282</v>
      </c>
      <c r="G8" t="s">
        <v>283</v>
      </c>
      <c r="H8" t="s">
        <v>284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51">
        <v>0.48607638888888888</v>
      </c>
      <c r="G9" t="s">
        <v>239</v>
      </c>
      <c r="H9">
        <v>24</v>
      </c>
      <c r="I9" t="s">
        <v>285</v>
      </c>
      <c r="J9">
        <v>12</v>
      </c>
    </row>
    <row r="10" spans="1:11" x14ac:dyDescent="0.45">
      <c r="A10" t="s">
        <v>240</v>
      </c>
    </row>
    <row r="11" spans="1:11" x14ac:dyDescent="0.4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45">
      <c r="B12">
        <v>2</v>
      </c>
      <c r="C12" t="s">
        <v>48</v>
      </c>
      <c r="D12" t="s">
        <v>242</v>
      </c>
      <c r="E12">
        <v>13.7073027249</v>
      </c>
      <c r="F12">
        <v>2.1567378721499999</v>
      </c>
    </row>
    <row r="13" spans="1:11" x14ac:dyDescent="0.45">
      <c r="B13">
        <v>3</v>
      </c>
      <c r="C13" t="s">
        <v>51</v>
      </c>
      <c r="D13" t="s">
        <v>242</v>
      </c>
      <c r="E13" s="52">
        <v>7.0220312730799997E-2</v>
      </c>
      <c r="F13">
        <v>0.25869937796300002</v>
      </c>
    </row>
    <row r="14" spans="1:11" x14ac:dyDescent="0.45">
      <c r="B14">
        <v>4</v>
      </c>
      <c r="C14" t="s">
        <v>54</v>
      </c>
      <c r="D14" t="s">
        <v>242</v>
      </c>
      <c r="E14" s="52">
        <v>-3.3904088920700001E-2</v>
      </c>
      <c r="F14">
        <v>0.29717527652300002</v>
      </c>
    </row>
    <row r="15" spans="1:11" x14ac:dyDescent="0.45">
      <c r="B15">
        <v>5</v>
      </c>
      <c r="C15" t="s">
        <v>57</v>
      </c>
      <c r="D15" t="s">
        <v>242</v>
      </c>
      <c r="E15">
        <v>0.14394271350499999</v>
      </c>
      <c r="F15">
        <v>0.308923683517</v>
      </c>
    </row>
    <row r="16" spans="1:11" x14ac:dyDescent="0.45">
      <c r="B16">
        <v>6</v>
      </c>
      <c r="C16" t="s">
        <v>59</v>
      </c>
      <c r="D16" t="s">
        <v>242</v>
      </c>
      <c r="E16" s="52">
        <v>0.36721258210199997</v>
      </c>
      <c r="F16">
        <v>0.14251816133299999</v>
      </c>
    </row>
    <row r="17" spans="2:6" x14ac:dyDescent="0.45">
      <c r="B17">
        <v>7</v>
      </c>
      <c r="C17" t="s">
        <v>61</v>
      </c>
      <c r="D17" t="s">
        <v>242</v>
      </c>
      <c r="E17">
        <v>-6.4918460355300001</v>
      </c>
      <c r="F17">
        <v>0.28790085567700002</v>
      </c>
    </row>
    <row r="18" spans="2:6" x14ac:dyDescent="0.45">
      <c r="B18">
        <v>8</v>
      </c>
      <c r="C18" t="s">
        <v>64</v>
      </c>
      <c r="D18" t="s">
        <v>242</v>
      </c>
      <c r="E18" s="52">
        <v>1.39963442933</v>
      </c>
      <c r="F18">
        <v>0.219287303381</v>
      </c>
    </row>
    <row r="19" spans="2:6" x14ac:dyDescent="0.45">
      <c r="B19">
        <v>9</v>
      </c>
      <c r="C19" t="s">
        <v>66</v>
      </c>
      <c r="D19" t="s">
        <v>242</v>
      </c>
      <c r="E19" s="52">
        <v>0.66317866364400002</v>
      </c>
      <c r="F19">
        <v>0.26858783017999999</v>
      </c>
    </row>
    <row r="20" spans="2:6" x14ac:dyDescent="0.45">
      <c r="B20">
        <v>10</v>
      </c>
      <c r="C20" t="s">
        <v>68</v>
      </c>
      <c r="D20" t="s">
        <v>242</v>
      </c>
      <c r="E20">
        <v>-0.38108886824999999</v>
      </c>
      <c r="F20">
        <v>0.13838340923600001</v>
      </c>
    </row>
    <row r="21" spans="2:6" x14ac:dyDescent="0.45">
      <c r="B21">
        <v>11</v>
      </c>
      <c r="C21" t="s">
        <v>70</v>
      </c>
      <c r="D21" t="s">
        <v>242</v>
      </c>
      <c r="E21">
        <v>-0.73323034645999996</v>
      </c>
      <c r="F21">
        <v>0.271567970843</v>
      </c>
    </row>
    <row r="22" spans="2:6" x14ac:dyDescent="0.45">
      <c r="B22">
        <v>12</v>
      </c>
      <c r="C22" t="s">
        <v>72</v>
      </c>
      <c r="D22" t="s">
        <v>242</v>
      </c>
      <c r="E22">
        <v>-0.913115187153</v>
      </c>
      <c r="F22">
        <v>0.28732544144</v>
      </c>
    </row>
    <row r="23" spans="2:6" x14ac:dyDescent="0.45">
      <c r="B23">
        <v>13</v>
      </c>
      <c r="C23" t="s">
        <v>74</v>
      </c>
      <c r="D23" t="s">
        <v>242</v>
      </c>
      <c r="E23">
        <v>-0.56168035354400003</v>
      </c>
      <c r="F23">
        <v>0.191760887996</v>
      </c>
    </row>
    <row r="24" spans="2:6" x14ac:dyDescent="0.45">
      <c r="B24">
        <v>14</v>
      </c>
      <c r="C24" t="s">
        <v>76</v>
      </c>
      <c r="D24" t="s">
        <v>242</v>
      </c>
      <c r="E24">
        <v>-0.30132725845199998</v>
      </c>
      <c r="F24">
        <v>0.111544246559</v>
      </c>
    </row>
    <row r="25" spans="2:6" x14ac:dyDescent="0.45">
      <c r="B25">
        <v>15</v>
      </c>
      <c r="C25" t="s">
        <v>78</v>
      </c>
      <c r="D25" t="s">
        <v>242</v>
      </c>
      <c r="E25">
        <v>1.97893419319</v>
      </c>
      <c r="F25">
        <v>0.37327755020499997</v>
      </c>
    </row>
    <row r="26" spans="2:6" x14ac:dyDescent="0.45">
      <c r="B26">
        <v>16</v>
      </c>
      <c r="C26" t="s">
        <v>80</v>
      </c>
      <c r="D26" t="s">
        <v>242</v>
      </c>
      <c r="E26">
        <v>0.89286126056000004</v>
      </c>
      <c r="F26">
        <v>0.29358414395600002</v>
      </c>
    </row>
    <row r="27" spans="2:6" x14ac:dyDescent="0.4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4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4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45">
      <c r="B30">
        <v>20</v>
      </c>
      <c r="C30" t="s">
        <v>92</v>
      </c>
      <c r="D30" t="s">
        <v>242</v>
      </c>
      <c r="E30">
        <v>0.55927220197000005</v>
      </c>
      <c r="F30" s="52">
        <v>6.3070773371999997E-2</v>
      </c>
    </row>
    <row r="31" spans="2:6" x14ac:dyDescent="0.45">
      <c r="B31">
        <v>21</v>
      </c>
      <c r="C31" t="s">
        <v>94</v>
      </c>
      <c r="D31" t="s">
        <v>242</v>
      </c>
      <c r="E31">
        <v>-10.6100761267462</v>
      </c>
      <c r="F31">
        <v>2.1635731872099999</v>
      </c>
    </row>
    <row r="32" spans="2:6" x14ac:dyDescent="0.45">
      <c r="B32">
        <v>22</v>
      </c>
      <c r="C32" t="s">
        <v>96</v>
      </c>
      <c r="D32" t="s">
        <v>242</v>
      </c>
      <c r="E32">
        <v>-9.3491031588377993</v>
      </c>
      <c r="F32">
        <v>0.48285243031500003</v>
      </c>
    </row>
    <row r="33" spans="2:6" x14ac:dyDescent="0.45">
      <c r="B33">
        <v>23</v>
      </c>
      <c r="C33" t="s">
        <v>98</v>
      </c>
      <c r="D33" t="s">
        <v>242</v>
      </c>
      <c r="E33">
        <v>-4.0525569260302001</v>
      </c>
      <c r="F33">
        <v>0.28097869320699997</v>
      </c>
    </row>
    <row r="34" spans="2:6" x14ac:dyDescent="0.45">
      <c r="B34">
        <v>24</v>
      </c>
      <c r="C34" t="s">
        <v>100</v>
      </c>
      <c r="D34" t="s">
        <v>242</v>
      </c>
      <c r="E34">
        <v>0.21220129380800001</v>
      </c>
      <c r="F34" s="52">
        <v>2.3591368768600001E-2</v>
      </c>
    </row>
    <row r="35" spans="2:6" x14ac:dyDescent="0.45">
      <c r="B35">
        <v>25</v>
      </c>
      <c r="C35" t="s">
        <v>103</v>
      </c>
      <c r="D35" t="s">
        <v>242</v>
      </c>
      <c r="E35">
        <v>-0.156772126135</v>
      </c>
      <c r="F35" s="52">
        <v>2.5404206972699999E-2</v>
      </c>
    </row>
    <row r="36" spans="2:6" x14ac:dyDescent="0.45">
      <c r="B36">
        <v>26</v>
      </c>
      <c r="C36" t="s">
        <v>105</v>
      </c>
      <c r="D36" t="s">
        <v>242</v>
      </c>
      <c r="E36">
        <v>0.78053827557199995</v>
      </c>
      <c r="F36" s="52">
        <v>0.13801392691299999</v>
      </c>
    </row>
    <row r="37" spans="2:6" x14ac:dyDescent="0.45">
      <c r="B37">
        <v>27</v>
      </c>
      <c r="C37" t="s">
        <v>106</v>
      </c>
      <c r="D37" t="s">
        <v>242</v>
      </c>
      <c r="E37">
        <v>-10.801432269311199</v>
      </c>
      <c r="F37">
        <v>2.1635010799400001</v>
      </c>
    </row>
    <row r="38" spans="2:6" x14ac:dyDescent="0.45">
      <c r="B38">
        <v>28</v>
      </c>
      <c r="C38" t="s">
        <v>108</v>
      </c>
      <c r="D38" t="s">
        <v>242</v>
      </c>
      <c r="E38">
        <v>-6.3576746947949996</v>
      </c>
      <c r="F38">
        <v>0.49109078483500002</v>
      </c>
    </row>
    <row r="39" spans="2:6" x14ac:dyDescent="0.45">
      <c r="B39">
        <v>29</v>
      </c>
      <c r="C39" t="s">
        <v>109</v>
      </c>
      <c r="D39" t="s">
        <v>242</v>
      </c>
      <c r="E39">
        <v>-2.8344072250191998</v>
      </c>
      <c r="F39">
        <v>0.23114662533300001</v>
      </c>
    </row>
    <row r="40" spans="2:6" x14ac:dyDescent="0.45">
      <c r="B40">
        <v>30</v>
      </c>
      <c r="C40" t="s">
        <v>110</v>
      </c>
      <c r="D40" t="s">
        <v>242</v>
      </c>
      <c r="E40">
        <v>-1.4822873023622001</v>
      </c>
      <c r="F40" s="52">
        <v>0.15445284496</v>
      </c>
    </row>
    <row r="41" spans="2:6" x14ac:dyDescent="0.45">
      <c r="B41">
        <v>31</v>
      </c>
      <c r="C41" t="s">
        <v>112</v>
      </c>
      <c r="D41" t="s">
        <v>242</v>
      </c>
      <c r="E41" s="52">
        <v>0.161916660248</v>
      </c>
      <c r="F41" s="52">
        <v>2.4598246513100001E-2</v>
      </c>
    </row>
    <row r="42" spans="2:6" x14ac:dyDescent="0.45">
      <c r="B42">
        <v>32</v>
      </c>
      <c r="C42" t="s">
        <v>114</v>
      </c>
      <c r="D42" t="s">
        <v>242</v>
      </c>
      <c r="E42">
        <v>-0.164548260329</v>
      </c>
      <c r="F42" s="52">
        <v>3.0497321424399999E-2</v>
      </c>
    </row>
    <row r="43" spans="2:6" x14ac:dyDescent="0.45">
      <c r="B43">
        <v>33</v>
      </c>
      <c r="C43" t="s">
        <v>116</v>
      </c>
      <c r="D43" t="s">
        <v>242</v>
      </c>
      <c r="E43">
        <v>0.20498917376299999</v>
      </c>
      <c r="F43" s="52">
        <v>2.26070286041E-2</v>
      </c>
    </row>
    <row r="44" spans="2:6" x14ac:dyDescent="0.45">
      <c r="B44">
        <v>34</v>
      </c>
      <c r="C44" t="s">
        <v>118</v>
      </c>
      <c r="D44" t="s">
        <v>242</v>
      </c>
      <c r="E44">
        <v>-0.128001396233</v>
      </c>
      <c r="F44" s="52">
        <v>2.71057179313E-2</v>
      </c>
    </row>
    <row r="45" spans="2:6" x14ac:dyDescent="0.45">
      <c r="B45">
        <v>35</v>
      </c>
      <c r="C45" t="s">
        <v>121</v>
      </c>
      <c r="D45" t="s">
        <v>242</v>
      </c>
      <c r="E45" s="52">
        <v>6.1170505754699997E-2</v>
      </c>
      <c r="F45" s="52">
        <v>1.6417141522400001E-2</v>
      </c>
    </row>
    <row r="46" spans="2:6" x14ac:dyDescent="0.45">
      <c r="B46">
        <v>36</v>
      </c>
      <c r="C46" t="s">
        <v>123</v>
      </c>
      <c r="D46" t="s">
        <v>242</v>
      </c>
      <c r="E46" s="52">
        <v>1.3253567635600001</v>
      </c>
      <c r="F46" s="52">
        <v>0.18997438038600001</v>
      </c>
    </row>
    <row r="47" spans="2:6" x14ac:dyDescent="0.45">
      <c r="B47">
        <v>37</v>
      </c>
      <c r="C47" t="s">
        <v>124</v>
      </c>
      <c r="D47" t="s">
        <v>242</v>
      </c>
      <c r="E47">
        <v>-6.8051932741582997</v>
      </c>
      <c r="F47">
        <v>2.2590324693200001</v>
      </c>
    </row>
    <row r="48" spans="2:6" x14ac:dyDescent="0.45">
      <c r="B48">
        <v>38</v>
      </c>
      <c r="C48" t="s">
        <v>126</v>
      </c>
      <c r="D48" t="s">
        <v>242</v>
      </c>
      <c r="E48">
        <v>-8.2040601552336003</v>
      </c>
      <c r="F48">
        <v>0.534114739916</v>
      </c>
    </row>
    <row r="49" spans="2:6" x14ac:dyDescent="0.45">
      <c r="B49">
        <v>39</v>
      </c>
      <c r="C49" t="s">
        <v>127</v>
      </c>
      <c r="D49" t="s">
        <v>242</v>
      </c>
      <c r="E49">
        <v>-7.9091539026991002</v>
      </c>
      <c r="F49">
        <v>0.29434692441299998</v>
      </c>
    </row>
    <row r="50" spans="2:6" x14ac:dyDescent="0.45">
      <c r="B50">
        <v>40</v>
      </c>
      <c r="C50" t="s">
        <v>128</v>
      </c>
      <c r="D50" t="s">
        <v>242</v>
      </c>
      <c r="E50">
        <v>-5.6394867063158003</v>
      </c>
      <c r="F50">
        <v>0.21098361657199999</v>
      </c>
    </row>
    <row r="51" spans="2:6" x14ac:dyDescent="0.45">
      <c r="B51">
        <v>41</v>
      </c>
      <c r="C51" t="s">
        <v>129</v>
      </c>
      <c r="D51" t="s">
        <v>242</v>
      </c>
      <c r="E51">
        <v>-0.149205194047</v>
      </c>
      <c r="F51" s="52">
        <v>2.2183697722899999E-2</v>
      </c>
    </row>
    <row r="52" spans="2:6" x14ac:dyDescent="0.45">
      <c r="B52">
        <v>42</v>
      </c>
      <c r="C52" t="s">
        <v>131</v>
      </c>
      <c r="D52" t="s">
        <v>242</v>
      </c>
      <c r="E52">
        <v>0.517393579278</v>
      </c>
      <c r="F52" s="52">
        <v>3.32158540558E-2</v>
      </c>
    </row>
    <row r="53" spans="2:6" x14ac:dyDescent="0.45">
      <c r="B53">
        <v>43</v>
      </c>
      <c r="C53" t="s">
        <v>133</v>
      </c>
      <c r="D53" t="s">
        <v>242</v>
      </c>
      <c r="E53">
        <v>0.84374741070500003</v>
      </c>
      <c r="F53" s="52">
        <v>0.178687822675</v>
      </c>
    </row>
    <row r="54" spans="2:6" x14ac:dyDescent="0.45">
      <c r="B54">
        <v>44</v>
      </c>
      <c r="C54" t="s">
        <v>134</v>
      </c>
      <c r="D54" t="s">
        <v>242</v>
      </c>
      <c r="E54">
        <v>-17.092202073927201</v>
      </c>
      <c r="F54">
        <v>2.7220288019000001</v>
      </c>
    </row>
    <row r="55" spans="2:6" x14ac:dyDescent="0.45">
      <c r="B55">
        <v>45</v>
      </c>
      <c r="C55" t="s">
        <v>136</v>
      </c>
      <c r="D55" t="s">
        <v>242</v>
      </c>
      <c r="E55">
        <v>-4.6499214915950997</v>
      </c>
      <c r="F55">
        <v>0.678544989012</v>
      </c>
    </row>
    <row r="56" spans="2:6" x14ac:dyDescent="0.45">
      <c r="B56">
        <v>46</v>
      </c>
      <c r="C56" t="s">
        <v>138</v>
      </c>
      <c r="D56" t="s">
        <v>242</v>
      </c>
      <c r="E56">
        <v>0.11007373396759999</v>
      </c>
      <c r="F56">
        <v>0.316542075087</v>
      </c>
    </row>
    <row r="57" spans="2:6" x14ac:dyDescent="0.45">
      <c r="B57">
        <v>47</v>
      </c>
      <c r="C57" t="s">
        <v>140</v>
      </c>
      <c r="D57" t="s">
        <v>242</v>
      </c>
      <c r="E57">
        <v>-2.6006433832395999</v>
      </c>
      <c r="F57">
        <v>0.198666198524</v>
      </c>
    </row>
    <row r="58" spans="2:6" x14ac:dyDescent="0.45">
      <c r="B58">
        <v>48</v>
      </c>
      <c r="C58" t="s">
        <v>143</v>
      </c>
      <c r="D58" t="s">
        <v>242</v>
      </c>
      <c r="E58">
        <v>0.16683062839400001</v>
      </c>
      <c r="F58" s="52">
        <v>3.6092162993199998E-2</v>
      </c>
    </row>
    <row r="59" spans="2:6" x14ac:dyDescent="0.45">
      <c r="B59">
        <v>49</v>
      </c>
      <c r="C59" t="s">
        <v>145</v>
      </c>
      <c r="D59" t="s">
        <v>242</v>
      </c>
      <c r="E59">
        <v>0.80686039286800004</v>
      </c>
      <c r="F59" s="52">
        <v>0.18430849226599999</v>
      </c>
    </row>
    <row r="60" spans="2:6" x14ac:dyDescent="0.45">
      <c r="B60">
        <v>50</v>
      </c>
      <c r="C60" t="s">
        <v>146</v>
      </c>
      <c r="D60" t="s">
        <v>242</v>
      </c>
      <c r="E60">
        <v>-10.020777192745999</v>
      </c>
      <c r="F60">
        <v>2.32184701625</v>
      </c>
    </row>
    <row r="61" spans="2:6" x14ac:dyDescent="0.45">
      <c r="B61">
        <v>51</v>
      </c>
      <c r="C61" t="s">
        <v>147</v>
      </c>
      <c r="D61" t="s">
        <v>242</v>
      </c>
      <c r="E61">
        <v>-4.7109881624506</v>
      </c>
      <c r="F61">
        <v>0.59301229503800001</v>
      </c>
    </row>
    <row r="62" spans="2:6" x14ac:dyDescent="0.45">
      <c r="B62">
        <v>52</v>
      </c>
      <c r="C62" t="s">
        <v>148</v>
      </c>
      <c r="D62" t="s">
        <v>242</v>
      </c>
      <c r="E62">
        <v>-1.2671613377644</v>
      </c>
      <c r="F62">
        <v>0.29029353811199998</v>
      </c>
    </row>
    <row r="63" spans="2:6" x14ac:dyDescent="0.45">
      <c r="B63">
        <v>53</v>
      </c>
      <c r="C63" t="s">
        <v>149</v>
      </c>
      <c r="D63" t="s">
        <v>242</v>
      </c>
      <c r="E63">
        <v>-1.1289015585513</v>
      </c>
      <c r="F63">
        <v>0.18935293258499999</v>
      </c>
    </row>
    <row r="64" spans="2:6" x14ac:dyDescent="0.45">
      <c r="B64">
        <v>54</v>
      </c>
      <c r="C64" t="s">
        <v>150</v>
      </c>
      <c r="D64" t="s">
        <v>242</v>
      </c>
      <c r="E64">
        <v>0.21306405683599999</v>
      </c>
      <c r="F64" s="52">
        <v>4.0484886653700002E-2</v>
      </c>
    </row>
    <row r="65" spans="2:6" x14ac:dyDescent="0.45">
      <c r="B65">
        <v>55</v>
      </c>
      <c r="C65" t="s">
        <v>152</v>
      </c>
      <c r="D65" t="s">
        <v>242</v>
      </c>
      <c r="E65">
        <v>0.49322187999099998</v>
      </c>
      <c r="F65" s="52">
        <v>4.4144582285800003E-2</v>
      </c>
    </row>
    <row r="66" spans="2:6" x14ac:dyDescent="0.45">
      <c r="B66">
        <v>56</v>
      </c>
      <c r="C66" t="s">
        <v>153</v>
      </c>
      <c r="D66" t="s">
        <v>242</v>
      </c>
      <c r="E66">
        <v>-0.81297460986500003</v>
      </c>
      <c r="F66" s="52">
        <v>4.4146608637300001E-2</v>
      </c>
    </row>
    <row r="67" spans="2:6" x14ac:dyDescent="0.45">
      <c r="B67">
        <v>57</v>
      </c>
      <c r="C67" t="s">
        <v>154</v>
      </c>
      <c r="D67" t="s">
        <v>242</v>
      </c>
      <c r="E67" s="52">
        <v>8.0759501397E-2</v>
      </c>
      <c r="F67" s="52">
        <v>2.06933444566E-2</v>
      </c>
    </row>
    <row r="68" spans="2:6" x14ac:dyDescent="0.45">
      <c r="B68">
        <v>70</v>
      </c>
      <c r="C68" t="s">
        <v>155</v>
      </c>
      <c r="D68" t="s">
        <v>242</v>
      </c>
      <c r="E68" s="52">
        <v>0.29053029913700001</v>
      </c>
      <c r="F68" s="52">
        <v>1.13080873111E-2</v>
      </c>
    </row>
    <row r="69" spans="2:6" x14ac:dyDescent="0.45">
      <c r="B69">
        <v>71</v>
      </c>
      <c r="C69" t="s">
        <v>156</v>
      </c>
      <c r="D69" t="s">
        <v>241</v>
      </c>
      <c r="E69">
        <v>0</v>
      </c>
      <c r="F69" s="52">
        <v>0</v>
      </c>
    </row>
    <row r="70" spans="2:6" x14ac:dyDescent="0.45">
      <c r="B70">
        <v>72</v>
      </c>
      <c r="C70" t="s">
        <v>158</v>
      </c>
      <c r="D70" t="s">
        <v>242</v>
      </c>
      <c r="E70">
        <v>-3.51218611463</v>
      </c>
      <c r="F70">
        <v>1.10016104602</v>
      </c>
    </row>
    <row r="71" spans="2:6" x14ac:dyDescent="0.45">
      <c r="B71">
        <v>73</v>
      </c>
      <c r="C71" t="s">
        <v>160</v>
      </c>
      <c r="D71" t="s">
        <v>242</v>
      </c>
      <c r="E71">
        <v>-1.9512398226400001</v>
      </c>
      <c r="F71">
        <v>1.3061635869799999</v>
      </c>
    </row>
    <row r="72" spans="2:6" x14ac:dyDescent="0.45">
      <c r="B72">
        <v>74</v>
      </c>
      <c r="C72" t="s">
        <v>162</v>
      </c>
      <c r="D72" t="s">
        <v>242</v>
      </c>
      <c r="E72">
        <v>-2.2875988415099999</v>
      </c>
      <c r="F72">
        <v>0.68287455172</v>
      </c>
    </row>
    <row r="73" spans="2:6" x14ac:dyDescent="0.45">
      <c r="B73">
        <v>75</v>
      </c>
      <c r="C73" t="s">
        <v>164</v>
      </c>
      <c r="D73" t="s">
        <v>242</v>
      </c>
      <c r="E73">
        <v>-2.97270473739</v>
      </c>
      <c r="F73">
        <v>0.801285272145</v>
      </c>
    </row>
    <row r="74" spans="2:6" x14ac:dyDescent="0.45">
      <c r="B74">
        <v>76</v>
      </c>
      <c r="C74" t="s">
        <v>166</v>
      </c>
      <c r="D74" t="s">
        <v>242</v>
      </c>
      <c r="E74">
        <v>-2.2065775626700002</v>
      </c>
      <c r="F74">
        <v>0.71288966547400001</v>
      </c>
    </row>
    <row r="75" spans="2:6" x14ac:dyDescent="0.45">
      <c r="B75">
        <v>77</v>
      </c>
      <c r="C75" t="s">
        <v>168</v>
      </c>
      <c r="D75" t="s">
        <v>242</v>
      </c>
      <c r="E75">
        <v>-1.91608314575</v>
      </c>
      <c r="F75">
        <v>0.89189817863900001</v>
      </c>
    </row>
    <row r="76" spans="2:6" x14ac:dyDescent="0.45">
      <c r="B76">
        <v>78</v>
      </c>
      <c r="C76" t="s">
        <v>170</v>
      </c>
      <c r="D76" t="s">
        <v>242</v>
      </c>
      <c r="E76">
        <v>-2.9941803696</v>
      </c>
      <c r="F76">
        <v>0.73230805856600001</v>
      </c>
    </row>
    <row r="77" spans="2:6" x14ac:dyDescent="0.45">
      <c r="B77">
        <v>79</v>
      </c>
      <c r="C77" t="s">
        <v>172</v>
      </c>
      <c r="D77" t="s">
        <v>242</v>
      </c>
      <c r="E77">
        <v>-20.893048808300001</v>
      </c>
      <c r="F77">
        <v>1.3318572224</v>
      </c>
    </row>
    <row r="78" spans="2:6" x14ac:dyDescent="0.45">
      <c r="B78">
        <v>80</v>
      </c>
      <c r="C78" t="s">
        <v>174</v>
      </c>
      <c r="D78" t="s">
        <v>242</v>
      </c>
      <c r="E78">
        <v>-0.340851234339</v>
      </c>
      <c r="F78">
        <v>0.73993441747499999</v>
      </c>
    </row>
    <row r="79" spans="2:6" x14ac:dyDescent="0.45">
      <c r="B79">
        <v>81</v>
      </c>
      <c r="C79" t="s">
        <v>176</v>
      </c>
      <c r="D79" t="s">
        <v>242</v>
      </c>
      <c r="E79">
        <v>-3.5548804977600001</v>
      </c>
      <c r="F79">
        <v>1.7924879455</v>
      </c>
    </row>
    <row r="80" spans="2:6" x14ac:dyDescent="0.45">
      <c r="B80">
        <v>82</v>
      </c>
      <c r="C80" t="s">
        <v>178</v>
      </c>
      <c r="D80" t="s">
        <v>242</v>
      </c>
      <c r="E80">
        <v>-2.04042829643</v>
      </c>
      <c r="F80">
        <v>0.57123076706499998</v>
      </c>
    </row>
    <row r="81" spans="2:6" x14ac:dyDescent="0.45">
      <c r="B81">
        <v>83</v>
      </c>
      <c r="C81" t="s">
        <v>179</v>
      </c>
      <c r="D81" t="s">
        <v>242</v>
      </c>
      <c r="E81">
        <v>-3.1291070048599998</v>
      </c>
      <c r="F81">
        <v>0.70960900603900001</v>
      </c>
    </row>
    <row r="82" spans="2:6" x14ac:dyDescent="0.45">
      <c r="B82">
        <v>84</v>
      </c>
      <c r="C82" t="s">
        <v>181</v>
      </c>
      <c r="D82" t="s">
        <v>242</v>
      </c>
      <c r="E82">
        <v>-1.36058822067</v>
      </c>
      <c r="F82">
        <v>0.54117102218500002</v>
      </c>
    </row>
    <row r="83" spans="2:6" x14ac:dyDescent="0.45">
      <c r="B83">
        <v>85</v>
      </c>
      <c r="C83" t="s">
        <v>183</v>
      </c>
      <c r="D83" t="s">
        <v>242</v>
      </c>
      <c r="E83">
        <v>-3.7593502074299998</v>
      </c>
      <c r="F83">
        <v>0.90517580077699999</v>
      </c>
    </row>
    <row r="84" spans="2:6" x14ac:dyDescent="0.45">
      <c r="B84">
        <v>86</v>
      </c>
      <c r="C84" t="s">
        <v>185</v>
      </c>
      <c r="D84" t="s">
        <v>242</v>
      </c>
      <c r="E84">
        <v>-2.6162258391100002</v>
      </c>
      <c r="F84">
        <v>0.60159109194399996</v>
      </c>
    </row>
    <row r="85" spans="2:6" x14ac:dyDescent="0.45">
      <c r="B85">
        <v>87</v>
      </c>
      <c r="C85" t="s">
        <v>187</v>
      </c>
      <c r="D85" t="s">
        <v>242</v>
      </c>
      <c r="E85">
        <v>-18.920608679800001</v>
      </c>
      <c r="F85">
        <v>1.15389556702</v>
      </c>
    </row>
    <row r="86" spans="2:6" x14ac:dyDescent="0.45">
      <c r="B86">
        <v>88</v>
      </c>
      <c r="C86" t="s">
        <v>189</v>
      </c>
      <c r="D86" t="s">
        <v>241</v>
      </c>
      <c r="E86">
        <v>0</v>
      </c>
      <c r="F86">
        <v>0</v>
      </c>
    </row>
    <row r="87" spans="2:6" x14ac:dyDescent="0.45">
      <c r="B87">
        <v>89</v>
      </c>
      <c r="C87" t="s">
        <v>191</v>
      </c>
      <c r="D87" t="s">
        <v>242</v>
      </c>
      <c r="E87">
        <v>-6.14284833482</v>
      </c>
      <c r="F87">
        <v>0.878821332959</v>
      </c>
    </row>
    <row r="88" spans="2:6" x14ac:dyDescent="0.45">
      <c r="B88">
        <v>90</v>
      </c>
      <c r="C88" t="s">
        <v>193</v>
      </c>
      <c r="D88" t="s">
        <v>242</v>
      </c>
      <c r="E88">
        <v>-16.4745846271</v>
      </c>
      <c r="F88">
        <v>3.4758476738100001</v>
      </c>
    </row>
    <row r="89" spans="2:6" x14ac:dyDescent="0.45">
      <c r="B89">
        <v>91</v>
      </c>
      <c r="C89" t="s">
        <v>195</v>
      </c>
      <c r="D89" t="s">
        <v>242</v>
      </c>
      <c r="E89">
        <v>-9.3272520902899991</v>
      </c>
      <c r="F89">
        <v>0.81194250572399995</v>
      </c>
    </row>
    <row r="90" spans="2:6" x14ac:dyDescent="0.45">
      <c r="B90">
        <v>92</v>
      </c>
      <c r="C90" t="s">
        <v>197</v>
      </c>
      <c r="D90" t="s">
        <v>242</v>
      </c>
      <c r="E90">
        <v>-0.748114378523</v>
      </c>
      <c r="F90">
        <v>0.37548664507700003</v>
      </c>
    </row>
    <row r="91" spans="2:6" x14ac:dyDescent="0.45">
      <c r="B91">
        <v>93</v>
      </c>
      <c r="C91" t="s">
        <v>199</v>
      </c>
      <c r="D91" t="s">
        <v>242</v>
      </c>
      <c r="E91">
        <v>-0.29100107664500002</v>
      </c>
      <c r="F91">
        <v>0.38141528568499999</v>
      </c>
    </row>
    <row r="92" spans="2:6" x14ac:dyDescent="0.45">
      <c r="B92">
        <v>94</v>
      </c>
      <c r="C92" t="s">
        <v>201</v>
      </c>
      <c r="D92" t="s">
        <v>241</v>
      </c>
      <c r="E92">
        <v>0</v>
      </c>
      <c r="F92">
        <v>0</v>
      </c>
    </row>
    <row r="93" spans="2:6" x14ac:dyDescent="0.45">
      <c r="B93">
        <v>95</v>
      </c>
      <c r="C93" t="s">
        <v>203</v>
      </c>
      <c r="D93" t="s">
        <v>242</v>
      </c>
      <c r="E93">
        <v>-10.3298280696</v>
      </c>
      <c r="F93">
        <v>0.93444956582399996</v>
      </c>
    </row>
    <row r="94" spans="2:6" x14ac:dyDescent="0.45">
      <c r="B94">
        <v>96</v>
      </c>
      <c r="C94" t="s">
        <v>205</v>
      </c>
      <c r="D94" t="s">
        <v>242</v>
      </c>
      <c r="E94">
        <v>-16.742935323400001</v>
      </c>
      <c r="F94">
        <v>0.87728587361400001</v>
      </c>
    </row>
    <row r="95" spans="2:6" x14ac:dyDescent="0.45">
      <c r="B95">
        <v>97</v>
      </c>
      <c r="C95" t="s">
        <v>207</v>
      </c>
      <c r="D95" t="s">
        <v>242</v>
      </c>
      <c r="E95">
        <v>-6.97234539975</v>
      </c>
      <c r="F95">
        <v>0.84429798985799998</v>
      </c>
    </row>
    <row r="96" spans="2:6" x14ac:dyDescent="0.45">
      <c r="B96">
        <v>98</v>
      </c>
      <c r="C96" t="s">
        <v>209</v>
      </c>
      <c r="D96" t="s">
        <v>242</v>
      </c>
      <c r="E96">
        <v>-10.7755348742</v>
      </c>
      <c r="F96">
        <v>1.10642531916</v>
      </c>
    </row>
    <row r="97" spans="2:6" x14ac:dyDescent="0.45">
      <c r="B97">
        <v>99</v>
      </c>
      <c r="C97" t="s">
        <v>210</v>
      </c>
      <c r="D97" t="s">
        <v>242</v>
      </c>
      <c r="E97">
        <v>-11.547846395100001</v>
      </c>
      <c r="F97">
        <v>0.74733147077399997</v>
      </c>
    </row>
    <row r="98" spans="2:6" x14ac:dyDescent="0.45">
      <c r="B98">
        <v>100</v>
      </c>
      <c r="C98" t="s">
        <v>211</v>
      </c>
      <c r="D98" t="s">
        <v>241</v>
      </c>
      <c r="E98">
        <v>0</v>
      </c>
      <c r="F98">
        <v>0</v>
      </c>
    </row>
    <row r="99" spans="2:6" x14ac:dyDescent="0.45">
      <c r="B99">
        <v>101</v>
      </c>
      <c r="C99" t="s">
        <v>212</v>
      </c>
      <c r="D99" t="s">
        <v>242</v>
      </c>
      <c r="E99">
        <v>-11.0962758301</v>
      </c>
      <c r="F99">
        <v>0.74556172273099997</v>
      </c>
    </row>
    <row r="100" spans="2:6" x14ac:dyDescent="0.45">
      <c r="B100">
        <v>102</v>
      </c>
      <c r="C100" t="s">
        <v>213</v>
      </c>
      <c r="D100" t="s">
        <v>241</v>
      </c>
      <c r="E100">
        <v>0</v>
      </c>
      <c r="F100">
        <v>0</v>
      </c>
    </row>
    <row r="101" spans="2:6" x14ac:dyDescent="0.45">
      <c r="B101">
        <v>103</v>
      </c>
      <c r="C101" t="s">
        <v>214</v>
      </c>
      <c r="D101" t="s">
        <v>242</v>
      </c>
      <c r="E101">
        <v>-12.7257909892</v>
      </c>
      <c r="F101">
        <v>1.5440284820600001</v>
      </c>
    </row>
    <row r="102" spans="2:6" x14ac:dyDescent="0.45">
      <c r="B102">
        <v>104</v>
      </c>
      <c r="C102" t="s">
        <v>215</v>
      </c>
      <c r="D102" t="s">
        <v>242</v>
      </c>
      <c r="E102">
        <v>-12.5271034041</v>
      </c>
      <c r="F102">
        <v>0.667513404915</v>
      </c>
    </row>
    <row r="103" spans="2:6" x14ac:dyDescent="0.45">
      <c r="B103">
        <v>105</v>
      </c>
      <c r="C103" t="s">
        <v>216</v>
      </c>
      <c r="D103" t="s">
        <v>242</v>
      </c>
      <c r="E103">
        <v>-21.008822510800002</v>
      </c>
      <c r="F103">
        <v>2.1748440765799999</v>
      </c>
    </row>
    <row r="104" spans="2:6" x14ac:dyDescent="0.45">
      <c r="B104">
        <v>106</v>
      </c>
      <c r="C104" t="s">
        <v>217</v>
      </c>
      <c r="D104" t="s">
        <v>242</v>
      </c>
      <c r="E104">
        <v>-1.63176275226</v>
      </c>
      <c r="F104">
        <v>0.967651109555</v>
      </c>
    </row>
    <row r="105" spans="2:6" x14ac:dyDescent="0.45">
      <c r="B105">
        <v>107</v>
      </c>
      <c r="C105" t="s">
        <v>218</v>
      </c>
      <c r="D105" t="s">
        <v>242</v>
      </c>
      <c r="E105">
        <v>-4.6653914733199997</v>
      </c>
      <c r="F105">
        <v>2.61248252668</v>
      </c>
    </row>
    <row r="106" spans="2:6" x14ac:dyDescent="0.45">
      <c r="B106">
        <v>108</v>
      </c>
      <c r="C106" t="s">
        <v>220</v>
      </c>
      <c r="D106" t="s">
        <v>242</v>
      </c>
      <c r="E106">
        <v>-7.5050624753099999</v>
      </c>
      <c r="F106">
        <v>1.3833200651199999</v>
      </c>
    </row>
    <row r="107" spans="2:6" x14ac:dyDescent="0.45">
      <c r="B107">
        <v>109</v>
      </c>
      <c r="C107" t="s">
        <v>221</v>
      </c>
      <c r="D107" t="s">
        <v>242</v>
      </c>
      <c r="E107">
        <v>-7.2217481188799999</v>
      </c>
      <c r="F107">
        <v>1.5428659018799999</v>
      </c>
    </row>
    <row r="108" spans="2:6" x14ac:dyDescent="0.45">
      <c r="B108">
        <v>110</v>
      </c>
      <c r="C108" t="s">
        <v>222</v>
      </c>
      <c r="D108" t="s">
        <v>242</v>
      </c>
      <c r="E108">
        <v>-3.4793464222399999</v>
      </c>
      <c r="F108">
        <v>0.74775521117900001</v>
      </c>
    </row>
    <row r="109" spans="2:6" x14ac:dyDescent="0.45">
      <c r="B109">
        <v>111</v>
      </c>
      <c r="C109" t="s">
        <v>223</v>
      </c>
      <c r="D109" t="s">
        <v>241</v>
      </c>
      <c r="E109">
        <v>0</v>
      </c>
      <c r="F109">
        <v>0</v>
      </c>
    </row>
    <row r="110" spans="2:6" x14ac:dyDescent="0.45">
      <c r="B110">
        <v>112</v>
      </c>
      <c r="C110" t="s">
        <v>224</v>
      </c>
      <c r="D110" t="s">
        <v>241</v>
      </c>
      <c r="E110">
        <v>0</v>
      </c>
      <c r="F110">
        <v>0</v>
      </c>
    </row>
    <row r="111" spans="2:6" x14ac:dyDescent="0.45">
      <c r="B111">
        <v>113</v>
      </c>
      <c r="C111" t="s">
        <v>226</v>
      </c>
      <c r="D111" t="s">
        <v>242</v>
      </c>
      <c r="E111">
        <v>-2.23577200178</v>
      </c>
      <c r="F111">
        <v>2.4396907415000002</v>
      </c>
    </row>
    <row r="112" spans="2:6" x14ac:dyDescent="0.45">
      <c r="B112">
        <v>120</v>
      </c>
      <c r="C112" t="s">
        <v>286</v>
      </c>
      <c r="D112" t="s">
        <v>242</v>
      </c>
      <c r="E112">
        <v>3</v>
      </c>
      <c r="F112">
        <v>2.4396907415000002</v>
      </c>
    </row>
    <row r="113" spans="2:11" x14ac:dyDescent="0.45">
      <c r="B113">
        <v>-1</v>
      </c>
    </row>
    <row r="114" spans="2:11" x14ac:dyDescent="0.45">
      <c r="B114">
        <v>6224</v>
      </c>
      <c r="C114" s="52">
        <v>-7713.1262757699997</v>
      </c>
      <c r="D114" s="52">
        <v>-24166.840237699998</v>
      </c>
      <c r="E114" s="52">
        <v>-15453.864181499999</v>
      </c>
    </row>
    <row r="115" spans="2:11" x14ac:dyDescent="0.45">
      <c r="B115">
        <v>5</v>
      </c>
      <c r="C115" t="s">
        <v>287</v>
      </c>
      <c r="D115" t="s">
        <v>239</v>
      </c>
      <c r="E115">
        <v>24</v>
      </c>
      <c r="F115" t="s">
        <v>285</v>
      </c>
      <c r="G115">
        <v>12</v>
      </c>
    </row>
    <row r="116" spans="2:11" x14ac:dyDescent="0.4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2:11" x14ac:dyDescent="0.4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2:11" x14ac:dyDescent="0.4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2:11" x14ac:dyDescent="0.4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2:11" x14ac:dyDescent="0.4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2:11" x14ac:dyDescent="0.4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2:11" x14ac:dyDescent="0.4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2:11" x14ac:dyDescent="0.4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2:11" x14ac:dyDescent="0.4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2:11" x14ac:dyDescent="0.4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2:11" x14ac:dyDescent="0.4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2:11" x14ac:dyDescent="0.4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4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4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4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4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4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4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4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4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4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4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4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4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4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4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4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4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4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4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4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4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4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4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4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4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4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4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4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4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4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4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4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4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4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4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4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4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4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4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4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4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4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4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4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4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4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4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4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4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4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4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4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4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4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4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4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4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4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4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4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4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4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4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4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4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4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4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4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4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4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4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4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4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4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4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4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4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4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4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4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4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4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4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4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4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4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4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4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4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4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4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4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4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4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4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4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4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4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4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4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4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4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4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4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4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4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4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4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4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4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4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4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4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4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4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4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4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4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4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4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4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4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4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4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4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4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4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4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4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4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4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4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4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4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4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4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4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4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4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4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4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4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4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4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4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4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4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4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4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4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4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4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4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4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4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4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4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4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4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4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4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4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4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4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4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4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4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4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4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4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4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4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4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4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4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4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4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4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4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4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4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4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4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4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4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4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4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4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4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4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4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4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4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4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4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4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4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4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4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4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4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4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4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4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4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4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4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4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4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4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4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4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4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4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4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4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4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4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4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4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4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4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4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4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4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4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4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4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4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4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4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4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4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4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4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4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4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4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4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4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4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4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4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4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4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4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4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4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4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4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4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4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4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4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4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4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4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4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4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4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4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4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4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4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4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4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4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4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4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4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4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4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4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4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4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4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4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4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4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4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4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4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4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4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4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4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4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4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4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4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4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4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4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4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4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4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4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4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4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4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4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4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4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4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4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4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4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4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4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4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4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4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4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4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4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4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4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4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4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4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4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4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4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4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4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4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4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4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4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4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4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4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4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4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4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4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4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4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4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4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4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4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4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4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4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4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4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4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4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4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4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4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4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4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4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4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4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4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4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4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4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4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4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4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4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4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4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4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4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4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4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4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4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4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4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4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4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4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4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4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4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4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4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4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4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4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4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4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4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4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4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4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4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4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4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4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4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4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4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4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4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4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4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4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4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4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4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4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4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4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4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4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4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4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4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4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4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4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4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4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4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4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4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4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4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4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4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4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4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4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4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4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4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4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4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4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4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Z104"/>
  <sheetViews>
    <sheetView workbookViewId="0" zoomScaleNormal="100">
      <selection activeCell="K9" sqref="K9"/>
    </sheetView>
  </sheetViews>
  <sheetFormatPr defaultColWidth="9.1328125" defaultRowHeight="14.25" x14ac:dyDescent="0.45"/>
  <cols>
    <col min="1" max="2" width="9.1328125" collapsed="true"/>
    <col min="3" max="3" bestFit="true" customWidth="true" width="12.73046875" collapsed="true"/>
    <col min="4" max="4" customWidth="true" style="21" width="18.86328125" collapsed="true"/>
    <col min="5" max="5" customWidth="true" width="6.73046875" collapsed="true"/>
    <col min="6" max="6" customWidth="true" width="12.73046875" collapsed="true"/>
    <col min="7" max="7" customWidth="true" style="21" width="18.86328125" collapsed="true"/>
    <col min="8" max="8" customWidth="true" style="21" width="8.73046875" collapsed="true"/>
    <col min="9" max="9" customWidth="true" style="21" width="9.59765625" collapsed="true"/>
    <col min="10" max="10" customWidth="true" style="21" width="10.1328125" collapsed="true"/>
    <col min="11" max="11" customWidth="true" style="21" width="9.86328125" collapsed="true"/>
    <col min="12" max="14" width="9.1328125" collapsed="true"/>
    <col min="15" max="15" customWidth="true" width="13.0" collapsed="true"/>
    <col min="16" max="16" bestFit="true" customWidth="true" style="23" width="19.59765625" collapsed="true"/>
    <col min="17" max="17" customWidth="true" style="50" width="19.59765625" collapsed="true"/>
    <col min="18" max="16384" width="9.1328125" collapsed="true"/>
  </cols>
  <sheetData>
    <row r="1" spans="3:25" x14ac:dyDescent="0.45">
      <c r="C1" s="9" t="s">
        <v>40</v>
      </c>
      <c r="F1" s="9" t="s">
        <v>41</v>
      </c>
      <c r="N1" s="22" t="s">
        <v>260</v>
      </c>
      <c r="S1" s="22"/>
      <c r="T1" s="22" t="s">
        <v>260</v>
      </c>
      <c r="U1" s="39"/>
      <c r="V1" s="39"/>
      <c r="W1" s="39"/>
      <c r="X1" s="39"/>
      <c r="Y1" s="39"/>
    </row>
    <row ht="14.65" r="2" spans="3:25" thickBot="1" x14ac:dyDescent="0.5">
      <c r="C2" s="22" t="s">
        <v>43</v>
      </c>
      <c r="M2" s="9" t="s">
        <v>91</v>
      </c>
      <c r="N2" s="9" t="s">
        <v>255</v>
      </c>
      <c r="O2" s="9" t="s">
        <v>256</v>
      </c>
      <c r="P2" s="64" t="s">
        <v>258</v>
      </c>
      <c r="Q2" s="65" t="s">
        <v>259</v>
      </c>
      <c r="T2" s="39"/>
      <c r="U2" s="22" t="s">
        <v>262</v>
      </c>
      <c r="W2" s="39"/>
      <c r="X2" s="39"/>
      <c r="Y2" s="39"/>
    </row>
    <row r="3" spans="3:25" x14ac:dyDescent="0.45">
      <c r="C3" s="5" t="s">
        <v>3</v>
      </c>
      <c r="D3" s="24" t="s">
        <v>44</v>
      </c>
      <c r="F3" s="5" t="s">
        <v>3</v>
      </c>
      <c r="G3" s="24" t="s">
        <v>44</v>
      </c>
      <c r="H3" s="81"/>
      <c r="I3" s="81"/>
      <c r="J3" s="81"/>
      <c r="K3" s="81"/>
      <c r="L3" s="25"/>
      <c r="M3" t="str">
        <f>VLOOKUP(N3,Coeff_Descr!$A:$D,3,FALSE)</f>
        <v>ALL</v>
      </c>
      <c r="N3">
        <f>OtherTourDestination!B11</f>
        <v>1</v>
      </c>
      <c r="O3" t="str">
        <f>OtherTourDestination!C11</f>
        <v>Beta00001</v>
      </c>
      <c r="P3" s="23">
        <f>OtherTourDestination!E11</f>
        <v>1</v>
      </c>
      <c r="Q3" s="53">
        <f>_xlfn.IFNA(VLOOKUP(N3,$B$43:$D$46,3,FALSE),P3)</f>
        <v>1</v>
      </c>
      <c r="T3">
        <v>1</v>
      </c>
      <c r="U3" s="19" t="s">
        <v>278</v>
      </c>
      <c r="W3" s="39"/>
      <c r="X3" s="39"/>
      <c r="Y3" s="39"/>
    </row>
    <row r="4" spans="3:25" x14ac:dyDescent="0.45">
      <c r="C4" s="26" t="s">
        <v>47</v>
      </c>
      <c r="D4" s="27">
        <f>TLFD!B11</f>
        <v>21026.006861992355</v>
      </c>
      <c r="F4" s="26" t="s">
        <v>47</v>
      </c>
      <c r="G4" s="27">
        <f>TLFD!F11</f>
        <v>22267</v>
      </c>
      <c r="H4" s="27"/>
      <c r="I4" s="27"/>
      <c r="J4" s="27"/>
      <c r="K4" s="27"/>
      <c r="L4" s="28"/>
      <c r="M4" t="str">
        <f>VLOOKUP(N4,Coeff_Descr!$A:$D,3,FALSE)</f>
        <v>ALL</v>
      </c>
      <c r="N4">
        <f>OtherTourDestination!B12</f>
        <v>2</v>
      </c>
      <c r="O4" t="str">
        <f>OtherTourDestination!C12</f>
        <v>Beta00002</v>
      </c>
      <c r="P4" s="23">
        <f>OtherTourDestination!E12</f>
        <v>13.7073027249</v>
      </c>
      <c r="Q4" s="53">
        <f>_xlfn.IFNA(VLOOKUP(N4,$B$43:$D$46,3,FALSE),P4)</f>
        <v>13.7073027249</v>
      </c>
      <c r="T4">
        <v>2</v>
      </c>
      <c r="U4" s="19" t="s">
        <v>270</v>
      </c>
      <c r="W4" s="39"/>
      <c r="X4" s="39"/>
      <c r="Y4" s="39"/>
    </row>
    <row r="5" spans="3:25" x14ac:dyDescent="0.45">
      <c r="C5" s="11" t="s">
        <v>50</v>
      </c>
      <c r="D5" s="29">
        <f>TLFD!B12+TLFD!B13+(TLFD!B14/2)</f>
        <v>82513.977452659223</v>
      </c>
      <c r="F5" s="11" t="s">
        <v>50</v>
      </c>
      <c r="G5" s="29">
        <f>TLFD!F12+TLFD!F13+(TLFD!F14/2)</f>
        <v>68267</v>
      </c>
      <c r="H5" s="29"/>
      <c r="I5" s="29"/>
      <c r="J5" s="29"/>
      <c r="K5" s="29"/>
      <c r="L5" s="28"/>
      <c r="M5" t="str">
        <f>VLOOKUP(N5,Coeff_Descr!$A:$D,3,FALSE)</f>
        <v>ALL</v>
      </c>
      <c r="N5">
        <f>OtherTourDestination!B13</f>
        <v>3</v>
      </c>
      <c r="O5" t="str">
        <f>OtherTourDestination!C13</f>
        <v>Beta00003</v>
      </c>
      <c r="P5" s="23">
        <f>OtherTourDestination!E13</f>
        <v>7.0220312730799997E-2</v>
      </c>
      <c r="Q5" s="53">
        <f ref="Q5:Q68" si="0" t="shared">_xlfn.IFNA(VLOOKUP(N5,$B$43:$D$46,3,FALSE),P5)</f>
        <v>7.0220312730799997E-2</v>
      </c>
      <c r="T5">
        <v>3</v>
      </c>
      <c r="U5" s="39" t="s">
        <v>272</v>
      </c>
      <c r="V5" s="39"/>
      <c r="W5" s="39"/>
      <c r="X5" s="39"/>
      <c r="Y5" s="39"/>
    </row>
    <row r="6" spans="3:25" x14ac:dyDescent="0.45">
      <c r="C6" s="11" t="s">
        <v>53</v>
      </c>
      <c r="D6" s="29">
        <f>(TLFD!B14/2)+SUM(TLFD!B15:B20)</f>
        <v>93406.152427704699</v>
      </c>
      <c r="F6" s="11" t="s">
        <v>53</v>
      </c>
      <c r="G6" s="29">
        <f>(TLFD!F14/2)+SUM(TLFD!F15:F20)</f>
        <v>80175</v>
      </c>
      <c r="H6" s="29"/>
      <c r="I6" s="29"/>
      <c r="J6" s="29"/>
      <c r="K6" s="29"/>
      <c r="L6" s="28"/>
      <c r="M6" t="str">
        <f>VLOOKUP(N6,Coeff_Descr!$A:$D,3,FALSE)</f>
        <v>ALL</v>
      </c>
      <c r="N6">
        <f>OtherTourDestination!B14</f>
        <v>4</v>
      </c>
      <c r="O6" t="str">
        <f>OtherTourDestination!C14</f>
        <v>Beta00004</v>
      </c>
      <c r="P6" s="23">
        <f>OtherTourDestination!E14</f>
        <v>-3.3904088920700001E-2</v>
      </c>
      <c r="Q6" s="53">
        <f si="0" t="shared"/>
        <v>-3.3904088920700001E-2</v>
      </c>
      <c r="T6">
        <v>4</v>
      </c>
      <c r="U6" s="39" t="s">
        <v>263</v>
      </c>
      <c r="V6" s="39"/>
      <c r="W6" s="39"/>
      <c r="X6" s="39"/>
      <c r="Y6" s="39"/>
    </row>
    <row r="7" spans="3:25" x14ac:dyDescent="0.45">
      <c r="C7" s="12" t="s">
        <v>56</v>
      </c>
      <c r="D7" s="30">
        <f>SUM(TLFD!B21:B101)</f>
        <v>44831.116338402404</v>
      </c>
      <c r="F7" s="12" t="s">
        <v>56</v>
      </c>
      <c r="G7" s="30">
        <f>SUM(TLFD!F21:F101)</f>
        <v>36707</v>
      </c>
      <c r="H7" s="29"/>
      <c r="I7" s="29"/>
      <c r="J7" s="29"/>
      <c r="K7" s="29"/>
      <c r="L7" s="28"/>
      <c r="M7" t="str">
        <f>VLOOKUP(N7,Coeff_Descr!$A:$D,3,FALSE)</f>
        <v>ALL</v>
      </c>
      <c r="N7">
        <f>OtherTourDestination!B15</f>
        <v>5</v>
      </c>
      <c r="O7" t="str">
        <f>OtherTourDestination!C15</f>
        <v>Beta00005</v>
      </c>
      <c r="P7" s="23">
        <f>OtherTourDestination!E15</f>
        <v>0.14394271350499999</v>
      </c>
      <c r="Q7" s="53">
        <f si="0" t="shared"/>
        <v>0.14394271350499999</v>
      </c>
      <c r="T7" s="39">
        <v>5</v>
      </c>
      <c r="U7" s="39" t="s">
        <v>264</v>
      </c>
      <c r="V7" s="39"/>
      <c r="W7" s="39"/>
      <c r="X7" s="39"/>
      <c r="Y7" s="39"/>
    </row>
    <row ht="14.65" r="8" spans="3:25" thickBot="1" x14ac:dyDescent="0.5">
      <c r="C8" s="31" t="s">
        <v>4</v>
      </c>
      <c r="D8" s="32">
        <f>SUM(D4:D7)</f>
        <v>241777.2530807587</v>
      </c>
      <c r="F8" s="31" t="s">
        <v>4</v>
      </c>
      <c r="G8" s="32">
        <f>SUM(G4:G7)</f>
        <v>207416</v>
      </c>
      <c r="H8" s="29"/>
      <c r="I8" s="29"/>
      <c r="J8" s="29" t="s">
        <v>280</v>
      </c>
      <c r="K8" s="90">
        <v>0</v>
      </c>
      <c r="M8" t="str">
        <f>VLOOKUP(N8,Coeff_Descr!$A:$D,3,FALSE)</f>
        <v>ALL</v>
      </c>
      <c r="N8">
        <f>OtherTourDestination!B16</f>
        <v>6</v>
      </c>
      <c r="O8" t="str">
        <f>OtherTourDestination!C16</f>
        <v>Beta00006</v>
      </c>
      <c r="P8" s="23">
        <f>OtherTourDestination!E16</f>
        <v>0.36721258210199997</v>
      </c>
      <c r="Q8" s="53">
        <f si="0" t="shared"/>
        <v>0.36721258210199997</v>
      </c>
      <c r="T8" s="39"/>
      <c r="U8" s="39"/>
      <c r="V8" s="39"/>
      <c r="W8" s="39"/>
      <c r="X8" s="39"/>
      <c r="Y8" s="39"/>
    </row>
    <row r="9" spans="3:25" x14ac:dyDescent="0.45">
      <c r="M9" t="str">
        <f>VLOOKUP(N9,Coeff_Descr!$A:$D,3,FALSE)</f>
        <v>ALL</v>
      </c>
      <c r="N9">
        <f>OtherTourDestination!B17</f>
        <v>7</v>
      </c>
      <c r="O9" t="str">
        <f>OtherTourDestination!C17</f>
        <v>Beta00007</v>
      </c>
      <c r="P9" s="23">
        <f>OtherTourDestination!E17</f>
        <v>-6.4918460355300001</v>
      </c>
      <c r="Q9" s="53">
        <f si="0" t="shared"/>
        <v>-6.4918460355300001</v>
      </c>
      <c r="T9" s="39"/>
      <c r="U9" s="75" t="s">
        <v>265</v>
      </c>
      <c r="V9" s="39"/>
      <c r="W9" s="39"/>
      <c r="X9" s="39"/>
      <c r="Y9" s="39"/>
    </row>
    <row ht="14.65" r="10" spans="3:25" thickBot="1" x14ac:dyDescent="0.5">
      <c r="C10" s="33" t="s">
        <v>63</v>
      </c>
      <c r="I10" s="89" t="s">
        <v>279</v>
      </c>
      <c r="J10" s="82"/>
      <c r="K10" s="82"/>
      <c r="L10" s="25"/>
      <c r="M10" t="str">
        <f>VLOOKUP(N10,Coeff_Descr!$A:$D,3,FALSE)</f>
        <v>ALL</v>
      </c>
      <c r="N10">
        <f>OtherTourDestination!B18</f>
        <v>8</v>
      </c>
      <c r="O10" t="str">
        <f>OtherTourDestination!C18</f>
        <v>Beta00008</v>
      </c>
      <c r="P10" s="23">
        <f>OtherTourDestination!E18</f>
        <v>1.39963442933</v>
      </c>
      <c r="Q10" s="53">
        <f si="0" t="shared"/>
        <v>1.39963442933</v>
      </c>
      <c r="T10" s="39">
        <v>1</v>
      </c>
      <c r="U10" s="19" t="s">
        <v>278</v>
      </c>
      <c r="V10" s="39"/>
      <c r="W10" s="39"/>
      <c r="X10" s="39"/>
      <c r="Y10" s="39"/>
    </row>
    <row r="11" spans="3:25" x14ac:dyDescent="0.45">
      <c r="C11" s="5" t="s">
        <v>3</v>
      </c>
      <c r="D11" s="24" t="s">
        <v>44</v>
      </c>
      <c r="F11" s="5" t="s">
        <v>3</v>
      </c>
      <c r="G11" s="24" t="s">
        <v>44</v>
      </c>
      <c r="H11" s="81"/>
      <c r="I11" s="24" t="s">
        <v>275</v>
      </c>
      <c r="J11" s="24" t="s">
        <v>276</v>
      </c>
      <c r="K11" s="24" t="s">
        <v>277</v>
      </c>
      <c r="L11" s="34"/>
      <c r="M11" t="str">
        <f>VLOOKUP(N11,Coeff_Descr!$A:$D,3,FALSE)</f>
        <v>ALL</v>
      </c>
      <c r="N11">
        <f>OtherTourDestination!B19</f>
        <v>9</v>
      </c>
      <c r="O11" t="str">
        <f>OtherTourDestination!C19</f>
        <v>Beta00009</v>
      </c>
      <c r="P11" s="23">
        <f>OtherTourDestination!E19</f>
        <v>0.66317866364400002</v>
      </c>
      <c r="Q11" s="53">
        <f si="0" t="shared"/>
        <v>0.66317866364400002</v>
      </c>
      <c r="T11" s="39">
        <v>2</v>
      </c>
      <c r="U11" s="39" t="s">
        <v>266</v>
      </c>
      <c r="V11" s="39"/>
      <c r="W11" s="39"/>
      <c r="X11" s="39"/>
      <c r="Y11" s="39"/>
    </row>
    <row r="12" spans="3:25" x14ac:dyDescent="0.45">
      <c r="C12" s="26" t="s">
        <v>47</v>
      </c>
      <c r="D12" s="35">
        <f>D4/D$8</f>
        <v>8.6964371519967706E-2</v>
      </c>
      <c r="F12" s="26" t="s">
        <v>47</v>
      </c>
      <c r="G12" s="35">
        <f>G4/G$8</f>
        <v>0.10735430246461218</v>
      </c>
      <c r="H12" s="35"/>
      <c r="I12" s="83">
        <f>D12/G12</f>
        <v>0.81006880510107426</v>
      </c>
      <c r="J12" s="84">
        <f>LN(I12)</f>
        <v>-0.21063609035401074</v>
      </c>
      <c r="K12" s="84">
        <f>K8*J12</f>
        <v>0</v>
      </c>
      <c r="L12" s="34"/>
      <c r="M12" t="str">
        <f>VLOOKUP(N12,Coeff_Descr!$A:$D,3,FALSE)</f>
        <v>ALL</v>
      </c>
      <c r="N12">
        <f>OtherTourDestination!B20</f>
        <v>10</v>
      </c>
      <c r="O12" t="str">
        <f>OtherTourDestination!C20</f>
        <v>Beta00010</v>
      </c>
      <c r="P12" s="23">
        <f>OtherTourDestination!E20</f>
        <v>-0.38108886824999999</v>
      </c>
      <c r="Q12" s="53">
        <f si="0" t="shared"/>
        <v>-0.38108886824999999</v>
      </c>
      <c r="T12" s="39">
        <v>3</v>
      </c>
      <c r="U12" s="39" t="s">
        <v>267</v>
      </c>
      <c r="V12" s="39"/>
      <c r="W12" s="39"/>
      <c r="X12" s="39"/>
      <c r="Y12" s="39"/>
    </row>
    <row r="13" spans="3:25" x14ac:dyDescent="0.45">
      <c r="C13" s="11" t="s">
        <v>50</v>
      </c>
      <c r="D13" s="36">
        <f ref="D13:D16" si="1" t="shared">D5/D$8</f>
        <v>0.34128097826100212</v>
      </c>
      <c r="F13" s="11" t="s">
        <v>50</v>
      </c>
      <c r="G13" s="36">
        <f ref="G13:G16" si="2" t="shared">G5/G$8</f>
        <v>0.32913082886566131</v>
      </c>
      <c r="H13" s="36"/>
      <c r="I13" s="83">
        <f ref="I13:I15" si="3" t="shared">D13/G13</f>
        <v>1.0369158654545243</v>
      </c>
      <c r="J13" s="84">
        <f ref="J13:J15" si="4" t="shared">LN(I13)</f>
        <v>3.6250793318085436E-2</v>
      </c>
      <c r="K13" s="84">
        <f>K8*(J13-J12)</f>
        <v>0</v>
      </c>
      <c r="L13" s="84"/>
      <c r="M13" t="str">
        <f>VLOOKUP(N13,Coeff_Descr!$A:$D,3,FALSE)</f>
        <v>ALL</v>
      </c>
      <c r="N13">
        <f>OtherTourDestination!B21</f>
        <v>11</v>
      </c>
      <c r="O13" t="str">
        <f>OtherTourDestination!C21</f>
        <v>Beta00011</v>
      </c>
      <c r="P13" s="23">
        <f>OtherTourDestination!E21</f>
        <v>-0.73323034645999996</v>
      </c>
      <c r="Q13" s="53">
        <f si="0" t="shared"/>
        <v>-0.73323034645999996</v>
      </c>
      <c r="T13" s="39">
        <v>4</v>
      </c>
      <c r="U13" s="39" t="s">
        <v>268</v>
      </c>
      <c r="V13" s="39"/>
      <c r="W13" s="39"/>
      <c r="X13" s="39"/>
      <c r="Y13" s="39"/>
    </row>
    <row r="14" spans="3:25" x14ac:dyDescent="0.45">
      <c r="C14" s="11" t="s">
        <v>53</v>
      </c>
      <c r="D14" s="36">
        <f si="1" t="shared"/>
        <v>0.38633143208267434</v>
      </c>
      <c r="F14" s="11" t="s">
        <v>53</v>
      </c>
      <c r="G14" s="36">
        <f si="2" t="shared"/>
        <v>0.38654202183052416</v>
      </c>
      <c r="H14" s="36"/>
      <c r="I14" s="83">
        <f si="3" t="shared"/>
        <v>0.99945519572011199</v>
      </c>
      <c r="J14" s="84">
        <f si="4" t="shared"/>
        <v>-5.4495273966316635E-4</v>
      </c>
      <c r="K14" s="84">
        <f>K8*(J14-J13-J12)</f>
        <v>0</v>
      </c>
      <c r="L14" s="84"/>
      <c r="M14" t="str">
        <f>VLOOKUP(N14,Coeff_Descr!$A:$D,3,FALSE)</f>
        <v>ALL</v>
      </c>
      <c r="N14">
        <f>OtherTourDestination!B22</f>
        <v>12</v>
      </c>
      <c r="O14" t="str">
        <f>OtherTourDestination!C22</f>
        <v>Beta00012</v>
      </c>
      <c r="P14" s="23">
        <f>OtherTourDestination!E22</f>
        <v>-0.913115187153</v>
      </c>
      <c r="Q14" s="53">
        <f si="0" t="shared"/>
        <v>-0.913115187153</v>
      </c>
      <c r="T14" s="39">
        <v>5</v>
      </c>
      <c r="U14" s="19" t="s">
        <v>271</v>
      </c>
      <c r="V14" s="39"/>
      <c r="W14" s="39"/>
      <c r="X14" s="39"/>
      <c r="Y14" s="39"/>
    </row>
    <row ht="14.65" r="15" spans="3:25" thickBot="1" x14ac:dyDescent="0.5">
      <c r="C15" s="12" t="s">
        <v>56</v>
      </c>
      <c r="D15" s="36">
        <f si="1" t="shared"/>
        <v>0.18542321813635573</v>
      </c>
      <c r="F15" s="12" t="s">
        <v>56</v>
      </c>
      <c r="G15" s="36">
        <f si="2" t="shared"/>
        <v>0.17697284683920236</v>
      </c>
      <c r="H15" s="36"/>
      <c r="I15" s="85">
        <f si="3" t="shared"/>
        <v>1.0477495358642865</v>
      </c>
      <c r="J15" s="86">
        <f si="4" t="shared"/>
        <v>4.6644564839683052E-2</v>
      </c>
      <c r="K15" s="86">
        <f>K8*(J15-J14-J13-J12)</f>
        <v>0</v>
      </c>
      <c r="L15" s="84"/>
      <c r="M15" t="str">
        <f>VLOOKUP(N15,Coeff_Descr!$A:$D,3,FALSE)</f>
        <v>ALL</v>
      </c>
      <c r="N15">
        <f>OtherTourDestination!B23</f>
        <v>13</v>
      </c>
      <c r="O15" t="str">
        <f>OtherTourDestination!C23</f>
        <v>Beta00013</v>
      </c>
      <c r="P15" s="23">
        <f>OtherTourDestination!E23</f>
        <v>-0.56168035354400003</v>
      </c>
      <c r="Q15" s="53">
        <f si="0" t="shared"/>
        <v>-0.56168035354400003</v>
      </c>
      <c r="T15" s="39">
        <v>6</v>
      </c>
      <c r="U15" s="39" t="s">
        <v>273</v>
      </c>
      <c r="V15" s="39"/>
      <c r="W15" s="39"/>
      <c r="X15" s="39"/>
      <c r="Y15" s="39"/>
    </row>
    <row ht="14.65" r="16" spans="3:25" thickBot="1" x14ac:dyDescent="0.5">
      <c r="C16" s="31" t="s">
        <v>4</v>
      </c>
      <c r="D16" s="37">
        <f si="1" t="shared"/>
        <v>1</v>
      </c>
      <c r="F16" s="31" t="s">
        <v>4</v>
      </c>
      <c r="G16" s="37">
        <f si="2" t="shared"/>
        <v>1</v>
      </c>
      <c r="H16" s="36"/>
      <c r="I16" s="83"/>
      <c r="J16" s="83"/>
      <c r="K16" s="83"/>
      <c r="M16" t="str">
        <f>VLOOKUP(N16,Coeff_Descr!$A:$D,3,FALSE)</f>
        <v>ALL</v>
      </c>
      <c r="N16">
        <f>OtherTourDestination!B24</f>
        <v>14</v>
      </c>
      <c r="O16" t="str">
        <f>OtherTourDestination!C24</f>
        <v>Beta00014</v>
      </c>
      <c r="P16" s="23">
        <f>OtherTourDestination!E24</f>
        <v>-0.30132725845199998</v>
      </c>
      <c r="Q16" s="53">
        <f si="0" t="shared"/>
        <v>-0.30132725845199998</v>
      </c>
      <c r="T16" s="39">
        <v>7</v>
      </c>
      <c r="U16" s="39" t="s">
        <v>263</v>
      </c>
      <c r="V16" s="39"/>
      <c r="W16" s="39"/>
      <c r="X16" s="39"/>
      <c r="Y16" s="39"/>
    </row>
    <row r="17" spans="2:25" x14ac:dyDescent="0.45">
      <c r="M17" t="str">
        <f>VLOOKUP(N17,Coeff_Descr!$A:$D,3,FALSE)</f>
        <v>ALL</v>
      </c>
      <c r="N17">
        <f>OtherTourDestination!B25</f>
        <v>15</v>
      </c>
      <c r="O17" t="str">
        <f>OtherTourDestination!C25</f>
        <v>Beta00015</v>
      </c>
      <c r="P17" s="23">
        <f>OtherTourDestination!E25</f>
        <v>1.97893419319</v>
      </c>
      <c r="Q17" s="53">
        <f si="0" t="shared"/>
        <v>1.97893419319</v>
      </c>
      <c r="T17" s="39">
        <v>8</v>
      </c>
      <c r="U17" s="39" t="s">
        <v>269</v>
      </c>
      <c r="V17" s="39"/>
      <c r="W17" s="39"/>
      <c r="X17" s="39"/>
      <c r="Y17" s="39"/>
    </row>
    <row r="18" spans="2:25" x14ac:dyDescent="0.45">
      <c r="I18" s="87"/>
      <c r="J18" s="87"/>
      <c r="K18" s="84"/>
      <c r="M18" t="str">
        <f>VLOOKUP(N18,Coeff_Descr!$A:$D,3,FALSE)</f>
        <v>ALL</v>
      </c>
      <c r="N18">
        <f>OtherTourDestination!B26</f>
        <v>16</v>
      </c>
      <c r="O18" t="str">
        <f>OtherTourDestination!C26</f>
        <v>Beta00016</v>
      </c>
      <c r="P18" s="23">
        <f>OtherTourDestination!E26</f>
        <v>0.89286126056000004</v>
      </c>
      <c r="Q18" s="53">
        <f si="0" t="shared"/>
        <v>0.89286126056000004</v>
      </c>
    </row>
    <row r="19" spans="2:25" x14ac:dyDescent="0.45">
      <c r="C19" s="38" t="s">
        <v>82</v>
      </c>
      <c r="I19" s="87"/>
      <c r="J19" s="87"/>
      <c r="K19" s="84"/>
      <c r="M19" t="str">
        <f>VLOOKUP(N19,Coeff_Descr!$A:$D,3,FALSE)</f>
        <v>ALL</v>
      </c>
      <c r="N19">
        <f>OtherTourDestination!B27</f>
        <v>17</v>
      </c>
      <c r="O19" t="str">
        <f>OtherTourDestination!C27</f>
        <v>Beta00017</v>
      </c>
      <c r="P19" s="23">
        <f>OtherTourDestination!E27</f>
        <v>0</v>
      </c>
      <c r="Q19" s="53">
        <f si="0" t="shared"/>
        <v>0</v>
      </c>
    </row>
    <row r="20" spans="2:25" x14ac:dyDescent="0.45">
      <c r="C20" s="38" t="s">
        <v>85</v>
      </c>
      <c r="I20" s="87"/>
      <c r="J20" s="87"/>
      <c r="K20" s="84"/>
      <c r="M20" t="str">
        <f>VLOOKUP(N20,Coeff_Descr!$A:$D,3,FALSE)</f>
        <v>ALL</v>
      </c>
      <c r="N20">
        <f>OtherTourDestination!B28</f>
        <v>18</v>
      </c>
      <c r="O20" t="str">
        <f>OtherTourDestination!C28</f>
        <v>Beta00018</v>
      </c>
      <c r="P20" s="23">
        <f>OtherTourDestination!E28</f>
        <v>0</v>
      </c>
      <c r="Q20" s="53">
        <f si="0" t="shared"/>
        <v>0</v>
      </c>
    </row>
    <row ht="14.65" r="21" spans="2:25" thickBot="1" x14ac:dyDescent="0.5">
      <c r="C21" s="39"/>
      <c r="I21" s="87"/>
      <c r="J21" s="87"/>
      <c r="K21" s="84"/>
      <c r="M21" t="str">
        <f>VLOOKUP(N21,Coeff_Descr!$A:$D,3,FALSE)</f>
        <v>ALL</v>
      </c>
      <c r="N21">
        <f>OtherTourDestination!B29</f>
        <v>19</v>
      </c>
      <c r="O21" t="str">
        <f>OtherTourDestination!C29</f>
        <v>Beta00019</v>
      </c>
      <c r="P21" s="23">
        <f>OtherTourDestination!E29</f>
        <v>0</v>
      </c>
      <c r="Q21" s="53">
        <f si="0" t="shared"/>
        <v>0</v>
      </c>
    </row>
    <row r="22" spans="2:25" x14ac:dyDescent="0.45">
      <c r="B22" s="63" t="s">
        <v>255</v>
      </c>
      <c r="C22" s="40" t="s">
        <v>91</v>
      </c>
      <c r="D22" s="41"/>
      <c r="M22" t="str">
        <f>VLOOKUP(N22,Coeff_Descr!$A:$D,3,FALSE)</f>
        <v>ESCORT</v>
      </c>
      <c r="N22">
        <f>OtherTourDestination!B30</f>
        <v>20</v>
      </c>
      <c r="O22" t="str">
        <f>OtherTourDestination!C30</f>
        <v>Beta00020</v>
      </c>
      <c r="P22" s="23">
        <f>OtherTourDestination!E30</f>
        <v>0.55927220197000005</v>
      </c>
      <c r="Q22" s="53">
        <f si="0" t="shared"/>
        <v>0.55927220197000005</v>
      </c>
    </row>
    <row r="23" spans="2:25" x14ac:dyDescent="0.45">
      <c r="B23" s="61">
        <v>50</v>
      </c>
      <c r="C23" s="26" t="s">
        <v>47</v>
      </c>
      <c r="D23" s="76">
        <f>VLOOKUP($B23,$N:$P,3,FALSE)</f>
        <v>-10.020777192745999</v>
      </c>
      <c r="F23" s="11">
        <f>D8</f>
        <v>241777.2530807587</v>
      </c>
      <c r="G23" s="11">
        <f>G8</f>
        <v>207416</v>
      </c>
      <c r="H23" s="92">
        <f>F23/F$23</f>
        <v>1</v>
      </c>
      <c r="I23" s="92">
        <f>G23/G$23</f>
        <v>1</v>
      </c>
      <c r="J23" s="83">
        <f>H23/I23</f>
        <v>1</v>
      </c>
      <c r="K23" s="84">
        <f>LN(J23)</f>
        <v>0</v>
      </c>
      <c r="L23" s="84">
        <f>K8*K23</f>
        <v>0</v>
      </c>
      <c r="M23" t="str">
        <f>VLOOKUP(N23,Coeff_Descr!$A:$D,3,FALSE)</f>
        <v>ESCORT</v>
      </c>
      <c r="N23">
        <f>OtherTourDestination!B31</f>
        <v>21</v>
      </c>
      <c r="O23" t="str">
        <f>OtherTourDestination!C31</f>
        <v>Beta00021</v>
      </c>
      <c r="P23" s="23">
        <f>OtherTourDestination!E31</f>
        <v>-10.6100761267462</v>
      </c>
      <c r="Q23" s="53">
        <f si="0" t="shared"/>
        <v>-10.6100761267462</v>
      </c>
    </row>
    <row r="24" spans="2:25" x14ac:dyDescent="0.45">
      <c r="B24" s="61">
        <v>51</v>
      </c>
      <c r="C24" s="11" t="s">
        <v>50</v>
      </c>
      <c r="D24" s="76">
        <f ref="D24:D26" si="5" t="shared">VLOOKUP($B24,$N:$P,3,FALSE)</f>
        <v>-4.7109881624506</v>
      </c>
      <c r="F24" s="11">
        <f>F23-D4</f>
        <v>220751.24621876635</v>
      </c>
      <c r="G24" s="11">
        <f>G23-G4</f>
        <v>185149</v>
      </c>
      <c r="H24" s="92">
        <f ref="H24:H26" si="6" t="shared">F24/F$23</f>
        <v>0.91303562848003228</v>
      </c>
      <c r="I24" s="92">
        <f ref="I24:I26" si="7" t="shared">G24/G$23</f>
        <v>0.89264569753538781</v>
      </c>
      <c r="J24" s="83">
        <f ref="J24:J26" si="8" t="shared">H24/I24</f>
        <v>1.0228421321034107</v>
      </c>
      <c r="K24" s="84">
        <f ref="K24:K26" si="9" t="shared">LN(J24)</f>
        <v>2.2585156491662827E-2</v>
      </c>
      <c r="L24" s="21"/>
      <c r="M24" t="str">
        <f>VLOOKUP(N24,Coeff_Descr!$A:$D,3,FALSE)</f>
        <v>ESCORT</v>
      </c>
      <c r="N24">
        <f>OtherTourDestination!B32</f>
        <v>22</v>
      </c>
      <c r="O24" t="str">
        <f>OtherTourDestination!C32</f>
        <v>Beta00022</v>
      </c>
      <c r="P24" s="23">
        <f>OtherTourDestination!E32</f>
        <v>-9.3491031588377993</v>
      </c>
      <c r="Q24" s="53">
        <f si="0" t="shared"/>
        <v>-9.3491031588377993</v>
      </c>
    </row>
    <row r="25" spans="2:25" x14ac:dyDescent="0.45">
      <c r="B25" s="61">
        <v>52</v>
      </c>
      <c r="C25" s="11" t="s">
        <v>53</v>
      </c>
      <c r="D25" s="76">
        <f si="5" t="shared"/>
        <v>-1.2671613377644</v>
      </c>
      <c r="F25" s="11">
        <f>F24-D5</f>
        <v>138237.26876610712</v>
      </c>
      <c r="G25" s="11">
        <f>G24-G5</f>
        <v>116882</v>
      </c>
      <c r="H25" s="92">
        <f si="6" t="shared"/>
        <v>0.57175465021903016</v>
      </c>
      <c r="I25" s="92">
        <f si="7" t="shared"/>
        <v>0.56351486866972655</v>
      </c>
      <c r="J25" s="83">
        <f si="8" t="shared"/>
        <v>1.0146221191443539</v>
      </c>
      <c r="K25" s="84">
        <f si="9" t="shared"/>
        <v>1.4516246764733324E-2</v>
      </c>
      <c r="L25" s="21"/>
      <c r="M25" t="str">
        <f>VLOOKUP(N25,Coeff_Descr!$A:$D,3,FALSE)</f>
        <v>ESCORT</v>
      </c>
      <c r="N25">
        <f>OtherTourDestination!B33</f>
        <v>23</v>
      </c>
      <c r="O25" t="str">
        <f>OtherTourDestination!C33</f>
        <v>Beta00023</v>
      </c>
      <c r="P25" s="23">
        <f>OtherTourDestination!E33</f>
        <v>-4.0525569260302001</v>
      </c>
      <c r="Q25" s="53">
        <f si="0" t="shared"/>
        <v>-4.0525569260302001</v>
      </c>
    </row>
    <row ht="14.65" r="26" spans="2:25" thickBot="1" x14ac:dyDescent="0.5">
      <c r="B26" s="62">
        <v>53</v>
      </c>
      <c r="C26" s="13" t="s">
        <v>56</v>
      </c>
      <c r="D26" s="77">
        <f si="5" t="shared"/>
        <v>-1.1289015585513</v>
      </c>
      <c r="F26" s="11">
        <f>F25-D6</f>
        <v>44831.116338402426</v>
      </c>
      <c r="G26" s="11">
        <f>G25-G6</f>
        <v>36707</v>
      </c>
      <c r="H26" s="92">
        <f si="6" t="shared"/>
        <v>0.18542321813635582</v>
      </c>
      <c r="I26" s="92">
        <f si="7" t="shared"/>
        <v>0.17697284683920236</v>
      </c>
      <c r="J26" s="83">
        <f si="8" t="shared"/>
        <v>1.047749535864287</v>
      </c>
      <c r="K26" s="84">
        <f si="9" t="shared"/>
        <v>4.6644564839683475E-2</v>
      </c>
      <c r="L26" s="21"/>
      <c r="M26" t="str">
        <f>VLOOKUP(N26,Coeff_Descr!$A:$D,3,FALSE)</f>
        <v>ESCORT</v>
      </c>
      <c r="N26">
        <f>OtherTourDestination!B34</f>
        <v>24</v>
      </c>
      <c r="O26" t="str">
        <f>OtherTourDestination!C34</f>
        <v>Beta00024</v>
      </c>
      <c r="P26" s="23">
        <f>OtherTourDestination!E34</f>
        <v>0.21220129380800001</v>
      </c>
      <c r="Q26" s="53">
        <f si="0" t="shared"/>
        <v>0.21220129380800001</v>
      </c>
    </row>
    <row r="27" spans="2:25" x14ac:dyDescent="0.45">
      <c r="C27" s="39"/>
      <c r="D27" s="44"/>
      <c r="M27" t="str">
        <f>VLOOKUP(N27,Coeff_Descr!$A:$D,3,FALSE)</f>
        <v>ESCORT</v>
      </c>
      <c r="N27">
        <f>OtherTourDestination!B35</f>
        <v>25</v>
      </c>
      <c r="O27" t="str">
        <f>OtherTourDestination!C35</f>
        <v>Beta00025</v>
      </c>
      <c r="P27" s="23">
        <f>OtherTourDestination!E35</f>
        <v>-0.156772126135</v>
      </c>
      <c r="Q27" s="53">
        <f si="0" t="shared"/>
        <v>-0.156772126135</v>
      </c>
    </row>
    <row r="28" spans="2:25" x14ac:dyDescent="0.45">
      <c r="C28" s="39"/>
      <c r="D28" s="44"/>
      <c r="M28" t="str">
        <f>VLOOKUP(N28,Coeff_Descr!$A:$D,3,FALSE)</f>
        <v>PERSBUS/MED</v>
      </c>
      <c r="N28">
        <f>OtherTourDestination!B36</f>
        <v>26</v>
      </c>
      <c r="O28" t="str">
        <f>OtherTourDestination!C36</f>
        <v>Beta00026</v>
      </c>
      <c r="P28" s="23">
        <f>OtherTourDestination!E36</f>
        <v>0.78053827557199995</v>
      </c>
      <c r="Q28" s="53">
        <f si="0" t="shared"/>
        <v>0.78053827557199995</v>
      </c>
    </row>
    <row r="29" spans="2:25" x14ac:dyDescent="0.45">
      <c r="C29" s="38" t="s">
        <v>82</v>
      </c>
      <c r="D29" s="45"/>
      <c r="M29" t="str">
        <f>VLOOKUP(N29,Coeff_Descr!$A:$D,3,FALSE)</f>
        <v>PERSBUS/MED</v>
      </c>
      <c r="N29">
        <f>OtherTourDestination!B37</f>
        <v>27</v>
      </c>
      <c r="O29" t="str">
        <f>OtherTourDestination!C37</f>
        <v>Beta00027</v>
      </c>
      <c r="P29" s="23">
        <f>OtherTourDestination!E37</f>
        <v>-10.801432269311199</v>
      </c>
      <c r="Q29" s="53">
        <f si="0" t="shared"/>
        <v>-10.801432269311199</v>
      </c>
    </row>
    <row r="30" spans="2:25" x14ac:dyDescent="0.45">
      <c r="C30" s="38" t="s">
        <v>107</v>
      </c>
      <c r="D30" s="45"/>
      <c r="M30" t="str">
        <f>VLOOKUP(N30,Coeff_Descr!$A:$D,3,FALSE)</f>
        <v>PERSBUS/MED</v>
      </c>
      <c r="N30">
        <f>OtherTourDestination!B38</f>
        <v>28</v>
      </c>
      <c r="O30" t="str">
        <f>OtherTourDestination!C38</f>
        <v>Beta00028</v>
      </c>
      <c r="P30" s="23">
        <f>OtherTourDestination!E38</f>
        <v>-6.3576746947949996</v>
      </c>
      <c r="Q30" s="53">
        <f si="0" t="shared"/>
        <v>-6.3576746947949996</v>
      </c>
    </row>
    <row ht="14.65" r="31" spans="2:25" thickBot="1" x14ac:dyDescent="0.5">
      <c r="C31" s="39"/>
      <c r="D31" s="44"/>
      <c r="M31" t="str">
        <f>VLOOKUP(N31,Coeff_Descr!$A:$D,3,FALSE)</f>
        <v>PERSBUS/MED</v>
      </c>
      <c r="N31">
        <f>OtherTourDestination!B39</f>
        <v>29</v>
      </c>
      <c r="O31" t="str">
        <f>OtherTourDestination!C39</f>
        <v>Beta00029</v>
      </c>
      <c r="P31" s="23">
        <f>OtherTourDestination!E39</f>
        <v>-2.8344072250191998</v>
      </c>
      <c r="Q31" s="53">
        <f si="0" t="shared"/>
        <v>-2.8344072250191998</v>
      </c>
    </row>
    <row r="32" spans="2:25" x14ac:dyDescent="0.45">
      <c r="B32" s="63" t="s">
        <v>255</v>
      </c>
      <c r="C32" s="40" t="s">
        <v>91</v>
      </c>
      <c r="D32" s="41"/>
      <c r="M32" t="str">
        <f>VLOOKUP(N32,Coeff_Descr!$A:$D,3,FALSE)</f>
        <v>PERSBUS/MED</v>
      </c>
      <c r="N32">
        <f>OtherTourDestination!B40</f>
        <v>30</v>
      </c>
      <c r="O32" t="str">
        <f>OtherTourDestination!C40</f>
        <v>Beta00030</v>
      </c>
      <c r="P32" s="23">
        <f>OtherTourDestination!E40</f>
        <v>-1.4822873023622001</v>
      </c>
      <c r="Q32" s="53">
        <f si="0" t="shared"/>
        <v>-1.4822873023622001</v>
      </c>
    </row>
    <row r="33" spans="2:17" x14ac:dyDescent="0.45">
      <c r="B33" s="61">
        <f>B23</f>
        <v>50</v>
      </c>
      <c r="C33" s="26" t="s">
        <v>47</v>
      </c>
      <c r="D33" s="88">
        <f>K12</f>
        <v>0</v>
      </c>
      <c r="M33" t="str">
        <f>VLOOKUP(N33,Coeff_Descr!$A:$D,3,FALSE)</f>
        <v>PERSBUS/MED</v>
      </c>
      <c r="N33">
        <f>OtherTourDestination!B41</f>
        <v>31</v>
      </c>
      <c r="O33" t="str">
        <f>OtherTourDestination!C41</f>
        <v>Beta00031</v>
      </c>
      <c r="P33" s="23">
        <f>OtherTourDestination!E41</f>
        <v>0.161916660248</v>
      </c>
      <c r="Q33" s="53">
        <f si="0" t="shared"/>
        <v>0.161916660248</v>
      </c>
    </row>
    <row r="34" spans="2:17" x14ac:dyDescent="0.45">
      <c r="B34" s="61">
        <f ref="B34:B36" si="10" t="shared">B24</f>
        <v>51</v>
      </c>
      <c r="C34" s="11" t="s">
        <v>50</v>
      </c>
      <c r="D34" s="42">
        <f ref="D34:D36" si="11" t="shared">K13</f>
        <v>0</v>
      </c>
      <c r="M34" t="str">
        <f>VLOOKUP(N34,Coeff_Descr!$A:$D,3,FALSE)</f>
        <v>PERSBUS/MED</v>
      </c>
      <c r="N34">
        <f>OtherTourDestination!B42</f>
        <v>32</v>
      </c>
      <c r="O34" t="str">
        <f>OtherTourDestination!C42</f>
        <v>Beta00032</v>
      </c>
      <c r="P34" s="23">
        <f>OtherTourDestination!E42</f>
        <v>-0.164548260329</v>
      </c>
      <c r="Q34" s="53">
        <f si="0" t="shared"/>
        <v>-0.164548260329</v>
      </c>
    </row>
    <row r="35" spans="2:17" x14ac:dyDescent="0.45">
      <c r="B35" s="61">
        <f si="10" t="shared"/>
        <v>52</v>
      </c>
      <c r="C35" s="11" t="s">
        <v>53</v>
      </c>
      <c r="D35" s="42">
        <f si="11" t="shared"/>
        <v>0</v>
      </c>
      <c r="G35" s="46"/>
      <c r="H35" s="46"/>
      <c r="I35" s="46"/>
      <c r="J35" s="46"/>
      <c r="K35" s="46"/>
      <c r="M35" t="str">
        <f>VLOOKUP(N35,Coeff_Descr!$A:$D,3,FALSE)</f>
        <v>PERSBUS/MED</v>
      </c>
      <c r="N35">
        <f>OtherTourDestination!B43</f>
        <v>33</v>
      </c>
      <c r="O35" t="str">
        <f>OtherTourDestination!C43</f>
        <v>Beta00033</v>
      </c>
      <c r="P35" s="23">
        <f>OtherTourDestination!E43</f>
        <v>0.20498917376299999</v>
      </c>
      <c r="Q35" s="53">
        <f si="0" t="shared"/>
        <v>0.20498917376299999</v>
      </c>
    </row>
    <row ht="14.65" r="36" spans="2:17" thickBot="1" x14ac:dyDescent="0.5">
      <c r="B36" s="80">
        <f si="10" t="shared"/>
        <v>53</v>
      </c>
      <c r="C36" s="13" t="s">
        <v>56</v>
      </c>
      <c r="D36" s="43">
        <f si="11" t="shared"/>
        <v>0</v>
      </c>
      <c r="G36" s="47"/>
      <c r="H36" s="47"/>
      <c r="I36" s="47"/>
      <c r="J36" s="47"/>
      <c r="K36" s="47"/>
      <c r="M36" t="str">
        <f>VLOOKUP(N36,Coeff_Descr!$A:$D,3,FALSE)</f>
        <v>PERSBUS/MED</v>
      </c>
      <c r="N36">
        <f>OtherTourDestination!B44</f>
        <v>34</v>
      </c>
      <c r="O36" t="str">
        <f>OtherTourDestination!C44</f>
        <v>Beta00034</v>
      </c>
      <c r="P36" s="23">
        <f>OtherTourDestination!E44</f>
        <v>-0.128001396233</v>
      </c>
      <c r="Q36" s="53">
        <f si="0" t="shared"/>
        <v>-0.128001396233</v>
      </c>
    </row>
    <row ht="14.65" r="37" spans="2:17" thickTop="1" x14ac:dyDescent="0.45">
      <c r="C37" s="39"/>
      <c r="D37" s="42"/>
      <c r="M37" t="str">
        <f>VLOOKUP(N37,Coeff_Descr!$A:$D,3,FALSE)</f>
        <v>PERSBUS/MED</v>
      </c>
      <c r="N37">
        <f>OtherTourDestination!B45</f>
        <v>35</v>
      </c>
      <c r="O37" t="str">
        <f>OtherTourDestination!C45</f>
        <v>Beta00035</v>
      </c>
      <c r="P37" s="23">
        <f>OtherTourDestination!E45</f>
        <v>6.1170505754699997E-2</v>
      </c>
      <c r="Q37" s="53">
        <f si="0" t="shared"/>
        <v>6.1170505754699997E-2</v>
      </c>
    </row>
    <row r="38" spans="2:17" x14ac:dyDescent="0.45">
      <c r="C38" s="39"/>
      <c r="D38" s="42"/>
      <c r="M38" t="str">
        <f>VLOOKUP(N38,Coeff_Descr!$A:$D,3,FALSE)</f>
        <v>SHOP</v>
      </c>
      <c r="N38">
        <f>OtherTourDestination!B46</f>
        <v>36</v>
      </c>
      <c r="O38" t="str">
        <f>OtherTourDestination!C46</f>
        <v>Beta00036</v>
      </c>
      <c r="P38" s="23">
        <f>OtherTourDestination!E46</f>
        <v>1.3253567635600001</v>
      </c>
      <c r="Q38" s="53">
        <f si="0" t="shared"/>
        <v>1.3253567635600001</v>
      </c>
    </row>
    <row r="39" spans="2:17" x14ac:dyDescent="0.45">
      <c r="C39" s="38" t="s">
        <v>82</v>
      </c>
      <c r="D39" s="48"/>
      <c r="M39" t="str">
        <f>VLOOKUP(N39,Coeff_Descr!$A:$D,3,FALSE)</f>
        <v>SHOP</v>
      </c>
      <c r="N39">
        <f>OtherTourDestination!B47</f>
        <v>37</v>
      </c>
      <c r="O39" t="str">
        <f>OtherTourDestination!C47</f>
        <v>Beta00037</v>
      </c>
      <c r="P39" s="23">
        <f>OtherTourDestination!E47</f>
        <v>-6.8051932741582997</v>
      </c>
      <c r="Q39" s="53">
        <f si="0" t="shared"/>
        <v>-6.8051932741582997</v>
      </c>
    </row>
    <row r="40" spans="2:17" x14ac:dyDescent="0.45">
      <c r="C40" s="38" t="s">
        <v>125</v>
      </c>
      <c r="D40" s="48"/>
      <c r="M40" t="str">
        <f>VLOOKUP(N40,Coeff_Descr!$A:$D,3,FALSE)</f>
        <v>SHOP</v>
      </c>
      <c r="N40">
        <f>OtherTourDestination!B48</f>
        <v>38</v>
      </c>
      <c r="O40" t="str">
        <f>OtherTourDestination!C48</f>
        <v>Beta00038</v>
      </c>
      <c r="P40" s="23">
        <f>OtherTourDestination!E48</f>
        <v>-8.2040601552336003</v>
      </c>
      <c r="Q40" s="53">
        <f si="0" t="shared"/>
        <v>-8.2040601552336003</v>
      </c>
    </row>
    <row ht="14.65" r="41" spans="2:17" thickBot="1" x14ac:dyDescent="0.5">
      <c r="B41" s="1"/>
      <c r="C41" s="39"/>
      <c r="D41" s="42"/>
      <c r="M41" t="str">
        <f>VLOOKUP(N41,Coeff_Descr!$A:$D,3,FALSE)</f>
        <v>SHOP</v>
      </c>
      <c r="N41">
        <f>OtherTourDestination!B49</f>
        <v>39</v>
      </c>
      <c r="O41" t="str">
        <f>OtherTourDestination!C49</f>
        <v>Beta00039</v>
      </c>
      <c r="P41" s="23">
        <f>OtherTourDestination!E49</f>
        <v>-7.9091539026991002</v>
      </c>
      <c r="Q41" s="53">
        <f si="0" t="shared"/>
        <v>-7.9091539026991002</v>
      </c>
    </row>
    <row r="42" spans="2:17" x14ac:dyDescent="0.45">
      <c r="B42" s="63" t="s">
        <v>255</v>
      </c>
      <c r="C42" s="40" t="s">
        <v>91</v>
      </c>
      <c r="D42" s="49"/>
      <c r="M42" t="str">
        <f>VLOOKUP(N42,Coeff_Descr!$A:$D,3,FALSE)</f>
        <v>SHOP</v>
      </c>
      <c r="N42">
        <f>OtherTourDestination!B50</f>
        <v>40</v>
      </c>
      <c r="O42" t="str">
        <f>OtherTourDestination!C50</f>
        <v>Beta00040</v>
      </c>
      <c r="P42" s="23">
        <f>OtherTourDestination!E50</f>
        <v>-5.6394867063158003</v>
      </c>
      <c r="Q42" s="53">
        <f si="0" t="shared"/>
        <v>-5.6394867063158003</v>
      </c>
    </row>
    <row r="43" spans="2:17" x14ac:dyDescent="0.45">
      <c r="B43" s="61">
        <f>B33</f>
        <v>50</v>
      </c>
      <c r="C43" s="26" t="s">
        <v>47</v>
      </c>
      <c r="D43" s="78">
        <f>D23+D33</f>
        <v>-10.020777192745999</v>
      </c>
      <c r="M43" t="str">
        <f>VLOOKUP(N43,Coeff_Descr!$A:$D,3,FALSE)</f>
        <v>SHOP</v>
      </c>
      <c r="N43">
        <f>OtherTourDestination!B51</f>
        <v>41</v>
      </c>
      <c r="O43" t="str">
        <f>OtherTourDestination!C51</f>
        <v>Beta00041</v>
      </c>
      <c r="P43" s="23">
        <f>OtherTourDestination!E51</f>
        <v>-0.149205194047</v>
      </c>
      <c r="Q43" s="53">
        <f si="0" t="shared"/>
        <v>-0.149205194047</v>
      </c>
    </row>
    <row r="44" spans="2:17" x14ac:dyDescent="0.45">
      <c r="B44" s="61">
        <f ref="B44:B46" si="12" t="shared">B34</f>
        <v>51</v>
      </c>
      <c r="C44" s="11" t="s">
        <v>50</v>
      </c>
      <c r="D44" s="78">
        <f ref="D44:D46" si="13" t="shared">D24+D34</f>
        <v>-4.7109881624506</v>
      </c>
      <c r="M44" t="str">
        <f>VLOOKUP(N44,Coeff_Descr!$A:$D,3,FALSE)</f>
        <v>SHOP</v>
      </c>
      <c r="N44">
        <f>OtherTourDestination!B52</f>
        <v>42</v>
      </c>
      <c r="O44" t="str">
        <f>OtherTourDestination!C52</f>
        <v>Beta00042</v>
      </c>
      <c r="P44" s="23">
        <f>OtherTourDestination!E52</f>
        <v>0.517393579278</v>
      </c>
      <c r="Q44" s="53">
        <f si="0" t="shared"/>
        <v>0.517393579278</v>
      </c>
    </row>
    <row r="45" spans="2:17" x14ac:dyDescent="0.45">
      <c r="B45" s="61">
        <f si="12" t="shared"/>
        <v>52</v>
      </c>
      <c r="C45" s="11" t="s">
        <v>53</v>
      </c>
      <c r="D45" s="78">
        <f si="13" t="shared"/>
        <v>-1.2671613377644</v>
      </c>
      <c r="M45" t="str">
        <f>VLOOKUP(N45,Coeff_Descr!$A:$D,3,FALSE)</f>
        <v>MEAL</v>
      </c>
      <c r="N45">
        <f>OtherTourDestination!B53</f>
        <v>43</v>
      </c>
      <c r="O45" t="str">
        <f>OtherTourDestination!C53</f>
        <v>Beta00043</v>
      </c>
      <c r="P45" s="23">
        <f>OtherTourDestination!E53</f>
        <v>0.84374741070500003</v>
      </c>
      <c r="Q45" s="53">
        <f si="0" t="shared"/>
        <v>0.84374741070500003</v>
      </c>
    </row>
    <row ht="14.65" r="46" spans="2:17" thickBot="1" x14ac:dyDescent="0.5">
      <c r="B46" s="80">
        <f si="12" t="shared"/>
        <v>53</v>
      </c>
      <c r="C46" s="13" t="s">
        <v>56</v>
      </c>
      <c r="D46" s="79">
        <f si="13" t="shared"/>
        <v>-1.1289015585513</v>
      </c>
      <c r="M46" t="str">
        <f>VLOOKUP(N46,Coeff_Descr!$A:$D,3,FALSE)</f>
        <v>MEAL</v>
      </c>
      <c r="N46">
        <f>OtherTourDestination!B54</f>
        <v>44</v>
      </c>
      <c r="O46" t="str">
        <f>OtherTourDestination!C54</f>
        <v>Beta00044</v>
      </c>
      <c r="P46" s="23">
        <f>OtherTourDestination!E54</f>
        <v>-17.092202073927201</v>
      </c>
      <c r="Q46" s="53">
        <f si="0" t="shared"/>
        <v>-17.092202073927201</v>
      </c>
    </row>
    <row ht="14.65" r="47" spans="2:17" thickTop="1" x14ac:dyDescent="0.45">
      <c r="M47" t="str">
        <f>VLOOKUP(N47,Coeff_Descr!$A:$D,3,FALSE)</f>
        <v>MEAL</v>
      </c>
      <c r="N47">
        <f>OtherTourDestination!B55</f>
        <v>45</v>
      </c>
      <c r="O47" t="str">
        <f>OtherTourDestination!C55</f>
        <v>Beta00045</v>
      </c>
      <c r="P47" s="23">
        <f>OtherTourDestination!E55</f>
        <v>-4.6499214915950997</v>
      </c>
      <c r="Q47" s="53">
        <f si="0" t="shared"/>
        <v>-4.6499214915950997</v>
      </c>
    </row>
    <row r="48" spans="2:17" x14ac:dyDescent="0.45">
      <c r="M48" t="str">
        <f>VLOOKUP(N48,Coeff_Descr!$A:$D,3,FALSE)</f>
        <v>MEAL</v>
      </c>
      <c r="N48">
        <f>OtherTourDestination!B56</f>
        <v>46</v>
      </c>
      <c r="O48" t="str">
        <f>OtherTourDestination!C56</f>
        <v>Beta00046</v>
      </c>
      <c r="P48" s="23">
        <f>OtherTourDestination!E56</f>
        <v>0.11007373396759999</v>
      </c>
      <c r="Q48" s="53">
        <f si="0" t="shared"/>
        <v>0.11007373396759999</v>
      </c>
    </row>
    <row r="49" spans="13:18" x14ac:dyDescent="0.45">
      <c r="M49" t="str">
        <f>VLOOKUP(N49,Coeff_Descr!$A:$D,3,FALSE)</f>
        <v>MEAL</v>
      </c>
      <c r="N49">
        <f>OtherTourDestination!B57</f>
        <v>47</v>
      </c>
      <c r="O49" t="str">
        <f>OtherTourDestination!C57</f>
        <v>Beta00047</v>
      </c>
      <c r="P49" s="23">
        <f>OtherTourDestination!E57</f>
        <v>-2.6006433832395999</v>
      </c>
      <c r="Q49" s="53">
        <f si="0" t="shared"/>
        <v>-2.6006433832395999</v>
      </c>
    </row>
    <row r="50" spans="13:18" x14ac:dyDescent="0.45">
      <c r="M50" t="str">
        <f>VLOOKUP(N50,Coeff_Descr!$A:$D,3,FALSE)</f>
        <v>MEAL</v>
      </c>
      <c r="N50">
        <f>OtherTourDestination!B58</f>
        <v>48</v>
      </c>
      <c r="O50" t="str">
        <f>OtherTourDestination!C58</f>
        <v>Beta00048</v>
      </c>
      <c r="P50" s="23">
        <f>OtherTourDestination!E58</f>
        <v>0.16683062839400001</v>
      </c>
      <c r="Q50" s="53">
        <f si="0" t="shared"/>
        <v>0.16683062839400001</v>
      </c>
    </row>
    <row r="51" spans="13:18" x14ac:dyDescent="0.45">
      <c r="M51" t="str">
        <f>VLOOKUP(N51,Coeff_Descr!$A:$D,3,FALSE)</f>
        <v>SOCREC</v>
      </c>
      <c r="N51">
        <f>OtherTourDestination!B59</f>
        <v>49</v>
      </c>
      <c r="O51" t="str">
        <f>OtherTourDestination!C59</f>
        <v>Beta00049</v>
      </c>
      <c r="P51" s="23">
        <f>OtherTourDestination!E59</f>
        <v>0.80686039286800004</v>
      </c>
      <c r="Q51" s="53">
        <f si="0" t="shared"/>
        <v>0.80686039286800004</v>
      </c>
    </row>
    <row r="52" spans="13:18" x14ac:dyDescent="0.45">
      <c r="M52" t="str">
        <f>VLOOKUP(N52,Coeff_Descr!$A:$D,3,FALSE)</f>
        <v>SOCREC</v>
      </c>
      <c r="N52" s="54">
        <f>OtherTourDestination!B60</f>
        <v>50</v>
      </c>
      <c r="O52" s="54" t="str">
        <f>OtherTourDestination!C60</f>
        <v>Beta00050</v>
      </c>
      <c r="P52" s="55">
        <f>OtherTourDestination!E60</f>
        <v>-10.020777192745999</v>
      </c>
      <c r="Q52" s="56">
        <f si="0" t="shared"/>
        <v>-10.020777192745999</v>
      </c>
      <c r="R52" t="str">
        <f>VLOOKUP(N52,Coeff_Descr!$A$2:$E$104,4,FALSE)</f>
        <v>distanceFromOrigin4</v>
      </c>
    </row>
    <row r="53" spans="13:18" x14ac:dyDescent="0.45">
      <c r="M53" t="str">
        <f>VLOOKUP(N53,Coeff_Descr!$A:$D,3,FALSE)</f>
        <v>SOCREC</v>
      </c>
      <c r="N53" s="54">
        <f>OtherTourDestination!B61</f>
        <v>51</v>
      </c>
      <c r="O53" s="54" t="str">
        <f>OtherTourDestination!C61</f>
        <v>Beta00051</v>
      </c>
      <c r="P53" s="55">
        <f>OtherTourDestination!E61</f>
        <v>-4.7109881624506</v>
      </c>
      <c r="Q53" s="56">
        <f si="0" t="shared"/>
        <v>-4.7109881624506</v>
      </c>
      <c r="R53" t="str">
        <f>VLOOKUP(N53,Coeff_Descr!$A$2:$E$104,4,FALSE)</f>
        <v>distanceFromOrigin8</v>
      </c>
    </row>
    <row r="54" spans="13:18" x14ac:dyDescent="0.45">
      <c r="M54" t="str">
        <f>VLOOKUP(N54,Coeff_Descr!$A:$D,3,FALSE)</f>
        <v>SOCREC</v>
      </c>
      <c r="N54" s="54">
        <f>OtherTourDestination!B62</f>
        <v>52</v>
      </c>
      <c r="O54" s="54" t="str">
        <f>OtherTourDestination!C62</f>
        <v>Beta00052</v>
      </c>
      <c r="P54" s="55">
        <f>OtherTourDestination!E62</f>
        <v>-1.2671613377644</v>
      </c>
      <c r="Q54" s="56">
        <f si="0" t="shared"/>
        <v>-1.2671613377644</v>
      </c>
      <c r="R54" t="str">
        <f>VLOOKUP(N54,Coeff_Descr!$A$2:$E$104,4,FALSE)</f>
        <v>distanceFromOrigin9</v>
      </c>
    </row>
    <row r="55" spans="13:18" x14ac:dyDescent="0.45">
      <c r="M55" t="str">
        <f>VLOOKUP(N55,Coeff_Descr!$A:$D,3,FALSE)</f>
        <v>SOCREC</v>
      </c>
      <c r="N55" s="54">
        <f>OtherTourDestination!B63</f>
        <v>53</v>
      </c>
      <c r="O55" s="54" t="str">
        <f>OtherTourDestination!C63</f>
        <v>Beta00053</v>
      </c>
      <c r="P55" s="55">
        <f>OtherTourDestination!E63</f>
        <v>-1.1289015585513</v>
      </c>
      <c r="Q55" s="56">
        <f si="0" t="shared"/>
        <v>-1.1289015585513</v>
      </c>
      <c r="R55" t="str">
        <f>VLOOKUP(N55,Coeff_Descr!$A$2:$E$104,4,FALSE)</f>
        <v>distanceFromOrigin3</v>
      </c>
    </row>
    <row r="56" spans="13:18" x14ac:dyDescent="0.45">
      <c r="M56" t="str">
        <f>VLOOKUP(N56,Coeff_Descr!$A:$D,3,FALSE)</f>
        <v>SOCREC</v>
      </c>
      <c r="N56">
        <f>OtherTourDestination!B64</f>
        <v>54</v>
      </c>
      <c r="O56" t="str">
        <f>OtherTourDestination!C64</f>
        <v>Beta00054</v>
      </c>
      <c r="P56" s="23">
        <f>OtherTourDestination!E64</f>
        <v>0.21306405683599999</v>
      </c>
      <c r="Q56" s="53">
        <f si="0" t="shared"/>
        <v>0.21306405683599999</v>
      </c>
    </row>
    <row r="57" spans="13:18" x14ac:dyDescent="0.45">
      <c r="M57" t="str">
        <f>VLOOKUP(N57,Coeff_Descr!$A:$D,3,FALSE)</f>
        <v>SOCREC</v>
      </c>
      <c r="N57">
        <f>OtherTourDestination!B65</f>
        <v>55</v>
      </c>
      <c r="O57" t="str">
        <f>OtherTourDestination!C65</f>
        <v>Beta00055</v>
      </c>
      <c r="P57" s="23">
        <f>OtherTourDestination!E65</f>
        <v>0.49322187999099998</v>
      </c>
      <c r="Q57" s="53">
        <f si="0" t="shared"/>
        <v>0.49322187999099998</v>
      </c>
    </row>
    <row r="58" spans="13:18" x14ac:dyDescent="0.45">
      <c r="M58" t="str">
        <f>VLOOKUP(N58,Coeff_Descr!$A:$D,3,FALSE)</f>
        <v>SOCREC</v>
      </c>
      <c r="N58">
        <f>OtherTourDestination!B66</f>
        <v>56</v>
      </c>
      <c r="O58" t="str">
        <f>OtherTourDestination!C66</f>
        <v>Beta00056</v>
      </c>
      <c r="P58" s="23">
        <f>OtherTourDestination!E66</f>
        <v>-0.81297460986500003</v>
      </c>
      <c r="Q58" s="53">
        <f si="0" t="shared"/>
        <v>-0.81297460986500003</v>
      </c>
    </row>
    <row r="59" spans="13:18" x14ac:dyDescent="0.45">
      <c r="M59" t="str">
        <f>VLOOKUP(N59,Coeff_Descr!$A:$D,3,FALSE)</f>
        <v>SOCREC</v>
      </c>
      <c r="N59">
        <f>OtherTourDestination!B67</f>
        <v>57</v>
      </c>
      <c r="O59" t="str">
        <f>OtherTourDestination!C67</f>
        <v>Beta00057</v>
      </c>
      <c r="P59" s="23">
        <f>OtherTourDestination!E67</f>
        <v>8.0759501397E-2</v>
      </c>
      <c r="Q59" s="53">
        <f si="0" t="shared"/>
        <v>8.0759501397E-2</v>
      </c>
    </row>
    <row r="60" spans="13:18" x14ac:dyDescent="0.45">
      <c r="M60" t="str">
        <f>VLOOKUP(N60,Coeff_Descr!$A:$D,3,FALSE)</f>
        <v>ESCORT</v>
      </c>
      <c r="N60">
        <f>OtherTourDestination!B68</f>
        <v>70</v>
      </c>
      <c r="O60" t="str">
        <f>OtherTourDestination!C68</f>
        <v>LSM_0070</v>
      </c>
      <c r="P60" s="23">
        <f>OtherTourDestination!E68</f>
        <v>0.29053029913700001</v>
      </c>
      <c r="Q60" s="53">
        <f si="0" t="shared"/>
        <v>0.29053029913700001</v>
      </c>
    </row>
    <row r="61" spans="13:18" x14ac:dyDescent="0.45">
      <c r="M61" t="str">
        <f>VLOOKUP(N61,Coeff_Descr!$A:$D,3,FALSE)</f>
        <v>ESCORT</v>
      </c>
      <c r="N61">
        <f>OtherTourDestination!B69</f>
        <v>71</v>
      </c>
      <c r="O61" t="str">
        <f>OtherTourDestination!C69</f>
        <v>Gamma071</v>
      </c>
      <c r="P61" s="23">
        <f>OtherTourDestination!E69</f>
        <v>0</v>
      </c>
      <c r="Q61" s="53">
        <f si="0" t="shared"/>
        <v>0</v>
      </c>
    </row>
    <row r="62" spans="13:18" x14ac:dyDescent="0.45">
      <c r="M62" t="str">
        <f>VLOOKUP(N62,Coeff_Descr!$A:$D,3,FALSE)</f>
        <v>ESCORT</v>
      </c>
      <c r="N62">
        <f>OtherTourDestination!B70</f>
        <v>72</v>
      </c>
      <c r="O62" t="str">
        <f>OtherTourDestination!C70</f>
        <v>Gamma072</v>
      </c>
      <c r="P62" s="23">
        <f>OtherTourDestination!E70</f>
        <v>-3.51218611463</v>
      </c>
      <c r="Q62" s="53">
        <f si="0" t="shared"/>
        <v>-3.51218611463</v>
      </c>
    </row>
    <row r="63" spans="13:18" x14ac:dyDescent="0.45">
      <c r="M63" t="str">
        <f>VLOOKUP(N63,Coeff_Descr!$A:$D,3,FALSE)</f>
        <v>ESCORT</v>
      </c>
      <c r="N63">
        <f>OtherTourDestination!B71</f>
        <v>73</v>
      </c>
      <c r="O63" t="str">
        <f>OtherTourDestination!C71</f>
        <v>Gamma073</v>
      </c>
      <c r="P63" s="23">
        <f>OtherTourDestination!E71</f>
        <v>-1.9512398226400001</v>
      </c>
      <c r="Q63" s="53">
        <f si="0" t="shared"/>
        <v>-1.9512398226400001</v>
      </c>
    </row>
    <row r="64" spans="13:18" x14ac:dyDescent="0.45">
      <c r="M64" t="str">
        <f>VLOOKUP(N64,Coeff_Descr!$A:$D,3,FALSE)</f>
        <v>ESCORT</v>
      </c>
      <c r="N64">
        <f>OtherTourDestination!B72</f>
        <v>74</v>
      </c>
      <c r="O64" t="str">
        <f>OtherTourDestination!C72</f>
        <v>Gamma074</v>
      </c>
      <c r="P64" s="23">
        <f>OtherTourDestination!E72</f>
        <v>-2.2875988415099999</v>
      </c>
      <c r="Q64" s="53">
        <f si="0" t="shared"/>
        <v>-2.2875988415099999</v>
      </c>
    </row>
    <row r="65" spans="13:17" x14ac:dyDescent="0.45">
      <c r="M65" t="str">
        <f>VLOOKUP(N65,Coeff_Descr!$A:$D,3,FALSE)</f>
        <v>ESCORT</v>
      </c>
      <c r="N65">
        <f>OtherTourDestination!B73</f>
        <v>75</v>
      </c>
      <c r="O65" t="str">
        <f>OtherTourDestination!C73</f>
        <v>Gamma075</v>
      </c>
      <c r="P65" s="23">
        <f>OtherTourDestination!E73</f>
        <v>-2.97270473739</v>
      </c>
      <c r="Q65" s="53">
        <f si="0" t="shared"/>
        <v>-2.97270473739</v>
      </c>
    </row>
    <row r="66" spans="13:17" x14ac:dyDescent="0.45">
      <c r="M66" t="str">
        <f>VLOOKUP(N66,Coeff_Descr!$A:$D,3,FALSE)</f>
        <v>ESCORT</v>
      </c>
      <c r="N66">
        <f>OtherTourDestination!B74</f>
        <v>76</v>
      </c>
      <c r="O66" t="str">
        <f>OtherTourDestination!C74</f>
        <v>Gamma076</v>
      </c>
      <c r="P66" s="23">
        <f>OtherTourDestination!E74</f>
        <v>-2.2065775626700002</v>
      </c>
      <c r="Q66" s="53">
        <f si="0" t="shared"/>
        <v>-2.2065775626700002</v>
      </c>
    </row>
    <row r="67" spans="13:17" x14ac:dyDescent="0.45">
      <c r="M67" t="str">
        <f>VLOOKUP(N67,Coeff_Descr!$A:$D,3,FALSE)</f>
        <v>ESCORT</v>
      </c>
      <c r="N67">
        <f>OtherTourDestination!B75</f>
        <v>77</v>
      </c>
      <c r="O67" t="str">
        <f>OtherTourDestination!C75</f>
        <v>Gamma077</v>
      </c>
      <c r="P67" s="23">
        <f>OtherTourDestination!E75</f>
        <v>-1.91608314575</v>
      </c>
      <c r="Q67" s="53">
        <f si="0" t="shared"/>
        <v>-1.91608314575</v>
      </c>
    </row>
    <row r="68" spans="13:17" x14ac:dyDescent="0.45">
      <c r="M68" t="str">
        <f>VLOOKUP(N68,Coeff_Descr!$A:$D,3,FALSE)</f>
        <v>ESCORT</v>
      </c>
      <c r="N68">
        <f>OtherTourDestination!B76</f>
        <v>78</v>
      </c>
      <c r="O68" t="str">
        <f>OtherTourDestination!C76</f>
        <v>Gamma078</v>
      </c>
      <c r="P68" s="23">
        <f>OtherTourDestination!E76</f>
        <v>-2.9941803696</v>
      </c>
      <c r="Q68" s="53">
        <f si="0" t="shared"/>
        <v>-2.9941803696</v>
      </c>
    </row>
    <row r="69" spans="13:17" x14ac:dyDescent="0.45">
      <c r="M69" t="str">
        <f>VLOOKUP(N69,Coeff_Descr!$A:$D,3,FALSE)</f>
        <v>ESCORT</v>
      </c>
      <c r="N69">
        <f>OtherTourDestination!B77</f>
        <v>79</v>
      </c>
      <c r="O69" t="str">
        <f>OtherTourDestination!C77</f>
        <v>Gamma079</v>
      </c>
      <c r="P69" s="23">
        <f>OtherTourDestination!E77</f>
        <v>-20.893048808300001</v>
      </c>
      <c r="Q69" s="53">
        <f ref="Q69:Q103" si="14" t="shared">_xlfn.IFNA(VLOOKUP(N69,$B$43:$D$46,3,FALSE),P69)</f>
        <v>-20.893048808300001</v>
      </c>
    </row>
    <row r="70" spans="13:17" x14ac:dyDescent="0.45">
      <c r="M70" t="str">
        <f>VLOOKUP(N70,Coeff_Descr!$A:$D,3,FALSE)</f>
        <v>ESCORT</v>
      </c>
      <c r="N70">
        <f>OtherTourDestination!B78</f>
        <v>80</v>
      </c>
      <c r="O70" t="str">
        <f>OtherTourDestination!C78</f>
        <v>Gamma080</v>
      </c>
      <c r="P70" s="23">
        <f>OtherTourDestination!E78</f>
        <v>-0.340851234339</v>
      </c>
      <c r="Q70" s="53">
        <f si="14" t="shared"/>
        <v>-0.340851234339</v>
      </c>
    </row>
    <row r="71" spans="13:17" x14ac:dyDescent="0.45">
      <c r="M71" t="str">
        <f>VLOOKUP(N71,Coeff_Descr!$A:$D,3,FALSE)</f>
        <v>ESCORT</v>
      </c>
      <c r="N71">
        <f>OtherTourDestination!B79</f>
        <v>81</v>
      </c>
      <c r="O71" t="str">
        <f>OtherTourDestination!C79</f>
        <v>Gamma081</v>
      </c>
      <c r="P71" s="23">
        <f>OtherTourDestination!E79</f>
        <v>-3.5548804977600001</v>
      </c>
      <c r="Q71" s="53">
        <f si="14" t="shared"/>
        <v>-3.5548804977600001</v>
      </c>
    </row>
    <row r="72" spans="13:17" x14ac:dyDescent="0.45">
      <c r="M72" t="str">
        <f>VLOOKUP(N72,Coeff_Descr!$A:$D,3,FALSE)</f>
        <v>ESCORT</v>
      </c>
      <c r="N72">
        <f>OtherTourDestination!B80</f>
        <v>82</v>
      </c>
      <c r="O72" t="str">
        <f>OtherTourDestination!C80</f>
        <v>Gamma082</v>
      </c>
      <c r="P72" s="23">
        <f>OtherTourDestination!E80</f>
        <v>-2.04042829643</v>
      </c>
      <c r="Q72" s="53">
        <f si="14" t="shared"/>
        <v>-2.04042829643</v>
      </c>
    </row>
    <row r="73" spans="13:17" x14ac:dyDescent="0.45">
      <c r="M73" t="str">
        <f>VLOOKUP(N73,Coeff_Descr!$A:$D,3,FALSE)</f>
        <v>ESCORT</v>
      </c>
      <c r="N73">
        <f>OtherTourDestination!B81</f>
        <v>83</v>
      </c>
      <c r="O73" t="str">
        <f>OtherTourDestination!C81</f>
        <v>Gamma083</v>
      </c>
      <c r="P73" s="23">
        <f>OtherTourDestination!E81</f>
        <v>-3.1291070048599998</v>
      </c>
      <c r="Q73" s="53">
        <f si="14" t="shared"/>
        <v>-3.1291070048599998</v>
      </c>
    </row>
    <row r="74" spans="13:17" x14ac:dyDescent="0.45">
      <c r="M74" t="str">
        <f>VLOOKUP(N74,Coeff_Descr!$A:$D,3,FALSE)</f>
        <v>ESCORT</v>
      </c>
      <c r="N74">
        <f>OtherTourDestination!B82</f>
        <v>84</v>
      </c>
      <c r="O74" t="str">
        <f>OtherTourDestination!C82</f>
        <v>Gamma084</v>
      </c>
      <c r="P74" s="23">
        <f>OtherTourDestination!E82</f>
        <v>-1.36058822067</v>
      </c>
      <c r="Q74" s="53">
        <f si="14" t="shared"/>
        <v>-1.36058822067</v>
      </c>
    </row>
    <row r="75" spans="13:17" x14ac:dyDescent="0.45">
      <c r="M75" t="str">
        <f>VLOOKUP(N75,Coeff_Descr!$A:$D,3,FALSE)</f>
        <v>ESCORT</v>
      </c>
      <c r="N75">
        <f>OtherTourDestination!B83</f>
        <v>85</v>
      </c>
      <c r="O75" t="str">
        <f>OtherTourDestination!C83</f>
        <v>Gamma085</v>
      </c>
      <c r="P75" s="23">
        <f>OtherTourDestination!E83</f>
        <v>-3.7593502074299998</v>
      </c>
      <c r="Q75" s="53">
        <f si="14" t="shared"/>
        <v>-3.7593502074299998</v>
      </c>
    </row>
    <row r="76" spans="13:17" x14ac:dyDescent="0.45">
      <c r="M76" t="str">
        <f>VLOOKUP(N76,Coeff_Descr!$A:$D,3,FALSE)</f>
        <v>ESCORT</v>
      </c>
      <c r="N76">
        <f>OtherTourDestination!B84</f>
        <v>86</v>
      </c>
      <c r="O76" t="str">
        <f>OtherTourDestination!C84</f>
        <v>Gamma086</v>
      </c>
      <c r="P76" s="23">
        <f>OtherTourDestination!E84</f>
        <v>-2.6162258391100002</v>
      </c>
      <c r="Q76" s="53">
        <f si="14" t="shared"/>
        <v>-2.6162258391100002</v>
      </c>
    </row>
    <row r="77" spans="13:17" x14ac:dyDescent="0.45">
      <c r="M77" t="str">
        <f>VLOOKUP(N77,Coeff_Descr!$A:$D,3,FALSE)</f>
        <v>ESCORT</v>
      </c>
      <c r="N77">
        <f>OtherTourDestination!B85</f>
        <v>87</v>
      </c>
      <c r="O77" t="str">
        <f>OtherTourDestination!C85</f>
        <v>Gamma087</v>
      </c>
      <c r="P77" s="23">
        <f>OtherTourDestination!E85</f>
        <v>-18.920608679800001</v>
      </c>
      <c r="Q77" s="53">
        <f si="14" t="shared"/>
        <v>-18.920608679800001</v>
      </c>
    </row>
    <row r="78" spans="13:17" x14ac:dyDescent="0.45">
      <c r="M78" t="str">
        <f>VLOOKUP(N78,Coeff_Descr!$A:$D,3,FALSE)</f>
        <v>ESCORT</v>
      </c>
      <c r="N78">
        <f>OtherTourDestination!B86</f>
        <v>88</v>
      </c>
      <c r="O78" t="str">
        <f>OtherTourDestination!C86</f>
        <v>Gamma088</v>
      </c>
      <c r="P78" s="23">
        <f>OtherTourDestination!E86</f>
        <v>0</v>
      </c>
      <c r="Q78" s="53">
        <f si="14" t="shared"/>
        <v>0</v>
      </c>
    </row>
    <row r="79" spans="13:17" x14ac:dyDescent="0.45">
      <c r="M79" t="str">
        <f>VLOOKUP(N79,Coeff_Descr!$A:$D,3,FALSE)</f>
        <v>PERSBUS/MED</v>
      </c>
      <c r="N79">
        <f>OtherTourDestination!B87</f>
        <v>89</v>
      </c>
      <c r="O79" t="str">
        <f>OtherTourDestination!C87</f>
        <v>Gamma089</v>
      </c>
      <c r="P79" s="23">
        <f>OtherTourDestination!E87</f>
        <v>-6.14284833482</v>
      </c>
      <c r="Q79" s="53">
        <f si="14" t="shared"/>
        <v>-6.14284833482</v>
      </c>
    </row>
    <row r="80" spans="13:17" x14ac:dyDescent="0.45">
      <c r="M80" t="str">
        <f>VLOOKUP(N80,Coeff_Descr!$A:$D,3,FALSE)</f>
        <v>PERSBUS/MED</v>
      </c>
      <c r="N80">
        <f>OtherTourDestination!B88</f>
        <v>90</v>
      </c>
      <c r="O80" t="str">
        <f>OtherTourDestination!C88</f>
        <v>Gamma090</v>
      </c>
      <c r="P80" s="23">
        <f>OtherTourDestination!E88</f>
        <v>-16.4745846271</v>
      </c>
      <c r="Q80" s="53">
        <f si="14" t="shared"/>
        <v>-16.4745846271</v>
      </c>
    </row>
    <row r="81" spans="13:17" x14ac:dyDescent="0.45">
      <c r="M81" t="str">
        <f>VLOOKUP(N81,Coeff_Descr!$A:$D,3,FALSE)</f>
        <v>PERSBUS/MED</v>
      </c>
      <c r="N81">
        <f>OtherTourDestination!B89</f>
        <v>91</v>
      </c>
      <c r="O81" t="str">
        <f>OtherTourDestination!C89</f>
        <v>Gamma091</v>
      </c>
      <c r="P81" s="23">
        <f>OtherTourDestination!E89</f>
        <v>-9.3272520902899991</v>
      </c>
      <c r="Q81" s="53">
        <f si="14" t="shared"/>
        <v>-9.3272520902899991</v>
      </c>
    </row>
    <row r="82" spans="13:17" x14ac:dyDescent="0.45">
      <c r="M82" t="str">
        <f>VLOOKUP(N82,Coeff_Descr!$A:$D,3,FALSE)</f>
        <v>PERSBUS/MED</v>
      </c>
      <c r="N82">
        <f>OtherTourDestination!B90</f>
        <v>92</v>
      </c>
      <c r="O82" t="str">
        <f>OtherTourDestination!C90</f>
        <v>Gamma092</v>
      </c>
      <c r="P82" s="23">
        <f>OtherTourDestination!E90</f>
        <v>-0.748114378523</v>
      </c>
      <c r="Q82" s="53">
        <f si="14" t="shared"/>
        <v>-0.748114378523</v>
      </c>
    </row>
    <row r="83" spans="13:17" x14ac:dyDescent="0.45">
      <c r="M83" t="str">
        <f>VLOOKUP(N83,Coeff_Descr!$A:$D,3,FALSE)</f>
        <v>PERSBUS/MED</v>
      </c>
      <c r="N83">
        <f>OtherTourDestination!B91</f>
        <v>93</v>
      </c>
      <c r="O83" t="str">
        <f>OtherTourDestination!C91</f>
        <v>Gamma093</v>
      </c>
      <c r="P83" s="23">
        <f>OtherTourDestination!E91</f>
        <v>-0.29100107664500002</v>
      </c>
      <c r="Q83" s="53">
        <f si="14" t="shared"/>
        <v>-0.29100107664500002</v>
      </c>
    </row>
    <row r="84" spans="13:17" x14ac:dyDescent="0.45">
      <c r="M84" t="str">
        <f>VLOOKUP(N84,Coeff_Descr!$A:$D,3,FALSE)</f>
        <v>PERSBUS/MED</v>
      </c>
      <c r="N84">
        <f>OtherTourDestination!B92</f>
        <v>94</v>
      </c>
      <c r="O84" t="str">
        <f>OtherTourDestination!C92</f>
        <v>Gamma094</v>
      </c>
      <c r="P84" s="23">
        <f>OtherTourDestination!E92</f>
        <v>0</v>
      </c>
      <c r="Q84" s="53">
        <f si="14" t="shared"/>
        <v>0</v>
      </c>
    </row>
    <row r="85" spans="13:17" x14ac:dyDescent="0.45">
      <c r="M85" t="str">
        <f>VLOOKUP(N85,Coeff_Descr!$A:$D,3,FALSE)</f>
        <v>PERSBUS/MED</v>
      </c>
      <c r="N85">
        <f>OtherTourDestination!B93</f>
        <v>95</v>
      </c>
      <c r="O85" t="str">
        <f>OtherTourDestination!C93</f>
        <v>Gamma095</v>
      </c>
      <c r="P85" s="23">
        <f>OtherTourDestination!E93</f>
        <v>-10.3298280696</v>
      </c>
      <c r="Q85" s="53">
        <f si="14" t="shared"/>
        <v>-10.3298280696</v>
      </c>
    </row>
    <row r="86" spans="13:17" x14ac:dyDescent="0.45">
      <c r="M86" t="str">
        <f>VLOOKUP(N86,Coeff_Descr!$A:$D,3,FALSE)</f>
        <v>PERSBUS/MED</v>
      </c>
      <c r="N86">
        <f>OtherTourDestination!B94</f>
        <v>96</v>
      </c>
      <c r="O86" t="str">
        <f>OtherTourDestination!C94</f>
        <v>Gamma096</v>
      </c>
      <c r="P86" s="23">
        <f>OtherTourDestination!E94</f>
        <v>-16.742935323400001</v>
      </c>
      <c r="Q86" s="53">
        <f si="14" t="shared"/>
        <v>-16.742935323400001</v>
      </c>
    </row>
    <row r="87" spans="13:17" x14ac:dyDescent="0.45">
      <c r="M87" t="str">
        <f>VLOOKUP(N87,Coeff_Descr!$A:$D,3,FALSE)</f>
        <v>PERSBUS/MED</v>
      </c>
      <c r="N87">
        <f>OtherTourDestination!B95</f>
        <v>97</v>
      </c>
      <c r="O87" t="str">
        <f>OtherTourDestination!C95</f>
        <v>Gamma097</v>
      </c>
      <c r="P87" s="23">
        <f>OtherTourDestination!E95</f>
        <v>-6.97234539975</v>
      </c>
      <c r="Q87" s="53">
        <f si="14" t="shared"/>
        <v>-6.97234539975</v>
      </c>
    </row>
    <row r="88" spans="13:17" x14ac:dyDescent="0.45">
      <c r="M88" t="str">
        <f>VLOOKUP(N88,Coeff_Descr!$A:$D,3,FALSE)</f>
        <v>SHOP</v>
      </c>
      <c r="N88">
        <f>OtherTourDestination!B96</f>
        <v>98</v>
      </c>
      <c r="O88" t="str">
        <f>OtherTourDestination!C96</f>
        <v>Gamma098</v>
      </c>
      <c r="P88" s="23">
        <f>OtherTourDestination!E96</f>
        <v>-10.7755348742</v>
      </c>
      <c r="Q88" s="53">
        <f si="14" t="shared"/>
        <v>-10.7755348742</v>
      </c>
    </row>
    <row r="89" spans="13:17" x14ac:dyDescent="0.45">
      <c r="M89" t="str">
        <f>VLOOKUP(N89,Coeff_Descr!$A:$D,3,FALSE)</f>
        <v>SHOP</v>
      </c>
      <c r="N89">
        <f>OtherTourDestination!B97</f>
        <v>99</v>
      </c>
      <c r="O89" t="str">
        <f>OtherTourDestination!C97</f>
        <v>Gamma099</v>
      </c>
      <c r="P89" s="23">
        <f>OtherTourDestination!E97</f>
        <v>-11.547846395100001</v>
      </c>
      <c r="Q89" s="53">
        <f si="14" t="shared"/>
        <v>-11.547846395100001</v>
      </c>
    </row>
    <row r="90" spans="13:17" x14ac:dyDescent="0.45">
      <c r="M90" t="str">
        <f>VLOOKUP(N90,Coeff_Descr!$A:$D,3,FALSE)</f>
        <v>SHOP</v>
      </c>
      <c r="N90">
        <f>OtherTourDestination!B98</f>
        <v>100</v>
      </c>
      <c r="O90" t="str">
        <f>OtherTourDestination!C98</f>
        <v>Gamma100</v>
      </c>
      <c r="P90" s="23">
        <f>OtherTourDestination!E98</f>
        <v>0</v>
      </c>
      <c r="Q90" s="53">
        <f si="14" t="shared"/>
        <v>0</v>
      </c>
    </row>
    <row r="91" spans="13:17" x14ac:dyDescent="0.45">
      <c r="M91" t="str">
        <f>VLOOKUP(N91,Coeff_Descr!$A:$D,3,FALSE)</f>
        <v>SHOP</v>
      </c>
      <c r="N91">
        <f>OtherTourDestination!B99</f>
        <v>101</v>
      </c>
      <c r="O91" t="str">
        <f>OtherTourDestination!C99</f>
        <v>Gamma101</v>
      </c>
      <c r="P91" s="23">
        <f>OtherTourDestination!E99</f>
        <v>-11.0962758301</v>
      </c>
      <c r="Q91" s="53">
        <f si="14" t="shared"/>
        <v>-11.0962758301</v>
      </c>
    </row>
    <row r="92" spans="13:17" x14ac:dyDescent="0.45">
      <c r="M92" t="str">
        <f>VLOOKUP(N92,Coeff_Descr!$A:$D,3,FALSE)</f>
        <v>MEAL</v>
      </c>
      <c r="N92">
        <f>OtherTourDestination!B100</f>
        <v>102</v>
      </c>
      <c r="O92" t="str">
        <f>OtherTourDestination!C100</f>
        <v>Gamma102</v>
      </c>
      <c r="P92" s="23">
        <f>OtherTourDestination!E100</f>
        <v>0</v>
      </c>
      <c r="Q92" s="53">
        <f si="14" t="shared"/>
        <v>0</v>
      </c>
    </row>
    <row r="93" spans="13:17" x14ac:dyDescent="0.45">
      <c r="M93" t="str">
        <f>VLOOKUP(N93,Coeff_Descr!$A:$D,3,FALSE)</f>
        <v>MEAL</v>
      </c>
      <c r="N93">
        <f>OtherTourDestination!B101</f>
        <v>103</v>
      </c>
      <c r="O93" t="str">
        <f>OtherTourDestination!C101</f>
        <v>Gamma103</v>
      </c>
      <c r="P93" s="23">
        <f>OtherTourDestination!E101</f>
        <v>-12.7257909892</v>
      </c>
      <c r="Q93" s="53">
        <f si="14" t="shared"/>
        <v>-12.7257909892</v>
      </c>
    </row>
    <row r="94" spans="13:17" x14ac:dyDescent="0.45">
      <c r="M94" t="str">
        <f>VLOOKUP(N94,Coeff_Descr!$A:$D,3,FALSE)</f>
        <v>MEAL</v>
      </c>
      <c r="N94">
        <f>OtherTourDestination!B102</f>
        <v>104</v>
      </c>
      <c r="O94" t="str">
        <f>OtherTourDestination!C102</f>
        <v>Gamma104</v>
      </c>
      <c r="P94" s="23">
        <f>OtherTourDestination!E102</f>
        <v>-12.5271034041</v>
      </c>
      <c r="Q94" s="53">
        <f si="14" t="shared"/>
        <v>-12.5271034041</v>
      </c>
    </row>
    <row r="95" spans="13:17" x14ac:dyDescent="0.45">
      <c r="M95" t="str">
        <f>VLOOKUP(N95,Coeff_Descr!$A:$D,3,FALSE)</f>
        <v>MEAL</v>
      </c>
      <c r="N95">
        <f>OtherTourDestination!B103</f>
        <v>105</v>
      </c>
      <c r="O95" t="str">
        <f>OtherTourDestination!C103</f>
        <v>Gamma105</v>
      </c>
      <c r="P95" s="23">
        <f>OtherTourDestination!E103</f>
        <v>-21.008822510800002</v>
      </c>
      <c r="Q95" s="53">
        <f si="14" t="shared"/>
        <v>-21.008822510800002</v>
      </c>
    </row>
    <row r="96" spans="13:17" x14ac:dyDescent="0.45">
      <c r="M96" t="str">
        <f>VLOOKUP(N96,Coeff_Descr!$A:$D,3,FALSE)</f>
        <v>SOCREC</v>
      </c>
      <c r="N96">
        <f>OtherTourDestination!B104</f>
        <v>106</v>
      </c>
      <c r="O96" t="str">
        <f>OtherTourDestination!C104</f>
        <v>Gamma106</v>
      </c>
      <c r="P96" s="23">
        <f>OtherTourDestination!E104</f>
        <v>-1.63176275226</v>
      </c>
      <c r="Q96" s="53">
        <f si="14" t="shared"/>
        <v>-1.63176275226</v>
      </c>
    </row>
    <row r="97" spans="13:17" x14ac:dyDescent="0.45">
      <c r="M97" t="str">
        <f>VLOOKUP(N97,Coeff_Descr!$A:$D,3,FALSE)</f>
        <v>SOCREC</v>
      </c>
      <c r="N97">
        <f>OtherTourDestination!B105</f>
        <v>107</v>
      </c>
      <c r="O97" t="str">
        <f>OtherTourDestination!C105</f>
        <v>Gamma107</v>
      </c>
      <c r="P97" s="23">
        <f>OtherTourDestination!E105</f>
        <v>-4.6653914733199997</v>
      </c>
      <c r="Q97" s="53">
        <f si="14" t="shared"/>
        <v>-4.6653914733199997</v>
      </c>
    </row>
    <row r="98" spans="13:17" x14ac:dyDescent="0.45">
      <c r="M98" t="str">
        <f>VLOOKUP(N98,Coeff_Descr!$A:$D,3,FALSE)</f>
        <v>SOCREC</v>
      </c>
      <c r="N98">
        <f>OtherTourDestination!B106</f>
        <v>108</v>
      </c>
      <c r="O98" t="str">
        <f>OtherTourDestination!C106</f>
        <v>Gamma108</v>
      </c>
      <c r="P98" s="23">
        <f>OtherTourDestination!E106</f>
        <v>-7.5050624753099999</v>
      </c>
      <c r="Q98" s="53">
        <f si="14" t="shared"/>
        <v>-7.5050624753099999</v>
      </c>
    </row>
    <row r="99" spans="13:17" x14ac:dyDescent="0.45">
      <c r="M99" t="str">
        <f>VLOOKUP(N99,Coeff_Descr!$A:$D,3,FALSE)</f>
        <v>SOCREC</v>
      </c>
      <c r="N99">
        <f>OtherTourDestination!B107</f>
        <v>109</v>
      </c>
      <c r="O99" t="str">
        <f>OtherTourDestination!C107</f>
        <v>Gamma109</v>
      </c>
      <c r="P99" s="23">
        <f>OtherTourDestination!E107</f>
        <v>-7.2217481188799999</v>
      </c>
      <c r="Q99" s="53">
        <f si="14" t="shared"/>
        <v>-7.2217481188799999</v>
      </c>
    </row>
    <row r="100" spans="13:17" x14ac:dyDescent="0.45">
      <c r="M100" t="str">
        <f>VLOOKUP(N100,Coeff_Descr!$A:$D,3,FALSE)</f>
        <v>SOCREC</v>
      </c>
      <c r="N100">
        <f>OtherTourDestination!B108</f>
        <v>110</v>
      </c>
      <c r="O100" t="str">
        <f>OtherTourDestination!C108</f>
        <v>Gamma110</v>
      </c>
      <c r="P100" s="23">
        <f>OtherTourDestination!E108</f>
        <v>-3.4793464222399999</v>
      </c>
      <c r="Q100" s="53">
        <f si="14" t="shared"/>
        <v>-3.4793464222399999</v>
      </c>
    </row>
    <row r="101" spans="13:17" x14ac:dyDescent="0.45">
      <c r="M101" t="str">
        <f>VLOOKUP(N101,Coeff_Descr!$A:$D,3,FALSE)</f>
        <v>SOCREC</v>
      </c>
      <c r="N101">
        <f>OtherTourDestination!B109</f>
        <v>111</v>
      </c>
      <c r="O101" t="str">
        <f>OtherTourDestination!C109</f>
        <v>Gamma111</v>
      </c>
      <c r="P101" s="23">
        <f>OtherTourDestination!E109</f>
        <v>0</v>
      </c>
      <c r="Q101" s="53">
        <f si="14" t="shared"/>
        <v>0</v>
      </c>
    </row>
    <row r="102" spans="13:17" x14ac:dyDescent="0.45">
      <c r="M102" t="str">
        <f>VLOOKUP(N102,Coeff_Descr!$A:$D,3,FALSE)</f>
        <v>SOCREC</v>
      </c>
      <c r="N102">
        <f>OtherTourDestination!B110</f>
        <v>112</v>
      </c>
      <c r="O102" t="str">
        <f>OtherTourDestination!C110</f>
        <v>Gamma112</v>
      </c>
      <c r="P102" s="23">
        <f>OtherTourDestination!E110</f>
        <v>0</v>
      </c>
      <c r="Q102" s="53">
        <f si="14" t="shared"/>
        <v>0</v>
      </c>
    </row>
    <row r="103" spans="13:17" x14ac:dyDescent="0.45">
      <c r="M103" t="str">
        <f>VLOOKUP(N103,Coeff_Descr!$A:$D,3,FALSE)</f>
        <v>SOCREC</v>
      </c>
      <c r="N103">
        <f>OtherTourDestination!B111</f>
        <v>113</v>
      </c>
      <c r="O103" t="str">
        <f>OtherTourDestination!C111</f>
        <v>Gamma113</v>
      </c>
      <c r="P103" s="23">
        <f>OtherTourDestination!E111</f>
        <v>-2.23577200178</v>
      </c>
      <c r="Q103" s="53">
        <f si="14" t="shared"/>
        <v>-2.23577200178</v>
      </c>
    </row>
    <row r="104" spans="13:17" x14ac:dyDescent="0.45">
      <c r="M104" t="e">
        <f>VLOOKUP(N104,Coeff_Descr!$A:$D,3,FALSE)</f>
        <v>#N/A</v>
      </c>
      <c r="N104">
        <f>OtherTourDestination!B112</f>
        <v>120</v>
      </c>
      <c r="O104" t="str">
        <f>OtherTourDestination!C112</f>
        <v>Gamma120</v>
      </c>
      <c r="P104" s="23">
        <f>OtherTourDestination!E112</f>
        <v>3</v>
      </c>
      <c r="Q104" s="53">
        <f ref="Q104" si="15" t="shared">_xlfn.IFNA(VLOOKUP(N104,$B$43:$D$46,3,FALSE),P104)</f>
        <v>3</v>
      </c>
    </row>
  </sheetData>
  <pageMargins bottom="0.75" footer="0.3" header="0.3" left="0.7" right="0.7" top="0.75"/>
  <pageSetup orientation="portrait" r:id="rId1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610E7A9-5566-489C-89CC-94237A4DB9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D53709-31E0-4BF3-8209-46D975972C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C80EAB3-8BB6-4895-9E94-401C9A8D6CBA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2025-03-20T13:15:20Z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