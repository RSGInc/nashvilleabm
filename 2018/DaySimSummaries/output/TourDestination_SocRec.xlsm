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U26"/>
  <c i="1" r="T26"/>
  <c i="1" r="S28"/>
  <c i="1" r="R21"/>
  <c i="1" r="S21"/>
  <c i="1" r="R22"/>
  <c i="1" r="S22"/>
  <c i="1" r="R23"/>
  <c i="1" r="S23"/>
  <c i="1" r="R24"/>
  <c i="1" r="S24"/>
  <c i="1" r="R25"/>
  <c i="1" r="S25"/>
  <c i="1" r="R26"/>
  <c i="1" r="S26"/>
  <c i="1" r="R27"/>
  <c i="1" r="S27"/>
  <c i="1" r="S20"/>
  <c i="1" r="N26"/>
  <c i="1" r="O26"/>
  <c i="1" r="P26"/>
  <c i="1" r="Q26"/>
  <c i="1" r="N25"/>
  <c i="1" r="O25"/>
  <c i="1" r="P25"/>
  <c i="1" r="Q25"/>
  <c i="1" r="M24"/>
  <c i="1" r="N24"/>
  <c i="1" r="O24"/>
  <c i="1" r="P24"/>
  <c i="1" r="Q24"/>
  <c i="1" r="M26"/>
  <c i="1" r="M20"/>
  <c i="1" r="N20"/>
  <c i="1" r="O20"/>
  <c i="1" r="P20"/>
  <c i="1" r="Q20"/>
  <c i="1" r="R20"/>
  <c i="1" r="M21"/>
  <c i="1" r="N21"/>
  <c i="1" r="O21"/>
  <c i="1" r="P21"/>
  <c i="1" r="Q21"/>
  <c i="1" r="M22"/>
  <c i="1" r="N22"/>
  <c i="1" r="O22"/>
  <c i="1" r="P22"/>
  <c i="1" r="Q22"/>
  <c i="1" r="M23"/>
  <c i="1" r="N23"/>
  <c i="1" r="O23"/>
  <c i="1" r="P23"/>
  <c i="1" r="Q23"/>
  <c i="1" r="M25"/>
  <c i="1" r="H26"/>
  <c i="1" r="U13"/>
  <c i="1" r="C26" s="1"/>
  <c i="1" r="S15"/>
  <c i="1" r="J13"/>
  <c i="1" r="H15"/>
  <c i="1" l="1" r="G26"/>
  <c i="1" r="F26"/>
  <c i="1" r="E26"/>
  <c i="1" r="B26"/>
  <c i="1" r="D26"/>
  <c i="1" r="T21"/>
  <c i="1" r="T22"/>
  <c i="1" r="T23"/>
  <c i="1" r="T24"/>
  <c i="1" r="T25"/>
  <c i="1" r="M27"/>
  <c i="1" r="N27"/>
  <c i="1" r="O27"/>
  <c i="1" r="P27"/>
  <c i="1" r="Q27"/>
  <c i="1" r="T27"/>
  <c i="1" r="T20"/>
  <c i="1" l="1" r="J26"/>
  <c i="6" r="N105"/>
  <c i="6" r="M105" s="1"/>
  <c i="6" r="O105"/>
  <c i="6" r="P105"/>
  <c i="6" r="N106"/>
  <c i="6" r="M106" s="1"/>
  <c i="6" r="O106"/>
  <c i="6" r="P106"/>
  <c i="6" r="N107"/>
  <c i="6" r="M107" s="1"/>
  <c i="6" r="O107"/>
  <c i="6" r="P107"/>
  <c i="6" r="N108"/>
  <c i="6" r="M108" s="1"/>
  <c i="6" r="O108"/>
  <c i="6" r="P108"/>
  <c i="6" r="N109"/>
  <c i="6" r="O109"/>
  <c i="6" r="P109"/>
  <c i="6" l="1" r="M109"/>
  <c i="6" r="B36"/>
  <c i="6" r="B46" s="1"/>
  <c i="6" r="B35"/>
  <c i="6" r="B45" s="1"/>
  <c i="6" r="B34"/>
  <c i="6" r="B44" s="1"/>
  <c i="6" r="B33"/>
  <c i="6" r="B43" s="1"/>
  <c i="6" l="1" r="Q107"/>
  <c i="6" r="Q105"/>
  <c i="6" r="Q106"/>
  <c i="6" r="Q108"/>
  <c i="6" r="Q109"/>
  <c i="6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G12" s="1"/>
  <c i="6" r="D8"/>
  <c i="6" r="D14" s="1"/>
  <c i="6" l="1" r="G14"/>
  <c i="6" r="I14" s="1"/>
  <c i="6" r="J14" s="1"/>
  <c i="6" r="G15"/>
  <c i="6" r="G16"/>
  <c i="6" r="G13"/>
  <c i="6" r="D13"/>
  <c i="6" r="D16"/>
  <c i="6" r="D12"/>
  <c i="6" r="D15"/>
  <c i="6" l="1" r="I13"/>
  <c i="6" r="J13" s="1"/>
  <c i="6" r="I15"/>
  <c i="6" r="J15" s="1"/>
  <c i="6" r="I12"/>
  <c i="6" r="J12" s="1"/>
  <c i="6" r="K12" s="1"/>
  <c i="6" l="1" r="K15"/>
  <c i="6" r="K13"/>
  <c i="6" r="K14"/>
  <c i="6" r="D35" s="1"/>
  <c i="6" r="D45" s="1"/>
  <c i="6" r="Q54" s="1"/>
  <c i="6" r="D33"/>
  <c i="6" r="D43" s="1"/>
  <c i="6" r="Q52" s="1"/>
  <c i="6" r="D36"/>
  <c i="6" r="D46" s="1"/>
  <c i="6" r="Q55" s="1"/>
  <c i="6" r="D34"/>
  <c i="6" r="D44" s="1"/>
  <c i="6" r="Q53" s="1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G25"/>
  <c i="1" r="B25"/>
  <c i="1" r="C25"/>
  <c i="1" r="D25"/>
  <c i="1" r="F25"/>
  <c i="1" r="E25"/>
  <c i="1" r="I25"/>
  <c i="1" r="C24"/>
  <c i="1" r="G24"/>
  <c i="1" r="B24"/>
  <c i="1" r="D24"/>
  <c i="1" r="I24"/>
  <c i="1" r="E24"/>
  <c i="1" r="F24"/>
  <c i="1" r="D23"/>
  <c i="1" r="C23"/>
  <c i="1" r="F23"/>
  <c i="1" r="G23"/>
  <c i="1" r="I23"/>
  <c i="1" r="E23"/>
  <c i="1" r="B23"/>
  <c i="1" r="U25"/>
  <c i="1" r="U24"/>
  <c i="1" r="U23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H27" s="1"/>
  <c i="1" r="J14"/>
  <c i="1" r="U9"/>
  <c i="1" r="H22" s="1"/>
  <c i="1" r="J9"/>
  <c i="1" r="U8"/>
  <c i="1" r="J8"/>
  <c i="1" r="U7"/>
  <c i="1" r="J7"/>
  <c i="1" l="1" r="H20"/>
  <c i="1" r="H21"/>
  <c i="1" r="B22"/>
  <c i="1" r="C22"/>
  <c i="1" r="D22"/>
  <c i="1" r="E22"/>
  <c i="1" r="F22"/>
  <c i="1" r="I22"/>
  <c i="1" r="G22"/>
  <c i="1" r="I27"/>
  <c i="1" r="U27"/>
  <c i="1" r="C27"/>
  <c i="1" r="F27"/>
  <c i="1" r="G27"/>
  <c i="1" r="E27"/>
  <c i="1" r="B27"/>
  <c i="1" r="D27"/>
  <c i="1" r="E20"/>
  <c i="1" r="C20"/>
  <c i="1" r="D20"/>
  <c i="1" r="F20"/>
  <c i="1" r="G20"/>
  <c i="1" r="I20"/>
  <c i="1" r="B20"/>
  <c i="1" r="C21"/>
  <c i="1" r="D21"/>
  <c i="1" r="F21"/>
  <c i="1" r="E21"/>
  <c i="1" r="G21"/>
  <c i="1" r="I21"/>
  <c i="1" r="B21"/>
  <c i="1" r="J24"/>
  <c i="1" r="J25"/>
  <c i="1" r="J23"/>
  <c i="1" r="U20"/>
  <c i="1" r="U21"/>
  <c i="1" r="J15"/>
  <c i="1" r="U15"/>
  <c i="1" r="U28" s="1"/>
  <c i="1" r="U22"/>
  <c i="4" r="F102"/>
  <c i="4" r="G101" s="1"/>
  <c i="4" r="B102"/>
  <c i="4" r="C102" s="1"/>
  <c i="3" r="F102"/>
  <c i="3" r="G101" s="1"/>
  <c i="3" r="B102"/>
  <c i="3" r="C14" s="1"/>
  <c i="1" l="1" r="P39"/>
  <c i="1" r="S39"/>
  <c i="1" r="R35"/>
  <c i="1" r="M39"/>
  <c i="1" r="Q39"/>
  <c i="1" r="R39"/>
  <c i="1" r="S41"/>
  <c i="1" r="S40"/>
  <c i="1" r="S38"/>
  <c i="1" r="S34"/>
  <c i="1" r="R36"/>
  <c i="1" r="S33"/>
  <c i="1" r="S36"/>
  <c i="1" r="O39"/>
  <c i="1" r="S35"/>
  <c i="1" r="R40"/>
  <c i="1" r="U39"/>
  <c i="1" r="R38"/>
  <c i="1" r="R37"/>
  <c i="1" r="N39"/>
  <c i="1" r="T39"/>
  <c i="1" r="R34"/>
  <c i="1" r="S37"/>
  <c i="1" r="H28"/>
  <c i="1" r="U40"/>
  <c i="1" r="J27"/>
  <c i="1" r="O38"/>
  <c i="1" r="Q34"/>
  <c i="1" r="Q36"/>
  <c i="1" r="P38"/>
  <c i="1" r="P33"/>
  <c i="1" r="T34"/>
  <c i="1" r="N35"/>
  <c i="1" r="N38"/>
  <c i="1" r="Q38"/>
  <c i="1" r="O35"/>
  <c i="1" r="M38"/>
  <c i="1" r="T38"/>
  <c i="1" r="P34"/>
  <c i="1" r="T35"/>
  <c i="1" r="P36"/>
  <c i="1" r="P37"/>
  <c i="1" r="M40"/>
  <c i="1" r="M35"/>
  <c i="1" r="N36"/>
  <c i="1" r="T36"/>
  <c i="1" r="M37"/>
  <c i="1" r="N40"/>
  <c i="1" r="P35"/>
  <c i="1" r="O40"/>
  <c i="1" r="P40"/>
  <c i="1" r="R33"/>
  <c i="1" r="M36"/>
  <c i="1" r="Q40"/>
  <c i="1" r="O34"/>
  <c i="1" r="O33"/>
  <c i="1" r="M33"/>
  <c i="1" r="N37"/>
  <c i="1" r="M34"/>
  <c i="1" r="N33"/>
  <c i="1" r="N34"/>
  <c i="1" r="T40"/>
  <c i="1" r="O37"/>
  <c i="1" r="Q33"/>
  <c i="1" r="T33"/>
  <c i="1" r="Q35"/>
  <c i="1" r="O36"/>
  <c i="1" r="Q37"/>
  <c i="1" r="T37"/>
  <c i="1" r="I28"/>
  <c i="1" r="F28"/>
  <c i="1" r="G28"/>
  <c i="1" r="J21"/>
  <c i="1" r="R41"/>
  <c i="1" r="Q41"/>
  <c i="1" r="O41"/>
  <c i="1" r="N41"/>
  <c i="1" r="U35"/>
  <c i="1" r="U41"/>
  <c i="1" r="T41"/>
  <c i="1" r="U37"/>
  <c i="1" r="E28"/>
  <c i="1" r="J22"/>
  <c i="1" r="C28"/>
  <c i="1" r="P41"/>
  <c i="1" r="D28"/>
  <c i="1" r="J20"/>
  <c i="1" r="B28"/>
  <c i="1" r="U38"/>
  <c i="1" r="U34"/>
  <c i="1" r="M41"/>
  <c i="1" r="U33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I39"/>
  <c i="1" r="AE39" s="1"/>
  <c i="1" r="H39"/>
  <c i="1" r="AD39" s="1"/>
  <c i="1" r="C39"/>
  <c i="1" r="Y39" s="1"/>
  <c i="1" r="D39"/>
  <c i="1" r="Z39" s="1"/>
  <c i="1" r="G39"/>
  <c i="1" r="AC39" s="1"/>
  <c i="1" r="E39"/>
  <c i="1" r="AA39" s="1"/>
  <c i="1" r="F39"/>
  <c i="1" r="AB39" s="1"/>
  <c i="1" r="B39"/>
  <c i="1" r="X39" s="1"/>
  <c i="1" r="J39"/>
  <c i="1" r="AF39" s="1"/>
  <c i="1" r="H40"/>
  <c i="1" r="AD40" s="1"/>
  <c i="1" r="H35"/>
  <c i="1" r="AD35" s="1"/>
  <c i="1" r="H37"/>
  <c i="1" r="AD37" s="1"/>
  <c i="1" r="H36"/>
  <c i="1" r="AD36" s="1"/>
  <c i="1" r="H38"/>
  <c i="1" r="AD38" s="1"/>
  <c i="1" r="G33"/>
  <c i="1" r="AC33" s="1"/>
  <c i="1" r="H34"/>
  <c i="1" r="AD34" s="1"/>
  <c i="1" r="H33"/>
  <c i="1" r="AD33" s="1"/>
  <c i="1" r="H41"/>
  <c i="1" r="AD41" s="1"/>
  <c i="1" r="F36"/>
  <c i="1" r="AB36" s="1"/>
  <c i="1" r="C36"/>
  <c i="1" r="Y36" s="1"/>
  <c i="1" r="I37"/>
  <c i="1" r="AE37" s="1"/>
  <c i="1" r="E37"/>
  <c i="1" r="AA37" s="1"/>
  <c i="1" r="G38"/>
  <c i="1" r="AC38" s="1"/>
  <c i="1" r="D38"/>
  <c i="1" r="Z38" s="1"/>
  <c i="1" r="D36"/>
  <c i="1" r="Z36" s="1"/>
  <c i="1" r="G37"/>
  <c i="1" r="AC37" s="1"/>
  <c i="1" r="F37"/>
  <c i="1" r="AB37" s="1"/>
  <c i="1" r="D37"/>
  <c i="1" r="Z37" s="1"/>
  <c i="1" r="I36"/>
  <c i="1" r="AE36" s="1"/>
  <c i="1" r="I38"/>
  <c i="1" r="AE38" s="1"/>
  <c i="1" r="B37"/>
  <c i="1" r="X37" s="1"/>
  <c i="1" r="E36"/>
  <c i="1" r="AA36" s="1"/>
  <c i="1" r="C37"/>
  <c i="1" r="Y37" s="1"/>
  <c i="1" r="G36"/>
  <c i="1" r="AC36" s="1"/>
  <c i="1" r="C38"/>
  <c i="1" r="Y38" s="1"/>
  <c i="1" r="F38"/>
  <c i="1" r="AB38" s="1"/>
  <c i="1" r="E38"/>
  <c i="1" r="AA38" s="1"/>
  <c i="1" r="B36"/>
  <c i="1" r="X36" s="1"/>
  <c i="1" r="B38"/>
  <c i="1" r="X38" s="1"/>
  <c i="1" r="F33"/>
  <c i="1" r="AB33" s="1"/>
  <c i="1" r="C40"/>
  <c i="1" r="Y40" s="1"/>
  <c i="1" r="B40"/>
  <c i="1" r="X40" s="1"/>
  <c i="1" r="B34"/>
  <c i="1" r="X34" s="1"/>
  <c i="1" r="B33"/>
  <c i="1" r="X33" s="1"/>
  <c i="1" r="F35"/>
  <c i="1" r="AB35" s="1"/>
  <c i="1" r="E33"/>
  <c i="1" r="AA33" s="1"/>
  <c i="1" r="E35"/>
  <c i="1" r="AA35" s="1"/>
  <c i="1" r="D33"/>
  <c i="1" r="Z33" s="1"/>
  <c i="1" r="E40"/>
  <c i="1" r="AA40" s="1"/>
  <c i="1" r="G35"/>
  <c i="1" r="AC35" s="1"/>
  <c i="1" r="C35"/>
  <c i="1" r="Y35" s="1"/>
  <c i="1" r="E34"/>
  <c i="1" r="AA34" s="1"/>
  <c i="1" r="I40"/>
  <c i="1" r="AE40" s="1"/>
  <c i="1" r="I35"/>
  <c i="1" r="AE35" s="1"/>
  <c i="1" r="I34"/>
  <c i="1" r="AE34" s="1"/>
  <c i="1" r="F34"/>
  <c i="1" r="AB34" s="1"/>
  <c i="1" r="I33"/>
  <c i="1" r="AE33" s="1"/>
  <c i="1" r="D34"/>
  <c i="1" r="Z34" s="1"/>
  <c i="1" r="C34"/>
  <c i="1" r="Y34" s="1"/>
  <c i="1" r="C33"/>
  <c i="1" r="Y33" s="1"/>
  <c i="1" r="G34"/>
  <c i="1" r="AC34" s="1"/>
  <c i="1" r="B35"/>
  <c i="1" r="X35" s="1"/>
  <c i="1" r="F40"/>
  <c i="1" r="AB40" s="1"/>
  <c i="1" r="G40"/>
  <c i="1" r="AC40" s="1"/>
  <c i="1" r="D40"/>
  <c i="1" r="Z40" s="1"/>
  <c i="1" r="D35"/>
  <c i="1" r="Z35" s="1"/>
  <c i="1" r="J40"/>
  <c i="1" r="AF40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J41"/>
  <c i="1" r="AF41" s="1"/>
  <c i="1" r="J37"/>
  <c i="1" r="AF37" s="1"/>
  <c i="1" r="I41"/>
  <c i="1" r="AE41" s="1"/>
  <c i="1" r="J36"/>
  <c i="1" r="AF36" s="1"/>
  <c i="1" r="J38"/>
  <c i="1" r="AF38" s="1"/>
  <c i="1" r="J34"/>
  <c i="1" r="AF34" s="1"/>
  <c i="1" r="J35"/>
  <c i="1" r="AF35" s="1"/>
</calcChain>
</file>

<file path=xl/sharedStrings.xml><?xml version="1.0" encoding="utf-8"?>
<sst xmlns="http://schemas.openxmlformats.org/spreadsheetml/2006/main" count="728" uniqueCount="291">
  <si>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</si>
  <si>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</si>
  <si>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</si>
  <si>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</si>
  <si>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</si>
  <si>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</si>
  <si>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</si>
  <si>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</si>
  <si>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</si>
  <si>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</si>
  <si>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</si>
  <si>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</si>
  <si>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</si>
  <si>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</si>
  <si>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</si>
  <si>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</si>
  <si>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</si>
  <si>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</si>
  <si>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</si>
  <si>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</si>
  <si>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</si>
  <si>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</si>
  <si>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</si>
  <si>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</si>
  <si>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</si>
  <si>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</si>
  <si>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</si>
  <si>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</si>
  <si>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</si>
  <si>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</si>
  <si>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</si>
  <si>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</si>
  <si>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</si>
  <si>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</si>
  <si>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</si>
  <si>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</si>
  <si>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</si>
  <si>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</si>
  <si>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</si>
  <si>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</si>
  <si>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</si>
  <si>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</si>
  <si>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</si>
  <si>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</si>
  <si>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</si>
  <si>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</si>
  <si>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</si>
  <si>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</si>
  <si>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</si>
  <si>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</si>
  <si>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</si>
  <si>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</si>
  <si>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</si>
  <si>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</si>
  <si>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</si>
  <si>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</si>
  <si>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</si>
  <si>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</si>
  <si>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</si>
  <si>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</si>
  <si>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</si>
  <si>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</si>
  <si>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</si>
  <si>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</si>
  <si>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</si>
  <si>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</si>
  <si>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</si>
  <si>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</si>
  <si>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</si>
  <si>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</si>
  <si>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</si>
  <si>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</si>
  <si>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</si>
  <si>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</si>
  <si>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</si>
  <si>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</si>
  <si>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</si>
  <si>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</si>
  <si>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</si>
  <si>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</si>
  <si>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</si>
  <si>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</si>
  <si>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</si>
  <si>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</si>
  <si>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</si>
  <si>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</si>
  <si>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</si>
  <si>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</si>
  <si>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</si>
  <si>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</si>
  <si>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</si>
  <si>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</si>
  <si>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</si>
  <si>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</si>
  <si>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</si>
  <si>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</si>
  <si>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</si>
  <si>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</si>
  <si>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</si>
  <si>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</si>
  <si>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</si>
  <si>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</si>
  <si>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</si>
  <si>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</si>
  <si>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</si>
  <si>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</si>
  <si>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</si>
  <si>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</si>
  <si>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</si>
  <si>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</si>
  <si>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</si>
  <si>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</si>
  <si>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</si>
  <si>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</si>
  <si>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</si>
  <si>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</si>
  <si>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</si>
  <si>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</si>
  <si>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</si>
  <si>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</si>
  <si>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</si>
  <si>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</si>
  <si>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</si>
  <si>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</si>
  <si>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</si>
  <si>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</si>
  <si>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</si>
  <si>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</si>
  <si>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</si>
  <si>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</si>
  <si>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</si>
  <si>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</si>
  <si>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</si>
  <si>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</si>
  <si>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</si>
  <si>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</si>
  <si>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</si>
  <si>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</si>
  <si>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</si>
  <si>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</si>
  <si>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</si>
  <si>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</si>
  <si>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</si>
  <si>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</si>
  <si>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</si>
  <si>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</si>
  <si>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</si>
  <si>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</si>
  <si>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</si>
  <si>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</si>
  <si>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</si>
  <si>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</si>
  <si>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</si>
  <si>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</si>
  <si>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</si>
  <si>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</si>
  <si>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</si>
  <si>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</si>
  <si>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</si>
  <si>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</si>
  <si>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</si>
  <si>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</si>
  <si>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</si>
  <si>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</si>
  <si>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</si>
  <si>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</si>
  <si>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</si>
  <si>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</si>
  <si>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</si>
  <si>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</si>
  <si>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</si>
  <si>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</si>
  <si>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</si>
  <si>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</si>
  <si>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</si>
  <si>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</si>
  <si>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</si>
  <si>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</si>
  <si>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</si>
  <si>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</si>
  <si>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</si>
  <si>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</si>
  <si>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</si>
  <si>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</si>
  <si>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</si>
  <si>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</si>
  <si>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</si>
  <si>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</si>
  <si>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</si>
  <si>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</si>
  <si>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</si>
  <si>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</si>
  <si>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</si>
  <si>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</si>
  <si>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</si>
  <si>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</si>
  <si>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</si>
  <si>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</si>
  <si>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</si>
  <si>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</si>
  <si>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</si>
  <si>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</si>
  <si>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</si>
  <si>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</si>
  <si>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</si>
  <si>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</si>
  <si>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</si>
  <si>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</si>
  <si>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</si>
  <si>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</si>
  <si>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</si>
  <si>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</si>
  <si>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</si>
  <si>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</si>
  <si>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</si>
  <si>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</si>
  <si>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</si>
  <si>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</si>
  <si>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</si>
  <si>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</si>
  <si>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</si>
  <si>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</si>
  <si>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</si>
  <si>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</si>
  <si>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</si>
  <si>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</si>
  <si>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</si>
  <si>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</si>
  <si>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</si>
  <si>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</si>
  <si>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</si>
  <si>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</si>
  <si>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</si>
  <si>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</si>
  <si>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</si>
  <si>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</si>
  <si>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</si>
  <si>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</si>
  <si>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</si>
  <si>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</si>
  <si>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</si>
  <si>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</si>
  <si>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</si>
  <si>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</si>
  <si>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</si>
  <si>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</si>
  <si>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Beta00118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</si>
  <si>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</si>
  <si>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</si>
  <si>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</si>
  <si>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</si>
  <si>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</si>
  <si>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</si>
  <si>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</si>
  <si>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</si>
  <si>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</si>
  <si>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</si>
  <si>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</si>
  <si>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</si>
  <si>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</si>
  <si>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</si>
  <si>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</si>
  <si>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</si>
  <si>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</si>
  <si>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</si>
  <si>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</si>
  <si>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</si>
  <si>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</si>
  <si>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</si>
  <si>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</si>
  <si>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CALIBRATION</t>
  </si>
  <si>
    <t>Damp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</si>
  <si>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</si>
  <si>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</si>
  <si>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</si>
  <si>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</si>
  <si>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</si>
  <si>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</si>
  <si>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</si>
  <si>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</si>
  <si>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OtherTourDestinationCoefficients_model</t>
  </si>
  <si>
    <t>Copy (Ctrl-c) cells Q3:Q109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</si>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</sst>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1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2" xfId="0">
      <alignment horizontal="right"/>
    </xf>
    <xf applyBorder="1" applyNumberFormat="1" borderId="4" fillId="0" fontId="0" numFmtId="3" xfId="0"/>
    <xf applyBorder="1" applyNumberFormat="1" borderId="4" fillId="0" fontId="0" numFmtId="164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0.26080393200225693</c:v>
                </c:pt>
                <c:pt idx="1">
                  <c:v>0.1055451834035651</c:v>
                </c:pt>
                <c:pt idx="2">
                  <c:v>9.1291267201982898E-2</c:v>
                </c:pt>
                <c:pt idx="3">
                  <c:v>4.6522125786403558E-2</c:v>
                </c:pt>
                <c:pt idx="4">
                  <c:v>7.1207911946288921E-2</c:v>
                </c:pt>
                <c:pt idx="5">
                  <c:v>7.5485386013665695E-2</c:v>
                </c:pt>
                <c:pt idx="6">
                  <c:v>1.7750475089989143E-2</c:v>
                </c:pt>
                <c:pt idx="7">
                  <c:v>2.6921595776796876E-2</c:v>
                </c:pt>
                <c:pt idx="8">
                  <c:v>2.9330897641033925E-2</c:v>
                </c:pt>
                <c:pt idx="9">
                  <c:v>3.0742220233330574E-2</c:v>
                </c:pt>
                <c:pt idx="10">
                  <c:v>1.6405003440212017E-2</c:v>
                </c:pt>
                <c:pt idx="11">
                  <c:v>1.8654142346871735E-2</c:v>
                </c:pt>
                <c:pt idx="12">
                  <c:v>2.5296749252612348E-2</c:v>
                </c:pt>
                <c:pt idx="13">
                  <c:v>1.1579568249507123E-2</c:v>
                </c:pt>
                <c:pt idx="14">
                  <c:v>1.9686135925154107E-2</c:v>
                </c:pt>
                <c:pt idx="15">
                  <c:v>1.0091972204134382E-2</c:v>
                </c:pt>
                <c:pt idx="16">
                  <c:v>2.3850433201450749E-2</c:v>
                </c:pt>
                <c:pt idx="17">
                  <c:v>1.9100423409838666E-3</c:v>
                </c:pt>
                <c:pt idx="18">
                  <c:v>3.16117757667745E-2</c:v>
                </c:pt>
                <c:pt idx="19">
                  <c:v>5.9158752525594214E-3</c:v>
                </c:pt>
                <c:pt idx="20">
                  <c:v>7.1789326097087139E-3</c:v>
                </c:pt>
                <c:pt idx="21">
                  <c:v>8.8743242803223845E-3</c:v>
                </c:pt>
                <c:pt idx="22">
                  <c:v>1.0268306859054541E-2</c:v>
                </c:pt>
                <c:pt idx="23">
                  <c:v>8.1158660857083703E-3</c:v>
                </c:pt>
                <c:pt idx="24">
                  <c:v>1.5766978886112685E-3</c:v>
                </c:pt>
                <c:pt idx="25">
                  <c:v>5.2724362004044067E-3</c:v>
                </c:pt>
                <c:pt idx="26">
                  <c:v>3.2705968942401613E-3</c:v>
                </c:pt>
                <c:pt idx="27">
                  <c:v>1.7509326704343068E-3</c:v>
                </c:pt>
                <c:pt idx="28">
                  <c:v>1.4719600066293271E-3</c:v>
                </c:pt>
                <c:pt idx="29">
                  <c:v>5.8354496783784293E-3</c:v>
                </c:pt>
                <c:pt idx="30">
                  <c:v>1.1966804306126693E-3</c:v>
                </c:pt>
                <c:pt idx="31">
                  <c:v>8.8218463368782349E-3</c:v>
                </c:pt>
                <c:pt idx="32">
                  <c:v>1.786406030978424E-4</c:v>
                </c:pt>
                <c:pt idx="33">
                  <c:v>5.7458260259729953E-3</c:v>
                </c:pt>
                <c:pt idx="34">
                  <c:v>0</c:v>
                </c:pt>
                <c:pt idx="35">
                  <c:v>1.6862561680351751E-3</c:v>
                </c:pt>
                <c:pt idx="36">
                  <c:v>5.3040958323552594E-3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4.3135270549354946E-4</c:v>
                </c:pt>
                <c:pt idx="42">
                  <c:v>4.068949786512664E-4</c:v>
                </c:pt>
                <c:pt idx="43">
                  <c:v>6.5439233985710682E-4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1.7052467077392558E-4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1.8801429000667443E-4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5.191064136456444E-4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0.17448401604473077</c:v>
                </c:pt>
                <c:pt idx="1">
                  <c:v>0.15100036465297192</c:v>
                </c:pt>
                <c:pt idx="2">
                  <c:v>0.10677039017867995</c:v>
                </c:pt>
                <c:pt idx="3">
                  <c:v>8.7550747538592433E-2</c:v>
                </c:pt>
                <c:pt idx="4">
                  <c:v>7.1608119606174789E-2</c:v>
                </c:pt>
                <c:pt idx="5">
                  <c:v>5.7936064178923059E-2</c:v>
                </c:pt>
                <c:pt idx="6">
                  <c:v>4.4764798833110492E-2</c:v>
                </c:pt>
                <c:pt idx="7">
                  <c:v>3.6640330618694546E-2</c:v>
                </c:pt>
                <c:pt idx="8">
                  <c:v>2.5530570074146105E-2</c:v>
                </c:pt>
                <c:pt idx="9">
                  <c:v>1.9253676917466878E-2</c:v>
                </c:pt>
                <c:pt idx="10">
                  <c:v>1.3992950042542847E-2</c:v>
                </c:pt>
                <c:pt idx="11">
                  <c:v>1.4381913212592683E-2</c:v>
                </c:pt>
                <c:pt idx="12">
                  <c:v>1.4056156557675946E-2</c:v>
                </c:pt>
                <c:pt idx="13">
                  <c:v>1.3662331348000486E-2</c:v>
                </c:pt>
                <c:pt idx="14">
                  <c:v>1.408046675580406E-2</c:v>
                </c:pt>
                <c:pt idx="15">
                  <c:v>1.2952473562659536E-2</c:v>
                </c:pt>
                <c:pt idx="16">
                  <c:v>1.1620274705238848E-2</c:v>
                </c:pt>
                <c:pt idx="17">
                  <c:v>1.3142093108058832E-2</c:v>
                </c:pt>
                <c:pt idx="18">
                  <c:v>1.0774279810380455E-2</c:v>
                </c:pt>
                <c:pt idx="19">
                  <c:v>1.0249179530813175E-2</c:v>
                </c:pt>
                <c:pt idx="20">
                  <c:v>8.9947733074024552E-3</c:v>
                </c:pt>
                <c:pt idx="21">
                  <c:v>8.8294639601312758E-3</c:v>
                </c:pt>
                <c:pt idx="22">
                  <c:v>7.2541631214294395E-3</c:v>
                </c:pt>
                <c:pt idx="23">
                  <c:v>6.646408168226571E-3</c:v>
                </c:pt>
                <c:pt idx="24">
                  <c:v>6.3255135529354566E-3</c:v>
                </c:pt>
                <c:pt idx="25">
                  <c:v>6.3303755925610793E-3</c:v>
                </c:pt>
                <c:pt idx="26">
                  <c:v>5.0516591710222441E-3</c:v>
                </c:pt>
                <c:pt idx="27">
                  <c:v>4.3418013856812935E-3</c:v>
                </c:pt>
                <c:pt idx="28">
                  <c:v>3.904217819375228E-3</c:v>
                </c:pt>
                <c:pt idx="29">
                  <c:v>3.7000121550990642E-3</c:v>
                </c:pt>
                <c:pt idx="30">
                  <c:v>3.5103926096997692E-3</c:v>
                </c:pt>
                <c:pt idx="31">
                  <c:v>3.3450832624285888E-3</c:v>
                </c:pt>
                <c:pt idx="32">
                  <c:v>2.8491552206150478E-3</c:v>
                </c:pt>
                <c:pt idx="33">
                  <c:v>2.9220858149993922E-3</c:v>
                </c:pt>
                <c:pt idx="34">
                  <c:v>2.552570803452048E-3</c:v>
                </c:pt>
                <c:pt idx="35">
                  <c:v>2.3921234958064908E-3</c:v>
                </c:pt>
                <c:pt idx="36">
                  <c:v>1.8329889388598516E-3</c:v>
                </c:pt>
                <c:pt idx="37">
                  <c:v>1.5753008387018354E-3</c:v>
                </c:pt>
                <c:pt idx="38">
                  <c:v>1.4731980065637534E-3</c:v>
                </c:pt>
                <c:pt idx="39">
                  <c:v>1.3613710951744257E-3</c:v>
                </c:pt>
                <c:pt idx="40">
                  <c:v>1.1182691138932781E-3</c:v>
                </c:pt>
                <c:pt idx="41">
                  <c:v>1.0015801628783275E-3</c:v>
                </c:pt>
                <c:pt idx="42">
                  <c:v>1.0356144402576882E-3</c:v>
                </c:pt>
                <c:pt idx="43">
                  <c:v>8.1682265710465544E-4</c:v>
                </c:pt>
                <c:pt idx="44">
                  <c:v>7.6334022122280293E-4</c:v>
                </c:pt>
                <c:pt idx="45">
                  <c:v>6.61237389084721E-4</c:v>
                </c:pt>
                <c:pt idx="46">
                  <c:v>5.4941047769539318E-4</c:v>
                </c:pt>
                <c:pt idx="47">
                  <c:v>5.396863984441473E-4</c:v>
                </c:pt>
                <c:pt idx="48">
                  <c:v>5.396863984441473E-4</c:v>
                </c:pt>
                <c:pt idx="49">
                  <c:v>3.7923909079859002E-4</c:v>
                </c:pt>
                <c:pt idx="50">
                  <c:v>3.7437705117296708E-4</c:v>
                </c:pt>
                <c:pt idx="51">
                  <c:v>2.8199829828613103E-4</c:v>
                </c:pt>
                <c:pt idx="52">
                  <c:v>3.4034277379360644E-4</c:v>
                </c:pt>
                <c:pt idx="53">
                  <c:v>2.4796402090677039E-4</c:v>
                </c:pt>
                <c:pt idx="54">
                  <c:v>1.6530934727118025E-4</c:v>
                </c:pt>
                <c:pt idx="55">
                  <c:v>1.9934362465054089E-4</c:v>
                </c:pt>
                <c:pt idx="56">
                  <c:v>1.9934362465054089E-4</c:v>
                </c:pt>
                <c:pt idx="57">
                  <c:v>6.3206515133098332E-5</c:v>
                </c:pt>
                <c:pt idx="58">
                  <c:v>1.3613710951744257E-4</c:v>
                </c:pt>
                <c:pt idx="59">
                  <c:v>1.4099914914306552E-4</c:v>
                </c:pt>
                <c:pt idx="60">
                  <c:v>1.5558526801993437E-4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Social/Recreation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0.10534228102071919</c:v>
                </c:pt>
                <c:pt idx="1">
                  <c:v>0.15640886790259759</c:v>
                </c:pt>
                <c:pt idx="2">
                  <c:v>6.4195692692990178E-2</c:v>
                </c:pt>
                <c:pt idx="3">
                  <c:v>7.7070102605931834E-2</c:v>
                </c:pt>
                <c:pt idx="4">
                  <c:v>4.2832828744390053E-2</c:v>
                </c:pt>
                <c:pt idx="5">
                  <c:v>5.5382895982787499E-2</c:v>
                </c:pt>
                <c:pt idx="6">
                  <c:v>4.8202821654598035E-2</c:v>
                </c:pt>
                <c:pt idx="7">
                  <c:v>3.9323261299542431E-2</c:v>
                </c:pt>
                <c:pt idx="8">
                  <c:v>4.7777235783318148E-2</c:v>
                </c:pt>
                <c:pt idx="9">
                  <c:v>2.6392912109604968E-2</c:v>
                </c:pt>
                <c:pt idx="10">
                  <c:v>1.3129636535262021E-2</c:v>
                </c:pt>
                <c:pt idx="11">
                  <c:v>3.767206382167039E-2</c:v>
                </c:pt>
                <c:pt idx="12">
                  <c:v>1.9422401906172001E-2</c:v>
                </c:pt>
                <c:pt idx="13">
                  <c:v>1.659906035185622E-2</c:v>
                </c:pt>
                <c:pt idx="14">
                  <c:v>1.7124590982578885E-2</c:v>
                </c:pt>
                <c:pt idx="15">
                  <c:v>2.1988531111009579E-2</c:v>
                </c:pt>
                <c:pt idx="16">
                  <c:v>1.531716084177972E-2</c:v>
                </c:pt>
                <c:pt idx="17">
                  <c:v>3.7322431677069334E-2</c:v>
                </c:pt>
                <c:pt idx="18">
                  <c:v>1.5181989615013762E-2</c:v>
                </c:pt>
                <c:pt idx="19">
                  <c:v>1.7542413675766692E-2</c:v>
                </c:pt>
                <c:pt idx="20">
                  <c:v>1.7951261624605974E-2</c:v>
                </c:pt>
                <c:pt idx="21">
                  <c:v>6.1672417636420155E-3</c:v>
                </c:pt>
                <c:pt idx="22">
                  <c:v>6.0101944573098661E-3</c:v>
                </c:pt>
                <c:pt idx="23">
                  <c:v>1.3942747911590208E-2</c:v>
                </c:pt>
                <c:pt idx="24">
                  <c:v>4.5702654617590637E-3</c:v>
                </c:pt>
                <c:pt idx="25">
                  <c:v>3.8170906961028611E-3</c:v>
                </c:pt>
                <c:pt idx="26">
                  <c:v>3.5540512214503471E-3</c:v>
                </c:pt>
                <c:pt idx="27">
                  <c:v>9.7183915466470174E-3</c:v>
                </c:pt>
                <c:pt idx="28">
                  <c:v>4.8524294069585147E-3</c:v>
                </c:pt>
                <c:pt idx="29">
                  <c:v>1.9772950062367119E-2</c:v>
                </c:pt>
                <c:pt idx="30">
                  <c:v>8.6865349493801401E-4</c:v>
                </c:pt>
                <c:pt idx="31">
                  <c:v>1.364183098685041E-3</c:v>
                </c:pt>
                <c:pt idx="32">
                  <c:v>6.9900849512989768E-3</c:v>
                </c:pt>
                <c:pt idx="33">
                  <c:v>4.068949786512664E-4</c:v>
                </c:pt>
                <c:pt idx="34">
                  <c:v>7.0156387029161136E-3</c:v>
                </c:pt>
                <c:pt idx="35">
                  <c:v>0</c:v>
                </c:pt>
                <c:pt idx="36">
                  <c:v>5.7150812043899231E-4</c:v>
                </c:pt>
                <c:pt idx="37">
                  <c:v>6.8071000662201842E-4</c:v>
                </c:pt>
                <c:pt idx="38">
                  <c:v>0</c:v>
                </c:pt>
                <c:pt idx="39">
                  <c:v>0</c:v>
                </c:pt>
                <c:pt idx="40">
                  <c:v>4.3582020738294638E-4</c:v>
                </c:pt>
                <c:pt idx="41">
                  <c:v>7.9226016242246681E-3</c:v>
                </c:pt>
                <c:pt idx="42">
                  <c:v>2.5315314087141002E-4</c:v>
                </c:pt>
                <c:pt idx="43">
                  <c:v>1.0055461614131567E-3</c:v>
                </c:pt>
                <c:pt idx="44">
                  <c:v>0</c:v>
                </c:pt>
                <c:pt idx="45">
                  <c:v>5.3040958323552594E-3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1.7052467077392558E-4</c:v>
                </c:pt>
                <c:pt idx="51">
                  <c:v>0</c:v>
                </c:pt>
                <c:pt idx="52">
                  <c:v>5.9490926865794086E-4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1.7819956462213947E-4</c:v>
                </c:pt>
                <c:pt idx="57">
                  <c:v>6.5439233985710682E-4</c:v>
                </c:pt>
                <c:pt idx="58">
                  <c:v>0</c:v>
                </c:pt>
                <c:pt idx="59">
                  <c:v>0</c:v>
                </c:pt>
                <c:pt idx="60">
                  <c:v>5.191064136456444E-4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6.3901786799562418E-2</c:v>
                </c:pt>
                <c:pt idx="1">
                  <c:v>0.11258538957092501</c:v>
                </c:pt>
                <c:pt idx="2">
                  <c:v>9.8431992220736605E-2</c:v>
                </c:pt>
                <c:pt idx="3">
                  <c:v>8.3860459462744619E-2</c:v>
                </c:pt>
                <c:pt idx="4">
                  <c:v>7.3232040841132856E-2</c:v>
                </c:pt>
                <c:pt idx="5">
                  <c:v>6.5720189619545399E-2</c:v>
                </c:pt>
                <c:pt idx="6">
                  <c:v>5.8368785705603499E-2</c:v>
                </c:pt>
                <c:pt idx="7">
                  <c:v>5.1007657712410358E-2</c:v>
                </c:pt>
                <c:pt idx="8">
                  <c:v>4.3476358332320407E-2</c:v>
                </c:pt>
                <c:pt idx="9">
                  <c:v>3.6163850735383495E-2</c:v>
                </c:pt>
                <c:pt idx="10">
                  <c:v>2.9318098942506383E-2</c:v>
                </c:pt>
                <c:pt idx="11">
                  <c:v>2.4480369515011546E-2</c:v>
                </c:pt>
                <c:pt idx="12">
                  <c:v>2.0527531299380088E-2</c:v>
                </c:pt>
                <c:pt idx="13">
                  <c:v>1.6239212349580649E-2</c:v>
                </c:pt>
                <c:pt idx="14">
                  <c:v>1.5174425671569224E-2</c:v>
                </c:pt>
                <c:pt idx="15">
                  <c:v>1.4834082897775616E-2</c:v>
                </c:pt>
                <c:pt idx="16">
                  <c:v>1.3064300474048864E-2</c:v>
                </c:pt>
                <c:pt idx="17">
                  <c:v>1.2670475264373404E-2</c:v>
                </c:pt>
                <c:pt idx="18">
                  <c:v>1.2159961103682995E-2</c:v>
                </c:pt>
                <c:pt idx="19">
                  <c:v>1.261213078886593E-2</c:v>
                </c:pt>
                <c:pt idx="20">
                  <c:v>1.1843928528017503E-2</c:v>
                </c:pt>
                <c:pt idx="21">
                  <c:v>1.0711073295247356E-2</c:v>
                </c:pt>
                <c:pt idx="22">
                  <c:v>1.0103318342044488E-2</c:v>
                </c:pt>
                <c:pt idx="23">
                  <c:v>1.010818038167011E-2</c:v>
                </c:pt>
                <c:pt idx="24">
                  <c:v>8.8051537620031598E-3</c:v>
                </c:pt>
                <c:pt idx="25">
                  <c:v>8.5912240184757502E-3</c:v>
                </c:pt>
                <c:pt idx="26">
                  <c:v>8.4356387504558161E-3</c:v>
                </c:pt>
                <c:pt idx="27">
                  <c:v>7.2201288440500791E-3</c:v>
                </c:pt>
                <c:pt idx="28">
                  <c:v>5.8733438677525222E-3</c:v>
                </c:pt>
                <c:pt idx="29">
                  <c:v>6.2282727604229971E-3</c:v>
                </c:pt>
                <c:pt idx="30">
                  <c:v>4.5849033669624409E-3</c:v>
                </c:pt>
                <c:pt idx="31">
                  <c:v>4.623799683967424E-3</c:v>
                </c:pt>
                <c:pt idx="32">
                  <c:v>3.806977026862769E-3</c:v>
                </c:pt>
                <c:pt idx="33">
                  <c:v>4.0598030873951621E-3</c:v>
                </c:pt>
                <c:pt idx="34">
                  <c:v>4.1230096025282603E-3</c:v>
                </c:pt>
                <c:pt idx="35">
                  <c:v>3.9771484137595724E-3</c:v>
                </c:pt>
                <c:pt idx="36">
                  <c:v>2.7713625866050808E-3</c:v>
                </c:pt>
                <c:pt idx="37">
                  <c:v>2.7665005469794577E-3</c:v>
                </c:pt>
                <c:pt idx="38">
                  <c:v>2.5379846845751792E-3</c:v>
                </c:pt>
                <c:pt idx="39">
                  <c:v>2.3726753373039988E-3</c:v>
                </c:pt>
                <c:pt idx="40">
                  <c:v>1.9885742068797862E-3</c:v>
                </c:pt>
                <c:pt idx="41">
                  <c:v>1.7795065029779992E-3</c:v>
                </c:pt>
                <c:pt idx="42">
                  <c:v>1.6239212349580649E-3</c:v>
                </c:pt>
                <c:pt idx="43">
                  <c:v>1.4683359669381306E-3</c:v>
                </c:pt>
                <c:pt idx="44">
                  <c:v>1.3273368177950651E-3</c:v>
                </c:pt>
                <c:pt idx="45">
                  <c:v>1.1668895101495077E-3</c:v>
                </c:pt>
                <c:pt idx="46">
                  <c:v>1.0258903610064422E-3</c:v>
                </c:pt>
                <c:pt idx="47">
                  <c:v>8.6058101373526197E-4</c:v>
                </c:pt>
                <c:pt idx="48">
                  <c:v>8.4599489485839309E-4</c:v>
                </c:pt>
                <c:pt idx="49">
                  <c:v>6.3692719095660634E-4</c:v>
                </c:pt>
                <c:pt idx="50">
                  <c:v>6.7096146833596699E-4</c:v>
                </c:pt>
                <c:pt idx="51">
                  <c:v>5.6399659657226206E-4</c:v>
                </c:pt>
                <c:pt idx="52">
                  <c:v>4.0841132855232772E-4</c:v>
                </c:pt>
                <c:pt idx="53">
                  <c:v>3.889631700498359E-4</c:v>
                </c:pt>
                <c:pt idx="54">
                  <c:v>3.5492889267047526E-4</c:v>
                </c:pt>
                <c:pt idx="55">
                  <c:v>2.7713625866050809E-4</c:v>
                </c:pt>
                <c:pt idx="56">
                  <c:v>3.6465297192172114E-4</c:v>
                </c:pt>
                <c:pt idx="57">
                  <c:v>3.6465297192172114E-4</c:v>
                </c:pt>
                <c:pt idx="58">
                  <c:v>2.2851586240427859E-4</c:v>
                </c:pt>
                <c:pt idx="59">
                  <c:v>2.7227421903488515E-4</c:v>
                </c:pt>
                <c:pt idx="60">
                  <c:v>2.2365382277865565E-4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I19" sqref="I19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9" t="n">
        <v>17361.598746</v>
      </c>
      <c r="C11" s="11">
        <f>B11/B$102</f>
        <v>0.26080393200225693</v>
      </c>
      <c r="E11" s="19">
        <v>0</v>
      </c>
      <c r="F11" s="341" t="n">
        <v>21596.0</v>
      </c>
      <c r="G11" s="11">
        <f>F11/F$102</f>
        <v>0.17448401604473077</v>
      </c>
      <c r="K11" s="8" t="n">
        <v>6.148952678203494</v>
      </c>
      <c r="L11" s="8" t="n">
        <v>6.679157526522058</v>
      </c>
    </row>
    <row r="12" spans="1:12" x14ac:dyDescent="0.25">
      <c r="A12">
        <v>1</v>
      </c>
      <c r="B12" s="339" t="n">
        <v>27601.945871</v>
      </c>
      <c r="C12" s="11">
        <f>B12/B$102</f>
        <v>0.1055451834035651</v>
      </c>
      <c r="E12" s="20">
        <v>1</v>
      </c>
      <c r="F12" s="341" t="n">
        <v>27749.0</v>
      </c>
      <c r="G12" s="11">
        <f>F12/F$102</f>
        <v>0.15100036465297192</v>
      </c>
      <c r="K12" s="8"/>
      <c r="L12" s="289"/>
    </row>
    <row r="13" spans="1:12" x14ac:dyDescent="0.25">
      <c r="A13">
        <v>2</v>
      </c>
      <c r="B13" s="339" t="n">
        <v>25109.157429</v>
      </c>
      <c r="C13" s="11">
        <f ref="C13:C76" si="0" t="shared">B13/B$102</f>
        <v>9.1291267201982898E-2</v>
      </c>
      <c r="E13" s="21">
        <v>2</v>
      </c>
      <c r="F13" s="341" t="n">
        <v>29527.0</v>
      </c>
      <c r="G13" s="11">
        <f ref="G13:G76" si="1" t="shared">F13/F$102</f>
        <v>0.10677039017867995</v>
      </c>
    </row>
    <row r="14" spans="1:12" x14ac:dyDescent="0.25">
      <c r="A14">
        <v>3</v>
      </c>
      <c r="B14" s="339" t="n">
        <v>23021.561615</v>
      </c>
      <c r="C14" s="11">
        <f si="0" t="shared"/>
        <v>4.6522125786403558E-2</v>
      </c>
      <c r="E14" s="22">
        <v>3</v>
      </c>
      <c r="F14" s="341" t="n">
        <v>28088.0</v>
      </c>
      <c r="G14" s="11">
        <f si="1" t="shared"/>
        <v>8.7550747538592433E-2</v>
      </c>
    </row>
    <row r="15" spans="1:12" x14ac:dyDescent="0.25">
      <c r="A15">
        <v>4</v>
      </c>
      <c r="B15" s="339" t="n">
        <v>19565.793666999998</v>
      </c>
      <c r="C15" s="11">
        <f si="0" t="shared"/>
        <v>7.1207911946288921E-2</v>
      </c>
      <c r="E15" s="23">
        <v>4</v>
      </c>
      <c r="F15" s="341" t="n">
        <v>21589.0</v>
      </c>
      <c r="G15" s="11">
        <f si="1" t="shared"/>
        <v>7.1608119606174789E-2</v>
      </c>
    </row>
    <row r="16" spans="1:12" x14ac:dyDescent="0.25">
      <c r="A16">
        <v>5</v>
      </c>
      <c r="B16" s="339" t="n">
        <v>10607.179289</v>
      </c>
      <c r="C16" s="11">
        <f si="0" t="shared"/>
        <v>7.5485386013665695E-2</v>
      </c>
      <c r="E16" s="24">
        <v>5</v>
      </c>
      <c r="F16" s="341" t="n">
        <v>17034.0</v>
      </c>
      <c r="G16" s="11">
        <f si="1" t="shared"/>
        <v>5.7936064178923059E-2</v>
      </c>
    </row>
    <row r="17" spans="1:7" x14ac:dyDescent="0.25">
      <c r="A17">
        <v>6</v>
      </c>
      <c r="B17" s="339" t="n">
        <v>13073.617905000001</v>
      </c>
      <c r="C17" s="11">
        <f si="0" t="shared"/>
        <v>1.7750475089989143E-2</v>
      </c>
      <c r="E17" s="25">
        <v>6</v>
      </c>
      <c r="F17" s="341" t="n">
        <v>12077.0</v>
      </c>
      <c r="G17" s="11">
        <f si="1" t="shared"/>
        <v>4.4764798833110492E-2</v>
      </c>
    </row>
    <row r="18" spans="1:7" x14ac:dyDescent="0.25">
      <c r="A18">
        <v>7</v>
      </c>
      <c r="B18" s="339" t="n">
        <v>6450.999711</v>
      </c>
      <c r="C18" s="11">
        <f si="0" t="shared"/>
        <v>2.6921595776796876E-2</v>
      </c>
      <c r="E18" s="26">
        <v>7</v>
      </c>
      <c r="F18" s="341" t="n">
        <v>8472.0</v>
      </c>
      <c r="G18" s="11">
        <f si="1" t="shared"/>
        <v>3.6640330618694546E-2</v>
      </c>
    </row>
    <row r="19" spans="1:7" x14ac:dyDescent="0.25">
      <c r="A19">
        <v>8</v>
      </c>
      <c r="B19" s="339" t="n">
        <v>9307.954096</v>
      </c>
      <c r="C19" s="11">
        <f si="0" t="shared"/>
        <v>2.9330897641033925E-2</v>
      </c>
      <c r="E19" s="27">
        <v>8</v>
      </c>
      <c r="F19" s="341" t="n">
        <v>5544.0</v>
      </c>
      <c r="G19" s="11">
        <f si="1" t="shared"/>
        <v>2.5530570074146105E-2</v>
      </c>
    </row>
    <row r="20" spans="1:7" x14ac:dyDescent="0.25">
      <c r="A20">
        <v>9</v>
      </c>
      <c r="B20" s="339" t="n">
        <v>3559.74955</v>
      </c>
      <c r="C20" s="11">
        <f si="0" t="shared"/>
        <v>3.0742220233330574E-2</v>
      </c>
      <c r="E20" s="28">
        <v>9</v>
      </c>
      <c r="F20" s="341" t="n">
        <v>4134.0</v>
      </c>
      <c r="G20" s="11">
        <f si="1" t="shared"/>
        <v>1.9253676917466878E-2</v>
      </c>
    </row>
    <row r="21" spans="1:7" x14ac:dyDescent="0.25">
      <c r="A21">
        <v>10</v>
      </c>
      <c r="B21" s="339" t="n">
        <v>5862.526561</v>
      </c>
      <c r="C21" s="11">
        <f si="0" t="shared"/>
        <v>1.6405003440212017E-2</v>
      </c>
      <c r="E21" s="29">
        <v>10</v>
      </c>
      <c r="F21" s="341" t="n">
        <v>3846.0</v>
      </c>
      <c r="G21" s="11">
        <f si="1" t="shared"/>
        <v>1.3992950042542847E-2</v>
      </c>
    </row>
    <row r="22" spans="1:7" x14ac:dyDescent="0.25">
      <c r="A22">
        <v>11</v>
      </c>
      <c r="B22" s="339" t="n">
        <v>3007.680041</v>
      </c>
      <c r="C22" s="11">
        <f si="0" t="shared"/>
        <v>1.8654142346871735E-2</v>
      </c>
      <c r="E22" s="30">
        <v>11</v>
      </c>
      <c r="F22" s="341" t="n">
        <v>3463.0</v>
      </c>
      <c r="G22" s="11">
        <f si="1" t="shared"/>
        <v>1.4381913212592683E-2</v>
      </c>
    </row>
    <row r="23" spans="1:7" x14ac:dyDescent="0.25">
      <c r="A23">
        <v>12</v>
      </c>
      <c r="B23" s="339" t="n">
        <v>4152.4163849999995</v>
      </c>
      <c r="C23" s="11">
        <f si="0" t="shared"/>
        <v>2.5296749252612348E-2</v>
      </c>
      <c r="E23" s="31">
        <v>12</v>
      </c>
      <c r="F23" s="341" t="n">
        <v>3030.0</v>
      </c>
      <c r="G23" s="11">
        <f si="1" t="shared"/>
        <v>1.4056156557675946E-2</v>
      </c>
    </row>
    <row r="24" spans="1:7" x14ac:dyDescent="0.25">
      <c r="A24">
        <v>13</v>
      </c>
      <c r="B24" s="339" t="n">
        <v>3705.076425</v>
      </c>
      <c r="C24" s="11">
        <f si="0" t="shared"/>
        <v>1.1579568249507123E-2</v>
      </c>
      <c r="E24" s="32">
        <v>13</v>
      </c>
      <c r="F24" s="341" t="n">
        <v>2654.0</v>
      </c>
      <c r="G24" s="11">
        <f si="1" t="shared"/>
        <v>1.3662331348000486E-2</v>
      </c>
    </row>
    <row r="25" spans="1:7" x14ac:dyDescent="0.25">
      <c r="A25">
        <v>14</v>
      </c>
      <c r="B25" s="339" t="n">
        <v>2703.023635</v>
      </c>
      <c r="C25" s="11">
        <f si="0" t="shared"/>
        <v>1.9686135925154107E-2</v>
      </c>
      <c r="E25" s="33">
        <v>14</v>
      </c>
      <c r="F25" s="341" t="n">
        <v>2286.0</v>
      </c>
      <c r="G25" s="11">
        <f si="1" t="shared"/>
        <v>1.408046675580406E-2</v>
      </c>
    </row>
    <row r="26" spans="1:7" x14ac:dyDescent="0.25">
      <c r="A26">
        <v>15</v>
      </c>
      <c r="B26" s="339" t="n">
        <v>1860.758104</v>
      </c>
      <c r="C26" s="11">
        <f si="0" t="shared"/>
        <v>1.0091972204134382E-2</v>
      </c>
      <c r="E26" s="34">
        <v>15</v>
      </c>
      <c r="F26" s="341" t="n">
        <v>2043.0</v>
      </c>
      <c r="G26" s="11">
        <f si="1" t="shared"/>
        <v>1.2952473562659536E-2</v>
      </c>
    </row>
    <row r="27" spans="1:7" x14ac:dyDescent="0.25">
      <c r="A27">
        <v>16</v>
      </c>
      <c r="B27" s="339" t="n">
        <v>1048.075798</v>
      </c>
      <c r="C27" s="11">
        <f si="0" t="shared"/>
        <v>2.3850433201450749E-2</v>
      </c>
      <c r="E27" s="35">
        <v>16</v>
      </c>
      <c r="F27" s="341" t="n">
        <v>1781.0</v>
      </c>
      <c r="G27" s="11">
        <f si="1" t="shared"/>
        <v>1.1620274705238848E-2</v>
      </c>
    </row>
    <row r="28" spans="1:7" x14ac:dyDescent="0.25">
      <c r="A28">
        <v>17</v>
      </c>
      <c r="B28" s="339" t="n">
        <v>696.813904</v>
      </c>
      <c r="C28" s="11">
        <f si="0" t="shared"/>
        <v>1.9100423409838666E-3</v>
      </c>
      <c r="E28" s="36">
        <v>17</v>
      </c>
      <c r="F28" s="341" t="n">
        <v>1525.0</v>
      </c>
      <c r="G28" s="11">
        <f si="1" t="shared"/>
        <v>1.3142093108058832E-2</v>
      </c>
    </row>
    <row r="29" spans="1:7" x14ac:dyDescent="0.25">
      <c r="A29">
        <v>18</v>
      </c>
      <c r="B29" s="339" t="n">
        <v>652.575669</v>
      </c>
      <c r="C29" s="11">
        <f si="0" t="shared"/>
        <v>3.16117757667745E-2</v>
      </c>
      <c r="E29" s="37">
        <v>18</v>
      </c>
      <c r="F29" s="341" t="n">
        <v>1396.0</v>
      </c>
      <c r="G29" s="11">
        <f si="1" t="shared"/>
        <v>1.0774279810380455E-2</v>
      </c>
    </row>
    <row r="30" spans="1:7" x14ac:dyDescent="0.25">
      <c r="A30">
        <v>19</v>
      </c>
      <c r="B30" s="339" t="n">
        <v>829.387379</v>
      </c>
      <c r="C30" s="11">
        <f si="0" t="shared"/>
        <v>5.9158752525594214E-3</v>
      </c>
      <c r="E30" s="38">
        <v>19</v>
      </c>
      <c r="F30" s="341" t="n">
        <v>1387.0</v>
      </c>
      <c r="G30" s="11">
        <f si="1" t="shared"/>
        <v>1.0249179530813175E-2</v>
      </c>
    </row>
    <row r="31" spans="1:7" x14ac:dyDescent="0.25">
      <c r="A31">
        <v>20</v>
      </c>
      <c r="B31" s="339" t="n">
        <v>1262.730798</v>
      </c>
      <c r="C31" s="11">
        <f si="0" t="shared"/>
        <v>7.1789326097087139E-3</v>
      </c>
      <c r="E31" s="39">
        <v>20</v>
      </c>
      <c r="F31" s="341" t="n">
        <v>1213.0</v>
      </c>
      <c r="G31" s="11">
        <f si="1" t="shared"/>
        <v>8.9947733074024552E-3</v>
      </c>
    </row>
    <row r="32" spans="1:7" x14ac:dyDescent="0.25">
      <c r="A32">
        <v>21</v>
      </c>
      <c r="B32" s="339" t="n">
        <v>240.291765</v>
      </c>
      <c r="C32" s="11">
        <f si="0" t="shared"/>
        <v>8.8743242803223845E-3</v>
      </c>
      <c r="E32" s="40">
        <v>21</v>
      </c>
      <c r="F32" s="341" t="n">
        <v>1078.0</v>
      </c>
      <c r="G32" s="11">
        <f si="1" t="shared"/>
        <v>8.8294639601312758E-3</v>
      </c>
    </row>
    <row r="33" spans="1:7" x14ac:dyDescent="0.25">
      <c r="A33">
        <v>22</v>
      </c>
      <c r="B33" s="339" t="n">
        <v>1137.624778</v>
      </c>
      <c r="C33" s="11">
        <f si="0" t="shared"/>
        <v>1.0268306859054541E-2</v>
      </c>
      <c r="E33" s="41">
        <v>22</v>
      </c>
      <c r="F33" s="341" t="n">
        <v>1101.0</v>
      </c>
      <c r="G33" s="11">
        <f si="1" t="shared"/>
        <v>7.2541631214294395E-3</v>
      </c>
    </row>
    <row r="34" spans="1:7" x14ac:dyDescent="0.25">
      <c r="A34">
        <v>23</v>
      </c>
      <c r="B34" s="339" t="n">
        <v>1071.474922</v>
      </c>
      <c r="C34" s="11">
        <f si="0" t="shared"/>
        <v>8.1158660857083703E-3</v>
      </c>
      <c r="E34" s="42">
        <v>23</v>
      </c>
      <c r="F34" s="341" t="n">
        <v>919.0</v>
      </c>
      <c r="G34" s="11">
        <f si="1" t="shared"/>
        <v>6.646408168226571E-3</v>
      </c>
    </row>
    <row r="35" spans="1:7" x14ac:dyDescent="0.25">
      <c r="A35">
        <v>24</v>
      </c>
      <c r="B35" s="339" t="n">
        <v>1229.176315</v>
      </c>
      <c r="C35" s="11">
        <f si="0" t="shared"/>
        <v>1.5766978886112685E-3</v>
      </c>
      <c r="E35" s="43">
        <v>24</v>
      </c>
      <c r="F35" s="341" t="n">
        <v>774.0</v>
      </c>
      <c r="G35" s="11">
        <f si="1" t="shared"/>
        <v>6.3255135529354566E-3</v>
      </c>
    </row>
    <row r="36" spans="1:7" x14ac:dyDescent="0.25">
      <c r="A36">
        <v>25</v>
      </c>
      <c r="B36" s="339" t="n">
        <v>269.299443</v>
      </c>
      <c r="C36" s="11">
        <f si="0" t="shared"/>
        <v>5.2724362004044067E-3</v>
      </c>
      <c r="E36" s="44">
        <v>25</v>
      </c>
      <c r="F36" s="341" t="n">
        <v>702.0</v>
      </c>
      <c r="G36" s="11">
        <f si="1" t="shared"/>
        <v>6.3303755925610793E-3</v>
      </c>
    </row>
    <row r="37" spans="1:7" x14ac:dyDescent="0.25">
      <c r="A37">
        <v>26</v>
      </c>
      <c r="B37" s="339" t="n">
        <v>294.973417</v>
      </c>
      <c r="C37" s="11">
        <f si="0" t="shared"/>
        <v>3.2705968942401613E-3</v>
      </c>
      <c r="E37" s="45">
        <v>26</v>
      </c>
      <c r="F37" s="341" t="n">
        <v>720.0</v>
      </c>
      <c r="G37" s="11">
        <f si="1" t="shared"/>
        <v>5.0516591710222441E-3</v>
      </c>
    </row>
    <row r="38" spans="1:7" x14ac:dyDescent="0.25">
      <c r="A38">
        <v>27</v>
      </c>
      <c r="B38" s="339" t="n">
        <v>99.508018</v>
      </c>
      <c r="C38" s="11">
        <f si="0" t="shared"/>
        <v>1.7509326704343068E-3</v>
      </c>
      <c r="E38" s="46">
        <v>27</v>
      </c>
      <c r="F38" s="341" t="n">
        <v>605.0</v>
      </c>
      <c r="G38" s="11">
        <f si="1" t="shared"/>
        <v>4.3418013856812935E-3</v>
      </c>
    </row>
    <row r="39" spans="1:7" x14ac:dyDescent="0.25">
      <c r="A39">
        <v>28</v>
      </c>
      <c r="B39" s="339" t="n">
        <v>140.04013</v>
      </c>
      <c r="C39" s="11">
        <f si="0" t="shared"/>
        <v>1.4719600066293271E-3</v>
      </c>
      <c r="E39" s="47">
        <v>28</v>
      </c>
      <c r="F39" s="341" t="n">
        <v>508.0</v>
      </c>
      <c r="G39" s="11">
        <f si="1" t="shared"/>
        <v>3.904217819375228E-3</v>
      </c>
    </row>
    <row r="40" spans="1:7" x14ac:dyDescent="0.25">
      <c r="A40">
        <v>29</v>
      </c>
      <c r="B40" s="339" t="n">
        <v>61.176273</v>
      </c>
      <c r="C40" s="11">
        <f si="0" t="shared"/>
        <v>5.8354496783784293E-3</v>
      </c>
      <c r="E40" s="48">
        <v>29</v>
      </c>
      <c r="F40" s="341" t="n">
        <v>493.0</v>
      </c>
      <c r="G40" s="11">
        <f si="1" t="shared"/>
        <v>3.7000121550990642E-3</v>
      </c>
    </row>
    <row r="41" spans="1:7" x14ac:dyDescent="0.25">
      <c r="A41">
        <v>30</v>
      </c>
      <c r="B41" s="339" t="n">
        <v>0.0</v>
      </c>
      <c r="C41" s="11">
        <f si="0" t="shared"/>
        <v>1.1966804306126693E-3</v>
      </c>
      <c r="E41" s="49">
        <v>30</v>
      </c>
      <c r="F41" s="341" t="n">
        <v>470.0</v>
      </c>
      <c r="G41" s="11">
        <f si="1" t="shared"/>
        <v>3.5103926096997692E-3</v>
      </c>
    </row>
    <row r="42" spans="1:7" x14ac:dyDescent="0.25">
      <c r="A42">
        <v>31</v>
      </c>
      <c r="B42" s="339" t="n">
        <v>515.1282</v>
      </c>
      <c r="C42" s="11">
        <f si="0" t="shared"/>
        <v>8.8218463368782349E-3</v>
      </c>
      <c r="E42" s="50">
        <v>31</v>
      </c>
      <c r="F42" s="341" t="n">
        <v>369.0</v>
      </c>
      <c r="G42" s="11">
        <f si="1" t="shared"/>
        <v>3.3450832624285888E-3</v>
      </c>
    </row>
    <row r="43" spans="1:7" x14ac:dyDescent="0.25">
      <c r="A43">
        <v>32</v>
      </c>
      <c r="B43" s="339" t="n">
        <v>1194.614249</v>
      </c>
      <c r="C43" s="11">
        <f si="0" t="shared"/>
        <v>1.786406030978424E-4</v>
      </c>
      <c r="E43" s="51">
        <v>32</v>
      </c>
      <c r="F43" s="341" t="n">
        <v>342.0</v>
      </c>
      <c r="G43" s="11">
        <f si="1" t="shared"/>
        <v>2.8491552206150478E-3</v>
      </c>
    </row>
    <row r="44" spans="1:7" x14ac:dyDescent="0.25">
      <c r="A44">
        <v>33</v>
      </c>
      <c r="B44" s="339" t="n">
        <v>115.929682</v>
      </c>
      <c r="C44" s="11">
        <f si="0" t="shared"/>
        <v>5.7458260259729953E-3</v>
      </c>
      <c r="E44" s="52">
        <v>33</v>
      </c>
      <c r="F44" s="341" t="n">
        <v>336.0</v>
      </c>
      <c r="G44" s="11">
        <f si="1" t="shared"/>
        <v>2.9220858149993922E-3</v>
      </c>
    </row>
    <row r="45" spans="1:7" x14ac:dyDescent="0.25">
      <c r="A45">
        <v>34</v>
      </c>
      <c r="B45" s="339" t="n">
        <v>489.62784</v>
      </c>
      <c r="C45" s="11">
        <f si="0" t="shared"/>
        <v>0</v>
      </c>
      <c r="E45" s="53">
        <v>34</v>
      </c>
      <c r="F45" s="341" t="n">
        <v>241.0</v>
      </c>
      <c r="G45" s="11">
        <f si="1" t="shared"/>
        <v>2.552570803452048E-3</v>
      </c>
    </row>
    <row r="46" spans="1:7" x14ac:dyDescent="0.25">
      <c r="A46">
        <v>35</v>
      </c>
      <c r="B46" s="339" t="n">
        <v>0.0</v>
      </c>
      <c r="C46" s="11">
        <f si="0" t="shared"/>
        <v>1.6862561680351751E-3</v>
      </c>
      <c r="E46" s="54">
        <v>35</v>
      </c>
      <c r="F46" s="341" t="n">
        <v>244.0</v>
      </c>
      <c r="G46" s="11">
        <f si="1" t="shared"/>
        <v>2.3921234958064908E-3</v>
      </c>
    </row>
    <row r="47" spans="1:7" x14ac:dyDescent="0.25">
      <c r="A47">
        <v>36</v>
      </c>
      <c r="B47" s="339" t="n">
        <v>209.985387</v>
      </c>
      <c r="C47" s="11">
        <f si="0" t="shared"/>
        <v>5.3040958323552594E-3</v>
      </c>
      <c r="E47" s="55">
        <v>36</v>
      </c>
      <c r="F47" s="341" t="n">
        <v>249.0</v>
      </c>
      <c r="G47" s="11">
        <f si="1" t="shared"/>
        <v>1.8329889388598516E-3</v>
      </c>
    </row>
    <row r="48" spans="1:7" x14ac:dyDescent="0.25">
      <c r="A48">
        <v>37</v>
      </c>
      <c r="B48" s="339" t="n">
        <v>53.812839</v>
      </c>
      <c r="C48" s="11">
        <f si="0" t="shared"/>
        <v>0</v>
      </c>
      <c r="E48" s="56">
        <v>37</v>
      </c>
      <c r="F48" s="341" t="n">
        <v>169.0</v>
      </c>
      <c r="G48" s="11">
        <f si="1" t="shared"/>
        <v>1.5753008387018354E-3</v>
      </c>
    </row>
    <row r="49" spans="1:7" x14ac:dyDescent="0.25">
      <c r="A49">
        <v>38</v>
      </c>
      <c r="B49" s="339" t="n">
        <v>24.04211</v>
      </c>
      <c r="C49" s="11">
        <f si="0" t="shared"/>
        <v>0</v>
      </c>
      <c r="E49" s="57">
        <v>38</v>
      </c>
      <c r="F49" s="341" t="n">
        <v>172.0</v>
      </c>
      <c r="G49" s="11">
        <f si="1" t="shared"/>
        <v>1.4731980065637534E-3</v>
      </c>
    </row>
    <row r="50" spans="1:7" x14ac:dyDescent="0.25">
      <c r="A50">
        <v>39</v>
      </c>
      <c r="B50" s="339" t="n">
        <v>0.0</v>
      </c>
      <c r="C50" s="11">
        <f si="0" t="shared"/>
        <v>0</v>
      </c>
      <c r="E50" s="58">
        <v>39</v>
      </c>
      <c r="F50" s="341" t="n">
        <v>160.0</v>
      </c>
      <c r="G50" s="11">
        <f si="1" t="shared"/>
        <v>1.3613710951744257E-3</v>
      </c>
    </row>
    <row r="51" spans="1:7" x14ac:dyDescent="0.25">
      <c r="A51">
        <v>40</v>
      </c>
      <c r="B51" s="339" t="n">
        <v>0.0</v>
      </c>
      <c r="C51" s="11">
        <f si="0" t="shared"/>
        <v>0</v>
      </c>
      <c r="E51" s="59">
        <v>40</v>
      </c>
      <c r="F51" s="341" t="n">
        <v>150.0</v>
      </c>
      <c r="G51" s="11">
        <f si="1" t="shared"/>
        <v>1.1182691138932781E-3</v>
      </c>
    </row>
    <row r="52" spans="1:7" x14ac:dyDescent="0.25">
      <c r="A52">
        <v>41</v>
      </c>
      <c r="B52" s="339" t="n">
        <v>706.229286</v>
      </c>
      <c r="C52" s="11">
        <f si="0" t="shared"/>
        <v>4.3135270549354946E-4</v>
      </c>
      <c r="E52" s="60">
        <v>41</v>
      </c>
      <c r="F52" s="341" t="n">
        <v>142.0</v>
      </c>
      <c r="G52" s="11">
        <f si="1" t="shared"/>
        <v>1.0015801628783275E-3</v>
      </c>
    </row>
    <row r="53" spans="1:7" x14ac:dyDescent="0.25">
      <c r="A53">
        <v>42</v>
      </c>
      <c r="B53" s="339" t="n">
        <v>96.541248</v>
      </c>
      <c r="C53" s="11">
        <f si="0" t="shared"/>
        <v>4.068949786512664E-4</v>
      </c>
      <c r="E53" s="61">
        <v>42</v>
      </c>
      <c r="F53" s="341" t="n">
        <v>111.0</v>
      </c>
      <c r="G53" s="11">
        <f si="1" t="shared"/>
        <v>1.0356144402576882E-3</v>
      </c>
    </row>
    <row r="54" spans="1:7" x14ac:dyDescent="0.25">
      <c r="A54">
        <v>43</v>
      </c>
      <c r="B54" s="339" t="n">
        <v>63.887752</v>
      </c>
      <c r="C54" s="11">
        <f si="0" t="shared"/>
        <v>6.5439233985710682E-4</v>
      </c>
      <c r="E54" s="62">
        <v>43</v>
      </c>
      <c r="F54" s="341" t="n">
        <v>139.0</v>
      </c>
      <c r="G54" s="11">
        <f si="1" t="shared"/>
        <v>8.1682265710465544E-4</v>
      </c>
    </row>
    <row r="55" spans="1:7" x14ac:dyDescent="0.25">
      <c r="A55">
        <v>44</v>
      </c>
      <c r="B55" s="339" t="n">
        <v>0.0</v>
      </c>
      <c r="C55" s="11">
        <f si="0" t="shared"/>
        <v>0</v>
      </c>
      <c r="E55" s="63">
        <v>44</v>
      </c>
      <c r="F55" s="341" t="n">
        <v>85.0</v>
      </c>
      <c r="G55" s="11">
        <f si="1" t="shared"/>
        <v>7.6334022122280293E-4</v>
      </c>
    </row>
    <row r="56" spans="1:7" x14ac:dyDescent="0.25">
      <c r="A56">
        <v>45</v>
      </c>
      <c r="B56" s="339" t="n">
        <v>0.0</v>
      </c>
      <c r="C56" s="11">
        <f si="0" t="shared"/>
        <v>0</v>
      </c>
      <c r="E56" s="64">
        <v>45</v>
      </c>
      <c r="F56" s="341" t="n">
        <v>104.0</v>
      </c>
      <c r="G56" s="11">
        <f si="1" t="shared"/>
        <v>6.61237389084721E-4</v>
      </c>
    </row>
    <row r="57" spans="1:7" x14ac:dyDescent="0.25">
      <c r="A57">
        <v>46</v>
      </c>
      <c r="B57" s="339" t="n">
        <v>61.176273</v>
      </c>
      <c r="C57" s="11">
        <f si="0" t="shared"/>
        <v>0</v>
      </c>
      <c r="E57" s="65">
        <v>46</v>
      </c>
      <c r="F57" s="341" t="n">
        <v>61.0</v>
      </c>
      <c r="G57" s="11">
        <f si="1" t="shared"/>
        <v>5.4941047769539318E-4</v>
      </c>
    </row>
    <row r="58" spans="1:7" x14ac:dyDescent="0.25">
      <c r="A58">
        <v>47</v>
      </c>
      <c r="B58" s="339" t="n">
        <v>0.0</v>
      </c>
      <c r="C58" s="11">
        <f si="0" t="shared"/>
        <v>1.7052467077392558E-4</v>
      </c>
      <c r="E58" s="66">
        <v>47</v>
      </c>
      <c r="F58" s="341" t="n">
        <v>88.0</v>
      </c>
      <c r="G58" s="11">
        <f si="1" t="shared"/>
        <v>5.396863984441473E-4</v>
      </c>
    </row>
    <row r="59" spans="1:7" x14ac:dyDescent="0.25">
      <c r="A59">
        <v>48</v>
      </c>
      <c r="B59" s="339" t="n">
        <v>0.0</v>
      </c>
      <c r="C59" s="11">
        <f si="0" t="shared"/>
        <v>0</v>
      </c>
      <c r="E59" s="67">
        <v>48</v>
      </c>
      <c r="F59" s="341" t="n">
        <v>66.0</v>
      </c>
      <c r="G59" s="11">
        <f si="1" t="shared"/>
        <v>5.396863984441473E-4</v>
      </c>
    </row>
    <row r="60" spans="1:7" x14ac:dyDescent="0.25">
      <c r="A60">
        <v>49</v>
      </c>
      <c r="B60" s="339" t="n">
        <v>0.0</v>
      </c>
      <c r="C60" s="11">
        <f si="0" t="shared"/>
        <v>0</v>
      </c>
      <c r="E60" s="68">
        <v>49</v>
      </c>
      <c r="F60" s="341" t="n">
        <v>56.0</v>
      </c>
      <c r="G60" s="11">
        <f si="1" t="shared"/>
        <v>3.7923909079859002E-4</v>
      </c>
    </row>
    <row r="61" spans="1:7" x14ac:dyDescent="0.25">
      <c r="A61">
        <v>50</v>
      </c>
      <c r="B61" s="339" t="n">
        <v>0.0</v>
      </c>
      <c r="C61" s="11">
        <f si="0" t="shared"/>
        <v>0</v>
      </c>
      <c r="E61" s="69">
        <v>50</v>
      </c>
      <c r="F61" s="341" t="n">
        <v>59.0</v>
      </c>
      <c r="G61" s="11">
        <f si="1" t="shared"/>
        <v>3.7437705117296708E-4</v>
      </c>
    </row>
    <row r="62" spans="1:7" x14ac:dyDescent="0.25">
      <c r="A62">
        <v>51</v>
      </c>
      <c r="B62" s="339" t="n">
        <v>0.0</v>
      </c>
      <c r="C62" s="11">
        <f si="0" t="shared"/>
        <v>0</v>
      </c>
      <c r="E62" s="70">
        <v>51</v>
      </c>
      <c r="F62" s="341" t="n">
        <v>52.0</v>
      </c>
      <c r="G62" s="11">
        <f si="1" t="shared"/>
        <v>2.8199829828613103E-4</v>
      </c>
    </row>
    <row r="63" spans="1:7" x14ac:dyDescent="0.25">
      <c r="A63">
        <v>52</v>
      </c>
      <c r="B63" s="339" t="n">
        <v>0.0</v>
      </c>
      <c r="C63" s="11">
        <f si="0" t="shared"/>
        <v>1.8801429000667443E-4</v>
      </c>
      <c r="E63" s="71">
        <v>52</v>
      </c>
      <c r="F63" s="341" t="n">
        <v>80.0</v>
      </c>
      <c r="G63" s="11">
        <f si="1" t="shared"/>
        <v>3.4034277379360644E-4</v>
      </c>
    </row>
    <row r="64" spans="1:7" x14ac:dyDescent="0.25">
      <c r="A64">
        <v>53</v>
      </c>
      <c r="B64" s="339" t="n">
        <v>0.0</v>
      </c>
      <c r="C64" s="11">
        <f si="0" t="shared"/>
        <v>0</v>
      </c>
      <c r="E64" s="72">
        <v>53</v>
      </c>
      <c r="F64" s="341" t="n">
        <v>49.0</v>
      </c>
      <c r="G64" s="11">
        <f si="1" t="shared"/>
        <v>2.4796402090677039E-4</v>
      </c>
    </row>
    <row r="65" spans="1:7" x14ac:dyDescent="0.25">
      <c r="A65">
        <v>54</v>
      </c>
      <c r="B65" s="339" t="n">
        <v>0.0</v>
      </c>
      <c r="C65" s="11">
        <f si="0" t="shared"/>
        <v>0</v>
      </c>
      <c r="E65" s="73">
        <v>54</v>
      </c>
      <c r="F65" s="341" t="n">
        <v>33.0</v>
      </c>
      <c r="G65" s="11">
        <f si="1" t="shared"/>
        <v>1.6530934727118025E-4</v>
      </c>
    </row>
    <row r="66" spans="1:7" x14ac:dyDescent="0.25">
      <c r="A66">
        <v>55</v>
      </c>
      <c r="B66" s="339" t="n">
        <v>0.0</v>
      </c>
      <c r="C66" s="11">
        <f si="0" t="shared"/>
        <v>0</v>
      </c>
      <c r="E66" s="74">
        <v>55</v>
      </c>
      <c r="F66" s="341" t="n">
        <v>67.0</v>
      </c>
      <c r="G66" s="11">
        <f si="1" t="shared"/>
        <v>1.9934362465054089E-4</v>
      </c>
    </row>
    <row r="67" spans="1:7" x14ac:dyDescent="0.25">
      <c r="A67">
        <v>56</v>
      </c>
      <c r="B67" s="339" t="n">
        <v>0.0</v>
      </c>
      <c r="C67" s="11">
        <f si="0" t="shared"/>
        <v>0</v>
      </c>
      <c r="E67" s="75">
        <v>56</v>
      </c>
      <c r="F67" s="341" t="n">
        <v>54.0</v>
      </c>
      <c r="G67" s="11">
        <f si="1" t="shared"/>
        <v>1.9934362465054089E-4</v>
      </c>
    </row>
    <row r="68" spans="1:7" x14ac:dyDescent="0.25">
      <c r="A68">
        <v>57</v>
      </c>
      <c r="B68" s="339" t="n">
        <v>0.0</v>
      </c>
      <c r="C68" s="11">
        <f si="0" t="shared"/>
        <v>0</v>
      </c>
      <c r="E68" s="76">
        <v>57</v>
      </c>
      <c r="F68" s="341" t="n">
        <v>26.0</v>
      </c>
      <c r="G68" s="11">
        <f si="1" t="shared"/>
        <v>6.3206515133098332E-5</v>
      </c>
    </row>
    <row r="69" spans="1:7" x14ac:dyDescent="0.25">
      <c r="A69">
        <v>58</v>
      </c>
      <c r="B69" s="339" t="n">
        <v>0.0</v>
      </c>
      <c r="C69" s="11">
        <f si="0" t="shared"/>
        <v>0</v>
      </c>
      <c r="E69" s="77">
        <v>58</v>
      </c>
      <c r="F69" s="341" t="n">
        <v>35.0</v>
      </c>
      <c r="G69" s="11">
        <f si="1" t="shared"/>
        <v>1.3613710951744257E-4</v>
      </c>
    </row>
    <row r="70" spans="1:7" x14ac:dyDescent="0.25">
      <c r="A70">
        <v>59</v>
      </c>
      <c r="B70" s="339" t="n">
        <v>0.0</v>
      </c>
      <c r="C70" s="11">
        <f si="0" t="shared"/>
        <v>0</v>
      </c>
      <c r="E70" s="78">
        <v>59</v>
      </c>
      <c r="F70" s="341" t="n">
        <v>79.0</v>
      </c>
      <c r="G70" s="11">
        <f si="1" t="shared"/>
        <v>1.4099914914306552E-4</v>
      </c>
    </row>
    <row r="71" spans="1:7" x14ac:dyDescent="0.25">
      <c r="A71">
        <v>60</v>
      </c>
      <c r="B71" s="339" t="n">
        <v>0.0</v>
      </c>
      <c r="C71" s="11">
        <f si="0" t="shared"/>
        <v>5.191064136456444E-4</v>
      </c>
      <c r="E71" s="79">
        <v>60</v>
      </c>
      <c r="F71" s="341" t="n">
        <v>32.0</v>
      </c>
      <c r="G71" s="11">
        <f si="1" t="shared"/>
        <v>1.5558526801993437E-4</v>
      </c>
    </row>
    <row r="72" spans="1:7" x14ac:dyDescent="0.25">
      <c r="A72">
        <v>61</v>
      </c>
      <c r="B72" s="339" t="n">
        <v>0.0</v>
      </c>
      <c r="C72" s="11">
        <f si="0" t="shared"/>
        <v>0</v>
      </c>
      <c r="E72" s="80">
        <v>61</v>
      </c>
      <c r="F72" s="341" t="n">
        <v>34.0</v>
      </c>
      <c r="G72" s="11">
        <f si="1" t="shared"/>
        <v>1.0696487176370487E-4</v>
      </c>
    </row>
    <row r="73" spans="1:7" x14ac:dyDescent="0.25">
      <c r="A73">
        <v>62</v>
      </c>
      <c r="B73" s="339" t="n">
        <v>0.0</v>
      </c>
      <c r="C73" s="11">
        <f si="0" t="shared"/>
        <v>0</v>
      </c>
      <c r="E73" s="81">
        <v>62</v>
      </c>
      <c r="F73" s="341" t="n">
        <v>17.0</v>
      </c>
      <c r="G73" s="11">
        <f si="1" t="shared"/>
        <v>7.2930594384344228E-5</v>
      </c>
    </row>
    <row r="74" spans="1:7" x14ac:dyDescent="0.25">
      <c r="A74">
        <v>63</v>
      </c>
      <c r="B74" s="339" t="n">
        <v>0.0</v>
      </c>
      <c r="C74" s="11">
        <f si="0" t="shared"/>
        <v>0</v>
      </c>
      <c r="E74" s="82">
        <v>63</v>
      </c>
      <c r="F74" s="341" t="n">
        <v>33.0</v>
      </c>
      <c r="G74" s="11">
        <f si="1" t="shared"/>
        <v>6.8068554758721287E-5</v>
      </c>
    </row>
    <row r="75" spans="1:7" x14ac:dyDescent="0.25">
      <c r="A75">
        <v>64</v>
      </c>
      <c r="B75" s="339" t="n">
        <v>0.0</v>
      </c>
      <c r="C75" s="11">
        <f si="0" t="shared"/>
        <v>0</v>
      </c>
      <c r="E75" s="83">
        <v>64</v>
      </c>
      <c r="F75" s="341" t="n">
        <v>42.0</v>
      </c>
      <c r="G75" s="11">
        <f si="1" t="shared"/>
        <v>2.4310198128114744E-5</v>
      </c>
    </row>
    <row r="76" spans="1:7" x14ac:dyDescent="0.25">
      <c r="A76">
        <v>65</v>
      </c>
      <c r="B76" s="339" t="n">
        <v>0.0</v>
      </c>
      <c r="C76" s="11">
        <f si="0" t="shared"/>
        <v>0</v>
      </c>
      <c r="E76" s="84">
        <v>65</v>
      </c>
      <c r="F76" s="341" t="n">
        <v>16.0</v>
      </c>
      <c r="G76" s="11">
        <f si="1" t="shared"/>
        <v>6.3206515133098332E-5</v>
      </c>
    </row>
    <row r="77" spans="1:7" x14ac:dyDescent="0.25">
      <c r="A77">
        <v>66</v>
      </c>
      <c r="B77" s="339" t="n">
        <v>0.0</v>
      </c>
      <c r="C77" s="11">
        <f ref="C77:C102" si="2" t="shared">B77/B$102</f>
        <v>0</v>
      </c>
      <c r="E77" s="85">
        <v>66</v>
      </c>
      <c r="F77" s="341" t="n">
        <v>41.0</v>
      </c>
      <c r="G77" s="11">
        <f ref="G77:G102" si="3" t="shared">F77/F$102</f>
        <v>2.9172237753737692E-5</v>
      </c>
    </row>
    <row r="78" spans="1:7" x14ac:dyDescent="0.25">
      <c r="A78">
        <v>67</v>
      </c>
      <c r="B78" s="339" t="n">
        <v>0.0</v>
      </c>
      <c r="C78" s="11">
        <f si="2" t="shared"/>
        <v>4.7817295555377539E-4</v>
      </c>
      <c r="E78" s="86">
        <v>67</v>
      </c>
      <c r="F78" s="341" t="n">
        <v>70.0</v>
      </c>
      <c r="G78" s="11">
        <f si="3" t="shared"/>
        <v>4.8620396256229488E-5</v>
      </c>
    </row>
    <row r="79" spans="1:7" x14ac:dyDescent="0.25">
      <c r="A79">
        <v>68</v>
      </c>
      <c r="B79" s="339" t="n">
        <v>0.0</v>
      </c>
      <c r="C79" s="11">
        <f si="2" t="shared"/>
        <v>0</v>
      </c>
      <c r="E79" s="87">
        <v>68</v>
      </c>
      <c r="F79" s="341" t="n">
        <v>22.0</v>
      </c>
      <c r="G79" s="11">
        <f si="3" t="shared"/>
        <v>2.4310198128114744E-5</v>
      </c>
    </row>
    <row r="80" spans="1:7" x14ac:dyDescent="0.25">
      <c r="A80">
        <v>69</v>
      </c>
      <c r="B80" s="339" t="n">
        <v>0.0</v>
      </c>
      <c r="C80" s="11">
        <f si="2" t="shared"/>
        <v>0</v>
      </c>
      <c r="E80" s="88">
        <v>69</v>
      </c>
      <c r="F80" s="341" t="n">
        <v>12.0</v>
      </c>
      <c r="G80" s="11">
        <f si="3" t="shared"/>
        <v>2.9172237753737692E-5</v>
      </c>
    </row>
    <row r="81" spans="1:7" x14ac:dyDescent="0.25">
      <c r="A81">
        <v>70</v>
      </c>
      <c r="B81" s="339" t="n">
        <v>0.0</v>
      </c>
      <c r="C81" s="11">
        <f si="2" t="shared"/>
        <v>0</v>
      </c>
      <c r="E81" s="89">
        <v>70</v>
      </c>
      <c r="F81" s="341" t="n">
        <v>19.0</v>
      </c>
      <c r="G81" s="11">
        <f si="3" t="shared"/>
        <v>2.9172237753737692E-5</v>
      </c>
    </row>
    <row r="82" spans="1:7" x14ac:dyDescent="0.25">
      <c r="A82">
        <v>71</v>
      </c>
      <c r="B82" s="339" t="n">
        <v>0.0</v>
      </c>
      <c r="C82" s="11">
        <f si="2" t="shared"/>
        <v>0</v>
      </c>
      <c r="E82" s="90">
        <v>71</v>
      </c>
      <c r="F82" s="341" t="n">
        <v>14.0</v>
      </c>
      <c r="G82" s="11">
        <f si="3" t="shared"/>
        <v>3.4034277379360644E-5</v>
      </c>
    </row>
    <row r="83" spans="1:7" x14ac:dyDescent="0.25">
      <c r="A83">
        <v>72</v>
      </c>
      <c r="B83" s="339" t="n">
        <v>0.0</v>
      </c>
      <c r="C83" s="11">
        <f si="2" t="shared"/>
        <v>0</v>
      </c>
      <c r="E83" s="91">
        <v>72</v>
      </c>
      <c r="F83" s="341" t="n">
        <v>13.0</v>
      </c>
      <c r="G83" s="11">
        <f si="3" t="shared"/>
        <v>1.4586118876868846E-5</v>
      </c>
    </row>
    <row r="84" spans="1:7" x14ac:dyDescent="0.25">
      <c r="A84">
        <v>73</v>
      </c>
      <c r="B84" s="339" t="n">
        <v>0.0</v>
      </c>
      <c r="C84" s="11">
        <f si="2" t="shared"/>
        <v>0</v>
      </c>
      <c r="E84" s="92">
        <v>73</v>
      </c>
      <c r="F84" s="341" t="n">
        <v>29.0</v>
      </c>
      <c r="G84" s="11">
        <f si="3" t="shared"/>
        <v>2.4310198128114744E-5</v>
      </c>
    </row>
    <row r="85" spans="1:7" x14ac:dyDescent="0.25">
      <c r="A85">
        <v>74</v>
      </c>
      <c r="B85" s="339" t="n">
        <v>0.0</v>
      </c>
      <c r="C85" s="11">
        <f si="2" t="shared"/>
        <v>0</v>
      </c>
      <c r="E85" s="93">
        <v>74</v>
      </c>
      <c r="F85" s="341" t="n">
        <v>27.0</v>
      </c>
      <c r="G85" s="11">
        <f si="3" t="shared"/>
        <v>4.862039625622949E-6</v>
      </c>
    </row>
    <row r="86" spans="1:7" x14ac:dyDescent="0.25">
      <c r="A86">
        <v>75</v>
      </c>
      <c r="B86" s="339" t="n">
        <v>0.0</v>
      </c>
      <c r="C86" s="11">
        <f si="2" t="shared"/>
        <v>0</v>
      </c>
      <c r="E86" s="94">
        <v>75</v>
      </c>
      <c r="F86" s="341" t="n">
        <v>17.0</v>
      </c>
      <c r="G86" s="11">
        <f si="3" t="shared"/>
        <v>9.7240792512458979E-6</v>
      </c>
    </row>
    <row r="87" spans="1:7" x14ac:dyDescent="0.25">
      <c r="A87">
        <v>76</v>
      </c>
      <c r="B87" s="339" t="n">
        <v>0.0</v>
      </c>
      <c r="C87" s="11">
        <f si="2" t="shared"/>
        <v>0</v>
      </c>
      <c r="E87" s="95">
        <v>76</v>
      </c>
      <c r="F87" s="341" t="n">
        <v>11.0</v>
      </c>
      <c r="G87" s="11">
        <f si="3" t="shared"/>
        <v>9.7240792512458979E-6</v>
      </c>
    </row>
    <row r="88" spans="1:7" x14ac:dyDescent="0.25">
      <c r="A88">
        <v>77</v>
      </c>
      <c r="B88" s="339" t="n">
        <v>0.0</v>
      </c>
      <c r="C88" s="11">
        <f si="2" t="shared"/>
        <v>0</v>
      </c>
      <c r="E88" s="96">
        <v>77</v>
      </c>
      <c r="F88" s="341" t="n">
        <v>5.0</v>
      </c>
      <c r="G88" s="11">
        <f si="3" t="shared"/>
        <v>4.862039625622949E-6</v>
      </c>
    </row>
    <row r="89" spans="1:7" x14ac:dyDescent="0.25">
      <c r="A89">
        <v>78</v>
      </c>
      <c r="B89" s="339" t="n">
        <v>0.0</v>
      </c>
      <c r="C89" s="11">
        <f si="2" t="shared"/>
        <v>0</v>
      </c>
      <c r="E89" s="97">
        <v>78</v>
      </c>
      <c r="F89" s="341" t="n">
        <v>16.0</v>
      </c>
      <c r="G89" s="11">
        <f si="3" t="shared"/>
        <v>4.862039625622949E-6</v>
      </c>
    </row>
    <row r="90" spans="1:7" x14ac:dyDescent="0.25">
      <c r="A90">
        <v>79</v>
      </c>
      <c r="B90" s="339" t="n">
        <v>0.0</v>
      </c>
      <c r="C90" s="11">
        <f si="2" t="shared"/>
        <v>0</v>
      </c>
      <c r="E90" s="98">
        <v>79</v>
      </c>
      <c r="F90" s="341" t="n">
        <v>19.0</v>
      </c>
      <c r="G90" s="11">
        <f si="3" t="shared"/>
        <v>1.9448158502491796E-5</v>
      </c>
    </row>
    <row r="91" spans="1:7" x14ac:dyDescent="0.25">
      <c r="A91">
        <v>80</v>
      </c>
      <c r="B91" s="339" t="n">
        <v>0.0</v>
      </c>
      <c r="C91" s="11">
        <f si="2" t="shared"/>
        <v>0</v>
      </c>
      <c r="E91" s="99">
        <v>80</v>
      </c>
      <c r="F91" s="341" t="n">
        <v>17.0</v>
      </c>
      <c r="G91" s="11">
        <f si="3" t="shared"/>
        <v>9.7240792512458979E-6</v>
      </c>
    </row>
    <row r="92" spans="1:7" x14ac:dyDescent="0.25">
      <c r="A92">
        <v>81</v>
      </c>
      <c r="B92" s="339" t="n">
        <v>0.0</v>
      </c>
      <c r="C92" s="11">
        <f si="2" t="shared"/>
        <v>0</v>
      </c>
      <c r="E92" s="100">
        <v>81</v>
      </c>
      <c r="F92" s="341" t="n">
        <v>11.0</v>
      </c>
      <c r="G92" s="11">
        <f si="3" t="shared"/>
        <v>0</v>
      </c>
    </row>
    <row r="93" spans="1:7" x14ac:dyDescent="0.25">
      <c r="A93">
        <v>82</v>
      </c>
      <c r="B93" s="339" t="n">
        <v>0.0</v>
      </c>
      <c r="C93" s="11">
        <f si="2" t="shared"/>
        <v>0</v>
      </c>
      <c r="E93" s="101">
        <v>82</v>
      </c>
      <c r="F93" s="341" t="n">
        <v>13.0</v>
      </c>
      <c r="G93" s="11">
        <f si="3" t="shared"/>
        <v>0</v>
      </c>
    </row>
    <row r="94" spans="1:7" x14ac:dyDescent="0.25">
      <c r="A94">
        <v>83</v>
      </c>
      <c r="B94" s="339" t="n">
        <v>0.0</v>
      </c>
      <c r="C94" s="11">
        <f si="2" t="shared"/>
        <v>0</v>
      </c>
      <c r="E94" s="102">
        <v>83</v>
      </c>
      <c r="F94" s="341" t="n">
        <v>34.0</v>
      </c>
      <c r="G94" s="11">
        <f si="3" t="shared"/>
        <v>9.7240792512458979E-6</v>
      </c>
    </row>
    <row r="95" spans="1:7" x14ac:dyDescent="0.25">
      <c r="A95">
        <v>84</v>
      </c>
      <c r="B95" s="339" t="n">
        <v>0.0</v>
      </c>
      <c r="C95" s="11">
        <f si="2" t="shared"/>
        <v>0</v>
      </c>
      <c r="E95" s="103">
        <v>84</v>
      </c>
      <c r="F95" s="341" t="n">
        <v>5.0</v>
      </c>
      <c r="G95" s="11">
        <f si="3" t="shared"/>
        <v>0</v>
      </c>
    </row>
    <row r="96" spans="1:7" x14ac:dyDescent="0.25">
      <c r="A96">
        <v>85</v>
      </c>
      <c r="B96" s="339" t="n">
        <v>0.0</v>
      </c>
      <c r="C96" s="11">
        <f si="2" t="shared"/>
        <v>0</v>
      </c>
      <c r="E96" s="104">
        <v>85</v>
      </c>
      <c r="F96" s="341" t="n">
        <v>21.0</v>
      </c>
      <c r="G96" s="11">
        <f si="3" t="shared"/>
        <v>0</v>
      </c>
    </row>
    <row r="97" spans="1:7" x14ac:dyDescent="0.25">
      <c r="A97">
        <v>86</v>
      </c>
      <c r="B97" s="339" t="n">
        <v>0.0</v>
      </c>
      <c r="C97" s="11">
        <f si="2" t="shared"/>
        <v>0</v>
      </c>
      <c r="E97" s="105">
        <v>86</v>
      </c>
      <c r="F97" s="341" t="n">
        <v>21.0</v>
      </c>
      <c r="G97" s="11">
        <f si="3" t="shared"/>
        <v>0</v>
      </c>
    </row>
    <row r="98" spans="1:7" x14ac:dyDescent="0.25">
      <c r="A98">
        <v>87</v>
      </c>
      <c r="B98" s="339" t="n">
        <v>0.0</v>
      </c>
      <c r="C98" s="11">
        <f si="2" t="shared"/>
        <v>0</v>
      </c>
      <c r="E98" s="106">
        <v>87</v>
      </c>
      <c r="F98" s="341" t="n">
        <v>22.0</v>
      </c>
      <c r="G98" s="11">
        <f si="3" t="shared"/>
        <v>4.862039625622949E-6</v>
      </c>
    </row>
    <row r="99" spans="1:7" x14ac:dyDescent="0.25">
      <c r="A99">
        <v>88</v>
      </c>
      <c r="B99" s="339" t="n">
        <v>0.0</v>
      </c>
      <c r="C99" s="11">
        <f si="2" t="shared"/>
        <v>0</v>
      </c>
      <c r="E99" s="107">
        <v>88</v>
      </c>
      <c r="F99" s="341" t="n">
        <v>23.0</v>
      </c>
      <c r="G99" s="11">
        <f si="3" t="shared"/>
        <v>0</v>
      </c>
    </row>
    <row r="100" spans="1:7" x14ac:dyDescent="0.25">
      <c r="A100">
        <v>89</v>
      </c>
      <c r="B100" s="339" t="n">
        <v>0.0</v>
      </c>
      <c r="C100" s="11">
        <f si="2" t="shared"/>
        <v>0</v>
      </c>
      <c r="E100" s="108">
        <v>89</v>
      </c>
      <c r="F100" s="341" t="n">
        <v>16.0</v>
      </c>
      <c r="G100" s="11">
        <f si="3" t="shared"/>
        <v>0</v>
      </c>
    </row>
    <row ht="15.75" r="101" spans="1:7" thickBot="1" x14ac:dyDescent="0.3">
      <c r="A101" s="1">
        <v>90</v>
      </c>
      <c r="B101" s="340" t="n">
        <v>0.0</v>
      </c>
      <c r="C101" s="11">
        <f si="2" t="shared"/>
        <v>0</v>
      </c>
      <c r="E101" s="292">
        <v>90</v>
      </c>
      <c r="F101" s="342" t="n">
        <v>361.0</v>
      </c>
      <c r="G101" s="11">
        <f si="3" t="shared"/>
        <v>0</v>
      </c>
    </row>
    <row r="102" spans="1:7" x14ac:dyDescent="0.25">
      <c r="B102" s="339">
        <f>SUM(B11:B101)</f>
        <v>169826.45307900003</v>
      </c>
      <c r="C102" s="11">
        <f si="2" t="shared"/>
        <v>1</v>
      </c>
      <c r="F102" s="339">
        <f>SUM(F11:F101)</f>
        <v>205675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29" sqref="K2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0.10534228102071919</v>
      </c>
      <c r="E11" s="109">
        <v>0</v>
      </c>
      <c r="F11" s="199" t="n">
        <v>7253.0</v>
      </c>
      <c r="G11" s="11">
        <f>F11/F$102</f>
        <v>6.3901786799562418E-2</v>
      </c>
      <c r="K11" s="8" t="n">
        <v>14.082811592553682</v>
      </c>
      <c r="L11" s="8" t="n">
        <v>16.484923082946324</v>
      </c>
    </row>
    <row r="12" spans="1:12" x14ac:dyDescent="0.25">
      <c r="A12">
        <v>1</v>
      </c>
      <c r="B12" s="8" t="n">
        <v>0.0</v>
      </c>
      <c r="C12" s="11">
        <f>B12/B$102</f>
        <v>0.15640886790259759</v>
      </c>
      <c r="E12" s="110">
        <v>1</v>
      </c>
      <c r="F12" s="200" t="n">
        <v>3981.0</v>
      </c>
      <c r="G12" s="11">
        <f>F12/F$102</f>
        <v>0.11258538957092501</v>
      </c>
      <c r="K12" s="8"/>
      <c r="L12" s="290"/>
    </row>
    <row r="13" spans="1:12" x14ac:dyDescent="0.25">
      <c r="A13">
        <v>2</v>
      </c>
      <c r="B13" s="8" t="n">
        <v>2508.653911</v>
      </c>
      <c r="C13" s="11">
        <f ref="C13:C76" si="0" t="shared">B13/B$102</f>
        <v>6.4195692692990178E-2</v>
      </c>
      <c r="E13" s="111">
        <v>2</v>
      </c>
      <c r="F13" s="201" t="n">
        <v>3104.0</v>
      </c>
      <c r="G13" s="11">
        <f ref="G13:G76" si="1" t="shared">F13/F$102</f>
        <v>9.8431992220736605E-2</v>
      </c>
    </row>
    <row r="14" spans="1:12" x14ac:dyDescent="0.25">
      <c r="A14">
        <v>3</v>
      </c>
      <c r="B14" s="8" t="n">
        <v>15508.087464</v>
      </c>
      <c r="C14" s="11">
        <f si="0" t="shared"/>
        <v>7.7070102605931834E-2</v>
      </c>
      <c r="E14" s="112">
        <v>3</v>
      </c>
      <c r="F14" s="202" t="n">
        <v>4727.0</v>
      </c>
      <c r="G14" s="11">
        <f si="1" t="shared"/>
        <v>8.3860459462744619E-2</v>
      </c>
    </row>
    <row r="15" spans="1:12" x14ac:dyDescent="0.25">
      <c r="A15">
        <v>4</v>
      </c>
      <c r="B15" s="8" t="n">
        <v>10196.723351</v>
      </c>
      <c r="C15" s="11">
        <f si="0" t="shared"/>
        <v>4.2832828744390053E-2</v>
      </c>
      <c r="E15" s="113">
        <v>4</v>
      </c>
      <c r="F15" s="203" t="n">
        <v>7832.0</v>
      </c>
      <c r="G15" s="11">
        <f si="1" t="shared"/>
        <v>7.3232040841132856E-2</v>
      </c>
    </row>
    <row r="16" spans="1:12" x14ac:dyDescent="0.25">
      <c r="A16">
        <v>5</v>
      </c>
      <c r="B16" s="8" t="n">
        <v>11857.093259</v>
      </c>
      <c r="C16" s="11">
        <f si="0" t="shared"/>
        <v>5.5382895982787499E-2</v>
      </c>
      <c r="E16" s="114">
        <v>5</v>
      </c>
      <c r="F16" s="204" t="n">
        <v>11310.0</v>
      </c>
      <c r="G16" s="11">
        <f si="1" t="shared"/>
        <v>6.5720189619545399E-2</v>
      </c>
    </row>
    <row r="17" spans="1:7" x14ac:dyDescent="0.25">
      <c r="A17">
        <v>6</v>
      </c>
      <c r="B17" s="8" t="n">
        <v>9489.180559</v>
      </c>
      <c r="C17" s="11">
        <f si="0" t="shared"/>
        <v>4.8202821654598035E-2</v>
      </c>
      <c r="E17" s="115">
        <v>6</v>
      </c>
      <c r="F17" s="205" t="n">
        <v>13590.0</v>
      </c>
      <c r="G17" s="11">
        <f si="1" t="shared"/>
        <v>5.8368785705603499E-2</v>
      </c>
    </row>
    <row r="18" spans="1:7" x14ac:dyDescent="0.25">
      <c r="A18">
        <v>7</v>
      </c>
      <c r="B18" s="8" t="n">
        <v>14086.84393</v>
      </c>
      <c r="C18" s="11">
        <f si="0" t="shared"/>
        <v>3.9323261299542431E-2</v>
      </c>
      <c r="E18" s="116">
        <v>7</v>
      </c>
      <c r="F18" s="206" t="n">
        <v>14103.0</v>
      </c>
      <c r="G18" s="11">
        <f si="1" t="shared"/>
        <v>5.1007657712410358E-2</v>
      </c>
    </row>
    <row r="19" spans="1:7" x14ac:dyDescent="0.25">
      <c r="A19">
        <v>8</v>
      </c>
      <c r="B19" s="8" t="n">
        <v>11561.365066</v>
      </c>
      <c r="C19" s="11">
        <f si="0" t="shared"/>
        <v>4.7777235783318148E-2</v>
      </c>
      <c r="E19" s="117">
        <v>8</v>
      </c>
      <c r="F19" s="207" t="n">
        <v>14422.0</v>
      </c>
      <c r="G19" s="11">
        <f si="1" t="shared"/>
        <v>4.3476358332320407E-2</v>
      </c>
    </row>
    <row r="20" spans="1:7" x14ac:dyDescent="0.25">
      <c r="A20">
        <v>9</v>
      </c>
      <c r="B20" s="8" t="n">
        <v>16865.368589</v>
      </c>
      <c r="C20" s="11">
        <f si="0" t="shared"/>
        <v>2.6392912109604968E-2</v>
      </c>
      <c r="E20" s="118">
        <v>9</v>
      </c>
      <c r="F20" s="208" t="n">
        <v>13315.0</v>
      </c>
      <c r="G20" s="11">
        <f si="1" t="shared"/>
        <v>3.6163850735383495E-2</v>
      </c>
    </row>
    <row r="21" spans="1:7" x14ac:dyDescent="0.25">
      <c r="A21">
        <v>10</v>
      </c>
      <c r="B21" s="8" t="n">
        <v>7873.777475</v>
      </c>
      <c r="C21" s="11">
        <f si="0" t="shared"/>
        <v>1.3129636535262021E-2</v>
      </c>
      <c r="E21" s="119">
        <v>10</v>
      </c>
      <c r="F21" s="209" t="n">
        <v>12287.0</v>
      </c>
      <c r="G21" s="11">
        <f si="1" t="shared"/>
        <v>2.9318098942506383E-2</v>
      </c>
    </row>
    <row r="22" spans="1:7" x14ac:dyDescent="0.25">
      <c r="A22">
        <v>11</v>
      </c>
      <c r="B22" s="8" t="n">
        <v>11701.923836</v>
      </c>
      <c r="C22" s="11">
        <f si="0" t="shared"/>
        <v>3.767206382167039E-2</v>
      </c>
      <c r="E22" s="120">
        <v>11</v>
      </c>
      <c r="F22" s="210" t="n">
        <v>11468.0</v>
      </c>
      <c r="G22" s="11">
        <f si="1" t="shared"/>
        <v>2.4480369515011546E-2</v>
      </c>
    </row>
    <row r="23" spans="1:7" x14ac:dyDescent="0.25">
      <c r="A23">
        <v>12</v>
      </c>
      <c r="B23" s="8" t="n">
        <v>8346.066731</v>
      </c>
      <c r="C23" s="11">
        <f si="0" t="shared"/>
        <v>1.9422401906172001E-2</v>
      </c>
      <c r="E23" s="121">
        <v>12</v>
      </c>
      <c r="F23" s="211" t="n">
        <v>10025.0</v>
      </c>
      <c r="G23" s="11">
        <f si="1" t="shared"/>
        <v>2.0527531299380088E-2</v>
      </c>
    </row>
    <row r="24" spans="1:7" x14ac:dyDescent="0.25">
      <c r="A24">
        <v>13</v>
      </c>
      <c r="B24" s="8" t="n">
        <v>7197.837744</v>
      </c>
      <c r="C24" s="11">
        <f si="0" t="shared"/>
        <v>1.659906035185622E-2</v>
      </c>
      <c r="E24" s="122">
        <v>13</v>
      </c>
      <c r="F24" s="212" t="n">
        <v>8921.0</v>
      </c>
      <c r="G24" s="11">
        <f si="1" t="shared"/>
        <v>1.6239212349580649E-2</v>
      </c>
    </row>
    <row r="25" spans="1:7" x14ac:dyDescent="0.25">
      <c r="A25">
        <v>14</v>
      </c>
      <c r="B25" s="8" t="n">
        <v>5149.200021</v>
      </c>
      <c r="C25" s="11">
        <f si="0" t="shared"/>
        <v>1.7124590982578885E-2</v>
      </c>
      <c r="E25" s="123">
        <v>14</v>
      </c>
      <c r="F25" s="213" t="n">
        <v>7772.0</v>
      </c>
      <c r="G25" s="11">
        <f si="1" t="shared"/>
        <v>1.5174425671569224E-2</v>
      </c>
    </row>
    <row r="26" spans="1:7" x14ac:dyDescent="0.25">
      <c r="A26">
        <v>15</v>
      </c>
      <c r="B26" s="8" t="n">
        <v>2498.471967</v>
      </c>
      <c r="C26" s="11">
        <f si="0" t="shared"/>
        <v>2.1988531111009579E-2</v>
      </c>
      <c r="E26" s="124">
        <v>15</v>
      </c>
      <c r="F26" s="214" t="n">
        <v>6328.0</v>
      </c>
      <c r="G26" s="11">
        <f si="1" t="shared"/>
        <v>1.4834082897775616E-2</v>
      </c>
    </row>
    <row r="27" spans="1:7" x14ac:dyDescent="0.25">
      <c r="A27">
        <v>16</v>
      </c>
      <c r="B27" s="8" t="n">
        <v>5347.768749</v>
      </c>
      <c r="C27" s="11">
        <f si="0" t="shared"/>
        <v>1.531716084177972E-2</v>
      </c>
      <c r="E27" s="125">
        <v>16</v>
      </c>
      <c r="F27" s="215" t="n">
        <v>5156.0</v>
      </c>
      <c r="G27" s="11">
        <f si="1" t="shared"/>
        <v>1.3064300474048864E-2</v>
      </c>
    </row>
    <row r="28" spans="1:7" x14ac:dyDescent="0.25">
      <c r="A28">
        <v>17</v>
      </c>
      <c r="B28" s="8" t="n">
        <v>4987.601544</v>
      </c>
      <c r="C28" s="11">
        <f si="0" t="shared"/>
        <v>3.7322431677069334E-2</v>
      </c>
      <c r="E28" s="126">
        <v>17</v>
      </c>
      <c r="F28" s="216" t="n">
        <v>4585.0</v>
      </c>
      <c r="G28" s="11">
        <f si="1" t="shared"/>
        <v>1.2670475264373404E-2</v>
      </c>
    </row>
    <row r="29" spans="1:7" x14ac:dyDescent="0.25">
      <c r="A29">
        <v>18</v>
      </c>
      <c r="B29" s="8" t="n">
        <v>5871.9751400000005</v>
      </c>
      <c r="C29" s="11">
        <f si="0" t="shared"/>
        <v>1.5181989615013762E-2</v>
      </c>
      <c r="E29" s="127">
        <v>18</v>
      </c>
      <c r="F29" s="217" t="n">
        <v>4021.0</v>
      </c>
      <c r="G29" s="11">
        <f si="1" t="shared"/>
        <v>1.2159961103682995E-2</v>
      </c>
    </row>
    <row r="30" spans="1:7" x14ac:dyDescent="0.25">
      <c r="A30">
        <v>19</v>
      </c>
      <c r="B30" s="8" t="n">
        <v>3529.526238</v>
      </c>
      <c r="C30" s="11">
        <f si="0" t="shared"/>
        <v>1.7542413675766692E-2</v>
      </c>
      <c r="E30" s="128">
        <v>19</v>
      </c>
      <c r="F30" s="218" t="n">
        <v>3381.0</v>
      </c>
      <c r="G30" s="11">
        <f si="1" t="shared"/>
        <v>1.261213078886593E-2</v>
      </c>
    </row>
    <row r="31" spans="1:7" x14ac:dyDescent="0.25">
      <c r="A31">
        <v>20</v>
      </c>
      <c r="B31" s="8" t="n">
        <v>1176.774456</v>
      </c>
      <c r="C31" s="11">
        <f si="0" t="shared"/>
        <v>1.7951261624605974E-2</v>
      </c>
      <c r="E31" s="129">
        <v>20</v>
      </c>
      <c r="F31" s="219" t="n">
        <v>3063.0</v>
      </c>
      <c r="G31" s="11">
        <f si="1" t="shared"/>
        <v>1.1843928528017503E-2</v>
      </c>
    </row>
    <row r="32" spans="1:7" x14ac:dyDescent="0.25">
      <c r="A32">
        <v>21</v>
      </c>
      <c r="B32" s="8" t="n">
        <v>1895.445857</v>
      </c>
      <c r="C32" s="11">
        <f si="0" t="shared"/>
        <v>6.1672417636420155E-3</v>
      </c>
      <c r="E32" s="130">
        <v>21</v>
      </c>
      <c r="F32" s="220" t="n">
        <v>2656.0</v>
      </c>
      <c r="G32" s="11">
        <f si="1" t="shared"/>
        <v>1.0711073295247356E-2</v>
      </c>
    </row>
    <row r="33" spans="1:7" x14ac:dyDescent="0.25">
      <c r="A33">
        <v>22</v>
      </c>
      <c r="B33" s="8" t="n">
        <v>1747.779126</v>
      </c>
      <c r="C33" s="11">
        <f si="0" t="shared"/>
        <v>6.0101944573098661E-3</v>
      </c>
      <c r="E33" s="131">
        <v>22</v>
      </c>
      <c r="F33" s="221" t="n">
        <v>2415.0</v>
      </c>
      <c r="G33" s="11">
        <f si="1" t="shared"/>
        <v>1.0103318342044488E-2</v>
      </c>
    </row>
    <row r="34" spans="1:7" x14ac:dyDescent="0.25">
      <c r="A34">
        <v>23</v>
      </c>
      <c r="B34" s="8" t="n">
        <v>1548.870925</v>
      </c>
      <c r="C34" s="11">
        <f si="0" t="shared"/>
        <v>1.3942747911590208E-2</v>
      </c>
      <c r="E34" s="132">
        <v>23</v>
      </c>
      <c r="F34" s="222" t="n">
        <v>2279.0</v>
      </c>
      <c r="G34" s="11">
        <f si="1" t="shared"/>
        <v>1.010818038167011E-2</v>
      </c>
    </row>
    <row r="35" spans="1:7" x14ac:dyDescent="0.25">
      <c r="A35">
        <v>24</v>
      </c>
      <c r="B35" s="8" t="n">
        <v>3647.952998</v>
      </c>
      <c r="C35" s="11">
        <f si="0" t="shared"/>
        <v>4.5702654617590637E-3</v>
      </c>
      <c r="E35" s="133">
        <v>24</v>
      </c>
      <c r="F35" s="223" t="n">
        <v>2113.0</v>
      </c>
      <c r="G35" s="11">
        <f si="1" t="shared"/>
        <v>8.8051537620031598E-3</v>
      </c>
    </row>
    <row r="36" spans="1:7" x14ac:dyDescent="0.25">
      <c r="A36">
        <v>25</v>
      </c>
      <c r="B36" s="8" t="n">
        <v>2018.097787</v>
      </c>
      <c r="C36" s="11">
        <f si="0" t="shared"/>
        <v>3.8170906961028611E-3</v>
      </c>
      <c r="E36" s="134">
        <v>25</v>
      </c>
      <c r="F36" s="224" t="n">
        <v>1969.0</v>
      </c>
      <c r="G36" s="11">
        <f si="1" t="shared"/>
        <v>8.5912240184757502E-3</v>
      </c>
    </row>
    <row r="37" spans="1:7" x14ac:dyDescent="0.25">
      <c r="A37">
        <v>26</v>
      </c>
      <c r="B37" s="8" t="n">
        <v>3490.657245</v>
      </c>
      <c r="C37" s="11">
        <f si="0" t="shared"/>
        <v>3.5540512214503471E-3</v>
      </c>
      <c r="E37" s="135">
        <v>26</v>
      </c>
      <c r="F37" s="225" t="n">
        <v>1725.0</v>
      </c>
      <c r="G37" s="11">
        <f si="1" t="shared"/>
        <v>8.4356387504558161E-3</v>
      </c>
    </row>
    <row r="38" spans="1:7" x14ac:dyDescent="0.25">
      <c r="A38">
        <v>27</v>
      </c>
      <c r="B38" s="8" t="n">
        <v>1925.1527999999998</v>
      </c>
      <c r="C38" s="11">
        <f si="0" t="shared"/>
        <v>9.7183915466470174E-3</v>
      </c>
      <c r="E38" s="136">
        <v>27</v>
      </c>
      <c r="F38" s="226" t="n">
        <v>1623.0</v>
      </c>
      <c r="G38" s="11">
        <f si="1" t="shared"/>
        <v>7.2201288440500791E-3</v>
      </c>
    </row>
    <row r="39" spans="1:7" x14ac:dyDescent="0.25">
      <c r="A39">
        <v>28</v>
      </c>
      <c r="B39" s="8" t="n">
        <v>742.425111</v>
      </c>
      <c r="C39" s="11">
        <f si="0" t="shared"/>
        <v>4.8524294069585147E-3</v>
      </c>
      <c r="E39" s="137">
        <v>28</v>
      </c>
      <c r="F39" s="227" t="n">
        <v>1416.0</v>
      </c>
      <c r="G39" s="11">
        <f si="1" t="shared"/>
        <v>5.8733438677525222E-3</v>
      </c>
    </row>
    <row r="40" spans="1:7" x14ac:dyDescent="0.25">
      <c r="A40">
        <v>29</v>
      </c>
      <c r="B40" s="8" t="n">
        <v>738.438374</v>
      </c>
      <c r="C40" s="11">
        <f si="0" t="shared"/>
        <v>1.9772950062367119E-2</v>
      </c>
      <c r="E40" s="138">
        <v>29</v>
      </c>
      <c r="F40" s="228" t="n">
        <v>1362.0</v>
      </c>
      <c r="G40" s="11">
        <f si="1" t="shared"/>
        <v>6.2282727604229971E-3</v>
      </c>
    </row>
    <row r="41" spans="1:7" x14ac:dyDescent="0.25">
      <c r="A41">
        <v>30</v>
      </c>
      <c r="B41" s="8" t="n">
        <v>2009.6731829999999</v>
      </c>
      <c r="C41" s="11">
        <f si="0" t="shared"/>
        <v>8.6865349493801401E-4</v>
      </c>
      <c r="E41" s="139">
        <v>30</v>
      </c>
      <c r="F41" s="229" t="n">
        <v>1213.0</v>
      </c>
      <c r="G41" s="11">
        <f si="1" t="shared"/>
        <v>4.5849033669624409E-3</v>
      </c>
    </row>
    <row r="42" spans="1:7" x14ac:dyDescent="0.25">
      <c r="A42">
        <v>31</v>
      </c>
      <c r="B42" s="8" t="n">
        <v>1738.034477</v>
      </c>
      <c r="C42" s="11">
        <f si="0" t="shared"/>
        <v>1.364183098685041E-3</v>
      </c>
      <c r="E42" s="140">
        <v>31</v>
      </c>
      <c r="F42" s="230" t="n">
        <v>1169.0</v>
      </c>
      <c r="G42" s="11">
        <f si="1" t="shared"/>
        <v>4.623799683967424E-3</v>
      </c>
    </row>
    <row r="43" spans="1:7" x14ac:dyDescent="0.25">
      <c r="A43">
        <v>32</v>
      </c>
      <c r="B43" s="8" t="n">
        <v>331.668536</v>
      </c>
      <c r="C43" s="11">
        <f si="0" t="shared"/>
        <v>6.9900849512989768E-3</v>
      </c>
      <c r="E43" s="141">
        <v>32</v>
      </c>
      <c r="F43" s="231" t="n">
        <v>1010.0</v>
      </c>
      <c r="G43" s="11">
        <f si="1" t="shared"/>
        <v>3.806977026862769E-3</v>
      </c>
    </row>
    <row r="44" spans="1:7" x14ac:dyDescent="0.25">
      <c r="A44">
        <v>33</v>
      </c>
      <c r="B44" s="8" t="n">
        <v>1006.194474</v>
      </c>
      <c r="C44" s="11">
        <f si="0" t="shared"/>
        <v>4.068949786512664E-4</v>
      </c>
      <c r="E44" s="142">
        <v>33</v>
      </c>
      <c r="F44" s="232" t="n">
        <v>926.0</v>
      </c>
      <c r="G44" s="11">
        <f si="1" t="shared"/>
        <v>4.0598030873951621E-3</v>
      </c>
    </row>
    <row r="45" spans="1:7" x14ac:dyDescent="0.25">
      <c r="A45">
        <v>34</v>
      </c>
      <c r="B45" s="8" t="n">
        <v>291.606713</v>
      </c>
      <c r="C45" s="11">
        <f si="0" t="shared"/>
        <v>7.0156387029161136E-3</v>
      </c>
      <c r="E45" s="143">
        <v>34</v>
      </c>
      <c r="F45" s="233" t="n">
        <v>937.0</v>
      </c>
      <c r="G45" s="11">
        <f si="1" t="shared"/>
        <v>4.1230096025282603E-3</v>
      </c>
    </row>
    <row r="46" spans="1:7" x14ac:dyDescent="0.25">
      <c r="A46">
        <v>35</v>
      </c>
      <c r="B46" s="8" t="n">
        <v>584.610418</v>
      </c>
      <c r="C46" s="11">
        <f si="0" t="shared"/>
        <v>0</v>
      </c>
      <c r="E46" s="144">
        <v>35</v>
      </c>
      <c r="F46" s="234" t="n">
        <v>887.0</v>
      </c>
      <c r="G46" s="11">
        <f si="1" t="shared"/>
        <v>3.9771484137595724E-3</v>
      </c>
    </row>
    <row r="47" spans="1:7" x14ac:dyDescent="0.25">
      <c r="A47">
        <v>36</v>
      </c>
      <c r="B47" s="8" t="n">
        <v>364.10514</v>
      </c>
      <c r="C47" s="11">
        <f si="0" t="shared"/>
        <v>5.7150812043899231E-4</v>
      </c>
      <c r="E47" s="145">
        <v>36</v>
      </c>
      <c r="F47" s="235" t="n">
        <v>825.0</v>
      </c>
      <c r="G47" s="11">
        <f si="1" t="shared"/>
        <v>2.7713625866050808E-3</v>
      </c>
    </row>
    <row r="48" spans="1:7" x14ac:dyDescent="0.25">
      <c r="A48">
        <v>37</v>
      </c>
      <c r="B48" s="8" t="n">
        <v>476.03121</v>
      </c>
      <c r="C48" s="11">
        <f si="0" t="shared"/>
        <v>6.8071000662201842E-4</v>
      </c>
      <c r="E48" s="146">
        <v>37</v>
      </c>
      <c r="F48" s="236" t="n">
        <v>819.0</v>
      </c>
      <c r="G48" s="11">
        <f si="1" t="shared"/>
        <v>2.7665005469794577E-3</v>
      </c>
    </row>
    <row r="49" spans="1:7" x14ac:dyDescent="0.25">
      <c r="A49">
        <v>38</v>
      </c>
      <c r="B49" s="8" t="n">
        <v>468.05116399999997</v>
      </c>
      <c r="C49" s="11">
        <f si="0" t="shared"/>
        <v>0</v>
      </c>
      <c r="E49" s="147">
        <v>38</v>
      </c>
      <c r="F49" s="237" t="n">
        <v>722.0</v>
      </c>
      <c r="G49" s="11">
        <f si="1" t="shared"/>
        <v>2.5379846845751792E-3</v>
      </c>
    </row>
    <row r="50" spans="1:7" x14ac:dyDescent="0.25">
      <c r="A50">
        <v>39</v>
      </c>
      <c r="B50" s="8" t="n">
        <v>997.362455</v>
      </c>
      <c r="C50" s="11">
        <f si="0" t="shared"/>
        <v>0</v>
      </c>
      <c r="E50" s="148">
        <v>39</v>
      </c>
      <c r="F50" s="238" t="n">
        <v>740.0</v>
      </c>
      <c r="G50" s="11">
        <f si="1" t="shared"/>
        <v>2.3726753373039988E-3</v>
      </c>
    </row>
    <row r="51" spans="1:7" x14ac:dyDescent="0.25">
      <c r="A51">
        <v>40</v>
      </c>
      <c r="B51" s="8" t="n">
        <v>438.74237</v>
      </c>
      <c r="C51" s="11">
        <f si="0" t="shared"/>
        <v>4.3582020738294638E-4</v>
      </c>
      <c r="E51" s="149">
        <v>40</v>
      </c>
      <c r="F51" s="239" t="n">
        <v>680.0</v>
      </c>
      <c r="G51" s="11">
        <f si="1" t="shared"/>
        <v>1.9885742068797862E-3</v>
      </c>
    </row>
    <row r="52" spans="1:7" x14ac:dyDescent="0.25">
      <c r="A52">
        <v>41</v>
      </c>
      <c r="B52" s="8" t="n">
        <v>379.22215200000005</v>
      </c>
      <c r="C52" s="11">
        <f si="0" t="shared"/>
        <v>7.9226016242246681E-3</v>
      </c>
      <c r="E52" s="150">
        <v>41</v>
      </c>
      <c r="F52" s="240" t="n">
        <v>655.0</v>
      </c>
      <c r="G52" s="11">
        <f si="1" t="shared"/>
        <v>1.7795065029779992E-3</v>
      </c>
    </row>
    <row r="53" spans="1:7" x14ac:dyDescent="0.25">
      <c r="A53">
        <v>42</v>
      </c>
      <c r="B53" s="8" t="n">
        <v>0.0</v>
      </c>
      <c r="C53" s="11">
        <f si="0" t="shared"/>
        <v>2.5315314087141002E-4</v>
      </c>
      <c r="E53" s="151">
        <v>42</v>
      </c>
      <c r="F53" s="241" t="n">
        <v>601.0</v>
      </c>
      <c r="G53" s="11">
        <f si="1" t="shared"/>
        <v>1.6239212349580649E-3</v>
      </c>
    </row>
    <row r="54" spans="1:7" x14ac:dyDescent="0.25">
      <c r="A54">
        <v>43</v>
      </c>
      <c r="B54" s="8" t="n">
        <v>474.774018</v>
      </c>
      <c r="C54" s="11">
        <f si="0" t="shared"/>
        <v>1.0055461614131567E-3</v>
      </c>
      <c r="E54" s="152">
        <v>43</v>
      </c>
      <c r="F54" s="242" t="n">
        <v>532.0</v>
      </c>
      <c r="G54" s="11">
        <f si="1" t="shared"/>
        <v>1.4683359669381306E-3</v>
      </c>
    </row>
    <row r="55" spans="1:7" x14ac:dyDescent="0.25">
      <c r="A55">
        <v>44</v>
      </c>
      <c r="B55" s="8" t="n">
        <v>28.269941</v>
      </c>
      <c r="C55" s="11">
        <f si="0" t="shared"/>
        <v>0</v>
      </c>
      <c r="E55" s="153">
        <v>44</v>
      </c>
      <c r="F55" s="243" t="n">
        <v>548.0</v>
      </c>
      <c r="G55" s="11">
        <f si="1" t="shared"/>
        <v>1.3273368177950651E-3</v>
      </c>
    </row>
    <row r="56" spans="1:7" x14ac:dyDescent="0.25">
      <c r="A56">
        <v>45</v>
      </c>
      <c r="B56" s="8" t="n">
        <v>21.917044</v>
      </c>
      <c r="C56" s="11">
        <f si="0" t="shared"/>
        <v>5.3040958323552594E-3</v>
      </c>
      <c r="E56" s="154">
        <v>45</v>
      </c>
      <c r="F56" s="244" t="n">
        <v>543.0</v>
      </c>
      <c r="G56" s="11">
        <f si="1" t="shared"/>
        <v>1.1668895101495077E-3</v>
      </c>
    </row>
    <row r="57" spans="1:7" x14ac:dyDescent="0.25">
      <c r="A57">
        <v>46</v>
      </c>
      <c r="B57" s="8" t="n">
        <v>318.351686</v>
      </c>
      <c r="C57" s="11">
        <f si="0" t="shared"/>
        <v>0</v>
      </c>
      <c r="E57" s="155">
        <v>46</v>
      </c>
      <c r="F57" s="245" t="n">
        <v>460.0</v>
      </c>
      <c r="G57" s="11">
        <f si="1" t="shared"/>
        <v>1.0258903610064422E-3</v>
      </c>
    </row>
    <row r="58" spans="1:7" x14ac:dyDescent="0.25">
      <c r="A58">
        <v>47</v>
      </c>
      <c r="B58" s="8" t="n">
        <v>108.036893</v>
      </c>
      <c r="C58" s="11">
        <f si="0" t="shared"/>
        <v>0</v>
      </c>
      <c r="E58" s="156">
        <v>47</v>
      </c>
      <c r="F58" s="246" t="n">
        <v>435.0</v>
      </c>
      <c r="G58" s="11">
        <f si="1" t="shared"/>
        <v>8.6058101373526197E-4</v>
      </c>
    </row>
    <row r="59" spans="1:7" x14ac:dyDescent="0.25">
      <c r="A59">
        <v>48</v>
      </c>
      <c r="B59" s="8" t="n">
        <v>102.11775499999999</v>
      </c>
      <c r="C59" s="11">
        <f si="0" t="shared"/>
        <v>0</v>
      </c>
      <c r="E59" s="157">
        <v>48</v>
      </c>
      <c r="F59" s="247" t="n">
        <v>417.0</v>
      </c>
      <c r="G59" s="11">
        <f si="1" t="shared"/>
        <v>8.4599489485839309E-4</v>
      </c>
    </row>
    <row r="60" spans="1:7" x14ac:dyDescent="0.25">
      <c r="A60">
        <v>49</v>
      </c>
      <c r="B60" s="8" t="n">
        <v>1222.211792</v>
      </c>
      <c r="C60" s="11">
        <f si="0" t="shared"/>
        <v>0</v>
      </c>
      <c r="E60" s="158">
        <v>49</v>
      </c>
      <c r="F60" s="248" t="n">
        <v>364.0</v>
      </c>
      <c r="G60" s="11">
        <f si="1" t="shared"/>
        <v>6.3692719095660634E-4</v>
      </c>
    </row>
    <row r="61" spans="1:7" x14ac:dyDescent="0.25">
      <c r="A61">
        <v>50</v>
      </c>
      <c r="B61" s="8" t="n">
        <v>776.736683</v>
      </c>
      <c r="C61" s="11">
        <f si="0" t="shared"/>
        <v>1.7052467077392558E-4</v>
      </c>
      <c r="E61" s="159">
        <v>50</v>
      </c>
      <c r="F61" s="249" t="n">
        <v>361.0</v>
      </c>
      <c r="G61" s="11">
        <f si="1" t="shared"/>
        <v>6.7096146833596699E-4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344.0</v>
      </c>
      <c r="G62" s="11">
        <f si="1" t="shared"/>
        <v>5.6399659657226206E-4</v>
      </c>
    </row>
    <row r="63" spans="1:7" x14ac:dyDescent="0.25">
      <c r="A63">
        <v>52</v>
      </c>
      <c r="B63" s="8" t="n">
        <v>0.0</v>
      </c>
      <c r="C63" s="11">
        <f si="0" t="shared"/>
        <v>5.9490926865794086E-4</v>
      </c>
      <c r="E63" s="161">
        <v>52</v>
      </c>
      <c r="F63" s="251" t="n">
        <v>313.0</v>
      </c>
      <c r="G63" s="11">
        <f si="1" t="shared"/>
        <v>4.0841132855232772E-4</v>
      </c>
    </row>
    <row r="64" spans="1:7" x14ac:dyDescent="0.25">
      <c r="A64">
        <v>53</v>
      </c>
      <c r="B64" s="8" t="n">
        <v>195.483765</v>
      </c>
      <c r="C64" s="11">
        <f si="0" t="shared"/>
        <v>0</v>
      </c>
      <c r="E64" s="162">
        <v>53</v>
      </c>
      <c r="F64" s="252" t="n">
        <v>322.0</v>
      </c>
      <c r="G64" s="11">
        <f si="1" t="shared"/>
        <v>3.889631700498359E-4</v>
      </c>
    </row>
    <row r="65" spans="1:7" x14ac:dyDescent="0.25">
      <c r="A65">
        <v>54</v>
      </c>
      <c r="B65" s="8" t="n">
        <v>122.01233500000001</v>
      </c>
      <c r="C65" s="11">
        <f si="0" t="shared"/>
        <v>0</v>
      </c>
      <c r="E65" s="163">
        <v>54</v>
      </c>
      <c r="F65" s="253" t="n">
        <v>317.0</v>
      </c>
      <c r="G65" s="11">
        <f si="1" t="shared"/>
        <v>3.5492889267047526E-4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269.0</v>
      </c>
      <c r="G66" s="11">
        <f si="1" t="shared"/>
        <v>2.7713625866050809E-4</v>
      </c>
    </row>
    <row r="67" spans="1:7" x14ac:dyDescent="0.25">
      <c r="A67">
        <v>56</v>
      </c>
      <c r="B67" s="8" t="n">
        <v>350.858476</v>
      </c>
      <c r="C67" s="11">
        <f si="0" t="shared"/>
        <v>1.7819956462213947E-4</v>
      </c>
      <c r="E67" s="165">
        <v>56</v>
      </c>
      <c r="F67" s="255" t="n">
        <v>278.0</v>
      </c>
      <c r="G67" s="11">
        <f si="1" t="shared"/>
        <v>3.6465297192172114E-4</v>
      </c>
    </row>
    <row r="68" spans="1:7" x14ac:dyDescent="0.25">
      <c r="A68">
        <v>57</v>
      </c>
      <c r="B68" s="8" t="n">
        <v>0.0</v>
      </c>
      <c r="C68" s="11">
        <f si="0" t="shared"/>
        <v>6.5439233985710682E-4</v>
      </c>
      <c r="E68" s="166">
        <v>57</v>
      </c>
      <c r="F68" s="256" t="n">
        <v>277.0</v>
      </c>
      <c r="G68" s="11">
        <f si="1" t="shared"/>
        <v>3.6465297192172114E-4</v>
      </c>
    </row>
    <row r="69" spans="1:7" x14ac:dyDescent="0.25">
      <c r="A69">
        <v>58</v>
      </c>
      <c r="B69" s="8" t="n">
        <v>61.176273</v>
      </c>
      <c r="C69" s="11">
        <f si="0" t="shared"/>
        <v>0</v>
      </c>
      <c r="E69" s="167">
        <v>58</v>
      </c>
      <c r="F69" s="257" t="n">
        <v>264.0</v>
      </c>
      <c r="G69" s="11">
        <f si="1" t="shared"/>
        <v>2.2851586240427859E-4</v>
      </c>
    </row>
    <row r="70" spans="1:7" x14ac:dyDescent="0.25">
      <c r="A70">
        <v>59</v>
      </c>
      <c r="B70" s="8" t="n">
        <v>764.474099</v>
      </c>
      <c r="C70" s="11">
        <f si="0" t="shared"/>
        <v>0</v>
      </c>
      <c r="E70" s="168">
        <v>59</v>
      </c>
      <c r="F70" s="258" t="n">
        <v>287.0</v>
      </c>
      <c r="G70" s="11">
        <f si="1" t="shared"/>
        <v>2.7227421903488515E-4</v>
      </c>
    </row>
    <row r="71" spans="1:7" x14ac:dyDescent="0.25">
      <c r="A71">
        <v>60</v>
      </c>
      <c r="B71" s="8" t="n">
        <v>0.0</v>
      </c>
      <c r="C71" s="11">
        <f si="0" t="shared"/>
        <v>5.191064136456444E-4</v>
      </c>
      <c r="E71" s="169">
        <v>60</v>
      </c>
      <c r="F71" s="259" t="n">
        <v>248.0</v>
      </c>
      <c r="G71" s="11">
        <f si="1" t="shared"/>
        <v>2.2365382277865565E-4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234.0</v>
      </c>
      <c r="G72" s="11">
        <f si="1" t="shared"/>
        <v>1.6044730764555731E-4</v>
      </c>
    </row>
    <row r="73" spans="1:7" x14ac:dyDescent="0.25">
      <c r="A73">
        <v>62</v>
      </c>
      <c r="B73" s="8" t="n">
        <v>54.563678</v>
      </c>
      <c r="C73" s="11">
        <f si="0" t="shared"/>
        <v>0</v>
      </c>
      <c r="E73" s="171">
        <v>62</v>
      </c>
      <c r="F73" s="261" t="n">
        <v>199.0</v>
      </c>
      <c r="G73" s="11">
        <f si="1" t="shared"/>
        <v>1.798954661480491E-4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205.0</v>
      </c>
      <c r="G74" s="11">
        <f si="1" t="shared"/>
        <v>1.5558526801993437E-4</v>
      </c>
    </row>
    <row r="75" spans="1:7" x14ac:dyDescent="0.25">
      <c r="A75">
        <v>64</v>
      </c>
      <c r="B75" s="8" t="n">
        <v>359.173598</v>
      </c>
      <c r="C75" s="11">
        <f si="0" t="shared"/>
        <v>0</v>
      </c>
      <c r="E75" s="173">
        <v>64</v>
      </c>
      <c r="F75" s="263" t="n">
        <v>183.0</v>
      </c>
      <c r="G75" s="11">
        <f si="1" t="shared"/>
        <v>1.0210283213808193E-4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159.0</v>
      </c>
      <c r="G76" s="11">
        <f si="1" t="shared"/>
        <v>8.7516713261213079E-5</v>
      </c>
    </row>
    <row r="77" spans="1:7" x14ac:dyDescent="0.25">
      <c r="A77">
        <v>66</v>
      </c>
      <c r="B77" s="8" t="n">
        <v>61.041281</v>
      </c>
      <c r="C77" s="11">
        <f ref="C77:C102" si="2" t="shared">B77/B$102</f>
        <v>0</v>
      </c>
      <c r="E77" s="175">
        <v>66</v>
      </c>
      <c r="F77" s="265" t="n">
        <v>194.0</v>
      </c>
      <c r="G77" s="11">
        <f ref="G77:G102" si="3" t="shared">F77/F$102</f>
        <v>1.5558526801993437E-4</v>
      </c>
    </row>
    <row r="78" spans="1:7" x14ac:dyDescent="0.25">
      <c r="A78">
        <v>67</v>
      </c>
      <c r="B78" s="8" t="n">
        <v>288.353613</v>
      </c>
      <c r="C78" s="11">
        <f si="2" t="shared"/>
        <v>0</v>
      </c>
      <c r="E78" s="176">
        <v>67</v>
      </c>
      <c r="F78" s="266" t="n">
        <v>195.0</v>
      </c>
      <c r="G78" s="11">
        <f si="3" t="shared"/>
        <v>9.7240792512458976E-5</v>
      </c>
    </row>
    <row r="79" spans="1:7" x14ac:dyDescent="0.25">
      <c r="A79">
        <v>68</v>
      </c>
      <c r="B79" s="8" t="n">
        <v>61.176273</v>
      </c>
      <c r="C79" s="11">
        <f si="2" t="shared"/>
        <v>0</v>
      </c>
      <c r="E79" s="177">
        <v>68</v>
      </c>
      <c r="F79" s="267" t="n">
        <v>144.0</v>
      </c>
      <c r="G79" s="11">
        <f si="3" t="shared"/>
        <v>9.2378752886836034E-5</v>
      </c>
    </row>
    <row r="80" spans="1:7" x14ac:dyDescent="0.25">
      <c r="A80">
        <v>69</v>
      </c>
      <c r="B80" s="8" t="n">
        <v>513.66995</v>
      </c>
      <c r="C80" s="11">
        <f si="2" t="shared"/>
        <v>0</v>
      </c>
      <c r="E80" s="178">
        <v>69</v>
      </c>
      <c r="F80" s="268" t="n">
        <v>138.0</v>
      </c>
      <c r="G80" s="11">
        <f si="3" t="shared"/>
        <v>7.2930594384344228E-5</v>
      </c>
    </row>
    <row r="81" spans="1:7" x14ac:dyDescent="0.25">
      <c r="A81">
        <v>70</v>
      </c>
      <c r="B81" s="8" t="n">
        <v>63.887752</v>
      </c>
      <c r="C81" s="11">
        <f si="2" t="shared"/>
        <v>0</v>
      </c>
      <c r="E81" s="179">
        <v>70</v>
      </c>
      <c r="F81" s="269" t="n">
        <v>111.0</v>
      </c>
      <c r="G81" s="11">
        <f si="3" t="shared"/>
        <v>1.1668895101495077E-4</v>
      </c>
    </row>
    <row r="82" spans="1:7" x14ac:dyDescent="0.25">
      <c r="A82">
        <v>71</v>
      </c>
      <c r="B82" s="8" t="n">
        <v>78.567796</v>
      </c>
      <c r="C82" s="11">
        <f si="2" t="shared"/>
        <v>0</v>
      </c>
      <c r="E82" s="180">
        <v>71</v>
      </c>
      <c r="F82" s="270" t="n">
        <v>126.0</v>
      </c>
      <c r="G82" s="11">
        <f si="3" t="shared"/>
        <v>6.3206515133098332E-5</v>
      </c>
    </row>
    <row r="83" spans="1:7" x14ac:dyDescent="0.25">
      <c r="A83">
        <v>72</v>
      </c>
      <c r="B83" s="8" t="n">
        <v>53.812839</v>
      </c>
      <c r="C83" s="11">
        <f si="2" t="shared"/>
        <v>0</v>
      </c>
      <c r="E83" s="181">
        <v>72</v>
      </c>
      <c r="F83" s="271" t="n">
        <v>113.0</v>
      </c>
      <c r="G83" s="11">
        <f si="3" t="shared"/>
        <v>6.8068554758721287E-5</v>
      </c>
    </row>
    <row r="84" spans="1:7" x14ac:dyDescent="0.25">
      <c r="A84">
        <v>73</v>
      </c>
      <c r="B84" s="8" t="n">
        <v>37.361886</v>
      </c>
      <c r="C84" s="11">
        <f si="2" t="shared"/>
        <v>0</v>
      </c>
      <c r="E84" s="182">
        <v>73</v>
      </c>
      <c r="F84" s="272" t="n">
        <v>108.0</v>
      </c>
      <c r="G84" s="11">
        <f si="3" t="shared"/>
        <v>4.8620396256229488E-5</v>
      </c>
    </row>
    <row r="85" spans="1:7" x14ac:dyDescent="0.25">
      <c r="A85">
        <v>74</v>
      </c>
      <c r="B85" s="8" t="n">
        <v>0.0</v>
      </c>
      <c r="C85" s="11">
        <f si="2" t="shared"/>
        <v>4.7817295555377539E-4</v>
      </c>
      <c r="E85" s="183">
        <v>74</v>
      </c>
      <c r="F85" s="273" t="n">
        <v>102.0</v>
      </c>
      <c r="G85" s="11">
        <f si="3" t="shared"/>
        <v>2.9172237753737692E-5</v>
      </c>
    </row>
    <row r="86" spans="1:7" x14ac:dyDescent="0.25">
      <c r="A86">
        <v>75</v>
      </c>
      <c r="B86" s="8" t="n">
        <v>314.725454</v>
      </c>
      <c r="C86" s="11">
        <f si="2" t="shared"/>
        <v>0</v>
      </c>
      <c r="E86" s="184">
        <v>75</v>
      </c>
      <c r="F86" s="274" t="n">
        <v>121.0</v>
      </c>
      <c r="G86" s="11">
        <f si="3" t="shared"/>
        <v>3.4034277379360644E-5</v>
      </c>
    </row>
    <row r="87" spans="1:7" x14ac:dyDescent="0.25">
      <c r="A87">
        <v>76</v>
      </c>
      <c r="B87" s="8" t="n">
        <v>193.55729300000002</v>
      </c>
      <c r="C87" s="11">
        <f si="2" t="shared"/>
        <v>0</v>
      </c>
      <c r="E87" s="185">
        <v>76</v>
      </c>
      <c r="F87" s="275" t="n">
        <v>98.0</v>
      </c>
      <c r="G87" s="11">
        <f si="3" t="shared"/>
        <v>6.3206515133098332E-5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82.0</v>
      </c>
      <c r="G88" s="11">
        <f si="3" t="shared"/>
        <v>4.375835663060654E-5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93.0</v>
      </c>
      <c r="G89" s="11">
        <f si="3" t="shared"/>
        <v>3.8896317004983592E-5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90.0</v>
      </c>
      <c r="G90" s="11">
        <f si="3" t="shared"/>
        <v>1.4586118876868846E-5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73.0</v>
      </c>
      <c r="G91" s="11">
        <f si="3" t="shared"/>
        <v>1.9448158502491796E-5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82.0</v>
      </c>
      <c r="G92" s="11">
        <f si="3" t="shared"/>
        <v>1.4586118876868846E-5</v>
      </c>
    </row>
    <row r="93" spans="1:7" x14ac:dyDescent="0.25">
      <c r="A93">
        <v>82</v>
      </c>
      <c r="B93" s="8" t="n">
        <v>294.487787</v>
      </c>
      <c r="C93" s="11">
        <f si="2" t="shared"/>
        <v>0</v>
      </c>
      <c r="E93" s="191">
        <v>82</v>
      </c>
      <c r="F93" s="281" t="n">
        <v>76.0</v>
      </c>
      <c r="G93" s="11">
        <f si="3" t="shared"/>
        <v>2.4310198128114744E-5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81.0</v>
      </c>
      <c r="G94" s="11">
        <f si="3" t="shared"/>
        <v>1.4586118876868846E-5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87.0</v>
      </c>
      <c r="G95" s="11">
        <f si="3" t="shared"/>
        <v>9.7240792512458979E-6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58.0</v>
      </c>
      <c r="G96" s="11">
        <f si="3" t="shared"/>
        <v>4.862039625622949E-6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63.0</v>
      </c>
      <c r="G97" s="11">
        <f si="3" t="shared"/>
        <v>2.9172237753737692E-5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55.0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61.0</v>
      </c>
      <c r="G99" s="11">
        <f si="3" t="shared"/>
        <v>9.7240792512458979E-6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65.0</v>
      </c>
      <c r="G100" s="11">
        <f si="3" t="shared"/>
        <v>4.862039625622949E-6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3294.0</v>
      </c>
      <c r="G101" s="11">
        <f si="3" t="shared"/>
        <v>2.9172237753737692E-5</v>
      </c>
    </row>
    <row r="102" spans="1:7" x14ac:dyDescent="0.25">
      <c r="B102" s="8">
        <f>SUM(B11:B101)</f>
        <v>169826.45307900003</v>
      </c>
      <c r="C102" s="11">
        <f si="2" t="shared"/>
        <v>1</v>
      </c>
      <c r="F102" s="8">
        <f>SUM(F11:F101)</f>
        <v>205675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0" workbookViewId="0">
      <selection activeCell="AA47" sqref="AA47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66237.486755</v>
      </c>
      <c r="C7" s="12" t="n">
        <v>96.541248</v>
      </c>
      <c r="D7" s="12" t="n">
        <v>0.0</v>
      </c>
      <c r="E7" s="12" t="n">
        <v>855.255504</v>
      </c>
      <c r="F7" s="12" t="n">
        <v>2867.212302</v>
      </c>
      <c r="G7" s="12" t="n">
        <v>4716.362641</v>
      </c>
      <c r="H7" s="12" t="n">
        <v>273.233942</v>
      </c>
      <c r="I7" s="12"/>
      <c r="J7" s="12">
        <f ref="J7:J14" si="0" t="shared">SUM(B7:I7)</f>
        <v>26895</v>
      </c>
      <c r="K7" s="12"/>
      <c r="L7">
        <f>$A$7</f>
        <v>1</v>
      </c>
      <c r="M7" s="341" t="n">
        <v>77030.0</v>
      </c>
      <c r="N7" s="341" t="n">
        <v>1.0</v>
      </c>
      <c r="O7" s="341" t="n">
        <v>26.0</v>
      </c>
      <c r="P7" s="341" t="n">
        <v>1458.0</v>
      </c>
      <c r="Q7" s="341" t="n">
        <v>362.0</v>
      </c>
      <c r="R7" s="341" t="n">
        <v>4248.0</v>
      </c>
      <c r="S7" s="341" t="n">
        <v>819.0</v>
      </c>
      <c r="T7" s="291"/>
      <c r="U7" s="12">
        <f ref="U7:U14" si="1" t="shared">SUM(M7:T7)</f>
        <v>27793</v>
      </c>
    </row>
    <row r="8" spans="1:21" x14ac:dyDescent="0.25">
      <c r="A8">
        <v>2</v>
      </c>
      <c r="B8" s="12" t="n">
        <v>787.6091</v>
      </c>
      <c r="C8" s="12" t="n">
        <v>7572.278676</v>
      </c>
      <c r="D8" s="12" t="n">
        <v>0.0</v>
      </c>
      <c r="E8" s="12" t="n">
        <v>0.0</v>
      </c>
      <c r="F8" s="12" t="n">
        <v>0.0</v>
      </c>
      <c r="G8" s="12" t="n">
        <v>646.769724</v>
      </c>
      <c r="H8" s="12" t="n">
        <v>0.0</v>
      </c>
      <c r="I8" s="12"/>
      <c r="J8" s="12">
        <f si="0" t="shared"/>
        <v>33527</v>
      </c>
      <c r="K8" s="12"/>
      <c r="L8">
        <f>$A$8</f>
        <v>2</v>
      </c>
      <c r="M8" s="341" t="n">
        <v>269.0</v>
      </c>
      <c r="N8" s="341" t="n">
        <v>8852.0</v>
      </c>
      <c r="O8" s="341" t="n">
        <v>0.0</v>
      </c>
      <c r="P8" s="341" t="n">
        <v>148.0</v>
      </c>
      <c r="Q8" s="341" t="n">
        <v>1.0</v>
      </c>
      <c r="R8" s="341" t="n">
        <v>2506.0</v>
      </c>
      <c r="S8" s="341" t="n">
        <v>2.0</v>
      </c>
      <c r="T8" s="291"/>
      <c r="U8" s="12">
        <f si="1" t="shared"/>
        <v>36076</v>
      </c>
    </row>
    <row r="9" spans="1:21" x14ac:dyDescent="0.25">
      <c r="A9">
        <v>3</v>
      </c>
      <c r="B9" s="12" t="n">
        <v>397.19370100000003</v>
      </c>
      <c r="C9" s="12" t="n">
        <v>0.0</v>
      </c>
      <c r="D9" s="12" t="n">
        <v>4952.291789</v>
      </c>
      <c r="E9" s="12" t="n">
        <v>0.0</v>
      </c>
      <c r="F9" s="12" t="n">
        <v>244.27389</v>
      </c>
      <c r="G9" s="12" t="n">
        <v>97.016045</v>
      </c>
      <c r="H9" s="12" t="n">
        <v>184.125331</v>
      </c>
      <c r="I9" s="12"/>
      <c r="J9" s="12">
        <f si="0" t="shared"/>
        <v>26166</v>
      </c>
      <c r="K9" s="13"/>
      <c r="L9">
        <f>$A$9</f>
        <v>3</v>
      </c>
      <c r="M9" s="341" t="n">
        <v>2169.0</v>
      </c>
      <c r="N9" s="341" t="n">
        <v>0.0</v>
      </c>
      <c r="O9" s="341" t="n">
        <v>6054.0</v>
      </c>
      <c r="P9" s="341" t="n">
        <v>13.0</v>
      </c>
      <c r="Q9" s="341" t="n">
        <v>508.0</v>
      </c>
      <c r="R9" s="341" t="n">
        <v>37.0</v>
      </c>
      <c r="S9" s="341" t="n">
        <v>33.0</v>
      </c>
      <c r="T9" s="291"/>
      <c r="U9" s="12">
        <f si="1" t="shared"/>
        <v>22461</v>
      </c>
    </row>
    <row r="10" spans="1:21" x14ac:dyDescent="0.25">
      <c r="A10">
        <v>4</v>
      </c>
      <c r="B10" s="12" t="n">
        <v>913.010367</v>
      </c>
      <c r="C10" s="12" t="n">
        <v>0.0</v>
      </c>
      <c r="D10" s="12" t="n">
        <v>0.0</v>
      </c>
      <c r="E10" s="12" t="n">
        <v>31009.756024</v>
      </c>
      <c r="F10" s="12" t="n">
        <v>37.361886</v>
      </c>
      <c r="G10" s="12" t="n">
        <v>634.54264</v>
      </c>
      <c r="H10" s="12" t="n">
        <v>565.563235</v>
      </c>
      <c r="I10" s="12"/>
      <c r="J10" s="12">
        <f si="0" t="shared"/>
        <v>6716</v>
      </c>
      <c r="K10" s="13"/>
      <c r="L10">
        <f>$A$10</f>
        <v>4</v>
      </c>
      <c r="M10" s="341" t="n">
        <v>1380.0</v>
      </c>
      <c r="N10" s="341" t="n">
        <v>3.0</v>
      </c>
      <c r="O10" s="341" t="n">
        <v>0.0</v>
      </c>
      <c r="P10" s="341" t="n">
        <v>36260.0</v>
      </c>
      <c r="Q10" s="341" t="n">
        <v>2.0</v>
      </c>
      <c r="R10" s="341" t="n">
        <v>332.0</v>
      </c>
      <c r="S10" s="341" t="n">
        <v>95.0</v>
      </c>
      <c r="T10" s="291"/>
      <c r="U10" s="12">
        <f si="1" t="shared"/>
        <v>9254</v>
      </c>
    </row>
    <row r="11" spans="1:21" x14ac:dyDescent="0.25">
      <c r="A11">
        <v>5</v>
      </c>
      <c r="B11" s="12" t="n">
        <v>2157.289307</v>
      </c>
      <c r="C11" s="12" t="n">
        <v>0.0</v>
      </c>
      <c r="D11" s="12" t="n">
        <v>1167.012177</v>
      </c>
      <c r="E11" s="12" t="n">
        <v>0.0</v>
      </c>
      <c r="F11" s="12" t="n">
        <v>23108.887497</v>
      </c>
      <c r="G11" s="12" t="n">
        <v>143.838658</v>
      </c>
      <c r="H11" s="12" t="n">
        <v>422.43066600000003</v>
      </c>
      <c r="I11" s="12"/>
      <c r="J11" s="12">
        <f si="0" t="shared"/>
        <v>76269</v>
      </c>
      <c r="K11" s="13"/>
      <c r="L11">
        <f>$A$11</f>
        <v>5</v>
      </c>
      <c r="M11" s="341" t="n">
        <v>4178.0</v>
      </c>
      <c r="N11" s="341" t="n">
        <v>1.0</v>
      </c>
      <c r="O11" s="341" t="n">
        <v>707.0</v>
      </c>
      <c r="P11" s="341" t="n">
        <v>53.0</v>
      </c>
      <c r="Q11" s="341" t="n">
        <v>17230.0</v>
      </c>
      <c r="R11" s="341" t="n">
        <v>72.0</v>
      </c>
      <c r="S11" s="341" t="n">
        <v>280.0</v>
      </c>
      <c r="T11" s="291"/>
      <c r="U11" s="12">
        <f si="1" t="shared"/>
        <v>83787</v>
      </c>
    </row>
    <row r="12" spans="1:21" x14ac:dyDescent="0.25">
      <c r="A12">
        <v>6</v>
      </c>
      <c r="B12" s="12" t="n">
        <v>5433.123316</v>
      </c>
      <c r="C12" s="12" t="n">
        <v>95.8939</v>
      </c>
      <c r="D12" s="12" t="n">
        <v>0.0</v>
      </c>
      <c r="E12" s="12" t="n">
        <v>106.764339</v>
      </c>
      <c r="F12" s="12" t="n">
        <v>314.725454</v>
      </c>
      <c r="G12" s="12" t="n">
        <v>21257.281182</v>
      </c>
      <c r="H12" s="12" t="n">
        <v>0.0</v>
      </c>
      <c r="I12" s="12"/>
      <c r="J12" s="12">
        <f si="0" t="shared"/>
        <v>9345</v>
      </c>
      <c r="K12" s="13"/>
      <c r="L12">
        <f>$A$12</f>
        <v>6</v>
      </c>
      <c r="M12" s="341" t="n">
        <v>2613.0</v>
      </c>
      <c r="N12" s="341" t="n">
        <v>801.0</v>
      </c>
      <c r="O12" s="341" t="n">
        <v>0.0</v>
      </c>
      <c r="P12" s="341" t="n">
        <v>767.0</v>
      </c>
      <c r="Q12" s="341" t="n">
        <v>1.0</v>
      </c>
      <c r="R12" s="341" t="n">
        <v>26522.0</v>
      </c>
      <c r="S12" s="341" t="n">
        <v>9.0</v>
      </c>
      <c r="T12" s="291"/>
      <c r="U12" s="12">
        <f si="1" t="shared"/>
        <v>11597</v>
      </c>
    </row>
    <row r="13" spans="1:21" x14ac:dyDescent="0.25">
      <c r="A13">
        <v>7</v>
      </c>
      <c r="B13" s="12" t="n">
        <v>2244.213803</v>
      </c>
      <c r="C13" s="12" t="n">
        <v>0.0</v>
      </c>
      <c r="D13" s="12" t="n">
        <v>0.0</v>
      </c>
      <c r="E13" s="12" t="n">
        <v>339.288654</v>
      </c>
      <c r="F13" s="12" t="n">
        <v>160.573969</v>
      </c>
      <c r="G13" s="12" t="n">
        <v>611.980386</v>
      </c>
      <c r="H13" s="12" t="n">
        <v>8863.974397</v>
      </c>
      <c r="I13" s="12"/>
      <c r="J13" s="12">
        <f si="0" t="shared"/>
        <v>12812</v>
      </c>
      <c r="K13" s="13"/>
      <c r="L13">
        <v>7</v>
      </c>
      <c r="M13" s="341" t="n">
        <v>3218.0</v>
      </c>
      <c r="N13" s="341" t="n">
        <v>0.0</v>
      </c>
      <c r="O13" s="341" t="n">
        <v>3.0</v>
      </c>
      <c r="P13" s="341" t="n">
        <v>1059.0</v>
      </c>
      <c r="Q13" s="341" t="n">
        <v>103.0</v>
      </c>
      <c r="R13" s="341" t="n">
        <v>73.0</v>
      </c>
      <c r="S13" s="341" t="n">
        <v>12357.0</v>
      </c>
      <c r="T13" s="291"/>
      <c r="U13" s="12">
        <f si="1" t="shared"/>
        <v>16348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27484</v>
      </c>
      <c r="C15" s="15">
        <f si="2" t="shared"/>
        <v>32692</v>
      </c>
      <c r="D15" s="15">
        <f si="2" t="shared"/>
        <v>27069</v>
      </c>
      <c r="E15" s="15">
        <f si="2" t="shared"/>
        <v>6732</v>
      </c>
      <c r="F15" s="15">
        <f si="2" t="shared"/>
        <v>79148</v>
      </c>
      <c r="G15" s="15">
        <f si="2" t="shared"/>
        <v>8073</v>
      </c>
      <c r="H15" s="15">
        <f si="2" t="shared"/>
        <v>10532</v>
      </c>
      <c r="I15" s="15">
        <f si="2" t="shared"/>
        <v>0</v>
      </c>
      <c r="J15" s="15">
        <f si="2" t="shared"/>
        <v>191730</v>
      </c>
      <c r="K15" s="12"/>
      <c r="L15" s="15" t="s">
        <v>4</v>
      </c>
      <c r="M15" s="15">
        <f ref="M15:U15" si="3" t="shared">SUM(M7:M14)</f>
        <v>28529</v>
      </c>
      <c r="N15" s="15">
        <f si="3" t="shared"/>
        <v>35881</v>
      </c>
      <c r="O15" s="15">
        <f si="3" t="shared"/>
        <v>20405</v>
      </c>
      <c r="P15" s="15">
        <f si="3" t="shared"/>
        <v>8599</v>
      </c>
      <c r="Q15" s="15">
        <f si="3" t="shared"/>
        <v>88746</v>
      </c>
      <c r="R15" s="15">
        <f si="3" t="shared"/>
        <v>12061</v>
      </c>
      <c r="S15" s="15">
        <f si="3" t="shared"/>
        <v>13095</v>
      </c>
      <c r="T15" s="15">
        <f si="3" t="shared"/>
        <v>0</v>
      </c>
      <c r="U15" s="15">
        <f si="3" t="shared"/>
        <v>207316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21624.700427588774</v>
      </c>
      <c r="C20" s="12">
        <f si="4" t="shared"/>
        <v>111.60602342442834</v>
      </c>
      <c r="D20" s="12">
        <f si="4" t="shared"/>
        <v>337.91823759063027</v>
      </c>
      <c r="E20" s="12">
        <f si="4" t="shared"/>
        <v>0</v>
      </c>
      <c r="F20" s="12">
        <f si="4" t="shared"/>
        <v>5615.4364008179964</v>
      </c>
      <c r="G20" s="12">
        <f si="4" t="shared"/>
        <v>103.33891057817439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27793.000000000007</v>
      </c>
      <c r="K20" s="12"/>
      <c r="L20">
        <f>$A$7</f>
        <v>1</v>
      </c>
      <c r="M20" s="12">
        <f>M7</f>
        <v>22304</v>
      </c>
      <c r="N20" s="12">
        <f ref="N20:T20" si="6" t="shared">N7</f>
        <v>547</v>
      </c>
      <c r="O20" s="12">
        <f si="6" t="shared"/>
        <v>6</v>
      </c>
      <c r="P20" s="12">
        <f si="6" t="shared"/>
        <v>1</v>
      </c>
      <c r="Q20" s="12">
        <f si="6" t="shared"/>
        <v>3730</v>
      </c>
      <c r="R20" s="12">
        <f si="6" t="shared"/>
        <v>1191</v>
      </c>
      <c r="S20" s="12">
        <f si="6" t="shared"/>
        <v>14</v>
      </c>
      <c r="T20" s="12">
        <f si="6" t="shared"/>
        <v>0</v>
      </c>
      <c r="U20" s="12">
        <f ref="U20:U26" si="7" t="shared">U7</f>
        <v>27793</v>
      </c>
    </row>
    <row r="21" spans="1:32" x14ac:dyDescent="0.25">
      <c r="A21">
        <f>$A$8</f>
        <v>2</v>
      </c>
      <c r="B21" s="12">
        <f ref="B21:G25" si="8" t="shared">IFERROR(($U8/$J8)*B8,0)</f>
        <v>607.95597578071397</v>
      </c>
      <c r="C21" s="12">
        <f si="8" t="shared"/>
        <v>33678.609001700119</v>
      </c>
      <c r="D21" s="12">
        <f si="8" t="shared"/>
        <v>29.052763444388102</v>
      </c>
      <c r="E21" s="12">
        <f si="8" t="shared"/>
        <v>0</v>
      </c>
      <c r="F21" s="12">
        <f si="8" t="shared"/>
        <v>1127.6776329525455</v>
      </c>
      <c r="G21" s="12">
        <f si="8" t="shared"/>
        <v>0</v>
      </c>
      <c r="H21" s="12">
        <f ref="H21:H27" si="9" t="shared">IFERROR(($U8/$J8)*H8,0)</f>
        <v>632.7046261222298</v>
      </c>
      <c r="I21" s="12">
        <f>IFERROR(($U8/$J8)*I8,0)</f>
        <v>0</v>
      </c>
      <c r="J21" s="12">
        <f si="5" t="shared"/>
        <v>36075.999999999993</v>
      </c>
      <c r="K21" s="12"/>
      <c r="L21">
        <f>$A$8</f>
        <v>2</v>
      </c>
      <c r="M21" s="12">
        <f ref="M21:T21" si="10" t="shared">M8</f>
        <v>643</v>
      </c>
      <c r="N21" s="12">
        <f si="10" t="shared"/>
        <v>33253</v>
      </c>
      <c r="O21" s="12">
        <f si="10" t="shared"/>
        <v>7</v>
      </c>
      <c r="P21" s="12">
        <f si="10" t="shared"/>
        <v>1</v>
      </c>
      <c r="Q21" s="12">
        <f si="10" t="shared"/>
        <v>1879</v>
      </c>
      <c r="R21" s="12">
        <f si="10" t="shared"/>
        <v>11</v>
      </c>
      <c r="S21" s="12">
        <f si="10" t="shared"/>
        <v>282</v>
      </c>
      <c r="T21" s="12">
        <f si="10" t="shared"/>
        <v>0</v>
      </c>
      <c r="U21" s="12">
        <f si="7" t="shared"/>
        <v>36076</v>
      </c>
    </row>
    <row r="22" spans="1:32" x14ac:dyDescent="0.25">
      <c r="A22">
        <f>$A$9</f>
        <v>3</v>
      </c>
      <c r="B22" s="12">
        <f si="8" t="shared"/>
        <v>137.34464572345792</v>
      </c>
      <c r="C22" s="12">
        <f si="8" t="shared"/>
        <v>0</v>
      </c>
      <c r="D22" s="12">
        <f si="8" t="shared"/>
        <v>19434.267369869296</v>
      </c>
      <c r="E22" s="12">
        <f si="8" t="shared"/>
        <v>925.35955056179785</v>
      </c>
      <c r="F22" s="12">
        <f si="8" t="shared"/>
        <v>1655.002980967668</v>
      </c>
      <c r="G22" s="12">
        <f si="8" t="shared"/>
        <v>0</v>
      </c>
      <c r="H22" s="12">
        <f si="9" t="shared"/>
        <v>309.02545287778037</v>
      </c>
      <c r="I22" s="12">
        <f>IFERROR(($U9/$J9)*I9,0)</f>
        <v>0</v>
      </c>
      <c r="J22" s="12">
        <f si="5" t="shared"/>
        <v>22461</v>
      </c>
      <c r="K22" s="13"/>
      <c r="L22">
        <f>$A$9</f>
        <v>3</v>
      </c>
      <c r="M22" s="12">
        <f ref="M22:T22" si="11" t="shared">M9</f>
        <v>49</v>
      </c>
      <c r="N22" s="12">
        <f si="11" t="shared"/>
        <v>14</v>
      </c>
      <c r="O22" s="12">
        <f si="11" t="shared"/>
        <v>18745</v>
      </c>
      <c r="P22" s="12">
        <f si="11" t="shared"/>
        <v>915</v>
      </c>
      <c r="Q22" s="12">
        <f si="11" t="shared"/>
        <v>2591</v>
      </c>
      <c r="R22" s="12">
        <f si="11" t="shared"/>
        <v>1</v>
      </c>
      <c r="S22" s="12">
        <f si="11" t="shared"/>
        <v>146</v>
      </c>
      <c r="T22" s="12">
        <f si="11" t="shared"/>
        <v>0</v>
      </c>
      <c r="U22" s="12">
        <f si="7" t="shared"/>
        <v>22461</v>
      </c>
    </row>
    <row r="23" spans="1:32" x14ac:dyDescent="0.25">
      <c r="A23">
        <f>$A$10</f>
        <v>4</v>
      </c>
      <c r="B23" s="12">
        <f si="8" t="shared"/>
        <v>179.12745681953544</v>
      </c>
      <c r="C23" s="12">
        <f si="8" t="shared"/>
        <v>0</v>
      </c>
      <c r="D23" s="12">
        <f si="8" t="shared"/>
        <v>413.37105419892794</v>
      </c>
      <c r="E23" s="12">
        <f si="8" t="shared"/>
        <v>7790.6664681357952</v>
      </c>
      <c r="F23" s="12">
        <f si="8" t="shared"/>
        <v>591.12060750446688</v>
      </c>
      <c r="G23" s="12">
        <f si="8" t="shared"/>
        <v>0</v>
      </c>
      <c r="H23" s="12">
        <f si="9" t="shared"/>
        <v>279.71441334127456</v>
      </c>
      <c r="I23" s="12">
        <f>IFERROR(($U10/$J10)*I10,0)</f>
        <v>0</v>
      </c>
      <c r="J23" s="12">
        <f si="5" t="shared"/>
        <v>9254</v>
      </c>
      <c r="K23" s="13"/>
      <c r="L23">
        <f>$A$10</f>
        <v>4</v>
      </c>
      <c r="M23" s="12">
        <f ref="M23:T23" si="12" t="shared">M10</f>
        <v>21</v>
      </c>
      <c r="N23" s="12">
        <f si="12" t="shared"/>
        <v>3</v>
      </c>
      <c r="O23" s="12">
        <f si="12" t="shared"/>
        <v>805</v>
      </c>
      <c r="P23" s="12">
        <f si="12" t="shared"/>
        <v>7527</v>
      </c>
      <c r="Q23" s="12">
        <f si="12" t="shared"/>
        <v>895</v>
      </c>
      <c r="R23" s="12">
        <f si="12" t="shared"/>
        <v>0</v>
      </c>
      <c r="S23" s="12">
        <f si="12" t="shared"/>
        <v>3</v>
      </c>
      <c r="T23" s="12">
        <f si="12" t="shared"/>
        <v>0</v>
      </c>
      <c r="U23" s="12">
        <f si="7" t="shared"/>
        <v>9254</v>
      </c>
    </row>
    <row r="24" spans="1:32" x14ac:dyDescent="0.25">
      <c r="A24">
        <f>$A$11</f>
        <v>5</v>
      </c>
      <c r="B24" s="12">
        <f si="8" t="shared"/>
        <v>4834.816072060732</v>
      </c>
      <c r="C24" s="12">
        <f si="8" t="shared"/>
        <v>995.3063761161153</v>
      </c>
      <c r="D24" s="12">
        <f si="8" t="shared"/>
        <v>3995.5069425323527</v>
      </c>
      <c r="E24" s="12">
        <f si="8" t="shared"/>
        <v>0</v>
      </c>
      <c r="F24" s="12">
        <f si="8" t="shared"/>
        <v>73535.124611572202</v>
      </c>
      <c r="G24" s="12">
        <f si="8" t="shared"/>
        <v>114.25150454313024</v>
      </c>
      <c r="H24" s="12">
        <f si="9" t="shared"/>
        <v>311.99449317547101</v>
      </c>
      <c r="I24" s="12">
        <f>IFERROR(($U11/$J11)*I11,0)</f>
        <v>0</v>
      </c>
      <c r="J24" s="12">
        <f si="5" t="shared"/>
        <v>83787.000000000015</v>
      </c>
      <c r="K24" s="13"/>
      <c r="L24">
        <f>$A$11</f>
        <v>5</v>
      </c>
      <c r="M24" s="12">
        <f ref="M24:T24" si="13" t="shared">M11</f>
        <v>4699</v>
      </c>
      <c r="N24" s="12">
        <f si="13" t="shared"/>
        <v>1411</v>
      </c>
      <c r="O24" s="12">
        <f si="13" t="shared"/>
        <v>539</v>
      </c>
      <c r="P24" s="12">
        <f si="13" t="shared"/>
        <v>151</v>
      </c>
      <c r="Q24" s="12">
        <f si="13" t="shared"/>
        <v>76152</v>
      </c>
      <c r="R24" s="12">
        <f si="13" t="shared"/>
        <v>18</v>
      </c>
      <c r="S24" s="12">
        <f si="13" t="shared"/>
        <v>817</v>
      </c>
      <c r="T24" s="12">
        <f si="13" t="shared"/>
        <v>0</v>
      </c>
      <c r="U24" s="12">
        <f si="7" t="shared"/>
        <v>83787</v>
      </c>
    </row>
    <row r="25" spans="1:32" x14ac:dyDescent="0.25">
      <c r="A25">
        <f>$A$12</f>
        <v>6</v>
      </c>
      <c r="B25" s="12">
        <f si="8" t="shared"/>
        <v>773.13333333333333</v>
      </c>
      <c r="C25" s="12">
        <f si="8" t="shared"/>
        <v>0</v>
      </c>
      <c r="D25" s="12">
        <f si="8" t="shared"/>
        <v>0</v>
      </c>
      <c r="E25" s="12">
        <f si="8" t="shared"/>
        <v>0</v>
      </c>
      <c r="F25" s="12">
        <f si="8" t="shared"/>
        <v>1058.5597645799892</v>
      </c>
      <c r="G25" s="12">
        <f si="8" t="shared"/>
        <v>9765.3069020866769</v>
      </c>
      <c r="H25" s="12">
        <f si="9" t="shared"/>
        <v>0</v>
      </c>
      <c r="I25" s="12">
        <f>IFERROR(($U12/$J12)*I12,0)</f>
        <v>0</v>
      </c>
      <c r="J25" s="12">
        <f si="5" t="shared"/>
        <v>11597</v>
      </c>
      <c r="K25" s="13"/>
      <c r="L25">
        <f>$A$12</f>
        <v>6</v>
      </c>
      <c r="M25" s="12">
        <f ref="M25:T26" si="14" t="shared">M12</f>
        <v>672</v>
      </c>
      <c r="N25" s="12">
        <f si="14" t="shared"/>
        <v>31</v>
      </c>
      <c r="O25" s="12">
        <f si="14" t="shared"/>
        <v>0</v>
      </c>
      <c r="P25" s="12">
        <f si="14" t="shared"/>
        <v>0</v>
      </c>
      <c r="Q25" s="12">
        <f si="14" t="shared"/>
        <v>55</v>
      </c>
      <c r="R25" s="12">
        <f si="14" t="shared"/>
        <v>10839</v>
      </c>
      <c r="S25" s="12">
        <f si="14" t="shared"/>
        <v>0</v>
      </c>
      <c r="T25" s="12">
        <f si="14" t="shared"/>
        <v>0</v>
      </c>
      <c r="U25" s="12">
        <f si="7" t="shared"/>
        <v>11597</v>
      </c>
    </row>
    <row r="26" spans="1:32" x14ac:dyDescent="0.25">
      <c r="A26">
        <v>7</v>
      </c>
      <c r="B26" s="12">
        <f>IFERROR(($U13/$J13)*B13,0)</f>
        <v>866.39806431470492</v>
      </c>
      <c r="C26" s="12">
        <f ref="C26:G26" si="15" t="shared">IFERROR(($U13/$J13)*C13,0)</f>
        <v>483.60068685607246</v>
      </c>
      <c r="D26" s="12">
        <f si="15" t="shared"/>
        <v>176.08679363097096</v>
      </c>
      <c r="E26" s="12">
        <f si="15" t="shared"/>
        <v>0</v>
      </c>
      <c r="F26" s="12">
        <f si="15" t="shared"/>
        <v>3214.2219793943177</v>
      </c>
      <c r="G26" s="12">
        <f si="15" t="shared"/>
        <v>0</v>
      </c>
      <c r="H26" s="12">
        <f si="9" t="shared"/>
        <v>11607.692475803933</v>
      </c>
      <c r="I26" s="12"/>
      <c r="J26" s="12">
        <f si="5" t="shared"/>
        <v>16348</v>
      </c>
      <c r="K26" s="13"/>
      <c r="L26">
        <v>7</v>
      </c>
      <c r="M26" s="12">
        <f si="14" t="shared"/>
        <v>141</v>
      </c>
      <c r="N26" s="12">
        <f si="14" t="shared"/>
        <v>622</v>
      </c>
      <c r="O26" s="12">
        <f si="14" t="shared"/>
        <v>303</v>
      </c>
      <c r="P26" s="12">
        <f si="14" t="shared"/>
        <v>4</v>
      </c>
      <c r="Q26" s="12">
        <f si="14" t="shared"/>
        <v>3444</v>
      </c>
      <c r="R26" s="12">
        <f si="14" t="shared"/>
        <v>1</v>
      </c>
      <c r="S26" s="12">
        <f si="14" t="shared"/>
        <v>11833</v>
      </c>
      <c r="T26" s="12">
        <f si="14" t="shared"/>
        <v>0</v>
      </c>
      <c r="U26" s="12">
        <f si="7" t="shared"/>
        <v>16348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>IFERROR(($U14/$J14)*I14,0)</f>
        <v>0</v>
      </c>
      <c r="J27" s="14">
        <f si="5" t="shared"/>
        <v>0</v>
      </c>
      <c r="K27" s="12"/>
      <c r="L27" s="293" t="s">
        <v>13</v>
      </c>
      <c r="M27" s="14">
        <f ref="M27:T27" si="16" t="shared">M14</f>
        <v>0</v>
      </c>
      <c r="N27" s="14">
        <f si="16" t="shared"/>
        <v>0</v>
      </c>
      <c r="O27" s="14">
        <f si="16" t="shared"/>
        <v>0</v>
      </c>
      <c r="P27" s="14">
        <f si="16" t="shared"/>
        <v>0</v>
      </c>
      <c r="Q27" s="14">
        <f si="16" t="shared"/>
        <v>0</v>
      </c>
      <c r="R27" s="12">
        <f si="16" t="shared"/>
        <v>0</v>
      </c>
      <c r="S27" s="12">
        <f si="16" t="shared"/>
        <v>0</v>
      </c>
      <c r="T27" s="14">
        <f si="16" t="shared"/>
        <v>0</v>
      </c>
      <c r="U27" s="14">
        <f ref="U27:U28" si="17" t="shared">U14</f>
        <v>0</v>
      </c>
    </row>
    <row ht="15.75" r="28" spans="1:32" thickBot="1" x14ac:dyDescent="0.3">
      <c r="A28" s="1" t="s">
        <v>4</v>
      </c>
      <c r="B28" s="15">
        <f ref="B28:J28" si="18" t="shared">SUM(B20:B27)</f>
        <v>29023.475975621252</v>
      </c>
      <c r="C28" s="15">
        <f si="18" t="shared"/>
        <v>35269.122088096738</v>
      </c>
      <c r="D28" s="15">
        <f si="18" t="shared"/>
        <v>24386.203161266563</v>
      </c>
      <c r="E28" s="15">
        <f si="18" t="shared"/>
        <v>8716.0260186975938</v>
      </c>
      <c r="F28" s="15">
        <f si="18" t="shared"/>
        <v>86797.143977789194</v>
      </c>
      <c r="G28" s="15">
        <f si="18" t="shared"/>
        <v>9982.8973172079823</v>
      </c>
      <c r="H28" s="379">
        <f si="18" t="shared"/>
        <v>13141.131461320689</v>
      </c>
      <c r="I28" s="15">
        <f si="18" t="shared"/>
        <v>0</v>
      </c>
      <c r="J28" s="15">
        <f si="18" t="shared"/>
        <v>207316</v>
      </c>
      <c r="K28" s="12"/>
      <c r="L28" s="15" t="s">
        <v>4</v>
      </c>
      <c r="M28" s="15">
        <f ref="M28:T28" si="19" t="shared">M15</f>
        <v>28529</v>
      </c>
      <c r="N28" s="15">
        <f si="19" t="shared"/>
        <v>35881</v>
      </c>
      <c r="O28" s="15">
        <f si="19" t="shared"/>
        <v>20405</v>
      </c>
      <c r="P28" s="15">
        <f si="19" t="shared"/>
        <v>8599</v>
      </c>
      <c r="Q28" s="15">
        <f si="19" t="shared"/>
        <v>88746</v>
      </c>
      <c r="R28" s="379">
        <f si="19" t="shared"/>
        <v>12061</v>
      </c>
      <c r="S28" s="379">
        <f si="19" t="shared"/>
        <v>13095</v>
      </c>
      <c r="T28" s="15">
        <f si="19" t="shared"/>
        <v>0</v>
      </c>
      <c r="U28" s="15">
        <f si="17" t="shared"/>
        <v>207316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0" t="shared">IFERROR(B20/$J$28,0)</f>
        <v>0.10430791847994739</v>
      </c>
      <c r="C33" s="16">
        <f si="20" t="shared"/>
        <v>5.383377232072216E-4</v>
      </c>
      <c r="D33" s="16">
        <f si="20" t="shared"/>
        <v>1.6299669952663097E-3</v>
      </c>
      <c r="E33" s="16">
        <f si="20" t="shared"/>
        <v>0</v>
      </c>
      <c r="F33" s="16">
        <f si="20" t="shared"/>
        <v>2.7086362851000387E-2</v>
      </c>
      <c r="G33" s="16">
        <f si="20" t="shared"/>
        <v>4.9846085482150139E-4</v>
      </c>
      <c r="H33" s="16">
        <f si="20" t="shared"/>
        <v>0</v>
      </c>
      <c r="I33" s="16">
        <f si="20" t="shared"/>
        <v>0</v>
      </c>
      <c r="J33" s="16">
        <f ref="J33:J41" si="21" t="shared">J20/$J$28</f>
        <v>0.13406104690424284</v>
      </c>
      <c r="K33" s="12"/>
      <c r="L33">
        <f>$A$7</f>
        <v>1</v>
      </c>
      <c r="M33" s="16">
        <f ref="M33:T33" si="22" t="shared">IFERROR(M20/$U$28,0)</f>
        <v>0.10758455690829459</v>
      </c>
      <c r="N33" s="16">
        <f si="22" t="shared"/>
        <v>2.6384842462713926E-3</v>
      </c>
      <c r="O33" s="16">
        <f si="22" t="shared"/>
        <v>2.8941326284512531E-5</v>
      </c>
      <c r="P33" s="16">
        <f si="22" t="shared"/>
        <v>4.823554380752089E-6</v>
      </c>
      <c r="Q33" s="16">
        <f si="22" t="shared"/>
        <v>1.7991857840205291E-2</v>
      </c>
      <c r="R33" s="16">
        <f si="22" t="shared"/>
        <v>5.7448532674757372E-3</v>
      </c>
      <c r="S33" s="16">
        <f si="22" t="shared"/>
        <v>6.7529761330529243E-5</v>
      </c>
      <c r="T33" s="16">
        <f si="22" t="shared"/>
        <v>0</v>
      </c>
      <c r="U33" s="16">
        <f ref="U33:U41" si="23" t="shared">U20/$U$28</f>
        <v>0.13406104690424281</v>
      </c>
      <c r="W33">
        <f>$A$7</f>
        <v>1</v>
      </c>
      <c r="X33" s="16">
        <f ref="X33:AF33" si="24" t="shared">M33-B33</f>
        <v>3.2766384283472033E-3</v>
      </c>
      <c r="Y33" s="16">
        <f si="24" t="shared"/>
        <v>2.1001465230641708E-3</v>
      </c>
      <c r="Z33" s="16">
        <f si="24" t="shared"/>
        <v>-1.6010256689817973E-3</v>
      </c>
      <c r="AA33" s="16">
        <f si="24" t="shared"/>
        <v>4.823554380752089E-6</v>
      </c>
      <c r="AB33" s="16">
        <f si="24" t="shared"/>
        <v>-9.0945050107950967E-3</v>
      </c>
      <c r="AC33" s="16">
        <f si="24" t="shared"/>
        <v>5.2463924126542362E-3</v>
      </c>
      <c r="AD33" s="16">
        <f si="24" t="shared"/>
        <v>6.7529761330529243E-5</v>
      </c>
      <c r="AE33" s="16">
        <f si="24" t="shared"/>
        <v>0</v>
      </c>
      <c r="AF33" s="16">
        <f si="24" t="shared"/>
        <v>0</v>
      </c>
    </row>
    <row r="34" spans="1:32" x14ac:dyDescent="0.25">
      <c r="A34">
        <f>$A$8</f>
        <v>2</v>
      </c>
      <c r="B34" s="16">
        <f ref="B34:G38" si="25" t="shared">IFERROR(B21/$J$28,0)</f>
        <v>2.9325087102814737E-3</v>
      </c>
      <c r="C34" s="16">
        <f si="25" t="shared"/>
        <v>0.16245060198778732</v>
      </c>
      <c r="D34" s="16">
        <f si="25" t="shared"/>
        <v>1.4013758438513236E-4</v>
      </c>
      <c r="E34" s="16">
        <f si="25" t="shared"/>
        <v>0</v>
      </c>
      <c r="F34" s="16">
        <f si="25" t="shared"/>
        <v>5.4394143865043971E-3</v>
      </c>
      <c r="G34" s="16">
        <f si="25" t="shared"/>
        <v>0</v>
      </c>
      <c r="H34" s="16">
        <f ref="H34:H40" si="26" t="shared">IFERROR(H21/$J$28,0)</f>
        <v>3.0518851710539937E-3</v>
      </c>
      <c r="I34" s="16">
        <f ref="I34:I40" si="27" t="shared">IFERROR(I21/$J$28,0)</f>
        <v>0</v>
      </c>
      <c r="J34" s="16">
        <f si="21" t="shared"/>
        <v>0.1740145478400123</v>
      </c>
      <c r="K34" s="12"/>
      <c r="L34">
        <f>$A$8</f>
        <v>2</v>
      </c>
      <c r="M34" s="16">
        <f ref="M34:Q38" si="28" t="shared">IFERROR(M21/$U$28,0)</f>
        <v>3.1015454668235931E-3</v>
      </c>
      <c r="N34" s="16">
        <f si="28" t="shared"/>
        <v>0.16039765382314919</v>
      </c>
      <c r="O34" s="16">
        <f si="28" t="shared"/>
        <v>3.3764880665264621E-5</v>
      </c>
      <c r="P34" s="16">
        <f si="28" t="shared"/>
        <v>4.823554380752089E-6</v>
      </c>
      <c r="Q34" s="16">
        <f si="28" t="shared"/>
        <v>9.0634586814331737E-3</v>
      </c>
      <c r="R34" s="16">
        <f ref="R34:S34" si="29" t="shared">IFERROR(R21/$U$28,0)</f>
        <v>5.3059098188272977E-5</v>
      </c>
      <c r="S34" s="16">
        <f si="29" t="shared"/>
        <v>1.360242335372089E-3</v>
      </c>
      <c r="T34" s="16">
        <f ref="T34:T40" si="30" t="shared">IFERROR(T21/$U$28,0)</f>
        <v>0</v>
      </c>
      <c r="U34" s="16">
        <f si="23" t="shared"/>
        <v>0.17401454784001236</v>
      </c>
      <c r="W34">
        <f>$A$8</f>
        <v>2</v>
      </c>
      <c r="X34" s="16">
        <f ref="X34:X40" si="31" t="shared">M34-B34</f>
        <v>1.6903675654211933E-4</v>
      </c>
      <c r="Y34" s="16">
        <f ref="Y34:Y40" si="32" t="shared">N34-C34</f>
        <v>-2.0529481646381353E-3</v>
      </c>
      <c r="Z34" s="16">
        <f ref="Z34:Z40" si="33" t="shared">O34-D34</f>
        <v>-1.0637270371986773E-4</v>
      </c>
      <c r="AA34" s="16">
        <f ref="AA34:AA40" si="34" t="shared">P34-E34</f>
        <v>4.823554380752089E-6</v>
      </c>
      <c r="AB34" s="16">
        <f ref="AB34:AB40" si="35" t="shared">Q34-F34</f>
        <v>3.6240442949287766E-3</v>
      </c>
      <c r="AC34" s="16">
        <f ref="AC34:AC40" si="36" t="shared">R34-G34</f>
        <v>5.3059098188272977E-5</v>
      </c>
      <c r="AD34" s="16">
        <f ref="AD34:AD40" si="37" t="shared">S34-H34</f>
        <v>-1.6916428356819047E-3</v>
      </c>
      <c r="AE34" s="16">
        <f ref="AE34:AE40" si="38" t="shared">T34-I34</f>
        <v>0</v>
      </c>
      <c r="AF34" s="16">
        <f ref="AF34:AF41" si="39" t="shared">U34-J34</f>
        <v>0</v>
      </c>
    </row>
    <row r="35" spans="1:32" x14ac:dyDescent="0.25">
      <c r="A35">
        <f>$A$9</f>
        <v>3</v>
      </c>
      <c r="B35" s="16">
        <f si="25" t="shared"/>
        <v>6.6248936755222904E-4</v>
      </c>
      <c r="C35" s="16">
        <f si="25" t="shared"/>
        <v>0</v>
      </c>
      <c r="D35" s="16">
        <f si="25" t="shared"/>
        <v>9.3742245508640409E-2</v>
      </c>
      <c r="E35" s="16">
        <f si="25" t="shared"/>
        <v>4.4635221138831435E-3</v>
      </c>
      <c r="F35" s="16">
        <f si="25" t="shared"/>
        <v>7.9829968790043598E-3</v>
      </c>
      <c r="G35" s="16">
        <f si="25" t="shared"/>
        <v>0</v>
      </c>
      <c r="H35" s="16">
        <f si="26" t="shared"/>
        <v>1.4906010769925157E-3</v>
      </c>
      <c r="I35" s="16">
        <f si="27" t="shared"/>
        <v>0</v>
      </c>
      <c r="J35" s="16">
        <f si="21" t="shared"/>
        <v>0.10834185494607267</v>
      </c>
      <c r="K35" s="13"/>
      <c r="L35">
        <f>$A$9</f>
        <v>3</v>
      </c>
      <c r="M35" s="16">
        <f si="28" t="shared"/>
        <v>2.3635416465685234E-4</v>
      </c>
      <c r="N35" s="16">
        <f si="28" t="shared"/>
        <v>6.7529761330529243E-5</v>
      </c>
      <c r="O35" s="16">
        <f si="28" t="shared"/>
        <v>9.0417526867197895E-2</v>
      </c>
      <c r="P35" s="16">
        <f si="28" t="shared"/>
        <v>4.413552258388161E-3</v>
      </c>
      <c r="Q35" s="16">
        <f si="28" t="shared"/>
        <v>1.2497829400528661E-2</v>
      </c>
      <c r="R35" s="16">
        <f ref="R35:S35" si="40" t="shared">IFERROR(R22/$U$28,0)</f>
        <v>4.823554380752089E-6</v>
      </c>
      <c r="S35" s="16">
        <f si="40" t="shared"/>
        <v>7.0423893958980498E-4</v>
      </c>
      <c r="T35" s="16">
        <f si="30" t="shared"/>
        <v>0</v>
      </c>
      <c r="U35" s="16">
        <f si="23" t="shared"/>
        <v>0.10834185494607267</v>
      </c>
      <c r="W35">
        <f>$A$9</f>
        <v>3</v>
      </c>
      <c r="X35" s="16">
        <f si="31" t="shared"/>
        <v>-4.2613520289537673E-4</v>
      </c>
      <c r="Y35" s="16">
        <f si="32" t="shared"/>
        <v>6.7529761330529243E-5</v>
      </c>
      <c r="Z35" s="16">
        <f si="33" t="shared"/>
        <v>-3.3247186414425145E-3</v>
      </c>
      <c r="AA35" s="16">
        <f si="34" t="shared"/>
        <v>-4.9969855494982549E-5</v>
      </c>
      <c r="AB35" s="16">
        <f si="35" t="shared"/>
        <v>4.514832521524301E-3</v>
      </c>
      <c r="AC35" s="16">
        <f si="36" t="shared"/>
        <v>4.823554380752089E-6</v>
      </c>
      <c r="AD35" s="16">
        <f si="37" t="shared"/>
        <v>-7.8636213740271071E-4</v>
      </c>
      <c r="AE35" s="16">
        <f si="38" t="shared"/>
        <v>0</v>
      </c>
      <c r="AF35" s="16">
        <f si="39" t="shared"/>
        <v>0</v>
      </c>
    </row>
    <row r="36" spans="1:32" x14ac:dyDescent="0.25">
      <c r="A36">
        <f>$A$10</f>
        <v>4</v>
      </c>
      <c r="B36" s="16">
        <f si="25" t="shared"/>
        <v>8.6403102905485078E-4</v>
      </c>
      <c r="C36" s="16">
        <f si="25" t="shared"/>
        <v>0</v>
      </c>
      <c r="D36" s="16">
        <f si="25" t="shared"/>
        <v>1.9939177593573478E-3</v>
      </c>
      <c r="E36" s="16">
        <f si="25" t="shared"/>
        <v>3.757870337135482E-2</v>
      </c>
      <c r="F36" s="16">
        <f si="25" t="shared"/>
        <v>2.8513023958810072E-3</v>
      </c>
      <c r="G36" s="16">
        <f si="25" t="shared"/>
        <v>0</v>
      </c>
      <c r="H36" s="16">
        <f si="26" t="shared"/>
        <v>1.3492176838318054E-3</v>
      </c>
      <c r="I36" s="16">
        <f si="27" t="shared"/>
        <v>0</v>
      </c>
      <c r="J36" s="16">
        <f si="21" t="shared"/>
        <v>4.4637172239479828E-2</v>
      </c>
      <c r="K36" s="13"/>
      <c r="L36">
        <f>$A$10</f>
        <v>4</v>
      </c>
      <c r="M36" s="16">
        <f si="28" t="shared"/>
        <v>1.0129464199579386E-4</v>
      </c>
      <c r="N36" s="16">
        <f si="28" t="shared"/>
        <v>1.4470663142256265E-5</v>
      </c>
      <c r="O36" s="16">
        <f si="28" t="shared"/>
        <v>3.8829612765054313E-3</v>
      </c>
      <c r="P36" s="16">
        <f si="28" t="shared"/>
        <v>3.6306893823920973E-2</v>
      </c>
      <c r="Q36" s="16">
        <f si="28" t="shared"/>
        <v>4.3170811707731191E-3</v>
      </c>
      <c r="R36" s="16">
        <f ref="R36:S36" si="41" t="shared">IFERROR(R23/$U$28,0)</f>
        <v>0</v>
      </c>
      <c r="S36" s="16">
        <f si="41" t="shared"/>
        <v>1.4470663142256265E-5</v>
      </c>
      <c r="T36" s="16">
        <f si="30" t="shared"/>
        <v>0</v>
      </c>
      <c r="U36" s="16">
        <f si="23" t="shared"/>
        <v>4.4637172239479828E-2</v>
      </c>
      <c r="W36">
        <f>$A$10</f>
        <v>4</v>
      </c>
      <c r="X36" s="16">
        <f si="31" t="shared"/>
        <v>-7.6273638705905687E-4</v>
      </c>
      <c r="Y36" s="16">
        <f si="32" t="shared"/>
        <v>1.4470663142256265E-5</v>
      </c>
      <c r="Z36" s="16">
        <f si="33" t="shared"/>
        <v>1.8890435171480834E-3</v>
      </c>
      <c r="AA36" s="16">
        <f si="34" t="shared"/>
        <v>-1.271809547433847E-3</v>
      </c>
      <c r="AB36" s="16">
        <f si="35" t="shared"/>
        <v>1.4657787748921119E-3</v>
      </c>
      <c r="AC36" s="16">
        <f si="36" t="shared"/>
        <v>0</v>
      </c>
      <c r="AD36" s="16">
        <f si="37" t="shared"/>
        <v>-1.3347470206895491E-3</v>
      </c>
      <c r="AE36" s="16">
        <f si="38" t="shared"/>
        <v>0</v>
      </c>
      <c r="AF36" s="16">
        <f si="39" t="shared"/>
        <v>0</v>
      </c>
    </row>
    <row r="37" spans="1:32" x14ac:dyDescent="0.25">
      <c r="A37">
        <f>$A$11</f>
        <v>5</v>
      </c>
      <c r="B37" s="16">
        <f si="25" t="shared"/>
        <v>2.332099824451915E-2</v>
      </c>
      <c r="C37" s="16">
        <f si="25" t="shared"/>
        <v>4.800914430705374E-3</v>
      </c>
      <c r="D37" s="16">
        <f si="25" t="shared"/>
        <v>1.9272545015977312E-2</v>
      </c>
      <c r="E37" s="16">
        <f si="25" t="shared"/>
        <v>0</v>
      </c>
      <c r="F37" s="16">
        <f si="25" t="shared"/>
        <v>0.35470067245929982</v>
      </c>
      <c r="G37" s="16">
        <f si="25" t="shared"/>
        <v>5.5109834524653305E-4</v>
      </c>
      <c r="H37" s="16">
        <f si="26" t="shared"/>
        <v>1.5049224043270709E-3</v>
      </c>
      <c r="I37" s="16">
        <f si="27" t="shared"/>
        <v>0</v>
      </c>
      <c r="J37" s="16">
        <f si="21" t="shared"/>
        <v>0.40415115090007531</v>
      </c>
      <c r="K37" s="13"/>
      <c r="L37">
        <f>$A$11</f>
        <v>5</v>
      </c>
      <c r="M37" s="16">
        <f si="28" t="shared"/>
        <v>2.2665882035154065E-2</v>
      </c>
      <c r="N37" s="16">
        <f si="28" t="shared"/>
        <v>6.8060352312411974E-3</v>
      </c>
      <c r="O37" s="16">
        <f si="28" t="shared"/>
        <v>2.5998958112253756E-3</v>
      </c>
      <c r="P37" s="16">
        <f si="28" t="shared"/>
        <v>7.2835671149356533E-4</v>
      </c>
      <c r="Q37" s="16">
        <f si="28" t="shared"/>
        <v>0.36732331320303307</v>
      </c>
      <c r="R37" s="16">
        <f ref="R37:S37" si="42" t="shared">IFERROR(R24/$U$28,0)</f>
        <v>8.6823978853537592E-5</v>
      </c>
      <c r="S37" s="16">
        <f si="42" t="shared"/>
        <v>3.9408439290744566E-3</v>
      </c>
      <c r="T37" s="16">
        <f si="30" t="shared"/>
        <v>0</v>
      </c>
      <c r="U37" s="16">
        <f si="23" t="shared"/>
        <v>0.40415115090007525</v>
      </c>
      <c r="W37">
        <f>$A$11</f>
        <v>5</v>
      </c>
      <c r="X37" s="16">
        <f si="31" t="shared"/>
        <v>-6.5511620936508502E-4</v>
      </c>
      <c r="Y37" s="16">
        <f si="32" t="shared"/>
        <v>2.0051208005358234E-3</v>
      </c>
      <c r="Z37" s="16">
        <f si="33" t="shared"/>
        <v>-1.6672649204751935E-2</v>
      </c>
      <c r="AA37" s="16">
        <f si="34" t="shared"/>
        <v>7.2835671149356533E-4</v>
      </c>
      <c r="AB37" s="16">
        <f si="35" t="shared"/>
        <v>1.262264074373326E-2</v>
      </c>
      <c r="AC37" s="16">
        <f si="36" t="shared"/>
        <v>-4.6427436639299546E-4</v>
      </c>
      <c r="AD37" s="16">
        <f si="37" t="shared"/>
        <v>2.4359215247473859E-3</v>
      </c>
      <c r="AE37" s="16">
        <f si="38" t="shared"/>
        <v>0</v>
      </c>
      <c r="AF37" s="16">
        <f si="39" t="shared"/>
        <v>0</v>
      </c>
    </row>
    <row r="38" spans="1:32" x14ac:dyDescent="0.25">
      <c r="A38">
        <f>$A$12</f>
        <v>6</v>
      </c>
      <c r="B38" s="16">
        <f si="25" t="shared"/>
        <v>3.7292506769054648E-3</v>
      </c>
      <c r="C38" s="16">
        <f si="25" t="shared"/>
        <v>0</v>
      </c>
      <c r="D38" s="16">
        <f si="25" t="shared"/>
        <v>0</v>
      </c>
      <c r="E38" s="16">
        <f si="25" t="shared"/>
        <v>0</v>
      </c>
      <c r="F38" s="16">
        <f si="25" t="shared"/>
        <v>5.1060205897277061E-3</v>
      </c>
      <c r="G38" s="16">
        <f si="25" t="shared"/>
        <v>4.7103488886948798E-2</v>
      </c>
      <c r="H38" s="16">
        <f si="26" t="shared"/>
        <v>0</v>
      </c>
      <c r="I38" s="16">
        <f si="27" t="shared"/>
        <v>0</v>
      </c>
      <c r="J38" s="16">
        <f si="21" t="shared"/>
        <v>5.5938760153581971E-2</v>
      </c>
      <c r="K38" s="13"/>
      <c r="L38">
        <f>$A$12</f>
        <v>6</v>
      </c>
      <c r="M38" s="16">
        <f si="28" t="shared"/>
        <v>3.2414285438654034E-3</v>
      </c>
      <c r="N38" s="16">
        <f si="28" t="shared"/>
        <v>1.4953018580331475E-4</v>
      </c>
      <c r="O38" s="16">
        <f si="28" t="shared"/>
        <v>0</v>
      </c>
      <c r="P38" s="16">
        <f si="28" t="shared"/>
        <v>0</v>
      </c>
      <c r="Q38" s="16">
        <f si="28" t="shared"/>
        <v>2.652954909413649E-4</v>
      </c>
      <c r="R38" s="16">
        <f ref="R38:S38" si="43" t="shared">IFERROR(R25/$U$28,0)</f>
        <v>5.2282505932971887E-2</v>
      </c>
      <c r="S38" s="16">
        <f si="43" t="shared"/>
        <v>0</v>
      </c>
      <c r="T38" s="16">
        <f si="30" t="shared"/>
        <v>0</v>
      </c>
      <c r="U38" s="16">
        <f si="23" t="shared"/>
        <v>5.5938760153581971E-2</v>
      </c>
      <c r="W38">
        <f>$A$12</f>
        <v>6</v>
      </c>
      <c r="X38" s="16">
        <f si="31" t="shared"/>
        <v>-4.8782213304006134E-4</v>
      </c>
      <c r="Y38" s="16">
        <f si="32" t="shared"/>
        <v>1.4953018580331475E-4</v>
      </c>
      <c r="Z38" s="16">
        <f si="33" t="shared"/>
        <v>0</v>
      </c>
      <c r="AA38" s="16">
        <f si="34" t="shared"/>
        <v>0</v>
      </c>
      <c r="AB38" s="16">
        <f si="35" t="shared"/>
        <v>-4.8407250987863408E-3</v>
      </c>
      <c r="AC38" s="16">
        <f si="36" t="shared"/>
        <v>5.1790170460230892E-3</v>
      </c>
      <c r="AD38" s="16">
        <f si="37" t="shared"/>
        <v>0</v>
      </c>
      <c r="AE38" s="16">
        <f si="38" t="shared"/>
        <v>0</v>
      </c>
      <c r="AF38" s="16">
        <f si="39" t="shared"/>
        <v>0</v>
      </c>
    </row>
    <row r="39" spans="1:32" x14ac:dyDescent="0.25">
      <c r="A39">
        <v>7</v>
      </c>
      <c r="B39" s="16">
        <f>IFERROR(B26/$J$28,0)</f>
        <v>4.1791181786003245E-3</v>
      </c>
      <c r="C39" s="16">
        <f ref="C39:G39" si="44" t="shared">IFERROR(C26/$J$28,0)</f>
        <v>2.3326742116193274E-3</v>
      </c>
      <c r="D39" s="16">
        <f si="44" t="shared"/>
        <v>8.4936422481125893E-4</v>
      </c>
      <c r="E39" s="16">
        <f si="44" t="shared"/>
        <v>0</v>
      </c>
      <c r="F39" s="16">
        <f si="44" t="shared"/>
        <v>1.5503974509417111E-2</v>
      </c>
      <c r="G39" s="16">
        <f si="44" t="shared"/>
        <v>0</v>
      </c>
      <c r="H39" s="16">
        <f si="26" t="shared"/>
        <v>5.5990335892087122E-2</v>
      </c>
      <c r="I39" s="16">
        <f si="27" t="shared"/>
        <v>0</v>
      </c>
      <c r="J39" s="16">
        <f si="21" t="shared"/>
        <v>7.8855467016535147E-2</v>
      </c>
      <c r="K39" s="13"/>
      <c r="L39">
        <v>7</v>
      </c>
      <c r="M39" s="16">
        <f>IFERROR(M26/$U$28,0)</f>
        <v>6.8012116768604452E-4</v>
      </c>
      <c r="N39" s="16">
        <f ref="N39:S39" si="45" t="shared">IFERROR(N26/$U$28,0)</f>
        <v>3.0002508248277993E-3</v>
      </c>
      <c r="O39" s="16">
        <f si="45" t="shared"/>
        <v>1.4615369773678828E-3</v>
      </c>
      <c r="P39" s="16">
        <f si="45" t="shared"/>
        <v>1.9294217523008356E-5</v>
      </c>
      <c r="Q39" s="16">
        <f si="45" t="shared"/>
        <v>1.6612321287310192E-2</v>
      </c>
      <c r="R39" s="16">
        <f si="45" t="shared"/>
        <v>4.823554380752089E-6</v>
      </c>
      <c r="S39" s="16">
        <f si="45" t="shared"/>
        <v>5.7077118987439467E-2</v>
      </c>
      <c r="T39" s="16">
        <f si="30" t="shared"/>
        <v>0</v>
      </c>
      <c r="U39" s="16">
        <f si="23" t="shared"/>
        <v>7.8855467016535147E-2</v>
      </c>
      <c r="W39">
        <v>7</v>
      </c>
      <c r="X39" s="16">
        <f si="31" t="shared"/>
        <v>-3.4989970109142801E-3</v>
      </c>
      <c r="Y39" s="16">
        <f si="32" t="shared"/>
        <v>6.6757661320847187E-4</v>
      </c>
      <c r="Z39" s="16">
        <f si="33" t="shared"/>
        <v>6.1217275255662392E-4</v>
      </c>
      <c r="AA39" s="16">
        <f si="34" t="shared"/>
        <v>1.9294217523008356E-5</v>
      </c>
      <c r="AB39" s="16">
        <f si="35" t="shared"/>
        <v>1.1083467778930812E-3</v>
      </c>
      <c r="AC39" s="16">
        <f si="36" t="shared"/>
        <v>4.823554380752089E-6</v>
      </c>
      <c r="AD39" s="16">
        <f si="37" t="shared"/>
        <v>1.086783095352345E-3</v>
      </c>
      <c r="AE39" s="16">
        <f si="38" t="shared"/>
        <v>0</v>
      </c>
      <c r="AF39" s="16">
        <f si="39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>IFERROR(C27/$J$28,0)</f>
        <v>0</v>
      </c>
      <c r="D40" s="17">
        <f>IFERROR(D27/$J$28,0)</f>
        <v>0</v>
      </c>
      <c r="E40" s="17">
        <f>IFERROR(E27/$J$28,0)</f>
        <v>0</v>
      </c>
      <c r="F40" s="17">
        <f>IFERROR(F27/$J$28,0)</f>
        <v>0</v>
      </c>
      <c r="G40" s="17">
        <f>IFERROR(G27/$J$28,0)</f>
        <v>0</v>
      </c>
      <c r="H40" s="16">
        <f si="26" t="shared"/>
        <v>0</v>
      </c>
      <c r="I40" s="17">
        <f si="27" t="shared"/>
        <v>0</v>
      </c>
      <c r="J40" s="17">
        <f si="21" t="shared"/>
        <v>0</v>
      </c>
      <c r="K40" s="12"/>
      <c r="L40" s="293" t="s">
        <v>13</v>
      </c>
      <c r="M40" s="17">
        <f>IFERROR(M27/$U$28,0)</f>
        <v>0</v>
      </c>
      <c r="N40" s="17">
        <f>IFERROR(N27/$U$28,0)</f>
        <v>0</v>
      </c>
      <c r="O40" s="17">
        <f>IFERROR(O27/$U$28,0)</f>
        <v>0</v>
      </c>
      <c r="P40" s="17">
        <f>IFERROR(P27/$U$28,0)</f>
        <v>0</v>
      </c>
      <c r="Q40" s="17">
        <f>IFERROR(Q27/$U$28,0)</f>
        <v>0</v>
      </c>
      <c r="R40" s="16">
        <f ref="R40:S40" si="46" t="shared">IFERROR(R27/$U$28,0)</f>
        <v>0</v>
      </c>
      <c r="S40" s="16">
        <f si="46" t="shared"/>
        <v>0</v>
      </c>
      <c r="T40" s="17">
        <f si="30" t="shared"/>
        <v>0</v>
      </c>
      <c r="U40" s="17">
        <f si="23" t="shared"/>
        <v>0</v>
      </c>
      <c r="W40" s="293" t="s">
        <v>13</v>
      </c>
      <c r="X40" s="17">
        <f si="31" t="shared"/>
        <v>0</v>
      </c>
      <c r="Y40" s="17">
        <f si="32" t="shared"/>
        <v>0</v>
      </c>
      <c r="Z40" s="17">
        <f si="33" t="shared"/>
        <v>0</v>
      </c>
      <c r="AA40" s="17">
        <f si="34" t="shared"/>
        <v>0</v>
      </c>
      <c r="AB40" s="17">
        <f si="35" t="shared"/>
        <v>0</v>
      </c>
      <c r="AC40" s="17">
        <f si="36" t="shared"/>
        <v>0</v>
      </c>
      <c r="AD40" s="16">
        <f si="37" t="shared"/>
        <v>0</v>
      </c>
      <c r="AE40" s="17">
        <f si="38" t="shared"/>
        <v>0</v>
      </c>
      <c r="AF40" s="17">
        <f si="39" t="shared"/>
        <v>0</v>
      </c>
    </row>
    <row ht="15.75" r="41" spans="1:32" thickBot="1" x14ac:dyDescent="0.3">
      <c r="A41" s="1" t="s">
        <v>4</v>
      </c>
      <c r="B41" s="18">
        <f ref="B41:I41" si="47" t="shared">B28/$J$28</f>
        <v>0.13999631468686088</v>
      </c>
      <c r="C41" s="18">
        <f si="47" t="shared"/>
        <v>0.17012252835331926</v>
      </c>
      <c r="D41" s="18">
        <f si="47" t="shared"/>
        <v>0.11762817708843776</v>
      </c>
      <c r="E41" s="18">
        <f si="47" t="shared"/>
        <v>4.2042225485237963E-2</v>
      </c>
      <c r="F41" s="18">
        <f si="47" t="shared"/>
        <v>0.41867074407083482</v>
      </c>
      <c r="G41" s="18">
        <f si="47" t="shared"/>
        <v>4.8153048087016835E-2</v>
      </c>
      <c r="H41" s="380">
        <f si="47" t="shared"/>
        <v>6.3386962228292501E-2</v>
      </c>
      <c r="I41" s="18">
        <f si="47" t="shared"/>
        <v>0</v>
      </c>
      <c r="J41" s="18">
        <f si="21" t="shared"/>
        <v>1</v>
      </c>
      <c r="K41" s="12"/>
      <c r="L41" s="15" t="s">
        <v>4</v>
      </c>
      <c r="M41" s="18">
        <f ref="M41:T41" si="48" t="shared">M28/$U$28</f>
        <v>0.13761118292847632</v>
      </c>
      <c r="N41" s="18">
        <f si="48" t="shared"/>
        <v>0.1730739547357657</v>
      </c>
      <c r="O41" s="18">
        <f si="48" t="shared"/>
        <v>9.8424627139246365E-2</v>
      </c>
      <c r="P41" s="18">
        <f si="48" t="shared"/>
        <v>4.1477744120087208E-2</v>
      </c>
      <c r="Q41" s="18">
        <f si="48" t="shared"/>
        <v>0.42807115707422483</v>
      </c>
      <c r="R41" s="380">
        <f si="48" t="shared"/>
        <v>5.8176889386250943E-2</v>
      </c>
      <c r="S41" s="380">
        <f si="48" t="shared"/>
        <v>6.3164444615948598E-2</v>
      </c>
      <c r="T41" s="18">
        <f si="48" t="shared"/>
        <v>0</v>
      </c>
      <c r="U41" s="18">
        <f si="23" t="shared"/>
        <v>1</v>
      </c>
      <c r="W41" s="15" t="s">
        <v>4</v>
      </c>
      <c r="X41" s="18">
        <f ref="X41:AD41" si="49" t="shared">M41-B41</f>
        <v>-2.3851317583845622E-3</v>
      </c>
      <c r="Y41" s="18">
        <f si="49" t="shared"/>
        <v>2.9514263824464426E-3</v>
      </c>
      <c r="Z41" s="18">
        <f si="49" t="shared"/>
        <v>-1.9203549949191392E-2</v>
      </c>
      <c r="AA41" s="18">
        <f si="49" t="shared"/>
        <v>-5.6448136515075548E-4</v>
      </c>
      <c r="AB41" s="18">
        <f si="49" t="shared"/>
        <v>9.4004130033900068E-3</v>
      </c>
      <c r="AC41" s="18">
        <f si="49" t="shared"/>
        <v>1.0023841299234108E-2</v>
      </c>
      <c r="AD41" s="380">
        <f si="49" t="shared"/>
        <v>-2.2251761234390321E-4</v>
      </c>
      <c r="AE41" s="18">
        <f ref="AE41" si="50" t="shared">T41-I41</f>
        <v>0</v>
      </c>
      <c r="AF41" s="18">
        <f si="39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tabSelected="1" workbookViewId="0">
      <selection activeCell="J22" sqref="J22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245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J18" sqref="J1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7" t="s">
        <v>280</v>
      </c>
    </row>
    <row r="2" spans="1:4" x14ac:dyDescent="0.25">
      <c r="A2" t="s">
        <v>247</v>
      </c>
      <c r="B2" t="s">
        <v>248</v>
      </c>
      <c r="C2" t="s">
        <v>90</v>
      </c>
      <c r="D2" t="s">
        <v>249</v>
      </c>
    </row>
    <row r="3" spans="1:4" x14ac:dyDescent="0.25">
      <c r="A3">
        <v>1</v>
      </c>
      <c r="B3" t="s">
        <v>44</v>
      </c>
      <c r="C3" t="s">
        <v>266</v>
      </c>
      <c r="D3" t="s">
        <v>45</v>
      </c>
    </row>
    <row r="4" spans="1:4" x14ac:dyDescent="0.25">
      <c r="A4">
        <v>2</v>
      </c>
      <c r="B4" t="s">
        <v>47</v>
      </c>
      <c r="C4" t="s">
        <v>266</v>
      </c>
      <c r="D4" t="s">
        <v>48</v>
      </c>
    </row>
    <row r="5" spans="1:4" x14ac:dyDescent="0.25">
      <c r="A5">
        <v>3</v>
      </c>
      <c r="B5" t="s">
        <v>50</v>
      </c>
      <c r="C5" t="s">
        <v>266</v>
      </c>
      <c r="D5" t="s">
        <v>51</v>
      </c>
    </row>
    <row r="6" spans="1:4" x14ac:dyDescent="0.25">
      <c r="A6">
        <v>4</v>
      </c>
      <c r="B6" t="s">
        <v>53</v>
      </c>
      <c r="C6" t="s">
        <v>266</v>
      </c>
      <c r="D6" t="s">
        <v>54</v>
      </c>
    </row>
    <row r="7" spans="1:4" x14ac:dyDescent="0.25">
      <c r="A7">
        <v>5</v>
      </c>
      <c r="B7" t="s">
        <v>56</v>
      </c>
      <c r="C7" t="s">
        <v>266</v>
      </c>
      <c r="D7" t="s">
        <v>57</v>
      </c>
    </row>
    <row r="8" spans="1:4" x14ac:dyDescent="0.25">
      <c r="A8">
        <v>6</v>
      </c>
      <c r="B8" t="s">
        <v>58</v>
      </c>
      <c r="C8" t="s">
        <v>266</v>
      </c>
      <c r="D8" t="s">
        <v>59</v>
      </c>
    </row>
    <row r="9" spans="1:4" x14ac:dyDescent="0.25">
      <c r="A9">
        <v>7</v>
      </c>
      <c r="B9" t="s">
        <v>60</v>
      </c>
      <c r="C9" t="s">
        <v>266</v>
      </c>
      <c r="D9" t="s">
        <v>61</v>
      </c>
    </row>
    <row r="10" spans="1:4" x14ac:dyDescent="0.25">
      <c r="A10">
        <v>8</v>
      </c>
      <c r="B10" t="s">
        <v>63</v>
      </c>
      <c r="C10" t="s">
        <v>266</v>
      </c>
      <c r="D10" t="s">
        <v>64</v>
      </c>
    </row>
    <row r="11" spans="1:4" x14ac:dyDescent="0.25">
      <c r="A11">
        <v>9</v>
      </c>
      <c r="B11" t="s">
        <v>65</v>
      </c>
      <c r="C11" t="s">
        <v>266</v>
      </c>
      <c r="D11" t="s">
        <v>66</v>
      </c>
    </row>
    <row r="12" spans="1:4" x14ac:dyDescent="0.25">
      <c r="A12">
        <v>10</v>
      </c>
      <c r="B12" t="s">
        <v>67</v>
      </c>
      <c r="C12" t="s">
        <v>266</v>
      </c>
      <c r="D12" t="s">
        <v>68</v>
      </c>
    </row>
    <row r="13" spans="1:4" x14ac:dyDescent="0.25">
      <c r="A13">
        <v>11</v>
      </c>
      <c r="B13" t="s">
        <v>69</v>
      </c>
      <c r="C13" t="s">
        <v>266</v>
      </c>
      <c r="D13" t="s">
        <v>70</v>
      </c>
    </row>
    <row r="14" spans="1:4" x14ac:dyDescent="0.25">
      <c r="A14">
        <v>12</v>
      </c>
      <c r="B14" t="s">
        <v>71</v>
      </c>
      <c r="C14" t="s">
        <v>266</v>
      </c>
      <c r="D14" t="s">
        <v>72</v>
      </c>
    </row>
    <row r="15" spans="1:4" x14ac:dyDescent="0.25">
      <c r="A15">
        <v>13</v>
      </c>
      <c r="B15" t="s">
        <v>73</v>
      </c>
      <c r="C15" t="s">
        <v>266</v>
      </c>
      <c r="D15" t="s">
        <v>74</v>
      </c>
    </row>
    <row r="16" spans="1:4" x14ac:dyDescent="0.25">
      <c r="A16">
        <v>14</v>
      </c>
      <c r="B16" t="s">
        <v>75</v>
      </c>
      <c r="C16" t="s">
        <v>266</v>
      </c>
      <c r="D16" t="s">
        <v>76</v>
      </c>
    </row>
    <row r="17" spans="1:4" x14ac:dyDescent="0.25">
      <c r="A17">
        <v>15</v>
      </c>
      <c r="B17" t="s">
        <v>77</v>
      </c>
      <c r="C17" t="s">
        <v>266</v>
      </c>
      <c r="D17" t="s">
        <v>78</v>
      </c>
    </row>
    <row r="18" spans="1:4" x14ac:dyDescent="0.25">
      <c r="A18">
        <v>16</v>
      </c>
      <c r="B18" t="s">
        <v>79</v>
      </c>
      <c r="C18" t="s">
        <v>266</v>
      </c>
      <c r="D18" t="s">
        <v>80</v>
      </c>
    </row>
    <row r="19" spans="1:4" x14ac:dyDescent="0.25">
      <c r="A19">
        <v>17</v>
      </c>
      <c r="B19" t="s">
        <v>82</v>
      </c>
      <c r="C19" t="s">
        <v>266</v>
      </c>
      <c r="D19" t="s">
        <v>83</v>
      </c>
    </row>
    <row r="20" spans="1:4" x14ac:dyDescent="0.25">
      <c r="A20">
        <v>18</v>
      </c>
      <c r="B20" t="s">
        <v>85</v>
      </c>
      <c r="C20" t="s">
        <v>266</v>
      </c>
      <c r="D20" t="s">
        <v>86</v>
      </c>
    </row>
    <row r="21" spans="1:4" x14ac:dyDescent="0.25">
      <c r="A21">
        <v>19</v>
      </c>
      <c r="B21" t="s">
        <v>88</v>
      </c>
      <c r="C21" t="s">
        <v>266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246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49" t="s">
        <v>226</v>
      </c>
      <c r="B1" s="350"/>
      <c r="C1" s="350"/>
      <c r="D1" s="350"/>
      <c r="E1" s="350"/>
      <c r="F1" s="350"/>
      <c r="G1" s="350"/>
      <c r="H1" s="350" t="s">
        <v>227</v>
      </c>
      <c r="I1" s="350"/>
      <c r="J1" s="350"/>
      <c r="K1" s="351"/>
    </row>
    <row r="2" spans="1:11" x14ac:dyDescent="0.25">
      <c r="A2" s="352">
        <v>1</v>
      </c>
      <c r="B2" s="353" t="s">
        <v>253</v>
      </c>
      <c r="C2" s="353"/>
      <c r="D2" s="353"/>
      <c r="E2" s="353"/>
      <c r="F2" s="353"/>
      <c r="G2" s="353"/>
      <c r="H2" s="353"/>
      <c r="I2" s="353"/>
      <c r="J2" s="353"/>
      <c r="K2" s="354"/>
    </row>
    <row r="3" spans="1:11" x14ac:dyDescent="0.25">
      <c r="A3" s="352">
        <v>2</v>
      </c>
      <c r="B3" s="353" t="s">
        <v>228</v>
      </c>
      <c r="C3" s="353"/>
      <c r="D3" s="353"/>
      <c r="E3" s="353"/>
      <c r="F3" s="353"/>
      <c r="G3" s="353"/>
      <c r="H3" s="353"/>
      <c r="I3" s="353"/>
      <c r="J3" s="353"/>
      <c r="K3" s="354"/>
    </row>
    <row r="4" spans="1:11" x14ac:dyDescent="0.25">
      <c r="A4" s="352">
        <v>3</v>
      </c>
      <c r="B4" s="353" t="s">
        <v>229</v>
      </c>
      <c r="C4" s="353"/>
      <c r="D4" s="353"/>
      <c r="E4" s="353"/>
      <c r="F4" s="353"/>
      <c r="G4" s="353"/>
      <c r="H4" s="353"/>
      <c r="I4" s="353"/>
      <c r="J4" s="353"/>
      <c r="K4" s="354"/>
    </row>
    <row r="5" spans="1:11" x14ac:dyDescent="0.25">
      <c r="A5" s="355">
        <v>4</v>
      </c>
      <c r="B5" s="356" t="s">
        <v>230</v>
      </c>
      <c r="C5" s="356"/>
      <c r="D5" s="356"/>
      <c r="E5" s="356"/>
      <c r="F5" s="356"/>
      <c r="G5" s="356"/>
      <c r="H5" s="356"/>
      <c r="I5" s="356"/>
      <c r="J5" s="356"/>
      <c r="K5" s="357"/>
    </row>
    <row r="8" spans="1:11" x14ac:dyDescent="0.25">
      <c r="B8" t="s">
        <v>231</v>
      </c>
      <c r="C8" t="s">
        <v>232</v>
      </c>
      <c r="D8" t="s">
        <v>233</v>
      </c>
      <c r="E8" t="s">
        <v>272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333">
        <v>0.63901620370370371</v>
      </c>
      <c r="G9" t="s">
        <v>238</v>
      </c>
      <c r="H9">
        <v>5</v>
      </c>
      <c r="I9" t="s">
        <v>273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44</v>
      </c>
      <c r="D11" t="s">
        <v>240</v>
      </c>
      <c r="E11">
        <v>1</v>
      </c>
    </row>
    <row r="12" spans="1:11" x14ac:dyDescent="0.25">
      <c r="B12">
        <v>2</v>
      </c>
      <c r="C12" t="s">
        <v>47</v>
      </c>
      <c r="D12" t="s">
        <v>241</v>
      </c>
      <c r="E12">
        <v>14.646264049799999</v>
      </c>
    </row>
    <row r="13" spans="1:11" x14ac:dyDescent="0.25">
      <c r="B13">
        <v>3</v>
      </c>
      <c r="C13" t="s">
        <v>50</v>
      </c>
      <c r="D13" t="s">
        <v>241</v>
      </c>
      <c r="E13" s="334">
        <v>0.22200781244000001</v>
      </c>
    </row>
    <row r="14" spans="1:11" x14ac:dyDescent="0.25">
      <c r="B14">
        <v>4</v>
      </c>
      <c r="C14" t="s">
        <v>53</v>
      </c>
      <c r="D14" t="s">
        <v>241</v>
      </c>
      <c r="E14" s="334">
        <v>-2.8145955800000001E-2</v>
      </c>
    </row>
    <row r="15" spans="1:11" x14ac:dyDescent="0.25">
      <c r="B15">
        <v>5</v>
      </c>
      <c r="C15" t="s">
        <v>56</v>
      </c>
      <c r="D15" t="s">
        <v>241</v>
      </c>
      <c r="E15">
        <v>9.8040262330000003E-2</v>
      </c>
    </row>
    <row r="16" spans="1:11" x14ac:dyDescent="0.25">
      <c r="B16">
        <v>6</v>
      </c>
      <c r="C16" t="s">
        <v>58</v>
      </c>
      <c r="D16" t="s">
        <v>241</v>
      </c>
      <c r="E16" s="334">
        <v>0.42673478574000001</v>
      </c>
    </row>
    <row r="17" spans="2:6" x14ac:dyDescent="0.25">
      <c r="B17">
        <v>7</v>
      </c>
      <c r="C17" t="s">
        <v>60</v>
      </c>
      <c r="D17" t="s">
        <v>241</v>
      </c>
      <c r="E17">
        <v>-1.7969923454700001</v>
      </c>
    </row>
    <row r="18" spans="2:6" x14ac:dyDescent="0.25">
      <c r="B18">
        <v>8</v>
      </c>
      <c r="C18" t="s">
        <v>63</v>
      </c>
      <c r="D18" t="s">
        <v>241</v>
      </c>
      <c r="E18" s="334">
        <v>1.4351261662999999</v>
      </c>
    </row>
    <row r="19" spans="2:6" x14ac:dyDescent="0.25">
      <c r="B19">
        <v>9</v>
      </c>
      <c r="C19" t="s">
        <v>65</v>
      </c>
      <c r="D19" t="s">
        <v>241</v>
      </c>
      <c r="E19" s="334">
        <v>0.75752967669000004</v>
      </c>
    </row>
    <row r="20" spans="2:6" x14ac:dyDescent="0.25">
      <c r="B20">
        <v>10</v>
      </c>
      <c r="C20" t="s">
        <v>67</v>
      </c>
      <c r="D20" t="s">
        <v>241</v>
      </c>
      <c r="E20">
        <v>-0.30290505894999997</v>
      </c>
    </row>
    <row r="21" spans="2:6" x14ac:dyDescent="0.25">
      <c r="B21">
        <v>11</v>
      </c>
      <c r="C21" t="s">
        <v>69</v>
      </c>
      <c r="D21" t="s">
        <v>241</v>
      </c>
      <c r="E21">
        <v>-0.87303985647000004</v>
      </c>
    </row>
    <row r="22" spans="2:6" x14ac:dyDescent="0.25">
      <c r="B22">
        <v>12</v>
      </c>
      <c r="C22" t="s">
        <v>71</v>
      </c>
      <c r="D22" t="s">
        <v>241</v>
      </c>
      <c r="E22">
        <v>-1.0505382935000001</v>
      </c>
    </row>
    <row r="23" spans="2:6" x14ac:dyDescent="0.25">
      <c r="B23">
        <v>13</v>
      </c>
      <c r="C23" t="s">
        <v>73</v>
      </c>
      <c r="D23" t="s">
        <v>241</v>
      </c>
      <c r="E23">
        <v>-0.48292853740000002</v>
      </c>
    </row>
    <row r="24" spans="2:6" x14ac:dyDescent="0.25">
      <c r="B24">
        <v>14</v>
      </c>
      <c r="C24" t="s">
        <v>75</v>
      </c>
      <c r="D24" t="s">
        <v>241</v>
      </c>
      <c r="E24">
        <v>-0.23954858711999999</v>
      </c>
    </row>
    <row r="25" spans="2:6" x14ac:dyDescent="0.25">
      <c r="B25">
        <v>15</v>
      </c>
      <c r="C25" t="s">
        <v>77</v>
      </c>
      <c r="D25" t="s">
        <v>241</v>
      </c>
      <c r="E25">
        <v>1.8108489737</v>
      </c>
    </row>
    <row r="26" spans="2:6" x14ac:dyDescent="0.25">
      <c r="B26">
        <v>16</v>
      </c>
      <c r="C26" t="s">
        <v>79</v>
      </c>
      <c r="D26" t="s">
        <v>241</v>
      </c>
      <c r="E26">
        <v>0.83658874170999997</v>
      </c>
    </row>
    <row r="27" spans="2:6" x14ac:dyDescent="0.25">
      <c r="B27">
        <v>17</v>
      </c>
      <c r="C27" t="s">
        <v>82</v>
      </c>
      <c r="D27" t="s">
        <v>240</v>
      </c>
      <c r="E27">
        <v>0</v>
      </c>
    </row>
    <row r="28" spans="2:6" x14ac:dyDescent="0.25">
      <c r="B28">
        <v>18</v>
      </c>
      <c r="C28" t="s">
        <v>85</v>
      </c>
      <c r="D28" t="s">
        <v>240</v>
      </c>
      <c r="E28">
        <v>0</v>
      </c>
    </row>
    <row r="29" spans="2:6" x14ac:dyDescent="0.25">
      <c r="B29">
        <v>19</v>
      </c>
      <c r="C29" t="s">
        <v>88</v>
      </c>
      <c r="D29" t="s">
        <v>240</v>
      </c>
      <c r="E29">
        <v>0</v>
      </c>
    </row>
    <row r="30" spans="2:6" x14ac:dyDescent="0.25">
      <c r="B30">
        <v>20</v>
      </c>
      <c r="C30" t="s">
        <v>91</v>
      </c>
      <c r="D30" t="s">
        <v>241</v>
      </c>
      <c r="E30">
        <v>0.62608089853000004</v>
      </c>
      <c r="F30" s="334"/>
    </row>
    <row r="31" spans="2:6" x14ac:dyDescent="0.25">
      <c r="B31">
        <v>21</v>
      </c>
      <c r="C31" t="s">
        <v>93</v>
      </c>
      <c r="D31" t="s">
        <v>241</v>
      </c>
      <c r="E31">
        <v>-8.6146833141499997</v>
      </c>
    </row>
    <row r="32" spans="2:6" x14ac:dyDescent="0.25">
      <c r="B32">
        <v>22</v>
      </c>
      <c r="C32" t="s">
        <v>95</v>
      </c>
      <c r="D32" t="s">
        <v>241</v>
      </c>
      <c r="E32">
        <v>-4.7070055634400001</v>
      </c>
    </row>
    <row r="33" spans="2:6" x14ac:dyDescent="0.25">
      <c r="B33">
        <v>23</v>
      </c>
      <c r="C33" t="s">
        <v>97</v>
      </c>
      <c r="D33" t="s">
        <v>241</v>
      </c>
      <c r="E33">
        <v>-4.09326880388</v>
      </c>
    </row>
    <row r="34" spans="2:6" x14ac:dyDescent="0.25">
      <c r="B34">
        <v>24</v>
      </c>
      <c r="C34" t="s">
        <v>99</v>
      </c>
      <c r="D34" t="s">
        <v>241</v>
      </c>
      <c r="E34">
        <v>0.20798702908</v>
      </c>
      <c r="F34" s="334"/>
    </row>
    <row r="35" spans="2:6" x14ac:dyDescent="0.25">
      <c r="B35">
        <v>25</v>
      </c>
      <c r="C35" t="s">
        <v>102</v>
      </c>
      <c r="D35" t="s">
        <v>241</v>
      </c>
      <c r="E35">
        <v>-0.13975410125000001</v>
      </c>
      <c r="F35" s="334"/>
    </row>
    <row r="36" spans="2:6" x14ac:dyDescent="0.25">
      <c r="B36">
        <v>26</v>
      </c>
      <c r="C36" t="s">
        <v>104</v>
      </c>
      <c r="D36" t="s">
        <v>241</v>
      </c>
      <c r="E36">
        <v>0.83837490119000002</v>
      </c>
      <c r="F36" s="334"/>
    </row>
    <row r="37" spans="2:6" x14ac:dyDescent="0.25">
      <c r="B37">
        <v>27</v>
      </c>
      <c r="C37" t="s">
        <v>105</v>
      </c>
      <c r="D37" t="s">
        <v>241</v>
      </c>
      <c r="E37">
        <v>-9.2935231723499996</v>
      </c>
    </row>
    <row r="38" spans="2:6" x14ac:dyDescent="0.25">
      <c r="B38">
        <v>28</v>
      </c>
      <c r="C38" t="s">
        <v>107</v>
      </c>
      <c r="D38" t="s">
        <v>241</v>
      </c>
      <c r="E38">
        <v>-3.4981009168599999</v>
      </c>
    </row>
    <row r="39" spans="2:6" x14ac:dyDescent="0.25">
      <c r="B39">
        <v>29</v>
      </c>
      <c r="C39" t="s">
        <v>108</v>
      </c>
      <c r="D39" t="s">
        <v>241</v>
      </c>
      <c r="E39">
        <v>-3.66532113402</v>
      </c>
    </row>
    <row r="40" spans="2:6" x14ac:dyDescent="0.25">
      <c r="B40">
        <v>30</v>
      </c>
      <c r="C40" t="s">
        <v>109</v>
      </c>
      <c r="D40" t="s">
        <v>241</v>
      </c>
      <c r="E40">
        <v>-0.32381248725</v>
      </c>
      <c r="F40" s="334"/>
    </row>
    <row r="41" spans="2:6" x14ac:dyDescent="0.25">
      <c r="B41">
        <v>31</v>
      </c>
      <c r="C41" t="s">
        <v>111</v>
      </c>
      <c r="D41" t="s">
        <v>241</v>
      </c>
      <c r="E41" s="334">
        <v>0.14322267177</v>
      </c>
      <c r="F41" s="334"/>
    </row>
    <row r="42" spans="2:6" x14ac:dyDescent="0.25">
      <c r="B42">
        <v>32</v>
      </c>
      <c r="C42" t="s">
        <v>113</v>
      </c>
      <c r="D42" t="s">
        <v>241</v>
      </c>
      <c r="E42">
        <v>-0.14826541710999999</v>
      </c>
      <c r="F42" s="334"/>
    </row>
    <row r="43" spans="2:6" x14ac:dyDescent="0.25">
      <c r="B43">
        <v>33</v>
      </c>
      <c r="C43" t="s">
        <v>115</v>
      </c>
      <c r="D43" t="s">
        <v>241</v>
      </c>
      <c r="E43">
        <v>0.18525614085</v>
      </c>
      <c r="F43" s="334"/>
    </row>
    <row r="44" spans="2:6" x14ac:dyDescent="0.25">
      <c r="B44">
        <v>34</v>
      </c>
      <c r="C44" t="s">
        <v>117</v>
      </c>
      <c r="D44" t="s">
        <v>241</v>
      </c>
      <c r="E44">
        <v>-0.10344899338999999</v>
      </c>
      <c r="F44" s="334"/>
    </row>
    <row r="45" spans="2:6" x14ac:dyDescent="0.25">
      <c r="B45">
        <v>35</v>
      </c>
      <c r="C45" t="s">
        <v>120</v>
      </c>
      <c r="D45" t="s">
        <v>241</v>
      </c>
      <c r="E45" s="334">
        <v>7.5098801229999998E-2</v>
      </c>
      <c r="F45" s="334"/>
    </row>
    <row r="46" spans="2:6" x14ac:dyDescent="0.25">
      <c r="B46">
        <v>36</v>
      </c>
      <c r="C46" t="s">
        <v>122</v>
      </c>
      <c r="D46" t="s">
        <v>241</v>
      </c>
      <c r="E46" s="334">
        <v>1.1126386876900001</v>
      </c>
      <c r="F46" s="334"/>
    </row>
    <row r="47" spans="2:6" x14ac:dyDescent="0.25">
      <c r="B47">
        <v>37</v>
      </c>
      <c r="C47" t="s">
        <v>123</v>
      </c>
      <c r="D47" t="s">
        <v>241</v>
      </c>
      <c r="E47">
        <v>-7.8810597731899996</v>
      </c>
    </row>
    <row r="48" spans="2:6" x14ac:dyDescent="0.25">
      <c r="B48">
        <v>38</v>
      </c>
      <c r="C48" t="s">
        <v>125</v>
      </c>
      <c r="D48" t="s">
        <v>241</v>
      </c>
      <c r="E48">
        <v>-8.0062297029800007</v>
      </c>
    </row>
    <row r="49" spans="2:6" x14ac:dyDescent="0.25">
      <c r="B49">
        <v>39</v>
      </c>
      <c r="C49" t="s">
        <v>126</v>
      </c>
      <c r="D49" t="s">
        <v>241</v>
      </c>
      <c r="E49">
        <v>-3.4078711737399998</v>
      </c>
    </row>
    <row r="50" spans="2:6" x14ac:dyDescent="0.25">
      <c r="B50">
        <v>40</v>
      </c>
      <c r="C50" t="s">
        <v>127</v>
      </c>
      <c r="D50" t="s">
        <v>241</v>
      </c>
      <c r="E50">
        <v>-6.214086999E-2</v>
      </c>
    </row>
    <row r="51" spans="2:6" x14ac:dyDescent="0.25">
      <c r="B51">
        <v>41</v>
      </c>
      <c r="C51" t="s">
        <v>128</v>
      </c>
      <c r="D51" t="s">
        <v>241</v>
      </c>
      <c r="E51">
        <v>-0.13916826495000001</v>
      </c>
      <c r="F51" s="334"/>
    </row>
    <row r="52" spans="2:6" x14ac:dyDescent="0.25">
      <c r="B52">
        <v>42</v>
      </c>
      <c r="C52" t="s">
        <v>130</v>
      </c>
      <c r="D52" t="s">
        <v>241</v>
      </c>
      <c r="E52">
        <v>0.51094315161000003</v>
      </c>
      <c r="F52" s="334"/>
    </row>
    <row r="53" spans="2:6" x14ac:dyDescent="0.25">
      <c r="B53">
        <v>43</v>
      </c>
      <c r="C53" t="s">
        <v>132</v>
      </c>
      <c r="D53" t="s">
        <v>241</v>
      </c>
      <c r="E53">
        <v>0.71812285494999994</v>
      </c>
      <c r="F53" s="334"/>
    </row>
    <row r="54" spans="2:6" x14ac:dyDescent="0.25">
      <c r="B54">
        <v>44</v>
      </c>
      <c r="C54" t="s">
        <v>133</v>
      </c>
      <c r="D54" t="s">
        <v>241</v>
      </c>
      <c r="E54">
        <v>-15.14732909554</v>
      </c>
    </row>
    <row r="55" spans="2:6" x14ac:dyDescent="0.25">
      <c r="B55">
        <v>45</v>
      </c>
      <c r="C55" t="s">
        <v>135</v>
      </c>
      <c r="D55" t="s">
        <v>241</v>
      </c>
      <c r="E55">
        <v>-4.0821681896699999</v>
      </c>
    </row>
    <row r="56" spans="2:6" x14ac:dyDescent="0.25">
      <c r="B56">
        <v>46</v>
      </c>
      <c r="C56" t="s">
        <v>137</v>
      </c>
      <c r="D56" t="s">
        <v>241</v>
      </c>
      <c r="E56">
        <v>-1.9121090734599999</v>
      </c>
    </row>
    <row r="57" spans="2:6" x14ac:dyDescent="0.25">
      <c r="B57">
        <v>47</v>
      </c>
      <c r="C57" t="s">
        <v>139</v>
      </c>
      <c r="D57" t="s">
        <v>241</v>
      </c>
      <c r="E57">
        <v>-1.3851302912200001</v>
      </c>
    </row>
    <row r="58" spans="2:6" x14ac:dyDescent="0.25">
      <c r="B58">
        <v>48</v>
      </c>
      <c r="C58" t="s">
        <v>142</v>
      </c>
      <c r="D58" t="s">
        <v>241</v>
      </c>
      <c r="E58">
        <v>0.18770524043</v>
      </c>
      <c r="F58" s="334"/>
    </row>
    <row r="59" spans="2:6" x14ac:dyDescent="0.25">
      <c r="B59">
        <v>49</v>
      </c>
      <c r="C59" t="s">
        <v>144</v>
      </c>
      <c r="D59" t="s">
        <v>241</v>
      </c>
      <c r="E59">
        <v>0.75868423218000003</v>
      </c>
      <c r="F59" s="334"/>
    </row>
    <row r="60" spans="2:6" x14ac:dyDescent="0.25">
      <c r="B60">
        <v>50</v>
      </c>
      <c r="C60" t="s">
        <v>145</v>
      </c>
      <c r="D60" t="s">
        <v>241</v>
      </c>
      <c r="E60">
        <v>-11.41930576164</v>
      </c>
    </row>
    <row r="61" spans="2:6" x14ac:dyDescent="0.25">
      <c r="B61">
        <v>51</v>
      </c>
      <c r="C61" t="s">
        <v>146</v>
      </c>
      <c r="D61" t="s">
        <v>241</v>
      </c>
      <c r="E61">
        <v>-5.0410177787699997</v>
      </c>
    </row>
    <row r="62" spans="2:6" x14ac:dyDescent="0.25">
      <c r="B62">
        <v>52</v>
      </c>
      <c r="C62" t="s">
        <v>147</v>
      </c>
      <c r="D62" t="s">
        <v>241</v>
      </c>
      <c r="E62">
        <v>-3.9034241353299999</v>
      </c>
    </row>
    <row r="63" spans="2:6" x14ac:dyDescent="0.25">
      <c r="B63">
        <v>53</v>
      </c>
      <c r="C63" t="s">
        <v>148</v>
      </c>
      <c r="D63" t="s">
        <v>241</v>
      </c>
      <c r="E63">
        <v>-4.1009918469999997E-2</v>
      </c>
    </row>
    <row r="64" spans="2:6" x14ac:dyDescent="0.25">
      <c r="B64">
        <v>54</v>
      </c>
      <c r="C64" t="s">
        <v>149</v>
      </c>
      <c r="D64" t="s">
        <v>241</v>
      </c>
      <c r="E64">
        <v>0.21263122743000001</v>
      </c>
      <c r="F64" s="334"/>
    </row>
    <row r="65" spans="2:6" x14ac:dyDescent="0.25">
      <c r="B65">
        <v>55</v>
      </c>
      <c r="C65" t="s">
        <v>151</v>
      </c>
      <c r="D65" t="s">
        <v>241</v>
      </c>
      <c r="E65">
        <v>0.43455667627</v>
      </c>
      <c r="F65" s="334"/>
    </row>
    <row r="66" spans="2:6" x14ac:dyDescent="0.25">
      <c r="B66">
        <v>56</v>
      </c>
      <c r="C66" t="s">
        <v>152</v>
      </c>
      <c r="D66" t="s">
        <v>241</v>
      </c>
      <c r="E66">
        <v>-0.77182497547999995</v>
      </c>
      <c r="F66" s="334"/>
    </row>
    <row r="67" spans="2:6" x14ac:dyDescent="0.25">
      <c r="B67">
        <v>57</v>
      </c>
      <c r="C67" t="s">
        <v>153</v>
      </c>
      <c r="D67" t="s">
        <v>241</v>
      </c>
      <c r="E67" s="334">
        <v>7.732925786E-2</v>
      </c>
      <c r="F67" s="334"/>
    </row>
    <row r="68" spans="2:6" x14ac:dyDescent="0.25">
      <c r="B68">
        <v>70</v>
      </c>
      <c r="C68" t="s">
        <v>154</v>
      </c>
      <c r="D68" t="s">
        <v>241</v>
      </c>
      <c r="E68" s="334">
        <v>0.28212328097</v>
      </c>
      <c r="F68" s="334"/>
    </row>
    <row r="69" spans="2:6" x14ac:dyDescent="0.25">
      <c r="B69">
        <v>71</v>
      </c>
      <c r="C69" t="s">
        <v>155</v>
      </c>
      <c r="D69" t="s">
        <v>240</v>
      </c>
      <c r="E69">
        <v>0</v>
      </c>
      <c r="F69" s="334"/>
    </row>
    <row r="70" spans="2:6" x14ac:dyDescent="0.25">
      <c r="B70">
        <v>72</v>
      </c>
      <c r="C70" t="s">
        <v>157</v>
      </c>
      <c r="D70" t="s">
        <v>241</v>
      </c>
      <c r="E70">
        <v>-3.71465268105</v>
      </c>
    </row>
    <row r="71" spans="2:6" x14ac:dyDescent="0.25">
      <c r="B71">
        <v>73</v>
      </c>
      <c r="C71" t="s">
        <v>159</v>
      </c>
      <c r="D71" t="s">
        <v>241</v>
      </c>
      <c r="E71">
        <v>-2.3682469103699999</v>
      </c>
    </row>
    <row r="72" spans="2:6" x14ac:dyDescent="0.25">
      <c r="B72">
        <v>74</v>
      </c>
      <c r="C72" t="s">
        <v>161</v>
      </c>
      <c r="D72" t="s">
        <v>241</v>
      </c>
      <c r="E72">
        <v>-2.6135679522899999</v>
      </c>
    </row>
    <row r="73" spans="2:6" x14ac:dyDescent="0.25">
      <c r="B73">
        <v>75</v>
      </c>
      <c r="C73" t="s">
        <v>163</v>
      </c>
      <c r="D73" t="s">
        <v>241</v>
      </c>
      <c r="E73">
        <v>-3.2783954524199999</v>
      </c>
    </row>
    <row r="74" spans="2:6" x14ac:dyDescent="0.25">
      <c r="B74">
        <v>76</v>
      </c>
      <c r="C74" t="s">
        <v>165</v>
      </c>
      <c r="D74" t="s">
        <v>241</v>
      </c>
      <c r="E74">
        <v>-2.7864533272199998</v>
      </c>
    </row>
    <row r="75" spans="2:6" x14ac:dyDescent="0.25">
      <c r="B75">
        <v>77</v>
      </c>
      <c r="C75" t="s">
        <v>167</v>
      </c>
      <c r="D75" t="s">
        <v>241</v>
      </c>
      <c r="E75">
        <v>-2.4397388537100002</v>
      </c>
    </row>
    <row r="76" spans="2:6" x14ac:dyDescent="0.25">
      <c r="B76">
        <v>78</v>
      </c>
      <c r="C76" t="s">
        <v>169</v>
      </c>
      <c r="D76" t="s">
        <v>241</v>
      </c>
      <c r="E76">
        <v>-3.8618208476799998</v>
      </c>
    </row>
    <row r="77" spans="2:6" x14ac:dyDescent="0.25">
      <c r="B77">
        <v>79</v>
      </c>
      <c r="C77" t="s">
        <v>171</v>
      </c>
      <c r="D77" t="s">
        <v>241</v>
      </c>
      <c r="E77">
        <v>-21.721852511200002</v>
      </c>
    </row>
    <row r="78" spans="2:6" x14ac:dyDescent="0.25">
      <c r="B78">
        <v>80</v>
      </c>
      <c r="C78" t="s">
        <v>173</v>
      </c>
      <c r="D78" t="s">
        <v>241</v>
      </c>
      <c r="E78">
        <v>-1.01264089672</v>
      </c>
    </row>
    <row r="79" spans="2:6" x14ac:dyDescent="0.25">
      <c r="B79">
        <v>81</v>
      </c>
      <c r="C79" t="s">
        <v>175</v>
      </c>
      <c r="D79" t="s">
        <v>241</v>
      </c>
      <c r="E79">
        <v>-5.1766396376000001</v>
      </c>
    </row>
    <row r="80" spans="2:6" x14ac:dyDescent="0.25">
      <c r="B80">
        <v>82</v>
      </c>
      <c r="C80" t="s">
        <v>177</v>
      </c>
      <c r="D80" t="s">
        <v>241</v>
      </c>
      <c r="E80">
        <v>-2.28857439545</v>
      </c>
    </row>
    <row r="81" spans="2:5" x14ac:dyDescent="0.25">
      <c r="B81">
        <v>83</v>
      </c>
      <c r="C81" t="s">
        <v>178</v>
      </c>
      <c r="D81" t="s">
        <v>241</v>
      </c>
      <c r="E81">
        <v>-3.4002747143900001</v>
      </c>
    </row>
    <row r="82" spans="2:5" x14ac:dyDescent="0.25">
      <c r="B82">
        <v>84</v>
      </c>
      <c r="C82" t="s">
        <v>180</v>
      </c>
      <c r="D82" t="s">
        <v>241</v>
      </c>
      <c r="E82">
        <v>-1.5824120396100001</v>
      </c>
    </row>
    <row r="83" spans="2:5" x14ac:dyDescent="0.25">
      <c r="B83">
        <v>85</v>
      </c>
      <c r="C83" t="s">
        <v>182</v>
      </c>
      <c r="D83" t="s">
        <v>241</v>
      </c>
      <c r="E83">
        <v>-3.8472578798099999</v>
      </c>
    </row>
    <row r="84" spans="2:5" x14ac:dyDescent="0.25">
      <c r="B84">
        <v>86</v>
      </c>
      <c r="C84" t="s">
        <v>184</v>
      </c>
      <c r="D84" t="s">
        <v>241</v>
      </c>
      <c r="E84">
        <v>-3.1031248195800001</v>
      </c>
    </row>
    <row r="85" spans="2:5" x14ac:dyDescent="0.25">
      <c r="B85">
        <v>87</v>
      </c>
      <c r="C85" t="s">
        <v>186</v>
      </c>
      <c r="D85" t="s">
        <v>241</v>
      </c>
      <c r="E85">
        <v>-19.5604248241</v>
      </c>
    </row>
    <row r="86" spans="2:5" x14ac:dyDescent="0.25">
      <c r="B86">
        <v>88</v>
      </c>
      <c r="C86" t="s">
        <v>188</v>
      </c>
      <c r="D86" t="s">
        <v>240</v>
      </c>
      <c r="E86">
        <v>0</v>
      </c>
    </row>
    <row r="87" spans="2:5" x14ac:dyDescent="0.25">
      <c r="B87">
        <v>89</v>
      </c>
      <c r="C87" t="s">
        <v>190</v>
      </c>
      <c r="D87" t="s">
        <v>241</v>
      </c>
      <c r="E87">
        <v>-5.3998296944700002</v>
      </c>
    </row>
    <row r="88" spans="2:5" x14ac:dyDescent="0.25">
      <c r="B88">
        <v>90</v>
      </c>
      <c r="C88" t="s">
        <v>192</v>
      </c>
      <c r="D88" t="s">
        <v>241</v>
      </c>
      <c r="E88">
        <v>-17.4219403528</v>
      </c>
    </row>
    <row r="89" spans="2:5" x14ac:dyDescent="0.25">
      <c r="B89">
        <v>91</v>
      </c>
      <c r="C89" t="s">
        <v>194</v>
      </c>
      <c r="D89" t="s">
        <v>241</v>
      </c>
      <c r="E89">
        <v>-10.161549352</v>
      </c>
    </row>
    <row r="90" spans="2:5" x14ac:dyDescent="0.25">
      <c r="B90">
        <v>92</v>
      </c>
      <c r="C90" t="s">
        <v>196</v>
      </c>
      <c r="D90" t="s">
        <v>241</v>
      </c>
      <c r="E90">
        <v>-0.87415121182</v>
      </c>
    </row>
    <row r="91" spans="2:5" x14ac:dyDescent="0.25">
      <c r="B91">
        <v>93</v>
      </c>
      <c r="C91" t="s">
        <v>198</v>
      </c>
      <c r="D91" t="s">
        <v>241</v>
      </c>
      <c r="E91">
        <v>-0.74080192435000003</v>
      </c>
    </row>
    <row r="92" spans="2:5" x14ac:dyDescent="0.25">
      <c r="B92">
        <v>94</v>
      </c>
      <c r="C92" t="s">
        <v>200</v>
      </c>
      <c r="D92" t="s">
        <v>240</v>
      </c>
      <c r="E92">
        <v>0</v>
      </c>
    </row>
    <row r="93" spans="2:5" x14ac:dyDescent="0.25">
      <c r="B93">
        <v>95</v>
      </c>
      <c r="C93" t="s">
        <v>202</v>
      </c>
      <c r="D93" t="s">
        <v>241</v>
      </c>
      <c r="E93">
        <v>-10.7800625269</v>
      </c>
    </row>
    <row r="94" spans="2:5" x14ac:dyDescent="0.25">
      <c r="B94">
        <v>96</v>
      </c>
      <c r="C94" t="s">
        <v>204</v>
      </c>
      <c r="D94" t="s">
        <v>241</v>
      </c>
      <c r="E94">
        <v>-17.598302231800002</v>
      </c>
    </row>
    <row r="95" spans="2:5" x14ac:dyDescent="0.25">
      <c r="B95">
        <v>97</v>
      </c>
      <c r="C95" t="s">
        <v>206</v>
      </c>
      <c r="D95" t="s">
        <v>241</v>
      </c>
      <c r="E95">
        <v>-7.3399914692000001</v>
      </c>
    </row>
    <row r="96" spans="2:5" x14ac:dyDescent="0.25">
      <c r="B96">
        <v>98</v>
      </c>
      <c r="C96" t="s">
        <v>208</v>
      </c>
      <c r="D96" t="s">
        <v>241</v>
      </c>
      <c r="E96">
        <v>-11.813486662400001</v>
      </c>
    </row>
    <row r="97" spans="2:5" x14ac:dyDescent="0.25">
      <c r="B97">
        <v>99</v>
      </c>
      <c r="C97" t="s">
        <v>209</v>
      </c>
      <c r="D97" t="s">
        <v>241</v>
      </c>
      <c r="E97">
        <v>-12.070734291200001</v>
      </c>
    </row>
    <row r="98" spans="2:5" x14ac:dyDescent="0.25">
      <c r="B98">
        <v>100</v>
      </c>
      <c r="C98" t="s">
        <v>210</v>
      </c>
      <c r="D98" t="s">
        <v>240</v>
      </c>
      <c r="E98">
        <v>0</v>
      </c>
    </row>
    <row r="99" spans="2:5" x14ac:dyDescent="0.25">
      <c r="B99">
        <v>101</v>
      </c>
      <c r="C99" t="s">
        <v>211</v>
      </c>
      <c r="D99" t="s">
        <v>241</v>
      </c>
      <c r="E99">
        <v>-11.328569288200001</v>
      </c>
    </row>
    <row r="100" spans="2:5" x14ac:dyDescent="0.25">
      <c r="B100">
        <v>102</v>
      </c>
      <c r="C100" t="s">
        <v>212</v>
      </c>
      <c r="D100" t="s">
        <v>240</v>
      </c>
      <c r="E100">
        <v>0</v>
      </c>
    </row>
    <row r="101" spans="2:5" x14ac:dyDescent="0.25">
      <c r="B101">
        <v>103</v>
      </c>
      <c r="C101" t="s">
        <v>213</v>
      </c>
      <c r="D101" t="s">
        <v>241</v>
      </c>
      <c r="E101">
        <v>-12.623617921899999</v>
      </c>
    </row>
    <row r="102" spans="2:5" x14ac:dyDescent="0.25">
      <c r="B102">
        <v>104</v>
      </c>
      <c r="C102" t="s">
        <v>214</v>
      </c>
      <c r="D102" t="s">
        <v>241</v>
      </c>
      <c r="E102">
        <v>-12.9367414966</v>
      </c>
    </row>
    <row r="103" spans="2:5" x14ac:dyDescent="0.25">
      <c r="B103">
        <v>105</v>
      </c>
      <c r="C103" t="s">
        <v>215</v>
      </c>
      <c r="D103" t="s">
        <v>241</v>
      </c>
      <c r="E103">
        <v>-21.748737142</v>
      </c>
    </row>
    <row r="104" spans="2:5" x14ac:dyDescent="0.25">
      <c r="B104">
        <v>106</v>
      </c>
      <c r="C104" t="s">
        <v>216</v>
      </c>
      <c r="D104" t="s">
        <v>241</v>
      </c>
      <c r="E104">
        <v>-1.1770951513500001</v>
      </c>
    </row>
    <row r="105" spans="2:5" x14ac:dyDescent="0.25">
      <c r="B105">
        <v>107</v>
      </c>
      <c r="C105" t="s">
        <v>217</v>
      </c>
      <c r="D105" t="s">
        <v>241</v>
      </c>
      <c r="E105">
        <v>-1.0914895580199999</v>
      </c>
    </row>
    <row r="106" spans="2:5" x14ac:dyDescent="0.25">
      <c r="B106">
        <v>108</v>
      </c>
      <c r="C106" t="s">
        <v>219</v>
      </c>
      <c r="D106" t="s">
        <v>241</v>
      </c>
      <c r="E106">
        <v>-6.6396727717899999</v>
      </c>
    </row>
    <row r="107" spans="2:5" x14ac:dyDescent="0.25">
      <c r="B107">
        <v>109</v>
      </c>
      <c r="C107" t="s">
        <v>220</v>
      </c>
      <c r="D107" t="s">
        <v>241</v>
      </c>
      <c r="E107">
        <v>-6.1680097229099999</v>
      </c>
    </row>
    <row r="108" spans="2:5" x14ac:dyDescent="0.25">
      <c r="B108">
        <v>110</v>
      </c>
      <c r="C108" t="s">
        <v>221</v>
      </c>
      <c r="D108" t="s">
        <v>241</v>
      </c>
      <c r="E108">
        <v>-2.9287550310000001</v>
      </c>
    </row>
    <row r="109" spans="2:5" x14ac:dyDescent="0.25">
      <c r="B109">
        <v>111</v>
      </c>
      <c r="C109" t="s">
        <v>222</v>
      </c>
      <c r="D109" t="s">
        <v>240</v>
      </c>
      <c r="E109">
        <v>0</v>
      </c>
    </row>
    <row r="110" spans="2:5" x14ac:dyDescent="0.25">
      <c r="B110">
        <v>112</v>
      </c>
      <c r="C110" t="s">
        <v>223</v>
      </c>
      <c r="D110" t="s">
        <v>240</v>
      </c>
      <c r="E110">
        <v>0</v>
      </c>
    </row>
    <row r="111" spans="2:5" x14ac:dyDescent="0.25">
      <c r="B111">
        <v>113</v>
      </c>
      <c r="C111" t="s">
        <v>225</v>
      </c>
      <c r="D111" t="s">
        <v>241</v>
      </c>
      <c r="E111">
        <v>-5.4368248499099998</v>
      </c>
    </row>
    <row r="112" spans="2:5" x14ac:dyDescent="0.25">
      <c r="B112">
        <v>114</v>
      </c>
      <c r="C112" t="s">
        <v>274</v>
      </c>
      <c r="D112" t="s">
        <v>241</v>
      </c>
      <c r="E112">
        <v>-0.8</v>
      </c>
    </row>
    <row r="113" spans="2:11" x14ac:dyDescent="0.25">
      <c r="B113">
        <v>115</v>
      </c>
      <c r="C113" t="s">
        <v>275</v>
      </c>
      <c r="D113" t="s">
        <v>241</v>
      </c>
      <c r="E113">
        <v>-0.8</v>
      </c>
    </row>
    <row r="114" spans="2:11" x14ac:dyDescent="0.25">
      <c r="B114">
        <v>116</v>
      </c>
      <c r="C114" s="334" t="s">
        <v>276</v>
      </c>
      <c r="D114" s="334" t="s">
        <v>241</v>
      </c>
      <c r="E114" s="334">
        <v>-0.8</v>
      </c>
    </row>
    <row r="115" spans="2:11" x14ac:dyDescent="0.25">
      <c r="B115">
        <v>117</v>
      </c>
      <c r="C115" t="s">
        <v>277</v>
      </c>
      <c r="D115" t="s">
        <v>241</v>
      </c>
      <c r="E115">
        <v>-0.8</v>
      </c>
    </row>
    <row r="116" spans="2:11" x14ac:dyDescent="0.25">
      <c r="B116">
        <v>118</v>
      </c>
      <c r="C116" t="s">
        <v>278</v>
      </c>
      <c r="D116" t="s">
        <v>241</v>
      </c>
      <c r="E116">
        <v>-0.8</v>
      </c>
    </row>
    <row r="117" spans="2:11" x14ac:dyDescent="0.25">
      <c r="B117">
        <v>119</v>
      </c>
      <c r="C117" t="s">
        <v>278</v>
      </c>
      <c r="D117" t="s">
        <v>241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4">
        <v>-7606.4609487099997</v>
      </c>
      <c r="D119" s="334">
        <v>-24173.951410599999</v>
      </c>
      <c r="E119" s="334">
        <v>-15526.77065</v>
      </c>
    </row>
    <row r="120" spans="2:11" x14ac:dyDescent="0.25">
      <c r="B120">
        <v>2</v>
      </c>
      <c r="C120" t="s">
        <v>279</v>
      </c>
      <c r="D120" t="s">
        <v>238</v>
      </c>
      <c r="E120">
        <v>5</v>
      </c>
      <c r="F120" t="s">
        <v>273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Z109"/>
  <sheetViews>
    <sheetView workbookViewId="0" zoomScaleNormal="100">
      <selection activeCell="L24" sqref="L2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7" customWidth="true" style="295" width="18.85546875" collapsed="true"/>
    <col min="8" max="8" customWidth="true" style="295" width="8.71093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bestFit="true" customWidth="true" style="298" width="19.5703125" collapsed="true"/>
    <col min="17" max="17" customWidth="true" style="332" width="19.5703125" collapsed="true"/>
    <col min="18" max="16384" style="296" width="9.140625" collapsed="true"/>
  </cols>
  <sheetData>
    <row r="1" spans="3:25" x14ac:dyDescent="0.25">
      <c r="C1" s="10" t="s">
        <v>40</v>
      </c>
      <c r="F1" s="10" t="s">
        <v>41</v>
      </c>
      <c r="N1" s="297" t="s">
        <v>252</v>
      </c>
      <c r="S1" s="297"/>
      <c r="T1" s="297" t="s">
        <v>252</v>
      </c>
      <c r="U1" s="320"/>
      <c r="V1" s="320"/>
      <c r="W1" s="320"/>
      <c r="X1" s="320"/>
      <c r="Y1" s="320"/>
    </row>
    <row ht="15.75" r="2" spans="3:25" thickBot="1" x14ac:dyDescent="0.3">
      <c r="C2" s="297" t="s">
        <v>42</v>
      </c>
      <c r="M2" s="10" t="s">
        <v>90</v>
      </c>
      <c r="N2" s="10" t="s">
        <v>247</v>
      </c>
      <c r="O2" s="10" t="s">
        <v>248</v>
      </c>
      <c r="P2" s="347" t="s">
        <v>250</v>
      </c>
      <c r="Q2" s="348" t="s">
        <v>251</v>
      </c>
      <c r="T2" s="320"/>
      <c r="U2" s="297" t="s">
        <v>254</v>
      </c>
      <c r="V2"/>
      <c r="W2" s="320"/>
      <c r="X2" s="320"/>
      <c r="Y2" s="320"/>
    </row>
    <row r="3" spans="3:25" x14ac:dyDescent="0.25">
      <c r="C3" s="299" t="s">
        <v>3</v>
      </c>
      <c r="D3" s="300" t="s">
        <v>43</v>
      </c>
      <c r="F3" s="299" t="s">
        <v>3</v>
      </c>
      <c r="G3" s="300" t="s">
        <v>43</v>
      </c>
      <c r="H3" s="364"/>
      <c r="I3" s="364"/>
      <c r="J3" s="364"/>
      <c r="K3" s="364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5">
        <f>_xlfn.IFNA(VLOOKUP(N3,$B$43:$D$46,3,FALSE),P3)</f>
        <v>1</v>
      </c>
      <c r="T3">
        <v>1</v>
      </c>
      <c r="U3" s="294" t="s">
        <v>281</v>
      </c>
      <c r="V3"/>
      <c r="W3" s="320"/>
      <c r="X3" s="320"/>
      <c r="Y3" s="320"/>
    </row>
    <row r="4" spans="3:25" x14ac:dyDescent="0.25">
      <c r="C4" s="302" t="s">
        <v>46</v>
      </c>
      <c r="D4" s="303">
        <f>TLFD!B11</f>
        <v>44291.406720999999</v>
      </c>
      <c r="F4" s="302" t="s">
        <v>46</v>
      </c>
      <c r="G4" s="303">
        <f>TLFD!F11</f>
        <v>35887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14.646264049799999</v>
      </c>
      <c r="Q4" s="335">
        <f>_xlfn.IFNA(VLOOKUP(N4,$B$43:$D$46,3,FALSE),P4)</f>
        <v>14.646264049799999</v>
      </c>
      <c r="T4">
        <v>2</v>
      </c>
      <c r="U4" s="294" t="s">
        <v>262</v>
      </c>
      <c r="V4"/>
      <c r="W4" s="320"/>
      <c r="X4" s="320"/>
      <c r="Y4" s="320"/>
    </row>
    <row r="5" spans="3:25" x14ac:dyDescent="0.25">
      <c r="C5" s="305" t="s">
        <v>49</v>
      </c>
      <c r="D5" s="306">
        <f>TLFD!B12+TLFD!B13+(TLFD!B14/2)</f>
        <v>37378.380048999999</v>
      </c>
      <c r="F5" s="305" t="s">
        <v>49</v>
      </c>
      <c r="G5" s="306">
        <f>TLFD!F12+TLFD!F13+(TLFD!F14/2)</f>
        <v>62020.5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0.22200781244000001</v>
      </c>
      <c r="Q5" s="335">
        <f ref="Q5:Q68" si="0" t="shared">_xlfn.IFNA(VLOOKUP(N5,$B$43:$D$46,3,FALSE),P5)</f>
        <v>0.22200781244000001</v>
      </c>
      <c r="T5">
        <v>3</v>
      </c>
      <c r="U5" s="320" t="s">
        <v>264</v>
      </c>
      <c r="V5" s="320"/>
      <c r="W5" s="320"/>
      <c r="X5" s="320"/>
      <c r="Y5" s="320"/>
    </row>
    <row r="6" spans="3:25" x14ac:dyDescent="0.25">
      <c r="C6" s="305" t="s">
        <v>52</v>
      </c>
      <c r="D6" s="306">
        <f>(TLFD!B14/2)+SUM(TLFD!B15:B20)</f>
        <v>46651.250169999999</v>
      </c>
      <c r="F6" s="305" t="s">
        <v>52</v>
      </c>
      <c r="G6" s="306">
        <f>(TLFD!F14/2)+SUM(TLFD!F15:F20)</f>
        <v>61601.5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-2.8145955800000001E-2</v>
      </c>
      <c r="Q6" s="335">
        <f si="0" t="shared"/>
        <v>-2.8145955800000001E-2</v>
      </c>
      <c r="T6">
        <v>4</v>
      </c>
      <c r="U6" s="320" t="s">
        <v>255</v>
      </c>
      <c r="V6" s="320"/>
      <c r="W6" s="320"/>
      <c r="X6" s="320"/>
      <c r="Y6" s="320"/>
    </row>
    <row r="7" spans="3:25" x14ac:dyDescent="0.25">
      <c r="C7" s="308" t="s">
        <v>55</v>
      </c>
      <c r="D7" s="309">
        <f>SUM(TLFD!B21:B101)</f>
        <v>41505.416139000008</v>
      </c>
      <c r="F7" s="308" t="s">
        <v>55</v>
      </c>
      <c r="G7" s="309">
        <f>SUM(TLFD!F21:F101)</f>
        <v>46166</v>
      </c>
      <c r="H7" s="365"/>
      <c r="I7" s="365"/>
      <c r="J7" s="365"/>
      <c r="K7" s="365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9.8040262330000003E-2</v>
      </c>
      <c r="Q7" s="335">
        <f si="0" t="shared"/>
        <v>9.8040262330000003E-2</v>
      </c>
      <c r="T7" s="320">
        <v>5</v>
      </c>
      <c r="U7" s="320" t="s">
        <v>256</v>
      </c>
      <c r="V7" s="320"/>
      <c r="W7" s="320"/>
      <c r="X7" s="320"/>
      <c r="Y7" s="320"/>
    </row>
    <row ht="15.75" r="8" spans="3:25" thickBot="1" x14ac:dyDescent="0.3">
      <c r="C8" s="311" t="s">
        <v>4</v>
      </c>
      <c r="D8" s="312">
        <f>SUM(D4:D7)</f>
        <v>169826.453079</v>
      </c>
      <c r="E8" s="313"/>
      <c r="F8" s="311" t="s">
        <v>4</v>
      </c>
      <c r="G8" s="312">
        <f>SUM(G4:G7)</f>
        <v>205675</v>
      </c>
      <c r="H8" s="366"/>
      <c r="I8" s="366"/>
      <c r="J8" s="366" t="s">
        <v>271</v>
      </c>
      <c r="K8" s="378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0.42673478574000001</v>
      </c>
      <c r="Q8" s="335">
        <f si="0" t="shared"/>
        <v>0.42673478574000001</v>
      </c>
      <c r="T8" s="320"/>
      <c r="U8" s="320"/>
      <c r="V8" s="320"/>
      <c r="W8" s="320"/>
      <c r="X8" s="320"/>
      <c r="Y8" s="320"/>
    </row>
    <row r="9" spans="3:25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-1.7969923454700001</v>
      </c>
      <c r="Q9" s="335">
        <f si="0" t="shared"/>
        <v>-1.7969923454700001</v>
      </c>
      <c r="T9" s="320"/>
      <c r="U9" s="358" t="s">
        <v>257</v>
      </c>
      <c r="V9" s="320"/>
      <c r="W9" s="320"/>
      <c r="X9" s="320"/>
      <c r="Y9" s="320"/>
    </row>
    <row ht="15.75" r="10" spans="3:25" thickBot="1" x14ac:dyDescent="0.3">
      <c r="C10" s="314" t="s">
        <v>62</v>
      </c>
      <c r="I10" s="377" t="s">
        <v>270</v>
      </c>
      <c r="J10" s="368"/>
      <c r="K10" s="368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1.4351261662999999</v>
      </c>
      <c r="Q10" s="335">
        <f si="0" t="shared"/>
        <v>1.4351261662999999</v>
      </c>
      <c r="T10" s="320">
        <v>1</v>
      </c>
      <c r="U10" s="294" t="s">
        <v>281</v>
      </c>
      <c r="V10" s="320"/>
      <c r="W10" s="320"/>
      <c r="X10" s="320"/>
      <c r="Y10" s="320"/>
    </row>
    <row r="11" spans="3:25" x14ac:dyDescent="0.25">
      <c r="C11" s="299" t="s">
        <v>3</v>
      </c>
      <c r="D11" s="300" t="s">
        <v>43</v>
      </c>
      <c r="F11" s="299" t="s">
        <v>3</v>
      </c>
      <c r="G11" s="300" t="s">
        <v>43</v>
      </c>
      <c r="H11" s="364"/>
      <c r="I11" s="300" t="s">
        <v>267</v>
      </c>
      <c r="J11" s="300" t="s">
        <v>268</v>
      </c>
      <c r="K11" s="300" t="s">
        <v>269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0.75752967669000004</v>
      </c>
      <c r="Q11" s="335">
        <f si="0" t="shared"/>
        <v>0.75752967669000004</v>
      </c>
      <c r="T11" s="320">
        <v>2</v>
      </c>
      <c r="U11" s="320" t="s">
        <v>258</v>
      </c>
      <c r="V11" s="320"/>
      <c r="W11" s="320"/>
      <c r="X11" s="320"/>
      <c r="Y11" s="320"/>
    </row>
    <row r="12" spans="3:25" x14ac:dyDescent="0.25">
      <c r="C12" s="302" t="s">
        <v>46</v>
      </c>
      <c r="D12" s="316">
        <f>D4/D$8</f>
        <v>0.26080393200225699</v>
      </c>
      <c r="F12" s="302" t="s">
        <v>46</v>
      </c>
      <c r="G12" s="316">
        <f>G4/G$8</f>
        <v>0.17448401604473077</v>
      </c>
      <c r="H12" s="316"/>
      <c r="I12" s="369">
        <f>D12/G12</f>
        <v>1.4947153207168113</v>
      </c>
      <c r="J12" s="370">
        <f>LN(I12)</f>
        <v>0.40193576778507367</v>
      </c>
      <c r="K12" s="370">
        <f>L12*J12</f>
        <v>0</v>
      </c>
      <c r="L12" s="378">
        <v>0</v>
      </c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-0.30290505894999997</v>
      </c>
      <c r="Q12" s="335">
        <f si="0" t="shared"/>
        <v>-0.30290505894999997</v>
      </c>
      <c r="T12" s="320">
        <v>3</v>
      </c>
      <c r="U12" s="320" t="s">
        <v>259</v>
      </c>
      <c r="V12" s="320"/>
      <c r="W12" s="320"/>
      <c r="X12" s="320"/>
      <c r="Y12" s="320"/>
    </row>
    <row r="13" spans="3:25" x14ac:dyDescent="0.25">
      <c r="C13" s="305" t="s">
        <v>49</v>
      </c>
      <c r="D13" s="317">
        <f ref="D13:D16" si="1" t="shared">D5/D$8</f>
        <v>0.22009751349874979</v>
      </c>
      <c r="F13" s="305" t="s">
        <v>49</v>
      </c>
      <c r="G13" s="317">
        <f ref="G13:G16" si="2" t="shared">G5/G$8</f>
        <v>0.30154612860094809</v>
      </c>
      <c r="H13" s="317"/>
      <c r="I13" s="369">
        <f ref="I13:I15" si="3" t="shared">D13/G13</f>
        <v>0.72989666463274827</v>
      </c>
      <c r="J13" s="370">
        <f ref="J13:J15" si="4" t="shared">LN(I13)</f>
        <v>-0.31485231015720205</v>
      </c>
      <c r="K13" s="370">
        <f>L13*(J13-J12)</f>
        <v>0</v>
      </c>
      <c r="L13" s="378">
        <v>0</v>
      </c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-0.87303985647000004</v>
      </c>
      <c r="Q13" s="335">
        <f si="0" t="shared"/>
        <v>-0.87303985647000004</v>
      </c>
      <c r="T13" s="320">
        <v>4</v>
      </c>
      <c r="U13" s="320" t="s">
        <v>260</v>
      </c>
      <c r="V13" s="320"/>
      <c r="W13" s="320"/>
      <c r="X13" s="320"/>
      <c r="Y13" s="320"/>
    </row>
    <row r="14" spans="3:25" x14ac:dyDescent="0.25">
      <c r="C14" s="305" t="s">
        <v>52</v>
      </c>
      <c r="D14" s="317">
        <f si="1" t="shared"/>
        <v>0.27469954959430692</v>
      </c>
      <c r="F14" s="305" t="s">
        <v>52</v>
      </c>
      <c r="G14" s="317">
        <f si="2" t="shared"/>
        <v>0.29950893399781209</v>
      </c>
      <c r="H14" s="317"/>
      <c r="I14" s="369">
        <f si="3" t="shared"/>
        <v>0.91716646287523962</v>
      </c>
      <c r="J14" s="370">
        <f si="4" t="shared"/>
        <v>-8.6466293347180145E-2</v>
      </c>
      <c r="K14" s="370">
        <f>L14*(J14-J13-J12)</f>
        <v>0</v>
      </c>
      <c r="L14" s="378">
        <v>0</v>
      </c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-1.0505382935000001</v>
      </c>
      <c r="Q14" s="335">
        <f si="0" t="shared"/>
        <v>-1.0505382935000001</v>
      </c>
      <c r="T14" s="320">
        <v>5</v>
      </c>
      <c r="U14" s="294" t="s">
        <v>263</v>
      </c>
      <c r="V14" s="320"/>
      <c r="W14" s="320"/>
      <c r="X14" s="320"/>
      <c r="Y14" s="320"/>
    </row>
    <row ht="15.75" r="15" spans="3:25" thickBot="1" x14ac:dyDescent="0.3">
      <c r="C15" s="308" t="s">
        <v>55</v>
      </c>
      <c r="D15" s="317">
        <f si="1" t="shared"/>
        <v>0.24439900490468636</v>
      </c>
      <c r="F15" s="308" t="s">
        <v>55</v>
      </c>
      <c r="G15" s="317">
        <f si="2" t="shared"/>
        <v>0.22446092135650905</v>
      </c>
      <c r="H15" s="317"/>
      <c r="I15" s="371">
        <f si="3" t="shared"/>
        <v>1.0888265245802402</v>
      </c>
      <c r="J15" s="372">
        <f si="4" t="shared"/>
        <v>8.5100533355448857E-2</v>
      </c>
      <c r="K15" s="372">
        <f>L15*(J15-J14-J13-J12)</f>
        <v>-4.2241684537378699E-2</v>
      </c>
      <c r="L15" s="378">
        <v>-0.5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-0.48292853740000002</v>
      </c>
      <c r="Q15" s="335">
        <f si="0" t="shared"/>
        <v>-0.48292853740000002</v>
      </c>
      <c r="T15" s="320">
        <v>6</v>
      </c>
      <c r="U15" s="320" t="s">
        <v>265</v>
      </c>
      <c r="V15" s="320"/>
      <c r="W15" s="320"/>
      <c r="X15" s="320"/>
      <c r="Y15" s="320"/>
    </row>
    <row ht="15.75" r="16" spans="3:25" thickBot="1" x14ac:dyDescent="0.3">
      <c r="C16" s="311" t="s">
        <v>4</v>
      </c>
      <c r="D16" s="318">
        <f si="1" t="shared"/>
        <v>1</v>
      </c>
      <c r="E16" s="313"/>
      <c r="F16" s="311" t="s">
        <v>4</v>
      </c>
      <c r="G16" s="318">
        <f si="2" t="shared"/>
        <v>1</v>
      </c>
      <c r="H16" s="367"/>
      <c r="I16" s="369"/>
      <c r="J16" s="369"/>
      <c r="K16" s="369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-0.23954858711999999</v>
      </c>
      <c r="Q16" s="335">
        <f si="0" t="shared"/>
        <v>-0.23954858711999999</v>
      </c>
      <c r="T16" s="320">
        <v>7</v>
      </c>
      <c r="U16" s="320" t="s">
        <v>255</v>
      </c>
      <c r="V16" s="320"/>
      <c r="W16" s="320"/>
      <c r="X16" s="320"/>
      <c r="Y16" s="320"/>
    </row>
    <row r="17" spans="2:25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1.8108489737</v>
      </c>
      <c r="Q17" s="335">
        <f si="0" t="shared"/>
        <v>1.8108489737</v>
      </c>
      <c r="T17" s="320">
        <v>8</v>
      </c>
      <c r="U17" s="320" t="s">
        <v>261</v>
      </c>
      <c r="V17" s="320"/>
      <c r="W17" s="320"/>
      <c r="X17" s="320"/>
      <c r="Y17" s="320"/>
    </row>
    <row r="18" spans="2:25" x14ac:dyDescent="0.25">
      <c r="I18" s="373"/>
      <c r="J18" s="373"/>
      <c r="K18" s="370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0.83658874170999997</v>
      </c>
      <c r="Q18" s="335">
        <f si="0" t="shared"/>
        <v>0.83658874170999997</v>
      </c>
    </row>
    <row r="19" spans="2:25" x14ac:dyDescent="0.25">
      <c r="C19" s="319" t="s">
        <v>81</v>
      </c>
      <c r="I19" s="373"/>
      <c r="J19" s="373"/>
      <c r="K19" s="370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5">
        <f si="0" t="shared"/>
        <v>0</v>
      </c>
    </row>
    <row r="20" spans="2:25" x14ac:dyDescent="0.25">
      <c r="C20" s="319" t="s">
        <v>84</v>
      </c>
      <c r="I20" s="373"/>
      <c r="J20" s="373"/>
      <c r="K20" s="370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5">
        <f si="0" t="shared"/>
        <v>0</v>
      </c>
    </row>
    <row ht="15.75" r="21" spans="2:25" thickBot="1" x14ac:dyDescent="0.3">
      <c r="C21" s="320"/>
      <c r="I21" s="373"/>
      <c r="J21" s="373"/>
      <c r="K21" s="370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5">
        <f si="0" t="shared"/>
        <v>0</v>
      </c>
    </row>
    <row r="22" spans="2:25" x14ac:dyDescent="0.25">
      <c r="B22" s="346" t="s">
        <v>247</v>
      </c>
      <c r="C22" s="321" t="s">
        <v>90</v>
      </c>
      <c r="D22" s="322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0.62608089853000004</v>
      </c>
      <c r="Q22" s="335">
        <f si="0" t="shared"/>
        <v>0.62608089853000004</v>
      </c>
    </row>
    <row r="23" spans="2:25" x14ac:dyDescent="0.25">
      <c r="B23" s="343">
        <v>50</v>
      </c>
      <c r="C23" s="302" t="s">
        <v>46</v>
      </c>
      <c r="D23" s="359">
        <f>VLOOKUP($B23,$N:$P,3,FALSE)</f>
        <v>-11.41930576164</v>
      </c>
      <c r="I23" s="374"/>
      <c r="J23" s="374"/>
      <c r="K23" s="374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-8.6146833141499997</v>
      </c>
      <c r="Q23" s="335">
        <f si="0" t="shared"/>
        <v>-8.6146833141499997</v>
      </c>
    </row>
    <row r="24" spans="2:25" x14ac:dyDescent="0.25">
      <c r="B24" s="343">
        <v>51</v>
      </c>
      <c r="C24" s="305" t="s">
        <v>49</v>
      </c>
      <c r="D24" s="359">
        <f ref="D24:D26" si="5" t="shared">VLOOKUP($B24,$N:$P,3,FALSE)</f>
        <v>-5.0410177787699997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-4.7070055634400001</v>
      </c>
      <c r="Q24" s="335">
        <f si="0" t="shared"/>
        <v>-4.7070055634400001</v>
      </c>
    </row>
    <row r="25" spans="2:25" x14ac:dyDescent="0.25">
      <c r="B25" s="343">
        <v>52</v>
      </c>
      <c r="C25" s="305" t="s">
        <v>52</v>
      </c>
      <c r="D25" s="359">
        <f si="5" t="shared"/>
        <v>-3.9034241353299999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-4.09326880388</v>
      </c>
      <c r="Q25" s="335">
        <f si="0" t="shared"/>
        <v>-4.09326880388</v>
      </c>
    </row>
    <row ht="15.75" r="26" spans="2:25" thickBot="1" x14ac:dyDescent="0.3">
      <c r="B26" s="345">
        <v>53</v>
      </c>
      <c r="C26" s="324" t="s">
        <v>55</v>
      </c>
      <c r="D26" s="360">
        <f si="5" t="shared"/>
        <v>-4.1009918469999997E-2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0.20798702908</v>
      </c>
      <c r="Q26" s="335">
        <f si="0" t="shared"/>
        <v>0.20798702908</v>
      </c>
    </row>
    <row r="27" spans="2:25" x14ac:dyDescent="0.25">
      <c r="C27" s="320"/>
      <c r="D27" s="326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-0.13975410125000001</v>
      </c>
      <c r="Q27" s="335">
        <f si="0" t="shared"/>
        <v>-0.13975410125000001</v>
      </c>
    </row>
    <row r="28" spans="2:25" x14ac:dyDescent="0.25">
      <c r="C28" s="320"/>
      <c r="D28" s="326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0.83837490119000002</v>
      </c>
      <c r="Q28" s="335">
        <f si="0" t="shared"/>
        <v>0.83837490119000002</v>
      </c>
    </row>
    <row r="29" spans="2:25" x14ac:dyDescent="0.25">
      <c r="C29" s="319" t="s">
        <v>81</v>
      </c>
      <c r="D29" s="327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-9.2935231723499996</v>
      </c>
      <c r="Q29" s="335">
        <f si="0" t="shared"/>
        <v>-9.2935231723499996</v>
      </c>
    </row>
    <row r="30" spans="2:25" x14ac:dyDescent="0.25">
      <c r="C30" s="319" t="s">
        <v>106</v>
      </c>
      <c r="D30" s="327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-3.4981009168599999</v>
      </c>
      <c r="Q30" s="335">
        <f si="0" t="shared"/>
        <v>-3.4981009168599999</v>
      </c>
    </row>
    <row ht="15.75" r="31" spans="2:25" thickBot="1" x14ac:dyDescent="0.3">
      <c r="C31" s="320"/>
      <c r="D31" s="326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-3.66532113402</v>
      </c>
      <c r="Q31" s="335">
        <f si="0" t="shared"/>
        <v>-3.66532113402</v>
      </c>
    </row>
    <row r="32" spans="2:25" x14ac:dyDescent="0.25">
      <c r="B32" s="346" t="s">
        <v>247</v>
      </c>
      <c r="C32" s="321" t="s">
        <v>90</v>
      </c>
      <c r="D32" s="322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-0.32381248725</v>
      </c>
      <c r="Q32" s="335">
        <f si="0" t="shared"/>
        <v>-0.32381248725</v>
      </c>
    </row>
    <row r="33" spans="2:17" x14ac:dyDescent="0.25">
      <c r="B33" s="343">
        <f>B23</f>
        <v>50</v>
      </c>
      <c r="C33" s="302" t="s">
        <v>46</v>
      </c>
      <c r="D33" s="375">
        <f>K12</f>
        <v>0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0.14322267177</v>
      </c>
      <c r="Q33" s="335">
        <f si="0" t="shared"/>
        <v>0.14322267177</v>
      </c>
    </row>
    <row r="34" spans="2:17" x14ac:dyDescent="0.25">
      <c r="B34" s="343">
        <f ref="B34:B36" si="6" t="shared">B24</f>
        <v>51</v>
      </c>
      <c r="C34" s="305" t="s">
        <v>49</v>
      </c>
      <c r="D34" s="376">
        <f ref="D34:D36" si="7" t="shared">K13</f>
        <v>0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-0.14826541710999999</v>
      </c>
      <c r="Q34" s="335">
        <f si="0" t="shared"/>
        <v>-0.14826541710999999</v>
      </c>
    </row>
    <row r="35" spans="2:17" x14ac:dyDescent="0.25">
      <c r="B35" s="343">
        <f si="6" t="shared"/>
        <v>52</v>
      </c>
      <c r="C35" s="305" t="s">
        <v>52</v>
      </c>
      <c r="D35" s="376">
        <f si="7" t="shared"/>
        <v>0</v>
      </c>
      <c r="G35" s="328"/>
      <c r="H35" s="328"/>
      <c r="I35" s="328"/>
      <c r="J35" s="328"/>
      <c r="K35" s="328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0.18525614085</v>
      </c>
      <c r="Q35" s="335">
        <f si="0" t="shared"/>
        <v>0.18525614085</v>
      </c>
    </row>
    <row ht="15.75" r="36" spans="2:17" thickBot="1" x14ac:dyDescent="0.3">
      <c r="B36" s="363">
        <f si="6" t="shared"/>
        <v>53</v>
      </c>
      <c r="C36" s="324" t="s">
        <v>55</v>
      </c>
      <c r="D36" s="325">
        <f si="7" t="shared"/>
        <v>-4.2241684537378699E-2</v>
      </c>
      <c r="G36" s="329"/>
      <c r="H36" s="329"/>
      <c r="I36" s="329"/>
      <c r="J36" s="329"/>
      <c r="K36" s="329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-0.10344899338999999</v>
      </c>
      <c r="Q36" s="335">
        <f si="0" t="shared"/>
        <v>-0.10344899338999999</v>
      </c>
    </row>
    <row ht="15.75" r="37" spans="2:17" thickTop="1" x14ac:dyDescent="0.25">
      <c r="C37" s="320"/>
      <c r="D37" s="323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7.5098801229999998E-2</v>
      </c>
      <c r="Q37" s="335">
        <f si="0" t="shared"/>
        <v>7.5098801229999998E-2</v>
      </c>
    </row>
    <row r="38" spans="2:17" x14ac:dyDescent="0.25">
      <c r="C38" s="320"/>
      <c r="D38" s="323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1.1126386876900001</v>
      </c>
      <c r="Q38" s="335">
        <f si="0" t="shared"/>
        <v>1.1126386876900001</v>
      </c>
    </row>
    <row r="39" spans="2:17" x14ac:dyDescent="0.25">
      <c r="C39" s="319" t="s">
        <v>81</v>
      </c>
      <c r="D39" s="330"/>
      <c r="M39" s="296" t="str">
        <f>VLOOKUP(N39,Coeff_Descr!$A:$D,3,FALSE)</f>
        <v>SHOP</v>
      </c>
      <c r="N39" s="296">
        <f>OtherTourDestination!B47</f>
        <v>37</v>
      </c>
      <c r="O39" s="296" t="str">
        <f>OtherTourDestination!C47</f>
        <v>Beta00037</v>
      </c>
      <c r="P39" s="298">
        <f>OtherTourDestination!E47</f>
        <v>-7.8810597731899996</v>
      </c>
      <c r="Q39" s="335">
        <f si="0" t="shared"/>
        <v>-7.8810597731899996</v>
      </c>
    </row>
    <row r="40" spans="2:17" x14ac:dyDescent="0.25">
      <c r="C40" s="319" t="s">
        <v>124</v>
      </c>
      <c r="D40" s="330"/>
      <c r="M40" s="296" t="str">
        <f>VLOOKUP(N40,Coeff_Descr!$A:$D,3,FALSE)</f>
        <v>SHOP</v>
      </c>
      <c r="N40" s="296">
        <f>OtherTourDestination!B48</f>
        <v>38</v>
      </c>
      <c r="O40" s="296" t="str">
        <f>OtherTourDestination!C48</f>
        <v>Beta00038</v>
      </c>
      <c r="P40" s="298">
        <f>OtherTourDestination!E48</f>
        <v>-8.0062297029800007</v>
      </c>
      <c r="Q40" s="335">
        <f si="0" t="shared"/>
        <v>-8.0062297029800007</v>
      </c>
    </row>
    <row ht="15.75" r="41" spans="2:17" thickBot="1" x14ac:dyDescent="0.3">
      <c r="B41" s="344"/>
      <c r="C41" s="320"/>
      <c r="D41" s="323"/>
      <c r="M41" s="296" t="str">
        <f>VLOOKUP(N41,Coeff_Descr!$A:$D,3,FALSE)</f>
        <v>SHOP</v>
      </c>
      <c r="N41" s="296">
        <f>OtherTourDestination!B49</f>
        <v>39</v>
      </c>
      <c r="O41" s="296" t="str">
        <f>OtherTourDestination!C49</f>
        <v>Beta00039</v>
      </c>
      <c r="P41" s="298">
        <f>OtherTourDestination!E49</f>
        <v>-3.4078711737399998</v>
      </c>
      <c r="Q41" s="335">
        <f si="0" t="shared"/>
        <v>-3.4078711737399998</v>
      </c>
    </row>
    <row r="42" spans="2:17" x14ac:dyDescent="0.25">
      <c r="B42" s="346" t="s">
        <v>247</v>
      </c>
      <c r="C42" s="321" t="s">
        <v>90</v>
      </c>
      <c r="D42" s="331"/>
      <c r="M42" s="296" t="str">
        <f>VLOOKUP(N42,Coeff_Descr!$A:$D,3,FALSE)</f>
        <v>SHOP</v>
      </c>
      <c r="N42" s="296">
        <f>OtherTourDestination!B50</f>
        <v>40</v>
      </c>
      <c r="O42" s="296" t="str">
        <f>OtherTourDestination!C50</f>
        <v>Beta00040</v>
      </c>
      <c r="P42" s="298">
        <f>OtherTourDestination!E50</f>
        <v>-6.214086999E-2</v>
      </c>
      <c r="Q42" s="335">
        <f si="0" t="shared"/>
        <v>-6.214086999E-2</v>
      </c>
    </row>
    <row r="43" spans="2:17" x14ac:dyDescent="0.25">
      <c r="B43" s="343">
        <f>B33</f>
        <v>50</v>
      </c>
      <c r="C43" s="302" t="s">
        <v>46</v>
      </c>
      <c r="D43" s="361">
        <f>D23+D33</f>
        <v>-11.41930576164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-0.13916826495000001</v>
      </c>
      <c r="Q43" s="335">
        <f si="0" t="shared"/>
        <v>-0.13916826495000001</v>
      </c>
    </row>
    <row r="44" spans="2:17" x14ac:dyDescent="0.25">
      <c r="B44" s="343">
        <f ref="B44:B46" si="8" t="shared">B34</f>
        <v>51</v>
      </c>
      <c r="C44" s="305" t="s">
        <v>49</v>
      </c>
      <c r="D44" s="361">
        <f ref="D44:D46" si="9" t="shared">D24+D34</f>
        <v>-5.0410177787699997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0.51094315161000003</v>
      </c>
      <c r="Q44" s="335">
        <f si="0" t="shared"/>
        <v>0.51094315161000003</v>
      </c>
    </row>
    <row r="45" spans="2:17" x14ac:dyDescent="0.25">
      <c r="B45" s="343">
        <f si="8" t="shared"/>
        <v>52</v>
      </c>
      <c r="C45" s="305" t="s">
        <v>52</v>
      </c>
      <c r="D45" s="361">
        <f si="9" t="shared"/>
        <v>-3.9034241353299999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0.71812285494999994</v>
      </c>
      <c r="Q45" s="335">
        <f si="0" t="shared"/>
        <v>0.71812285494999994</v>
      </c>
    </row>
    <row ht="15.75" r="46" spans="2:17" thickBot="1" x14ac:dyDescent="0.3">
      <c r="B46" s="363">
        <f si="8" t="shared"/>
        <v>53</v>
      </c>
      <c r="C46" s="324" t="s">
        <v>55</v>
      </c>
      <c r="D46" s="362">
        <f si="9" t="shared"/>
        <v>-8.3251603007378688E-2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-15.14732909554</v>
      </c>
      <c r="Q46" s="335">
        <f si="0" t="shared"/>
        <v>-15.14732909554</v>
      </c>
    </row>
    <row ht="15.75" r="47" spans="2:17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-4.0821681896699999</v>
      </c>
      <c r="Q47" s="335">
        <f si="0" t="shared"/>
        <v>-4.0821681896699999</v>
      </c>
    </row>
    <row r="48" spans="2:17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-1.9121090734599999</v>
      </c>
      <c r="Q48" s="335">
        <f si="0" t="shared"/>
        <v>-1.9121090734599999</v>
      </c>
    </row>
    <row r="49" spans="13:18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-1.3851302912200001</v>
      </c>
      <c r="Q49" s="335">
        <f si="0" t="shared"/>
        <v>-1.3851302912200001</v>
      </c>
    </row>
    <row r="50" spans="13:18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0.18770524043</v>
      </c>
      <c r="Q50" s="335">
        <f si="0" t="shared"/>
        <v>0.18770524043</v>
      </c>
    </row>
    <row r="51" spans="13:18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0.75868423218000003</v>
      </c>
      <c r="Q51" s="335">
        <f si="0" t="shared"/>
        <v>0.75868423218000003</v>
      </c>
    </row>
    <row r="52" spans="13:18" x14ac:dyDescent="0.25">
      <c r="M52" s="296" t="str">
        <f>VLOOKUP(N52,Coeff_Descr!$A:$D,3,FALSE)</f>
        <v>SOCREC</v>
      </c>
      <c r="N52" s="336">
        <f>OtherTourDestination!B60</f>
        <v>50</v>
      </c>
      <c r="O52" s="336" t="str">
        <f>OtherTourDestination!C60</f>
        <v>Beta00050</v>
      </c>
      <c r="P52" s="337">
        <f>OtherTourDestination!E60</f>
        <v>-11.41930576164</v>
      </c>
      <c r="Q52" s="338">
        <f si="0" t="shared"/>
        <v>-11.41930576164</v>
      </c>
      <c r="R52" s="296" t="str">
        <f>VLOOKUP(N52,Coeff_Descr!$A$2:$E$104,4,FALSE)</f>
        <v>distanceFromOrigin4</v>
      </c>
    </row>
    <row r="53" spans="13:18" x14ac:dyDescent="0.25">
      <c r="M53" s="296" t="str">
        <f>VLOOKUP(N53,Coeff_Descr!$A:$D,3,FALSE)</f>
        <v>SOCREC</v>
      </c>
      <c r="N53" s="336">
        <f>OtherTourDestination!B61</f>
        <v>51</v>
      </c>
      <c r="O53" s="336" t="str">
        <f>OtherTourDestination!C61</f>
        <v>Beta00051</v>
      </c>
      <c r="P53" s="337">
        <f>OtherTourDestination!E61</f>
        <v>-5.0410177787699997</v>
      </c>
      <c r="Q53" s="338">
        <f si="0" t="shared"/>
        <v>-5.0410177787699997</v>
      </c>
      <c r="R53" s="296" t="str">
        <f>VLOOKUP(N53,Coeff_Descr!$A$2:$E$104,4,FALSE)</f>
        <v>distanceFromOrigin8</v>
      </c>
    </row>
    <row r="54" spans="13:18" x14ac:dyDescent="0.25">
      <c r="M54" s="296" t="str">
        <f>VLOOKUP(N54,Coeff_Descr!$A:$D,3,FALSE)</f>
        <v>SOCREC</v>
      </c>
      <c r="N54" s="336">
        <f>OtherTourDestination!B62</f>
        <v>52</v>
      </c>
      <c r="O54" s="336" t="str">
        <f>OtherTourDestination!C62</f>
        <v>Beta00052</v>
      </c>
      <c r="P54" s="337">
        <f>OtherTourDestination!E62</f>
        <v>-3.9034241353299999</v>
      </c>
      <c r="Q54" s="338">
        <f si="0" t="shared"/>
        <v>-3.9034241353299999</v>
      </c>
      <c r="R54" s="296" t="str">
        <f>VLOOKUP(N54,Coeff_Descr!$A$2:$E$104,4,FALSE)</f>
        <v>distanceFromOrigin9</v>
      </c>
    </row>
    <row r="55" spans="13:18" x14ac:dyDescent="0.25">
      <c r="M55" s="296" t="str">
        <f>VLOOKUP(N55,Coeff_Descr!$A:$D,3,FALSE)</f>
        <v>SOCREC</v>
      </c>
      <c r="N55" s="336">
        <f>OtherTourDestination!B63</f>
        <v>53</v>
      </c>
      <c r="O55" s="336" t="str">
        <f>OtherTourDestination!C63</f>
        <v>Beta00053</v>
      </c>
      <c r="P55" s="337">
        <f>OtherTourDestination!E63</f>
        <v>-4.1009918469999997E-2</v>
      </c>
      <c r="Q55" s="338">
        <f si="0" t="shared"/>
        <v>-8.3251603007378688E-2</v>
      </c>
      <c r="R55" s="296" t="str">
        <f>VLOOKUP(N55,Coeff_Descr!$A$2:$E$104,4,FALSE)</f>
        <v>distanceFromOrigin3</v>
      </c>
    </row>
    <row r="56" spans="13:18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0.21263122743000001</v>
      </c>
      <c r="Q56" s="335">
        <f si="0" t="shared"/>
        <v>0.21263122743000001</v>
      </c>
    </row>
    <row r="57" spans="13:18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0.43455667627</v>
      </c>
      <c r="Q57" s="335">
        <f si="0" t="shared"/>
        <v>0.43455667627</v>
      </c>
    </row>
    <row r="58" spans="13:18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-0.77182497547999995</v>
      </c>
      <c r="Q58" s="335">
        <f si="0" t="shared"/>
        <v>-0.77182497547999995</v>
      </c>
    </row>
    <row r="59" spans="13:18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7.732925786E-2</v>
      </c>
      <c r="Q59" s="335">
        <f si="0" t="shared"/>
        <v>7.732925786E-2</v>
      </c>
    </row>
    <row r="60" spans="13:18" x14ac:dyDescent="0.25">
      <c r="M60" s="296" t="str">
        <f>VLOOKUP(N60,Coeff_Descr!$A:$D,3,FALSE)</f>
        <v>ESCORT</v>
      </c>
      <c r="N60" s="296">
        <f>OtherTourDestination!B68</f>
        <v>70</v>
      </c>
      <c r="O60" s="296" t="str">
        <f>OtherTourDestination!C68</f>
        <v>LSM_0070</v>
      </c>
      <c r="P60" s="298">
        <f>OtherTourDestination!E68</f>
        <v>0.28212328097</v>
      </c>
      <c r="Q60" s="335">
        <f si="0" t="shared"/>
        <v>0.28212328097</v>
      </c>
    </row>
    <row r="61" spans="13:18" x14ac:dyDescent="0.25">
      <c r="M61" s="296" t="str">
        <f>VLOOKUP(N61,Coeff_Descr!$A:$D,3,FALSE)</f>
        <v>ESCORT</v>
      </c>
      <c r="N61" s="296">
        <f>OtherTourDestination!B69</f>
        <v>71</v>
      </c>
      <c r="O61" s="296" t="str">
        <f>OtherTourDestination!C69</f>
        <v>Gamma071</v>
      </c>
      <c r="P61" s="298">
        <f>OtherTourDestination!E69</f>
        <v>0</v>
      </c>
      <c r="Q61" s="335">
        <f si="0" t="shared"/>
        <v>0</v>
      </c>
    </row>
    <row r="62" spans="13:18" x14ac:dyDescent="0.25">
      <c r="M62" s="296" t="str">
        <f>VLOOKUP(N62,Coeff_Descr!$A:$D,3,FALSE)</f>
        <v>ESCORT</v>
      </c>
      <c r="N62" s="296">
        <f>OtherTourDestination!B70</f>
        <v>72</v>
      </c>
      <c r="O62" s="296" t="str">
        <f>OtherTourDestination!C70</f>
        <v>Gamma072</v>
      </c>
      <c r="P62" s="298">
        <f>OtherTourDestination!E70</f>
        <v>-3.71465268105</v>
      </c>
      <c r="Q62" s="335">
        <f si="0" t="shared"/>
        <v>-3.71465268105</v>
      </c>
    </row>
    <row r="63" spans="13:18" x14ac:dyDescent="0.25">
      <c r="M63" s="296" t="str">
        <f>VLOOKUP(N63,Coeff_Descr!$A:$D,3,FALSE)</f>
        <v>ESCORT</v>
      </c>
      <c r="N63" s="296">
        <f>OtherTourDestination!B71</f>
        <v>73</v>
      </c>
      <c r="O63" s="296" t="str">
        <f>OtherTourDestination!C71</f>
        <v>Gamma073</v>
      </c>
      <c r="P63" s="298">
        <f>OtherTourDestination!E71</f>
        <v>-2.3682469103699999</v>
      </c>
      <c r="Q63" s="335">
        <f si="0" t="shared"/>
        <v>-2.3682469103699999</v>
      </c>
    </row>
    <row r="64" spans="13:18" x14ac:dyDescent="0.25">
      <c r="M64" s="296" t="str">
        <f>VLOOKUP(N64,Coeff_Descr!$A:$D,3,FALSE)</f>
        <v>ESCORT</v>
      </c>
      <c r="N64" s="296">
        <f>OtherTourDestination!B72</f>
        <v>74</v>
      </c>
      <c r="O64" s="296" t="str">
        <f>OtherTourDestination!C72</f>
        <v>Gamma074</v>
      </c>
      <c r="P64" s="298">
        <f>OtherTourDestination!E72</f>
        <v>-2.6135679522899999</v>
      </c>
      <c r="Q64" s="335">
        <f si="0" t="shared"/>
        <v>-2.6135679522899999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75</v>
      </c>
      <c r="O65" s="296" t="str">
        <f>OtherTourDestination!C73</f>
        <v>Gamma075</v>
      </c>
      <c r="P65" s="298">
        <f>OtherTourDestination!E73</f>
        <v>-3.2783954524199999</v>
      </c>
      <c r="Q65" s="335">
        <f si="0" t="shared"/>
        <v>-3.2783954524199999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76</v>
      </c>
      <c r="O66" s="296" t="str">
        <f>OtherTourDestination!C74</f>
        <v>Gamma076</v>
      </c>
      <c r="P66" s="298">
        <f>OtherTourDestination!E74</f>
        <v>-2.7864533272199998</v>
      </c>
      <c r="Q66" s="335">
        <f si="0" t="shared"/>
        <v>-2.7864533272199998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77</v>
      </c>
      <c r="O67" s="296" t="str">
        <f>OtherTourDestination!C75</f>
        <v>Gamma077</v>
      </c>
      <c r="P67" s="298">
        <f>OtherTourDestination!E75</f>
        <v>-2.4397388537100002</v>
      </c>
      <c r="Q67" s="335">
        <f si="0" t="shared"/>
        <v>-2.4397388537100002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78</v>
      </c>
      <c r="O68" s="296" t="str">
        <f>OtherTourDestination!C76</f>
        <v>Gamma078</v>
      </c>
      <c r="P68" s="298">
        <f>OtherTourDestination!E76</f>
        <v>-3.8618208476799998</v>
      </c>
      <c r="Q68" s="335">
        <f si="0" t="shared"/>
        <v>-3.8618208476799998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79</v>
      </c>
      <c r="O69" s="296" t="str">
        <f>OtherTourDestination!C77</f>
        <v>Gamma079</v>
      </c>
      <c r="P69" s="298">
        <f>OtherTourDestination!E77</f>
        <v>-21.721852511200002</v>
      </c>
      <c r="Q69" s="335">
        <f ref="Q69:Q103" si="10" t="shared">_xlfn.IFNA(VLOOKUP(N69,$B$43:$D$46,3,FALSE),P69)</f>
        <v>-21.721852511200002</v>
      </c>
    </row>
    <row r="70" spans="13:17" x14ac:dyDescent="0.25">
      <c r="M70" s="296" t="str">
        <f>VLOOKUP(N70,Coeff_Descr!$A:$D,3,FALSE)</f>
        <v>ESCORT</v>
      </c>
      <c r="N70" s="296">
        <f>OtherTourDestination!B78</f>
        <v>80</v>
      </c>
      <c r="O70" s="296" t="str">
        <f>OtherTourDestination!C78</f>
        <v>Gamma080</v>
      </c>
      <c r="P70" s="298">
        <f>OtherTourDestination!E78</f>
        <v>-1.01264089672</v>
      </c>
      <c r="Q70" s="335">
        <f si="10" t="shared"/>
        <v>-1.01264089672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81</v>
      </c>
      <c r="O71" s="296" t="str">
        <f>OtherTourDestination!C79</f>
        <v>Gamma081</v>
      </c>
      <c r="P71" s="298">
        <f>OtherTourDestination!E79</f>
        <v>-5.1766396376000001</v>
      </c>
      <c r="Q71" s="335">
        <f si="10" t="shared"/>
        <v>-5.1766396376000001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82</v>
      </c>
      <c r="O72" s="296" t="str">
        <f>OtherTourDestination!C80</f>
        <v>Gamma082</v>
      </c>
      <c r="P72" s="298">
        <f>OtherTourDestination!E80</f>
        <v>-2.28857439545</v>
      </c>
      <c r="Q72" s="335">
        <f si="10" t="shared"/>
        <v>-2.28857439545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83</v>
      </c>
      <c r="O73" s="296" t="str">
        <f>OtherTourDestination!C81</f>
        <v>Gamma083</v>
      </c>
      <c r="P73" s="298">
        <f>OtherTourDestination!E81</f>
        <v>-3.4002747143900001</v>
      </c>
      <c r="Q73" s="335">
        <f si="10" t="shared"/>
        <v>-3.4002747143900001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84</v>
      </c>
      <c r="O74" s="296" t="str">
        <f>OtherTourDestination!C82</f>
        <v>Gamma084</v>
      </c>
      <c r="P74" s="298">
        <f>OtherTourDestination!E82</f>
        <v>-1.5824120396100001</v>
      </c>
      <c r="Q74" s="335">
        <f si="10" t="shared"/>
        <v>-1.5824120396100001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85</v>
      </c>
      <c r="O75" s="296" t="str">
        <f>OtherTourDestination!C83</f>
        <v>Gamma085</v>
      </c>
      <c r="P75" s="298">
        <f>OtherTourDestination!E83</f>
        <v>-3.8472578798099999</v>
      </c>
      <c r="Q75" s="335">
        <f si="10" t="shared"/>
        <v>-3.8472578798099999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86</v>
      </c>
      <c r="O76" s="296" t="str">
        <f>OtherTourDestination!C84</f>
        <v>Gamma086</v>
      </c>
      <c r="P76" s="298">
        <f>OtherTourDestination!E84</f>
        <v>-3.1031248195800001</v>
      </c>
      <c r="Q76" s="335">
        <f si="10" t="shared"/>
        <v>-3.1031248195800001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87</v>
      </c>
      <c r="O77" s="296" t="str">
        <f>OtherTourDestination!C85</f>
        <v>Gamma087</v>
      </c>
      <c r="P77" s="298">
        <f>OtherTourDestination!E85</f>
        <v>-19.5604248241</v>
      </c>
      <c r="Q77" s="335">
        <f si="10" t="shared"/>
        <v>-19.5604248241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88</v>
      </c>
      <c r="O78" s="296" t="str">
        <f>OtherTourDestination!C86</f>
        <v>Gamma088</v>
      </c>
      <c r="P78" s="298">
        <f>OtherTourDestination!E86</f>
        <v>0</v>
      </c>
      <c r="Q78" s="335">
        <f si="10" t="shared"/>
        <v>0</v>
      </c>
    </row>
    <row r="79" spans="13:17" x14ac:dyDescent="0.25">
      <c r="M79" s="296" t="str">
        <f>VLOOKUP(N79,Coeff_Descr!$A:$D,3,FALSE)</f>
        <v>PERSBUS/MED</v>
      </c>
      <c r="N79" s="296">
        <f>OtherTourDestination!B87</f>
        <v>89</v>
      </c>
      <c r="O79" s="296" t="str">
        <f>OtherTourDestination!C87</f>
        <v>Gamma089</v>
      </c>
      <c r="P79" s="298">
        <f>OtherTourDestination!E87</f>
        <v>-5.3998296944700002</v>
      </c>
      <c r="Q79" s="335">
        <f si="10" t="shared"/>
        <v>-5.3998296944700002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90</v>
      </c>
      <c r="O80" s="296" t="str">
        <f>OtherTourDestination!C88</f>
        <v>Gamma090</v>
      </c>
      <c r="P80" s="298">
        <f>OtherTourDestination!E88</f>
        <v>-17.4219403528</v>
      </c>
      <c r="Q80" s="335">
        <f si="10" t="shared"/>
        <v>-17.4219403528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91</v>
      </c>
      <c r="O81" s="296" t="str">
        <f>OtherTourDestination!C89</f>
        <v>Gamma091</v>
      </c>
      <c r="P81" s="298">
        <f>OtherTourDestination!E89</f>
        <v>-10.161549352</v>
      </c>
      <c r="Q81" s="335">
        <f si="10" t="shared"/>
        <v>-10.161549352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92</v>
      </c>
      <c r="O82" s="296" t="str">
        <f>OtherTourDestination!C90</f>
        <v>Gamma092</v>
      </c>
      <c r="P82" s="298">
        <f>OtherTourDestination!E90</f>
        <v>-0.87415121182</v>
      </c>
      <c r="Q82" s="335">
        <f si="10" t="shared"/>
        <v>-0.87415121182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93</v>
      </c>
      <c r="O83" s="296" t="str">
        <f>OtherTourDestination!C91</f>
        <v>Gamma093</v>
      </c>
      <c r="P83" s="298">
        <f>OtherTourDestination!E91</f>
        <v>-0.74080192435000003</v>
      </c>
      <c r="Q83" s="335">
        <f si="10" t="shared"/>
        <v>-0.74080192435000003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94</v>
      </c>
      <c r="O84" s="296" t="str">
        <f>OtherTourDestination!C92</f>
        <v>Gamma094</v>
      </c>
      <c r="P84" s="298">
        <f>OtherTourDestination!E92</f>
        <v>0</v>
      </c>
      <c r="Q84" s="335">
        <f si="10" t="shared"/>
        <v>0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95</v>
      </c>
      <c r="O85" s="296" t="str">
        <f>OtherTourDestination!C93</f>
        <v>Gamma095</v>
      </c>
      <c r="P85" s="298">
        <f>OtherTourDestination!E93</f>
        <v>-10.7800625269</v>
      </c>
      <c r="Q85" s="335">
        <f si="10" t="shared"/>
        <v>-10.7800625269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96</v>
      </c>
      <c r="O86" s="296" t="str">
        <f>OtherTourDestination!C94</f>
        <v>Gamma096</v>
      </c>
      <c r="P86" s="298">
        <f>OtherTourDestination!E94</f>
        <v>-17.598302231800002</v>
      </c>
      <c r="Q86" s="335">
        <f si="10" t="shared"/>
        <v>-17.598302231800002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97</v>
      </c>
      <c r="O87" s="296" t="str">
        <f>OtherTourDestination!C95</f>
        <v>Gamma097</v>
      </c>
      <c r="P87" s="298">
        <f>OtherTourDestination!E95</f>
        <v>-7.3399914692000001</v>
      </c>
      <c r="Q87" s="335">
        <f si="10" t="shared"/>
        <v>-7.3399914692000001</v>
      </c>
    </row>
    <row r="88" spans="13:17" x14ac:dyDescent="0.25">
      <c r="M88" s="296" t="str">
        <f>VLOOKUP(N88,Coeff_Descr!$A:$D,3,FALSE)</f>
        <v>SHOP</v>
      </c>
      <c r="N88" s="296">
        <f>OtherTourDestination!B96</f>
        <v>98</v>
      </c>
      <c r="O88" s="296" t="str">
        <f>OtherTourDestination!C96</f>
        <v>Gamma098</v>
      </c>
      <c r="P88" s="298">
        <f>OtherTourDestination!E96</f>
        <v>-11.813486662400001</v>
      </c>
      <c r="Q88" s="335">
        <f si="10" t="shared"/>
        <v>-11.813486662400001</v>
      </c>
    </row>
    <row r="89" spans="13:17" x14ac:dyDescent="0.25">
      <c r="M89" s="296" t="str">
        <f>VLOOKUP(N89,Coeff_Descr!$A:$D,3,FALSE)</f>
        <v>SHOP</v>
      </c>
      <c r="N89" s="296">
        <f>OtherTourDestination!B97</f>
        <v>99</v>
      </c>
      <c r="O89" s="296" t="str">
        <f>OtherTourDestination!C97</f>
        <v>Gamma099</v>
      </c>
      <c r="P89" s="298">
        <f>OtherTourDestination!E97</f>
        <v>-12.070734291200001</v>
      </c>
      <c r="Q89" s="335">
        <f si="10" t="shared"/>
        <v>-12.070734291200001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100</v>
      </c>
      <c r="O90" s="296" t="str">
        <f>OtherTourDestination!C98</f>
        <v>Gamma100</v>
      </c>
      <c r="P90" s="298">
        <f>OtherTourDestination!E98</f>
        <v>0</v>
      </c>
      <c r="Q90" s="335">
        <f si="10" t="shared"/>
        <v>0</v>
      </c>
    </row>
    <row r="91" spans="13:17" x14ac:dyDescent="0.25">
      <c r="M91" s="296" t="str">
        <f>VLOOKUP(N91,Coeff_Descr!$A:$D,3,FALSE)</f>
        <v>SHOP</v>
      </c>
      <c r="N91" s="296">
        <f>OtherTourDestination!B99</f>
        <v>101</v>
      </c>
      <c r="O91" s="296" t="str">
        <f>OtherTourDestination!C99</f>
        <v>Gamma101</v>
      </c>
      <c r="P91" s="298">
        <f>OtherTourDestination!E99</f>
        <v>-11.328569288200001</v>
      </c>
      <c r="Q91" s="335">
        <f si="10" t="shared"/>
        <v>-11.328569288200001</v>
      </c>
    </row>
    <row r="92" spans="13:17" x14ac:dyDescent="0.25">
      <c r="M92" s="296" t="str">
        <f>VLOOKUP(N92,Coeff_Descr!$A:$D,3,FALSE)</f>
        <v>MEAL</v>
      </c>
      <c r="N92" s="296">
        <f>OtherTourDestination!B100</f>
        <v>102</v>
      </c>
      <c r="O92" s="296" t="str">
        <f>OtherTourDestination!C100</f>
        <v>Gamma102</v>
      </c>
      <c r="P92" s="298">
        <f>OtherTourDestination!E100</f>
        <v>0</v>
      </c>
      <c r="Q92" s="335">
        <f si="10" t="shared"/>
        <v>0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103</v>
      </c>
      <c r="O93" s="296" t="str">
        <f>OtherTourDestination!C101</f>
        <v>Gamma103</v>
      </c>
      <c r="P93" s="298">
        <f>OtherTourDestination!E101</f>
        <v>-12.623617921899999</v>
      </c>
      <c r="Q93" s="335">
        <f si="10" t="shared"/>
        <v>-12.623617921899999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104</v>
      </c>
      <c r="O94" s="296" t="str">
        <f>OtherTourDestination!C102</f>
        <v>Gamma104</v>
      </c>
      <c r="P94" s="298">
        <f>OtherTourDestination!E102</f>
        <v>-12.9367414966</v>
      </c>
      <c r="Q94" s="335">
        <f si="10" t="shared"/>
        <v>-12.9367414966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105</v>
      </c>
      <c r="O95" s="296" t="str">
        <f>OtherTourDestination!C103</f>
        <v>Gamma105</v>
      </c>
      <c r="P95" s="298">
        <f>OtherTourDestination!E103</f>
        <v>-21.748737142</v>
      </c>
      <c r="Q95" s="335">
        <f si="10" t="shared"/>
        <v>-21.748737142</v>
      </c>
    </row>
    <row r="96" spans="13:17" x14ac:dyDescent="0.25">
      <c r="M96" s="296" t="str">
        <f>VLOOKUP(N96,Coeff_Descr!$A:$D,3,FALSE)</f>
        <v>SOCREC</v>
      </c>
      <c r="N96" s="296">
        <f>OtherTourDestination!B104</f>
        <v>106</v>
      </c>
      <c r="O96" s="296" t="str">
        <f>OtherTourDestination!C104</f>
        <v>Gamma106</v>
      </c>
      <c r="P96" s="298">
        <f>OtherTourDestination!E104</f>
        <v>-1.1770951513500001</v>
      </c>
      <c r="Q96" s="335">
        <f si="10" t="shared"/>
        <v>-1.1770951513500001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107</v>
      </c>
      <c r="O97" s="296" t="str">
        <f>OtherTourDestination!C105</f>
        <v>Gamma107</v>
      </c>
      <c r="P97" s="298">
        <f>OtherTourDestination!E105</f>
        <v>-1.0914895580199999</v>
      </c>
      <c r="Q97" s="335">
        <f si="10" t="shared"/>
        <v>-1.0914895580199999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108</v>
      </c>
      <c r="O98" s="296" t="str">
        <f>OtherTourDestination!C106</f>
        <v>Gamma108</v>
      </c>
      <c r="P98" s="298">
        <f>OtherTourDestination!E106</f>
        <v>-6.6396727717899999</v>
      </c>
      <c r="Q98" s="335">
        <f si="10" t="shared"/>
        <v>-6.6396727717899999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109</v>
      </c>
      <c r="O99" s="296" t="str">
        <f>OtherTourDestination!C107</f>
        <v>Gamma109</v>
      </c>
      <c r="P99" s="298">
        <f>OtherTourDestination!E107</f>
        <v>-6.1680097229099999</v>
      </c>
      <c r="Q99" s="335">
        <f si="10" t="shared"/>
        <v>-6.1680097229099999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110</v>
      </c>
      <c r="O100" s="296" t="str">
        <f>OtherTourDestination!C108</f>
        <v>Gamma110</v>
      </c>
      <c r="P100" s="298">
        <f>OtherTourDestination!E108</f>
        <v>-2.9287550310000001</v>
      </c>
      <c r="Q100" s="335">
        <f si="10" t="shared"/>
        <v>-2.9287550310000001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111</v>
      </c>
      <c r="O101" s="296" t="str">
        <f>OtherTourDestination!C109</f>
        <v>Gamma111</v>
      </c>
      <c r="P101" s="298">
        <f>OtherTourDestination!E109</f>
        <v>0</v>
      </c>
      <c r="Q101" s="335">
        <f si="10" t="shared"/>
        <v>0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112</v>
      </c>
      <c r="O102" s="296" t="str">
        <f>OtherTourDestination!C110</f>
        <v>Gamma112</v>
      </c>
      <c r="P102" s="298">
        <f>OtherTourDestination!E110</f>
        <v>0</v>
      </c>
      <c r="Q102" s="335">
        <f si="10" t="shared"/>
        <v>0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113</v>
      </c>
      <c r="O103" s="296" t="str">
        <f>OtherTourDestination!C111</f>
        <v>Gamma113</v>
      </c>
      <c r="P103" s="298">
        <f>OtherTourDestination!E111</f>
        <v>-5.4368248499099998</v>
      </c>
      <c r="Q103" s="335">
        <f si="10" t="shared"/>
        <v>-5.4368248499099998</v>
      </c>
    </row>
    <row r="104" spans="13:17" x14ac:dyDescent="0.25">
      <c r="M104" s="296" t="e">
        <f>VLOOKUP(N104,Coeff_Descr!$A:$D,3,FALSE)</f>
        <v>#N/A</v>
      </c>
      <c r="N104" s="296">
        <f>OtherTourDestination!B112</f>
        <v>114</v>
      </c>
      <c r="O104" s="296" t="str">
        <f>OtherTourDestination!C112</f>
        <v>Beta114</v>
      </c>
      <c r="P104" s="298">
        <f>OtherTourDestination!E112</f>
        <v>-0.8</v>
      </c>
      <c r="Q104" s="335">
        <f ref="Q104" si="11" t="shared">_xlfn.IFNA(VLOOKUP(N104,$B$43:$D$46,3,FALSE),P104)</f>
        <v>-0.8</v>
      </c>
    </row>
    <row r="105" spans="13:17" x14ac:dyDescent="0.25">
      <c r="M105" s="296" t="e">
        <f>VLOOKUP(N105,Coeff_Descr!$A:$D,3,FALSE)</f>
        <v>#N/A</v>
      </c>
      <c r="N105" s="296">
        <f>OtherTourDestination!B113</f>
        <v>115</v>
      </c>
      <c r="O105" s="296" t="str">
        <f>OtherTourDestination!C113</f>
        <v>Beta115</v>
      </c>
      <c r="P105" s="298">
        <f>OtherTourDestination!E113</f>
        <v>-0.8</v>
      </c>
      <c r="Q105" s="335">
        <f ref="Q105:Q109" si="12" t="shared">_xlfn.IFNA(VLOOKUP(N105,$B$43:$D$46,3,FALSE),P105)</f>
        <v>-0.8</v>
      </c>
    </row>
    <row r="106" spans="13:17" x14ac:dyDescent="0.25">
      <c r="M106" s="296" t="e">
        <f>VLOOKUP(N106,Coeff_Descr!$A:$D,3,FALSE)</f>
        <v>#N/A</v>
      </c>
      <c r="N106" s="296">
        <f>OtherTourDestination!B114</f>
        <v>116</v>
      </c>
      <c r="O106" s="296" t="str">
        <f>OtherTourDestination!C114</f>
        <v>Beta116</v>
      </c>
      <c r="P106" s="298">
        <f>OtherTourDestination!E114</f>
        <v>-0.8</v>
      </c>
      <c r="Q106" s="335">
        <f si="12" t="shared"/>
        <v>-0.8</v>
      </c>
    </row>
    <row r="107" spans="13:17" x14ac:dyDescent="0.25">
      <c r="M107" s="296" t="e">
        <f>VLOOKUP(N107,Coeff_Descr!$A:$D,3,FALSE)</f>
        <v>#N/A</v>
      </c>
      <c r="N107" s="296">
        <f>OtherTourDestination!B115</f>
        <v>117</v>
      </c>
      <c r="O107" s="296" t="str">
        <f>OtherTourDestination!C115</f>
        <v>Beta117</v>
      </c>
      <c r="P107" s="298">
        <f>OtherTourDestination!E115</f>
        <v>-0.8</v>
      </c>
      <c r="Q107" s="335">
        <f si="12" t="shared"/>
        <v>-0.8</v>
      </c>
    </row>
    <row r="108" spans="13:17" x14ac:dyDescent="0.25">
      <c r="M108" s="296">
        <f>VLOOKUP(N108,Coeff_Descr!$A:$D,3,FALSE)</f>
        <v>0</v>
      </c>
      <c r="N108" s="296">
        <f>OtherTourDestination!B116</f>
        <v>118</v>
      </c>
      <c r="O108" s="296" t="str">
        <f>OtherTourDestination!C116</f>
        <v>Beta118</v>
      </c>
      <c r="P108" s="298">
        <f>OtherTourDestination!E116</f>
        <v>-0.8</v>
      </c>
      <c r="Q108" s="335">
        <f si="12" t="shared"/>
        <v>-0.8</v>
      </c>
    </row>
    <row r="109" spans="13:17" x14ac:dyDescent="0.25">
      <c r="M109" s="296" t="e">
        <f>VLOOKUP(N109,Coeff_Descr!$A:$D,3,FALSE)</f>
        <v>#N/A</v>
      </c>
      <c r="N109" s="296">
        <f>OtherTourDestination!B117</f>
        <v>119</v>
      </c>
      <c r="O109" s="296" t="str">
        <f>OtherTourDestination!C117</f>
        <v>Beta118</v>
      </c>
      <c r="P109" s="298">
        <f>OtherTourDestination!E117</f>
        <v>1</v>
      </c>
      <c r="Q109" s="335">
        <f si="12" t="shared"/>
        <v>1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282</v>
      </c>
      <c r="B1" t="s">
        <v>283</v>
      </c>
    </row>
    <row r="2" spans="1:2" x14ac:dyDescent="0.25">
      <c r="A2">
        <v>1</v>
      </c>
      <c r="B2" t="s">
        <v>284</v>
      </c>
    </row>
    <row r="3" spans="1:2" x14ac:dyDescent="0.25">
      <c r="A3">
        <v>2</v>
      </c>
      <c r="B3" t="s">
        <v>285</v>
      </c>
    </row>
    <row r="4" spans="1:2" x14ac:dyDescent="0.25">
      <c r="A4">
        <v>3</v>
      </c>
      <c r="B4" t="s">
        <v>286</v>
      </c>
    </row>
    <row r="5" spans="1:2" x14ac:dyDescent="0.25">
      <c r="A5">
        <v>4</v>
      </c>
      <c r="B5" t="s">
        <v>287</v>
      </c>
    </row>
    <row r="6" spans="1:2" x14ac:dyDescent="0.25">
      <c r="A6">
        <v>5</v>
      </c>
      <c r="B6" t="s">
        <v>288</v>
      </c>
    </row>
    <row r="7" spans="1:2" x14ac:dyDescent="0.25">
      <c r="A7">
        <v>6</v>
      </c>
      <c r="B7" t="s">
        <v>289</v>
      </c>
    </row>
    <row r="8" spans="1:2" x14ac:dyDescent="0.25">
      <c r="A8">
        <v>7</v>
      </c>
      <c r="B8" t="s">
        <v>290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2020-01-23T23:44:03Z</dcterms:modified>
</cp:coreProperties>
</file>