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S15"/>
  <c i="1" r="S28" s="1"/>
  <c i="1" r="J13"/>
  <c i="1" r="H15"/>
  <c i="1" l="1" r="H26"/>
  <c i="1" r="U26"/>
  <c i="1" r="B26"/>
  <c i="1" r="J26"/>
  <c i="1" r="I26"/>
  <c i="1" r="F26"/>
  <c i="1" r="E26"/>
  <c i="1" r="D26"/>
  <c i="1" r="C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H53"/>
  <c i="6" l="1" r="H52"/>
  <c i="6" r="H51"/>
  <c i="6" r="B51"/>
  <c i="6" r="B52"/>
  <c i="6" r="B53"/>
  <c i="6" r="B54"/>
  <c i="6" r="B55"/>
  <c i="6" r="B56"/>
  <c i="6" r="B57"/>
  <c i="6" r="B58"/>
  <c i="6" r="B59"/>
  <c i="6" r="B60"/>
  <c i="6" r="B61"/>
  <c i="6" r="B62"/>
  <c i="6" r="B63"/>
  <c i="6" r="B64"/>
  <c i="6" r="B65"/>
  <c i="6" r="B66"/>
  <c i="6" r="B67"/>
  <c i="6" r="B68"/>
  <c i="6" r="B69"/>
  <c i="6" r="B70"/>
  <c i="6" r="B71"/>
  <c i="6" r="B72"/>
  <c i="6" r="B73"/>
  <c i="6" r="B74"/>
  <c i="6" r="B75"/>
  <c i="6" r="B76"/>
  <c i="6" r="B77"/>
  <c i="6" r="B78"/>
  <c i="6" r="B79"/>
  <c i="6" r="B80"/>
  <c i="6" r="B81"/>
  <c i="6" r="B82"/>
  <c i="6" r="B83"/>
  <c i="6" r="B84"/>
  <c i="6" r="B85"/>
  <c i="6" r="B86"/>
  <c i="6" r="B87"/>
  <c i="6" r="B88"/>
  <c i="6" r="B89"/>
  <c i="6" r="B90"/>
  <c i="6" r="B91"/>
  <c i="6" r="B92"/>
  <c i="6" r="B93"/>
  <c i="6" r="B94"/>
  <c i="6" r="B95"/>
  <c i="6" r="B96"/>
  <c i="6" r="B97"/>
  <c i="6" r="B98"/>
  <c i="6" r="B99"/>
  <c i="6" r="B100"/>
  <c i="6" r="B101"/>
  <c i="6" r="B102"/>
  <c i="6" r="B103"/>
  <c i="6" r="B104"/>
  <c i="6" r="B105"/>
  <c i="6" r="B106"/>
  <c i="6" r="B107"/>
  <c i="6" r="B108"/>
  <c i="6" r="B109"/>
  <c i="6" r="B110"/>
  <c i="6" r="B111"/>
  <c i="6" r="B112"/>
  <c i="6" r="B113"/>
  <c i="6" r="B114"/>
  <c i="6" r="B115"/>
  <c i="6" r="B116"/>
  <c i="6" r="B117"/>
  <c i="6" r="B118"/>
  <c i="6" r="B119"/>
  <c i="6" r="B120"/>
  <c i="6" r="B121"/>
  <c i="6" r="B122"/>
  <c i="6" r="B123"/>
  <c i="6" r="B124"/>
  <c i="6" r="B125"/>
  <c i="6" r="B126"/>
  <c i="6" r="B127"/>
  <c i="6" r="B128"/>
  <c i="6" r="B129"/>
  <c i="6" r="B130"/>
  <c i="6" r="B131"/>
  <c i="6" r="B132"/>
  <c i="6" r="B133"/>
  <c i="6" r="B134"/>
  <c i="6" r="B135"/>
  <c i="6" r="B136"/>
  <c i="6" r="B137"/>
  <c i="6" r="B138"/>
  <c i="6" r="B139"/>
  <c i="6" r="B140"/>
  <c i="6" r="B141"/>
  <c i="6" r="R55"/>
  <c i="6" r="R56"/>
  <c i="6" r="R57"/>
  <c i="6" r="R58"/>
  <c i="6" r="R59"/>
  <c i="6" r="R60"/>
  <c i="6" r="R61"/>
  <c i="6" r="R62"/>
  <c i="6" r="R63"/>
  <c i="6" r="R64"/>
  <c i="6" r="R65"/>
  <c i="6" r="R66"/>
  <c i="6" r="R67"/>
  <c i="6" r="R68"/>
  <c i="6" r="R69"/>
  <c i="6" r="R70"/>
  <c i="6" r="R71"/>
  <c i="6" r="R72"/>
  <c i="6" r="R73"/>
  <c i="6" r="R74"/>
  <c i="6" r="R75"/>
  <c i="6" l="1" r="A116"/>
  <c i="6" r="A117"/>
  <c i="6" r="A118"/>
  <c i="6" r="A119"/>
  <c i="6" r="A120"/>
  <c i="6" r="A121"/>
  <c i="6" r="A122"/>
  <c i="6" r="A123"/>
  <c i="6" r="A124"/>
  <c i="6" r="A125"/>
  <c i="6" r="A126"/>
  <c i="6" r="A127"/>
  <c i="6" r="A128"/>
  <c i="6" r="A129"/>
  <c i="6" r="A130"/>
  <c i="6" r="A131"/>
  <c i="6" r="A132"/>
  <c i="6" r="A133"/>
  <c i="6" r="A134"/>
  <c i="6" r="A135"/>
  <c i="6" r="A136"/>
  <c i="6" r="A137"/>
  <c i="6" r="A138"/>
  <c i="6" r="A139"/>
  <c i="6" r="A140"/>
  <c i="6" r="A141"/>
  <c i="6" r="A61"/>
  <c i="6" r="A62"/>
  <c i="6" r="A63"/>
  <c i="6" r="A64"/>
  <c i="6" r="A65"/>
  <c i="6" r="A66"/>
  <c i="6" r="A67"/>
  <c i="6" r="A68"/>
  <c i="6" r="A69"/>
  <c i="6" r="A70"/>
  <c i="6" r="A71"/>
  <c i="6" r="A72"/>
  <c i="6" r="A73"/>
  <c i="6" r="A74"/>
  <c i="6" r="A75"/>
  <c i="6" r="A76"/>
  <c i="6" r="A77"/>
  <c i="6" r="A78"/>
  <c i="6" r="A79"/>
  <c i="6" r="A80"/>
  <c i="6" r="A81"/>
  <c i="6" r="A82"/>
  <c i="6" r="A83"/>
  <c i="6" r="A84"/>
  <c i="6" r="A85"/>
  <c i="6" r="A86"/>
  <c i="6" r="A87"/>
  <c i="6" r="A88"/>
  <c i="6" r="A89"/>
  <c i="6" r="A90"/>
  <c i="6" r="A91"/>
  <c i="6" r="A92"/>
  <c i="6" r="A93"/>
  <c i="6" r="A94"/>
  <c i="6" r="A95"/>
  <c i="6" r="A96"/>
  <c i="6" r="A97"/>
  <c i="6" r="A98"/>
  <c i="6" r="A99"/>
  <c i="6" r="A100"/>
  <c i="6" r="A101"/>
  <c i="6" r="A102"/>
  <c i="6" r="A103"/>
  <c i="6" r="A104"/>
  <c i="6" r="A105"/>
  <c i="6" r="A106"/>
  <c i="6" r="A107"/>
  <c i="6" r="A108"/>
  <c i="6" r="A109"/>
  <c i="6" r="A110"/>
  <c i="6" r="A111"/>
  <c i="6" r="A112"/>
  <c i="6" r="A113"/>
  <c i="6" r="A114"/>
  <c i="6" r="A115"/>
  <c i="6" r="A52"/>
  <c i="6" r="A53"/>
  <c i="6" r="A54"/>
  <c i="6" r="A55"/>
  <c i="6" r="A56"/>
  <c i="6" r="A57"/>
  <c i="6" r="A58"/>
  <c i="6" r="A59"/>
  <c i="6" r="A60"/>
  <c i="6" r="A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R93" s="1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R85" s="1"/>
  <c i="6" r="U84"/>
  <c i="6" r="T84"/>
  <c i="6" r="S84"/>
  <c i="6" r="R84" s="1"/>
  <c i="6" r="U83"/>
  <c i="6" r="T83"/>
  <c i="6" r="S83"/>
  <c i="6" r="R83" s="1"/>
  <c i="6" r="U82"/>
  <c i="6" r="T82"/>
  <c i="6" r="S82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U74"/>
  <c i="6" r="T74"/>
  <c i="6" r="U73"/>
  <c i="6" r="T73"/>
  <c i="6" r="U72"/>
  <c i="6" r="T72"/>
  <c i="6" r="U71"/>
  <c i="6" r="T71"/>
  <c i="6" r="U70"/>
  <c i="6" r="T70"/>
  <c i="6" r="U69"/>
  <c i="6" r="T69"/>
  <c i="6" r="U68"/>
  <c i="6" r="T68"/>
  <c i="6" r="U67"/>
  <c i="6" r="T67"/>
  <c i="6" r="U66"/>
  <c i="6" r="T66"/>
  <c i="6" r="U65"/>
  <c i="6" r="T65"/>
  <c i="6" r="U64"/>
  <c i="6" r="T64"/>
  <c i="6" r="U63"/>
  <c i="6" r="T63"/>
  <c i="6" r="U62"/>
  <c i="6" r="T62"/>
  <c i="6" r="U61"/>
  <c i="6" r="T61"/>
  <c i="6" r="U60"/>
  <c i="6" r="T60"/>
  <c i="6" r="U59"/>
  <c i="6" r="T59"/>
  <c i="6" r="U58"/>
  <c i="6" r="T58"/>
  <c i="6" r="U57"/>
  <c i="6" r="T57"/>
  <c i="6" r="U56"/>
  <c i="6" r="T56"/>
  <c i="6" r="U55"/>
  <c i="6" r="T55"/>
  <c i="6" r="U54"/>
  <c i="6" r="T54"/>
  <c i="6" r="S54"/>
  <c i="6" r="U53"/>
  <c i="6" r="T53"/>
  <c i="6" r="S53"/>
  <c i="6" r="R53" s="1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R47" s="1"/>
  <c i="6" r="U46"/>
  <c i="6" r="T46"/>
  <c i="6" r="S46"/>
  <c i="6" r="R46" s="1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U41"/>
  <c i="6" r="T41"/>
  <c i="6" r="S41"/>
  <c i="6" r="R41" s="1"/>
  <c i="6" r="U40"/>
  <c i="6" r="T40"/>
  <c i="6" r="S40"/>
  <c i="6" r="U39"/>
  <c i="6" r="T39"/>
  <c i="6" r="S39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R35" s="1"/>
  <c i="6" r="U34"/>
  <c i="6" r="T34"/>
  <c i="6" r="S34"/>
  <c i="6" r="R34" s="1"/>
  <c i="6" r="U33"/>
  <c i="6" r="T33"/>
  <c i="6" r="S33"/>
  <c i="6" r="R33" s="1"/>
  <c i="6" r="U32"/>
  <c i="6" r="T32"/>
  <c i="6" r="S32"/>
  <c i="6" r="W32" s="1"/>
  <c i="6" r="U31"/>
  <c i="6" r="T31"/>
  <c i="6" r="S31"/>
  <c i="6" r="R31" s="1"/>
  <c i="6" r="U30"/>
  <c i="6" r="T30"/>
  <c i="6" r="S30"/>
  <c i="6" r="W30" s="1"/>
  <c i="6" r="U29"/>
  <c i="6" r="T29"/>
  <c i="6" r="S29"/>
  <c i="6" r="W29" s="1"/>
  <c i="6" r="U28"/>
  <c i="6" r="T28"/>
  <c i="6" r="S28"/>
  <c i="6" r="R28" s="1"/>
  <c i="6" r="U27"/>
  <c i="6" r="T27"/>
  <c i="6" r="S27"/>
  <c i="6" r="R27" s="1"/>
  <c i="6" r="U26"/>
  <c i="6" r="T26"/>
  <c i="6" r="S26"/>
  <c i="6" r="R26" s="1"/>
  <c i="6" r="U25"/>
  <c i="6" r="T25"/>
  <c i="6" r="S25"/>
  <c i="6" r="U24"/>
  <c i="6" r="T24"/>
  <c i="6" r="S24"/>
  <c i="6" r="R24" s="1"/>
  <c i="6" r="U23"/>
  <c i="6" r="T23"/>
  <c i="6" r="S23"/>
  <c i="6" r="R23" s="1"/>
  <c i="6" r="U22"/>
  <c i="6" r="T22"/>
  <c i="6" r="S22"/>
  <c i="6" r="R22" s="1"/>
  <c i="6" r="U21"/>
  <c i="6" r="T21"/>
  <c i="6" r="S21"/>
  <c i="6" r="R21" s="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R10" s="1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R5" s="1"/>
  <c i="6" r="U4"/>
  <c i="6" r="T4"/>
  <c i="6" r="S4"/>
  <c i="6" r="R4" s="1"/>
  <c i="6" r="U3"/>
  <c i="6" r="T3"/>
  <c i="6" r="S3"/>
  <c i="6" r="R3" s="1"/>
  <c i="6" r="C36"/>
  <c i="6" r="C46" s="1"/>
  <c i="6" r="C35"/>
  <c i="6" r="C45" s="1"/>
  <c i="6" r="C34"/>
  <c i="6" r="C44" s="1"/>
  <c i="6" r="C33"/>
  <c i="6" r="C43" s="1"/>
  <c i="6" l="1" r="V109"/>
  <c i="6" r="V105"/>
  <c i="6" r="V108"/>
  <c i="6" r="V106"/>
  <c i="6" r="V107"/>
  <c i="6" r="R30"/>
  <c i="6" r="R32"/>
  <c i="6" r="E26"/>
  <c i="6" r="E46" s="1"/>
  <c i="6" r="W31"/>
  <c i="6" r="E23"/>
  <c i="6" r="E24"/>
  <c i="6" r="E44" s="1"/>
  <c i="6" r="E25"/>
  <c i="6" r="E45" s="1"/>
  <c i="6" r="V53"/>
  <c i="6" r="R29"/>
  <c i="6" r="R42"/>
  <c i="6" r="R39"/>
  <c i="6" r="V95"/>
  <c i="6" r="V99"/>
  <c i="6" r="V22"/>
  <c i="6" r="V93"/>
  <c i="6" r="V16"/>
  <c i="6" r="V63"/>
  <c i="6" r="V9"/>
  <c i="6" r="V54"/>
  <c i="6" r="V66"/>
  <c i="6" r="V55"/>
  <c i="6" r="V74"/>
  <c i="6" r="V19"/>
  <c i="6" r="V75"/>
  <c i="6" r="V60"/>
  <c i="6" r="V77"/>
  <c i="6" r="V17"/>
  <c i="6" r="V78"/>
  <c i="6" r="V23"/>
  <c i="6" r="V79"/>
  <c i="6" r="V28"/>
  <c i="6" r="V12"/>
  <c i="6" r="V21"/>
  <c i="6" r="V26"/>
  <c i="6" r="V80"/>
  <c i="6" r="V46"/>
  <c i="6" r="V56"/>
  <c i="6" r="V20"/>
  <c i="6" r="V27"/>
  <c i="6" r="V84"/>
  <c i="6" r="V18"/>
  <c i="6" r="V85"/>
  <c i="6" r="V61"/>
  <c i="6" r="V15"/>
  <c i="6" r="V86"/>
  <c i="6" r="V44"/>
  <c i="6" r="V87"/>
  <c i="6" r="V59"/>
  <c i="6" r="V45"/>
  <c i="6" r="V88"/>
  <c i="6" r="V11"/>
  <c i="6" r="V13"/>
  <c i="6" r="V14"/>
  <c i="6" r="V47"/>
  <c i="6" r="V89"/>
  <c i="6" r="V48"/>
  <c i="6" r="V91"/>
  <c i="6" r="V50"/>
  <c i="6" r="V8"/>
  <c i="6" r="V62"/>
  <c i="6" r="V104"/>
  <c i="6" r="V49"/>
  <c i="6" r="V81"/>
  <c i="6" r="V90"/>
  <c i="6" r="V25"/>
  <c i="6" r="V64"/>
  <c i="6" r="V92"/>
  <c i="6" r="V82"/>
  <c i="6" r="V65"/>
  <c i="6" r="V94"/>
  <c i="6" r="V33"/>
  <c i="6" r="V67"/>
  <c i="6" r="V96"/>
  <c i="6" r="V34"/>
  <c i="6" r="V68"/>
  <c i="6" r="V97"/>
  <c i="6" r="V57"/>
  <c i="6" r="V83"/>
  <c i="6" r="V3"/>
  <c i="6" r="V35"/>
  <c i="6" r="V69"/>
  <c i="6" r="V98"/>
  <c i="6" r="V51"/>
  <c i="6" r="V4"/>
  <c i="6" r="V36"/>
  <c i="6" r="V70"/>
  <c i="6" r="V101"/>
  <c i="6" r="V5"/>
  <c i="6" r="V37"/>
  <c i="6" r="V71"/>
  <c i="6" r="V102"/>
  <c i="6" r="V6"/>
  <c i="6" r="V38"/>
  <c i="6" r="V72"/>
  <c i="6" r="V103"/>
  <c i="6" r="V58"/>
  <c i="6" r="V7"/>
  <c i="6" r="V43"/>
  <c i="6" r="V73"/>
  <c i="6" r="R40"/>
  <c i="6" r="R82"/>
  <c i="6" r="R25"/>
  <c i="6" r="R54"/>
  <c i="6" r="V24"/>
  <c i="6" r="V52"/>
  <c i="6" r="V76"/>
  <c i="6" r="V100"/>
  <c i="6" r="V10"/>
  <c i="6" l="1" r="E5"/>
  <c i="6" r="H7"/>
  <c i="6" r="E7"/>
  <c i="6" r="H6"/>
  <c i="6" r="E6"/>
  <c i="6" r="H5"/>
  <c i="6" r="H4"/>
  <c i="6" r="E4"/>
  <c i="6" l="1" r="H8"/>
  <c i="6" r="H16" s="1"/>
  <c i="6" r="E8"/>
  <c i="6" l="1" r="H13"/>
  <c i="6" r="H14"/>
  <c i="6" r="H15"/>
  <c i="6" r="H12"/>
  <c i="6" r="E13"/>
  <c i="6" r="J13" s="1"/>
  <c i="6" r="K13" s="1"/>
  <c i="6" r="E16"/>
  <c i="6" r="E12"/>
  <c i="6" r="E15"/>
  <c i="6" r="J15" s="1"/>
  <c i="6" r="K15" s="1"/>
  <c i="6" r="E14"/>
  <c i="6" l="1" r="J14"/>
  <c i="6" r="K14" s="1"/>
  <c i="6" r="J12"/>
  <c i="6" r="K12" s="1"/>
  <c i="6" r="L12" s="1"/>
  <c i="6" r="E33" s="1"/>
  <c i="6" l="1" r="L15"/>
  <c i="6" r="E36" s="1"/>
  <c i="6" r="V39"/>
  <c i="6" r="L13"/>
  <c i="6" r="E34" s="1"/>
  <c i="6" r="V42"/>
  <c i="6" r="V32"/>
  <c i="6" r="L14"/>
  <c i="6" r="E35" s="1"/>
  <c i="6" r="V40"/>
  <c i="6" r="V30"/>
  <c i="6" r="V41"/>
  <c i="6" r="V3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5"/>
  <c i="1" r="E25"/>
  <c i="1" r="G25"/>
  <c i="1" r="C25"/>
  <c i="1" r="F25"/>
  <c i="1" r="D25"/>
  <c i="1" r="B25"/>
  <c i="1" r="E24"/>
  <c i="1" r="F24"/>
  <c i="1" r="G24"/>
  <c i="1" r="B24"/>
  <c i="1" r="D24"/>
  <c i="1" r="C24"/>
  <c i="1" r="I24"/>
  <c i="1" r="G23"/>
  <c i="1" r="C23"/>
  <c i="1" r="I23"/>
  <c i="1" r="B23"/>
  <c i="1" r="D23"/>
  <c i="1" r="E23"/>
  <c i="1" r="F23"/>
  <c i="1" r="U23"/>
  <c i="1" r="U24"/>
  <c i="1" r="U25"/>
  <c i="1" r="U7"/>
  <c i="1" r="M15"/>
  <c i="1" r="C15"/>
  <c i="1" r="D15"/>
  <c i="1" r="E15"/>
  <c i="1" r="I15"/>
  <c i="1" r="B15"/>
  <c i="1" r="J8"/>
  <c i="1" r="J9"/>
  <c i="1" r="J14"/>
  <c i="1" r="J7"/>
  <c i="1" l="1" r="H20"/>
  <c i="1" r="C20"/>
  <c i="1" r="D20"/>
  <c i="1" r="E20"/>
  <c i="1" r="F20"/>
  <c i="1" r="G20"/>
  <c i="1" r="I20"/>
  <c i="1" r="B20"/>
  <c i="1" r="J23"/>
  <c i="1" r="J24"/>
  <c i="1" r="J25"/>
  <c i="1" r="J15"/>
  <c i="1" r="N15"/>
  <c i="1" r="N28" s="1"/>
  <c i="1" r="O15"/>
  <c i="1" r="O28" s="1"/>
  <c i="1" r="P15"/>
  <c i="1" r="T15"/>
  <c i="1" r="T28" s="1"/>
  <c i="1" r="M28"/>
  <c i="1" r="U8"/>
  <c i="1" r="H21" s="1"/>
  <c i="1" r="U9"/>
  <c i="1" r="H22" s="1"/>
  <c i="1" r="U14"/>
  <c i="1" r="H27" s="1"/>
  <c i="1" r="P28"/>
  <c i="1" r="M20"/>
  <c i="4" r="F102"/>
  <c i="4" r="G101" s="1"/>
  <c i="4" r="B102"/>
  <c i="4" r="C102" s="1"/>
  <c i="3" r="F102"/>
  <c i="3" r="B102"/>
  <c i="1" l="1" r="H28"/>
  <c i="1" r="B22"/>
  <c i="1" r="C22"/>
  <c i="1" r="D22"/>
  <c i="1" r="E22"/>
  <c i="1" r="F22"/>
  <c i="1" r="G22"/>
  <c i="1" r="I22"/>
  <c i="1" r="F27"/>
  <c i="1" r="C27"/>
  <c i="1" r="I27"/>
  <c i="1" r="U27"/>
  <c i="1" r="E27"/>
  <c i="1" r="D27"/>
  <c i="1" r="G27"/>
  <c i="1" r="B27"/>
  <c i="1" r="D21"/>
  <c i="1" r="B21"/>
  <c i="1" r="E21"/>
  <c i="1" r="F21"/>
  <c i="1" r="G21"/>
  <c i="1" r="I21"/>
  <c i="1" r="I28" s="1"/>
  <c i="1" r="C21"/>
  <c i="3" r="C13"/>
  <c i="6" r="C58"/>
  <c i="6" r="C82"/>
  <c i="6" r="C106"/>
  <c i="6" r="C130"/>
  <c i="6" r="C102"/>
  <c i="6" r="C59"/>
  <c i="6" r="C83"/>
  <c i="6" r="C107"/>
  <c i="6" r="C131"/>
  <c i="6" r="C127"/>
  <c i="6" r="C60"/>
  <c i="6" r="C84"/>
  <c i="6" r="C108"/>
  <c i="6" r="C132"/>
  <c i="6" r="C121"/>
  <c i="6" r="C104"/>
  <c i="6" r="C61"/>
  <c i="6" r="C85"/>
  <c i="6" r="C109"/>
  <c i="6" r="C133"/>
  <c i="6" r="C80"/>
  <c i="6" r="C62"/>
  <c i="6" r="C86"/>
  <c i="6" r="C110"/>
  <c i="6" r="C134"/>
  <c i="6" r="C63"/>
  <c i="6" r="C87"/>
  <c i="6" r="C111"/>
  <c i="6" r="C135"/>
  <c i="6" r="C64"/>
  <c i="6" r="C88"/>
  <c i="6" r="C112"/>
  <c i="6" r="C136"/>
  <c i="6" r="C65"/>
  <c i="6" r="C89"/>
  <c i="6" r="E89" s="1"/>
  <c i="6" r="C113"/>
  <c i="6" r="E113" s="1"/>
  <c i="6" r="C137"/>
  <c i="6" r="E137" s="1"/>
  <c i="6" r="C66"/>
  <c i="6" r="E66" s="1"/>
  <c i="6" r="C90"/>
  <c i="6" r="E90" s="1"/>
  <c i="6" r="C114"/>
  <c i="6" r="C138"/>
  <c i="6" r="C67"/>
  <c i="6" r="C91"/>
  <c i="6" r="C115"/>
  <c i="6" r="C139"/>
  <c i="6" r="E139" s="1"/>
  <c i="6" r="C119"/>
  <c i="6" r="C124"/>
  <c i="6" r="C105"/>
  <c i="6" r="C68"/>
  <c i="6" r="C92"/>
  <c i="6" r="C116"/>
  <c i="6" r="C140"/>
  <c i="6" r="C122"/>
  <c i="6" r="C69"/>
  <c i="6" r="C93"/>
  <c i="6" r="C117"/>
  <c i="6" r="C141"/>
  <c i="6" r="C73"/>
  <c i="6" r="C56"/>
  <c i="6" r="C70"/>
  <c i="6" r="C94"/>
  <c i="6" r="C118"/>
  <c i="6" r="C51"/>
  <c i="6" r="C71"/>
  <c i="6" r="C95"/>
  <c i="6" r="C72"/>
  <c i="6" r="C96"/>
  <c i="6" r="C120"/>
  <c i="6" r="C97"/>
  <c i="6" r="C74"/>
  <c i="6" r="C98"/>
  <c i="6" r="C126"/>
  <c i="6" r="C75"/>
  <c i="6" r="C99"/>
  <c i="6" r="C123"/>
  <c i="6" r="C52"/>
  <c i="6" r="C76"/>
  <c i="6" r="C100"/>
  <c i="6" r="C128"/>
  <c i="6" r="C53"/>
  <c i="6" r="C77"/>
  <c i="6" r="C101"/>
  <c i="6" r="C125"/>
  <c i="6" r="C81"/>
  <c i="6" r="C54"/>
  <c i="6" r="C78"/>
  <c i="6" r="E78" s="1"/>
  <c i="6" r="C55"/>
  <c i="6" r="E55" s="1"/>
  <c i="6" r="C79"/>
  <c i="6" r="E79" s="1"/>
  <c i="6" r="C103"/>
  <c i="6" r="E103" s="1"/>
  <c i="6" r="C57"/>
  <c i="6" r="C129"/>
  <c i="3" r="G101"/>
  <c i="6" r="D53"/>
  <c i="6" r="D77"/>
  <c i="6" r="D101"/>
  <c i="6" r="D125"/>
  <c i="6" r="D54"/>
  <c i="6" r="D78"/>
  <c i="6" r="D102"/>
  <c i="6" r="D126"/>
  <c i="6" r="D55"/>
  <c i="6" r="D79"/>
  <c i="6" r="D103"/>
  <c i="6" r="D127"/>
  <c i="6" r="D56"/>
  <c i="6" r="D80"/>
  <c i="6" r="D104"/>
  <c i="6" r="D128"/>
  <c i="6" r="D57"/>
  <c i="6" r="D81"/>
  <c i="6" r="D105"/>
  <c i="6" r="D129"/>
  <c i="6" r="D58"/>
  <c i="6" r="D82"/>
  <c i="6" r="D106"/>
  <c i="6" r="D130"/>
  <c i="6" r="D116"/>
  <c i="6" r="D59"/>
  <c i="6" r="D83"/>
  <c i="6" r="D107"/>
  <c i="6" r="D131"/>
  <c i="6" r="D60"/>
  <c i="6" r="D84"/>
  <c i="6" r="D108"/>
  <c i="6" r="D132"/>
  <c i="6" r="D140"/>
  <c i="6" r="D61"/>
  <c i="6" r="D85"/>
  <c i="6" r="D109"/>
  <c i="6" r="D133"/>
  <c i="6" r="D62"/>
  <c i="6" r="D86"/>
  <c i="6" r="D110"/>
  <c i="6" r="D134"/>
  <c i="6" r="D63"/>
  <c i="6" r="D87"/>
  <c i="6" r="D111"/>
  <c i="6" r="D135"/>
  <c i="6" r="D64"/>
  <c i="6" r="D88"/>
  <c i="6" r="D112"/>
  <c i="6" r="D136"/>
  <c i="6" r="D65"/>
  <c i="6" r="D89"/>
  <c i="6" r="D113"/>
  <c i="6" r="D137"/>
  <c i="6" r="D66"/>
  <c i="6" r="D90"/>
  <c i="6" r="D114"/>
  <c i="6" r="D138"/>
  <c i="6" r="D67"/>
  <c i="6" r="D91"/>
  <c i="6" r="D115"/>
  <c i="6" r="D139"/>
  <c i="6" r="D68"/>
  <c i="6" r="D92"/>
  <c i="6" r="D69"/>
  <c i="6" r="D93"/>
  <c i="6" r="D117"/>
  <c i="6" r="D141"/>
  <c i="6" r="D70"/>
  <c i="6" r="D94"/>
  <c i="6" r="D118"/>
  <c i="6" r="D51"/>
  <c i="6" r="D71"/>
  <c i="6" r="D95"/>
  <c i="6" r="D119"/>
  <c i="6" r="D72"/>
  <c i="6" r="D96"/>
  <c i="6" r="D120"/>
  <c i="6" r="D73"/>
  <c i="6" r="D97"/>
  <c i="6" r="D121"/>
  <c i="6" r="D74"/>
  <c i="6" r="D98"/>
  <c i="6" r="D122"/>
  <c i="6" r="D75"/>
  <c i="6" r="D99"/>
  <c i="6" r="D123"/>
  <c i="6" r="D52"/>
  <c i="6" r="D76"/>
  <c i="6" r="D100"/>
  <c i="6" r="D124"/>
  <c i="1" r="U22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U21"/>
  <c i="4" r="G3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U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6" l="1" r="E67"/>
  <c i="6" r="E138"/>
  <c i="6" r="E114"/>
  <c i="6" r="E61"/>
  <c i="1" r="S36"/>
  <c i="1" r="S38"/>
  <c i="1" r="S33"/>
  <c i="1" r="P39"/>
  <c i="1" r="T39"/>
  <c i="1" r="O39"/>
  <c i="1" r="M39"/>
  <c i="1" r="S40"/>
  <c i="1" r="S41"/>
  <c i="1" r="R39"/>
  <c i="1" r="Q39"/>
  <c i="1" r="S35"/>
  <c i="1" r="S34"/>
  <c i="1" r="S37"/>
  <c i="1" r="S39"/>
  <c i="1" r="N39"/>
  <c i="1" r="U39"/>
  <c i="6" r="E108"/>
  <c i="6" r="E84"/>
  <c i="6" r="E132"/>
  <c i="6" r="E60"/>
  <c i="6" r="E131"/>
  <c i="6" r="E107"/>
  <c i="6" r="E54"/>
  <c i="6" r="E125"/>
  <c i="6" r="E98"/>
  <c i="6" r="E74"/>
  <c i="6" r="E80"/>
  <c i="6" r="E133"/>
  <c i="1" r="J27"/>
  <c i="1" r="U40"/>
  <c i="1" r="O38"/>
  <c i="1" r="N36"/>
  <c i="1" r="P38"/>
  <c i="1" r="M36"/>
  <c i="1" r="T37"/>
  <c i="1" r="Q38"/>
  <c i="1" r="R38"/>
  <c i="1" r="T38"/>
  <c i="1" r="T34"/>
  <c i="1" r="M33"/>
  <c i="1" r="N37"/>
  <c i="1" r="M40"/>
  <c i="1" r="R34"/>
  <c i="1" r="T35"/>
  <c i="1" r="O36"/>
  <c i="1" r="M37"/>
  <c i="1" r="R37"/>
  <c i="1" r="N40"/>
  <c i="1" r="T36"/>
  <c i="1" r="N38"/>
  <c i="1" r="O40"/>
  <c i="1" r="M38"/>
  <c i="1" r="P40"/>
  <c i="1" r="R33"/>
  <c i="1" r="P35"/>
  <c i="1" r="Q40"/>
  <c i="1" r="M34"/>
  <c i="1" r="R40"/>
  <c i="1" r="P36"/>
  <c i="1" r="N34"/>
  <c i="1" r="T40"/>
  <c i="1" r="O34"/>
  <c i="1" r="N33"/>
  <c i="1" r="Q34"/>
  <c i="1" r="Q33"/>
  <c i="1" r="O35"/>
  <c i="1" r="R36"/>
  <c i="1" r="Q37"/>
  <c i="1" r="M35"/>
  <c i="1" r="Q35"/>
  <c i="1" r="P37"/>
  <c i="1" r="P34"/>
  <c i="1" r="O33"/>
  <c i="1" r="P33"/>
  <c i="1" r="N35"/>
  <c i="1" r="T33"/>
  <c i="1" r="R35"/>
  <c i="1" r="Q36"/>
  <c i="1" r="O37"/>
  <c i="1" r="F28"/>
  <c i="6" r="E119"/>
  <c i="6" r="E124"/>
  <c i="6" r="E86"/>
  <c i="6" r="E95"/>
  <c i="6" r="E62"/>
  <c i="6" r="E71"/>
  <c i="6" r="E51"/>
  <c i="6" r="H50" s="1"/>
  <c i="6" r="E43" s="1"/>
  <c i="6" r="V29" s="1"/>
  <c i="6" r="E115"/>
  <c i="6" r="E91"/>
  <c i="6" r="E109"/>
  <c i="6" r="E57"/>
  <c i="6" r="E85"/>
  <c i="6" r="E104"/>
  <c i="6" r="E129"/>
  <c i="6" r="E118"/>
  <c i="6" r="E94"/>
  <c i="6" r="E81"/>
  <c i="6" r="E70"/>
  <c i="6" r="E56"/>
  <c i="6" r="E101"/>
  <c i="6" r="E65"/>
  <c i="6" r="E127"/>
  <c i="6" r="E77"/>
  <c i="6" r="E141"/>
  <c i="6" r="E136"/>
  <c i="6" r="E53"/>
  <c i="6" r="E117"/>
  <c i="6" r="E112"/>
  <c i="6" r="E128"/>
  <c i="6" r="E93"/>
  <c i="6" r="E88"/>
  <c i="6" r="E83"/>
  <c i="6" r="E100"/>
  <c i="6" r="E69"/>
  <c i="6" r="E64"/>
  <c i="6" r="E59"/>
  <c i="6" r="E121"/>
  <c i="6" r="E76"/>
  <c i="6" r="E122"/>
  <c i="6" r="E135"/>
  <c i="6" r="E102"/>
  <c i="6" r="E97"/>
  <c i="6" r="E52"/>
  <c i="6" r="E140"/>
  <c i="6" r="E111"/>
  <c i="6" r="E130"/>
  <c i="6" r="E73"/>
  <c i="6" r="E123"/>
  <c i="6" r="E116"/>
  <c i="6" r="E87"/>
  <c i="6" r="E106"/>
  <c i="6" r="E120"/>
  <c i="6" r="E99"/>
  <c i="6" r="E92"/>
  <c i="6" r="E63"/>
  <c i="6" r="E82"/>
  <c i="6" r="E96"/>
  <c i="6" r="E75"/>
  <c i="6" r="E68"/>
  <c i="6" r="E134"/>
  <c i="6" r="E58"/>
  <c i="1" r="G28"/>
  <c i="6" r="E72"/>
  <c i="6" r="E126"/>
  <c i="6" r="E105"/>
  <c i="6" r="E110"/>
  <c i="1" r="P41"/>
  <c i="1" r="R41"/>
  <c i="1" r="Q41"/>
  <c i="1" r="U41"/>
  <c i="1" r="U36"/>
  <c i="1" r="U37"/>
  <c i="1" r="U38"/>
  <c i="1" r="U35"/>
  <c i="1" r="M41"/>
  <c i="1" r="O41"/>
  <c i="1" r="U33"/>
  <c i="1" r="J22"/>
  <c i="1" r="B28"/>
  <c i="1" r="T41"/>
  <c i="1" r="N41"/>
  <c i="1" r="C28"/>
  <c i="1" r="J21"/>
  <c i="1" r="E28"/>
  <c i="1" r="U34"/>
  <c i="1" r="D28"/>
  <c i="1" r="J20"/>
  <c i="1" l="1" r="J28"/>
  <c i="1" l="1" r="J40"/>
  <c i="1" r="AF40" s="1"/>
  <c i="1" r="H39"/>
  <c i="1" r="AD39" s="1"/>
  <c i="1" r="G39"/>
  <c i="1" r="AC39" s="1"/>
  <c i="1" r="E39"/>
  <c i="1" r="AA39" s="1"/>
  <c i="1" r="D39"/>
  <c i="1" r="Z39" s="1"/>
  <c i="1" r="I39"/>
  <c i="1" r="AE39" s="1"/>
  <c i="1" r="F39"/>
  <c i="1" r="AB39" s="1"/>
  <c i="1" r="B39"/>
  <c i="1" r="X39" s="1"/>
  <c i="1" r="J39"/>
  <c i="1" r="AF39" s="1"/>
  <c i="1" r="C39"/>
  <c i="1" r="Y39" s="1"/>
  <c i="1" r="G36"/>
  <c i="1" r="AC36" s="1"/>
  <c i="1" r="G38"/>
  <c i="1" r="AC38" s="1"/>
  <c i="1" r="H37"/>
  <c i="1" r="AD37" s="1"/>
  <c i="1" r="G37"/>
  <c i="1" r="H36"/>
  <c i="1" r="AD36" s="1"/>
  <c i="1" r="H38"/>
  <c i="1" r="AD38" s="1"/>
  <c i="1" r="H34"/>
  <c i="1" r="AD34" s="1"/>
  <c i="1" r="H35"/>
  <c i="1" r="AD35" s="1"/>
  <c i="1" r="H40"/>
  <c i="1" r="AD40" s="1"/>
  <c i="1" r="G33"/>
  <c i="1" r="AC33" s="1"/>
  <c i="1" r="H33"/>
  <c i="1" r="AD33" s="1"/>
  <c i="1" r="G34"/>
  <c i="1" r="AC34" s="1"/>
  <c i="1" r="G35"/>
  <c i="1" r="AC35" s="1"/>
  <c i="1" r="H41"/>
  <c i="1" r="AD41" s="1"/>
  <c i="1" r="D36"/>
  <c i="1" r="Z36" s="1"/>
  <c i="1" r="I36"/>
  <c i="1" r="AE36" s="1"/>
  <c i="1" r="E36"/>
  <c i="1" r="AA36" s="1"/>
  <c i="1" r="I37"/>
  <c i="1" r="AE37" s="1"/>
  <c i="1" r="D38"/>
  <c i="1" r="Z38" s="1"/>
  <c i="1" r="E38"/>
  <c i="1" r="AA38" s="1"/>
  <c i="1" r="D37"/>
  <c i="1" r="Z37" s="1"/>
  <c i="1" r="B37"/>
  <c i="1" r="X37" s="1"/>
  <c i="1" r="AC37"/>
  <c i="1" r="F37"/>
  <c i="1" r="AB37" s="1"/>
  <c i="1" r="C37"/>
  <c i="1" r="Y37" s="1"/>
  <c i="1" r="B36"/>
  <c i="1" r="X36" s="1"/>
  <c i="1" r="C38"/>
  <c i="1" r="Y38" s="1"/>
  <c i="1" r="F36"/>
  <c i="1" r="AB36" s="1"/>
  <c i="1" r="E37"/>
  <c i="1" r="AA37" s="1"/>
  <c i="1" r="F38"/>
  <c i="1" r="AB38" s="1"/>
  <c i="1" r="C36"/>
  <c i="1" r="Y36" s="1"/>
  <c i="1" r="B38"/>
  <c i="1" r="X38" s="1"/>
  <c i="1" r="I38"/>
  <c i="1" r="AE38" s="1"/>
  <c i="1" r="B33"/>
  <c i="1" r="X33" s="1"/>
  <c i="1" r="F33"/>
  <c i="1" r="AB33" s="1"/>
  <c i="1" r="I33"/>
  <c i="1" r="AE33" s="1"/>
  <c i="1" r="D33"/>
  <c i="1" r="Z33" s="1"/>
  <c i="1" r="C33"/>
  <c i="1" r="Y33" s="1"/>
  <c i="1" r="E33"/>
  <c i="1" r="AA33" s="1"/>
  <c i="1" r="C34"/>
  <c i="1" r="Y34" s="1"/>
  <c i="1" r="C40"/>
  <c i="1" r="Y40" s="1"/>
  <c i="1" r="I34"/>
  <c i="1" r="AE34" s="1"/>
  <c i="1" r="F40"/>
  <c i="1" r="AB40" s="1"/>
  <c i="1" r="F34"/>
  <c i="1" r="AB34" s="1"/>
  <c i="1" r="G40"/>
  <c i="1" r="AC40" s="1"/>
  <c i="1" r="F35"/>
  <c i="1" r="AB35" s="1"/>
  <c i="1" r="E34"/>
  <c i="1" r="AA34" s="1"/>
  <c i="1" r="D40"/>
  <c i="1" r="Z40" s="1"/>
  <c i="1" r="B34"/>
  <c i="1" r="X34" s="1"/>
  <c i="1" r="E40"/>
  <c i="1" r="AA40" s="1"/>
  <c i="1" r="I35"/>
  <c i="1" r="AE35" s="1"/>
  <c i="1" r="D34"/>
  <c i="1" r="Z34" s="1"/>
  <c i="1" r="I40"/>
  <c i="1" r="AE40" s="1"/>
  <c i="1" r="B35"/>
  <c i="1" r="X35" s="1"/>
  <c i="1" r="B40"/>
  <c i="1" r="X40" s="1"/>
  <c i="1" r="E35"/>
  <c i="1" r="AA35" s="1"/>
  <c i="1" r="C35"/>
  <c i="1" r="Y35" s="1"/>
  <c i="1" r="D35"/>
  <c i="1" r="Z35" s="1"/>
  <c i="1" r="F41"/>
  <c i="1" r="AB41" s="1"/>
  <c i="1" r="G41"/>
  <c i="1" r="AC41" s="1"/>
  <c i="1" r="J33"/>
  <c i="1" r="AF33" s="1"/>
  <c i="1" r="J37"/>
  <c i="1" r="AF37" s="1"/>
  <c i="1" r="J38"/>
  <c i="1" r="AF38" s="1"/>
  <c i="1" r="J36"/>
  <c i="1" r="AF36" s="1"/>
  <c i="1" r="J41"/>
  <c i="1" r="AF41" s="1"/>
  <c i="1" r="C41"/>
  <c i="1" r="Y41" s="1"/>
  <c i="1" r="E41"/>
  <c i="1" r="AA41" s="1"/>
  <c i="1" r="D41"/>
  <c i="1" r="Z41" s="1"/>
  <c i="1" r="I41"/>
  <c i="1" r="AE41" s="1"/>
  <c i="1" r="J35"/>
  <c i="1" r="AF35" s="1"/>
  <c i="1" r="J34"/>
  <c i="1" r="AF34" s="1"/>
  <c i="1" r="B41"/>
  <c i="1" r="X41" s="1"/>
</calcChain>
</file>

<file path=xl/sharedStrings.xml><?xml version="1.0" encoding="utf-8"?>
<sst xmlns="http://schemas.openxmlformats.org/spreadsheetml/2006/main" count="818" uniqueCount="321">
  <si>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</si>
  <si>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</si>
  <si>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</si>
  <si>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</si>
  <si>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</si>
  <si>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</si>
  <si>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</si>
  <si>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</si>
  <si>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</si>
  <si>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</si>
  <si>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</si>
  <si>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</si>
  <si>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</si>
  <si>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</si>
  <si>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</si>
  <si>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</si>
  <si>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</si>
  <si>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</si>
  <si>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</si>
  <si>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</si>
  <si>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</si>
  <si>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</si>
  <si>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</si>
  <si>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</si>
  <si>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</si>
  <si>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</si>
  <si>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</si>
  <si>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</si>
  <si>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</si>
  <si>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</si>
  <si>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</si>
  <si>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</si>
  <si>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</si>
  <si>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</si>
  <si>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</si>
  <si>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</si>
  <si>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</si>
  <si>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</si>
  <si>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</si>
  <si>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</si>
  <si>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</si>
  <si>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</si>
  <si>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</si>
  <si>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</si>
  <si>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</si>
  <si>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</si>
  <si>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</si>
  <si>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</si>
  <si>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</si>
  <si>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</si>
  <si>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</si>
  <si>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</si>
  <si>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</si>
  <si>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</si>
  <si>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</si>
  <si>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</si>
  <si>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</si>
  <si>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</si>
  <si>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</si>
  <si>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</si>
  <si>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</si>
  <si>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</si>
  <si>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</si>
  <si>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</si>
  <si>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</si>
  <si>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</si>
  <si>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</si>
  <si>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</si>
  <si>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</si>
  <si>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</si>
  <si>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</si>
  <si>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</si>
  <si>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</si>
  <si>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</si>
  <si>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</si>
  <si>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</si>
  <si>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</si>
  <si>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</si>
  <si>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</si>
  <si>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</si>
  <si>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</si>
  <si>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</si>
  <si>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</si>
  <si>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</si>
  <si>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</si>
  <si>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</si>
  <si>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</si>
  <si>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</si>
  <si>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</si>
  <si>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</si>
  <si>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</si>
  <si>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</si>
  <si>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</si>
  <si>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</si>
  <si>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</si>
  <si>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</si>
  <si>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</si>
  <si>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</si>
  <si>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</si>
  <si>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</si>
  <si>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</si>
  <si>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</si>
  <si>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</si>
  <si>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</si>
  <si>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</si>
  <si>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</si>
  <si>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</si>
  <si>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</si>
  <si>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</si>
  <si>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</si>
  <si>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</si>
  <si>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</si>
  <si>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</si>
  <si>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</si>
  <si>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</si>
  <si>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</si>
  <si>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</si>
  <si>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</si>
  <si>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</si>
  <si>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</si>
  <si>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</si>
  <si>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</si>
  <si>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</si>
  <si>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</si>
  <si>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</si>
  <si>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</si>
  <si>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</si>
  <si>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</si>
  <si>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</si>
  <si>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</si>
  <si>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</si>
  <si>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</si>
  <si>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</si>
  <si>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</si>
  <si>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</si>
  <si>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</si>
  <si>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</si>
  <si>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</si>
  <si>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</si>
  <si>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</si>
  <si>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</si>
  <si>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</si>
  <si>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</si>
  <si>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</si>
  <si>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</si>
  <si>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</si>
  <si>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</si>
  <si>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</si>
  <si>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</si>
  <si>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</si>
  <si>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</si>
  <si>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</si>
  <si>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</si>
  <si>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</si>
  <si>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</si>
  <si>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</si>
  <si>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</si>
  <si>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</si>
  <si>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</si>
  <si>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</si>
  <si>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</si>
  <si>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</si>
  <si>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</si>
  <si>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</si>
  <si>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</si>
  <si>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</si>
  <si>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</si>
  <si>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</si>
  <si>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</si>
  <si>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</si>
  <si>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</si>
  <si>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</si>
  <si>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</si>
  <si>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</si>
  <si>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</si>
  <si>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</si>
  <si>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</si>
  <si>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</si>
  <si>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</si>
  <si>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</si>
  <si>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</si>
  <si>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</si>
  <si>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</si>
  <si>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</si>
  <si>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</si>
  <si>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</si>
  <si>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</si>
  <si>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</si>
  <si>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</si>
  <si>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</si>
  <si>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</si>
  <si>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</si>
  <si>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</si>
  <si>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</si>
  <si>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</si>
  <si>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</si>
  <si>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</si>
  <si>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</si>
  <si>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</si>
  <si>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</si>
  <si>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</si>
  <si>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</si>
  <si>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</si>
  <si>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</si>
  <si>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</si>
  <si>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</si>
  <si>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</si>
  <si>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</si>
  <si>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</si>
  <si>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</si>
  <si>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</si>
  <si>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</si>
  <si>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</si>
  <si>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</si>
  <si>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</si>
  <si>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</si>
  <si>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</si>
  <si>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</si>
  <si>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</si>
  <si>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</si>
  <si>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</si>
  <si>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</si>
  <si>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</si>
  <si>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</si>
  <si>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</si>
  <si>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</si>
  <si>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</si>
  <si>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</si>
  <si>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</si>
  <si>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</si>
  <si>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</si>
  <si>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</si>
  <si>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</si>
  <si>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</si>
  <si>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</si>
  <si>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</si>
  <si>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</si>
  <si>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</si>
  <si>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</si>
  <si>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</si>
  <si>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</si>
  <si>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</si>
  <si>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</si>
  <si>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</si>
  <si>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</si>
  <si>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</si>
  <si>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</si>
  <si>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</si>
  <si>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</si>
  <si>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</si>
  <si>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</si>
  <si>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</si>
  <si>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</si>
  <si>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</si>
  <si>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</si>
  <si>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</si>
  <si>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</si>
  <si>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</si>
  <si>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</si>
  <si>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</si>
  <si>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</si>
  <si>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</si>
  <si>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</si>
  <si>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</si>
  <si>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</si>
  <si>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</si>
  <si>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</si>
  <si>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</si>
  <si>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</si>
  <si>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</si>
  <si>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</si>
  <si>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</si>
  <si>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</si>
  <si>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</si>
  <si>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</si>
  <si>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</si>
  <si>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</si>
  <si>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</si>
  <si>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</si>
  <si>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</si>
  <si>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Adjust</t>
  </si>
  <si>
    <t>Distance</t>
  </si>
  <si>
    <t>Model</t>
  </si>
  <si>
    <t>new adjustments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</si>
  <si>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</si>
  <si>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</si>
  <si>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</si>
  <si>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</si>
  <si>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</si>
  <si>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</si>
  <si>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</si>
  <si>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</si>
  <si>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</si>
  <si>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</si>
  <si>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</si>
  <si>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</si>
  <si>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</si>
  <si>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</si>
  <si>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</si>
  <si>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</si>
  <si>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</si>
  <si>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</si>
  <si>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</si>
  <si>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</si>
  <si>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</si>
  <si>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</si>
  <si>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</si>
  <si>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</si>
  <si>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damp</t>
  </si>
  <si>
    <t>Test with 0.01</t>
  </si>
  <si>
    <t>Copy (Ctrl-c) cells V3:V109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</si>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</sst>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Border="1" borderId="3" fillId="0" fontId="0" numFmtId="0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Border="1" applyFont="1" borderId="3" fillId="0" fontId="0" numFmtId="0" xfId="0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Border="1" applyFont="1" applyNumberFormat="1" borderId="3" fillId="0" fontId="0" numFmtId="10" xfId="9"/>
    <xf applyFont="1" applyNumberFormat="1" borderId="0" fillId="0" fontId="0" numFmtId="10" xfId="9"/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Border="1" applyFont="1" borderId="13" fillId="0" fontId="0" numFmtId="9" xfId="9"/>
    <xf applyAlignment="1" applyBorder="1" applyNumberFormat="1" borderId="13" fillId="0" fontId="0" numFmtId="2" xfId="0"/>
    <xf applyAlignment="1" applyBorder="1" applyFill="1" borderId="13" fillId="5" fontId="0" numFmtId="0" xfId="0">
      <alignment horizontal="center"/>
    </xf>
    <xf applyAlignment="1" applyFill="1" applyFont="1" applyNumberFormat="1" borderId="0" fillId="8" fontId="0" numFmtId="1" xfId="0">
      <alignment horizontal="right"/>
    </xf>
    <xf applyBorder="1" applyNumberFormat="1" borderId="4" fillId="0" fontId="0" numFmtId="3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0.12246842860030865</c:v>
                </c:pt>
                <c:pt idx="1">
                  <c:v>0.15389641105832097</c:v>
                </c:pt>
                <c:pt idx="2">
                  <c:v>6.9729109905097966E-2</c:v>
                </c:pt>
                <c:pt idx="3">
                  <c:v>6.8528737233183451E-2</c:v>
                </c:pt>
                <c:pt idx="4">
                  <c:v>6.0719845667512463E-2</c:v>
                </c:pt>
                <c:pt idx="5">
                  <c:v>9.869853087819612E-2</c:v>
                </c:pt>
                <c:pt idx="6">
                  <c:v>5.9659801833190293E-2</c:v>
                </c:pt>
                <c:pt idx="7">
                  <c:v>5.4570484429866006E-2</c:v>
                </c:pt>
                <c:pt idx="8">
                  <c:v>4.9572665015319088E-2</c:v>
                </c:pt>
                <c:pt idx="9">
                  <c:v>3.2712548325539194E-2</c:v>
                </c:pt>
                <c:pt idx="10">
                  <c:v>3.1121212231045494E-2</c:v>
                </c:pt>
                <c:pt idx="11">
                  <c:v>9.0163191779159598E-3</c:v>
                </c:pt>
                <c:pt idx="12">
                  <c:v>2.5422533040461107E-2</c:v>
                </c:pt>
                <c:pt idx="13">
                  <c:v>1.1503340476864654E-2</c:v>
                </c:pt>
                <c:pt idx="14">
                  <c:v>1.4751932644193826E-2</c:v>
                </c:pt>
                <c:pt idx="15">
                  <c:v>2.0703442013746923E-2</c:v>
                </c:pt>
                <c:pt idx="16">
                  <c:v>1.5421769593404645E-2</c:v>
                </c:pt>
                <c:pt idx="17">
                  <c:v>3.2644584048880389E-3</c:v>
                </c:pt>
                <c:pt idx="18">
                  <c:v>1.6758155506593618E-2</c:v>
                </c:pt>
                <c:pt idx="19">
                  <c:v>5.8237238066644352E-3</c:v>
                </c:pt>
                <c:pt idx="20">
                  <c:v>4.2721868053738864E-3</c:v>
                </c:pt>
                <c:pt idx="21">
                  <c:v>8.7685436557504628E-3</c:v>
                </c:pt>
                <c:pt idx="22">
                  <c:v>5.0901733614608065E-3</c:v>
                </c:pt>
                <c:pt idx="23">
                  <c:v>2.5633476463701251E-3</c:v>
                </c:pt>
                <c:pt idx="24">
                  <c:v>4.9606468663680606E-3</c:v>
                </c:pt>
                <c:pt idx="25">
                  <c:v>1.43962599748847E-3</c:v>
                </c:pt>
                <c:pt idx="26">
                  <c:v>1.1858561423841122E-4</c:v>
                </c:pt>
                <c:pt idx="27">
                  <c:v>9.812779958614736E-4</c:v>
                </c:pt>
                <c:pt idx="28">
                  <c:v>1.1480340182361111E-2</c:v>
                </c:pt>
                <c:pt idx="29">
                  <c:v>3.1986506754975485E-3</c:v>
                </c:pt>
                <c:pt idx="30">
                  <c:v>4.8562058738380298E-4</c:v>
                </c:pt>
                <c:pt idx="31">
                  <c:v>2.0573857439477108E-3</c:v>
                </c:pt>
                <c:pt idx="32">
                  <c:v>1.4161466810732987E-2</c:v>
                </c:pt>
                <c:pt idx="33">
                  <c:v>2.2442885870903105E-3</c:v>
                </c:pt>
                <c:pt idx="34">
                  <c:v>4.7747471073913858E-4</c:v>
                </c:pt>
                <c:pt idx="35">
                  <c:v>6.1712028525675476E-3</c:v>
                </c:pt>
                <c:pt idx="36">
                  <c:v>4.0869246989833698E-4</c:v>
                </c:pt>
                <c:pt idx="37">
                  <c:v>4.3007929883976271E-4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2.5427146520264928E-4</c:v>
                </c:pt>
                <c:pt idx="42">
                  <c:v>0</c:v>
                </c:pt>
                <c:pt idx="43">
                  <c:v>1.7257296719394943E-3</c:v>
                </c:pt>
                <c:pt idx="44">
                  <c:v>0</c:v>
                </c:pt>
                <c:pt idx="45">
                  <c:v>1.9806846734610581E-3</c:v>
                </c:pt>
                <c:pt idx="46">
                  <c:v>0</c:v>
                </c:pt>
                <c:pt idx="47">
                  <c:v>3.1082492239489204E-4</c:v>
                </c:pt>
                <c:pt idx="48">
                  <c:v>0</c:v>
                </c:pt>
                <c:pt idx="49">
                  <c:v>0</c:v>
                </c:pt>
                <c:pt idx="50">
                  <c:v>1.287331092850957E-3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5.2139960791881823E-4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7.5607491472748881E-2</c:v>
                </c:pt>
                <c:pt idx="1">
                  <c:v>0.12779090073750499</c:v>
                </c:pt>
                <c:pt idx="2">
                  <c:v>0.12185910912476006</c:v>
                </c:pt>
                <c:pt idx="3">
                  <c:v>0.11217003507117669</c:v>
                </c:pt>
                <c:pt idx="4">
                  <c:v>9.4620014143931341E-2</c:v>
                </c:pt>
                <c:pt idx="5">
                  <c:v>7.5198568287766457E-2</c:v>
                </c:pt>
                <c:pt idx="6">
                  <c:v>6.0174249385412507E-2</c:v>
                </c:pt>
                <c:pt idx="7">
                  <c:v>5.0196523671841548E-2</c:v>
                </c:pt>
                <c:pt idx="8">
                  <c:v>3.4238897735527726E-2</c:v>
                </c:pt>
                <c:pt idx="9">
                  <c:v>2.4896205673929462E-2</c:v>
                </c:pt>
                <c:pt idx="10">
                  <c:v>1.834862385321101E-2</c:v>
                </c:pt>
                <c:pt idx="11">
                  <c:v>1.7752077089236661E-2</c:v>
                </c:pt>
                <c:pt idx="12">
                  <c:v>1.7463425429249071E-2</c:v>
                </c:pt>
                <c:pt idx="13">
                  <c:v>1.6741796279280102E-2</c:v>
                </c:pt>
                <c:pt idx="14">
                  <c:v>1.6058654017309479E-2</c:v>
                </c:pt>
                <c:pt idx="15">
                  <c:v>1.5202320759346299E-2</c:v>
                </c:pt>
                <c:pt idx="16">
                  <c:v>1.3326084969426978E-2</c:v>
                </c:pt>
                <c:pt idx="17">
                  <c:v>1.1546066399503519E-2</c:v>
                </c:pt>
                <c:pt idx="18">
                  <c:v>1.0771517778536825E-2</c:v>
                </c:pt>
                <c:pt idx="19">
                  <c:v>9.1646902046059187E-3</c:v>
                </c:pt>
                <c:pt idx="20">
                  <c:v>9.2705291466013678E-3</c:v>
                </c:pt>
                <c:pt idx="21">
                  <c:v>7.7599187926663234E-3</c:v>
                </c:pt>
                <c:pt idx="22">
                  <c:v>6.8506660637054212E-3</c:v>
                </c:pt>
                <c:pt idx="23">
                  <c:v>6.0231979717410029E-3</c:v>
                </c:pt>
                <c:pt idx="24">
                  <c:v>5.4651380957649988E-3</c:v>
                </c:pt>
                <c:pt idx="25">
                  <c:v>4.873402192790444E-3</c:v>
                </c:pt>
                <c:pt idx="26">
                  <c:v>3.9785820468289206E-3</c:v>
                </c:pt>
                <c:pt idx="27">
                  <c:v>3.5023068078494008E-3</c:v>
                </c:pt>
                <c:pt idx="28">
                  <c:v>3.3339266728566411E-3</c:v>
                </c:pt>
                <c:pt idx="29">
                  <c:v>3.0356532908694671E-3</c:v>
                </c:pt>
                <c:pt idx="30">
                  <c:v>2.8624622948769142E-3</c:v>
                </c:pt>
                <c:pt idx="31">
                  <c:v>2.3525110288988419E-3</c:v>
                </c:pt>
                <c:pt idx="32">
                  <c:v>2.2274286429042204E-3</c:v>
                </c:pt>
                <c:pt idx="33">
                  <c:v>1.9435878439164258E-3</c:v>
                </c:pt>
                <c:pt idx="34">
                  <c:v>1.6260710179300788E-3</c:v>
                </c:pt>
                <c:pt idx="35">
                  <c:v>1.4913669099358713E-3</c:v>
                </c:pt>
                <c:pt idx="36">
                  <c:v>1.3999605509398016E-3</c:v>
                </c:pt>
                <c:pt idx="37">
                  <c:v>1.2075261109480765E-3</c:v>
                </c:pt>
                <c:pt idx="38">
                  <c:v>1.0150916709563511E-3</c:v>
                </c:pt>
                <c:pt idx="39">
                  <c:v>7.9379206496586697E-4</c:v>
                </c:pt>
                <c:pt idx="40">
                  <c:v>7.5049431596772875E-4</c:v>
                </c:pt>
                <c:pt idx="41">
                  <c:v>6.0616848597393473E-4</c:v>
                </c:pt>
                <c:pt idx="42">
                  <c:v>4.9070782197889961E-4</c:v>
                </c:pt>
                <c:pt idx="43">
                  <c:v>4.4259921198096822E-4</c:v>
                </c:pt>
                <c:pt idx="44">
                  <c:v>3.8967974098324376E-4</c:v>
                </c:pt>
                <c:pt idx="45">
                  <c:v>4.2816662898158882E-4</c:v>
                </c:pt>
                <c:pt idx="46">
                  <c:v>2.8384079898779486E-4</c:v>
                </c:pt>
                <c:pt idx="47">
                  <c:v>3.511928529848987E-4</c:v>
                </c:pt>
                <c:pt idx="48">
                  <c:v>2.4054304998965664E-4</c:v>
                </c:pt>
                <c:pt idx="49">
                  <c:v>2.9346252098738109E-4</c:v>
                </c:pt>
                <c:pt idx="50">
                  <c:v>1.8762357899193219E-4</c:v>
                </c:pt>
                <c:pt idx="51">
                  <c:v>1.731909959925528E-4</c:v>
                </c:pt>
                <c:pt idx="52">
                  <c:v>2.16488744990691E-4</c:v>
                </c:pt>
                <c:pt idx="53">
                  <c:v>1.731909959925528E-4</c:v>
                </c:pt>
                <c:pt idx="54">
                  <c:v>1.1546066399503519E-4</c:v>
                </c:pt>
                <c:pt idx="55">
                  <c:v>7.2162914996896994E-5</c:v>
                </c:pt>
                <c:pt idx="56">
                  <c:v>8.1784636996483259E-5</c:v>
                </c:pt>
                <c:pt idx="57">
                  <c:v>7.2162914996896994E-5</c:v>
                </c:pt>
                <c:pt idx="58">
                  <c:v>7.2162914996896994E-5</c:v>
                </c:pt>
                <c:pt idx="59">
                  <c:v>2.4054304998965666E-5</c:v>
                </c:pt>
                <c:pt idx="60">
                  <c:v>7.6973775996690133E-5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4.314143265577932E-2</c:v>
                </c:pt>
                <c:pt idx="1">
                  <c:v>8.7298073470208973E-2</c:v>
                </c:pt>
                <c:pt idx="2">
                  <c:v>9.833053599583319E-2</c:v>
                </c:pt>
                <c:pt idx="3">
                  <c:v>6.3507751105407545E-2</c:v>
                </c:pt>
                <c:pt idx="4">
                  <c:v>5.656078875387572E-2</c:v>
                </c:pt>
                <c:pt idx="5">
                  <c:v>5.1084526486559999E-2</c:v>
                </c:pt>
                <c:pt idx="6">
                  <c:v>6.0062547166874126E-2</c:v>
                </c:pt>
                <c:pt idx="7">
                  <c:v>4.7621979798207453E-2</c:v>
                </c:pt>
                <c:pt idx="8">
                  <c:v>4.6917277345310072E-2</c:v>
                </c:pt>
                <c:pt idx="9">
                  <c:v>3.6814913811409132E-2</c:v>
                </c:pt>
                <c:pt idx="10">
                  <c:v>4.0300921837655226E-2</c:v>
                </c:pt>
                <c:pt idx="11">
                  <c:v>6.2798469777723159E-2</c:v>
                </c:pt>
                <c:pt idx="12">
                  <c:v>2.1886423325581984E-2</c:v>
                </c:pt>
                <c:pt idx="13">
                  <c:v>4.2583492084117533E-2</c:v>
                </c:pt>
                <c:pt idx="14">
                  <c:v>2.6648381948220706E-2</c:v>
                </c:pt>
                <c:pt idx="15">
                  <c:v>3.4969267021653573E-2</c:v>
                </c:pt>
                <c:pt idx="16">
                  <c:v>9.7984284993319903E-3</c:v>
                </c:pt>
                <c:pt idx="17">
                  <c:v>1.0319195629744074E-2</c:v>
                </c:pt>
                <c:pt idx="18">
                  <c:v>2.2882967646052507E-2</c:v>
                </c:pt>
                <c:pt idx="19">
                  <c:v>2.6923084047375614E-2</c:v>
                </c:pt>
                <c:pt idx="20">
                  <c:v>1.4295848719113985E-2</c:v>
                </c:pt>
                <c:pt idx="21">
                  <c:v>1.426492707544021E-2</c:v>
                </c:pt>
                <c:pt idx="22">
                  <c:v>8.6821692144335907E-3</c:v>
                </c:pt>
                <c:pt idx="23">
                  <c:v>7.2112045683286425E-3</c:v>
                </c:pt>
                <c:pt idx="24">
                  <c:v>1.712771681156819E-3</c:v>
                </c:pt>
                <c:pt idx="25">
                  <c:v>1.4863097620375076E-3</c:v>
                </c:pt>
                <c:pt idx="26">
                  <c:v>4.0523337997969335E-3</c:v>
                </c:pt>
                <c:pt idx="27">
                  <c:v>5.1832288007406186E-3</c:v>
                </c:pt>
                <c:pt idx="28">
                  <c:v>1.0870482031054654E-3</c:v>
                </c:pt>
                <c:pt idx="29">
                  <c:v>1.1518904164494533E-3</c:v>
                </c:pt>
                <c:pt idx="30">
                  <c:v>1.6034104656010388E-3</c:v>
                </c:pt>
                <c:pt idx="31">
                  <c:v>1.2228415182904029E-3</c:v>
                </c:pt>
                <c:pt idx="32">
                  <c:v>6.0539339441368386E-4</c:v>
                </c:pt>
                <c:pt idx="33">
                  <c:v>1.229772512215779E-2</c:v>
                </c:pt>
                <c:pt idx="34">
                  <c:v>7.2365448090008636E-4</c:v>
                </c:pt>
                <c:pt idx="35">
                  <c:v>1.9754267631956271E-3</c:v>
                </c:pt>
                <c:pt idx="36">
                  <c:v>2.3099956301355527E-3</c:v>
                </c:pt>
                <c:pt idx="37">
                  <c:v>4.086924698983372E-4</c:v>
                </c:pt>
                <c:pt idx="38">
                  <c:v>0</c:v>
                </c:pt>
                <c:pt idx="39">
                  <c:v>5.5463684827329151E-4</c:v>
                </c:pt>
                <c:pt idx="40">
                  <c:v>4.5009556566123472E-4</c:v>
                </c:pt>
                <c:pt idx="41">
                  <c:v>1.049498724616087E-2</c:v>
                </c:pt>
                <c:pt idx="42">
                  <c:v>6.0397887250764337E-3</c:v>
                </c:pt>
                <c:pt idx="43">
                  <c:v>8.3615462165803275E-4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4.086924698983372E-4</c:v>
                </c:pt>
                <c:pt idx="48">
                  <c:v>0</c:v>
                </c:pt>
                <c:pt idx="49">
                  <c:v>0</c:v>
                </c:pt>
                <c:pt idx="50">
                  <c:v>4.3540063842722656E-3</c:v>
                </c:pt>
                <c:pt idx="51">
                  <c:v>8.3746631798884948E-4</c:v>
                </c:pt>
                <c:pt idx="52">
                  <c:v>0</c:v>
                </c:pt>
                <c:pt idx="53">
                  <c:v>0</c:v>
                </c:pt>
                <c:pt idx="54">
                  <c:v>1.6819477548112966E-3</c:v>
                </c:pt>
                <c:pt idx="55">
                  <c:v>0</c:v>
                </c:pt>
                <c:pt idx="56">
                  <c:v>0</c:v>
                </c:pt>
                <c:pt idx="57">
                  <c:v>8.4809043075312069E-4</c:v>
                </c:pt>
                <c:pt idx="58">
                  <c:v>1.980684673461059E-3</c:v>
                </c:pt>
                <c:pt idx="59">
                  <c:v>0</c:v>
                </c:pt>
                <c:pt idx="60">
                  <c:v>5.2139960791881845E-4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1.7304667016255899E-2</c:v>
                </c:pt>
                <c:pt idx="1">
                  <c:v>6.0862202508382923E-2</c:v>
                </c:pt>
                <c:pt idx="2">
                  <c:v>7.8368925686630134E-2</c:v>
                </c:pt>
                <c:pt idx="3">
                  <c:v>8.5743975599313016E-2</c:v>
                </c:pt>
                <c:pt idx="4">
                  <c:v>8.5989329510302456E-2</c:v>
                </c:pt>
                <c:pt idx="5">
                  <c:v>8.2843026416437746E-2</c:v>
                </c:pt>
                <c:pt idx="6">
                  <c:v>7.6670691753703155E-2</c:v>
                </c:pt>
                <c:pt idx="7">
                  <c:v>6.6668911735133243E-2</c:v>
                </c:pt>
                <c:pt idx="8">
                  <c:v>5.7355084839533735E-2</c:v>
                </c:pt>
                <c:pt idx="9">
                  <c:v>4.692513819198222E-2</c:v>
                </c:pt>
                <c:pt idx="10">
                  <c:v>4.0406421537262524E-2</c:v>
                </c:pt>
                <c:pt idx="11">
                  <c:v>3.3599053222555242E-2</c:v>
                </c:pt>
                <c:pt idx="12">
                  <c:v>2.7162121204832027E-2</c:v>
                </c:pt>
                <c:pt idx="13">
                  <c:v>2.0359563751124538E-2</c:v>
                </c:pt>
                <c:pt idx="14">
                  <c:v>1.9325228636169017E-2</c:v>
                </c:pt>
                <c:pt idx="15">
                  <c:v>1.8839331675189908E-2</c:v>
                </c:pt>
                <c:pt idx="16">
                  <c:v>1.5481350697334303E-2</c:v>
                </c:pt>
                <c:pt idx="17">
                  <c:v>1.5082049234351472E-2</c:v>
                </c:pt>
                <c:pt idx="18">
                  <c:v>1.39418751774005E-2</c:v>
                </c:pt>
                <c:pt idx="19">
                  <c:v>1.3109596224436287E-2</c:v>
                </c:pt>
                <c:pt idx="20">
                  <c:v>1.2493806016462767E-2</c:v>
                </c:pt>
                <c:pt idx="21">
                  <c:v>1.1204495268518206E-2</c:v>
                </c:pt>
                <c:pt idx="22">
                  <c:v>1.0444379230550891E-2</c:v>
                </c:pt>
                <c:pt idx="23">
                  <c:v>1.0006590879569717E-2</c:v>
                </c:pt>
                <c:pt idx="24">
                  <c:v>8.346843834641085E-3</c:v>
                </c:pt>
                <c:pt idx="25">
                  <c:v>8.2073288656470851E-3</c:v>
                </c:pt>
                <c:pt idx="26">
                  <c:v>6.7833140097083178E-3</c:v>
                </c:pt>
                <c:pt idx="27">
                  <c:v>5.9462241957443122E-3</c:v>
                </c:pt>
                <c:pt idx="28">
                  <c:v>5.3737317367689294E-3</c:v>
                </c:pt>
                <c:pt idx="29">
                  <c:v>5.0610257717823761E-3</c:v>
                </c:pt>
                <c:pt idx="30">
                  <c:v>4.0411232398262316E-3</c:v>
                </c:pt>
                <c:pt idx="31">
                  <c:v>3.7043629698407122E-3</c:v>
                </c:pt>
                <c:pt idx="32">
                  <c:v>3.7669041628380232E-3</c:v>
                </c:pt>
                <c:pt idx="33">
                  <c:v>3.300250645858089E-3</c:v>
                </c:pt>
                <c:pt idx="34">
                  <c:v>2.9394360708736044E-3</c:v>
                </c:pt>
                <c:pt idx="35">
                  <c:v>2.7325690478824994E-3</c:v>
                </c:pt>
                <c:pt idx="36">
                  <c:v>2.097535395909806E-3</c:v>
                </c:pt>
                <c:pt idx="37">
                  <c:v>2.0879136739102196E-3</c:v>
                </c:pt>
                <c:pt idx="38">
                  <c:v>1.8425597629207699E-3</c:v>
                </c:pt>
                <c:pt idx="39">
                  <c:v>1.5827732689319407E-3</c:v>
                </c:pt>
                <c:pt idx="40">
                  <c:v>1.3518519409418703E-3</c:v>
                </c:pt>
                <c:pt idx="41">
                  <c:v>1.3133650529435254E-3</c:v>
                </c:pt>
                <c:pt idx="42">
                  <c:v>1.0006590879569717E-3</c:v>
                </c:pt>
                <c:pt idx="43">
                  <c:v>1.0295242539557306E-3</c:v>
                </c:pt>
                <c:pt idx="44">
                  <c:v>8.3227895296421198E-4</c:v>
                </c:pt>
                <c:pt idx="45">
                  <c:v>7.9379206496586697E-4</c:v>
                </c:pt>
                <c:pt idx="46">
                  <c:v>5.8692504197476218E-4</c:v>
                </c:pt>
                <c:pt idx="47">
                  <c:v>6.0616848597393473E-4</c:v>
                </c:pt>
                <c:pt idx="48">
                  <c:v>4.7627523897952016E-4</c:v>
                </c:pt>
                <c:pt idx="49">
                  <c:v>4.2816662898158882E-4</c:v>
                </c:pt>
                <c:pt idx="50">
                  <c:v>4.0411232398262316E-4</c:v>
                </c:pt>
                <c:pt idx="51">
                  <c:v>3.5600371398469182E-4</c:v>
                </c:pt>
                <c:pt idx="52">
                  <c:v>2.790299379880017E-4</c:v>
                </c:pt>
                <c:pt idx="53">
                  <c:v>2.16488744990691E-4</c:v>
                </c:pt>
                <c:pt idx="54">
                  <c:v>2.3092132799007039E-4</c:v>
                </c:pt>
                <c:pt idx="55">
                  <c:v>2.0205616199131158E-4</c:v>
                </c:pt>
                <c:pt idx="56">
                  <c:v>2.2129960599048411E-4</c:v>
                </c:pt>
                <c:pt idx="57">
                  <c:v>1.5875841299317338E-4</c:v>
                </c:pt>
                <c:pt idx="58">
                  <c:v>1.7800185699234591E-4</c:v>
                </c:pt>
                <c:pt idx="59">
                  <c:v>1.0583894199544893E-4</c:v>
                </c:pt>
                <c:pt idx="60">
                  <c:v>1.3951496899400085E-4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 zoomScaleNormal="100">
      <selection activeCell="J32" sqref="J3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18099.205094</v>
      </c>
      <c r="C11" s="11">
        <f>B11/B$102</f>
        <v>0.12246842860030865</v>
      </c>
      <c r="E11" s="20">
        <v>0</v>
      </c>
      <c r="F11" s="110" t="n">
        <v>28764.0</v>
      </c>
      <c r="G11" s="11">
        <f>F11/F$102</f>
        <v>7.5607491472748881E-2</v>
      </c>
      <c r="K11" s="8" t="n">
        <v>6.8034217043803675</v>
      </c>
      <c r="L11" s="8" t="n">
        <v>8.169671183446802</v>
      </c>
    </row>
    <row r="12" spans="1:12" x14ac:dyDescent="0.25">
      <c r="A12">
        <v>1</v>
      </c>
      <c r="B12" s="8" t="n">
        <v>29189.286928999998</v>
      </c>
      <c r="C12" s="11">
        <f>B12/B$102</f>
        <v>0.15389641105832097</v>
      </c>
      <c r="E12" s="21">
        <v>1</v>
      </c>
      <c r="F12" s="111" t="n">
        <v>34896.0</v>
      </c>
      <c r="G12" s="11">
        <f>F12/F$102</f>
        <v>0.12779090073750499</v>
      </c>
      <c r="K12" s="8"/>
      <c r="L12" s="380"/>
    </row>
    <row r="13" spans="1:12" x14ac:dyDescent="0.25">
      <c r="A13">
        <v>2</v>
      </c>
      <c r="B13" s="8" t="n">
        <v>25308.015132</v>
      </c>
      <c r="C13" s="11">
        <f ref="C13:C76" si="0" t="shared">B13/B$102</f>
        <v>6.9729109905097966E-2</v>
      </c>
      <c r="E13" s="22">
        <v>2</v>
      </c>
      <c r="F13" s="112" t="n">
        <v>31417.0</v>
      </c>
      <c r="G13" s="11">
        <f ref="G13:G76" si="1" t="shared">F13/F$102</f>
        <v>0.12185910912476006</v>
      </c>
    </row>
    <row r="14" spans="1:12" x14ac:dyDescent="0.25">
      <c r="A14">
        <v>3</v>
      </c>
      <c r="B14" s="8" t="n">
        <v>25208.179838</v>
      </c>
      <c r="C14" s="11">
        <f si="0" t="shared"/>
        <v>6.8528737233183451E-2</v>
      </c>
      <c r="E14" s="23">
        <v>3</v>
      </c>
      <c r="F14" s="113" t="n">
        <v>25282.0</v>
      </c>
      <c r="G14" s="11">
        <f si="1" t="shared"/>
        <v>0.11217003507117669</v>
      </c>
    </row>
    <row r="15" spans="1:12" x14ac:dyDescent="0.25">
      <c r="A15">
        <v>4</v>
      </c>
      <c r="B15" s="8" t="n">
        <v>20136.869476</v>
      </c>
      <c r="C15" s="11">
        <f si="0" t="shared"/>
        <v>6.0719845667512463E-2</v>
      </c>
      <c r="E15" s="24">
        <v>4</v>
      </c>
      <c r="F15" s="114" t="n">
        <v>20048.0</v>
      </c>
      <c r="G15" s="11">
        <f si="1" t="shared"/>
        <v>9.4620014143931341E-2</v>
      </c>
    </row>
    <row r="16" spans="1:12" x14ac:dyDescent="0.25">
      <c r="A16">
        <v>5</v>
      </c>
      <c r="B16" s="8" t="n">
        <v>12451.199923</v>
      </c>
      <c r="C16" s="11">
        <f si="0" t="shared"/>
        <v>9.869853087819612E-2</v>
      </c>
      <c r="E16" s="25">
        <v>5</v>
      </c>
      <c r="F16" s="115" t="n">
        <v>15676.0</v>
      </c>
      <c r="G16" s="11">
        <f si="1" t="shared"/>
        <v>7.5198568287766457E-2</v>
      </c>
    </row>
    <row r="17" spans="1:7" x14ac:dyDescent="0.25">
      <c r="A17">
        <v>6</v>
      </c>
      <c r="B17" s="8" t="n">
        <v>14334.991954</v>
      </c>
      <c r="C17" s="11">
        <f si="0" t="shared"/>
        <v>5.9659801833190293E-2</v>
      </c>
      <c r="E17" s="26">
        <v>6</v>
      </c>
      <c r="F17" s="116" t="n">
        <v>11253.0</v>
      </c>
      <c r="G17" s="11">
        <f si="1" t="shared"/>
        <v>6.0174249385412507E-2</v>
      </c>
    </row>
    <row r="18" spans="1:7" x14ac:dyDescent="0.25">
      <c r="A18">
        <v>7</v>
      </c>
      <c r="B18" s="8" t="n">
        <v>5793.789316</v>
      </c>
      <c r="C18" s="11">
        <f si="0" t="shared"/>
        <v>5.4570484429866006E-2</v>
      </c>
      <c r="E18" s="27">
        <v>7</v>
      </c>
      <c r="F18" s="117" t="n">
        <v>7890.0</v>
      </c>
      <c r="G18" s="11">
        <f si="1" t="shared"/>
        <v>5.0196523671841548E-2</v>
      </c>
    </row>
    <row r="19" spans="1:7" x14ac:dyDescent="0.25">
      <c r="A19">
        <v>8</v>
      </c>
      <c r="B19" s="8" t="n">
        <v>9473.664854</v>
      </c>
      <c r="C19" s="11">
        <f si="0" t="shared"/>
        <v>4.9572665015319088E-2</v>
      </c>
      <c r="E19" s="28">
        <v>8</v>
      </c>
      <c r="F19" s="118" t="n">
        <v>5562.0</v>
      </c>
      <c r="G19" s="11">
        <f si="1" t="shared"/>
        <v>3.4238897735527726E-2</v>
      </c>
    </row>
    <row r="20" spans="1:7" x14ac:dyDescent="0.25">
      <c r="A20">
        <v>9</v>
      </c>
      <c r="B20" s="8" t="n">
        <v>4852.7742</v>
      </c>
      <c r="C20" s="11">
        <f si="0" t="shared"/>
        <v>3.2712548325539194E-2</v>
      </c>
      <c r="E20" s="29">
        <v>9</v>
      </c>
      <c r="F20" s="119" t="n">
        <v>4072.0</v>
      </c>
      <c r="G20" s="11">
        <f si="1" t="shared"/>
        <v>2.4896205673929462E-2</v>
      </c>
    </row>
    <row r="21" spans="1:7" x14ac:dyDescent="0.25">
      <c r="A21">
        <v>10</v>
      </c>
      <c r="B21" s="8" t="n">
        <v>3909.171736</v>
      </c>
      <c r="C21" s="11">
        <f si="0" t="shared"/>
        <v>3.1121212231045494E-2</v>
      </c>
      <c r="E21" s="30">
        <v>10</v>
      </c>
      <c r="F21" s="120" t="n">
        <v>3324.0</v>
      </c>
      <c r="G21" s="11">
        <f si="1" t="shared"/>
        <v>1.834862385321101E-2</v>
      </c>
    </row>
    <row r="22" spans="1:7" x14ac:dyDescent="0.25">
      <c r="A22">
        <v>11</v>
      </c>
      <c r="B22" s="8" t="n">
        <v>3212.058965</v>
      </c>
      <c r="C22" s="11">
        <f si="0" t="shared"/>
        <v>9.0163191779159598E-3</v>
      </c>
      <c r="E22" s="31">
        <v>11</v>
      </c>
      <c r="F22" s="121" t="n">
        <v>3549.0</v>
      </c>
      <c r="G22" s="11">
        <f si="1" t="shared"/>
        <v>1.7752077089236661E-2</v>
      </c>
    </row>
    <row r="23" spans="1:7" x14ac:dyDescent="0.25">
      <c r="A23">
        <v>12</v>
      </c>
      <c r="B23" s="8" t="n">
        <v>4159.564656</v>
      </c>
      <c r="C23" s="11">
        <f si="0" t="shared"/>
        <v>2.5422533040461107E-2</v>
      </c>
      <c r="E23" s="32">
        <v>12</v>
      </c>
      <c r="F23" s="122" t="n">
        <v>3270.0</v>
      </c>
      <c r="G23" s="11">
        <f si="1" t="shared"/>
        <v>1.7463425429249071E-2</v>
      </c>
    </row>
    <row r="24" spans="1:7" x14ac:dyDescent="0.25">
      <c r="A24">
        <v>13</v>
      </c>
      <c r="B24" s="8" t="n">
        <v>2768.1495489999998</v>
      </c>
      <c r="C24" s="11">
        <f si="0" t="shared"/>
        <v>1.1503340476864654E-2</v>
      </c>
      <c r="E24" s="33">
        <v>13</v>
      </c>
      <c r="F24" s="123" t="n">
        <v>3059.0</v>
      </c>
      <c r="G24" s="11">
        <f si="1" t="shared"/>
        <v>1.6741796279280102E-2</v>
      </c>
    </row>
    <row r="25" spans="1:7" x14ac:dyDescent="0.25">
      <c r="A25">
        <v>14</v>
      </c>
      <c r="B25" s="8" t="n">
        <v>1363.325529</v>
      </c>
      <c r="C25" s="11">
        <f si="0" t="shared"/>
        <v>1.4751932644193826E-2</v>
      </c>
      <c r="E25" s="34">
        <v>14</v>
      </c>
      <c r="F25" s="124" t="n">
        <v>2864.0</v>
      </c>
      <c r="G25" s="11">
        <f si="1" t="shared"/>
        <v>1.6058654017309479E-2</v>
      </c>
    </row>
    <row r="26" spans="1:7" x14ac:dyDescent="0.25">
      <c r="A26">
        <v>15</v>
      </c>
      <c r="B26" s="8" t="n">
        <v>4534.625172999999</v>
      </c>
      <c r="C26" s="11">
        <f si="0" t="shared"/>
        <v>2.0703442013746923E-2</v>
      </c>
      <c r="E26" s="35">
        <v>15</v>
      </c>
      <c r="F26" s="125" t="n">
        <v>2707.0</v>
      </c>
      <c r="G26" s="11">
        <f si="1" t="shared"/>
        <v>1.5202320759346299E-2</v>
      </c>
    </row>
    <row r="27" spans="1:7" x14ac:dyDescent="0.25">
      <c r="A27">
        <v>16</v>
      </c>
      <c r="B27" s="8" t="n">
        <v>2528.875538</v>
      </c>
      <c r="C27" s="11">
        <f si="0" t="shared"/>
        <v>1.5421769593404645E-2</v>
      </c>
      <c r="E27" s="36">
        <v>16</v>
      </c>
      <c r="F27" s="126" t="n">
        <v>2481.0</v>
      </c>
      <c r="G27" s="11">
        <f si="1" t="shared"/>
        <v>1.3326084969426978E-2</v>
      </c>
    </row>
    <row r="28" spans="1:7" x14ac:dyDescent="0.25">
      <c r="A28">
        <v>17</v>
      </c>
      <c r="B28" s="8" t="n">
        <v>1238.836526</v>
      </c>
      <c r="C28" s="11">
        <f si="0" t="shared"/>
        <v>3.2644584048880389E-3</v>
      </c>
      <c r="E28" s="37">
        <v>17</v>
      </c>
      <c r="F28" s="127" t="n">
        <v>2392.0</v>
      </c>
      <c r="G28" s="11">
        <f si="1" t="shared"/>
        <v>1.1546066399503519E-2</v>
      </c>
    </row>
    <row r="29" spans="1:7" x14ac:dyDescent="0.25">
      <c r="A29">
        <v>18</v>
      </c>
      <c r="B29" s="8" t="n">
        <v>1598.356532</v>
      </c>
      <c r="C29" s="11">
        <f si="0" t="shared"/>
        <v>1.6758155506593618E-2</v>
      </c>
      <c r="E29" s="38">
        <v>18</v>
      </c>
      <c r="F29" s="128" t="n">
        <v>2142.0</v>
      </c>
      <c r="G29" s="11">
        <f si="1" t="shared"/>
        <v>1.0771517778536825E-2</v>
      </c>
    </row>
    <row r="30" spans="1:7" x14ac:dyDescent="0.25">
      <c r="A30">
        <v>19</v>
      </c>
      <c r="B30" s="8" t="n">
        <v>1793.05243</v>
      </c>
      <c r="C30" s="11">
        <f si="0" t="shared"/>
        <v>5.8237238066644352E-3</v>
      </c>
      <c r="E30" s="39">
        <v>19</v>
      </c>
      <c r="F30" s="129" t="n">
        <v>1985.0</v>
      </c>
      <c r="G30" s="11">
        <f si="1" t="shared"/>
        <v>9.1646902046059187E-3</v>
      </c>
    </row>
    <row r="31" spans="1:7" x14ac:dyDescent="0.25">
      <c r="A31">
        <v>20</v>
      </c>
      <c r="B31" s="8" t="n">
        <v>1472.465294</v>
      </c>
      <c r="C31" s="11">
        <f si="0" t="shared"/>
        <v>4.2721868053738864E-3</v>
      </c>
      <c r="E31" s="40">
        <v>20</v>
      </c>
      <c r="F31" s="130" t="n">
        <v>1833.0</v>
      </c>
      <c r="G31" s="11">
        <f si="1" t="shared"/>
        <v>9.2705291466013678E-3</v>
      </c>
    </row>
    <row r="32" spans="1:7" x14ac:dyDescent="0.25">
      <c r="A32">
        <v>21</v>
      </c>
      <c r="B32" s="8" t="n">
        <v>1207.668444</v>
      </c>
      <c r="C32" s="11">
        <f si="0" t="shared"/>
        <v>8.7685436557504628E-3</v>
      </c>
      <c r="E32" s="41">
        <v>21</v>
      </c>
      <c r="F32" s="131" t="n">
        <v>1934.0</v>
      </c>
      <c r="G32" s="11">
        <f si="1" t="shared"/>
        <v>7.7599187926663234E-3</v>
      </c>
    </row>
    <row r="33" spans="1:7" x14ac:dyDescent="0.25">
      <c r="A33">
        <v>22</v>
      </c>
      <c r="B33" s="8" t="n">
        <v>237.89354699999998</v>
      </c>
      <c r="C33" s="11">
        <f si="0" t="shared"/>
        <v>5.0901733614608065E-3</v>
      </c>
      <c r="E33" s="42">
        <v>22</v>
      </c>
      <c r="F33" s="132" t="n">
        <v>1705.0</v>
      </c>
      <c r="G33" s="11">
        <f si="1" t="shared"/>
        <v>6.8506660637054212E-3</v>
      </c>
    </row>
    <row r="34" spans="1:7" x14ac:dyDescent="0.25">
      <c r="A34">
        <v>23</v>
      </c>
      <c r="B34" s="8" t="n">
        <v>410.315352</v>
      </c>
      <c r="C34" s="11">
        <f si="0" t="shared"/>
        <v>2.5633476463701251E-3</v>
      </c>
      <c r="E34" s="43">
        <v>23</v>
      </c>
      <c r="F34" s="133" t="n">
        <v>1702.0</v>
      </c>
      <c r="G34" s="11">
        <f si="1" t="shared"/>
        <v>6.0231979717410029E-3</v>
      </c>
    </row>
    <row r="35" spans="1:7" x14ac:dyDescent="0.25">
      <c r="A35">
        <v>24</v>
      </c>
      <c r="B35" s="8" t="n">
        <v>327.736387</v>
      </c>
      <c r="C35" s="11">
        <f si="0" t="shared"/>
        <v>4.9606468663680606E-3</v>
      </c>
      <c r="E35" s="44">
        <v>24</v>
      </c>
      <c r="F35" s="134" t="n">
        <v>1653.0</v>
      </c>
      <c r="G35" s="11">
        <f si="1" t="shared"/>
        <v>5.4651380957649988E-3</v>
      </c>
    </row>
    <row r="36" spans="1:7" x14ac:dyDescent="0.25">
      <c r="A36">
        <v>25</v>
      </c>
      <c r="B36" s="8" t="n">
        <v>362.62483299999997</v>
      </c>
      <c r="C36" s="11">
        <f si="0" t="shared"/>
        <v>1.43962599748847E-3</v>
      </c>
      <c r="E36" s="45">
        <v>25</v>
      </c>
      <c r="F36" s="135" t="n">
        <v>1451.0</v>
      </c>
      <c r="G36" s="11">
        <f si="1" t="shared"/>
        <v>4.873402192790444E-3</v>
      </c>
    </row>
    <row r="37" spans="1:7" x14ac:dyDescent="0.25">
      <c r="A37">
        <v>26</v>
      </c>
      <c r="B37" s="8" t="n">
        <v>1139.1448950000001</v>
      </c>
      <c r="C37" s="11">
        <f si="0" t="shared"/>
        <v>1.1858561423841122E-4</v>
      </c>
      <c r="E37" s="46">
        <v>26</v>
      </c>
      <c r="F37" s="136" t="n">
        <v>1442.0</v>
      </c>
      <c r="G37" s="11">
        <f si="1" t="shared"/>
        <v>3.9785820468289206E-3</v>
      </c>
    </row>
    <row r="38" spans="1:7" x14ac:dyDescent="0.25">
      <c r="A38">
        <v>27</v>
      </c>
      <c r="B38" s="8" t="n">
        <v>1513.41367</v>
      </c>
      <c r="C38" s="11">
        <f si="0" t="shared"/>
        <v>9.812779958614736E-4</v>
      </c>
      <c r="E38" s="47">
        <v>27</v>
      </c>
      <c r="F38" s="137" t="n">
        <v>1416.0</v>
      </c>
      <c r="G38" s="11">
        <f si="1" t="shared"/>
        <v>3.5023068078494008E-3</v>
      </c>
    </row>
    <row r="39" spans="1:7" x14ac:dyDescent="0.25">
      <c r="A39">
        <v>28</v>
      </c>
      <c r="B39" s="8" t="n">
        <v>237.686114</v>
      </c>
      <c r="C39" s="11">
        <f si="0" t="shared"/>
        <v>1.1480340182361111E-2</v>
      </c>
      <c r="E39" s="48">
        <v>28</v>
      </c>
      <c r="F39" s="138" t="n">
        <v>1256.0</v>
      </c>
      <c r="G39" s="11">
        <f si="1" t="shared"/>
        <v>3.3339266728566411E-3</v>
      </c>
    </row>
    <row r="40" spans="1:7" x14ac:dyDescent="0.25">
      <c r="A40">
        <v>29</v>
      </c>
      <c r="B40" s="8" t="n">
        <v>368.279475</v>
      </c>
      <c r="C40" s="11">
        <f si="0" t="shared"/>
        <v>3.1986506754975485E-3</v>
      </c>
      <c r="E40" s="49">
        <v>29</v>
      </c>
      <c r="F40" s="139" t="n">
        <v>1135.0</v>
      </c>
      <c r="G40" s="11">
        <f si="1" t="shared"/>
        <v>3.0356532908694671E-3</v>
      </c>
    </row>
    <row r="41" spans="1:7" x14ac:dyDescent="0.25">
      <c r="A41">
        <v>30</v>
      </c>
      <c r="B41" s="8" t="n">
        <v>463.88870199999997</v>
      </c>
      <c r="C41" s="11">
        <f si="0" t="shared"/>
        <v>4.8562058738380298E-4</v>
      </c>
      <c r="E41" s="50">
        <v>30</v>
      </c>
      <c r="F41" s="140" t="n">
        <v>1111.0</v>
      </c>
      <c r="G41" s="11">
        <f si="1" t="shared"/>
        <v>2.8624622948769142E-3</v>
      </c>
    </row>
    <row r="42" spans="1:7" x14ac:dyDescent="0.25">
      <c r="A42">
        <v>31</v>
      </c>
      <c r="B42" s="8" t="n">
        <v>1107.212055</v>
      </c>
      <c r="C42" s="11">
        <f si="0" t="shared"/>
        <v>2.0573857439477108E-3</v>
      </c>
      <c r="E42" s="51">
        <v>31</v>
      </c>
      <c r="F42" s="141" t="n">
        <v>988.0</v>
      </c>
      <c r="G42" s="11">
        <f si="1" t="shared"/>
        <v>2.3525110288988419E-3</v>
      </c>
    </row>
    <row r="43" spans="1:7" x14ac:dyDescent="0.25">
      <c r="A43">
        <v>32</v>
      </c>
      <c r="B43" s="8" t="n">
        <v>614.231389</v>
      </c>
      <c r="C43" s="11">
        <f si="0" t="shared"/>
        <v>1.4161466810732987E-2</v>
      </c>
      <c r="E43" s="52">
        <v>32</v>
      </c>
      <c r="F43" s="142" t="n">
        <v>920.0</v>
      </c>
      <c r="G43" s="11">
        <f si="1" t="shared"/>
        <v>2.2274286429042204E-3</v>
      </c>
    </row>
    <row r="44" spans="1:7" x14ac:dyDescent="0.25">
      <c r="A44">
        <v>33</v>
      </c>
      <c r="B44" s="8" t="n">
        <v>1199.730692</v>
      </c>
      <c r="C44" s="11">
        <f si="0" t="shared"/>
        <v>2.2442885870903105E-3</v>
      </c>
      <c r="E44" s="53">
        <v>33</v>
      </c>
      <c r="F44" s="143" t="n">
        <v>835.0</v>
      </c>
      <c r="G44" s="11">
        <f si="1" t="shared"/>
        <v>1.9435878439164258E-3</v>
      </c>
    </row>
    <row r="45" spans="1:7" x14ac:dyDescent="0.25">
      <c r="A45">
        <v>34</v>
      </c>
      <c r="B45" s="8" t="n">
        <v>124.248435</v>
      </c>
      <c r="C45" s="11">
        <f si="0" t="shared"/>
        <v>4.7747471073913858E-4</v>
      </c>
      <c r="E45" s="54">
        <v>34</v>
      </c>
      <c r="F45" s="144" t="n">
        <v>713.0</v>
      </c>
      <c r="G45" s="11">
        <f si="1" t="shared"/>
        <v>1.6260710179300788E-3</v>
      </c>
    </row>
    <row r="46" spans="1:7" x14ac:dyDescent="0.25">
      <c r="A46">
        <v>35</v>
      </c>
      <c r="B46" s="8" t="n">
        <v>156.043144</v>
      </c>
      <c r="C46" s="11">
        <f si="0" t="shared"/>
        <v>6.1712028525675476E-3</v>
      </c>
      <c r="E46" s="55">
        <v>35</v>
      </c>
      <c r="F46" s="145" t="n">
        <v>676.0</v>
      </c>
      <c r="G46" s="11">
        <f si="1" t="shared"/>
        <v>1.4913669099358713E-3</v>
      </c>
    </row>
    <row r="47" spans="1:7" x14ac:dyDescent="0.25">
      <c r="A47">
        <v>36</v>
      </c>
      <c r="B47" s="8" t="n">
        <v>265.70914000000005</v>
      </c>
      <c r="C47" s="11">
        <f si="0" t="shared"/>
        <v>4.0869246989833698E-4</v>
      </c>
      <c r="E47" s="56">
        <v>36</v>
      </c>
      <c r="F47" s="146" t="n">
        <v>645.0</v>
      </c>
      <c r="G47" s="11">
        <f si="1" t="shared"/>
        <v>1.3999605509398016E-3</v>
      </c>
    </row>
    <row r="48" spans="1:7" x14ac:dyDescent="0.25">
      <c r="A48">
        <v>37</v>
      </c>
      <c r="B48" s="8" t="n">
        <v>49.968956</v>
      </c>
      <c r="C48" s="11">
        <f si="0" t="shared"/>
        <v>4.3007929883976271E-4</v>
      </c>
      <c r="E48" s="57">
        <v>37</v>
      </c>
      <c r="F48" s="147" t="n">
        <v>517.0</v>
      </c>
      <c r="G48" s="11">
        <f si="1" t="shared"/>
        <v>1.2075261109480765E-3</v>
      </c>
    </row>
    <row r="49" spans="1:7" x14ac:dyDescent="0.25">
      <c r="A49">
        <v>38</v>
      </c>
      <c r="B49" s="8" t="n">
        <v>76.35679</v>
      </c>
      <c r="C49" s="11">
        <f si="0" t="shared"/>
        <v>0</v>
      </c>
      <c r="E49" s="58">
        <v>38</v>
      </c>
      <c r="F49" s="148" t="n">
        <v>529.0</v>
      </c>
      <c r="G49" s="11">
        <f si="1" t="shared"/>
        <v>1.0150916709563511E-3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457.0</v>
      </c>
      <c r="G50" s="11">
        <f si="1" t="shared"/>
        <v>7.9379206496586697E-4</v>
      </c>
    </row>
    <row r="51" spans="1:7" x14ac:dyDescent="0.25">
      <c r="A51">
        <v>40</v>
      </c>
      <c r="B51" s="8" t="n">
        <v>373.930045</v>
      </c>
      <c r="C51" s="11">
        <f si="0" t="shared"/>
        <v>0</v>
      </c>
      <c r="E51" s="60">
        <v>40</v>
      </c>
      <c r="F51" s="150" t="n">
        <v>466.0</v>
      </c>
      <c r="G51" s="11">
        <f si="1" t="shared"/>
        <v>7.5049431596772875E-4</v>
      </c>
    </row>
    <row r="52" spans="1:7" x14ac:dyDescent="0.25">
      <c r="A52">
        <v>41</v>
      </c>
      <c r="B52" s="8" t="n">
        <v>0.0</v>
      </c>
      <c r="C52" s="11">
        <f si="0" t="shared"/>
        <v>2.5427146520264928E-4</v>
      </c>
      <c r="E52" s="61">
        <v>41</v>
      </c>
      <c r="F52" s="151" t="n">
        <v>424.0</v>
      </c>
      <c r="G52" s="11">
        <f si="1" t="shared"/>
        <v>6.0616848597393473E-4</v>
      </c>
    </row>
    <row r="53" spans="1:7" x14ac:dyDescent="0.25">
      <c r="A53">
        <v>42</v>
      </c>
      <c r="B53" s="8" t="n">
        <v>82.539782</v>
      </c>
      <c r="C53" s="11">
        <f si="0" t="shared"/>
        <v>0</v>
      </c>
      <c r="E53" s="62">
        <v>42</v>
      </c>
      <c r="F53" s="152" t="n">
        <v>418.0</v>
      </c>
      <c r="G53" s="11">
        <f si="1" t="shared"/>
        <v>4.9070782197889961E-4</v>
      </c>
    </row>
    <row r="54" spans="1:7" x14ac:dyDescent="0.25">
      <c r="A54">
        <v>43</v>
      </c>
      <c r="B54" s="8" t="n">
        <v>414.739348</v>
      </c>
      <c r="C54" s="11">
        <f si="0" t="shared"/>
        <v>1.7257296719394943E-3</v>
      </c>
      <c r="E54" s="63">
        <v>43</v>
      </c>
      <c r="F54" s="153" t="n">
        <v>390.0</v>
      </c>
      <c r="G54" s="11">
        <f si="1" t="shared"/>
        <v>4.4259921198096822E-4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64">
        <v>44</v>
      </c>
      <c r="F55" s="154" t="n">
        <v>274.0</v>
      </c>
      <c r="G55" s="11">
        <f si="1" t="shared"/>
        <v>3.8967974098324376E-4</v>
      </c>
    </row>
    <row r="56" spans="1:7" x14ac:dyDescent="0.25">
      <c r="A56">
        <v>45</v>
      </c>
      <c r="B56" s="8" t="n">
        <v>454.574508</v>
      </c>
      <c r="C56" s="11">
        <f si="0" t="shared"/>
        <v>1.9806846734610581E-3</v>
      </c>
      <c r="E56" s="65">
        <v>45</v>
      </c>
      <c r="F56" s="155" t="n">
        <v>244.0</v>
      </c>
      <c r="G56" s="11">
        <f si="1" t="shared"/>
        <v>4.2816662898158882E-4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250.0</v>
      </c>
      <c r="G57" s="11">
        <f si="1" t="shared"/>
        <v>2.8384079898779486E-4</v>
      </c>
    </row>
    <row r="58" spans="1:7" x14ac:dyDescent="0.25">
      <c r="A58">
        <v>47</v>
      </c>
      <c r="B58" s="8" t="n">
        <v>0.0</v>
      </c>
      <c r="C58" s="11">
        <f si="0" t="shared"/>
        <v>3.1082492239489204E-4</v>
      </c>
      <c r="E58" s="67">
        <v>47</v>
      </c>
      <c r="F58" s="157" t="n">
        <v>286.0</v>
      </c>
      <c r="G58" s="11">
        <f si="1" t="shared"/>
        <v>3.511928529848987E-4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189.0</v>
      </c>
      <c r="G59" s="11">
        <f si="1" t="shared"/>
        <v>2.4054304998965664E-4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160.0</v>
      </c>
      <c r="G60" s="11">
        <f si="1" t="shared"/>
        <v>2.9346252098738109E-4</v>
      </c>
    </row>
    <row r="61" spans="1:7" x14ac:dyDescent="0.25">
      <c r="A61">
        <v>50</v>
      </c>
      <c r="B61" s="8" t="n">
        <v>34.524483</v>
      </c>
      <c r="C61" s="11">
        <f si="0" t="shared"/>
        <v>1.287331092850957E-3</v>
      </c>
      <c r="E61" s="70">
        <v>50</v>
      </c>
      <c r="F61" s="160" t="n">
        <v>179.0</v>
      </c>
      <c r="G61" s="11">
        <f si="1" t="shared"/>
        <v>1.8762357899193219E-4</v>
      </c>
    </row>
    <row r="62" spans="1:7" x14ac:dyDescent="0.25">
      <c r="A62">
        <v>51</v>
      </c>
      <c r="B62" s="8" t="n">
        <v>120.926358</v>
      </c>
      <c r="C62" s="11">
        <f si="0" t="shared"/>
        <v>0</v>
      </c>
      <c r="E62" s="71">
        <v>51</v>
      </c>
      <c r="F62" s="161" t="n">
        <v>162.0</v>
      </c>
      <c r="G62" s="11">
        <f si="1" t="shared"/>
        <v>1.731909959925528E-4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137.0</v>
      </c>
      <c r="G63" s="11">
        <f si="1" t="shared"/>
        <v>2.16488744990691E-4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132.0</v>
      </c>
      <c r="G64" s="11">
        <f si="1" t="shared"/>
        <v>1.731909959925528E-4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103.0</v>
      </c>
      <c r="G65" s="11">
        <f si="1" t="shared"/>
        <v>1.1546066399503519E-4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116.0</v>
      </c>
      <c r="G66" s="11">
        <f si="1" t="shared"/>
        <v>7.2162914996896994E-5</v>
      </c>
    </row>
    <row r="67" spans="1:7" x14ac:dyDescent="0.25">
      <c r="A67">
        <v>56</v>
      </c>
      <c r="B67" s="8" t="n">
        <v>78.567796</v>
      </c>
      <c r="C67" s="11">
        <f si="0" t="shared"/>
        <v>0</v>
      </c>
      <c r="E67" s="76">
        <v>56</v>
      </c>
      <c r="F67" s="166" t="n">
        <v>103.0</v>
      </c>
      <c r="G67" s="11">
        <f si="1" t="shared"/>
        <v>8.1784636996483259E-5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68.0</v>
      </c>
      <c r="G68" s="11">
        <f si="1" t="shared"/>
        <v>7.2162914996896994E-5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71.0</v>
      </c>
      <c r="G69" s="11">
        <f si="1" t="shared"/>
        <v>7.2162914996896994E-5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146.0</v>
      </c>
      <c r="G70" s="11">
        <f si="1" t="shared"/>
        <v>2.4054304998965666E-5</v>
      </c>
    </row>
    <row r="71" spans="1:7" x14ac:dyDescent="0.25">
      <c r="A71">
        <v>60</v>
      </c>
      <c r="B71" s="8" t="n">
        <v>0.0</v>
      </c>
      <c r="C71" s="11">
        <f si="0" t="shared"/>
        <v>5.2139960791881823E-4</v>
      </c>
      <c r="E71" s="80">
        <v>60</v>
      </c>
      <c r="F71" s="170" t="n">
        <v>66.0</v>
      </c>
      <c r="G71" s="11">
        <f si="1" t="shared"/>
        <v>7.6973775996690133E-5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58.0</v>
      </c>
      <c r="G72" s="11">
        <f si="1" t="shared"/>
        <v>7.2162914996896994E-5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43.0</v>
      </c>
      <c r="G73" s="11">
        <f si="1" t="shared"/>
        <v>3.8486887998345067E-5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34.0</v>
      </c>
      <c r="G74" s="11">
        <f si="1" t="shared"/>
        <v>2.8865165998758798E-5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142.0</v>
      </c>
      <c r="G75" s="11">
        <f si="1" t="shared"/>
        <v>2.8865165998758798E-5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40.0</v>
      </c>
      <c r="G76" s="11">
        <f si="1" t="shared"/>
        <v>1.9243443999172533E-5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72.0</v>
      </c>
      <c r="G77" s="11">
        <f ref="G77:G102" si="3" t="shared">F77/F$102</f>
        <v>9.6217219995862667E-6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115.0</v>
      </c>
      <c r="G78" s="11">
        <f si="3" t="shared"/>
        <v>1.9243443999172533E-5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24.0</v>
      </c>
      <c r="G79" s="11">
        <f si="3" t="shared"/>
        <v>1.4432582999379399E-5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10.0</v>
      </c>
      <c r="G80" s="11">
        <f si="3" t="shared"/>
        <v>4.8108609997931333E-6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64.0</v>
      </c>
      <c r="G81" s="11">
        <f si="3" t="shared"/>
        <v>1.4432582999379399E-5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6.0</v>
      </c>
      <c r="G82" s="11">
        <f si="3" t="shared"/>
        <v>9.6217219995862667E-6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23.0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8.0</v>
      </c>
      <c r="G84" s="11">
        <f si="3" t="shared"/>
        <v>1.4432582999379399E-5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35.0</v>
      </c>
      <c r="G85" s="11">
        <f si="3" t="shared"/>
        <v>4.8108609997931333E-6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18.0</v>
      </c>
      <c r="G86" s="11">
        <f si="3" t="shared"/>
        <v>9.6217219995862667E-6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17.0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6.0</v>
      </c>
      <c r="G88" s="11">
        <f si="3" t="shared"/>
        <v>9.6217219995862667E-6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47.0</v>
      </c>
      <c r="G89" s="11">
        <f si="3" t="shared"/>
        <v>4.8108609997931333E-6</v>
      </c>
    </row>
    <row r="90" spans="1:7" x14ac:dyDescent="0.25">
      <c r="A90">
        <v>79</v>
      </c>
      <c r="B90" s="8" t="n">
        <v>0.0</v>
      </c>
      <c r="C90" s="11">
        <f si="2" t="shared"/>
        <v>2.6671886194915608E-4</v>
      </c>
      <c r="E90" s="99">
        <v>79</v>
      </c>
      <c r="F90" s="189" t="n">
        <v>2.0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16.0</v>
      </c>
      <c r="G91" s="11">
        <f si="3" t="shared"/>
        <v>9.6217219995862667E-6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11.0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19.0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41.0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4.0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11.0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21.0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10.0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19.0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8.0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321.0</v>
      </c>
      <c r="G101" s="11">
        <f si="3" t="shared"/>
        <v>0</v>
      </c>
    </row>
    <row r="102" spans="1:7" x14ac:dyDescent="0.25">
      <c r="B102" s="8">
        <f>SUM(B11:B101)</f>
        <v>169079.53067300003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tabSelected="1" workbookViewId="0">
      <selection activeCell="O31" sqref="O31:P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4.314143265577932E-2</v>
      </c>
      <c r="E11" s="200">
        <v>0</v>
      </c>
      <c r="F11" s="290" t="n">
        <v>7570.0</v>
      </c>
      <c r="G11" s="11">
        <f>F11/F$102</f>
        <v>1.7304667016255899E-2</v>
      </c>
      <c r="K11" s="8" t="n">
        <v>15.08690157251093</v>
      </c>
      <c r="L11" s="8" t="n">
        <v>15.947649505829109</v>
      </c>
    </row>
    <row r="12" spans="1:12" x14ac:dyDescent="0.25">
      <c r="A12">
        <v>1</v>
      </c>
      <c r="B12" s="8" t="n">
        <v>0.0</v>
      </c>
      <c r="C12" s="11">
        <f>B12/B$102</f>
        <v>8.7298073470208973E-2</v>
      </c>
      <c r="E12" s="201">
        <v>1</v>
      </c>
      <c r="F12" s="291" t="n">
        <v>3649.0</v>
      </c>
      <c r="G12" s="11">
        <f>F12/F$102</f>
        <v>6.0862202508382923E-2</v>
      </c>
      <c r="K12" s="8"/>
      <c r="L12" s="381"/>
    </row>
    <row r="13" spans="1:12" x14ac:dyDescent="0.25">
      <c r="A13">
        <v>2</v>
      </c>
      <c r="B13" s="8" t="n">
        <v>889.245182</v>
      </c>
      <c r="C13" s="11">
        <f ref="C13:C76" si="0" t="shared">B13/B$102</f>
        <v>9.833053599583319E-2</v>
      </c>
      <c r="E13" s="202">
        <v>2</v>
      </c>
      <c r="F13" s="292" t="n">
        <v>4048.0</v>
      </c>
      <c r="G13" s="11">
        <f ref="G13:G76" si="1" t="shared">F13/F$102</f>
        <v>7.8368925686630134E-2</v>
      </c>
    </row>
    <row r="14" spans="1:12" x14ac:dyDescent="0.25">
      <c r="A14">
        <v>3</v>
      </c>
      <c r="B14" s="8" t="n">
        <v>12429.764649</v>
      </c>
      <c r="C14" s="11">
        <f si="0" t="shared"/>
        <v>6.3507751105407545E-2</v>
      </c>
      <c r="E14" s="203">
        <v>3</v>
      </c>
      <c r="F14" s="293" t="n">
        <v>6923.0</v>
      </c>
      <c r="G14" s="11">
        <f si="1" t="shared"/>
        <v>8.5743975599313016E-2</v>
      </c>
    </row>
    <row r="15" spans="1:12" x14ac:dyDescent="0.25">
      <c r="A15">
        <v>4</v>
      </c>
      <c r="B15" s="8" t="n">
        <v>10563.080884</v>
      </c>
      <c r="C15" s="11">
        <f si="0" t="shared"/>
        <v>5.656078875387572E-2</v>
      </c>
      <c r="E15" s="204">
        <v>4</v>
      </c>
      <c r="F15" s="294" t="n">
        <v>10780.0</v>
      </c>
      <c r="G15" s="11">
        <f si="1" t="shared"/>
        <v>8.5989329510302456E-2</v>
      </c>
    </row>
    <row r="16" spans="1:12" x14ac:dyDescent="0.25">
      <c r="A16">
        <v>5</v>
      </c>
      <c r="B16" s="8" t="n">
        <v>16963.66103</v>
      </c>
      <c r="C16" s="11">
        <f si="0" t="shared"/>
        <v>5.1084526486559999E-2</v>
      </c>
      <c r="E16" s="205">
        <v>5</v>
      </c>
      <c r="F16" s="295" t="n">
        <v>14673.0</v>
      </c>
      <c r="G16" s="11">
        <f si="1" t="shared"/>
        <v>8.2843026416437746E-2</v>
      </c>
    </row>
    <row r="17" spans="1:7" x14ac:dyDescent="0.25">
      <c r="A17">
        <v>6</v>
      </c>
      <c r="B17" s="8" t="n">
        <v>12080.849035</v>
      </c>
      <c r="C17" s="11">
        <f si="0" t="shared"/>
        <v>6.0062547166874126E-2</v>
      </c>
      <c r="E17" s="206">
        <v>6</v>
      </c>
      <c r="F17" s="296" t="n">
        <v>16565.0</v>
      </c>
      <c r="G17" s="11">
        <f si="1" t="shared"/>
        <v>7.6670691753703155E-2</v>
      </c>
    </row>
    <row r="18" spans="1:7" x14ac:dyDescent="0.25">
      <c r="A18">
        <v>7</v>
      </c>
      <c r="B18" s="8" t="n">
        <v>13309.568545</v>
      </c>
      <c r="C18" s="11">
        <f si="0" t="shared"/>
        <v>4.7621979798207453E-2</v>
      </c>
      <c r="E18" s="207">
        <v>7</v>
      </c>
      <c r="F18" s="297" t="n">
        <v>17326.0</v>
      </c>
      <c r="G18" s="11">
        <f si="1" t="shared"/>
        <v>6.6668911735133243E-2</v>
      </c>
    </row>
    <row r="19" spans="1:7" x14ac:dyDescent="0.25">
      <c r="A19">
        <v>8</v>
      </c>
      <c r="B19" s="8" t="n">
        <v>16716.605558</v>
      </c>
      <c r="C19" s="11">
        <f si="0" t="shared"/>
        <v>4.6917277345310072E-2</v>
      </c>
      <c r="E19" s="208">
        <v>8</v>
      </c>
      <c r="F19" s="298" t="n">
        <v>17260.0</v>
      </c>
      <c r="G19" s="11">
        <f si="1" t="shared"/>
        <v>5.7355084839533735E-2</v>
      </c>
    </row>
    <row r="20" spans="1:7" x14ac:dyDescent="0.25">
      <c r="A20">
        <v>9</v>
      </c>
      <c r="B20" s="8" t="n">
        <v>8696.489763</v>
      </c>
      <c r="C20" s="11">
        <f si="0" t="shared"/>
        <v>3.6814913811409132E-2</v>
      </c>
      <c r="E20" s="209">
        <v>9</v>
      </c>
      <c r="F20" s="299" t="n">
        <v>15824.0</v>
      </c>
      <c r="G20" s="11">
        <f si="1" t="shared"/>
        <v>4.692513819198222E-2</v>
      </c>
    </row>
    <row r="21" spans="1:7" x14ac:dyDescent="0.25">
      <c r="A21">
        <v>10</v>
      </c>
      <c r="B21" s="8" t="n">
        <v>9604.578132999999</v>
      </c>
      <c r="C21" s="11">
        <f si="0" t="shared"/>
        <v>4.0300921837655226E-2</v>
      </c>
      <c r="E21" s="210">
        <v>10</v>
      </c>
      <c r="F21" s="300" t="n">
        <v>14455.0</v>
      </c>
      <c r="G21" s="11">
        <f si="1" t="shared"/>
        <v>4.0406421537262524E-2</v>
      </c>
    </row>
    <row r="22" spans="1:7" x14ac:dyDescent="0.25">
      <c r="A22">
        <v>11</v>
      </c>
      <c r="B22" s="8" t="n">
        <v>10943.785562</v>
      </c>
      <c r="C22" s="11">
        <f si="0" t="shared"/>
        <v>6.2798469777723159E-2</v>
      </c>
      <c r="E22" s="211">
        <v>11</v>
      </c>
      <c r="F22" s="301" t="n">
        <v>12448.0</v>
      </c>
      <c r="G22" s="11">
        <f si="1" t="shared"/>
        <v>3.3599053222555242E-2</v>
      </c>
    </row>
    <row r="23" spans="1:7" x14ac:dyDescent="0.25">
      <c r="A23">
        <v>12</v>
      </c>
      <c r="B23" s="8" t="n">
        <v>10553.529288</v>
      </c>
      <c r="C23" s="11">
        <f si="0" t="shared"/>
        <v>2.1886423325581984E-2</v>
      </c>
      <c r="E23" s="212">
        <v>12</v>
      </c>
      <c r="F23" s="302" t="n">
        <v>10657.0</v>
      </c>
      <c r="G23" s="11">
        <f si="1" t="shared"/>
        <v>2.7162121204832027E-2</v>
      </c>
    </row>
    <row r="24" spans="1:7" x14ac:dyDescent="0.25">
      <c r="A24">
        <v>13</v>
      </c>
      <c r="B24" s="8" t="n">
        <v>5972.551688</v>
      </c>
      <c r="C24" s="11">
        <f si="0" t="shared"/>
        <v>4.2583492084117533E-2</v>
      </c>
      <c r="E24" s="213">
        <v>13</v>
      </c>
      <c r="F24" s="303" t="n">
        <v>8956.0</v>
      </c>
      <c r="G24" s="11">
        <f si="1" t="shared"/>
        <v>2.0359563751124538E-2</v>
      </c>
    </row>
    <row r="25" spans="1:7" x14ac:dyDescent="0.25">
      <c r="A25">
        <v>14</v>
      </c>
      <c r="B25" s="8" t="n">
        <v>7026.433959</v>
      </c>
      <c r="C25" s="11">
        <f si="0" t="shared"/>
        <v>2.6648381948220706E-2</v>
      </c>
      <c r="E25" s="214">
        <v>14</v>
      </c>
      <c r="F25" s="304" t="n">
        <v>7284.0</v>
      </c>
      <c r="G25" s="11">
        <f si="1" t="shared"/>
        <v>1.9325228636169017E-2</v>
      </c>
    </row>
    <row r="26" spans="1:7" x14ac:dyDescent="0.25">
      <c r="A26">
        <v>15</v>
      </c>
      <c r="B26" s="8" t="n">
        <v>7524.762598</v>
      </c>
      <c r="C26" s="11">
        <f si="0" t="shared"/>
        <v>3.4969267021653573E-2</v>
      </c>
      <c r="E26" s="215">
        <v>15</v>
      </c>
      <c r="F26" s="305" t="n">
        <v>5923.0</v>
      </c>
      <c r="G26" s="11">
        <f si="1" t="shared"/>
        <v>1.8839331675189908E-2</v>
      </c>
    </row>
    <row r="27" spans="1:7" x14ac:dyDescent="0.25">
      <c r="A27">
        <v>16</v>
      </c>
      <c r="B27" s="8" t="n">
        <v>5014.444308</v>
      </c>
      <c r="C27" s="11">
        <f si="0" t="shared"/>
        <v>9.7984284993319903E-3</v>
      </c>
      <c r="E27" s="216">
        <v>16</v>
      </c>
      <c r="F27" s="306" t="n">
        <v>4903.0</v>
      </c>
      <c r="G27" s="11">
        <f si="1" t="shared"/>
        <v>1.5481350697334303E-2</v>
      </c>
    </row>
    <row r="28" spans="1:7" x14ac:dyDescent="0.25">
      <c r="A28">
        <v>17</v>
      </c>
      <c r="B28" s="8" t="n">
        <v>7580.358528</v>
      </c>
      <c r="C28" s="11">
        <f si="0" t="shared"/>
        <v>1.0319195629744074E-2</v>
      </c>
      <c r="E28" s="217">
        <v>17</v>
      </c>
      <c r="F28" s="307" t="n">
        <v>4241.0</v>
      </c>
      <c r="G28" s="11">
        <f si="1" t="shared"/>
        <v>1.5082049234351472E-2</v>
      </c>
    </row>
    <row r="29" spans="1:7" x14ac:dyDescent="0.25">
      <c r="A29">
        <v>18</v>
      </c>
      <c r="B29" s="8" t="n">
        <v>3419.8087689999998</v>
      </c>
      <c r="C29" s="11">
        <f si="0" t="shared"/>
        <v>2.2882967646052507E-2</v>
      </c>
      <c r="E29" s="218">
        <v>18</v>
      </c>
      <c r="F29" s="308" t="n">
        <v>3412.0</v>
      </c>
      <c r="G29" s="11">
        <f si="1" t="shared"/>
        <v>1.39418751774005E-2</v>
      </c>
    </row>
    <row r="30" spans="1:7" x14ac:dyDescent="0.25">
      <c r="A30">
        <v>19</v>
      </c>
      <c r="B30" s="8" t="n">
        <v>2501.691915</v>
      </c>
      <c r="C30" s="11">
        <f si="0" t="shared"/>
        <v>2.6923084047375614E-2</v>
      </c>
      <c r="E30" s="219">
        <v>19</v>
      </c>
      <c r="F30" s="309" t="n">
        <v>3195.0</v>
      </c>
      <c r="G30" s="11">
        <f si="1" t="shared"/>
        <v>1.3109596224436287E-2</v>
      </c>
    </row>
    <row r="31" spans="1:7" x14ac:dyDescent="0.25">
      <c r="A31">
        <v>20</v>
      </c>
      <c r="B31" s="8" t="n">
        <v>2549.967937</v>
      </c>
      <c r="C31" s="11">
        <f si="0" t="shared"/>
        <v>1.4295848719113985E-2</v>
      </c>
      <c r="E31" s="220">
        <v>20</v>
      </c>
      <c r="F31" s="310" t="n">
        <v>2886.0</v>
      </c>
      <c r="G31" s="11">
        <f si="1" t="shared"/>
        <v>1.2493806016462767E-2</v>
      </c>
    </row>
    <row r="32" spans="1:7" x14ac:dyDescent="0.25">
      <c r="A32">
        <v>21</v>
      </c>
      <c r="B32" s="8" t="n">
        <v>2248.926927</v>
      </c>
      <c r="C32" s="11">
        <f si="0" t="shared"/>
        <v>1.426492707544021E-2</v>
      </c>
      <c r="E32" s="221">
        <v>21</v>
      </c>
      <c r="F32" s="311" t="n">
        <v>2814.0</v>
      </c>
      <c r="G32" s="11">
        <f si="1" t="shared"/>
        <v>1.1204495268518206E-2</v>
      </c>
    </row>
    <row r="33" spans="1:7" x14ac:dyDescent="0.25">
      <c r="A33">
        <v>22</v>
      </c>
      <c r="B33" s="8" t="n">
        <v>2627.891796</v>
      </c>
      <c r="C33" s="11">
        <f si="0" t="shared"/>
        <v>8.6821692144335907E-3</v>
      </c>
      <c r="E33" s="222">
        <v>22</v>
      </c>
      <c r="F33" s="312" t="n">
        <v>2707.0</v>
      </c>
      <c r="G33" s="11">
        <f si="1" t="shared"/>
        <v>1.0444379230550891E-2</v>
      </c>
    </row>
    <row r="34" spans="1:7" x14ac:dyDescent="0.25">
      <c r="A34">
        <v>23</v>
      </c>
      <c r="B34" s="8" t="n">
        <v>2442.502488</v>
      </c>
      <c r="C34" s="11">
        <f si="0" t="shared"/>
        <v>7.2112045683286425E-3</v>
      </c>
      <c r="E34" s="223">
        <v>23</v>
      </c>
      <c r="F34" s="313" t="n">
        <v>2375.0</v>
      </c>
      <c r="G34" s="11">
        <f si="1" t="shared"/>
        <v>1.0006590879569717E-2</v>
      </c>
    </row>
    <row r="35" spans="1:7" x14ac:dyDescent="0.25">
      <c r="A35">
        <v>24</v>
      </c>
      <c r="B35" s="8" t="n">
        <v>2383.5304889999998</v>
      </c>
      <c r="C35" s="11">
        <f si="0" t="shared"/>
        <v>1.712771681156819E-3</v>
      </c>
      <c r="E35" s="224">
        <v>24</v>
      </c>
      <c r="F35" s="314" t="n">
        <v>2393.0</v>
      </c>
      <c r="G35" s="11">
        <f si="1" t="shared"/>
        <v>8.346843834641085E-3</v>
      </c>
    </row>
    <row r="36" spans="1:7" x14ac:dyDescent="0.25">
      <c r="A36">
        <v>25</v>
      </c>
      <c r="B36" s="8" t="n">
        <v>1886.888863</v>
      </c>
      <c r="C36" s="11">
        <f si="0" t="shared"/>
        <v>1.4863097620375076E-3</v>
      </c>
      <c r="E36" s="225">
        <v>25</v>
      </c>
      <c r="F36" s="315" t="n">
        <v>2278.0</v>
      </c>
      <c r="G36" s="11">
        <f si="1" t="shared"/>
        <v>8.2073288656470851E-3</v>
      </c>
    </row>
    <row r="37" spans="1:7" x14ac:dyDescent="0.25">
      <c r="A37">
        <v>26</v>
      </c>
      <c r="B37" s="8" t="n">
        <v>2615.171339</v>
      </c>
      <c r="C37" s="11">
        <f si="0" t="shared"/>
        <v>4.0523337997969335E-3</v>
      </c>
      <c r="E37" s="226">
        <v>26</v>
      </c>
      <c r="F37" s="316" t="n">
        <v>2089.0</v>
      </c>
      <c r="G37" s="11">
        <f si="1" t="shared"/>
        <v>6.7833140097083178E-3</v>
      </c>
    </row>
    <row r="38" spans="1:7" x14ac:dyDescent="0.25">
      <c r="A38">
        <v>27</v>
      </c>
      <c r="B38" s="8" t="n">
        <v>1579.589341</v>
      </c>
      <c r="C38" s="11">
        <f si="0" t="shared"/>
        <v>5.1832288007406186E-3</v>
      </c>
      <c r="E38" s="227">
        <v>27</v>
      </c>
      <c r="F38" s="317" t="n">
        <v>1987.0</v>
      </c>
      <c r="G38" s="11">
        <f si="1" t="shared"/>
        <v>5.9462241957443122E-3</v>
      </c>
    </row>
    <row r="39" spans="1:7" x14ac:dyDescent="0.25">
      <c r="A39">
        <v>28</v>
      </c>
      <c r="B39" s="8" t="n">
        <v>655.264274</v>
      </c>
      <c r="C39" s="11">
        <f si="0" t="shared"/>
        <v>1.0870482031054654E-3</v>
      </c>
      <c r="E39" s="228">
        <v>28</v>
      </c>
      <c r="F39" s="318" t="n">
        <v>1920.0</v>
      </c>
      <c r="G39" s="11">
        <f si="1" t="shared"/>
        <v>5.3737317367689294E-3</v>
      </c>
    </row>
    <row r="40" spans="1:7" x14ac:dyDescent="0.25">
      <c r="A40">
        <v>29</v>
      </c>
      <c r="B40" s="8" t="n">
        <v>896.658515</v>
      </c>
      <c r="C40" s="11">
        <f si="0" t="shared"/>
        <v>1.1518904164494533E-3</v>
      </c>
      <c r="E40" s="229">
        <v>29</v>
      </c>
      <c r="F40" s="319" t="n">
        <v>1917.0</v>
      </c>
      <c r="G40" s="11">
        <f si="1" t="shared"/>
        <v>5.0610257717823761E-3</v>
      </c>
    </row>
    <row r="41" spans="1:7" x14ac:dyDescent="0.25">
      <c r="A41">
        <v>30</v>
      </c>
      <c r="B41" s="8" t="n">
        <v>1466.667621</v>
      </c>
      <c r="C41" s="11">
        <f si="0" t="shared"/>
        <v>1.6034104656010388E-3</v>
      </c>
      <c r="E41" s="230">
        <v>30</v>
      </c>
      <c r="F41" s="320" t="n">
        <v>1788.0</v>
      </c>
      <c r="G41" s="11">
        <f si="1" t="shared"/>
        <v>4.0411232398262316E-3</v>
      </c>
    </row>
    <row r="42" spans="1:7" x14ac:dyDescent="0.25">
      <c r="A42">
        <v>31</v>
      </c>
      <c r="B42" s="8" t="n">
        <v>2361.406004</v>
      </c>
      <c r="C42" s="11">
        <f si="0" t="shared"/>
        <v>1.2228415182904029E-3</v>
      </c>
      <c r="E42" s="231">
        <v>31</v>
      </c>
      <c r="F42" s="321" t="n">
        <v>1672.0</v>
      </c>
      <c r="G42" s="11">
        <f si="1" t="shared"/>
        <v>3.7043629698407122E-3</v>
      </c>
    </row>
    <row r="43" spans="1:7" x14ac:dyDescent="0.25">
      <c r="A43">
        <v>32</v>
      </c>
      <c r="B43" s="8" t="n">
        <v>1755.922769</v>
      </c>
      <c r="C43" s="11">
        <f si="0" t="shared"/>
        <v>6.0539339441368386E-4</v>
      </c>
      <c r="E43" s="232">
        <v>32</v>
      </c>
      <c r="F43" s="322" t="n">
        <v>1543.0</v>
      </c>
      <c r="G43" s="11">
        <f si="1" t="shared"/>
        <v>3.7669041628380232E-3</v>
      </c>
    </row>
    <row r="44" spans="1:7" x14ac:dyDescent="0.25">
      <c r="A44">
        <v>33</v>
      </c>
      <c r="B44" s="8" t="n">
        <v>1040.847227</v>
      </c>
      <c r="C44" s="11">
        <f si="0" t="shared"/>
        <v>1.229772512215779E-2</v>
      </c>
      <c r="E44" s="233">
        <v>33</v>
      </c>
      <c r="F44" s="323" t="n">
        <v>1497.0</v>
      </c>
      <c r="G44" s="11">
        <f si="1" t="shared"/>
        <v>3.300250645858089E-3</v>
      </c>
    </row>
    <row r="45" spans="1:7" x14ac:dyDescent="0.25">
      <c r="A45">
        <v>34</v>
      </c>
      <c r="B45" s="8" t="n">
        <v>618.774154</v>
      </c>
      <c r="C45" s="11">
        <f si="0" t="shared"/>
        <v>7.2365448090008636E-4</v>
      </c>
      <c r="E45" s="234">
        <v>34</v>
      </c>
      <c r="F45" s="324" t="n">
        <v>1313.0</v>
      </c>
      <c r="G45" s="11">
        <f si="1" t="shared"/>
        <v>2.9394360708736044E-3</v>
      </c>
    </row>
    <row r="46" spans="1:7" x14ac:dyDescent="0.25">
      <c r="A46">
        <v>35</v>
      </c>
      <c r="B46" s="8" t="n">
        <v>852.5548610000001</v>
      </c>
      <c r="C46" s="11">
        <f si="0" t="shared"/>
        <v>1.9754267631956271E-3</v>
      </c>
      <c r="E46" s="235">
        <v>35</v>
      </c>
      <c r="F46" s="325" t="n">
        <v>1304.0</v>
      </c>
      <c r="G46" s="11">
        <f si="1" t="shared"/>
        <v>2.7325690478824994E-3</v>
      </c>
    </row>
    <row r="47" spans="1:7" x14ac:dyDescent="0.25">
      <c r="A47">
        <v>36</v>
      </c>
      <c r="B47" s="8" t="n">
        <v>363.345077</v>
      </c>
      <c r="C47" s="11">
        <f si="0" t="shared"/>
        <v>2.3099956301355527E-3</v>
      </c>
      <c r="E47" s="236">
        <v>36</v>
      </c>
      <c r="F47" s="326" t="n">
        <v>1239.0</v>
      </c>
      <c r="G47" s="11">
        <f si="1" t="shared"/>
        <v>2.097535395909806E-3</v>
      </c>
    </row>
    <row r="48" spans="1:7" x14ac:dyDescent="0.25">
      <c r="A48">
        <v>37</v>
      </c>
      <c r="B48" s="8" t="n">
        <v>1080.605636</v>
      </c>
      <c r="C48" s="11">
        <f si="0" t="shared"/>
        <v>4.086924698983372E-4</v>
      </c>
      <c r="E48" s="237">
        <v>37</v>
      </c>
      <c r="F48" s="327" t="n">
        <v>1128.0</v>
      </c>
      <c r="G48" s="11">
        <f si="1" t="shared"/>
        <v>2.0879136739102196E-3</v>
      </c>
    </row>
    <row r="49" spans="1:7" x14ac:dyDescent="0.25">
      <c r="A49">
        <v>38</v>
      </c>
      <c r="B49" s="8" t="n">
        <v>2297.447101</v>
      </c>
      <c r="C49" s="11">
        <f si="0" t="shared"/>
        <v>0</v>
      </c>
      <c r="E49" s="238">
        <v>38</v>
      </c>
      <c r="F49" s="328" t="n">
        <v>1063.0</v>
      </c>
      <c r="G49" s="11">
        <f si="1" t="shared"/>
        <v>1.8425597629207699E-3</v>
      </c>
    </row>
    <row r="50" spans="1:7" x14ac:dyDescent="0.25">
      <c r="A50">
        <v>39</v>
      </c>
      <c r="B50" s="8" t="n">
        <v>1557.631454</v>
      </c>
      <c r="C50" s="11">
        <f si="0" t="shared"/>
        <v>5.5463684827329151E-4</v>
      </c>
      <c r="E50" s="239">
        <v>39</v>
      </c>
      <c r="F50" s="329" t="n">
        <v>1000.0</v>
      </c>
      <c r="G50" s="11">
        <f si="1" t="shared"/>
        <v>1.5827732689319407E-3</v>
      </c>
    </row>
    <row r="51" spans="1:7" x14ac:dyDescent="0.25">
      <c r="A51">
        <v>40</v>
      </c>
      <c r="B51" s="8" t="n">
        <v>331.439142</v>
      </c>
      <c r="C51" s="11">
        <f si="0" t="shared"/>
        <v>4.5009556566123472E-4</v>
      </c>
      <c r="E51" s="240">
        <v>40</v>
      </c>
      <c r="F51" s="330" t="n">
        <v>883.0</v>
      </c>
      <c r="G51" s="11">
        <f si="1" t="shared"/>
        <v>1.3518519409418703E-3</v>
      </c>
    </row>
    <row r="52" spans="1:7" x14ac:dyDescent="0.25">
      <c r="A52">
        <v>41</v>
      </c>
      <c r="B52" s="8" t="n">
        <v>381.125067</v>
      </c>
      <c r="C52" s="11">
        <f si="0" t="shared"/>
        <v>1.049498724616087E-2</v>
      </c>
      <c r="E52" s="241">
        <v>41</v>
      </c>
      <c r="F52" s="331" t="n">
        <v>794.0</v>
      </c>
      <c r="G52" s="11">
        <f si="1" t="shared"/>
        <v>1.3133650529435254E-3</v>
      </c>
    </row>
    <row r="53" spans="1:7" x14ac:dyDescent="0.25">
      <c r="A53">
        <v>42</v>
      </c>
      <c r="B53" s="8" t="n">
        <v>773.896892</v>
      </c>
      <c r="C53" s="11">
        <f si="0" t="shared"/>
        <v>6.0397887250764337E-3</v>
      </c>
      <c r="E53" s="242">
        <v>42</v>
      </c>
      <c r="F53" s="332" t="n">
        <v>707.0</v>
      </c>
      <c r="G53" s="11">
        <f si="1" t="shared"/>
        <v>1.0006590879569717E-3</v>
      </c>
    </row>
    <row r="54" spans="1:7" x14ac:dyDescent="0.25">
      <c r="A54">
        <v>43</v>
      </c>
      <c r="B54" s="8" t="n">
        <v>162.70512399999998</v>
      </c>
      <c r="C54" s="11">
        <f si="0" t="shared"/>
        <v>8.3615462165803275E-4</v>
      </c>
      <c r="E54" s="243">
        <v>43</v>
      </c>
      <c r="F54" s="333" t="n">
        <v>647.0</v>
      </c>
      <c r="G54" s="11">
        <f si="1" t="shared"/>
        <v>1.0295242539557306E-3</v>
      </c>
    </row>
    <row r="55" spans="1:7" x14ac:dyDescent="0.25">
      <c r="A55">
        <v>44</v>
      </c>
      <c r="B55" s="8" t="n">
        <v>69.795838</v>
      </c>
      <c r="C55" s="11">
        <f si="0" t="shared"/>
        <v>0</v>
      </c>
      <c r="E55" s="244">
        <v>44</v>
      </c>
      <c r="F55" s="334" t="n">
        <v>585.0</v>
      </c>
      <c r="G55" s="11">
        <f si="1" t="shared"/>
        <v>8.3227895296421198E-4</v>
      </c>
    </row>
    <row r="56" spans="1:7" x14ac:dyDescent="0.25">
      <c r="A56">
        <v>45</v>
      </c>
      <c r="B56" s="8" t="n">
        <v>222.93762099999998</v>
      </c>
      <c r="C56" s="11">
        <f si="0" t="shared"/>
        <v>0</v>
      </c>
      <c r="E56" s="245">
        <v>45</v>
      </c>
      <c r="F56" s="335" t="n">
        <v>569.0</v>
      </c>
      <c r="G56" s="11">
        <f si="1" t="shared"/>
        <v>7.9379206496586697E-4</v>
      </c>
    </row>
    <row r="57" spans="1:7" x14ac:dyDescent="0.25">
      <c r="A57">
        <v>46</v>
      </c>
      <c r="B57" s="8" t="n">
        <v>489.994376</v>
      </c>
      <c r="C57" s="11">
        <f si="0" t="shared"/>
        <v>0</v>
      </c>
      <c r="E57" s="246">
        <v>46</v>
      </c>
      <c r="F57" s="336" t="n">
        <v>485.0</v>
      </c>
      <c r="G57" s="11">
        <f si="1" t="shared"/>
        <v>5.8692504197476218E-4</v>
      </c>
    </row>
    <row r="58" spans="1:7" x14ac:dyDescent="0.25">
      <c r="A58">
        <v>47</v>
      </c>
      <c r="B58" s="8" t="n">
        <v>0.0</v>
      </c>
      <c r="C58" s="11">
        <f si="0" t="shared"/>
        <v>4.086924698983372E-4</v>
      </c>
      <c r="E58" s="247">
        <v>47</v>
      </c>
      <c r="F58" s="337" t="n">
        <v>461.0</v>
      </c>
      <c r="G58" s="11">
        <f si="1" t="shared"/>
        <v>6.0616848597393473E-4</v>
      </c>
    </row>
    <row r="59" spans="1:7" x14ac:dyDescent="0.25">
      <c r="A59">
        <v>48</v>
      </c>
      <c r="B59" s="8" t="n">
        <v>397.038268</v>
      </c>
      <c r="C59" s="11">
        <f si="0" t="shared"/>
        <v>0</v>
      </c>
      <c r="E59" s="248">
        <v>48</v>
      </c>
      <c r="F59" s="338" t="n">
        <v>449.0</v>
      </c>
      <c r="G59" s="11">
        <f si="1" t="shared"/>
        <v>4.7627523897952016E-4</v>
      </c>
    </row>
    <row r="60" spans="1:7" x14ac:dyDescent="0.25">
      <c r="A60">
        <v>49</v>
      </c>
      <c r="B60" s="8" t="n">
        <v>561.546781</v>
      </c>
      <c r="C60" s="11">
        <f si="0" t="shared"/>
        <v>0</v>
      </c>
      <c r="E60" s="249">
        <v>49</v>
      </c>
      <c r="F60" s="339" t="n">
        <v>406.0</v>
      </c>
      <c r="G60" s="11">
        <f si="1" t="shared"/>
        <v>4.2816662898158882E-4</v>
      </c>
    </row>
    <row r="61" spans="1:7" x14ac:dyDescent="0.25">
      <c r="A61">
        <v>50</v>
      </c>
      <c r="B61" s="8" t="n">
        <v>429.052119</v>
      </c>
      <c r="C61" s="11">
        <f si="0" t="shared"/>
        <v>4.3540063842722656E-3</v>
      </c>
      <c r="E61" s="250">
        <v>50</v>
      </c>
      <c r="F61" s="340" t="n">
        <v>387.0</v>
      </c>
      <c r="G61" s="11">
        <f si="1" t="shared"/>
        <v>4.0411232398262316E-4</v>
      </c>
    </row>
    <row r="62" spans="1:7" x14ac:dyDescent="0.25">
      <c r="A62">
        <v>51</v>
      </c>
      <c r="B62" s="8" t="n">
        <v>61.147836</v>
      </c>
      <c r="C62" s="11">
        <f si="0" t="shared"/>
        <v>8.3746631798884948E-4</v>
      </c>
      <c r="E62" s="251">
        <v>51</v>
      </c>
      <c r="F62" s="341" t="n">
        <v>342.0</v>
      </c>
      <c r="G62" s="11">
        <f si="1" t="shared"/>
        <v>3.5600371398469182E-4</v>
      </c>
    </row>
    <row r="63" spans="1:7" x14ac:dyDescent="0.25">
      <c r="A63">
        <v>52</v>
      </c>
      <c r="B63" s="8" t="n">
        <v>384.497047</v>
      </c>
      <c r="C63" s="11">
        <f si="0" t="shared"/>
        <v>0</v>
      </c>
      <c r="E63" s="252">
        <v>52</v>
      </c>
      <c r="F63" s="342" t="n">
        <v>309.0</v>
      </c>
      <c r="G63" s="11">
        <f si="1" t="shared"/>
        <v>2.790299379880017E-4</v>
      </c>
    </row>
    <row r="64" spans="1:7" x14ac:dyDescent="0.25">
      <c r="A64">
        <v>53</v>
      </c>
      <c r="B64" s="8" t="n">
        <v>85.4146</v>
      </c>
      <c r="C64" s="11">
        <f si="0" t="shared"/>
        <v>0</v>
      </c>
      <c r="E64" s="253">
        <v>53</v>
      </c>
      <c r="F64" s="343" t="n">
        <v>268.0</v>
      </c>
      <c r="G64" s="11">
        <f si="1" t="shared"/>
        <v>2.16488744990691E-4</v>
      </c>
    </row>
    <row r="65" spans="1:7" x14ac:dyDescent="0.25">
      <c r="A65">
        <v>54</v>
      </c>
      <c r="B65" s="8" t="n">
        <v>394.249361</v>
      </c>
      <c r="C65" s="11">
        <f si="0" t="shared"/>
        <v>1.6819477548112966E-3</v>
      </c>
      <c r="E65" s="254">
        <v>54</v>
      </c>
      <c r="F65" s="344" t="n">
        <v>218.0</v>
      </c>
      <c r="G65" s="11">
        <f si="1" t="shared"/>
        <v>2.3092132799007039E-4</v>
      </c>
    </row>
    <row r="66" spans="1:7" x14ac:dyDescent="0.25">
      <c r="A66">
        <v>55</v>
      </c>
      <c r="B66" s="8" t="n">
        <v>422.666653</v>
      </c>
      <c r="C66" s="11">
        <f si="0" t="shared"/>
        <v>0</v>
      </c>
      <c r="E66" s="255">
        <v>55</v>
      </c>
      <c r="F66" s="345" t="n">
        <v>207.0</v>
      </c>
      <c r="G66" s="11">
        <f si="1" t="shared"/>
        <v>2.0205616199131158E-4</v>
      </c>
    </row>
    <row r="67" spans="1:7" x14ac:dyDescent="0.25">
      <c r="A67">
        <v>56</v>
      </c>
      <c r="B67" s="8" t="n">
        <v>108.083727</v>
      </c>
      <c r="C67" s="11">
        <f si="0" t="shared"/>
        <v>0</v>
      </c>
      <c r="E67" s="256">
        <v>56</v>
      </c>
      <c r="F67" s="346" t="n">
        <v>185.0</v>
      </c>
      <c r="G67" s="11">
        <f si="1" t="shared"/>
        <v>2.2129960599048411E-4</v>
      </c>
    </row>
    <row r="68" spans="1:7" x14ac:dyDescent="0.25">
      <c r="A68">
        <v>57</v>
      </c>
      <c r="B68" s="8" t="n">
        <v>0.0</v>
      </c>
      <c r="C68" s="11">
        <f si="0" t="shared"/>
        <v>8.4809043075312069E-4</v>
      </c>
      <c r="E68" s="257">
        <v>57</v>
      </c>
      <c r="F68" s="347" t="n">
        <v>185.0</v>
      </c>
      <c r="G68" s="11">
        <f si="1" t="shared"/>
        <v>1.5875841299317338E-4</v>
      </c>
    </row>
    <row r="69" spans="1:7" x14ac:dyDescent="0.25">
      <c r="A69">
        <v>58</v>
      </c>
      <c r="B69" s="8" t="n">
        <v>152.229314</v>
      </c>
      <c r="C69" s="11">
        <f si="0" t="shared"/>
        <v>1.980684673461059E-3</v>
      </c>
      <c r="E69" s="258">
        <v>58</v>
      </c>
      <c r="F69" s="348" t="n">
        <v>169.0</v>
      </c>
      <c r="G69" s="11">
        <f si="1" t="shared"/>
        <v>1.7800185699234591E-4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169.0</v>
      </c>
      <c r="G70" s="11">
        <f si="1" t="shared"/>
        <v>1.0583894199544893E-4</v>
      </c>
    </row>
    <row r="71" spans="1:7" x14ac:dyDescent="0.25">
      <c r="A71">
        <v>60</v>
      </c>
      <c r="B71" s="8" t="n">
        <v>21.137344</v>
      </c>
      <c r="C71" s="11">
        <f si="0" t="shared"/>
        <v>5.2139960791881845E-4</v>
      </c>
      <c r="E71" s="260">
        <v>60</v>
      </c>
      <c r="F71" s="350" t="n">
        <v>122.0</v>
      </c>
      <c r="G71" s="11">
        <f si="1" t="shared"/>
        <v>1.3951496899400085E-4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119.0</v>
      </c>
      <c r="G72" s="11">
        <f si="1" t="shared"/>
        <v>1.1064980299524205E-4</v>
      </c>
    </row>
    <row r="73" spans="1:7" x14ac:dyDescent="0.25">
      <c r="A73">
        <v>62</v>
      </c>
      <c r="B73" s="8" t="n">
        <v>153.818257</v>
      </c>
      <c r="C73" s="11">
        <f si="0" t="shared"/>
        <v>0</v>
      </c>
      <c r="E73" s="262">
        <v>62</v>
      </c>
      <c r="F73" s="352" t="n">
        <v>106.0</v>
      </c>
      <c r="G73" s="11">
        <f si="1" t="shared"/>
        <v>7.6973775996690133E-5</v>
      </c>
    </row>
    <row r="74" spans="1:7" x14ac:dyDescent="0.25">
      <c r="A74">
        <v>63</v>
      </c>
      <c r="B74" s="8" t="n">
        <v>550.010415</v>
      </c>
      <c r="C74" s="11">
        <f si="0" t="shared"/>
        <v>0</v>
      </c>
      <c r="E74" s="263">
        <v>63</v>
      </c>
      <c r="F74" s="353" t="n">
        <v>91.0</v>
      </c>
      <c r="G74" s="11">
        <f si="1" t="shared"/>
        <v>8.1784636996483259E-5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264">
        <v>64</v>
      </c>
      <c r="F75" s="354" t="n">
        <v>100.0</v>
      </c>
      <c r="G75" s="11">
        <f si="1" t="shared"/>
        <v>8.6595497996276398E-5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265">
        <v>65</v>
      </c>
      <c r="F76" s="355" t="n">
        <v>137.0</v>
      </c>
      <c r="G76" s="11">
        <f si="1" t="shared"/>
        <v>9.6217219995862663E-5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86.0</v>
      </c>
      <c r="G77" s="11">
        <f ref="G77:G102" si="3" t="shared">F77/F$102</f>
        <v>6.2541192997310729E-5</v>
      </c>
    </row>
    <row r="78" spans="1:7" x14ac:dyDescent="0.25">
      <c r="A78">
        <v>67</v>
      </c>
      <c r="B78" s="8" t="n">
        <v>222.426854</v>
      </c>
      <c r="C78" s="11">
        <f si="2" t="shared"/>
        <v>0</v>
      </c>
      <c r="E78" s="267">
        <v>67</v>
      </c>
      <c r="F78" s="357" t="n">
        <v>59.0</v>
      </c>
      <c r="G78" s="11">
        <f si="3" t="shared"/>
        <v>5.2919470997724464E-5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66.0</v>
      </c>
      <c r="G79" s="11">
        <f si="3" t="shared"/>
        <v>4.8108609997931332E-5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63.0</v>
      </c>
      <c r="G80" s="11">
        <f si="3" t="shared"/>
        <v>5.2919470997724464E-5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49.0</v>
      </c>
      <c r="G81" s="11">
        <f si="3" t="shared"/>
        <v>5.2919470997724464E-5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38.0</v>
      </c>
      <c r="G82" s="11">
        <f si="3" t="shared"/>
        <v>5.2919470997724464E-5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272">
        <v>72</v>
      </c>
      <c r="F83" s="362" t="n">
        <v>46.0</v>
      </c>
      <c r="G83" s="11">
        <f si="3" t="shared"/>
        <v>5.2919470997724464E-5</v>
      </c>
    </row>
    <row r="84" spans="1:7" x14ac:dyDescent="0.25">
      <c r="A84">
        <v>73</v>
      </c>
      <c r="B84" s="8" t="n">
        <v>289.84697</v>
      </c>
      <c r="C84" s="11">
        <f si="2" t="shared"/>
        <v>0</v>
      </c>
      <c r="E84" s="273">
        <v>73</v>
      </c>
      <c r="F84" s="363" t="n">
        <v>57.0</v>
      </c>
      <c r="G84" s="11">
        <f si="3" t="shared"/>
        <v>1.9243443999172533E-5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274">
        <v>74</v>
      </c>
      <c r="F85" s="364" t="n">
        <v>88.0</v>
      </c>
      <c r="G85" s="11">
        <f si="3" t="shared"/>
        <v>3.3676026998551934E-5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275">
        <v>75</v>
      </c>
      <c r="F86" s="365" t="n">
        <v>84.0</v>
      </c>
      <c r="G86" s="11">
        <f si="3" t="shared"/>
        <v>2.8865165998758798E-5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276">
        <v>76</v>
      </c>
      <c r="F87" s="366" t="n">
        <v>52.0</v>
      </c>
      <c r="G87" s="11">
        <f si="3" t="shared"/>
        <v>1.9243443999172533E-5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277">
        <v>77</v>
      </c>
      <c r="F88" s="367" t="n">
        <v>39.0</v>
      </c>
      <c r="G88" s="11">
        <f si="3" t="shared"/>
        <v>1.9243443999172533E-5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30.0</v>
      </c>
      <c r="G89" s="11">
        <f si="3" t="shared"/>
        <v>1.9243443999172533E-5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28.0</v>
      </c>
      <c r="G90" s="11">
        <f si="3" t="shared"/>
        <v>9.6217219995862667E-6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42.0</v>
      </c>
      <c r="G91" s="11">
        <f si="3" t="shared"/>
        <v>2.4054304998965666E-5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24.0</v>
      </c>
      <c r="G92" s="11">
        <f si="3" t="shared"/>
        <v>9.6217219995862667E-6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21.0</v>
      </c>
      <c r="G93" s="11">
        <f si="3" t="shared"/>
        <v>1.9243443999172533E-5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283">
        <v>83</v>
      </c>
      <c r="F94" s="373" t="n">
        <v>32.0</v>
      </c>
      <c r="G94" s="11">
        <f si="3" t="shared"/>
        <v>9.6217219995862667E-6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20.0</v>
      </c>
      <c r="G95" s="11">
        <f si="3" t="shared"/>
        <v>4.8108609997931333E-6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30.0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9.0</v>
      </c>
      <c r="G97" s="11">
        <f si="3" t="shared"/>
        <v>4.8108609997931333E-6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24.0</v>
      </c>
      <c r="G98" s="11">
        <f si="3" t="shared"/>
        <v>9.6217219995862667E-6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37.0</v>
      </c>
      <c r="G99" s="11">
        <f si="3" t="shared"/>
        <v>4.8108609997931333E-6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25.0</v>
      </c>
      <c r="G100" s="11">
        <f si="3" t="shared"/>
        <v>4.8108609997931333E-6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2.6671886194915625E-4</v>
      </c>
      <c r="E101" s="382">
        <v>90</v>
      </c>
      <c r="F101" s="382" t="n">
        <v>4026.0</v>
      </c>
      <c r="G101" s="11">
        <f si="3" t="shared"/>
        <v>1.4432582999379399E-5</v>
      </c>
    </row>
    <row r="102" spans="1:7" x14ac:dyDescent="0.25">
      <c r="B102" s="8">
        <f>SUM(B11:B101)</f>
        <v>169079.53067299994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A10" workbookViewId="0">
      <selection activeCell="AE45" sqref="AE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383">
        <v>1</v>
      </c>
      <c r="B7" s="12" t="n">
        <v>77109.384173</v>
      </c>
      <c r="C7" s="12" t="n">
        <v>0.0</v>
      </c>
      <c r="D7" s="12" t="n">
        <v>697.890619</v>
      </c>
      <c r="E7" s="12" t="n">
        <v>880.080427</v>
      </c>
      <c r="F7" s="12" t="n">
        <v>1124.296345</v>
      </c>
      <c r="G7" s="12" t="n">
        <v>3641.585083</v>
      </c>
      <c r="H7" s="12" t="n">
        <v>549.056737</v>
      </c>
      <c r="I7" s="12"/>
      <c r="J7" s="12">
        <f ref="J7:J14" si="0" t="shared">SUM(B7:I7)</f>
        <v>19899</v>
      </c>
      <c r="K7" s="12"/>
      <c r="L7">
        <f>$A$7</f>
        <v>1</v>
      </c>
      <c r="M7" s="430" t="n">
        <v>90819.0</v>
      </c>
      <c r="N7" s="430" t="n">
        <v>6.0</v>
      </c>
      <c r="O7" s="430" t="n">
        <v>37.0</v>
      </c>
      <c r="P7" s="430" t="n">
        <v>1413.0</v>
      </c>
      <c r="Q7" s="430" t="n">
        <v>400.0</v>
      </c>
      <c r="R7" s="430" t="n">
        <v>3964.0</v>
      </c>
      <c r="S7" s="430" t="n">
        <v>786.0</v>
      </c>
      <c r="T7" s="430"/>
      <c r="U7" s="431">
        <f ref="U7:U14" si="1" t="shared">SUM(M7:T7)</f>
        <v>25663</v>
      </c>
    </row>
    <row r="8" spans="1:21" x14ac:dyDescent="0.25">
      <c r="A8">
        <v>2</v>
      </c>
      <c r="B8" s="12" t="n">
        <v>1534.755558</v>
      </c>
      <c r="C8" s="12" t="n">
        <v>9397.551019</v>
      </c>
      <c r="D8" s="12" t="n">
        <v>0.0</v>
      </c>
      <c r="E8" s="12" t="n">
        <v>155.450841</v>
      </c>
      <c r="F8" s="12" t="n">
        <v>0.0</v>
      </c>
      <c r="G8" s="12" t="n">
        <v>942.4731419999999</v>
      </c>
      <c r="H8" s="12" t="n">
        <v>0.0</v>
      </c>
      <c r="I8" s="12"/>
      <c r="J8" s="12">
        <f si="0" t="shared"/>
        <v>34364</v>
      </c>
      <c r="K8" s="12"/>
      <c r="L8">
        <f>$A$8</f>
        <v>2</v>
      </c>
      <c r="M8" s="430" t="n">
        <v>1273.0</v>
      </c>
      <c r="N8" s="430" t="n">
        <v>9337.0</v>
      </c>
      <c r="O8" s="430" t="n">
        <v>0.0</v>
      </c>
      <c r="P8" s="430" t="n">
        <v>364.0</v>
      </c>
      <c r="Q8" s="430" t="n">
        <v>4.0</v>
      </c>
      <c r="R8" s="430" t="n">
        <v>3303.0</v>
      </c>
      <c r="S8" s="430" t="n">
        <v>20.0</v>
      </c>
      <c r="T8" s="430"/>
      <c r="U8" s="431">
        <f si="1" t="shared"/>
        <v>33759</v>
      </c>
    </row>
    <row r="9" spans="1:21" x14ac:dyDescent="0.25">
      <c r="A9">
        <v>3</v>
      </c>
      <c r="B9" s="12" t="n">
        <v>543.234477</v>
      </c>
      <c r="C9" s="12" t="n">
        <v>0.0</v>
      </c>
      <c r="D9" s="12" t="n">
        <v>8440.969054</v>
      </c>
      <c r="E9" s="12" t="n">
        <v>0.0</v>
      </c>
      <c r="F9" s="12" t="n">
        <v>1374.58171</v>
      </c>
      <c r="G9" s="12" t="n">
        <v>0.0</v>
      </c>
      <c r="H9" s="12" t="n">
        <v>0.0</v>
      </c>
      <c r="I9" s="12"/>
      <c r="J9" s="12">
        <f si="0" t="shared"/>
        <v>21106</v>
      </c>
      <c r="K9" s="13"/>
      <c r="L9">
        <f>$A$9</f>
        <v>3</v>
      </c>
      <c r="M9" s="430" t="n">
        <v>4992.0</v>
      </c>
      <c r="N9" s="430" t="n">
        <v>0.0</v>
      </c>
      <c r="O9" s="430" t="n">
        <v>4692.0</v>
      </c>
      <c r="P9" s="430" t="n">
        <v>47.0</v>
      </c>
      <c r="Q9" s="430" t="n">
        <v>447.0</v>
      </c>
      <c r="R9" s="430" t="n">
        <v>84.0</v>
      </c>
      <c r="S9" s="430" t="n">
        <v>53.0</v>
      </c>
      <c r="T9" s="430"/>
      <c r="U9" s="431">
        <f si="1" t="shared"/>
        <v>22915</v>
      </c>
    </row>
    <row r="10" spans="1:21" x14ac:dyDescent="0.25">
      <c r="A10">
        <v>4</v>
      </c>
      <c r="B10" s="12" t="n">
        <v>2496.556437</v>
      </c>
      <c r="C10" s="12" t="n">
        <v>0.0</v>
      </c>
      <c r="D10" s="12" t="n">
        <v>0.0</v>
      </c>
      <c r="E10" s="12" t="n">
        <v>31330.45454</v>
      </c>
      <c r="F10" s="12" t="n">
        <v>367.064602</v>
      </c>
      <c r="G10" s="12" t="n">
        <v>376.42193499999996</v>
      </c>
      <c r="H10" s="12" t="n">
        <v>1673.148655</v>
      </c>
      <c r="I10" s="12"/>
      <c r="J10" s="12">
        <f si="0" t="shared"/>
        <v>11020</v>
      </c>
      <c r="K10" s="13"/>
      <c r="L10">
        <f>$A$10</f>
        <v>4</v>
      </c>
      <c r="M10" s="430" t="n">
        <v>2103.0</v>
      </c>
      <c r="N10" s="430" t="n">
        <v>11.0</v>
      </c>
      <c r="O10" s="430" t="n">
        <v>0.0</v>
      </c>
      <c r="P10" s="430" t="n">
        <v>38322.0</v>
      </c>
      <c r="Q10" s="430" t="n">
        <v>6.0</v>
      </c>
      <c r="R10" s="430" t="n">
        <v>426.0</v>
      </c>
      <c r="S10" s="430" t="n">
        <v>156.0</v>
      </c>
      <c r="T10" s="430"/>
      <c r="U10" s="431">
        <f si="1" t="shared"/>
        <v>9391</v>
      </c>
    </row>
    <row r="11" spans="1:21" x14ac:dyDescent="0.25">
      <c r="A11">
        <v>5</v>
      </c>
      <c r="B11" s="12" t="n">
        <v>3668.052228</v>
      </c>
      <c r="C11" s="12" t="n">
        <v>0.0</v>
      </c>
      <c r="D11" s="12" t="n">
        <v>487.20826</v>
      </c>
      <c r="E11" s="12" t="n">
        <v>0.0</v>
      </c>
      <c r="F11" s="12" t="n">
        <v>18295.930383</v>
      </c>
      <c r="G11" s="12" t="n">
        <v>19.788944</v>
      </c>
      <c r="H11" s="12" t="n">
        <v>0.0</v>
      </c>
      <c r="I11" s="12"/>
      <c r="J11" s="12">
        <f si="0" t="shared"/>
        <v>83366</v>
      </c>
      <c r="K11" s="13"/>
      <c r="L11">
        <f>$A$11</f>
        <v>5</v>
      </c>
      <c r="M11" s="430" t="n">
        <v>8759.0</v>
      </c>
      <c r="N11" s="430" t="n">
        <v>0.0</v>
      </c>
      <c r="O11" s="430" t="n">
        <v>438.0</v>
      </c>
      <c r="P11" s="430" t="n">
        <v>181.0</v>
      </c>
      <c r="Q11" s="430" t="n">
        <v>16058.0</v>
      </c>
      <c r="R11" s="430" t="n">
        <v>143.0</v>
      </c>
      <c r="S11" s="430" t="n">
        <v>879.0</v>
      </c>
      <c r="T11" s="430"/>
      <c r="U11" s="431">
        <f si="1" t="shared"/>
        <v>88461</v>
      </c>
    </row>
    <row r="12" spans="1:21" x14ac:dyDescent="0.25">
      <c r="A12">
        <v>6</v>
      </c>
      <c r="B12" s="12" t="n">
        <v>4857.764024</v>
      </c>
      <c r="C12" s="12" t="n">
        <v>209.936092</v>
      </c>
      <c r="D12" s="12" t="n">
        <v>0.0</v>
      </c>
      <c r="E12" s="12" t="n">
        <v>709.669704</v>
      </c>
      <c r="F12" s="12" t="n">
        <v>0.0</v>
      </c>
      <c r="G12" s="12" t="n">
        <v>14863.047692</v>
      </c>
      <c r="H12" s="12" t="n">
        <v>0.0</v>
      </c>
      <c r="I12" s="12"/>
      <c r="J12" s="12">
        <f si="0" t="shared"/>
        <v>11194</v>
      </c>
      <c r="K12" s="13"/>
      <c r="L12">
        <f>$A$12</f>
        <v>6</v>
      </c>
      <c r="M12" s="430" t="n">
        <v>4535.0</v>
      </c>
      <c r="N12" s="430" t="n">
        <v>912.0</v>
      </c>
      <c r="O12" s="430" t="n">
        <v>1.0</v>
      </c>
      <c r="P12" s="430" t="n">
        <v>825.0</v>
      </c>
      <c r="Q12" s="430" t="n">
        <v>11.0</v>
      </c>
      <c r="R12" s="430" t="n">
        <v>25697.0</v>
      </c>
      <c r="S12" s="430" t="n">
        <v>24.0</v>
      </c>
      <c r="T12" s="430"/>
      <c r="U12" s="431">
        <f si="1" t="shared"/>
        <v>11992</v>
      </c>
    </row>
    <row r="13" spans="1:21" x14ac:dyDescent="0.25">
      <c r="A13">
        <v>7</v>
      </c>
      <c r="B13" s="12" t="n">
        <v>3154.892523</v>
      </c>
      <c r="C13" s="12" t="n">
        <v>0.0</v>
      </c>
      <c r="D13" s="12" t="n">
        <v>0.0</v>
      </c>
      <c r="E13" s="12" t="n">
        <v>1057.912597</v>
      </c>
      <c r="F13" s="12" t="n">
        <v>0.0</v>
      </c>
      <c r="G13" s="12" t="n">
        <v>136.28075</v>
      </c>
      <c r="H13" s="12" t="n">
        <v>14781.244374</v>
      </c>
      <c r="I13" s="12"/>
      <c r="J13" s="12">
        <f si="0" t="shared"/>
        <v>20375</v>
      </c>
      <c r="K13" s="13"/>
      <c r="L13">
        <v>7</v>
      </c>
      <c r="M13" s="430" t="n">
        <v>4942.0</v>
      </c>
      <c r="N13" s="430" t="n">
        <v>1.0</v>
      </c>
      <c r="O13" s="430" t="n">
        <v>3.0</v>
      </c>
      <c r="P13" s="430" t="n">
        <v>1395.0</v>
      </c>
      <c r="Q13" s="430" t="n">
        <v>124.0</v>
      </c>
      <c r="R13" s="430" t="n">
        <v>94.0</v>
      </c>
      <c r="S13" s="430" t="n">
        <v>13093.0</v>
      </c>
      <c r="T13" s="430"/>
      <c r="U13" s="431">
        <f si="1" t="shared"/>
        <v>16381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</v>
      </c>
      <c r="C15" s="16">
        <f si="2" t="shared"/>
        <v>32417</v>
      </c>
      <c r="D15" s="16">
        <f si="2" t="shared"/>
        <v>20115</v>
      </c>
      <c r="E15" s="16">
        <f si="2" t="shared"/>
        <v>10057</v>
      </c>
      <c r="F15" s="16">
        <f si="2" t="shared"/>
        <v>92213</v>
      </c>
      <c r="G15" s="16">
        <f si="2" t="shared"/>
        <v>8953</v>
      </c>
      <c r="H15" s="16">
        <f si="2" t="shared"/>
        <v>18102</v>
      </c>
      <c r="I15" s="16">
        <f si="2" t="shared"/>
        <v>0</v>
      </c>
      <c r="J15" s="16">
        <f si="2" t="shared"/>
        <v>201324</v>
      </c>
      <c r="K15" s="12"/>
      <c r="L15" s="16" t="s">
        <v>4</v>
      </c>
      <c r="M15" s="433">
        <f ref="M15:U15" si="3" t="shared">SUM(M7:M14)</f>
        <v>23807</v>
      </c>
      <c r="N15" s="433">
        <f si="3" t="shared"/>
        <v>32923</v>
      </c>
      <c r="O15" s="433">
        <f si="3" t="shared"/>
        <v>19996</v>
      </c>
      <c r="P15" s="433">
        <f si="3" t="shared"/>
        <v>7938</v>
      </c>
      <c r="Q15" s="433">
        <f si="3" t="shared"/>
        <v>99353</v>
      </c>
      <c r="R15" s="433">
        <f si="3" t="shared"/>
        <v>11676</v>
      </c>
      <c r="S15" s="433">
        <f si="3" t="shared"/>
        <v>12869</v>
      </c>
      <c r="T15" s="433">
        <f si="3" t="shared"/>
        <v>0</v>
      </c>
      <c r="U15" s="433">
        <f si="3" t="shared"/>
        <v>208562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18417.674405749032</v>
      </c>
      <c r="C20" s="12">
        <f si="4" t="shared"/>
        <v>815.06688778330567</v>
      </c>
      <c r="D20" s="12">
        <f si="4" t="shared"/>
        <v>0</v>
      </c>
      <c r="E20" s="12">
        <f si="4" t="shared"/>
        <v>0</v>
      </c>
      <c r="F20" s="12">
        <f si="4" t="shared"/>
        <v>6160.719181868436</v>
      </c>
      <c r="G20" s="12">
        <f si="4" t="shared"/>
        <v>269.53952459922607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25663</v>
      </c>
      <c r="K20" s="12"/>
      <c r="L20">
        <f>$A$7</f>
        <v>1</v>
      </c>
      <c r="M20" s="12">
        <f>M7</f>
        <v>19159</v>
      </c>
      <c r="N20" s="12">
        <f ref="N20:T20" si="6" t="shared">N7</f>
        <v>645</v>
      </c>
      <c r="O20" s="12">
        <f si="6" t="shared"/>
        <v>14</v>
      </c>
      <c r="P20" s="12">
        <f si="6" t="shared"/>
        <v>3</v>
      </c>
      <c r="Q20" s="12">
        <f si="6" t="shared"/>
        <v>4988</v>
      </c>
      <c r="R20" s="12">
        <f si="6" t="shared"/>
        <v>822</v>
      </c>
      <c r="S20" s="12">
        <f si="6" t="shared"/>
        <v>32</v>
      </c>
      <c r="T20" s="12">
        <f si="6" t="shared"/>
        <v>0</v>
      </c>
      <c r="U20" s="12">
        <f ref="U20:U25" si="7" t="shared">U7</f>
        <v>25663</v>
      </c>
    </row>
    <row r="21" spans="1:32" x14ac:dyDescent="0.25">
      <c r="A21">
        <f>$A$8</f>
        <v>2</v>
      </c>
      <c r="B21" s="12">
        <f ref="B21:G25" si="8" t="shared">IFERROR(($U8/$J8)*B8,0)</f>
        <v>402.78169014084506</v>
      </c>
      <c r="C21" s="12">
        <f si="8" t="shared"/>
        <v>28985.54577464789</v>
      </c>
      <c r="D21" s="12">
        <f si="8" t="shared"/>
        <v>357.59154929577466</v>
      </c>
      <c r="E21" s="12">
        <f si="8" t="shared"/>
        <v>0</v>
      </c>
      <c r="F21" s="12">
        <f si="8" t="shared"/>
        <v>2438.3028169014087</v>
      </c>
      <c r="G21" s="12">
        <f si="8" t="shared"/>
        <v>0</v>
      </c>
      <c r="H21" s="12">
        <f ref="H21:H27" si="9" t="shared">IFERROR(($U8/$J8)*H8,0)</f>
        <v>1574.7781690140846</v>
      </c>
      <c r="I21" s="12">
        <f>IFERROR(($U8/$J8)*I8,0)</f>
        <v>0</v>
      </c>
      <c r="J21" s="12">
        <f si="5" t="shared"/>
        <v>33759</v>
      </c>
      <c r="K21" s="12"/>
      <c r="L21">
        <f>$A$8</f>
        <v>2</v>
      </c>
      <c r="M21" s="12">
        <f ref="M21:T21" si="10" t="shared">M8</f>
        <v>632</v>
      </c>
      <c r="N21" s="12">
        <f si="10" t="shared"/>
        <v>30357</v>
      </c>
      <c r="O21" s="12">
        <f si="10" t="shared"/>
        <v>24</v>
      </c>
      <c r="P21" s="12">
        <f si="10" t="shared"/>
        <v>1</v>
      </c>
      <c r="Q21" s="12">
        <f si="10" t="shared"/>
        <v>2342</v>
      </c>
      <c r="R21" s="12">
        <f si="10" t="shared"/>
        <v>25</v>
      </c>
      <c r="S21" s="12">
        <f si="10" t="shared"/>
        <v>378</v>
      </c>
      <c r="T21" s="12">
        <f si="10" t="shared"/>
        <v>0</v>
      </c>
      <c r="U21" s="12">
        <f si="7" t="shared"/>
        <v>33759</v>
      </c>
    </row>
    <row r="22" spans="1:32" x14ac:dyDescent="0.25">
      <c r="A22">
        <f>$A$9</f>
        <v>3</v>
      </c>
      <c r="B22" s="12">
        <f si="8" t="shared"/>
        <v>17.371363593291008</v>
      </c>
      <c r="C22" s="12">
        <f si="8" t="shared"/>
        <v>0</v>
      </c>
      <c r="D22" s="12">
        <f si="8" t="shared"/>
        <v>18710.044300198995</v>
      </c>
      <c r="E22" s="12">
        <f si="8" t="shared"/>
        <v>535.25514071827922</v>
      </c>
      <c r="F22" s="12">
        <f si="8" t="shared"/>
        <v>3652.3291954894344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22915</v>
      </c>
      <c r="K22" s="13"/>
      <c r="L22">
        <f>$A$9</f>
        <v>3</v>
      </c>
      <c r="M22" s="12">
        <f ref="M22:T22" si="11" t="shared">M9</f>
        <v>32</v>
      </c>
      <c r="N22" s="12">
        <f si="11" t="shared"/>
        <v>24</v>
      </c>
      <c r="O22" s="12">
        <f si="11" t="shared"/>
        <v>17980</v>
      </c>
      <c r="P22" s="12">
        <f si="11" t="shared"/>
        <v>912</v>
      </c>
      <c r="Q22" s="12">
        <f si="11" t="shared"/>
        <v>3668</v>
      </c>
      <c r="R22" s="12">
        <f si="11" t="shared"/>
        <v>0</v>
      </c>
      <c r="S22" s="12">
        <f si="11" t="shared"/>
        <v>299</v>
      </c>
      <c r="T22" s="12">
        <f si="11" t="shared"/>
        <v>0</v>
      </c>
      <c r="U22" s="12">
        <f si="7" t="shared"/>
        <v>22915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1213.5012704174228</v>
      </c>
      <c r="E23" s="12">
        <f si="8" t="shared"/>
        <v>7586.0872958257714</v>
      </c>
      <c r="F23" s="12">
        <f si="8" t="shared"/>
        <v>591.41143375680576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9391</v>
      </c>
      <c r="K23" s="13"/>
      <c r="L23">
        <f>$A$10</f>
        <v>4</v>
      </c>
      <c r="M23" s="12">
        <f ref="M23:T23" si="12" t="shared">M10</f>
        <v>28</v>
      </c>
      <c r="N23" s="12">
        <f si="12" t="shared"/>
        <v>5</v>
      </c>
      <c r="O23" s="12">
        <f si="12" t="shared"/>
        <v>860</v>
      </c>
      <c r="P23" s="12">
        <f si="12" t="shared"/>
        <v>6836</v>
      </c>
      <c r="Q23" s="12">
        <f si="12" t="shared"/>
        <v>1647</v>
      </c>
      <c r="R23" s="12">
        <f si="12" t="shared"/>
        <v>1</v>
      </c>
      <c r="S23" s="12">
        <f si="12" t="shared"/>
        <v>14</v>
      </c>
      <c r="T23" s="12">
        <f si="12" t="shared"/>
        <v>0</v>
      </c>
      <c r="U23" s="12">
        <f si="7" t="shared"/>
        <v>9391</v>
      </c>
    </row>
    <row r="24" spans="1:32" x14ac:dyDescent="0.25">
      <c r="A24">
        <f>$A$11</f>
        <v>5</v>
      </c>
      <c r="B24" s="12">
        <f si="8" t="shared"/>
        <v>3800.9176642756038</v>
      </c>
      <c r="C24" s="12">
        <f si="8" t="shared"/>
        <v>1092.9495237866756</v>
      </c>
      <c r="D24" s="12">
        <f si="8" t="shared"/>
        <v>1160.860950507401</v>
      </c>
      <c r="E24" s="12">
        <f si="8" t="shared"/>
        <v>702.45882014250412</v>
      </c>
      <c r="F24" s="12">
        <f si="8" t="shared"/>
        <v>81208.271849435012</v>
      </c>
      <c r="G24" s="12">
        <f si="8" t="shared"/>
        <v>0</v>
      </c>
      <c r="H24" s="12">
        <f si="9" t="shared"/>
        <v>495.5411918527937</v>
      </c>
      <c r="I24" s="12">
        <f>IFERROR(($U11/$J11)*I11,0)</f>
        <v>0</v>
      </c>
      <c r="J24" s="12">
        <f si="5" t="shared"/>
        <v>88461</v>
      </c>
      <c r="K24" s="13"/>
      <c r="L24">
        <f>$A$11</f>
        <v>5</v>
      </c>
      <c r="M24" s="12">
        <f ref="M24:T24" si="13" t="shared">M11</f>
        <v>2868</v>
      </c>
      <c r="N24" s="12">
        <f si="13" t="shared"/>
        <v>1108</v>
      </c>
      <c r="O24" s="12">
        <f si="13" t="shared"/>
        <v>669</v>
      </c>
      <c r="P24" s="12">
        <f si="13" t="shared"/>
        <v>179</v>
      </c>
      <c r="Q24" s="12">
        <f si="13" t="shared"/>
        <v>82719</v>
      </c>
      <c r="R24" s="12">
        <f si="13" t="shared"/>
        <v>12</v>
      </c>
      <c r="S24" s="12">
        <f si="13" t="shared"/>
        <v>906</v>
      </c>
      <c r="T24" s="12">
        <f si="13" t="shared"/>
        <v>0</v>
      </c>
      <c r="U24" s="12">
        <f si="7" t="shared"/>
        <v>88461</v>
      </c>
    </row>
    <row r="25" spans="1:32" x14ac:dyDescent="0.25">
      <c r="A25">
        <f>$A$12</f>
        <v>6</v>
      </c>
      <c r="B25" s="12">
        <f si="8" t="shared"/>
        <v>1136.6367696980526</v>
      </c>
      <c r="C25" s="12">
        <f si="8" t="shared"/>
        <v>143.55261747364659</v>
      </c>
      <c r="D25" s="12">
        <f si="8" t="shared"/>
        <v>0</v>
      </c>
      <c r="E25" s="12">
        <f si="8" t="shared"/>
        <v>0</v>
      </c>
      <c r="F25" s="12">
        <f si="8" t="shared"/>
        <v>1344.4666785778095</v>
      </c>
      <c r="G25" s="12">
        <f si="8" t="shared"/>
        <v>9367.3439342504917</v>
      </c>
      <c r="H25" s="12">
        <f si="9" t="shared"/>
        <v>0</v>
      </c>
      <c r="I25" s="12">
        <f>IFERROR(($U12/$J12)*I12,0)</f>
        <v>0</v>
      </c>
      <c r="J25" s="12">
        <f si="5" t="shared"/>
        <v>11992</v>
      </c>
      <c r="K25" s="13"/>
      <c r="L25">
        <f>$A$12</f>
        <v>6</v>
      </c>
      <c r="M25" s="12">
        <f ref="M25:U26" si="14" t="shared">M12</f>
        <v>985</v>
      </c>
      <c r="N25" s="12">
        <f si="14" t="shared"/>
        <v>39</v>
      </c>
      <c r="O25" s="12">
        <f si="14" t="shared"/>
        <v>1</v>
      </c>
      <c r="P25" s="12">
        <f si="14" t="shared"/>
        <v>0</v>
      </c>
      <c r="Q25" s="12">
        <f si="14" t="shared"/>
        <v>149</v>
      </c>
      <c r="R25" s="12">
        <f si="14" t="shared"/>
        <v>10816</v>
      </c>
      <c r="S25" s="12">
        <f si="14" t="shared"/>
        <v>2</v>
      </c>
      <c r="T25" s="12">
        <f si="14" t="shared"/>
        <v>0</v>
      </c>
      <c r="U25" s="12">
        <f si="7" t="shared"/>
        <v>11992</v>
      </c>
    </row>
    <row r="26" spans="1:32" x14ac:dyDescent="0.25">
      <c r="A26">
        <v>7</v>
      </c>
      <c r="B26" s="12">
        <f>IFERROR(($U13/$J13)*B13,0)</f>
        <v>94.065128834355832</v>
      </c>
      <c r="C26" s="12">
        <f ref="C26:J26" si="15" t="shared">IFERROR(($U13/$J13)*C13,0)</f>
        <v>897.23661349693248</v>
      </c>
      <c r="D26" s="12">
        <f si="15" t="shared"/>
        <v>0</v>
      </c>
      <c r="E26" s="12">
        <f si="15" t="shared"/>
        <v>0</v>
      </c>
      <c r="F26" s="12">
        <f si="15" t="shared"/>
        <v>2500.3636809815953</v>
      </c>
      <c r="G26" s="12">
        <f si="15" t="shared"/>
        <v>0</v>
      </c>
      <c r="H26" s="12">
        <f si="9" t="shared"/>
        <v>12889.334576687117</v>
      </c>
      <c r="I26" s="12">
        <f si="15" t="shared"/>
        <v>0</v>
      </c>
      <c r="J26" s="12">
        <f si="15" t="shared"/>
        <v>16381</v>
      </c>
      <c r="K26" s="13"/>
      <c r="L26">
        <v>7</v>
      </c>
      <c r="M26" s="12">
        <f si="14" t="shared"/>
        <v>103</v>
      </c>
      <c r="N26" s="12">
        <f si="14" t="shared"/>
        <v>745</v>
      </c>
      <c r="O26" s="12">
        <f si="14" t="shared"/>
        <v>448</v>
      </c>
      <c r="P26" s="12">
        <f si="14" t="shared"/>
        <v>7</v>
      </c>
      <c r="Q26" s="12">
        <f si="14" t="shared"/>
        <v>3840</v>
      </c>
      <c r="R26" s="12">
        <f si="14" t="shared"/>
        <v>0</v>
      </c>
      <c r="S26" s="12">
        <f si="14" t="shared"/>
        <v>11238</v>
      </c>
      <c r="T26" s="12">
        <f si="14" t="shared"/>
        <v>0</v>
      </c>
      <c r="U26" s="12">
        <f si="14" t="shared"/>
        <v>16381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15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4">
        <f si="16" t="shared"/>
        <v>0</v>
      </c>
      <c r="S27" s="14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6">
        <f ref="B28:J28" si="18" t="shared">SUM(B20:B27)</f>
        <v>23869.447022291177</v>
      </c>
      <c r="C28" s="16">
        <f si="18" t="shared"/>
        <v>31934.351417188453</v>
      </c>
      <c r="D28" s="16">
        <f si="18" t="shared"/>
        <v>21441.998070419595</v>
      </c>
      <c r="E28" s="16">
        <f si="18" t="shared"/>
        <v>8823.8012566865546</v>
      </c>
      <c r="F28" s="16">
        <f si="18" t="shared"/>
        <v>97895.864837010493</v>
      </c>
      <c r="G28" s="16">
        <f si="18" t="shared"/>
        <v>9636.8834588497175</v>
      </c>
      <c r="H28" s="490">
        <f si="18" t="shared"/>
        <v>14959.653937553996</v>
      </c>
      <c r="I28" s="16">
        <f si="18" t="shared"/>
        <v>0</v>
      </c>
      <c r="J28" s="16">
        <f si="18" t="shared"/>
        <v>208562</v>
      </c>
      <c r="K28" s="12"/>
      <c r="L28" s="16" t="s">
        <v>4</v>
      </c>
      <c r="M28" s="16">
        <f ref="M28:T28" si="19" t="shared">M15</f>
        <v>23807</v>
      </c>
      <c r="N28" s="16">
        <f si="19" t="shared"/>
        <v>32923</v>
      </c>
      <c r="O28" s="16">
        <f si="19" t="shared"/>
        <v>19996</v>
      </c>
      <c r="P28" s="16">
        <f si="19" t="shared"/>
        <v>7938</v>
      </c>
      <c r="Q28" s="16">
        <f si="19" t="shared"/>
        <v>99353</v>
      </c>
      <c r="R28" s="16">
        <f si="19" t="shared"/>
        <v>11676</v>
      </c>
      <c r="S28" s="16">
        <f si="19" t="shared"/>
        <v>12869</v>
      </c>
      <c r="T28" s="16">
        <f si="19" t="shared"/>
        <v>0</v>
      </c>
      <c r="U28" s="16">
        <f si="17" t="shared"/>
        <v>208562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7">
        <f ref="B33:I33" si="20" t="shared">IFERROR(B20/$J$28,0)</f>
        <v>8.8307910385156604E-2</v>
      </c>
      <c r="C33" s="17">
        <f si="20" t="shared"/>
        <v>3.9080316058692655E-3</v>
      </c>
      <c r="D33" s="17">
        <f si="20" t="shared"/>
        <v>0</v>
      </c>
      <c r="E33" s="17">
        <f si="20" t="shared"/>
        <v>0</v>
      </c>
      <c r="F33" s="17">
        <f si="20" t="shared"/>
        <v>2.953903003360361E-2</v>
      </c>
      <c r="G33" s="17">
        <f si="20" t="shared"/>
        <v>1.2923712114346144E-3</v>
      </c>
      <c r="H33" s="17">
        <f si="20" t="shared"/>
        <v>0</v>
      </c>
      <c r="I33" s="17">
        <f si="20" t="shared"/>
        <v>0</v>
      </c>
      <c r="J33" s="17">
        <f ref="J33:J38" si="21" t="shared">J20/$J$28</f>
        <v>0.1230473432360641</v>
      </c>
      <c r="K33" s="12"/>
      <c r="L33">
        <f>$A$7</f>
        <v>1</v>
      </c>
      <c r="M33" s="17">
        <f ref="M33:T33" si="22" t="shared">IFERROR(M20/$U$28,0)</f>
        <v>9.1862371860645761E-2</v>
      </c>
      <c r="N33" s="17">
        <f si="22" t="shared"/>
        <v>3.092605556141579E-3</v>
      </c>
      <c r="O33" s="17">
        <f si="22" t="shared"/>
        <v>6.7126322148809467E-5</v>
      </c>
      <c r="P33" s="17">
        <f si="22" t="shared"/>
        <v>1.43842118890306E-5</v>
      </c>
      <c r="Q33" s="17">
        <f si="22" t="shared"/>
        <v>2.3916149634161544E-2</v>
      </c>
      <c r="R33" s="17">
        <f si="22" t="shared"/>
        <v>3.9412740575943848E-3</v>
      </c>
      <c r="S33" s="17">
        <f si="22" t="shared"/>
        <v>1.5343159348299307E-4</v>
      </c>
      <c r="T33" s="17">
        <f si="22" t="shared"/>
        <v>0</v>
      </c>
      <c r="U33" s="17">
        <f ref="U33:U38" si="23" t="shared">U20/$U$28</f>
        <v>0.1230473432360641</v>
      </c>
      <c r="W33">
        <f>$A$7</f>
        <v>1</v>
      </c>
      <c r="X33" s="17">
        <f ref="X33:AD33" si="24" t="shared">M33-B33</f>
        <v>3.5544614754891568E-3</v>
      </c>
      <c r="Y33" s="17">
        <f si="24" t="shared"/>
        <v>-8.1542604972768655E-4</v>
      </c>
      <c r="Z33" s="17">
        <f si="24" t="shared"/>
        <v>6.7126322148809467E-5</v>
      </c>
      <c r="AA33" s="17">
        <f si="24" t="shared"/>
        <v>1.43842118890306E-5</v>
      </c>
      <c r="AB33" s="17">
        <f si="24" t="shared"/>
        <v>-5.6228803994420665E-3</v>
      </c>
      <c r="AC33" s="17">
        <f si="24" t="shared"/>
        <v>2.6489028461597706E-3</v>
      </c>
      <c r="AD33" s="17">
        <f si="24" t="shared"/>
        <v>1.5343159348299307E-4</v>
      </c>
      <c r="AE33" s="17">
        <f ref="AE33" si="25" t="shared">T33-I33</f>
        <v>0</v>
      </c>
      <c r="AF33" s="17">
        <f ref="AF33:AF41" si="26" t="shared">U33-J33</f>
        <v>0</v>
      </c>
    </row>
    <row r="34" spans="1:32" x14ac:dyDescent="0.25">
      <c r="A34">
        <f>$A$8</f>
        <v>2</v>
      </c>
      <c r="B34" s="17">
        <f ref="B34:G38" si="27" t="shared">IFERROR(B21/$J$28,0)</f>
        <v>1.9312323920025942E-3</v>
      </c>
      <c r="C34" s="17">
        <f si="27" t="shared"/>
        <v>0.13897807738057694</v>
      </c>
      <c r="D34" s="17">
        <f si="27" t="shared"/>
        <v>1.7145575382657178E-3</v>
      </c>
      <c r="E34" s="17">
        <f si="27" t="shared"/>
        <v>0</v>
      </c>
      <c r="F34" s="17">
        <f si="27" t="shared"/>
        <v>1.1691021455976681E-2</v>
      </c>
      <c r="G34" s="17">
        <f si="27" t="shared"/>
        <v>0</v>
      </c>
      <c r="H34" s="17">
        <f ref="H34:H38" si="28" t="shared">IFERROR(H21/$J$28,0)</f>
        <v>7.5506476204394114E-3</v>
      </c>
      <c r="I34" s="17">
        <f>IFERROR(I21/$J$28,0)</f>
        <v>0</v>
      </c>
      <c r="J34" s="17">
        <f si="21" t="shared"/>
        <v>0.16186553638726134</v>
      </c>
      <c r="K34" s="12"/>
      <c r="L34">
        <f>$A$8</f>
        <v>2</v>
      </c>
      <c r="M34" s="17">
        <f ref="M34:R38" si="29" t="shared">IFERROR(M21/$U$28,0)</f>
        <v>3.0302739712891129E-3</v>
      </c>
      <c r="N34" s="17">
        <f si="29" t="shared"/>
        <v>0.14555384010510064</v>
      </c>
      <c r="O34" s="17">
        <f si="29" t="shared"/>
        <v>1.150736951122448E-4</v>
      </c>
      <c r="P34" s="17">
        <f si="29" t="shared"/>
        <v>4.7947372963435335E-6</v>
      </c>
      <c r="Q34" s="17">
        <f si="29" t="shared"/>
        <v>1.1229274748036555E-2</v>
      </c>
      <c r="R34" s="17">
        <f si="29" t="shared"/>
        <v>1.1986843240858833E-4</v>
      </c>
      <c r="S34" s="17">
        <f ref="S34:S38" si="30" t="shared">IFERROR(S21/$U$28,0)</f>
        <v>1.8124106980178555E-3</v>
      </c>
      <c r="T34" s="17">
        <f>IFERROR(T21/$U$28,0)</f>
        <v>0</v>
      </c>
      <c r="U34" s="17">
        <f si="23" t="shared"/>
        <v>0.16186553638726134</v>
      </c>
      <c r="W34">
        <f>$A$8</f>
        <v>2</v>
      </c>
      <c r="X34" s="17">
        <f ref="X34:X40" si="31" t="shared">M34-B34</f>
        <v>1.0990415792865187E-3</v>
      </c>
      <c r="Y34" s="17">
        <f ref="Y34:Y40" si="32" t="shared">N34-C34</f>
        <v>6.5757627245237038E-3</v>
      </c>
      <c r="Z34" s="17">
        <f ref="Z34:Z40" si="33" t="shared">O34-D34</f>
        <v>-1.5994838431534731E-3</v>
      </c>
      <c r="AA34" s="17">
        <f ref="AA34:AA40" si="34" t="shared">P34-E34</f>
        <v>4.7947372963435335E-6</v>
      </c>
      <c r="AB34" s="17">
        <f ref="AB34:AB40" si="35" t="shared">Q34-F34</f>
        <v>-4.6174670794012565E-4</v>
      </c>
      <c r="AC34" s="17">
        <f ref="AC34:AD40" si="36" t="shared">R34-G34</f>
        <v>1.1986843240858833E-4</v>
      </c>
      <c r="AD34" s="17">
        <f ref="AD34:AD38" si="37" t="shared">S34-H34</f>
        <v>-5.7382369224215557E-3</v>
      </c>
      <c r="AE34" s="17">
        <f ref="AE34:AE40" si="38" t="shared">T34-I34</f>
        <v>0</v>
      </c>
      <c r="AF34" s="17">
        <f si="26" t="shared"/>
        <v>0</v>
      </c>
    </row>
    <row r="35" spans="1:32" x14ac:dyDescent="0.25">
      <c r="A35">
        <f>$A$9</f>
        <v>3</v>
      </c>
      <c r="B35" s="17">
        <f si="27" t="shared"/>
        <v>8.3291124909096615E-5</v>
      </c>
      <c r="C35" s="17">
        <f si="27" t="shared"/>
        <v>0</v>
      </c>
      <c r="D35" s="17">
        <f si="27" t="shared"/>
        <v>8.9709747222403866E-2</v>
      </c>
      <c r="E35" s="17">
        <f si="27" t="shared"/>
        <v>2.5664077862615395E-3</v>
      </c>
      <c r="F35" s="17">
        <f si="27" t="shared"/>
        <v>1.7511959012137562E-2</v>
      </c>
      <c r="G35" s="17">
        <f si="27" t="shared"/>
        <v>0</v>
      </c>
      <c r="H35" s="17">
        <f si="28" t="shared"/>
        <v>0</v>
      </c>
      <c r="I35" s="17">
        <f>IFERROR(I22/$J$28,0)</f>
        <v>0</v>
      </c>
      <c r="J35" s="17">
        <f si="21" t="shared"/>
        <v>0.10987140514571207</v>
      </c>
      <c r="K35" s="13"/>
      <c r="L35">
        <f>$A$9</f>
        <v>3</v>
      </c>
      <c r="M35" s="17">
        <f si="29" t="shared"/>
        <v>1.5343159348299307E-4</v>
      </c>
      <c r="N35" s="17">
        <f si="29" t="shared"/>
        <v>1.150736951122448E-4</v>
      </c>
      <c r="O35" s="17">
        <f si="29" t="shared"/>
        <v>8.6209376588256725E-2</v>
      </c>
      <c r="P35" s="17">
        <f si="29" t="shared"/>
        <v>4.3728004142653022E-3</v>
      </c>
      <c r="Q35" s="17">
        <f si="29" t="shared"/>
        <v>1.758709640298808E-2</v>
      </c>
      <c r="R35" s="17">
        <f si="29" t="shared"/>
        <v>0</v>
      </c>
      <c r="S35" s="17">
        <f si="30" t="shared"/>
        <v>1.4336264516067166E-3</v>
      </c>
      <c r="T35" s="17">
        <f>IFERROR(T22/$U$28,0)</f>
        <v>0</v>
      </c>
      <c r="U35" s="17">
        <f si="23" t="shared"/>
        <v>0.10987140514571207</v>
      </c>
      <c r="W35">
        <f>$A$9</f>
        <v>3</v>
      </c>
      <c r="X35" s="17">
        <f si="31" t="shared"/>
        <v>7.0140468573896456E-5</v>
      </c>
      <c r="Y35" s="17">
        <f si="32" t="shared"/>
        <v>1.150736951122448E-4</v>
      </c>
      <c r="Z35" s="17">
        <f si="33" t="shared"/>
        <v>-3.5003706341471402E-3</v>
      </c>
      <c r="AA35" s="17">
        <f si="34" t="shared"/>
        <v>1.8063926280037627E-3</v>
      </c>
      <c r="AB35" s="17">
        <f si="35" t="shared"/>
        <v>7.5137390850518043E-5</v>
      </c>
      <c r="AC35" s="17">
        <f si="36" t="shared"/>
        <v>0</v>
      </c>
      <c r="AD35" s="17">
        <f si="37" t="shared"/>
        <v>1.4336264516067166E-3</v>
      </c>
      <c r="AE35" s="17">
        <f si="38" t="shared"/>
        <v>0</v>
      </c>
      <c r="AF35" s="17">
        <f si="26" t="shared"/>
        <v>0</v>
      </c>
    </row>
    <row r="36" spans="1:32" x14ac:dyDescent="0.25">
      <c r="A36">
        <f>$A$10</f>
        <v>4</v>
      </c>
      <c r="B36" s="17">
        <f si="27" t="shared"/>
        <v>0</v>
      </c>
      <c r="C36" s="17">
        <f si="27" t="shared"/>
        <v>0</v>
      </c>
      <c r="D36" s="17">
        <f si="27" t="shared"/>
        <v>5.8184198004306766E-3</v>
      </c>
      <c r="E36" s="17">
        <f si="27" t="shared"/>
        <v>3.6373295690613684E-2</v>
      </c>
      <c r="F36" s="17">
        <f si="27" t="shared"/>
        <v>2.8356624589177593E-3</v>
      </c>
      <c r="G36" s="17">
        <f si="27" t="shared"/>
        <v>0</v>
      </c>
      <c r="H36" s="17">
        <f si="28" t="shared"/>
        <v>0</v>
      </c>
      <c r="I36" s="17">
        <f>IFERROR(I23/$J$28,0)</f>
        <v>0</v>
      </c>
      <c r="J36" s="17">
        <f si="21" t="shared"/>
        <v>4.5027377949962123E-2</v>
      </c>
      <c r="K36" s="13"/>
      <c r="L36">
        <f>$A$10</f>
        <v>4</v>
      </c>
      <c r="M36" s="17">
        <f si="29" t="shared"/>
        <v>1.3425264429761893E-4</v>
      </c>
      <c r="N36" s="17">
        <f si="29" t="shared"/>
        <v>2.3973686481717668E-5</v>
      </c>
      <c r="O36" s="17">
        <f si="29" t="shared"/>
        <v>4.1234740748554389E-3</v>
      </c>
      <c r="P36" s="17">
        <f si="29" t="shared"/>
        <v>3.2776824157804391E-2</v>
      </c>
      <c r="Q36" s="17">
        <f si="29" t="shared"/>
        <v>7.8969323270777995E-3</v>
      </c>
      <c r="R36" s="17">
        <f si="29" t="shared"/>
        <v>4.7947372963435335E-6</v>
      </c>
      <c r="S36" s="17">
        <f si="30" t="shared"/>
        <v>6.7126322148809467E-5</v>
      </c>
      <c r="T36" s="17">
        <f>IFERROR(T23/$U$28,0)</f>
        <v>0</v>
      </c>
      <c r="U36" s="17">
        <f si="23" t="shared"/>
        <v>4.5027377949962123E-2</v>
      </c>
      <c r="W36">
        <f>$A$10</f>
        <v>4</v>
      </c>
      <c r="X36" s="17">
        <f si="31" t="shared"/>
        <v>1.3425264429761893E-4</v>
      </c>
      <c r="Y36" s="17">
        <f si="32" t="shared"/>
        <v>2.3973686481717668E-5</v>
      </c>
      <c r="Z36" s="17">
        <f si="33" t="shared"/>
        <v>-1.6949457255752377E-3</v>
      </c>
      <c r="AA36" s="17">
        <f si="34" t="shared"/>
        <v>-3.5964715328092936E-3</v>
      </c>
      <c r="AB36" s="17">
        <f si="35" t="shared"/>
        <v>5.0612698681600406E-3</v>
      </c>
      <c r="AC36" s="17">
        <f si="36" t="shared"/>
        <v>4.7947372963435335E-6</v>
      </c>
      <c r="AD36" s="17">
        <f si="37" t="shared"/>
        <v>6.7126322148809467E-5</v>
      </c>
      <c r="AE36" s="17">
        <f si="38" t="shared"/>
        <v>0</v>
      </c>
      <c r="AF36" s="17">
        <f si="26" t="shared"/>
        <v>0</v>
      </c>
    </row>
    <row r="37" spans="1:32" x14ac:dyDescent="0.25">
      <c r="A37">
        <f>$A$11</f>
        <v>5</v>
      </c>
      <c r="B37" s="17">
        <f si="27" t="shared"/>
        <v>1.8224401685233187E-2</v>
      </c>
      <c r="C37" s="17">
        <f si="27" t="shared"/>
        <v>5.2404058447208775E-3</v>
      </c>
      <c r="D37" s="17">
        <f si="27" t="shared"/>
        <v>5.5660232952666399E-3</v>
      </c>
      <c r="E37" s="17">
        <f si="27" t="shared"/>
        <v>3.3681055040827384E-3</v>
      </c>
      <c r="F37" s="17">
        <f si="27" t="shared"/>
        <v>0.38937232980809072</v>
      </c>
      <c r="G37" s="17">
        <f si="27" t="shared"/>
        <v>0</v>
      </c>
      <c r="H37" s="17">
        <f si="28" t="shared"/>
        <v>2.3759898344511161E-3</v>
      </c>
      <c r="I37" s="17">
        <f>IFERROR(I24/$J$28,0)</f>
        <v>0</v>
      </c>
      <c r="J37" s="17">
        <f si="21" t="shared"/>
        <v>0.42414725597184533</v>
      </c>
      <c r="K37" s="13"/>
      <c r="L37">
        <f>$A$11</f>
        <v>5</v>
      </c>
      <c r="M37" s="17">
        <f si="29" t="shared"/>
        <v>1.3751306565913253E-2</v>
      </c>
      <c r="N37" s="17">
        <f si="29" t="shared"/>
        <v>5.3125689243486351E-3</v>
      </c>
      <c r="O37" s="17">
        <f si="29" t="shared"/>
        <v>3.2076792512538239E-3</v>
      </c>
      <c r="P37" s="17">
        <f si="29" t="shared"/>
        <v>8.5825797604549244E-4</v>
      </c>
      <c r="Q37" s="17">
        <f si="29" t="shared"/>
        <v>0.39661587441624074</v>
      </c>
      <c r="R37" s="17">
        <f si="29" t="shared"/>
        <v>5.7536847556122398E-5</v>
      </c>
      <c r="S37" s="17">
        <f si="30" t="shared"/>
        <v>4.3440319904872408E-3</v>
      </c>
      <c r="T37" s="17">
        <f>IFERROR(T24/$U$28,0)</f>
        <v>0</v>
      </c>
      <c r="U37" s="17">
        <f si="23" t="shared"/>
        <v>0.42414725597184533</v>
      </c>
      <c r="W37">
        <f>$A$11</f>
        <v>5</v>
      </c>
      <c r="X37" s="17">
        <f si="31" t="shared"/>
        <v>-4.473095119319934E-3</v>
      </c>
      <c r="Y37" s="17">
        <f si="32" t="shared"/>
        <v>7.2163079627757601E-5</v>
      </c>
      <c r="Z37" s="17">
        <f si="33" t="shared"/>
        <v>-2.358344044012816E-3</v>
      </c>
      <c r="AA37" s="17">
        <f si="34" t="shared"/>
        <v>-2.5098475280372458E-3</v>
      </c>
      <c r="AB37" s="17">
        <f si="35" t="shared"/>
        <v>7.243544608150021E-3</v>
      </c>
      <c r="AC37" s="17">
        <f si="36" t="shared"/>
        <v>5.7536847556122398E-5</v>
      </c>
      <c r="AD37" s="17">
        <f si="37" t="shared"/>
        <v>1.9680421560361247E-3</v>
      </c>
      <c r="AE37" s="17">
        <f si="38" t="shared"/>
        <v>0</v>
      </c>
      <c r="AF37" s="17">
        <f si="26" t="shared"/>
        <v>0</v>
      </c>
    </row>
    <row r="38" spans="1:32" x14ac:dyDescent="0.25">
      <c r="A38">
        <f>$A$12</f>
        <v>6</v>
      </c>
      <c r="B38" s="17">
        <f si="27" t="shared"/>
        <v>5.4498747120666881E-3</v>
      </c>
      <c r="C38" s="17">
        <f si="27" t="shared"/>
        <v>6.8829708898862977E-4</v>
      </c>
      <c r="D38" s="17">
        <f si="27" t="shared"/>
        <v>0</v>
      </c>
      <c r="E38" s="17">
        <f si="27" t="shared"/>
        <v>0</v>
      </c>
      <c r="F38" s="17">
        <f si="27" t="shared"/>
        <v>6.4463645274681364E-3</v>
      </c>
      <c r="G38" s="17">
        <f si="27" t="shared"/>
        <v>4.49139533292282E-2</v>
      </c>
      <c r="H38" s="17">
        <f si="28" t="shared"/>
        <v>0</v>
      </c>
      <c r="I38" s="17">
        <f>IFERROR(I25/$J$28,0)</f>
        <v>0</v>
      </c>
      <c r="J38" s="17">
        <f si="21" t="shared"/>
        <v>5.7498489657751652E-2</v>
      </c>
      <c r="K38" s="13"/>
      <c r="L38">
        <f>$A$12</f>
        <v>6</v>
      </c>
      <c r="M38" s="17">
        <f si="29" t="shared"/>
        <v>4.7228162368983806E-3</v>
      </c>
      <c r="N38" s="17">
        <f si="29" t="shared"/>
        <v>1.869947545573978E-4</v>
      </c>
      <c r="O38" s="17">
        <f si="29" t="shared"/>
        <v>4.7947372963435335E-6</v>
      </c>
      <c r="P38" s="17">
        <f si="29" t="shared"/>
        <v>0</v>
      </c>
      <c r="Q38" s="17">
        <f si="29" t="shared"/>
        <v>7.1441585715518649E-4</v>
      </c>
      <c r="R38" s="17">
        <f si="29" t="shared"/>
        <v>5.1859878597251656E-2</v>
      </c>
      <c r="S38" s="17">
        <f si="30" t="shared"/>
        <v>9.589474592687067E-6</v>
      </c>
      <c r="T38" s="17">
        <f>IFERROR(T25/$U$28,0)</f>
        <v>0</v>
      </c>
      <c r="U38" s="17">
        <f si="23" t="shared"/>
        <v>5.7498489657751652E-2</v>
      </c>
      <c r="W38">
        <f>$A$12</f>
        <v>6</v>
      </c>
      <c r="X38" s="17">
        <f si="31" t="shared"/>
        <v>-7.2705847516830752E-4</v>
      </c>
      <c r="Y38" s="17">
        <f si="32" t="shared"/>
        <v>-5.0130233443123197E-4</v>
      </c>
      <c r="Z38" s="17">
        <f si="33" t="shared"/>
        <v>4.7947372963435335E-6</v>
      </c>
      <c r="AA38" s="17">
        <f si="34" t="shared"/>
        <v>0</v>
      </c>
      <c r="AB38" s="17">
        <f si="35" t="shared"/>
        <v>-5.7319486703129498E-3</v>
      </c>
      <c r="AC38" s="17">
        <f si="36" t="shared"/>
        <v>6.9459252680234562E-3</v>
      </c>
      <c r="AD38" s="17">
        <f si="37" t="shared"/>
        <v>9.589474592687067E-6</v>
      </c>
      <c r="AE38" s="17">
        <f si="38" t="shared"/>
        <v>0</v>
      </c>
      <c r="AF38" s="17">
        <f si="26" t="shared"/>
        <v>0</v>
      </c>
    </row>
    <row r="39" spans="1:32" x14ac:dyDescent="0.25">
      <c r="A39">
        <v>7</v>
      </c>
      <c r="B39" s="17">
        <f>IFERROR(B26/$J$28,0)</f>
        <v>4.510175815074454E-4</v>
      </c>
      <c r="C39" s="17">
        <f ref="C39:J39" si="39" t="shared">IFERROR(C26/$J$28,0)</f>
        <v>4.3020138543787096E-3</v>
      </c>
      <c r="D39" s="17">
        <f si="39" t="shared"/>
        <v>0</v>
      </c>
      <c r="E39" s="17">
        <f si="39" t="shared"/>
        <v>0</v>
      </c>
      <c r="F39" s="17">
        <f si="39" t="shared"/>
        <v>1.1988586995625258E-2</v>
      </c>
      <c r="G39" s="17">
        <f si="39" t="shared"/>
        <v>0</v>
      </c>
      <c r="H39" s="17">
        <f si="39" t="shared"/>
        <v>6.1800973219892009E-2</v>
      </c>
      <c r="I39" s="17">
        <f si="39" t="shared"/>
        <v>0</v>
      </c>
      <c r="J39" s="17">
        <f si="39" t="shared"/>
        <v>7.8542591651403426E-2</v>
      </c>
      <c r="K39" s="13"/>
      <c r="L39">
        <v>7</v>
      </c>
      <c r="M39" s="17">
        <f>IFERROR(M26/$U$28,0)</f>
        <v>4.9385794152338389E-4</v>
      </c>
      <c r="N39" s="17">
        <f ref="N39:U39" si="40" t="shared">IFERROR(N26/$U$28,0)</f>
        <v>3.5720792857759321E-3</v>
      </c>
      <c r="O39" s="17">
        <f si="40" t="shared"/>
        <v>2.1480423087619029E-3</v>
      </c>
      <c r="P39" s="17">
        <f si="40" t="shared"/>
        <v>3.3563161074404734E-5</v>
      </c>
      <c r="Q39" s="17">
        <f si="40" t="shared"/>
        <v>1.8411791217959168E-2</v>
      </c>
      <c r="R39" s="17">
        <f si="40" t="shared"/>
        <v>0</v>
      </c>
      <c r="S39" s="17">
        <f si="40" t="shared"/>
        <v>5.3883257736308629E-2</v>
      </c>
      <c r="T39" s="17">
        <f si="40" t="shared"/>
        <v>0</v>
      </c>
      <c r="U39" s="17">
        <f si="40" t="shared"/>
        <v>7.8542591651403426E-2</v>
      </c>
      <c r="W39">
        <v>7</v>
      </c>
      <c r="X39" s="17">
        <f si="31" t="shared"/>
        <v>4.2840360015938491E-5</v>
      </c>
      <c r="Y39" s="17">
        <f si="32" t="shared"/>
        <v>-7.299345686027775E-4</v>
      </c>
      <c r="Z39" s="17">
        <f si="33" t="shared"/>
        <v>2.1480423087619029E-3</v>
      </c>
      <c r="AA39" s="17">
        <f si="34" t="shared"/>
        <v>3.3563161074404734E-5</v>
      </c>
      <c r="AB39" s="17">
        <f si="35" t="shared"/>
        <v>6.42320422233391E-3</v>
      </c>
      <c r="AC39" s="17">
        <f si="36" t="shared"/>
        <v>0</v>
      </c>
      <c r="AD39" s="17">
        <f ref="AD39" si="41" t="shared">S39-H39</f>
        <v>-7.9177154835833805E-3</v>
      </c>
      <c r="AE39" s="17">
        <f si="38" t="shared"/>
        <v>0</v>
      </c>
      <c r="AF39" s="17">
        <f si="26" t="shared"/>
        <v>0</v>
      </c>
    </row>
    <row r="40" spans="1:32" x14ac:dyDescent="0.25">
      <c r="A40" s="7" t="s">
        <v>13</v>
      </c>
      <c r="B40" s="18">
        <f>IFERROR(B27/$J$28,0)</f>
        <v>0</v>
      </c>
      <c r="C40" s="18">
        <f ref="C40:I40" si="42" t="shared">IFERROR(C27/$J$28,0)</f>
        <v>0</v>
      </c>
      <c r="D40" s="18">
        <f si="42" t="shared"/>
        <v>0</v>
      </c>
      <c r="E40" s="18">
        <f si="42" t="shared"/>
        <v>0</v>
      </c>
      <c r="F40" s="18">
        <f si="42" t="shared"/>
        <v>0</v>
      </c>
      <c r="G40" s="18">
        <f si="42" t="shared"/>
        <v>0</v>
      </c>
      <c r="H40" s="18">
        <f si="42" t="shared"/>
        <v>0</v>
      </c>
      <c r="I40" s="18">
        <f si="42" t="shared"/>
        <v>0</v>
      </c>
      <c r="J40" s="18">
        <f>J27/$J$28</f>
        <v>0</v>
      </c>
      <c r="K40" s="12"/>
      <c r="L40" s="15" t="s">
        <v>13</v>
      </c>
      <c r="M40" s="18">
        <f>IFERROR(M27/$U$28,0)</f>
        <v>0</v>
      </c>
      <c r="N40" s="18">
        <f ref="N40:T40" si="43" t="shared">IFERROR(N27/$U$28,0)</f>
        <v>0</v>
      </c>
      <c r="O40" s="18">
        <f si="43" t="shared"/>
        <v>0</v>
      </c>
      <c r="P40" s="18">
        <f si="43" t="shared"/>
        <v>0</v>
      </c>
      <c r="Q40" s="18">
        <f si="43" t="shared"/>
        <v>0</v>
      </c>
      <c r="R40" s="18">
        <f si="43" t="shared"/>
        <v>0</v>
      </c>
      <c r="S40" s="18">
        <f si="43" t="shared"/>
        <v>0</v>
      </c>
      <c r="T40" s="18">
        <f si="43" t="shared"/>
        <v>0</v>
      </c>
      <c r="U40" s="18">
        <f>U27/$U$28</f>
        <v>0</v>
      </c>
      <c r="W40" s="15" t="s">
        <v>13</v>
      </c>
      <c r="X40" s="18">
        <f si="31" t="shared"/>
        <v>0</v>
      </c>
      <c r="Y40" s="18">
        <f si="32" t="shared"/>
        <v>0</v>
      </c>
      <c r="Z40" s="18">
        <f si="33" t="shared"/>
        <v>0</v>
      </c>
      <c r="AA40" s="18">
        <f si="34" t="shared"/>
        <v>0</v>
      </c>
      <c r="AB40" s="18">
        <f si="35" t="shared"/>
        <v>0</v>
      </c>
      <c r="AC40" s="18">
        <f si="36" t="shared"/>
        <v>0</v>
      </c>
      <c r="AD40" s="18">
        <f si="36" t="shared"/>
        <v>0</v>
      </c>
      <c r="AE40" s="18">
        <f si="38" t="shared"/>
        <v>0</v>
      </c>
      <c r="AF40" s="18">
        <f si="26" t="shared"/>
        <v>0</v>
      </c>
    </row>
    <row ht="15.75" r="41" spans="1:32" thickBot="1" x14ac:dyDescent="0.3">
      <c r="A41" s="1" t="s">
        <v>4</v>
      </c>
      <c r="B41" s="19">
        <f ref="B41:I41" si="44" t="shared">B28/$J$28</f>
        <v>0.11444772788087559</v>
      </c>
      <c r="C41" s="19">
        <f si="44" t="shared"/>
        <v>0.15311682577453445</v>
      </c>
      <c r="D41" s="19">
        <f si="44" t="shared"/>
        <v>0.10280874785636691</v>
      </c>
      <c r="E41" s="19">
        <f si="44" t="shared"/>
        <v>4.2307808980957963E-2</v>
      </c>
      <c r="F41" s="19">
        <f si="44" t="shared"/>
        <v>0.46938495429181964</v>
      </c>
      <c r="G41" s="19">
        <f si="44" t="shared"/>
        <v>4.6206324540662813E-2</v>
      </c>
      <c r="H41" s="19">
        <f si="44" t="shared"/>
        <v>7.1727610674782533E-2</v>
      </c>
      <c r="I41" s="19">
        <f si="44" t="shared"/>
        <v>0</v>
      </c>
      <c r="J41" s="19">
        <f>J28/$J$28</f>
        <v>1</v>
      </c>
      <c r="K41" s="12"/>
      <c r="L41" s="16" t="s">
        <v>4</v>
      </c>
      <c r="M41" s="19">
        <f ref="M41:T41" si="45" t="shared">M28/$U$28</f>
        <v>0.1141483108140505</v>
      </c>
      <c r="N41" s="19">
        <f si="45" t="shared"/>
        <v>0.15785713600751816</v>
      </c>
      <c r="O41" s="19">
        <f si="45" t="shared"/>
        <v>9.5875566977685289E-2</v>
      </c>
      <c r="P41" s="19">
        <f si="45" t="shared"/>
        <v>3.8060624658374967E-2</v>
      </c>
      <c r="Q41" s="19">
        <f si="45" t="shared"/>
        <v>0.47637153460361908</v>
      </c>
      <c r="R41" s="19">
        <f si="45" t="shared"/>
        <v>5.5983352672107092E-2</v>
      </c>
      <c r="S41" s="19">
        <f si="45" t="shared"/>
        <v>6.170347426664493E-2</v>
      </c>
      <c r="T41" s="19">
        <f si="45" t="shared"/>
        <v>0</v>
      </c>
      <c r="U41" s="19">
        <f>U28/$U$28</f>
        <v>1</v>
      </c>
      <c r="W41" s="16" t="s">
        <v>4</v>
      </c>
      <c r="X41" s="19">
        <f ref="X41:AD41" si="46" t="shared">M41-B41</f>
        <v>-2.9941706682509728E-4</v>
      </c>
      <c r="Y41" s="19">
        <f si="46" t="shared"/>
        <v>4.7403102329837132E-3</v>
      </c>
      <c r="Z41" s="19">
        <f si="46" t="shared"/>
        <v>-6.9331808786816246E-3</v>
      </c>
      <c r="AA41" s="19">
        <f si="46" t="shared"/>
        <v>-4.2471843225829961E-3</v>
      </c>
      <c r="AB41" s="19">
        <f si="46" t="shared"/>
        <v>6.9865803117994396E-3</v>
      </c>
      <c r="AC41" s="19">
        <f si="46" t="shared"/>
        <v>9.7770281314442792E-3</v>
      </c>
      <c r="AD41" s="19">
        <f si="46" t="shared"/>
        <v>-1.0024136408137603E-2</v>
      </c>
      <c r="AE41" s="19">
        <f ref="AE41" si="47" t="shared">T41-I41</f>
        <v>0</v>
      </c>
      <c r="AF41" s="19">
        <f si="26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245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N16" sqref="N1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311</v>
      </c>
    </row>
    <row r="2" spans="1:4" x14ac:dyDescent="0.25">
      <c r="A2" t="s">
        <v>251</v>
      </c>
      <c r="B2" t="s">
        <v>252</v>
      </c>
      <c r="C2" t="s">
        <v>90</v>
      </c>
      <c r="D2" t="s">
        <v>253</v>
      </c>
    </row>
    <row r="3" spans="1:4" x14ac:dyDescent="0.25">
      <c r="A3">
        <v>1</v>
      </c>
      <c r="B3" t="s">
        <v>44</v>
      </c>
      <c r="C3" t="s">
        <v>254</v>
      </c>
      <c r="D3" t="s">
        <v>45</v>
      </c>
    </row>
    <row r="4" spans="1:4" x14ac:dyDescent="0.25">
      <c r="A4">
        <v>2</v>
      </c>
      <c r="B4" t="s">
        <v>47</v>
      </c>
      <c r="C4" t="s">
        <v>254</v>
      </c>
      <c r="D4" t="s">
        <v>48</v>
      </c>
    </row>
    <row r="5" spans="1:4" x14ac:dyDescent="0.25">
      <c r="A5">
        <v>3</v>
      </c>
      <c r="B5" t="s">
        <v>50</v>
      </c>
      <c r="C5" t="s">
        <v>254</v>
      </c>
      <c r="D5" t="s">
        <v>51</v>
      </c>
    </row>
    <row r="6" spans="1:4" x14ac:dyDescent="0.25">
      <c r="A6">
        <v>4</v>
      </c>
      <c r="B6" t="s">
        <v>53</v>
      </c>
      <c r="C6" t="s">
        <v>254</v>
      </c>
      <c r="D6" t="s">
        <v>54</v>
      </c>
    </row>
    <row r="7" spans="1:4" x14ac:dyDescent="0.25">
      <c r="A7">
        <v>5</v>
      </c>
      <c r="B7" t="s">
        <v>56</v>
      </c>
      <c r="C7" t="s">
        <v>254</v>
      </c>
      <c r="D7" t="s">
        <v>57</v>
      </c>
    </row>
    <row r="8" spans="1:4" x14ac:dyDescent="0.25">
      <c r="A8">
        <v>6</v>
      </c>
      <c r="B8" t="s">
        <v>58</v>
      </c>
      <c r="C8" t="s">
        <v>254</v>
      </c>
      <c r="D8" t="s">
        <v>59</v>
      </c>
    </row>
    <row r="9" spans="1:4" x14ac:dyDescent="0.25">
      <c r="A9">
        <v>7</v>
      </c>
      <c r="B9" t="s">
        <v>60</v>
      </c>
      <c r="C9" t="s">
        <v>254</v>
      </c>
      <c r="D9" t="s">
        <v>61</v>
      </c>
    </row>
    <row r="10" spans="1:4" x14ac:dyDescent="0.25">
      <c r="A10">
        <v>8</v>
      </c>
      <c r="B10" t="s">
        <v>63</v>
      </c>
      <c r="C10" t="s">
        <v>254</v>
      </c>
      <c r="D10" t="s">
        <v>64</v>
      </c>
    </row>
    <row r="11" spans="1:4" x14ac:dyDescent="0.25">
      <c r="A11">
        <v>9</v>
      </c>
      <c r="B11" t="s">
        <v>65</v>
      </c>
      <c r="C11" t="s">
        <v>254</v>
      </c>
      <c r="D11" t="s">
        <v>66</v>
      </c>
    </row>
    <row r="12" spans="1:4" x14ac:dyDescent="0.25">
      <c r="A12">
        <v>10</v>
      </c>
      <c r="B12" t="s">
        <v>67</v>
      </c>
      <c r="C12" t="s">
        <v>254</v>
      </c>
      <c r="D12" t="s">
        <v>68</v>
      </c>
    </row>
    <row r="13" spans="1:4" x14ac:dyDescent="0.25">
      <c r="A13">
        <v>11</v>
      </c>
      <c r="B13" t="s">
        <v>69</v>
      </c>
      <c r="C13" t="s">
        <v>254</v>
      </c>
      <c r="D13" t="s">
        <v>70</v>
      </c>
    </row>
    <row r="14" spans="1:4" x14ac:dyDescent="0.25">
      <c r="A14">
        <v>12</v>
      </c>
      <c r="B14" t="s">
        <v>71</v>
      </c>
      <c r="C14" t="s">
        <v>254</v>
      </c>
      <c r="D14" t="s">
        <v>72</v>
      </c>
    </row>
    <row r="15" spans="1:4" x14ac:dyDescent="0.25">
      <c r="A15">
        <v>13</v>
      </c>
      <c r="B15" t="s">
        <v>73</v>
      </c>
      <c r="C15" t="s">
        <v>254</v>
      </c>
      <c r="D15" t="s">
        <v>74</v>
      </c>
    </row>
    <row r="16" spans="1:4" x14ac:dyDescent="0.25">
      <c r="A16">
        <v>14</v>
      </c>
      <c r="B16" t="s">
        <v>75</v>
      </c>
      <c r="C16" t="s">
        <v>254</v>
      </c>
      <c r="D16" t="s">
        <v>76</v>
      </c>
    </row>
    <row r="17" spans="1:4" x14ac:dyDescent="0.25">
      <c r="A17">
        <v>15</v>
      </c>
      <c r="B17" t="s">
        <v>77</v>
      </c>
      <c r="C17" t="s">
        <v>254</v>
      </c>
      <c r="D17" t="s">
        <v>78</v>
      </c>
    </row>
    <row r="18" spans="1:4" x14ac:dyDescent="0.25">
      <c r="A18">
        <v>16</v>
      </c>
      <c r="B18" t="s">
        <v>79</v>
      </c>
      <c r="C18" t="s">
        <v>254</v>
      </c>
      <c r="D18" t="s">
        <v>80</v>
      </c>
    </row>
    <row r="19" spans="1:4" x14ac:dyDescent="0.25">
      <c r="A19">
        <v>17</v>
      </c>
      <c r="B19" t="s">
        <v>82</v>
      </c>
      <c r="C19" t="s">
        <v>254</v>
      </c>
      <c r="D19" t="s">
        <v>83</v>
      </c>
    </row>
    <row r="20" spans="1:4" x14ac:dyDescent="0.25">
      <c r="A20">
        <v>18</v>
      </c>
      <c r="B20" t="s">
        <v>85</v>
      </c>
      <c r="C20" t="s">
        <v>254</v>
      </c>
      <c r="D20" t="s">
        <v>86</v>
      </c>
    </row>
    <row r="21" spans="1:4" x14ac:dyDescent="0.25">
      <c r="A21">
        <v>19</v>
      </c>
      <c r="B21" t="s">
        <v>88</v>
      </c>
      <c r="C21" t="s">
        <v>254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A625"/>
    </sheetView>
  </sheetViews>
  <sheetFormatPr defaultRowHeight="15" x14ac:dyDescent="0.25"/>
  <sheetData>
    <row r="1" spans="1:11" x14ac:dyDescent="0.25">
      <c r="A1" s="452" t="s">
        <v>226</v>
      </c>
      <c r="B1" s="453"/>
      <c r="C1" s="453"/>
      <c r="D1" s="453"/>
      <c r="E1" s="453"/>
      <c r="F1" s="453"/>
      <c r="G1" s="453"/>
      <c r="H1" s="453" t="s">
        <v>227</v>
      </c>
      <c r="I1" s="453"/>
      <c r="J1" s="453"/>
      <c r="K1" s="454"/>
    </row>
    <row r="2" spans="1:11" x14ac:dyDescent="0.25">
      <c r="A2" s="455">
        <v>1</v>
      </c>
      <c r="B2" s="456" t="s">
        <v>256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228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229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230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424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425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425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425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425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425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425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425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425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425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-0.37238667025</v>
      </c>
      <c r="F40" s="425"/>
    </row>
    <row r="41" spans="2:6" x14ac:dyDescent="0.25">
      <c r="B41">
        <v>31</v>
      </c>
      <c r="C41" t="s">
        <v>111</v>
      </c>
      <c r="D41" t="s">
        <v>241</v>
      </c>
      <c r="E41" s="425">
        <v>0.14322267177</v>
      </c>
      <c r="F41" s="425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425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425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425"/>
    </row>
    <row r="45" spans="2:6" x14ac:dyDescent="0.25">
      <c r="B45">
        <v>35</v>
      </c>
      <c r="C45" t="s">
        <v>120</v>
      </c>
      <c r="D45" t="s">
        <v>241</v>
      </c>
      <c r="E45" s="425">
        <v>7.5098801229999998E-2</v>
      </c>
      <c r="F45" s="425"/>
    </row>
    <row r="46" spans="2:6" x14ac:dyDescent="0.25">
      <c r="B46">
        <v>36</v>
      </c>
      <c r="C46" t="s">
        <v>122</v>
      </c>
      <c r="D46" t="s">
        <v>241</v>
      </c>
      <c r="E46" s="425">
        <v>1.1126386876900001</v>
      </c>
      <c r="F46" s="425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-0.25934246287000001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425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425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425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425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425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-0.39747668525000002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425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425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425"/>
    </row>
    <row r="67" spans="2:6" x14ac:dyDescent="0.25">
      <c r="B67">
        <v>57</v>
      </c>
      <c r="C67" t="s">
        <v>153</v>
      </c>
      <c r="D67" t="s">
        <v>241</v>
      </c>
      <c r="E67" s="425">
        <v>7.732925786E-2</v>
      </c>
      <c r="F67" s="425"/>
    </row>
    <row r="68" spans="2:6" x14ac:dyDescent="0.25">
      <c r="B68">
        <v>70</v>
      </c>
      <c r="C68" t="s">
        <v>154</v>
      </c>
      <c r="D68" t="s">
        <v>241</v>
      </c>
      <c r="E68" s="425">
        <v>0.28212328097</v>
      </c>
      <c r="F68" s="425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425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1:11" x14ac:dyDescent="0.25">
      <c r="B113">
        <v>115</v>
      </c>
      <c r="C113" t="s">
        <v>275</v>
      </c>
      <c r="D113" t="s">
        <v>241</v>
      </c>
      <c r="E113">
        <v>-0.8</v>
      </c>
    </row>
    <row r="114" spans="1:11" x14ac:dyDescent="0.25">
      <c r="B114">
        <v>116</v>
      </c>
      <c r="C114" s="425" t="s">
        <v>276</v>
      </c>
      <c r="D114" s="425" t="s">
        <v>241</v>
      </c>
      <c r="E114" s="425">
        <v>-0.8</v>
      </c>
    </row>
    <row r="115" spans="1:11" x14ac:dyDescent="0.25">
      <c r="B115">
        <v>117</v>
      </c>
      <c r="C115" t="s">
        <v>277</v>
      </c>
      <c r="D115" t="s">
        <v>241</v>
      </c>
      <c r="E115">
        <v>-0.8</v>
      </c>
    </row>
    <row r="116" spans="1:11" x14ac:dyDescent="0.25">
      <c r="B116">
        <v>118</v>
      </c>
      <c r="C116" t="s">
        <v>278</v>
      </c>
      <c r="D116" t="s">
        <v>241</v>
      </c>
      <c r="E116">
        <v>-0.8</v>
      </c>
    </row>
    <row r="117" spans="1:11" x14ac:dyDescent="0.25">
      <c r="B117">
        <v>119</v>
      </c>
      <c r="C117" t="s">
        <v>278</v>
      </c>
      <c r="D117" t="s">
        <v>241</v>
      </c>
      <c r="E117">
        <v>1</v>
      </c>
    </row>
    <row r="118" spans="1:11" x14ac:dyDescent="0.25">
      <c r="A118">
        <v>-1</v>
      </c>
    </row>
    <row r="119" spans="1:11" x14ac:dyDescent="0.25">
      <c r="B119">
        <v>6224</v>
      </c>
      <c r="C119" s="425">
        <v>-7606.4609487099997</v>
      </c>
      <c r="D119" s="425">
        <v>-24173.951410599999</v>
      </c>
      <c r="E119" s="425">
        <v>-15526.77065</v>
      </c>
    </row>
    <row r="120" spans="1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1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1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1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1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1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1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1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1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C737"/>
  <sheetViews>
    <sheetView topLeftCell="A88" workbookViewId="0" zoomScale="85" zoomScaleNormal="85">
      <selection activeCell="I50" sqref="I50"/>
    </sheetView>
  </sheetViews>
  <sheetFormatPr defaultRowHeight="15" x14ac:dyDescent="0.25"/>
  <cols>
    <col min="1" max="2" style="385" width="9.140625" collapsed="true"/>
    <col min="3" max="3" bestFit="true" customWidth="true" style="385" width="12.28515625" collapsed="true"/>
    <col min="4" max="4" bestFit="true" customWidth="true" style="385" width="12.7109375" collapsed="true"/>
    <col min="5" max="5" customWidth="true" style="384" width="18.85546875" collapsed="true"/>
    <col min="6" max="6" bestFit="true" customWidth="true" style="385" width="12.7109375" collapsed="true"/>
    <col min="7" max="7" customWidth="true" style="385" width="12.7109375" collapsed="true"/>
    <col min="8" max="9" customWidth="true" style="384" width="18.85546875" collapsed="true"/>
    <col min="10" max="10" customWidth="true" style="384" width="6.5703125" collapsed="true"/>
    <col min="11" max="11" customWidth="true" style="384" width="10.140625" collapsed="true"/>
    <col min="12" max="12" customWidth="true" style="384" width="9.85546875" collapsed="true"/>
    <col min="13" max="19" style="385" width="9.140625" collapsed="true"/>
    <col min="20" max="20" customWidth="true" style="385" width="13.0" collapsed="true"/>
    <col min="21" max="21" customWidth="true" style="387" width="19.5703125" collapsed="true"/>
    <col min="22" max="22" customWidth="true" style="423" width="19.5703125" collapsed="true"/>
    <col min="23" max="16384" style="385" width="9.140625" collapsed="true"/>
  </cols>
  <sheetData>
    <row r="1" spans="4:28" x14ac:dyDescent="0.25">
      <c r="D1" s="10" t="s">
        <v>40</v>
      </c>
      <c r="G1" s="10" t="s">
        <v>41</v>
      </c>
      <c r="S1" s="386" t="s">
        <v>257</v>
      </c>
      <c r="X1" s="386"/>
      <c r="Y1" s="386" t="s">
        <v>257</v>
      </c>
      <c r="Z1" s="410"/>
      <c r="AA1" s="410"/>
      <c r="AB1" s="410"/>
    </row>
    <row ht="15.75" r="2" spans="4:28" thickBot="1" x14ac:dyDescent="0.3">
      <c r="D2" s="386" t="s">
        <v>42</v>
      </c>
      <c r="R2" s="10" t="s">
        <v>90</v>
      </c>
      <c r="S2" s="10" t="s">
        <v>251</v>
      </c>
      <c r="T2" s="10" t="s">
        <v>252</v>
      </c>
      <c r="U2" s="461" t="s">
        <v>258</v>
      </c>
      <c r="V2" s="462" t="s">
        <v>259</v>
      </c>
      <c r="Y2" s="410"/>
      <c r="Z2" s="386" t="s">
        <v>260</v>
      </c>
      <c r="AA2"/>
      <c r="AB2" s="410"/>
    </row>
    <row r="3" spans="4:28" x14ac:dyDescent="0.25">
      <c r="D3" s="388" t="s">
        <v>3</v>
      </c>
      <c r="E3" s="389" t="s">
        <v>43</v>
      </c>
      <c r="G3" s="388" t="s">
        <v>3</v>
      </c>
      <c r="H3" s="389" t="s">
        <v>43</v>
      </c>
      <c r="I3" s="434"/>
      <c r="J3" s="434"/>
      <c r="K3" s="434"/>
      <c r="L3" s="434"/>
      <c r="M3" s="390"/>
      <c r="N3" s="390"/>
      <c r="O3" s="390"/>
      <c r="P3" s="390"/>
      <c r="Q3" s="390"/>
      <c r="R3" s="385" t="str">
        <f>VLOOKUP(S3,Coeff_Descr!$A:$D,3,FALSE)</f>
        <v>ALL</v>
      </c>
      <c r="S3" s="385">
        <f>OtherTourDestination!B11</f>
        <v>1</v>
      </c>
      <c r="T3" s="385" t="str">
        <f>OtherTourDestination!C11</f>
        <v>Beta00001</v>
      </c>
      <c r="U3" s="387">
        <f>OtherTourDestination!E11</f>
        <v>1</v>
      </c>
      <c r="V3" s="426">
        <f>_xlfn.IFNA(VLOOKUP(S3,$C$43:$E$46,3,FALSE),U3)</f>
        <v>1</v>
      </c>
      <c r="Y3">
        <v>1</v>
      </c>
      <c r="Z3" s="383" t="s">
        <v>310</v>
      </c>
      <c r="AA3"/>
      <c r="AB3" s="410"/>
    </row>
    <row r="4" spans="4:28" x14ac:dyDescent="0.25">
      <c r="D4" s="391" t="s">
        <v>46</v>
      </c>
      <c r="E4" s="392">
        <f>TLFD!B11</f>
        <v>20706.904430000002</v>
      </c>
      <c r="G4" s="391" t="s">
        <v>46</v>
      </c>
      <c r="H4" s="392">
        <f>TLFD!F11</f>
        <v>15716</v>
      </c>
      <c r="I4" s="392"/>
      <c r="J4" s="392"/>
      <c r="K4" s="392"/>
      <c r="L4" s="392"/>
      <c r="M4" s="393"/>
      <c r="N4" s="393"/>
      <c r="O4" s="393"/>
      <c r="P4" s="393"/>
      <c r="Q4" s="393"/>
      <c r="R4" s="385" t="str">
        <f>VLOOKUP(S4,Coeff_Descr!$A:$D,3,FALSE)</f>
        <v>ALL</v>
      </c>
      <c r="S4" s="385">
        <f>OtherTourDestination!B12</f>
        <v>2</v>
      </c>
      <c r="T4" s="385" t="str">
        <f>OtherTourDestination!C12</f>
        <v>Beta00002</v>
      </c>
      <c r="U4" s="387">
        <f>OtherTourDestination!E12</f>
        <v>14.646264049799999</v>
      </c>
      <c r="V4" s="426">
        <f>_xlfn.IFNA(VLOOKUP(S4,$C$43:$E$46,3,FALSE),U4)</f>
        <v>14.646264049799999</v>
      </c>
      <c r="Y4">
        <v>2</v>
      </c>
      <c r="Z4" s="383" t="s">
        <v>261</v>
      </c>
      <c r="AA4"/>
      <c r="AB4" s="410"/>
    </row>
    <row r="5" spans="4:28" x14ac:dyDescent="0.25">
      <c r="D5" s="394" t="s">
        <v>49</v>
      </c>
      <c r="E5" s="395">
        <f>TLFD!B12+TLFD!B13+(TLFD!B14/2)</f>
        <v>43603.901495500002</v>
      </c>
      <c r="G5" s="394" t="s">
        <v>49</v>
      </c>
      <c r="H5" s="395">
        <f>TLFD!F12+TLFD!F13+(TLFD!F14/2)</f>
        <v>63551</v>
      </c>
      <c r="I5" s="395"/>
      <c r="J5" s="395"/>
      <c r="K5" s="395"/>
      <c r="L5" s="395"/>
      <c r="M5" s="393"/>
      <c r="N5" s="393"/>
      <c r="O5" s="393"/>
      <c r="P5" s="393"/>
      <c r="Q5" s="393"/>
      <c r="R5" s="385" t="str">
        <f>VLOOKUP(S5,Coeff_Descr!$A:$D,3,FALSE)</f>
        <v>ALL</v>
      </c>
      <c r="S5" s="385">
        <f>OtherTourDestination!B13</f>
        <v>3</v>
      </c>
      <c r="T5" s="385" t="str">
        <f>OtherTourDestination!C13</f>
        <v>Beta00003</v>
      </c>
      <c r="U5" s="387">
        <f>OtherTourDestination!E13</f>
        <v>0.22200781244000001</v>
      </c>
      <c r="V5" s="426">
        <f ref="V5:V68" si="0" t="shared">_xlfn.IFNA(VLOOKUP(S5,$C$43:$E$46,3,FALSE),U5)</f>
        <v>0.22200781244000001</v>
      </c>
      <c r="Y5">
        <v>3</v>
      </c>
      <c r="Z5" s="410" t="s">
        <v>262</v>
      </c>
      <c r="AA5" s="410"/>
      <c r="AB5" s="410"/>
    </row>
    <row r="6" spans="4:28" x14ac:dyDescent="0.25">
      <c r="D6" s="394" t="s">
        <v>52</v>
      </c>
      <c r="E6" s="395">
        <f>(TLFD!B14/2)+SUM(TLFD!B15:B20)</f>
        <v>65974.536094499999</v>
      </c>
      <c r="G6" s="394" t="s">
        <v>52</v>
      </c>
      <c r="H6" s="395">
        <f>(TLFD!F14/2)+SUM(TLFD!F15:F20)</f>
        <v>82191</v>
      </c>
      <c r="I6" s="395"/>
      <c r="J6" s="395"/>
      <c r="K6" s="395"/>
      <c r="L6" s="395"/>
      <c r="M6" s="396"/>
      <c r="N6" s="396"/>
      <c r="O6" s="396"/>
      <c r="P6" s="396"/>
      <c r="Q6" s="396"/>
      <c r="R6" s="385" t="str">
        <f>VLOOKUP(S6,Coeff_Descr!$A:$D,3,FALSE)</f>
        <v>ALL</v>
      </c>
      <c r="S6" s="385">
        <f>OtherTourDestination!B14</f>
        <v>4</v>
      </c>
      <c r="T6" s="385" t="str">
        <f>OtherTourDestination!C14</f>
        <v>Beta00004</v>
      </c>
      <c r="U6" s="387">
        <f>OtherTourDestination!E14</f>
        <v>-2.8145955800000001E-2</v>
      </c>
      <c r="V6" s="426">
        <f si="0" t="shared"/>
        <v>-2.8145955800000001E-2</v>
      </c>
      <c r="Y6">
        <v>4</v>
      </c>
      <c r="Z6" s="410" t="s">
        <v>263</v>
      </c>
      <c r="AA6" s="410"/>
      <c r="AB6" s="410"/>
    </row>
    <row r="7" spans="4:28" x14ac:dyDescent="0.25">
      <c r="D7" s="397" t="s">
        <v>55</v>
      </c>
      <c r="E7" s="398">
        <f>SUM(TLFD!B21:B101)</f>
        <v>38794.188653000005</v>
      </c>
      <c r="G7" s="397" t="s">
        <v>55</v>
      </c>
      <c r="H7" s="398">
        <f>SUM(TLFD!F21:F101)</f>
        <v>46405</v>
      </c>
      <c r="I7" s="435"/>
      <c r="J7" s="435"/>
      <c r="K7" s="435"/>
      <c r="L7" s="435"/>
      <c r="M7" s="399"/>
      <c r="N7" s="399"/>
      <c r="O7" s="399"/>
      <c r="P7" s="399"/>
      <c r="Q7" s="399"/>
      <c r="R7" s="385" t="str">
        <f>VLOOKUP(S7,Coeff_Descr!$A:$D,3,FALSE)</f>
        <v>ALL</v>
      </c>
      <c r="S7" s="385">
        <f>OtherTourDestination!B15</f>
        <v>5</v>
      </c>
      <c r="T7" s="385" t="str">
        <f>OtherTourDestination!C15</f>
        <v>Beta00005</v>
      </c>
      <c r="U7" s="387">
        <f>OtherTourDestination!E15</f>
        <v>9.8040262330000003E-2</v>
      </c>
      <c r="V7" s="426">
        <f si="0" t="shared"/>
        <v>9.8040262330000003E-2</v>
      </c>
      <c r="Y7" s="410">
        <v>5</v>
      </c>
      <c r="Z7" s="410" t="s">
        <v>264</v>
      </c>
      <c r="AA7" s="410"/>
      <c r="AB7" s="410"/>
    </row>
    <row ht="15.75" r="8" spans="4:28" thickBot="1" x14ac:dyDescent="0.3">
      <c r="D8" s="400" t="s">
        <v>4</v>
      </c>
      <c r="E8" s="401">
        <f>SUM(E4:E7)</f>
        <v>169079.53067300003</v>
      </c>
      <c r="F8" s="402"/>
      <c r="G8" s="400" t="s">
        <v>4</v>
      </c>
      <c r="H8" s="401">
        <f>SUM(H4:H7)</f>
        <v>207863</v>
      </c>
      <c r="I8" s="436"/>
      <c r="J8" s="436"/>
      <c r="K8" s="436" t="s">
        <v>246</v>
      </c>
      <c r="L8" s="438">
        <v>1</v>
      </c>
      <c r="R8" s="385" t="str">
        <f>VLOOKUP(S8,Coeff_Descr!$A:$D,3,FALSE)</f>
        <v>ALL</v>
      </c>
      <c r="S8" s="385">
        <f>OtherTourDestination!B16</f>
        <v>6</v>
      </c>
      <c r="T8" s="385" t="str">
        <f>OtherTourDestination!C16</f>
        <v>Beta00006</v>
      </c>
      <c r="U8" s="387">
        <f>OtherTourDestination!E16</f>
        <v>0.42673478574000001</v>
      </c>
      <c r="V8" s="426">
        <f si="0" t="shared"/>
        <v>0.42673478574000001</v>
      </c>
      <c r="Y8" s="410"/>
      <c r="Z8" s="410"/>
      <c r="AA8" s="410"/>
      <c r="AB8" s="410"/>
    </row>
    <row r="9" spans="4:28" x14ac:dyDescent="0.25">
      <c r="R9" s="385" t="str">
        <f>VLOOKUP(S9,Coeff_Descr!$A:$D,3,FALSE)</f>
        <v>ALL</v>
      </c>
      <c r="S9" s="385">
        <f>OtherTourDestination!B17</f>
        <v>7</v>
      </c>
      <c r="T9" s="385" t="str">
        <f>OtherTourDestination!C17</f>
        <v>Beta00007</v>
      </c>
      <c r="U9" s="387">
        <f>OtherTourDestination!E17</f>
        <v>-1.7969923454700001</v>
      </c>
      <c r="V9" s="426">
        <f si="0" t="shared"/>
        <v>-1.7969923454700001</v>
      </c>
      <c r="Y9" s="410"/>
      <c r="Z9" s="463" t="s">
        <v>265</v>
      </c>
      <c r="AA9" s="410"/>
      <c r="AB9" s="410"/>
    </row>
    <row ht="15.75" r="10" spans="4:28" thickBot="1" x14ac:dyDescent="0.3">
      <c r="D10" s="403" t="s">
        <v>62</v>
      </c>
      <c r="J10" s="439" t="s">
        <v>247</v>
      </c>
      <c r="K10" s="440"/>
      <c r="L10" s="440"/>
      <c r="M10" s="390"/>
      <c r="N10" s="390"/>
      <c r="O10" s="390"/>
      <c r="P10" s="390"/>
      <c r="Q10" s="390"/>
      <c r="R10" s="385" t="str">
        <f>VLOOKUP(S10,Coeff_Descr!$A:$D,3,FALSE)</f>
        <v>ALL</v>
      </c>
      <c r="S10" s="385">
        <f>OtherTourDestination!B18</f>
        <v>8</v>
      </c>
      <c r="T10" s="385" t="str">
        <f>OtherTourDestination!C18</f>
        <v>Beta00008</v>
      </c>
      <c r="U10" s="387">
        <f>OtherTourDestination!E18</f>
        <v>1.4351261662999999</v>
      </c>
      <c r="V10" s="426">
        <f si="0" t="shared"/>
        <v>1.4351261662999999</v>
      </c>
      <c r="Y10" s="410">
        <v>1</v>
      </c>
      <c r="Z10" s="383" t="s">
        <v>310</v>
      </c>
      <c r="AA10" s="410"/>
      <c r="AB10" s="410"/>
    </row>
    <row r="11" spans="4:28" x14ac:dyDescent="0.25">
      <c r="D11" s="388" t="s">
        <v>3</v>
      </c>
      <c r="E11" s="389" t="s">
        <v>43</v>
      </c>
      <c r="G11" s="388" t="s">
        <v>3</v>
      </c>
      <c r="H11" s="389" t="s">
        <v>43</v>
      </c>
      <c r="I11" s="434"/>
      <c r="J11" s="389" t="s">
        <v>248</v>
      </c>
      <c r="K11" s="389" t="s">
        <v>249</v>
      </c>
      <c r="L11" s="389" t="s">
        <v>250</v>
      </c>
      <c r="M11" s="404"/>
      <c r="N11" s="404"/>
      <c r="O11" s="404"/>
      <c r="P11" s="404"/>
      <c r="Q11" s="404"/>
      <c r="R11" s="385" t="str">
        <f>VLOOKUP(S11,Coeff_Descr!$A:$D,3,FALSE)</f>
        <v>ALL</v>
      </c>
      <c r="S11" s="385">
        <f>OtherTourDestination!B19</f>
        <v>9</v>
      </c>
      <c r="T11" s="385" t="str">
        <f>OtherTourDestination!C19</f>
        <v>Beta00009</v>
      </c>
      <c r="U11" s="387">
        <f>OtherTourDestination!E19</f>
        <v>0.75752967669000004</v>
      </c>
      <c r="V11" s="426">
        <f si="0" t="shared"/>
        <v>0.75752967669000004</v>
      </c>
      <c r="Y11" s="410">
        <v>2</v>
      </c>
      <c r="Z11" s="410" t="s">
        <v>266</v>
      </c>
      <c r="AA11" s="410"/>
      <c r="AB11" s="410"/>
    </row>
    <row r="12" spans="4:28" x14ac:dyDescent="0.25">
      <c r="D12" s="391" t="s">
        <v>46</v>
      </c>
      <c r="E12" s="405">
        <f>E4/E$8</f>
        <v>0.12246842860030865</v>
      </c>
      <c r="G12" s="391" t="s">
        <v>46</v>
      </c>
      <c r="H12" s="405">
        <f>H4/H$8</f>
        <v>7.5607491472748881E-2</v>
      </c>
      <c r="I12" s="405"/>
      <c r="J12" s="441">
        <f>E12/H12</f>
        <v>1.6197922482912928</v>
      </c>
      <c r="K12" s="442">
        <f>LN(J12)</f>
        <v>0.48229789922511229</v>
      </c>
      <c r="L12" s="442">
        <f>L8*K12</f>
        <v>0.48229789922511229</v>
      </c>
      <c r="M12" s="404"/>
      <c r="N12" s="404"/>
      <c r="O12" s="404"/>
      <c r="P12" s="404"/>
      <c r="Q12" s="404"/>
      <c r="R12" s="385" t="str">
        <f>VLOOKUP(S12,Coeff_Descr!$A:$D,3,FALSE)</f>
        <v>ALL</v>
      </c>
      <c r="S12" s="385">
        <f>OtherTourDestination!B20</f>
        <v>10</v>
      </c>
      <c r="T12" s="385" t="str">
        <f>OtherTourDestination!C20</f>
        <v>Beta00010</v>
      </c>
      <c r="U12" s="387">
        <f>OtherTourDestination!E20</f>
        <v>-0.30290505894999997</v>
      </c>
      <c r="V12" s="426">
        <f si="0" t="shared"/>
        <v>-0.30290505894999997</v>
      </c>
      <c r="Y12" s="410">
        <v>3</v>
      </c>
      <c r="Z12" s="410" t="s">
        <v>267</v>
      </c>
      <c r="AA12" s="410"/>
      <c r="AB12" s="410"/>
    </row>
    <row r="13" spans="4:28" x14ac:dyDescent="0.25">
      <c r="D13" s="394" t="s">
        <v>49</v>
      </c>
      <c r="E13" s="406">
        <f ref="E13:E16" si="1" t="shared">E5/E$8</f>
        <v>0.25788988958001063</v>
      </c>
      <c r="G13" s="394" t="s">
        <v>49</v>
      </c>
      <c r="H13" s="406">
        <f ref="H13:H16" si="2" t="shared">H5/H$8</f>
        <v>0.30573502739785341</v>
      </c>
      <c r="I13" s="406"/>
      <c r="J13" s="441">
        <f>E13/H13</f>
        <v>0.84350783021147968</v>
      </c>
      <c r="K13" s="442">
        <f>LN(J13)</f>
        <v>-0.17018609403803941</v>
      </c>
      <c r="L13" s="442">
        <f>L8*(K13-K12)</f>
        <v>-0.65248399326315165</v>
      </c>
      <c r="M13" s="404"/>
      <c r="N13" s="404"/>
      <c r="O13" s="404"/>
      <c r="P13" s="404"/>
      <c r="Q13" s="404"/>
      <c r="R13" s="385" t="str">
        <f>VLOOKUP(S13,Coeff_Descr!$A:$D,3,FALSE)</f>
        <v>ALL</v>
      </c>
      <c r="S13" s="385">
        <f>OtherTourDestination!B21</f>
        <v>11</v>
      </c>
      <c r="T13" s="385" t="str">
        <f>OtherTourDestination!C21</f>
        <v>Beta00011</v>
      </c>
      <c r="U13" s="387">
        <f>OtherTourDestination!E21</f>
        <v>-0.87303985647000004</v>
      </c>
      <c r="V13" s="426">
        <f si="0" t="shared"/>
        <v>-0.87303985647000004</v>
      </c>
      <c r="Y13" s="410">
        <v>4</v>
      </c>
      <c r="Z13" s="410" t="s">
        <v>268</v>
      </c>
      <c r="AA13" s="410"/>
      <c r="AB13" s="410"/>
    </row>
    <row r="14" spans="4:28" x14ac:dyDescent="0.25">
      <c r="D14" s="394" t="s">
        <v>52</v>
      </c>
      <c r="E14" s="406">
        <f si="1" t="shared"/>
        <v>0.39019824476621484</v>
      </c>
      <c r="G14" s="394" t="s">
        <v>52</v>
      </c>
      <c r="H14" s="406">
        <f si="2" t="shared"/>
        <v>0.39540947643399738</v>
      </c>
      <c r="I14" s="406"/>
      <c r="J14" s="441">
        <f ref="J14:J15" si="3" t="shared">E14/H14</f>
        <v>0.98682067077708902</v>
      </c>
      <c r="K14" s="442">
        <f ref="K14:K15" si="4" t="shared">LN(J14)</f>
        <v>-1.3266947265125784E-2</v>
      </c>
      <c r="L14" s="442">
        <f>L8*(K14-K13-K12)</f>
        <v>-0.32537875245219866</v>
      </c>
      <c r="M14" s="407"/>
      <c r="N14" s="407"/>
      <c r="O14" s="407"/>
      <c r="P14" s="407"/>
      <c r="Q14" s="407"/>
      <c r="R14" s="385" t="str">
        <f>VLOOKUP(S14,Coeff_Descr!$A:$D,3,FALSE)</f>
        <v>ALL</v>
      </c>
      <c r="S14" s="385">
        <f>OtherTourDestination!B22</f>
        <v>12</v>
      </c>
      <c r="T14" s="385" t="str">
        <f>OtherTourDestination!C22</f>
        <v>Beta00012</v>
      </c>
      <c r="U14" s="387">
        <f>OtherTourDestination!E22</f>
        <v>-1.0505382935000001</v>
      </c>
      <c r="V14" s="426">
        <f si="0" t="shared"/>
        <v>-1.0505382935000001</v>
      </c>
      <c r="Y14" s="410">
        <v>5</v>
      </c>
      <c r="Z14" s="383" t="s">
        <v>269</v>
      </c>
      <c r="AA14" s="410"/>
      <c r="AB14" s="410"/>
    </row>
    <row ht="15.75" r="15" spans="4:28" thickBot="1" x14ac:dyDescent="0.3">
      <c r="D15" s="397" t="s">
        <v>55</v>
      </c>
      <c r="E15" s="406">
        <f si="1" t="shared"/>
        <v>0.2294434370534657</v>
      </c>
      <c r="G15" s="397" t="s">
        <v>55</v>
      </c>
      <c r="H15" s="406">
        <f si="2" t="shared"/>
        <v>0.22324800469540035</v>
      </c>
      <c r="I15" s="406"/>
      <c r="J15" s="443">
        <f si="3" t="shared"/>
        <v>1.0277513448172511</v>
      </c>
      <c r="K15" s="444">
        <f si="4" t="shared"/>
        <v>2.7373255301198544E-2</v>
      </c>
      <c r="L15" s="444">
        <f>L8*(K15-K14-K13-K12)</f>
        <v>-0.27147160262074854</v>
      </c>
      <c r="R15" s="385" t="str">
        <f>VLOOKUP(S15,Coeff_Descr!$A:$D,3,FALSE)</f>
        <v>ALL</v>
      </c>
      <c r="S15" s="385">
        <f>OtherTourDestination!B23</f>
        <v>13</v>
      </c>
      <c r="T15" s="385" t="str">
        <f>OtherTourDestination!C23</f>
        <v>Beta00013</v>
      </c>
      <c r="U15" s="387">
        <f>OtherTourDestination!E23</f>
        <v>-0.48292853740000002</v>
      </c>
      <c r="V15" s="426">
        <f si="0" t="shared"/>
        <v>-0.48292853740000002</v>
      </c>
      <c r="Y15" s="410">
        <v>6</v>
      </c>
      <c r="Z15" s="410" t="s">
        <v>270</v>
      </c>
      <c r="AA15" s="410"/>
      <c r="AB15" s="410"/>
    </row>
    <row ht="15.75" r="16" spans="4:28" thickBot="1" x14ac:dyDescent="0.3">
      <c r="D16" s="400" t="s">
        <v>4</v>
      </c>
      <c r="E16" s="408">
        <f si="1" t="shared"/>
        <v>1</v>
      </c>
      <c r="F16" s="402"/>
      <c r="G16" s="400" t="s">
        <v>4</v>
      </c>
      <c r="H16" s="408">
        <f si="2" t="shared"/>
        <v>1</v>
      </c>
      <c r="I16" s="437"/>
      <c r="J16" s="441"/>
      <c r="K16" s="441"/>
      <c r="L16" s="441"/>
      <c r="R16" s="385" t="str">
        <f>VLOOKUP(S16,Coeff_Descr!$A:$D,3,FALSE)</f>
        <v>ALL</v>
      </c>
      <c r="S16" s="385">
        <f>OtherTourDestination!B24</f>
        <v>14</v>
      </c>
      <c r="T16" s="385" t="str">
        <f>OtherTourDestination!C24</f>
        <v>Beta00014</v>
      </c>
      <c r="U16" s="387">
        <f>OtherTourDestination!E24</f>
        <v>-0.23954858711999999</v>
      </c>
      <c r="V16" s="426">
        <f si="0" t="shared"/>
        <v>-0.23954858711999999</v>
      </c>
      <c r="Y16" s="410">
        <v>7</v>
      </c>
      <c r="Z16" s="410" t="s">
        <v>263</v>
      </c>
      <c r="AA16" s="410"/>
      <c r="AB16" s="410"/>
    </row>
    <row r="17" spans="3:28" x14ac:dyDescent="0.25">
      <c r="R17" s="385" t="str">
        <f>VLOOKUP(S17,Coeff_Descr!$A:$D,3,FALSE)</f>
        <v>ALL</v>
      </c>
      <c r="S17" s="385">
        <f>OtherTourDestination!B25</f>
        <v>15</v>
      </c>
      <c r="T17" s="385" t="str">
        <f>OtherTourDestination!C25</f>
        <v>Beta00015</v>
      </c>
      <c r="U17" s="387">
        <f>OtherTourDestination!E25</f>
        <v>1.8108489737</v>
      </c>
      <c r="V17" s="426">
        <f si="0" t="shared"/>
        <v>1.8108489737</v>
      </c>
      <c r="Y17" s="410">
        <v>8</v>
      </c>
      <c r="Z17" s="410" t="s">
        <v>271</v>
      </c>
      <c r="AA17" s="410"/>
      <c r="AB17" s="410"/>
    </row>
    <row r="18" spans="3:28" x14ac:dyDescent="0.25">
      <c r="J18" s="445"/>
      <c r="K18" s="445"/>
      <c r="L18" s="442"/>
      <c r="R18" s="385" t="str">
        <f>VLOOKUP(S18,Coeff_Descr!$A:$D,3,FALSE)</f>
        <v>ALL</v>
      </c>
      <c r="S18" s="385">
        <f>OtherTourDestination!B26</f>
        <v>16</v>
      </c>
      <c r="T18" s="385" t="str">
        <f>OtherTourDestination!C26</f>
        <v>Beta00016</v>
      </c>
      <c r="U18" s="387">
        <f>OtherTourDestination!E26</f>
        <v>0.83658874170999997</v>
      </c>
      <c r="V18" s="426">
        <f si="0" t="shared"/>
        <v>0.83658874170999997</v>
      </c>
    </row>
    <row r="19" spans="3:28" x14ac:dyDescent="0.25">
      <c r="D19" s="409" t="s">
        <v>81</v>
      </c>
      <c r="J19" s="445"/>
      <c r="K19" s="445"/>
      <c r="L19" s="442"/>
      <c r="R19" s="385" t="str">
        <f>VLOOKUP(S19,Coeff_Descr!$A:$D,3,FALSE)</f>
        <v>ALL</v>
      </c>
      <c r="S19" s="385">
        <f>OtherTourDestination!B27</f>
        <v>17</v>
      </c>
      <c r="T19" s="385" t="str">
        <f>OtherTourDestination!C27</f>
        <v>Beta00017</v>
      </c>
      <c r="U19" s="387">
        <f>OtherTourDestination!E27</f>
        <v>0</v>
      </c>
      <c r="V19" s="426">
        <f si="0" t="shared"/>
        <v>0</v>
      </c>
    </row>
    <row r="20" spans="3:28" x14ac:dyDescent="0.25">
      <c r="D20" s="409" t="s">
        <v>84</v>
      </c>
      <c r="J20" s="445"/>
      <c r="K20" s="445"/>
      <c r="L20" s="442"/>
      <c r="R20" s="385" t="str">
        <f>VLOOKUP(S20,Coeff_Descr!$A:$D,3,FALSE)</f>
        <v>ALL</v>
      </c>
      <c r="S20" s="385">
        <f>OtherTourDestination!B28</f>
        <v>18</v>
      </c>
      <c r="T20" s="385" t="str">
        <f>OtherTourDestination!C28</f>
        <v>Beta00018</v>
      </c>
      <c r="U20" s="387">
        <f>OtherTourDestination!E28</f>
        <v>0</v>
      </c>
      <c r="V20" s="426">
        <f si="0" t="shared"/>
        <v>0</v>
      </c>
    </row>
    <row ht="15.75" r="21" spans="3:28" thickBot="1" x14ac:dyDescent="0.3">
      <c r="D21" s="410"/>
      <c r="J21" s="445"/>
      <c r="K21" s="445"/>
      <c r="L21" s="442"/>
      <c r="R21" s="385" t="str">
        <f>VLOOKUP(S21,Coeff_Descr!$A:$D,3,FALSE)</f>
        <v>ALL</v>
      </c>
      <c r="S21" s="385">
        <f>OtherTourDestination!B29</f>
        <v>19</v>
      </c>
      <c r="T21" s="385" t="str">
        <f>OtherTourDestination!C29</f>
        <v>Beta00019</v>
      </c>
      <c r="U21" s="387">
        <f>OtherTourDestination!E29</f>
        <v>0</v>
      </c>
      <c r="V21" s="426">
        <f si="0" t="shared"/>
        <v>0</v>
      </c>
    </row>
    <row r="22" spans="3:28" x14ac:dyDescent="0.25">
      <c r="C22" s="447" t="s">
        <v>251</v>
      </c>
      <c r="D22" s="411" t="s">
        <v>90</v>
      </c>
      <c r="E22" s="412"/>
      <c r="R22" s="385" t="str">
        <f>VLOOKUP(S22,Coeff_Descr!$A:$D,3,FALSE)</f>
        <v>ESCORT</v>
      </c>
      <c r="S22" s="385">
        <f>OtherTourDestination!B30</f>
        <v>20</v>
      </c>
      <c r="T22" s="385" t="str">
        <f>OtherTourDestination!C30</f>
        <v>Beta00020</v>
      </c>
      <c r="U22" s="387">
        <f>OtherTourDestination!E30</f>
        <v>0.62608089853000004</v>
      </c>
      <c r="V22" s="426">
        <f si="0" t="shared"/>
        <v>0.62608089853000004</v>
      </c>
    </row>
    <row r="23" spans="3:28" x14ac:dyDescent="0.25">
      <c r="C23" s="448">
        <v>27</v>
      </c>
      <c r="D23" s="391" t="s">
        <v>46</v>
      </c>
      <c r="E23" s="465">
        <f>VLOOKUP($C23,$S:$U,3,FALSE)</f>
        <v>-9.2935231723499996</v>
      </c>
      <c r="J23" s="446"/>
      <c r="K23" s="446"/>
      <c r="L23" s="446"/>
      <c r="R23" s="385" t="str">
        <f>VLOOKUP(S23,Coeff_Descr!$A:$D,3,FALSE)</f>
        <v>ESCORT</v>
      </c>
      <c r="S23" s="385">
        <f>OtherTourDestination!B31</f>
        <v>21</v>
      </c>
      <c r="T23" s="385" t="str">
        <f>OtherTourDestination!C31</f>
        <v>Beta00021</v>
      </c>
      <c r="U23" s="387">
        <f>OtherTourDestination!E31</f>
        <v>-8.6146833141499997</v>
      </c>
      <c r="V23" s="426">
        <f si="0" t="shared"/>
        <v>-8.6146833141499997</v>
      </c>
    </row>
    <row r="24" spans="3:28" x14ac:dyDescent="0.25">
      <c r="C24" s="448">
        <v>28</v>
      </c>
      <c r="D24" s="394" t="s">
        <v>49</v>
      </c>
      <c r="E24" s="465">
        <f ref="E24:E26" si="5" t="shared">VLOOKUP($C24,$S:$U,3,FALSE)</f>
        <v>-3.4981009168599999</v>
      </c>
      <c r="R24" s="385" t="str">
        <f>VLOOKUP(S24,Coeff_Descr!$A:$D,3,FALSE)</f>
        <v>ESCORT</v>
      </c>
      <c r="S24" s="385">
        <f>OtherTourDestination!B32</f>
        <v>22</v>
      </c>
      <c r="T24" s="385" t="str">
        <f>OtherTourDestination!C32</f>
        <v>Beta00022</v>
      </c>
      <c r="U24" s="387">
        <f>OtherTourDestination!E32</f>
        <v>-4.7070055634400001</v>
      </c>
      <c r="V24" s="426">
        <f si="0" t="shared"/>
        <v>-4.7070055634400001</v>
      </c>
    </row>
    <row r="25" spans="3:28" x14ac:dyDescent="0.25">
      <c r="C25" s="448">
        <v>29</v>
      </c>
      <c r="D25" s="394" t="s">
        <v>52</v>
      </c>
      <c r="E25" s="465">
        <f si="5" t="shared"/>
        <v>-3.66532113402</v>
      </c>
      <c r="R25" s="385" t="str">
        <f>VLOOKUP(S25,Coeff_Descr!$A:$D,3,FALSE)</f>
        <v>ESCORT</v>
      </c>
      <c r="S25" s="385">
        <f>OtherTourDestination!B33</f>
        <v>23</v>
      </c>
      <c r="T25" s="385" t="str">
        <f>OtherTourDestination!C33</f>
        <v>Beta00023</v>
      </c>
      <c r="U25" s="387">
        <f>OtherTourDestination!E33</f>
        <v>-4.09326880388</v>
      </c>
      <c r="V25" s="426">
        <f si="0" t="shared"/>
        <v>-4.09326880388</v>
      </c>
    </row>
    <row ht="15.75" r="26" spans="3:28" thickBot="1" x14ac:dyDescent="0.3">
      <c r="C26" s="449">
        <v>30</v>
      </c>
      <c r="D26" s="414" t="s">
        <v>55</v>
      </c>
      <c r="E26" s="466">
        <f si="5" t="shared"/>
        <v>-0.37238667025</v>
      </c>
      <c r="R26" s="385" t="str">
        <f>VLOOKUP(S26,Coeff_Descr!$A:$D,3,FALSE)</f>
        <v>ESCORT</v>
      </c>
      <c r="S26" s="385">
        <f>OtherTourDestination!B34</f>
        <v>24</v>
      </c>
      <c r="T26" s="385" t="str">
        <f>OtherTourDestination!C34</f>
        <v>Beta00024</v>
      </c>
      <c r="U26" s="387">
        <f>OtherTourDestination!E34</f>
        <v>0.20798702908</v>
      </c>
      <c r="V26" s="426">
        <f si="0" t="shared"/>
        <v>0.20798702908</v>
      </c>
    </row>
    <row r="27" spans="3:28" x14ac:dyDescent="0.25">
      <c r="D27" s="410"/>
      <c r="E27" s="416"/>
      <c r="R27" s="385" t="str">
        <f>VLOOKUP(S27,Coeff_Descr!$A:$D,3,FALSE)</f>
        <v>ESCORT</v>
      </c>
      <c r="S27" s="385">
        <f>OtherTourDestination!B35</f>
        <v>25</v>
      </c>
      <c r="T27" s="385" t="str">
        <f>OtherTourDestination!C35</f>
        <v>Beta00025</v>
      </c>
      <c r="U27" s="387">
        <f>OtherTourDestination!E35</f>
        <v>-0.13975410125000001</v>
      </c>
      <c r="V27" s="426">
        <f si="0" t="shared"/>
        <v>-0.13975410125000001</v>
      </c>
    </row>
    <row r="28" spans="3:28" x14ac:dyDescent="0.25">
      <c r="D28" s="410"/>
      <c r="E28" s="416"/>
      <c r="R28" s="385" t="str">
        <f>VLOOKUP(S28,Coeff_Descr!$A:$D,3,FALSE)</f>
        <v>PERSBUS/MED</v>
      </c>
      <c r="S28" s="385">
        <f>OtherTourDestination!B36</f>
        <v>26</v>
      </c>
      <c r="T28" s="385" t="str">
        <f>OtherTourDestination!C36</f>
        <v>Beta00026</v>
      </c>
      <c r="U28" s="387">
        <f>OtherTourDestination!E36</f>
        <v>0.83837490119000002</v>
      </c>
      <c r="V28" s="426">
        <f si="0" t="shared"/>
        <v>0.83837490119000002</v>
      </c>
    </row>
    <row r="29" spans="3:28" x14ac:dyDescent="0.25">
      <c r="D29" s="409" t="s">
        <v>81</v>
      </c>
      <c r="E29" s="417"/>
      <c r="R29" s="385" t="str">
        <f>VLOOKUP(S29,Coeff_Descr!$A:$D,3,FALSE)</f>
        <v>PERSBUS/MED</v>
      </c>
      <c r="S29" s="427">
        <f>OtherTourDestination!B37</f>
        <v>27</v>
      </c>
      <c r="T29" s="427" t="str">
        <f>OtherTourDestination!C37</f>
        <v>Beta00027</v>
      </c>
      <c r="U29" s="428">
        <f>OtherTourDestination!E37</f>
        <v>-9.2935231723499996</v>
      </c>
      <c r="V29" s="429">
        <f si="0" t="shared"/>
        <v>-9.2935231723499996</v>
      </c>
      <c r="W29" s="385" t="str">
        <f>VLOOKUP(S29,Coeff_Descr!$A$2:$E$104,4,FALSE)</f>
        <v>distanceFromOrigin4</v>
      </c>
    </row>
    <row r="30" spans="3:28" x14ac:dyDescent="0.25">
      <c r="D30" s="409" t="s">
        <v>106</v>
      </c>
      <c r="E30" s="417"/>
      <c r="R30" s="385" t="str">
        <f>VLOOKUP(S30,Coeff_Descr!$A:$D,3,FALSE)</f>
        <v>PERSBUS/MED</v>
      </c>
      <c r="S30" s="427">
        <f>OtherTourDestination!B38</f>
        <v>28</v>
      </c>
      <c r="T30" s="427" t="str">
        <f>OtherTourDestination!C38</f>
        <v>Beta00028</v>
      </c>
      <c r="U30" s="428">
        <f>OtherTourDestination!E38</f>
        <v>-3.4981009168599999</v>
      </c>
      <c r="V30" s="429">
        <f si="0" t="shared"/>
        <v>-3.4981009168599999</v>
      </c>
      <c r="W30" s="385" t="str">
        <f>VLOOKUP(S30,Coeff_Descr!$A$2:$E$104,4,FALSE)</f>
        <v>distanceFromOrigin8</v>
      </c>
    </row>
    <row ht="15.75" r="31" spans="3:28" thickBot="1" x14ac:dyDescent="0.3">
      <c r="D31" s="410"/>
      <c r="E31" s="416"/>
      <c r="R31" s="385" t="str">
        <f>VLOOKUP(S31,Coeff_Descr!$A:$D,3,FALSE)</f>
        <v>PERSBUS/MED</v>
      </c>
      <c r="S31" s="427">
        <f>OtherTourDestination!B39</f>
        <v>29</v>
      </c>
      <c r="T31" s="427" t="str">
        <f>OtherTourDestination!C39</f>
        <v>Beta00029</v>
      </c>
      <c r="U31" s="428">
        <f>OtherTourDestination!E39</f>
        <v>-3.66532113402</v>
      </c>
      <c r="V31" s="429">
        <f si="0" t="shared"/>
        <v>-3.66532113402</v>
      </c>
      <c r="W31" s="385" t="str">
        <f>VLOOKUP(S31,Coeff_Descr!$A$2:$E$104,4,FALSE)</f>
        <v>distanceFromOrigin9</v>
      </c>
    </row>
    <row r="32" spans="3:28" x14ac:dyDescent="0.25">
      <c r="C32" s="447" t="s">
        <v>251</v>
      </c>
      <c r="D32" s="411" t="s">
        <v>90</v>
      </c>
      <c r="E32" s="412"/>
      <c r="R32" s="385" t="str">
        <f>VLOOKUP(S32,Coeff_Descr!$A:$D,3,FALSE)</f>
        <v>PERSBUS/MED</v>
      </c>
      <c r="S32" s="427">
        <f>OtherTourDestination!B40</f>
        <v>30</v>
      </c>
      <c r="T32" s="427" t="str">
        <f>OtherTourDestination!C40</f>
        <v>Beta00030</v>
      </c>
      <c r="U32" s="428">
        <f>OtherTourDestination!E40</f>
        <v>-0.37238667025</v>
      </c>
      <c r="V32" s="429">
        <f si="0" t="shared"/>
        <v>-0.32381248725225137</v>
      </c>
      <c r="W32" s="385" t="str">
        <f>VLOOKUP(S32,Coeff_Descr!$A$2:$E$104,4,FALSE)</f>
        <v>distanceFromOrigin3</v>
      </c>
    </row>
    <row r="33" spans="3:22" x14ac:dyDescent="0.25">
      <c r="C33" s="448">
        <f>C23</f>
        <v>27</v>
      </c>
      <c r="D33" s="391" t="s">
        <v>46</v>
      </c>
      <c r="E33" s="467">
        <f>L12</f>
        <v>0.48229789922511229</v>
      </c>
      <c r="R33" s="385" t="str">
        <f>VLOOKUP(S33,Coeff_Descr!$A:$D,3,FALSE)</f>
        <v>PERSBUS/MED</v>
      </c>
      <c r="S33" s="385">
        <f>OtherTourDestination!B41</f>
        <v>31</v>
      </c>
      <c r="T33" s="385" t="str">
        <f>OtherTourDestination!C41</f>
        <v>Beta00031</v>
      </c>
      <c r="U33" s="387">
        <f>OtherTourDestination!E41</f>
        <v>0.14322267177</v>
      </c>
      <c r="V33" s="426">
        <f si="0" t="shared"/>
        <v>0.14322267177</v>
      </c>
    </row>
    <row r="34" spans="3:22" x14ac:dyDescent="0.25">
      <c r="C34" s="448">
        <f ref="C34:C36" si="6" t="shared">C24</f>
        <v>28</v>
      </c>
      <c r="D34" s="394" t="s">
        <v>49</v>
      </c>
      <c r="E34" s="468">
        <f ref="E34:E36" si="7" t="shared">L13</f>
        <v>-0.65248399326315165</v>
      </c>
      <c r="R34" s="385" t="str">
        <f>VLOOKUP(S34,Coeff_Descr!$A:$D,3,FALSE)</f>
        <v>PERSBUS/MED</v>
      </c>
      <c r="S34" s="385">
        <f>OtherTourDestination!B42</f>
        <v>32</v>
      </c>
      <c r="T34" s="385" t="str">
        <f>OtherTourDestination!C42</f>
        <v>Beta00032</v>
      </c>
      <c r="U34" s="387">
        <f>OtherTourDestination!E42</f>
        <v>-0.14826541710999999</v>
      </c>
      <c r="V34" s="426">
        <f si="0" t="shared"/>
        <v>-0.14826541710999999</v>
      </c>
    </row>
    <row r="35" spans="3:22" x14ac:dyDescent="0.25">
      <c r="C35" s="448">
        <f si="6" t="shared"/>
        <v>29</v>
      </c>
      <c r="D35" s="394" t="s">
        <v>52</v>
      </c>
      <c r="E35" s="468">
        <f si="7" t="shared"/>
        <v>-0.32537875245219866</v>
      </c>
      <c r="H35" s="418"/>
      <c r="I35" s="418"/>
      <c r="J35" s="418"/>
      <c r="K35" s="418"/>
      <c r="L35" s="418"/>
      <c r="R35" s="385" t="str">
        <f>VLOOKUP(S35,Coeff_Descr!$A:$D,3,FALSE)</f>
        <v>PERSBUS/MED</v>
      </c>
      <c r="S35" s="385">
        <f>OtherTourDestination!B43</f>
        <v>33</v>
      </c>
      <c r="T35" s="385" t="str">
        <f>OtherTourDestination!C43</f>
        <v>Beta00033</v>
      </c>
      <c r="U35" s="387">
        <f>OtherTourDestination!E43</f>
        <v>0.18525614085</v>
      </c>
      <c r="V35" s="426">
        <f si="0" t="shared"/>
        <v>0.18525614085</v>
      </c>
    </row>
    <row ht="15.75" r="36" spans="3:22" thickBot="1" x14ac:dyDescent="0.3">
      <c r="C36" s="450">
        <f si="6" t="shared"/>
        <v>30</v>
      </c>
      <c r="D36" s="414" t="s">
        <v>55</v>
      </c>
      <c r="E36" s="415">
        <f si="7" t="shared"/>
        <v>-0.27147160262074854</v>
      </c>
      <c r="H36" s="419"/>
      <c r="I36" s="419"/>
      <c r="J36" s="419"/>
      <c r="K36" s="419"/>
      <c r="L36" s="419"/>
      <c r="R36" s="385" t="str">
        <f>VLOOKUP(S36,Coeff_Descr!$A:$D,3,FALSE)</f>
        <v>PERSBUS/MED</v>
      </c>
      <c r="S36" s="385">
        <f>OtherTourDestination!B44</f>
        <v>34</v>
      </c>
      <c r="T36" s="385" t="str">
        <f>OtherTourDestination!C44</f>
        <v>Beta00034</v>
      </c>
      <c r="U36" s="387">
        <f>OtherTourDestination!E44</f>
        <v>-0.10344899338999999</v>
      </c>
      <c r="V36" s="426">
        <f si="0" t="shared"/>
        <v>-0.10344899338999999</v>
      </c>
    </row>
    <row ht="15.75" r="37" spans="3:22" thickTop="1" x14ac:dyDescent="0.25">
      <c r="D37" s="410"/>
      <c r="E37" s="413"/>
      <c r="R37" s="385" t="str">
        <f>VLOOKUP(S37,Coeff_Descr!$A:$D,3,FALSE)</f>
        <v>PERSBUS/MED</v>
      </c>
      <c r="S37" s="385">
        <f>OtherTourDestination!B45</f>
        <v>35</v>
      </c>
      <c r="T37" s="385" t="str">
        <f>OtherTourDestination!C45</f>
        <v>Beta00035</v>
      </c>
      <c r="U37" s="387">
        <f>OtherTourDestination!E45</f>
        <v>7.5098801229999998E-2</v>
      </c>
      <c r="V37" s="426">
        <f si="0" t="shared"/>
        <v>7.5098801229999998E-2</v>
      </c>
    </row>
    <row r="38" spans="3:22" x14ac:dyDescent="0.25">
      <c r="D38" s="410"/>
      <c r="E38" s="413"/>
      <c r="R38" s="385" t="str">
        <f>VLOOKUP(S38,Coeff_Descr!$A:$D,3,FALSE)</f>
        <v>SHOP</v>
      </c>
      <c r="S38" s="385">
        <f>OtherTourDestination!B46</f>
        <v>36</v>
      </c>
      <c r="T38" s="385" t="str">
        <f>OtherTourDestination!C46</f>
        <v>Beta00036</v>
      </c>
      <c r="U38" s="387">
        <f>OtherTourDestination!E46</f>
        <v>1.1126386876900001</v>
      </c>
      <c r="V38" s="426">
        <f si="0" t="shared"/>
        <v>1.1126386876900001</v>
      </c>
    </row>
    <row r="39" spans="3:22" x14ac:dyDescent="0.25">
      <c r="D39" s="409" t="s">
        <v>81</v>
      </c>
      <c r="E39" s="420"/>
      <c r="R39" s="385" t="str">
        <f>VLOOKUP(S39,Coeff_Descr!$A:$D,3,FALSE)</f>
        <v>SHOP</v>
      </c>
      <c r="S39" s="422">
        <f>OtherTourDestination!B47</f>
        <v>37</v>
      </c>
      <c r="T39" s="422" t="str">
        <f>OtherTourDestination!C47</f>
        <v>Beta00037</v>
      </c>
      <c r="U39" s="464">
        <f>OtherTourDestination!E47</f>
        <v>-7.8810597731899996</v>
      </c>
      <c r="V39" s="426">
        <f si="0" t="shared"/>
        <v>-7.8810597731899996</v>
      </c>
    </row>
    <row r="40" spans="3:22" x14ac:dyDescent="0.25">
      <c r="D40" s="409" t="s">
        <v>124</v>
      </c>
      <c r="E40" s="420"/>
      <c r="R40" s="385" t="str">
        <f>VLOOKUP(S40,Coeff_Descr!$A:$D,3,FALSE)</f>
        <v>SHOP</v>
      </c>
      <c r="S40" s="422">
        <f>OtherTourDestination!B48</f>
        <v>38</v>
      </c>
      <c r="T40" s="422" t="str">
        <f>OtherTourDestination!C48</f>
        <v>Beta00038</v>
      </c>
      <c r="U40" s="464">
        <f>OtherTourDestination!E48</f>
        <v>-8.0062297029800007</v>
      </c>
      <c r="V40" s="426">
        <f si="0" t="shared"/>
        <v>-8.0062297029800007</v>
      </c>
    </row>
    <row ht="15.75" r="41" spans="3:22" thickBot="1" x14ac:dyDescent="0.3">
      <c r="C41" s="451"/>
      <c r="D41" s="410"/>
      <c r="E41" s="413"/>
      <c r="R41" s="385" t="str">
        <f>VLOOKUP(S41,Coeff_Descr!$A:$D,3,FALSE)</f>
        <v>SHOP</v>
      </c>
      <c r="S41" s="422">
        <f>OtherTourDestination!B49</f>
        <v>39</v>
      </c>
      <c r="T41" s="422" t="str">
        <f>OtherTourDestination!C49</f>
        <v>Beta00039</v>
      </c>
      <c r="U41" s="464">
        <f>OtherTourDestination!E49</f>
        <v>-3.4078711737399998</v>
      </c>
      <c r="V41" s="426">
        <f si="0" t="shared"/>
        <v>-3.4078711737399998</v>
      </c>
    </row>
    <row r="42" spans="3:22" x14ac:dyDescent="0.25">
      <c r="C42" s="447" t="s">
        <v>251</v>
      </c>
      <c r="D42" s="411" t="s">
        <v>90</v>
      </c>
      <c r="E42" s="421"/>
      <c r="R42" s="385" t="str">
        <f>VLOOKUP(S42,Coeff_Descr!$A:$D,3,FALSE)</f>
        <v>SHOP</v>
      </c>
      <c r="S42" s="422">
        <f>OtherTourDestination!B50</f>
        <v>40</v>
      </c>
      <c r="T42" s="422" t="str">
        <f>OtherTourDestination!C50</f>
        <v>Beta00040</v>
      </c>
      <c r="U42" s="464">
        <f>OtherTourDestination!E50</f>
        <v>-0.25934246287000001</v>
      </c>
      <c r="V42" s="426">
        <f si="0" t="shared"/>
        <v>-0.25934246287000001</v>
      </c>
    </row>
    <row r="43" spans="3:22" x14ac:dyDescent="0.25">
      <c r="C43" s="448">
        <f>C33</f>
        <v>27</v>
      </c>
      <c r="D43" s="391" t="s">
        <v>46</v>
      </c>
      <c r="E43" s="469">
        <f>E23+H50</f>
        <v>-9.2935231723499996</v>
      </c>
      <c r="R43" s="385" t="str">
        <f>VLOOKUP(S43,Coeff_Descr!$A:$D,3,FALSE)</f>
        <v>SHOP</v>
      </c>
      <c r="S43" s="385">
        <f>OtherTourDestination!B51</f>
        <v>41</v>
      </c>
      <c r="T43" s="385" t="str">
        <f>OtherTourDestination!C51</f>
        <v>Beta00041</v>
      </c>
      <c r="U43" s="387">
        <f>OtherTourDestination!E51</f>
        <v>-0.13916826495000001</v>
      </c>
      <c r="V43" s="426">
        <f si="0" t="shared"/>
        <v>-0.13916826495000001</v>
      </c>
    </row>
    <row r="44" spans="3:22" x14ac:dyDescent="0.25">
      <c r="C44" s="448">
        <f ref="C44:C46" si="8" t="shared">C34</f>
        <v>28</v>
      </c>
      <c r="D44" s="394" t="s">
        <v>49</v>
      </c>
      <c r="E44" s="469">
        <f ref="E44:E46" si="9" t="shared">E24+H51</f>
        <v>-3.4981009168599999</v>
      </c>
      <c r="R44" s="385" t="str">
        <f>VLOOKUP(S44,Coeff_Descr!$A:$D,3,FALSE)</f>
        <v>SHOP</v>
      </c>
      <c r="S44" s="385">
        <f>OtherTourDestination!B52</f>
        <v>42</v>
      </c>
      <c r="T44" s="385" t="str">
        <f>OtherTourDestination!C52</f>
        <v>Beta00042</v>
      </c>
      <c r="U44" s="387">
        <f>OtherTourDestination!E52</f>
        <v>0.51094315161000003</v>
      </c>
      <c r="V44" s="426">
        <f si="0" t="shared"/>
        <v>0.51094315161000003</v>
      </c>
    </row>
    <row r="45" spans="3:22" x14ac:dyDescent="0.25">
      <c r="C45" s="448">
        <f si="8" t="shared"/>
        <v>29</v>
      </c>
      <c r="D45" s="394" t="s">
        <v>52</v>
      </c>
      <c r="E45" s="469">
        <f si="9" t="shared"/>
        <v>-3.66532113402</v>
      </c>
      <c r="R45" s="385" t="str">
        <f>VLOOKUP(S45,Coeff_Descr!$A:$D,3,FALSE)</f>
        <v>MEAL</v>
      </c>
      <c r="S45" s="385">
        <f>OtherTourDestination!B53</f>
        <v>43</v>
      </c>
      <c r="T45" s="385" t="str">
        <f>OtherTourDestination!C53</f>
        <v>Beta00043</v>
      </c>
      <c r="U45" s="387">
        <f>OtherTourDestination!E53</f>
        <v>0.71812285494999994</v>
      </c>
      <c r="V45" s="426">
        <f si="0" t="shared"/>
        <v>0.71812285494999994</v>
      </c>
    </row>
    <row ht="15.75" r="46" spans="3:22" thickBot="1" x14ac:dyDescent="0.3">
      <c r="C46" s="450">
        <f si="8" t="shared"/>
        <v>30</v>
      </c>
      <c r="D46" s="414" t="s">
        <v>55</v>
      </c>
      <c r="E46" s="469">
        <f si="9" t="shared"/>
        <v>-0.32381248725225137</v>
      </c>
      <c r="R46" s="385" t="str">
        <f>VLOOKUP(S46,Coeff_Descr!$A:$D,3,FALSE)</f>
        <v>MEAL</v>
      </c>
      <c r="S46" s="385">
        <f>OtherTourDestination!B54</f>
        <v>44</v>
      </c>
      <c r="T46" s="385" t="str">
        <f>OtherTourDestination!C54</f>
        <v>Beta00044</v>
      </c>
      <c r="U46" s="387">
        <f>OtherTourDestination!E54</f>
        <v>-15.14732909554</v>
      </c>
      <c r="V46" s="426">
        <f si="0" t="shared"/>
        <v>-15.14732909554</v>
      </c>
    </row>
    <row ht="15.75" r="47" spans="3:22" thickTop="1" x14ac:dyDescent="0.25">
      <c r="R47" s="385" t="str">
        <f>VLOOKUP(S47,Coeff_Descr!$A:$D,3,FALSE)</f>
        <v>MEAL</v>
      </c>
      <c r="S47" s="385">
        <f>OtherTourDestination!B55</f>
        <v>45</v>
      </c>
      <c r="T47" s="385" t="str">
        <f>OtherTourDestination!C55</f>
        <v>Beta00045</v>
      </c>
      <c r="U47" s="387">
        <f>OtherTourDestination!E55</f>
        <v>-4.0821681896699999</v>
      </c>
      <c r="V47" s="426">
        <f si="0" t="shared"/>
        <v>-4.0821681896699999</v>
      </c>
    </row>
    <row r="48" spans="3:22" x14ac:dyDescent="0.25">
      <c r="G48" s="472"/>
      <c r="H48" s="473"/>
      <c r="I48" s="473"/>
      <c r="R48" s="385" t="str">
        <f>VLOOKUP(S48,Coeff_Descr!$A:$D,3,FALSE)</f>
        <v>MEAL</v>
      </c>
      <c r="S48" s="385">
        <f>OtherTourDestination!B56</f>
        <v>46</v>
      </c>
      <c r="T48" s="385" t="str">
        <f>OtherTourDestination!C56</f>
        <v>Beta00046</v>
      </c>
      <c r="U48" s="387">
        <f>OtherTourDestination!E56</f>
        <v>-1.9121090734599999</v>
      </c>
      <c r="V48" s="426">
        <f si="0" t="shared"/>
        <v>-1.9121090734599999</v>
      </c>
    </row>
    <row ht="15.75" r="49" spans="1:22" thickBot="1" x14ac:dyDescent="0.3">
      <c r="B49" s="6"/>
      <c r="C49" s="6"/>
      <c r="D49" s="474"/>
      <c r="E49" s="474"/>
      <c r="G49" s="482"/>
      <c r="H49" s="483" t="s">
        <v>283</v>
      </c>
      <c r="I49" s="488" t="s">
        <v>308</v>
      </c>
      <c r="R49" s="385" t="str">
        <f>VLOOKUP(S49,Coeff_Descr!$A:$D,3,FALSE)</f>
        <v>MEAL</v>
      </c>
      <c r="S49" s="385">
        <f>OtherTourDestination!B57</f>
        <v>47</v>
      </c>
      <c r="T49" s="385" t="str">
        <f>OtherTourDestination!C57</f>
        <v>Beta00047</v>
      </c>
      <c r="U49" s="387">
        <f>OtherTourDestination!E57</f>
        <v>-1.3851302912200001</v>
      </c>
      <c r="V49" s="426">
        <f si="0" t="shared"/>
        <v>-1.3851302912200001</v>
      </c>
    </row>
    <row r="50" spans="1:22" x14ac:dyDescent="0.25">
      <c r="A50" s="385" t="s">
        <v>284</v>
      </c>
      <c r="B50" s="470" t="s">
        <v>281</v>
      </c>
      <c r="C50" s="470" t="s">
        <v>35</v>
      </c>
      <c r="D50" s="470" t="s">
        <v>282</v>
      </c>
      <c r="E50" s="3" t="s">
        <v>280</v>
      </c>
      <c r="G50" s="484" t="s">
        <v>46</v>
      </c>
      <c r="H50" s="485">
        <f>E51*I50</f>
        <v>0</v>
      </c>
      <c r="I50" s="487">
        <v>0</v>
      </c>
      <c r="R50" s="385" t="str">
        <f>VLOOKUP(S50,Coeff_Descr!$A:$D,3,FALSE)</f>
        <v>MEAL</v>
      </c>
      <c r="S50" s="385">
        <f>OtherTourDestination!B58</f>
        <v>48</v>
      </c>
      <c r="T50" s="385" t="str">
        <f>OtherTourDestination!C58</f>
        <v>Beta00048</v>
      </c>
      <c r="U50" s="387">
        <f>OtherTourDestination!E58</f>
        <v>0.18770524043</v>
      </c>
      <c r="V50" s="426">
        <f si="0" t="shared"/>
        <v>0.18770524043</v>
      </c>
    </row>
    <row r="51" spans="1:22" x14ac:dyDescent="0.25">
      <c r="A51" s="475">
        <f>B51</f>
        <v>0.5</v>
      </c>
      <c r="B51" s="470">
        <f>TLFD!A11+0.5</f>
        <v>0.5</v>
      </c>
      <c r="C51" s="480">
        <f>TLFD!B11/TLFD!$B$102</f>
        <v>0.12246842860030865</v>
      </c>
      <c r="D51" s="480">
        <f>TLFD!F11/TLFD!$F$102</f>
        <v>7.5607491472748881E-2</v>
      </c>
      <c r="E51" s="470">
        <f>IF(AND(C51&gt;0, D51&gt;0),LN(C51/D51),0)</f>
        <v>0.48229789922511229</v>
      </c>
      <c r="G51" s="486" t="s">
        <v>49</v>
      </c>
      <c r="H51" s="485">
        <f>H72*I51</f>
        <v>0</v>
      </c>
      <c r="I51" s="487">
        <v>0</v>
      </c>
      <c r="R51" s="385" t="str">
        <f>VLOOKUP(S51,Coeff_Descr!$A:$D,3,FALSE)</f>
        <v>SOCREC</v>
      </c>
      <c r="S51" s="385">
        <f>OtherTourDestination!B59</f>
        <v>49</v>
      </c>
      <c r="T51" s="385" t="str">
        <f>OtherTourDestination!C59</f>
        <v>Beta00049</v>
      </c>
      <c r="U51" s="387">
        <f>OtherTourDestination!E59</f>
        <v>0.75868423218000003</v>
      </c>
      <c r="V51" s="426">
        <f si="0" t="shared"/>
        <v>0.75868423218000003</v>
      </c>
    </row>
    <row r="52" spans="1:22" x14ac:dyDescent="0.25">
      <c r="A52" s="385">
        <f>B52-1</f>
        <v>0.5</v>
      </c>
      <c r="B52">
        <f>TLFD!A12+0.5</f>
        <v>1.5</v>
      </c>
      <c r="C52" s="481">
        <f>TLFD!B12/TLFD!$B$102</f>
        <v>0.15389641105832097</v>
      </c>
      <c r="D52" s="481">
        <f>TLFD!F12/TLFD!$F$102</f>
        <v>0.12779090073750499</v>
      </c>
      <c r="E52">
        <f ref="E52:E115" si="10" t="shared">IF(AND(C52&gt;0, D52&gt;0),LN(C52/D52),0)</f>
        <v>0.18588438044239283</v>
      </c>
      <c r="G52" s="486" t="s">
        <v>52</v>
      </c>
      <c r="H52" s="485">
        <f>H92*I52</f>
        <v>0</v>
      </c>
      <c r="I52" s="487">
        <v>0</v>
      </c>
      <c r="R52" s="385" t="str">
        <f>VLOOKUP(S52,Coeff_Descr!$A:$D,3,FALSE)</f>
        <v>SOCREC</v>
      </c>
      <c r="S52" s="422">
        <f>OtherTourDestination!B60</f>
        <v>50</v>
      </c>
      <c r="T52" s="422" t="str">
        <f>OtherTourDestination!C60</f>
        <v>Beta00050</v>
      </c>
      <c r="U52" s="464">
        <f>OtherTourDestination!E60</f>
        <v>-11.41930576164</v>
      </c>
      <c r="V52" s="426">
        <f si="0" t="shared"/>
        <v>-11.41930576164</v>
      </c>
    </row>
    <row r="53" spans="1:22" x14ac:dyDescent="0.25">
      <c r="A53" s="385">
        <f ref="A53:A54" si="11" t="shared">B53-1</f>
        <v>1.5</v>
      </c>
      <c r="B53">
        <f>TLFD!A13+0.5</f>
        <v>2.5</v>
      </c>
      <c r="C53" s="481">
        <f>TLFD!B13/TLFD!$B$102</f>
        <v>6.9729109905097966E-2</v>
      </c>
      <c r="D53" s="481">
        <f>TLFD!F13/TLFD!$F$102</f>
        <v>0.12185910912476006</v>
      </c>
      <c r="E53">
        <f si="10" t="shared"/>
        <v>-0.55824765787426089</v>
      </c>
      <c r="G53" s="486" t="s">
        <v>55</v>
      </c>
      <c r="H53" s="485">
        <f>H112*I53</f>
        <v>4.8574182997748648E-2</v>
      </c>
      <c r="I53" s="487">
        <v>100</v>
      </c>
      <c r="K53" s="489" t="s">
        <v>309</v>
      </c>
      <c r="R53" s="385" t="str">
        <f>VLOOKUP(S53,Coeff_Descr!$A:$D,3,FALSE)</f>
        <v>SOCREC</v>
      </c>
      <c r="S53" s="422">
        <f>OtherTourDestination!B61</f>
        <v>51</v>
      </c>
      <c r="T53" s="422" t="str">
        <f>OtherTourDestination!C61</f>
        <v>Beta00051</v>
      </c>
      <c r="U53" s="464">
        <f>OtherTourDestination!E61</f>
        <v>-5.0410177787699997</v>
      </c>
      <c r="V53" s="426">
        <f si="0" t="shared"/>
        <v>-5.0410177787699997</v>
      </c>
    </row>
    <row r="54" spans="1:22" x14ac:dyDescent="0.25">
      <c r="A54" s="475">
        <f si="11" t="shared"/>
        <v>2.5</v>
      </c>
      <c r="B54" s="470">
        <f>TLFD!A14+0.5</f>
        <v>3.5</v>
      </c>
      <c r="C54" s="480">
        <f>TLFD!B14/TLFD!$B$102</f>
        <v>6.8528737233183451E-2</v>
      </c>
      <c r="D54" s="480">
        <f>TLFD!F14/TLFD!$F$102</f>
        <v>0.11217003507117669</v>
      </c>
      <c r="E54" s="470">
        <f si="10" t="shared"/>
        <v>-0.49276271137212635</v>
      </c>
      <c r="G54" s="471"/>
      <c r="I54"/>
      <c r="R54" s="385" t="str">
        <f>VLOOKUP(S54,Coeff_Descr!$A:$D,3,FALSE)</f>
        <v>SOCREC</v>
      </c>
      <c r="S54" s="422">
        <f>OtherTourDestination!B62</f>
        <v>52</v>
      </c>
      <c r="T54" s="422" t="str">
        <f>OtherTourDestination!C62</f>
        <v>Beta00052</v>
      </c>
      <c r="U54" s="464">
        <f>OtherTourDestination!E62</f>
        <v>-3.9034241353299999</v>
      </c>
      <c r="V54" s="426">
        <f si="0" t="shared"/>
        <v>-3.9034241353299999</v>
      </c>
    </row>
    <row r="55" spans="1:22" x14ac:dyDescent="0.25">
      <c r="A55" s="385">
        <f>B55-3.5</f>
        <v>1</v>
      </c>
      <c r="B55">
        <f>TLFD!A15+0.5</f>
        <v>4.5</v>
      </c>
      <c r="C55" s="481">
        <f>TLFD!B15/TLFD!$B$102</f>
        <v>6.0719845667512463E-2</v>
      </c>
      <c r="D55" s="481">
        <f>TLFD!F15/TLFD!$F$102</f>
        <v>9.4620014143931341E-2</v>
      </c>
      <c r="E55">
        <f si="10" t="shared"/>
        <v>-0.44359842830789398</v>
      </c>
      <c r="G55" t="s">
        <v>285</v>
      </c>
      <c r="H55"/>
      <c r="I55"/>
      <c r="J55"/>
      <c r="K55"/>
      <c r="L55"/>
      <c r="M55"/>
      <c r="N55"/>
      <c r="O55"/>
      <c r="P55"/>
      <c r="Q55"/>
      <c r="R55" s="385" t="str">
        <f>VLOOKUP(S55,Coeff_Descr!$A:$D,3,FALSE)</f>
        <v>SOCREC</v>
      </c>
      <c r="S55">
        <v>53</v>
      </c>
      <c r="T55" s="422" t="str">
        <f>OtherTourDestination!C63</f>
        <v>Beta00053</v>
      </c>
      <c r="U55" s="464">
        <f>OtherTourDestination!E63</f>
        <v>-0.39747668525000002</v>
      </c>
      <c r="V55" s="426">
        <f si="0" t="shared"/>
        <v>-0.39747668525000002</v>
      </c>
    </row>
    <row ht="15.75" r="56" spans="1:22" thickBot="1" x14ac:dyDescent="0.3">
      <c r="A56" s="385">
        <f ref="A56:A60" si="12" t="shared">B56-3.5</f>
        <v>2</v>
      </c>
      <c r="B56">
        <f>TLFD!A16+0.5</f>
        <v>5.5</v>
      </c>
      <c r="C56" s="481">
        <f>TLFD!B16/TLFD!$B$102</f>
        <v>9.869853087819612E-2</v>
      </c>
      <c r="D56" s="481">
        <f>TLFD!F16/TLFD!$F$102</f>
        <v>7.5198568287766457E-2</v>
      </c>
      <c r="E56">
        <f si="10" t="shared"/>
        <v>0.27193786956122112</v>
      </c>
      <c r="G56"/>
      <c r="H56"/>
      <c r="I56"/>
      <c r="J56"/>
      <c r="K56"/>
      <c r="L56"/>
      <c r="M56"/>
      <c r="N56"/>
      <c r="O56"/>
      <c r="P56"/>
      <c r="Q56"/>
      <c r="R56" s="385" t="str">
        <f>VLOOKUP(S56,Coeff_Descr!$A:$D,3,FALSE)</f>
        <v>SOCREC</v>
      </c>
      <c r="S56">
        <v>54</v>
      </c>
      <c r="T56" s="385" t="str">
        <f>OtherTourDestination!C64</f>
        <v>Beta00054</v>
      </c>
      <c r="U56" s="387">
        <f>OtherTourDestination!E64</f>
        <v>0.21263122743000001</v>
      </c>
      <c r="V56" s="426">
        <f si="0" t="shared"/>
        <v>0.21263122743000001</v>
      </c>
    </row>
    <row r="57" spans="1:22" x14ac:dyDescent="0.25">
      <c r="A57" s="385">
        <f si="12" t="shared"/>
        <v>3</v>
      </c>
      <c r="B57">
        <f>TLFD!A17+0.5</f>
        <v>6.5</v>
      </c>
      <c r="C57" s="481">
        <f>TLFD!B17/TLFD!$B$102</f>
        <v>5.9659801833190293E-2</v>
      </c>
      <c r="D57" s="481">
        <f>TLFD!F17/TLFD!$F$102</f>
        <v>6.0174249385412507E-2</v>
      </c>
      <c r="E57">
        <f si="10" t="shared"/>
        <v>-8.5860522517965856E-3</v>
      </c>
      <c r="G57" s="479" t="s">
        <v>286</v>
      </c>
      <c r="H57" s="479"/>
      <c r="I57"/>
      <c r="J57"/>
      <c r="K57"/>
      <c r="L57"/>
      <c r="M57"/>
      <c r="N57"/>
      <c r="O57"/>
      <c r="P57"/>
      <c r="Q57"/>
      <c r="R57" s="385" t="str">
        <f>VLOOKUP(S57,Coeff_Descr!$A:$D,3,FALSE)</f>
        <v>SOCREC</v>
      </c>
      <c r="S57">
        <v>55</v>
      </c>
      <c r="T57" s="385" t="str">
        <f>OtherTourDestination!C65</f>
        <v>Beta00055</v>
      </c>
      <c r="U57" s="387">
        <f>OtherTourDestination!E65</f>
        <v>0.43455667627</v>
      </c>
      <c r="V57" s="426">
        <f si="0" t="shared"/>
        <v>0.43455667627</v>
      </c>
    </row>
    <row r="58" spans="1:22" x14ac:dyDescent="0.25">
      <c r="A58" s="385">
        <f si="12" t="shared"/>
        <v>4</v>
      </c>
      <c r="B58">
        <f>TLFD!A18+0.5</f>
        <v>7.5</v>
      </c>
      <c r="C58" s="481">
        <f>TLFD!B18/TLFD!$B$102</f>
        <v>5.4570484429866006E-2</v>
      </c>
      <c r="D58" s="481">
        <f>TLFD!F18/TLFD!$F$102</f>
        <v>5.0196523671841548E-2</v>
      </c>
      <c r="E58">
        <f si="10" t="shared"/>
        <v>8.3547383643287301E-2</v>
      </c>
      <c r="G58" s="476" t="s">
        <v>287</v>
      </c>
      <c r="H58" s="476">
        <v>0.92009250365125117</v>
      </c>
      <c r="I58"/>
      <c r="J58"/>
      <c r="K58"/>
      <c r="L58"/>
      <c r="M58"/>
      <c r="N58"/>
      <c r="O58"/>
      <c r="P58"/>
      <c r="Q58"/>
      <c r="R58" s="385" t="str">
        <f>VLOOKUP(S58,Coeff_Descr!$A:$D,3,FALSE)</f>
        <v>SOCREC</v>
      </c>
      <c r="S58">
        <v>56</v>
      </c>
      <c r="T58" s="385" t="str">
        <f>OtherTourDestination!C66</f>
        <v>Beta00056</v>
      </c>
      <c r="U58" s="387">
        <f>OtherTourDestination!E66</f>
        <v>-0.77182497547999995</v>
      </c>
      <c r="V58" s="426">
        <f si="0" t="shared"/>
        <v>-0.77182497547999995</v>
      </c>
    </row>
    <row r="59" spans="1:22" x14ac:dyDescent="0.25">
      <c r="A59" s="385">
        <f si="12" t="shared"/>
        <v>5</v>
      </c>
      <c r="B59">
        <f>TLFD!A19+0.5</f>
        <v>8.5</v>
      </c>
      <c r="C59" s="481">
        <f>TLFD!B19/TLFD!$B$102</f>
        <v>4.9572665015319088E-2</v>
      </c>
      <c r="D59" s="481">
        <f>TLFD!F19/TLFD!$F$102</f>
        <v>3.4238897735527726E-2</v>
      </c>
      <c r="E59">
        <f si="10" t="shared"/>
        <v>0.37007721480078026</v>
      </c>
      <c r="G59" s="476" t="s">
        <v>288</v>
      </c>
      <c r="H59" s="476">
        <v>0.84657021527522769</v>
      </c>
      <c r="I59"/>
      <c r="J59"/>
      <c r="K59"/>
      <c r="L59"/>
      <c r="M59"/>
      <c r="N59"/>
      <c r="O59"/>
      <c r="P59"/>
      <c r="Q59"/>
      <c r="R59" s="385" t="str">
        <f>VLOOKUP(S59,Coeff_Descr!$A:$D,3,FALSE)</f>
        <v>SOCREC</v>
      </c>
      <c r="S59">
        <v>57</v>
      </c>
      <c r="T59" s="385" t="str">
        <f>OtherTourDestination!C67</f>
        <v>Beta00057</v>
      </c>
      <c r="U59" s="387">
        <f>OtherTourDestination!E67</f>
        <v>7.732925786E-2</v>
      </c>
      <c r="V59" s="426">
        <f si="0" t="shared"/>
        <v>7.732925786E-2</v>
      </c>
    </row>
    <row r="60" spans="1:22" x14ac:dyDescent="0.25">
      <c r="A60" s="475">
        <f si="12" t="shared"/>
        <v>6</v>
      </c>
      <c r="B60" s="470">
        <f>TLFD!A20+0.5</f>
        <v>9.5</v>
      </c>
      <c r="C60" s="480">
        <f>TLFD!B20/TLFD!$B$102</f>
        <v>3.2712548325539194E-2</v>
      </c>
      <c r="D60" s="480">
        <f>TLFD!F20/TLFD!$F$102</f>
        <v>2.4896205673929462E-2</v>
      </c>
      <c r="E60" s="470">
        <f si="10" t="shared"/>
        <v>0.27304333584955459</v>
      </c>
      <c r="G60" s="476" t="s">
        <v>289</v>
      </c>
      <c r="H60" s="476">
        <v>0.34657021527522769</v>
      </c>
      <c r="I60"/>
      <c r="J60"/>
      <c r="K60"/>
      <c r="L60"/>
      <c r="M60"/>
      <c r="N60"/>
      <c r="O60"/>
      <c r="P60"/>
      <c r="Q60"/>
      <c r="R60" s="385" t="str">
        <f>VLOOKUP(S60,Coeff_Descr!$A:$D,3,FALSE)</f>
        <v>ESCORT</v>
      </c>
      <c r="S60">
        <v>70</v>
      </c>
      <c r="T60" s="385" t="str">
        <f>OtherTourDestination!C68</f>
        <v>LSM_0070</v>
      </c>
      <c r="U60" s="387">
        <f>OtherTourDestination!E68</f>
        <v>0.28212328097</v>
      </c>
      <c r="V60" s="426">
        <f si="0" t="shared"/>
        <v>0.28212328097</v>
      </c>
    </row>
    <row r="61" spans="1:22" x14ac:dyDescent="0.25">
      <c r="A61" s="385">
        <f>B61-10</f>
        <v>0.5</v>
      </c>
      <c r="B61">
        <f>TLFD!A21+0.5</f>
        <v>10.5</v>
      </c>
      <c r="C61" s="481">
        <f>TLFD!B21/TLFD!$B$102</f>
        <v>3.1121212231045494E-2</v>
      </c>
      <c r="D61" s="481">
        <f>TLFD!F21/TLFD!$F$102</f>
        <v>1.834862385321101E-2</v>
      </c>
      <c r="E61">
        <f si="10" t="shared"/>
        <v>0.52833507467835183</v>
      </c>
      <c r="G61" s="476" t="s">
        <v>290</v>
      </c>
      <c r="H61" s="476">
        <v>0.24886220360332076</v>
      </c>
      <c r="I61"/>
      <c r="J61"/>
      <c r="K61"/>
      <c r="L61"/>
      <c r="M61"/>
      <c r="N61"/>
      <c r="O61"/>
      <c r="P61"/>
      <c r="Q61"/>
      <c r="R61" s="385" t="str">
        <f>VLOOKUP(S61,Coeff_Descr!$A:$D,3,FALSE)</f>
        <v>ESCORT</v>
      </c>
      <c r="S61">
        <v>71</v>
      </c>
      <c r="T61" s="385" t="str">
        <f>OtherTourDestination!C69</f>
        <v>Gamma071</v>
      </c>
      <c r="U61" s="387">
        <f>OtherTourDestination!E69</f>
        <v>0</v>
      </c>
      <c r="V61" s="426">
        <f si="0" t="shared"/>
        <v>0</v>
      </c>
    </row>
    <row ht="15.75" r="62" spans="1:22" thickBot="1" x14ac:dyDescent="0.3">
      <c r="A62" s="385">
        <f ref="A62:A125" si="13" t="shared">B62-10</f>
        <v>1.5</v>
      </c>
      <c r="B62">
        <f>TLFD!A22+0.5</f>
        <v>11.5</v>
      </c>
      <c r="C62" s="481">
        <f>TLFD!B22/TLFD!$B$102</f>
        <v>9.0163191779159598E-3</v>
      </c>
      <c r="D62" s="481">
        <f>TLFD!F22/TLFD!$F$102</f>
        <v>1.7752077089236661E-2</v>
      </c>
      <c r="E62">
        <f si="10" t="shared"/>
        <v>-0.67746635079900208</v>
      </c>
      <c r="G62" s="477" t="s">
        <v>291</v>
      </c>
      <c r="H62" s="477">
        <v>3</v>
      </c>
      <c r="I62"/>
      <c r="J62"/>
      <c r="K62"/>
      <c r="L62"/>
      <c r="M62"/>
      <c r="N62"/>
      <c r="O62"/>
      <c r="P62"/>
      <c r="Q62"/>
      <c r="R62" s="385" t="str">
        <f>VLOOKUP(S62,Coeff_Descr!$A:$D,3,FALSE)</f>
        <v>ESCORT</v>
      </c>
      <c r="S62">
        <v>72</v>
      </c>
      <c r="T62" s="385" t="str">
        <f>OtherTourDestination!C70</f>
        <v>Gamma072</v>
      </c>
      <c r="U62" s="387">
        <f>OtherTourDestination!E70</f>
        <v>-3.71465268105</v>
      </c>
      <c r="V62" s="426">
        <f si="0" t="shared"/>
        <v>-3.71465268105</v>
      </c>
    </row>
    <row r="63" spans="1:22" x14ac:dyDescent="0.25">
      <c r="A63" s="385">
        <f si="13" t="shared"/>
        <v>2.5</v>
      </c>
      <c r="B63">
        <f>TLFD!A23+0.5</f>
        <v>12.5</v>
      </c>
      <c r="C63" s="481">
        <f>TLFD!B23/TLFD!$B$102</f>
        <v>2.5422533040461107E-2</v>
      </c>
      <c r="D63" s="481">
        <f>TLFD!F23/TLFD!$F$102</f>
        <v>1.7463425429249071E-2</v>
      </c>
      <c r="E63">
        <f si="10" t="shared"/>
        <v>0.37552718992512713</v>
      </c>
      <c r="G63"/>
      <c r="H63"/>
      <c r="I63"/>
      <c r="J63"/>
      <c r="K63"/>
      <c r="L63"/>
      <c r="M63"/>
      <c r="N63"/>
      <c r="O63"/>
      <c r="P63"/>
      <c r="Q63"/>
      <c r="R63" s="385" t="str">
        <f>VLOOKUP(S63,Coeff_Descr!$A:$D,3,FALSE)</f>
        <v>ESCORT</v>
      </c>
      <c r="S63">
        <v>73</v>
      </c>
      <c r="T63" s="385" t="str">
        <f>OtherTourDestination!C71</f>
        <v>Gamma073</v>
      </c>
      <c r="U63" s="387">
        <f>OtherTourDestination!E71</f>
        <v>-2.3682469103699999</v>
      </c>
      <c r="V63" s="426">
        <f si="0" t="shared"/>
        <v>-2.3682469103699999</v>
      </c>
    </row>
    <row ht="15.75" r="64" spans="1:22" thickBot="1" x14ac:dyDescent="0.3">
      <c r="A64" s="385">
        <f si="13" t="shared"/>
        <v>3.5</v>
      </c>
      <c r="B64">
        <f>TLFD!A24+0.5</f>
        <v>13.5</v>
      </c>
      <c r="C64" s="481">
        <f>TLFD!B24/TLFD!$B$102</f>
        <v>1.1503340476864654E-2</v>
      </c>
      <c r="D64" s="481">
        <f>TLFD!F24/TLFD!$F$102</f>
        <v>1.6741796279280102E-2</v>
      </c>
      <c r="E64">
        <f si="10" t="shared"/>
        <v>-0.37527089448284717</v>
      </c>
      <c r="G64" t="s">
        <v>292</v>
      </c>
      <c r="H64"/>
      <c r="I64"/>
      <c r="J64"/>
      <c r="K64"/>
      <c r="L64"/>
      <c r="M64"/>
      <c r="N64"/>
      <c r="O64"/>
      <c r="P64"/>
      <c r="Q64"/>
      <c r="R64" s="385" t="str">
        <f>VLOOKUP(S64,Coeff_Descr!$A:$D,3,FALSE)</f>
        <v>ESCORT</v>
      </c>
      <c r="S64">
        <v>74</v>
      </c>
      <c r="T64" s="385" t="str">
        <f>OtherTourDestination!C72</f>
        <v>Gamma074</v>
      </c>
      <c r="U64" s="387">
        <f>OtherTourDestination!E72</f>
        <v>-2.6135679522899999</v>
      </c>
      <c r="V64" s="426">
        <f si="0" t="shared"/>
        <v>-2.6135679522899999</v>
      </c>
    </row>
    <row r="65" spans="1:22" x14ac:dyDescent="0.25">
      <c r="A65" s="385">
        <f si="13" t="shared"/>
        <v>4.5</v>
      </c>
      <c r="B65">
        <f>TLFD!A25+0.5</f>
        <v>14.5</v>
      </c>
      <c r="C65" s="481">
        <f>TLFD!B25/TLFD!$B$102</f>
        <v>1.4751932644193826E-2</v>
      </c>
      <c r="D65" s="481">
        <f>TLFD!F25/TLFD!$F$102</f>
        <v>1.6058654017309479E-2</v>
      </c>
      <c r="E65">
        <f si="10" t="shared"/>
        <v>-8.4873794446772372E-2</v>
      </c>
      <c r="G65" s="478"/>
      <c r="H65" s="478" t="s">
        <v>296</v>
      </c>
      <c r="I65" s="478" t="s">
        <v>297</v>
      </c>
      <c r="J65" s="478" t="s">
        <v>298</v>
      </c>
      <c r="K65" s="478" t="s">
        <v>241</v>
      </c>
      <c r="L65" s="478" t="s">
        <v>299</v>
      </c>
      <c r="M65"/>
      <c r="N65"/>
      <c r="O65"/>
      <c r="P65"/>
      <c r="Q65"/>
      <c r="R65" s="385" t="str">
        <f>VLOOKUP(S65,Coeff_Descr!$A:$D,3,FALSE)</f>
        <v>ESCORT</v>
      </c>
      <c r="S65">
        <v>75</v>
      </c>
      <c r="T65" s="385" t="str">
        <f>OtherTourDestination!C73</f>
        <v>Gamma075</v>
      </c>
      <c r="U65" s="387">
        <f>OtherTourDestination!E73</f>
        <v>-3.2783954524199999</v>
      </c>
      <c r="V65" s="426">
        <f si="0" t="shared"/>
        <v>-3.2783954524199999</v>
      </c>
    </row>
    <row r="66" spans="1:22" x14ac:dyDescent="0.25">
      <c r="A66" s="385">
        <f si="13" t="shared"/>
        <v>5.5</v>
      </c>
      <c r="B66">
        <f>TLFD!A26+0.5</f>
        <v>15.5</v>
      </c>
      <c r="C66" s="481">
        <f>TLFD!B26/TLFD!$B$102</f>
        <v>2.0703442013746923E-2</v>
      </c>
      <c r="D66" s="481">
        <f>TLFD!F26/TLFD!$F$102</f>
        <v>1.5202320759346299E-2</v>
      </c>
      <c r="E66">
        <f si="10" t="shared"/>
        <v>0.30885186957200123</v>
      </c>
      <c r="G66" s="476" t="s">
        <v>293</v>
      </c>
      <c r="H66" s="476">
        <v>1</v>
      </c>
      <c r="I66" s="476">
        <v>0.68344125271277656</v>
      </c>
      <c r="J66" s="476">
        <v>0.68344125271277656</v>
      </c>
      <c r="K66" s="476">
        <v>11.035278668921224</v>
      </c>
      <c r="L66" s="476">
        <v>0.18614798500173035</v>
      </c>
      <c r="M66"/>
      <c r="N66"/>
      <c r="O66"/>
      <c r="P66"/>
      <c r="Q66"/>
      <c r="R66" s="385" t="str">
        <f>VLOOKUP(S66,Coeff_Descr!$A:$D,3,FALSE)</f>
        <v>ESCORT</v>
      </c>
      <c r="S66">
        <v>76</v>
      </c>
      <c r="T66" s="385" t="str">
        <f>OtherTourDestination!C74</f>
        <v>Gamma076</v>
      </c>
      <c r="U66" s="387">
        <f>OtherTourDestination!E74</f>
        <v>-2.7864533272199998</v>
      </c>
      <c r="V66" s="426">
        <f si="0" t="shared"/>
        <v>-2.7864533272199998</v>
      </c>
    </row>
    <row r="67" spans="1:22" x14ac:dyDescent="0.25">
      <c r="A67" s="385">
        <f si="13" t="shared"/>
        <v>6.5</v>
      </c>
      <c r="B67">
        <f>TLFD!A27+0.5</f>
        <v>16.5</v>
      </c>
      <c r="C67" s="481">
        <f>TLFD!B27/TLFD!$B$102</f>
        <v>1.5421769593404645E-2</v>
      </c>
      <c r="D67" s="481">
        <f>TLFD!F27/TLFD!$F$102</f>
        <v>1.3326084969426978E-2</v>
      </c>
      <c r="E67">
        <f si="10" t="shared"/>
        <v>0.14605673084100931</v>
      </c>
      <c r="G67" s="476" t="s">
        <v>294</v>
      </c>
      <c r="H67" s="476">
        <v>2</v>
      </c>
      <c r="I67" s="476">
        <v>0.12386479276460134</v>
      </c>
      <c r="J67" s="476">
        <v>6.1932396382300671E-2</v>
      </c>
      <c r="K67" s="476"/>
      <c r="L67" s="476"/>
      <c r="M67"/>
      <c r="N67"/>
      <c r="O67"/>
      <c r="P67"/>
      <c r="Q67"/>
      <c r="R67" s="385" t="str">
        <f>VLOOKUP(S67,Coeff_Descr!$A:$D,3,FALSE)</f>
        <v>ESCORT</v>
      </c>
      <c r="S67">
        <v>77</v>
      </c>
      <c r="T67" s="385" t="str">
        <f>OtherTourDestination!C75</f>
        <v>Gamma077</v>
      </c>
      <c r="U67" s="387">
        <f>OtherTourDestination!E75</f>
        <v>-2.4397388537100002</v>
      </c>
      <c r="V67" s="426">
        <f si="0" t="shared"/>
        <v>-2.4397388537100002</v>
      </c>
    </row>
    <row ht="15.75" r="68" spans="1:22" thickBot="1" x14ac:dyDescent="0.3">
      <c r="A68" s="385">
        <f si="13" t="shared"/>
        <v>7.5</v>
      </c>
      <c r="B68">
        <f>TLFD!A28+0.5</f>
        <v>17.5</v>
      </c>
      <c r="C68" s="481">
        <f>TLFD!B28/TLFD!$B$102</f>
        <v>3.2644584048880389E-3</v>
      </c>
      <c r="D68" s="481">
        <f>TLFD!F28/TLFD!$F$102</f>
        <v>1.1546066399503519E-2</v>
      </c>
      <c r="E68">
        <f si="10" t="shared"/>
        <v>-1.2632509375738681</v>
      </c>
      <c r="G68" s="477" t="s">
        <v>4</v>
      </c>
      <c r="H68" s="477">
        <v>3</v>
      </c>
      <c r="I68" s="477">
        <v>0.80730604547737794</v>
      </c>
      <c r="J68" s="477"/>
      <c r="K68" s="477"/>
      <c r="L68" s="477"/>
      <c r="M68"/>
      <c r="N68"/>
      <c r="O68"/>
      <c r="P68"/>
      <c r="Q68"/>
      <c r="R68" s="385" t="str">
        <f>VLOOKUP(S68,Coeff_Descr!$A:$D,3,FALSE)</f>
        <v>ESCORT</v>
      </c>
      <c r="S68">
        <v>78</v>
      </c>
      <c r="T68" s="385" t="str">
        <f>OtherTourDestination!C76</f>
        <v>Gamma078</v>
      </c>
      <c r="U68" s="387">
        <f>OtherTourDestination!E76</f>
        <v>-3.8618208476799998</v>
      </c>
      <c r="V68" s="426">
        <f si="0" t="shared"/>
        <v>-3.8618208476799998</v>
      </c>
    </row>
    <row ht="15.75" r="69" spans="1:22" thickBot="1" x14ac:dyDescent="0.3">
      <c r="A69" s="385">
        <f si="13" t="shared"/>
        <v>8.5</v>
      </c>
      <c r="B69">
        <f>TLFD!A29+0.5</f>
        <v>18.5</v>
      </c>
      <c r="C69" s="481">
        <f>TLFD!B29/TLFD!$B$102</f>
        <v>1.6758155506593618E-2</v>
      </c>
      <c r="D69" s="481">
        <f>TLFD!F29/TLFD!$F$102</f>
        <v>1.0771517778536825E-2</v>
      </c>
      <c r="E69">
        <f si="10" t="shared"/>
        <v>0.44197962794042839</v>
      </c>
      <c r="G69"/>
      <c r="H69"/>
      <c r="I69"/>
      <c r="J69"/>
      <c r="K69"/>
      <c r="L69"/>
      <c r="M69"/>
      <c r="N69"/>
      <c r="O69"/>
      <c r="P69"/>
      <c r="Q69"/>
      <c r="R69" s="385" t="str">
        <f>VLOOKUP(S69,Coeff_Descr!$A:$D,3,FALSE)</f>
        <v>ESCORT</v>
      </c>
      <c r="S69">
        <v>79</v>
      </c>
      <c r="T69" s="385" t="str">
        <f>OtherTourDestination!C77</f>
        <v>Gamma079</v>
      </c>
      <c r="U69" s="387">
        <f>OtherTourDestination!E77</f>
        <v>-21.721852511200002</v>
      </c>
      <c r="V69" s="426">
        <f ref="V69:V104" si="14" t="shared">_xlfn.IFNA(VLOOKUP(S69,$C$43:$E$46,3,FALSE),U69)</f>
        <v>-21.721852511200002</v>
      </c>
    </row>
    <row r="70" spans="1:22" x14ac:dyDescent="0.25">
      <c r="A70" s="385">
        <f si="13" t="shared"/>
        <v>9.5</v>
      </c>
      <c r="B70">
        <f>TLFD!A30+0.5</f>
        <v>19.5</v>
      </c>
      <c r="C70" s="481">
        <f>TLFD!B30/TLFD!$B$102</f>
        <v>5.8237238066644352E-3</v>
      </c>
      <c r="D70" s="481">
        <f>TLFD!F30/TLFD!$F$102</f>
        <v>9.1646902046059187E-3</v>
      </c>
      <c r="E70">
        <f si="10" t="shared"/>
        <v>-0.45341819224975538</v>
      </c>
      <c r="G70" s="478"/>
      <c r="H70" s="478" t="s">
        <v>300</v>
      </c>
      <c r="I70" s="478" t="s">
        <v>290</v>
      </c>
      <c r="J70" s="478" t="s">
        <v>301</v>
      </c>
      <c r="K70" s="478" t="s">
        <v>302</v>
      </c>
      <c r="L70" s="478" t="s">
        <v>303</v>
      </c>
      <c r="M70" s="478" t="s">
        <v>304</v>
      </c>
      <c r="N70" s="478" t="s">
        <v>305</v>
      </c>
      <c r="O70" s="478" t="s">
        <v>306</v>
      </c>
      <c r="P70"/>
      <c r="Q70"/>
      <c r="R70" s="385" t="str">
        <f>VLOOKUP(S70,Coeff_Descr!$A:$D,3,FALSE)</f>
        <v>ESCORT</v>
      </c>
      <c r="S70">
        <v>80</v>
      </c>
      <c r="T70" s="385" t="str">
        <f>OtherTourDestination!C78</f>
        <v>Gamma080</v>
      </c>
      <c r="U70" s="387">
        <f>OtherTourDestination!E78</f>
        <v>-1.01264089672</v>
      </c>
      <c r="V70" s="426">
        <f si="14" t="shared"/>
        <v>-1.01264089672</v>
      </c>
    </row>
    <row r="71" spans="1:22" x14ac:dyDescent="0.25">
      <c r="A71" s="385">
        <f si="13" t="shared"/>
        <v>10.5</v>
      </c>
      <c r="B71">
        <f>TLFD!A31+0.5</f>
        <v>20.5</v>
      </c>
      <c r="C71" s="481">
        <f>TLFD!B31/TLFD!$B$102</f>
        <v>4.2721868053738864E-3</v>
      </c>
      <c r="D71" s="481">
        <f>TLFD!F31/TLFD!$F$102</f>
        <v>9.2705291466013678E-3</v>
      </c>
      <c r="E71">
        <f si="10" t="shared"/>
        <v>-0.77471463101538918</v>
      </c>
      <c r="G71" s="476" t="s">
        <v>295</v>
      </c>
      <c r="H71" s="476">
        <v>0</v>
      </c>
      <c r="I71" s="476" t="e">
        <v>#N/A</v>
      </c>
      <c r="J71" s="476" t="e">
        <v>#N/A</v>
      </c>
      <c r="K71" s="476" t="e">
        <v>#N/A</v>
      </c>
      <c r="L71" s="476" t="e">
        <v>#N/A</v>
      </c>
      <c r="M71" s="476" t="e">
        <v>#N/A</v>
      </c>
      <c r="N71" s="476" t="e">
        <v>#N/A</v>
      </c>
      <c r="O71" s="476" t="e">
        <v>#N/A</v>
      </c>
      <c r="P71"/>
      <c r="Q71"/>
      <c r="R71" s="385" t="str">
        <f>VLOOKUP(S71,Coeff_Descr!$A:$D,3,FALSE)</f>
        <v>ESCORT</v>
      </c>
      <c r="S71">
        <v>81</v>
      </c>
      <c r="T71" s="385" t="str">
        <f>OtherTourDestination!C79</f>
        <v>Gamma081</v>
      </c>
      <c r="U71" s="387">
        <f>OtherTourDestination!E79</f>
        <v>-5.1766396376000001</v>
      </c>
      <c r="V71" s="426">
        <f si="14" t="shared"/>
        <v>-5.1766396376000001</v>
      </c>
    </row>
    <row ht="15.75" r="72" spans="1:22" thickBot="1" x14ac:dyDescent="0.3">
      <c r="A72" s="385">
        <f si="13" t="shared"/>
        <v>11.5</v>
      </c>
      <c r="B72">
        <f>TLFD!A32+0.5</f>
        <v>21.5</v>
      </c>
      <c r="C72" s="481">
        <f>TLFD!B32/TLFD!$B$102</f>
        <v>8.7685436557504628E-3</v>
      </c>
      <c r="D72" s="481">
        <f>TLFD!F32/TLFD!$F$102</f>
        <v>7.7599187926663234E-3</v>
      </c>
      <c r="E72">
        <f si="10" t="shared"/>
        <v>0.1221988635392587</v>
      </c>
      <c r="G72" s="477" t="s">
        <v>307</v>
      </c>
      <c r="H72" s="477">
        <v>-0.27947731882677534</v>
      </c>
      <c r="I72" s="477">
        <v>8.4130780086584353E-2</v>
      </c>
      <c r="J72" s="477">
        <v>-3.3219389923538971</v>
      </c>
      <c r="K72" s="477">
        <v>7.990749634874883E-2</v>
      </c>
      <c r="L72" s="477">
        <v>-0.64146284942226939</v>
      </c>
      <c r="M72" s="477">
        <v>8.2508211768718642E-2</v>
      </c>
      <c r="N72" s="477">
        <v>-0.64146284942226939</v>
      </c>
      <c r="O72" s="477">
        <v>8.2508211768718642E-2</v>
      </c>
      <c r="P72"/>
      <c r="Q72"/>
      <c r="R72" s="385" t="str">
        <f>VLOOKUP(S72,Coeff_Descr!$A:$D,3,FALSE)</f>
        <v>ESCORT</v>
      </c>
      <c r="S72">
        <v>82</v>
      </c>
      <c r="T72" s="385" t="str">
        <f>OtherTourDestination!C80</f>
        <v>Gamma082</v>
      </c>
      <c r="U72" s="387">
        <f>OtherTourDestination!E80</f>
        <v>-2.28857439545</v>
      </c>
      <c r="V72" s="426">
        <f si="14" t="shared"/>
        <v>-2.28857439545</v>
      </c>
    </row>
    <row r="73" spans="1:22" x14ac:dyDescent="0.25">
      <c r="A73" s="385">
        <f si="13" t="shared"/>
        <v>12.5</v>
      </c>
      <c r="B73">
        <f>TLFD!A33+0.5</f>
        <v>22.5</v>
      </c>
      <c r="C73" s="481">
        <f>TLFD!B33/TLFD!$B$102</f>
        <v>5.0901733614608065E-3</v>
      </c>
      <c r="D73" s="481">
        <f>TLFD!F33/TLFD!$F$102</f>
        <v>6.8506660637054212E-3</v>
      </c>
      <c r="E73">
        <f si="10" t="shared"/>
        <v>-0.29703399391597463</v>
      </c>
      <c r="G73"/>
      <c r="H73"/>
      <c r="I73"/>
      <c r="J73"/>
      <c r="K73"/>
      <c r="L73"/>
      <c r="M73"/>
      <c r="N73"/>
      <c r="O73"/>
      <c r="P73"/>
      <c r="Q73"/>
      <c r="R73" s="385" t="str">
        <f>VLOOKUP(S73,Coeff_Descr!$A:$D,3,FALSE)</f>
        <v>ESCORT</v>
      </c>
      <c r="S73">
        <v>83</v>
      </c>
      <c r="T73" s="385" t="str">
        <f>OtherTourDestination!C81</f>
        <v>Gamma083</v>
      </c>
      <c r="U73" s="387">
        <f>OtherTourDestination!E81</f>
        <v>-3.4002747143900001</v>
      </c>
      <c r="V73" s="426">
        <f si="14" t="shared"/>
        <v>-3.4002747143900001</v>
      </c>
    </row>
    <row r="74" spans="1:22" x14ac:dyDescent="0.25">
      <c r="A74" s="385">
        <f si="13" t="shared"/>
        <v>13.5</v>
      </c>
      <c r="B74">
        <f>TLFD!A34+0.5</f>
        <v>23.5</v>
      </c>
      <c r="C74" s="481">
        <f>TLFD!B34/TLFD!$B$102</f>
        <v>2.5633476463701251E-3</v>
      </c>
      <c r="D74" s="481">
        <f>TLFD!F34/TLFD!$F$102</f>
        <v>6.0231979717410029E-3</v>
      </c>
      <c r="E74">
        <f si="10" t="shared"/>
        <v>-0.85430426421928773</v>
      </c>
      <c r="G74"/>
      <c r="H74"/>
      <c r="I74"/>
      <c r="J74"/>
      <c r="K74"/>
      <c r="L74"/>
      <c r="M74"/>
      <c r="N74"/>
      <c r="O74"/>
      <c r="P74"/>
      <c r="Q74"/>
      <c r="R74" s="385" t="str">
        <f>VLOOKUP(S74,Coeff_Descr!$A:$D,3,FALSE)</f>
        <v>ESCORT</v>
      </c>
      <c r="S74">
        <v>84</v>
      </c>
      <c r="T74" s="385" t="str">
        <f>OtherTourDestination!C82</f>
        <v>Gamma084</v>
      </c>
      <c r="U74" s="387">
        <f>OtherTourDestination!E82</f>
        <v>-1.5824120396100001</v>
      </c>
      <c r="V74" s="426">
        <f si="14" t="shared"/>
        <v>-1.5824120396100001</v>
      </c>
    </row>
    <row r="75" spans="1:22" x14ac:dyDescent="0.25">
      <c r="A75" s="385">
        <f si="13" t="shared"/>
        <v>14.5</v>
      </c>
      <c r="B75">
        <f>TLFD!A35+0.5</f>
        <v>24.5</v>
      </c>
      <c r="C75" s="481">
        <f>TLFD!B35/TLFD!$B$102</f>
        <v>4.9606468663680606E-3</v>
      </c>
      <c r="D75" s="481">
        <f>TLFD!F35/TLFD!$F$102</f>
        <v>5.4651380957649988E-3</v>
      </c>
      <c r="E75">
        <f si="10" t="shared"/>
        <v>-9.6853241593877301E-2</v>
      </c>
      <c r="G75" t="s">
        <v>285</v>
      </c>
      <c r="H75"/>
      <c r="I75"/>
      <c r="J75"/>
      <c r="K75"/>
      <c r="L75"/>
      <c r="M75"/>
      <c r="N75"/>
      <c r="O75"/>
      <c r="P75"/>
      <c r="Q75"/>
      <c r="R75" s="385" t="str">
        <f>VLOOKUP(S75,Coeff_Descr!$A:$D,3,FALSE)</f>
        <v>ESCORT</v>
      </c>
      <c r="S75">
        <v>85</v>
      </c>
      <c r="T75" s="385" t="str">
        <f>OtherTourDestination!C83</f>
        <v>Gamma085</v>
      </c>
      <c r="U75" s="387">
        <f>OtherTourDestination!E83</f>
        <v>-3.8472578798099999</v>
      </c>
      <c r="V75" s="426">
        <f si="14" t="shared"/>
        <v>-3.8472578798099999</v>
      </c>
    </row>
    <row ht="15.75" r="76" spans="1:22" thickBot="1" x14ac:dyDescent="0.3">
      <c r="A76" s="385">
        <f si="13" t="shared"/>
        <v>15.5</v>
      </c>
      <c r="B76">
        <f>TLFD!A36+0.5</f>
        <v>25.5</v>
      </c>
      <c r="C76" s="481">
        <f>TLFD!B36/TLFD!$B$102</f>
        <v>1.43962599748847E-3</v>
      </c>
      <c r="D76" s="481">
        <f>TLFD!F36/TLFD!$F$102</f>
        <v>4.873402192790444E-3</v>
      </c>
      <c r="E76">
        <f si="10" t="shared"/>
        <v>-1.2194089395137993</v>
      </c>
      <c r="G76"/>
      <c r="H76"/>
      <c r="I76"/>
      <c r="J76"/>
      <c r="K76"/>
      <c r="L76"/>
      <c r="M76"/>
      <c r="N76"/>
      <c r="O76"/>
      <c r="R76" s="385" t="str">
        <f>VLOOKUP(S76,Coeff_Descr!$A:$D,3,FALSE)</f>
        <v>ESCORT</v>
      </c>
      <c r="S76" s="385">
        <f>OtherTourDestination!B84</f>
        <v>86</v>
      </c>
      <c r="T76" s="385" t="str">
        <f>OtherTourDestination!C84</f>
        <v>Gamma086</v>
      </c>
      <c r="U76" s="387">
        <f>OtherTourDestination!E84</f>
        <v>-3.1031248195800001</v>
      </c>
      <c r="V76" s="426">
        <f si="14" t="shared"/>
        <v>-3.1031248195800001</v>
      </c>
    </row>
    <row r="77" spans="1:22" x14ac:dyDescent="0.25">
      <c r="A77" s="385">
        <f si="13" t="shared"/>
        <v>16.5</v>
      </c>
      <c r="B77">
        <f>TLFD!A37+0.5</f>
        <v>26.5</v>
      </c>
      <c r="C77" s="481">
        <f>TLFD!B37/TLFD!$B$102</f>
        <v>1.1858561423841122E-4</v>
      </c>
      <c r="D77" s="481">
        <f>TLFD!F37/TLFD!$F$102</f>
        <v>3.9785820468289206E-3</v>
      </c>
      <c r="E77">
        <f si="10" t="shared"/>
        <v>-3.5130455824238704</v>
      </c>
      <c r="G77" s="479" t="s">
        <v>286</v>
      </c>
      <c r="H77" s="479"/>
      <c r="I77"/>
      <c r="J77"/>
      <c r="K77"/>
      <c r="L77"/>
      <c r="M77"/>
      <c r="N77"/>
      <c r="O77"/>
      <c r="R77" s="385" t="str">
        <f>VLOOKUP(S77,Coeff_Descr!$A:$D,3,FALSE)</f>
        <v>ESCORT</v>
      </c>
      <c r="S77" s="385">
        <f>OtherTourDestination!B85</f>
        <v>87</v>
      </c>
      <c r="T77" s="385" t="str">
        <f>OtherTourDestination!C85</f>
        <v>Gamma087</v>
      </c>
      <c r="U77" s="387">
        <f>OtherTourDestination!E85</f>
        <v>-19.5604248241</v>
      </c>
      <c r="V77" s="426">
        <f si="14" t="shared"/>
        <v>-19.5604248241</v>
      </c>
    </row>
    <row r="78" spans="1:22" x14ac:dyDescent="0.25">
      <c r="A78" s="385">
        <f si="13" t="shared"/>
        <v>17.5</v>
      </c>
      <c r="B78">
        <f>TLFD!A38+0.5</f>
        <v>27.5</v>
      </c>
      <c r="C78" s="481">
        <f>TLFD!B38/TLFD!$B$102</f>
        <v>9.812779958614736E-4</v>
      </c>
      <c r="D78" s="481">
        <f>TLFD!F38/TLFD!$F$102</f>
        <v>3.5023068078494008E-3</v>
      </c>
      <c r="E78">
        <f si="10" t="shared"/>
        <v>-1.2723213188275346</v>
      </c>
      <c r="G78" s="476" t="s">
        <v>287</v>
      </c>
      <c r="H78" s="476">
        <v>2.2116774639548777E-2</v>
      </c>
      <c r="I78"/>
      <c r="J78"/>
      <c r="K78"/>
      <c r="L78"/>
      <c r="M78"/>
      <c r="N78"/>
      <c r="O78"/>
      <c r="R78" s="385" t="str">
        <f>VLOOKUP(S78,Coeff_Descr!$A:$D,3,FALSE)</f>
        <v>ESCORT</v>
      </c>
      <c r="S78" s="385">
        <f>OtherTourDestination!B86</f>
        <v>88</v>
      </c>
      <c r="T78" s="385" t="str">
        <f>OtherTourDestination!C86</f>
        <v>Gamma088</v>
      </c>
      <c r="U78" s="387">
        <f>OtherTourDestination!E86</f>
        <v>0</v>
      </c>
      <c r="V78" s="426">
        <f si="14" t="shared"/>
        <v>0</v>
      </c>
    </row>
    <row r="79" spans="1:22" x14ac:dyDescent="0.25">
      <c r="A79" s="385">
        <f si="13" t="shared"/>
        <v>18.5</v>
      </c>
      <c r="B79">
        <f>TLFD!A39+0.5</f>
        <v>28.5</v>
      </c>
      <c r="C79" s="481">
        <f>TLFD!B39/TLFD!$B$102</f>
        <v>1.1480340182361111E-2</v>
      </c>
      <c r="D79" s="481">
        <f>TLFD!F39/TLFD!$F$102</f>
        <v>3.3339266728566411E-3</v>
      </c>
      <c r="E79">
        <f si="10" t="shared"/>
        <v>1.2364852327197586</v>
      </c>
      <c r="G79" s="476" t="s">
        <v>288</v>
      </c>
      <c r="H79" s="476">
        <v>4.89151720456588E-4</v>
      </c>
      <c r="I79"/>
      <c r="J79"/>
      <c r="K79"/>
      <c r="L79"/>
      <c r="M79"/>
      <c r="N79"/>
      <c r="O79"/>
      <c r="R79" s="385" t="str">
        <f>VLOOKUP(S79,Coeff_Descr!$A:$D,3,FALSE)</f>
        <v>PERSBUS/MED</v>
      </c>
      <c r="S79" s="385">
        <f>OtherTourDestination!B87</f>
        <v>89</v>
      </c>
      <c r="T79" s="385" t="str">
        <f>OtherTourDestination!C87</f>
        <v>Gamma089</v>
      </c>
      <c r="U79" s="387">
        <f>OtherTourDestination!E87</f>
        <v>-5.3998296944700002</v>
      </c>
      <c r="V79" s="426">
        <f si="14" t="shared"/>
        <v>-5.3998296944700002</v>
      </c>
    </row>
    <row r="80" spans="1:22" x14ac:dyDescent="0.25">
      <c r="A80" s="385">
        <f si="13" t="shared"/>
        <v>19.5</v>
      </c>
      <c r="B80">
        <f>TLFD!A40+0.5</f>
        <v>29.5</v>
      </c>
      <c r="C80" s="481">
        <f>TLFD!B40/TLFD!$B$102</f>
        <v>3.1986506754975485E-3</v>
      </c>
      <c r="D80" s="481">
        <f>TLFD!F40/TLFD!$F$102</f>
        <v>3.0356532908694671E-3</v>
      </c>
      <c r="E80">
        <f si="10" t="shared"/>
        <v>5.2302403279653513E-2</v>
      </c>
      <c r="G80" s="476" t="s">
        <v>289</v>
      </c>
      <c r="H80" s="476">
        <v>-0.19951084827954341</v>
      </c>
      <c r="I80"/>
      <c r="J80"/>
      <c r="K80"/>
      <c r="L80"/>
      <c r="M80"/>
      <c r="N80"/>
      <c r="O80"/>
      <c r="R80" s="385" t="str">
        <f>VLOOKUP(S80,Coeff_Descr!$A:$D,3,FALSE)</f>
        <v>PERSBUS/MED</v>
      </c>
      <c r="S80" s="385">
        <f>OtherTourDestination!B88</f>
        <v>90</v>
      </c>
      <c r="T80" s="385" t="str">
        <f>OtherTourDestination!C88</f>
        <v>Gamma090</v>
      </c>
      <c r="U80" s="387">
        <f>OtherTourDestination!E88</f>
        <v>-17.4219403528</v>
      </c>
      <c r="V80" s="426">
        <f si="14" t="shared"/>
        <v>-17.4219403528</v>
      </c>
    </row>
    <row r="81" spans="1:22" x14ac:dyDescent="0.25">
      <c r="A81" s="385">
        <f si="13" t="shared"/>
        <v>20.5</v>
      </c>
      <c r="B81">
        <f>TLFD!A41+0.5</f>
        <v>30.5</v>
      </c>
      <c r="C81" s="481">
        <f>TLFD!B41/TLFD!$B$102</f>
        <v>4.8562058738380298E-4</v>
      </c>
      <c r="D81" s="481">
        <f>TLFD!F41/TLFD!$F$102</f>
        <v>2.8624622948769142E-3</v>
      </c>
      <c r="E81">
        <f si="10" t="shared"/>
        <v>-1.7740098410680709</v>
      </c>
      <c r="G81" s="476" t="s">
        <v>290</v>
      </c>
      <c r="H81" s="476">
        <v>0.28036071433788556</v>
      </c>
      <c r="I81"/>
      <c r="J81"/>
      <c r="K81"/>
      <c r="L81"/>
      <c r="M81"/>
      <c r="N81"/>
      <c r="O81"/>
      <c r="R81" s="385" t="str">
        <f>VLOOKUP(S81,Coeff_Descr!$A:$D,3,FALSE)</f>
        <v>PERSBUS/MED</v>
      </c>
      <c r="S81" s="385">
        <f>OtherTourDestination!B89</f>
        <v>91</v>
      </c>
      <c r="T81" s="385" t="str">
        <f>OtherTourDestination!C89</f>
        <v>Gamma091</v>
      </c>
      <c r="U81" s="387">
        <f>OtherTourDestination!E89</f>
        <v>-10.161549352</v>
      </c>
      <c r="V81" s="426">
        <f si="14" t="shared"/>
        <v>-10.161549352</v>
      </c>
    </row>
    <row ht="15.75" r="82" spans="1:22" thickBot="1" x14ac:dyDescent="0.3">
      <c r="A82" s="385">
        <f si="13" t="shared"/>
        <v>21.5</v>
      </c>
      <c r="B82">
        <f>TLFD!A42+0.5</f>
        <v>31.5</v>
      </c>
      <c r="C82" s="481">
        <f>TLFD!B42/TLFD!$B$102</f>
        <v>2.0573857439477108E-3</v>
      </c>
      <c r="D82" s="481">
        <f>TLFD!F42/TLFD!$F$102</f>
        <v>2.3525110288988419E-3</v>
      </c>
      <c r="E82">
        <f si="10" t="shared"/>
        <v>-0.13404716009593379</v>
      </c>
      <c r="G82" s="477" t="s">
        <v>291</v>
      </c>
      <c r="H82" s="477">
        <v>6</v>
      </c>
      <c r="I82"/>
      <c r="J82"/>
      <c r="K82"/>
      <c r="L82"/>
      <c r="M82"/>
      <c r="N82"/>
      <c r="O82"/>
      <c r="R82" s="385" t="str">
        <f>VLOOKUP(S82,Coeff_Descr!$A:$D,3,FALSE)</f>
        <v>PERSBUS/MED</v>
      </c>
      <c r="S82" s="385">
        <f>OtherTourDestination!B90</f>
        <v>92</v>
      </c>
      <c r="T82" s="385" t="str">
        <f>OtherTourDestination!C90</f>
        <v>Gamma092</v>
      </c>
      <c r="U82" s="387">
        <f>OtherTourDestination!E90</f>
        <v>-0.87415121182</v>
      </c>
      <c r="V82" s="426">
        <f si="14" t="shared"/>
        <v>-0.87415121182</v>
      </c>
    </row>
    <row r="83" spans="1:22" x14ac:dyDescent="0.25">
      <c r="A83" s="385">
        <f si="13" t="shared"/>
        <v>22.5</v>
      </c>
      <c r="B83">
        <f>TLFD!A43+0.5</f>
        <v>32.5</v>
      </c>
      <c r="C83" s="481">
        <f>TLFD!B43/TLFD!$B$102</f>
        <v>1.4161466810732987E-2</v>
      </c>
      <c r="D83" s="481">
        <f>TLFD!F43/TLFD!$F$102</f>
        <v>2.2274286429042204E-3</v>
      </c>
      <c r="E83">
        <f si="10" t="shared"/>
        <v>1.8496768259904657</v>
      </c>
      <c r="G83"/>
      <c r="H83"/>
      <c r="I83"/>
      <c r="J83"/>
      <c r="K83"/>
      <c r="L83"/>
      <c r="M83"/>
      <c r="N83"/>
      <c r="O83"/>
      <c r="R83" s="385" t="str">
        <f>VLOOKUP(S83,Coeff_Descr!$A:$D,3,FALSE)</f>
        <v>PERSBUS/MED</v>
      </c>
      <c r="S83" s="385">
        <f>OtherTourDestination!B91</f>
        <v>93</v>
      </c>
      <c r="T83" s="385" t="str">
        <f>OtherTourDestination!C91</f>
        <v>Gamma093</v>
      </c>
      <c r="U83" s="387">
        <f>OtherTourDestination!E91</f>
        <v>-0.74080192435000003</v>
      </c>
      <c r="V83" s="426">
        <f si="14" t="shared"/>
        <v>-0.74080192435000003</v>
      </c>
    </row>
    <row ht="15.75" r="84" spans="1:22" thickBot="1" x14ac:dyDescent="0.3">
      <c r="A84" s="385">
        <f si="13" t="shared"/>
        <v>23.5</v>
      </c>
      <c r="B84">
        <f>TLFD!A44+0.5</f>
        <v>33.5</v>
      </c>
      <c r="C84" s="481">
        <f>TLFD!B44/TLFD!$B$102</f>
        <v>2.2442885870903105E-3</v>
      </c>
      <c r="D84" s="481">
        <f>TLFD!F44/TLFD!$F$102</f>
        <v>1.9435878439164258E-3</v>
      </c>
      <c r="E84">
        <f si="10" t="shared"/>
        <v>0.14385291415064383</v>
      </c>
      <c r="G84" t="s">
        <v>292</v>
      </c>
      <c r="H84"/>
      <c r="I84"/>
      <c r="J84"/>
      <c r="K84"/>
      <c r="L84"/>
      <c r="M84"/>
      <c r="N84"/>
      <c r="O84"/>
      <c r="R84" s="385" t="str">
        <f>VLOOKUP(S84,Coeff_Descr!$A:$D,3,FALSE)</f>
        <v>PERSBUS/MED</v>
      </c>
      <c r="S84" s="385">
        <f>OtherTourDestination!B92</f>
        <v>94</v>
      </c>
      <c r="T84" s="385" t="str">
        <f>OtherTourDestination!C92</f>
        <v>Gamma094</v>
      </c>
      <c r="U84" s="387">
        <f>OtherTourDestination!E92</f>
        <v>0</v>
      </c>
      <c r="V84" s="426">
        <f si="14" t="shared"/>
        <v>0</v>
      </c>
    </row>
    <row r="85" spans="1:22" x14ac:dyDescent="0.25">
      <c r="A85" s="385">
        <f si="13" t="shared"/>
        <v>24.5</v>
      </c>
      <c r="B85">
        <f>TLFD!A45+0.5</f>
        <v>34.5</v>
      </c>
      <c r="C85" s="481">
        <f>TLFD!B45/TLFD!$B$102</f>
        <v>4.7747471073913858E-4</v>
      </c>
      <c r="D85" s="481">
        <f>TLFD!F45/TLFD!$F$102</f>
        <v>1.6260710179300788E-3</v>
      </c>
      <c r="E85">
        <f si="10" t="shared"/>
        <v>-1.2254107689023221</v>
      </c>
      <c r="G85" s="478"/>
      <c r="H85" s="478" t="s">
        <v>296</v>
      </c>
      <c r="I85" s="478" t="s">
        <v>297</v>
      </c>
      <c r="J85" s="478" t="s">
        <v>298</v>
      </c>
      <c r="K85" s="478" t="s">
        <v>241</v>
      </c>
      <c r="L85" s="478" t="s">
        <v>299</v>
      </c>
      <c r="M85"/>
      <c r="N85"/>
      <c r="O85"/>
      <c r="R85" s="385" t="str">
        <f>VLOOKUP(S85,Coeff_Descr!$A:$D,3,FALSE)</f>
        <v>PERSBUS/MED</v>
      </c>
      <c r="S85" s="385">
        <f>OtherTourDestination!B93</f>
        <v>95</v>
      </c>
      <c r="T85" s="385" t="str">
        <f>OtherTourDestination!C93</f>
        <v>Gamma095</v>
      </c>
      <c r="U85" s="387">
        <f>OtherTourDestination!E93</f>
        <v>-10.7800625269</v>
      </c>
      <c r="V85" s="426">
        <f si="14" t="shared"/>
        <v>-10.7800625269</v>
      </c>
    </row>
    <row r="86" spans="1:22" x14ac:dyDescent="0.25">
      <c r="A86" s="385">
        <f si="13" t="shared"/>
        <v>25.5</v>
      </c>
      <c r="B86">
        <f>TLFD!A46+0.5</f>
        <v>35.5</v>
      </c>
      <c r="C86" s="481">
        <f>TLFD!B46/TLFD!$B$102</f>
        <v>6.1712028525675476E-3</v>
      </c>
      <c r="D86" s="481">
        <f>TLFD!F46/TLFD!$F$102</f>
        <v>1.4913669099358713E-3</v>
      </c>
      <c r="E86">
        <f si="10" t="shared"/>
        <v>1.4202006820786666</v>
      </c>
      <c r="G86" s="476" t="s">
        <v>293</v>
      </c>
      <c r="H86" s="476">
        <v>1</v>
      </c>
      <c r="I86" s="476">
        <v>1.9233591740247524E-4</v>
      </c>
      <c r="J86" s="476">
        <v>1.9233591740247524E-4</v>
      </c>
      <c r="K86" s="476">
        <v>2.4469555347926648E-3</v>
      </c>
      <c r="L86" s="476">
        <v>0.96291886726862808</v>
      </c>
      <c r="M86"/>
      <c r="N86"/>
      <c r="O86"/>
      <c r="R86" s="385" t="str">
        <f>VLOOKUP(S86,Coeff_Descr!$A:$D,3,FALSE)</f>
        <v>PERSBUS/MED</v>
      </c>
      <c r="S86" s="385">
        <f>OtherTourDestination!B94</f>
        <v>96</v>
      </c>
      <c r="T86" s="385" t="str">
        <f>OtherTourDestination!C94</f>
        <v>Gamma096</v>
      </c>
      <c r="U86" s="387">
        <f>OtherTourDestination!E94</f>
        <v>-17.598302231800002</v>
      </c>
      <c r="V86" s="426">
        <f si="14" t="shared"/>
        <v>-17.598302231800002</v>
      </c>
    </row>
    <row r="87" spans="1:22" x14ac:dyDescent="0.25">
      <c r="A87" s="385">
        <f si="13" t="shared"/>
        <v>26.5</v>
      </c>
      <c r="B87">
        <f>TLFD!A47+0.5</f>
        <v>36.5</v>
      </c>
      <c r="C87" s="481">
        <f>TLFD!B47/TLFD!$B$102</f>
        <v>4.0869246989833698E-4</v>
      </c>
      <c r="D87" s="481">
        <f>TLFD!F47/TLFD!$F$102</f>
        <v>1.3999605509398016E-3</v>
      </c>
      <c r="E87">
        <f si="10" t="shared"/>
        <v>-1.2312363714265353</v>
      </c>
      <c r="G87" s="476" t="s">
        <v>294</v>
      </c>
      <c r="H87" s="476">
        <v>5</v>
      </c>
      <c r="I87" s="476">
        <v>0.39301065072024743</v>
      </c>
      <c r="J87" s="476">
        <v>7.8602130144049487E-2</v>
      </c>
      <c r="K87" s="476"/>
      <c r="L87" s="476"/>
      <c r="M87"/>
      <c r="N87"/>
      <c r="O87"/>
      <c r="R87" s="385" t="str">
        <f>VLOOKUP(S87,Coeff_Descr!$A:$D,3,FALSE)</f>
        <v>PERSBUS/MED</v>
      </c>
      <c r="S87" s="385">
        <f>OtherTourDestination!B95</f>
        <v>97</v>
      </c>
      <c r="T87" s="385" t="str">
        <f>OtherTourDestination!C95</f>
        <v>Gamma097</v>
      </c>
      <c r="U87" s="387">
        <f>OtherTourDestination!E95</f>
        <v>-7.3399914692000001</v>
      </c>
      <c r="V87" s="426">
        <f si="14" t="shared"/>
        <v>-7.3399914692000001</v>
      </c>
    </row>
    <row ht="15.75" r="88" spans="1:22" thickBot="1" x14ac:dyDescent="0.3">
      <c r="A88" s="385">
        <f si="13" t="shared"/>
        <v>27.5</v>
      </c>
      <c r="B88">
        <f>TLFD!A48+0.5</f>
        <v>37.5</v>
      </c>
      <c r="C88" s="481">
        <f>TLFD!B48/TLFD!$B$102</f>
        <v>4.3007929883976271E-4</v>
      </c>
      <c r="D88" s="481">
        <f>TLFD!F48/TLFD!$F$102</f>
        <v>1.2075261109480765E-3</v>
      </c>
      <c r="E88">
        <f si="10" t="shared"/>
        <v>-1.0323594016749853</v>
      </c>
      <c r="G88" s="477" t="s">
        <v>4</v>
      </c>
      <c r="H88" s="477">
        <v>6</v>
      </c>
      <c r="I88" s="477">
        <v>0.39320298663764991</v>
      </c>
      <c r="J88" s="477"/>
      <c r="K88" s="477"/>
      <c r="L88" s="477"/>
      <c r="M88"/>
      <c r="N88"/>
      <c r="O88"/>
      <c r="R88" s="385" t="str">
        <f>VLOOKUP(S88,Coeff_Descr!$A:$D,3,FALSE)</f>
        <v>SHOP</v>
      </c>
      <c r="S88" s="385">
        <f>OtherTourDestination!B96</f>
        <v>98</v>
      </c>
      <c r="T88" s="385" t="str">
        <f>OtherTourDestination!C96</f>
        <v>Gamma098</v>
      </c>
      <c r="U88" s="387">
        <f>OtherTourDestination!E96</f>
        <v>-11.813486662400001</v>
      </c>
      <c r="V88" s="426">
        <f si="14" t="shared"/>
        <v>-11.813486662400001</v>
      </c>
    </row>
    <row ht="15.75" r="89" spans="1:22" thickBot="1" x14ac:dyDescent="0.3">
      <c r="A89" s="385">
        <f si="13" t="shared"/>
        <v>28.5</v>
      </c>
      <c r="B89">
        <f>TLFD!A49+0.5</f>
        <v>38.5</v>
      </c>
      <c r="C89" s="481">
        <f>TLFD!B49/TLFD!$B$102</f>
        <v>0</v>
      </c>
      <c r="D89" s="481">
        <f>TLFD!F49/TLFD!$F$102</f>
        <v>1.0150916709563511E-3</v>
      </c>
      <c r="E89">
        <f si="10" t="shared"/>
        <v>0</v>
      </c>
      <c r="G89"/>
      <c r="H89"/>
      <c r="I89"/>
      <c r="J89"/>
      <c r="K89"/>
      <c r="L89"/>
      <c r="M89"/>
      <c r="N89"/>
      <c r="O89"/>
      <c r="R89" s="385" t="str">
        <f>VLOOKUP(S89,Coeff_Descr!$A:$D,3,FALSE)</f>
        <v>SHOP</v>
      </c>
      <c r="S89" s="385">
        <f>OtherTourDestination!B97</f>
        <v>99</v>
      </c>
      <c r="T89" s="385" t="str">
        <f>OtherTourDestination!C97</f>
        <v>Gamma099</v>
      </c>
      <c r="U89" s="387">
        <f>OtherTourDestination!E97</f>
        <v>-12.070734291200001</v>
      </c>
      <c r="V89" s="426">
        <f si="14" t="shared"/>
        <v>-12.070734291200001</v>
      </c>
    </row>
    <row r="90" spans="1:22" x14ac:dyDescent="0.25">
      <c r="A90" s="385">
        <f si="13" t="shared"/>
        <v>29.5</v>
      </c>
      <c r="B90">
        <f>TLFD!A50+0.5</f>
        <v>39.5</v>
      </c>
      <c r="C90" s="481">
        <f>TLFD!B50/TLFD!$B$102</f>
        <v>0</v>
      </c>
      <c r="D90" s="481">
        <f>TLFD!F50/TLFD!$F$102</f>
        <v>7.9379206496586697E-4</v>
      </c>
      <c r="E90">
        <f si="10" t="shared"/>
        <v>0</v>
      </c>
      <c r="G90" s="478"/>
      <c r="H90" s="478" t="s">
        <v>300</v>
      </c>
      <c r="I90" s="478" t="s">
        <v>290</v>
      </c>
      <c r="J90" s="478" t="s">
        <v>301</v>
      </c>
      <c r="K90" s="478" t="s">
        <v>302</v>
      </c>
      <c r="L90" s="478" t="s">
        <v>303</v>
      </c>
      <c r="M90" s="478" t="s">
        <v>304</v>
      </c>
      <c r="N90" s="478" t="s">
        <v>305</v>
      </c>
      <c r="O90" s="478" t="s">
        <v>306</v>
      </c>
      <c r="R90" s="385" t="str">
        <f>VLOOKUP(S90,Coeff_Descr!$A:$D,3,FALSE)</f>
        <v>SHOP</v>
      </c>
      <c r="S90" s="385">
        <f>OtherTourDestination!B98</f>
        <v>100</v>
      </c>
      <c r="T90" s="385" t="str">
        <f>OtherTourDestination!C98</f>
        <v>Gamma100</v>
      </c>
      <c r="U90" s="387">
        <f>OtherTourDestination!E98</f>
        <v>0</v>
      </c>
      <c r="V90" s="426">
        <f si="14" t="shared"/>
        <v>0</v>
      </c>
    </row>
    <row r="91" spans="1:22" x14ac:dyDescent="0.25">
      <c r="A91" s="385">
        <f si="13" t="shared"/>
        <v>30.5</v>
      </c>
      <c r="B91">
        <f>TLFD!A51+0.5</f>
        <v>40.5</v>
      </c>
      <c r="C91" s="481">
        <f>TLFD!B51/TLFD!$B$102</f>
        <v>0</v>
      </c>
      <c r="D91" s="481">
        <f>TLFD!F51/TLFD!$F$102</f>
        <v>7.5049431596772875E-4</v>
      </c>
      <c r="E91">
        <f si="10" t="shared"/>
        <v>0</v>
      </c>
      <c r="G91" s="476" t="s">
        <v>295</v>
      </c>
      <c r="H91" s="476">
        <v>0</v>
      </c>
      <c r="I91" s="476" t="e">
        <v>#N/A</v>
      </c>
      <c r="J91" s="476" t="e">
        <v>#N/A</v>
      </c>
      <c r="K91" s="476" t="e">
        <v>#N/A</v>
      </c>
      <c r="L91" s="476" t="e">
        <v>#N/A</v>
      </c>
      <c r="M91" s="476" t="e">
        <v>#N/A</v>
      </c>
      <c r="N91" s="476" t="e">
        <v>#N/A</v>
      </c>
      <c r="O91" s="476" t="e">
        <v>#N/A</v>
      </c>
      <c r="R91" s="385" t="str">
        <f>VLOOKUP(S91,Coeff_Descr!$A:$D,3,FALSE)</f>
        <v>SHOP</v>
      </c>
      <c r="S91" s="385">
        <f>OtherTourDestination!B99</f>
        <v>101</v>
      </c>
      <c r="T91" s="385" t="str">
        <f>OtherTourDestination!C99</f>
        <v>Gamma101</v>
      </c>
      <c r="U91" s="387">
        <f>OtherTourDestination!E99</f>
        <v>-11.328569288200001</v>
      </c>
      <c r="V91" s="426">
        <f si="14" t="shared"/>
        <v>-11.328569288200001</v>
      </c>
    </row>
    <row ht="15.75" r="92" spans="1:22" thickBot="1" x14ac:dyDescent="0.3">
      <c r="A92" s="385">
        <f si="13" t="shared"/>
        <v>31.5</v>
      </c>
      <c r="B92">
        <f>TLFD!A52+0.5</f>
        <v>41.5</v>
      </c>
      <c r="C92" s="481">
        <f>TLFD!B52/TLFD!$B$102</f>
        <v>2.5427146520264928E-4</v>
      </c>
      <c r="D92" s="481">
        <f>TLFD!F52/TLFD!$F$102</f>
        <v>6.0616848597393473E-4</v>
      </c>
      <c r="E92">
        <f si="10" t="shared"/>
        <v>-0.86875552014534985</v>
      </c>
      <c r="G92" s="477" t="s">
        <v>307</v>
      </c>
      <c r="H92" s="477">
        <v>-1.453816188490381E-3</v>
      </c>
      <c r="I92" s="477">
        <v>2.938978856529308E-2</v>
      </c>
      <c r="J92" s="477">
        <v>-4.946671138040163E-2</v>
      </c>
      <c r="K92" s="477">
        <v>0.962462579554762</v>
      </c>
      <c r="L92" s="477">
        <v>-7.7002672827624657E-2</v>
      </c>
      <c r="M92" s="477">
        <v>7.4095040450643884E-2</v>
      </c>
      <c r="N92" s="477">
        <v>-7.7002672827624657E-2</v>
      </c>
      <c r="O92" s="477">
        <v>7.4095040450643884E-2</v>
      </c>
      <c r="R92" s="385" t="str">
        <f>VLOOKUP(S92,Coeff_Descr!$A:$D,3,FALSE)</f>
        <v>MEAL</v>
      </c>
      <c r="S92" s="385">
        <f>OtherTourDestination!B100</f>
        <v>102</v>
      </c>
      <c r="T92" s="385" t="str">
        <f>OtherTourDestination!C100</f>
        <v>Gamma102</v>
      </c>
      <c r="U92" s="387">
        <f>OtherTourDestination!E100</f>
        <v>0</v>
      </c>
      <c r="V92" s="426">
        <f si="14" t="shared"/>
        <v>0</v>
      </c>
    </row>
    <row r="93" spans="1:22" x14ac:dyDescent="0.25">
      <c r="A93" s="385">
        <f si="13" t="shared"/>
        <v>32.5</v>
      </c>
      <c r="B93">
        <f>TLFD!A53+0.5</f>
        <v>42.5</v>
      </c>
      <c r="C93" s="481">
        <f>TLFD!B53/TLFD!$B$102</f>
        <v>0</v>
      </c>
      <c r="D93" s="481">
        <f>TLFD!F53/TLFD!$F$102</f>
        <v>4.9070782197889961E-4</v>
      </c>
      <c r="E93">
        <f si="10" t="shared"/>
        <v>0</v>
      </c>
      <c r="G93"/>
      <c r="H93"/>
      <c r="I93"/>
      <c r="J93"/>
      <c r="K93"/>
      <c r="L93"/>
      <c r="M93"/>
      <c r="N93"/>
      <c r="O93"/>
      <c r="R93" s="385" t="str">
        <f>VLOOKUP(S93,Coeff_Descr!$A:$D,3,FALSE)</f>
        <v>MEAL</v>
      </c>
      <c r="S93" s="385">
        <f>OtherTourDestination!B101</f>
        <v>103</v>
      </c>
      <c r="T93" s="385" t="str">
        <f>OtherTourDestination!C101</f>
        <v>Gamma103</v>
      </c>
      <c r="U93" s="387">
        <f>OtherTourDestination!E101</f>
        <v>-12.623617921899999</v>
      </c>
      <c r="V93" s="426">
        <f si="14" t="shared"/>
        <v>-12.623617921899999</v>
      </c>
    </row>
    <row r="94" spans="1:22" x14ac:dyDescent="0.25">
      <c r="A94" s="385">
        <f si="13" t="shared"/>
        <v>33.5</v>
      </c>
      <c r="B94">
        <f>TLFD!A54+0.5</f>
        <v>43.5</v>
      </c>
      <c r="C94" s="481">
        <f>TLFD!B54/TLFD!$B$102</f>
        <v>1.7257296719394943E-3</v>
      </c>
      <c r="D94" s="481">
        <f>TLFD!F54/TLFD!$F$102</f>
        <v>4.4259921198096822E-4</v>
      </c>
      <c r="E94">
        <f si="10" t="shared"/>
        <v>1.3607405910689736</v>
      </c>
      <c r="G94"/>
      <c r="H94"/>
      <c r="I94"/>
      <c r="J94"/>
      <c r="K94"/>
      <c r="L94"/>
      <c r="M94"/>
      <c r="N94"/>
      <c r="O94"/>
      <c r="R94" s="385" t="str">
        <f>VLOOKUP(S94,Coeff_Descr!$A:$D,3,FALSE)</f>
        <v>MEAL</v>
      </c>
      <c r="S94" s="385">
        <f>OtherTourDestination!B102</f>
        <v>104</v>
      </c>
      <c r="T94" s="385" t="str">
        <f>OtherTourDestination!C102</f>
        <v>Gamma104</v>
      </c>
      <c r="U94" s="387">
        <f>OtherTourDestination!E102</f>
        <v>-12.9367414966</v>
      </c>
      <c r="V94" s="426">
        <f si="14" t="shared"/>
        <v>-12.9367414966</v>
      </c>
    </row>
    <row r="95" spans="1:22" x14ac:dyDescent="0.25">
      <c r="A95" s="385">
        <f si="13" t="shared"/>
        <v>34.5</v>
      </c>
      <c r="B95">
        <f>TLFD!A55+0.5</f>
        <v>44.5</v>
      </c>
      <c r="C95" s="481">
        <f>TLFD!B55/TLFD!$B$102</f>
        <v>0</v>
      </c>
      <c r="D95" s="481">
        <f>TLFD!F55/TLFD!$F$102</f>
        <v>3.8967974098324376E-4</v>
      </c>
      <c r="E95">
        <f si="10" t="shared"/>
        <v>0</v>
      </c>
      <c r="G95" t="s">
        <v>285</v>
      </c>
      <c r="H95"/>
      <c r="I95"/>
      <c r="J95"/>
      <c r="K95"/>
      <c r="L95"/>
      <c r="M95"/>
      <c r="N95"/>
      <c r="O95"/>
      <c r="R95" s="385" t="str">
        <f>VLOOKUP(S95,Coeff_Descr!$A:$D,3,FALSE)</f>
        <v>MEAL</v>
      </c>
      <c r="S95" s="385">
        <f>OtherTourDestination!B103</f>
        <v>105</v>
      </c>
      <c r="T95" s="385" t="str">
        <f>OtherTourDestination!C103</f>
        <v>Gamma105</v>
      </c>
      <c r="U95" s="387">
        <f>OtherTourDestination!E103</f>
        <v>-21.748737142</v>
      </c>
      <c r="V95" s="426">
        <f si="14" t="shared"/>
        <v>-21.748737142</v>
      </c>
    </row>
    <row ht="15.75" r="96" spans="1:22" thickBot="1" x14ac:dyDescent="0.3">
      <c r="A96" s="385">
        <f si="13" t="shared"/>
        <v>35.5</v>
      </c>
      <c r="B96">
        <f>TLFD!A56+0.5</f>
        <v>45.5</v>
      </c>
      <c r="C96" s="481">
        <f>TLFD!B56/TLFD!$B$102</f>
        <v>1.9806846734610581E-3</v>
      </c>
      <c r="D96" s="481">
        <f>TLFD!F56/TLFD!$F$102</f>
        <v>4.2816662898158882E-4</v>
      </c>
      <c r="E96">
        <f si="10" t="shared"/>
        <v>1.5316854187258315</v>
      </c>
      <c r="G96"/>
      <c r="H96"/>
      <c r="I96"/>
      <c r="J96"/>
      <c r="K96"/>
      <c r="L96"/>
      <c r="M96"/>
      <c r="N96"/>
      <c r="O96"/>
      <c r="R96" s="385" t="str">
        <f>VLOOKUP(S96,Coeff_Descr!$A:$D,3,FALSE)</f>
        <v>SOCREC</v>
      </c>
      <c r="S96" s="385">
        <f>OtherTourDestination!B104</f>
        <v>106</v>
      </c>
      <c r="T96" s="385" t="str">
        <f>OtherTourDestination!C104</f>
        <v>Gamma106</v>
      </c>
      <c r="U96" s="387">
        <f>OtherTourDestination!E104</f>
        <v>-1.1770951513500001</v>
      </c>
      <c r="V96" s="426">
        <f si="14" t="shared"/>
        <v>-1.1770951513500001</v>
      </c>
    </row>
    <row r="97" spans="1:22" x14ac:dyDescent="0.25">
      <c r="A97" s="385">
        <f si="13" t="shared"/>
        <v>36.5</v>
      </c>
      <c r="B97">
        <f>TLFD!A57+0.5</f>
        <v>46.5</v>
      </c>
      <c r="C97" s="481">
        <f>TLFD!B57/TLFD!$B$102</f>
        <v>0</v>
      </c>
      <c r="D97" s="481">
        <f>TLFD!F57/TLFD!$F$102</f>
        <v>2.8384079898779486E-4</v>
      </c>
      <c r="E97">
        <f si="10" t="shared"/>
        <v>0</v>
      </c>
      <c r="G97" s="479" t="s">
        <v>286</v>
      </c>
      <c r="H97" s="479"/>
      <c r="I97"/>
      <c r="J97"/>
      <c r="K97"/>
      <c r="L97"/>
      <c r="M97"/>
      <c r="N97"/>
      <c r="O97"/>
      <c r="R97" s="385" t="str">
        <f>VLOOKUP(S97,Coeff_Descr!$A:$D,3,FALSE)</f>
        <v>SOCREC</v>
      </c>
      <c r="S97" s="385">
        <f>OtherTourDestination!B105</f>
        <v>107</v>
      </c>
      <c r="T97" s="385" t="str">
        <f>OtherTourDestination!C105</f>
        <v>Gamma107</v>
      </c>
      <c r="U97" s="387">
        <f>OtherTourDestination!E105</f>
        <v>-1.0914895580199999</v>
      </c>
      <c r="V97" s="426">
        <f si="14" t="shared"/>
        <v>-1.0914895580199999</v>
      </c>
    </row>
    <row r="98" spans="1:22" x14ac:dyDescent="0.25">
      <c r="A98" s="385">
        <f si="13" t="shared"/>
        <v>37.5</v>
      </c>
      <c r="B98">
        <f>TLFD!A58+0.5</f>
        <v>47.5</v>
      </c>
      <c r="C98" s="481">
        <f>TLFD!B58/TLFD!$B$102</f>
        <v>3.1082492239489204E-4</v>
      </c>
      <c r="D98" s="481">
        <f>TLFD!F58/TLFD!$F$102</f>
        <v>3.511928529848987E-4</v>
      </c>
      <c r="E98">
        <f si="10" t="shared"/>
        <v>-0.12210570811873366</v>
      </c>
      <c r="G98" s="476" t="s">
        <v>287</v>
      </c>
      <c r="H98" s="476">
        <v>2.9946439469279305E-2</v>
      </c>
      <c r="I98"/>
      <c r="J98"/>
      <c r="K98"/>
      <c r="L98"/>
      <c r="M98"/>
      <c r="N98"/>
      <c r="O98"/>
      <c r="R98" s="385" t="str">
        <f>VLOOKUP(S98,Coeff_Descr!$A:$D,3,FALSE)</f>
        <v>SOCREC</v>
      </c>
      <c r="S98" s="385">
        <f>OtherTourDestination!B106</f>
        <v>108</v>
      </c>
      <c r="T98" s="385" t="str">
        <f>OtherTourDestination!C106</f>
        <v>Gamma108</v>
      </c>
      <c r="U98" s="387">
        <f>OtherTourDestination!E106</f>
        <v>-6.6396727717899999</v>
      </c>
      <c r="V98" s="426">
        <f si="14" t="shared"/>
        <v>-6.6396727717899999</v>
      </c>
    </row>
    <row r="99" spans="1:22" x14ac:dyDescent="0.25">
      <c r="A99" s="385">
        <f si="13" t="shared"/>
        <v>38.5</v>
      </c>
      <c r="B99">
        <f>TLFD!A59+0.5</f>
        <v>48.5</v>
      </c>
      <c r="C99" s="481">
        <f>TLFD!B59/TLFD!$B$102</f>
        <v>0</v>
      </c>
      <c r="D99" s="481">
        <f>TLFD!F59/TLFD!$F$102</f>
        <v>2.4054304998965664E-4</v>
      </c>
      <c r="E99">
        <f si="10" t="shared"/>
        <v>0</v>
      </c>
      <c r="G99" s="476" t="s">
        <v>288</v>
      </c>
      <c r="H99" s="476">
        <v>8.9678923688720933E-4</v>
      </c>
      <c r="I99"/>
      <c r="J99"/>
      <c r="K99"/>
      <c r="L99"/>
      <c r="M99"/>
      <c r="N99"/>
      <c r="O99"/>
      <c r="R99" s="385" t="str">
        <f>VLOOKUP(S99,Coeff_Descr!$A:$D,3,FALSE)</f>
        <v>SOCREC</v>
      </c>
      <c r="S99" s="385">
        <f>OtherTourDestination!B107</f>
        <v>109</v>
      </c>
      <c r="T99" s="385" t="str">
        <f>OtherTourDestination!C107</f>
        <v>Gamma109</v>
      </c>
      <c r="U99" s="387">
        <f>OtherTourDestination!E107</f>
        <v>-6.1680097229099999</v>
      </c>
      <c r="V99" s="426">
        <f si="14" t="shared"/>
        <v>-6.1680097229099999</v>
      </c>
    </row>
    <row r="100" spans="1:22" x14ac:dyDescent="0.25">
      <c r="A100" s="385">
        <f si="13" t="shared"/>
        <v>39.5</v>
      </c>
      <c r="B100">
        <f>TLFD!A60+0.5</f>
        <v>49.5</v>
      </c>
      <c r="C100" s="481">
        <f>TLFD!B60/TLFD!$B$102</f>
        <v>0</v>
      </c>
      <c r="D100" s="481">
        <f>TLFD!F60/TLFD!$F$102</f>
        <v>2.9346252098738109E-4</v>
      </c>
      <c r="E100">
        <f si="10" t="shared"/>
        <v>0</v>
      </c>
      <c r="G100" s="476" t="s">
        <v>289</v>
      </c>
      <c r="H100" s="476">
        <v>-1.1603210763112791E-2</v>
      </c>
      <c r="I100"/>
      <c r="J100"/>
      <c r="K100"/>
      <c r="L100"/>
      <c r="M100"/>
      <c r="N100"/>
      <c r="O100"/>
      <c r="R100" s="385" t="str">
        <f>VLOOKUP(S100,Coeff_Descr!$A:$D,3,FALSE)</f>
        <v>SOCREC</v>
      </c>
      <c r="S100" s="385">
        <f>OtherTourDestination!B108</f>
        <v>110</v>
      </c>
      <c r="T100" s="385" t="str">
        <f>OtherTourDestination!C108</f>
        <v>Gamma110</v>
      </c>
      <c r="U100" s="387">
        <f>OtherTourDestination!E108</f>
        <v>-2.9287550310000001</v>
      </c>
      <c r="V100" s="426">
        <f si="14" t="shared"/>
        <v>-2.9287550310000001</v>
      </c>
    </row>
    <row r="101" spans="1:22" x14ac:dyDescent="0.25">
      <c r="A101" s="385">
        <f si="13" t="shared"/>
        <v>40.5</v>
      </c>
      <c r="B101">
        <f>TLFD!A61+0.5</f>
        <v>50.5</v>
      </c>
      <c r="C101" s="481">
        <f>TLFD!B61/TLFD!$B$102</f>
        <v>1.287331092850957E-3</v>
      </c>
      <c r="D101" s="481">
        <f>TLFD!F61/TLFD!$F$102</f>
        <v>1.8762357899193219E-4</v>
      </c>
      <c r="E101">
        <f si="10" t="shared"/>
        <v>1.9258887176486961</v>
      </c>
      <c r="G101" s="476" t="s">
        <v>290</v>
      </c>
      <c r="H101" s="476">
        <v>0.76292021317113234</v>
      </c>
      <c r="I101"/>
      <c r="J101"/>
      <c r="K101"/>
      <c r="L101"/>
      <c r="M101"/>
      <c r="N101"/>
      <c r="O101"/>
      <c r="R101" s="385" t="str">
        <f>VLOOKUP(S101,Coeff_Descr!$A:$D,3,FALSE)</f>
        <v>SOCREC</v>
      </c>
      <c r="S101" s="385">
        <f>OtherTourDestination!B109</f>
        <v>111</v>
      </c>
      <c r="T101" s="385" t="str">
        <f>OtherTourDestination!C109</f>
        <v>Gamma111</v>
      </c>
      <c r="U101" s="387">
        <f>OtherTourDestination!E109</f>
        <v>0</v>
      </c>
      <c r="V101" s="426">
        <f si="14" t="shared"/>
        <v>0</v>
      </c>
    </row>
    <row ht="15.75" r="102" spans="1:22" thickBot="1" x14ac:dyDescent="0.3">
      <c r="A102" s="385">
        <f si="13" t="shared"/>
        <v>41.5</v>
      </c>
      <c r="B102">
        <f>TLFD!A62+0.5</f>
        <v>51.5</v>
      </c>
      <c r="C102" s="481">
        <f>TLFD!B62/TLFD!$B$102</f>
        <v>0</v>
      </c>
      <c r="D102" s="481">
        <f>TLFD!F62/TLFD!$F$102</f>
        <v>1.731909959925528E-4</v>
      </c>
      <c r="E102">
        <f si="10" t="shared"/>
        <v>0</v>
      </c>
      <c r="G102" s="477" t="s">
        <v>291</v>
      </c>
      <c r="H102" s="477">
        <v>81</v>
      </c>
      <c r="I102"/>
      <c r="J102"/>
      <c r="K102"/>
      <c r="L102"/>
      <c r="M102"/>
      <c r="N102"/>
      <c r="O102"/>
      <c r="R102" s="385" t="str">
        <f>VLOOKUP(S102,Coeff_Descr!$A:$D,3,FALSE)</f>
        <v>SOCREC</v>
      </c>
      <c r="S102" s="385">
        <f>OtherTourDestination!B110</f>
        <v>112</v>
      </c>
      <c r="T102" s="385" t="str">
        <f>OtherTourDestination!C110</f>
        <v>Gamma112</v>
      </c>
      <c r="U102" s="387">
        <f>OtherTourDestination!E110</f>
        <v>0</v>
      </c>
      <c r="V102" s="426">
        <f si="14" t="shared"/>
        <v>0</v>
      </c>
    </row>
    <row r="103" spans="1:22" x14ac:dyDescent="0.25">
      <c r="A103" s="385">
        <f si="13" t="shared"/>
        <v>42.5</v>
      </c>
      <c r="B103">
        <f>TLFD!A63+0.5</f>
        <v>52.5</v>
      </c>
      <c r="C103" s="481">
        <f>TLFD!B63/TLFD!$B$102</f>
        <v>0</v>
      </c>
      <c r="D103" s="481">
        <f>TLFD!F63/TLFD!$F$102</f>
        <v>2.16488744990691E-4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R103" s="385" t="str">
        <f>VLOOKUP(S103,Coeff_Descr!$A:$D,3,FALSE)</f>
        <v>SOCREC</v>
      </c>
      <c r="S103" s="385">
        <f>OtherTourDestination!B111</f>
        <v>113</v>
      </c>
      <c r="T103" s="385" t="str">
        <f>OtherTourDestination!C111</f>
        <v>Gamma113</v>
      </c>
      <c r="U103" s="387">
        <f>OtherTourDestination!E111</f>
        <v>-5.4368248499099998</v>
      </c>
      <c r="V103" s="426">
        <f si="14" t="shared"/>
        <v>-5.4368248499099998</v>
      </c>
    </row>
    <row ht="15.75" r="104" spans="1:22" thickBot="1" x14ac:dyDescent="0.3">
      <c r="A104" s="385">
        <f si="13" t="shared"/>
        <v>43.5</v>
      </c>
      <c r="B104">
        <f>TLFD!A64+0.5</f>
        <v>53.5</v>
      </c>
      <c r="C104" s="481">
        <f>TLFD!B64/TLFD!$B$102</f>
        <v>0</v>
      </c>
      <c r="D104" s="481">
        <f>TLFD!F64/TLFD!$F$102</f>
        <v>1.731909959925528E-4</v>
      </c>
      <c r="E104">
        <f si="10" t="shared"/>
        <v>0</v>
      </c>
      <c r="G104" t="s">
        <v>292</v>
      </c>
      <c r="H104"/>
      <c r="I104"/>
      <c r="J104"/>
      <c r="K104"/>
      <c r="L104"/>
      <c r="M104"/>
      <c r="N104"/>
      <c r="O104"/>
      <c r="R104" s="385" t="e">
        <f>VLOOKUP(S104,Coeff_Descr!$A:$D,3,FALSE)</f>
        <v>#N/A</v>
      </c>
      <c r="S104" s="385">
        <f>OtherTourDestination!B112</f>
        <v>114</v>
      </c>
      <c r="T104" s="385" t="str">
        <f>OtherTourDestination!C112</f>
        <v>Beta114</v>
      </c>
      <c r="U104" s="387">
        <f>OtherTourDestination!E112</f>
        <v>-0.8</v>
      </c>
      <c r="V104" s="426">
        <f si="14" t="shared"/>
        <v>-0.8</v>
      </c>
    </row>
    <row r="105" spans="1:22" x14ac:dyDescent="0.25">
      <c r="A105" s="385">
        <f si="13" t="shared"/>
        <v>44.5</v>
      </c>
      <c r="B105">
        <f>TLFD!A65+0.5</f>
        <v>54.5</v>
      </c>
      <c r="C105" s="481">
        <f>TLFD!B65/TLFD!$B$102</f>
        <v>0</v>
      </c>
      <c r="D105" s="481">
        <f>TLFD!F65/TLFD!$F$102</f>
        <v>1.1546066399503519E-4</v>
      </c>
      <c r="E105">
        <f si="10" t="shared"/>
        <v>0</v>
      </c>
      <c r="G105" s="478"/>
      <c r="H105" s="478" t="s">
        <v>296</v>
      </c>
      <c r="I105" s="478" t="s">
        <v>297</v>
      </c>
      <c r="J105" s="478" t="s">
        <v>298</v>
      </c>
      <c r="K105" s="478" t="s">
        <v>241</v>
      </c>
      <c r="L105" s="478" t="s">
        <v>299</v>
      </c>
      <c r="M105"/>
      <c r="N105"/>
      <c r="O105"/>
      <c r="R105" s="385" t="e">
        <f>VLOOKUP(S105,Coeff_Descr!$A:$D,3,FALSE)</f>
        <v>#N/A</v>
      </c>
      <c r="S105" s="385">
        <f>OtherTourDestination!B113</f>
        <v>115</v>
      </c>
      <c r="T105" s="385" t="str">
        <f>OtherTourDestination!C113</f>
        <v>Beta115</v>
      </c>
      <c r="U105" s="387">
        <f>OtherTourDestination!E113</f>
        <v>-0.8</v>
      </c>
      <c r="V105" s="426">
        <f ref="V105:V109" si="15" t="shared">_xlfn.IFNA(VLOOKUP(S105,$C$43:$E$46,3,FALSE),U105)</f>
        <v>-0.8</v>
      </c>
    </row>
    <row r="106" spans="1:22" x14ac:dyDescent="0.25">
      <c r="A106" s="385">
        <f si="13" t="shared"/>
        <v>45.5</v>
      </c>
      <c r="B106">
        <f>TLFD!A66+0.5</f>
        <v>55.5</v>
      </c>
      <c r="C106" s="481">
        <f>TLFD!B66/TLFD!$B$102</f>
        <v>0</v>
      </c>
      <c r="D106" s="481">
        <f>TLFD!F66/TLFD!$F$102</f>
        <v>7.2162914996896994E-5</v>
      </c>
      <c r="E106">
        <f si="10" t="shared"/>
        <v>0</v>
      </c>
      <c r="G106" s="476" t="s">
        <v>293</v>
      </c>
      <c r="H106" s="476">
        <v>1</v>
      </c>
      <c r="I106" s="476">
        <v>4.1795378497830882E-2</v>
      </c>
      <c r="J106" s="476">
        <v>4.1795378497830882E-2</v>
      </c>
      <c r="K106" s="476">
        <v>7.1807535175649667E-2</v>
      </c>
      <c r="L106" s="476">
        <v>0.78942139967798175</v>
      </c>
      <c r="M106"/>
      <c r="N106"/>
      <c r="O106"/>
      <c r="R106" s="385" t="e">
        <f>VLOOKUP(S106,Coeff_Descr!$A:$D,3,FALSE)</f>
        <v>#N/A</v>
      </c>
      <c r="S106" s="385">
        <f>OtherTourDestination!B114</f>
        <v>116</v>
      </c>
      <c r="T106" s="385" t="str">
        <f>OtherTourDestination!C114</f>
        <v>Beta116</v>
      </c>
      <c r="U106" s="387">
        <f>OtherTourDestination!E114</f>
        <v>-0.8</v>
      </c>
      <c r="V106" s="426">
        <f si="15" t="shared"/>
        <v>-0.8</v>
      </c>
    </row>
    <row r="107" spans="1:22" x14ac:dyDescent="0.25">
      <c r="A107" s="385">
        <f si="13" t="shared"/>
        <v>46.5</v>
      </c>
      <c r="B107">
        <f>TLFD!A67+0.5</f>
        <v>56.5</v>
      </c>
      <c r="C107" s="481">
        <f>TLFD!B67/TLFD!$B$102</f>
        <v>0</v>
      </c>
      <c r="D107" s="481">
        <f>TLFD!F67/TLFD!$F$102</f>
        <v>8.1784636996483259E-5</v>
      </c>
      <c r="E107">
        <f si="10" t="shared"/>
        <v>0</v>
      </c>
      <c r="G107" s="476" t="s">
        <v>294</v>
      </c>
      <c r="H107" s="476">
        <v>80</v>
      </c>
      <c r="I107" s="476">
        <v>46.563780133206883</v>
      </c>
      <c r="J107" s="476">
        <v>0.58204725166508609</v>
      </c>
      <c r="K107" s="476"/>
      <c r="L107" s="476"/>
      <c r="M107"/>
      <c r="N107"/>
      <c r="O107"/>
      <c r="R107" s="385" t="e">
        <f>VLOOKUP(S107,Coeff_Descr!$A:$D,3,FALSE)</f>
        <v>#N/A</v>
      </c>
      <c r="S107" s="385">
        <f>OtherTourDestination!B115</f>
        <v>117</v>
      </c>
      <c r="T107" s="385" t="str">
        <f>OtherTourDestination!C115</f>
        <v>Beta117</v>
      </c>
      <c r="U107" s="387">
        <f>OtherTourDestination!E115</f>
        <v>-0.8</v>
      </c>
      <c r="V107" s="426">
        <f si="15" t="shared"/>
        <v>-0.8</v>
      </c>
    </row>
    <row ht="15.75" r="108" spans="1:22" thickBot="1" x14ac:dyDescent="0.3">
      <c r="A108" s="385">
        <f si="13" t="shared"/>
        <v>47.5</v>
      </c>
      <c r="B108">
        <f>TLFD!A68+0.5</f>
        <v>57.5</v>
      </c>
      <c r="C108" s="481">
        <f>TLFD!B68/TLFD!$B$102</f>
        <v>0</v>
      </c>
      <c r="D108" s="481">
        <f>TLFD!F68/TLFD!$F$102</f>
        <v>7.2162914996896994E-5</v>
      </c>
      <c r="E108">
        <f si="10" t="shared"/>
        <v>0</v>
      </c>
      <c r="G108" s="477" t="s">
        <v>4</v>
      </c>
      <c r="H108" s="477">
        <v>81</v>
      </c>
      <c r="I108" s="477">
        <v>46.605575511704714</v>
      </c>
      <c r="J108" s="477"/>
      <c r="K108" s="477"/>
      <c r="L108" s="477"/>
      <c r="M108"/>
      <c r="N108"/>
      <c r="O108"/>
      <c r="R108" s="385">
        <f>VLOOKUP(S108,Coeff_Descr!$A:$D,3,FALSE)</f>
        <v>0</v>
      </c>
      <c r="S108" s="385">
        <f>OtherTourDestination!B116</f>
        <v>118</v>
      </c>
      <c r="T108" s="385" t="str">
        <f>OtherTourDestination!C116</f>
        <v>Beta118</v>
      </c>
      <c r="U108" s="387">
        <f>OtherTourDestination!E116</f>
        <v>-0.8</v>
      </c>
      <c r="V108" s="426">
        <f si="15" t="shared"/>
        <v>-0.8</v>
      </c>
    </row>
    <row ht="15.75" r="109" spans="1:22" thickBot="1" x14ac:dyDescent="0.3">
      <c r="A109" s="385">
        <f si="13" t="shared"/>
        <v>48.5</v>
      </c>
      <c r="B109">
        <f>TLFD!A69+0.5</f>
        <v>58.5</v>
      </c>
      <c r="C109" s="481">
        <f>TLFD!B69/TLFD!$B$102</f>
        <v>0</v>
      </c>
      <c r="D109" s="481">
        <f>TLFD!F69/TLFD!$F$102</f>
        <v>7.2162914996896994E-5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R109" s="385" t="e">
        <f>VLOOKUP(S109,Coeff_Descr!$A:$D,3,FALSE)</f>
        <v>#N/A</v>
      </c>
      <c r="S109" s="385">
        <f>OtherTourDestination!B117</f>
        <v>119</v>
      </c>
      <c r="T109" s="385" t="str">
        <f>OtherTourDestination!C117</f>
        <v>Beta118</v>
      </c>
      <c r="U109" s="387">
        <f>OtherTourDestination!E117</f>
        <v>1</v>
      </c>
      <c r="V109" s="426">
        <f si="15" t="shared"/>
        <v>1</v>
      </c>
    </row>
    <row r="110" spans="1:22" x14ac:dyDescent="0.25">
      <c r="A110" s="385">
        <f si="13" t="shared"/>
        <v>49.5</v>
      </c>
      <c r="B110">
        <f>TLFD!A70+0.5</f>
        <v>59.5</v>
      </c>
      <c r="C110" s="481">
        <f>TLFD!B70/TLFD!$B$102</f>
        <v>0</v>
      </c>
      <c r="D110" s="481">
        <f>TLFD!F70/TLFD!$F$102</f>
        <v>2.4054304998965666E-5</v>
      </c>
      <c r="E110">
        <f si="10" t="shared"/>
        <v>0</v>
      </c>
      <c r="G110" s="478"/>
      <c r="H110" s="478" t="s">
        <v>300</v>
      </c>
      <c r="I110" s="478" t="s">
        <v>290</v>
      </c>
      <c r="J110" s="478" t="s">
        <v>301</v>
      </c>
      <c r="K110" s="478" t="s">
        <v>302</v>
      </c>
      <c r="L110" s="478" t="s">
        <v>303</v>
      </c>
      <c r="M110" s="478" t="s">
        <v>304</v>
      </c>
      <c r="N110" s="478" t="s">
        <v>305</v>
      </c>
      <c r="O110" s="478" t="s">
        <v>306</v>
      </c>
      <c r="V110" s="426"/>
    </row>
    <row r="111" spans="1:22" x14ac:dyDescent="0.25">
      <c r="A111" s="385">
        <f si="13" t="shared"/>
        <v>50.5</v>
      </c>
      <c r="B111">
        <f>TLFD!A71+0.5</f>
        <v>60.5</v>
      </c>
      <c r="C111" s="481">
        <f>TLFD!B71/TLFD!$B$102</f>
        <v>5.2139960791881823E-4</v>
      </c>
      <c r="D111" s="481">
        <f>TLFD!F71/TLFD!$F$102</f>
        <v>7.6973775996690133E-5</v>
      </c>
      <c r="E111">
        <f si="10" t="shared"/>
        <v>1.9130519571469087</v>
      </c>
      <c r="G111" s="476" t="s">
        <v>295</v>
      </c>
      <c r="H111" s="476">
        <v>0</v>
      </c>
      <c r="I111" s="476" t="e">
        <v>#N/A</v>
      </c>
      <c r="J111" s="476" t="e">
        <v>#N/A</v>
      </c>
      <c r="K111" s="476" t="e">
        <v>#N/A</v>
      </c>
      <c r="L111" s="476" t="e">
        <v>#N/A</v>
      </c>
      <c r="M111" s="476" t="e">
        <v>#N/A</v>
      </c>
      <c r="N111" s="476" t="e">
        <v>#N/A</v>
      </c>
      <c r="O111" s="476" t="e">
        <v>#N/A</v>
      </c>
      <c r="V111" s="426"/>
    </row>
    <row ht="15.75" r="112" spans="1:22" thickBot="1" x14ac:dyDescent="0.3">
      <c r="A112" s="385">
        <f si="13" t="shared"/>
        <v>51.5</v>
      </c>
      <c r="B112">
        <f>TLFD!A72+0.5</f>
        <v>61.5</v>
      </c>
      <c r="C112" s="481">
        <f>TLFD!B72/TLFD!$B$102</f>
        <v>0</v>
      </c>
      <c r="D112" s="481">
        <f>TLFD!F72/TLFD!$F$102</f>
        <v>7.2162914996896994E-5</v>
      </c>
      <c r="E112">
        <f si="10" t="shared"/>
        <v>0</v>
      </c>
      <c r="G112" s="477" t="s">
        <v>307</v>
      </c>
      <c r="H112" s="477">
        <v>4.8574182997748646E-4</v>
      </c>
      <c r="I112" s="477">
        <v>1.8126772944403913E-3</v>
      </c>
      <c r="J112" s="477">
        <v>0.26796928028352912</v>
      </c>
      <c r="K112" s="477">
        <v>0.78941268407140819</v>
      </c>
      <c r="L112" s="477">
        <v>-3.1216009482268139E-3</v>
      </c>
      <c r="M112" s="477">
        <v>4.0930846081817865E-3</v>
      </c>
      <c r="N112" s="477">
        <v>-3.1216009482268139E-3</v>
      </c>
      <c r="O112" s="477">
        <v>4.0930846081817865E-3</v>
      </c>
      <c r="V112" s="426"/>
    </row>
    <row r="113" spans="1:22" x14ac:dyDescent="0.25">
      <c r="A113" s="385">
        <f si="13" t="shared"/>
        <v>52.5</v>
      </c>
      <c r="B113">
        <f>TLFD!A73+0.5</f>
        <v>62.5</v>
      </c>
      <c r="C113" s="481">
        <f>TLFD!B73/TLFD!$B$102</f>
        <v>0</v>
      </c>
      <c r="D113" s="481">
        <f>TLFD!F73/TLFD!$F$102</f>
        <v>3.8486887998345067E-5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V113" s="426"/>
    </row>
    <row r="114" spans="1:22" x14ac:dyDescent="0.25">
      <c r="A114" s="385">
        <f si="13" t="shared"/>
        <v>53.5</v>
      </c>
      <c r="B114">
        <f>TLFD!A74+0.5</f>
        <v>63.5</v>
      </c>
      <c r="C114" s="481">
        <f>TLFD!B74/TLFD!$B$102</f>
        <v>0</v>
      </c>
      <c r="D114" s="481">
        <f>TLFD!F74/TLFD!$F$102</f>
        <v>2.8865165998758798E-5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V114" s="426"/>
    </row>
    <row r="115" spans="1:22" x14ac:dyDescent="0.25">
      <c r="A115" s="385">
        <f si="13" t="shared"/>
        <v>54.5</v>
      </c>
      <c r="B115">
        <f>TLFD!A75+0.5</f>
        <v>64.5</v>
      </c>
      <c r="C115" s="481">
        <f>TLFD!B75/TLFD!$B$102</f>
        <v>0</v>
      </c>
      <c r="D115" s="481">
        <f>TLFD!F75/TLFD!$F$102</f>
        <v>2.8865165998758798E-5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V115" s="426"/>
    </row>
    <row r="116" spans="1:22" x14ac:dyDescent="0.25">
      <c r="A116" s="385">
        <f si="13" t="shared"/>
        <v>55.5</v>
      </c>
      <c r="B116">
        <f>TLFD!A76+0.5</f>
        <v>65.5</v>
      </c>
      <c r="C116" s="481">
        <f>TLFD!B76/TLFD!$B$102</f>
        <v>0</v>
      </c>
      <c r="D116" s="481">
        <f>TLFD!F76/TLFD!$F$102</f>
        <v>1.9243443999172533E-5</v>
      </c>
      <c r="E116">
        <f ref="E116:E141" si="16" t="shared">IF(AND(C116&gt;0, D116&gt;0),LN(C116/D116),0)</f>
        <v>0</v>
      </c>
    </row>
    <row r="117" spans="1:22" x14ac:dyDescent="0.25">
      <c r="A117" s="385">
        <f si="13" t="shared"/>
        <v>56.5</v>
      </c>
      <c r="B117">
        <f>TLFD!A77+0.5</f>
        <v>66.5</v>
      </c>
      <c r="C117" s="481">
        <f>TLFD!B77/TLFD!$B$102</f>
        <v>0</v>
      </c>
      <c r="D117" s="481">
        <f>TLFD!F77/TLFD!$F$102</f>
        <v>9.6217219995862667E-6</v>
      </c>
      <c r="E117">
        <f si="16" t="shared"/>
        <v>0</v>
      </c>
    </row>
    <row r="118" spans="1:22" x14ac:dyDescent="0.25">
      <c r="A118" s="385">
        <f si="13" t="shared"/>
        <v>57.5</v>
      </c>
      <c r="B118">
        <f>TLFD!A78+0.5</f>
        <v>67.5</v>
      </c>
      <c r="C118" s="481">
        <f>TLFD!B78/TLFD!$B$102</f>
        <v>0</v>
      </c>
      <c r="D118" s="481">
        <f>TLFD!F78/TLFD!$F$102</f>
        <v>1.9243443999172533E-5</v>
      </c>
      <c r="E118">
        <f si="16" t="shared"/>
        <v>0</v>
      </c>
    </row>
    <row r="119" spans="1:22" x14ac:dyDescent="0.25">
      <c r="A119" s="385">
        <f si="13" t="shared"/>
        <v>58.5</v>
      </c>
      <c r="B119">
        <f>TLFD!A79+0.5</f>
        <v>68.5</v>
      </c>
      <c r="C119" s="481">
        <f>TLFD!B79/TLFD!$B$102</f>
        <v>0</v>
      </c>
      <c r="D119" s="481">
        <f>TLFD!F79/TLFD!$F$102</f>
        <v>1.4432582999379399E-5</v>
      </c>
      <c r="E119">
        <f si="16" t="shared"/>
        <v>0</v>
      </c>
    </row>
    <row r="120" spans="1:22" x14ac:dyDescent="0.25">
      <c r="A120" s="385">
        <f si="13" t="shared"/>
        <v>59.5</v>
      </c>
      <c r="B120">
        <f>TLFD!A80+0.5</f>
        <v>69.5</v>
      </c>
      <c r="C120" s="481">
        <f>TLFD!B80/TLFD!$B$102</f>
        <v>0</v>
      </c>
      <c r="D120" s="481">
        <f>TLFD!F80/TLFD!$F$102</f>
        <v>4.8108609997931333E-6</v>
      </c>
      <c r="E120">
        <f si="16" t="shared"/>
        <v>0</v>
      </c>
    </row>
    <row r="121" spans="1:22" x14ac:dyDescent="0.25">
      <c r="A121" s="385">
        <f si="13" t="shared"/>
        <v>60.5</v>
      </c>
      <c r="B121">
        <f>TLFD!A81+0.5</f>
        <v>70.5</v>
      </c>
      <c r="C121" s="481">
        <f>TLFD!B81/TLFD!$B$102</f>
        <v>0</v>
      </c>
      <c r="D121" s="481">
        <f>TLFD!F81/TLFD!$F$102</f>
        <v>1.4432582999379399E-5</v>
      </c>
      <c r="E121">
        <f si="16" t="shared"/>
        <v>0</v>
      </c>
    </row>
    <row r="122" spans="1:22" x14ac:dyDescent="0.25">
      <c r="A122" s="385">
        <f si="13" t="shared"/>
        <v>61.5</v>
      </c>
      <c r="B122">
        <f>TLFD!A82+0.5</f>
        <v>71.5</v>
      </c>
      <c r="C122" s="481">
        <f>TLFD!B82/TLFD!$B$102</f>
        <v>0</v>
      </c>
      <c r="D122" s="481">
        <f>TLFD!F82/TLFD!$F$102</f>
        <v>9.6217219995862667E-6</v>
      </c>
      <c r="E122">
        <f si="16" t="shared"/>
        <v>0</v>
      </c>
    </row>
    <row r="123" spans="1:22" x14ac:dyDescent="0.25">
      <c r="A123" s="385">
        <f si="13" t="shared"/>
        <v>62.5</v>
      </c>
      <c r="B123">
        <f>TLFD!A83+0.5</f>
        <v>72.5</v>
      </c>
      <c r="C123" s="481">
        <f>TLFD!B83/TLFD!$B$102</f>
        <v>0</v>
      </c>
      <c r="D123" s="481">
        <f>TLFD!F83/TLFD!$F$102</f>
        <v>0</v>
      </c>
      <c r="E123">
        <f si="16" t="shared"/>
        <v>0</v>
      </c>
    </row>
    <row r="124" spans="1:22" x14ac:dyDescent="0.25">
      <c r="A124" s="385">
        <f si="13" t="shared"/>
        <v>63.5</v>
      </c>
      <c r="B124">
        <f>TLFD!A84+0.5</f>
        <v>73.5</v>
      </c>
      <c r="C124" s="481">
        <f>TLFD!B84/TLFD!$B$102</f>
        <v>0</v>
      </c>
      <c r="D124" s="481">
        <f>TLFD!F84/TLFD!$F$102</f>
        <v>1.4432582999379399E-5</v>
      </c>
      <c r="E124">
        <f si="16" t="shared"/>
        <v>0</v>
      </c>
    </row>
    <row r="125" spans="1:22" x14ac:dyDescent="0.25">
      <c r="A125" s="385">
        <f si="13" t="shared"/>
        <v>64.5</v>
      </c>
      <c r="B125">
        <f>TLFD!A85+0.5</f>
        <v>74.5</v>
      </c>
      <c r="C125" s="481">
        <f>TLFD!B85/TLFD!$B$102</f>
        <v>0</v>
      </c>
      <c r="D125" s="481">
        <f>TLFD!F85/TLFD!$F$102</f>
        <v>4.8108609997931333E-6</v>
      </c>
      <c r="E125">
        <f si="16" t="shared"/>
        <v>0</v>
      </c>
    </row>
    <row r="126" spans="1:22" x14ac:dyDescent="0.25">
      <c r="A126" s="385">
        <f ref="A126:A141" si="17" t="shared">B126-10</f>
        <v>65.5</v>
      </c>
      <c r="B126">
        <f>TLFD!A86+0.5</f>
        <v>75.5</v>
      </c>
      <c r="C126" s="481">
        <f>TLFD!B86/TLFD!$B$102</f>
        <v>0</v>
      </c>
      <c r="D126" s="481">
        <f>TLFD!F86/TLFD!$F$102</f>
        <v>9.6217219995862667E-6</v>
      </c>
      <c r="E126">
        <f si="16" t="shared"/>
        <v>0</v>
      </c>
    </row>
    <row r="127" spans="1:22" x14ac:dyDescent="0.25">
      <c r="A127" s="385">
        <f si="17" t="shared"/>
        <v>66.5</v>
      </c>
      <c r="B127">
        <f>TLFD!A87+0.5</f>
        <v>76.5</v>
      </c>
      <c r="C127" s="481">
        <f>TLFD!B87/TLFD!$B$102</f>
        <v>0</v>
      </c>
      <c r="D127" s="481">
        <f>TLFD!F87/TLFD!$F$102</f>
        <v>0</v>
      </c>
      <c r="E127">
        <f si="16" t="shared"/>
        <v>0</v>
      </c>
    </row>
    <row r="128" spans="1:22" x14ac:dyDescent="0.25">
      <c r="A128" s="385">
        <f si="17" t="shared"/>
        <v>67.5</v>
      </c>
      <c r="B128">
        <f>TLFD!A88+0.5</f>
        <v>77.5</v>
      </c>
      <c r="C128" s="481">
        <f>TLFD!B88/TLFD!$B$102</f>
        <v>0</v>
      </c>
      <c r="D128" s="481">
        <f>TLFD!F88/TLFD!$F$102</f>
        <v>9.6217219995862667E-6</v>
      </c>
      <c r="E128">
        <f si="16" t="shared"/>
        <v>0</v>
      </c>
    </row>
    <row r="129" spans="1:5" x14ac:dyDescent="0.25">
      <c r="A129" s="385">
        <f si="17" t="shared"/>
        <v>68.5</v>
      </c>
      <c r="B129">
        <f>TLFD!A89+0.5</f>
        <v>78.5</v>
      </c>
      <c r="C129" s="481">
        <f>TLFD!B89/TLFD!$B$102</f>
        <v>0</v>
      </c>
      <c r="D129" s="481">
        <f>TLFD!F89/TLFD!$F$102</f>
        <v>4.8108609997931333E-6</v>
      </c>
      <c r="E129">
        <f si="16" t="shared"/>
        <v>0</v>
      </c>
    </row>
    <row r="130" spans="1:5" x14ac:dyDescent="0.25">
      <c r="A130" s="385">
        <f si="17" t="shared"/>
        <v>69.5</v>
      </c>
      <c r="B130">
        <f>TLFD!A90+0.5</f>
        <v>79.5</v>
      </c>
      <c r="C130" s="481">
        <f>TLFD!B90/TLFD!$B$102</f>
        <v>2.6671886194915608E-4</v>
      </c>
      <c r="D130" s="481">
        <f>TLFD!F90/TLFD!$F$102</f>
        <v>0</v>
      </c>
      <c r="E130">
        <f si="16" t="shared"/>
        <v>0</v>
      </c>
    </row>
    <row r="131" spans="1:5" x14ac:dyDescent="0.25">
      <c r="A131" s="385">
        <f si="17" t="shared"/>
        <v>70.5</v>
      </c>
      <c r="B131">
        <f>TLFD!A91+0.5</f>
        <v>80.5</v>
      </c>
      <c r="C131" s="481">
        <f>TLFD!B91/TLFD!$B$102</f>
        <v>0</v>
      </c>
      <c r="D131" s="481">
        <f>TLFD!F91/TLFD!$F$102</f>
        <v>9.6217219995862667E-6</v>
      </c>
      <c r="E131">
        <f si="16" t="shared"/>
        <v>0</v>
      </c>
    </row>
    <row r="132" spans="1:5" x14ac:dyDescent="0.25">
      <c r="A132" s="385">
        <f si="17" t="shared"/>
        <v>71.5</v>
      </c>
      <c r="B132">
        <f>TLFD!A92+0.5</f>
        <v>81.5</v>
      </c>
      <c r="C132" s="481">
        <f>TLFD!B92/TLFD!$B$102</f>
        <v>0</v>
      </c>
      <c r="D132" s="481">
        <f>TLFD!F92/TLFD!$F$102</f>
        <v>0</v>
      </c>
      <c r="E132">
        <f si="16" t="shared"/>
        <v>0</v>
      </c>
    </row>
    <row r="133" spans="1:5" x14ac:dyDescent="0.25">
      <c r="A133" s="385">
        <f si="17" t="shared"/>
        <v>72.5</v>
      </c>
      <c r="B133">
        <f>TLFD!A93+0.5</f>
        <v>82.5</v>
      </c>
      <c r="C133" s="481">
        <f>TLFD!B93/TLFD!$B$102</f>
        <v>0</v>
      </c>
      <c r="D133" s="481">
        <f>TLFD!F93/TLFD!$F$102</f>
        <v>0</v>
      </c>
      <c r="E133">
        <f si="16" t="shared"/>
        <v>0</v>
      </c>
    </row>
    <row r="134" spans="1:5" x14ac:dyDescent="0.25">
      <c r="A134" s="385">
        <f si="17" t="shared"/>
        <v>73.5</v>
      </c>
      <c r="B134">
        <f>TLFD!A94+0.5</f>
        <v>83.5</v>
      </c>
      <c r="C134" s="481">
        <f>TLFD!B94/TLFD!$B$102</f>
        <v>0</v>
      </c>
      <c r="D134" s="481">
        <f>TLFD!F94/TLFD!$F$102</f>
        <v>0</v>
      </c>
      <c r="E134">
        <f si="16" t="shared"/>
        <v>0</v>
      </c>
    </row>
    <row r="135" spans="1:5" x14ac:dyDescent="0.25">
      <c r="A135" s="385">
        <f si="17" t="shared"/>
        <v>74.5</v>
      </c>
      <c r="B135">
        <f>TLFD!A95+0.5</f>
        <v>84.5</v>
      </c>
      <c r="C135" s="481">
        <f>TLFD!B95/TLFD!$B$102</f>
        <v>0</v>
      </c>
      <c r="D135" s="481">
        <f>TLFD!F95/TLFD!$F$102</f>
        <v>0</v>
      </c>
      <c r="E135">
        <f si="16" t="shared"/>
        <v>0</v>
      </c>
    </row>
    <row r="136" spans="1:5" x14ac:dyDescent="0.25">
      <c r="A136" s="385">
        <f si="17" t="shared"/>
        <v>75.5</v>
      </c>
      <c r="B136">
        <f>TLFD!A96+0.5</f>
        <v>85.5</v>
      </c>
      <c r="C136" s="481">
        <f>TLFD!B96/TLFD!$B$102</f>
        <v>0</v>
      </c>
      <c r="D136" s="481">
        <f>TLFD!F96/TLFD!$F$102</f>
        <v>4.8108609997931333E-6</v>
      </c>
      <c r="E136">
        <f si="16" t="shared"/>
        <v>0</v>
      </c>
    </row>
    <row r="137" spans="1:5" x14ac:dyDescent="0.25">
      <c r="A137" s="385">
        <f si="17" t="shared"/>
        <v>76.5</v>
      </c>
      <c r="B137">
        <f>TLFD!A97+0.5</f>
        <v>86.5</v>
      </c>
      <c r="C137" s="481">
        <f>TLFD!B97/TLFD!$B$102</f>
        <v>0</v>
      </c>
      <c r="D137" s="481">
        <f>TLFD!F97/TLFD!$F$102</f>
        <v>0</v>
      </c>
      <c r="E137">
        <f si="16" t="shared"/>
        <v>0</v>
      </c>
    </row>
    <row r="138" spans="1:5" x14ac:dyDescent="0.25">
      <c r="A138" s="385">
        <f si="17" t="shared"/>
        <v>77.5</v>
      </c>
      <c r="B138">
        <f>TLFD!A98+0.5</f>
        <v>87.5</v>
      </c>
      <c r="C138" s="481">
        <f>TLFD!B98/TLFD!$B$102</f>
        <v>0</v>
      </c>
      <c r="D138" s="481">
        <f>TLFD!F98/TLFD!$F$102</f>
        <v>0</v>
      </c>
      <c r="E138">
        <f si="16" t="shared"/>
        <v>0</v>
      </c>
    </row>
    <row r="139" spans="1:5" x14ac:dyDescent="0.25">
      <c r="A139" s="385">
        <f si="17" t="shared"/>
        <v>78.5</v>
      </c>
      <c r="B139">
        <f>TLFD!A99+0.5</f>
        <v>88.5</v>
      </c>
      <c r="C139" s="481">
        <f>TLFD!B99/TLFD!$B$102</f>
        <v>0</v>
      </c>
      <c r="D139" s="481">
        <f>TLFD!F99/TLFD!$F$102</f>
        <v>0</v>
      </c>
      <c r="E139">
        <f si="16" t="shared"/>
        <v>0</v>
      </c>
    </row>
    <row r="140" spans="1:5" x14ac:dyDescent="0.25">
      <c r="A140" s="385">
        <f si="17" t="shared"/>
        <v>79.5</v>
      </c>
      <c r="B140">
        <f>TLFD!A100+0.5</f>
        <v>89.5</v>
      </c>
      <c r="C140" s="481">
        <f>TLFD!B100/TLFD!$B$102</f>
        <v>0</v>
      </c>
      <c r="D140" s="481">
        <f>TLFD!F100/TLFD!$F$102</f>
        <v>0</v>
      </c>
      <c r="E140">
        <f si="16" t="shared"/>
        <v>0</v>
      </c>
    </row>
    <row r="141" spans="1:5" x14ac:dyDescent="0.25">
      <c r="A141" s="385">
        <f si="17" t="shared"/>
        <v>80.5</v>
      </c>
      <c r="B141">
        <f>TLFD!A101+0.5</f>
        <v>90.5</v>
      </c>
      <c r="C141" s="481">
        <f>TLFD!B101/TLFD!$B$102</f>
        <v>0</v>
      </c>
      <c r="D141" s="481">
        <f>TLFD!F101/TLFD!$F$102</f>
        <v>0</v>
      </c>
      <c r="E141">
        <f si="16" t="shared"/>
        <v>0</v>
      </c>
    </row>
    <row r="142" spans="1:5" x14ac:dyDescent="0.25">
      <c r="B142"/>
    </row>
    <row r="143" spans="1:5" x14ac:dyDescent="0.25">
      <c r="B143"/>
    </row>
    <row r="144" spans="1:5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312</v>
      </c>
      <c r="B1" t="s">
        <v>313</v>
      </c>
    </row>
    <row r="2" spans="1:2" x14ac:dyDescent="0.25">
      <c r="A2">
        <v>1</v>
      </c>
      <c r="B2" t="s">
        <v>314</v>
      </c>
    </row>
    <row r="3" spans="1:2" x14ac:dyDescent="0.25">
      <c r="A3">
        <v>2</v>
      </c>
      <c r="B3" t="s">
        <v>315</v>
      </c>
    </row>
    <row r="4" spans="1:2" x14ac:dyDescent="0.25">
      <c r="A4">
        <v>3</v>
      </c>
      <c r="B4" t="s">
        <v>316</v>
      </c>
    </row>
    <row r="5" spans="1:2" x14ac:dyDescent="0.25">
      <c r="A5">
        <v>4</v>
      </c>
      <c r="B5" t="s">
        <v>317</v>
      </c>
    </row>
    <row r="6" spans="1:2" x14ac:dyDescent="0.25">
      <c r="A6">
        <v>5</v>
      </c>
      <c r="B6" t="s">
        <v>318</v>
      </c>
    </row>
    <row r="7" spans="1:2" x14ac:dyDescent="0.25">
      <c r="A7">
        <v>6</v>
      </c>
      <c r="B7" t="s">
        <v>319</v>
      </c>
    </row>
    <row r="8" spans="1:2" x14ac:dyDescent="0.25">
      <c r="A8">
        <v>7</v>
      </c>
      <c r="B8" t="s">
        <v>320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2020-01-23T23:45:13Z</dcterms:modified>
</cp:coreProperties>
</file>