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5690" windowWidth="28950" xWindow="0" yWindow="0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3" l="1" r="Z16"/>
  <c i="3" r="V16"/>
  <c i="3" r="Z17"/>
  <c i="3" r="V17"/>
  <c i="3" r="Z15"/>
  <c i="3" r="V15"/>
  <c i="3" r="Z14"/>
  <c i="3" r="V14"/>
  <c i="3" r="Z13"/>
  <c i="3" r="V13"/>
  <c i="3" r="Z12"/>
  <c i="3" r="V12"/>
  <c i="3" r="Z11"/>
  <c i="3" r="V11"/>
  <c i="3" r="Z10"/>
  <c i="3" r="V10"/>
  <c i="22" l="1" r="F102"/>
  <c i="22" r="G102" s="1"/>
  <c i="22" r="B102"/>
  <c i="22" r="C65" s="1"/>
  <c i="21" r="F102"/>
  <c i="21" r="B102"/>
  <c i="20" r="F102"/>
  <c i="20" r="G102" s="1"/>
  <c i="20" r="B102"/>
  <c i="20" r="C101" s="1"/>
  <c i="19" r="F102"/>
  <c i="19" r="B102"/>
  <c i="18" r="F102"/>
  <c i="18" r="G48" s="1"/>
  <c i="18" r="B102"/>
  <c i="18" r="C93" s="1"/>
  <c i="17" r="F102"/>
  <c i="17" r="B102"/>
  <c i="16" r="F102"/>
  <c i="16" r="G89" s="1"/>
  <c i="16" r="B102"/>
  <c i="16" r="C37" s="1"/>
  <c i="15" r="F102"/>
  <c i="15" r="B102"/>
  <c i="14" r="F102"/>
  <c i="14" r="G65" s="1"/>
  <c i="14" r="B102"/>
  <c i="14" r="C34" s="1"/>
  <c i="13" r="F102"/>
  <c i="13" r="B102"/>
  <c i="12" r="F102"/>
  <c i="12" r="G102" s="1"/>
  <c i="12" r="B102"/>
  <c i="12" r="C34" s="1"/>
  <c i="11" r="F102"/>
  <c i="11" r="B102"/>
  <c i="9" r="F102"/>
  <c i="9" r="G78" s="1"/>
  <c i="9" r="B102"/>
  <c i="9" r="C61" s="1"/>
  <c i="8" r="F102"/>
  <c i="8" r="B102"/>
  <c i="22" l="1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3" r="W11" s="1"/>
  <c i="22" r="C40"/>
  <c i="19" r="C100"/>
  <c i="3" r="U16"/>
  <c i="3" r="W16" s="1"/>
  <c i="8" r="G51"/>
  <c i="3" r="Y11"/>
  <c i="3" r="AA11" s="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B102"/>
  <c i="3" l="1" r="C13"/>
  <c i="3" r="U10"/>
  <c i="3" r="W10" s="1"/>
  <c i="3" r="G102"/>
  <c i="3" r="Y10"/>
  <c i="3" r="AA10" s="1"/>
  <c i="3" r="AA17"/>
  <c i="3" r="W17"/>
  <c i="3" r="W18" s="1"/>
  <c i="3" r="U18"/>
  <c i="3" r="U19" s="1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3" l="1" r="AA18"/>
  <c i="3" r="Y18"/>
  <c i="3" r="Y19" s="1"/>
  <c i="3" r="W19"/>
  <c i="3" r="V19" s="1"/>
  <c i="3" r="V18"/>
  <c i="3" r="AA19"/>
  <c i="3" l="1" r="AC13"/>
  <c i="3" r="AC14"/>
  <c i="3" r="AC11"/>
  <c i="3" r="AC15"/>
  <c i="3" r="AC16"/>
  <c i="3" r="AC17"/>
  <c i="3" r="AC12"/>
  <c i="3" r="AC10"/>
  <c i="3" r="Z18"/>
  <c i="3" r="Z19"/>
  <c i="3" l="1" r="AD11"/>
  <c i="3" r="AD12"/>
  <c i="3" r="AD13"/>
  <c i="3" r="AD14"/>
  <c i="3" r="AD15"/>
  <c i="3" r="AD16"/>
  <c i="3" r="AD17"/>
  <c i="3" r="AD10"/>
</calcChain>
</file>

<file path=xl/sharedStrings.xml><?xml version="1.0" encoding="utf-8"?>
<sst xmlns="http://schemas.openxmlformats.org/spreadsheetml/2006/main" count="305" uniqueCount="52">
  <si>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</si>
  <si>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</si>
  <si>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</si>
  <si>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</si>
  <si>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</si>
  <si>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</si>
  <si>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</si>
  <si>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</si>
  <si>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</si>
  <si>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</si>
  <si>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</si>
  <si>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</si>
  <si>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</si>
  <si>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</si>
  <si>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</si>
  <si>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</si>
  <si>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</si>
  <si>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</si>
  <si>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</si>
  <si>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</si>
  <si>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</si>
  <si>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</si>
  <si>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</si>
  <si>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</si>
  <si>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</si>
  <si>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</si>
  <si>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</si>
  <si>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</si>
  <si>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</si>
  <si>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</si>
  <si>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</si>
  <si>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</si>
  <si>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</si>
  <si>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</si>
  <si>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</si>
  <si>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</si>
  <si>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</si>
  <si>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</si>
  <si>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</si>
  <si>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</si>
  <si>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</si>
  <si>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</si>
  <si>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</si>
  <si>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</si>
  <si>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</si>
  <si>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</si>
  <si>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</si>
  <si>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</si>
  <si>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</si>
  <si>
    <t>Avg. Survey (All)</t>
  </si>
  <si>
    <t>Avg. ABM (All)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</si>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</sst>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165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2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6.4387874064353007E-2</c:v>
                </c:pt>
                <c:pt idx="1">
                  <c:v>0.14551329546670141</c:v>
                </c:pt>
                <c:pt idx="2">
                  <c:v>0.13455023190127657</c:v>
                </c:pt>
                <c:pt idx="3">
                  <c:v>0.11094037030070794</c:v>
                </c:pt>
                <c:pt idx="4">
                  <c:v>8.2909489834202904E-2</c:v>
                </c:pt>
                <c:pt idx="5">
                  <c:v>6.046504828016893E-2</c:v>
                </c:pt>
                <c:pt idx="6">
                  <c:v>6.621507681387688E-2</c:v>
                </c:pt>
                <c:pt idx="7">
                  <c:v>4.2030144440801019E-2</c:v>
                </c:pt>
                <c:pt idx="8">
                  <c:v>3.6314105687193149E-2</c:v>
                </c:pt>
                <c:pt idx="9">
                  <c:v>2.7738584505313153E-2</c:v>
                </c:pt>
                <c:pt idx="10">
                  <c:v>2.6770372697320261E-2</c:v>
                </c:pt>
                <c:pt idx="11">
                  <c:v>2.5710889103379073E-2</c:v>
                </c:pt>
                <c:pt idx="12">
                  <c:v>2.2360590461538259E-2</c:v>
                </c:pt>
                <c:pt idx="13">
                  <c:v>1.7590916110708024E-2</c:v>
                </c:pt>
                <c:pt idx="14">
                  <c:v>1.5380542526010624E-2</c:v>
                </c:pt>
                <c:pt idx="15">
                  <c:v>1.5341102340594489E-2</c:v>
                </c:pt>
                <c:pt idx="16">
                  <c:v>1.0177880360566381E-2</c:v>
                </c:pt>
                <c:pt idx="17">
                  <c:v>8.6952606406939421E-3</c:v>
                </c:pt>
                <c:pt idx="18">
                  <c:v>9.3729241357344718E-3</c:v>
                </c:pt>
                <c:pt idx="19">
                  <c:v>8.092427918810409E-3</c:v>
                </c:pt>
                <c:pt idx="20">
                  <c:v>5.6794055797496417E-3</c:v>
                </c:pt>
                <c:pt idx="21">
                  <c:v>7.8080426747734492E-3</c:v>
                </c:pt>
                <c:pt idx="22">
                  <c:v>5.3813803188516854E-3</c:v>
                </c:pt>
                <c:pt idx="23">
                  <c:v>5.7377540350996492E-3</c:v>
                </c:pt>
                <c:pt idx="24">
                  <c:v>4.3979122878058446E-3</c:v>
                </c:pt>
                <c:pt idx="25">
                  <c:v>3.9599709245676145E-3</c:v>
                </c:pt>
                <c:pt idx="26">
                  <c:v>3.6696471374822689E-3</c:v>
                </c:pt>
                <c:pt idx="27">
                  <c:v>3.7444370367024369E-3</c:v>
                </c:pt>
                <c:pt idx="28">
                  <c:v>2.683879200729974E-3</c:v>
                </c:pt>
                <c:pt idx="29">
                  <c:v>3.1706831958350419E-3</c:v>
                </c:pt>
                <c:pt idx="30">
                  <c:v>2.3878051137759915E-3</c:v>
                </c:pt>
                <c:pt idx="31">
                  <c:v>4.1137601126581E-3</c:v>
                </c:pt>
                <c:pt idx="32">
                  <c:v>2.3650465324963495E-3</c:v>
                </c:pt>
                <c:pt idx="33">
                  <c:v>1.337834481160594E-3</c:v>
                </c:pt>
                <c:pt idx="34">
                  <c:v>1.5719299989683845E-3</c:v>
                </c:pt>
                <c:pt idx="35">
                  <c:v>1.2997073327425991E-3</c:v>
                </c:pt>
                <c:pt idx="36">
                  <c:v>2.5831834803298455E-3</c:v>
                </c:pt>
                <c:pt idx="37">
                  <c:v>7.5421194606871574E-4</c:v>
                </c:pt>
                <c:pt idx="38">
                  <c:v>3.6240524703195636E-4</c:v>
                </c:pt>
                <c:pt idx="39">
                  <c:v>7.498904454014048E-4</c:v>
                </c:pt>
                <c:pt idx="40">
                  <c:v>1.0666272887119852E-3</c:v>
                </c:pt>
                <c:pt idx="41">
                  <c:v>7.5955288981465038E-4</c:v>
                </c:pt>
                <c:pt idx="42">
                  <c:v>2.976677309717188E-4</c:v>
                </c:pt>
                <c:pt idx="43">
                  <c:v>8.2532694668378652E-4</c:v>
                </c:pt>
                <c:pt idx="44">
                  <c:v>2.8453032284881752E-4</c:v>
                </c:pt>
                <c:pt idx="45">
                  <c:v>3.9177826016697316E-4</c:v>
                </c:pt>
                <c:pt idx="46">
                  <c:v>3.1630854828342925E-4</c:v>
                </c:pt>
                <c:pt idx="47">
                  <c:v>1.3535095901654804E-5</c:v>
                </c:pt>
                <c:pt idx="48">
                  <c:v>5.6603919058403581E-4</c:v>
                </c:pt>
                <c:pt idx="49">
                  <c:v>4.7478823275628343E-5</c:v>
                </c:pt>
                <c:pt idx="50">
                  <c:v>1.8748130563968292E-4</c:v>
                </c:pt>
                <c:pt idx="51">
                  <c:v>1.4376103104321212E-4</c:v>
                </c:pt>
                <c:pt idx="52">
                  <c:v>2.4219160082089794E-4</c:v>
                </c:pt>
                <c:pt idx="53">
                  <c:v>4.7825796963474059E-5</c:v>
                </c:pt>
                <c:pt idx="54">
                  <c:v>0</c:v>
                </c:pt>
                <c:pt idx="55">
                  <c:v>2.3851911729617047E-4</c:v>
                </c:pt>
                <c:pt idx="56">
                  <c:v>1.7365569764284149E-4</c:v>
                </c:pt>
                <c:pt idx="57">
                  <c:v>0</c:v>
                </c:pt>
                <c:pt idx="58">
                  <c:v>3.9253612017763703E-5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8.8573212431000484E-2</c:v>
                </c:pt>
                <c:pt idx="1">
                  <c:v>0.11201554458565277</c:v>
                </c:pt>
                <c:pt idx="2">
                  <c:v>0.11142678756899953</c:v>
                </c:pt>
                <c:pt idx="3">
                  <c:v>9.9242026397787342E-2</c:v>
                </c:pt>
                <c:pt idx="4">
                  <c:v>8.1294565230076207E-2</c:v>
                </c:pt>
                <c:pt idx="5">
                  <c:v>6.7627116666083162E-2</c:v>
                </c:pt>
                <c:pt idx="6">
                  <c:v>5.3788117494660927E-2</c:v>
                </c:pt>
                <c:pt idx="7">
                  <c:v>4.3294355168107923E-2</c:v>
                </c:pt>
                <c:pt idx="8">
                  <c:v>3.6075225524863169E-2</c:v>
                </c:pt>
                <c:pt idx="9">
                  <c:v>3.2679807209793556E-2</c:v>
                </c:pt>
                <c:pt idx="10">
                  <c:v>2.984688816534211E-2</c:v>
                </c:pt>
                <c:pt idx="11">
                  <c:v>2.7123668148770555E-2</c:v>
                </c:pt>
                <c:pt idx="12">
                  <c:v>2.5449590962667318E-2</c:v>
                </c:pt>
                <c:pt idx="13">
                  <c:v>2.1320706275017798E-2</c:v>
                </c:pt>
                <c:pt idx="14">
                  <c:v>1.8903826628855511E-2</c:v>
                </c:pt>
                <c:pt idx="15">
                  <c:v>1.6796788385907174E-2</c:v>
                </c:pt>
                <c:pt idx="16">
                  <c:v>1.4559044918250883E-2</c:v>
                </c:pt>
                <c:pt idx="17">
                  <c:v>1.2743175903558217E-2</c:v>
                </c:pt>
                <c:pt idx="18">
                  <c:v>1.1581416517872773E-2</c:v>
                </c:pt>
                <c:pt idx="19">
                  <c:v>1.0449415911027085E-2</c:v>
                </c:pt>
                <c:pt idx="20">
                  <c:v>9.1318605655334988E-3</c:v>
                </c:pt>
                <c:pt idx="21">
                  <c:v>8.0751321639883772E-3</c:v>
                </c:pt>
                <c:pt idx="22">
                  <c:v>7.1613626019675801E-3</c:v>
                </c:pt>
                <c:pt idx="23">
                  <c:v>6.5084199838952488E-3</c:v>
                </c:pt>
                <c:pt idx="24">
                  <c:v>5.847891794746117E-3</c:v>
                </c:pt>
                <c:pt idx="25">
                  <c:v>5.4207657925754767E-3</c:v>
                </c:pt>
                <c:pt idx="26">
                  <c:v>5.0490728098122276E-3</c:v>
                </c:pt>
                <c:pt idx="27">
                  <c:v>4.6744622997117484E-3</c:v>
                </c:pt>
                <c:pt idx="28">
                  <c:v>4.285847658392559E-3</c:v>
                </c:pt>
                <c:pt idx="29">
                  <c:v>3.9153216865642033E-3</c:v>
                </c:pt>
                <c:pt idx="30">
                  <c:v>3.6434081387342601E-3</c:v>
                </c:pt>
                <c:pt idx="31">
                  <c:v>3.189440885061093E-3</c:v>
                </c:pt>
                <c:pt idx="32">
                  <c:v>2.6660364807618245E-3</c:v>
                </c:pt>
                <c:pt idx="33">
                  <c:v>2.4127951078901609E-3</c:v>
                </c:pt>
                <c:pt idx="34">
                  <c:v>1.8923082309281237E-3</c:v>
                </c:pt>
                <c:pt idx="35">
                  <c:v>1.6717431642334489E-3</c:v>
                </c:pt>
                <c:pt idx="36">
                  <c:v>1.4313389116456022E-3</c:v>
                </c:pt>
                <c:pt idx="37">
                  <c:v>1.1839325934484006E-3</c:v>
                </c:pt>
                <c:pt idx="38">
                  <c:v>1.0543943796753376E-3</c:v>
                </c:pt>
                <c:pt idx="39">
                  <c:v>8.939303761276243E-4</c:v>
                </c:pt>
                <c:pt idx="40">
                  <c:v>7.7606227170348588E-4</c:v>
                </c:pt>
                <c:pt idx="41">
                  <c:v>6.47107563397869E-4</c:v>
                </c:pt>
                <c:pt idx="42">
                  <c:v>5.9284155492536964E-4</c:v>
                </c:pt>
                <c:pt idx="43">
                  <c:v>4.6213633021741416E-4</c:v>
                </c:pt>
                <c:pt idx="44">
                  <c:v>3.9970124520066752E-4</c:v>
                </c:pt>
                <c:pt idx="45">
                  <c:v>3.5418781873986161E-4</c:v>
                </c:pt>
                <c:pt idx="46">
                  <c:v>3.1217542508373301E-4</c:v>
                </c:pt>
                <c:pt idx="47">
                  <c:v>2.5440838380655627E-4</c:v>
                </c:pt>
                <c:pt idx="48">
                  <c:v>2.0539392454107296E-4</c:v>
                </c:pt>
                <c:pt idx="49">
                  <c:v>1.7680215663620769E-4</c:v>
                </c:pt>
                <c:pt idx="50">
                  <c:v>1.5988049808026702E-4</c:v>
                </c:pt>
                <c:pt idx="51">
                  <c:v>1.2428666456604698E-4</c:v>
                </c:pt>
                <c:pt idx="52">
                  <c:v>1.1028253334733746E-4</c:v>
                </c:pt>
                <c:pt idx="53">
                  <c:v>8.0523754507579734E-5</c:v>
                </c:pt>
                <c:pt idx="54">
                  <c:v>8.2274270909918432E-5</c:v>
                </c:pt>
                <c:pt idx="55">
                  <c:v>6.5936117821423991E-5</c:v>
                </c:pt>
                <c:pt idx="56">
                  <c:v>7.0604161560993821E-5</c:v>
                </c:pt>
                <c:pt idx="57">
                  <c:v>4.317940459102102E-5</c:v>
                </c:pt>
                <c:pt idx="58">
                  <c:v>3.8511360851451175E-5</c:v>
                </c:pt>
                <c:pt idx="59">
                  <c:v>3.3843317111881338E-5</c:v>
                </c:pt>
                <c:pt idx="60">
                  <c:v>1.808866949083313E-5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04162507855534"/>
          <c:y val="7.8319845435987162E-2"/>
          <c:w val="0.20034046800487967"/>
          <c:h val="0.12113808690580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 Lengths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TLFD_Home!$U$8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TLFD_Home!$S$10:$S$17</c:f>
              <c:strCache>
                <c:ptCount val="8"/>
                <c:pt idx="0">
                  <c:v>Home</c:v>
                </c:pt>
                <c:pt idx="1">
                  <c:v>Work</c:v>
                </c:pt>
                <c:pt idx="2">
                  <c:v>School</c:v>
                </c:pt>
                <c:pt idx="3">
                  <c:v>Escort</c:v>
                </c:pt>
                <c:pt idx="4">
                  <c:v>PerBus</c:v>
                </c:pt>
                <c:pt idx="5">
                  <c:v>Shop</c:v>
                </c:pt>
                <c:pt idx="6">
                  <c:v>Meal</c:v>
                </c:pt>
                <c:pt idx="7">
                  <c:v>SocRec</c:v>
                </c:pt>
              </c:strCache>
            </c:strRef>
          </c:cat>
          <c:val>
            <c:numRef>
              <c:f>TLFD_Home!$V$10:$V$17</c:f>
              <c:numCache>
                <c:formatCode>0.00</c:formatCode>
                <c:ptCount val="8"/>
                <c:pt idx="0">
                  <c:v>7.1673812593011483</c:v>
                </c:pt>
                <c:pt idx="1">
                  <c:v>9.7146066689582096</c:v>
                </c:pt>
                <c:pt idx="2">
                  <c:v>5.0693394575390647</c:v>
                </c:pt>
                <c:pt idx="3">
                  <c:v>6.0788709411905471</c:v>
                </c:pt>
                <c:pt idx="4">
                  <c:v>5.8697969729583006</c:v>
                </c:pt>
                <c:pt idx="5">
                  <c:v>4.6870559711519544</c:v>
                </c:pt>
                <c:pt idx="6">
                  <c:v>4.9412453615349561</c:v>
                </c:pt>
                <c:pt idx="7">
                  <c:v>5.9261083299559036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F-4F70-BAEF-BBBBABF36A37}"/>
            </c:ext>
          </c:extLst>
        </c:ser>
        <c:ser>
          <c:idx val="1"/>
          <c:order val="1"/>
          <c:tx>
            <c:strRef>
              <c:f>TLFD_Home!$Y$8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TLFD_Home!$S$10:$S$17</c:f>
              <c:strCache>
                <c:ptCount val="8"/>
                <c:pt idx="0">
                  <c:v>Home</c:v>
                </c:pt>
                <c:pt idx="1">
                  <c:v>Work</c:v>
                </c:pt>
                <c:pt idx="2">
                  <c:v>School</c:v>
                </c:pt>
                <c:pt idx="3">
                  <c:v>Escort</c:v>
                </c:pt>
                <c:pt idx="4">
                  <c:v>PerBus</c:v>
                </c:pt>
                <c:pt idx="5">
                  <c:v>Shop</c:v>
                </c:pt>
                <c:pt idx="6">
                  <c:v>Meal</c:v>
                </c:pt>
                <c:pt idx="7">
                  <c:v>SocRec</c:v>
                </c:pt>
              </c:strCache>
            </c:strRef>
          </c:cat>
          <c:val>
            <c:numRef>
              <c:f>TLFD_Home!$Z$10:$Z$17</c:f>
              <c:numCache>
                <c:formatCode>0.00</c:formatCode>
                <c:ptCount val="8"/>
                <c:pt idx="0">
                  <c:v>7.8673873710626632</c:v>
                </c:pt>
                <c:pt idx="1">
                  <c:v>9.5190132413657302</c:v>
                </c:pt>
                <c:pt idx="2">
                  <c:v>5.4089845105804546</c:v>
                </c:pt>
                <c:pt idx="3">
                  <c:v>6.4441335913790194</c:v>
                </c:pt>
                <c:pt idx="4">
                  <c:v>5.8315126103138288</c:v>
                </c:pt>
                <c:pt idx="5">
                  <c:v>4.8007651452101072</c:v>
                </c:pt>
                <c:pt idx="6">
                  <c:v>5.0859418102839449</c:v>
                </c:pt>
                <c:pt idx="7">
                  <c:v>5.6333946585267709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F-4F70-BAEF-BBBBABF3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64592927"/>
        <c:axId val="1564593343"/>
      </c:barChart>
      <c:lineChart>
        <c:grouping val="standard"/>
        <c:varyColors val="0"/>
        <c:ser>
          <c:idx val="2"/>
          <c:order val="2"/>
          <c:tx>
            <c:strRef>
              <c:f>TLFD_Home!$AC$8</c:f>
              <c:strCache>
                <c:ptCount val="1"/>
                <c:pt idx="0">
                  <c:v>Avg. Survey (All)</c:v>
                </c:pt>
              </c:strCache>
            </c:strRef>
          </c:tx>
          <c:spPr>
            <a:ln cap="rnd" w="19050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TLFD_Home!$AC$10:$AC$17</c:f>
              <c:numCache>
                <c:formatCode>0.00</c:formatCode>
                <c:ptCount val="8"/>
                <c:pt idx="0">
                  <c:v>6.7651049101246619</c:v>
                </c:pt>
                <c:pt idx="1">
                  <c:v>6.7651049101246619</c:v>
                </c:pt>
                <c:pt idx="2">
                  <c:v>6.7651049101246619</c:v>
                </c:pt>
                <c:pt idx="3">
                  <c:v>6.7651049101246619</c:v>
                </c:pt>
                <c:pt idx="4">
                  <c:v>6.7651049101246619</c:v>
                </c:pt>
                <c:pt idx="5">
                  <c:v>6.7651049101246619</c:v>
                </c:pt>
                <c:pt idx="6">
                  <c:v>6.7651049101246619</c:v>
                </c:pt>
                <c:pt idx="7">
                  <c:v>6.7651049101246619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4F-4F70-BAEF-BBBBABF36A37}"/>
            </c:ext>
          </c:extLst>
        </c:ser>
        <c:ser>
          <c:idx val="3"/>
          <c:order val="3"/>
          <c:tx>
            <c:strRef>
              <c:f>TLFD_Home!$AD$8</c:f>
              <c:strCache>
                <c:ptCount val="1"/>
                <c:pt idx="0">
                  <c:v>Avg. ABM (All)</c:v>
                </c:pt>
              </c:strCache>
            </c:strRef>
          </c:tx>
          <c:spPr>
            <a:ln cap="rnd" w="19050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TLFD_Home!$AD$10:$AD$17</c:f>
              <c:numCache>
                <c:formatCode>0.00</c:formatCode>
                <c:ptCount val="8"/>
                <c:pt idx="0">
                  <c:v>7.0716820328476881</c:v>
                </c:pt>
                <c:pt idx="1">
                  <c:v>7.0716820328476881</c:v>
                </c:pt>
                <c:pt idx="2">
                  <c:v>7.0716820328476881</c:v>
                </c:pt>
                <c:pt idx="3">
                  <c:v>7.0716820328476881</c:v>
                </c:pt>
                <c:pt idx="4">
                  <c:v>7.0716820328476881</c:v>
                </c:pt>
                <c:pt idx="5">
                  <c:v>7.0716820328476881</c:v>
                </c:pt>
                <c:pt idx="6">
                  <c:v>7.0716820328476881</c:v>
                </c:pt>
                <c:pt idx="7">
                  <c:v>7.0716820328476881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4F-4F70-BAEF-BBBBABF3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4592927"/>
        <c:axId val="1564593343"/>
      </c:lineChart>
      <c:catAx>
        <c:axId val="156459292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593343"/>
        <c:crosses val="autoZero"/>
        <c:auto val="1"/>
        <c:lblAlgn val="ctr"/>
        <c:lblOffset val="100"/>
        <c:noMultiLvlLbl val="0"/>
      </c:catAx>
      <c:valAx>
        <c:axId val="1564593343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Avg.</a:t>
                </a:r>
                <a:r>
                  <a:rPr baseline="0" lang="en-US"/>
                  <a:t> Trip Length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59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4.4780228830497539E-3</c:v>
                </c:pt>
                <c:pt idx="3">
                  <c:v>4.2612821295341587E-2</c:v>
                </c:pt>
                <c:pt idx="4">
                  <c:v>5.4422182376187428E-2</c:v>
                </c:pt>
                <c:pt idx="5">
                  <c:v>6.5268378018551912E-2</c:v>
                </c:pt>
                <c:pt idx="6">
                  <c:v>7.5857661020150957E-2</c:v>
                </c:pt>
                <c:pt idx="7">
                  <c:v>6.6449356442610019E-2</c:v>
                </c:pt>
                <c:pt idx="8">
                  <c:v>6.5683393271838642E-2</c:v>
                </c:pt>
                <c:pt idx="9">
                  <c:v>5.9560491337570395E-2</c:v>
                </c:pt>
                <c:pt idx="10">
                  <c:v>5.4176589357346289E-2</c:v>
                </c:pt>
                <c:pt idx="11">
                  <c:v>4.1892408008871646E-2</c:v>
                </c:pt>
                <c:pt idx="12">
                  <c:v>4.3488507588789145E-2</c:v>
                </c:pt>
                <c:pt idx="13">
                  <c:v>3.5132950436403791E-2</c:v>
                </c:pt>
                <c:pt idx="14">
                  <c:v>2.6556625539797634E-2</c:v>
                </c:pt>
                <c:pt idx="15">
                  <c:v>2.893821666476612E-2</c:v>
                </c:pt>
                <c:pt idx="16">
                  <c:v>2.5583860561306872E-2</c:v>
                </c:pt>
                <c:pt idx="17">
                  <c:v>2.6619126991372723E-2</c:v>
                </c:pt>
                <c:pt idx="18">
                  <c:v>2.2438353719416635E-2</c:v>
                </c:pt>
                <c:pt idx="19">
                  <c:v>1.7329887726981436E-2</c:v>
                </c:pt>
                <c:pt idx="20">
                  <c:v>1.366648578478066E-2</c:v>
                </c:pt>
                <c:pt idx="21">
                  <c:v>1.5721199445201083E-2</c:v>
                </c:pt>
                <c:pt idx="22">
                  <c:v>1.3922919505370519E-2</c:v>
                </c:pt>
                <c:pt idx="23">
                  <c:v>1.375307086056936E-2</c:v>
                </c:pt>
                <c:pt idx="24">
                  <c:v>1.2337147890707258E-2</c:v>
                </c:pt>
                <c:pt idx="25">
                  <c:v>1.1035319388980464E-2</c:v>
                </c:pt>
                <c:pt idx="26">
                  <c:v>1.358836095885781E-2</c:v>
                </c:pt>
                <c:pt idx="27">
                  <c:v>8.0324237771965575E-3</c:v>
                </c:pt>
                <c:pt idx="28">
                  <c:v>9.0948381782871481E-3</c:v>
                </c:pt>
                <c:pt idx="29">
                  <c:v>9.6758797403594353E-3</c:v>
                </c:pt>
                <c:pt idx="30">
                  <c:v>9.8243133111430934E-3</c:v>
                </c:pt>
                <c:pt idx="31">
                  <c:v>7.5562632360462881E-3</c:v>
                </c:pt>
                <c:pt idx="32">
                  <c:v>5.7582196553273369E-3</c:v>
                </c:pt>
                <c:pt idx="33">
                  <c:v>5.0269255105545863E-3</c:v>
                </c:pt>
                <c:pt idx="34">
                  <c:v>5.0302845263855249E-3</c:v>
                </c:pt>
                <c:pt idx="35">
                  <c:v>4.4456603133384755E-3</c:v>
                </c:pt>
                <c:pt idx="36">
                  <c:v>3.824625904571291E-3</c:v>
                </c:pt>
                <c:pt idx="37">
                  <c:v>4.5898044741598453E-3</c:v>
                </c:pt>
                <c:pt idx="38">
                  <c:v>5.1025727568139263E-3</c:v>
                </c:pt>
                <c:pt idx="39">
                  <c:v>4.6673219943644878E-3</c:v>
                </c:pt>
                <c:pt idx="40">
                  <c:v>4.7730444701879421E-3</c:v>
                </c:pt>
                <c:pt idx="41">
                  <c:v>3.6513281757241303E-3</c:v>
                </c:pt>
                <c:pt idx="42">
                  <c:v>4.9801353312160625E-3</c:v>
                </c:pt>
                <c:pt idx="43">
                  <c:v>3.6876720995614246E-3</c:v>
                </c:pt>
                <c:pt idx="44">
                  <c:v>4.0648993349497444E-3</c:v>
                </c:pt>
                <c:pt idx="45">
                  <c:v>3.001975088968962E-3</c:v>
                </c:pt>
                <c:pt idx="46">
                  <c:v>2.9670476831299398E-3</c:v>
                </c:pt>
                <c:pt idx="47">
                  <c:v>2.3173840008088205E-3</c:v>
                </c:pt>
                <c:pt idx="48">
                  <c:v>1.9225495343395268E-3</c:v>
                </c:pt>
                <c:pt idx="49">
                  <c:v>1.3056396173569077E-3</c:v>
                </c:pt>
                <c:pt idx="50">
                  <c:v>3.6707440754260891E-3</c:v>
                </c:pt>
                <c:pt idx="51">
                  <c:v>1.1037385601901941E-3</c:v>
                </c:pt>
                <c:pt idx="52">
                  <c:v>1.6926549326257056E-3</c:v>
                </c:pt>
                <c:pt idx="53">
                  <c:v>9.3370435346787123E-4</c:v>
                </c:pt>
                <c:pt idx="54">
                  <c:v>2.2698399736092801E-3</c:v>
                </c:pt>
                <c:pt idx="55">
                  <c:v>1.2796014095213361E-3</c:v>
                </c:pt>
                <c:pt idx="56">
                  <c:v>1.1963061860764408E-3</c:v>
                </c:pt>
                <c:pt idx="57">
                  <c:v>1.2501161483847605E-3</c:v>
                </c:pt>
                <c:pt idx="58">
                  <c:v>1.6264256772534696E-3</c:v>
                </c:pt>
                <c:pt idx="59">
                  <c:v>9.8796918382877815E-4</c:v>
                </c:pt>
                <c:pt idx="60">
                  <c:v>4.7134676789931839E-4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3.1742697429074911E-3</c:v>
                </c:pt>
                <c:pt idx="1">
                  <c:v>2.6761894758953891E-2</c:v>
                </c:pt>
                <c:pt idx="2">
                  <c:v>1.0350803487028673E-2</c:v>
                </c:pt>
                <c:pt idx="3">
                  <c:v>1.9071292698012582E-2</c:v>
                </c:pt>
                <c:pt idx="4">
                  <c:v>3.2241594603741437E-2</c:v>
                </c:pt>
                <c:pt idx="5">
                  <c:v>4.4939840586306297E-2</c:v>
                </c:pt>
                <c:pt idx="6">
                  <c:v>5.1798363850669278E-2</c:v>
                </c:pt>
                <c:pt idx="7">
                  <c:v>5.4331944590320813E-2</c:v>
                </c:pt>
                <c:pt idx="8">
                  <c:v>5.1816452520160115E-2</c:v>
                </c:pt>
                <c:pt idx="9">
                  <c:v>4.8275157838228944E-2</c:v>
                </c:pt>
                <c:pt idx="10">
                  <c:v>4.5094469535179545E-2</c:v>
                </c:pt>
                <c:pt idx="11">
                  <c:v>4.0176101950075274E-2</c:v>
                </c:pt>
                <c:pt idx="12">
                  <c:v>3.7459883999113069E-2</c:v>
                </c:pt>
                <c:pt idx="13">
                  <c:v>3.5005076497566782E-2</c:v>
                </c:pt>
                <c:pt idx="14">
                  <c:v>3.061594837143624E-2</c:v>
                </c:pt>
                <c:pt idx="15">
                  <c:v>2.8619776167302689E-2</c:v>
                </c:pt>
                <c:pt idx="16">
                  <c:v>2.5638646734119898E-2</c:v>
                </c:pt>
                <c:pt idx="17">
                  <c:v>2.3153496948266405E-2</c:v>
                </c:pt>
                <c:pt idx="18">
                  <c:v>2.1749582793590776E-2</c:v>
                </c:pt>
                <c:pt idx="19">
                  <c:v>2.0170616998681279E-2</c:v>
                </c:pt>
                <c:pt idx="20">
                  <c:v>1.8478451143087212E-2</c:v>
                </c:pt>
                <c:pt idx="21">
                  <c:v>1.7625366149680823E-2</c:v>
                </c:pt>
                <c:pt idx="22">
                  <c:v>1.660248106524758E-2</c:v>
                </c:pt>
                <c:pt idx="23">
                  <c:v>1.5497321709904421E-2</c:v>
                </c:pt>
                <c:pt idx="24">
                  <c:v>1.4718925416331151E-2</c:v>
                </c:pt>
                <c:pt idx="25">
                  <c:v>1.4058980732649464E-2</c:v>
                </c:pt>
                <c:pt idx="26">
                  <c:v>1.2876798655603403E-2</c:v>
                </c:pt>
                <c:pt idx="27">
                  <c:v>1.2113573504183734E-2</c:v>
                </c:pt>
                <c:pt idx="28">
                  <c:v>1.142095251432506E-2</c:v>
                </c:pt>
                <c:pt idx="29">
                  <c:v>1.0854368705434769E-2</c:v>
                </c:pt>
                <c:pt idx="30">
                  <c:v>1.0297120984023621E-2</c:v>
                </c:pt>
                <c:pt idx="31">
                  <c:v>9.4253638156589527E-3</c:v>
                </c:pt>
                <c:pt idx="32">
                  <c:v>9.1061863249658655E-3</c:v>
                </c:pt>
                <c:pt idx="33">
                  <c:v>8.5086767263009254E-3</c:v>
                </c:pt>
                <c:pt idx="34">
                  <c:v>8.2548518479618159E-3</c:v>
                </c:pt>
                <c:pt idx="35">
                  <c:v>7.9070825893638626E-3</c:v>
                </c:pt>
                <c:pt idx="36">
                  <c:v>7.4828741145304533E-3</c:v>
                </c:pt>
                <c:pt idx="37">
                  <c:v>7.2191296432447573E-3</c:v>
                </c:pt>
                <c:pt idx="38">
                  <c:v>6.9594697102311849E-3</c:v>
                </c:pt>
                <c:pt idx="39">
                  <c:v>6.5591849595630714E-3</c:v>
                </c:pt>
                <c:pt idx="40">
                  <c:v>6.0999661566828881E-3</c:v>
                </c:pt>
                <c:pt idx="41">
                  <c:v>5.8595619040950411E-3</c:v>
                </c:pt>
                <c:pt idx="42">
                  <c:v>5.5327988423251526E-3</c:v>
                </c:pt>
                <c:pt idx="43">
                  <c:v>5.3069822264234616E-3</c:v>
                </c:pt>
                <c:pt idx="44">
                  <c:v>4.9364562545951059E-3</c:v>
                </c:pt>
                <c:pt idx="45">
                  <c:v>4.8635180711643269E-3</c:v>
                </c:pt>
                <c:pt idx="46">
                  <c:v>4.6102766982926632E-3</c:v>
                </c:pt>
                <c:pt idx="47">
                  <c:v>4.3640373910303542E-3</c:v>
                </c:pt>
                <c:pt idx="48">
                  <c:v>4.1749816195777757E-3</c:v>
                </c:pt>
                <c:pt idx="49">
                  <c:v>3.9269917959131274E-3</c:v>
                </c:pt>
                <c:pt idx="50">
                  <c:v>3.6212349309713032E-3</c:v>
                </c:pt>
                <c:pt idx="51">
                  <c:v>3.5377936491264922E-3</c:v>
                </c:pt>
                <c:pt idx="52">
                  <c:v>3.3650760307624081E-3</c:v>
                </c:pt>
                <c:pt idx="53">
                  <c:v>3.0919954719975727E-3</c:v>
                </c:pt>
                <c:pt idx="54">
                  <c:v>2.9577892144849395E-3</c:v>
                </c:pt>
                <c:pt idx="55">
                  <c:v>2.780403552381286E-3</c:v>
                </c:pt>
                <c:pt idx="56">
                  <c:v>2.6555333823477926E-3</c:v>
                </c:pt>
                <c:pt idx="57">
                  <c:v>2.5259951685747298E-3</c:v>
                </c:pt>
                <c:pt idx="58">
                  <c:v>2.4139621188250535E-3</c:v>
                </c:pt>
                <c:pt idx="59">
                  <c:v>2.3462754846012906E-3</c:v>
                </c:pt>
                <c:pt idx="60">
                  <c:v>2.1187083522972612E-3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Trip Duration (min)</a:t>
                </a:r>
                <a:endParaRPr lang="en-US" sz="1000">
                  <a:effectLst/>
                </a:endParaRPr>
              </a:p>
            </c:rich>
          </c:tx>
          <c:overlay val="0"/>
        </c:title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% Trips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8.2377379523211267E-2</c:v>
                </c:pt>
                <c:pt idx="1">
                  <c:v>9.4203946272424607E-2</c:v>
                </c:pt>
                <c:pt idx="2">
                  <c:v>8.7575270155283547E-2</c:v>
                </c:pt>
                <c:pt idx="3">
                  <c:v>7.6860474417507665E-2</c:v>
                </c:pt>
                <c:pt idx="4">
                  <c:v>6.504707361963262E-2</c:v>
                </c:pt>
                <c:pt idx="5">
                  <c:v>5.3943278198696674E-2</c:v>
                </c:pt>
                <c:pt idx="6">
                  <c:v>4.3912324173349872E-2</c:v>
                </c:pt>
                <c:pt idx="7">
                  <c:v>4.576555095220744E-2</c:v>
                </c:pt>
                <c:pt idx="8">
                  <c:v>4.4127633782478262E-2</c:v>
                </c:pt>
                <c:pt idx="9">
                  <c:v>3.359296504844414E-2</c:v>
                </c:pt>
                <c:pt idx="10">
                  <c:v>3.4608953215832024E-2</c:v>
                </c:pt>
                <c:pt idx="11">
                  <c:v>3.9958478228013981E-2</c:v>
                </c:pt>
                <c:pt idx="12">
                  <c:v>2.9226444173643375E-2</c:v>
                </c:pt>
                <c:pt idx="13">
                  <c:v>2.5424351628892079E-2</c:v>
                </c:pt>
                <c:pt idx="14">
                  <c:v>2.5689671941970939E-2</c:v>
                </c:pt>
                <c:pt idx="15">
                  <c:v>1.9698836995565887E-2</c:v>
                </c:pt>
                <c:pt idx="16">
                  <c:v>1.8498489070664235E-2</c:v>
                </c:pt>
                <c:pt idx="17">
                  <c:v>1.2553140107956547E-2</c:v>
                </c:pt>
                <c:pt idx="18">
                  <c:v>2.1286838596397177E-2</c:v>
                </c:pt>
                <c:pt idx="19">
                  <c:v>1.3743573939513108E-2</c:v>
                </c:pt>
                <c:pt idx="20">
                  <c:v>1.0819577498763808E-2</c:v>
                </c:pt>
                <c:pt idx="21">
                  <c:v>1.4609325689777597E-2</c:v>
                </c:pt>
                <c:pt idx="22">
                  <c:v>9.0285666982166651E-3</c:v>
                </c:pt>
                <c:pt idx="23">
                  <c:v>7.8629614157840737E-3</c:v>
                </c:pt>
                <c:pt idx="24">
                  <c:v>1.1336271797909627E-2</c:v>
                </c:pt>
                <c:pt idx="25">
                  <c:v>6.4609526637816172E-3</c:v>
                </c:pt>
                <c:pt idx="26">
                  <c:v>9.5972895908064005E-3</c:v>
                </c:pt>
                <c:pt idx="27">
                  <c:v>7.1682286841073754E-3</c:v>
                </c:pt>
                <c:pt idx="28">
                  <c:v>8.5556121858182278E-3</c:v>
                </c:pt>
                <c:pt idx="29">
                  <c:v>5.5454349290062445E-3</c:v>
                </c:pt>
                <c:pt idx="30">
                  <c:v>4.4180127561338446E-3</c:v>
                </c:pt>
                <c:pt idx="31">
                  <c:v>6.109731832717423E-3</c:v>
                </c:pt>
                <c:pt idx="32">
                  <c:v>4.3895419681997724E-3</c:v>
                </c:pt>
                <c:pt idx="33">
                  <c:v>1.9553496628241626E-3</c:v>
                </c:pt>
                <c:pt idx="34">
                  <c:v>3.3195203081919241E-3</c:v>
                </c:pt>
                <c:pt idx="35">
                  <c:v>2.949748879331394E-3</c:v>
                </c:pt>
                <c:pt idx="36">
                  <c:v>3.0727225639287179E-3</c:v>
                </c:pt>
                <c:pt idx="37">
                  <c:v>9.7545252706154569E-4</c:v>
                </c:pt>
                <c:pt idx="38">
                  <c:v>1.2871220182985035E-3</c:v>
                </c:pt>
                <c:pt idx="39">
                  <c:v>1.257803569423097E-3</c:v>
                </c:pt>
                <c:pt idx="40">
                  <c:v>1.6388641850950797E-3</c:v>
                </c:pt>
                <c:pt idx="41">
                  <c:v>9.0718566745478049E-4</c:v>
                </c:pt>
                <c:pt idx="42">
                  <c:v>9.7492689752200147E-4</c:v>
                </c:pt>
                <c:pt idx="43">
                  <c:v>1.4714447443100645E-3</c:v>
                </c:pt>
                <c:pt idx="44">
                  <c:v>6.4506894528996712E-4</c:v>
                </c:pt>
                <c:pt idx="45">
                  <c:v>1.0474252730713045E-3</c:v>
                </c:pt>
                <c:pt idx="46">
                  <c:v>5.0595303934570439E-4</c:v>
                </c:pt>
                <c:pt idx="47">
                  <c:v>6.2073287861700265E-4</c:v>
                </c:pt>
                <c:pt idx="48">
                  <c:v>5.069805480885539E-4</c:v>
                </c:pt>
                <c:pt idx="49">
                  <c:v>3.4291213776865121E-4</c:v>
                </c:pt>
                <c:pt idx="50">
                  <c:v>3.9806482811089594E-4</c:v>
                </c:pt>
                <c:pt idx="51">
                  <c:v>1.0771875706563816E-3</c:v>
                </c:pt>
                <c:pt idx="52">
                  <c:v>0</c:v>
                </c:pt>
                <c:pt idx="53">
                  <c:v>1.1002473937824533E-4</c:v>
                </c:pt>
                <c:pt idx="54">
                  <c:v>3.8825369378290387E-5</c:v>
                </c:pt>
                <c:pt idx="55">
                  <c:v>4.0488465514539176E-4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8.3344215399338279E-5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7.4346529799367109E-2</c:v>
                </c:pt>
                <c:pt idx="1">
                  <c:v>9.0285971649139929E-2</c:v>
                </c:pt>
                <c:pt idx="2">
                  <c:v>8.8083302642968236E-2</c:v>
                </c:pt>
                <c:pt idx="3">
                  <c:v>7.4814508997163978E-2</c:v>
                </c:pt>
                <c:pt idx="4">
                  <c:v>6.6000314331892254E-2</c:v>
                </c:pt>
                <c:pt idx="5">
                  <c:v>5.8403569309009362E-2</c:v>
                </c:pt>
                <c:pt idx="6">
                  <c:v>5.0488973753286995E-2</c:v>
                </c:pt>
                <c:pt idx="7">
                  <c:v>4.4825135291730489E-2</c:v>
                </c:pt>
                <c:pt idx="8">
                  <c:v>4.0768142697296041E-2</c:v>
                </c:pt>
                <c:pt idx="9">
                  <c:v>4.0915925601863475E-2</c:v>
                </c:pt>
                <c:pt idx="10">
                  <c:v>3.790279638096087E-2</c:v>
                </c:pt>
                <c:pt idx="11">
                  <c:v>3.4723118172371163E-2</c:v>
                </c:pt>
                <c:pt idx="12">
                  <c:v>3.3185472236752903E-2</c:v>
                </c:pt>
                <c:pt idx="13">
                  <c:v>2.7926277442464363E-2</c:v>
                </c:pt>
                <c:pt idx="14">
                  <c:v>2.544329006969254E-2</c:v>
                </c:pt>
                <c:pt idx="15">
                  <c:v>2.3013082305694803E-2</c:v>
                </c:pt>
                <c:pt idx="16">
                  <c:v>2.0587566062476984E-2</c:v>
                </c:pt>
                <c:pt idx="17">
                  <c:v>1.802364995625157E-2</c:v>
                </c:pt>
                <c:pt idx="18">
                  <c:v>1.683317655834727E-2</c:v>
                </c:pt>
                <c:pt idx="19">
                  <c:v>1.4615260109640841E-2</c:v>
                </c:pt>
                <c:pt idx="20">
                  <c:v>1.2583831611936167E-2</c:v>
                </c:pt>
                <c:pt idx="21">
                  <c:v>1.1013345030858478E-2</c:v>
                </c:pt>
                <c:pt idx="22">
                  <c:v>9.696200571896383E-3</c:v>
                </c:pt>
                <c:pt idx="23">
                  <c:v>8.8693200344357633E-3</c:v>
                </c:pt>
                <c:pt idx="24">
                  <c:v>7.8289753014888549E-3</c:v>
                </c:pt>
                <c:pt idx="25">
                  <c:v>7.5861891011280765E-3</c:v>
                </c:pt>
                <c:pt idx="26">
                  <c:v>7.2108674387346026E-3</c:v>
                </c:pt>
                <c:pt idx="27">
                  <c:v>6.8566576198507631E-3</c:v>
                </c:pt>
                <c:pt idx="28">
                  <c:v>6.3699123389342272E-3</c:v>
                </c:pt>
                <c:pt idx="29">
                  <c:v>5.850326412558263E-3</c:v>
                </c:pt>
                <c:pt idx="30">
                  <c:v>5.5606250043983008E-3</c:v>
                </c:pt>
                <c:pt idx="31">
                  <c:v>4.7290529461577616E-3</c:v>
                </c:pt>
                <c:pt idx="32">
                  <c:v>4.005385865855346E-3</c:v>
                </c:pt>
                <c:pt idx="33">
                  <c:v>3.4177728881705648E-3</c:v>
                </c:pt>
                <c:pt idx="34">
                  <c:v>2.7105261305978641E-3</c:v>
                </c:pt>
                <c:pt idx="35">
                  <c:v>2.2355096516311246E-3</c:v>
                </c:pt>
                <c:pt idx="36">
                  <c:v>1.9223506395715704E-3</c:v>
                </c:pt>
                <c:pt idx="37">
                  <c:v>1.5552391385429544E-3</c:v>
                </c:pt>
                <c:pt idx="38">
                  <c:v>1.3124529381821765E-3</c:v>
                </c:pt>
                <c:pt idx="39">
                  <c:v>1.2362157255085022E-3</c:v>
                </c:pt>
                <c:pt idx="40">
                  <c:v>9.8756512417282625E-4</c:v>
                </c:pt>
                <c:pt idx="41">
                  <c:v>8.0694157414596724E-4</c:v>
                </c:pt>
                <c:pt idx="42">
                  <c:v>7.318772416672727E-4</c:v>
                </c:pt>
                <c:pt idx="43">
                  <c:v>6.0403330041449582E-4</c:v>
                </c:pt>
                <c:pt idx="44">
                  <c:v>5.1254864520608673E-4</c:v>
                </c:pt>
                <c:pt idx="45">
                  <c:v>4.5742327604204538E-4</c:v>
                </c:pt>
                <c:pt idx="46">
                  <c:v>4.0229790687800404E-4</c:v>
                </c:pt>
                <c:pt idx="47">
                  <c:v>3.0260309030473773E-4</c:v>
                </c:pt>
                <c:pt idx="48">
                  <c:v>2.2284723704612468E-4</c:v>
                </c:pt>
                <c:pt idx="49">
                  <c:v>1.9704387275657341E-4</c:v>
                </c:pt>
                <c:pt idx="50">
                  <c:v>1.5482018573730768E-4</c:v>
                </c:pt>
                <c:pt idx="51">
                  <c:v>1.3370834222767482E-4</c:v>
                </c:pt>
                <c:pt idx="52">
                  <c:v>1.2197954027787877E-4</c:v>
                </c:pt>
                <c:pt idx="53">
                  <c:v>9.8521936378286704E-5</c:v>
                </c:pt>
                <c:pt idx="54">
                  <c:v>8.3274493843551857E-5</c:v>
                </c:pt>
                <c:pt idx="55">
                  <c:v>8.4447374038531457E-5</c:v>
                </c:pt>
                <c:pt idx="56">
                  <c:v>7.8582973063633441E-5</c:v>
                </c:pt>
                <c:pt idx="57">
                  <c:v>5.3952488969061768E-5</c:v>
                </c:pt>
                <c:pt idx="58">
                  <c:v>4.9260968189143352E-5</c:v>
                </c:pt>
                <c:pt idx="59">
                  <c:v>3.5186405849388112E-5</c:v>
                </c:pt>
                <c:pt idx="60">
                  <c:v>3.5186405849388112E-5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760970019592622"/>
          <c:y val="7.8319845435987162E-2"/>
          <c:w val="0.1979930501645040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2.2531180436643986E-3</c:v>
                </c:pt>
                <c:pt idx="3">
                  <c:v>3.3665428455999867E-2</c:v>
                </c:pt>
                <c:pt idx="4">
                  <c:v>2.7424666187798513E-2</c:v>
                </c:pt>
                <c:pt idx="5">
                  <c:v>5.1816391179636032E-2</c:v>
                </c:pt>
                <c:pt idx="6">
                  <c:v>6.0004482786146701E-2</c:v>
                </c:pt>
                <c:pt idx="7">
                  <c:v>4.256189375638561E-2</c:v>
                </c:pt>
                <c:pt idx="8">
                  <c:v>4.4441031147205011E-2</c:v>
                </c:pt>
                <c:pt idx="9">
                  <c:v>3.2757859585209367E-2</c:v>
                </c:pt>
                <c:pt idx="10">
                  <c:v>3.7184686035984342E-2</c:v>
                </c:pt>
                <c:pt idx="11">
                  <c:v>4.0744195703746315E-2</c:v>
                </c:pt>
                <c:pt idx="12">
                  <c:v>3.0660930119617597E-2</c:v>
                </c:pt>
                <c:pt idx="13">
                  <c:v>3.2992997908966357E-2</c:v>
                </c:pt>
                <c:pt idx="14">
                  <c:v>2.8355261421723104E-2</c:v>
                </c:pt>
                <c:pt idx="15">
                  <c:v>2.3045687929438924E-2</c:v>
                </c:pt>
                <c:pt idx="16">
                  <c:v>2.6691287696076777E-2</c:v>
                </c:pt>
                <c:pt idx="17">
                  <c:v>2.4833232155444661E-2</c:v>
                </c:pt>
                <c:pt idx="18">
                  <c:v>2.3986201929583815E-2</c:v>
                </c:pt>
                <c:pt idx="19">
                  <c:v>2.8729638155190008E-2</c:v>
                </c:pt>
                <c:pt idx="20">
                  <c:v>2.2844188622544129E-2</c:v>
                </c:pt>
                <c:pt idx="21">
                  <c:v>2.3005057562075052E-2</c:v>
                </c:pt>
                <c:pt idx="22">
                  <c:v>2.0556508080574468E-2</c:v>
                </c:pt>
                <c:pt idx="23">
                  <c:v>1.4529068451554914E-2</c:v>
                </c:pt>
                <c:pt idx="24">
                  <c:v>1.5198042478310077E-2</c:v>
                </c:pt>
                <c:pt idx="25">
                  <c:v>1.9597828528928888E-2</c:v>
                </c:pt>
                <c:pt idx="26">
                  <c:v>1.6348637017544337E-2</c:v>
                </c:pt>
                <c:pt idx="27">
                  <c:v>1.7604360821162707E-2</c:v>
                </c:pt>
                <c:pt idx="28">
                  <c:v>8.9696085754451885E-3</c:v>
                </c:pt>
                <c:pt idx="29">
                  <c:v>1.2489420581734991E-2</c:v>
                </c:pt>
                <c:pt idx="30">
                  <c:v>1.159190451700497E-2</c:v>
                </c:pt>
                <c:pt idx="31">
                  <c:v>1.4012781671237052E-2</c:v>
                </c:pt>
                <c:pt idx="32">
                  <c:v>8.0146012310403619E-3</c:v>
                </c:pt>
                <c:pt idx="33">
                  <c:v>1.6038690845466851E-2</c:v>
                </c:pt>
                <c:pt idx="34">
                  <c:v>7.2716181322905757E-3</c:v>
                </c:pt>
                <c:pt idx="35">
                  <c:v>1.1812051964864624E-2</c:v>
                </c:pt>
                <c:pt idx="36">
                  <c:v>8.3680795446591533E-3</c:v>
                </c:pt>
                <c:pt idx="37">
                  <c:v>8.6672458016446401E-3</c:v>
                </c:pt>
                <c:pt idx="38">
                  <c:v>7.7144771228565131E-3</c:v>
                </c:pt>
                <c:pt idx="39">
                  <c:v>1.0665971902775604E-2</c:v>
                </c:pt>
                <c:pt idx="40">
                  <c:v>8.5395544980244129E-3</c:v>
                </c:pt>
                <c:pt idx="41">
                  <c:v>6.938630889238742E-3</c:v>
                </c:pt>
                <c:pt idx="42">
                  <c:v>1.0926768630048647E-2</c:v>
                </c:pt>
                <c:pt idx="43">
                  <c:v>7.0362347141612325E-3</c:v>
                </c:pt>
                <c:pt idx="44">
                  <c:v>6.4989156657567467E-3</c:v>
                </c:pt>
                <c:pt idx="45">
                  <c:v>6.4436991651669589E-3</c:v>
                </c:pt>
                <c:pt idx="46">
                  <c:v>5.3768966861081503E-3</c:v>
                </c:pt>
                <c:pt idx="47">
                  <c:v>4.8322040294687422E-3</c:v>
                </c:pt>
                <c:pt idx="48">
                  <c:v>3.1614914788052578E-3</c:v>
                </c:pt>
                <c:pt idx="49">
                  <c:v>4.8447250523498808E-3</c:v>
                </c:pt>
                <c:pt idx="50">
                  <c:v>7.9380515429847871E-3</c:v>
                </c:pt>
                <c:pt idx="51">
                  <c:v>3.0717859281351777E-3</c:v>
                </c:pt>
                <c:pt idx="52">
                  <c:v>2.9182275778100297E-3</c:v>
                </c:pt>
                <c:pt idx="53">
                  <c:v>3.2930357113919134E-3</c:v>
                </c:pt>
                <c:pt idx="54">
                  <c:v>2.7981948974870269E-3</c:v>
                </c:pt>
                <c:pt idx="55">
                  <c:v>2.4839335650007634E-3</c:v>
                </c:pt>
                <c:pt idx="56">
                  <c:v>1.8369429183899076E-3</c:v>
                </c:pt>
                <c:pt idx="57">
                  <c:v>3.9589656466617294E-3</c:v>
                </c:pt>
                <c:pt idx="58">
                  <c:v>1.534494846008001E-3</c:v>
                </c:pt>
                <c:pt idx="59">
                  <c:v>2.2393677292939984E-3</c:v>
                </c:pt>
                <c:pt idx="60">
                  <c:v>3.3271235930678717E-3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9.5003295793347892E-4</c:v>
                </c:pt>
                <c:pt idx="1">
                  <c:v>1.5109042671727253E-2</c:v>
                </c:pt>
                <c:pt idx="2">
                  <c:v>8.3051646606505727E-3</c:v>
                </c:pt>
                <c:pt idx="3">
                  <c:v>1.4182467317693367E-2</c:v>
                </c:pt>
                <c:pt idx="4">
                  <c:v>2.3357909083018807E-2</c:v>
                </c:pt>
                <c:pt idx="5">
                  <c:v>3.2407852667481425E-2</c:v>
                </c:pt>
                <c:pt idx="6">
                  <c:v>3.6592689203168653E-2</c:v>
                </c:pt>
                <c:pt idx="7">
                  <c:v>3.8105704654692339E-2</c:v>
                </c:pt>
                <c:pt idx="8">
                  <c:v>3.6633740009992942E-2</c:v>
                </c:pt>
                <c:pt idx="9">
                  <c:v>3.4054576461232791E-2</c:v>
                </c:pt>
                <c:pt idx="10">
                  <c:v>3.3766047933267811E-2</c:v>
                </c:pt>
                <c:pt idx="11">
                  <c:v>3.2921574192882497E-2</c:v>
                </c:pt>
                <c:pt idx="12">
                  <c:v>3.0722423827295738E-2</c:v>
                </c:pt>
                <c:pt idx="13">
                  <c:v>2.8400121041236123E-2</c:v>
                </c:pt>
                <c:pt idx="14">
                  <c:v>2.7193227320602111E-2</c:v>
                </c:pt>
                <c:pt idx="15">
                  <c:v>2.5801018529161321E-2</c:v>
                </c:pt>
                <c:pt idx="16">
                  <c:v>2.4515541835463676E-2</c:v>
                </c:pt>
                <c:pt idx="17">
                  <c:v>2.3173766892407008E-2</c:v>
                </c:pt>
                <c:pt idx="18">
                  <c:v>2.1580995587624708E-2</c:v>
                </c:pt>
                <c:pt idx="19">
                  <c:v>2.1139992634312377E-2</c:v>
                </c:pt>
                <c:pt idx="20">
                  <c:v>2.0412806913425022E-2</c:v>
                </c:pt>
                <c:pt idx="21">
                  <c:v>1.9295052087609458E-2</c:v>
                </c:pt>
                <c:pt idx="22">
                  <c:v>1.8391934337475165E-2</c:v>
                </c:pt>
                <c:pt idx="23">
                  <c:v>1.7860619609149402E-2</c:v>
                </c:pt>
                <c:pt idx="24">
                  <c:v>1.7115840685337357E-2</c:v>
                </c:pt>
                <c:pt idx="25">
                  <c:v>1.6141177243309306E-2</c:v>
                </c:pt>
                <c:pt idx="26">
                  <c:v>1.5852648715344322E-2</c:v>
                </c:pt>
                <c:pt idx="27">
                  <c:v>1.4744276931088597E-2</c:v>
                </c:pt>
                <c:pt idx="28">
                  <c:v>1.4060487777415488E-2</c:v>
                </c:pt>
                <c:pt idx="29">
                  <c:v>1.3593681459813605E-2</c:v>
                </c:pt>
                <c:pt idx="30">
                  <c:v>1.290050926458066E-2</c:v>
                </c:pt>
                <c:pt idx="31">
                  <c:v>1.2448950389513512E-2</c:v>
                </c:pt>
                <c:pt idx="32">
                  <c:v>1.1754605314085587E-2</c:v>
                </c:pt>
                <c:pt idx="33">
                  <c:v>1.1603303768933218E-2</c:v>
                </c:pt>
                <c:pt idx="34">
                  <c:v>1.0981677265594028E-2</c:v>
                </c:pt>
                <c:pt idx="35">
                  <c:v>1.0547711593451576E-2</c:v>
                </c:pt>
                <c:pt idx="36">
                  <c:v>1.0263874586266512E-2</c:v>
                </c:pt>
                <c:pt idx="37">
                  <c:v>9.8932444446529558E-3</c:v>
                </c:pt>
                <c:pt idx="38">
                  <c:v>9.2903840244334401E-3</c:v>
                </c:pt>
                <c:pt idx="39">
                  <c:v>9.3431636332075227E-3</c:v>
                </c:pt>
                <c:pt idx="40">
                  <c:v>8.9959910954935593E-3</c:v>
                </c:pt>
                <c:pt idx="41">
                  <c:v>8.4963441324322486E-3</c:v>
                </c:pt>
                <c:pt idx="42">
                  <c:v>8.3532527486447367E-3</c:v>
                </c:pt>
                <c:pt idx="43">
                  <c:v>7.9427446804018753E-3</c:v>
                </c:pt>
                <c:pt idx="44">
                  <c:v>7.5381010131339125E-3</c:v>
                </c:pt>
                <c:pt idx="45">
                  <c:v>6.9434507542792531E-3</c:v>
                </c:pt>
                <c:pt idx="46">
                  <c:v>6.8965355464800692E-3</c:v>
                </c:pt>
                <c:pt idx="47">
                  <c:v>6.6256002214397812E-3</c:v>
                </c:pt>
                <c:pt idx="48">
                  <c:v>6.3405903340597375E-3</c:v>
                </c:pt>
                <c:pt idx="49">
                  <c:v>6.1845972681274499E-3</c:v>
                </c:pt>
                <c:pt idx="50">
                  <c:v>6.0555804466796937E-3</c:v>
                </c:pt>
                <c:pt idx="51">
                  <c:v>5.8866856986026306E-3</c:v>
                </c:pt>
                <c:pt idx="52">
                  <c:v>5.4316081829505446E-3</c:v>
                </c:pt>
                <c:pt idx="53">
                  <c:v>5.2826523981881349E-3</c:v>
                </c:pt>
                <c:pt idx="54">
                  <c:v>5.0586322809470308E-3</c:v>
                </c:pt>
                <c:pt idx="55">
                  <c:v>4.6328767701694345E-3</c:v>
                </c:pt>
                <c:pt idx="56">
                  <c:v>4.6023818850999647E-3</c:v>
                </c:pt>
                <c:pt idx="57">
                  <c:v>4.5308361932062087E-3</c:v>
                </c:pt>
                <c:pt idx="58">
                  <c:v>4.1883551762721648E-3</c:v>
                </c:pt>
                <c:pt idx="59">
                  <c:v>4.0370536311197958E-3</c:v>
                </c:pt>
                <c:pt idx="60">
                  <c:v>3.7461793427648539E-3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Trip Duration (min)</a:t>
                </a:r>
                <a:endParaRPr lang="en-US" sz="1000">
                  <a:effectLst/>
                </a:endParaRPr>
              </a:p>
            </c:rich>
          </c:tx>
          <c:overlay val="0"/>
        </c:title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8.5661990194214999E-2</c:v>
                </c:pt>
                <c:pt idx="1">
                  <c:v>0.1749448272817111</c:v>
                </c:pt>
                <c:pt idx="2">
                  <c:v>0.16964429756637178</c:v>
                </c:pt>
                <c:pt idx="3">
                  <c:v>0.12047057436758364</c:v>
                </c:pt>
                <c:pt idx="4">
                  <c:v>0.10663270773229706</c:v>
                </c:pt>
                <c:pt idx="5">
                  <c:v>7.0521438498208827E-2</c:v>
                </c:pt>
                <c:pt idx="6">
                  <c:v>5.9015091530855983E-2</c:v>
                </c:pt>
                <c:pt idx="7">
                  <c:v>5.1984450178613834E-2</c:v>
                </c:pt>
                <c:pt idx="8">
                  <c:v>2.3485452941899111E-2</c:v>
                </c:pt>
                <c:pt idx="9">
                  <c:v>1.95608608217889E-2</c:v>
                </c:pt>
                <c:pt idx="10">
                  <c:v>2.1285879257407617E-2</c:v>
                </c:pt>
                <c:pt idx="11">
                  <c:v>1.9018601070621897E-2</c:v>
                </c:pt>
                <c:pt idx="12">
                  <c:v>7.8572065299441808E-3</c:v>
                </c:pt>
                <c:pt idx="13">
                  <c:v>5.6683389405257877E-3</c:v>
                </c:pt>
                <c:pt idx="14">
                  <c:v>1.481111022406071E-2</c:v>
                </c:pt>
                <c:pt idx="15">
                  <c:v>8.237927892293502E-3</c:v>
                </c:pt>
                <c:pt idx="16">
                  <c:v>5.5861470755332885E-3</c:v>
                </c:pt>
                <c:pt idx="17">
                  <c:v>8.354690030716639E-3</c:v>
                </c:pt>
                <c:pt idx="18">
                  <c:v>1.5481329121391834E-3</c:v>
                </c:pt>
                <c:pt idx="19">
                  <c:v>2.2960337867470233E-3</c:v>
                </c:pt>
                <c:pt idx="20">
                  <c:v>3.0210115597113815E-3</c:v>
                </c:pt>
                <c:pt idx="21">
                  <c:v>9.8899137401412852E-4</c:v>
                </c:pt>
                <c:pt idx="22">
                  <c:v>2.4215187994536891E-3</c:v>
                </c:pt>
                <c:pt idx="23">
                  <c:v>4.661594286907313E-4</c:v>
                </c:pt>
                <c:pt idx="24">
                  <c:v>1.438460503470008E-3</c:v>
                </c:pt>
                <c:pt idx="25">
                  <c:v>3.290444770225926E-3</c:v>
                </c:pt>
                <c:pt idx="26">
                  <c:v>5.8770631339447803E-4</c:v>
                </c:pt>
                <c:pt idx="27">
                  <c:v>1.8737932319552544E-3</c:v>
                </c:pt>
                <c:pt idx="28">
                  <c:v>6.6760357670082979E-4</c:v>
                </c:pt>
                <c:pt idx="29">
                  <c:v>1.542434487309764E-3</c:v>
                </c:pt>
                <c:pt idx="30">
                  <c:v>3.5072418276868075E-3</c:v>
                </c:pt>
                <c:pt idx="31">
                  <c:v>1.2048513201160196E-4</c:v>
                </c:pt>
                <c:pt idx="32">
                  <c:v>0</c:v>
                </c:pt>
                <c:pt idx="33">
                  <c:v>3.317296315337416E-4</c:v>
                </c:pt>
                <c:pt idx="34">
                  <c:v>2.1262085843741355E-4</c:v>
                </c:pt>
                <c:pt idx="35">
                  <c:v>3.8504538313645879E-4</c:v>
                </c:pt>
                <c:pt idx="36">
                  <c:v>1.4757166098425534E-3</c:v>
                </c:pt>
                <c:pt idx="37">
                  <c:v>2.4163649072767496E-4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3.1571046115751671E-4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5.2593072700505238E-4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0.14874662160667762</c:v>
                </c:pt>
                <c:pt idx="1">
                  <c:v>0.2051851425892095</c:v>
                </c:pt>
                <c:pt idx="2">
                  <c:v>0.1528515630183705</c:v>
                </c:pt>
                <c:pt idx="3">
                  <c:v>9.4749833015583734E-2</c:v>
                </c:pt>
                <c:pt idx="4">
                  <c:v>5.9703011027606619E-2</c:v>
                </c:pt>
                <c:pt idx="5">
                  <c:v>4.5494959503514412E-2</c:v>
                </c:pt>
                <c:pt idx="6">
                  <c:v>3.816091547270966E-2</c:v>
                </c:pt>
                <c:pt idx="7">
                  <c:v>3.3171288411945027E-2</c:v>
                </c:pt>
                <c:pt idx="8">
                  <c:v>2.9106157854460364E-2</c:v>
                </c:pt>
                <c:pt idx="9">
                  <c:v>2.5151613003109669E-2</c:v>
                </c:pt>
                <c:pt idx="10">
                  <c:v>2.2187916078719328E-2</c:v>
                </c:pt>
                <c:pt idx="11">
                  <c:v>1.9480777992559793E-2</c:v>
                </c:pt>
                <c:pt idx="12">
                  <c:v>1.7300027867597947E-2</c:v>
                </c:pt>
                <c:pt idx="13">
                  <c:v>1.6057044530652147E-2</c:v>
                </c:pt>
                <c:pt idx="14">
                  <c:v>1.269523906417952E-2</c:v>
                </c:pt>
                <c:pt idx="15">
                  <c:v>1.0978948904980338E-2</c:v>
                </c:pt>
                <c:pt idx="16">
                  <c:v>8.9972530510596324E-3</c:v>
                </c:pt>
                <c:pt idx="17">
                  <c:v>8.3293153860104652E-3</c:v>
                </c:pt>
                <c:pt idx="18">
                  <c:v>7.0553680513471551E-3</c:v>
                </c:pt>
                <c:pt idx="19">
                  <c:v>6.1308715480671832E-3</c:v>
                </c:pt>
                <c:pt idx="20">
                  <c:v>5.1046361951439601E-3</c:v>
                </c:pt>
                <c:pt idx="21">
                  <c:v>4.259761400280445E-3</c:v>
                </c:pt>
                <c:pt idx="22">
                  <c:v>3.8528060017074435E-3</c:v>
                </c:pt>
                <c:pt idx="23">
                  <c:v>3.2998774710376036E-3</c:v>
                </c:pt>
                <c:pt idx="24">
                  <c:v>2.9902374938624932E-3</c:v>
                </c:pt>
                <c:pt idx="25">
                  <c:v>2.5744352387987736E-3</c:v>
                </c:pt>
                <c:pt idx="26">
                  <c:v>2.2824889746050985E-3</c:v>
                </c:pt>
                <c:pt idx="27">
                  <c:v>2.0613175623371625E-3</c:v>
                </c:pt>
                <c:pt idx="28">
                  <c:v>1.9463084279578359E-3</c:v>
                </c:pt>
                <c:pt idx="29">
                  <c:v>1.490695318685888E-3</c:v>
                </c:pt>
                <c:pt idx="30">
                  <c:v>1.3270284736076154E-3</c:v>
                </c:pt>
                <c:pt idx="31">
                  <c:v>1.20759591098293E-3</c:v>
                </c:pt>
                <c:pt idx="32">
                  <c:v>9.3776678801604817E-4</c:v>
                </c:pt>
                <c:pt idx="33">
                  <c:v>1.0173884964325051E-3</c:v>
                </c:pt>
                <c:pt idx="34">
                  <c:v>7.475593734656233E-4</c:v>
                </c:pt>
                <c:pt idx="35">
                  <c:v>7.254422322388297E-4</c:v>
                </c:pt>
                <c:pt idx="36">
                  <c:v>4.2464911155443695E-4</c:v>
                </c:pt>
                <c:pt idx="37">
                  <c:v>3.75991400855491E-4</c:v>
                </c:pt>
                <c:pt idx="38">
                  <c:v>2.7425255121224051E-4</c:v>
                </c:pt>
                <c:pt idx="39">
                  <c:v>2.6540569472152306E-4</c:v>
                </c:pt>
                <c:pt idx="40">
                  <c:v>2.1232455577721847E-4</c:v>
                </c:pt>
                <c:pt idx="41">
                  <c:v>1.946308427957836E-4</c:v>
                </c:pt>
                <c:pt idx="42">
                  <c:v>1.4154970385147898E-4</c:v>
                </c:pt>
                <c:pt idx="43">
                  <c:v>7.9621708416456927E-5</c:v>
                </c:pt>
                <c:pt idx="44">
                  <c:v>9.2891993152533075E-5</c:v>
                </c:pt>
                <c:pt idx="45">
                  <c:v>5.3081138944304618E-5</c:v>
                </c:pt>
                <c:pt idx="46">
                  <c:v>7.9621708416456927E-5</c:v>
                </c:pt>
                <c:pt idx="47">
                  <c:v>3.9810854208228464E-5</c:v>
                </c:pt>
                <c:pt idx="48">
                  <c:v>3.9810854208228464E-5</c:v>
                </c:pt>
                <c:pt idx="49">
                  <c:v>6.6351423680380766E-5</c:v>
                </c:pt>
                <c:pt idx="50">
                  <c:v>5.750456718966333E-5</c:v>
                </c:pt>
                <c:pt idx="51">
                  <c:v>3.0963997717511027E-5</c:v>
                </c:pt>
                <c:pt idx="52">
                  <c:v>2.6540569472152309E-5</c:v>
                </c:pt>
                <c:pt idx="53">
                  <c:v>2.2117141226793591E-5</c:v>
                </c:pt>
                <c:pt idx="54">
                  <c:v>4.4234282453587182E-5</c:v>
                </c:pt>
                <c:pt idx="55">
                  <c:v>2.6540569472152309E-5</c:v>
                </c:pt>
                <c:pt idx="56">
                  <c:v>1.7693712981434873E-5</c:v>
                </c:pt>
                <c:pt idx="57">
                  <c:v>2.2117141226793591E-5</c:v>
                </c:pt>
                <c:pt idx="58">
                  <c:v>8.8468564907174364E-6</c:v>
                </c:pt>
                <c:pt idx="59">
                  <c:v>8.8468564907174364E-6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48293963254596"/>
          <c:y val="7.8319845435987162E-2"/>
          <c:w val="0.21911981072788436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6.6028388886311936E-3</c:v>
                </c:pt>
                <c:pt idx="3">
                  <c:v>5.8119401013236822E-2</c:v>
                </c:pt>
                <c:pt idx="4">
                  <c:v>7.1183689538548839E-2</c:v>
                </c:pt>
                <c:pt idx="5">
                  <c:v>9.5997270918970812E-2</c:v>
                </c:pt>
                <c:pt idx="6">
                  <c:v>0.10327955223630615</c:v>
                </c:pt>
                <c:pt idx="7">
                  <c:v>8.0131057920317134E-2</c:v>
                </c:pt>
                <c:pt idx="8">
                  <c:v>6.2301575082478494E-2</c:v>
                </c:pt>
                <c:pt idx="9">
                  <c:v>6.2406287991198878E-2</c:v>
                </c:pt>
                <c:pt idx="10">
                  <c:v>6.9031433725942601E-2</c:v>
                </c:pt>
                <c:pt idx="11">
                  <c:v>5.9530060057315419E-2</c:v>
                </c:pt>
                <c:pt idx="12">
                  <c:v>4.5690012083202849E-2</c:v>
                </c:pt>
                <c:pt idx="13">
                  <c:v>3.7781764165915131E-2</c:v>
                </c:pt>
                <c:pt idx="14">
                  <c:v>3.5418649750848602E-2</c:v>
                </c:pt>
                <c:pt idx="15">
                  <c:v>3.4027695847921244E-2</c:v>
                </c:pt>
                <c:pt idx="16">
                  <c:v>1.4017013369339391E-2</c:v>
                </c:pt>
                <c:pt idx="17">
                  <c:v>2.5619888350465542E-2</c:v>
                </c:pt>
                <c:pt idx="18">
                  <c:v>1.1279959602424873E-2</c:v>
                </c:pt>
                <c:pt idx="19">
                  <c:v>6.9208508726663264E-3</c:v>
                </c:pt>
                <c:pt idx="20">
                  <c:v>8.4795519479756824E-3</c:v>
                </c:pt>
                <c:pt idx="21">
                  <c:v>6.3649981324443595E-3</c:v>
                </c:pt>
                <c:pt idx="22">
                  <c:v>5.6664997900258904E-3</c:v>
                </c:pt>
                <c:pt idx="23">
                  <c:v>9.9566750525764657E-3</c:v>
                </c:pt>
                <c:pt idx="24">
                  <c:v>6.8226736690054739E-3</c:v>
                </c:pt>
                <c:pt idx="25">
                  <c:v>8.8850739498430708E-3</c:v>
                </c:pt>
                <c:pt idx="26">
                  <c:v>8.3930517011799842E-3</c:v>
                </c:pt>
                <c:pt idx="27">
                  <c:v>8.2658970729434598E-3</c:v>
                </c:pt>
                <c:pt idx="28">
                  <c:v>7.4164325343968685E-3</c:v>
                </c:pt>
                <c:pt idx="29">
                  <c:v>1.9586540846164781E-3</c:v>
                </c:pt>
                <c:pt idx="30">
                  <c:v>4.1152191388278136E-3</c:v>
                </c:pt>
                <c:pt idx="31">
                  <c:v>1.4868252847010631E-3</c:v>
                </c:pt>
                <c:pt idx="32">
                  <c:v>4.6497967353388708E-3</c:v>
                </c:pt>
                <c:pt idx="33">
                  <c:v>3.6048375870998818E-3</c:v>
                </c:pt>
                <c:pt idx="34">
                  <c:v>2.7414444287658765E-3</c:v>
                </c:pt>
                <c:pt idx="35">
                  <c:v>1.4326191761415588E-4</c:v>
                </c:pt>
                <c:pt idx="36">
                  <c:v>0</c:v>
                </c:pt>
                <c:pt idx="37">
                  <c:v>7.050601751896824E-4</c:v>
                </c:pt>
                <c:pt idx="38">
                  <c:v>9.7121383601866658E-4</c:v>
                </c:pt>
                <c:pt idx="39">
                  <c:v>2.3077320290564017E-3</c:v>
                </c:pt>
                <c:pt idx="40">
                  <c:v>2.7607620088605359E-3</c:v>
                </c:pt>
                <c:pt idx="41">
                  <c:v>3.2324080901766747E-3</c:v>
                </c:pt>
                <c:pt idx="42">
                  <c:v>2.7629587129026923E-4</c:v>
                </c:pt>
                <c:pt idx="43">
                  <c:v>3.3327977224160525E-3</c:v>
                </c:pt>
                <c:pt idx="44">
                  <c:v>4.7548084915250484E-4</c:v>
                </c:pt>
                <c:pt idx="45">
                  <c:v>0</c:v>
                </c:pt>
                <c:pt idx="46">
                  <c:v>0</c:v>
                </c:pt>
                <c:pt idx="47">
                  <c:v>1.8296976409598779E-4</c:v>
                </c:pt>
                <c:pt idx="48">
                  <c:v>1.4455225484580898E-3</c:v>
                </c:pt>
                <c:pt idx="49">
                  <c:v>2.153888131554862E-4</c:v>
                </c:pt>
                <c:pt idx="50">
                  <c:v>5.877063133944777E-4</c:v>
                </c:pt>
                <c:pt idx="51">
                  <c:v>4.0078730076314557E-3</c:v>
                </c:pt>
                <c:pt idx="52">
                  <c:v>0</c:v>
                </c:pt>
                <c:pt idx="53">
                  <c:v>0</c:v>
                </c:pt>
                <c:pt idx="54">
                  <c:v>1.8271219952683219E-3</c:v>
                </c:pt>
                <c:pt idx="55">
                  <c:v>3.2667824314354466E-3</c:v>
                </c:pt>
                <c:pt idx="56">
                  <c:v>0</c:v>
                </c:pt>
                <c:pt idx="57">
                  <c:v>0</c:v>
                </c:pt>
                <c:pt idx="58">
                  <c:v>1.2048513201160191E-4</c:v>
                </c:pt>
                <c:pt idx="59">
                  <c:v>2.1206221947275231E-3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9.5546050099748307E-4</c:v>
                </c:pt>
                <c:pt idx="1">
                  <c:v>1.845896606788193E-2</c:v>
                </c:pt>
                <c:pt idx="2">
                  <c:v>2.2970862878147823E-2</c:v>
                </c:pt>
                <c:pt idx="3">
                  <c:v>4.2593190574559098E-2</c:v>
                </c:pt>
                <c:pt idx="4">
                  <c:v>6.5148251197643198E-2</c:v>
                </c:pt>
                <c:pt idx="5">
                  <c:v>7.9780951833289843E-2</c:v>
                </c:pt>
                <c:pt idx="6">
                  <c:v>8.2793306468379124E-2</c:v>
                </c:pt>
                <c:pt idx="7">
                  <c:v>7.2044375832157434E-2</c:v>
                </c:pt>
                <c:pt idx="8">
                  <c:v>6.095926464928849E-2</c:v>
                </c:pt>
                <c:pt idx="9">
                  <c:v>4.6056734890674973E-2</c:v>
                </c:pt>
                <c:pt idx="10">
                  <c:v>4.1080378114646411E-2</c:v>
                </c:pt>
                <c:pt idx="11">
                  <c:v>3.2423729038479406E-2</c:v>
                </c:pt>
                <c:pt idx="12">
                  <c:v>2.8110886499254653E-2</c:v>
                </c:pt>
                <c:pt idx="13">
                  <c:v>2.6788281453892396E-2</c:v>
                </c:pt>
                <c:pt idx="14">
                  <c:v>2.287797088499529E-2</c:v>
                </c:pt>
                <c:pt idx="15">
                  <c:v>2.1842888675581349E-2</c:v>
                </c:pt>
                <c:pt idx="16">
                  <c:v>2.0697220760033441E-2</c:v>
                </c:pt>
                <c:pt idx="17">
                  <c:v>1.9104786591704302E-2</c:v>
                </c:pt>
                <c:pt idx="18">
                  <c:v>1.7388496432505122E-2</c:v>
                </c:pt>
                <c:pt idx="19">
                  <c:v>1.6070314815388221E-2</c:v>
                </c:pt>
                <c:pt idx="20">
                  <c:v>1.6034927389425354E-2</c:v>
                </c:pt>
                <c:pt idx="21">
                  <c:v>1.4057654963750006E-2</c:v>
                </c:pt>
                <c:pt idx="22">
                  <c:v>1.3739168130084177E-2</c:v>
                </c:pt>
                <c:pt idx="23">
                  <c:v>1.1912292264751028E-2</c:v>
                </c:pt>
                <c:pt idx="24">
                  <c:v>1.1828247128089211E-2</c:v>
                </c:pt>
                <c:pt idx="25">
                  <c:v>1.1239931171456502E-2</c:v>
                </c:pt>
                <c:pt idx="26">
                  <c:v>1.0629498073596999E-2</c:v>
                </c:pt>
                <c:pt idx="27">
                  <c:v>9.9129026978488875E-3</c:v>
                </c:pt>
                <c:pt idx="28">
                  <c:v>1.0160614679588975E-2</c:v>
                </c:pt>
                <c:pt idx="29">
                  <c:v>9.4661364450676563E-3</c:v>
                </c:pt>
                <c:pt idx="30">
                  <c:v>8.4133605226722821E-3</c:v>
                </c:pt>
                <c:pt idx="31">
                  <c:v>7.9444771286642582E-3</c:v>
                </c:pt>
                <c:pt idx="32">
                  <c:v>7.3207737460686782E-3</c:v>
                </c:pt>
                <c:pt idx="33">
                  <c:v>6.8297732108338607E-3</c:v>
                </c:pt>
                <c:pt idx="34">
                  <c:v>6.5024395206773151E-3</c:v>
                </c:pt>
                <c:pt idx="35">
                  <c:v>6.113177835085748E-3</c:v>
                </c:pt>
                <c:pt idx="36">
                  <c:v>5.768150431947768E-3</c:v>
                </c:pt>
                <c:pt idx="37">
                  <c:v>5.6354475845870064E-3</c:v>
                </c:pt>
                <c:pt idx="38">
                  <c:v>5.3567716051294073E-3</c:v>
                </c:pt>
                <c:pt idx="39">
                  <c:v>5.1002127668986017E-3</c:v>
                </c:pt>
                <c:pt idx="40">
                  <c:v>4.8348070721770785E-3</c:v>
                </c:pt>
                <c:pt idx="41">
                  <c:v>4.149175694146477E-3</c:v>
                </c:pt>
                <c:pt idx="42">
                  <c:v>4.038589988012509E-3</c:v>
                </c:pt>
                <c:pt idx="43">
                  <c:v>3.6714454436477359E-3</c:v>
                </c:pt>
                <c:pt idx="44">
                  <c:v>3.5962471634766375E-3</c:v>
                </c:pt>
                <c:pt idx="45">
                  <c:v>3.6714454436477359E-3</c:v>
                </c:pt>
                <c:pt idx="46">
                  <c:v>3.0344717763160804E-3</c:v>
                </c:pt>
                <c:pt idx="47">
                  <c:v>2.8663815029924492E-3</c:v>
                </c:pt>
                <c:pt idx="48">
                  <c:v>2.808876935802786E-3</c:v>
                </c:pt>
                <c:pt idx="49">
                  <c:v>2.5036603868730345E-3</c:v>
                </c:pt>
                <c:pt idx="50">
                  <c:v>2.6717506601966656E-3</c:v>
                </c:pt>
                <c:pt idx="51">
                  <c:v>2.2382546921515113E-3</c:v>
                </c:pt>
                <c:pt idx="52">
                  <c:v>2.1984438379432829E-3</c:v>
                </c:pt>
                <c:pt idx="53">
                  <c:v>2.0922815600546737E-3</c:v>
                </c:pt>
                <c:pt idx="54">
                  <c:v>1.9551552844485533E-3</c:v>
                </c:pt>
                <c:pt idx="55">
                  <c:v>1.7074433027084652E-3</c:v>
                </c:pt>
                <c:pt idx="56">
                  <c:v>1.8888038607681725E-3</c:v>
                </c:pt>
                <c:pt idx="57">
                  <c:v>1.521659316403399E-3</c:v>
                </c:pt>
                <c:pt idx="58">
                  <c:v>1.632245022537367E-3</c:v>
                </c:pt>
                <c:pt idx="59">
                  <c:v>1.2916410476447456E-3</c:v>
                </c:pt>
                <c:pt idx="60">
                  <c:v>1.269523906417952E-3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6.4066318189716878E-2</c:v>
                </c:pt>
                <c:pt idx="1">
                  <c:v>0.15776957791804286</c:v>
                </c:pt>
                <c:pt idx="2">
                  <c:v>0.16060572870164072</c:v>
                </c:pt>
                <c:pt idx="3">
                  <c:v>0.13095466047236434</c:v>
                </c:pt>
                <c:pt idx="4">
                  <c:v>8.0758191873515753E-2</c:v>
                </c:pt>
                <c:pt idx="5">
                  <c:v>6.4956349017906534E-2</c:v>
                </c:pt>
                <c:pt idx="6">
                  <c:v>5.6548938338871528E-2</c:v>
                </c:pt>
                <c:pt idx="7">
                  <c:v>3.0247956930460323E-2</c:v>
                </c:pt>
                <c:pt idx="8">
                  <c:v>3.2409404789406598E-2</c:v>
                </c:pt>
                <c:pt idx="9">
                  <c:v>3.5901470327245895E-2</c:v>
                </c:pt>
                <c:pt idx="10">
                  <c:v>2.8837287000956936E-2</c:v>
                </c:pt>
                <c:pt idx="11">
                  <c:v>1.8921040986857554E-2</c:v>
                </c:pt>
                <c:pt idx="12">
                  <c:v>2.2719602426820057E-2</c:v>
                </c:pt>
                <c:pt idx="13">
                  <c:v>1.7033498200608985E-2</c:v>
                </c:pt>
                <c:pt idx="14">
                  <c:v>1.5744989636715303E-2</c:v>
                </c:pt>
                <c:pt idx="15">
                  <c:v>1.6551659970862543E-2</c:v>
                </c:pt>
                <c:pt idx="16">
                  <c:v>1.4029713034516781E-2</c:v>
                </c:pt>
                <c:pt idx="17">
                  <c:v>9.4946786830186914E-3</c:v>
                </c:pt>
                <c:pt idx="18">
                  <c:v>3.6425533029219356E-3</c:v>
                </c:pt>
                <c:pt idx="19">
                  <c:v>4.8052150408509024E-3</c:v>
                </c:pt>
                <c:pt idx="20">
                  <c:v>5.2750449171668698E-3</c:v>
                </c:pt>
                <c:pt idx="21">
                  <c:v>2.4506856608189384E-3</c:v>
                </c:pt>
                <c:pt idx="22">
                  <c:v>2.5704254175213108E-3</c:v>
                </c:pt>
                <c:pt idx="23">
                  <c:v>2.3245516322838123E-3</c:v>
                </c:pt>
                <c:pt idx="24">
                  <c:v>3.4076447281381262E-3</c:v>
                </c:pt>
                <c:pt idx="25">
                  <c:v>2.0899044641736126E-4</c:v>
                </c:pt>
                <c:pt idx="26">
                  <c:v>1.837115656058285E-3</c:v>
                </c:pt>
                <c:pt idx="27">
                  <c:v>1.8941774124164464E-3</c:v>
                </c:pt>
                <c:pt idx="28">
                  <c:v>9.9117577308626944E-4</c:v>
                </c:pt>
                <c:pt idx="29">
                  <c:v>2.9242640833915061E-3</c:v>
                </c:pt>
                <c:pt idx="30">
                  <c:v>3.8617724124015272E-4</c:v>
                </c:pt>
                <c:pt idx="31">
                  <c:v>2.5979771710070003E-4</c:v>
                </c:pt>
                <c:pt idx="32">
                  <c:v>1.5967670758878206E-3</c:v>
                </c:pt>
                <c:pt idx="33">
                  <c:v>1.4080642410343631E-3</c:v>
                </c:pt>
                <c:pt idx="34">
                  <c:v>2.0690152661686115E-3</c:v>
                </c:pt>
                <c:pt idx="35">
                  <c:v>8.7924229355395536E-4</c:v>
                </c:pt>
                <c:pt idx="36">
                  <c:v>5.2136214233814511E-4</c:v>
                </c:pt>
                <c:pt idx="37">
                  <c:v>2.5565595856874611E-4</c:v>
                </c:pt>
                <c:pt idx="38">
                  <c:v>0</c:v>
                </c:pt>
                <c:pt idx="39">
                  <c:v>6.575735800080526E-4</c:v>
                </c:pt>
                <c:pt idx="40">
                  <c:v>0</c:v>
                </c:pt>
                <c:pt idx="41">
                  <c:v>6.121218209019666E-4</c:v>
                </c:pt>
                <c:pt idx="42">
                  <c:v>0</c:v>
                </c:pt>
                <c:pt idx="43">
                  <c:v>7.4185946563271499E-5</c:v>
                </c:pt>
                <c:pt idx="44">
                  <c:v>6.6367618753370491E-4</c:v>
                </c:pt>
                <c:pt idx="45">
                  <c:v>1.9439144905150632E-4</c:v>
                </c:pt>
                <c:pt idx="46">
                  <c:v>4.2377401017727479E-4</c:v>
                </c:pt>
                <c:pt idx="47">
                  <c:v>0</c:v>
                </c:pt>
                <c:pt idx="48">
                  <c:v>0</c:v>
                </c:pt>
                <c:pt idx="49">
                  <c:v>1.1528449927229617E-4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0.11654762083027607</c:v>
                </c:pt>
                <c:pt idx="1">
                  <c:v>0.13304432897580648</c:v>
                </c:pt>
                <c:pt idx="2">
                  <c:v>0.13065093364879232</c:v>
                </c:pt>
                <c:pt idx="3">
                  <c:v>0.11736372121811094</c:v>
                </c:pt>
                <c:pt idx="4">
                  <c:v>9.3197666002805185E-2</c:v>
                </c:pt>
                <c:pt idx="5">
                  <c:v>7.1439980433556455E-2</c:v>
                </c:pt>
                <c:pt idx="6">
                  <c:v>5.2237911980952664E-2</c:v>
                </c:pt>
                <c:pt idx="7">
                  <c:v>3.9499757915175474E-2</c:v>
                </c:pt>
                <c:pt idx="8">
                  <c:v>3.0045971159461525E-2</c:v>
                </c:pt>
                <c:pt idx="9">
                  <c:v>2.5156855991973766E-2</c:v>
                </c:pt>
                <c:pt idx="10">
                  <c:v>2.1657856775629796E-2</c:v>
                </c:pt>
                <c:pt idx="11">
                  <c:v>1.8745351721797119E-2</c:v>
                </c:pt>
                <c:pt idx="12">
                  <c:v>1.7385184408739013E-2</c:v>
                </c:pt>
                <c:pt idx="13">
                  <c:v>1.4764678576241745E-2</c:v>
                </c:pt>
                <c:pt idx="14">
                  <c:v>1.3416989862386009E-2</c:v>
                </c:pt>
                <c:pt idx="15">
                  <c:v>1.1392961071761928E-2</c:v>
                </c:pt>
                <c:pt idx="16">
                  <c:v>1.0055255237268084E-2</c:v>
                </c:pt>
                <c:pt idx="17">
                  <c:v>8.9721128265025478E-3</c:v>
                </c:pt>
                <c:pt idx="18">
                  <c:v>8.086132283134425E-3</c:v>
                </c:pt>
                <c:pt idx="19">
                  <c:v>6.908152518430891E-3</c:v>
                </c:pt>
                <c:pt idx="20">
                  <c:v>6.1469579670864471E-3</c:v>
                </c:pt>
                <c:pt idx="21">
                  <c:v>5.303404661006374E-3</c:v>
                </c:pt>
                <c:pt idx="22">
                  <c:v>4.976465361904334E-3</c:v>
                </c:pt>
                <c:pt idx="23">
                  <c:v>4.3949626390739878E-3</c:v>
                </c:pt>
                <c:pt idx="24">
                  <c:v>4.2152708105598902E-3</c:v>
                </c:pt>
                <c:pt idx="25">
                  <c:v>3.7435797607103818E-3</c:v>
                </c:pt>
                <c:pt idx="26">
                  <c:v>3.558896492515336E-3</c:v>
                </c:pt>
                <c:pt idx="27">
                  <c:v>3.087205442665828E-3</c:v>
                </c:pt>
                <c:pt idx="28">
                  <c:v>2.8675820967041525E-3</c:v>
                </c:pt>
                <c:pt idx="29">
                  <c:v>2.5381470777616389E-3</c:v>
                </c:pt>
                <c:pt idx="30">
                  <c:v>2.2935665333952272E-3</c:v>
                </c:pt>
                <c:pt idx="31">
                  <c:v>2.0439945493478683E-3</c:v>
                </c:pt>
                <c:pt idx="32">
                  <c:v>1.8343540827480871E-3</c:v>
                </c:pt>
                <c:pt idx="33">
                  <c:v>1.5723034994983604E-3</c:v>
                </c:pt>
                <c:pt idx="34">
                  <c:v>1.332714394812896E-3</c:v>
                </c:pt>
                <c:pt idx="35">
                  <c:v>1.2478599202367939E-3</c:v>
                </c:pt>
                <c:pt idx="36">
                  <c:v>1.0731595314036428E-3</c:v>
                </c:pt>
                <c:pt idx="37">
                  <c:v>9.7083501794422561E-4</c:v>
                </c:pt>
                <c:pt idx="38">
                  <c:v>7.2126303389686685E-4</c:v>
                </c:pt>
                <c:pt idx="39">
                  <c:v>6.9381011565165741E-4</c:v>
                </c:pt>
                <c:pt idx="40">
                  <c:v>6.4888715852313278E-4</c:v>
                </c:pt>
                <c:pt idx="41">
                  <c:v>5.3907548554229493E-4</c:v>
                </c:pt>
                <c:pt idx="42">
                  <c:v>4.9664824825424402E-4</c:v>
                </c:pt>
                <c:pt idx="43">
                  <c:v>4.1678521335908916E-4</c:v>
                </c:pt>
                <c:pt idx="44">
                  <c:v>3.8184513559245893E-4</c:v>
                </c:pt>
                <c:pt idx="45">
                  <c:v>3.0198210069730413E-4</c:v>
                </c:pt>
                <c:pt idx="46">
                  <c:v>3.4690505782582871E-4</c:v>
                </c:pt>
                <c:pt idx="47">
                  <c:v>2.5955486340925311E-4</c:v>
                </c:pt>
                <c:pt idx="48">
                  <c:v>2.1962334596167574E-4</c:v>
                </c:pt>
                <c:pt idx="49">
                  <c:v>1.6970894915220396E-4</c:v>
                </c:pt>
                <c:pt idx="50">
                  <c:v>1.6471750947125678E-4</c:v>
                </c:pt>
                <c:pt idx="51">
                  <c:v>1.4974319042841526E-4</c:v>
                </c:pt>
                <c:pt idx="52">
                  <c:v>1.0731595314036428E-4</c:v>
                </c:pt>
                <c:pt idx="53">
                  <c:v>9.9828793618943518E-5</c:v>
                </c:pt>
                <c:pt idx="54">
                  <c:v>8.9845914257049154E-5</c:v>
                </c:pt>
                <c:pt idx="55">
                  <c:v>6.4888715852313278E-5</c:v>
                </c:pt>
                <c:pt idx="56">
                  <c:v>6.9880155533260453E-5</c:v>
                </c:pt>
                <c:pt idx="57">
                  <c:v>3.7435797607103814E-5</c:v>
                </c:pt>
                <c:pt idx="58">
                  <c:v>3.2444357926156639E-5</c:v>
                </c:pt>
                <c:pt idx="59">
                  <c:v>5.2410116649945347E-5</c:v>
                </c:pt>
                <c:pt idx="60">
                  <c:v>2.2461478564262289E-5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822002883442396"/>
          <c:y val="7.8319845435987162E-2"/>
          <c:w val="0.2073827215260064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6.5081752111777972E-3</c:v>
                </c:pt>
                <c:pt idx="3">
                  <c:v>4.7366533541234129E-2</c:v>
                </c:pt>
                <c:pt idx="4">
                  <c:v>5.5385836363964151E-2</c:v>
                </c:pt>
                <c:pt idx="5">
                  <c:v>7.8595856724216817E-2</c:v>
                </c:pt>
                <c:pt idx="6">
                  <c:v>6.970376314749932E-2</c:v>
                </c:pt>
                <c:pt idx="7">
                  <c:v>8.1868844658636489E-2</c:v>
                </c:pt>
                <c:pt idx="8">
                  <c:v>8.1877163743169293E-2</c:v>
                </c:pt>
                <c:pt idx="9">
                  <c:v>6.7146710431919499E-2</c:v>
                </c:pt>
                <c:pt idx="10">
                  <c:v>5.0662969160957062E-2</c:v>
                </c:pt>
                <c:pt idx="11">
                  <c:v>5.4314410006326246E-2</c:v>
                </c:pt>
                <c:pt idx="12">
                  <c:v>2.7826498821403284E-2</c:v>
                </c:pt>
                <c:pt idx="13">
                  <c:v>3.5343072478042893E-2</c:v>
                </c:pt>
                <c:pt idx="14">
                  <c:v>3.365559004069963E-2</c:v>
                </c:pt>
                <c:pt idx="15">
                  <c:v>2.6064353379338347E-2</c:v>
                </c:pt>
                <c:pt idx="16">
                  <c:v>1.9172504100799348E-2</c:v>
                </c:pt>
                <c:pt idx="17">
                  <c:v>2.3988419065773803E-2</c:v>
                </c:pt>
                <c:pt idx="18">
                  <c:v>2.0106491629662656E-2</c:v>
                </c:pt>
                <c:pt idx="19">
                  <c:v>1.7148057362142331E-2</c:v>
                </c:pt>
                <c:pt idx="20">
                  <c:v>1.3487104739435062E-2</c:v>
                </c:pt>
                <c:pt idx="21">
                  <c:v>1.3795012288692392E-2</c:v>
                </c:pt>
                <c:pt idx="22">
                  <c:v>1.5672989187851621E-2</c:v>
                </c:pt>
                <c:pt idx="23">
                  <c:v>9.2434584150311999E-3</c:v>
                </c:pt>
                <c:pt idx="24">
                  <c:v>1.4336623011616837E-2</c:v>
                </c:pt>
                <c:pt idx="25">
                  <c:v>1.9270722251778886E-2</c:v>
                </c:pt>
                <c:pt idx="26">
                  <c:v>8.8611507611170027E-3</c:v>
                </c:pt>
                <c:pt idx="27">
                  <c:v>7.995041328769565E-3</c:v>
                </c:pt>
                <c:pt idx="28">
                  <c:v>5.6299210632429564E-3</c:v>
                </c:pt>
                <c:pt idx="29">
                  <c:v>7.2003278747823155E-3</c:v>
                </c:pt>
                <c:pt idx="30">
                  <c:v>4.4803535690568705E-3</c:v>
                </c:pt>
                <c:pt idx="31">
                  <c:v>7.6121963200392675E-3</c:v>
                </c:pt>
                <c:pt idx="32">
                  <c:v>4.7592231245155827E-3</c:v>
                </c:pt>
                <c:pt idx="33">
                  <c:v>8.5101840340339376E-3</c:v>
                </c:pt>
                <c:pt idx="34">
                  <c:v>2.7448423219561379E-3</c:v>
                </c:pt>
                <c:pt idx="35">
                  <c:v>3.0969448428493232E-3</c:v>
                </c:pt>
                <c:pt idx="36">
                  <c:v>2.7223159800124001E-3</c:v>
                </c:pt>
                <c:pt idx="37">
                  <c:v>2.4091556602787267E-3</c:v>
                </c:pt>
                <c:pt idx="38">
                  <c:v>6.4198224657262297E-3</c:v>
                </c:pt>
                <c:pt idx="39">
                  <c:v>6.3953029680223926E-3</c:v>
                </c:pt>
                <c:pt idx="40">
                  <c:v>3.5690222597630924E-3</c:v>
                </c:pt>
                <c:pt idx="41">
                  <c:v>7.0593946501764492E-3</c:v>
                </c:pt>
                <c:pt idx="42">
                  <c:v>2.418473425818351E-3</c:v>
                </c:pt>
                <c:pt idx="43">
                  <c:v>3.0854198108652506E-3</c:v>
                </c:pt>
                <c:pt idx="44">
                  <c:v>1.8880916404403474E-3</c:v>
                </c:pt>
                <c:pt idx="45">
                  <c:v>5.5329073046167391E-4</c:v>
                </c:pt>
                <c:pt idx="46">
                  <c:v>8.3632612834863627E-4</c:v>
                </c:pt>
                <c:pt idx="47">
                  <c:v>1.0122463272552423E-3</c:v>
                </c:pt>
                <c:pt idx="48">
                  <c:v>2.2082563547457606E-3</c:v>
                </c:pt>
                <c:pt idx="49">
                  <c:v>6.3456769092055758E-4</c:v>
                </c:pt>
                <c:pt idx="50">
                  <c:v>3.6687124335498515E-4</c:v>
                </c:pt>
                <c:pt idx="51">
                  <c:v>3.0787951063987427E-3</c:v>
                </c:pt>
                <c:pt idx="52">
                  <c:v>1.2296903134571585E-3</c:v>
                </c:pt>
                <c:pt idx="53">
                  <c:v>1.2713743466333249E-4</c:v>
                </c:pt>
                <c:pt idx="54">
                  <c:v>8.2206089733300304E-4</c:v>
                </c:pt>
                <c:pt idx="55">
                  <c:v>5.5888488700739727E-4</c:v>
                </c:pt>
                <c:pt idx="56">
                  <c:v>9.1786887293472154E-4</c:v>
                </c:pt>
                <c:pt idx="57">
                  <c:v>5.6482747516302921E-4</c:v>
                </c:pt>
                <c:pt idx="58">
                  <c:v>2.2914851222018444E-4</c:v>
                </c:pt>
                <c:pt idx="59">
                  <c:v>9.840548860988159E-5</c:v>
                </c:pt>
                <c:pt idx="60">
                  <c:v>1.1732978676461158E-4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7.2575532960971936E-3</c:v>
                </c:pt>
                <c:pt idx="1">
                  <c:v>3.1568360262150409E-2</c:v>
                </c:pt>
                <c:pt idx="2">
                  <c:v>1.667390425420404E-2</c:v>
                </c:pt>
                <c:pt idx="3">
                  <c:v>2.6297399959070194E-2</c:v>
                </c:pt>
                <c:pt idx="4">
                  <c:v>4.0625327563229063E-2</c:v>
                </c:pt>
                <c:pt idx="5">
                  <c:v>5.3650489410660716E-2</c:v>
                </c:pt>
                <c:pt idx="6">
                  <c:v>6.139969951533121E-2</c:v>
                </c:pt>
                <c:pt idx="7">
                  <c:v>6.3895419355804797E-2</c:v>
                </c:pt>
                <c:pt idx="8">
                  <c:v>6.1097717414633899E-2</c:v>
                </c:pt>
                <c:pt idx="9">
                  <c:v>5.7156975786526107E-2</c:v>
                </c:pt>
                <c:pt idx="10">
                  <c:v>5.2774491746654488E-2</c:v>
                </c:pt>
                <c:pt idx="11">
                  <c:v>4.7800522104590626E-2</c:v>
                </c:pt>
                <c:pt idx="12">
                  <c:v>4.1883170362827751E-2</c:v>
                </c:pt>
                <c:pt idx="13">
                  <c:v>3.8009813170412743E-2</c:v>
                </c:pt>
                <c:pt idx="14">
                  <c:v>3.3597380492455441E-2</c:v>
                </c:pt>
                <c:pt idx="15">
                  <c:v>2.985629645158553E-2</c:v>
                </c:pt>
                <c:pt idx="16">
                  <c:v>2.6689227974024548E-2</c:v>
                </c:pt>
                <c:pt idx="17">
                  <c:v>2.346974937981362E-2</c:v>
                </c:pt>
                <c:pt idx="18">
                  <c:v>2.1093824091682763E-2</c:v>
                </c:pt>
                <c:pt idx="19">
                  <c:v>1.8895094912225532E-2</c:v>
                </c:pt>
                <c:pt idx="20">
                  <c:v>1.7220466899267754E-2</c:v>
                </c:pt>
                <c:pt idx="21">
                  <c:v>1.5740505033866918E-2</c:v>
                </c:pt>
                <c:pt idx="22">
                  <c:v>1.4280508927189869E-2</c:v>
                </c:pt>
                <c:pt idx="23">
                  <c:v>1.3050119045836391E-2</c:v>
                </c:pt>
                <c:pt idx="24">
                  <c:v>1.2306394533375261E-2</c:v>
                </c:pt>
                <c:pt idx="25">
                  <c:v>1.1218260682928777E-2</c:v>
                </c:pt>
                <c:pt idx="26">
                  <c:v>1.0195015548334607E-2</c:v>
                </c:pt>
                <c:pt idx="27">
                  <c:v>9.9005206071587221E-3</c:v>
                </c:pt>
                <c:pt idx="28">
                  <c:v>8.819873916233659E-3</c:v>
                </c:pt>
                <c:pt idx="29">
                  <c:v>8.3406957068627302E-3</c:v>
                </c:pt>
                <c:pt idx="30">
                  <c:v>7.7467143848300168E-3</c:v>
                </c:pt>
                <c:pt idx="31">
                  <c:v>7.307467692906665E-3</c:v>
                </c:pt>
                <c:pt idx="32">
                  <c:v>6.5013501844336961E-3</c:v>
                </c:pt>
                <c:pt idx="33">
                  <c:v>6.2667525194291789E-3</c:v>
                </c:pt>
                <c:pt idx="34">
                  <c:v>6.0970435702769749E-3</c:v>
                </c:pt>
                <c:pt idx="35">
                  <c:v>5.6752669172369383E-3</c:v>
                </c:pt>
                <c:pt idx="36">
                  <c:v>5.2210459062707456E-3</c:v>
                </c:pt>
                <c:pt idx="37">
                  <c:v>4.8242264516354452E-3</c:v>
                </c:pt>
                <c:pt idx="38">
                  <c:v>4.6744832612070301E-3</c:v>
                </c:pt>
                <c:pt idx="39">
                  <c:v>4.1953050518361013E-3</c:v>
                </c:pt>
                <c:pt idx="40">
                  <c:v>4.2027922113575221E-3</c:v>
                </c:pt>
                <c:pt idx="41">
                  <c:v>3.9232715892244798E-3</c:v>
                </c:pt>
                <c:pt idx="42">
                  <c:v>3.7086396829437516E-3</c:v>
                </c:pt>
                <c:pt idx="43">
                  <c:v>3.2818715902227678E-3</c:v>
                </c:pt>
                <c:pt idx="44">
                  <c:v>3.3093245084679776E-3</c:v>
                </c:pt>
                <c:pt idx="45">
                  <c:v>3.0971883220277225E-3</c:v>
                </c:pt>
                <c:pt idx="46">
                  <c:v>2.7877190618089977E-3</c:v>
                </c:pt>
                <c:pt idx="47">
                  <c:v>2.4932241206331142E-3</c:v>
                </c:pt>
                <c:pt idx="48">
                  <c:v>2.4732583619093253E-3</c:v>
                </c:pt>
                <c:pt idx="49">
                  <c:v>2.3659424087689612E-3</c:v>
                </c:pt>
                <c:pt idx="50">
                  <c:v>2.1163704247216023E-3</c:v>
                </c:pt>
                <c:pt idx="51">
                  <c:v>2.0414988295073947E-3</c:v>
                </c:pt>
                <c:pt idx="52">
                  <c:v>1.8593112811528228E-3</c:v>
                </c:pt>
                <c:pt idx="53">
                  <c:v>1.8343540827480871E-3</c:v>
                </c:pt>
                <c:pt idx="54">
                  <c:v>1.7270381296077227E-3</c:v>
                </c:pt>
                <c:pt idx="55">
                  <c:v>1.6970894915220398E-3</c:v>
                </c:pt>
                <c:pt idx="56">
                  <c:v>1.4824575852413111E-3</c:v>
                </c:pt>
                <c:pt idx="57">
                  <c:v>1.337705834493843E-3</c:v>
                </c:pt>
                <c:pt idx="58">
                  <c:v>1.2578427995986882E-3</c:v>
                </c:pt>
                <c:pt idx="59">
                  <c:v>1.0706638115631692E-3</c:v>
                </c:pt>
                <c:pt idx="60">
                  <c:v>1.1355525274154823E-3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0.11790257293232795</c:v>
                </c:pt>
                <c:pt idx="1">
                  <c:v>0.18703310300855217</c:v>
                </c:pt>
                <c:pt idx="2">
                  <c:v>0.13614319711823253</c:v>
                </c:pt>
                <c:pt idx="3">
                  <c:v>0.10923807653308748</c:v>
                </c:pt>
                <c:pt idx="4">
                  <c:v>8.024426355709724E-2</c:v>
                </c:pt>
                <c:pt idx="5">
                  <c:v>5.1201607903720442E-2</c:v>
                </c:pt>
                <c:pt idx="6">
                  <c:v>5.5863475913085409E-2</c:v>
                </c:pt>
                <c:pt idx="7">
                  <c:v>3.7189568296798765E-2</c:v>
                </c:pt>
                <c:pt idx="8">
                  <c:v>3.3169014946726437E-2</c:v>
                </c:pt>
                <c:pt idx="9">
                  <c:v>2.3824488941884669E-2</c:v>
                </c:pt>
                <c:pt idx="10">
                  <c:v>2.391293012030311E-2</c:v>
                </c:pt>
                <c:pt idx="11">
                  <c:v>1.5135650544230037E-2</c:v>
                </c:pt>
                <c:pt idx="12">
                  <c:v>1.4765722943206928E-2</c:v>
                </c:pt>
                <c:pt idx="13">
                  <c:v>1.4478052604244529E-2</c:v>
                </c:pt>
                <c:pt idx="14">
                  <c:v>1.0240453035136913E-2</c:v>
                </c:pt>
                <c:pt idx="15">
                  <c:v>1.2951498194924469E-2</c:v>
                </c:pt>
                <c:pt idx="16">
                  <c:v>7.5125661548275111E-3</c:v>
                </c:pt>
                <c:pt idx="17">
                  <c:v>8.2839859640212749E-3</c:v>
                </c:pt>
                <c:pt idx="18">
                  <c:v>7.6156621359967378E-3</c:v>
                </c:pt>
                <c:pt idx="19">
                  <c:v>6.5639551400528302E-3</c:v>
                </c:pt>
                <c:pt idx="20">
                  <c:v>4.9781746624256978E-3</c:v>
                </c:pt>
                <c:pt idx="21">
                  <c:v>3.9889727620867352E-3</c:v>
                </c:pt>
                <c:pt idx="22">
                  <c:v>2.9294539810683978E-3</c:v>
                </c:pt>
                <c:pt idx="23">
                  <c:v>1.5639538198211221E-3</c:v>
                </c:pt>
                <c:pt idx="24">
                  <c:v>1.4808628386814896E-3</c:v>
                </c:pt>
                <c:pt idx="25">
                  <c:v>2.4258573354291775E-3</c:v>
                </c:pt>
                <c:pt idx="26">
                  <c:v>3.2027698368685131E-3</c:v>
                </c:pt>
                <c:pt idx="27">
                  <c:v>3.3534391717964574E-3</c:v>
                </c:pt>
                <c:pt idx="28">
                  <c:v>4.3723114531956592E-3</c:v>
                </c:pt>
                <c:pt idx="29">
                  <c:v>2.5449445047630685E-3</c:v>
                </c:pt>
                <c:pt idx="30">
                  <c:v>1.8798290221424387E-3</c:v>
                </c:pt>
                <c:pt idx="31">
                  <c:v>2.2145098560525851E-3</c:v>
                </c:pt>
                <c:pt idx="32">
                  <c:v>3.1682074379841382E-3</c:v>
                </c:pt>
                <c:pt idx="33">
                  <c:v>2.8032769503615624E-3</c:v>
                </c:pt>
                <c:pt idx="34">
                  <c:v>5.1618624982491062E-4</c:v>
                </c:pt>
                <c:pt idx="35">
                  <c:v>8.050662133613735E-4</c:v>
                </c:pt>
                <c:pt idx="36">
                  <c:v>6.5243200737491079E-4</c:v>
                </c:pt>
                <c:pt idx="37">
                  <c:v>3.6865780579102791E-4</c:v>
                </c:pt>
                <c:pt idx="38">
                  <c:v>3.1217162716019913E-4</c:v>
                </c:pt>
                <c:pt idx="39">
                  <c:v>0</c:v>
                </c:pt>
                <c:pt idx="40">
                  <c:v>1.424117524434525E-3</c:v>
                </c:pt>
                <c:pt idx="41">
                  <c:v>0</c:v>
                </c:pt>
                <c:pt idx="42">
                  <c:v>1.385270834392932E-4</c:v>
                </c:pt>
                <c:pt idx="43">
                  <c:v>6.960598983161121E-4</c:v>
                </c:pt>
                <c:pt idx="44">
                  <c:v>4.7034504470214406E-4</c:v>
                </c:pt>
                <c:pt idx="45">
                  <c:v>4.7271837537422332E-5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5.7942677111013684E-5</c:v>
                </c:pt>
                <c:pt idx="51">
                  <c:v>2.0295153777696965E-4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1.3186087203541884E-4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0.15290531535625299</c:v>
                </c:pt>
                <c:pt idx="1">
                  <c:v>0.15486018560593354</c:v>
                </c:pt>
                <c:pt idx="2">
                  <c:v>0.1330836629571911</c:v>
                </c:pt>
                <c:pt idx="3">
                  <c:v>0.10655567720548095</c:v>
                </c:pt>
                <c:pt idx="4">
                  <c:v>8.2499489171970641E-2</c:v>
                </c:pt>
                <c:pt idx="5">
                  <c:v>6.2818123873509837E-2</c:v>
                </c:pt>
                <c:pt idx="6">
                  <c:v>4.6666808986913652E-2</c:v>
                </c:pt>
                <c:pt idx="7">
                  <c:v>3.5248658885815451E-2</c:v>
                </c:pt>
                <c:pt idx="8">
                  <c:v>2.7837840310583443E-2</c:v>
                </c:pt>
                <c:pt idx="9">
                  <c:v>2.3931149530800642E-2</c:v>
                </c:pt>
                <c:pt idx="10">
                  <c:v>2.0529187341223974E-2</c:v>
                </c:pt>
                <c:pt idx="11">
                  <c:v>1.8485875223773172E-2</c:v>
                </c:pt>
                <c:pt idx="12">
                  <c:v>1.6948816556317647E-2</c:v>
                </c:pt>
                <c:pt idx="13">
                  <c:v>1.4292510803631605E-2</c:v>
                </c:pt>
                <c:pt idx="14">
                  <c:v>1.2159231958621404E-2</c:v>
                </c:pt>
                <c:pt idx="15">
                  <c:v>1.0861576278061232E-2</c:v>
                </c:pt>
                <c:pt idx="16">
                  <c:v>9.130860417384621E-3</c:v>
                </c:pt>
                <c:pt idx="17">
                  <c:v>8.2677897767300303E-3</c:v>
                </c:pt>
                <c:pt idx="18">
                  <c:v>7.358973342401166E-3</c:v>
                </c:pt>
                <c:pt idx="19">
                  <c:v>6.1177374740392617E-3</c:v>
                </c:pt>
                <c:pt idx="20">
                  <c:v>5.4574731853406083E-3</c:v>
                </c:pt>
                <c:pt idx="21">
                  <c:v>4.9512197353453347E-3</c:v>
                </c:pt>
                <c:pt idx="22">
                  <c:v>4.4937617986026187E-3</c:v>
                </c:pt>
                <c:pt idx="23">
                  <c:v>4.0393535814381865E-3</c:v>
                </c:pt>
                <c:pt idx="24">
                  <c:v>3.4797300388229304E-3</c:v>
                </c:pt>
                <c:pt idx="25">
                  <c:v>3.1869569593075916E-3</c:v>
                </c:pt>
                <c:pt idx="26">
                  <c:v>3.090890792591621E-3</c:v>
                </c:pt>
                <c:pt idx="27">
                  <c:v>2.7782945358174314E-3</c:v>
                </c:pt>
                <c:pt idx="28">
                  <c:v>2.3787812710621258E-3</c:v>
                </c:pt>
                <c:pt idx="29">
                  <c:v>2.2034223953107512E-3</c:v>
                </c:pt>
                <c:pt idx="30">
                  <c:v>1.9533453898913995E-3</c:v>
                </c:pt>
                <c:pt idx="31">
                  <c:v>1.6529480114303491E-3</c:v>
                </c:pt>
                <c:pt idx="32">
                  <c:v>1.373898670017292E-3</c:v>
                </c:pt>
                <c:pt idx="33">
                  <c:v>1.1787166170070661E-3</c:v>
                </c:pt>
                <c:pt idx="34">
                  <c:v>9.6066166715970468E-4</c:v>
                </c:pt>
                <c:pt idx="35">
                  <c:v>9.1949045285286016E-4</c:v>
                </c:pt>
                <c:pt idx="36">
                  <c:v>7.8377793161918765E-4</c:v>
                </c:pt>
                <c:pt idx="37">
                  <c:v>6.2976709291580639E-4</c:v>
                </c:pt>
                <c:pt idx="38">
                  <c:v>5.9164559818724672E-4</c:v>
                </c:pt>
                <c:pt idx="39">
                  <c:v>4.6355737589928606E-4</c:v>
                </c:pt>
                <c:pt idx="40">
                  <c:v>4.2086130180329917E-4</c:v>
                </c:pt>
                <c:pt idx="41">
                  <c:v>3.903641060204514E-4</c:v>
                </c:pt>
                <c:pt idx="42">
                  <c:v>3.3851887318961019E-4</c:v>
                </c:pt>
                <c:pt idx="43">
                  <c:v>2.6990018267820275E-4</c:v>
                </c:pt>
                <c:pt idx="44">
                  <c:v>2.0890579111250722E-4</c:v>
                </c:pt>
                <c:pt idx="45">
                  <c:v>1.7840859532965945E-4</c:v>
                </c:pt>
                <c:pt idx="46">
                  <c:v>1.7078429638394749E-4</c:v>
                </c:pt>
                <c:pt idx="47">
                  <c:v>1.2656336249881824E-4</c:v>
                </c:pt>
                <c:pt idx="48">
                  <c:v>1.29613082077103E-4</c:v>
                </c:pt>
                <c:pt idx="49">
                  <c:v>1.1131476460739435E-4</c:v>
                </c:pt>
                <c:pt idx="50">
                  <c:v>9.9115886294255247E-5</c:v>
                </c:pt>
                <c:pt idx="51">
                  <c:v>7.0143550300549862E-5</c:v>
                </c:pt>
                <c:pt idx="52">
                  <c:v>5.0320373041698815E-5</c:v>
                </c:pt>
                <c:pt idx="53">
                  <c:v>6.5568970933122699E-5</c:v>
                </c:pt>
                <c:pt idx="54">
                  <c:v>3.5071775150274931E-5</c:v>
                </c:pt>
                <c:pt idx="55">
                  <c:v>4.2696074095986873E-5</c:v>
                </c:pt>
                <c:pt idx="56">
                  <c:v>3.2022055571990158E-5</c:v>
                </c:pt>
                <c:pt idx="57">
                  <c:v>2.2872896837135826E-5</c:v>
                </c:pt>
                <c:pt idx="58">
                  <c:v>1.6773457680566271E-5</c:v>
                </c:pt>
                <c:pt idx="59">
                  <c:v>1.829831746970866E-5</c:v>
                </c:pt>
                <c:pt idx="60">
                  <c:v>7.6242989457119421E-6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Personal Business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5.8800320672592454E-3</c:v>
                </c:pt>
                <c:pt idx="3">
                  <c:v>6.3969611763212406E-2</c:v>
                </c:pt>
                <c:pt idx="4">
                  <c:v>7.1127068024624221E-2</c:v>
                </c:pt>
                <c:pt idx="5">
                  <c:v>9.1250478051902367E-2</c:v>
                </c:pt>
                <c:pt idx="6">
                  <c:v>8.5351248261967674E-2</c:v>
                </c:pt>
                <c:pt idx="7">
                  <c:v>7.2292497001986214E-2</c:v>
                </c:pt>
                <c:pt idx="8">
                  <c:v>7.3925114432595501E-2</c:v>
                </c:pt>
                <c:pt idx="9">
                  <c:v>5.2091908625046583E-2</c:v>
                </c:pt>
                <c:pt idx="10">
                  <c:v>4.4084658114072077E-2</c:v>
                </c:pt>
                <c:pt idx="11">
                  <c:v>4.9745697730513648E-2</c:v>
                </c:pt>
                <c:pt idx="12">
                  <c:v>3.6126635742258606E-2</c:v>
                </c:pt>
                <c:pt idx="13">
                  <c:v>2.9928632544314111E-2</c:v>
                </c:pt>
                <c:pt idx="14">
                  <c:v>2.2607854761403662E-2</c:v>
                </c:pt>
                <c:pt idx="15">
                  <c:v>2.9121411992474696E-2</c:v>
                </c:pt>
                <c:pt idx="16">
                  <c:v>2.7066516442512012E-2</c:v>
                </c:pt>
                <c:pt idx="17">
                  <c:v>2.6323674481918351E-2</c:v>
                </c:pt>
                <c:pt idx="18">
                  <c:v>2.3873820390903581E-2</c:v>
                </c:pt>
                <c:pt idx="19">
                  <c:v>1.2793966741509647E-2</c:v>
                </c:pt>
                <c:pt idx="20">
                  <c:v>1.182892539782879E-2</c:v>
                </c:pt>
                <c:pt idx="21">
                  <c:v>1.250125589148759E-2</c:v>
                </c:pt>
                <c:pt idx="22">
                  <c:v>1.4882159319141539E-2</c:v>
                </c:pt>
                <c:pt idx="23">
                  <c:v>1.2676675582066537E-2</c:v>
                </c:pt>
                <c:pt idx="24">
                  <c:v>1.2151493389221625E-2</c:v>
                </c:pt>
                <c:pt idx="25">
                  <c:v>5.186928264824006E-3</c:v>
                </c:pt>
                <c:pt idx="26">
                  <c:v>1.0252432067925529E-2</c:v>
                </c:pt>
                <c:pt idx="27">
                  <c:v>5.9312012337730631E-3</c:v>
                </c:pt>
                <c:pt idx="28">
                  <c:v>5.7671179690640759E-3</c:v>
                </c:pt>
                <c:pt idx="29">
                  <c:v>5.3131497219920812E-3</c:v>
                </c:pt>
                <c:pt idx="30">
                  <c:v>4.3860954295025477E-3</c:v>
                </c:pt>
                <c:pt idx="31">
                  <c:v>4.9623527113695038E-3</c:v>
                </c:pt>
                <c:pt idx="32">
                  <c:v>4.2038248785192332E-3</c:v>
                </c:pt>
                <c:pt idx="33">
                  <c:v>5.1588612978710141E-3</c:v>
                </c:pt>
                <c:pt idx="34">
                  <c:v>3.4585826319668026E-3</c:v>
                </c:pt>
                <c:pt idx="35">
                  <c:v>4.7938052829641677E-3</c:v>
                </c:pt>
                <c:pt idx="36">
                  <c:v>3.4088081468561108E-3</c:v>
                </c:pt>
                <c:pt idx="37">
                  <c:v>4.146799631077361E-3</c:v>
                </c:pt>
                <c:pt idx="38">
                  <c:v>4.6031864828276455E-3</c:v>
                </c:pt>
                <c:pt idx="39">
                  <c:v>3.9570823938968012E-3</c:v>
                </c:pt>
                <c:pt idx="40">
                  <c:v>2.8801464428874876E-3</c:v>
                </c:pt>
                <c:pt idx="41">
                  <c:v>3.187603647300254E-3</c:v>
                </c:pt>
                <c:pt idx="42">
                  <c:v>2.7696396812182606E-3</c:v>
                </c:pt>
                <c:pt idx="43">
                  <c:v>9.6444869492288662E-4</c:v>
                </c:pt>
                <c:pt idx="44">
                  <c:v>8.3463276596690446E-4</c:v>
                </c:pt>
                <c:pt idx="45">
                  <c:v>1.1492673302814474E-3</c:v>
                </c:pt>
                <c:pt idx="46">
                  <c:v>1.6200871327535621E-3</c:v>
                </c:pt>
                <c:pt idx="47">
                  <c:v>7.0778708773196284E-4</c:v>
                </c:pt>
                <c:pt idx="48">
                  <c:v>3.3521429012734506E-3</c:v>
                </c:pt>
                <c:pt idx="49">
                  <c:v>2.5988251488960746E-3</c:v>
                </c:pt>
                <c:pt idx="50">
                  <c:v>1.4235233618437556E-3</c:v>
                </c:pt>
                <c:pt idx="51">
                  <c:v>2.0182086831059924E-3</c:v>
                </c:pt>
                <c:pt idx="52">
                  <c:v>1.7894493355098365E-3</c:v>
                </c:pt>
                <c:pt idx="53">
                  <c:v>6.7470319328749367E-4</c:v>
                </c:pt>
                <c:pt idx="54">
                  <c:v>1.2210327341267467E-3</c:v>
                </c:pt>
                <c:pt idx="55">
                  <c:v>2.2459014314398147E-3</c:v>
                </c:pt>
                <c:pt idx="56">
                  <c:v>5.6675048069614075E-4</c:v>
                </c:pt>
                <c:pt idx="57">
                  <c:v>8.4985766270958434E-4</c:v>
                </c:pt>
                <c:pt idx="58">
                  <c:v>3.1956256671634585E-4</c:v>
                </c:pt>
                <c:pt idx="59">
                  <c:v>6.3537703446853654E-4</c:v>
                </c:pt>
                <c:pt idx="60">
                  <c:v>1.0766144679711471E-3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6.9381120405978668E-3</c:v>
                </c:pt>
                <c:pt idx="1">
                  <c:v>4.2792140262702845E-2</c:v>
                </c:pt>
                <c:pt idx="2">
                  <c:v>2.0552060238061109E-2</c:v>
                </c:pt>
                <c:pt idx="3">
                  <c:v>3.2041878749249006E-2</c:v>
                </c:pt>
                <c:pt idx="4">
                  <c:v>4.8374651950753127E-2</c:v>
                </c:pt>
                <c:pt idx="5">
                  <c:v>6.1358833055300564E-2</c:v>
                </c:pt>
                <c:pt idx="6">
                  <c:v>6.7491819127231248E-2</c:v>
                </c:pt>
                <c:pt idx="7">
                  <c:v>6.6784284185069182E-2</c:v>
                </c:pt>
                <c:pt idx="8">
                  <c:v>6.0439342602447703E-2</c:v>
                </c:pt>
                <c:pt idx="9">
                  <c:v>5.4045605506573668E-2</c:v>
                </c:pt>
                <c:pt idx="10">
                  <c:v>4.9323114739599695E-2</c:v>
                </c:pt>
                <c:pt idx="11">
                  <c:v>4.385496753573509E-2</c:v>
                </c:pt>
                <c:pt idx="12">
                  <c:v>3.8609449861085277E-2</c:v>
                </c:pt>
                <c:pt idx="13">
                  <c:v>3.4602118335219076E-2</c:v>
                </c:pt>
                <c:pt idx="14">
                  <c:v>3.08509632539288E-2</c:v>
                </c:pt>
                <c:pt idx="15">
                  <c:v>2.7610636202001226E-2</c:v>
                </c:pt>
                <c:pt idx="16">
                  <c:v>2.4579214941186159E-2</c:v>
                </c:pt>
                <c:pt idx="17">
                  <c:v>2.1933583207024113E-2</c:v>
                </c:pt>
                <c:pt idx="18">
                  <c:v>1.9254404557500937E-2</c:v>
                </c:pt>
                <c:pt idx="19">
                  <c:v>1.7692948133419133E-2</c:v>
                </c:pt>
                <c:pt idx="20">
                  <c:v>1.5878364984339689E-2</c:v>
                </c:pt>
                <c:pt idx="21">
                  <c:v>1.50549406982028E-2</c:v>
                </c:pt>
                <c:pt idx="22">
                  <c:v>1.3302876800478196E-2</c:v>
                </c:pt>
                <c:pt idx="23">
                  <c:v>1.2609065596418409E-2</c:v>
                </c:pt>
                <c:pt idx="24">
                  <c:v>1.1488293651398754E-2</c:v>
                </c:pt>
                <c:pt idx="25">
                  <c:v>1.0759410672188692E-2</c:v>
                </c:pt>
                <c:pt idx="26">
                  <c:v>9.8322959203901196E-3</c:v>
                </c:pt>
                <c:pt idx="27">
                  <c:v>9.1018880813909155E-3</c:v>
                </c:pt>
                <c:pt idx="28">
                  <c:v>8.3592813640785725E-3</c:v>
                </c:pt>
                <c:pt idx="29">
                  <c:v>7.7371385701084788E-3</c:v>
                </c:pt>
                <c:pt idx="30">
                  <c:v>7.2095370830652121E-3</c:v>
                </c:pt>
                <c:pt idx="31">
                  <c:v>6.8633939109298903E-3</c:v>
                </c:pt>
                <c:pt idx="32">
                  <c:v>6.2976709291580639E-3</c:v>
                </c:pt>
                <c:pt idx="33">
                  <c:v>6.0308204660581462E-3</c:v>
                </c:pt>
                <c:pt idx="34">
                  <c:v>5.4635726244971778E-3</c:v>
                </c:pt>
                <c:pt idx="35">
                  <c:v>5.1799487037166936E-3</c:v>
                </c:pt>
                <c:pt idx="36">
                  <c:v>4.6233748806797214E-3</c:v>
                </c:pt>
                <c:pt idx="37">
                  <c:v>4.7102918886608378E-3</c:v>
                </c:pt>
                <c:pt idx="38">
                  <c:v>4.1720163830935748E-3</c:v>
                </c:pt>
                <c:pt idx="39">
                  <c:v>4.068325917431892E-3</c:v>
                </c:pt>
                <c:pt idx="40">
                  <c:v>3.7557296606577023E-3</c:v>
                </c:pt>
                <c:pt idx="41">
                  <c:v>3.4492328430400826E-3</c:v>
                </c:pt>
                <c:pt idx="42">
                  <c:v>3.1640840624704556E-3</c:v>
                </c:pt>
                <c:pt idx="43">
                  <c:v>3.074117334911055E-3</c:v>
                </c:pt>
                <c:pt idx="44">
                  <c:v>2.8728358427442596E-3</c:v>
                </c:pt>
                <c:pt idx="45">
                  <c:v>2.8697861231659749E-3</c:v>
                </c:pt>
                <c:pt idx="46">
                  <c:v>2.5648141653374971E-3</c:v>
                </c:pt>
                <c:pt idx="47">
                  <c:v>2.3681072525381292E-3</c:v>
                </c:pt>
                <c:pt idx="48">
                  <c:v>2.0829584719685027E-3</c:v>
                </c:pt>
                <c:pt idx="49">
                  <c:v>2.0829584719685027E-3</c:v>
                </c:pt>
                <c:pt idx="50">
                  <c:v>1.9563951094696843E-3</c:v>
                </c:pt>
                <c:pt idx="51">
                  <c:v>1.864903522121141E-3</c:v>
                </c:pt>
                <c:pt idx="52">
                  <c:v>1.74291473898975E-3</c:v>
                </c:pt>
                <c:pt idx="53">
                  <c:v>1.6498982918520641E-3</c:v>
                </c:pt>
                <c:pt idx="54">
                  <c:v>1.4760642758898318E-3</c:v>
                </c:pt>
                <c:pt idx="55">
                  <c:v>1.3723738102281496E-3</c:v>
                </c:pt>
                <c:pt idx="56">
                  <c:v>1.370848950439007E-3</c:v>
                </c:pt>
                <c:pt idx="57">
                  <c:v>1.3174788578190235E-3</c:v>
                </c:pt>
                <c:pt idx="58">
                  <c:v>1.2107386725790563E-3</c:v>
                </c:pt>
                <c:pt idx="59">
                  <c:v>1.1085730667065162E-3</c:v>
                </c:pt>
                <c:pt idx="60">
                  <c:v>1.0323300772493969E-3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title>
          <c:overlay val="0"/>
        </c:title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0.16217582429932312</c:v>
                </c:pt>
                <c:pt idx="1">
                  <c:v>0.1991030158685835</c:v>
                </c:pt>
                <c:pt idx="2">
                  <c:v>0.1505151054288828</c:v>
                </c:pt>
                <c:pt idx="3">
                  <c:v>0.11414867471505125</c:v>
                </c:pt>
                <c:pt idx="4">
                  <c:v>7.2639637542175867E-2</c:v>
                </c:pt>
                <c:pt idx="5">
                  <c:v>6.1445033942482949E-2</c:v>
                </c:pt>
                <c:pt idx="6">
                  <c:v>4.5532521159441057E-2</c:v>
                </c:pt>
                <c:pt idx="7">
                  <c:v>2.5919962055070245E-2</c:v>
                </c:pt>
                <c:pt idx="8">
                  <c:v>2.9226078690040156E-2</c:v>
                </c:pt>
                <c:pt idx="9">
                  <c:v>1.5327190690271322E-2</c:v>
                </c:pt>
                <c:pt idx="10">
                  <c:v>1.9238854789550848E-2</c:v>
                </c:pt>
                <c:pt idx="11">
                  <c:v>1.8536454360682082E-2</c:v>
                </c:pt>
                <c:pt idx="12">
                  <c:v>9.706479737567858E-3</c:v>
                </c:pt>
                <c:pt idx="13">
                  <c:v>8.8347976813430845E-3</c:v>
                </c:pt>
                <c:pt idx="14">
                  <c:v>1.2803497909016505E-2</c:v>
                </c:pt>
                <c:pt idx="15">
                  <c:v>8.6029382281324722E-3</c:v>
                </c:pt>
                <c:pt idx="16">
                  <c:v>9.161103941627927E-3</c:v>
                </c:pt>
                <c:pt idx="17">
                  <c:v>5.1635722033588393E-3</c:v>
                </c:pt>
                <c:pt idx="18">
                  <c:v>4.3898559261577224E-3</c:v>
                </c:pt>
                <c:pt idx="19">
                  <c:v>6.3824321211210754E-3</c:v>
                </c:pt>
                <c:pt idx="20">
                  <c:v>2.4233832022034557E-3</c:v>
                </c:pt>
                <c:pt idx="21">
                  <c:v>1.3274274478668076E-3</c:v>
                </c:pt>
                <c:pt idx="22">
                  <c:v>1.881246146132708E-3</c:v>
                </c:pt>
                <c:pt idx="23">
                  <c:v>3.3355152152983267E-3</c:v>
                </c:pt>
                <c:pt idx="24">
                  <c:v>8.1353351003324715E-4</c:v>
                </c:pt>
                <c:pt idx="25">
                  <c:v>1.3208784303271822E-3</c:v>
                </c:pt>
                <c:pt idx="26">
                  <c:v>1.9559990321408077E-3</c:v>
                </c:pt>
                <c:pt idx="27">
                  <c:v>7.8413322665006559E-4</c:v>
                </c:pt>
                <c:pt idx="28">
                  <c:v>1.8868464006494821E-3</c:v>
                </c:pt>
                <c:pt idx="29">
                  <c:v>9.8608647044884932E-4</c:v>
                </c:pt>
                <c:pt idx="30">
                  <c:v>3.3484952170434234E-4</c:v>
                </c:pt>
                <c:pt idx="31">
                  <c:v>2.6057423686002277E-4</c:v>
                </c:pt>
                <c:pt idx="32">
                  <c:v>3.9650008530563695E-4</c:v>
                </c:pt>
                <c:pt idx="33">
                  <c:v>4.8567346523676209E-4</c:v>
                </c:pt>
                <c:pt idx="34">
                  <c:v>0</c:v>
                </c:pt>
                <c:pt idx="35">
                  <c:v>1.8222884114012868E-4</c:v>
                </c:pt>
                <c:pt idx="36">
                  <c:v>6.852522468962656E-4</c:v>
                </c:pt>
                <c:pt idx="37">
                  <c:v>5.0937161722442988E-4</c:v>
                </c:pt>
                <c:pt idx="38">
                  <c:v>7.9244029076246594E-5</c:v>
                </c:pt>
                <c:pt idx="39">
                  <c:v>0</c:v>
                </c:pt>
                <c:pt idx="40">
                  <c:v>0</c:v>
                </c:pt>
                <c:pt idx="41">
                  <c:v>1.3453052261027437E-3</c:v>
                </c:pt>
                <c:pt idx="42">
                  <c:v>0</c:v>
                </c:pt>
                <c:pt idx="43">
                  <c:v>0</c:v>
                </c:pt>
                <c:pt idx="44">
                  <c:v>1.5292035882212191E-4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0.16612690081337131</c:v>
                </c:pt>
                <c:pt idx="1">
                  <c:v>0.16329778323747837</c:v>
                </c:pt>
                <c:pt idx="2">
                  <c:v>0.1436754332086288</c:v>
                </c:pt>
                <c:pt idx="3">
                  <c:v>0.1192742941165522</c:v>
                </c:pt>
                <c:pt idx="4">
                  <c:v>8.8856627021795379E-2</c:v>
                </c:pt>
                <c:pt idx="5">
                  <c:v>6.7256686582165395E-2</c:v>
                </c:pt>
                <c:pt idx="6">
                  <c:v>4.8304390716027323E-2</c:v>
                </c:pt>
                <c:pt idx="7">
                  <c:v>3.4568280380441865E-2</c:v>
                </c:pt>
                <c:pt idx="8">
                  <c:v>2.7062743127291677E-2</c:v>
                </c:pt>
                <c:pt idx="9">
                  <c:v>2.215599233160236E-2</c:v>
                </c:pt>
                <c:pt idx="10">
                  <c:v>1.8154279970964318E-2</c:v>
                </c:pt>
                <c:pt idx="11">
                  <c:v>1.5871907979228321E-2</c:v>
                </c:pt>
                <c:pt idx="12">
                  <c:v>1.4220038341988199E-2</c:v>
                </c:pt>
                <c:pt idx="13">
                  <c:v>1.1062873415601094E-2</c:v>
                </c:pt>
                <c:pt idx="14">
                  <c:v>9.2527965454985393E-3</c:v>
                </c:pt>
                <c:pt idx="15">
                  <c:v>7.7917062184748821E-3</c:v>
                </c:pt>
                <c:pt idx="16">
                  <c:v>6.5213952016676905E-3</c:v>
                </c:pt>
                <c:pt idx="17">
                  <c:v>5.4046382638152143E-3</c:v>
                </c:pt>
                <c:pt idx="18">
                  <c:v>4.3181268263629089E-3</c:v>
                </c:pt>
                <c:pt idx="19">
                  <c:v>3.5480298546354721E-3</c:v>
                </c:pt>
                <c:pt idx="20">
                  <c:v>3.1152865412176372E-3</c:v>
                </c:pt>
                <c:pt idx="21">
                  <c:v>2.5918067265992889E-3</c:v>
                </c:pt>
                <c:pt idx="22">
                  <c:v>2.2730656839205616E-3</c:v>
                </c:pt>
                <c:pt idx="23">
                  <c:v>1.9287322947493812E-3</c:v>
                </c:pt>
                <c:pt idx="24">
                  <c:v>1.8310160626872894E-3</c:v>
                </c:pt>
                <c:pt idx="25">
                  <c:v>1.5099484430547024E-3</c:v>
                </c:pt>
                <c:pt idx="26">
                  <c:v>1.4448042883466413E-3</c:v>
                </c:pt>
                <c:pt idx="27">
                  <c:v>1.3191691328382378E-3</c:v>
                </c:pt>
                <c:pt idx="28">
                  <c:v>1.2028402851452715E-3</c:v>
                </c:pt>
                <c:pt idx="29">
                  <c:v>9.9810151320565087E-4</c:v>
                </c:pt>
                <c:pt idx="30">
                  <c:v>8.5850689597409123E-4</c:v>
                </c:pt>
                <c:pt idx="31">
                  <c:v>6.2817577754201799E-4</c:v>
                </c:pt>
                <c:pt idx="32">
                  <c:v>5.4209243024922295E-4</c:v>
                </c:pt>
                <c:pt idx="33">
                  <c:v>4.1180412083310068E-4</c:v>
                </c:pt>
                <c:pt idx="34">
                  <c:v>3.7923204347907013E-4</c:v>
                </c:pt>
                <c:pt idx="35">
                  <c:v>2.7686265750925977E-4</c:v>
                </c:pt>
                <c:pt idx="36">
                  <c:v>2.8151581141697845E-4</c:v>
                </c:pt>
                <c:pt idx="37">
                  <c:v>1.977590410780427E-4</c:v>
                </c:pt>
                <c:pt idx="38">
                  <c:v>1.7449327153944944E-4</c:v>
                </c:pt>
                <c:pt idx="39">
                  <c:v>2.3033111843207327E-4</c:v>
                </c:pt>
                <c:pt idx="40">
                  <c:v>1.3726804027770022E-4</c:v>
                </c:pt>
                <c:pt idx="41">
                  <c:v>2.3265769538593258E-4</c:v>
                </c:pt>
                <c:pt idx="42">
                  <c:v>1.0004280901595101E-4</c:v>
                </c:pt>
                <c:pt idx="43">
                  <c:v>9.3063078154373028E-5</c:v>
                </c:pt>
                <c:pt idx="44">
                  <c:v>5.8164423846483146E-5</c:v>
                </c:pt>
                <c:pt idx="45">
                  <c:v>5.8164423846483146E-5</c:v>
                </c:pt>
                <c:pt idx="46">
                  <c:v>6.0491000800342473E-5</c:v>
                </c:pt>
                <c:pt idx="47">
                  <c:v>2.5592346492452584E-5</c:v>
                </c:pt>
                <c:pt idx="48">
                  <c:v>2.5592346492452584E-5</c:v>
                </c:pt>
                <c:pt idx="49">
                  <c:v>3.7225231261749215E-5</c:v>
                </c:pt>
                <c:pt idx="50">
                  <c:v>5.1184692984905167E-5</c:v>
                </c:pt>
                <c:pt idx="51">
                  <c:v>9.3063078154373039E-6</c:v>
                </c:pt>
                <c:pt idx="52">
                  <c:v>1.1632884769296629E-5</c:v>
                </c:pt>
                <c:pt idx="53">
                  <c:v>9.3063078154373039E-6</c:v>
                </c:pt>
                <c:pt idx="54">
                  <c:v>1.1632884769296629E-5</c:v>
                </c:pt>
                <c:pt idx="55">
                  <c:v>1.3959461723155955E-5</c:v>
                </c:pt>
                <c:pt idx="56">
                  <c:v>9.3063078154373039E-6</c:v>
                </c:pt>
                <c:pt idx="57">
                  <c:v>4.6531539077186519E-6</c:v>
                </c:pt>
                <c:pt idx="58">
                  <c:v>0</c:v>
                </c:pt>
                <c:pt idx="59">
                  <c:v>2.0939192584733934E-5</c:v>
                </c:pt>
                <c:pt idx="60">
                  <c:v>6.9797308615779775E-6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1.037952175397318E-2</c:v>
                </c:pt>
                <c:pt idx="3">
                  <c:v>9.7543102034091833E-2</c:v>
                </c:pt>
                <c:pt idx="4">
                  <c:v>9.7271454575509231E-2</c:v>
                </c:pt>
                <c:pt idx="5">
                  <c:v>9.5764867431094636E-2</c:v>
                </c:pt>
                <c:pt idx="6">
                  <c:v>8.3753224619944847E-2</c:v>
                </c:pt>
                <c:pt idx="7">
                  <c:v>9.3453742627839981E-2</c:v>
                </c:pt>
                <c:pt idx="8">
                  <c:v>5.9723396799450448E-2</c:v>
                </c:pt>
                <c:pt idx="9">
                  <c:v>5.2260866910152019E-2</c:v>
                </c:pt>
                <c:pt idx="10">
                  <c:v>4.1692414034446214E-2</c:v>
                </c:pt>
                <c:pt idx="11">
                  <c:v>4.569573353427462E-2</c:v>
                </c:pt>
                <c:pt idx="12">
                  <c:v>3.5274719135869166E-2</c:v>
                </c:pt>
                <c:pt idx="13">
                  <c:v>3.3434561086216175E-2</c:v>
                </c:pt>
                <c:pt idx="14">
                  <c:v>3.0141744377886422E-2</c:v>
                </c:pt>
                <c:pt idx="15">
                  <c:v>2.9408082803958922E-2</c:v>
                </c:pt>
                <c:pt idx="16">
                  <c:v>1.8277624538830934E-2</c:v>
                </c:pt>
                <c:pt idx="17">
                  <c:v>1.5261908004901931E-2</c:v>
                </c:pt>
                <c:pt idx="18">
                  <c:v>9.8149451912726282E-3</c:v>
                </c:pt>
                <c:pt idx="19">
                  <c:v>1.0041260495763782E-2</c:v>
                </c:pt>
                <c:pt idx="20">
                  <c:v>1.4464102217527853E-2</c:v>
                </c:pt>
                <c:pt idx="21">
                  <c:v>8.489186466299925E-3</c:v>
                </c:pt>
                <c:pt idx="22">
                  <c:v>7.7165134918509171E-3</c:v>
                </c:pt>
                <c:pt idx="23">
                  <c:v>1.0711154594761799E-2</c:v>
                </c:pt>
                <c:pt idx="24">
                  <c:v>8.3158696418787151E-3</c:v>
                </c:pt>
                <c:pt idx="25">
                  <c:v>5.071719077438819E-3</c:v>
                </c:pt>
                <c:pt idx="26">
                  <c:v>6.1852350746185629E-3</c:v>
                </c:pt>
                <c:pt idx="27">
                  <c:v>1.0363485645386956E-2</c:v>
                </c:pt>
                <c:pt idx="28">
                  <c:v>8.5023767774944931E-3</c:v>
                </c:pt>
                <c:pt idx="29">
                  <c:v>1.5014392426214681E-2</c:v>
                </c:pt>
                <c:pt idx="30">
                  <c:v>2.2723941241150538E-3</c:v>
                </c:pt>
                <c:pt idx="31">
                  <c:v>3.5424075625752707E-3</c:v>
                </c:pt>
                <c:pt idx="32">
                  <c:v>5.5205022576760394E-3</c:v>
                </c:pt>
                <c:pt idx="33">
                  <c:v>2.1072965792900411E-3</c:v>
                </c:pt>
                <c:pt idx="34">
                  <c:v>1.8733126685796977E-3</c:v>
                </c:pt>
                <c:pt idx="35">
                  <c:v>8.6395138232895393E-4</c:v>
                </c:pt>
                <c:pt idx="36">
                  <c:v>2.4238524994907094E-3</c:v>
                </c:pt>
                <c:pt idx="37">
                  <c:v>2.6294689642152968E-3</c:v>
                </c:pt>
                <c:pt idx="38">
                  <c:v>1.9144025322459465E-3</c:v>
                </c:pt>
                <c:pt idx="39">
                  <c:v>1.648484368426121E-3</c:v>
                </c:pt>
                <c:pt idx="40">
                  <c:v>2.9060965278540317E-3</c:v>
                </c:pt>
                <c:pt idx="41">
                  <c:v>3.4017007619703533E-4</c:v>
                </c:pt>
                <c:pt idx="42">
                  <c:v>2.3742692380433797E-3</c:v>
                </c:pt>
                <c:pt idx="43">
                  <c:v>4.1561811068239005E-3</c:v>
                </c:pt>
                <c:pt idx="44">
                  <c:v>2.635150870350908E-4</c:v>
                </c:pt>
                <c:pt idx="45">
                  <c:v>1.1308287270212997E-3</c:v>
                </c:pt>
                <c:pt idx="46">
                  <c:v>3.4102418785384489E-4</c:v>
                </c:pt>
                <c:pt idx="47">
                  <c:v>6.6491928837574563E-4</c:v>
                </c:pt>
                <c:pt idx="48">
                  <c:v>1.0144054518188628E-4</c:v>
                </c:pt>
                <c:pt idx="49">
                  <c:v>2.5867500063379986E-4</c:v>
                </c:pt>
                <c:pt idx="50">
                  <c:v>1.1269589329154087E-3</c:v>
                </c:pt>
                <c:pt idx="51">
                  <c:v>7.013457011606838E-4</c:v>
                </c:pt>
                <c:pt idx="52">
                  <c:v>5.5041730360249036E-4</c:v>
                </c:pt>
                <c:pt idx="53">
                  <c:v>3.6185326261752688E-4</c:v>
                </c:pt>
                <c:pt idx="54">
                  <c:v>4.2800959608091778E-4</c:v>
                </c:pt>
                <c:pt idx="55">
                  <c:v>4.2737674377941239E-4</c:v>
                </c:pt>
                <c:pt idx="56">
                  <c:v>2.7585776150632085E-4</c:v>
                </c:pt>
                <c:pt idx="57">
                  <c:v>1.4970546552009339E-3</c:v>
                </c:pt>
                <c:pt idx="58">
                  <c:v>8.7550374200253051E-4</c:v>
                </c:pt>
                <c:pt idx="59">
                  <c:v>0</c:v>
                </c:pt>
                <c:pt idx="60">
                  <c:v>1.0852733136134388E-4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8.2337558397081543E-3</c:v>
                </c:pt>
                <c:pt idx="1">
                  <c:v>4.1131553967279022E-2</c:v>
                </c:pt>
                <c:pt idx="2">
                  <c:v>2.3416997040594113E-2</c:v>
                </c:pt>
                <c:pt idx="3">
                  <c:v>3.6571463137714741E-2</c:v>
                </c:pt>
                <c:pt idx="4">
                  <c:v>5.2608558080667077E-2</c:v>
                </c:pt>
                <c:pt idx="5">
                  <c:v>6.6847209038286157E-2</c:v>
                </c:pt>
                <c:pt idx="6">
                  <c:v>7.1891227874253172E-2</c:v>
                </c:pt>
                <c:pt idx="7">
                  <c:v>7.1995923837176845E-2</c:v>
                </c:pt>
                <c:pt idx="8">
                  <c:v>6.6844882461332286E-2</c:v>
                </c:pt>
                <c:pt idx="9">
                  <c:v>6.0800435535205762E-2</c:v>
                </c:pt>
                <c:pt idx="10">
                  <c:v>5.48723174567722E-2</c:v>
                </c:pt>
                <c:pt idx="11">
                  <c:v>4.851610921882852E-2</c:v>
                </c:pt>
                <c:pt idx="12">
                  <c:v>4.2646155564241443E-2</c:v>
                </c:pt>
                <c:pt idx="13">
                  <c:v>3.7844100731475795E-2</c:v>
                </c:pt>
                <c:pt idx="14">
                  <c:v>3.3007147244402256E-2</c:v>
                </c:pt>
                <c:pt idx="15">
                  <c:v>2.9226459694380851E-2</c:v>
                </c:pt>
                <c:pt idx="16">
                  <c:v>2.5445772144359446E-2</c:v>
                </c:pt>
                <c:pt idx="17">
                  <c:v>2.2065255830401847E-2</c:v>
                </c:pt>
                <c:pt idx="18">
                  <c:v>1.9273363485770655E-2</c:v>
                </c:pt>
                <c:pt idx="19">
                  <c:v>1.7225975766374448E-2</c:v>
                </c:pt>
                <c:pt idx="20">
                  <c:v>1.5180914623932101E-2</c:v>
                </c:pt>
                <c:pt idx="21">
                  <c:v>1.3463900831983918E-2</c:v>
                </c:pt>
                <c:pt idx="22">
                  <c:v>1.2049342044037448E-2</c:v>
                </c:pt>
                <c:pt idx="23">
                  <c:v>1.0944217990954269E-2</c:v>
                </c:pt>
                <c:pt idx="24">
                  <c:v>9.6878664358702321E-3</c:v>
                </c:pt>
                <c:pt idx="25">
                  <c:v>9.1015690434976832E-3</c:v>
                </c:pt>
                <c:pt idx="26">
                  <c:v>8.0639157220764226E-3</c:v>
                </c:pt>
                <c:pt idx="27">
                  <c:v>7.1774899026560207E-3</c:v>
                </c:pt>
                <c:pt idx="28">
                  <c:v>6.4120460848363023E-3</c:v>
                </c:pt>
                <c:pt idx="29">
                  <c:v>5.6698680365551771E-3</c:v>
                </c:pt>
                <c:pt idx="30">
                  <c:v>5.3976585329536357E-3</c:v>
                </c:pt>
                <c:pt idx="31">
                  <c:v>4.6996854467958385E-3</c:v>
                </c:pt>
                <c:pt idx="32">
                  <c:v>4.5182124443948106E-3</c:v>
                </c:pt>
                <c:pt idx="33">
                  <c:v>3.9505276676531356E-3</c:v>
                </c:pt>
                <c:pt idx="34">
                  <c:v>3.6480726636514229E-3</c:v>
                </c:pt>
                <c:pt idx="35">
                  <c:v>3.5154577772814415E-3</c:v>
                </c:pt>
                <c:pt idx="36">
                  <c:v>3.0361829247864203E-3</c:v>
                </c:pt>
                <c:pt idx="37">
                  <c:v>2.6918495356152402E-3</c:v>
                </c:pt>
                <c:pt idx="38">
                  <c:v>2.6871963817075213E-3</c:v>
                </c:pt>
                <c:pt idx="39">
                  <c:v>2.4359260706907143E-3</c:v>
                </c:pt>
                <c:pt idx="40">
                  <c:v>2.421966608967558E-3</c:v>
                </c:pt>
                <c:pt idx="41">
                  <c:v>2.0660003350270813E-3</c:v>
                </c:pt>
                <c:pt idx="42">
                  <c:v>1.8496286783181641E-3</c:v>
                </c:pt>
                <c:pt idx="43">
                  <c:v>1.6565227911478401E-3</c:v>
                </c:pt>
                <c:pt idx="44">
                  <c:v>1.6146444059783722E-3</c:v>
                </c:pt>
                <c:pt idx="45">
                  <c:v>1.6588493681016993E-3</c:v>
                </c:pt>
                <c:pt idx="46">
                  <c:v>1.3401083254229718E-3</c:v>
                </c:pt>
                <c:pt idx="47">
                  <c:v>1.4122322109926108E-3</c:v>
                </c:pt>
                <c:pt idx="48">
                  <c:v>1.1260632456679138E-3</c:v>
                </c:pt>
                <c:pt idx="49">
                  <c:v>1.0678988218214306E-3</c:v>
                </c:pt>
                <c:pt idx="50">
                  <c:v>9.2132447372829309E-4</c:v>
                </c:pt>
                <c:pt idx="51">
                  <c:v>9.5622312803618297E-4</c:v>
                </c:pt>
                <c:pt idx="52">
                  <c:v>9.0271185809741848E-4</c:v>
                </c:pt>
                <c:pt idx="53">
                  <c:v>8.2826139557392003E-4</c:v>
                </c:pt>
                <c:pt idx="54">
                  <c:v>7.1658570178867237E-4</c:v>
                </c:pt>
                <c:pt idx="55">
                  <c:v>7.3752489437340632E-4</c:v>
                </c:pt>
                <c:pt idx="56">
                  <c:v>6.6307443184990787E-4</c:v>
                </c:pt>
                <c:pt idx="57">
                  <c:v>6.7005416271148589E-4</c:v>
                </c:pt>
                <c:pt idx="58">
                  <c:v>5.9095054628026877E-4</c:v>
                </c:pt>
                <c:pt idx="59">
                  <c:v>5.2580639157220768E-4</c:v>
                </c:pt>
                <c:pt idx="60">
                  <c:v>4.6298881381800583E-4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0.15899101937076016</c:v>
                </c:pt>
                <c:pt idx="1">
                  <c:v>0.20204209996093447</c:v>
                </c:pt>
                <c:pt idx="2">
                  <c:v>0.15131760950650969</c:v>
                </c:pt>
                <c:pt idx="3">
                  <c:v>9.9234215924136629E-2</c:v>
                </c:pt>
                <c:pt idx="4">
                  <c:v>6.7611426939228378E-2</c:v>
                </c:pt>
                <c:pt idx="5">
                  <c:v>5.9082206223294895E-2</c:v>
                </c:pt>
                <c:pt idx="6">
                  <c:v>7.163102687182453E-2</c:v>
                </c:pt>
                <c:pt idx="7">
                  <c:v>2.8658883458927004E-2</c:v>
                </c:pt>
                <c:pt idx="8">
                  <c:v>2.7634068100307625E-2</c:v>
                </c:pt>
                <c:pt idx="9">
                  <c:v>1.9522944496568839E-2</c:v>
                </c:pt>
                <c:pt idx="10">
                  <c:v>1.2664366287602005E-2</c:v>
                </c:pt>
                <c:pt idx="11">
                  <c:v>6.1863143836783209E-3</c:v>
                </c:pt>
                <c:pt idx="12">
                  <c:v>6.1703741667587051E-3</c:v>
                </c:pt>
                <c:pt idx="13">
                  <c:v>8.6187130606319873E-3</c:v>
                </c:pt>
                <c:pt idx="14">
                  <c:v>1.7059698158678419E-2</c:v>
                </c:pt>
                <c:pt idx="15">
                  <c:v>1.133696293540404E-2</c:v>
                </c:pt>
                <c:pt idx="16">
                  <c:v>4.8957684163857497E-3</c:v>
                </c:pt>
                <c:pt idx="17">
                  <c:v>4.1099630037282489E-3</c:v>
                </c:pt>
                <c:pt idx="18">
                  <c:v>8.7770938526235947E-3</c:v>
                </c:pt>
                <c:pt idx="19">
                  <c:v>3.5139441665273151E-4</c:v>
                </c:pt>
                <c:pt idx="20">
                  <c:v>3.7146363093387303E-3</c:v>
                </c:pt>
                <c:pt idx="21">
                  <c:v>2.4953225741758227E-3</c:v>
                </c:pt>
                <c:pt idx="22">
                  <c:v>1.70434932362296E-3</c:v>
                </c:pt>
                <c:pt idx="23">
                  <c:v>1.4059394000189664E-3</c:v>
                </c:pt>
                <c:pt idx="24">
                  <c:v>1.2156380003529002E-3</c:v>
                </c:pt>
                <c:pt idx="25">
                  <c:v>8.0621313427874054E-4</c:v>
                </c:pt>
                <c:pt idx="26">
                  <c:v>3.9236232402217464E-3</c:v>
                </c:pt>
                <c:pt idx="27">
                  <c:v>1.7335587596488539E-3</c:v>
                </c:pt>
                <c:pt idx="28">
                  <c:v>5.9666895643401365E-4</c:v>
                </c:pt>
                <c:pt idx="29">
                  <c:v>5.4874631773435848E-3</c:v>
                </c:pt>
                <c:pt idx="30">
                  <c:v>1.1463363745646091E-3</c:v>
                </c:pt>
                <c:pt idx="31">
                  <c:v>1.119924155706696E-3</c:v>
                </c:pt>
                <c:pt idx="32">
                  <c:v>1.8830031911092225E-3</c:v>
                </c:pt>
                <c:pt idx="33">
                  <c:v>2.3695509540164932E-3</c:v>
                </c:pt>
                <c:pt idx="34">
                  <c:v>1.0411118688790717E-3</c:v>
                </c:pt>
                <c:pt idx="35">
                  <c:v>0</c:v>
                </c:pt>
                <c:pt idx="36">
                  <c:v>1.5344406365017357E-4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2.0549870597113364E-3</c:v>
                </c:pt>
                <c:pt idx="41">
                  <c:v>0</c:v>
                </c:pt>
                <c:pt idx="42">
                  <c:v>1.0386759273356347E-3</c:v>
                </c:pt>
                <c:pt idx="43">
                  <c:v>0</c:v>
                </c:pt>
                <c:pt idx="44">
                  <c:v>0</c:v>
                </c:pt>
                <c:pt idx="45">
                  <c:v>2.1340399495448249E-4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0.15192946050147979</c:v>
                </c:pt>
                <c:pt idx="1">
                  <c:v>0.13898471210282287</c:v>
                </c:pt>
                <c:pt idx="2">
                  <c:v>0.13632761201744345</c:v>
                </c:pt>
                <c:pt idx="3">
                  <c:v>0.12113160302771578</c:v>
                </c:pt>
                <c:pt idx="4">
                  <c:v>9.3270338875977743E-2</c:v>
                </c:pt>
                <c:pt idx="5">
                  <c:v>7.3273172095088962E-2</c:v>
                </c:pt>
                <c:pt idx="6">
                  <c:v>5.3754589623526437E-2</c:v>
                </c:pt>
                <c:pt idx="7">
                  <c:v>4.084429929514103E-2</c:v>
                </c:pt>
                <c:pt idx="8">
                  <c:v>3.2019204631164644E-2</c:v>
                </c:pt>
                <c:pt idx="9">
                  <c:v>2.7325249725292607E-2</c:v>
                </c:pt>
                <c:pt idx="10">
                  <c:v>2.2259913395383385E-2</c:v>
                </c:pt>
                <c:pt idx="11">
                  <c:v>1.8863879136404187E-2</c:v>
                </c:pt>
                <c:pt idx="12">
                  <c:v>1.6972513945946774E-2</c:v>
                </c:pt>
                <c:pt idx="13">
                  <c:v>1.2581024323568937E-2</c:v>
                </c:pt>
                <c:pt idx="14">
                  <c:v>1.0138330008767665E-2</c:v>
                </c:pt>
                <c:pt idx="15">
                  <c:v>8.2393074693610322E-3</c:v>
                </c:pt>
                <c:pt idx="16">
                  <c:v>7.0103029630111755E-3</c:v>
                </c:pt>
                <c:pt idx="17">
                  <c:v>5.4750044986925078E-3</c:v>
                </c:pt>
                <c:pt idx="18">
                  <c:v>4.4336050415985486E-3</c:v>
                </c:pt>
                <c:pt idx="19">
                  <c:v>3.4113489568776394E-3</c:v>
                </c:pt>
                <c:pt idx="20">
                  <c:v>2.9557366943990322E-3</c:v>
                </c:pt>
                <c:pt idx="21">
                  <c:v>2.5345825021919162E-3</c:v>
                </c:pt>
                <c:pt idx="22">
                  <c:v>2.1364003568324608E-3</c:v>
                </c:pt>
                <c:pt idx="23">
                  <c:v>1.7535329093714466E-3</c:v>
                </c:pt>
                <c:pt idx="24">
                  <c:v>1.6080432793362609E-3</c:v>
                </c:pt>
                <c:pt idx="25">
                  <c:v>1.5276411153694479E-3</c:v>
                </c:pt>
                <c:pt idx="26">
                  <c:v>1.3476934150627711E-3</c:v>
                </c:pt>
                <c:pt idx="27">
                  <c:v>1.2251758318752464E-3</c:v>
                </c:pt>
                <c:pt idx="28">
                  <c:v>1.0605428294670103E-3</c:v>
                </c:pt>
                <c:pt idx="29">
                  <c:v>9.1122452495721461E-4</c:v>
                </c:pt>
                <c:pt idx="30">
                  <c:v>8.3082236099040147E-4</c:v>
                </c:pt>
                <c:pt idx="31">
                  <c:v>5.7430117119152183E-4</c:v>
                </c:pt>
                <c:pt idx="32">
                  <c:v>4.9772768169931885E-4</c:v>
                </c:pt>
                <c:pt idx="33">
                  <c:v>4.0583949430867539E-4</c:v>
                </c:pt>
                <c:pt idx="34">
                  <c:v>3.8286744746101454E-4</c:v>
                </c:pt>
                <c:pt idx="35">
                  <c:v>2.9480793454498118E-4</c:v>
                </c:pt>
                <c:pt idx="36">
                  <c:v>2.794932366465406E-4</c:v>
                </c:pt>
                <c:pt idx="37">
                  <c:v>1.9909107267972756E-4</c:v>
                </c:pt>
                <c:pt idx="38">
                  <c:v>1.952623982051174E-4</c:v>
                </c:pt>
                <c:pt idx="39">
                  <c:v>1.531469789844058E-4</c:v>
                </c:pt>
                <c:pt idx="40">
                  <c:v>1.0337421081447393E-4</c:v>
                </c:pt>
                <c:pt idx="41">
                  <c:v>1.6463300240823626E-4</c:v>
                </c:pt>
                <c:pt idx="42">
                  <c:v>8.0402163966813048E-5</c:v>
                </c:pt>
                <c:pt idx="43">
                  <c:v>8.0402163966813048E-5</c:v>
                </c:pt>
                <c:pt idx="44">
                  <c:v>6.5087466068372462E-5</c:v>
                </c:pt>
                <c:pt idx="45">
                  <c:v>8.8059512916033341E-5</c:v>
                </c:pt>
                <c:pt idx="46">
                  <c:v>4.5944093695321744E-5</c:v>
                </c:pt>
                <c:pt idx="47">
                  <c:v>3.4458070271491304E-5</c:v>
                </c:pt>
                <c:pt idx="48">
                  <c:v>4.977276816993189E-5</c:v>
                </c:pt>
                <c:pt idx="49">
                  <c:v>1.9143372373050725E-5</c:v>
                </c:pt>
                <c:pt idx="50">
                  <c:v>1.5314697898440582E-5</c:v>
                </c:pt>
                <c:pt idx="51">
                  <c:v>1.5314697898440582E-5</c:v>
                </c:pt>
                <c:pt idx="52">
                  <c:v>1.1486023423830436E-5</c:v>
                </c:pt>
                <c:pt idx="53">
                  <c:v>0</c:v>
                </c:pt>
                <c:pt idx="54">
                  <c:v>3.8286744746101456E-6</c:v>
                </c:pt>
                <c:pt idx="55">
                  <c:v>7.6573489492202912E-6</c:v>
                </c:pt>
                <c:pt idx="56">
                  <c:v>1.5314697898440582E-5</c:v>
                </c:pt>
                <c:pt idx="57">
                  <c:v>7.6573489492202912E-6</c:v>
                </c:pt>
                <c:pt idx="58">
                  <c:v>1.1486023423830436E-5</c:v>
                </c:pt>
                <c:pt idx="59">
                  <c:v>7.6573489492202912E-6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552622823555506"/>
          <c:y val="7.8319845435987162E-2"/>
          <c:w val="0.20034046800487967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4.2097142588139996E-3</c:v>
                </c:pt>
                <c:pt idx="3">
                  <c:v>6.7377164208129212E-2</c:v>
                </c:pt>
                <c:pt idx="4">
                  <c:v>8.7468487694370919E-2</c:v>
                </c:pt>
                <c:pt idx="5">
                  <c:v>0.11220554768222743</c:v>
                </c:pt>
                <c:pt idx="6">
                  <c:v>7.9924281048706428E-2</c:v>
                </c:pt>
                <c:pt idx="7">
                  <c:v>0.10802701115958493</c:v>
                </c:pt>
                <c:pt idx="8">
                  <c:v>6.911619996953583E-2</c:v>
                </c:pt>
                <c:pt idx="9">
                  <c:v>5.2757203515866061E-2</c:v>
                </c:pt>
                <c:pt idx="10">
                  <c:v>3.9662502420961074E-2</c:v>
                </c:pt>
                <c:pt idx="11">
                  <c:v>2.903963524678712E-2</c:v>
                </c:pt>
                <c:pt idx="12">
                  <c:v>4.030312267759175E-2</c:v>
                </c:pt>
                <c:pt idx="13">
                  <c:v>3.4173415592222034E-2</c:v>
                </c:pt>
                <c:pt idx="14">
                  <c:v>2.6138152642880438E-2</c:v>
                </c:pt>
                <c:pt idx="15">
                  <c:v>3.6060574004131499E-2</c:v>
                </c:pt>
                <c:pt idx="16">
                  <c:v>1.6394204004630372E-2</c:v>
                </c:pt>
                <c:pt idx="17">
                  <c:v>2.5038394570220626E-2</c:v>
                </c:pt>
                <c:pt idx="18">
                  <c:v>1.8171335437523455E-2</c:v>
                </c:pt>
                <c:pt idx="19">
                  <c:v>1.5649891337010245E-2</c:v>
                </c:pt>
                <c:pt idx="20">
                  <c:v>1.3269775695453085E-2</c:v>
                </c:pt>
                <c:pt idx="21">
                  <c:v>8.5168827306833714E-3</c:v>
                </c:pt>
                <c:pt idx="22">
                  <c:v>1.2622641637445205E-2</c:v>
                </c:pt>
                <c:pt idx="23">
                  <c:v>1.9865038397029805E-3</c:v>
                </c:pt>
                <c:pt idx="24">
                  <c:v>8.6223292035863992E-3</c:v>
                </c:pt>
                <c:pt idx="25">
                  <c:v>4.0306336793301386E-3</c:v>
                </c:pt>
                <c:pt idx="26">
                  <c:v>5.6991843112740087E-3</c:v>
                </c:pt>
                <c:pt idx="27">
                  <c:v>5.6338444594247802E-3</c:v>
                </c:pt>
                <c:pt idx="28">
                  <c:v>8.3893643153679191E-3</c:v>
                </c:pt>
                <c:pt idx="29">
                  <c:v>4.191452941785666E-4</c:v>
                </c:pt>
                <c:pt idx="30">
                  <c:v>2.4027520665772452E-3</c:v>
                </c:pt>
                <c:pt idx="31">
                  <c:v>3.5239815141465663E-3</c:v>
                </c:pt>
                <c:pt idx="32">
                  <c:v>9.4298697188926139E-4</c:v>
                </c:pt>
                <c:pt idx="33">
                  <c:v>8.1953009887039321E-3</c:v>
                </c:pt>
                <c:pt idx="34">
                  <c:v>1.2717864484846247E-2</c:v>
                </c:pt>
                <c:pt idx="35">
                  <c:v>1.9809450013672774E-3</c:v>
                </c:pt>
                <c:pt idx="36">
                  <c:v>1.677483521320631E-3</c:v>
                </c:pt>
                <c:pt idx="37">
                  <c:v>2.9954916050319766E-3</c:v>
                </c:pt>
                <c:pt idx="38">
                  <c:v>0</c:v>
                </c:pt>
                <c:pt idx="39">
                  <c:v>2.9180122326342891E-4</c:v>
                </c:pt>
                <c:pt idx="40">
                  <c:v>2.6881288051348569E-3</c:v>
                </c:pt>
                <c:pt idx="41">
                  <c:v>1.6640187708826832E-3</c:v>
                </c:pt>
                <c:pt idx="42">
                  <c:v>2.0257013516214613E-4</c:v>
                </c:pt>
                <c:pt idx="43">
                  <c:v>5.4287912665750169E-3</c:v>
                </c:pt>
                <c:pt idx="44">
                  <c:v>1.0797631250842666E-3</c:v>
                </c:pt>
                <c:pt idx="45">
                  <c:v>1.6267582698300319E-3</c:v>
                </c:pt>
                <c:pt idx="46">
                  <c:v>1.4882428149058527E-4</c:v>
                </c:pt>
                <c:pt idx="47">
                  <c:v>3.4467126332674478E-3</c:v>
                </c:pt>
                <c:pt idx="48">
                  <c:v>0</c:v>
                </c:pt>
                <c:pt idx="49">
                  <c:v>1.1945379367488676E-3</c:v>
                </c:pt>
                <c:pt idx="50">
                  <c:v>1.3804796197265771E-3</c:v>
                </c:pt>
                <c:pt idx="51">
                  <c:v>1.5673400608490397E-3</c:v>
                </c:pt>
                <c:pt idx="52">
                  <c:v>2.2386200782912435E-3</c:v>
                </c:pt>
                <c:pt idx="53">
                  <c:v>2.7307494042625629E-4</c:v>
                </c:pt>
                <c:pt idx="54">
                  <c:v>3.5651724509689925E-4</c:v>
                </c:pt>
                <c:pt idx="55">
                  <c:v>0</c:v>
                </c:pt>
                <c:pt idx="56">
                  <c:v>2.5365333956911137E-3</c:v>
                </c:pt>
                <c:pt idx="57">
                  <c:v>1.3140345229583634E-3</c:v>
                </c:pt>
                <c:pt idx="58">
                  <c:v>0</c:v>
                </c:pt>
                <c:pt idx="59">
                  <c:v>2.0549870597113364E-3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5.8999873653742341E-3</c:v>
                </c:pt>
                <c:pt idx="1">
                  <c:v>3.9638266835638834E-2</c:v>
                </c:pt>
                <c:pt idx="2">
                  <c:v>1.9759788963462959E-2</c:v>
                </c:pt>
                <c:pt idx="3">
                  <c:v>3.1062036012512107E-2</c:v>
                </c:pt>
                <c:pt idx="4">
                  <c:v>4.4918008936126221E-2</c:v>
                </c:pt>
                <c:pt idx="5">
                  <c:v>5.7081707741962653E-2</c:v>
                </c:pt>
                <c:pt idx="6">
                  <c:v>6.4696941271962238E-2</c:v>
                </c:pt>
                <c:pt idx="7">
                  <c:v>6.762587724503899E-2</c:v>
                </c:pt>
                <c:pt idx="8">
                  <c:v>6.466248320169074E-2</c:v>
                </c:pt>
                <c:pt idx="9">
                  <c:v>6.004510178531091E-2</c:v>
                </c:pt>
                <c:pt idx="10">
                  <c:v>5.7962302871122987E-2</c:v>
                </c:pt>
                <c:pt idx="11">
                  <c:v>5.3184117126809524E-2</c:v>
                </c:pt>
                <c:pt idx="12">
                  <c:v>4.7138640131400109E-2</c:v>
                </c:pt>
                <c:pt idx="13">
                  <c:v>4.0993617599650825E-2</c:v>
                </c:pt>
                <c:pt idx="14">
                  <c:v>3.7030939518429326E-2</c:v>
                </c:pt>
                <c:pt idx="15">
                  <c:v>3.2834712294256607E-2</c:v>
                </c:pt>
                <c:pt idx="16">
                  <c:v>2.903283854096873E-2</c:v>
                </c:pt>
                <c:pt idx="17">
                  <c:v>2.5460685256157467E-2</c:v>
                </c:pt>
                <c:pt idx="18">
                  <c:v>2.190384666924464E-2</c:v>
                </c:pt>
                <c:pt idx="19">
                  <c:v>2.0127341713025534E-2</c:v>
                </c:pt>
                <c:pt idx="20">
                  <c:v>1.7676990049275039E-2</c:v>
                </c:pt>
                <c:pt idx="21">
                  <c:v>1.5326183921864411E-2</c:v>
                </c:pt>
                <c:pt idx="22">
                  <c:v>1.3568822338018354E-2</c:v>
                </c:pt>
                <c:pt idx="23">
                  <c:v>1.2071810618445788E-2</c:v>
                </c:pt>
                <c:pt idx="24">
                  <c:v>1.1175900791387014E-2</c:v>
                </c:pt>
                <c:pt idx="25">
                  <c:v>1.0096214589546952E-2</c:v>
                </c:pt>
                <c:pt idx="26">
                  <c:v>9.0663011558768242E-3</c:v>
                </c:pt>
                <c:pt idx="27">
                  <c:v>7.8181532771539157E-3</c:v>
                </c:pt>
                <c:pt idx="28">
                  <c:v>7.0141316374857862E-3</c:v>
                </c:pt>
                <c:pt idx="29">
                  <c:v>6.1411938572746728E-3</c:v>
                </c:pt>
                <c:pt idx="30">
                  <c:v>5.7468403863898277E-3</c:v>
                </c:pt>
                <c:pt idx="31">
                  <c:v>5.1916825875713566E-3</c:v>
                </c:pt>
                <c:pt idx="32">
                  <c:v>4.4297763671239379E-3</c:v>
                </c:pt>
                <c:pt idx="33">
                  <c:v>4.0162795238660428E-3</c:v>
                </c:pt>
                <c:pt idx="34">
                  <c:v>3.7176429148464509E-3</c:v>
                </c:pt>
                <c:pt idx="35">
                  <c:v>3.4611217250475712E-3</c:v>
                </c:pt>
                <c:pt idx="36">
                  <c:v>3.1280270457564887E-3</c:v>
                </c:pt>
                <c:pt idx="37">
                  <c:v>2.7681316451431352E-3</c:v>
                </c:pt>
                <c:pt idx="38">
                  <c:v>2.6226420151079493E-3</c:v>
                </c:pt>
                <c:pt idx="39">
                  <c:v>2.5460685256157465E-3</c:v>
                </c:pt>
                <c:pt idx="40">
                  <c:v>2.2244598697484944E-3</c:v>
                </c:pt>
                <c:pt idx="41">
                  <c:v>1.9832533778480553E-3</c:v>
                </c:pt>
                <c:pt idx="42">
                  <c:v>1.6961027922522943E-3</c:v>
                </c:pt>
                <c:pt idx="43">
                  <c:v>1.7267321880491755E-3</c:v>
                </c:pt>
                <c:pt idx="44">
                  <c:v>1.6348440006585319E-3</c:v>
                </c:pt>
                <c:pt idx="45">
                  <c:v>1.5506131622171088E-3</c:v>
                </c:pt>
                <c:pt idx="46">
                  <c:v>1.2136898084514161E-3</c:v>
                </c:pt>
                <c:pt idx="47">
                  <c:v>1.1715743892307044E-3</c:v>
                </c:pt>
                <c:pt idx="48">
                  <c:v>1.0758575273654507E-3</c:v>
                </c:pt>
                <c:pt idx="49">
                  <c:v>1.0873435507892813E-3</c:v>
                </c:pt>
                <c:pt idx="50">
                  <c:v>9.2271054838104498E-4</c:v>
                </c:pt>
                <c:pt idx="51">
                  <c:v>8.9973850153338413E-4</c:v>
                </c:pt>
                <c:pt idx="52">
                  <c:v>8.5762308231267248E-4</c:v>
                </c:pt>
                <c:pt idx="53">
                  <c:v>7.5807754597280875E-4</c:v>
                </c:pt>
                <c:pt idx="54">
                  <c:v>7.810495928204696E-4</c:v>
                </c:pt>
                <c:pt idx="55">
                  <c:v>5.8961586908996236E-4</c:v>
                </c:pt>
                <c:pt idx="56">
                  <c:v>6.2024526488684353E-4</c:v>
                </c:pt>
                <c:pt idx="57">
                  <c:v>5.857871946153522E-4</c:v>
                </c:pt>
                <c:pt idx="58">
                  <c:v>4.6326961142782757E-4</c:v>
                </c:pt>
                <c:pt idx="59">
                  <c:v>4.9007033275009864E-4</c:v>
                </c:pt>
                <c:pt idx="60">
                  <c:v>4.8241298380087832E-4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</a:t>
            </a:r>
            <a:r>
              <a:rPr baseline="0" lang="en-US"/>
              <a:t>/Recreation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0.10498034790787446</c:v>
                </c:pt>
                <c:pt idx="1">
                  <c:v>0.14978394127707476</c:v>
                </c:pt>
                <c:pt idx="2">
                  <c:v>0.14963397793782243</c:v>
                </c:pt>
                <c:pt idx="3">
                  <c:v>0.11472541723643997</c:v>
                </c:pt>
                <c:pt idx="4">
                  <c:v>8.8382055142922855E-2</c:v>
                </c:pt>
                <c:pt idx="5">
                  <c:v>5.9212595061484803E-2</c:v>
                </c:pt>
                <c:pt idx="6">
                  <c:v>6.1746403175691987E-2</c:v>
                </c:pt>
                <c:pt idx="7">
                  <c:v>3.6371456535395377E-2</c:v>
                </c:pt>
                <c:pt idx="8">
                  <c:v>3.857732456448703E-2</c:v>
                </c:pt>
                <c:pt idx="9">
                  <c:v>2.9759198074855213E-2</c:v>
                </c:pt>
                <c:pt idx="10">
                  <c:v>2.7984977885883743E-2</c:v>
                </c:pt>
                <c:pt idx="11">
                  <c:v>1.6856715714372878E-2</c:v>
                </c:pt>
                <c:pt idx="12">
                  <c:v>1.2946638929078977E-2</c:v>
                </c:pt>
                <c:pt idx="13">
                  <c:v>1.865620811175334E-2</c:v>
                </c:pt>
                <c:pt idx="14">
                  <c:v>1.3054543946535017E-2</c:v>
                </c:pt>
                <c:pt idx="15">
                  <c:v>1.0218261676427608E-2</c:v>
                </c:pt>
                <c:pt idx="16">
                  <c:v>4.480546049356467E-3</c:v>
                </c:pt>
                <c:pt idx="17">
                  <c:v>4.527653904609949E-3</c:v>
                </c:pt>
                <c:pt idx="18">
                  <c:v>8.4058681505262984E-3</c:v>
                </c:pt>
                <c:pt idx="19">
                  <c:v>5.4357954842886554E-3</c:v>
                </c:pt>
                <c:pt idx="20">
                  <c:v>5.1558828797112176E-3</c:v>
                </c:pt>
                <c:pt idx="21">
                  <c:v>4.3150627016142386E-3</c:v>
                </c:pt>
                <c:pt idx="22">
                  <c:v>5.5594173301006695E-3</c:v>
                </c:pt>
                <c:pt idx="23">
                  <c:v>4.0023026451213636E-3</c:v>
                </c:pt>
                <c:pt idx="24">
                  <c:v>4.2758335700258119E-3</c:v>
                </c:pt>
                <c:pt idx="25">
                  <c:v>3.1580490370479537E-3</c:v>
                </c:pt>
                <c:pt idx="26">
                  <c:v>2.135086837782805E-3</c:v>
                </c:pt>
                <c:pt idx="27">
                  <c:v>9.2422782601253865E-4</c:v>
                </c:pt>
                <c:pt idx="28">
                  <c:v>7.9487800401045132E-4</c:v>
                </c:pt>
                <c:pt idx="29">
                  <c:v>3.4225670326853828E-4</c:v>
                </c:pt>
                <c:pt idx="30">
                  <c:v>3.0348500236379247E-4</c:v>
                </c:pt>
                <c:pt idx="31">
                  <c:v>9.782270586849984E-4</c:v>
                </c:pt>
                <c:pt idx="32">
                  <c:v>1.0621187454328475E-3</c:v>
                </c:pt>
                <c:pt idx="33">
                  <c:v>1.1048350910615948E-4</c:v>
                </c:pt>
                <c:pt idx="34">
                  <c:v>2.5817016698239316E-3</c:v>
                </c:pt>
                <c:pt idx="35">
                  <c:v>4.767947386950524E-4</c:v>
                </c:pt>
                <c:pt idx="36">
                  <c:v>2.0217797303790914E-3</c:v>
                </c:pt>
                <c:pt idx="37">
                  <c:v>1.7464166194605449E-3</c:v>
                </c:pt>
                <c:pt idx="38">
                  <c:v>7.109535849224229E-5</c:v>
                </c:pt>
                <c:pt idx="39">
                  <c:v>0</c:v>
                </c:pt>
                <c:pt idx="40">
                  <c:v>0</c:v>
                </c:pt>
                <c:pt idx="41">
                  <c:v>2.0884033999466066E-3</c:v>
                </c:pt>
                <c:pt idx="42">
                  <c:v>3.9015996118975117E-4</c:v>
                </c:pt>
                <c:pt idx="43">
                  <c:v>0</c:v>
                </c:pt>
                <c:pt idx="44">
                  <c:v>7.4513398738978618E-4</c:v>
                </c:pt>
                <c:pt idx="45">
                  <c:v>4.767947386950524E-4</c:v>
                </c:pt>
                <c:pt idx="46">
                  <c:v>1.8090546379474523E-4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3.635757149679968E-4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0.14702916504886912</c:v>
                </c:pt>
                <c:pt idx="1">
                  <c:v>0.14226934862582646</c:v>
                </c:pt>
                <c:pt idx="2">
                  <c:v>0.13396760308047273</c:v>
                </c:pt>
                <c:pt idx="3">
                  <c:v>0.11861831244395903</c:v>
                </c:pt>
                <c:pt idx="4">
                  <c:v>9.0436512037810377E-2</c:v>
                </c:pt>
                <c:pt idx="5">
                  <c:v>7.0106732737983832E-2</c:v>
                </c:pt>
                <c:pt idx="6">
                  <c:v>5.0341203976569639E-2</c:v>
                </c:pt>
                <c:pt idx="7">
                  <c:v>3.756456059687651E-2</c:v>
                </c:pt>
                <c:pt idx="8">
                  <c:v>2.7106372399768715E-2</c:v>
                </c:pt>
                <c:pt idx="9">
                  <c:v>2.2600748050961322E-2</c:v>
                </c:pt>
                <c:pt idx="10">
                  <c:v>1.9980614362690191E-2</c:v>
                </c:pt>
                <c:pt idx="11">
                  <c:v>1.7547633080724139E-2</c:v>
                </c:pt>
                <c:pt idx="12">
                  <c:v>1.6081140344751492E-2</c:v>
                </c:pt>
                <c:pt idx="13">
                  <c:v>1.353083964390763E-2</c:v>
                </c:pt>
                <c:pt idx="14">
                  <c:v>1.164814230286846E-2</c:v>
                </c:pt>
                <c:pt idx="15">
                  <c:v>1.0301762305270714E-2</c:v>
                </c:pt>
                <c:pt idx="16">
                  <c:v>8.7039835529348006E-3</c:v>
                </c:pt>
                <c:pt idx="17">
                  <c:v>7.4330231817585062E-3</c:v>
                </c:pt>
                <c:pt idx="18">
                  <c:v>6.6089939301167324E-3</c:v>
                </c:pt>
                <c:pt idx="19">
                  <c:v>6.0307767942189457E-3</c:v>
                </c:pt>
                <c:pt idx="20">
                  <c:v>5.2626139325189876E-3</c:v>
                </c:pt>
                <c:pt idx="21">
                  <c:v>4.34919845697031E-3</c:v>
                </c:pt>
                <c:pt idx="22">
                  <c:v>4.1341128556943215E-3</c:v>
                </c:pt>
                <c:pt idx="23">
                  <c:v>3.3715366329885445E-3</c:v>
                </c:pt>
                <c:pt idx="24">
                  <c:v>3.2598038531049143E-3</c:v>
                </c:pt>
                <c:pt idx="25">
                  <c:v>2.7933194970907577E-3</c:v>
                </c:pt>
                <c:pt idx="26">
                  <c:v>2.6341002857565845E-3</c:v>
                </c:pt>
                <c:pt idx="27">
                  <c:v>2.3100752240940567E-3</c:v>
                </c:pt>
                <c:pt idx="28">
                  <c:v>1.9776702039402566E-3</c:v>
                </c:pt>
                <c:pt idx="29">
                  <c:v>1.7486180051788144E-3</c:v>
                </c:pt>
                <c:pt idx="30">
                  <c:v>1.6061587108271856E-3</c:v>
                </c:pt>
                <c:pt idx="31">
                  <c:v>1.4748726944639201E-3</c:v>
                </c:pt>
                <c:pt idx="32">
                  <c:v>1.14246767431012E-3</c:v>
                </c:pt>
                <c:pt idx="33">
                  <c:v>8.5196244661268114E-4</c:v>
                </c:pt>
                <c:pt idx="34">
                  <c:v>7.4022966672905078E-4</c:v>
                </c:pt>
                <c:pt idx="35">
                  <c:v>6.5643008181632807E-4</c:v>
                </c:pt>
                <c:pt idx="36">
                  <c:v>5.7542381640069611E-4</c:v>
                </c:pt>
                <c:pt idx="37">
                  <c:v>4.5251775852870273E-4</c:v>
                </c:pt>
                <c:pt idx="38">
                  <c:v>4.441378000374305E-4</c:v>
                </c:pt>
                <c:pt idx="39">
                  <c:v>2.9609186669162034E-4</c:v>
                </c:pt>
                <c:pt idx="40">
                  <c:v>3.3240502015380015E-4</c:v>
                </c:pt>
                <c:pt idx="41">
                  <c:v>2.6815867172071275E-4</c:v>
                </c:pt>
                <c:pt idx="42">
                  <c:v>2.2067224027016985E-4</c:v>
                </c:pt>
                <c:pt idx="43">
                  <c:v>1.8994572580217152E-4</c:v>
                </c:pt>
                <c:pt idx="44">
                  <c:v>1.3687265535744712E-4</c:v>
                </c:pt>
                <c:pt idx="45">
                  <c:v>1.6201253083126396E-4</c:v>
                </c:pt>
                <c:pt idx="46">
                  <c:v>1.2290605787199335E-4</c:v>
                </c:pt>
                <c:pt idx="47">
                  <c:v>1.1173277988363031E-4</c:v>
                </c:pt>
                <c:pt idx="48">
                  <c:v>7.5419626421450455E-5</c:v>
                </c:pt>
                <c:pt idx="49">
                  <c:v>7.5419626421450455E-5</c:v>
                </c:pt>
                <c:pt idx="50">
                  <c:v>4.1899792456361368E-5</c:v>
                </c:pt>
                <c:pt idx="51">
                  <c:v>4.4693111953452125E-5</c:v>
                </c:pt>
                <c:pt idx="52">
                  <c:v>4.4693111953452125E-5</c:v>
                </c:pt>
                <c:pt idx="53">
                  <c:v>8.3799584912722734E-6</c:v>
                </c:pt>
                <c:pt idx="54">
                  <c:v>3.3519833965089093E-5</c:v>
                </c:pt>
                <c:pt idx="55">
                  <c:v>2.2346555976726062E-5</c:v>
                </c:pt>
                <c:pt idx="56">
                  <c:v>1.6759916982544547E-5</c:v>
                </c:pt>
                <c:pt idx="57">
                  <c:v>1.6759916982544547E-5</c:v>
                </c:pt>
                <c:pt idx="58">
                  <c:v>1.3966597485453789E-5</c:v>
                </c:pt>
                <c:pt idx="59">
                  <c:v>0</c:v>
                </c:pt>
                <c:pt idx="60">
                  <c:v>5.5866389941815156E-6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4587261099404822"/>
          <c:y val="7.8319845435987162E-2"/>
          <c:w val="0.20973013936638202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Social/Recreation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9.0458654827487248E-3</c:v>
                </c:pt>
                <c:pt idx="3">
                  <c:v>7.0349469762558556E-2</c:v>
                </c:pt>
                <c:pt idx="4">
                  <c:v>6.4179738367776892E-2</c:v>
                </c:pt>
                <c:pt idx="5">
                  <c:v>6.8090806328784809E-2</c:v>
                </c:pt>
                <c:pt idx="6">
                  <c:v>6.402709486524015E-2</c:v>
                </c:pt>
                <c:pt idx="7">
                  <c:v>7.7650731241653281E-2</c:v>
                </c:pt>
                <c:pt idx="8">
                  <c:v>7.7872662723931882E-2</c:v>
                </c:pt>
                <c:pt idx="9">
                  <c:v>7.4268601030542933E-2</c:v>
                </c:pt>
                <c:pt idx="10">
                  <c:v>4.8162901039659152E-2</c:v>
                </c:pt>
                <c:pt idx="11">
                  <c:v>3.8315478487688771E-2</c:v>
                </c:pt>
                <c:pt idx="12">
                  <c:v>4.1212298669455465E-2</c:v>
                </c:pt>
                <c:pt idx="13">
                  <c:v>3.9461426861789155E-2</c:v>
                </c:pt>
                <c:pt idx="14">
                  <c:v>2.9751755812949442E-2</c:v>
                </c:pt>
                <c:pt idx="15">
                  <c:v>2.0514111850715638E-2</c:v>
                </c:pt>
                <c:pt idx="16">
                  <c:v>3.1297179620258755E-2</c:v>
                </c:pt>
                <c:pt idx="17">
                  <c:v>2.5289050482877402E-2</c:v>
                </c:pt>
                <c:pt idx="18">
                  <c:v>2.4662793370306271E-2</c:v>
                </c:pt>
                <c:pt idx="19">
                  <c:v>1.7832940546839152E-2</c:v>
                </c:pt>
                <c:pt idx="20">
                  <c:v>1.3602302168083804E-2</c:v>
                </c:pt>
                <c:pt idx="21">
                  <c:v>1.1346022056165989E-2</c:v>
                </c:pt>
                <c:pt idx="22">
                  <c:v>1.1026105005035603E-2</c:v>
                </c:pt>
                <c:pt idx="23">
                  <c:v>8.7690071642084495E-3</c:v>
                </c:pt>
                <c:pt idx="24">
                  <c:v>7.099549776749336E-3</c:v>
                </c:pt>
                <c:pt idx="25">
                  <c:v>9.6267209439783261E-3</c:v>
                </c:pt>
                <c:pt idx="26">
                  <c:v>7.7710563496221864E-3</c:v>
                </c:pt>
                <c:pt idx="27">
                  <c:v>4.9467608434641012E-3</c:v>
                </c:pt>
                <c:pt idx="28">
                  <c:v>9.6451748719704952E-3</c:v>
                </c:pt>
                <c:pt idx="29">
                  <c:v>7.2867237660932159E-3</c:v>
                </c:pt>
                <c:pt idx="30">
                  <c:v>9.4421481125947556E-3</c:v>
                </c:pt>
                <c:pt idx="31">
                  <c:v>7.3075348691031324E-3</c:v>
                </c:pt>
                <c:pt idx="32">
                  <c:v>9.7336123323226733E-4</c:v>
                </c:pt>
                <c:pt idx="33">
                  <c:v>5.8977725950976733E-3</c:v>
                </c:pt>
                <c:pt idx="34">
                  <c:v>3.9879005751268029E-3</c:v>
                </c:pt>
                <c:pt idx="35">
                  <c:v>6.3163645607071583E-3</c:v>
                </c:pt>
                <c:pt idx="36">
                  <c:v>2.5048756737353316E-3</c:v>
                </c:pt>
                <c:pt idx="37">
                  <c:v>2.9894821100567258E-3</c:v>
                </c:pt>
                <c:pt idx="38">
                  <c:v>7.291465960352685E-3</c:v>
                </c:pt>
                <c:pt idx="39">
                  <c:v>4.1547065530788095E-3</c:v>
                </c:pt>
                <c:pt idx="40">
                  <c:v>2.300022098471952E-3</c:v>
                </c:pt>
                <c:pt idx="41">
                  <c:v>1.4336115319733382E-3</c:v>
                </c:pt>
                <c:pt idx="42">
                  <c:v>5.4086207725544198E-4</c:v>
                </c:pt>
                <c:pt idx="43">
                  <c:v>2.3703754095782286E-3</c:v>
                </c:pt>
                <c:pt idx="44">
                  <c:v>1.6078942399996208E-3</c:v>
                </c:pt>
                <c:pt idx="45">
                  <c:v>4.9071037754878607E-4</c:v>
                </c:pt>
                <c:pt idx="46">
                  <c:v>1.1191748900633376E-3</c:v>
                </c:pt>
                <c:pt idx="47">
                  <c:v>1.4860165497531737E-3</c:v>
                </c:pt>
                <c:pt idx="48">
                  <c:v>1.4117037491900653E-3</c:v>
                </c:pt>
                <c:pt idx="49">
                  <c:v>3.614224604482962E-3</c:v>
                </c:pt>
                <c:pt idx="50">
                  <c:v>2.7978573504415147E-3</c:v>
                </c:pt>
                <c:pt idx="51">
                  <c:v>1.7697443719098876E-3</c:v>
                </c:pt>
                <c:pt idx="52">
                  <c:v>3.0348500236379247E-4</c:v>
                </c:pt>
                <c:pt idx="53">
                  <c:v>1.4795971845671975E-3</c:v>
                </c:pt>
                <c:pt idx="54">
                  <c:v>5.221561229595004E-4</c:v>
                </c:pt>
                <c:pt idx="55">
                  <c:v>0</c:v>
                </c:pt>
                <c:pt idx="56">
                  <c:v>1.710780475069532E-3</c:v>
                </c:pt>
                <c:pt idx="57">
                  <c:v>0</c:v>
                </c:pt>
                <c:pt idx="58">
                  <c:v>1.8090546379474523E-4</c:v>
                </c:pt>
                <c:pt idx="59">
                  <c:v>2.1354443504032175E-3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5.5754657161931525E-3</c:v>
                </c:pt>
                <c:pt idx="1">
                  <c:v>4.6709888630351651E-2</c:v>
                </c:pt>
                <c:pt idx="2">
                  <c:v>1.8008530797744116E-2</c:v>
                </c:pt>
                <c:pt idx="3">
                  <c:v>2.7927608331913396E-2</c:v>
                </c:pt>
                <c:pt idx="4">
                  <c:v>4.335231859484856E-2</c:v>
                </c:pt>
                <c:pt idx="5">
                  <c:v>5.6045162389628964E-2</c:v>
                </c:pt>
                <c:pt idx="6">
                  <c:v>6.3196060302181306E-2</c:v>
                </c:pt>
                <c:pt idx="7">
                  <c:v>6.5215630298577923E-2</c:v>
                </c:pt>
                <c:pt idx="8">
                  <c:v>6.2461417274446436E-2</c:v>
                </c:pt>
                <c:pt idx="9">
                  <c:v>5.8154118609932484E-2</c:v>
                </c:pt>
                <c:pt idx="10">
                  <c:v>5.3352402394433472E-2</c:v>
                </c:pt>
                <c:pt idx="11">
                  <c:v>4.9022757173942798E-2</c:v>
                </c:pt>
                <c:pt idx="12">
                  <c:v>4.3723830087961629E-2</c:v>
                </c:pt>
                <c:pt idx="13">
                  <c:v>3.8355070014553197E-2</c:v>
                </c:pt>
                <c:pt idx="14">
                  <c:v>3.5058953007986102E-2</c:v>
                </c:pt>
                <c:pt idx="15">
                  <c:v>3.0514222186219436E-2</c:v>
                </c:pt>
                <c:pt idx="16">
                  <c:v>2.6550501819847652E-2</c:v>
                </c:pt>
                <c:pt idx="17">
                  <c:v>2.3198518423338744E-2</c:v>
                </c:pt>
                <c:pt idx="18">
                  <c:v>2.0787883697349418E-2</c:v>
                </c:pt>
                <c:pt idx="19">
                  <c:v>1.8056017229194657E-2</c:v>
                </c:pt>
                <c:pt idx="20">
                  <c:v>1.6511311547303471E-2</c:v>
                </c:pt>
                <c:pt idx="21">
                  <c:v>1.5391190428970076E-2</c:v>
                </c:pt>
                <c:pt idx="22">
                  <c:v>1.3287820847660734E-2</c:v>
                </c:pt>
                <c:pt idx="23">
                  <c:v>1.2474964874007325E-2</c:v>
                </c:pt>
                <c:pt idx="24">
                  <c:v>1.1472163174551742E-2</c:v>
                </c:pt>
                <c:pt idx="25">
                  <c:v>1.0586680893973972E-2</c:v>
                </c:pt>
                <c:pt idx="26">
                  <c:v>9.5224261655823938E-3</c:v>
                </c:pt>
                <c:pt idx="27">
                  <c:v>9.2263342988907725E-3</c:v>
                </c:pt>
                <c:pt idx="28">
                  <c:v>8.0503467906155642E-3</c:v>
                </c:pt>
                <c:pt idx="29">
                  <c:v>7.5419626421450456E-3</c:v>
                </c:pt>
                <c:pt idx="30">
                  <c:v>7.3436369578516025E-3</c:v>
                </c:pt>
                <c:pt idx="31">
                  <c:v>6.4330148018000152E-3</c:v>
                </c:pt>
                <c:pt idx="32">
                  <c:v>5.9358039313178604E-3</c:v>
                </c:pt>
                <c:pt idx="33">
                  <c:v>5.5978122721698784E-3</c:v>
                </c:pt>
                <c:pt idx="34">
                  <c:v>5.1760210281091741E-3</c:v>
                </c:pt>
                <c:pt idx="35">
                  <c:v>4.9525554683419138E-3</c:v>
                </c:pt>
                <c:pt idx="36">
                  <c:v>4.6452903236619304E-3</c:v>
                </c:pt>
                <c:pt idx="37">
                  <c:v>4.2151191211099535E-3</c:v>
                </c:pt>
                <c:pt idx="38">
                  <c:v>4.1033863412263229E-3</c:v>
                </c:pt>
                <c:pt idx="39">
                  <c:v>3.5251692053285362E-3</c:v>
                </c:pt>
                <c:pt idx="40">
                  <c:v>3.4078497864507245E-3</c:v>
                </c:pt>
                <c:pt idx="41">
                  <c:v>3.1620376707067379E-3</c:v>
                </c:pt>
                <c:pt idx="42">
                  <c:v>2.8799124015005712E-3</c:v>
                </c:pt>
                <c:pt idx="43">
                  <c:v>2.6313069662594938E-3</c:v>
                </c:pt>
                <c:pt idx="44">
                  <c:v>2.2681754316376951E-3</c:v>
                </c:pt>
                <c:pt idx="45">
                  <c:v>2.3463883775562363E-3</c:v>
                </c:pt>
                <c:pt idx="46">
                  <c:v>2.1843758467249724E-3</c:v>
                </c:pt>
                <c:pt idx="47">
                  <c:v>2.0502965108646163E-3</c:v>
                </c:pt>
                <c:pt idx="48">
                  <c:v>1.6871649762428176E-3</c:v>
                </c:pt>
                <c:pt idx="49">
                  <c:v>1.6676117397631824E-3</c:v>
                </c:pt>
                <c:pt idx="50">
                  <c:v>1.4944259309435555E-3</c:v>
                </c:pt>
                <c:pt idx="51">
                  <c:v>1.4860459724522831E-3</c:v>
                </c:pt>
                <c:pt idx="52">
                  <c:v>1.4273862630133772E-3</c:v>
                </c:pt>
                <c:pt idx="53">
                  <c:v>1.3240334416210191E-3</c:v>
                </c:pt>
                <c:pt idx="54">
                  <c:v>1.2039207032461165E-3</c:v>
                </c:pt>
                <c:pt idx="55">
                  <c:v>1.14246767431012E-3</c:v>
                </c:pt>
                <c:pt idx="56">
                  <c:v>1.083807964871214E-3</c:v>
                </c:pt>
                <c:pt idx="57">
                  <c:v>9.4693530951376692E-4</c:v>
                </c:pt>
                <c:pt idx="58">
                  <c:v>8.3520252963013657E-4</c:v>
                </c:pt>
                <c:pt idx="59">
                  <c:v>8.4078916862431806E-4</c:v>
                </c:pt>
                <c:pt idx="60">
                  <c:v>7.8212945918541214E-4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95250</xdr:colOff>
      <xdr:row>12</xdr:row>
      <xdr:rowOff>76200</xdr:rowOff>
    </xdr:from>
    <xdr:to>
      <xdr:col>17</xdr:col>
      <xdr:colOff>19050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19050</xdr:colOff>
      <xdr:row>19</xdr:row>
      <xdr:rowOff>114300</xdr:rowOff>
    </xdr:from>
    <xdr:to>
      <xdr:col>24</xdr:col>
      <xdr:colOff>581025</xdr:colOff>
      <xdr:row>34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E102"/>
  <sheetViews>
    <sheetView tabSelected="1" topLeftCell="I1" workbookViewId="0" zoomScaleNormal="100">
      <selection activeCell="AA26" sqref="AA26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customWidth="true" width="11.140625" collapsed="true"/>
    <col min="20" max="20" bestFit="true" customWidth="true" width="15.28515625" collapsed="true"/>
    <col min="21" max="21" bestFit="true" customWidth="true" width="14.28515625" collapsed="true"/>
    <col min="23" max="23" bestFit="true" customWidth="true" width="12.28515625" collapsed="true"/>
    <col min="25" max="25" bestFit="true" customWidth="true" width="14.28515625" collapsed="true"/>
    <col min="27" max="27" bestFit="true" customWidth="true" width="12.28515625" collapsed="true"/>
  </cols>
  <sheetData>
    <row r="1" spans="1:30" x14ac:dyDescent="0.25">
      <c r="A1" t="s">
        <v>1</v>
      </c>
    </row>
    <row r="2" spans="1:30" x14ac:dyDescent="0.25">
      <c r="A2" t="s">
        <v>19</v>
      </c>
    </row>
    <row r="3" spans="1:30" x14ac:dyDescent="0.25">
      <c r="A3" t="s">
        <v>20</v>
      </c>
    </row>
    <row r="4" spans="1:30" x14ac:dyDescent="0.25">
      <c r="A4" t="s">
        <v>4</v>
      </c>
    </row>
    <row r="5" spans="1:30" x14ac:dyDescent="0.25">
      <c r="A5" t="s">
        <v>6</v>
      </c>
    </row>
    <row r="7" spans="1:30" x14ac:dyDescent="0.25">
      <c r="A7" t="s">
        <v>9</v>
      </c>
      <c r="T7" t="s">
        <v>23</v>
      </c>
    </row>
    <row r="8" spans="1:30" x14ac:dyDescent="0.25">
      <c r="U8" t="s">
        <v>17</v>
      </c>
      <c r="Y8" t="s">
        <v>51</v>
      </c>
      <c r="AC8" t="s">
        <v>49</v>
      </c>
      <c r="AD8" t="s">
        <v>50</v>
      </c>
    </row>
    <row ht="15.75" r="9" spans="1:30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30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1540321.4097250002</v>
      </c>
      <c r="V10" s="6">
        <f>K11</f>
        <v>7.1673812593011483</v>
      </c>
      <c r="W10" s="373">
        <f>U10*V10</f>
        <v>11040070.805363292</v>
      </c>
      <c r="Y10" s="373">
        <f>F102</f>
        <v>1713780</v>
      </c>
      <c r="Z10" s="6">
        <f>L11</f>
        <v>7.8673873710626632</v>
      </c>
      <c r="AA10" s="373">
        <f>Y10*Z10</f>
        <v>13482971.128779771</v>
      </c>
      <c r="AC10" s="6">
        <f>V$19</f>
        <v>6.7651049101246619</v>
      </c>
      <c r="AD10" s="6">
        <f>Z$19</f>
        <v>7.0716820328476881</v>
      </c>
    </row>
    <row r="11" spans="1:30" x14ac:dyDescent="0.25">
      <c r="A11">
        <v>0</v>
      </c>
      <c r="B11" s="6" t="n">
        <v>99178.020948</v>
      </c>
      <c r="C11" s="9">
        <f>B11/B$102</f>
        <v>6.4387874064353007E-2</v>
      </c>
      <c r="E11" s="10">
        <v>0</v>
      </c>
      <c r="F11" s="100" t="n">
        <v>155530.0</v>
      </c>
      <c r="G11" s="9">
        <f>F11/F$102</f>
        <v>8.8573212431000484E-2</v>
      </c>
      <c r="K11" s="6" t="n">
        <v>7.167381259301148</v>
      </c>
      <c r="L11" s="6" t="n">
        <v>7.870174273591405</v>
      </c>
      <c r="S11" t="s">
        <v>42</v>
      </c>
      <c r="T11" t="s">
        <v>27</v>
      </c>
      <c r="U11" s="373">
        <f>TLFD_Work!B102</f>
        <v>725463.41351099999</v>
      </c>
      <c r="V11" s="6">
        <f>TLFD_Work!K11</f>
        <v>9.7146066689582096</v>
      </c>
      <c r="W11" s="373">
        <f ref="W11:W16" si="0" t="shared">U11*V11</f>
        <v>7047591.7149791475</v>
      </c>
      <c r="Y11" s="373">
        <f>TLFD_Work!F102</f>
        <v>852602</v>
      </c>
      <c r="Z11" s="6">
        <f>TLFD_Work!L11</f>
        <v>9.5190132413657302</v>
      </c>
      <c r="AA11" s="373">
        <f ref="AA11:AA16" si="1" t="shared">Y11*Z11</f>
        <v>8115929.7276149048</v>
      </c>
      <c r="AC11" s="6">
        <f ref="AC11:AC17" si="2" t="shared">V$19</f>
        <v>6.7651049101246619</v>
      </c>
      <c r="AD11" s="6">
        <f ref="AD11:AD17" si="3" t="shared">Z$19</f>
        <v>7.0716820328476881</v>
      </c>
    </row>
    <row r="12" spans="1:30" x14ac:dyDescent="0.25">
      <c r="A12">
        <v>1</v>
      </c>
      <c r="B12" s="6" t="n">
        <v>224137.244407</v>
      </c>
      <c r="C12" s="9">
        <f>B12/B$102</f>
        <v>0.14551329546670141</v>
      </c>
      <c r="E12" s="11">
        <v>1</v>
      </c>
      <c r="F12" s="101" t="n">
        <v>190817.0</v>
      </c>
      <c r="G12" s="9">
        <f>F12/F$102</f>
        <v>0.11201554458565277</v>
      </c>
      <c r="K12" s="6"/>
      <c r="L12" s="370"/>
      <c r="S12" t="s">
        <v>43</v>
      </c>
      <c r="T12" t="s">
        <v>28</v>
      </c>
      <c r="U12" s="373">
        <f>TLFD_School!B102</f>
        <v>233774.77809699997</v>
      </c>
      <c r="V12" s="6">
        <f>TLFD_School!K11</f>
        <v>5.0693394575390647</v>
      </c>
      <c r="W12" s="373">
        <f si="0" t="shared"/>
        <v>1185083.706784561</v>
      </c>
      <c r="Y12" s="373">
        <f>TLFD_School!F102</f>
        <v>226069</v>
      </c>
      <c r="Z12" s="6">
        <f>TLFD_School!L11</f>
        <v>5.4089845105804546</v>
      </c>
      <c r="AA12" s="373">
        <f si="1" t="shared"/>
        <v>1222803.7193224127</v>
      </c>
      <c r="AC12" s="6">
        <f si="2" t="shared"/>
        <v>6.7651049101246619</v>
      </c>
      <c r="AD12" s="6">
        <f si="3" t="shared"/>
        <v>7.0716820328476881</v>
      </c>
    </row>
    <row r="13" spans="1:30" x14ac:dyDescent="0.25">
      <c r="A13">
        <v>2</v>
      </c>
      <c r="B13" s="6" t="n">
        <v>207250.602881</v>
      </c>
      <c r="C13" s="9">
        <f ref="C13:C76" si="4" t="shared">B13/B$102</f>
        <v>0.13455023190127657</v>
      </c>
      <c r="E13" s="12">
        <v>2</v>
      </c>
      <c r="F13" s="102" t="n">
        <v>189610.0</v>
      </c>
      <c r="G13" s="9">
        <f ref="G13:G76" si="5" t="shared">F13/F$102</f>
        <v>0.11142678756899953</v>
      </c>
      <c r="S13" t="s">
        <v>44</v>
      </c>
      <c r="T13" t="s">
        <v>29</v>
      </c>
      <c r="U13" s="373">
        <f>TLFD_Escort!B102</f>
        <v>379672.78581499978</v>
      </c>
      <c r="V13" s="6">
        <f>TLFD_Escort!K11</f>
        <v>6.0788709411905471</v>
      </c>
      <c r="W13" s="373">
        <f si="0" t="shared"/>
        <v>2307981.8648516648</v>
      </c>
      <c r="Y13" s="373">
        <f>TLFD_Escort!F102</f>
        <v>400686</v>
      </c>
      <c r="Z13" s="6">
        <f>TLFD_Escort!L11</f>
        <v>6.4441335913790194</v>
      </c>
      <c r="AA13" s="373">
        <f si="1" t="shared"/>
        <v>2582074.1121952939</v>
      </c>
      <c r="AC13" s="6">
        <f si="2" t="shared"/>
        <v>6.7651049101246619</v>
      </c>
      <c r="AD13" s="6">
        <f si="3" t="shared"/>
        <v>7.0716820328476881</v>
      </c>
    </row>
    <row r="14" spans="1:30" x14ac:dyDescent="0.25">
      <c r="A14">
        <v>3</v>
      </c>
      <c r="B14" s="6" t="n">
        <v>170883.827577</v>
      </c>
      <c r="C14" s="9">
        <f si="4" t="shared"/>
        <v>0.11094037030070794</v>
      </c>
      <c r="E14" s="13">
        <v>3</v>
      </c>
      <c r="F14" s="103" t="n">
        <v>169525.0</v>
      </c>
      <c r="G14" s="9">
        <f si="5" t="shared"/>
        <v>9.9242026397787342E-2</v>
      </c>
      <c r="S14" t="s">
        <v>45</v>
      </c>
      <c r="T14" t="s">
        <v>30</v>
      </c>
      <c r="U14" s="373">
        <f>TLFD_PerBus!B102</f>
        <v>595838.58947100013</v>
      </c>
      <c r="V14" s="6">
        <f>TLFD_PerBus!K11</f>
        <v>5.8697969729583006</v>
      </c>
      <c r="W14" s="373">
        <f si="0" t="shared"/>
        <v>3497451.5488486202</v>
      </c>
      <c r="Y14" s="373">
        <f>TLFD_PerBus!F102</f>
        <v>655798</v>
      </c>
      <c r="Z14" s="6">
        <f>TLFD_PerBus!L11</f>
        <v>5.8315126103138288</v>
      </c>
      <c r="AA14" s="373">
        <f si="1" t="shared"/>
        <v>3824294.3068185882</v>
      </c>
      <c r="AC14" s="6">
        <f si="2" t="shared"/>
        <v>6.7651049101246619</v>
      </c>
      <c r="AD14" s="6">
        <f si="3" t="shared"/>
        <v>7.0716820328476881</v>
      </c>
    </row>
    <row r="15" spans="1:30" x14ac:dyDescent="0.25">
      <c r="A15">
        <v>4</v>
      </c>
      <c r="B15" s="6" t="n">
        <v>127707.262261</v>
      </c>
      <c r="C15" s="9">
        <f si="4" t="shared"/>
        <v>8.2909489834202904E-2</v>
      </c>
      <c r="E15" s="14">
        <v>4</v>
      </c>
      <c r="F15" s="104" t="n">
        <v>139310.0</v>
      </c>
      <c r="G15" s="9">
        <f si="5" t="shared"/>
        <v>8.1294565230076207E-2</v>
      </c>
      <c r="S15" t="s">
        <v>46</v>
      </c>
      <c r="T15" t="s">
        <v>31</v>
      </c>
      <c r="U15" s="373">
        <f>TLFD_Shop!B102</f>
        <v>421008.18684899987</v>
      </c>
      <c r="V15" s="6">
        <f>TLFD_Shop!K11</f>
        <v>4.6870559711519544</v>
      </c>
      <c r="W15" s="373">
        <f si="0" t="shared"/>
        <v>1973288.9360744625</v>
      </c>
      <c r="Y15" s="373">
        <f>TLFD_Shop!F102</f>
        <v>429816</v>
      </c>
      <c r="Z15" s="6">
        <f>TLFD_Shop!L11</f>
        <v>4.8007651452101072</v>
      </c>
      <c r="AA15" s="373">
        <f si="1" t="shared"/>
        <v>2063445.6716536274</v>
      </c>
      <c r="AC15" s="6">
        <f si="2" t="shared"/>
        <v>6.7651049101246619</v>
      </c>
      <c r="AD15" s="6">
        <f si="3" t="shared"/>
        <v>7.0716820328476881</v>
      </c>
    </row>
    <row r="16" spans="1:30" x14ac:dyDescent="0.25">
      <c r="A16">
        <v>5</v>
      </c>
      <c r="B16" s="6" t="n">
        <v>93135.608406</v>
      </c>
      <c r="C16" s="9">
        <f si="4" t="shared"/>
        <v>6.046504828016893E-2</v>
      </c>
      <c r="E16" s="15">
        <v>5</v>
      </c>
      <c r="F16" s="105" t="n">
        <v>115512.0</v>
      </c>
      <c r="G16" s="9">
        <f si="5" t="shared"/>
        <v>6.7627116666083162E-2</v>
      </c>
      <c r="S16" t="s">
        <v>34</v>
      </c>
      <c r="T16" t="s">
        <v>48</v>
      </c>
      <c r="U16" s="373">
        <f>TLFD_Meal!B102</f>
        <v>224997.18906499998</v>
      </c>
      <c r="V16" s="6">
        <f>TLFD_Meal!K11</f>
        <v>4.9412453615349561</v>
      </c>
      <c r="W16" s="373">
        <f si="0" t="shared"/>
        <v>1111766.3168258348</v>
      </c>
      <c r="Y16" s="373">
        <f>TLFD_Meal!F102</f>
        <v>261187</v>
      </c>
      <c r="Z16" s="6">
        <f>TLFD_Meal!L11</f>
        <v>5.0859418102839449</v>
      </c>
      <c r="AA16" s="373">
        <f si="1" t="shared"/>
        <v>1328381.8836026327</v>
      </c>
      <c r="AC16" s="6">
        <f si="2" t="shared"/>
        <v>6.7651049101246619</v>
      </c>
      <c r="AD16" s="6">
        <f si="3" t="shared"/>
        <v>7.0716820328476881</v>
      </c>
    </row>
    <row r="17" spans="1:30" x14ac:dyDescent="0.25">
      <c r="A17">
        <v>6</v>
      </c>
      <c r="B17" s="6" t="n">
        <v>101992.500463</v>
      </c>
      <c r="C17" s="9">
        <f si="4" t="shared"/>
        <v>6.621507681387688E-2</v>
      </c>
      <c r="E17" s="16">
        <v>6</v>
      </c>
      <c r="F17" s="106" t="n">
        <v>91889.0</v>
      </c>
      <c r="G17" s="9">
        <f si="5" t="shared"/>
        <v>5.3788117494660927E-2</v>
      </c>
      <c r="S17" t="s">
        <v>47</v>
      </c>
      <c r="T17" t="s">
        <v>32</v>
      </c>
      <c r="U17" s="373">
        <f>TLFD_SocRec!B102</f>
        <v>338167.08305399999</v>
      </c>
      <c r="V17" s="6">
        <f>TLFD_SocRec!K11</f>
        <v>5.9261083299559036</v>
      </c>
      <c r="W17" s="373">
        <f>U17*V17</f>
        <v>2004014.7678031991</v>
      </c>
      <c r="Y17" s="373">
        <f>TLFD_SocRec!F102</f>
        <v>357997</v>
      </c>
      <c r="Z17" s="6">
        <f>TLFD_SocRec!L11</f>
        <v>5.6333946585267709</v>
      </c>
      <c r="AA17" s="373">
        <f>Y17*Z17</f>
        <v>2016738.3875686084</v>
      </c>
      <c r="AC17" s="6">
        <f si="2" t="shared"/>
        <v>6.7651049101246619</v>
      </c>
      <c r="AD17" s="6">
        <f si="3" t="shared"/>
        <v>7.0716820328476881</v>
      </c>
    </row>
    <row r="18" spans="1:30" x14ac:dyDescent="0.25">
      <c r="A18">
        <v>7</v>
      </c>
      <c r="B18" s="6" t="n">
        <v>64739.931336</v>
      </c>
      <c r="C18" s="9">
        <f si="4" t="shared"/>
        <v>4.2030144440801019E-2</v>
      </c>
      <c r="E18" s="17">
        <v>7</v>
      </c>
      <c r="F18" s="107" t="n">
        <v>73657.0</v>
      </c>
      <c r="G18" s="9">
        <f si="5" t="shared"/>
        <v>4.3294355168107923E-2</v>
      </c>
      <c r="T18" s="375" t="s">
        <v>35</v>
      </c>
      <c r="U18" s="376">
        <f>SUM(U10:U15)+U17</f>
        <v>4234246.2465220001</v>
      </c>
      <c r="V18" s="377">
        <f>W18/U18</f>
        <v>6.8620202163657948</v>
      </c>
      <c r="W18" s="376">
        <f>SUM(W10:W15)+W17</f>
        <v>29055483.344704948</v>
      </c>
      <c r="X18" s="375"/>
      <c r="Y18" s="376">
        <f>SUM(Y10:Y15)+Y17</f>
        <v>4636748</v>
      </c>
      <c r="Z18" s="377">
        <f>AA18/Y18</f>
        <v>7.1835383449678973</v>
      </c>
      <c r="AA18" s="376">
        <f>SUM(AA10:AA15)+AA17</f>
        <v>33308257.053953208</v>
      </c>
      <c r="AB18" t="s">
        <v>38</v>
      </c>
    </row>
    <row r="19" spans="1:30" x14ac:dyDescent="0.25">
      <c r="A19">
        <v>8</v>
      </c>
      <c r="B19" s="6" t="n">
        <v>55935.394465</v>
      </c>
      <c r="C19" s="9">
        <f si="4" t="shared"/>
        <v>3.6314105687193149E-2</v>
      </c>
      <c r="E19" s="18">
        <v>8</v>
      </c>
      <c r="F19" s="108" t="n">
        <v>61307.0</v>
      </c>
      <c r="G19" s="9">
        <f si="5" t="shared"/>
        <v>3.6075225524863169E-2</v>
      </c>
      <c r="S19" s="375" t="s">
        <v>36</v>
      </c>
      <c r="U19" s="378">
        <f>U18+U16</f>
        <v>4459243.4355870001</v>
      </c>
      <c r="V19" s="377">
        <f>W19/U19</f>
        <v>6.7651049101246619</v>
      </c>
      <c r="W19" s="378">
        <f>W18+W16</f>
        <v>30167249.661530782</v>
      </c>
      <c r="X19" s="375"/>
      <c r="Y19" s="378">
        <f>Y18+Y16</f>
        <v>4897935</v>
      </c>
      <c r="Z19" s="377">
        <f>AA19/Y19</f>
        <v>7.0716820328476881</v>
      </c>
      <c r="AA19" s="378">
        <f>AA18+AA16</f>
        <v>34636638.937555842</v>
      </c>
      <c r="AB19" t="s">
        <v>37</v>
      </c>
    </row>
    <row r="20" spans="1:30" x14ac:dyDescent="0.25">
      <c r="A20">
        <v>9</v>
      </c>
      <c r="B20" s="6" t="n">
        <v>42726.335589</v>
      </c>
      <c r="C20" s="9">
        <f si="4" t="shared"/>
        <v>2.7738584505313153E-2</v>
      </c>
      <c r="E20" s="19">
        <v>9</v>
      </c>
      <c r="F20" s="109" t="n">
        <v>55522.0</v>
      </c>
      <c r="G20" s="9">
        <f si="5" t="shared"/>
        <v>3.2679807209793556E-2</v>
      </c>
    </row>
    <row r="21" spans="1:30" x14ac:dyDescent="0.25">
      <c r="A21">
        <v>10</v>
      </c>
      <c r="B21" s="6" t="n">
        <v>41234.978212</v>
      </c>
      <c r="C21" s="9">
        <f si="4" t="shared"/>
        <v>2.6770372697320261E-2</v>
      </c>
      <c r="E21" s="20">
        <v>10</v>
      </c>
      <c r="F21" s="110" t="n">
        <v>51342.0</v>
      </c>
      <c r="G21" s="9">
        <f si="5" t="shared"/>
        <v>2.984688816534211E-2</v>
      </c>
    </row>
    <row r="22" spans="1:30" x14ac:dyDescent="0.25">
      <c r="A22">
        <v>11</v>
      </c>
      <c r="B22" s="6" t="n">
        <v>39603.032949</v>
      </c>
      <c r="C22" s="9">
        <f si="4" t="shared"/>
        <v>2.5710889103379073E-2</v>
      </c>
      <c r="E22" s="21">
        <v>11</v>
      </c>
      <c r="F22" s="111" t="n">
        <v>47199.0</v>
      </c>
      <c r="G22" s="9">
        <f si="5" t="shared"/>
        <v>2.7123668148770555E-2</v>
      </c>
    </row>
    <row r="23" spans="1:30" x14ac:dyDescent="0.25">
      <c r="A23">
        <v>12</v>
      </c>
      <c r="B23" s="6" t="n">
        <v>34442.496222</v>
      </c>
      <c r="C23" s="9">
        <f si="4" t="shared"/>
        <v>2.2360590461538259E-2</v>
      </c>
      <c r="E23" s="22">
        <v>12</v>
      </c>
      <c r="F23" s="112" t="n">
        <v>43902.0</v>
      </c>
      <c r="G23" s="9">
        <f si="5" t="shared"/>
        <v>2.5449590962667318E-2</v>
      </c>
    </row>
    <row r="24" spans="1:30" x14ac:dyDescent="0.25">
      <c r="A24">
        <v>13</v>
      </c>
      <c r="B24" s="6" t="n">
        <v>27095.664702</v>
      </c>
      <c r="C24" s="9">
        <f si="4" t="shared"/>
        <v>1.7590916110708024E-2</v>
      </c>
      <c r="E24" s="23">
        <v>13</v>
      </c>
      <c r="F24" s="113" t="n">
        <v>36982.0</v>
      </c>
      <c r="G24" s="9">
        <f si="5" t="shared"/>
        <v>2.1320706275017798E-2</v>
      </c>
    </row>
    <row r="25" spans="1:30" x14ac:dyDescent="0.25">
      <c r="A25">
        <v>14</v>
      </c>
      <c r="B25" s="6" t="n">
        <v>23690.978946</v>
      </c>
      <c r="C25" s="9">
        <f si="4" t="shared"/>
        <v>1.5380542526010624E-2</v>
      </c>
      <c r="E25" s="24">
        <v>14</v>
      </c>
      <c r="F25" s="114" t="n">
        <v>31939.0</v>
      </c>
      <c r="G25" s="9">
        <f si="5" t="shared"/>
        <v>1.8903826628855511E-2</v>
      </c>
    </row>
    <row r="26" spans="1:30" x14ac:dyDescent="0.25">
      <c r="A26">
        <v>15</v>
      </c>
      <c r="B26" s="6" t="n">
        <v>23630.228384000002</v>
      </c>
      <c r="C26" s="9">
        <f si="4" t="shared"/>
        <v>1.5341102340594489E-2</v>
      </c>
      <c r="E26" s="25">
        <v>15</v>
      </c>
      <c r="F26" s="115" t="n">
        <v>28981.0</v>
      </c>
      <c r="G26" s="9">
        <f si="5" t="shared"/>
        <v>1.6796788385907174E-2</v>
      </c>
    </row>
    <row r="27" spans="1:30" x14ac:dyDescent="0.25">
      <c r="A27">
        <v>16</v>
      </c>
      <c r="B27" s="6" t="n">
        <v>15677.207025</v>
      </c>
      <c r="C27" s="9">
        <f si="4" t="shared"/>
        <v>1.0177880360566381E-2</v>
      </c>
      <c r="E27" s="26">
        <v>16</v>
      </c>
      <c r="F27" s="116" t="n">
        <v>25129.0</v>
      </c>
      <c r="G27" s="9">
        <f si="5" t="shared"/>
        <v>1.4559044918250883E-2</v>
      </c>
    </row>
    <row r="28" spans="1:30" x14ac:dyDescent="0.25">
      <c r="A28">
        <v>17</v>
      </c>
      <c r="B28" s="6" t="n">
        <v>13393.496128</v>
      </c>
      <c r="C28" s="9">
        <f si="4" t="shared"/>
        <v>8.6952606406939421E-3</v>
      </c>
      <c r="E28" s="27">
        <v>17</v>
      </c>
      <c r="F28" s="117" t="n">
        <v>22204.0</v>
      </c>
      <c r="G28" s="9">
        <f si="5" t="shared"/>
        <v>1.2743175903558217E-2</v>
      </c>
    </row>
    <row r="29" spans="1:30" x14ac:dyDescent="0.25">
      <c r="A29">
        <v>18</v>
      </c>
      <c r="B29" s="6" t="n">
        <v>14437.315718</v>
      </c>
      <c r="C29" s="9">
        <f si="4" t="shared"/>
        <v>9.3729241357344718E-3</v>
      </c>
      <c r="E29" s="28">
        <v>18</v>
      </c>
      <c r="F29" s="118" t="n">
        <v>20093.0</v>
      </c>
      <c r="G29" s="9">
        <f si="5" t="shared"/>
        <v>1.1581416517872773E-2</v>
      </c>
    </row>
    <row r="30" spans="1:30" x14ac:dyDescent="0.25">
      <c r="A30">
        <v>19</v>
      </c>
      <c r="B30" s="6" t="n">
        <v>12464.93998</v>
      </c>
      <c r="C30" s="9">
        <f si="4" t="shared"/>
        <v>8.092427918810409E-3</v>
      </c>
      <c r="E30" s="29">
        <v>19</v>
      </c>
      <c r="F30" s="119" t="n">
        <v>17586.0</v>
      </c>
      <c r="G30" s="9">
        <f si="5" t="shared"/>
        <v>1.0449415911027085E-2</v>
      </c>
    </row>
    <row r="31" spans="1:30" x14ac:dyDescent="0.25">
      <c r="A31">
        <v>20</v>
      </c>
      <c r="B31" s="6" t="n">
        <v>8748.110009</v>
      </c>
      <c r="C31" s="9">
        <f si="4" t="shared"/>
        <v>5.6794055797496417E-3</v>
      </c>
      <c r="E31" s="30">
        <v>20</v>
      </c>
      <c r="F31" s="120" t="n">
        <v>15435.0</v>
      </c>
      <c r="G31" s="9">
        <f si="5" t="shared"/>
        <v>9.1318605655334988E-3</v>
      </c>
    </row>
    <row r="32" spans="1:30" x14ac:dyDescent="0.25">
      <c r="A32">
        <v>21</v>
      </c>
      <c r="B32" s="6" t="n">
        <v>12026.8953</v>
      </c>
      <c r="C32" s="9">
        <f si="4" t="shared"/>
        <v>7.8080426747734492E-3</v>
      </c>
      <c r="E32" s="31">
        <v>21</v>
      </c>
      <c r="F32" s="121" t="n">
        <v>13908.0</v>
      </c>
      <c r="G32" s="9">
        <f si="5" t="shared"/>
        <v>8.0751321639883772E-3</v>
      </c>
    </row>
    <row r="33" spans="1:7" x14ac:dyDescent="0.25">
      <c r="A33">
        <v>22</v>
      </c>
      <c r="B33" s="6" t="n">
        <v>8289.055319</v>
      </c>
      <c r="C33" s="9">
        <f si="4" t="shared"/>
        <v>5.3813803188516854E-3</v>
      </c>
      <c r="E33" s="32">
        <v>22</v>
      </c>
      <c r="F33" s="122" t="n">
        <v>12499.0</v>
      </c>
      <c r="G33" s="9">
        <f si="5" t="shared"/>
        <v>7.1613626019675801E-3</v>
      </c>
    </row>
    <row r="34" spans="1:7" x14ac:dyDescent="0.25">
      <c r="A34">
        <v>23</v>
      </c>
      <c r="B34" s="6" t="n">
        <v>8837.985384</v>
      </c>
      <c r="C34" s="9">
        <f si="4" t="shared"/>
        <v>5.7377540350996492E-3</v>
      </c>
      <c r="E34" s="33">
        <v>23</v>
      </c>
      <c r="F34" s="123" t="n">
        <v>11135.0</v>
      </c>
      <c r="G34" s="9">
        <f si="5" t="shared"/>
        <v>6.5084199838952488E-3</v>
      </c>
    </row>
    <row r="35" spans="1:7" x14ac:dyDescent="0.25">
      <c r="A35">
        <v>24</v>
      </c>
      <c r="B35" s="6" t="n">
        <v>6774.198455</v>
      </c>
      <c r="C35" s="9">
        <f si="4" t="shared"/>
        <v>4.3979122878058446E-3</v>
      </c>
      <c r="E35" s="34">
        <v>24</v>
      </c>
      <c r="F35" s="124" t="n">
        <v>10239.0</v>
      </c>
      <c r="G35" s="9">
        <f si="5" t="shared"/>
        <v>5.847891794746117E-3</v>
      </c>
    </row>
    <row r="36" spans="1:7" x14ac:dyDescent="0.25">
      <c r="A36">
        <v>25</v>
      </c>
      <c r="B36" s="6" t="n">
        <v>6099.6279970000005</v>
      </c>
      <c r="C36" s="9">
        <f si="4" t="shared"/>
        <v>3.9599709245676145E-3</v>
      </c>
      <c r="E36" s="35">
        <v>25</v>
      </c>
      <c r="F36" s="125" t="n">
        <v>9187.0</v>
      </c>
      <c r="G36" s="9">
        <f si="5" t="shared"/>
        <v>5.4207657925754767E-3</v>
      </c>
    </row>
    <row r="37" spans="1:7" x14ac:dyDescent="0.25">
      <c r="A37">
        <v>26</v>
      </c>
      <c r="B37" s="6" t="n">
        <v>5652.436052</v>
      </c>
      <c r="C37" s="9">
        <f si="4" t="shared"/>
        <v>3.6696471374822689E-3</v>
      </c>
      <c r="E37" s="36">
        <v>26</v>
      </c>
      <c r="F37" s="126" t="n">
        <v>8736.0</v>
      </c>
      <c r="G37" s="9">
        <f si="5" t="shared"/>
        <v>5.0490728098122276E-3</v>
      </c>
    </row>
    <row r="38" spans="1:7" x14ac:dyDescent="0.25">
      <c r="A38">
        <v>27</v>
      </c>
      <c r="B38" s="6" t="n">
        <v>5767.636535</v>
      </c>
      <c r="C38" s="9">
        <f si="4" t="shared"/>
        <v>3.7444370367024369E-3</v>
      </c>
      <c r="E38" s="37">
        <v>27</v>
      </c>
      <c r="F38" s="127" t="n">
        <v>7849.0</v>
      </c>
      <c r="G38" s="9">
        <f si="5" t="shared"/>
        <v>4.6744622997117484E-3</v>
      </c>
    </row>
    <row r="39" spans="1:7" x14ac:dyDescent="0.25">
      <c r="A39">
        <v>28</v>
      </c>
      <c r="B39" s="6" t="n">
        <v>4134.036594</v>
      </c>
      <c r="C39" s="9">
        <f si="4" t="shared"/>
        <v>2.683879200729974E-3</v>
      </c>
      <c r="E39" s="38">
        <v>28</v>
      </c>
      <c r="F39" s="128" t="n">
        <v>7452.0</v>
      </c>
      <c r="G39" s="9">
        <f si="5" t="shared"/>
        <v>4.285847658392559E-3</v>
      </c>
    </row>
    <row r="40" spans="1:7" x14ac:dyDescent="0.25">
      <c r="A40">
        <v>29</v>
      </c>
      <c r="B40" s="6" t="n">
        <v>4883.87121</v>
      </c>
      <c r="C40" s="9">
        <f si="4" t="shared"/>
        <v>3.1706831958350419E-3</v>
      </c>
      <c r="E40" s="39">
        <v>29</v>
      </c>
      <c r="F40" s="129" t="n">
        <v>6600.0</v>
      </c>
      <c r="G40" s="9">
        <f si="5" t="shared"/>
        <v>3.9153216865642033E-3</v>
      </c>
    </row>
    <row r="41" spans="1:7" x14ac:dyDescent="0.25">
      <c r="A41">
        <v>30</v>
      </c>
      <c r="B41" s="6" t="n">
        <v>3677.987339</v>
      </c>
      <c r="C41" s="9">
        <f si="4" t="shared"/>
        <v>2.3878051137759915E-3</v>
      </c>
      <c r="E41" s="40">
        <v>30</v>
      </c>
      <c r="F41" s="130" t="n">
        <v>6326.0</v>
      </c>
      <c r="G41" s="9">
        <f si="5" t="shared"/>
        <v>3.6434081387342601E-3</v>
      </c>
    </row>
    <row r="42" spans="1:7" x14ac:dyDescent="0.25">
      <c r="A42">
        <v>31</v>
      </c>
      <c r="B42" s="6" t="n">
        <v>6336.512776</v>
      </c>
      <c r="C42" s="9">
        <f si="4" t="shared"/>
        <v>4.1137601126581E-3</v>
      </c>
      <c r="E42" s="41">
        <v>31</v>
      </c>
      <c r="F42" s="131" t="n">
        <v>5595.0</v>
      </c>
      <c r="G42" s="9">
        <f si="5" t="shared"/>
        <v>3.189440885061093E-3</v>
      </c>
    </row>
    <row r="43" spans="1:7" x14ac:dyDescent="0.25">
      <c r="A43">
        <v>32</v>
      </c>
      <c r="B43" s="6" t="n">
        <v>3642.931809</v>
      </c>
      <c r="C43" s="9">
        <f si="4" t="shared"/>
        <v>2.3650465324963495E-3</v>
      </c>
      <c r="E43" s="42">
        <v>32</v>
      </c>
      <c r="F43" s="132" t="n">
        <v>4713.0</v>
      </c>
      <c r="G43" s="9">
        <f si="5" t="shared"/>
        <v>2.6660364807618245E-3</v>
      </c>
    </row>
    <row r="44" spans="1:7" x14ac:dyDescent="0.25">
      <c r="A44">
        <v>33</v>
      </c>
      <c r="B44" s="6" t="n">
        <v>2060.695094</v>
      </c>
      <c r="C44" s="9">
        <f si="4" t="shared"/>
        <v>1.337834481160594E-3</v>
      </c>
      <c r="E44" s="43">
        <v>33</v>
      </c>
      <c r="F44" s="133" t="n">
        <v>3864.0</v>
      </c>
      <c r="G44" s="9">
        <f si="5" t="shared"/>
        <v>2.4127951078901609E-3</v>
      </c>
    </row>
    <row r="45" spans="1:7" x14ac:dyDescent="0.25">
      <c r="A45">
        <v>34</v>
      </c>
      <c r="B45" s="6" t="n">
        <v>2421.277432</v>
      </c>
      <c r="C45" s="9">
        <f si="4" t="shared"/>
        <v>1.5719299989683845E-3</v>
      </c>
      <c r="E45" s="44">
        <v>34</v>
      </c>
      <c r="F45" s="134" t="n">
        <v>3404.0</v>
      </c>
      <c r="G45" s="9">
        <f si="5" t="shared"/>
        <v>1.8923082309281237E-3</v>
      </c>
    </row>
    <row r="46" spans="1:7" x14ac:dyDescent="0.25">
      <c r="A46">
        <v>35</v>
      </c>
      <c r="B46" s="6" t="n">
        <v>2001.9670310000001</v>
      </c>
      <c r="C46" s="9">
        <f si="4" t="shared"/>
        <v>1.2997073327425991E-3</v>
      </c>
      <c r="E46" s="45">
        <v>35</v>
      </c>
      <c r="F46" s="135" t="n">
        <v>2830.0</v>
      </c>
      <c r="G46" s="9">
        <f si="5" t="shared"/>
        <v>1.6717431642334489E-3</v>
      </c>
    </row>
    <row r="47" spans="1:7" x14ac:dyDescent="0.25">
      <c r="A47">
        <v>36</v>
      </c>
      <c r="B47" s="6" t="n">
        <v>3978.93282</v>
      </c>
      <c r="C47" s="9">
        <f si="4" t="shared"/>
        <v>2.5831834803298455E-3</v>
      </c>
      <c r="E47" s="46">
        <v>36</v>
      </c>
      <c r="F47" s="136" t="n">
        <v>2371.0</v>
      </c>
      <c r="G47" s="9">
        <f si="5" t="shared"/>
        <v>1.4313389116456022E-3</v>
      </c>
    </row>
    <row r="48" spans="1:7" x14ac:dyDescent="0.25">
      <c r="A48">
        <v>37</v>
      </c>
      <c r="B48" s="6" t="n">
        <v>1161.728808</v>
      </c>
      <c r="C48" s="9">
        <f si="4" t="shared"/>
        <v>7.5421194606871574E-4</v>
      </c>
      <c r="E48" s="47">
        <v>37</v>
      </c>
      <c r="F48" s="137" t="n">
        <v>1921.0</v>
      </c>
      <c r="G48" s="9">
        <f si="5" t="shared"/>
        <v>1.1839325934484006E-3</v>
      </c>
    </row>
    <row r="49" spans="1:7" x14ac:dyDescent="0.25">
      <c r="A49">
        <v>38</v>
      </c>
      <c r="B49" s="6" t="n">
        <v>558.220561</v>
      </c>
      <c r="C49" s="9">
        <f si="4" t="shared"/>
        <v>3.6240524703195636E-4</v>
      </c>
      <c r="E49" s="48">
        <v>38</v>
      </c>
      <c r="F49" s="138" t="n">
        <v>1725.0</v>
      </c>
      <c r="G49" s="9">
        <f si="5" t="shared"/>
        <v>1.0543943796753376E-3</v>
      </c>
    </row>
    <row r="50" spans="1:7" x14ac:dyDescent="0.25">
      <c r="A50">
        <v>39</v>
      </c>
      <c r="B50" s="6" t="n">
        <v>1155.072308</v>
      </c>
      <c r="C50" s="9">
        <f si="4" t="shared"/>
        <v>7.498904454014048E-4</v>
      </c>
      <c r="E50" s="49">
        <v>39</v>
      </c>
      <c r="F50" s="139" t="n">
        <v>1518.0</v>
      </c>
      <c r="G50" s="9">
        <f si="5" t="shared"/>
        <v>8.939303761276243E-4</v>
      </c>
    </row>
    <row r="51" spans="1:7" x14ac:dyDescent="0.25">
      <c r="A51">
        <v>40</v>
      </c>
      <c r="B51" s="6" t="n">
        <v>1642.9488489999999</v>
      </c>
      <c r="C51" s="9">
        <f si="4" t="shared"/>
        <v>1.0666272887119852E-3</v>
      </c>
      <c r="E51" s="50">
        <v>40</v>
      </c>
      <c r="F51" s="140" t="n">
        <v>1389.0</v>
      </c>
      <c r="G51" s="9">
        <f si="5" t="shared"/>
        <v>7.7606227170348588E-4</v>
      </c>
    </row>
    <row r="52" spans="1:7" x14ac:dyDescent="0.25">
      <c r="A52">
        <v>41</v>
      </c>
      <c r="B52" s="6" t="n">
        <v>1169.955578</v>
      </c>
      <c r="C52" s="9">
        <f si="4" t="shared"/>
        <v>7.5955288981465038E-4</v>
      </c>
      <c r="E52" s="51">
        <v>41</v>
      </c>
      <c r="F52" s="141" t="n">
        <v>1125.0</v>
      </c>
      <c r="G52" s="9">
        <f si="5" t="shared"/>
        <v>6.47107563397869E-4</v>
      </c>
    </row>
    <row r="53" spans="1:7" x14ac:dyDescent="0.25">
      <c r="A53">
        <v>42</v>
      </c>
      <c r="B53" s="6" t="n">
        <v>458.50397899999996</v>
      </c>
      <c r="C53" s="9">
        <f si="4" t="shared"/>
        <v>2.976677309717188E-4</v>
      </c>
      <c r="E53" s="52">
        <v>42</v>
      </c>
      <c r="F53" s="142" t="n">
        <v>1013.0</v>
      </c>
      <c r="G53" s="9">
        <f si="5" t="shared"/>
        <v>5.9284155492536964E-4</v>
      </c>
    </row>
    <row r="54" spans="1:7" x14ac:dyDescent="0.25">
      <c r="A54">
        <v>43</v>
      </c>
      <c r="B54" s="6" t="n">
        <v>1271.2687660000001</v>
      </c>
      <c r="C54" s="9">
        <f si="4" t="shared"/>
        <v>8.2532694668378652E-4</v>
      </c>
      <c r="E54" s="53">
        <v>43</v>
      </c>
      <c r="F54" s="143" t="n">
        <v>848.0</v>
      </c>
      <c r="G54" s="9">
        <f si="5" t="shared"/>
        <v>4.6213633021741416E-4</v>
      </c>
    </row>
    <row r="55" spans="1:7" x14ac:dyDescent="0.25">
      <c r="A55">
        <v>44</v>
      </c>
      <c r="B55" s="6" t="n">
        <v>438.268148</v>
      </c>
      <c r="C55" s="9">
        <f si="4" t="shared"/>
        <v>2.8453032284881752E-4</v>
      </c>
      <c r="E55" s="54">
        <v>44</v>
      </c>
      <c r="F55" s="144" t="n">
        <v>717.0</v>
      </c>
      <c r="G55" s="9">
        <f si="5" t="shared"/>
        <v>3.9970124520066752E-4</v>
      </c>
    </row>
    <row r="56" spans="1:7" x14ac:dyDescent="0.25">
      <c r="A56">
        <v>45</v>
      </c>
      <c r="B56" s="6" t="n">
        <v>603.464442</v>
      </c>
      <c r="C56" s="9">
        <f si="4" t="shared"/>
        <v>3.9177826016697316E-4</v>
      </c>
      <c r="E56" s="55">
        <v>45</v>
      </c>
      <c r="F56" s="145" t="n">
        <v>657.0</v>
      </c>
      <c r="G56" s="9">
        <f si="5" t="shared"/>
        <v>3.5418781873986161E-4</v>
      </c>
    </row>
    <row r="57" spans="1:7" x14ac:dyDescent="0.25">
      <c r="A57">
        <v>46</v>
      </c>
      <c r="B57" s="6" t="n">
        <v>487.216829</v>
      </c>
      <c r="C57" s="9">
        <f si="4" t="shared"/>
        <v>3.1630854828342925E-4</v>
      </c>
      <c r="E57" s="56">
        <v>46</v>
      </c>
      <c r="F57" s="146" t="n">
        <v>558.0</v>
      </c>
      <c r="G57" s="9">
        <f si="5" t="shared"/>
        <v>3.1217542508373301E-4</v>
      </c>
    </row>
    <row r="58" spans="1:7" x14ac:dyDescent="0.25">
      <c r="A58">
        <v>47</v>
      </c>
      <c r="B58" s="6" t="n">
        <v>20.848398</v>
      </c>
      <c r="C58" s="9">
        <f si="4" t="shared"/>
        <v>1.3535095901654804E-5</v>
      </c>
      <c r="E58" s="57">
        <v>47</v>
      </c>
      <c r="F58" s="147" t="n">
        <v>463.0</v>
      </c>
      <c r="G58" s="9">
        <f si="5" t="shared"/>
        <v>2.5440838380655627E-4</v>
      </c>
    </row>
    <row r="59" spans="1:7" x14ac:dyDescent="0.25">
      <c r="A59">
        <v>48</v>
      </c>
      <c r="B59" s="6" t="n">
        <v>871.882284</v>
      </c>
      <c r="C59" s="9">
        <f si="4" t="shared"/>
        <v>5.6603919058403581E-4</v>
      </c>
      <c r="E59" s="58">
        <v>48</v>
      </c>
      <c r="F59" s="148" t="n">
        <v>388.0</v>
      </c>
      <c r="G59" s="9">
        <f si="5" t="shared"/>
        <v>2.0539392454107296E-4</v>
      </c>
    </row>
    <row r="60" spans="1:7" x14ac:dyDescent="0.25">
      <c r="A60">
        <v>49</v>
      </c>
      <c r="B60" s="6" t="n">
        <v>73.132648</v>
      </c>
      <c r="C60" s="9">
        <f si="4" t="shared"/>
        <v>4.7478823275628343E-5</v>
      </c>
      <c r="E60" s="59">
        <v>49</v>
      </c>
      <c r="F60" s="149" t="n">
        <v>332.0</v>
      </c>
      <c r="G60" s="9">
        <f si="5" t="shared"/>
        <v>1.7680215663620769E-4</v>
      </c>
    </row>
    <row r="61" spans="1:7" x14ac:dyDescent="0.25">
      <c r="A61">
        <v>50</v>
      </c>
      <c r="B61" s="6" t="n">
        <v>288.781469</v>
      </c>
      <c r="C61" s="9">
        <f si="4" t="shared"/>
        <v>1.8748130563968292E-4</v>
      </c>
      <c r="E61" s="60">
        <v>50</v>
      </c>
      <c r="F61" s="150" t="n">
        <v>276.0</v>
      </c>
      <c r="G61" s="9">
        <f si="5" t="shared"/>
        <v>1.5988049808026702E-4</v>
      </c>
    </row>
    <row r="62" spans="1:7" x14ac:dyDescent="0.25">
      <c r="A62">
        <v>51</v>
      </c>
      <c r="B62" s="6" t="n">
        <v>221.438194</v>
      </c>
      <c r="C62" s="9">
        <f si="4" t="shared"/>
        <v>1.4376103104321212E-4</v>
      </c>
      <c r="E62" s="61">
        <v>51</v>
      </c>
      <c r="F62" s="151" t="n">
        <v>239.0</v>
      </c>
      <c r="G62" s="9">
        <f si="5" t="shared"/>
        <v>1.2428666456604698E-4</v>
      </c>
    </row>
    <row r="63" spans="1:7" x14ac:dyDescent="0.25">
      <c r="A63">
        <v>52</v>
      </c>
      <c r="B63" s="6" t="n">
        <v>373.052908</v>
      </c>
      <c r="C63" s="9">
        <f si="4" t="shared"/>
        <v>2.4219160082089794E-4</v>
      </c>
      <c r="E63" s="62">
        <v>52</v>
      </c>
      <c r="F63" s="152" t="n">
        <v>197.0</v>
      </c>
      <c r="G63" s="9">
        <f si="5" t="shared"/>
        <v>1.1028253334733746E-4</v>
      </c>
    </row>
    <row r="64" spans="1:7" x14ac:dyDescent="0.25">
      <c r="A64">
        <v>53</v>
      </c>
      <c r="B64" s="6" t="n">
        <v>73.667099</v>
      </c>
      <c r="C64" s="9">
        <f si="4" t="shared"/>
        <v>4.7825796963474059E-5</v>
      </c>
      <c r="E64" s="63">
        <v>53</v>
      </c>
      <c r="F64" s="153" t="n">
        <v>163.0</v>
      </c>
      <c r="G64" s="9">
        <f si="5" t="shared"/>
        <v>8.0523754507579734E-5</v>
      </c>
    </row>
    <row r="65" spans="1:7" x14ac:dyDescent="0.25">
      <c r="A65">
        <v>54</v>
      </c>
      <c r="B65" s="6" t="n">
        <v>0.0</v>
      </c>
      <c r="C65" s="9">
        <f si="4" t="shared"/>
        <v>0</v>
      </c>
      <c r="E65" s="64">
        <v>54</v>
      </c>
      <c r="F65" s="154" t="n">
        <v>108.0</v>
      </c>
      <c r="G65" s="9">
        <f si="5" t="shared"/>
        <v>8.2274270909918432E-5</v>
      </c>
    </row>
    <row r="66" spans="1:7" x14ac:dyDescent="0.25">
      <c r="A66">
        <v>55</v>
      </c>
      <c r="B66" s="6" t="n">
        <v>367.396103</v>
      </c>
      <c r="C66" s="9">
        <f si="4" t="shared"/>
        <v>2.3851911729617047E-4</v>
      </c>
      <c r="E66" s="65">
        <v>55</v>
      </c>
      <c r="F66" s="155" t="n">
        <v>112.0</v>
      </c>
      <c r="G66" s="9">
        <f si="5" t="shared"/>
        <v>6.5936117821423991E-5</v>
      </c>
    </row>
    <row r="67" spans="1:7" x14ac:dyDescent="0.25">
      <c r="A67">
        <v>56</v>
      </c>
      <c r="B67" s="6" t="n">
        <v>267.485589</v>
      </c>
      <c r="C67" s="9">
        <f si="4" t="shared"/>
        <v>1.7365569764284149E-4</v>
      </c>
      <c r="E67" s="66">
        <v>56</v>
      </c>
      <c r="F67" s="156" t="n">
        <v>82.0</v>
      </c>
      <c r="G67" s="9">
        <f si="5" t="shared"/>
        <v>7.0604161560993821E-5</v>
      </c>
    </row>
    <row r="68" spans="1:7" x14ac:dyDescent="0.25">
      <c r="A68">
        <v>57</v>
      </c>
      <c r="B68" s="6" t="n">
        <v>0.0</v>
      </c>
      <c r="C68" s="9">
        <f si="4" t="shared"/>
        <v>0</v>
      </c>
      <c r="E68" s="67">
        <v>57</v>
      </c>
      <c r="F68" s="157" t="n">
        <v>71.0</v>
      </c>
      <c r="G68" s="9">
        <f si="5" t="shared"/>
        <v>4.317940459102102E-5</v>
      </c>
    </row>
    <row r="69" spans="1:7" x14ac:dyDescent="0.25">
      <c r="A69">
        <v>58</v>
      </c>
      <c r="B69" s="6" t="n">
        <v>60.463179</v>
      </c>
      <c r="C69" s="9">
        <f si="4" t="shared"/>
        <v>3.9253612017763703E-5</v>
      </c>
      <c r="E69" s="68">
        <v>58</v>
      </c>
      <c r="F69" s="158" t="n">
        <v>83.0</v>
      </c>
      <c r="G69" s="9">
        <f si="5" t="shared"/>
        <v>3.8511360851451175E-5</v>
      </c>
    </row>
    <row r="70" spans="1:7" x14ac:dyDescent="0.25">
      <c r="A70">
        <v>59</v>
      </c>
      <c r="B70" s="6" t="n">
        <v>0.0</v>
      </c>
      <c r="C70" s="9">
        <f si="4" t="shared"/>
        <v>0</v>
      </c>
      <c r="E70" s="69">
        <v>59</v>
      </c>
      <c r="F70" s="159" t="n">
        <v>55.0</v>
      </c>
      <c r="G70" s="9">
        <f si="5" t="shared"/>
        <v>3.3843317111881338E-5</v>
      </c>
    </row>
    <row r="71" spans="1:7" x14ac:dyDescent="0.25">
      <c r="A71">
        <v>60</v>
      </c>
      <c r="B71" s="6" t="n">
        <v>0.0</v>
      </c>
      <c r="C71" s="9">
        <f si="4" t="shared"/>
        <v>0</v>
      </c>
      <c r="E71" s="70">
        <v>60</v>
      </c>
      <c r="F71" s="160" t="n">
        <v>30.0</v>
      </c>
      <c r="G71" s="9">
        <f si="5" t="shared"/>
        <v>1.808866949083313E-5</v>
      </c>
    </row>
    <row r="72" spans="1:7" x14ac:dyDescent="0.25">
      <c r="A72">
        <v>61</v>
      </c>
      <c r="B72" s="6" t="n">
        <v>0.0</v>
      </c>
      <c r="C72" s="9">
        <f si="4" t="shared"/>
        <v>0</v>
      </c>
      <c r="E72" s="71">
        <v>61</v>
      </c>
      <c r="F72" s="161" t="n">
        <v>25.0</v>
      </c>
      <c r="G72" s="9">
        <f si="5" t="shared"/>
        <v>1.400413121870952E-5</v>
      </c>
    </row>
    <row r="73" spans="1:7" x14ac:dyDescent="0.25">
      <c r="A73">
        <v>62</v>
      </c>
      <c r="B73" s="6" t="n">
        <v>0.0</v>
      </c>
      <c r="C73" s="9">
        <f si="4" t="shared"/>
        <v>0</v>
      </c>
      <c r="E73" s="72">
        <v>62</v>
      </c>
      <c r="F73" s="162" t="n">
        <v>25.0</v>
      </c>
      <c r="G73" s="9">
        <f si="5" t="shared"/>
        <v>1.7505164023386899E-5</v>
      </c>
    </row>
    <row r="74" spans="1:7" x14ac:dyDescent="0.25">
      <c r="A74">
        <v>63</v>
      </c>
      <c r="B74" s="6" t="n">
        <v>65.389831</v>
      </c>
      <c r="C74" s="9">
        <f si="4" t="shared"/>
        <v>4.2452069150732842E-5</v>
      </c>
      <c r="E74" s="73">
        <v>63</v>
      </c>
      <c r="F74" s="163" t="n">
        <v>21.0</v>
      </c>
      <c r="G74" s="9">
        <f si="5" t="shared"/>
        <v>1.050309841403214E-5</v>
      </c>
    </row>
    <row r="75" spans="1:7" x14ac:dyDescent="0.25">
      <c r="A75">
        <v>64</v>
      </c>
      <c r="B75" s="6" t="n">
        <v>0.0</v>
      </c>
      <c r="C75" s="9">
        <f si="4" t="shared"/>
        <v>0</v>
      </c>
      <c r="E75" s="74">
        <v>64</v>
      </c>
      <c r="F75" s="164" t="n">
        <v>14.0</v>
      </c>
      <c r="G75" s="9">
        <f si="5" t="shared"/>
        <v>8.1690765442472192E-6</v>
      </c>
    </row>
    <row r="76" spans="1:7" x14ac:dyDescent="0.25">
      <c r="A76">
        <v>65</v>
      </c>
      <c r="B76" s="6" t="n">
        <v>0.0</v>
      </c>
      <c r="C76" s="9">
        <f si="4" t="shared"/>
        <v>0</v>
      </c>
      <c r="E76" s="75">
        <v>65</v>
      </c>
      <c r="F76" s="165" t="n">
        <v>8.0</v>
      </c>
      <c r="G76" s="9">
        <f si="5" t="shared"/>
        <v>5.8350546744622995E-6</v>
      </c>
    </row>
    <row r="77" spans="1:7" x14ac:dyDescent="0.25">
      <c r="A77">
        <v>66</v>
      </c>
      <c r="B77" s="6" t="n">
        <v>0.0</v>
      </c>
      <c r="C77" s="9">
        <f ref="C77:C102" si="6" t="shared">B77/B$102</f>
        <v>0</v>
      </c>
      <c r="E77" s="76">
        <v>66</v>
      </c>
      <c r="F77" s="166" t="n">
        <v>14.0</v>
      </c>
      <c r="G77" s="9">
        <f ref="G77:G102" si="7" t="shared">F77/F$102</f>
        <v>2.3340218697849201E-6</v>
      </c>
    </row>
    <row r="78" spans="1:7" x14ac:dyDescent="0.25">
      <c r="A78">
        <v>67</v>
      </c>
      <c r="B78" s="6" t="n">
        <v>0.0</v>
      </c>
      <c r="C78" s="9">
        <f si="6" t="shared"/>
        <v>0</v>
      </c>
      <c r="E78" s="77">
        <v>67</v>
      </c>
      <c r="F78" s="167" t="n">
        <v>8.0</v>
      </c>
      <c r="G78" s="9">
        <f si="7" t="shared"/>
        <v>7.5855710768009895E-6</v>
      </c>
    </row>
    <row r="79" spans="1:7" x14ac:dyDescent="0.25">
      <c r="A79">
        <v>68</v>
      </c>
      <c r="B79" s="6" t="n">
        <v>0.0</v>
      </c>
      <c r="C79" s="9">
        <f si="6" t="shared"/>
        <v>0</v>
      </c>
      <c r="E79" s="78">
        <v>68</v>
      </c>
      <c r="F79" s="168" t="n">
        <v>9.0</v>
      </c>
      <c r="G79" s="9">
        <f si="7" t="shared"/>
        <v>2.9175273372311498E-6</v>
      </c>
    </row>
    <row r="80" spans="1:7" x14ac:dyDescent="0.25">
      <c r="A80">
        <v>69</v>
      </c>
      <c r="B80" s="6" t="n">
        <v>0.0</v>
      </c>
      <c r="C80" s="9">
        <f si="6" t="shared"/>
        <v>0</v>
      </c>
      <c r="E80" s="79">
        <v>69</v>
      </c>
      <c r="F80" s="169" t="n">
        <v>4.0</v>
      </c>
      <c r="G80" s="9">
        <f si="7" t="shared"/>
        <v>1.16701093489246E-6</v>
      </c>
    </row>
    <row r="81" spans="1:7" x14ac:dyDescent="0.25">
      <c r="A81">
        <v>70</v>
      </c>
      <c r="B81" s="6" t="n">
        <v>0.0</v>
      </c>
      <c r="C81" s="9">
        <f si="6" t="shared"/>
        <v>0</v>
      </c>
      <c r="E81" s="80">
        <v>70</v>
      </c>
      <c r="F81" s="170" t="n">
        <v>2.0</v>
      </c>
      <c r="G81" s="9">
        <f si="7" t="shared"/>
        <v>4.0845382721236096E-6</v>
      </c>
    </row>
    <row r="82" spans="1:7" x14ac:dyDescent="0.25">
      <c r="A82">
        <v>71</v>
      </c>
      <c r="B82" s="6" t="n">
        <v>0.0</v>
      </c>
      <c r="C82" s="9">
        <f si="6" t="shared"/>
        <v>0</v>
      </c>
      <c r="E82" s="81">
        <v>71</v>
      </c>
      <c r="F82" s="171" t="n">
        <v>2.0</v>
      </c>
      <c r="G82" s="9">
        <f si="7" t="shared"/>
        <v>1.7505164023386899E-6</v>
      </c>
    </row>
    <row r="83" spans="1:7" x14ac:dyDescent="0.25">
      <c r="A83">
        <v>72</v>
      </c>
      <c r="B83" s="6" t="n">
        <v>0.0</v>
      </c>
      <c r="C83" s="9">
        <f si="6" t="shared"/>
        <v>0</v>
      </c>
      <c r="E83" s="82">
        <v>72</v>
      </c>
      <c r="F83" s="172" t="n">
        <v>4.0</v>
      </c>
      <c r="G83" s="9">
        <f si="7" t="shared"/>
        <v>1.16701093489246E-6</v>
      </c>
    </row>
    <row r="84" spans="1:7" x14ac:dyDescent="0.25">
      <c r="A84">
        <v>73</v>
      </c>
      <c r="B84" s="6" t="n">
        <v>0.0</v>
      </c>
      <c r="C84" s="9">
        <f si="6" t="shared"/>
        <v>0</v>
      </c>
      <c r="E84" s="83">
        <v>73</v>
      </c>
      <c r="F84" s="173" t="n">
        <v>1.0</v>
      </c>
      <c r="G84" s="9">
        <f si="7" t="shared"/>
        <v>1.16701093489246E-6</v>
      </c>
    </row>
    <row r="85" spans="1:7" x14ac:dyDescent="0.25">
      <c r="A85">
        <v>74</v>
      </c>
      <c r="B85" s="6" t="n">
        <v>0.0</v>
      </c>
      <c r="C85" s="9">
        <f si="6" t="shared"/>
        <v>0</v>
      </c>
      <c r="E85" s="84">
        <v>74</v>
      </c>
      <c r="F85" s="174" t="n">
        <v>0.0</v>
      </c>
      <c r="G85" s="9">
        <f si="7" t="shared"/>
        <v>1.16701093489246E-6</v>
      </c>
    </row>
    <row r="86" spans="1:7" x14ac:dyDescent="0.25">
      <c r="A86">
        <v>75</v>
      </c>
      <c r="B86" s="6" t="n">
        <v>0.0</v>
      </c>
      <c r="C86" s="9">
        <f si="6" t="shared"/>
        <v>0</v>
      </c>
      <c r="E86" s="85">
        <v>75</v>
      </c>
      <c r="F86" s="175" t="n">
        <v>1.0</v>
      </c>
      <c r="G86" s="9">
        <f si="7" t="shared"/>
        <v>5.8350546744623002E-7</v>
      </c>
    </row>
    <row r="87" spans="1:7" x14ac:dyDescent="0.25">
      <c r="A87">
        <v>76</v>
      </c>
      <c r="B87" s="6" t="n">
        <v>0.0</v>
      </c>
      <c r="C87" s="9">
        <f si="6" t="shared"/>
        <v>0</v>
      </c>
      <c r="E87" s="86">
        <v>76</v>
      </c>
      <c r="F87" s="176" t="n">
        <v>1.0</v>
      </c>
      <c r="G87" s="9">
        <f si="7" t="shared"/>
        <v>1.7505164023386899E-6</v>
      </c>
    </row>
    <row r="88" spans="1:7" x14ac:dyDescent="0.25">
      <c r="A88">
        <v>77</v>
      </c>
      <c r="B88" s="6" t="n">
        <v>0.0</v>
      </c>
      <c r="C88" s="9">
        <f si="6" t="shared"/>
        <v>0</v>
      </c>
      <c r="E88" s="87">
        <v>77</v>
      </c>
      <c r="F88" s="177" t="n">
        <v>2.0</v>
      </c>
      <c r="G88" s="9">
        <f si="7" t="shared"/>
        <v>1.16701093489246E-6</v>
      </c>
    </row>
    <row r="89" spans="1:7" x14ac:dyDescent="0.25">
      <c r="A89">
        <v>78</v>
      </c>
      <c r="B89" s="6" t="n">
        <v>0.0</v>
      </c>
      <c r="C89" s="9">
        <f si="6" t="shared"/>
        <v>0</v>
      </c>
      <c r="E89" s="88">
        <v>78</v>
      </c>
      <c r="F89" s="178" t="n">
        <v>0.0</v>
      </c>
      <c r="G89" s="9">
        <f si="7" t="shared"/>
        <v>1.7505164023386899E-6</v>
      </c>
    </row>
    <row r="90" spans="1:7" x14ac:dyDescent="0.25">
      <c r="A90">
        <v>79</v>
      </c>
      <c r="B90" s="6" t="n">
        <v>0.0</v>
      </c>
      <c r="C90" s="9">
        <f si="6" t="shared"/>
        <v>0</v>
      </c>
      <c r="E90" s="89">
        <v>79</v>
      </c>
      <c r="F90" s="179" t="n">
        <v>1.0</v>
      </c>
      <c r="G90" s="9">
        <f si="7" t="shared"/>
        <v>1.16701093489246E-6</v>
      </c>
    </row>
    <row r="91" spans="1:7" x14ac:dyDescent="0.25">
      <c r="A91">
        <v>80</v>
      </c>
      <c r="B91" s="6" t="n">
        <v>0.0</v>
      </c>
      <c r="C91" s="9">
        <f si="6" t="shared"/>
        <v>0</v>
      </c>
      <c r="E91" s="90">
        <v>80</v>
      </c>
      <c r="F91" s="180" t="n">
        <v>1.0</v>
      </c>
      <c r="G91" s="9">
        <f si="7" t="shared"/>
        <v>0</v>
      </c>
    </row>
    <row r="92" spans="1:7" x14ac:dyDescent="0.25">
      <c r="A92">
        <v>81</v>
      </c>
      <c r="B92" s="6" t="n">
        <v>0.0</v>
      </c>
      <c r="C92" s="9">
        <f si="6" t="shared"/>
        <v>0</v>
      </c>
      <c r="E92" s="91">
        <v>81</v>
      </c>
      <c r="F92" s="181" t="n">
        <v>0.0</v>
      </c>
      <c r="G92" s="9">
        <f si="7" t="shared"/>
        <v>5.8350546744623002E-7</v>
      </c>
    </row>
    <row r="93" spans="1:7" x14ac:dyDescent="0.25">
      <c r="A93">
        <v>82</v>
      </c>
      <c r="B93" s="6" t="n">
        <v>0.0</v>
      </c>
      <c r="C93" s="9">
        <f si="6" t="shared"/>
        <v>0</v>
      </c>
      <c r="E93" s="92">
        <v>82</v>
      </c>
      <c r="F93" s="182" t="n">
        <v>0.0</v>
      </c>
      <c r="G93" s="9">
        <f si="7" t="shared"/>
        <v>5.8350546744623002E-7</v>
      </c>
    </row>
    <row r="94" spans="1:7" x14ac:dyDescent="0.25">
      <c r="A94">
        <v>83</v>
      </c>
      <c r="B94" s="6" t="n">
        <v>0.0</v>
      </c>
      <c r="C94" s="9">
        <f si="6" t="shared"/>
        <v>0</v>
      </c>
      <c r="E94" s="93">
        <v>83</v>
      </c>
      <c r="F94" s="183" t="n">
        <v>0.0</v>
      </c>
      <c r="G94" s="9">
        <f si="7" t="shared"/>
        <v>5.8350546744623002E-7</v>
      </c>
    </row>
    <row r="95" spans="1:7" x14ac:dyDescent="0.25">
      <c r="A95">
        <v>84</v>
      </c>
      <c r="B95" s="6" t="n">
        <v>0.0</v>
      </c>
      <c r="C95" s="9">
        <f si="6" t="shared"/>
        <v>0</v>
      </c>
      <c r="E95" s="94">
        <v>84</v>
      </c>
      <c r="F95" s="184" t="n">
        <v>0.0</v>
      </c>
      <c r="G95" s="9">
        <f si="7" t="shared"/>
        <v>0</v>
      </c>
    </row>
    <row r="96" spans="1:7" x14ac:dyDescent="0.25">
      <c r="A96">
        <v>85</v>
      </c>
      <c r="B96" s="6" t="n">
        <v>0.0</v>
      </c>
      <c r="C96" s="9">
        <f si="6" t="shared"/>
        <v>0</v>
      </c>
      <c r="E96" s="95">
        <v>85</v>
      </c>
      <c r="F96" s="185" t="n">
        <v>0.0</v>
      </c>
      <c r="G96" s="9">
        <f si="7" t="shared"/>
        <v>1.16701093489246E-6</v>
      </c>
    </row>
    <row r="97" spans="1:7" x14ac:dyDescent="0.25">
      <c r="A97">
        <v>86</v>
      </c>
      <c r="B97" s="6" t="n">
        <v>0.0</v>
      </c>
      <c r="C97" s="9">
        <f si="6" t="shared"/>
        <v>0</v>
      </c>
      <c r="E97" s="96">
        <v>86</v>
      </c>
      <c r="F97" s="186" t="n">
        <v>0.0</v>
      </c>
      <c r="G97" s="9">
        <f si="7" t="shared"/>
        <v>0</v>
      </c>
    </row>
    <row r="98" spans="1:7" x14ac:dyDescent="0.25">
      <c r="A98">
        <v>87</v>
      </c>
      <c r="B98" s="6" t="n">
        <v>0.0</v>
      </c>
      <c r="C98" s="9">
        <f si="6" t="shared"/>
        <v>0</v>
      </c>
      <c r="E98" s="97">
        <v>87</v>
      </c>
      <c r="F98" s="187" t="n">
        <v>0.0</v>
      </c>
      <c r="G98" s="9">
        <f si="7" t="shared"/>
        <v>5.8350546744623002E-7</v>
      </c>
    </row>
    <row r="99" spans="1:7" x14ac:dyDescent="0.25">
      <c r="A99">
        <v>88</v>
      </c>
      <c r="B99" s="6" t="n">
        <v>0.0</v>
      </c>
      <c r="C99" s="9">
        <f si="6" t="shared"/>
        <v>0</v>
      </c>
      <c r="E99" s="98">
        <v>88</v>
      </c>
      <c r="F99" s="188" t="n">
        <v>0.0</v>
      </c>
      <c r="G99" s="9">
        <f si="7" t="shared"/>
        <v>0</v>
      </c>
    </row>
    <row r="100" spans="1:7" x14ac:dyDescent="0.25">
      <c r="A100">
        <v>89</v>
      </c>
      <c r="B100" s="6" t="n">
        <v>0.0</v>
      </c>
      <c r="C100" s="9">
        <f si="6" t="shared"/>
        <v>0</v>
      </c>
      <c r="E100" s="99">
        <v>89</v>
      </c>
      <c r="F100" s="189" t="n">
        <v>1.0</v>
      </c>
      <c r="G100" s="9">
        <f si="7" t="shared"/>
        <v>5.8350546744623002E-7</v>
      </c>
    </row>
    <row ht="15.75" r="101" spans="1:7" thickBot="1" x14ac:dyDescent="0.3">
      <c r="A101" s="1">
        <v>90</v>
      </c>
      <c r="B101" s="7" t="n">
        <v>0.0</v>
      </c>
      <c r="C101" s="9">
        <f si="6" t="shared"/>
        <v>0</v>
      </c>
      <c r="E101" s="372">
        <v>90</v>
      </c>
      <c r="F101" s="372" t="n">
        <v>1.0</v>
      </c>
      <c r="G101" s="9">
        <f si="7" t="shared"/>
        <v>1.16701093489246E-6</v>
      </c>
    </row>
    <row r="102" spans="1:7" x14ac:dyDescent="0.25">
      <c r="B102" s="6">
        <f>SUM(B11:B101)</f>
        <v>1540321.4097250002</v>
      </c>
      <c r="C102" s="9">
        <f si="6" t="shared"/>
        <v>1</v>
      </c>
      <c r="F102" s="6">
        <f>SUM(F11:F101)</f>
        <v>1713780</v>
      </c>
      <c r="G102" s="9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11" sqref="K1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190">
        <v>0</v>
      </c>
      <c r="F11" s="280" t="n">
        <v>4510.0</v>
      </c>
      <c r="G11" s="9">
        <f>F11/F$102</f>
        <v>3.1742697429074911E-3</v>
      </c>
      <c r="K11" s="6" t="n">
        <v>15.89923160220783</v>
      </c>
      <c r="L11" s="6" t="n">
        <v>20.27704992436114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191">
        <v>1</v>
      </c>
      <c r="F12" s="281" t="n">
        <v>50631.0</v>
      </c>
      <c r="G12" s="9">
        <f>F12/F$102</f>
        <v>2.6761894758953891E-2</v>
      </c>
      <c r="K12" s="6"/>
      <c r="L12" s="371"/>
    </row>
    <row r="13" spans="1:12" x14ac:dyDescent="0.25">
      <c r="A13">
        <v>2</v>
      </c>
      <c r="B13" s="6" t="n">
        <v>6897.59452</v>
      </c>
      <c r="C13" s="9">
        <f ref="C13:C76" si="0" t="shared">B13/B$102</f>
        <v>4.4780228830497539E-3</v>
      </c>
      <c r="E13" s="192">
        <v>2</v>
      </c>
      <c r="F13" s="282" t="n">
        <v>17630.0</v>
      </c>
      <c r="G13" s="9">
        <f ref="G13:G76" si="1" t="shared">F13/F$102</f>
        <v>1.0350803487028673E-2</v>
      </c>
    </row>
    <row r="14" spans="1:12" x14ac:dyDescent="0.25">
      <c r="A14">
        <v>3</v>
      </c>
      <c r="B14" s="6" t="n">
        <v>65637.44097</v>
      </c>
      <c r="C14" s="9">
        <f si="0" t="shared"/>
        <v>4.2612821295341587E-2</v>
      </c>
      <c r="E14" s="193">
        <v>3</v>
      </c>
      <c r="F14" s="283" t="n">
        <v>32316.0</v>
      </c>
      <c r="G14" s="9">
        <f si="1" t="shared"/>
        <v>1.9071292698012582E-2</v>
      </c>
    </row>
    <row r="15" spans="1:12" x14ac:dyDescent="0.25">
      <c r="A15">
        <v>4</v>
      </c>
      <c r="B15" s="6" t="n">
        <v>83827.652678</v>
      </c>
      <c r="C15" s="9">
        <f si="0" t="shared"/>
        <v>5.4422182376187428E-2</v>
      </c>
      <c r="E15" s="194">
        <v>4</v>
      </c>
      <c r="F15" s="284" t="n">
        <v>54999.0</v>
      </c>
      <c r="G15" s="9">
        <f si="1" t="shared"/>
        <v>3.2241594603741437E-2</v>
      </c>
    </row>
    <row r="16" spans="1:12" x14ac:dyDescent="0.25">
      <c r="A16">
        <v>5</v>
      </c>
      <c r="B16" s="6" t="n">
        <v>100534.28004</v>
      </c>
      <c r="C16" s="9">
        <f si="0" t="shared"/>
        <v>6.5268378018551912E-2</v>
      </c>
      <c r="E16" s="195">
        <v>5</v>
      </c>
      <c r="F16" s="285" t="n">
        <v>76356.0</v>
      </c>
      <c r="G16" s="9">
        <f si="1" t="shared"/>
        <v>4.4939840586306297E-2</v>
      </c>
    </row>
    <row r="17" spans="1:7" x14ac:dyDescent="0.25">
      <c r="A17">
        <v>6</v>
      </c>
      <c r="B17" s="6" t="n">
        <v>116845.179361</v>
      </c>
      <c r="C17" s="9">
        <f si="0" t="shared"/>
        <v>7.5857661020150957E-2</v>
      </c>
      <c r="E17" s="196">
        <v>6</v>
      </c>
      <c r="F17" s="286" t="n">
        <v>89058.0</v>
      </c>
      <c r="G17" s="9">
        <f si="1" t="shared"/>
        <v>5.1798363850669278E-2</v>
      </c>
    </row>
    <row r="18" spans="1:7" x14ac:dyDescent="0.25">
      <c r="A18">
        <v>7</v>
      </c>
      <c r="B18" s="6" t="n">
        <v>102353.366391</v>
      </c>
      <c r="C18" s="9">
        <f si="0" t="shared"/>
        <v>6.6449356442610019E-2</v>
      </c>
      <c r="E18" s="197">
        <v>7</v>
      </c>
      <c r="F18" s="287" t="n">
        <v>92701.0</v>
      </c>
      <c r="G18" s="9">
        <f si="1" t="shared"/>
        <v>5.4331944590320813E-2</v>
      </c>
    </row>
    <row r="19" spans="1:7" x14ac:dyDescent="0.25">
      <c r="A19">
        <v>8</v>
      </c>
      <c r="B19" s="6" t="n">
        <v>101173.53692</v>
      </c>
      <c r="C19" s="9">
        <f si="0" t="shared"/>
        <v>6.5683393271838642E-2</v>
      </c>
      <c r="E19" s="198">
        <v>8</v>
      </c>
      <c r="F19" s="288" t="n">
        <v>88937.0</v>
      </c>
      <c r="G19" s="9">
        <f si="1" t="shared"/>
        <v>5.1816452520160115E-2</v>
      </c>
    </row>
    <row r="20" spans="1:7" x14ac:dyDescent="0.25">
      <c r="A20">
        <v>9</v>
      </c>
      <c r="B20" s="6" t="n">
        <v>91742.299981</v>
      </c>
      <c r="C20" s="9">
        <f si="0" t="shared"/>
        <v>5.9560491337570395E-2</v>
      </c>
      <c r="E20" s="199">
        <v>9</v>
      </c>
      <c r="F20" s="289" t="n">
        <v>83484.0</v>
      </c>
      <c r="G20" s="9">
        <f si="1" t="shared"/>
        <v>4.8275157838228944E-2</v>
      </c>
    </row>
    <row r="21" spans="1:7" x14ac:dyDescent="0.25">
      <c r="A21">
        <v>10</v>
      </c>
      <c r="B21" s="6" t="n">
        <v>83449.360493</v>
      </c>
      <c r="C21" s="9">
        <f si="0" t="shared"/>
        <v>5.4176589357346289E-2</v>
      </c>
      <c r="E21" s="200">
        <v>10</v>
      </c>
      <c r="F21" s="290" t="n">
        <v>76422.0</v>
      </c>
      <c r="G21" s="9">
        <f si="1" t="shared"/>
        <v>4.5094469535179545E-2</v>
      </c>
    </row>
    <row r="22" spans="1:7" x14ac:dyDescent="0.25">
      <c r="A22">
        <v>11</v>
      </c>
      <c r="B22" s="6" t="n">
        <v>64527.772961</v>
      </c>
      <c r="C22" s="9">
        <f si="0" t="shared"/>
        <v>4.1892408008871646E-2</v>
      </c>
      <c r="E22" s="201">
        <v>11</v>
      </c>
      <c r="F22" s="291" t="n">
        <v>69495.0</v>
      </c>
      <c r="G22" s="9">
        <f si="1" t="shared"/>
        <v>4.0176101950075274E-2</v>
      </c>
    </row>
    <row r="23" spans="1:7" x14ac:dyDescent="0.25">
      <c r="A23">
        <v>12</v>
      </c>
      <c r="B23" s="6" t="n">
        <v>66986.279316</v>
      </c>
      <c r="C23" s="9">
        <f si="0" t="shared"/>
        <v>4.3488507588789145E-2</v>
      </c>
      <c r="E23" s="202">
        <v>12</v>
      </c>
      <c r="F23" s="292" t="n">
        <v>63431.0</v>
      </c>
      <c r="G23" s="9">
        <f si="1" t="shared"/>
        <v>3.7459883999113069E-2</v>
      </c>
    </row>
    <row r="24" spans="1:7" x14ac:dyDescent="0.25">
      <c r="A24">
        <v>13</v>
      </c>
      <c r="B24" s="6" t="n">
        <v>54116.035744</v>
      </c>
      <c r="C24" s="9">
        <f si="0" t="shared"/>
        <v>3.5132950436403791E-2</v>
      </c>
      <c r="E24" s="203">
        <v>13</v>
      </c>
      <c r="F24" s="293" t="n">
        <v>59035.0</v>
      </c>
      <c r="G24" s="9">
        <f si="1" t="shared"/>
        <v>3.5005076497566782E-2</v>
      </c>
    </row>
    <row r="25" spans="1:7" x14ac:dyDescent="0.25">
      <c r="A25">
        <v>14</v>
      </c>
      <c r="B25" s="6" t="n">
        <v>40905.738889</v>
      </c>
      <c r="C25" s="9">
        <f si="0" t="shared"/>
        <v>2.6556625539797634E-2</v>
      </c>
      <c r="E25" s="204">
        <v>14</v>
      </c>
      <c r="F25" s="294" t="n">
        <v>52614.0</v>
      </c>
      <c r="G25" s="9">
        <f si="1" t="shared"/>
        <v>3.061594837143624E-2</v>
      </c>
    </row>
    <row r="26" spans="1:7" x14ac:dyDescent="0.25">
      <c r="A26">
        <v>15</v>
      </c>
      <c r="B26" s="6" t="n">
        <v>44574.154688</v>
      </c>
      <c r="C26" s="9">
        <f si="0" t="shared"/>
        <v>2.893821666476612E-2</v>
      </c>
      <c r="E26" s="205">
        <v>15</v>
      </c>
      <c r="F26" s="295" t="n">
        <v>47922.0</v>
      </c>
      <c r="G26" s="9">
        <f si="1" t="shared"/>
        <v>2.8619776167302689E-2</v>
      </c>
    </row>
    <row r="27" spans="1:7" x14ac:dyDescent="0.25">
      <c r="A27">
        <v>16</v>
      </c>
      <c r="B27" s="6" t="n">
        <v>39407.368166</v>
      </c>
      <c r="C27" s="9">
        <f si="0" t="shared"/>
        <v>2.5583860561306872E-2</v>
      </c>
      <c r="E27" s="206">
        <v>16</v>
      </c>
      <c r="F27" s="296" t="n">
        <v>44015.0</v>
      </c>
      <c r="G27" s="9">
        <f si="1" t="shared"/>
        <v>2.5638646734119898E-2</v>
      </c>
    </row>
    <row r="28" spans="1:7" x14ac:dyDescent="0.25">
      <c r="A28">
        <v>17</v>
      </c>
      <c r="B28" s="6" t="n">
        <v>41002.011213</v>
      </c>
      <c r="C28" s="9">
        <f si="0" t="shared"/>
        <v>2.6619126991372723E-2</v>
      </c>
      <c r="E28" s="207">
        <v>17</v>
      </c>
      <c r="F28" s="297" t="n">
        <v>39893.0</v>
      </c>
      <c r="G28" s="9">
        <f si="1" t="shared"/>
        <v>2.3153496948266405E-2</v>
      </c>
    </row>
    <row r="29" spans="1:7" x14ac:dyDescent="0.25">
      <c r="A29">
        <v>18</v>
      </c>
      <c r="B29" s="6" t="n">
        <v>34562.276633</v>
      </c>
      <c r="C29" s="9">
        <f si="0" t="shared"/>
        <v>2.2438353719416635E-2</v>
      </c>
      <c r="E29" s="208">
        <v>18</v>
      </c>
      <c r="F29" s="298" t="n">
        <v>36794.0</v>
      </c>
      <c r="G29" s="9">
        <f si="1" t="shared"/>
        <v>2.1749582793590776E-2</v>
      </c>
    </row>
    <row r="30" spans="1:7" x14ac:dyDescent="0.25">
      <c r="A30">
        <v>19</v>
      </c>
      <c r="B30" s="6" t="n">
        <v>26693.597094</v>
      </c>
      <c r="C30" s="9">
        <f si="0" t="shared"/>
        <v>1.7329887726981436E-2</v>
      </c>
      <c r="E30" s="209">
        <v>19</v>
      </c>
      <c r="F30" s="299" t="n">
        <v>34371.0</v>
      </c>
      <c r="G30" s="9">
        <f si="1" t="shared"/>
        <v>2.0170616998681279E-2</v>
      </c>
    </row>
    <row r="31" spans="1:7" x14ac:dyDescent="0.25">
      <c r="A31">
        <v>20</v>
      </c>
      <c r="B31" s="6" t="n">
        <v>21050.78065</v>
      </c>
      <c r="C31" s="9">
        <f si="0" t="shared"/>
        <v>1.366648578478066E-2</v>
      </c>
      <c r="E31" s="210">
        <v>20</v>
      </c>
      <c r="F31" s="300" t="n">
        <v>31744.0</v>
      </c>
      <c r="G31" s="9">
        <f si="1" t="shared"/>
        <v>1.8478451143087212E-2</v>
      </c>
    </row>
    <row r="32" spans="1:7" x14ac:dyDescent="0.25">
      <c r="A32">
        <v>21</v>
      </c>
      <c r="B32" s="6" t="n">
        <v>24215.700092</v>
      </c>
      <c r="C32" s="9">
        <f si="0" t="shared"/>
        <v>1.5721199445201083E-2</v>
      </c>
      <c r="E32" s="211">
        <v>21</v>
      </c>
      <c r="F32" s="301" t="n">
        <v>29993.0</v>
      </c>
      <c r="G32" s="9">
        <f si="1" t="shared"/>
        <v>1.7625366149680823E-2</v>
      </c>
    </row>
    <row r="33" spans="1:7" x14ac:dyDescent="0.25">
      <c r="A33">
        <v>22</v>
      </c>
      <c r="B33" s="6" t="n">
        <v>21445.771</v>
      </c>
      <c r="C33" s="9">
        <f si="0" t="shared"/>
        <v>1.3922919505370519E-2</v>
      </c>
      <c r="E33" s="212">
        <v>22</v>
      </c>
      <c r="F33" s="302" t="n">
        <v>28275.0</v>
      </c>
      <c r="G33" s="9">
        <f si="1" t="shared"/>
        <v>1.660248106524758E-2</v>
      </c>
    </row>
    <row r="34" spans="1:7" x14ac:dyDescent="0.25">
      <c r="A34">
        <v>23</v>
      </c>
      <c r="B34" s="6" t="n">
        <v>21184.149495999998</v>
      </c>
      <c r="C34" s="9">
        <f si="0" t="shared"/>
        <v>1.375307086056936E-2</v>
      </c>
      <c r="E34" s="213">
        <v>23</v>
      </c>
      <c r="F34" s="303" t="n">
        <v>26633.0</v>
      </c>
      <c r="G34" s="9">
        <f si="1" t="shared"/>
        <v>1.5497321709904421E-2</v>
      </c>
    </row>
    <row r="35" spans="1:7" x14ac:dyDescent="0.25">
      <c r="A35">
        <v>24</v>
      </c>
      <c r="B35" s="6" t="n">
        <v>19003.173031</v>
      </c>
      <c r="C35" s="9">
        <f si="0" t="shared"/>
        <v>1.2337147890707258E-2</v>
      </c>
      <c r="E35" s="214">
        <v>24</v>
      </c>
      <c r="F35" s="304" t="n">
        <v>25100.0</v>
      </c>
      <c r="G35" s="9">
        <f si="1" t="shared"/>
        <v>1.4718925416331151E-2</v>
      </c>
    </row>
    <row r="36" spans="1:7" x14ac:dyDescent="0.25">
      <c r="A36">
        <v>25</v>
      </c>
      <c r="B36" s="6" t="n">
        <v>16997.938718</v>
      </c>
      <c r="C36" s="9">
        <f si="0" t="shared"/>
        <v>1.1035319388980464E-2</v>
      </c>
      <c r="E36" s="215">
        <v>25</v>
      </c>
      <c r="F36" s="305" t="n">
        <v>23690.0</v>
      </c>
      <c r="G36" s="9">
        <f si="1" t="shared"/>
        <v>1.4058980732649464E-2</v>
      </c>
    </row>
    <row r="37" spans="1:7" x14ac:dyDescent="0.25">
      <c r="A37">
        <v>26</v>
      </c>
      <c r="B37" s="6" t="n">
        <v>20930.443307999998</v>
      </c>
      <c r="C37" s="9">
        <f si="0" t="shared"/>
        <v>1.358836095885781E-2</v>
      </c>
      <c r="E37" s="216">
        <v>26</v>
      </c>
      <c r="F37" s="306" t="n">
        <v>22543.0</v>
      </c>
      <c r="G37" s="9">
        <f si="1" t="shared"/>
        <v>1.2876798655603403E-2</v>
      </c>
    </row>
    <row r="38" spans="1:7" x14ac:dyDescent="0.25">
      <c r="A38">
        <v>27</v>
      </c>
      <c r="B38" s="6" t="n">
        <v>12372.514316</v>
      </c>
      <c r="C38" s="9">
        <f si="0" t="shared"/>
        <v>8.0324237771965575E-3</v>
      </c>
      <c r="E38" s="217">
        <v>27</v>
      </c>
      <c r="F38" s="307" t="n">
        <v>21081.0</v>
      </c>
      <c r="G38" s="9">
        <f si="1" t="shared"/>
        <v>1.2113573504183734E-2</v>
      </c>
    </row>
    <row r="39" spans="1:7" x14ac:dyDescent="0.25">
      <c r="A39">
        <v>28</v>
      </c>
      <c r="B39" s="6" t="n">
        <v>14008.973964</v>
      </c>
      <c r="C39" s="9">
        <f si="0" t="shared"/>
        <v>9.0948381782871481E-3</v>
      </c>
      <c r="E39" s="218">
        <v>28</v>
      </c>
      <c r="F39" s="308" t="n">
        <v>19570.0</v>
      </c>
      <c r="G39" s="9">
        <f si="1" t="shared"/>
        <v>1.142095251432506E-2</v>
      </c>
    </row>
    <row r="40" spans="1:7" x14ac:dyDescent="0.25">
      <c r="A40">
        <v>29</v>
      </c>
      <c r="B40" s="6" t="n">
        <v>14903.964722</v>
      </c>
      <c r="C40" s="9">
        <f si="0" t="shared"/>
        <v>9.6758797403594353E-3</v>
      </c>
      <c r="E40" s="219">
        <v>29</v>
      </c>
      <c r="F40" s="309" t="n">
        <v>18589.0</v>
      </c>
      <c r="G40" s="9">
        <f si="1" t="shared"/>
        <v>1.0854368705434769E-2</v>
      </c>
    </row>
    <row r="41" spans="1:7" x14ac:dyDescent="0.25">
      <c r="A41">
        <v>30</v>
      </c>
      <c r="B41" s="6" t="n">
        <v>15132.600129</v>
      </c>
      <c r="C41" s="9">
        <f si="0" t="shared"/>
        <v>9.8243133111430934E-3</v>
      </c>
      <c r="E41" s="220">
        <v>30</v>
      </c>
      <c r="F41" s="310" t="n">
        <v>17559.0</v>
      </c>
      <c r="G41" s="9">
        <f si="1" t="shared"/>
        <v>1.0297120984023621E-2</v>
      </c>
    </row>
    <row r="42" spans="1:7" x14ac:dyDescent="0.25">
      <c r="A42">
        <v>31</v>
      </c>
      <c r="B42" s="6" t="n">
        <v>11639.07404</v>
      </c>
      <c r="C42" s="9">
        <f si="0" t="shared"/>
        <v>7.5562632360462881E-3</v>
      </c>
      <c r="E42" s="221">
        <v>31</v>
      </c>
      <c r="F42" s="311" t="n">
        <v>16296.0</v>
      </c>
      <c r="G42" s="9">
        <f si="1" t="shared"/>
        <v>9.4253638156589527E-3</v>
      </c>
    </row>
    <row r="43" spans="1:7" x14ac:dyDescent="0.25">
      <c r="A43">
        <v>32</v>
      </c>
      <c r="B43" s="6" t="n">
        <v>8869.509017</v>
      </c>
      <c r="C43" s="9">
        <f si="0" t="shared"/>
        <v>5.7582196553273369E-3</v>
      </c>
      <c r="E43" s="222">
        <v>32</v>
      </c>
      <c r="F43" s="312" t="n">
        <v>15583.0</v>
      </c>
      <c r="G43" s="9">
        <f si="1" t="shared"/>
        <v>9.1061863249658655E-3</v>
      </c>
    </row>
    <row r="44" spans="1:7" x14ac:dyDescent="0.25">
      <c r="A44">
        <v>33</v>
      </c>
      <c r="B44" s="6" t="n">
        <v>7743.080989</v>
      </c>
      <c r="C44" s="9">
        <f si="0" t="shared"/>
        <v>5.0269255105545863E-3</v>
      </c>
      <c r="E44" s="223">
        <v>33</v>
      </c>
      <c r="F44" s="313" t="n">
        <v>14882.0</v>
      </c>
      <c r="G44" s="9">
        <f si="1" t="shared"/>
        <v>8.5086767263009254E-3</v>
      </c>
    </row>
    <row r="45" spans="1:7" x14ac:dyDescent="0.25">
      <c r="A45">
        <v>34</v>
      </c>
      <c r="B45" s="6" t="n">
        <v>7748.254953</v>
      </c>
      <c r="C45" s="9">
        <f si="0" t="shared"/>
        <v>5.0302845263855249E-3</v>
      </c>
      <c r="E45" s="224">
        <v>34</v>
      </c>
      <c r="F45" s="314" t="n">
        <v>13888.0</v>
      </c>
      <c r="G45" s="9">
        <f si="1" t="shared"/>
        <v>8.2548518479618159E-3</v>
      </c>
    </row>
    <row r="46" spans="1:7" x14ac:dyDescent="0.25">
      <c r="A46">
        <v>35</v>
      </c>
      <c r="B46" s="6" t="n">
        <v>6847.745761</v>
      </c>
      <c r="C46" s="9">
        <f si="0" t="shared"/>
        <v>4.4456603133384755E-3</v>
      </c>
      <c r="E46" s="225">
        <v>35</v>
      </c>
      <c r="F46" s="315" t="n">
        <v>13308.0</v>
      </c>
      <c r="G46" s="9">
        <f si="1" t="shared"/>
        <v>7.9070825893638626E-3</v>
      </c>
    </row>
    <row r="47" spans="1:7" x14ac:dyDescent="0.25">
      <c r="A47">
        <v>36</v>
      </c>
      <c r="B47" s="6" t="n">
        <v>5891.153165</v>
      </c>
      <c r="C47" s="9">
        <f si="0" t="shared"/>
        <v>3.824625904571291E-3</v>
      </c>
      <c r="E47" s="226">
        <v>36</v>
      </c>
      <c r="F47" s="316" t="n">
        <v>12832.0</v>
      </c>
      <c r="G47" s="9">
        <f si="1" t="shared"/>
        <v>7.4828741145304533E-3</v>
      </c>
    </row>
    <row r="48" spans="1:7" x14ac:dyDescent="0.25">
      <c r="A48">
        <v>37</v>
      </c>
      <c r="B48" s="6" t="n">
        <v>7069.774098</v>
      </c>
      <c r="C48" s="9">
        <f si="0" t="shared"/>
        <v>4.5898044741598453E-3</v>
      </c>
      <c r="E48" s="227">
        <v>37</v>
      </c>
      <c r="F48" s="317" t="n">
        <v>12405.0</v>
      </c>
      <c r="G48" s="9">
        <f si="1" t="shared"/>
        <v>7.2191296432447573E-3</v>
      </c>
    </row>
    <row r="49" spans="1:7" x14ac:dyDescent="0.25">
      <c r="A49">
        <v>38</v>
      </c>
      <c r="B49" s="6" t="n">
        <v>7859.602062</v>
      </c>
      <c r="C49" s="9">
        <f si="0" t="shared"/>
        <v>5.1025727568139263E-3</v>
      </c>
      <c r="E49" s="228">
        <v>38</v>
      </c>
      <c r="F49" s="318" t="n">
        <v>11961.0</v>
      </c>
      <c r="G49" s="9">
        <f si="1" t="shared"/>
        <v>6.9594697102311849E-3</v>
      </c>
    </row>
    <row r="50" spans="1:7" x14ac:dyDescent="0.25">
      <c r="A50">
        <v>39</v>
      </c>
      <c r="B50" s="6" t="n">
        <v>7189.175994</v>
      </c>
      <c r="C50" s="9">
        <f si="0" t="shared"/>
        <v>4.6673219943644878E-3</v>
      </c>
      <c r="E50" s="229">
        <v>39</v>
      </c>
      <c r="F50" s="319" t="n">
        <v>11243.0</v>
      </c>
      <c r="G50" s="9">
        <f si="1" t="shared"/>
        <v>6.5591849595630714E-3</v>
      </c>
    </row>
    <row r="51" spans="1:7" x14ac:dyDescent="0.25">
      <c r="A51">
        <v>40</v>
      </c>
      <c r="B51" s="6" t="n">
        <v>7352.022587</v>
      </c>
      <c r="C51" s="9">
        <f si="0" t="shared"/>
        <v>4.7730444701879421E-3</v>
      </c>
      <c r="E51" s="230">
        <v>40</v>
      </c>
      <c r="F51" s="320" t="n">
        <v>10212.0</v>
      </c>
      <c r="G51" s="9">
        <f si="1" t="shared"/>
        <v>6.0999661566828881E-3</v>
      </c>
    </row>
    <row r="52" spans="1:7" x14ac:dyDescent="0.25">
      <c r="A52">
        <v>41</v>
      </c>
      <c r="B52" s="6" t="n">
        <v>5624.218963</v>
      </c>
      <c r="C52" s="9">
        <f si="0" t="shared"/>
        <v>3.6513281757241303E-3</v>
      </c>
      <c r="E52" s="231">
        <v>41</v>
      </c>
      <c r="F52" s="321" t="n">
        <v>9678.0</v>
      </c>
      <c r="G52" s="9">
        <f si="1" t="shared"/>
        <v>5.8595619040950411E-3</v>
      </c>
    </row>
    <row r="53" spans="1:7" x14ac:dyDescent="0.25">
      <c r="A53">
        <v>42</v>
      </c>
      <c r="B53" s="6" t="n">
        <v>7671.009074</v>
      </c>
      <c r="C53" s="9">
        <f si="0" t="shared"/>
        <v>4.9801353312160625E-3</v>
      </c>
      <c r="E53" s="232">
        <v>42</v>
      </c>
      <c r="F53" s="322" t="n">
        <v>9617.0</v>
      </c>
      <c r="G53" s="9">
        <f si="1" t="shared"/>
        <v>5.5327988423251526E-3</v>
      </c>
    </row>
    <row r="54" spans="1:7" x14ac:dyDescent="0.25">
      <c r="A54">
        <v>43</v>
      </c>
      <c r="B54" s="6" t="n">
        <v>5680.200287</v>
      </c>
      <c r="C54" s="9">
        <f si="0" t="shared"/>
        <v>3.6876720995614246E-3</v>
      </c>
      <c r="E54" s="233">
        <v>43</v>
      </c>
      <c r="F54" s="323" t="n">
        <v>9063.0</v>
      </c>
      <c r="G54" s="9">
        <f si="1" t="shared"/>
        <v>5.3069822264234616E-3</v>
      </c>
    </row>
    <row r="55" spans="1:7" x14ac:dyDescent="0.25">
      <c r="A55">
        <v>44</v>
      </c>
      <c r="B55" s="6" t="n">
        <v>6261.251474</v>
      </c>
      <c r="C55" s="9">
        <f si="0" t="shared"/>
        <v>4.0648993349497444E-3</v>
      </c>
      <c r="E55" s="234">
        <v>44</v>
      </c>
      <c r="F55" s="324" t="n">
        <v>8767.0</v>
      </c>
      <c r="G55" s="9">
        <f si="1" t="shared"/>
        <v>4.9364562545951059E-3</v>
      </c>
    </row>
    <row r="56" spans="1:7" x14ac:dyDescent="0.25">
      <c r="A56">
        <v>45</v>
      </c>
      <c r="B56" s="6" t="n">
        <v>4624.006501</v>
      </c>
      <c r="C56" s="9">
        <f si="0" t="shared"/>
        <v>3.001975088968962E-3</v>
      </c>
      <c r="E56" s="235">
        <v>45</v>
      </c>
      <c r="F56" s="325" t="n">
        <v>8124.0</v>
      </c>
      <c r="G56" s="9">
        <f si="1" t="shared"/>
        <v>4.8635180711643269E-3</v>
      </c>
    </row>
    <row r="57" spans="1:7" x14ac:dyDescent="0.25">
      <c r="A57">
        <v>46</v>
      </c>
      <c r="B57" s="6" t="n">
        <v>4570.20707</v>
      </c>
      <c r="C57" s="9">
        <f si="0" t="shared"/>
        <v>2.9670476831299398E-3</v>
      </c>
      <c r="E57" s="236">
        <v>46</v>
      </c>
      <c r="F57" s="326" t="n">
        <v>7780.0</v>
      </c>
      <c r="G57" s="9">
        <f si="1" t="shared"/>
        <v>4.6102766982926632E-3</v>
      </c>
    </row>
    <row r="58" spans="1:7" x14ac:dyDescent="0.25">
      <c r="A58">
        <v>47</v>
      </c>
      <c r="B58" s="6" t="n">
        <v>3569.516191</v>
      </c>
      <c r="C58" s="9">
        <f si="0" t="shared"/>
        <v>2.3173840008088205E-3</v>
      </c>
      <c r="E58" s="237">
        <v>47</v>
      </c>
      <c r="F58" s="327" t="n">
        <v>7555.0</v>
      </c>
      <c r="G58" s="9">
        <f si="1" t="shared"/>
        <v>4.3640373910303542E-3</v>
      </c>
    </row>
    <row r="59" spans="1:7" x14ac:dyDescent="0.25">
      <c r="A59">
        <v>48</v>
      </c>
      <c r="B59" s="6" t="n">
        <v>2961.344209</v>
      </c>
      <c r="C59" s="9">
        <f si="0" t="shared"/>
        <v>1.9225495343395268E-3</v>
      </c>
      <c r="E59" s="238">
        <v>48</v>
      </c>
      <c r="F59" s="328" t="n">
        <v>7056.0</v>
      </c>
      <c r="G59" s="9">
        <f si="1" t="shared"/>
        <v>4.1749816195777757E-3</v>
      </c>
    </row>
    <row r="60" spans="1:7" x14ac:dyDescent="0.25">
      <c r="A60">
        <v>49</v>
      </c>
      <c r="B60" s="6" t="n">
        <v>2011.104656</v>
      </c>
      <c r="C60" s="9">
        <f si="0" t="shared"/>
        <v>1.3056396173569077E-3</v>
      </c>
      <c r="E60" s="239">
        <v>49</v>
      </c>
      <c r="F60" s="329" t="n">
        <v>6806.0</v>
      </c>
      <c r="G60" s="9">
        <f si="1" t="shared"/>
        <v>3.9269917959131274E-3</v>
      </c>
    </row>
    <row r="61" spans="1:7" x14ac:dyDescent="0.25">
      <c r="A61">
        <v>50</v>
      </c>
      <c r="B61" s="6" t="n">
        <v>5654.125689</v>
      </c>
      <c r="C61" s="9">
        <f si="0" t="shared"/>
        <v>3.6707440754260891E-3</v>
      </c>
      <c r="E61" s="240">
        <v>50</v>
      </c>
      <c r="F61" s="330" t="n">
        <v>6479.0</v>
      </c>
      <c r="G61" s="9">
        <f si="1" t="shared"/>
        <v>3.6212349309713032E-3</v>
      </c>
    </row>
    <row r="62" spans="1:7" x14ac:dyDescent="0.25">
      <c r="A62">
        <v>51</v>
      </c>
      <c r="B62" s="6" t="n">
        <v>1700.112135</v>
      </c>
      <c r="C62" s="9">
        <f si="0" t="shared"/>
        <v>1.1037385601901941E-3</v>
      </c>
      <c r="E62" s="241">
        <v>51</v>
      </c>
      <c r="F62" s="331" t="n">
        <v>5984.0</v>
      </c>
      <c r="G62" s="9">
        <f si="1" t="shared"/>
        <v>3.5377936491264922E-3</v>
      </c>
    </row>
    <row r="63" spans="1:7" x14ac:dyDescent="0.25">
      <c r="A63">
        <v>52</v>
      </c>
      <c r="B63" s="6" t="n">
        <v>2607.2326319999997</v>
      </c>
      <c r="C63" s="9">
        <f si="0" t="shared"/>
        <v>1.6926549326257056E-3</v>
      </c>
      <c r="E63" s="242">
        <v>52</v>
      </c>
      <c r="F63" s="332" t="n">
        <v>5659.0</v>
      </c>
      <c r="G63" s="9">
        <f si="1" t="shared"/>
        <v>3.3650760307624081E-3</v>
      </c>
    </row>
    <row r="64" spans="1:7" x14ac:dyDescent="0.25">
      <c r="A64">
        <v>53</v>
      </c>
      <c r="B64" s="6" t="n">
        <v>1438.204806</v>
      </c>
      <c r="C64" s="9">
        <f si="0" t="shared"/>
        <v>9.3370435346787123E-4</v>
      </c>
      <c r="E64" s="243">
        <v>53</v>
      </c>
      <c r="F64" s="333" t="n">
        <v>5485.0</v>
      </c>
      <c r="G64" s="9">
        <f si="1" t="shared"/>
        <v>3.0919954719975727E-3</v>
      </c>
    </row>
    <row r="65" spans="1:7" x14ac:dyDescent="0.25">
      <c r="A65">
        <v>54</v>
      </c>
      <c r="B65" s="6" t="n">
        <v>3496.283108</v>
      </c>
      <c r="C65" s="9">
        <f si="0" t="shared"/>
        <v>2.2698399736092801E-3</v>
      </c>
      <c r="E65" s="244">
        <v>54</v>
      </c>
      <c r="F65" s="334" t="n">
        <v>5050.0</v>
      </c>
      <c r="G65" s="9">
        <f si="1" t="shared"/>
        <v>2.9577892144849395E-3</v>
      </c>
    </row>
    <row r="66" spans="1:7" x14ac:dyDescent="0.25">
      <c r="A66">
        <v>55</v>
      </c>
      <c r="B66" s="6" t="n">
        <v>1970.997447</v>
      </c>
      <c r="C66" s="9">
        <f si="0" t="shared"/>
        <v>1.2796014095213361E-3</v>
      </c>
      <c r="E66" s="245">
        <v>55</v>
      </c>
      <c r="F66" s="335" t="n">
        <v>4746.0</v>
      </c>
      <c r="G66" s="9">
        <f si="1" t="shared"/>
        <v>2.780403552381286E-3</v>
      </c>
    </row>
    <row r="67" spans="1:7" x14ac:dyDescent="0.25">
      <c r="A67">
        <v>56</v>
      </c>
      <c r="B67" s="6" t="n">
        <v>1842.696031</v>
      </c>
      <c r="C67" s="9">
        <f si="0" t="shared"/>
        <v>1.1963061860764408E-3</v>
      </c>
      <c r="E67" s="246">
        <v>56</v>
      </c>
      <c r="F67" s="336" t="n">
        <v>4607.0</v>
      </c>
      <c r="G67" s="9">
        <f si="1" t="shared"/>
        <v>2.6555333823477926E-3</v>
      </c>
    </row>
    <row r="68" spans="1:7" x14ac:dyDescent="0.25">
      <c r="A68">
        <v>57</v>
      </c>
      <c r="B68" s="6" t="n">
        <v>1925.580668</v>
      </c>
      <c r="C68" s="9">
        <f si="0" t="shared"/>
        <v>1.2501161483847605E-3</v>
      </c>
      <c r="E68" s="247">
        <v>57</v>
      </c>
      <c r="F68" s="337" t="n">
        <v>4337.0</v>
      </c>
      <c r="G68" s="9">
        <f si="1" t="shared"/>
        <v>2.5259951685747298E-3</v>
      </c>
    </row>
    <row r="69" spans="1:7" x14ac:dyDescent="0.25">
      <c r="A69">
        <v>58</v>
      </c>
      <c r="B69" s="6" t="n">
        <v>2505.218292</v>
      </c>
      <c r="C69" s="9">
        <f si="0" t="shared"/>
        <v>1.6264256772534696E-3</v>
      </c>
      <c r="E69" s="248">
        <v>58</v>
      </c>
      <c r="F69" s="338" t="n">
        <v>4136.0</v>
      </c>
      <c r="G69" s="9">
        <f si="1" t="shared"/>
        <v>2.4139621188250535E-3</v>
      </c>
    </row>
    <row r="70" spans="1:7" x14ac:dyDescent="0.25">
      <c r="A70">
        <v>59</v>
      </c>
      <c r="B70" s="6" t="n">
        <v>1521.790086</v>
      </c>
      <c r="C70" s="9">
        <f si="0" t="shared"/>
        <v>9.8796918382877815E-4</v>
      </c>
      <c r="E70" s="249">
        <v>59</v>
      </c>
      <c r="F70" s="339" t="n">
        <v>4050.0</v>
      </c>
      <c r="G70" s="9">
        <f si="1" t="shared"/>
        <v>2.3462754846012906E-3</v>
      </c>
    </row>
    <row r="71" spans="1:7" x14ac:dyDescent="0.25">
      <c r="A71">
        <v>60</v>
      </c>
      <c r="B71" s="6" t="n">
        <v>726.0255179999999</v>
      </c>
      <c r="C71" s="9">
        <f si="0" t="shared"/>
        <v>4.7134676789931839E-4</v>
      </c>
      <c r="E71" s="250">
        <v>60</v>
      </c>
      <c r="F71" s="340" t="n">
        <v>3812.0</v>
      </c>
      <c r="G71" s="9">
        <f si="1" t="shared"/>
        <v>2.1187083522972612E-3</v>
      </c>
    </row>
    <row r="72" spans="1:7" x14ac:dyDescent="0.25">
      <c r="A72">
        <v>61</v>
      </c>
      <c r="B72" s="6" t="n">
        <v>2649.854658</v>
      </c>
      <c r="C72" s="9">
        <f si="0" t="shared"/>
        <v>1.7203257977652156E-3</v>
      </c>
      <c r="E72" s="251">
        <v>61</v>
      </c>
      <c r="F72" s="341" t="n">
        <v>3593.0</v>
      </c>
      <c r="G72" s="9">
        <f si="1" t="shared"/>
        <v>2.0889495734575034E-3</v>
      </c>
    </row>
    <row r="73" spans="1:7" x14ac:dyDescent="0.25">
      <c r="A73">
        <v>62</v>
      </c>
      <c r="B73" s="6" t="n">
        <v>1920.309241</v>
      </c>
      <c r="C73" s="9">
        <f si="0" t="shared"/>
        <v>1.246693858097345E-3</v>
      </c>
      <c r="E73" s="252">
        <v>62</v>
      </c>
      <c r="F73" s="342" t="n">
        <v>3414.0</v>
      </c>
      <c r="G73" s="9">
        <f si="1" t="shared"/>
        <v>1.9255680425725589E-3</v>
      </c>
    </row>
    <row r="74" spans="1:7" x14ac:dyDescent="0.25">
      <c r="A74">
        <v>63</v>
      </c>
      <c r="B74" s="6" t="n">
        <v>2279.783967</v>
      </c>
      <c r="C74" s="9">
        <f si="0" t="shared"/>
        <v>1.4800702974108637E-3</v>
      </c>
      <c r="E74" s="253">
        <v>63</v>
      </c>
      <c r="F74" s="343" t="n">
        <v>3090.0</v>
      </c>
      <c r="G74" s="9">
        <f si="1" t="shared"/>
        <v>1.82170406936713E-3</v>
      </c>
    </row>
    <row r="75" spans="1:7" x14ac:dyDescent="0.25">
      <c r="A75">
        <v>64</v>
      </c>
      <c r="B75" s="6" t="n">
        <v>1184.836518</v>
      </c>
      <c r="C75" s="9">
        <f si="0" t="shared"/>
        <v>7.6921382155658983E-4</v>
      </c>
      <c r="E75" s="254">
        <v>64</v>
      </c>
      <c r="F75" s="344" t="n">
        <v>3028.0</v>
      </c>
      <c r="G75" s="9">
        <f si="1" t="shared"/>
        <v>1.7260091727059482E-3</v>
      </c>
    </row>
    <row r="76" spans="1:7" x14ac:dyDescent="0.25">
      <c r="A76">
        <v>65</v>
      </c>
      <c r="B76" s="6" t="n">
        <v>927.20497</v>
      </c>
      <c r="C76" s="9">
        <f si="0" t="shared"/>
        <v>6.0195551665125427E-4</v>
      </c>
      <c r="E76" s="255">
        <v>65</v>
      </c>
      <c r="F76" s="345" t="n">
        <v>2940.0</v>
      </c>
      <c r="G76" s="9">
        <f si="1" t="shared"/>
        <v>1.629147265109874E-3</v>
      </c>
    </row>
    <row r="77" spans="1:7" x14ac:dyDescent="0.25">
      <c r="A77">
        <v>66</v>
      </c>
      <c r="B77" s="6" t="n">
        <v>1273.982508</v>
      </c>
      <c r="C77" s="9">
        <f ref="C77:C102" si="2" t="shared">B77/B$102</f>
        <v>8.2708874911207686E-4</v>
      </c>
      <c r="E77" s="256">
        <v>66</v>
      </c>
      <c r="F77" s="346" t="n">
        <v>2786.0</v>
      </c>
      <c r="G77" s="9">
        <f ref="G77:G102" si="3" t="shared">F77/F$102</f>
        <v>1.5410379395254933E-3</v>
      </c>
    </row>
    <row r="78" spans="1:7" x14ac:dyDescent="0.25">
      <c r="A78">
        <v>67</v>
      </c>
      <c r="B78" s="6" t="n">
        <v>998.9744529999999</v>
      </c>
      <c r="C78" s="9">
        <f si="2" t="shared"/>
        <v>6.4854935255256353E-4</v>
      </c>
      <c r="E78" s="257">
        <v>67</v>
      </c>
      <c r="F78" s="347" t="n">
        <v>2585.0</v>
      </c>
      <c r="G78" s="9">
        <f si="3" t="shared"/>
        <v>1.4500110866038816E-3</v>
      </c>
    </row>
    <row r="79" spans="1:7" x14ac:dyDescent="0.25">
      <c r="A79">
        <v>68</v>
      </c>
      <c r="B79" s="6" t="n">
        <v>1508.743609</v>
      </c>
      <c r="C79" s="9">
        <f si="2" t="shared"/>
        <v>9.7949921326443389E-4</v>
      </c>
      <c r="E79" s="258">
        <v>68</v>
      </c>
      <c r="F79" s="348" t="n">
        <v>2503.0</v>
      </c>
      <c r="G79" s="9">
        <f si="3" t="shared"/>
        <v>1.4470935592666503E-3</v>
      </c>
    </row>
    <row r="80" spans="1:7" x14ac:dyDescent="0.25">
      <c r="A80">
        <v>69</v>
      </c>
      <c r="B80" s="6" t="n">
        <v>1717.614562</v>
      </c>
      <c r="C80" s="9">
        <f si="2" t="shared"/>
        <v>1.1151014010164634E-3</v>
      </c>
      <c r="E80" s="259">
        <v>69</v>
      </c>
      <c r="F80" s="349" t="n">
        <v>2500.0</v>
      </c>
      <c r="G80" s="9">
        <f si="3" t="shared"/>
        <v>1.3992461109360594E-3</v>
      </c>
    </row>
    <row r="81" spans="1:7" x14ac:dyDescent="0.25">
      <c r="A81">
        <v>70</v>
      </c>
      <c r="B81" s="6" t="n">
        <v>965.219003</v>
      </c>
      <c r="C81" s="9">
        <f si="2" t="shared"/>
        <v>6.2663480290930018E-4</v>
      </c>
      <c r="E81" s="260">
        <v>70</v>
      </c>
      <c r="F81" s="350" t="n">
        <v>2225.0</v>
      </c>
      <c r="G81" s="9">
        <f si="3" t="shared"/>
        <v>1.3607347500846083E-3</v>
      </c>
    </row>
    <row r="82" spans="1:7" x14ac:dyDescent="0.25">
      <c r="A82">
        <v>71</v>
      </c>
      <c r="B82" s="6" t="n">
        <v>569.895367</v>
      </c>
      <c r="C82" s="9">
        <f si="2" t="shared"/>
        <v>3.6998470799788874E-4</v>
      </c>
      <c r="E82" s="261">
        <v>71</v>
      </c>
      <c r="F82" s="351" t="n">
        <v>2238.0</v>
      </c>
      <c r="G82" s="9">
        <f si="3" t="shared"/>
        <v>1.3018006978725391E-3</v>
      </c>
    </row>
    <row r="83" spans="1:7" x14ac:dyDescent="0.25">
      <c r="A83">
        <v>72</v>
      </c>
      <c r="B83" s="6" t="n">
        <v>1359.66316</v>
      </c>
      <c r="C83" s="9">
        <f si="2" t="shared"/>
        <v>8.8271392672698587E-4</v>
      </c>
      <c r="E83" s="262">
        <v>72</v>
      </c>
      <c r="F83" s="352" t="n">
        <v>2209.0</v>
      </c>
      <c r="G83" s="9">
        <f si="3" t="shared"/>
        <v>1.2615388206187492E-3</v>
      </c>
    </row>
    <row r="84" spans="1:7" x14ac:dyDescent="0.25">
      <c r="A84">
        <v>73</v>
      </c>
      <c r="B84" s="6" t="n">
        <v>226.888481</v>
      </c>
      <c r="C84" s="9">
        <f si="2" t="shared"/>
        <v>1.4729943995293006E-4</v>
      </c>
      <c r="E84" s="263">
        <v>73</v>
      </c>
      <c r="F84" s="353" t="n">
        <v>2075.0</v>
      </c>
      <c r="G84" s="9">
        <f si="3" t="shared"/>
        <v>1.2416996347255774E-3</v>
      </c>
    </row>
    <row r="85" spans="1:7" x14ac:dyDescent="0.25">
      <c r="A85">
        <v>74</v>
      </c>
      <c r="B85" s="6" t="n">
        <v>643.161801</v>
      </c>
      <c r="C85" s="9">
        <f si="2" t="shared"/>
        <v>4.1755038717200381E-4</v>
      </c>
      <c r="E85" s="264">
        <v>74</v>
      </c>
      <c r="F85" s="354" t="n">
        <v>2052.0</v>
      </c>
      <c r="G85" s="9">
        <f si="3" t="shared"/>
        <v>1.1185799810944229E-3</v>
      </c>
    </row>
    <row r="86" spans="1:7" x14ac:dyDescent="0.25">
      <c r="A86">
        <v>75</v>
      </c>
      <c r="B86" s="6" t="n">
        <v>1291.297064</v>
      </c>
      <c r="C86" s="9">
        <f si="2" t="shared"/>
        <v>8.383296212382984E-4</v>
      </c>
      <c r="E86" s="265">
        <v>75</v>
      </c>
      <c r="F86" s="355" t="n">
        <v>1933.0</v>
      </c>
      <c r="G86" s="9">
        <f si="3" t="shared"/>
        <v>1.1168294646920842E-3</v>
      </c>
    </row>
    <row r="87" spans="1:7" x14ac:dyDescent="0.25">
      <c r="A87">
        <v>76</v>
      </c>
      <c r="B87" s="6" t="n">
        <v>1230.966737</v>
      </c>
      <c r="C87" s="9">
        <f si="2" t="shared"/>
        <v>7.9916225875206824E-4</v>
      </c>
      <c r="E87" s="266">
        <v>76</v>
      </c>
      <c r="F87" s="356" t="n">
        <v>1863.0</v>
      </c>
      <c r="G87" s="9">
        <f si="3" t="shared"/>
        <v>1.1063263662780521E-3</v>
      </c>
    </row>
    <row r="88" spans="1:7" x14ac:dyDescent="0.25">
      <c r="A88">
        <v>77</v>
      </c>
      <c r="B88" s="6" t="n">
        <v>1403.861754</v>
      </c>
      <c r="C88" s="9">
        <f si="2" t="shared"/>
        <v>9.1140832370215411E-4</v>
      </c>
      <c r="E88" s="267">
        <v>77</v>
      </c>
      <c r="F88" s="357" t="n">
        <v>1702.0</v>
      </c>
      <c r="G88" s="9">
        <f si="3" t="shared"/>
        <v>9.8262320717945129E-4</v>
      </c>
    </row>
    <row r="89" spans="1:7" x14ac:dyDescent="0.25">
      <c r="A89">
        <v>78</v>
      </c>
      <c r="B89" s="6" t="n">
        <v>595.721993</v>
      </c>
      <c r="C89" s="9">
        <f si="2" t="shared"/>
        <v>3.8675174495325442E-4</v>
      </c>
      <c r="E89" s="268">
        <v>78</v>
      </c>
      <c r="F89" s="358" t="n">
        <v>1643.0</v>
      </c>
      <c r="G89" s="9">
        <f si="3" t="shared"/>
        <v>9.3302524244652171E-4</v>
      </c>
    </row>
    <row r="90" spans="1:7" x14ac:dyDescent="0.25">
      <c r="A90">
        <v>79</v>
      </c>
      <c r="B90" s="6" t="n">
        <v>61.657408</v>
      </c>
      <c r="C90" s="9">
        <f si="2" t="shared"/>
        <v>4.002892358096094E-5</v>
      </c>
      <c r="E90" s="269">
        <v>79</v>
      </c>
      <c r="F90" s="359" t="n">
        <v>1658.0</v>
      </c>
      <c r="G90" s="9">
        <f si="3" t="shared"/>
        <v>9.4294483539310758E-4</v>
      </c>
    </row>
    <row r="91" spans="1:7" x14ac:dyDescent="0.25">
      <c r="A91">
        <v>80</v>
      </c>
      <c r="B91" s="6" t="n">
        <v>638.901331</v>
      </c>
      <c r="C91" s="9">
        <f si="2" t="shared"/>
        <v>4.1478442548822735E-4</v>
      </c>
      <c r="E91" s="270">
        <v>80</v>
      </c>
      <c r="F91" s="360" t="n">
        <v>1519.0</v>
      </c>
      <c r="G91" s="9">
        <f si="3" t="shared"/>
        <v>9.1668708935802728E-4</v>
      </c>
    </row>
    <row r="92" spans="1:7" x14ac:dyDescent="0.25">
      <c r="A92">
        <v>81</v>
      </c>
      <c r="B92" s="6" t="n">
        <v>336.035611</v>
      </c>
      <c r="C92" s="9">
        <f si="2" t="shared"/>
        <v>2.1815941067779751E-4</v>
      </c>
      <c r="E92" s="271">
        <v>81</v>
      </c>
      <c r="F92" s="361" t="n">
        <v>1414.0</v>
      </c>
      <c r="G92" s="9">
        <f si="3" t="shared"/>
        <v>8.5250148793894194E-4</v>
      </c>
    </row>
    <row r="93" spans="1:7" x14ac:dyDescent="0.25">
      <c r="A93">
        <v>82</v>
      </c>
      <c r="B93" s="6" t="n">
        <v>1580.015256</v>
      </c>
      <c r="C93" s="9">
        <f si="2" t="shared"/>
        <v>1.0257698464907321E-3</v>
      </c>
      <c r="E93" s="272">
        <v>82</v>
      </c>
      <c r="F93" s="362" t="n">
        <v>1313.0</v>
      </c>
      <c r="G93" s="9">
        <f si="3" t="shared"/>
        <v>7.3755091085203465E-4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273">
        <v>83</v>
      </c>
      <c r="F94" s="363" t="n">
        <v>1215.0</v>
      </c>
      <c r="G94" s="9">
        <f si="3" t="shared"/>
        <v>7.2413028510077135E-4</v>
      </c>
    </row>
    <row r="95" spans="1:7" x14ac:dyDescent="0.25">
      <c r="A95">
        <v>84</v>
      </c>
      <c r="B95" s="6" t="n">
        <v>20.848398</v>
      </c>
      <c r="C95" s="9">
        <f si="2" t="shared"/>
        <v>1.3535095901654815E-5</v>
      </c>
      <c r="E95" s="274">
        <v>84</v>
      </c>
      <c r="F95" s="364" t="n">
        <v>1130.0</v>
      </c>
      <c r="G95" s="9">
        <f si="3" t="shared"/>
        <v>6.5002509073510014E-4</v>
      </c>
    </row>
    <row r="96" spans="1:7" x14ac:dyDescent="0.25">
      <c r="A96">
        <v>85</v>
      </c>
      <c r="B96" s="6" t="n">
        <v>288.496806</v>
      </c>
      <c r="C96" s="9">
        <f si="2" t="shared"/>
        <v>1.872964981065262E-4</v>
      </c>
      <c r="E96" s="275">
        <v>85</v>
      </c>
      <c r="F96" s="365" t="n">
        <v>1062.0</v>
      </c>
      <c r="G96" s="9">
        <f si="3" t="shared"/>
        <v>6.3368693764660571E-4</v>
      </c>
    </row>
    <row r="97" spans="1:7" x14ac:dyDescent="0.25">
      <c r="A97">
        <v>86</v>
      </c>
      <c r="B97" s="6" t="n">
        <v>476.341966</v>
      </c>
      <c r="C97" s="9">
        <f si="2" t="shared"/>
        <v>3.09248422434798E-4</v>
      </c>
      <c r="E97" s="276">
        <v>86</v>
      </c>
      <c r="F97" s="366" t="n">
        <v>985.0</v>
      </c>
      <c r="G97" s="9">
        <f si="3" t="shared"/>
        <v>5.724188635647516E-4</v>
      </c>
    </row>
    <row r="98" spans="1:7" x14ac:dyDescent="0.25">
      <c r="A98">
        <v>87</v>
      </c>
      <c r="B98" s="6" t="n">
        <v>457.67477199999996</v>
      </c>
      <c r="C98" s="9">
        <f si="2" t="shared"/>
        <v>2.9712939722217516E-4</v>
      </c>
      <c r="E98" s="277">
        <v>87</v>
      </c>
      <c r="F98" s="367" t="n">
        <v>947.0</v>
      </c>
      <c r="G98" s="9">
        <f si="3" t="shared"/>
        <v>5.5141266673668728E-4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278">
        <v>88</v>
      </c>
      <c r="F99" s="368" t="n">
        <v>891.0</v>
      </c>
      <c r="G99" s="9">
        <f si="3" t="shared"/>
        <v>5.0006418560141904E-4</v>
      </c>
    </row>
    <row r="100" spans="1:7" x14ac:dyDescent="0.25">
      <c r="A100">
        <v>89</v>
      </c>
      <c r="B100" s="6" t="n">
        <v>34.089124</v>
      </c>
      <c r="C100" s="9">
        <f si="2" t="shared"/>
        <v>2.2131175860294052E-5</v>
      </c>
      <c r="E100" s="279">
        <v>89</v>
      </c>
      <c r="F100" s="369" t="n">
        <v>785.0</v>
      </c>
      <c r="G100" s="9">
        <f si="3" t="shared"/>
        <v>5.0706625121077389E-4</v>
      </c>
    </row>
    <row ht="15.75" r="101" spans="1:7" thickBot="1" x14ac:dyDescent="0.3">
      <c r="A101" s="1">
        <v>90</v>
      </c>
      <c r="B101" s="7" t="n">
        <v>626.89622</v>
      </c>
      <c r="C101" s="9">
        <f si="2" t="shared"/>
        <v>4.0699052551111583E-4</v>
      </c>
      <c r="E101" s="372">
        <v>90</v>
      </c>
      <c r="F101" s="372" t="n">
        <v>16304.0</v>
      </c>
      <c r="G101" s="9">
        <f si="3" t="shared"/>
        <v>9.4568731109010498E-3</v>
      </c>
    </row>
    <row r="102" spans="1:7" x14ac:dyDescent="0.25">
      <c r="B102" s="6">
        <f>SUM(B11:B101)</f>
        <v>1540321.4097249988</v>
      </c>
      <c r="C102" s="9">
        <f si="2" t="shared"/>
        <v>1</v>
      </c>
      <c r="F102" s="6">
        <f>SUM(F11:F101)</f>
        <v>1713780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102"/>
  <sheetViews>
    <sheetView workbookViewId="0">
      <selection activeCell="L30" sqref="L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59761.774945</v>
      </c>
      <c r="C11" s="9">
        <f>B11/B$102</f>
        <v>8.2377379523211267E-2</v>
      </c>
      <c r="E11" s="371">
        <v>0</v>
      </c>
      <c r="F11" s="371" t="n">
        <v>67039.0</v>
      </c>
      <c r="G11" s="9">
        <f>F11/F$102</f>
        <v>7.4346529799367109E-2</v>
      </c>
      <c r="K11" s="6" t="n">
        <v>9.71460666895821</v>
      </c>
      <c r="L11" s="6" t="n">
        <v>9.493598468718616</v>
      </c>
    </row>
    <row r="12" spans="1:12" x14ac:dyDescent="0.25">
      <c r="A12">
        <v>1</v>
      </c>
      <c r="B12" s="6" t="n">
        <v>68341.516429</v>
      </c>
      <c r="C12" s="9">
        <f>B12/B$102</f>
        <v>9.4203946272424607E-2</v>
      </c>
      <c r="E12" s="371">
        <v>1</v>
      </c>
      <c r="F12" s="371" t="n">
        <v>77858.0</v>
      </c>
      <c r="G12" s="9">
        <f>F12/F$102</f>
        <v>9.0285971649139929E-2</v>
      </c>
      <c r="K12" s="6"/>
      <c r="L12" s="371"/>
    </row>
    <row r="13" spans="1:12" x14ac:dyDescent="0.25">
      <c r="A13">
        <v>2</v>
      </c>
      <c r="B13" s="6" t="n">
        <v>63532.654426</v>
      </c>
      <c r="C13" s="9">
        <f ref="C13:C76" si="0" t="shared">B13/B$102</f>
        <v>8.7575270155283547E-2</v>
      </c>
      <c r="E13" s="371">
        <v>2</v>
      </c>
      <c r="F13" s="371" t="n">
        <v>74063.0</v>
      </c>
      <c r="G13" s="9">
        <f ref="G13:G76" si="1" t="shared">F13/F$102</f>
        <v>8.8083302642968236E-2</v>
      </c>
    </row>
    <row r="14" spans="1:12" x14ac:dyDescent="0.25">
      <c r="A14">
        <v>3</v>
      </c>
      <c r="B14" s="6" t="n">
        <v>55759.462135</v>
      </c>
      <c r="C14" s="9">
        <f si="0" t="shared"/>
        <v>7.6860474417507665E-2</v>
      </c>
      <c r="E14" s="371">
        <v>3</v>
      </c>
      <c r="F14" s="371" t="n">
        <v>62583.0</v>
      </c>
      <c r="G14" s="9">
        <f si="1" t="shared"/>
        <v>7.4814508997163978E-2</v>
      </c>
    </row>
    <row r="15" spans="1:12" x14ac:dyDescent="0.25">
      <c r="A15">
        <v>4</v>
      </c>
      <c r="B15" s="6" t="n">
        <v>47189.272067</v>
      </c>
      <c r="C15" s="9">
        <f si="0" t="shared"/>
        <v>6.504707361963262E-2</v>
      </c>
      <c r="E15" s="371">
        <v>4</v>
      </c>
      <c r="F15" s="371" t="n">
        <v>55340.0</v>
      </c>
      <c r="G15" s="9">
        <f si="1" t="shared"/>
        <v>6.6000314331892254E-2</v>
      </c>
    </row>
    <row r="16" spans="1:12" x14ac:dyDescent="0.25">
      <c r="A16">
        <v>5</v>
      </c>
      <c r="B16" s="6" t="n">
        <v>39133.874738</v>
      </c>
      <c r="C16" s="9">
        <f si="0" t="shared"/>
        <v>5.3943278198696674E-2</v>
      </c>
      <c r="E16" s="371">
        <v>5</v>
      </c>
      <c r="F16" s="371" t="n">
        <v>49549.0</v>
      </c>
      <c r="G16" s="9">
        <f si="1" t="shared"/>
        <v>5.8403569309009362E-2</v>
      </c>
    </row>
    <row r="17" spans="1:7" x14ac:dyDescent="0.25">
      <c r="A17">
        <v>6</v>
      </c>
      <c r="B17" s="6" t="n">
        <v>31856.78459</v>
      </c>
      <c r="C17" s="9">
        <f si="0" t="shared"/>
        <v>4.3912324173349872E-2</v>
      </c>
      <c r="E17" s="371">
        <v>6</v>
      </c>
      <c r="F17" s="371" t="n">
        <v>42429.0</v>
      </c>
      <c r="G17" s="9">
        <f si="1" t="shared"/>
        <v>5.0488973753286995E-2</v>
      </c>
    </row>
    <row r="18" spans="1:7" x14ac:dyDescent="0.25">
      <c r="A18">
        <v>7</v>
      </c>
      <c r="B18" s="6" t="n">
        <v>33201.232815</v>
      </c>
      <c r="C18" s="9">
        <f si="0" t="shared"/>
        <v>4.576555095220744E-2</v>
      </c>
      <c r="E18" s="371">
        <v>7</v>
      </c>
      <c r="F18" s="371" t="n">
        <v>37462.0</v>
      </c>
      <c r="G18" s="9">
        <f si="1" t="shared"/>
        <v>4.4825135291730489E-2</v>
      </c>
    </row>
    <row r="19" spans="1:7" x14ac:dyDescent="0.25">
      <c r="A19">
        <v>8</v>
      </c>
      <c r="B19" s="6" t="n">
        <v>32012.983834</v>
      </c>
      <c r="C19" s="9">
        <f si="0" t="shared"/>
        <v>4.4127633782478262E-2</v>
      </c>
      <c r="E19" s="371">
        <v>8</v>
      </c>
      <c r="F19" s="371" t="n">
        <v>33957.0</v>
      </c>
      <c r="G19" s="9">
        <f si="1" t="shared"/>
        <v>4.0768142697296041E-2</v>
      </c>
    </row>
    <row r="20" spans="1:7" x14ac:dyDescent="0.25">
      <c r="A20">
        <v>9</v>
      </c>
      <c r="B20" s="6" t="n">
        <v>24370.467094</v>
      </c>
      <c r="C20" s="9">
        <f si="0" t="shared"/>
        <v>3.359296504844414E-2</v>
      </c>
      <c r="E20" s="371">
        <v>9</v>
      </c>
      <c r="F20" s="371" t="n">
        <v>34625.0</v>
      </c>
      <c r="G20" s="9">
        <f si="1" t="shared"/>
        <v>4.0915925601863475E-2</v>
      </c>
    </row>
    <row r="21" spans="1:7" x14ac:dyDescent="0.25">
      <c r="A21">
        <v>10</v>
      </c>
      <c r="B21" s="6" t="n">
        <v>25107.529338</v>
      </c>
      <c r="C21" s="9">
        <f si="0" t="shared"/>
        <v>3.4608953215832024E-2</v>
      </c>
      <c r="E21" s="371">
        <v>10</v>
      </c>
      <c r="F21" s="371" t="n">
        <v>33244.0</v>
      </c>
      <c r="G21" s="9">
        <f si="1" t="shared"/>
        <v>3.790279638096087E-2</v>
      </c>
    </row>
    <row r="22" spans="1:7" x14ac:dyDescent="0.25">
      <c r="A22">
        <v>11</v>
      </c>
      <c r="B22" s="6" t="n">
        <v>28988.414013999998</v>
      </c>
      <c r="C22" s="9">
        <f si="0" t="shared"/>
        <v>3.9958478228013981E-2</v>
      </c>
      <c r="E22" s="371">
        <v>11</v>
      </c>
      <c r="F22" s="371" t="n">
        <v>30723.0</v>
      </c>
      <c r="G22" s="9">
        <f si="1" t="shared"/>
        <v>3.4723118172371163E-2</v>
      </c>
    </row>
    <row r="23" spans="1:7" x14ac:dyDescent="0.25">
      <c r="A23">
        <v>12</v>
      </c>
      <c r="B23" s="6" t="n">
        <v>21202.715955</v>
      </c>
      <c r="C23" s="9">
        <f si="0" t="shared"/>
        <v>2.9226444173643375E-2</v>
      </c>
      <c r="E23" s="371">
        <v>12</v>
      </c>
      <c r="F23" s="371" t="n">
        <v>27842.0</v>
      </c>
      <c r="G23" s="9">
        <f si="1" t="shared"/>
        <v>3.3185472236752903E-2</v>
      </c>
    </row>
    <row r="24" spans="1:7" x14ac:dyDescent="0.25">
      <c r="A24">
        <v>13</v>
      </c>
      <c r="B24" s="6" t="n">
        <v>18444.436919</v>
      </c>
      <c r="C24" s="9">
        <f si="0" t="shared"/>
        <v>2.5424351628892079E-2</v>
      </c>
      <c r="E24" s="371">
        <v>13</v>
      </c>
      <c r="F24" s="371" t="n">
        <v>23854.0</v>
      </c>
      <c r="G24" s="9">
        <f si="1" t="shared"/>
        <v>2.7926277442464363E-2</v>
      </c>
    </row>
    <row r="25" spans="1:7" x14ac:dyDescent="0.25">
      <c r="A25">
        <v>14</v>
      </c>
      <c r="B25" s="6" t="n">
        <v>18636.917099</v>
      </c>
      <c r="C25" s="9">
        <f si="0" t="shared"/>
        <v>2.5689671941970939E-2</v>
      </c>
      <c r="E25" s="371">
        <v>14</v>
      </c>
      <c r="F25" s="371" t="n">
        <v>21457.0</v>
      </c>
      <c r="G25" s="9">
        <f si="1" t="shared"/>
        <v>2.544329006969254E-2</v>
      </c>
    </row>
    <row r="26" spans="1:7" x14ac:dyDescent="0.25">
      <c r="A26">
        <v>15</v>
      </c>
      <c r="B26" s="6" t="n">
        <v>14290.785529</v>
      </c>
      <c r="C26" s="9">
        <f si="0" t="shared"/>
        <v>1.9698836995565887E-2</v>
      </c>
      <c r="E26" s="371">
        <v>15</v>
      </c>
      <c r="F26" s="371" t="n">
        <v>19892.0</v>
      </c>
      <c r="G26" s="9">
        <f si="1" t="shared"/>
        <v>2.3013082305694803E-2</v>
      </c>
    </row>
    <row r="27" spans="1:7" x14ac:dyDescent="0.25">
      <c r="A27">
        <v>16</v>
      </c>
      <c r="B27" s="6" t="n">
        <v>13419.977026</v>
      </c>
      <c r="C27" s="9">
        <f si="0" t="shared"/>
        <v>1.8498489070664235E-2</v>
      </c>
      <c r="E27" s="371">
        <v>16</v>
      </c>
      <c r="F27" s="371" t="n">
        <v>17337.0</v>
      </c>
      <c r="G27" s="9">
        <f si="1" t="shared"/>
        <v>2.0587566062476984E-2</v>
      </c>
    </row>
    <row r="28" spans="1:7" x14ac:dyDescent="0.25">
      <c r="A28">
        <v>17</v>
      </c>
      <c r="B28" s="6" t="n">
        <v>9106.843873</v>
      </c>
      <c r="C28" s="9">
        <f si="0" t="shared"/>
        <v>1.2553140107956547E-2</v>
      </c>
      <c r="E28" s="371">
        <v>17</v>
      </c>
      <c r="F28" s="371" t="n">
        <v>15294.0</v>
      </c>
      <c r="G28" s="9">
        <f si="1" t="shared"/>
        <v>1.802364995625157E-2</v>
      </c>
    </row>
    <row r="29" spans="1:7" x14ac:dyDescent="0.25">
      <c r="A29">
        <v>18</v>
      </c>
      <c r="B29" s="6" t="n">
        <v>15442.822591</v>
      </c>
      <c r="C29" s="9">
        <f si="0" t="shared"/>
        <v>2.1286838596397177E-2</v>
      </c>
      <c r="E29" s="371">
        <v>18</v>
      </c>
      <c r="F29" s="371" t="n">
        <v>14403.0</v>
      </c>
      <c r="G29" s="9">
        <f si="1" t="shared"/>
        <v>1.683317655834727E-2</v>
      </c>
    </row>
    <row r="30" spans="1:7" x14ac:dyDescent="0.25">
      <c r="A30">
        <v>19</v>
      </c>
      <c r="B30" s="6" t="n">
        <v>9970.460064</v>
      </c>
      <c r="C30" s="9">
        <f si="0" t="shared"/>
        <v>1.3743573939513108E-2</v>
      </c>
      <c r="E30" s="371">
        <v>19</v>
      </c>
      <c r="F30" s="371" t="n">
        <v>12217.0</v>
      </c>
      <c r="G30" s="9">
        <f si="1" t="shared"/>
        <v>1.4615260109640841E-2</v>
      </c>
    </row>
    <row r="31" spans="1:7" x14ac:dyDescent="0.25">
      <c r="A31">
        <v>20</v>
      </c>
      <c r="B31" s="6" t="n">
        <v>7849.207625</v>
      </c>
      <c r="C31" s="9">
        <f si="0" t="shared"/>
        <v>1.0819577498763808E-2</v>
      </c>
      <c r="E31" s="371">
        <v>20</v>
      </c>
      <c r="F31" s="371" t="n">
        <v>10523.0</v>
      </c>
      <c r="G31" s="9">
        <f si="1" t="shared"/>
        <v>1.2583831611936167E-2</v>
      </c>
    </row>
    <row r="32" spans="1:7" x14ac:dyDescent="0.25">
      <c r="A32">
        <v>21</v>
      </c>
      <c r="B32" s="6" t="n">
        <v>10598.531284</v>
      </c>
      <c r="C32" s="9">
        <f si="0" t="shared"/>
        <v>1.4609325689777597E-2</v>
      </c>
      <c r="E32" s="371">
        <v>21</v>
      </c>
      <c r="F32" s="371" t="n">
        <v>9299.0</v>
      </c>
      <c r="G32" s="9">
        <f si="1" t="shared"/>
        <v>1.1013345030858478E-2</v>
      </c>
    </row>
    <row r="33" spans="1:7" x14ac:dyDescent="0.25">
      <c r="A33">
        <v>22</v>
      </c>
      <c r="B33" s="6" t="n">
        <v>6549.894816</v>
      </c>
      <c r="C33" s="9">
        <f si="0" t="shared"/>
        <v>9.0285666982166651E-3</v>
      </c>
      <c r="E33" s="371">
        <v>22</v>
      </c>
      <c r="F33" s="371" t="n">
        <v>8196.0</v>
      </c>
      <c r="G33" s="9">
        <f si="1" t="shared"/>
        <v>9.696200571896383E-3</v>
      </c>
    </row>
    <row r="34" spans="1:7" x14ac:dyDescent="0.25">
      <c r="A34">
        <v>23</v>
      </c>
      <c r="B34" s="6" t="n">
        <v>5704.290829</v>
      </c>
      <c r="C34" s="9">
        <f si="0" t="shared"/>
        <v>7.8629614157840737E-3</v>
      </c>
      <c r="E34" s="371">
        <v>23</v>
      </c>
      <c r="F34" s="371" t="n">
        <v>7262.0</v>
      </c>
      <c r="G34" s="9">
        <f si="1" t="shared"/>
        <v>8.8693200344357633E-3</v>
      </c>
    </row>
    <row r="35" spans="1:7" x14ac:dyDescent="0.25">
      <c r="A35">
        <v>24</v>
      </c>
      <c r="B35" s="6" t="n">
        <v>8224.050435</v>
      </c>
      <c r="C35" s="9">
        <f si="0" t="shared"/>
        <v>1.1336271797909627E-2</v>
      </c>
      <c r="E35" s="371">
        <v>24</v>
      </c>
      <c r="F35" s="371" t="n">
        <v>6863.0</v>
      </c>
      <c r="G35" s="9">
        <f si="1" t="shared"/>
        <v>7.8289753014888549E-3</v>
      </c>
    </row>
    <row r="36" spans="1:7" x14ac:dyDescent="0.25">
      <c r="A36">
        <v>25</v>
      </c>
      <c r="B36" s="6" t="n">
        <v>4687.184774</v>
      </c>
      <c r="C36" s="9">
        <f si="0" t="shared"/>
        <v>6.4609526637816172E-3</v>
      </c>
      <c r="E36" s="371">
        <v>25</v>
      </c>
      <c r="F36" s="371" t="n">
        <v>6369.0</v>
      </c>
      <c r="G36" s="9">
        <f si="1" t="shared"/>
        <v>7.5861891011280765E-3</v>
      </c>
    </row>
    <row r="37" spans="1:7" x14ac:dyDescent="0.25">
      <c r="A37">
        <v>26</v>
      </c>
      <c r="B37" s="6" t="n">
        <v>6962.482467</v>
      </c>
      <c r="C37" s="9">
        <f si="0" t="shared"/>
        <v>9.5972895908064005E-3</v>
      </c>
      <c r="E37" s="371">
        <v>26</v>
      </c>
      <c r="F37" s="371" t="n">
        <v>6221.0</v>
      </c>
      <c r="G37" s="9">
        <f si="1" t="shared"/>
        <v>7.2108674387346026E-3</v>
      </c>
    </row>
    <row r="38" spans="1:7" x14ac:dyDescent="0.25">
      <c r="A38">
        <v>27</v>
      </c>
      <c r="B38" s="6" t="n">
        <v>5200.28765</v>
      </c>
      <c r="C38" s="9">
        <f si="0" t="shared"/>
        <v>7.1682286841073754E-3</v>
      </c>
      <c r="E38" s="371">
        <v>27</v>
      </c>
      <c r="F38" s="371" t="n">
        <v>5821.0</v>
      </c>
      <c r="G38" s="9">
        <f si="1" t="shared"/>
        <v>6.8566576198507631E-3</v>
      </c>
    </row>
    <row r="39" spans="1:7" x14ac:dyDescent="0.25">
      <c r="A39">
        <v>28</v>
      </c>
      <c r="B39" s="6" t="n">
        <v>6206.783621</v>
      </c>
      <c r="C39" s="9">
        <f si="0" t="shared"/>
        <v>8.5556121858182278E-3</v>
      </c>
      <c r="E39" s="371">
        <v>28</v>
      </c>
      <c r="F39" s="371" t="n">
        <v>5463.0</v>
      </c>
      <c r="G39" s="9">
        <f si="1" t="shared"/>
        <v>6.3699123389342272E-3</v>
      </c>
    </row>
    <row r="40" spans="1:7" x14ac:dyDescent="0.25">
      <c r="A40">
        <v>29</v>
      </c>
      <c r="B40" s="6" t="n">
        <v>4023.010153</v>
      </c>
      <c r="C40" s="9">
        <f si="0" t="shared"/>
        <v>5.5454349290062445E-3</v>
      </c>
      <c r="E40" s="371">
        <v>29</v>
      </c>
      <c r="F40" s="371" t="n">
        <v>5056.0</v>
      </c>
      <c r="G40" s="9">
        <f si="1" t="shared"/>
        <v>5.850326412558263E-3</v>
      </c>
    </row>
    <row r="41" spans="1:7" x14ac:dyDescent="0.25">
      <c r="A41">
        <v>30</v>
      </c>
      <c r="B41" s="6" t="n">
        <v>3205.106615</v>
      </c>
      <c r="C41" s="9">
        <f si="0" t="shared"/>
        <v>4.4180127561338446E-3</v>
      </c>
      <c r="E41" s="371">
        <v>30</v>
      </c>
      <c r="F41" s="371" t="n">
        <v>4765.0</v>
      </c>
      <c r="G41" s="9">
        <f si="1" t="shared"/>
        <v>5.5606250043983008E-3</v>
      </c>
    </row>
    <row r="42" spans="1:7" x14ac:dyDescent="0.25">
      <c r="A42">
        <v>31</v>
      </c>
      <c r="B42" s="6" t="n">
        <v>4432.386911</v>
      </c>
      <c r="C42" s="9">
        <f si="0" t="shared"/>
        <v>6.109731832717423E-3</v>
      </c>
      <c r="E42" s="371">
        <v>31</v>
      </c>
      <c r="F42" s="371" t="n">
        <v>4107.0</v>
      </c>
      <c r="G42" s="9">
        <f si="1" t="shared"/>
        <v>4.7290529461577616E-3</v>
      </c>
    </row>
    <row r="43" spans="1:7" x14ac:dyDescent="0.25">
      <c r="A43">
        <v>32</v>
      </c>
      <c r="B43" s="6" t="n">
        <v>3184.4521</v>
      </c>
      <c r="C43" s="9">
        <f si="0" t="shared"/>
        <v>4.3895419681997724E-3</v>
      </c>
      <c r="E43" s="371">
        <v>32</v>
      </c>
      <c r="F43" s="371" t="n">
        <v>3461.0</v>
      </c>
      <c r="G43" s="9">
        <f si="1" t="shared"/>
        <v>4.005385865855346E-3</v>
      </c>
    </row>
    <row r="44" spans="1:7" x14ac:dyDescent="0.25">
      <c r="A44">
        <v>33</v>
      </c>
      <c r="B44" s="6" t="n">
        <v>1418.534641</v>
      </c>
      <c r="C44" s="9">
        <f si="0" t="shared"/>
        <v>1.9553496628241626E-3</v>
      </c>
      <c r="E44" s="371">
        <v>33</v>
      </c>
      <c r="F44" s="371" t="n">
        <v>2782.0</v>
      </c>
      <c r="G44" s="9">
        <f si="1" t="shared"/>
        <v>3.4177728881705648E-3</v>
      </c>
    </row>
    <row r="45" spans="1:7" x14ac:dyDescent="0.25">
      <c r="A45">
        <v>34</v>
      </c>
      <c r="B45" s="6" t="n">
        <v>2408.190534</v>
      </c>
      <c r="C45" s="9">
        <f si="0" t="shared"/>
        <v>3.3195203081919241E-3</v>
      </c>
      <c r="E45" s="371">
        <v>34</v>
      </c>
      <c r="F45" s="371" t="n">
        <v>2317.0</v>
      </c>
      <c r="G45" s="9">
        <f si="1" t="shared"/>
        <v>2.7105261305978641E-3</v>
      </c>
    </row>
    <row r="46" spans="1:7" x14ac:dyDescent="0.25">
      <c r="A46">
        <v>35</v>
      </c>
      <c r="B46" s="6" t="n">
        <v>2139.934891</v>
      </c>
      <c r="C46" s="9">
        <f si="0" t="shared"/>
        <v>2.949748879331394E-3</v>
      </c>
      <c r="E46" s="371">
        <v>35</v>
      </c>
      <c r="F46" s="371" t="n">
        <v>1862.0</v>
      </c>
      <c r="G46" s="9">
        <f si="1" t="shared"/>
        <v>2.2355096516311246E-3</v>
      </c>
    </row>
    <row r="47" spans="1:7" x14ac:dyDescent="0.25">
      <c r="A47">
        <v>36</v>
      </c>
      <c r="B47" s="6" t="n">
        <v>2229.1477999999997</v>
      </c>
      <c r="C47" s="9">
        <f si="0" t="shared"/>
        <v>3.0727225639287179E-3</v>
      </c>
      <c r="E47" s="371">
        <v>36</v>
      </c>
      <c r="F47" s="371" t="n">
        <v>1638.0</v>
      </c>
      <c r="G47" s="9">
        <f si="1" t="shared"/>
        <v>1.9223506395715704E-3</v>
      </c>
    </row>
    <row r="48" spans="1:7" x14ac:dyDescent="0.25">
      <c r="A48">
        <v>37</v>
      </c>
      <c r="B48" s="6" t="n">
        <v>707.65512</v>
      </c>
      <c r="C48" s="9">
        <f si="0" t="shared"/>
        <v>9.7545252706154569E-4</v>
      </c>
      <c r="E48" s="371">
        <v>37</v>
      </c>
      <c r="F48" s="371" t="n">
        <v>1253.0</v>
      </c>
      <c r="G48" s="9">
        <f si="1" t="shared"/>
        <v>1.5552391385429544E-3</v>
      </c>
    </row>
    <row r="49" spans="1:7" x14ac:dyDescent="0.25">
      <c r="A49">
        <v>38</v>
      </c>
      <c r="B49" s="6" t="n">
        <v>933.759933</v>
      </c>
      <c r="C49" s="9">
        <f si="0" t="shared"/>
        <v>1.2871220182985035E-3</v>
      </c>
      <c r="E49" s="371">
        <v>38</v>
      </c>
      <c r="F49" s="371" t="n">
        <v>1137.0</v>
      </c>
      <c r="G49" s="9">
        <f si="1" t="shared"/>
        <v>1.3124529381821765E-3</v>
      </c>
    </row>
    <row r="50" spans="1:7" x14ac:dyDescent="0.25">
      <c r="A50">
        <v>39</v>
      </c>
      <c r="B50" s="6" t="n">
        <v>912.4904710000001</v>
      </c>
      <c r="C50" s="9">
        <f si="0" t="shared"/>
        <v>1.257803569423097E-3</v>
      </c>
      <c r="E50" s="371">
        <v>39</v>
      </c>
      <c r="F50" s="371" t="n">
        <v>983.0</v>
      </c>
      <c r="G50" s="9">
        <f si="1" t="shared"/>
        <v>1.2362157255085022E-3</v>
      </c>
    </row>
    <row r="51" spans="1:7" x14ac:dyDescent="0.25">
      <c r="A51">
        <v>40</v>
      </c>
      <c r="B51" s="6" t="n">
        <v>1188.936006</v>
      </c>
      <c r="C51" s="9">
        <f si="0" t="shared"/>
        <v>1.6388641850950797E-3</v>
      </c>
      <c r="E51" s="371">
        <v>40</v>
      </c>
      <c r="F51" s="371" t="n">
        <v>862.0</v>
      </c>
      <c r="G51" s="9">
        <f si="1" t="shared"/>
        <v>9.8756512417282625E-4</v>
      </c>
    </row>
    <row r="52" spans="1:7" x14ac:dyDescent="0.25">
      <c r="A52">
        <v>41</v>
      </c>
      <c r="B52" s="6" t="n">
        <v>658.130011</v>
      </c>
      <c r="C52" s="9">
        <f si="0" t="shared"/>
        <v>9.0718566745478049E-4</v>
      </c>
      <c r="E52" s="371">
        <v>41</v>
      </c>
      <c r="F52" s="371" t="n">
        <v>684.0</v>
      </c>
      <c r="G52" s="9">
        <f si="1" t="shared"/>
        <v>8.0694157414596724E-4</v>
      </c>
    </row>
    <row r="53" spans="1:7" x14ac:dyDescent="0.25">
      <c r="A53">
        <v>42</v>
      </c>
      <c r="B53" s="6" t="n">
        <v>707.2737950000001</v>
      </c>
      <c r="C53" s="9">
        <f si="0" t="shared"/>
        <v>9.7492689752200147E-4</v>
      </c>
      <c r="E53" s="371">
        <v>42</v>
      </c>
      <c r="F53" s="371" t="n">
        <v>646.0</v>
      </c>
      <c r="G53" s="9">
        <f si="1" t="shared"/>
        <v>7.318772416672727E-4</v>
      </c>
    </row>
    <row r="54" spans="1:7" x14ac:dyDescent="0.25">
      <c r="A54">
        <v>43</v>
      </c>
      <c r="B54" s="6" t="n">
        <v>1067.479327</v>
      </c>
      <c r="C54" s="9">
        <f si="0" t="shared"/>
        <v>1.4714447443100645E-3</v>
      </c>
      <c r="E54" s="371">
        <v>43</v>
      </c>
      <c r="F54" s="371" t="n">
        <v>566.0</v>
      </c>
      <c r="G54" s="9">
        <f si="1" t="shared"/>
        <v>6.0403330041449582E-4</v>
      </c>
    </row>
    <row r="55" spans="1:7" x14ac:dyDescent="0.25">
      <c r="A55">
        <v>44</v>
      </c>
      <c r="B55" s="6" t="n">
        <v>467.973919</v>
      </c>
      <c r="C55" s="9">
        <f si="0" t="shared"/>
        <v>6.4506894528996712E-4</v>
      </c>
      <c r="E55" s="371">
        <v>44</v>
      </c>
      <c r="F55" s="371" t="n">
        <v>419.0</v>
      </c>
      <c r="G55" s="9">
        <f si="1" t="shared"/>
        <v>5.1254864520608673E-4</v>
      </c>
    </row>
    <row r="56" spans="1:7" x14ac:dyDescent="0.25">
      <c r="A56">
        <v>45</v>
      </c>
      <c r="B56" s="6" t="n">
        <v>759.868714</v>
      </c>
      <c r="C56" s="9">
        <f si="0" t="shared"/>
        <v>1.0474252730713045E-3</v>
      </c>
      <c r="E56" s="371">
        <v>45</v>
      </c>
      <c r="F56" s="371" t="n">
        <v>395.0</v>
      </c>
      <c r="G56" s="9">
        <f si="1" t="shared"/>
        <v>4.5742327604204538E-4</v>
      </c>
    </row>
    <row r="57" spans="1:7" x14ac:dyDescent="0.25">
      <c r="A57">
        <v>46</v>
      </c>
      <c r="B57" s="6" t="n">
        <v>367.050419</v>
      </c>
      <c r="C57" s="9">
        <f si="0" t="shared"/>
        <v>5.0595303934570439E-4</v>
      </c>
      <c r="E57" s="371">
        <v>46</v>
      </c>
      <c r="F57" s="371" t="n">
        <v>316.0</v>
      </c>
      <c r="G57" s="9">
        <f si="1" t="shared"/>
        <v>4.0229790687800404E-4</v>
      </c>
    </row>
    <row r="58" spans="1:7" x14ac:dyDescent="0.25">
      <c r="A58">
        <v>47</v>
      </c>
      <c r="B58" s="6" t="n">
        <v>450.318993</v>
      </c>
      <c r="C58" s="9">
        <f si="0" t="shared"/>
        <v>6.2073287861700265E-4</v>
      </c>
      <c r="E58" s="371">
        <v>47</v>
      </c>
      <c r="F58" s="371" t="n">
        <v>253.0</v>
      </c>
      <c r="G58" s="9">
        <f si="1" t="shared"/>
        <v>3.0260309030473773E-4</v>
      </c>
    </row>
    <row r="59" spans="1:7" x14ac:dyDescent="0.25">
      <c r="A59">
        <v>48</v>
      </c>
      <c r="B59" s="6" t="n">
        <v>367.795839</v>
      </c>
      <c r="C59" s="9">
        <f si="0" t="shared"/>
        <v>5.069805480885539E-4</v>
      </c>
      <c r="E59" s="371">
        <v>48</v>
      </c>
      <c r="F59" s="371" t="n">
        <v>228.0</v>
      </c>
      <c r="G59" s="9">
        <f si="1" t="shared"/>
        <v>2.2284723704612468E-4</v>
      </c>
    </row>
    <row r="60" spans="1:7" x14ac:dyDescent="0.25">
      <c r="A60">
        <v>49</v>
      </c>
      <c r="B60" s="6" t="n">
        <v>248.77021000000002</v>
      </c>
      <c r="C60" s="9">
        <f si="0" t="shared"/>
        <v>3.4291213776865121E-4</v>
      </c>
      <c r="E60" s="371">
        <v>49</v>
      </c>
      <c r="F60" s="371" t="n">
        <v>202.0</v>
      </c>
      <c r="G60" s="9">
        <f si="1" t="shared"/>
        <v>1.9704387275657341E-4</v>
      </c>
    </row>
    <row r="61" spans="1:7" x14ac:dyDescent="0.25">
      <c r="A61">
        <v>50</v>
      </c>
      <c r="B61" s="6" t="n">
        <v>288.781469</v>
      </c>
      <c r="C61" s="9">
        <f si="0" t="shared"/>
        <v>3.9806482811089594E-4</v>
      </c>
      <c r="E61" s="371">
        <v>50</v>
      </c>
      <c r="F61" s="371" t="n">
        <v>166.0</v>
      </c>
      <c r="G61" s="9">
        <f si="1" t="shared"/>
        <v>1.5482018573730768E-4</v>
      </c>
    </row>
    <row r="62" spans="1:7" x14ac:dyDescent="0.25">
      <c r="A62">
        <v>51</v>
      </c>
      <c r="B62" s="6" t="n">
        <v>781.4601720000001</v>
      </c>
      <c r="C62" s="9">
        <f si="0" t="shared"/>
        <v>1.0771875706563816E-3</v>
      </c>
      <c r="E62" s="371">
        <v>51</v>
      </c>
      <c r="F62" s="371" t="n">
        <v>120.0</v>
      </c>
      <c r="G62" s="9">
        <f si="1" t="shared"/>
        <v>1.3370834222767482E-4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113.0</v>
      </c>
      <c r="G63" s="9">
        <f si="1" t="shared"/>
        <v>1.2197954027787877E-4</v>
      </c>
    </row>
    <row r="64" spans="1:7" x14ac:dyDescent="0.25">
      <c r="A64">
        <v>53</v>
      </c>
      <c r="B64" s="6" t="n">
        <v>79.818923</v>
      </c>
      <c r="C64" s="9">
        <f si="0" t="shared"/>
        <v>1.1002473937824533E-4</v>
      </c>
      <c r="E64" s="371">
        <v>53</v>
      </c>
      <c r="F64" s="371" t="n">
        <v>102.0</v>
      </c>
      <c r="G64" s="9">
        <f si="1" t="shared"/>
        <v>9.8521936378286704E-5</v>
      </c>
    </row>
    <row r="65" spans="1:7" x14ac:dyDescent="0.25">
      <c r="A65">
        <v>54</v>
      </c>
      <c r="B65" s="6" t="n">
        <v>28.166385</v>
      </c>
      <c r="C65" s="9">
        <f si="0" t="shared"/>
        <v>3.8825369378290387E-5</v>
      </c>
      <c r="E65" s="371">
        <v>54</v>
      </c>
      <c r="F65" s="371" t="n">
        <v>66.0</v>
      </c>
      <c r="G65" s="9">
        <f si="1" t="shared"/>
        <v>8.3274493843551857E-5</v>
      </c>
    </row>
    <row r="66" spans="1:7" x14ac:dyDescent="0.25">
      <c r="A66">
        <v>55</v>
      </c>
      <c r="B66" s="6" t="n">
        <v>293.729004</v>
      </c>
      <c r="C66" s="9">
        <f si="0" t="shared"/>
        <v>4.0488465514539176E-4</v>
      </c>
      <c r="E66" s="371">
        <v>55</v>
      </c>
      <c r="F66" s="371" t="n">
        <v>72.0</v>
      </c>
      <c r="G66" s="9">
        <f si="1" t="shared"/>
        <v>8.4447374038531457E-5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44.0</v>
      </c>
      <c r="G67" s="9">
        <f si="1" t="shared"/>
        <v>7.8582973063633441E-5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49.0</v>
      </c>
      <c r="G68" s="9">
        <f si="1" t="shared"/>
        <v>5.3952488969061768E-5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43.0</v>
      </c>
      <c r="G69" s="9">
        <f si="1" t="shared"/>
        <v>4.9260968189143352E-5</v>
      </c>
    </row>
    <row r="70" spans="1:7" x14ac:dyDescent="0.25">
      <c r="A70">
        <v>59</v>
      </c>
      <c r="B70" s="6" t="n">
        <v>60.463179</v>
      </c>
      <c r="C70" s="9">
        <f si="0" t="shared"/>
        <v>8.3344215399338279E-5</v>
      </c>
      <c r="E70" s="371">
        <v>59</v>
      </c>
      <c r="F70" s="371" t="n">
        <v>29.0</v>
      </c>
      <c r="G70" s="9">
        <f si="1" t="shared"/>
        <v>3.5186405849388112E-5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13.0</v>
      </c>
      <c r="G71" s="9">
        <f si="1" t="shared"/>
        <v>3.5186405849388112E-5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13.0</v>
      </c>
      <c r="G72" s="9">
        <f si="1" t="shared"/>
        <v>1.5247442534734846E-5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16.0</v>
      </c>
      <c r="G73" s="9">
        <f si="1" t="shared"/>
        <v>1.6420322729714452E-5</v>
      </c>
    </row>
    <row r="74" spans="1:7" x14ac:dyDescent="0.25">
      <c r="A74">
        <v>63</v>
      </c>
      <c r="B74" s="6" t="n">
        <v>65.389831</v>
      </c>
      <c r="C74" s="9">
        <f si="0" t="shared"/>
        <v>9.0135256695489467E-5</v>
      </c>
      <c r="E74" s="371">
        <v>63</v>
      </c>
      <c r="F74" s="371" t="n">
        <v>9.0</v>
      </c>
      <c r="G74" s="9">
        <f si="1" t="shared"/>
        <v>1.4074562339755244E-5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6.0</v>
      </c>
      <c r="G75" s="9">
        <f si="1" t="shared"/>
        <v>1.0555921754816432E-5</v>
      </c>
    </row>
    <row r="76" spans="1:7" x14ac:dyDescent="0.25">
      <c r="A76">
        <v>65</v>
      </c>
      <c r="B76" s="6" t="n">
        <v>233.699164</v>
      </c>
      <c r="C76" s="9">
        <f si="0" t="shared"/>
        <v>3.2213776690539678E-4</v>
      </c>
      <c r="E76" s="371">
        <v>65</v>
      </c>
      <c r="F76" s="371" t="n">
        <v>5.0</v>
      </c>
      <c r="G76" s="9">
        <f si="1" t="shared"/>
        <v>7.037281169877622E-6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8.0</v>
      </c>
      <c r="G77" s="9">
        <f ref="G77:G102" si="3" t="shared">F77/F$102</f>
        <v>9.3830415598368282E-6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7.0</v>
      </c>
      <c r="G78" s="9">
        <f si="3" t="shared"/>
        <v>3.518640584938811E-6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5.0</v>
      </c>
      <c r="G79" s="9">
        <f si="3" t="shared"/>
        <v>7.037281169877622E-6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5.0</v>
      </c>
      <c r="G80" s="9">
        <f si="3" t="shared"/>
        <v>4.6915207799184141E-6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3.0</v>
      </c>
      <c r="G81" s="9">
        <f si="3" t="shared"/>
        <v>3.518640584938811E-6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4.0</v>
      </c>
      <c r="G82" s="9">
        <f si="3" t="shared"/>
        <v>1.1728801949796035E-6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3.0</v>
      </c>
      <c r="G83" s="9">
        <f si="3" t="shared"/>
        <v>2.345760389959207E-6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2.345760389959207E-6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3.518640584938811E-6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2.345760389959207E-6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1.1728801949796035E-6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2.345760389959207E-6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1.0</v>
      </c>
      <c r="G98" s="9">
        <f si="3" t="shared"/>
        <v>1.1728801949796035E-6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1.1728801949796035E-6</v>
      </c>
    </row>
    <row r="102" spans="1:7" x14ac:dyDescent="0.25">
      <c r="B102" s="6">
        <f>SUM(B11:B101)</f>
        <v>725463.41351099999</v>
      </c>
      <c r="C102" s="9">
        <f si="2" t="shared"/>
        <v>1</v>
      </c>
      <c r="F102" s="6">
        <f>SUM(F11:F101)</f>
        <v>852602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M102"/>
  <sheetViews>
    <sheetView workbookViewId="0">
      <selection activeCell="U25" sqref="U25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914.0</v>
      </c>
      <c r="G11" s="9">
        <f>F11/F$102</f>
        <v>9.5003295793347892E-4</v>
      </c>
      <c r="K11" s="6" t="n">
        <v>21.186228185378866</v>
      </c>
      <c r="L11" s="6" t="n">
        <v>26.755723646816275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13639.0</v>
      </c>
      <c r="G12" s="9">
        <f>F12/F$102</f>
        <v>1.5109042671727253E-2</v>
      </c>
      <c r="K12" s="6"/>
      <c r="L12" s="371"/>
    </row>
    <row r="13" spans="1:12" x14ac:dyDescent="0.25">
      <c r="A13">
        <v>2</v>
      </c>
      <c r="B13" s="6" t="n">
        <v>1634.554707</v>
      </c>
      <c r="C13" s="9">
        <f ref="C13:C76" si="0" t="shared">B13/B$102</f>
        <v>2.2531180436643986E-3</v>
      </c>
      <c r="E13" s="371">
        <v>2</v>
      </c>
      <c r="F13" s="371" t="n">
        <v>7185.0</v>
      </c>
      <c r="G13" s="9">
        <f ref="G13:G76" si="1" t="shared">F13/F$102</f>
        <v>8.3051646606505727E-3</v>
      </c>
    </row>
    <row r="14" spans="1:12" x14ac:dyDescent="0.25">
      <c r="A14">
        <v>3</v>
      </c>
      <c r="B14" s="6" t="n">
        <v>24423.036645</v>
      </c>
      <c r="C14" s="9">
        <f si="0" t="shared"/>
        <v>3.3665428455999867E-2</v>
      </c>
      <c r="E14" s="371">
        <v>3</v>
      </c>
      <c r="F14" s="371" t="n">
        <v>12434.0</v>
      </c>
      <c r="G14" s="9">
        <f si="1" t="shared"/>
        <v>1.4182467317693367E-2</v>
      </c>
    </row>
    <row r="15" spans="1:12" x14ac:dyDescent="0.25">
      <c r="A15">
        <v>4</v>
      </c>
      <c r="B15" s="6" t="n">
        <v>19895.591947</v>
      </c>
      <c r="C15" s="9">
        <f si="0" t="shared"/>
        <v>2.7424666187798513E-2</v>
      </c>
      <c r="E15" s="371">
        <v>4</v>
      </c>
      <c r="F15" s="371" t="n">
        <v>19483.0</v>
      </c>
      <c r="G15" s="9">
        <f si="1" t="shared"/>
        <v>2.3357909083018807E-2</v>
      </c>
    </row>
    <row r="16" spans="1:12" x14ac:dyDescent="0.25">
      <c r="A16">
        <v>5</v>
      </c>
      <c r="B16" s="6" t="n">
        <v>37590.896021</v>
      </c>
      <c r="C16" s="9">
        <f si="0" t="shared"/>
        <v>5.1816391179636032E-2</v>
      </c>
      <c r="E16" s="371">
        <v>5</v>
      </c>
      <c r="F16" s="371" t="n">
        <v>27129.0</v>
      </c>
      <c r="G16" s="9">
        <f si="1" t="shared"/>
        <v>3.2407852667481425E-2</v>
      </c>
    </row>
    <row r="17" spans="1:7" x14ac:dyDescent="0.25">
      <c r="A17">
        <v>6</v>
      </c>
      <c r="B17" s="6" t="n">
        <v>43531.056908</v>
      </c>
      <c r="C17" s="9">
        <f si="0" t="shared"/>
        <v>6.0004482786146701E-2</v>
      </c>
      <c r="E17" s="371">
        <v>6</v>
      </c>
      <c r="F17" s="371" t="n">
        <v>31741.0</v>
      </c>
      <c r="G17" s="9">
        <f si="1" t="shared"/>
        <v>3.6592689203168653E-2</v>
      </c>
    </row>
    <row r="18" spans="1:7" x14ac:dyDescent="0.25">
      <c r="A18">
        <v>7</v>
      </c>
      <c r="B18" s="6" t="n">
        <v>30877.09673</v>
      </c>
      <c r="C18" s="9">
        <f si="0" t="shared"/>
        <v>4.256189375638561E-2</v>
      </c>
      <c r="E18" s="371">
        <v>7</v>
      </c>
      <c r="F18" s="371" t="n">
        <v>33044.0</v>
      </c>
      <c r="G18" s="9">
        <f si="1" t="shared"/>
        <v>3.8105704654692339E-2</v>
      </c>
    </row>
    <row r="19" spans="1:7" x14ac:dyDescent="0.25">
      <c r="A19">
        <v>8</v>
      </c>
      <c r="B19" s="6" t="n">
        <v>32240.342156</v>
      </c>
      <c r="C19" s="9">
        <f si="0" t="shared"/>
        <v>4.4441031147205011E-2</v>
      </c>
      <c r="E19" s="371">
        <v>8</v>
      </c>
      <c r="F19" s="371" t="n">
        <v>31123.0</v>
      </c>
      <c r="G19" s="9">
        <f si="1" t="shared"/>
        <v>3.6633740009992942E-2</v>
      </c>
    </row>
    <row r="20" spans="1:7" x14ac:dyDescent="0.25">
      <c r="A20">
        <v>9</v>
      </c>
      <c r="B20" s="6" t="n">
        <v>23764.628634</v>
      </c>
      <c r="C20" s="9">
        <f si="0" t="shared"/>
        <v>3.2757859585209367E-2</v>
      </c>
      <c r="E20" s="371">
        <v>9</v>
      </c>
      <c r="F20" s="371" t="n">
        <v>28666.0</v>
      </c>
      <c r="G20" s="9">
        <f si="1" t="shared"/>
        <v>3.4054576461232791E-2</v>
      </c>
    </row>
    <row r="21" spans="1:7" x14ac:dyDescent="0.25">
      <c r="A21">
        <v>10</v>
      </c>
      <c r="B21" s="6" t="n">
        <v>26976.129262</v>
      </c>
      <c r="C21" s="9">
        <f si="0" t="shared"/>
        <v>3.7184686035984342E-2</v>
      </c>
      <c r="E21" s="371">
        <v>10</v>
      </c>
      <c r="F21" s="371" t="n">
        <v>28207.0</v>
      </c>
      <c r="G21" s="9">
        <f si="1" t="shared"/>
        <v>3.3766047933267811E-2</v>
      </c>
    </row>
    <row r="22" spans="1:7" x14ac:dyDescent="0.25">
      <c r="A22">
        <v>11</v>
      </c>
      <c r="B22" s="6" t="n">
        <v>29558.423296</v>
      </c>
      <c r="C22" s="9">
        <f si="0" t="shared"/>
        <v>4.0744195703746315E-2</v>
      </c>
      <c r="E22" s="371">
        <v>11</v>
      </c>
      <c r="F22" s="371" t="n">
        <v>27423.0</v>
      </c>
      <c r="G22" s="9">
        <f si="1" t="shared"/>
        <v>3.2921574192882497E-2</v>
      </c>
    </row>
    <row r="23" spans="1:7" x14ac:dyDescent="0.25">
      <c r="A23">
        <v>12</v>
      </c>
      <c r="B23" s="6" t="n">
        <v>22243.383026</v>
      </c>
      <c r="C23" s="9">
        <f si="0" t="shared"/>
        <v>3.0660930119617597E-2</v>
      </c>
      <c r="E23" s="371">
        <v>12</v>
      </c>
      <c r="F23" s="371" t="n">
        <v>25668.0</v>
      </c>
      <c r="G23" s="9">
        <f si="1" t="shared"/>
        <v>3.0722423827295738E-2</v>
      </c>
    </row>
    <row r="24" spans="1:7" x14ac:dyDescent="0.25">
      <c r="A24">
        <v>13</v>
      </c>
      <c r="B24" s="6" t="n">
        <v>23935.212885</v>
      </c>
      <c r="C24" s="9">
        <f si="0" t="shared"/>
        <v>3.2992997908966357E-2</v>
      </c>
      <c r="E24" s="371">
        <v>13</v>
      </c>
      <c r="F24" s="371" t="n">
        <v>23770.0</v>
      </c>
      <c r="G24" s="9">
        <f si="1" t="shared"/>
        <v>2.8400121041236123E-2</v>
      </c>
    </row>
    <row r="25" spans="1:7" x14ac:dyDescent="0.25">
      <c r="A25">
        <v>14</v>
      </c>
      <c r="B25" s="6" t="n">
        <v>20570.704742</v>
      </c>
      <c r="C25" s="9">
        <f si="0" t="shared"/>
        <v>2.8355261421723104E-2</v>
      </c>
      <c r="E25" s="371">
        <v>14</v>
      </c>
      <c r="F25" s="371" t="n">
        <v>23432.0</v>
      </c>
      <c r="G25" s="9">
        <f si="1" t="shared"/>
        <v>2.7193227320602111E-2</v>
      </c>
    </row>
    <row r="26" spans="1:7" x14ac:dyDescent="0.25">
      <c r="A26">
        <v>15</v>
      </c>
      <c r="B26" s="6" t="n">
        <v>16718.803432</v>
      </c>
      <c r="C26" s="9">
        <f si="0" t="shared"/>
        <v>2.3045687929438924E-2</v>
      </c>
      <c r="E26" s="371">
        <v>15</v>
      </c>
      <c r="F26" s="371" t="n">
        <v>22115.0</v>
      </c>
      <c r="G26" s="9">
        <f si="1" t="shared"/>
        <v>2.5801018529161321E-2</v>
      </c>
    </row>
    <row r="27" spans="1:7" x14ac:dyDescent="0.25">
      <c r="A27">
        <v>16</v>
      </c>
      <c r="B27" s="6" t="n">
        <v>19363.552683</v>
      </c>
      <c r="C27" s="9">
        <f si="0" t="shared"/>
        <v>2.6691287696076777E-2</v>
      </c>
      <c r="E27" s="371">
        <v>16</v>
      </c>
      <c r="F27" s="371" t="n">
        <v>20893.0</v>
      </c>
      <c r="G27" s="9">
        <f si="1" t="shared"/>
        <v>2.4515541835463676E-2</v>
      </c>
    </row>
    <row r="28" spans="1:7" x14ac:dyDescent="0.25">
      <c r="A28">
        <v>17</v>
      </c>
      <c r="B28" s="6" t="n">
        <v>18015.601368</v>
      </c>
      <c r="C28" s="9">
        <f si="0" t="shared"/>
        <v>2.4833232155444661E-2</v>
      </c>
      <c r="E28" s="371">
        <v>17</v>
      </c>
      <c r="F28" s="371" t="n">
        <v>19786.0</v>
      </c>
      <c r="G28" s="9">
        <f si="1" t="shared"/>
        <v>2.3173766892407008E-2</v>
      </c>
    </row>
    <row r="29" spans="1:7" x14ac:dyDescent="0.25">
      <c r="A29">
        <v>18</v>
      </c>
      <c r="B29" s="6" t="n">
        <v>17401.111929</v>
      </c>
      <c r="C29" s="9">
        <f si="0" t="shared"/>
        <v>2.3986201929583815E-2</v>
      </c>
      <c r="E29" s="371">
        <v>18</v>
      </c>
      <c r="F29" s="371" t="n">
        <v>18717.0</v>
      </c>
      <c r="G29" s="9">
        <f si="1" t="shared"/>
        <v>2.1580995587624708E-2</v>
      </c>
    </row>
    <row r="30" spans="1:7" x14ac:dyDescent="0.25">
      <c r="A30">
        <v>19</v>
      </c>
      <c r="B30" s="6" t="n">
        <v>20842.301365</v>
      </c>
      <c r="C30" s="9">
        <f si="0" t="shared"/>
        <v>2.8729638155190008E-2</v>
      </c>
      <c r="E30" s="371">
        <v>19</v>
      </c>
      <c r="F30" s="371" t="n">
        <v>17810.0</v>
      </c>
      <c r="G30" s="9">
        <f si="1" t="shared"/>
        <v>2.1139992634312377E-2</v>
      </c>
    </row>
    <row r="31" spans="1:7" x14ac:dyDescent="0.25">
      <c r="A31">
        <v>20</v>
      </c>
      <c r="B31" s="6" t="n">
        <v>16572.623057</v>
      </c>
      <c r="C31" s="9">
        <f si="0" t="shared"/>
        <v>2.2844188622544129E-2</v>
      </c>
      <c r="E31" s="371">
        <v>20</v>
      </c>
      <c r="F31" s="371" t="n">
        <v>17371.0</v>
      </c>
      <c r="G31" s="9">
        <f si="1" t="shared"/>
        <v>2.0412806913425022E-2</v>
      </c>
    </row>
    <row r="32" spans="1:7" x14ac:dyDescent="0.25">
      <c r="A32">
        <v>21</v>
      </c>
      <c r="B32" s="6" t="n">
        <v>16689.327587</v>
      </c>
      <c r="C32" s="9">
        <f si="0" t="shared"/>
        <v>2.3005057562075052E-2</v>
      </c>
      <c r="E32" s="371">
        <v>21</v>
      </c>
      <c r="F32" s="371" t="n">
        <v>16519.0</v>
      </c>
      <c r="G32" s="9">
        <f si="1" t="shared"/>
        <v>1.9295052087609458E-2</v>
      </c>
    </row>
    <row r="33" spans="1:7" x14ac:dyDescent="0.25">
      <c r="A33">
        <v>22</v>
      </c>
      <c r="B33" s="6" t="n">
        <v>14912.994521999999</v>
      </c>
      <c r="C33" s="9">
        <f si="0" t="shared"/>
        <v>2.0556508080574468E-2</v>
      </c>
      <c r="E33" s="371">
        <v>22</v>
      </c>
      <c r="F33" s="371" t="n">
        <v>15613.0</v>
      </c>
      <c r="G33" s="9">
        <f si="1" t="shared"/>
        <v>1.8391934337475165E-2</v>
      </c>
    </row>
    <row r="34" spans="1:7" x14ac:dyDescent="0.25">
      <c r="A34">
        <v>23</v>
      </c>
      <c r="B34" s="6" t="n">
        <v>10540.307594</v>
      </c>
      <c r="C34" s="9">
        <f si="0" t="shared"/>
        <v>1.4529068451554914E-2</v>
      </c>
      <c r="E34" s="371">
        <v>23</v>
      </c>
      <c r="F34" s="371" t="n">
        <v>15093.0</v>
      </c>
      <c r="G34" s="9">
        <f si="1" t="shared"/>
        <v>1.7860619609149402E-2</v>
      </c>
    </row>
    <row r="35" spans="1:7" x14ac:dyDescent="0.25">
      <c r="A35">
        <v>24</v>
      </c>
      <c r="B35" s="6" t="n">
        <v>11025.623775</v>
      </c>
      <c r="C35" s="9">
        <f si="0" t="shared"/>
        <v>1.5198042478310077E-2</v>
      </c>
      <c r="E35" s="371">
        <v>24</v>
      </c>
      <c r="F35" s="371" t="n">
        <v>14589.0</v>
      </c>
      <c r="G35" s="9">
        <f si="1" t="shared"/>
        <v>1.7115840685337357E-2</v>
      </c>
    </row>
    <row r="36" spans="1:7" x14ac:dyDescent="0.25">
      <c r="A36">
        <v>25</v>
      </c>
      <c r="B36" s="6" t="n">
        <v>14217.507582</v>
      </c>
      <c r="C36" s="9">
        <f si="0" t="shared"/>
        <v>1.9597828528928888E-2</v>
      </c>
      <c r="E36" s="371">
        <v>25</v>
      </c>
      <c r="F36" s="371" t="n">
        <v>13926.0</v>
      </c>
      <c r="G36" s="9">
        <f si="1" t="shared"/>
        <v>1.6141177243309306E-2</v>
      </c>
    </row>
    <row r="37" spans="1:7" x14ac:dyDescent="0.25">
      <c r="A37">
        <v>26</v>
      </c>
      <c r="B37" s="6" t="n">
        <v>11860.338017</v>
      </c>
      <c r="C37" s="9">
        <f si="0" t="shared"/>
        <v>1.6348637017544337E-2</v>
      </c>
      <c r="E37" s="371">
        <v>26</v>
      </c>
      <c r="F37" s="371" t="n">
        <v>13487.0</v>
      </c>
      <c r="G37" s="9">
        <f si="1" t="shared"/>
        <v>1.5852648715344322E-2</v>
      </c>
    </row>
    <row r="38" spans="1:7" x14ac:dyDescent="0.25">
      <c r="A38">
        <v>27</v>
      </c>
      <c r="B38" s="6" t="n">
        <v>12771.319694</v>
      </c>
      <c r="C38" s="9">
        <f si="0" t="shared"/>
        <v>1.7604360821162707E-2</v>
      </c>
      <c r="E38" s="371">
        <v>27</v>
      </c>
      <c r="F38" s="371" t="n">
        <v>12808.0</v>
      </c>
      <c r="G38" s="9">
        <f si="1" t="shared"/>
        <v>1.4744276931088597E-2</v>
      </c>
    </row>
    <row r="39" spans="1:7" x14ac:dyDescent="0.25">
      <c r="A39">
        <v>28</v>
      </c>
      <c r="B39" s="6" t="n">
        <v>6507.122855</v>
      </c>
      <c r="C39" s="9">
        <f si="0" t="shared"/>
        <v>8.9696085754451885E-3</v>
      </c>
      <c r="E39" s="371">
        <v>28</v>
      </c>
      <c r="F39" s="371" t="n">
        <v>12190.0</v>
      </c>
      <c r="G39" s="9">
        <f si="1" t="shared"/>
        <v>1.4060487777415488E-2</v>
      </c>
    </row>
    <row r="40" spans="1:7" x14ac:dyDescent="0.25">
      <c r="A40">
        <v>29</v>
      </c>
      <c r="B40" s="6" t="n">
        <v>9060.617688</v>
      </c>
      <c r="C40" s="9">
        <f si="0" t="shared"/>
        <v>1.2489420581734991E-2</v>
      </c>
      <c r="E40" s="371">
        <v>29</v>
      </c>
      <c r="F40" s="371" t="n">
        <v>11626.0</v>
      </c>
      <c r="G40" s="9">
        <f si="1" t="shared"/>
        <v>1.3593681459813605E-2</v>
      </c>
    </row>
    <row r="41" spans="1:7" x14ac:dyDescent="0.25">
      <c r="A41">
        <v>30</v>
      </c>
      <c r="B41" s="6" t="n">
        <v>8409.50262</v>
      </c>
      <c r="C41" s="9">
        <f si="0" t="shared"/>
        <v>1.159190451700497E-2</v>
      </c>
      <c r="E41" s="371">
        <v>30</v>
      </c>
      <c r="F41" s="371" t="n">
        <v>11161.0</v>
      </c>
      <c r="G41" s="9">
        <f si="1" t="shared"/>
        <v>1.290050926458066E-2</v>
      </c>
    </row>
    <row r="42" spans="1:7" x14ac:dyDescent="0.25">
      <c r="A42">
        <v>31</v>
      </c>
      <c r="B42" s="6" t="n">
        <v>10165.760424</v>
      </c>
      <c r="C42" s="9">
        <f si="0" t="shared"/>
        <v>1.4012781671237052E-2</v>
      </c>
      <c r="E42" s="371">
        <v>31</v>
      </c>
      <c r="F42" s="371" t="n">
        <v>10455.0</v>
      </c>
      <c r="G42" s="9">
        <f si="1" t="shared"/>
        <v>1.2448950389513512E-2</v>
      </c>
    </row>
    <row r="43" spans="1:7" x14ac:dyDescent="0.25">
      <c r="A43">
        <v>32</v>
      </c>
      <c r="B43" s="6" t="n">
        <v>5814.299967</v>
      </c>
      <c r="C43" s="9">
        <f si="0" t="shared"/>
        <v>8.0146012310403619E-3</v>
      </c>
      <c r="E43" s="371">
        <v>32</v>
      </c>
      <c r="F43" s="371" t="n">
        <v>10097.0</v>
      </c>
      <c r="G43" s="9">
        <f si="1" t="shared"/>
        <v>1.1754605314085587E-2</v>
      </c>
    </row>
    <row r="44" spans="1:7" x14ac:dyDescent="0.25">
      <c r="A44">
        <v>33</v>
      </c>
      <c r="B44" s="6" t="n">
        <v>11635.483409</v>
      </c>
      <c r="C44" s="9">
        <f si="0" t="shared"/>
        <v>1.6038690845466851E-2</v>
      </c>
      <c r="E44" s="371">
        <v>33</v>
      </c>
      <c r="F44" s="371" t="n">
        <v>9700.0</v>
      </c>
      <c r="G44" s="9">
        <f si="1" t="shared"/>
        <v>1.1603303768933218E-2</v>
      </c>
    </row>
    <row r="45" spans="1:7" x14ac:dyDescent="0.25">
      <c r="A45">
        <v>34</v>
      </c>
      <c r="B45" s="6" t="n">
        <v>5275.292912</v>
      </c>
      <c r="C45" s="9">
        <f si="0" t="shared"/>
        <v>7.2716181322905757E-3</v>
      </c>
      <c r="E45" s="371">
        <v>34</v>
      </c>
      <c r="F45" s="371" t="n">
        <v>9700.0</v>
      </c>
      <c r="G45" s="9">
        <f si="1" t="shared"/>
        <v>1.0981677265594028E-2</v>
      </c>
    </row>
    <row r="46" spans="1:7" x14ac:dyDescent="0.25">
      <c r="A46">
        <v>35</v>
      </c>
      <c r="B46" s="6" t="n">
        <v>8569.211539</v>
      </c>
      <c r="C46" s="9">
        <f si="0" t="shared"/>
        <v>1.1812051964864624E-2</v>
      </c>
      <c r="E46" s="371">
        <v>35</v>
      </c>
      <c r="F46" s="371" t="n">
        <v>9075.0</v>
      </c>
      <c r="G46" s="9">
        <f si="1" t="shared"/>
        <v>1.0547711593451576E-2</v>
      </c>
    </row>
    <row r="47" spans="1:7" x14ac:dyDescent="0.25">
      <c r="A47">
        <v>36</v>
      </c>
      <c r="B47" s="6" t="n">
        <v>6070.735551</v>
      </c>
      <c r="C47" s="9">
        <f si="0" t="shared"/>
        <v>8.3680795446591533E-3</v>
      </c>
      <c r="E47" s="371">
        <v>36</v>
      </c>
      <c r="F47" s="371" t="n">
        <v>8693.0</v>
      </c>
      <c r="G47" s="9">
        <f si="1" t="shared"/>
        <v>1.0263874586266512E-2</v>
      </c>
    </row>
    <row r="48" spans="1:7" x14ac:dyDescent="0.25">
      <c r="A48">
        <v>37</v>
      </c>
      <c r="B48" s="6" t="n">
        <v>6287.769725</v>
      </c>
      <c r="C48" s="9">
        <f si="0" t="shared"/>
        <v>8.6672458016446401E-3</v>
      </c>
      <c r="E48" s="371">
        <v>37</v>
      </c>
      <c r="F48" s="371" t="n">
        <v>8107.0</v>
      </c>
      <c r="G48" s="9">
        <f si="1" t="shared"/>
        <v>9.8932444446529558E-3</v>
      </c>
    </row>
    <row r="49" spans="1:7" x14ac:dyDescent="0.25">
      <c r="A49">
        <v>38</v>
      </c>
      <c r="B49" s="6" t="n">
        <v>5596.570907</v>
      </c>
      <c r="C49" s="9">
        <f si="0" t="shared"/>
        <v>7.7144771228565131E-3</v>
      </c>
      <c r="E49" s="371">
        <v>38</v>
      </c>
      <c r="F49" s="371" t="n">
        <v>7708.0</v>
      </c>
      <c r="G49" s="9">
        <f si="1" t="shared"/>
        <v>9.2903840244334401E-3</v>
      </c>
    </row>
    <row r="50" spans="1:7" x14ac:dyDescent="0.25">
      <c r="A50">
        <v>39</v>
      </c>
      <c r="B50" s="6" t="n">
        <v>7737.772385</v>
      </c>
      <c r="C50" s="9">
        <f si="0" t="shared"/>
        <v>1.0665971902775604E-2</v>
      </c>
      <c r="E50" s="371">
        <v>39</v>
      </c>
      <c r="F50" s="371" t="n">
        <v>7973.0</v>
      </c>
      <c r="G50" s="9">
        <f si="1" t="shared"/>
        <v>9.3431636332075227E-3</v>
      </c>
    </row>
    <row r="51" spans="1:7" x14ac:dyDescent="0.25">
      <c r="A51">
        <v>40</v>
      </c>
      <c r="B51" s="6" t="n">
        <v>6195.1343560000005</v>
      </c>
      <c r="C51" s="9">
        <f si="0" t="shared"/>
        <v>8.5395544980244129E-3</v>
      </c>
      <c r="E51" s="371">
        <v>40</v>
      </c>
      <c r="F51" s="371" t="n">
        <v>7334.0</v>
      </c>
      <c r="G51" s="9">
        <f si="1" t="shared"/>
        <v>8.9959910954935593E-3</v>
      </c>
    </row>
    <row r="52" spans="1:7" x14ac:dyDescent="0.25">
      <c r="A52">
        <v>41</v>
      </c>
      <c r="B52" s="6" t="n">
        <v>5033.72285</v>
      </c>
      <c r="C52" s="9">
        <f si="0" t="shared"/>
        <v>6.938630889238742E-3</v>
      </c>
      <c r="E52" s="371">
        <v>41</v>
      </c>
      <c r="F52" s="371" t="n">
        <v>7108.0</v>
      </c>
      <c r="G52" s="9">
        <f si="1" t="shared"/>
        <v>8.4963441324322486E-3</v>
      </c>
    </row>
    <row r="53" spans="1:7" x14ac:dyDescent="0.25">
      <c r="A53">
        <v>42</v>
      </c>
      <c r="B53" s="6" t="n">
        <v>7926.970869</v>
      </c>
      <c r="C53" s="9">
        <f si="0" t="shared"/>
        <v>1.0926768630048647E-2</v>
      </c>
      <c r="E53" s="371">
        <v>42</v>
      </c>
      <c r="F53" s="371" t="n">
        <v>7172.0</v>
      </c>
      <c r="G53" s="9">
        <f si="1" t="shared"/>
        <v>8.3532527486447367E-3</v>
      </c>
    </row>
    <row r="54" spans="1:7" x14ac:dyDescent="0.25">
      <c r="A54">
        <v>43</v>
      </c>
      <c r="B54" s="6" t="n">
        <v>5104.530854</v>
      </c>
      <c r="C54" s="9">
        <f si="0" t="shared"/>
        <v>7.0362347141612325E-3</v>
      </c>
      <c r="E54" s="371">
        <v>43</v>
      </c>
      <c r="F54" s="371" t="n">
        <v>6584.0</v>
      </c>
      <c r="G54" s="9">
        <f si="1" t="shared"/>
        <v>7.9427446804018753E-3</v>
      </c>
    </row>
    <row r="55" spans="1:7" x14ac:dyDescent="0.25">
      <c r="A55">
        <v>44</v>
      </c>
      <c r="B55" s="6" t="n">
        <v>4714.725543</v>
      </c>
      <c r="C55" s="9">
        <f si="0" t="shared"/>
        <v>6.4989156657567467E-3</v>
      </c>
      <c r="E55" s="371">
        <v>44</v>
      </c>
      <c r="F55" s="371" t="n">
        <v>6410.0</v>
      </c>
      <c r="G55" s="9">
        <f si="1" t="shared"/>
        <v>7.5381010131339125E-3</v>
      </c>
    </row>
    <row r="56" spans="1:7" x14ac:dyDescent="0.25">
      <c r="A56">
        <v>45</v>
      </c>
      <c r="B56" s="6" t="n">
        <v>4674.667992</v>
      </c>
      <c r="C56" s="9">
        <f si="0" t="shared"/>
        <v>6.4436991651669589E-3</v>
      </c>
      <c r="E56" s="371">
        <v>45</v>
      </c>
      <c r="F56" s="371" t="n">
        <v>5844.0</v>
      </c>
      <c r="G56" s="9">
        <f si="1" t="shared"/>
        <v>6.9434507542792531E-3</v>
      </c>
    </row>
    <row r="57" spans="1:7" x14ac:dyDescent="0.25">
      <c r="A57">
        <v>46</v>
      </c>
      <c r="B57" s="6" t="n">
        <v>3900.7418239999997</v>
      </c>
      <c r="C57" s="9">
        <f si="0" t="shared"/>
        <v>5.3768966861081503E-3</v>
      </c>
      <c r="E57" s="371">
        <v>46</v>
      </c>
      <c r="F57" s="371" t="n">
        <v>5807.0</v>
      </c>
      <c r="G57" s="9">
        <f si="1" t="shared"/>
        <v>6.8965355464800692E-3</v>
      </c>
    </row>
    <row r="58" spans="1:7" x14ac:dyDescent="0.25">
      <c r="A58">
        <v>47</v>
      </c>
      <c r="B58" s="6" t="n">
        <v>3505.58723</v>
      </c>
      <c r="C58" s="9">
        <f si="0" t="shared"/>
        <v>4.8322040294687422E-3</v>
      </c>
      <c r="E58" s="371">
        <v>47</v>
      </c>
      <c r="F58" s="371" t="n">
        <v>5469.0</v>
      </c>
      <c r="G58" s="9">
        <f si="1" t="shared"/>
        <v>6.6256002214397812E-3</v>
      </c>
    </row>
    <row r="59" spans="1:7" x14ac:dyDescent="0.25">
      <c r="A59">
        <v>48</v>
      </c>
      <c r="B59" s="6" t="n">
        <v>2293.5464</v>
      </c>
      <c r="C59" s="9">
        <f si="0" t="shared"/>
        <v>3.1614914788052578E-3</v>
      </c>
      <c r="E59" s="371">
        <v>48</v>
      </c>
      <c r="F59" s="371" t="n">
        <v>5397.0</v>
      </c>
      <c r="G59" s="9">
        <f si="1" t="shared"/>
        <v>6.3405903340597375E-3</v>
      </c>
    </row>
    <row r="60" spans="1:7" x14ac:dyDescent="0.25">
      <c r="A60">
        <v>49</v>
      </c>
      <c r="B60" s="6" t="n">
        <v>3514.670774</v>
      </c>
      <c r="C60" s="9">
        <f si="0" t="shared"/>
        <v>4.8447250523498808E-3</v>
      </c>
      <c r="E60" s="371">
        <v>49</v>
      </c>
      <c r="F60" s="371" t="n">
        <v>5067.0</v>
      </c>
      <c r="G60" s="9">
        <f si="1" t="shared"/>
        <v>6.1845972681274499E-3</v>
      </c>
    </row>
    <row r="61" spans="1:7" x14ac:dyDescent="0.25">
      <c r="A61">
        <v>50</v>
      </c>
      <c r="B61" s="6" t="n">
        <v>5758.765969</v>
      </c>
      <c r="C61" s="9">
        <f si="0" t="shared"/>
        <v>7.9380515429847871E-3</v>
      </c>
      <c r="E61" s="371">
        <v>50</v>
      </c>
      <c r="F61" s="371" t="n">
        <v>5116.0</v>
      </c>
      <c r="G61" s="9">
        <f si="1" t="shared"/>
        <v>6.0555804466796937E-3</v>
      </c>
    </row>
    <row r="62" spans="1:7" x14ac:dyDescent="0.25">
      <c r="A62">
        <v>51</v>
      </c>
      <c r="B62" s="6" t="n">
        <v>2228.468305</v>
      </c>
      <c r="C62" s="9">
        <f si="0" t="shared"/>
        <v>3.0717859281351777E-3</v>
      </c>
      <c r="E62" s="371">
        <v>51</v>
      </c>
      <c r="F62" s="371" t="n">
        <v>4953.0</v>
      </c>
      <c r="G62" s="9">
        <f si="1" t="shared"/>
        <v>5.8866856986026306E-3</v>
      </c>
    </row>
    <row r="63" spans="1:7" x14ac:dyDescent="0.25">
      <c r="A63">
        <v>52</v>
      </c>
      <c r="B63" s="6" t="n">
        <v>2117.06734</v>
      </c>
      <c r="C63" s="9">
        <f si="0" t="shared"/>
        <v>2.9182275778100297E-3</v>
      </c>
      <c r="E63" s="371">
        <v>52</v>
      </c>
      <c r="F63" s="371" t="n">
        <v>4680.0</v>
      </c>
      <c r="G63" s="9">
        <f si="1" t="shared"/>
        <v>5.4316081829505446E-3</v>
      </c>
    </row>
    <row r="64" spans="1:7" x14ac:dyDescent="0.25">
      <c r="A64">
        <v>53</v>
      </c>
      <c r="B64" s="6" t="n">
        <v>2388.976928</v>
      </c>
      <c r="C64" s="9">
        <f si="0" t="shared"/>
        <v>3.2930357113919134E-3</v>
      </c>
      <c r="E64" s="371">
        <v>53</v>
      </c>
      <c r="F64" s="371" t="n">
        <v>4488.0</v>
      </c>
      <c r="G64" s="9">
        <f si="1" t="shared"/>
        <v>5.2826523981881349E-3</v>
      </c>
    </row>
    <row r="65" spans="1:7" x14ac:dyDescent="0.25">
      <c r="A65">
        <v>54</v>
      </c>
      <c r="B65" s="6" t="n">
        <v>2029.988022</v>
      </c>
      <c r="C65" s="9">
        <f si="0" t="shared"/>
        <v>2.7981948974870269E-3</v>
      </c>
      <c r="E65" s="371">
        <v>54</v>
      </c>
      <c r="F65" s="371" t="n">
        <v>4426.0</v>
      </c>
      <c r="G65" s="9">
        <f si="1" t="shared"/>
        <v>5.0586322809470308E-3</v>
      </c>
    </row>
    <row r="66" spans="1:7" x14ac:dyDescent="0.25">
      <c r="A66">
        <v>55</v>
      </c>
      <c r="B66" s="6" t="n">
        <v>1802.002923</v>
      </c>
      <c r="C66" s="9">
        <f si="0" t="shared"/>
        <v>2.4839335650007634E-3</v>
      </c>
      <c r="E66" s="371">
        <v>55</v>
      </c>
      <c r="F66" s="371" t="n">
        <v>4092.0</v>
      </c>
      <c r="G66" s="9">
        <f si="1" t="shared"/>
        <v>4.6328767701694345E-3</v>
      </c>
    </row>
    <row r="67" spans="1:7" x14ac:dyDescent="0.25">
      <c r="A67">
        <v>56</v>
      </c>
      <c r="B67" s="6" t="n">
        <v>1332.6348799999998</v>
      </c>
      <c r="C67" s="9">
        <f si="0" t="shared"/>
        <v>1.8369429183899076E-3</v>
      </c>
      <c r="E67" s="371">
        <v>56</v>
      </c>
      <c r="F67" s="371" t="n">
        <v>3882.0</v>
      </c>
      <c r="G67" s="9">
        <f si="1" t="shared"/>
        <v>4.6023818850999647E-3</v>
      </c>
    </row>
    <row r="68" spans="1:7" x14ac:dyDescent="0.25">
      <c r="A68">
        <v>57</v>
      </c>
      <c r="B68" s="6" t="n">
        <v>2872.084732</v>
      </c>
      <c r="C68" s="9">
        <f si="0" t="shared"/>
        <v>3.9589656466617294E-3</v>
      </c>
      <c r="E68" s="371">
        <v>57</v>
      </c>
      <c r="F68" s="371" t="n">
        <v>3888.0</v>
      </c>
      <c r="G68" s="9">
        <f si="1" t="shared"/>
        <v>4.5308361932062087E-3</v>
      </c>
    </row>
    <row r="69" spans="1:7" x14ac:dyDescent="0.25">
      <c r="A69">
        <v>58</v>
      </c>
      <c r="B69" s="6" t="n">
        <v>1113.219869</v>
      </c>
      <c r="C69" s="9">
        <f si="0" t="shared"/>
        <v>1.534494846008001E-3</v>
      </c>
      <c r="E69" s="371">
        <v>58</v>
      </c>
      <c r="F69" s="371" t="n">
        <v>3700.0</v>
      </c>
      <c r="G69" s="9">
        <f si="1" t="shared"/>
        <v>4.1883551762721648E-3</v>
      </c>
    </row>
    <row r="70" spans="1:7" x14ac:dyDescent="0.25">
      <c r="A70">
        <v>59</v>
      </c>
      <c r="B70" s="6" t="n">
        <v>1624.579357</v>
      </c>
      <c r="C70" s="9">
        <f si="0" t="shared"/>
        <v>2.2393677292939984E-3</v>
      </c>
      <c r="E70" s="371">
        <v>59</v>
      </c>
      <c r="F70" s="371" t="n">
        <v>3482.0</v>
      </c>
      <c r="G70" s="9">
        <f si="1" t="shared"/>
        <v>4.0370536311197958E-3</v>
      </c>
    </row>
    <row r="71" spans="1:7" x14ac:dyDescent="0.25">
      <c r="A71">
        <v>60</v>
      </c>
      <c r="B71" s="6" t="n">
        <v>2413.706439</v>
      </c>
      <c r="C71" s="9">
        <f si="0" t="shared"/>
        <v>3.3271235930678717E-3</v>
      </c>
      <c r="E71" s="371">
        <v>60</v>
      </c>
      <c r="F71" s="371" t="n">
        <v>3231.0</v>
      </c>
      <c r="G71" s="9">
        <f si="1" t="shared"/>
        <v>3.7461793427648539E-3</v>
      </c>
    </row>
    <row r="72" spans="1:7" x14ac:dyDescent="0.25">
      <c r="A72">
        <v>61</v>
      </c>
      <c r="B72" s="6" t="n">
        <v>1347.777761</v>
      </c>
      <c r="C72" s="9">
        <f si="0" t="shared"/>
        <v>1.8578163087194265E-3</v>
      </c>
      <c r="E72" s="371">
        <v>61</v>
      </c>
      <c r="F72" s="371" t="n">
        <v>3195.0</v>
      </c>
      <c r="G72" s="9">
        <f si="1" t="shared"/>
        <v>3.6570404479464042E-3</v>
      </c>
    </row>
    <row r="73" spans="1:7" x14ac:dyDescent="0.25">
      <c r="A73">
        <v>62</v>
      </c>
      <c r="B73" s="6" t="n">
        <v>2149.091038</v>
      </c>
      <c r="C73" s="9">
        <f si="0" t="shared"/>
        <v>2.9623699803124743E-3</v>
      </c>
      <c r="E73" s="371">
        <v>62</v>
      </c>
      <c r="F73" s="371" t="n">
        <v>2903.0</v>
      </c>
      <c r="G73" s="9">
        <f si="1" t="shared"/>
        <v>3.4248101693404426E-3</v>
      </c>
    </row>
    <row r="74" spans="1:7" x14ac:dyDescent="0.25">
      <c r="A74">
        <v>63</v>
      </c>
      <c r="B74" s="6" t="n">
        <v>1502.288326</v>
      </c>
      <c r="C74" s="9">
        <f si="0" t="shared"/>
        <v>2.0707981932947227E-3</v>
      </c>
      <c r="E74" s="371">
        <v>63</v>
      </c>
      <c r="F74" s="371" t="n">
        <v>2865.0</v>
      </c>
      <c r="G74" s="9">
        <f si="1" t="shared"/>
        <v>3.295793347892686E-3</v>
      </c>
    </row>
    <row r="75" spans="1:7" x14ac:dyDescent="0.25">
      <c r="A75">
        <v>64</v>
      </c>
      <c r="B75" s="6" t="n">
        <v>1329.64749</v>
      </c>
      <c r="C75" s="9">
        <f si="0" t="shared"/>
        <v>1.8328250125874057E-3</v>
      </c>
      <c r="E75" s="371">
        <v>64</v>
      </c>
      <c r="F75" s="371" t="n">
        <v>2694.0</v>
      </c>
      <c r="G75" s="9">
        <f si="1" t="shared"/>
        <v>3.2019629322943177E-3</v>
      </c>
    </row>
    <row r="76" spans="1:7" x14ac:dyDescent="0.25">
      <c r="A76">
        <v>65</v>
      </c>
      <c r="B76" s="6" t="n">
        <v>1419.6798589999999</v>
      </c>
      <c r="C76" s="9">
        <f si="0" t="shared"/>
        <v>1.956928264830373E-3</v>
      </c>
      <c r="E76" s="371">
        <v>65</v>
      </c>
      <c r="F76" s="371" t="n">
        <v>2721.0</v>
      </c>
      <c r="G76" s="9">
        <f si="1" t="shared"/>
        <v>3.0389325851921528E-3</v>
      </c>
    </row>
    <row r="77" spans="1:7" x14ac:dyDescent="0.25">
      <c r="A77">
        <v>66</v>
      </c>
      <c r="B77" s="6" t="n">
        <v>693.9473889999999</v>
      </c>
      <c r="C77" s="9">
        <f ref="C77:C102" si="2" t="shared">B77/B$102</f>
        <v>9.5655738949194881E-4</v>
      </c>
      <c r="E77" s="371">
        <v>66</v>
      </c>
      <c r="F77" s="371" t="n">
        <v>2432.0</v>
      </c>
      <c r="G77" s="9">
        <f ref="G77:G102" si="3" t="shared">F77/F$102</f>
        <v>2.9075700033544373E-3</v>
      </c>
    </row>
    <row r="78" spans="1:7" x14ac:dyDescent="0.25">
      <c r="A78">
        <v>67</v>
      </c>
      <c r="B78" s="6" t="n">
        <v>914.7472359999999</v>
      </c>
      <c r="C78" s="9">
        <f si="2" t="shared"/>
        <v>1.2609143603437287E-3</v>
      </c>
      <c r="E78" s="371">
        <v>67</v>
      </c>
      <c r="F78" s="371" t="n">
        <v>2401.0</v>
      </c>
      <c r="G78" s="9">
        <f si="3" t="shared"/>
        <v>2.9181259251092537E-3</v>
      </c>
    </row>
    <row r="79" spans="1:7" x14ac:dyDescent="0.25">
      <c r="A79">
        <v>68</v>
      </c>
      <c r="B79" s="6" t="n">
        <v>1542.071748</v>
      </c>
      <c r="C79" s="9">
        <f si="2" t="shared"/>
        <v>2.1256368264484767E-3</v>
      </c>
      <c r="E79" s="371">
        <v>68</v>
      </c>
      <c r="F79" s="371" t="n">
        <v>2501.0</v>
      </c>
      <c r="G79" s="9">
        <f si="3" t="shared"/>
        <v>2.7163905315727619E-3</v>
      </c>
    </row>
    <row r="80" spans="1:7" x14ac:dyDescent="0.25">
      <c r="A80">
        <v>69</v>
      </c>
      <c r="B80" s="6" t="n">
        <v>1378.917172</v>
      </c>
      <c r="C80" s="9">
        <f si="2" t="shared"/>
        <v>1.900739784142254E-3</v>
      </c>
      <c r="E80" s="371">
        <v>69</v>
      </c>
      <c r="F80" s="371" t="n">
        <v>2173.0</v>
      </c>
      <c r="G80" s="9">
        <f si="3" t="shared"/>
        <v>2.6037940328547202E-3</v>
      </c>
    </row>
    <row r="81" spans="1:7" x14ac:dyDescent="0.25">
      <c r="A81">
        <v>70</v>
      </c>
      <c r="B81" s="6" t="n">
        <v>577.638788</v>
      </c>
      <c r="C81" s="9">
        <f si="2" t="shared"/>
        <v>7.9623421008155604E-4</v>
      </c>
      <c r="E81" s="371">
        <v>70</v>
      </c>
      <c r="F81" s="371" t="n">
        <v>2241.0</v>
      </c>
      <c r="G81" s="9">
        <f si="3" t="shared"/>
        <v>2.5486686636906788E-3</v>
      </c>
    </row>
    <row r="82" spans="1:7" x14ac:dyDescent="0.25">
      <c r="A82">
        <v>71</v>
      </c>
      <c r="B82" s="6" t="n">
        <v>742.281796</v>
      </c>
      <c r="C82" s="9">
        <f si="2" t="shared"/>
        <v>1.0231829506158073E-3</v>
      </c>
      <c r="E82" s="371">
        <v>71</v>
      </c>
      <c r="F82" s="371" t="n">
        <v>2049.0</v>
      </c>
      <c r="G82" s="9">
        <f si="3" t="shared"/>
        <v>2.5111364974513312E-3</v>
      </c>
    </row>
    <row r="83" spans="1:7" x14ac:dyDescent="0.25">
      <c r="A83">
        <v>72</v>
      </c>
      <c r="B83" s="6" t="n">
        <v>1198.05632</v>
      </c>
      <c r="C83" s="9">
        <f si="2" t="shared"/>
        <v>1.6514358928202998E-3</v>
      </c>
      <c r="E83" s="371">
        <v>72</v>
      </c>
      <c r="F83" s="371" t="n">
        <v>2095.0</v>
      </c>
      <c r="G83" s="9">
        <f si="3" t="shared"/>
        <v>2.3492790305441459E-3</v>
      </c>
    </row>
    <row r="84" spans="1:7" x14ac:dyDescent="0.25">
      <c r="A84">
        <v>73</v>
      </c>
      <c r="B84" s="6" t="n">
        <v>1004.179702</v>
      </c>
      <c r="C84" s="9">
        <f si="2" t="shared"/>
        <v>1.3841906887352281E-3</v>
      </c>
      <c r="E84" s="371">
        <v>73</v>
      </c>
      <c r="F84" s="371" t="n">
        <v>1887.0</v>
      </c>
      <c r="G84" s="9">
        <f si="3" t="shared"/>
        <v>2.2871163802102271E-3</v>
      </c>
    </row>
    <row r="85" spans="1:7" x14ac:dyDescent="0.25">
      <c r="A85">
        <v>74</v>
      </c>
      <c r="B85" s="6" t="n">
        <v>891.5502160000001</v>
      </c>
      <c r="C85" s="9">
        <f si="2" t="shared"/>
        <v>1.2289389091107933E-3</v>
      </c>
      <c r="E85" s="371">
        <v>74</v>
      </c>
      <c r="F85" s="371" t="n">
        <v>1879.0</v>
      </c>
      <c r="G85" s="9">
        <f si="3" t="shared"/>
        <v>2.1522351577875727E-3</v>
      </c>
    </row>
    <row r="86" spans="1:7" x14ac:dyDescent="0.25">
      <c r="A86">
        <v>75</v>
      </c>
      <c r="B86" s="6" t="n">
        <v>598.849929</v>
      </c>
      <c r="C86" s="9">
        <f si="2" t="shared"/>
        <v>8.2547226758378786E-4</v>
      </c>
      <c r="E86" s="371">
        <v>75</v>
      </c>
      <c r="F86" s="371" t="n">
        <v>1783.0</v>
      </c>
      <c r="G86" s="9">
        <f si="3" t="shared"/>
        <v>2.0994555490134906E-3</v>
      </c>
    </row>
    <row r="87" spans="1:7" x14ac:dyDescent="0.25">
      <c r="A87">
        <v>76</v>
      </c>
      <c r="B87" s="6" t="n">
        <v>450.281124</v>
      </c>
      <c r="C87" s="9">
        <f si="2" t="shared"/>
        <v>6.2068067887916E-4</v>
      </c>
      <c r="E87" s="371">
        <v>76</v>
      </c>
      <c r="F87" s="371" t="n">
        <v>1720.0</v>
      </c>
      <c r="G87" s="9">
        <f si="3" t="shared"/>
        <v>2.0537132214092859E-3</v>
      </c>
    </row>
    <row r="88" spans="1:7" x14ac:dyDescent="0.25">
      <c r="A88">
        <v>77</v>
      </c>
      <c r="B88" s="6" t="n">
        <v>597.492973</v>
      </c>
      <c r="C88" s="9">
        <f si="2" t="shared"/>
        <v>8.2360179972182812E-4</v>
      </c>
      <c r="E88" s="371">
        <v>77</v>
      </c>
      <c r="F88" s="371" t="n">
        <v>1696.0</v>
      </c>
      <c r="G88" s="9">
        <f si="3" t="shared"/>
        <v>1.9704387275657339E-3</v>
      </c>
    </row>
    <row r="89" spans="1:7" x14ac:dyDescent="0.25">
      <c r="A89">
        <v>78</v>
      </c>
      <c r="B89" s="6" t="n">
        <v>813.390886</v>
      </c>
      <c r="C89" s="9">
        <f si="2" t="shared"/>
        <v>1.1212018012920334E-3</v>
      </c>
      <c r="E89" s="371">
        <v>78</v>
      </c>
      <c r="F89" s="371" t="n">
        <v>1580.0</v>
      </c>
      <c r="G89" s="9">
        <f si="3" t="shared"/>
        <v>1.8472863070928757E-3</v>
      </c>
    </row>
    <row r="90" spans="1:7" x14ac:dyDescent="0.25">
      <c r="A90">
        <v>79</v>
      </c>
      <c r="B90" s="6" t="n">
        <v>28.166385</v>
      </c>
      <c r="C90" s="9">
        <f si="2" t="shared"/>
        <v>3.8825369378290414E-5</v>
      </c>
      <c r="E90" s="371">
        <v>79</v>
      </c>
      <c r="F90" s="371" t="n">
        <v>1658.0</v>
      </c>
      <c r="G90" s="9">
        <f si="3" t="shared"/>
        <v>1.8883371139171619E-3</v>
      </c>
    </row>
    <row r="91" spans="1:7" x14ac:dyDescent="0.25">
      <c r="A91">
        <v>80</v>
      </c>
      <c r="B91" s="6" t="n">
        <v>849.409579</v>
      </c>
      <c r="C91" s="9">
        <f si="2" t="shared"/>
        <v>1.1708510218167208E-3</v>
      </c>
      <c r="E91" s="371">
        <v>80</v>
      </c>
      <c r="F91" s="371" t="n">
        <v>1599.0</v>
      </c>
      <c r="G91" s="9">
        <f si="3" t="shared"/>
        <v>1.9329065613263867E-3</v>
      </c>
    </row>
    <row r="92" spans="1:7" x14ac:dyDescent="0.25">
      <c r="A92">
        <v>81</v>
      </c>
      <c r="B92" s="6" t="n">
        <v>454.50588</v>
      </c>
      <c r="C92" s="9">
        <f si="2" t="shared"/>
        <v>6.2650420618779931E-4</v>
      </c>
      <c r="E92" s="371">
        <v>81</v>
      </c>
      <c r="F92" s="371" t="n">
        <v>1690.0</v>
      </c>
      <c r="G92" s="9">
        <f si="3" t="shared"/>
        <v>1.8414219061179777E-3</v>
      </c>
    </row>
    <row r="93" spans="1:7" x14ac:dyDescent="0.25">
      <c r="A93">
        <v>82</v>
      </c>
      <c r="B93" s="6" t="n">
        <v>279.137938</v>
      </c>
      <c r="C93" s="9">
        <f si="2" t="shared"/>
        <v>3.8477190276083815E-4</v>
      </c>
      <c r="E93" s="371">
        <v>82</v>
      </c>
      <c r="F93" s="371" t="n">
        <v>1578.0</v>
      </c>
      <c r="G93" s="9">
        <f si="3" t="shared"/>
        <v>1.6643169966760575E-3</v>
      </c>
    </row>
    <row r="94" spans="1:7" x14ac:dyDescent="0.25">
      <c r="A94">
        <v>83</v>
      </c>
      <c r="B94" s="6" t="n">
        <v>957.408357</v>
      </c>
      <c r="C94" s="9">
        <f si="2" t="shared"/>
        <v>1.3197196980154586E-3</v>
      </c>
      <c r="E94" s="371">
        <v>83</v>
      </c>
      <c r="F94" s="371" t="n">
        <v>1433.0</v>
      </c>
      <c r="G94" s="9">
        <f si="3" t="shared"/>
        <v>1.6467237937513636E-3</v>
      </c>
    </row>
    <row r="95" spans="1:7" x14ac:dyDescent="0.25">
      <c r="A95">
        <v>84</v>
      </c>
      <c r="B95" s="6" t="n">
        <v>344.580514</v>
      </c>
      <c r="C95" s="9">
        <f si="2" t="shared"/>
        <v>4.7497986470791947E-4</v>
      </c>
      <c r="E95" s="371">
        <v>84</v>
      </c>
      <c r="F95" s="371" t="n">
        <v>1398.0</v>
      </c>
      <c r="G95" s="9">
        <f si="3" t="shared"/>
        <v>1.6807373194057719E-3</v>
      </c>
    </row>
    <row r="96" spans="1:7" x14ac:dyDescent="0.25">
      <c r="A96">
        <v>85</v>
      </c>
      <c r="B96" s="6" t="n">
        <v>28.166385</v>
      </c>
      <c r="C96" s="9">
        <f si="2" t="shared"/>
        <v>3.8825369378290414E-5</v>
      </c>
      <c r="E96" s="371">
        <v>85</v>
      </c>
      <c r="F96" s="371" t="n">
        <v>1344.0</v>
      </c>
      <c r="G96" s="9">
        <f si="3" t="shared"/>
        <v>1.6056729869270774E-3</v>
      </c>
    </row>
    <row r="97" spans="1:7" x14ac:dyDescent="0.25">
      <c r="A97">
        <v>86</v>
      </c>
      <c r="B97" s="6" t="n">
        <v>367.396103</v>
      </c>
      <c r="C97" s="9">
        <f si="2" t="shared"/>
        <v>5.0642954028780871E-4</v>
      </c>
      <c r="E97" s="371">
        <v>86</v>
      </c>
      <c r="F97" s="371" t="n">
        <v>1294.0</v>
      </c>
      <c r="G97" s="9">
        <f si="3" t="shared"/>
        <v>1.5364730554232808E-3</v>
      </c>
    </row>
    <row r="98" spans="1:7" x14ac:dyDescent="0.25">
      <c r="A98">
        <v>87</v>
      </c>
      <c r="B98" s="6" t="n">
        <v>63.433932</v>
      </c>
      <c r="C98" s="9">
        <f si="2" t="shared"/>
        <v>8.7439188274155761E-5</v>
      </c>
      <c r="E98" s="371">
        <v>87</v>
      </c>
      <c r="F98" s="371" t="n">
        <v>1248.0</v>
      </c>
      <c r="G98" s="9">
        <f si="3" t="shared"/>
        <v>1.3664054271512382E-3</v>
      </c>
    </row>
    <row r="99" spans="1:7" x14ac:dyDescent="0.25">
      <c r="A99">
        <v>88</v>
      </c>
      <c r="B99" s="6" t="n">
        <v>429.148431</v>
      </c>
      <c r="C99" s="9">
        <f si="2" t="shared"/>
        <v>5.9155075639592293E-4</v>
      </c>
      <c r="E99" s="371">
        <v>88</v>
      </c>
      <c r="F99" s="371" t="n">
        <v>1194.0</v>
      </c>
      <c r="G99" s="9">
        <f si="3" t="shared"/>
        <v>1.3793071092960138E-3</v>
      </c>
    </row>
    <row r="100" spans="1:7" x14ac:dyDescent="0.25">
      <c r="A100">
        <v>89</v>
      </c>
      <c r="B100" s="6" t="n">
        <v>131.867175</v>
      </c>
      <c r="C100" s="9">
        <f si="2" t="shared"/>
        <v>1.8176957313644133E-4</v>
      </c>
      <c r="E100" s="371">
        <v>89</v>
      </c>
      <c r="F100" s="371" t="n">
        <v>1029.0</v>
      </c>
      <c r="G100" s="9">
        <f si="3" t="shared"/>
        <v>1.2455987670683391E-3</v>
      </c>
    </row>
    <row ht="15.75" r="101" spans="1:7" thickBot="1" x14ac:dyDescent="0.3">
      <c r="A101" s="1">
        <v>90</v>
      </c>
      <c r="B101" s="7" t="n">
        <v>529.900077</v>
      </c>
      <c r="C101" s="9">
        <f si="2" t="shared"/>
        <v>7.3042977375724772E-4</v>
      </c>
      <c r="E101" s="372">
        <v>90</v>
      </c>
      <c r="F101" s="372" t="n">
        <v>18542.0</v>
      </c>
      <c r="G101" s="9">
        <f si="3" t="shared"/>
        <v>2.1448460125592012E-2</v>
      </c>
    </row>
    <row r="102" spans="1:7" x14ac:dyDescent="0.25">
      <c r="B102" s="6">
        <f>SUM(B11:B101)</f>
        <v>725463.41351099953</v>
      </c>
      <c r="C102" s="9">
        <f si="2" t="shared"/>
        <v>1</v>
      </c>
      <c r="F102" s="6">
        <f>SUM(F11:F101)</f>
        <v>852602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M102"/>
  <sheetViews>
    <sheetView topLeftCell="A4" workbookViewId="0">
      <selection activeCell="I11" sqref="I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20025.612749</v>
      </c>
      <c r="C11" s="9">
        <f>B11/B$102</f>
        <v>8.5661990194214999E-2</v>
      </c>
      <c r="E11" s="371">
        <v>0</v>
      </c>
      <c r="F11" s="371" t="n">
        <v>33169.0</v>
      </c>
      <c r="G11" s="9">
        <f>F11/F$102</f>
        <v>0.14874662160667762</v>
      </c>
      <c r="K11" s="6" t="n">
        <v>5.069339457539065</v>
      </c>
      <c r="L11" s="6" t="n">
        <v>5.390061247042135</v>
      </c>
    </row>
    <row r="12" spans="1:12" x14ac:dyDescent="0.25">
      <c r="A12">
        <v>1</v>
      </c>
      <c r="B12" s="6" t="n">
        <v>40897.688176999996</v>
      </c>
      <c r="C12" s="9">
        <f>B12/B$102</f>
        <v>0.1749448272817111</v>
      </c>
      <c r="E12" s="371">
        <v>1</v>
      </c>
      <c r="F12" s="371" t="n">
        <v>46683.0</v>
      </c>
      <c r="G12" s="9">
        <f>F12/F$102</f>
        <v>0.2051851425892095</v>
      </c>
      <c r="K12" s="6"/>
      <c r="L12" s="371"/>
    </row>
    <row r="13" spans="1:12" x14ac:dyDescent="0.25">
      <c r="A13">
        <v>2</v>
      </c>
      <c r="B13" s="6" t="n">
        <v>39658.558019</v>
      </c>
      <c r="C13" s="9">
        <f ref="C13:C76" si="0" t="shared">B13/B$102</f>
        <v>0.16964429756637178</v>
      </c>
      <c r="E13" s="371">
        <v>2</v>
      </c>
      <c r="F13" s="371" t="n">
        <v>34744.0</v>
      </c>
      <c r="G13" s="9">
        <f ref="G13:G76" si="1" t="shared">F13/F$102</f>
        <v>0.1528515630183705</v>
      </c>
    </row>
    <row r="14" spans="1:12" x14ac:dyDescent="0.25">
      <c r="A14">
        <v>3</v>
      </c>
      <c r="B14" s="6" t="n">
        <v>28162.981789999998</v>
      </c>
      <c r="C14" s="9">
        <f si="0" t="shared"/>
        <v>0.12047057436758364</v>
      </c>
      <c r="E14" s="371">
        <v>3</v>
      </c>
      <c r="F14" s="371" t="n">
        <v>21477.0</v>
      </c>
      <c r="G14" s="9">
        <f si="1" t="shared"/>
        <v>9.4749833015583734E-2</v>
      </c>
    </row>
    <row r="15" spans="1:12" x14ac:dyDescent="0.25">
      <c r="A15">
        <v>4</v>
      </c>
      <c r="B15" s="6" t="n">
        <v>24928.037588</v>
      </c>
      <c r="C15" s="9">
        <f si="0" t="shared"/>
        <v>0.10663270773229706</v>
      </c>
      <c r="E15" s="371">
        <v>4</v>
      </c>
      <c r="F15" s="371" t="n">
        <v>13637.0</v>
      </c>
      <c r="G15" s="9">
        <f si="1" t="shared"/>
        <v>5.9703011027606619E-2</v>
      </c>
    </row>
    <row r="16" spans="1:12" x14ac:dyDescent="0.25">
      <c r="A16">
        <v>5</v>
      </c>
      <c r="B16" s="6" t="n">
        <v>16486.133636</v>
      </c>
      <c r="C16" s="9">
        <f si="0" t="shared"/>
        <v>7.0521438498208827E-2</v>
      </c>
      <c r="E16" s="371">
        <v>5</v>
      </c>
      <c r="F16" s="371" t="n">
        <v>10206.0</v>
      </c>
      <c r="G16" s="9">
        <f si="1" t="shared"/>
        <v>4.5494959503514412E-2</v>
      </c>
    </row>
    <row r="17" spans="1:7" x14ac:dyDescent="0.25">
      <c r="A17">
        <v>6</v>
      </c>
      <c r="B17" s="6" t="n">
        <v>13796.239927</v>
      </c>
      <c r="C17" s="9">
        <f si="0" t="shared"/>
        <v>5.9015091530855983E-2</v>
      </c>
      <c r="E17" s="371">
        <v>6</v>
      </c>
      <c r="F17" s="371" t="n">
        <v>8409.0</v>
      </c>
      <c r="G17" s="9">
        <f si="1" t="shared"/>
        <v>3.816091547270966E-2</v>
      </c>
    </row>
    <row r="18" spans="1:7" x14ac:dyDescent="0.25">
      <c r="A18">
        <v>7</v>
      </c>
      <c r="B18" s="6" t="n">
        <v>12152.653305</v>
      </c>
      <c r="C18" s="9">
        <f si="0" t="shared"/>
        <v>5.1984450178613834E-2</v>
      </c>
      <c r="E18" s="371">
        <v>7</v>
      </c>
      <c r="F18" s="371" t="n">
        <v>7341.0</v>
      </c>
      <c r="G18" s="9">
        <f si="1" t="shared"/>
        <v>3.3171288411945027E-2</v>
      </c>
    </row>
    <row r="19" spans="1:7" x14ac:dyDescent="0.25">
      <c r="A19">
        <v>8</v>
      </c>
      <c r="B19" s="6" t="n">
        <v>5490.30655</v>
      </c>
      <c r="C19" s="9">
        <f si="0" t="shared"/>
        <v>2.3485452941899111E-2</v>
      </c>
      <c r="E19" s="371">
        <v>8</v>
      </c>
      <c r="F19" s="371" t="n">
        <v>6371.0</v>
      </c>
      <c r="G19" s="9">
        <f si="1" t="shared"/>
        <v>2.9106157854460364E-2</v>
      </c>
    </row>
    <row r="20" spans="1:7" x14ac:dyDescent="0.25">
      <c r="A20">
        <v>9</v>
      </c>
      <c r="B20" s="6" t="n">
        <v>4572.835898</v>
      </c>
      <c r="C20" s="9">
        <f si="0" t="shared"/>
        <v>1.95608608217889E-2</v>
      </c>
      <c r="E20" s="371">
        <v>9</v>
      </c>
      <c r="F20" s="371" t="n">
        <v>5702.0</v>
      </c>
      <c r="G20" s="9">
        <f si="1" t="shared"/>
        <v>2.5151613003109669E-2</v>
      </c>
    </row>
    <row r="21" spans="1:7" x14ac:dyDescent="0.25">
      <c r="A21">
        <v>10</v>
      </c>
      <c r="B21" s="6" t="n">
        <v>4976.1017</v>
      </c>
      <c r="C21" s="9">
        <f si="0" t="shared"/>
        <v>2.1285879257407617E-2</v>
      </c>
      <c r="E21" s="371">
        <v>10</v>
      </c>
      <c r="F21" s="371" t="n">
        <v>4968.0</v>
      </c>
      <c r="G21" s="9">
        <f si="1" t="shared"/>
        <v>2.2187916078719328E-2</v>
      </c>
    </row>
    <row r="22" spans="1:7" x14ac:dyDescent="0.25">
      <c r="A22">
        <v>11</v>
      </c>
      <c r="B22" s="6" t="n">
        <v>4446.069245</v>
      </c>
      <c r="C22" s="9">
        <f si="0" t="shared"/>
        <v>1.9018601070621897E-2</v>
      </c>
      <c r="E22" s="371">
        <v>11</v>
      </c>
      <c r="F22" s="371" t="n">
        <v>4370.0</v>
      </c>
      <c r="G22" s="9">
        <f si="1" t="shared"/>
        <v>1.9480777992559793E-2</v>
      </c>
    </row>
    <row r="23" spans="1:7" x14ac:dyDescent="0.25">
      <c r="A23">
        <v>12</v>
      </c>
      <c r="B23" s="6" t="n">
        <v>1836.816713</v>
      </c>
      <c r="C23" s="9">
        <f si="0" t="shared"/>
        <v>7.8572065299441808E-3</v>
      </c>
      <c r="E23" s="371">
        <v>12</v>
      </c>
      <c r="F23" s="371" t="n">
        <v>3977.0</v>
      </c>
      <c r="G23" s="9">
        <f si="1" t="shared"/>
        <v>1.7300027867597947E-2</v>
      </c>
    </row>
    <row r="24" spans="1:7" x14ac:dyDescent="0.25">
      <c r="A24">
        <v>13</v>
      </c>
      <c r="B24" s="6" t="n">
        <v>1325.114678</v>
      </c>
      <c r="C24" s="9">
        <f si="0" t="shared"/>
        <v>5.6683389405257877E-3</v>
      </c>
      <c r="E24" s="371">
        <v>13</v>
      </c>
      <c r="F24" s="371" t="n">
        <v>3505.0</v>
      </c>
      <c r="G24" s="9">
        <f si="1" t="shared"/>
        <v>1.6057044530652147E-2</v>
      </c>
    </row>
    <row r="25" spans="1:7" x14ac:dyDescent="0.25">
      <c r="A25">
        <v>14</v>
      </c>
      <c r="B25" s="6" t="n">
        <v>3462.464006</v>
      </c>
      <c r="C25" s="9">
        <f si="0" t="shared"/>
        <v>1.481111022406071E-2</v>
      </c>
      <c r="E25" s="371">
        <v>14</v>
      </c>
      <c r="F25" s="371" t="n">
        <v>3044.0</v>
      </c>
      <c r="G25" s="9">
        <f si="1" t="shared"/>
        <v>1.269523906417952E-2</v>
      </c>
    </row>
    <row r="26" spans="1:7" x14ac:dyDescent="0.25">
      <c r="A26">
        <v>15</v>
      </c>
      <c r="B26" s="6" t="n">
        <v>1925.819765</v>
      </c>
      <c r="C26" s="9">
        <f si="0" t="shared"/>
        <v>8.237927892293502E-3</v>
      </c>
      <c r="E26" s="371">
        <v>15</v>
      </c>
      <c r="F26" s="371" t="n">
        <v>2618.0</v>
      </c>
      <c r="G26" s="9">
        <f si="1" t="shared"/>
        <v>1.0978948904980338E-2</v>
      </c>
    </row>
    <row r="27" spans="1:7" x14ac:dyDescent="0.25">
      <c r="A27">
        <v>16</v>
      </c>
      <c r="B27" s="6" t="n">
        <v>1305.900293</v>
      </c>
      <c r="C27" s="9">
        <f si="0" t="shared"/>
        <v>5.5861470755332885E-3</v>
      </c>
      <c r="E27" s="371">
        <v>16</v>
      </c>
      <c r="F27" s="371" t="n">
        <v>2108.0</v>
      </c>
      <c r="G27" s="9">
        <f si="1" t="shared"/>
        <v>8.9972530510596324E-3</v>
      </c>
    </row>
    <row r="28" spans="1:7" x14ac:dyDescent="0.25">
      <c r="A28">
        <v>17</v>
      </c>
      <c r="B28" s="6" t="n">
        <v>1953.115808</v>
      </c>
      <c r="C28" s="9">
        <f si="0" t="shared"/>
        <v>8.354690030716639E-3</v>
      </c>
      <c r="E28" s="371">
        <v>17</v>
      </c>
      <c r="F28" s="371" t="n">
        <v>1937.0</v>
      </c>
      <c r="G28" s="9">
        <f si="1" t="shared"/>
        <v>8.3293153860104652E-3</v>
      </c>
    </row>
    <row r="29" spans="1:7" x14ac:dyDescent="0.25">
      <c r="A29">
        <v>18</v>
      </c>
      <c r="B29" s="6" t="n">
        <v>361.914428</v>
      </c>
      <c r="C29" s="9">
        <f si="0" t="shared"/>
        <v>1.5481329121391834E-3</v>
      </c>
      <c r="E29" s="371">
        <v>18</v>
      </c>
      <c r="F29" s="371" t="n">
        <v>1616.0</v>
      </c>
      <c r="G29" s="9">
        <f si="1" t="shared"/>
        <v>7.0553680513471551E-3</v>
      </c>
    </row>
    <row r="30" spans="1:7" x14ac:dyDescent="0.25">
      <c r="A30">
        <v>19</v>
      </c>
      <c r="B30" s="6" t="n">
        <v>536.754789</v>
      </c>
      <c r="C30" s="9">
        <f si="0" t="shared"/>
        <v>2.2960337867470233E-3</v>
      </c>
      <c r="E30" s="371">
        <v>19</v>
      </c>
      <c r="F30" s="371" t="n">
        <v>1334.0</v>
      </c>
      <c r="G30" s="9">
        <f si="1" t="shared"/>
        <v>6.1308715480671832E-3</v>
      </c>
    </row>
    <row r="31" spans="1:7" x14ac:dyDescent="0.25">
      <c r="A31">
        <v>20</v>
      </c>
      <c r="B31" s="6" t="n">
        <v>706.236307</v>
      </c>
      <c r="C31" s="9">
        <f si="0" t="shared"/>
        <v>3.0210115597113815E-3</v>
      </c>
      <c r="E31" s="371">
        <v>20</v>
      </c>
      <c r="F31" s="371" t="n">
        <v>1127.0</v>
      </c>
      <c r="G31" s="9">
        <f si="1" t="shared"/>
        <v>5.1046361951439601E-3</v>
      </c>
    </row>
    <row r="32" spans="1:7" x14ac:dyDescent="0.25">
      <c r="A32">
        <v>21</v>
      </c>
      <c r="B32" s="6" t="n">
        <v>231.201239</v>
      </c>
      <c r="C32" s="9">
        <f si="0" t="shared"/>
        <v>9.8899137401412852E-4</v>
      </c>
      <c r="E32" s="371">
        <v>21</v>
      </c>
      <c r="F32" s="371" t="n">
        <v>951.0</v>
      </c>
      <c r="G32" s="9">
        <f si="1" t="shared"/>
        <v>4.259761400280445E-3</v>
      </c>
    </row>
    <row r="33" spans="1:7" x14ac:dyDescent="0.25">
      <c r="A33">
        <v>22</v>
      </c>
      <c r="B33" s="6" t="n">
        <v>566.09002</v>
      </c>
      <c r="C33" s="9">
        <f si="0" t="shared"/>
        <v>2.4215187994536891E-3</v>
      </c>
      <c r="E33" s="371">
        <v>22</v>
      </c>
      <c r="F33" s="371" t="n">
        <v>907.0</v>
      </c>
      <c r="G33" s="9">
        <f si="1" t="shared"/>
        <v>3.8528060017074435E-3</v>
      </c>
    </row>
    <row r="34" spans="1:7" x14ac:dyDescent="0.25">
      <c r="A34">
        <v>23</v>
      </c>
      <c r="B34" s="6" t="n">
        <v>108.976317</v>
      </c>
      <c r="C34" s="9">
        <f si="0" t="shared"/>
        <v>4.661594286907313E-4</v>
      </c>
      <c r="E34" s="371">
        <v>23</v>
      </c>
      <c r="F34" s="371" t="n">
        <v>764.0</v>
      </c>
      <c r="G34" s="9">
        <f si="1" t="shared"/>
        <v>3.2998774710376036E-3</v>
      </c>
    </row>
    <row r="35" spans="1:7" x14ac:dyDescent="0.25">
      <c r="A35">
        <v>24</v>
      </c>
      <c r="B35" s="6" t="n">
        <v>336.275785</v>
      </c>
      <c r="C35" s="9">
        <f si="0" t="shared"/>
        <v>1.438460503470008E-3</v>
      </c>
      <c r="E35" s="371">
        <v>24</v>
      </c>
      <c r="F35" s="371" t="n">
        <v>667.0</v>
      </c>
      <c r="G35" s="9">
        <f si="1" t="shared"/>
        <v>2.9902374938624932E-3</v>
      </c>
    </row>
    <row r="36" spans="1:7" x14ac:dyDescent="0.25">
      <c r="A36">
        <v>25</v>
      </c>
      <c r="B36" s="6" t="n">
        <v>769.222996</v>
      </c>
      <c r="C36" s="9">
        <f si="0" t="shared"/>
        <v>3.290444770225926E-3</v>
      </c>
      <c r="E36" s="371">
        <v>25</v>
      </c>
      <c r="F36" s="371" t="n">
        <v>537.0</v>
      </c>
      <c r="G36" s="9">
        <f si="1" t="shared"/>
        <v>2.5744352387987736E-3</v>
      </c>
    </row>
    <row r="37" spans="1:7" x14ac:dyDescent="0.25">
      <c r="A37">
        <v>26</v>
      </c>
      <c r="B37" s="6" t="n">
        <v>137.390913</v>
      </c>
      <c r="C37" s="9">
        <f si="0" t="shared"/>
        <v>5.8770631339447803E-4</v>
      </c>
      <c r="E37" s="371">
        <v>26</v>
      </c>
      <c r="F37" s="371" t="n">
        <v>478.0</v>
      </c>
      <c r="G37" s="9">
        <f si="1" t="shared"/>
        <v>2.2824889746050985E-3</v>
      </c>
    </row>
    <row r="38" spans="1:7" x14ac:dyDescent="0.25">
      <c r="A38">
        <v>27</v>
      </c>
      <c r="B38" s="6" t="n">
        <v>438.045597</v>
      </c>
      <c r="C38" s="9">
        <f si="0" t="shared"/>
        <v>1.8737932319552544E-3</v>
      </c>
      <c r="E38" s="371">
        <v>27</v>
      </c>
      <c r="F38" s="371" t="n">
        <v>463.0</v>
      </c>
      <c r="G38" s="9">
        <f si="1" t="shared"/>
        <v>2.0613175623371625E-3</v>
      </c>
    </row>
    <row r="39" spans="1:7" x14ac:dyDescent="0.25">
      <c r="A39">
        <v>28</v>
      </c>
      <c r="B39" s="6" t="n">
        <v>156.06887799999998</v>
      </c>
      <c r="C39" s="9">
        <f si="0" t="shared"/>
        <v>6.6760357670082979E-4</v>
      </c>
      <c r="E39" s="371">
        <v>28</v>
      </c>
      <c r="F39" s="371" t="n">
        <v>362.0</v>
      </c>
      <c r="G39" s="9">
        <f si="1" t="shared"/>
        <v>1.9463084279578359E-3</v>
      </c>
    </row>
    <row r="40" spans="1:7" x14ac:dyDescent="0.25">
      <c r="A40">
        <v>29</v>
      </c>
      <c r="B40" s="6" t="n">
        <v>360.58228</v>
      </c>
      <c r="C40" s="9">
        <f si="0" t="shared"/>
        <v>1.542434487309764E-3</v>
      </c>
      <c r="E40" s="371">
        <v>29</v>
      </c>
      <c r="F40" s="371" t="n">
        <v>332.0</v>
      </c>
      <c r="G40" s="9">
        <f si="1" t="shared"/>
        <v>1.490695318685888E-3</v>
      </c>
    </row>
    <row r="41" spans="1:7" x14ac:dyDescent="0.25">
      <c r="A41">
        <v>30</v>
      </c>
      <c r="B41" s="6" t="n">
        <v>819.90468</v>
      </c>
      <c r="C41" s="9">
        <f si="0" t="shared"/>
        <v>3.5072418276868075E-3</v>
      </c>
      <c r="E41" s="371">
        <v>30</v>
      </c>
      <c r="F41" s="371" t="n">
        <v>287.0</v>
      </c>
      <c r="G41" s="9">
        <f si="1" t="shared"/>
        <v>1.3270284736076154E-3</v>
      </c>
    </row>
    <row r="42" spans="1:7" x14ac:dyDescent="0.25">
      <c r="A42">
        <v>31</v>
      </c>
      <c r="B42" s="6" t="n">
        <v>28.166385</v>
      </c>
      <c r="C42" s="9">
        <f si="0" t="shared"/>
        <v>1.2048513201160196E-4</v>
      </c>
      <c r="E42" s="371">
        <v>31</v>
      </c>
      <c r="F42" s="371" t="n">
        <v>277.0</v>
      </c>
      <c r="G42" s="9">
        <f si="1" t="shared"/>
        <v>1.20759591098293E-3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230.0</v>
      </c>
      <c r="G43" s="9">
        <f si="1" t="shared"/>
        <v>9.3776678801604817E-4</v>
      </c>
    </row>
    <row r="44" spans="1:7" x14ac:dyDescent="0.25">
      <c r="A44">
        <v>33</v>
      </c>
      <c r="B44" s="6" t="n">
        <v>77.550021</v>
      </c>
      <c r="C44" s="9">
        <f si="0" t="shared"/>
        <v>3.317296315337416E-4</v>
      </c>
      <c r="E44" s="371">
        <v>33</v>
      </c>
      <c r="F44" s="371" t="n">
        <v>166.0</v>
      </c>
      <c r="G44" s="9">
        <f si="1" t="shared"/>
        <v>1.0173884964325051E-3</v>
      </c>
    </row>
    <row r="45" spans="1:7" x14ac:dyDescent="0.25">
      <c r="A45">
        <v>34</v>
      </c>
      <c r="B45" s="6" t="n">
        <v>49.705394</v>
      </c>
      <c r="C45" s="9">
        <f si="0" t="shared"/>
        <v>2.1262085843741355E-4</v>
      </c>
      <c r="E45" s="371">
        <v>34</v>
      </c>
      <c r="F45" s="371" t="n">
        <v>171.0</v>
      </c>
      <c r="G45" s="9">
        <f si="1" t="shared"/>
        <v>7.475593734656233E-4</v>
      </c>
    </row>
    <row r="46" spans="1:7" x14ac:dyDescent="0.25">
      <c r="A46">
        <v>35</v>
      </c>
      <c r="B46" s="6" t="n">
        <v>90.013899</v>
      </c>
      <c r="C46" s="9">
        <f si="0" t="shared"/>
        <v>3.8504538313645879E-4</v>
      </c>
      <c r="E46" s="371">
        <v>35</v>
      </c>
      <c r="F46" s="371" t="n">
        <v>129.0</v>
      </c>
      <c r="G46" s="9">
        <f si="1" t="shared"/>
        <v>7.254422322388297E-4</v>
      </c>
    </row>
    <row r="47" spans="1:7" x14ac:dyDescent="0.25">
      <c r="A47">
        <v>36</v>
      </c>
      <c r="B47" s="6" t="n">
        <v>344.985323</v>
      </c>
      <c r="C47" s="9">
        <f si="0" t="shared"/>
        <v>1.4757166098425534E-3</v>
      </c>
      <c r="E47" s="371">
        <v>36</v>
      </c>
      <c r="F47" s="371" t="n">
        <v>92.0</v>
      </c>
      <c r="G47" s="9">
        <f si="1" t="shared"/>
        <v>4.2464911155443695E-4</v>
      </c>
    </row>
    <row r="48" spans="1:7" x14ac:dyDescent="0.25">
      <c r="A48">
        <v>37</v>
      </c>
      <c r="B48" s="6" t="n">
        <v>56.488517</v>
      </c>
      <c r="C48" s="9">
        <f si="0" t="shared"/>
        <v>2.4163649072767496E-4</v>
      </c>
      <c r="E48" s="371">
        <v>37</v>
      </c>
      <c r="F48" s="371" t="n">
        <v>68.0</v>
      </c>
      <c r="G48" s="9">
        <f si="1" t="shared"/>
        <v>3.75991400855491E-4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67.0</v>
      </c>
      <c r="G49" s="9">
        <f si="1" t="shared"/>
        <v>2.7425255121224051E-4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70.0</v>
      </c>
      <c r="G50" s="9">
        <f si="1" t="shared"/>
        <v>2.6540569472152306E-4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41.0</v>
      </c>
      <c r="G51" s="9">
        <f si="1" t="shared"/>
        <v>2.1232455577721847E-4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38.0</v>
      </c>
      <c r="G52" s="9">
        <f si="1" t="shared"/>
        <v>1.946308427957836E-4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38.0</v>
      </c>
      <c r="G53" s="9">
        <f si="1" t="shared"/>
        <v>1.4154970385147898E-4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12.0</v>
      </c>
      <c r="G54" s="9">
        <f si="1" t="shared"/>
        <v>7.9621708416456927E-5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24.0</v>
      </c>
      <c r="G55" s="9">
        <f si="1" t="shared"/>
        <v>9.2891993152533075E-5</v>
      </c>
    </row>
    <row r="56" spans="1:7" x14ac:dyDescent="0.25">
      <c r="A56">
        <v>45</v>
      </c>
      <c r="B56" s="6" t="n">
        <v>73.805143</v>
      </c>
      <c r="C56" s="9">
        <f si="0" t="shared"/>
        <v>3.1571046115751671E-4</v>
      </c>
      <c r="E56" s="371">
        <v>45</v>
      </c>
      <c r="F56" s="371" t="n">
        <v>11.0</v>
      </c>
      <c r="G56" s="9">
        <f si="1" t="shared"/>
        <v>5.3081138944304618E-5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10.0</v>
      </c>
      <c r="G57" s="9">
        <f si="1" t="shared"/>
        <v>7.9621708416456927E-5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17.0</v>
      </c>
      <c r="G58" s="9">
        <f si="1" t="shared"/>
        <v>3.9810854208228464E-5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14.0</v>
      </c>
      <c r="G59" s="9">
        <f si="1" t="shared"/>
        <v>3.9810854208228464E-5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8.0</v>
      </c>
      <c r="G60" s="9">
        <f si="1" t="shared"/>
        <v>6.6351423680380766E-5</v>
      </c>
    </row>
    <row r="61" spans="1:7" x14ac:dyDescent="0.25">
      <c r="A61">
        <v>50</v>
      </c>
      <c r="B61" s="6" t="n">
        <v>122.949339</v>
      </c>
      <c r="C61" s="9">
        <f si="0" t="shared"/>
        <v>5.2593072700505238E-4</v>
      </c>
      <c r="E61" s="371">
        <v>50</v>
      </c>
      <c r="F61" s="371" t="n">
        <v>12.0</v>
      </c>
      <c r="G61" s="9">
        <f si="1" t="shared"/>
        <v>5.750456718966333E-5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10.0</v>
      </c>
      <c r="G62" s="9">
        <f si="1" t="shared"/>
        <v>3.0963997717511027E-5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8.0</v>
      </c>
      <c r="G63" s="9">
        <f si="1" t="shared"/>
        <v>2.6540569472152309E-5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12.0</v>
      </c>
      <c r="G64" s="9">
        <f si="1" t="shared"/>
        <v>2.2117141226793591E-5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6.0</v>
      </c>
      <c r="G65" s="9">
        <f si="1" t="shared"/>
        <v>4.4234282453587182E-5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3.0</v>
      </c>
      <c r="G66" s="9">
        <f si="1" t="shared"/>
        <v>2.6540569472152309E-5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8.0</v>
      </c>
      <c r="G67" s="9">
        <f si="1" t="shared"/>
        <v>1.7693712981434873E-5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5.0</v>
      </c>
      <c r="G68" s="9">
        <f si="1" t="shared"/>
        <v>2.2117141226793591E-5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2.0</v>
      </c>
      <c r="G69" s="9">
        <f si="1" t="shared"/>
        <v>8.8468564907174364E-6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2.0</v>
      </c>
      <c r="G70" s="9">
        <f si="1" t="shared"/>
        <v>8.8468564907174364E-6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1.3270284736076155E-5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4.4234282453587182E-6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4.4234282453587182E-6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8.8468564907174364E-6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4.4234282453587182E-6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0</v>
      </c>
    </row>
    <row r="102" spans="1:7" x14ac:dyDescent="0.25">
      <c r="B102" s="6">
        <f>SUM(B11:B101)</f>
        <v>233774.77809699997</v>
      </c>
      <c r="C102" s="9">
        <f si="2" t="shared"/>
        <v>1</v>
      </c>
      <c r="F102" s="6">
        <f>SUM(F11:F101)</f>
        <v>226069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M102"/>
  <sheetViews>
    <sheetView workbookViewId="0">
      <selection activeCell="V13" sqref="V13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178.0</v>
      </c>
      <c r="G11" s="9">
        <f>F11/F$102</f>
        <v>9.5546050099748307E-4</v>
      </c>
      <c r="K11" s="6" t="n">
        <v>11.937860947453315</v>
      </c>
      <c r="L11" s="6" t="n">
        <v>16.08071914868043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4127.0</v>
      </c>
      <c r="G12" s="9">
        <f>F12/F$102</f>
        <v>1.845896606788193E-2</v>
      </c>
      <c r="K12" s="6"/>
      <c r="L12" s="371"/>
    </row>
    <row r="13" spans="1:12" x14ac:dyDescent="0.25">
      <c r="A13">
        <v>2</v>
      </c>
      <c r="B13" s="6" t="n">
        <v>1543.577196</v>
      </c>
      <c r="C13" s="9">
        <f ref="C13:C76" si="0" t="shared">B13/B$102</f>
        <v>6.6028388886311936E-3</v>
      </c>
      <c r="E13" s="371">
        <v>2</v>
      </c>
      <c r="F13" s="371" t="n">
        <v>5090.0</v>
      </c>
      <c r="G13" s="9">
        <f ref="G13:G76" si="1" t="shared">F13/F$102</f>
        <v>2.2970862878147823E-2</v>
      </c>
    </row>
    <row r="14" spans="1:12" x14ac:dyDescent="0.25">
      <c r="A14">
        <v>3</v>
      </c>
      <c r="B14" s="6" t="n">
        <v>13586.850075</v>
      </c>
      <c r="C14" s="9">
        <f si="0" t="shared"/>
        <v>5.8119401013236822E-2</v>
      </c>
      <c r="E14" s="371">
        <v>3</v>
      </c>
      <c r="F14" s="371" t="n">
        <v>9362.0</v>
      </c>
      <c r="G14" s="9">
        <f si="1" t="shared"/>
        <v>4.2593190574559098E-2</v>
      </c>
    </row>
    <row r="15" spans="1:12" x14ac:dyDescent="0.25">
      <c r="A15">
        <v>4</v>
      </c>
      <c r="B15" s="6" t="n">
        <v>16640.951226</v>
      </c>
      <c r="C15" s="9">
        <f si="0" t="shared"/>
        <v>7.1183689538548839E-2</v>
      </c>
      <c r="E15" s="371">
        <v>4</v>
      </c>
      <c r="F15" s="371" t="n">
        <v>14895.0</v>
      </c>
      <c r="G15" s="9">
        <f si="1" t="shared"/>
        <v>6.5148251197643198E-2</v>
      </c>
    </row>
    <row r="16" spans="1:12" x14ac:dyDescent="0.25">
      <c r="A16">
        <v>5</v>
      </c>
      <c r="B16" s="6" t="n">
        <v>22441.740707</v>
      </c>
      <c r="C16" s="9">
        <f si="0" t="shared"/>
        <v>9.5997270918970812E-2</v>
      </c>
      <c r="E16" s="371">
        <v>5</v>
      </c>
      <c r="F16" s="371" t="n">
        <v>18214.0</v>
      </c>
      <c r="G16" s="9">
        <f si="1" t="shared"/>
        <v>7.9780951833289843E-2</v>
      </c>
    </row>
    <row r="17" spans="1:7" x14ac:dyDescent="0.25">
      <c r="A17">
        <v>6</v>
      </c>
      <c r="B17" s="6" t="n">
        <v>24144.154406</v>
      </c>
      <c r="C17" s="9">
        <f si="0" t="shared"/>
        <v>0.10327955223630615</v>
      </c>
      <c r="E17" s="371">
        <v>6</v>
      </c>
      <c r="F17" s="371" t="n">
        <v>18983.0</v>
      </c>
      <c r="G17" s="9">
        <f si="1" t="shared"/>
        <v>8.2793306468379124E-2</v>
      </c>
    </row>
    <row r="18" spans="1:7" x14ac:dyDescent="0.25">
      <c r="A18">
        <v>7</v>
      </c>
      <c r="B18" s="6" t="n">
        <v>18732.620284</v>
      </c>
      <c r="C18" s="9">
        <f si="0" t="shared"/>
        <v>8.0131057920317134E-2</v>
      </c>
      <c r="E18" s="371">
        <v>7</v>
      </c>
      <c r="F18" s="371" t="n">
        <v>16584.0</v>
      </c>
      <c r="G18" s="9">
        <f si="1" t="shared"/>
        <v>7.2044375832157434E-2</v>
      </c>
    </row>
    <row r="19" spans="1:7" x14ac:dyDescent="0.25">
      <c r="A19">
        <v>8</v>
      </c>
      <c r="B19" s="6" t="n">
        <v>14564.53689</v>
      </c>
      <c r="C19" s="9">
        <f si="0" t="shared"/>
        <v>6.2301575082478494E-2</v>
      </c>
      <c r="E19" s="371">
        <v>8</v>
      </c>
      <c r="F19" s="371" t="n">
        <v>13424.0</v>
      </c>
      <c r="G19" s="9">
        <f si="1" t="shared"/>
        <v>6.095926464928849E-2</v>
      </c>
    </row>
    <row r="20" spans="1:7" x14ac:dyDescent="0.25">
      <c r="A20">
        <v>9</v>
      </c>
      <c r="B20" s="6" t="n">
        <v>14589.016126999999</v>
      </c>
      <c r="C20" s="9">
        <f si="0" t="shared"/>
        <v>6.2406287991198878E-2</v>
      </c>
      <c r="E20" s="371">
        <v>9</v>
      </c>
      <c r="F20" s="371" t="n">
        <v>10490.0</v>
      </c>
      <c r="G20" s="9">
        <f si="1" t="shared"/>
        <v>4.6056734890674973E-2</v>
      </c>
    </row>
    <row r="21" spans="1:7" x14ac:dyDescent="0.25">
      <c r="A21">
        <v>10</v>
      </c>
      <c r="B21" s="6" t="n">
        <v>16137.808101</v>
      </c>
      <c r="C21" s="9">
        <f si="0" t="shared"/>
        <v>6.9031433725942601E-2</v>
      </c>
      <c r="E21" s="371">
        <v>10</v>
      </c>
      <c r="F21" s="371" t="n">
        <v>9315.0</v>
      </c>
      <c r="G21" s="9">
        <f si="1" t="shared"/>
        <v>4.1080378114646411E-2</v>
      </c>
    </row>
    <row r="22" spans="1:7" x14ac:dyDescent="0.25">
      <c r="A22">
        <v>11</v>
      </c>
      <c r="B22" s="6" t="n">
        <v>13916.62658</v>
      </c>
      <c r="C22" s="9">
        <f si="0" t="shared"/>
        <v>5.9530060057315419E-2</v>
      </c>
      <c r="E22" s="371">
        <v>11</v>
      </c>
      <c r="F22" s="371" t="n">
        <v>7301.0</v>
      </c>
      <c r="G22" s="9">
        <f si="1" t="shared"/>
        <v>3.2423729038479406E-2</v>
      </c>
    </row>
    <row r="23" spans="1:7" x14ac:dyDescent="0.25">
      <c r="A23">
        <v>12</v>
      </c>
      <c r="B23" s="6" t="n">
        <v>10681.172435999999</v>
      </c>
      <c r="C23" s="9">
        <f si="0" t="shared"/>
        <v>4.5690012083202849E-2</v>
      </c>
      <c r="E23" s="371">
        <v>12</v>
      </c>
      <c r="F23" s="371" t="n">
        <v>6340.0</v>
      </c>
      <c r="G23" s="9">
        <f si="1" t="shared"/>
        <v>2.8110886499254653E-2</v>
      </c>
    </row>
    <row r="24" spans="1:7" x14ac:dyDescent="0.25">
      <c r="A24">
        <v>13</v>
      </c>
      <c r="B24" s="6" t="n">
        <v>8832.423534</v>
      </c>
      <c r="C24" s="9">
        <f si="0" t="shared"/>
        <v>3.7781764165915131E-2</v>
      </c>
      <c r="E24" s="371">
        <v>13</v>
      </c>
      <c r="F24" s="371" t="n">
        <v>5960.0</v>
      </c>
      <c r="G24" s="9">
        <f si="1" t="shared"/>
        <v>2.6788281453892396E-2</v>
      </c>
    </row>
    <row r="25" spans="1:7" x14ac:dyDescent="0.25">
      <c r="A25">
        <v>14</v>
      </c>
      <c r="B25" s="6" t="n">
        <v>8279.986986</v>
      </c>
      <c r="C25" s="9">
        <f si="0" t="shared"/>
        <v>3.5418649750848602E-2</v>
      </c>
      <c r="E25" s="371">
        <v>14</v>
      </c>
      <c r="F25" s="371" t="n">
        <v>5187.0</v>
      </c>
      <c r="G25" s="9">
        <f si="1" t="shared"/>
        <v>2.287797088499529E-2</v>
      </c>
    </row>
    <row r="26" spans="1:7" x14ac:dyDescent="0.25">
      <c r="A26">
        <v>15</v>
      </c>
      <c r="B26" s="6" t="n">
        <v>7954.817046</v>
      </c>
      <c r="C26" s="9">
        <f si="0" t="shared"/>
        <v>3.4027695847921244E-2</v>
      </c>
      <c r="E26" s="371">
        <v>15</v>
      </c>
      <c r="F26" s="371" t="n">
        <v>4885.0</v>
      </c>
      <c r="G26" s="9">
        <f si="1" t="shared"/>
        <v>2.1842888675581349E-2</v>
      </c>
    </row>
    <row r="27" spans="1:7" x14ac:dyDescent="0.25">
      <c r="A27">
        <v>16</v>
      </c>
      <c r="B27" s="6" t="n">
        <v>3276.82419</v>
      </c>
      <c r="C27" s="9">
        <f si="0" t="shared"/>
        <v>1.4017013369339391E-2</v>
      </c>
      <c r="E27" s="371">
        <v>16</v>
      </c>
      <c r="F27" s="371" t="n">
        <v>4458.0</v>
      </c>
      <c r="G27" s="9">
        <f si="1" t="shared"/>
        <v>2.0697220760033441E-2</v>
      </c>
    </row>
    <row r="28" spans="1:7" x14ac:dyDescent="0.25">
      <c r="A28">
        <v>17</v>
      </c>
      <c r="B28" s="6" t="n">
        <v>5989.283714</v>
      </c>
      <c r="C28" s="9">
        <f si="0" t="shared"/>
        <v>2.5619888350465542E-2</v>
      </c>
      <c r="E28" s="371">
        <v>17</v>
      </c>
      <c r="F28" s="371" t="n">
        <v>4406.0</v>
      </c>
      <c r="G28" s="9">
        <f si="1" t="shared"/>
        <v>1.9104786591704302E-2</v>
      </c>
    </row>
    <row r="29" spans="1:7" x14ac:dyDescent="0.25">
      <c r="A29">
        <v>18</v>
      </c>
      <c r="B29" s="6" t="n">
        <v>2636.970053</v>
      </c>
      <c r="C29" s="9">
        <f si="0" t="shared"/>
        <v>1.1279959602424873E-2</v>
      </c>
      <c r="E29" s="371">
        <v>18</v>
      </c>
      <c r="F29" s="371" t="n">
        <v>3947.0</v>
      </c>
      <c r="G29" s="9">
        <f si="1" t="shared"/>
        <v>1.7388496432505122E-2</v>
      </c>
    </row>
    <row r="30" spans="1:7" x14ac:dyDescent="0.25">
      <c r="A30">
        <v>19</v>
      </c>
      <c r="B30" s="6" t="n">
        <v>1617.920377</v>
      </c>
      <c r="C30" s="9">
        <f si="0" t="shared"/>
        <v>6.9208508726663264E-3</v>
      </c>
      <c r="E30" s="371">
        <v>19</v>
      </c>
      <c r="F30" s="371" t="n">
        <v>3491.0</v>
      </c>
      <c r="G30" s="9">
        <f si="1" t="shared"/>
        <v>1.6070314815388221E-2</v>
      </c>
    </row>
    <row r="31" spans="1:7" x14ac:dyDescent="0.25">
      <c r="A31">
        <v>20</v>
      </c>
      <c r="B31" s="6" t="n">
        <v>1982.305375</v>
      </c>
      <c r="C31" s="9">
        <f si="0" t="shared"/>
        <v>8.4795519479756824E-3</v>
      </c>
      <c r="E31" s="371">
        <v>20</v>
      </c>
      <c r="F31" s="371" t="n">
        <v>3438.0</v>
      </c>
      <c r="G31" s="9">
        <f si="1" t="shared"/>
        <v>1.6034927389425354E-2</v>
      </c>
    </row>
    <row r="32" spans="1:7" x14ac:dyDescent="0.25">
      <c r="A32">
        <v>21</v>
      </c>
      <c r="B32" s="6" t="n">
        <v>1487.976026</v>
      </c>
      <c r="C32" s="9">
        <f si="0" t="shared"/>
        <v>6.3649981324443595E-3</v>
      </c>
      <c r="E32" s="371">
        <v>21</v>
      </c>
      <c r="F32" s="371" t="n">
        <v>3310.0</v>
      </c>
      <c r="G32" s="9">
        <f si="1" t="shared"/>
        <v>1.4057654963750006E-2</v>
      </c>
    </row>
    <row r="33" spans="1:7" x14ac:dyDescent="0.25">
      <c r="A33">
        <v>22</v>
      </c>
      <c r="B33" s="6" t="n">
        <v>1324.684731</v>
      </c>
      <c r="C33" s="9">
        <f si="0" t="shared"/>
        <v>5.6664997900258904E-3</v>
      </c>
      <c r="E33" s="371">
        <v>22</v>
      </c>
      <c r="F33" s="371" t="n">
        <v>2994.0</v>
      </c>
      <c r="G33" s="9">
        <f si="1" t="shared"/>
        <v>1.3739168130084177E-2</v>
      </c>
    </row>
    <row r="34" spans="1:7" x14ac:dyDescent="0.25">
      <c r="A34">
        <v>23</v>
      </c>
      <c r="B34" s="6" t="n">
        <v>2327.619501</v>
      </c>
      <c r="C34" s="9">
        <f si="0" t="shared"/>
        <v>9.9566750525764657E-3</v>
      </c>
      <c r="E34" s="371">
        <v>23</v>
      </c>
      <c r="F34" s="371" t="n">
        <v>2822.0</v>
      </c>
      <c r="G34" s="9">
        <f si="1" t="shared"/>
        <v>1.1912292264751028E-2</v>
      </c>
    </row>
    <row r="35" spans="1:7" x14ac:dyDescent="0.25">
      <c r="A35">
        <v>24</v>
      </c>
      <c r="B35" s="6" t="n">
        <v>1594.969023</v>
      </c>
      <c r="C35" s="9">
        <f si="0" t="shared"/>
        <v>6.8226736690054739E-3</v>
      </c>
      <c r="E35" s="371">
        <v>24</v>
      </c>
      <c r="F35" s="371" t="n">
        <v>2517.0</v>
      </c>
      <c r="G35" s="9">
        <f si="1" t="shared"/>
        <v>1.1828247128089211E-2</v>
      </c>
    </row>
    <row r="36" spans="1:7" x14ac:dyDescent="0.25">
      <c r="A36">
        <v>25</v>
      </c>
      <c r="B36" s="6" t="n">
        <v>2077.106191</v>
      </c>
      <c r="C36" s="9">
        <f si="0" t="shared"/>
        <v>8.8850739498430708E-3</v>
      </c>
      <c r="E36" s="371">
        <v>25</v>
      </c>
      <c r="F36" s="371" t="n">
        <v>2549.0</v>
      </c>
      <c r="G36" s="9">
        <f si="1" t="shared"/>
        <v>1.1239931171456502E-2</v>
      </c>
    </row>
    <row r="37" spans="1:7" x14ac:dyDescent="0.25">
      <c r="A37">
        <v>26</v>
      </c>
      <c r="B37" s="6" t="n">
        <v>1962.083799</v>
      </c>
      <c r="C37" s="9">
        <f si="0" t="shared"/>
        <v>8.3930517011799842E-3</v>
      </c>
      <c r="E37" s="371">
        <v>26</v>
      </c>
      <c r="F37" s="371" t="n">
        <v>2438.0</v>
      </c>
      <c r="G37" s="9">
        <f si="1" t="shared"/>
        <v>1.0629498073596999E-2</v>
      </c>
    </row>
    <row r="38" spans="1:7" x14ac:dyDescent="0.25">
      <c r="A38">
        <v>27</v>
      </c>
      <c r="B38" s="6" t="n">
        <v>1932.358254</v>
      </c>
      <c r="C38" s="9">
        <f si="0" t="shared"/>
        <v>8.2658970729434598E-3</v>
      </c>
      <c r="E38" s="371">
        <v>27</v>
      </c>
      <c r="F38" s="371" t="n">
        <v>2206.0</v>
      </c>
      <c r="G38" s="9">
        <f si="1" t="shared"/>
        <v>9.9129026978488875E-3</v>
      </c>
    </row>
    <row r="39" spans="1:7" x14ac:dyDescent="0.25">
      <c r="A39">
        <v>28</v>
      </c>
      <c r="B39" s="6" t="n">
        <v>1733.77487</v>
      </c>
      <c r="C39" s="9">
        <f si="0" t="shared"/>
        <v>7.4164325343968685E-3</v>
      </c>
      <c r="E39" s="371">
        <v>28</v>
      </c>
      <c r="F39" s="371" t="n">
        <v>2335.0</v>
      </c>
      <c r="G39" s="9">
        <f si="1" t="shared"/>
        <v>1.0160614679588975E-2</v>
      </c>
    </row>
    <row r="40" spans="1:7" x14ac:dyDescent="0.25">
      <c r="A40">
        <v>29</v>
      </c>
      <c r="B40" s="6" t="n">
        <v>457.88392400000004</v>
      </c>
      <c r="C40" s="9">
        <f si="0" t="shared"/>
        <v>1.9586540846164781E-3</v>
      </c>
      <c r="E40" s="371">
        <v>29</v>
      </c>
      <c r="F40" s="371" t="n">
        <v>2072.0</v>
      </c>
      <c r="G40" s="9">
        <f si="1" t="shared"/>
        <v>9.4661364450676563E-3</v>
      </c>
    </row>
    <row r="41" spans="1:7" x14ac:dyDescent="0.25">
      <c r="A41">
        <v>30</v>
      </c>
      <c r="B41" s="6" t="n">
        <v>962.034441</v>
      </c>
      <c r="C41" s="9">
        <f si="0" t="shared"/>
        <v>4.1152191388278136E-3</v>
      </c>
      <c r="E41" s="371">
        <v>30</v>
      </c>
      <c r="F41" s="371" t="n">
        <v>1916.0</v>
      </c>
      <c r="G41" s="9">
        <f si="1" t="shared"/>
        <v>8.4133605226722821E-3</v>
      </c>
    </row>
    <row r="42" spans="1:7" x14ac:dyDescent="0.25">
      <c r="A42">
        <v>31</v>
      </c>
      <c r="B42" s="6" t="n">
        <v>347.582251</v>
      </c>
      <c r="C42" s="9">
        <f si="0" t="shared"/>
        <v>1.4868252847010631E-3</v>
      </c>
      <c r="E42" s="371">
        <v>31</v>
      </c>
      <c r="F42" s="371" t="n">
        <v>1824.0</v>
      </c>
      <c r="G42" s="9">
        <f si="1" t="shared"/>
        <v>7.9444771286642582E-3</v>
      </c>
    </row>
    <row r="43" spans="1:7" x14ac:dyDescent="0.25">
      <c r="A43">
        <v>32</v>
      </c>
      <c r="B43" s="6" t="n">
        <v>1087.0052</v>
      </c>
      <c r="C43" s="9">
        <f si="0" t="shared"/>
        <v>4.6497967353388708E-3</v>
      </c>
      <c r="E43" s="371">
        <v>32</v>
      </c>
      <c r="F43" s="371" t="n">
        <v>1703.0</v>
      </c>
      <c r="G43" s="9">
        <f si="1" t="shared"/>
        <v>7.3207737460686782E-3</v>
      </c>
    </row>
    <row r="44" spans="1:7" x14ac:dyDescent="0.25">
      <c r="A44">
        <v>33</v>
      </c>
      <c r="B44" s="6" t="n">
        <v>842.7201070000001</v>
      </c>
      <c r="C44" s="9">
        <f si="0" t="shared"/>
        <v>3.6048375870998818E-3</v>
      </c>
      <c r="E44" s="371">
        <v>33</v>
      </c>
      <c r="F44" s="371" t="n">
        <v>1601.0</v>
      </c>
      <c r="G44" s="9">
        <f si="1" t="shared"/>
        <v>6.8297732108338607E-3</v>
      </c>
    </row>
    <row r="45" spans="1:7" x14ac:dyDescent="0.25">
      <c r="A45">
        <v>34</v>
      </c>
      <c r="B45" s="6" t="n">
        <v>640.8805629999999</v>
      </c>
      <c r="C45" s="9">
        <f si="0" t="shared"/>
        <v>2.7414444287658765E-3</v>
      </c>
      <c r="E45" s="371">
        <v>34</v>
      </c>
      <c r="F45" s="371" t="n">
        <v>1467.0</v>
      </c>
      <c r="G45" s="9">
        <f si="1" t="shared"/>
        <v>6.5024395206773151E-3</v>
      </c>
    </row>
    <row r="46" spans="1:7" x14ac:dyDescent="0.25">
      <c r="A46">
        <v>35</v>
      </c>
      <c r="B46" s="6" t="n">
        <v>33.491023</v>
      </c>
      <c r="C46" s="9">
        <f si="0" t="shared"/>
        <v>1.4326191761415588E-4</v>
      </c>
      <c r="E46" s="371">
        <v>35</v>
      </c>
      <c r="F46" s="371" t="n">
        <v>1427.0</v>
      </c>
      <c r="G46" s="9">
        <f si="1" t="shared"/>
        <v>6.113177835085748E-3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1359.0</v>
      </c>
      <c r="G47" s="9">
        <f si="1" t="shared"/>
        <v>5.768150431947768E-3</v>
      </c>
    </row>
    <row r="48" spans="1:7" x14ac:dyDescent="0.25">
      <c r="A48">
        <v>37</v>
      </c>
      <c r="B48" s="6" t="n">
        <v>164.825286</v>
      </c>
      <c r="C48" s="9">
        <f si="0" t="shared"/>
        <v>7.050601751896824E-4</v>
      </c>
      <c r="E48" s="371">
        <v>37</v>
      </c>
      <c r="F48" s="371" t="n">
        <v>1260.0</v>
      </c>
      <c r="G48" s="9">
        <f si="1" t="shared"/>
        <v>5.6354475845870064E-3</v>
      </c>
    </row>
    <row r="49" spans="1:7" x14ac:dyDescent="0.25">
      <c r="A49">
        <v>38</v>
      </c>
      <c r="B49" s="6" t="n">
        <v>227.045299</v>
      </c>
      <c r="C49" s="9">
        <f si="0" t="shared"/>
        <v>9.7121383601866658E-4</v>
      </c>
      <c r="E49" s="371">
        <v>38</v>
      </c>
      <c r="F49" s="371" t="n">
        <v>1213.0</v>
      </c>
      <c r="G49" s="9">
        <f si="1" t="shared"/>
        <v>5.3567716051294073E-3</v>
      </c>
    </row>
    <row r="50" spans="1:7" x14ac:dyDescent="0.25">
      <c r="A50">
        <v>39</v>
      </c>
      <c r="B50" s="6" t="n">
        <v>539.489543</v>
      </c>
      <c r="C50" s="9">
        <f si="0" t="shared"/>
        <v>2.3077320290564017E-3</v>
      </c>
      <c r="E50" s="371">
        <v>39</v>
      </c>
      <c r="F50" s="371" t="n">
        <v>1199.0</v>
      </c>
      <c r="G50" s="9">
        <f si="1" t="shared"/>
        <v>5.1002127668986017E-3</v>
      </c>
    </row>
    <row r="51" spans="1:7" x14ac:dyDescent="0.25">
      <c r="A51">
        <v>40</v>
      </c>
      <c r="B51" s="6" t="n">
        <v>645.396526</v>
      </c>
      <c r="C51" s="9">
        <f si="0" t="shared"/>
        <v>2.7607620088605359E-3</v>
      </c>
      <c r="E51" s="371">
        <v>40</v>
      </c>
      <c r="F51" s="371" t="n">
        <v>1023.0</v>
      </c>
      <c r="G51" s="9">
        <f si="1" t="shared"/>
        <v>4.8348070721770785E-3</v>
      </c>
    </row>
    <row r="52" spans="1:7" x14ac:dyDescent="0.25">
      <c r="A52">
        <v>41</v>
      </c>
      <c r="B52" s="6" t="n">
        <v>755.655484</v>
      </c>
      <c r="C52" s="9">
        <f si="0" t="shared"/>
        <v>3.2324080901766747E-3</v>
      </c>
      <c r="E52" s="371">
        <v>41</v>
      </c>
      <c r="F52" s="371" t="n">
        <v>944.0</v>
      </c>
      <c r="G52" s="9">
        <f si="1" t="shared"/>
        <v>4.149175694146477E-3</v>
      </c>
    </row>
    <row r="53" spans="1:7" x14ac:dyDescent="0.25">
      <c r="A53">
        <v>42</v>
      </c>
      <c r="B53" s="6" t="n">
        <v>64.591006</v>
      </c>
      <c r="C53" s="9">
        <f si="0" t="shared"/>
        <v>2.7629587129026923E-4</v>
      </c>
      <c r="E53" s="371">
        <v>42</v>
      </c>
      <c r="F53" s="371" t="n">
        <v>880.0</v>
      </c>
      <c r="G53" s="9">
        <f si="1" t="shared"/>
        <v>4.038589988012509E-3</v>
      </c>
    </row>
    <row r="54" spans="1:7" x14ac:dyDescent="0.25">
      <c r="A54">
        <v>43</v>
      </c>
      <c r="B54" s="6" t="n">
        <v>779.124048</v>
      </c>
      <c r="C54" s="9">
        <f si="0" t="shared"/>
        <v>3.3327977224160525E-3</v>
      </c>
      <c r="E54" s="371">
        <v>43</v>
      </c>
      <c r="F54" s="371" t="n">
        <v>932.0</v>
      </c>
      <c r="G54" s="9">
        <f si="1" t="shared"/>
        <v>3.6714454436477359E-3</v>
      </c>
    </row>
    <row r="55" spans="1:7" x14ac:dyDescent="0.25">
      <c r="A55">
        <v>44</v>
      </c>
      <c r="B55" s="6" t="n">
        <v>111.15543</v>
      </c>
      <c r="C55" s="9">
        <f si="0" t="shared"/>
        <v>4.7548084915250484E-4</v>
      </c>
      <c r="E55" s="371">
        <v>44</v>
      </c>
      <c r="F55" s="371" t="n">
        <v>858.0</v>
      </c>
      <c r="G55" s="9">
        <f si="1" t="shared"/>
        <v>3.5962471634766375E-3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792.0</v>
      </c>
      <c r="G56" s="9">
        <f si="1" t="shared"/>
        <v>3.6714454436477359E-3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671.0</v>
      </c>
      <c r="G57" s="9">
        <f si="1" t="shared"/>
        <v>3.0344717763160804E-3</v>
      </c>
    </row>
    <row r="58" spans="1:7" x14ac:dyDescent="0.25">
      <c r="A58">
        <v>47</v>
      </c>
      <c r="B58" s="6" t="n">
        <v>42.773716</v>
      </c>
      <c r="C58" s="9">
        <f si="0" t="shared"/>
        <v>1.8296976409598779E-4</v>
      </c>
      <c r="E58" s="371">
        <v>47</v>
      </c>
      <c r="F58" s="371" t="n">
        <v>677.0</v>
      </c>
      <c r="G58" s="9">
        <f si="1" t="shared"/>
        <v>2.8663815029924492E-3</v>
      </c>
    </row>
    <row r="59" spans="1:7" x14ac:dyDescent="0.25">
      <c r="A59">
        <v>48</v>
      </c>
      <c r="B59" s="6" t="n">
        <v>337.926713</v>
      </c>
      <c r="C59" s="9">
        <f si="0" t="shared"/>
        <v>1.4455225484580898E-3</v>
      </c>
      <c r="E59" s="371">
        <v>48</v>
      </c>
      <c r="F59" s="371" t="n">
        <v>599.0</v>
      </c>
      <c r="G59" s="9">
        <f si="1" t="shared"/>
        <v>2.808876935802786E-3</v>
      </c>
    </row>
    <row r="60" spans="1:7" x14ac:dyDescent="0.25">
      <c r="A60">
        <v>49</v>
      </c>
      <c r="B60" s="6" t="n">
        <v>50.352472</v>
      </c>
      <c r="C60" s="9">
        <f si="0" t="shared"/>
        <v>2.153888131554862E-4</v>
      </c>
      <c r="E60" s="371">
        <v>49</v>
      </c>
      <c r="F60" s="371" t="n">
        <v>564.0</v>
      </c>
      <c r="G60" s="9">
        <f si="1" t="shared"/>
        <v>2.5036603868730345E-3</v>
      </c>
    </row>
    <row r="61" spans="1:7" x14ac:dyDescent="0.25">
      <c r="A61">
        <v>50</v>
      </c>
      <c r="B61" s="6" t="n">
        <v>137.390913</v>
      </c>
      <c r="C61" s="9">
        <f si="0" t="shared"/>
        <v>5.877063133944777E-4</v>
      </c>
      <c r="E61" s="371">
        <v>50</v>
      </c>
      <c r="F61" s="371" t="n">
        <v>554.0</v>
      </c>
      <c r="G61" s="9">
        <f si="1" t="shared"/>
        <v>2.6717506601966656E-3</v>
      </c>
    </row>
    <row r="62" spans="1:7" x14ac:dyDescent="0.25">
      <c r="A62">
        <v>51</v>
      </c>
      <c r="B62" s="6" t="n">
        <v>936.939623</v>
      </c>
      <c r="C62" s="9">
        <f si="0" t="shared"/>
        <v>4.0078730076314557E-3</v>
      </c>
      <c r="E62" s="371">
        <v>51</v>
      </c>
      <c r="F62" s="371" t="n">
        <v>540.0</v>
      </c>
      <c r="G62" s="9">
        <f si="1" t="shared"/>
        <v>2.2382546921515113E-3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483.0</v>
      </c>
      <c r="G63" s="9">
        <f si="1" t="shared"/>
        <v>2.1984438379432829E-3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453.0</v>
      </c>
      <c r="G64" s="9">
        <f si="1" t="shared"/>
        <v>2.0922815600546737E-3</v>
      </c>
    </row>
    <row r="65" spans="1:7" x14ac:dyDescent="0.25">
      <c r="A65">
        <v>54</v>
      </c>
      <c r="B65" s="6" t="n">
        <v>427.135039</v>
      </c>
      <c r="C65" s="9">
        <f si="0" t="shared"/>
        <v>1.8271219952683219E-3</v>
      </c>
      <c r="E65" s="371">
        <v>54</v>
      </c>
      <c r="F65" s="371" t="n">
        <v>407.0</v>
      </c>
      <c r="G65" s="9">
        <f si="1" t="shared"/>
        <v>1.9551552844485533E-3</v>
      </c>
    </row>
    <row r="66" spans="1:7" x14ac:dyDescent="0.25">
      <c r="A66">
        <v>55</v>
      </c>
      <c r="B66" s="6" t="n">
        <v>763.691338</v>
      </c>
      <c r="C66" s="9">
        <f si="0" t="shared"/>
        <v>3.2667824314354466E-3</v>
      </c>
      <c r="E66" s="371">
        <v>55</v>
      </c>
      <c r="F66" s="371" t="n">
        <v>408.0</v>
      </c>
      <c r="G66" s="9">
        <f si="1" t="shared"/>
        <v>1.7074433027084652E-3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384.0</v>
      </c>
      <c r="G67" s="9">
        <f si="1" t="shared"/>
        <v>1.8888038607681725E-3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352.0</v>
      </c>
      <c r="G68" s="9">
        <f si="1" t="shared"/>
        <v>1.521659316403399E-3</v>
      </c>
    </row>
    <row r="69" spans="1:7" x14ac:dyDescent="0.25">
      <c r="A69">
        <v>58</v>
      </c>
      <c r="B69" s="6" t="n">
        <v>28.166385</v>
      </c>
      <c r="C69" s="9">
        <f si="0" t="shared"/>
        <v>1.2048513201160191E-4</v>
      </c>
      <c r="E69" s="371">
        <v>58</v>
      </c>
      <c r="F69" s="371" t="n">
        <v>325.0</v>
      </c>
      <c r="G69" s="9">
        <f si="1" t="shared"/>
        <v>1.632245022537367E-3</v>
      </c>
    </row>
    <row r="70" spans="1:7" x14ac:dyDescent="0.25">
      <c r="A70">
        <v>59</v>
      </c>
      <c r="B70" s="6" t="n">
        <v>495.74798300000003</v>
      </c>
      <c r="C70" s="9">
        <f si="0" t="shared"/>
        <v>2.1206221947275231E-3</v>
      </c>
      <c r="E70" s="371">
        <v>59</v>
      </c>
      <c r="F70" s="371" t="n">
        <v>297.0</v>
      </c>
      <c r="G70" s="9">
        <f si="1" t="shared"/>
        <v>1.2916410476447456E-3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289.0</v>
      </c>
      <c r="G71" s="9">
        <f si="1" t="shared"/>
        <v>1.269523906417952E-3</v>
      </c>
    </row>
    <row r="72" spans="1:7" x14ac:dyDescent="0.25">
      <c r="A72">
        <v>61</v>
      </c>
      <c r="B72" s="6" t="n">
        <v>90.013899</v>
      </c>
      <c r="C72" s="9">
        <f si="0" t="shared"/>
        <v>3.8504538313645863E-4</v>
      </c>
      <c r="E72" s="371">
        <v>61</v>
      </c>
      <c r="F72" s="371" t="n">
        <v>253.0</v>
      </c>
      <c r="G72" s="9">
        <f si="1" t="shared"/>
        <v>1.0704696353768097E-3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236.0</v>
      </c>
      <c r="G73" s="9">
        <f si="1" t="shared"/>
        <v>1.1810553415107776E-3</v>
      </c>
    </row>
    <row r="74" spans="1:7" x14ac:dyDescent="0.25">
      <c r="A74">
        <v>63</v>
      </c>
      <c r="B74" s="6" t="n">
        <v>73.805143</v>
      </c>
      <c r="C74" s="9">
        <f si="0" t="shared"/>
        <v>3.1571046115751655E-4</v>
      </c>
      <c r="E74" s="371">
        <v>63</v>
      </c>
      <c r="F74" s="371" t="n">
        <v>230.0</v>
      </c>
      <c r="G74" s="9">
        <f si="1" t="shared"/>
        <v>1.0881633483582447E-3</v>
      </c>
    </row>
    <row r="75" spans="1:7" x14ac:dyDescent="0.25">
      <c r="A75">
        <v>64</v>
      </c>
      <c r="B75" s="6" t="n">
        <v>60.583943</v>
      </c>
      <c r="C75" s="9">
        <f si="0" t="shared"/>
        <v>2.5915517274007177E-4</v>
      </c>
      <c r="E75" s="371">
        <v>64</v>
      </c>
      <c r="F75" s="371" t="n">
        <v>234.0</v>
      </c>
      <c r="G75" s="9">
        <f si="1" t="shared"/>
        <v>9.0680279029853718E-4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198.0</v>
      </c>
      <c r="G76" s="9">
        <f si="1" t="shared"/>
        <v>9.8200107046963548E-4</v>
      </c>
    </row>
    <row r="77" spans="1:7" x14ac:dyDescent="0.25">
      <c r="A77">
        <v>66</v>
      </c>
      <c r="B77" s="6" t="n">
        <v>41.793933</v>
      </c>
      <c r="C77" s="9">
        <f ref="C77:C102" si="2" t="shared">B77/B$102</f>
        <v>1.787786233408741E-4</v>
      </c>
      <c r="E77" s="371">
        <v>66</v>
      </c>
      <c r="F77" s="371" t="n">
        <v>192.0</v>
      </c>
      <c r="G77" s="9">
        <f ref="G77:G102" si="3" t="shared">F77/F$102</f>
        <v>9.0237936205317848E-4</v>
      </c>
    </row>
    <row r="78" spans="1:7" x14ac:dyDescent="0.25">
      <c r="A78">
        <v>67</v>
      </c>
      <c r="B78" s="6" t="n">
        <v>28.166385</v>
      </c>
      <c r="C78" s="9">
        <f si="2" t="shared"/>
        <v>1.2048513201160191E-4</v>
      </c>
      <c r="E78" s="371">
        <v>67</v>
      </c>
      <c r="F78" s="371" t="n">
        <v>174.0</v>
      </c>
      <c r="G78" s="9">
        <f si="3" t="shared"/>
        <v>8.1833422539136279E-4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184.0</v>
      </c>
      <c r="G79" s="9">
        <f si="3" t="shared"/>
        <v>9.7757764222427667E-4</v>
      </c>
    </row>
    <row r="80" spans="1:7" x14ac:dyDescent="0.25">
      <c r="A80">
        <v>69</v>
      </c>
      <c r="B80" s="6" t="n">
        <v>37.12421</v>
      </c>
      <c r="C80" s="9">
        <f si="2" t="shared"/>
        <v>1.5880331617552029E-4</v>
      </c>
      <c r="E80" s="371">
        <v>69</v>
      </c>
      <c r="F80" s="371" t="n">
        <v>189.0</v>
      </c>
      <c r="G80" s="9">
        <f si="3" t="shared"/>
        <v>7.652530864470582E-4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189.0</v>
      </c>
      <c r="G81" s="9">
        <f si="3" t="shared"/>
        <v>8.4487479486351508E-4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146.0</v>
      </c>
      <c r="G82" s="9">
        <f si="3" t="shared"/>
        <v>7.21018803993471E-4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139.0</v>
      </c>
      <c r="G83" s="9">
        <f si="3" t="shared"/>
        <v>5.6177538716055723E-4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149.0</v>
      </c>
      <c r="G84" s="9">
        <f si="3" t="shared"/>
        <v>5.6177538716055723E-4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116.0</v>
      </c>
      <c r="G85" s="9">
        <f si="3" t="shared"/>
        <v>6.2370338259557922E-4</v>
      </c>
    </row>
    <row r="86" spans="1:7" x14ac:dyDescent="0.25">
      <c r="A86">
        <v>75</v>
      </c>
      <c r="B86" s="6" t="n">
        <v>172.654733</v>
      </c>
      <c r="C86" s="9">
        <f si="2" t="shared"/>
        <v>7.3855158544246561E-4</v>
      </c>
      <c r="E86" s="371">
        <v>75</v>
      </c>
      <c r="F86" s="371" t="n">
        <v>123.0</v>
      </c>
      <c r="G86" s="9">
        <f si="3" t="shared"/>
        <v>5.2196453295232873E-4</v>
      </c>
    </row>
    <row r="87" spans="1:7" x14ac:dyDescent="0.25">
      <c r="A87">
        <v>76</v>
      </c>
      <c r="B87" s="6" t="n">
        <v>56.488517</v>
      </c>
      <c r="C87" s="9">
        <f si="2" t="shared"/>
        <v>2.4163649072767482E-4</v>
      </c>
      <c r="E87" s="371">
        <v>76</v>
      </c>
      <c r="F87" s="371" t="n">
        <v>99.0</v>
      </c>
      <c r="G87" s="9">
        <f si="3" t="shared"/>
        <v>5.3523481768840483E-4</v>
      </c>
    </row>
    <row r="88" spans="1:7" x14ac:dyDescent="0.25">
      <c r="A88">
        <v>77</v>
      </c>
      <c r="B88" s="6" t="n">
        <v>56.488517</v>
      </c>
      <c r="C88" s="9">
        <f si="2" t="shared"/>
        <v>2.4163649072767482E-4</v>
      </c>
      <c r="E88" s="371">
        <v>77</v>
      </c>
      <c r="F88" s="371" t="n">
        <v>89.0</v>
      </c>
      <c r="G88" s="9">
        <f si="3" t="shared"/>
        <v>4.9100053523481774E-4</v>
      </c>
    </row>
    <row r="89" spans="1:7" x14ac:dyDescent="0.25">
      <c r="A89">
        <v>78</v>
      </c>
      <c r="B89" s="6" t="n">
        <v>288.496806</v>
      </c>
      <c r="C89" s="9">
        <f si="2" t="shared"/>
        <v>1.2340801191148777E-3</v>
      </c>
      <c r="E89" s="371">
        <v>78</v>
      </c>
      <c r="F89" s="371" t="n">
        <v>113.0</v>
      </c>
      <c r="G89" s="9">
        <f si="3" t="shared"/>
        <v>4.4676625278123049E-4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97.0</v>
      </c>
      <c r="G90" s="9">
        <f si="3" t="shared"/>
        <v>4.158022550637195E-4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95.0</v>
      </c>
      <c r="G91" s="9">
        <f si="3" t="shared"/>
        <v>4.7330682225338284E-4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92.0</v>
      </c>
      <c r="G92" s="9">
        <f si="3" t="shared"/>
        <v>3.3175711840190386E-4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78.0</v>
      </c>
      <c r="G93" s="9">
        <f si="3" t="shared"/>
        <v>3.0079312068439281E-4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80.0</v>
      </c>
      <c r="G94" s="9">
        <f si="3" t="shared"/>
        <v>2.8752283594831666E-4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84.0</v>
      </c>
      <c r="G95" s="9">
        <f si="3" t="shared"/>
        <v>3.0079312068439281E-4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67.0</v>
      </c>
      <c r="G96" s="9">
        <f si="3" t="shared"/>
        <v>3.4502740313798E-4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71.0</v>
      </c>
      <c r="G97" s="9">
        <f si="3" t="shared"/>
        <v>2.6098226647616437E-4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60.0</v>
      </c>
      <c r="G98" s="9">
        <f si="3" t="shared"/>
        <v>2.8309940770295796E-4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51.0</v>
      </c>
      <c r="G99" s="9">
        <f si="3" t="shared"/>
        <v>2.4328855349472949E-4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35.0</v>
      </c>
      <c r="G100" s="9">
        <f si="3" t="shared"/>
        <v>2.5655883823080561E-4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1066.0</v>
      </c>
      <c r="G101" s="9">
        <f si="3" t="shared"/>
        <v>4.7463385072699042E-3</v>
      </c>
    </row>
    <row r="102" spans="1:7" x14ac:dyDescent="0.25">
      <c r="B102" s="6">
        <f>SUM(B11:B101)</f>
        <v>233774.77809700009</v>
      </c>
      <c r="C102" s="9">
        <f si="2" t="shared"/>
        <v>1</v>
      </c>
      <c r="F102" s="6">
        <f>SUM(F11:F101)</f>
        <v>226069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M102"/>
  <sheetViews>
    <sheetView workbookViewId="0">
      <selection activeCell="O103" sqref="O10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24324.237504</v>
      </c>
      <c r="C11" s="9">
        <f>B11/B$102</f>
        <v>6.4066318189716878E-2</v>
      </c>
      <c r="E11" s="371">
        <v>0</v>
      </c>
      <c r="F11" s="371" t="n">
        <v>46654.0</v>
      </c>
      <c r="G11" s="9">
        <f>F11/F$102</f>
        <v>0.11654762083027607</v>
      </c>
      <c r="K11" s="6" t="n">
        <v>6.078870941190547</v>
      </c>
      <c r="L11" s="6" t="n">
        <v>6.472272527198635</v>
      </c>
    </row>
    <row r="12" spans="1:12" x14ac:dyDescent="0.25">
      <c r="A12">
        <v>1</v>
      </c>
      <c r="B12" s="6" t="n">
        <v>59900.815165</v>
      </c>
      <c r="C12" s="9">
        <f>B12/B$102</f>
        <v>0.15776957791804286</v>
      </c>
      <c r="E12" s="371">
        <v>1</v>
      </c>
      <c r="F12" s="371" t="n">
        <v>53262.0</v>
      </c>
      <c r="G12" s="9">
        <f>F12/F$102</f>
        <v>0.13304432897580648</v>
      </c>
      <c r="K12" s="6"/>
      <c r="L12" s="371"/>
    </row>
    <row r="13" spans="1:12" x14ac:dyDescent="0.25">
      <c r="A13">
        <v>2</v>
      </c>
      <c r="B13" s="6" t="n">
        <v>60977.624434</v>
      </c>
      <c r="C13" s="9">
        <f ref="C13:C76" si="0" t="shared">B13/B$102</f>
        <v>0.16060572870164072</v>
      </c>
      <c r="E13" s="371">
        <v>2</v>
      </c>
      <c r="F13" s="371" t="n">
        <v>52158.0</v>
      </c>
      <c r="G13" s="9">
        <f ref="G13:G76" si="1" t="shared">F13/F$102</f>
        <v>0.13065093364879232</v>
      </c>
    </row>
    <row r="14" spans="1:12" x14ac:dyDescent="0.25">
      <c r="A14">
        <v>3</v>
      </c>
      <c r="B14" s="6" t="n">
        <v>49719.920757</v>
      </c>
      <c r="C14" s="9">
        <f si="0" t="shared"/>
        <v>0.13095466047236434</v>
      </c>
      <c r="E14" s="371">
        <v>3</v>
      </c>
      <c r="F14" s="371" t="n">
        <v>47454.0</v>
      </c>
      <c r="G14" s="9">
        <f si="1" t="shared"/>
        <v>0.11736372121811094</v>
      </c>
    </row>
    <row r="15" spans="1:12" x14ac:dyDescent="0.25">
      <c r="A15">
        <v>4</v>
      </c>
      <c r="B15" s="6" t="n">
        <v>30661.687686</v>
      </c>
      <c r="C15" s="9">
        <f si="0" t="shared"/>
        <v>8.0758191873515753E-2</v>
      </c>
      <c r="E15" s="371">
        <v>4</v>
      </c>
      <c r="F15" s="371" t="n">
        <v>37454.0</v>
      </c>
      <c r="G15" s="9">
        <f si="1" t="shared"/>
        <v>9.3197666002805185E-2</v>
      </c>
    </row>
    <row r="16" spans="1:12" x14ac:dyDescent="0.25">
      <c r="A16">
        <v>5</v>
      </c>
      <c r="B16" s="6" t="n">
        <v>24662.157988</v>
      </c>
      <c r="C16" s="9">
        <f si="0" t="shared"/>
        <v>6.4956349017906534E-2</v>
      </c>
      <c r="E16" s="371">
        <v>5</v>
      </c>
      <c r="F16" s="371" t="n">
        <v>28639.0</v>
      </c>
      <c r="G16" s="9">
        <f si="1" t="shared"/>
        <v>7.1439980433556455E-2</v>
      </c>
    </row>
    <row r="17" spans="1:7" x14ac:dyDescent="0.25">
      <c r="A17">
        <v>6</v>
      </c>
      <c r="B17" s="6" t="n">
        <v>21470.092954</v>
      </c>
      <c r="C17" s="9">
        <f si="0" t="shared"/>
        <v>5.6548938338871528E-2</v>
      </c>
      <c r="E17" s="371">
        <v>6</v>
      </c>
      <c r="F17" s="371" t="n">
        <v>20700.0</v>
      </c>
      <c r="G17" s="9">
        <f si="1" t="shared"/>
        <v>5.2237911980952664E-2</v>
      </c>
    </row>
    <row r="18" spans="1:7" x14ac:dyDescent="0.25">
      <c r="A18">
        <v>7</v>
      </c>
      <c r="B18" s="6" t="n">
        <v>11484.326073</v>
      </c>
      <c r="C18" s="9">
        <f si="0" t="shared"/>
        <v>3.0247956930460323E-2</v>
      </c>
      <c r="E18" s="371">
        <v>7</v>
      </c>
      <c r="F18" s="371" t="n">
        <v>15452.0</v>
      </c>
      <c r="G18" s="9">
        <f si="1" t="shared"/>
        <v>3.9499757915175474E-2</v>
      </c>
    </row>
    <row r="19" spans="1:7" x14ac:dyDescent="0.25">
      <c r="A19">
        <v>8</v>
      </c>
      <c r="B19" s="6" t="n">
        <v>12304.969003</v>
      </c>
      <c r="C19" s="9">
        <f si="0" t="shared"/>
        <v>3.2409404789406598E-2</v>
      </c>
      <c r="E19" s="371">
        <v>8</v>
      </c>
      <c r="F19" s="371" t="n">
        <v>12183.0</v>
      </c>
      <c r="G19" s="9">
        <f si="1" t="shared"/>
        <v>3.0045971159461525E-2</v>
      </c>
    </row>
    <row r="20" spans="1:7" x14ac:dyDescent="0.25">
      <c r="A20">
        <v>9</v>
      </c>
      <c r="B20" s="6" t="n">
        <v>13630.811254</v>
      </c>
      <c r="C20" s="9">
        <f si="0" t="shared"/>
        <v>3.5901470327245895E-2</v>
      </c>
      <c r="E20" s="371">
        <v>9</v>
      </c>
      <c r="F20" s="371" t="n">
        <v>10147.0</v>
      </c>
      <c r="G20" s="9">
        <f si="1" t="shared"/>
        <v>2.5156855991973766E-2</v>
      </c>
    </row>
    <row r="21" spans="1:7" x14ac:dyDescent="0.25">
      <c r="A21">
        <v>10</v>
      </c>
      <c r="B21" s="6" t="n">
        <v>10948.733091</v>
      </c>
      <c r="C21" s="9">
        <f si="0" t="shared"/>
        <v>2.8837287000956936E-2</v>
      </c>
      <c r="E21" s="371">
        <v>10</v>
      </c>
      <c r="F21" s="371" t="n">
        <v>8698.0</v>
      </c>
      <c r="G21" s="9">
        <f si="1" t="shared"/>
        <v>2.1657856775629796E-2</v>
      </c>
    </row>
    <row r="22" spans="1:7" x14ac:dyDescent="0.25">
      <c r="A22">
        <v>11</v>
      </c>
      <c r="B22" s="6" t="n">
        <v>7183.804342</v>
      </c>
      <c r="C22" s="9">
        <f si="0" t="shared"/>
        <v>1.8921040986857554E-2</v>
      </c>
      <c r="E22" s="371">
        <v>11</v>
      </c>
      <c r="F22" s="371" t="n">
        <v>7851.0</v>
      </c>
      <c r="G22" s="9">
        <f si="1" t="shared"/>
        <v>1.8745351721797119E-2</v>
      </c>
    </row>
    <row r="23" spans="1:7" x14ac:dyDescent="0.25">
      <c r="A23">
        <v>12</v>
      </c>
      <c r="B23" s="6" t="n">
        <v>8626.014746</v>
      </c>
      <c r="C23" s="9">
        <f si="0" t="shared"/>
        <v>2.2719602426820057E-2</v>
      </c>
      <c r="E23" s="371">
        <v>12</v>
      </c>
      <c r="F23" s="371" t="n">
        <v>6950.0</v>
      </c>
      <c r="G23" s="9">
        <f si="1" t="shared"/>
        <v>1.7385184408739013E-2</v>
      </c>
    </row>
    <row r="24" spans="1:7" x14ac:dyDescent="0.25">
      <c r="A24">
        <v>13</v>
      </c>
      <c r="B24" s="6" t="n">
        <v>6467.1557139999995</v>
      </c>
      <c r="C24" s="9">
        <f si="0" t="shared"/>
        <v>1.7033498200608985E-2</v>
      </c>
      <c r="E24" s="371">
        <v>13</v>
      </c>
      <c r="F24" s="371" t="n">
        <v>6119.0</v>
      </c>
      <c r="G24" s="9">
        <f si="1" t="shared"/>
        <v>1.4764678576241745E-2</v>
      </c>
    </row>
    <row r="25" spans="1:7" x14ac:dyDescent="0.25">
      <c r="A25">
        <v>14</v>
      </c>
      <c r="B25" s="6" t="n">
        <v>5977.944078</v>
      </c>
      <c r="C25" s="9">
        <f si="0" t="shared"/>
        <v>1.5744989636715303E-2</v>
      </c>
      <c r="E25" s="371">
        <v>14</v>
      </c>
      <c r="F25" s="371" t="n">
        <v>5253.0</v>
      </c>
      <c r="G25" s="9">
        <f si="1" t="shared"/>
        <v>1.3416989862386009E-2</v>
      </c>
    </row>
    <row r="26" spans="1:7" x14ac:dyDescent="0.25">
      <c r="A26">
        <v>15</v>
      </c>
      <c r="B26" s="6" t="n">
        <v>6284.214851</v>
      </c>
      <c r="C26" s="9">
        <f si="0" t="shared"/>
        <v>1.6551659970862543E-2</v>
      </c>
      <c r="E26" s="371">
        <v>15</v>
      </c>
      <c r="F26" s="371" t="n">
        <v>4728.0</v>
      </c>
      <c r="G26" s="9">
        <f si="1" t="shared"/>
        <v>1.1392961071761928E-2</v>
      </c>
    </row>
    <row r="27" spans="1:7" x14ac:dyDescent="0.25">
      <c r="A27">
        <v>16</v>
      </c>
      <c r="B27" s="6" t="n">
        <v>5326.700232</v>
      </c>
      <c r="C27" s="9">
        <f si="0" t="shared"/>
        <v>1.4029713034516781E-2</v>
      </c>
      <c r="E27" s="371">
        <v>16</v>
      </c>
      <c r="F27" s="371" t="n">
        <v>4013.0</v>
      </c>
      <c r="G27" s="9">
        <f si="1" t="shared"/>
        <v>1.0055255237268084E-2</v>
      </c>
    </row>
    <row r="28" spans="1:7" x14ac:dyDescent="0.25">
      <c r="A28">
        <v>17</v>
      </c>
      <c r="B28" s="6" t="n">
        <v>3604.871106</v>
      </c>
      <c r="C28" s="9">
        <f si="0" t="shared"/>
        <v>9.4946786830186914E-3</v>
      </c>
      <c r="E28" s="371">
        <v>17</v>
      </c>
      <c r="F28" s="371" t="n">
        <v>3611.0</v>
      </c>
      <c r="G28" s="9">
        <f si="1" t="shared"/>
        <v>8.9721128265025478E-3</v>
      </c>
    </row>
    <row r="29" spans="1:7" x14ac:dyDescent="0.25">
      <c r="A29">
        <v>18</v>
      </c>
      <c r="B29" s="6" t="n">
        <v>1382.97836</v>
      </c>
      <c r="C29" s="9">
        <f si="0" t="shared"/>
        <v>3.6425533029219356E-3</v>
      </c>
      <c r="E29" s="371">
        <v>18</v>
      </c>
      <c r="F29" s="371" t="n">
        <v>3215.0</v>
      </c>
      <c r="G29" s="9">
        <f si="1" t="shared"/>
        <v>8.086132283134425E-3</v>
      </c>
    </row>
    <row r="30" spans="1:7" x14ac:dyDescent="0.25">
      <c r="A30">
        <v>19</v>
      </c>
      <c r="B30" s="6" t="n">
        <v>1824.409381</v>
      </c>
      <c r="C30" s="9">
        <f si="0" t="shared"/>
        <v>4.8052150408509024E-3</v>
      </c>
      <c r="E30" s="371">
        <v>19</v>
      </c>
      <c r="F30" s="371" t="n">
        <v>2653.0</v>
      </c>
      <c r="G30" s="9">
        <f si="1" t="shared"/>
        <v>6.908152518430891E-3</v>
      </c>
    </row>
    <row r="31" spans="1:7" x14ac:dyDescent="0.25">
      <c r="A31">
        <v>20</v>
      </c>
      <c r="B31" s="6" t="n">
        <v>2002.790999</v>
      </c>
      <c r="C31" s="9">
        <f si="0" t="shared"/>
        <v>5.2750449171668698E-3</v>
      </c>
      <c r="E31" s="371">
        <v>20</v>
      </c>
      <c r="F31" s="371" t="n">
        <v>2415.0</v>
      </c>
      <c r="G31" s="9">
        <f si="1" t="shared"/>
        <v>6.1469579670864471E-3</v>
      </c>
    </row>
    <row r="32" spans="1:7" x14ac:dyDescent="0.25">
      <c r="A32">
        <v>21</v>
      </c>
      <c r="B32" s="6" t="n">
        <v>930.458652</v>
      </c>
      <c r="C32" s="9">
        <f si="0" t="shared"/>
        <v>2.4506856608189384E-3</v>
      </c>
      <c r="E32" s="371">
        <v>21</v>
      </c>
      <c r="F32" s="371" t="n">
        <v>2175.0</v>
      </c>
      <c r="G32" s="9">
        <f si="1" t="shared"/>
        <v>5.303404661006374E-3</v>
      </c>
    </row>
    <row r="33" spans="1:7" x14ac:dyDescent="0.25">
      <c r="A33">
        <v>22</v>
      </c>
      <c r="B33" s="6" t="n">
        <v>975.920579</v>
      </c>
      <c r="C33" s="9">
        <f si="0" t="shared"/>
        <v>2.5704254175213108E-3</v>
      </c>
      <c r="E33" s="371">
        <v>22</v>
      </c>
      <c r="F33" s="371" t="n">
        <v>1985.0</v>
      </c>
      <c r="G33" s="9">
        <f si="1" t="shared"/>
        <v>4.976465361904334E-3</v>
      </c>
    </row>
    <row r="34" spans="1:7" x14ac:dyDescent="0.25">
      <c r="A34">
        <v>23</v>
      </c>
      <c r="B34" s="6" t="n">
        <v>882.568994</v>
      </c>
      <c r="C34" s="9">
        <f si="0" t="shared"/>
        <v>2.3245516322838123E-3</v>
      </c>
      <c r="E34" s="371">
        <v>23</v>
      </c>
      <c r="F34" s="371" t="n">
        <v>1849.0</v>
      </c>
      <c r="G34" s="9">
        <f si="1" t="shared"/>
        <v>4.3949626390739878E-3</v>
      </c>
    </row>
    <row r="35" spans="1:7" x14ac:dyDescent="0.25">
      <c r="A35">
        <v>24</v>
      </c>
      <c r="B35" s="6" t="n">
        <v>1293.789967</v>
      </c>
      <c r="C35" s="9">
        <f si="0" t="shared"/>
        <v>3.4076447281381262E-3</v>
      </c>
      <c r="E35" s="371">
        <v>24</v>
      </c>
      <c r="F35" s="371" t="n">
        <v>1675.0</v>
      </c>
      <c r="G35" s="9">
        <f si="1" t="shared"/>
        <v>4.2152708105598902E-3</v>
      </c>
    </row>
    <row r="36" spans="1:7" x14ac:dyDescent="0.25">
      <c r="A36">
        <v>25</v>
      </c>
      <c r="B36" s="6" t="n">
        <v>79.347985</v>
      </c>
      <c r="C36" s="9">
        <f si="0" t="shared"/>
        <v>2.0899044641736126E-4</v>
      </c>
      <c r="E36" s="371">
        <v>25</v>
      </c>
      <c r="F36" s="371" t="n">
        <v>1587.0</v>
      </c>
      <c r="G36" s="9">
        <f si="1" t="shared"/>
        <v>3.7435797607103818E-3</v>
      </c>
    </row>
    <row r="37" spans="1:7" x14ac:dyDescent="0.25">
      <c r="A37">
        <v>26</v>
      </c>
      <c r="B37" s="6" t="n">
        <v>697.502819</v>
      </c>
      <c r="C37" s="9">
        <f si="0" t="shared"/>
        <v>1.837115656058285E-3</v>
      </c>
      <c r="E37" s="371">
        <v>26</v>
      </c>
      <c r="F37" s="371" t="n">
        <v>1400.0</v>
      </c>
      <c r="G37" s="9">
        <f si="1" t="shared"/>
        <v>3.558896492515336E-3</v>
      </c>
    </row>
    <row r="38" spans="1:7" x14ac:dyDescent="0.25">
      <c r="A38">
        <v>27</v>
      </c>
      <c r="B38" s="6" t="n">
        <v>719.167615</v>
      </c>
      <c r="C38" s="9">
        <f si="0" t="shared"/>
        <v>1.8941774124164464E-3</v>
      </c>
      <c r="E38" s="371">
        <v>27</v>
      </c>
      <c r="F38" s="371" t="n">
        <v>1338.0</v>
      </c>
      <c r="G38" s="9">
        <f si="1" t="shared"/>
        <v>3.087205442665828E-3</v>
      </c>
    </row>
    <row r="39" spans="1:7" x14ac:dyDescent="0.25">
      <c r="A39">
        <v>28</v>
      </c>
      <c r="B39" s="6" t="n">
        <v>376.322467</v>
      </c>
      <c r="C39" s="9">
        <f si="0" t="shared"/>
        <v>9.9117577308626944E-4</v>
      </c>
      <c r="E39" s="371">
        <v>28</v>
      </c>
      <c r="F39" s="371" t="n">
        <v>1190.0</v>
      </c>
      <c r="G39" s="9">
        <f si="1" t="shared"/>
        <v>2.8675820967041525E-3</v>
      </c>
    </row>
    <row r="40" spans="1:7" x14ac:dyDescent="0.25">
      <c r="A40">
        <v>29</v>
      </c>
      <c r="B40" s="6" t="n">
        <v>1110.263491</v>
      </c>
      <c r="C40" s="9">
        <f si="0" t="shared"/>
        <v>2.9242640833915061E-3</v>
      </c>
      <c r="E40" s="371">
        <v>29</v>
      </c>
      <c r="F40" s="371" t="n">
        <v>1041.0</v>
      </c>
      <c r="G40" s="9">
        <f si="1" t="shared"/>
        <v>2.5381470777616389E-3</v>
      </c>
    </row>
    <row r="41" spans="1:7" x14ac:dyDescent="0.25">
      <c r="A41">
        <v>30</v>
      </c>
      <c r="B41" s="6" t="n">
        <v>146.620989</v>
      </c>
      <c r="C41" s="9">
        <f si="0" t="shared"/>
        <v>3.8617724124015272E-4</v>
      </c>
      <c r="E41" s="371">
        <v>30</v>
      </c>
      <c r="F41" s="371" t="n">
        <v>920.0</v>
      </c>
      <c r="G41" s="9">
        <f si="1" t="shared"/>
        <v>2.2935665333952272E-3</v>
      </c>
    </row>
    <row r="42" spans="1:7" x14ac:dyDescent="0.25">
      <c r="A42">
        <v>31</v>
      </c>
      <c r="B42" s="6" t="n">
        <v>98.638123</v>
      </c>
      <c r="C42" s="9">
        <f si="0" t="shared"/>
        <v>2.5979771710070003E-4</v>
      </c>
      <c r="E42" s="371">
        <v>31</v>
      </c>
      <c r="F42" s="371" t="n">
        <v>824.0</v>
      </c>
      <c r="G42" s="9">
        <f si="1" t="shared"/>
        <v>2.0439945493478683E-3</v>
      </c>
    </row>
    <row r="43" spans="1:7" x14ac:dyDescent="0.25">
      <c r="A43">
        <v>32</v>
      </c>
      <c r="B43" s="6" t="n">
        <v>606.249004</v>
      </c>
      <c r="C43" s="9">
        <f si="0" t="shared"/>
        <v>1.5967670758878206E-3</v>
      </c>
      <c r="E43" s="371">
        <v>32</v>
      </c>
      <c r="F43" s="371" t="n">
        <v>727.0</v>
      </c>
      <c r="G43" s="9">
        <f si="1" t="shared"/>
        <v>1.8343540827480871E-3</v>
      </c>
    </row>
    <row r="44" spans="1:7" x14ac:dyDescent="0.25">
      <c r="A44">
        <v>33</v>
      </c>
      <c r="B44" s="6" t="n">
        <v>534.603673</v>
      </c>
      <c r="C44" s="9">
        <f si="0" t="shared"/>
        <v>1.4080642410343631E-3</v>
      </c>
      <c r="E44" s="371">
        <v>33</v>
      </c>
      <c r="F44" s="371" t="n">
        <v>640.0</v>
      </c>
      <c r="G44" s="9">
        <f si="1" t="shared"/>
        <v>1.5723034994983604E-3</v>
      </c>
    </row>
    <row r="45" spans="1:7" x14ac:dyDescent="0.25">
      <c r="A45">
        <v>34</v>
      </c>
      <c r="B45" s="6" t="n">
        <v>785.54879</v>
      </c>
      <c r="C45" s="9">
        <f si="0" t="shared"/>
        <v>2.0690152661686115E-3</v>
      </c>
      <c r="E45" s="371">
        <v>34</v>
      </c>
      <c r="F45" s="371" t="n">
        <v>544.0</v>
      </c>
      <c r="G45" s="9">
        <f si="1" t="shared"/>
        <v>1.332714394812896E-3</v>
      </c>
    </row>
    <row r="46" spans="1:7" x14ac:dyDescent="0.25">
      <c r="A46">
        <v>35</v>
      </c>
      <c r="B46" s="6" t="n">
        <v>333.82437100000004</v>
      </c>
      <c r="C46" s="9">
        <f si="0" t="shared"/>
        <v>8.7924229355395536E-4</v>
      </c>
      <c r="E46" s="371">
        <v>35</v>
      </c>
      <c r="F46" s="371" t="n">
        <v>523.0</v>
      </c>
      <c r="G46" s="9">
        <f si="1" t="shared"/>
        <v>1.2478599202367939E-3</v>
      </c>
    </row>
    <row r="47" spans="1:7" x14ac:dyDescent="0.25">
      <c r="A47">
        <v>36</v>
      </c>
      <c r="B47" s="6" t="n">
        <v>197.947017</v>
      </c>
      <c r="C47" s="9">
        <f si="0" t="shared"/>
        <v>5.2136214233814511E-4</v>
      </c>
      <c r="E47" s="371">
        <v>36</v>
      </c>
      <c r="F47" s="371" t="n">
        <v>420.0</v>
      </c>
      <c r="G47" s="9">
        <f si="1" t="shared"/>
        <v>1.0731595314036428E-3</v>
      </c>
    </row>
    <row r="48" spans="1:7" x14ac:dyDescent="0.25">
      <c r="A48">
        <v>37</v>
      </c>
      <c r="B48" s="6" t="n">
        <v>97.06561</v>
      </c>
      <c r="C48" s="9">
        <f si="0" t="shared"/>
        <v>2.5565595856874611E-4</v>
      </c>
      <c r="E48" s="371">
        <v>37</v>
      </c>
      <c r="F48" s="371" t="n">
        <v>386.0</v>
      </c>
      <c r="G48" s="9">
        <f si="1" t="shared"/>
        <v>9.7083501794422561E-4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319.0</v>
      </c>
      <c r="G49" s="9">
        <f si="1" t="shared"/>
        <v>7.2126303389686685E-4</v>
      </c>
    </row>
    <row r="50" spans="1:7" x14ac:dyDescent="0.25">
      <c r="A50">
        <v>39</v>
      </c>
      <c r="B50" s="6" t="n">
        <v>249.662793</v>
      </c>
      <c r="C50" s="9">
        <f si="0" t="shared"/>
        <v>6.575735800080526E-4</v>
      </c>
      <c r="E50" s="371">
        <v>39</v>
      </c>
      <c r="F50" s="371" t="n">
        <v>266.0</v>
      </c>
      <c r="G50" s="9">
        <f si="1" t="shared"/>
        <v>6.9381011565165741E-4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240.0</v>
      </c>
      <c r="G51" s="9">
        <f si="1" t="shared"/>
        <v>6.4888715852313278E-4</v>
      </c>
    </row>
    <row r="52" spans="1:7" x14ac:dyDescent="0.25">
      <c r="A52">
        <v>41</v>
      </c>
      <c r="B52" s="6" t="n">
        <v>232.405997</v>
      </c>
      <c r="C52" s="9">
        <f si="0" t="shared"/>
        <v>6.121218209019666E-4</v>
      </c>
      <c r="E52" s="371">
        <v>41</v>
      </c>
      <c r="F52" s="371" t="n">
        <v>220.0</v>
      </c>
      <c r="G52" s="9">
        <f si="1" t="shared"/>
        <v>5.3907548554229493E-4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172.0</v>
      </c>
      <c r="G53" s="9">
        <f si="1" t="shared"/>
        <v>4.9664824825424402E-4</v>
      </c>
    </row>
    <row r="54" spans="1:7" x14ac:dyDescent="0.25">
      <c r="A54">
        <v>43</v>
      </c>
      <c r="B54" s="6" t="n">
        <v>28.166385</v>
      </c>
      <c r="C54" s="9">
        <f si="0" t="shared"/>
        <v>7.4185946563271499E-5</v>
      </c>
      <c r="E54" s="371">
        <v>43</v>
      </c>
      <c r="F54" s="371" t="n">
        <v>190.0</v>
      </c>
      <c r="G54" s="9">
        <f si="1" t="shared"/>
        <v>4.1678521335908916E-4</v>
      </c>
    </row>
    <row r="55" spans="1:7" x14ac:dyDescent="0.25">
      <c r="A55">
        <v>44</v>
      </c>
      <c r="B55" s="6" t="n">
        <v>251.979787</v>
      </c>
      <c r="C55" s="9">
        <f si="0" t="shared"/>
        <v>6.6367618753370491E-4</v>
      </c>
      <c r="E55" s="371">
        <v>44</v>
      </c>
      <c r="F55" s="371" t="n">
        <v>162.0</v>
      </c>
      <c r="G55" s="9">
        <f si="1" t="shared"/>
        <v>3.8184513559245893E-4</v>
      </c>
    </row>
    <row r="56" spans="1:7" x14ac:dyDescent="0.25">
      <c r="A56">
        <v>45</v>
      </c>
      <c r="B56" s="6" t="n">
        <v>73.805143</v>
      </c>
      <c r="C56" s="9">
        <f si="0" t="shared"/>
        <v>1.9439144905150632E-4</v>
      </c>
      <c r="E56" s="371">
        <v>45</v>
      </c>
      <c r="F56" s="371" t="n">
        <v>156.0</v>
      </c>
      <c r="G56" s="9">
        <f si="1" t="shared"/>
        <v>3.0198210069730413E-4</v>
      </c>
    </row>
    <row r="57" spans="1:7" x14ac:dyDescent="0.25">
      <c r="A57">
        <v>46</v>
      </c>
      <c r="B57" s="6" t="n">
        <v>160.895459</v>
      </c>
      <c r="C57" s="9">
        <f si="0" t="shared"/>
        <v>4.2377401017727479E-4</v>
      </c>
      <c r="E57" s="371">
        <v>46</v>
      </c>
      <c r="F57" s="371" t="n">
        <v>141.0</v>
      </c>
      <c r="G57" s="9">
        <f si="1" t="shared"/>
        <v>3.4690505782582871E-4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108.0</v>
      </c>
      <c r="G58" s="9">
        <f si="1" t="shared"/>
        <v>2.5955486340925311E-4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98.0</v>
      </c>
      <c r="G59" s="9">
        <f si="1" t="shared"/>
        <v>2.1962334596167574E-4</v>
      </c>
    </row>
    <row r="60" spans="1:7" x14ac:dyDescent="0.25">
      <c r="A60">
        <v>49</v>
      </c>
      <c r="B60" s="6" t="n">
        <v>43.770387</v>
      </c>
      <c r="C60" s="9">
        <f si="0" t="shared"/>
        <v>1.1528449927229617E-4</v>
      </c>
      <c r="E60" s="371">
        <v>49</v>
      </c>
      <c r="F60" s="371" t="n">
        <v>71.0</v>
      </c>
      <c r="G60" s="9">
        <f si="1" t="shared"/>
        <v>1.6970894915220396E-4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71.0</v>
      </c>
      <c r="G61" s="9">
        <f si="1" t="shared"/>
        <v>1.6471750947125678E-4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66.0</v>
      </c>
      <c r="G62" s="9">
        <f si="1" t="shared"/>
        <v>1.4974319042841526E-4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53.0</v>
      </c>
      <c r="G63" s="9">
        <f si="1" t="shared"/>
        <v>1.0731595314036428E-4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28.0</v>
      </c>
      <c r="G64" s="9">
        <f si="1" t="shared"/>
        <v>9.9828793618943518E-5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30.0</v>
      </c>
      <c r="G65" s="9">
        <f si="1" t="shared"/>
        <v>8.9845914257049154E-5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33.0</v>
      </c>
      <c r="G66" s="9">
        <f si="1" t="shared"/>
        <v>6.4888715852313278E-5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22.0</v>
      </c>
      <c r="G67" s="9">
        <f si="1" t="shared"/>
        <v>6.9880155533260453E-5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14.0</v>
      </c>
      <c r="G68" s="9">
        <f si="1" t="shared"/>
        <v>3.7435797607103814E-5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16.0</v>
      </c>
      <c r="G69" s="9">
        <f si="1" t="shared"/>
        <v>3.2444357926156639E-5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16.0</v>
      </c>
      <c r="G70" s="9">
        <f si="1" t="shared"/>
        <v>5.2410116649945347E-5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13.0</v>
      </c>
      <c r="G71" s="9">
        <f si="1" t="shared"/>
        <v>2.2461478564262289E-5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11.0</v>
      </c>
      <c r="G72" s="9">
        <f si="1" t="shared"/>
        <v>9.9828793618943505E-6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13.0</v>
      </c>
      <c r="G73" s="9">
        <f si="1" t="shared"/>
        <v>1.9965758723788701E-5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5.0</v>
      </c>
      <c r="G74" s="9">
        <f si="1" t="shared"/>
        <v>1.7470038883315113E-5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10.0</v>
      </c>
      <c r="G75" s="9">
        <f si="1" t="shared"/>
        <v>1.9965758723788701E-5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3.0</v>
      </c>
      <c r="G76" s="9">
        <f si="1" t="shared"/>
        <v>4.9914396809471752E-6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5.0</v>
      </c>
      <c r="G77" s="9">
        <f ref="G77:G102" si="3" t="shared">F77/F$102</f>
        <v>9.9828793618943505E-6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2.0</v>
      </c>
      <c r="G78" s="9">
        <f si="3" t="shared"/>
        <v>9.9828793618943505E-6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2.4957198404735876E-6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9.9828793618943505E-6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4.0</v>
      </c>
      <c r="G81" s="9">
        <f si="3" t="shared"/>
        <v>2.4957198404735876E-6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7.4871595214207637E-6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2.4957198404735876E-6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4.9914396809471752E-6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3.0</v>
      </c>
      <c r="G88" s="9">
        <f si="3" t="shared"/>
        <v>2.4957198404735876E-6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2.0</v>
      </c>
      <c r="G89" s="9">
        <f si="3" t="shared"/>
        <v>4.9914396809471752E-6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4.9914396809471752E-6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2.4957198404735876E-6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4.9914396809471752E-6</v>
      </c>
    </row>
    <row r="102" spans="1:7" x14ac:dyDescent="0.25">
      <c r="B102" s="6">
        <f>SUM(B11:B101)</f>
        <v>379672.78581499978</v>
      </c>
      <c r="C102" s="9">
        <f si="2" t="shared"/>
        <v>1</v>
      </c>
      <c r="F102" s="6">
        <f>SUM(F11:F101)</f>
        <v>400686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M102"/>
  <sheetViews>
    <sheetView workbookViewId="0">
      <selection activeCell="W24" sqref="W2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2417.0</v>
      </c>
      <c r="G11" s="9">
        <f>F11/F$102</f>
        <v>7.2575532960971936E-3</v>
      </c>
      <c r="K11" s="6" t="n">
        <v>14.041960274819795</v>
      </c>
      <c r="L11" s="6" t="n">
        <v>16.045152261987656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13089.0</v>
      </c>
      <c r="G12" s="9">
        <f>F12/F$102</f>
        <v>3.1568360262150409E-2</v>
      </c>
      <c r="K12" s="6"/>
      <c r="L12" s="371"/>
    </row>
    <row r="13" spans="1:12" x14ac:dyDescent="0.25">
      <c r="A13">
        <v>2</v>
      </c>
      <c r="B13" s="6" t="n">
        <v>2470.977013</v>
      </c>
      <c r="C13" s="9">
        <f ref="C13:C76" si="0" t="shared">B13/B$102</f>
        <v>6.5081752111777972E-3</v>
      </c>
      <c r="E13" s="371">
        <v>2</v>
      </c>
      <c r="F13" s="371" t="n">
        <v>6645.0</v>
      </c>
      <c r="G13" s="9">
        <f ref="G13:G76" si="1" t="shared">F13/F$102</f>
        <v>1.667390425420404E-2</v>
      </c>
    </row>
    <row r="14" spans="1:12" x14ac:dyDescent="0.25">
      <c r="A14">
        <v>3</v>
      </c>
      <c r="B14" s="6" t="n">
        <v>17983.783744</v>
      </c>
      <c r="C14" s="9">
        <f si="0" t="shared"/>
        <v>4.7366533541234129E-2</v>
      </c>
      <c r="E14" s="371">
        <v>3</v>
      </c>
      <c r="F14" s="371" t="n">
        <v>10279.0</v>
      </c>
      <c r="G14" s="9">
        <f si="1" t="shared"/>
        <v>2.6297399959070194E-2</v>
      </c>
    </row>
    <row r="15" spans="1:12" x14ac:dyDescent="0.25">
      <c r="A15">
        <v>4</v>
      </c>
      <c r="B15" s="6" t="n">
        <v>21028.494787</v>
      </c>
      <c r="C15" s="9">
        <f si="0" t="shared"/>
        <v>5.5385836363964151E-2</v>
      </c>
      <c r="E15" s="371">
        <v>4</v>
      </c>
      <c r="F15" s="371" t="n">
        <v>16071.0</v>
      </c>
      <c r="G15" s="9">
        <f si="1" t="shared"/>
        <v>4.0625327563229063E-2</v>
      </c>
    </row>
    <row r="16" spans="1:12" x14ac:dyDescent="0.25">
      <c r="A16">
        <v>5</v>
      </c>
      <c r="B16" s="6" t="n">
        <v>29840.707876</v>
      </c>
      <c r="C16" s="9">
        <f si="0" t="shared"/>
        <v>7.8595856724216817E-2</v>
      </c>
      <c r="E16" s="371">
        <v>5</v>
      </c>
      <c r="F16" s="371" t="n">
        <v>21385.0</v>
      </c>
      <c r="G16" s="9">
        <f si="1" t="shared"/>
        <v>5.3650489410660716E-2</v>
      </c>
    </row>
    <row r="17" spans="1:7" x14ac:dyDescent="0.25">
      <c r="A17">
        <v>6</v>
      </c>
      <c r="B17" s="6" t="n">
        <v>26464.621936</v>
      </c>
      <c r="C17" s="9">
        <f si="0" t="shared"/>
        <v>6.970376314749932E-2</v>
      </c>
      <c r="E17" s="371">
        <v>6</v>
      </c>
      <c r="F17" s="371" t="n">
        <v>24536.0</v>
      </c>
      <c r="G17" s="9">
        <f si="1" t="shared"/>
        <v>6.139969951533121E-2</v>
      </c>
    </row>
    <row r="18" spans="1:7" x14ac:dyDescent="0.25">
      <c r="A18">
        <v>7</v>
      </c>
      <c r="B18" s="6" t="n">
        <v>31083.372323</v>
      </c>
      <c r="C18" s="9">
        <f si="0" t="shared"/>
        <v>8.1868844658636489E-2</v>
      </c>
      <c r="E18" s="371">
        <v>7</v>
      </c>
      <c r="F18" s="371" t="n">
        <v>25918.0</v>
      </c>
      <c r="G18" s="9">
        <f si="1" t="shared"/>
        <v>6.3895419355804797E-2</v>
      </c>
    </row>
    <row r="19" spans="1:7" x14ac:dyDescent="0.25">
      <c r="A19">
        <v>8</v>
      </c>
      <c r="B19" s="6" t="n">
        <v>31086.530853</v>
      </c>
      <c r="C19" s="9">
        <f si="0" t="shared"/>
        <v>8.1877163743169293E-2</v>
      </c>
      <c r="E19" s="371">
        <v>8</v>
      </c>
      <c r="F19" s="371" t="n">
        <v>24930.0</v>
      </c>
      <c r="G19" s="9">
        <f si="1" t="shared"/>
        <v>6.1097717414633899E-2</v>
      </c>
    </row>
    <row r="20" spans="1:7" x14ac:dyDescent="0.25">
      <c r="A20">
        <v>9</v>
      </c>
      <c r="B20" s="6" t="n">
        <v>25493.778608</v>
      </c>
      <c r="C20" s="9">
        <f si="0" t="shared"/>
        <v>6.7146710431919499E-2</v>
      </c>
      <c r="E20" s="371">
        <v>9</v>
      </c>
      <c r="F20" s="371" t="n">
        <v>23023.0</v>
      </c>
      <c r="G20" s="9">
        <f si="1" t="shared"/>
        <v>5.7156975786526107E-2</v>
      </c>
    </row>
    <row r="21" spans="1:7" x14ac:dyDescent="0.25">
      <c r="A21">
        <v>10</v>
      </c>
      <c r="B21" s="6" t="n">
        <v>19235.350639</v>
      </c>
      <c r="C21" s="9">
        <f si="0" t="shared"/>
        <v>5.0662969160957062E-2</v>
      </c>
      <c r="E21" s="371">
        <v>10</v>
      </c>
      <c r="F21" s="371" t="n">
        <v>21174.0</v>
      </c>
      <c r="G21" s="9">
        <f si="1" t="shared"/>
        <v>5.2774491746654488E-2</v>
      </c>
    </row>
    <row r="22" spans="1:7" x14ac:dyDescent="0.25">
      <c r="A22">
        <v>11</v>
      </c>
      <c r="B22" s="6" t="n">
        <v>20621.703357</v>
      </c>
      <c r="C22" s="9">
        <f si="0" t="shared"/>
        <v>5.4314410006326246E-2</v>
      </c>
      <c r="E22" s="371">
        <v>11</v>
      </c>
      <c r="F22" s="371" t="n">
        <v>18930.0</v>
      </c>
      <c r="G22" s="9">
        <f si="1" t="shared"/>
        <v>4.7800522104590626E-2</v>
      </c>
    </row>
    <row r="23" spans="1:7" x14ac:dyDescent="0.25">
      <c r="A23">
        <v>12</v>
      </c>
      <c r="B23" s="6" t="n">
        <v>10564.964327</v>
      </c>
      <c r="C23" s="9">
        <f si="0" t="shared"/>
        <v>2.7826498821403284E-2</v>
      </c>
      <c r="E23" s="371">
        <v>12</v>
      </c>
      <c r="F23" s="371" t="n">
        <v>16867.0</v>
      </c>
      <c r="G23" s="9">
        <f si="1" t="shared"/>
        <v>4.1883170362827751E-2</v>
      </c>
    </row>
    <row r="24" spans="1:7" x14ac:dyDescent="0.25">
      <c r="A24">
        <v>13</v>
      </c>
      <c r="B24" s="6" t="n">
        <v>13418.802787</v>
      </c>
      <c r="C24" s="9">
        <f si="0" t="shared"/>
        <v>3.5343072478042893E-2</v>
      </c>
      <c r="E24" s="371">
        <v>13</v>
      </c>
      <c r="F24" s="371" t="n">
        <v>15272.0</v>
      </c>
      <c r="G24" s="9">
        <f si="1" t="shared"/>
        <v>3.8009813170412743E-2</v>
      </c>
    </row>
    <row r="25" spans="1:7" x14ac:dyDescent="0.25">
      <c r="A25">
        <v>14</v>
      </c>
      <c r="B25" s="6" t="n">
        <v>12778.111628999999</v>
      </c>
      <c r="C25" s="9">
        <f si="0" t="shared"/>
        <v>3.365559004069963E-2</v>
      </c>
      <c r="E25" s="371">
        <v>14</v>
      </c>
      <c r="F25" s="371" t="n">
        <v>13341.0</v>
      </c>
      <c r="G25" s="9">
        <f si="1" t="shared"/>
        <v>3.3597380492455441E-2</v>
      </c>
    </row>
    <row r="26" spans="1:7" x14ac:dyDescent="0.25">
      <c r="A26">
        <v>15</v>
      </c>
      <c r="B26" s="6" t="n">
        <v>9895.925658</v>
      </c>
      <c r="C26" s="9">
        <f si="0" t="shared"/>
        <v>2.6064353379338347E-2</v>
      </c>
      <c r="E26" s="371">
        <v>15</v>
      </c>
      <c r="F26" s="371" t="n">
        <v>12005.0</v>
      </c>
      <c r="G26" s="9">
        <f si="1" t="shared"/>
        <v>2.985629645158553E-2</v>
      </c>
    </row>
    <row r="27" spans="1:7" x14ac:dyDescent="0.25">
      <c r="A27">
        <v>16</v>
      </c>
      <c r="B27" s="6" t="n">
        <v>7279.278043</v>
      </c>
      <c r="C27" s="9">
        <f si="0" t="shared"/>
        <v>1.9172504100799348E-2</v>
      </c>
      <c r="E27" s="371">
        <v>16</v>
      </c>
      <c r="F27" s="371" t="n">
        <v>10810.0</v>
      </c>
      <c r="G27" s="9">
        <f si="1" t="shared"/>
        <v>2.6689227974024548E-2</v>
      </c>
    </row>
    <row r="28" spans="1:7" x14ac:dyDescent="0.25">
      <c r="A28">
        <v>17</v>
      </c>
      <c r="B28" s="6" t="n">
        <v>9107.749894</v>
      </c>
      <c r="C28" s="9">
        <f si="0" t="shared"/>
        <v>2.3988419065773803E-2</v>
      </c>
      <c r="E28" s="371">
        <v>17</v>
      </c>
      <c r="F28" s="371" t="n">
        <v>9461.0</v>
      </c>
      <c r="G28" s="9">
        <f si="1" t="shared"/>
        <v>2.346974937981362E-2</v>
      </c>
    </row>
    <row r="29" spans="1:7" x14ac:dyDescent="0.25">
      <c r="A29">
        <v>18</v>
      </c>
      <c r="B29" s="6" t="n">
        <v>7633.8876900000005</v>
      </c>
      <c r="C29" s="9">
        <f si="0" t="shared"/>
        <v>2.0106491629662656E-2</v>
      </c>
      <c r="E29" s="371">
        <v>18</v>
      </c>
      <c r="F29" s="371" t="n">
        <v>8399.0</v>
      </c>
      <c r="G29" s="9">
        <f si="1" t="shared"/>
        <v>2.1093824091682763E-2</v>
      </c>
    </row>
    <row r="30" spans="1:7" x14ac:dyDescent="0.25">
      <c r="A30">
        <v>19</v>
      </c>
      <c r="B30" s="6" t="n">
        <v>6510.65071</v>
      </c>
      <c r="C30" s="9">
        <f si="0" t="shared"/>
        <v>1.7148057362142331E-2</v>
      </c>
      <c r="E30" s="371">
        <v>19</v>
      </c>
      <c r="F30" s="371" t="n">
        <v>7541.0</v>
      </c>
      <c r="G30" s="9">
        <f si="1" t="shared"/>
        <v>1.8895094912225532E-2</v>
      </c>
    </row>
    <row r="31" spans="1:7" x14ac:dyDescent="0.25">
      <c r="A31">
        <v>20</v>
      </c>
      <c r="B31" s="6" t="n">
        <v>5120.686629</v>
      </c>
      <c r="C31" s="9">
        <f si="0" t="shared"/>
        <v>1.3487104739435062E-2</v>
      </c>
      <c r="E31" s="371">
        <v>20</v>
      </c>
      <c r="F31" s="371" t="n">
        <v>7026.0</v>
      </c>
      <c r="G31" s="9">
        <f si="1" t="shared"/>
        <v>1.7220466899267754E-2</v>
      </c>
    </row>
    <row r="32" spans="1:7" x14ac:dyDescent="0.25">
      <c r="A32">
        <v>21</v>
      </c>
      <c r="B32" s="6" t="n">
        <v>5237.590746</v>
      </c>
      <c r="C32" s="9">
        <f si="0" t="shared"/>
        <v>1.3795012288692392E-2</v>
      </c>
      <c r="E32" s="371">
        <v>21</v>
      </c>
      <c r="F32" s="371" t="n">
        <v>6310.0</v>
      </c>
      <c r="G32" s="9">
        <f si="1" t="shared"/>
        <v>1.5740505033866918E-2</v>
      </c>
    </row>
    <row r="33" spans="1:7" x14ac:dyDescent="0.25">
      <c r="A33">
        <v>22</v>
      </c>
      <c r="B33" s="6" t="n">
        <v>5950.607467</v>
      </c>
      <c r="C33" s="9">
        <f si="0" t="shared"/>
        <v>1.5672989187851621E-2</v>
      </c>
      <c r="E33" s="371">
        <v>22</v>
      </c>
      <c r="F33" s="371" t="n">
        <v>5695.0</v>
      </c>
      <c r="G33" s="9">
        <f si="1" t="shared"/>
        <v>1.4280508927189869E-2</v>
      </c>
    </row>
    <row r="34" spans="1:7" x14ac:dyDescent="0.25">
      <c r="A34">
        <v>23</v>
      </c>
      <c r="B34" s="6" t="n">
        <v>3509.489607</v>
      </c>
      <c r="C34" s="9">
        <f si="0" t="shared"/>
        <v>9.2434584150311999E-3</v>
      </c>
      <c r="E34" s="371">
        <v>23</v>
      </c>
      <c r="F34" s="371" t="n">
        <v>5213.0</v>
      </c>
      <c r="G34" s="9">
        <f si="1" t="shared"/>
        <v>1.3050119045836391E-2</v>
      </c>
    </row>
    <row r="35" spans="1:7" x14ac:dyDescent="0.25">
      <c r="A35">
        <v>24</v>
      </c>
      <c r="B35" s="6" t="n">
        <v>5443.225598</v>
      </c>
      <c r="C35" s="9">
        <f si="0" t="shared"/>
        <v>1.4336623011616837E-2</v>
      </c>
      <c r="E35" s="371">
        <v>24</v>
      </c>
      <c r="F35" s="371" t="n">
        <v>4826.0</v>
      </c>
      <c r="G35" s="9">
        <f si="1" t="shared"/>
        <v>1.2306394533375261E-2</v>
      </c>
    </row>
    <row r="36" spans="1:7" x14ac:dyDescent="0.25">
      <c r="A36">
        <v>25</v>
      </c>
      <c r="B36" s="6" t="n">
        <v>7316.568802</v>
      </c>
      <c r="C36" s="9">
        <f si="0" t="shared"/>
        <v>1.9270722251778886E-2</v>
      </c>
      <c r="E36" s="371">
        <v>25</v>
      </c>
      <c r="F36" s="371" t="n">
        <v>4491.0</v>
      </c>
      <c r="G36" s="9">
        <f si="1" t="shared"/>
        <v>1.1218260682928777E-2</v>
      </c>
    </row>
    <row r="37" spans="1:7" x14ac:dyDescent="0.25">
      <c r="A37">
        <v>26</v>
      </c>
      <c r="B37" s="6" t="n">
        <v>3364.337795</v>
      </c>
      <c r="C37" s="9">
        <f si="0" t="shared"/>
        <v>8.8611507611170027E-3</v>
      </c>
      <c r="E37" s="371">
        <v>26</v>
      </c>
      <c r="F37" s="371" t="n">
        <v>4143.0</v>
      </c>
      <c r="G37" s="9">
        <f si="1" t="shared"/>
        <v>1.0195015548334607E-2</v>
      </c>
    </row>
    <row r="38" spans="1:7" x14ac:dyDescent="0.25">
      <c r="A38">
        <v>27</v>
      </c>
      <c r="B38" s="6" t="n">
        <v>3035.499614</v>
      </c>
      <c r="C38" s="9">
        <f si="0" t="shared"/>
        <v>7.995041328769565E-3</v>
      </c>
      <c r="E38" s="371">
        <v>27</v>
      </c>
      <c r="F38" s="371" t="n">
        <v>3889.0</v>
      </c>
      <c r="G38" s="9">
        <f si="1" t="shared"/>
        <v>9.9005206071587221E-3</v>
      </c>
    </row>
    <row r="39" spans="1:7" x14ac:dyDescent="0.25">
      <c r="A39">
        <v>28</v>
      </c>
      <c r="B39" s="6" t="n">
        <v>2137.527814</v>
      </c>
      <c r="C39" s="9">
        <f si="0" t="shared"/>
        <v>5.6299210632429564E-3</v>
      </c>
      <c r="E39" s="371">
        <v>28</v>
      </c>
      <c r="F39" s="371" t="n">
        <v>3645.0</v>
      </c>
      <c r="G39" s="9">
        <f si="1" t="shared"/>
        <v>8.819873916233659E-3</v>
      </c>
    </row>
    <row r="40" spans="1:7" x14ac:dyDescent="0.25">
      <c r="A40">
        <v>29</v>
      </c>
      <c r="B40" s="6" t="n">
        <v>2733.768543</v>
      </c>
      <c r="C40" s="9">
        <f si="0" t="shared"/>
        <v>7.2003278747823155E-3</v>
      </c>
      <c r="E40" s="371">
        <v>29</v>
      </c>
      <c r="F40" s="371" t="n">
        <v>3361.0</v>
      </c>
      <c r="G40" s="9">
        <f si="1" t="shared"/>
        <v>8.3406957068627302E-3</v>
      </c>
    </row>
    <row r="41" spans="1:7" x14ac:dyDescent="0.25">
      <c r="A41">
        <v>30</v>
      </c>
      <c r="B41" s="6" t="n">
        <v>1701.068321</v>
      </c>
      <c r="C41" s="9">
        <f si="0" t="shared"/>
        <v>4.4803535690568705E-3</v>
      </c>
      <c r="E41" s="371">
        <v>30</v>
      </c>
      <c r="F41" s="371" t="n">
        <v>3251.0</v>
      </c>
      <c r="G41" s="9">
        <f si="1" t="shared"/>
        <v>7.7467143848300168E-3</v>
      </c>
    </row>
    <row r="42" spans="1:7" x14ac:dyDescent="0.25">
      <c r="A42">
        <v>31</v>
      </c>
      <c r="B42" s="6" t="n">
        <v>2890.143783</v>
      </c>
      <c r="C42" s="9">
        <f si="0" t="shared"/>
        <v>7.6121963200392675E-3</v>
      </c>
      <c r="E42" s="371">
        <v>31</v>
      </c>
      <c r="F42" s="371" t="n">
        <v>2961.0</v>
      </c>
      <c r="G42" s="9">
        <f si="1" t="shared"/>
        <v>7.307467692906665E-3</v>
      </c>
    </row>
    <row r="43" spans="1:7" x14ac:dyDescent="0.25">
      <c r="A43">
        <v>32</v>
      </c>
      <c r="B43" s="6" t="n">
        <v>1806.947502</v>
      </c>
      <c r="C43" s="9">
        <f si="0" t="shared"/>
        <v>4.7592231245155827E-3</v>
      </c>
      <c r="E43" s="371">
        <v>32</v>
      </c>
      <c r="F43" s="371" t="n">
        <v>2830.0</v>
      </c>
      <c r="G43" s="9">
        <f si="1" t="shared"/>
        <v>6.5013501844336961E-3</v>
      </c>
    </row>
    <row r="44" spans="1:7" x14ac:dyDescent="0.25">
      <c r="A44">
        <v>33</v>
      </c>
      <c r="B44" s="6" t="n">
        <v>3231.08528</v>
      </c>
      <c r="C44" s="9">
        <f si="0" t="shared"/>
        <v>8.5101840340339376E-3</v>
      </c>
      <c r="E44" s="371">
        <v>33</v>
      </c>
      <c r="F44" s="371" t="n">
        <v>2517.0</v>
      </c>
      <c r="G44" s="9">
        <f si="1" t="shared"/>
        <v>6.2667525194291789E-3</v>
      </c>
    </row>
    <row r="45" spans="1:7" x14ac:dyDescent="0.25">
      <c r="A45">
        <v>34</v>
      </c>
      <c r="B45" s="6" t="n">
        <v>1042.141931</v>
      </c>
      <c r="C45" s="9">
        <f si="0" t="shared"/>
        <v>2.7448423219561379E-3</v>
      </c>
      <c r="E45" s="371">
        <v>34</v>
      </c>
      <c r="F45" s="371" t="n">
        <v>2370.0</v>
      </c>
      <c r="G45" s="9">
        <f si="1" t="shared"/>
        <v>6.0970435702769749E-3</v>
      </c>
    </row>
    <row r="46" spans="1:7" x14ac:dyDescent="0.25">
      <c r="A46">
        <v>35</v>
      </c>
      <c r="B46" s="6" t="n">
        <v>1175.825676</v>
      </c>
      <c r="C46" s="9">
        <f si="0" t="shared"/>
        <v>3.0969448428493232E-3</v>
      </c>
      <c r="E46" s="371">
        <v>35</v>
      </c>
      <c r="F46" s="371" t="n">
        <v>2222.0</v>
      </c>
      <c r="G46" s="9">
        <f si="1" t="shared"/>
        <v>5.6752669172369383E-3</v>
      </c>
    </row>
    <row r="47" spans="1:7" x14ac:dyDescent="0.25">
      <c r="A47">
        <v>36</v>
      </c>
      <c r="B47" s="6" t="n">
        <v>1033.589292</v>
      </c>
      <c r="C47" s="9">
        <f si="0" t="shared"/>
        <v>2.7223159800124001E-3</v>
      </c>
      <c r="E47" s="371">
        <v>36</v>
      </c>
      <c r="F47" s="371" t="n">
        <v>2105.0</v>
      </c>
      <c r="G47" s="9">
        <f si="1" t="shared"/>
        <v>5.2210459062707456E-3</v>
      </c>
    </row>
    <row r="48" spans="1:7" x14ac:dyDescent="0.25">
      <c r="A48">
        <v>37</v>
      </c>
      <c r="B48" s="6" t="n">
        <v>914.690841</v>
      </c>
      <c r="C48" s="9">
        <f si="0" t="shared"/>
        <v>2.4091556602787267E-3</v>
      </c>
      <c r="E48" s="371">
        <v>37</v>
      </c>
      <c r="F48" s="371" t="n">
        <v>1958.0</v>
      </c>
      <c r="G48" s="9">
        <f si="1" t="shared"/>
        <v>4.8242264516354452E-3</v>
      </c>
    </row>
    <row r="49" spans="1:7" x14ac:dyDescent="0.25">
      <c r="A49">
        <v>38</v>
      </c>
      <c r="B49" s="6" t="n">
        <v>2437.43188</v>
      </c>
      <c r="C49" s="9">
        <f si="0" t="shared"/>
        <v>6.4198224657262297E-3</v>
      </c>
      <c r="E49" s="371">
        <v>38</v>
      </c>
      <c r="F49" s="371" t="n">
        <v>1907.0</v>
      </c>
      <c r="G49" s="9">
        <f si="1" t="shared"/>
        <v>4.6744832612070301E-3</v>
      </c>
    </row>
    <row r="50" spans="1:7" x14ac:dyDescent="0.25">
      <c r="A50">
        <v>39</v>
      </c>
      <c r="B50" s="6" t="n">
        <v>2428.1224939999997</v>
      </c>
      <c r="C50" s="9">
        <f si="0" t="shared"/>
        <v>6.3953029680223926E-3</v>
      </c>
      <c r="E50" s="371">
        <v>39</v>
      </c>
      <c r="F50" s="371" t="n">
        <v>1662.0</v>
      </c>
      <c r="G50" s="9">
        <f si="1" t="shared"/>
        <v>4.1953050518361013E-3</v>
      </c>
    </row>
    <row r="51" spans="1:7" x14ac:dyDescent="0.25">
      <c r="A51">
        <v>40</v>
      </c>
      <c r="B51" s="6" t="n">
        <v>1355.060624</v>
      </c>
      <c r="C51" s="9">
        <f si="0" t="shared"/>
        <v>3.5690222597630924E-3</v>
      </c>
      <c r="E51" s="371">
        <v>40</v>
      </c>
      <c r="F51" s="371" t="n">
        <v>1698.0</v>
      </c>
      <c r="G51" s="9">
        <f si="1" t="shared"/>
        <v>4.2027922113575221E-3</v>
      </c>
    </row>
    <row r="52" spans="1:7" x14ac:dyDescent="0.25">
      <c r="A52">
        <v>41</v>
      </c>
      <c r="B52" s="6" t="n">
        <v>2680.260033</v>
      </c>
      <c r="C52" s="9">
        <f si="0" t="shared"/>
        <v>7.0593946501764492E-3</v>
      </c>
      <c r="E52" s="371">
        <v>41</v>
      </c>
      <c r="F52" s="371" t="n">
        <v>1538.0</v>
      </c>
      <c r="G52" s="9">
        <f si="1" t="shared"/>
        <v>3.9232715892244798E-3</v>
      </c>
    </row>
    <row r="53" spans="1:7" x14ac:dyDescent="0.25">
      <c r="A53">
        <v>42</v>
      </c>
      <c r="B53" s="6" t="n">
        <v>918.2285430000001</v>
      </c>
      <c r="C53" s="9">
        <f si="0" t="shared"/>
        <v>2.418473425818351E-3</v>
      </c>
      <c r="E53" s="371">
        <v>42</v>
      </c>
      <c r="F53" s="371" t="n">
        <v>1512.0</v>
      </c>
      <c r="G53" s="9">
        <f si="1" t="shared"/>
        <v>3.7086396829437516E-3</v>
      </c>
    </row>
    <row r="54" spans="1:7" x14ac:dyDescent="0.25">
      <c r="A54">
        <v>43</v>
      </c>
      <c r="B54" s="6" t="n">
        <v>1171.449935</v>
      </c>
      <c r="C54" s="9">
        <f si="0" t="shared"/>
        <v>3.0854198108652506E-3</v>
      </c>
      <c r="E54" s="371">
        <v>43</v>
      </c>
      <c r="F54" s="371" t="n">
        <v>1364.0</v>
      </c>
      <c r="G54" s="9">
        <f si="1" t="shared"/>
        <v>3.2818715902227678E-3</v>
      </c>
    </row>
    <row r="55" spans="1:7" x14ac:dyDescent="0.25">
      <c r="A55">
        <v>44</v>
      </c>
      <c r="B55" s="6" t="n">
        <v>716.857013</v>
      </c>
      <c r="C55" s="9">
        <f si="0" t="shared"/>
        <v>1.8880916404403474E-3</v>
      </c>
      <c r="E55" s="371">
        <v>44</v>
      </c>
      <c r="F55" s="371" t="n">
        <v>1248.0</v>
      </c>
      <c r="G55" s="9">
        <f si="1" t="shared"/>
        <v>3.3093245084679776E-3</v>
      </c>
    </row>
    <row r="56" spans="1:7" x14ac:dyDescent="0.25">
      <c r="A56">
        <v>45</v>
      </c>
      <c r="B56" s="6" t="n">
        <v>210.069433</v>
      </c>
      <c r="C56" s="9">
        <f si="0" t="shared"/>
        <v>5.5329073046167391E-4</v>
      </c>
      <c r="E56" s="371">
        <v>45</v>
      </c>
      <c r="F56" s="371" t="n">
        <v>1200.0</v>
      </c>
      <c r="G56" s="9">
        <f si="1" t="shared"/>
        <v>3.0971883220277225E-3</v>
      </c>
    </row>
    <row r="57" spans="1:7" x14ac:dyDescent="0.25">
      <c r="A57">
        <v>46</v>
      </c>
      <c r="B57" s="6" t="n">
        <v>317.53027099999997</v>
      </c>
      <c r="C57" s="9">
        <f si="0" t="shared"/>
        <v>8.3632612834863627E-4</v>
      </c>
      <c r="E57" s="371">
        <v>46</v>
      </c>
      <c r="F57" s="371" t="n">
        <v>1110.0</v>
      </c>
      <c r="G57" s="9">
        <f si="1" t="shared"/>
        <v>2.7877190618089977E-3</v>
      </c>
    </row>
    <row r="58" spans="1:7" x14ac:dyDescent="0.25">
      <c r="A58">
        <v>47</v>
      </c>
      <c r="B58" s="6" t="n">
        <v>384.322383</v>
      </c>
      <c r="C58" s="9">
        <f si="0" t="shared"/>
        <v>1.0122463272552423E-3</v>
      </c>
      <c r="E58" s="371">
        <v>47</v>
      </c>
      <c r="F58" s="371" t="n">
        <v>1051.0</v>
      </c>
      <c r="G58" s="9">
        <f si="1" t="shared"/>
        <v>2.4932241206331142E-3</v>
      </c>
    </row>
    <row r="59" spans="1:7" x14ac:dyDescent="0.25">
      <c r="A59">
        <v>48</v>
      </c>
      <c r="B59" s="6" t="n">
        <v>838.4148419999999</v>
      </c>
      <c r="C59" s="9">
        <f si="0" t="shared"/>
        <v>2.2082563547457606E-3</v>
      </c>
      <c r="E59" s="371">
        <v>48</v>
      </c>
      <c r="F59" s="371" t="n">
        <v>1028.0</v>
      </c>
      <c r="G59" s="9">
        <f si="1" t="shared"/>
        <v>2.4732583619093253E-3</v>
      </c>
    </row>
    <row r="60" spans="1:7" x14ac:dyDescent="0.25">
      <c r="A60">
        <v>49</v>
      </c>
      <c r="B60" s="6" t="n">
        <v>240.928083</v>
      </c>
      <c r="C60" s="9">
        <f si="0" t="shared"/>
        <v>6.3456769092055758E-4</v>
      </c>
      <c r="E60" s="371">
        <v>49</v>
      </c>
      <c r="F60" s="371" t="n">
        <v>944.0</v>
      </c>
      <c r="G60" s="9">
        <f si="1" t="shared"/>
        <v>2.3659424087689612E-3</v>
      </c>
    </row>
    <row r="61" spans="1:7" x14ac:dyDescent="0.25">
      <c r="A61">
        <v>50</v>
      </c>
      <c r="B61" s="6" t="n">
        <v>139.291027</v>
      </c>
      <c r="C61" s="9">
        <f si="0" t="shared"/>
        <v>3.6687124335498515E-4</v>
      </c>
      <c r="E61" s="371">
        <v>50</v>
      </c>
      <c r="F61" s="371" t="n">
        <v>898.0</v>
      </c>
      <c r="G61" s="9">
        <f si="1" t="shared"/>
        <v>2.1163704247216023E-3</v>
      </c>
    </row>
    <row r="62" spans="1:7" x14ac:dyDescent="0.25">
      <c r="A62">
        <v>51</v>
      </c>
      <c r="B62" s="6" t="n">
        <v>1168.934715</v>
      </c>
      <c r="C62" s="9">
        <f si="0" t="shared"/>
        <v>3.0787951063987427E-3</v>
      </c>
      <c r="E62" s="371">
        <v>51</v>
      </c>
      <c r="F62" s="371" t="n">
        <v>859.0</v>
      </c>
      <c r="G62" s="9">
        <f si="1" t="shared"/>
        <v>2.0414988295073947E-3</v>
      </c>
    </row>
    <row r="63" spans="1:7" x14ac:dyDescent="0.25">
      <c r="A63">
        <v>52</v>
      </c>
      <c r="B63" s="6" t="n">
        <v>466.879947</v>
      </c>
      <c r="C63" s="9">
        <f si="0" t="shared"/>
        <v>1.2296903134571585E-3</v>
      </c>
      <c r="E63" s="371">
        <v>52</v>
      </c>
      <c r="F63" s="371" t="n">
        <v>807.0</v>
      </c>
      <c r="G63" s="9">
        <f si="1" t="shared"/>
        <v>1.8593112811528228E-3</v>
      </c>
    </row>
    <row r="64" spans="1:7" x14ac:dyDescent="0.25">
      <c r="A64">
        <v>53</v>
      </c>
      <c r="B64" s="6" t="n">
        <v>48.270624</v>
      </c>
      <c r="C64" s="9">
        <f si="0" t="shared"/>
        <v>1.2713743466333249E-4</v>
      </c>
      <c r="E64" s="371">
        <v>53</v>
      </c>
      <c r="F64" s="371" t="n">
        <v>712.0</v>
      </c>
      <c r="G64" s="9">
        <f si="1" t="shared"/>
        <v>1.8343540827480871E-3</v>
      </c>
    </row>
    <row r="65" spans="1:7" x14ac:dyDescent="0.25">
      <c r="A65">
        <v>54</v>
      </c>
      <c r="B65" s="6" t="n">
        <v>312.114151</v>
      </c>
      <c r="C65" s="9">
        <f si="0" t="shared"/>
        <v>8.2206089733300304E-4</v>
      </c>
      <c r="E65" s="371">
        <v>54</v>
      </c>
      <c r="F65" s="371" t="n">
        <v>675.0</v>
      </c>
      <c r="G65" s="9">
        <f si="1" t="shared"/>
        <v>1.7270381296077227E-3</v>
      </c>
    </row>
    <row r="66" spans="1:7" x14ac:dyDescent="0.25">
      <c r="A66">
        <v>55</v>
      </c>
      <c r="B66" s="6" t="n">
        <v>212.193382</v>
      </c>
      <c r="C66" s="9">
        <f si="0" t="shared"/>
        <v>5.5888488700739727E-4</v>
      </c>
      <c r="E66" s="371">
        <v>55</v>
      </c>
      <c r="F66" s="371" t="n">
        <v>667.0</v>
      </c>
      <c r="G66" s="9">
        <f si="1" t="shared"/>
        <v>1.6970894915220398E-3</v>
      </c>
    </row>
    <row r="67" spans="1:7" x14ac:dyDescent="0.25">
      <c r="A67">
        <v>56</v>
      </c>
      <c r="B67" s="6" t="n">
        <v>348.489832</v>
      </c>
      <c r="C67" s="9">
        <f si="0" t="shared"/>
        <v>9.1786887293472154E-4</v>
      </c>
      <c r="E67" s="371">
        <v>56</v>
      </c>
      <c r="F67" s="371" t="n">
        <v>619.0</v>
      </c>
      <c r="G67" s="9">
        <f si="1" t="shared"/>
        <v>1.4824575852413111E-3</v>
      </c>
    </row>
    <row r="68" spans="1:7" x14ac:dyDescent="0.25">
      <c r="A68">
        <v>57</v>
      </c>
      <c r="B68" s="6" t="n">
        <v>214.449621</v>
      </c>
      <c r="C68" s="9">
        <f si="0" t="shared"/>
        <v>5.6482747516302921E-4</v>
      </c>
      <c r="E68" s="371">
        <v>57</v>
      </c>
      <c r="F68" s="371" t="n">
        <v>543.0</v>
      </c>
      <c r="G68" s="9">
        <f si="1" t="shared"/>
        <v>1.337705834493843E-3</v>
      </c>
    </row>
    <row r="69" spans="1:7" x14ac:dyDescent="0.25">
      <c r="A69">
        <v>58</v>
      </c>
      <c r="B69" s="6" t="n">
        <v>87.001454</v>
      </c>
      <c r="C69" s="9">
        <f si="0" t="shared"/>
        <v>2.2914851222018444E-4</v>
      </c>
      <c r="E69" s="371">
        <v>58</v>
      </c>
      <c r="F69" s="371" t="n">
        <v>498.0</v>
      </c>
      <c r="G69" s="9">
        <f si="1" t="shared"/>
        <v>1.2578427995986882E-3</v>
      </c>
    </row>
    <row r="70" spans="1:7" x14ac:dyDescent="0.25">
      <c r="A70">
        <v>59</v>
      </c>
      <c r="B70" s="6" t="n">
        <v>37.361886</v>
      </c>
      <c r="C70" s="9">
        <f si="0" t="shared"/>
        <v>9.840548860988159E-5</v>
      </c>
      <c r="E70" s="371">
        <v>59</v>
      </c>
      <c r="F70" s="371" t="n">
        <v>488.0</v>
      </c>
      <c r="G70" s="9">
        <f si="1" t="shared"/>
        <v>1.0706638115631692E-3</v>
      </c>
    </row>
    <row r="71" spans="1:7" x14ac:dyDescent="0.25">
      <c r="A71">
        <v>60</v>
      </c>
      <c r="B71" s="6" t="n">
        <v>44.546927</v>
      </c>
      <c r="C71" s="9">
        <f si="0" t="shared"/>
        <v>1.1732978676461158E-4</v>
      </c>
      <c r="E71" s="371">
        <v>60</v>
      </c>
      <c r="F71" s="371" t="n">
        <v>459.0</v>
      </c>
      <c r="G71" s="9">
        <f si="1" t="shared"/>
        <v>1.1355525274154823E-3</v>
      </c>
    </row>
    <row r="72" spans="1:7" x14ac:dyDescent="0.25">
      <c r="A72">
        <v>61</v>
      </c>
      <c r="B72" s="6" t="n">
        <v>249.725428</v>
      </c>
      <c r="C72" s="9">
        <f si="0" t="shared"/>
        <v>6.5773855101029452E-4</v>
      </c>
      <c r="E72" s="371">
        <v>61</v>
      </c>
      <c r="F72" s="371" t="n">
        <v>429.0</v>
      </c>
      <c r="G72" s="9">
        <f si="1" t="shared"/>
        <v>1.0956210099679049E-3</v>
      </c>
    </row>
    <row r="73" spans="1:7" x14ac:dyDescent="0.25">
      <c r="A73">
        <v>62</v>
      </c>
      <c r="B73" s="6" t="n">
        <v>211.864841</v>
      </c>
      <c r="C73" s="9">
        <f si="0" t="shared"/>
        <v>5.5801956030431324E-4</v>
      </c>
      <c r="E73" s="371">
        <v>62</v>
      </c>
      <c r="F73" s="371" t="n">
        <v>418.0</v>
      </c>
      <c r="G73" s="9">
        <f si="1" t="shared"/>
        <v>9.9828793618943505E-4</v>
      </c>
    </row>
    <row r="74" spans="1:7" x14ac:dyDescent="0.25">
      <c r="A74">
        <v>63</v>
      </c>
      <c r="B74" s="6" t="n">
        <v>248.801478</v>
      </c>
      <c r="C74" s="9">
        <f si="0" t="shared"/>
        <v>6.5530500814254156E-4</v>
      </c>
      <c r="E74" s="371">
        <v>63</v>
      </c>
      <c r="F74" s="371" t="n">
        <v>424.0</v>
      </c>
      <c r="G74" s="9">
        <f si="1" t="shared"/>
        <v>9.5835641874185775E-4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389.0</v>
      </c>
      <c r="G75" s="9">
        <f si="1" t="shared"/>
        <v>9.8580933698706719E-4</v>
      </c>
    </row>
    <row r="76" spans="1:7" x14ac:dyDescent="0.25">
      <c r="A76">
        <v>65</v>
      </c>
      <c r="B76" s="6" t="n">
        <v>666.2067969999999</v>
      </c>
      <c r="C76" s="9">
        <f si="0" t="shared"/>
        <v>1.7546867247014565E-3</v>
      </c>
      <c r="E76" s="371">
        <v>65</v>
      </c>
      <c r="F76" s="371" t="n">
        <v>341.0</v>
      </c>
      <c r="G76" s="9">
        <f si="1" t="shared"/>
        <v>7.2875019341828759E-4</v>
      </c>
    </row>
    <row r="77" spans="1:7" x14ac:dyDescent="0.25">
      <c r="A77">
        <v>66</v>
      </c>
      <c r="B77" s="6" t="n">
        <v>116.12886900000001</v>
      </c>
      <c r="C77" s="9">
        <f ref="C77:C102" si="2" t="shared">B77/B$102</f>
        <v>3.0586566469524405E-4</v>
      </c>
      <c r="E77" s="371">
        <v>66</v>
      </c>
      <c r="F77" s="371" t="n">
        <v>303.0</v>
      </c>
      <c r="G77" s="9">
        <f ref="G77:G102" si="3" t="shared">F77/F$102</f>
        <v>8.9845914257049165E-4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292.0</v>
      </c>
      <c r="G78" s="9">
        <f si="3" t="shared"/>
        <v>6.9630583549213103E-4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261.0</v>
      </c>
      <c r="G79" s="9">
        <f si="3" t="shared"/>
        <v>7.0379299501355176E-4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247.0</v>
      </c>
      <c r="G80" s="9">
        <f si="3" t="shared"/>
        <v>6.3890427916123843E-4</v>
      </c>
    </row>
    <row r="81" spans="1:7" x14ac:dyDescent="0.25">
      <c r="A81">
        <v>70</v>
      </c>
      <c r="B81" s="6" t="n">
        <v>330.58705</v>
      </c>
      <c r="C81" s="9">
        <f si="2" t="shared"/>
        <v>8.707156855879641E-4</v>
      </c>
      <c r="E81" s="371">
        <v>70</v>
      </c>
      <c r="F81" s="371" t="n">
        <v>232.0</v>
      </c>
      <c r="G81" s="9">
        <f si="3" t="shared"/>
        <v>5.6153696410655724E-4</v>
      </c>
    </row>
    <row r="82" spans="1:7" x14ac:dyDescent="0.25">
      <c r="A82">
        <v>71</v>
      </c>
      <c r="B82" s="6" t="n">
        <v>242.616006</v>
      </c>
      <c r="C82" s="9">
        <f si="2" t="shared"/>
        <v>6.390134217263006E-4</v>
      </c>
      <c r="E82" s="371">
        <v>71</v>
      </c>
      <c r="F82" s="371" t="n">
        <v>218.0</v>
      </c>
      <c r="G82" s="9">
        <f si="3" t="shared"/>
        <v>4.9914396809471752E-4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192.0</v>
      </c>
      <c r="G83" s="9">
        <f si="3" t="shared"/>
        <v>5.1910972681850623E-4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183.0</v>
      </c>
      <c r="G84" s="9">
        <f si="3" t="shared"/>
        <v>5.1661400697803272E-4</v>
      </c>
    </row>
    <row r="85" spans="1:7" x14ac:dyDescent="0.25">
      <c r="A85">
        <v>74</v>
      </c>
      <c r="B85" s="6" t="n">
        <v>48.532805</v>
      </c>
      <c r="C85" s="9">
        <f si="2" t="shared"/>
        <v>1.2782797928437297E-4</v>
      </c>
      <c r="E85" s="371">
        <v>74</v>
      </c>
      <c r="F85" s="371" t="n">
        <v>163.0</v>
      </c>
      <c r="G85" s="9">
        <f si="3" t="shared"/>
        <v>4.4423813160429865E-4</v>
      </c>
    </row>
    <row r="86" spans="1:7" x14ac:dyDescent="0.25">
      <c r="A86">
        <v>75</v>
      </c>
      <c r="B86" s="6" t="n">
        <v>131.144915</v>
      </c>
      <c r="C86" s="9">
        <f si="2" t="shared"/>
        <v>3.4541563130074298E-4</v>
      </c>
      <c r="E86" s="371">
        <v>75</v>
      </c>
      <c r="F86" s="371" t="n">
        <v>158.0</v>
      </c>
      <c r="G86" s="9">
        <f si="3" t="shared"/>
        <v>4.5671673080666656E-4</v>
      </c>
    </row>
    <row r="87" spans="1:7" x14ac:dyDescent="0.25">
      <c r="A87">
        <v>76</v>
      </c>
      <c r="B87" s="6" t="n">
        <v>111.15543</v>
      </c>
      <c r="C87" s="9">
        <f si="2" t="shared"/>
        <v>2.9276638767088717E-4</v>
      </c>
      <c r="E87" s="371">
        <v>76</v>
      </c>
      <c r="F87" s="371" t="n">
        <v>140.0</v>
      </c>
      <c r="G87" s="9">
        <f si="3" t="shared"/>
        <v>3.943237347948269E-4</v>
      </c>
    </row>
    <row r="88" spans="1:7" x14ac:dyDescent="0.25">
      <c r="A88">
        <v>77</v>
      </c>
      <c r="B88" s="6" t="n">
        <v>38.178395</v>
      </c>
      <c r="C88" s="9">
        <f si="2" t="shared"/>
        <v>1.0055604833000295E-4</v>
      </c>
      <c r="E88" s="371">
        <v>77</v>
      </c>
      <c r="F88" s="371" t="n">
        <v>144.0</v>
      </c>
      <c r="G88" s="9">
        <f si="3" t="shared"/>
        <v>3.4690505782582871E-4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160.0</v>
      </c>
      <c r="G89" s="9">
        <f si="3" t="shared"/>
        <v>3.3692217846393436E-4</v>
      </c>
    </row>
    <row r="90" spans="1:7" x14ac:dyDescent="0.25">
      <c r="A90">
        <v>79</v>
      </c>
      <c r="B90" s="6" t="n">
        <v>79.971202</v>
      </c>
      <c r="C90" s="9">
        <f si="2" t="shared"/>
        <v>2.106319045973627E-4</v>
      </c>
      <c r="E90" s="371">
        <v>79</v>
      </c>
      <c r="F90" s="371" t="n">
        <v>123.0</v>
      </c>
      <c r="G90" s="9">
        <f si="3" t="shared"/>
        <v>3.3941789830440792E-4</v>
      </c>
    </row>
    <row r="91" spans="1:7" x14ac:dyDescent="0.25">
      <c r="A91">
        <v>80</v>
      </c>
      <c r="B91" s="6" t="n">
        <v>232.405997</v>
      </c>
      <c r="C91" s="9">
        <f si="2" t="shared"/>
        <v>6.1212182090196617E-4</v>
      </c>
      <c r="E91" s="371">
        <v>80</v>
      </c>
      <c r="F91" s="371" t="n">
        <v>102.0</v>
      </c>
      <c r="G91" s="9">
        <f si="3" t="shared"/>
        <v>3.2693929910204001E-4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104.0</v>
      </c>
      <c r="G92" s="9">
        <f si="3" t="shared"/>
        <v>3.1446069989967204E-4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113.0</v>
      </c>
      <c r="G93" s="9">
        <f si="3" t="shared"/>
        <v>2.1962334596167574E-4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98.0</v>
      </c>
      <c r="G94" s="9">
        <f si="3" t="shared"/>
        <v>2.1213618644025497E-4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111.0</v>
      </c>
      <c r="G95" s="9">
        <f si="3" t="shared"/>
        <v>2.6454630309020029E-4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83.0</v>
      </c>
      <c r="G96" s="9">
        <f si="3" t="shared"/>
        <v>1.9716186739741345E-4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74.0</v>
      </c>
      <c r="G97" s="9">
        <f si="3" t="shared"/>
        <v>2.1712762612120215E-4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77.0</v>
      </c>
      <c r="G98" s="9">
        <f si="3" t="shared"/>
        <v>1.9466614755693986E-4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65.0</v>
      </c>
      <c r="G99" s="9">
        <f si="3" t="shared"/>
        <v>1.6721322931173037E-4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50.0</v>
      </c>
      <c r="G100" s="9">
        <f si="3" t="shared"/>
        <v>1.821875483545719E-4</v>
      </c>
    </row>
    <row ht="15.75" r="101" spans="1:7" thickBot="1" x14ac:dyDescent="0.3">
      <c r="A101" s="1">
        <v>90</v>
      </c>
      <c r="B101" s="7" t="n">
        <v>43.770387</v>
      </c>
      <c r="C101" s="9">
        <f si="2" t="shared"/>
        <v>1.1528449927229609E-4</v>
      </c>
      <c r="E101" s="372">
        <v>90</v>
      </c>
      <c r="F101" s="372" t="n">
        <v>1318.0</v>
      </c>
      <c r="G101" s="9">
        <f si="3" t="shared"/>
        <v>3.1071712013896169E-3</v>
      </c>
    </row>
    <row r="102" spans="1:7" x14ac:dyDescent="0.25">
      <c r="B102" s="6">
        <f>SUM(B11:B101)</f>
        <v>379672.78581500001</v>
      </c>
      <c r="C102" s="9">
        <f si="2" t="shared"/>
        <v>1</v>
      </c>
      <c r="F102" s="6">
        <f>SUM(F11:F101)</f>
        <v>400686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M102"/>
  <sheetViews>
    <sheetView workbookViewId="0">
      <selection activeCell="K30" sqref="K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70250.902751</v>
      </c>
      <c r="C11" s="9">
        <f>B11/B$102</f>
        <v>0.11790257293232795</v>
      </c>
      <c r="E11" s="371">
        <v>0</v>
      </c>
      <c r="F11" s="371" t="n">
        <v>105592.0</v>
      </c>
      <c r="G11" s="9">
        <f>F11/F$102</f>
        <v>0.15290531535625299</v>
      </c>
      <c r="K11" s="6" t="n">
        <v>5.869796972958301</v>
      </c>
      <c r="L11" s="6" t="n">
        <v>5.798393016312654</v>
      </c>
    </row>
    <row r="12" spans="1:12" x14ac:dyDescent="0.25">
      <c r="A12">
        <v>1</v>
      </c>
      <c r="B12" s="6" t="n">
        <v>111441.540281</v>
      </c>
      <c r="C12" s="9">
        <f>B12/B$102</f>
        <v>0.18703310300855217</v>
      </c>
      <c r="E12" s="371">
        <v>1</v>
      </c>
      <c r="F12" s="371" t="n">
        <v>101125.0</v>
      </c>
      <c r="G12" s="9">
        <f>F12/F$102</f>
        <v>0.15486018560593354</v>
      </c>
      <c r="K12" s="6"/>
      <c r="L12" s="371"/>
    </row>
    <row r="13" spans="1:12" x14ac:dyDescent="0.25">
      <c r="A13">
        <v>2</v>
      </c>
      <c r="B13" s="6" t="n">
        <v>81119.370537</v>
      </c>
      <c r="C13" s="9">
        <f ref="C13:C76" si="0" t="shared">B13/B$102</f>
        <v>0.13614319711823253</v>
      </c>
      <c r="E13" s="371">
        <v>2</v>
      </c>
      <c r="F13" s="371" t="n">
        <v>86092.0</v>
      </c>
      <c r="G13" s="9">
        <f ref="G13:G76" si="1" t="shared">F13/F$102</f>
        <v>0.1330836629571911</v>
      </c>
    </row>
    <row r="14" spans="1:12" x14ac:dyDescent="0.25">
      <c r="A14">
        <v>3</v>
      </c>
      <c r="B14" s="6" t="n">
        <v>65088.261438</v>
      </c>
      <c r="C14" s="9">
        <f si="0" t="shared"/>
        <v>0.10923807653308748</v>
      </c>
      <c r="E14" s="371">
        <v>3</v>
      </c>
      <c r="F14" s="371" t="n">
        <v>68045.0</v>
      </c>
      <c r="G14" s="9">
        <f si="1" t="shared"/>
        <v>0.10655567720548095</v>
      </c>
    </row>
    <row r="15" spans="1:12" x14ac:dyDescent="0.25">
      <c r="A15">
        <v>4</v>
      </c>
      <c r="B15" s="6" t="n">
        <v>47812.628811</v>
      </c>
      <c r="C15" s="9">
        <f si="0" t="shared"/>
        <v>8.024426355709724E-2</v>
      </c>
      <c r="E15" s="371">
        <v>4</v>
      </c>
      <c r="F15" s="371" t="n">
        <v>52944.0</v>
      </c>
      <c r="G15" s="9">
        <f si="1" t="shared"/>
        <v>8.2499489171970641E-2</v>
      </c>
    </row>
    <row r="16" spans="1:12" x14ac:dyDescent="0.25">
      <c r="A16">
        <v>5</v>
      </c>
      <c r="B16" s="6" t="n">
        <v>30507.893832</v>
      </c>
      <c r="C16" s="9">
        <f si="0" t="shared"/>
        <v>5.1201607903720442E-2</v>
      </c>
      <c r="E16" s="371">
        <v>5</v>
      </c>
      <c r="F16" s="371" t="n">
        <v>40680.0</v>
      </c>
      <c r="G16" s="9">
        <f si="1" t="shared"/>
        <v>6.2818123873509837E-2</v>
      </c>
    </row>
    <row r="17" spans="1:7" x14ac:dyDescent="0.25">
      <c r="A17">
        <v>6</v>
      </c>
      <c r="B17" s="6" t="n">
        <v>33285.614691</v>
      </c>
      <c r="C17" s="9">
        <f si="0" t="shared"/>
        <v>5.5863475913085409E-2</v>
      </c>
      <c r="E17" s="371">
        <v>6</v>
      </c>
      <c r="F17" s="371" t="n">
        <v>29928.0</v>
      </c>
      <c r="G17" s="9">
        <f si="1" t="shared"/>
        <v>4.6666808986913652E-2</v>
      </c>
    </row>
    <row r="18" spans="1:7" x14ac:dyDescent="0.25">
      <c r="A18">
        <v>7</v>
      </c>
      <c r="B18" s="6" t="n">
        <v>22158.979917</v>
      </c>
      <c r="C18" s="9">
        <f si="0" t="shared"/>
        <v>3.7189568296798765E-2</v>
      </c>
      <c r="E18" s="371">
        <v>7</v>
      </c>
      <c r="F18" s="371" t="n">
        <v>23013.0</v>
      </c>
      <c r="G18" s="9">
        <f si="1" t="shared"/>
        <v>3.5248658885815451E-2</v>
      </c>
    </row>
    <row r="19" spans="1:7" x14ac:dyDescent="0.25">
      <c r="A19">
        <v>8</v>
      </c>
      <c r="B19" s="6" t="n">
        <v>19763.37908</v>
      </c>
      <c r="C19" s="9">
        <f si="0" t="shared"/>
        <v>3.3169014946726437E-2</v>
      </c>
      <c r="E19" s="371">
        <v>8</v>
      </c>
      <c r="F19" s="371" t="n">
        <v>18139.0</v>
      </c>
      <c r="G19" s="9">
        <f si="1" t="shared"/>
        <v>2.7837840310583443E-2</v>
      </c>
    </row>
    <row r="20" spans="1:7" x14ac:dyDescent="0.25">
      <c r="A20">
        <v>9</v>
      </c>
      <c r="B20" s="6" t="n">
        <v>14195.549886</v>
      </c>
      <c r="C20" s="9">
        <f si="0" t="shared"/>
        <v>2.3824488941884669E-2</v>
      </c>
      <c r="E20" s="371">
        <v>9</v>
      </c>
      <c r="F20" s="371" t="n">
        <v>15519.0</v>
      </c>
      <c r="G20" s="9">
        <f si="1" t="shared"/>
        <v>2.3931149530800642E-2</v>
      </c>
    </row>
    <row r="21" spans="1:7" x14ac:dyDescent="0.25">
      <c r="A21">
        <v>10</v>
      </c>
      <c r="B21" s="6" t="n">
        <v>14248.246552999999</v>
      </c>
      <c r="C21" s="9">
        <f si="0" t="shared"/>
        <v>2.391293012030311E-2</v>
      </c>
      <c r="E21" s="371">
        <v>10</v>
      </c>
      <c r="F21" s="371" t="n">
        <v>13662.0</v>
      </c>
      <c r="G21" s="9">
        <f si="1" t="shared"/>
        <v>2.0529187341223974E-2</v>
      </c>
    </row>
    <row r="22" spans="1:7" x14ac:dyDescent="0.25">
      <c r="A22">
        <v>11</v>
      </c>
      <c r="B22" s="6" t="n">
        <v>9018.404671</v>
      </c>
      <c r="C22" s="9">
        <f si="0" t="shared"/>
        <v>1.5135650544230037E-2</v>
      </c>
      <c r="E22" s="371">
        <v>11</v>
      </c>
      <c r="F22" s="371" t="n">
        <v>12315.0</v>
      </c>
      <c r="G22" s="9">
        <f si="1" t="shared"/>
        <v>1.8485875223773172E-2</v>
      </c>
    </row>
    <row r="23" spans="1:7" x14ac:dyDescent="0.25">
      <c r="A23">
        <v>12</v>
      </c>
      <c r="B23" s="6" t="n">
        <v>8797.987531</v>
      </c>
      <c r="C23" s="9">
        <f si="0" t="shared"/>
        <v>1.4765722943206928E-2</v>
      </c>
      <c r="E23" s="371">
        <v>12</v>
      </c>
      <c r="F23" s="371" t="n">
        <v>11085.0</v>
      </c>
      <c r="G23" s="9">
        <f si="1" t="shared"/>
        <v>1.6948816556317647E-2</v>
      </c>
    </row>
    <row r="24" spans="1:7" x14ac:dyDescent="0.25">
      <c r="A24">
        <v>13</v>
      </c>
      <c r="B24" s="6" t="n">
        <v>8626.582442</v>
      </c>
      <c r="C24" s="9">
        <f si="0" t="shared"/>
        <v>1.4478052604244529E-2</v>
      </c>
      <c r="E24" s="371">
        <v>13</v>
      </c>
      <c r="F24" s="371" t="n">
        <v>9477.0</v>
      </c>
      <c r="G24" s="9">
        <f si="1" t="shared"/>
        <v>1.4292510803631605E-2</v>
      </c>
    </row>
    <row r="25" spans="1:7" x14ac:dyDescent="0.25">
      <c r="A25">
        <v>14</v>
      </c>
      <c r="B25" s="6" t="n">
        <v>6101.657092</v>
      </c>
      <c r="C25" s="9">
        <f si="0" t="shared"/>
        <v>1.0240453035136913E-2</v>
      </c>
      <c r="E25" s="371">
        <v>14</v>
      </c>
      <c r="F25" s="371" t="n">
        <v>7917.0</v>
      </c>
      <c r="G25" s="9">
        <f si="1" t="shared"/>
        <v>1.2159231958621404E-2</v>
      </c>
    </row>
    <row r="26" spans="1:7" x14ac:dyDescent="0.25">
      <c r="A26">
        <v>15</v>
      </c>
      <c r="B26" s="6" t="n">
        <v>7717.002416</v>
      </c>
      <c r="C26" s="9">
        <f si="0" t="shared"/>
        <v>1.2951498194924469E-2</v>
      </c>
      <c r="E26" s="371">
        <v>15</v>
      </c>
      <c r="F26" s="371" t="n">
        <v>7009.0</v>
      </c>
      <c r="G26" s="9">
        <f si="1" t="shared"/>
        <v>1.0861576278061232E-2</v>
      </c>
    </row>
    <row r="27" spans="1:7" x14ac:dyDescent="0.25">
      <c r="A27">
        <v>16</v>
      </c>
      <c r="B27" s="6" t="n">
        <v>4476.2768209999995</v>
      </c>
      <c r="C27" s="9">
        <f si="0" t="shared"/>
        <v>7.5125661548275111E-3</v>
      </c>
      <c r="E27" s="371">
        <v>16</v>
      </c>
      <c r="F27" s="371" t="n">
        <v>6046.0</v>
      </c>
      <c r="G27" s="9">
        <f si="1" t="shared"/>
        <v>9.130860417384621E-3</v>
      </c>
    </row>
    <row r="28" spans="1:7" x14ac:dyDescent="0.25">
      <c r="A28">
        <v>17</v>
      </c>
      <c r="B28" s="6" t="n">
        <v>4935.918512</v>
      </c>
      <c r="C28" s="9">
        <f si="0" t="shared"/>
        <v>8.2839859640212749E-3</v>
      </c>
      <c r="E28" s="371">
        <v>17</v>
      </c>
      <c r="F28" s="371" t="n">
        <v>5279.0</v>
      </c>
      <c r="G28" s="9">
        <f si="1" t="shared"/>
        <v>8.2677897767300303E-3</v>
      </c>
    </row>
    <row r="29" spans="1:7" x14ac:dyDescent="0.25">
      <c r="A29">
        <v>18</v>
      </c>
      <c r="B29" s="6" t="n">
        <v>4537.705385</v>
      </c>
      <c r="C29" s="9">
        <f si="0" t="shared"/>
        <v>7.6156621359967378E-3</v>
      </c>
      <c r="E29" s="371">
        <v>18</v>
      </c>
      <c r="F29" s="371" t="n">
        <v>4664.0</v>
      </c>
      <c r="G29" s="9">
        <f si="1" t="shared"/>
        <v>7.358973342401166E-3</v>
      </c>
    </row>
    <row r="30" spans="1:7" x14ac:dyDescent="0.25">
      <c r="A30">
        <v>19</v>
      </c>
      <c r="B30" s="6" t="n">
        <v>3911.0577719999997</v>
      </c>
      <c r="C30" s="9">
        <f si="0" t="shared"/>
        <v>6.5639551400528302E-3</v>
      </c>
      <c r="E30" s="371">
        <v>19</v>
      </c>
      <c r="F30" s="371" t="n">
        <v>4077.0</v>
      </c>
      <c r="G30" s="9">
        <f si="1" t="shared"/>
        <v>6.1177374740392617E-3</v>
      </c>
    </row>
    <row r="31" spans="1:7" x14ac:dyDescent="0.25">
      <c r="A31">
        <v>20</v>
      </c>
      <c r="B31" s="6" t="n">
        <v>2966.188569</v>
      </c>
      <c r="C31" s="9">
        <f si="0" t="shared"/>
        <v>4.9781746624256978E-3</v>
      </c>
      <c r="E31" s="371">
        <v>20</v>
      </c>
      <c r="F31" s="371" t="n">
        <v>3579.0</v>
      </c>
      <c r="G31" s="9">
        <f si="1" t="shared"/>
        <v>5.4574731853406083E-3</v>
      </c>
    </row>
    <row r="32" spans="1:7" x14ac:dyDescent="0.25">
      <c r="A32">
        <v>21</v>
      </c>
      <c r="B32" s="6" t="n">
        <v>2376.783904</v>
      </c>
      <c r="C32" s="9">
        <f si="0" t="shared"/>
        <v>3.9889727620867352E-3</v>
      </c>
      <c r="E32" s="371">
        <v>21</v>
      </c>
      <c r="F32" s="371" t="n">
        <v>3256.0</v>
      </c>
      <c r="G32" s="9">
        <f si="1" t="shared"/>
        <v>4.9512197353453347E-3</v>
      </c>
    </row>
    <row r="33" spans="1:7" x14ac:dyDescent="0.25">
      <c r="A33">
        <v>22</v>
      </c>
      <c r="B33" s="6" t="n">
        <v>1745.481728</v>
      </c>
      <c r="C33" s="9">
        <f si="0" t="shared"/>
        <v>2.9294539810683978E-3</v>
      </c>
      <c r="E33" s="371">
        <v>22</v>
      </c>
      <c r="F33" s="371" t="n">
        <v>2867.0</v>
      </c>
      <c r="G33" s="9">
        <f si="1" t="shared"/>
        <v>4.4937617986026187E-3</v>
      </c>
    </row>
    <row r="34" spans="1:7" x14ac:dyDescent="0.25">
      <c r="A34">
        <v>23</v>
      </c>
      <c r="B34" s="6" t="n">
        <v>931.864038</v>
      </c>
      <c r="C34" s="9">
        <f si="0" t="shared"/>
        <v>1.5639538198211221E-3</v>
      </c>
      <c r="E34" s="371">
        <v>23</v>
      </c>
      <c r="F34" s="371" t="n">
        <v>2555.0</v>
      </c>
      <c r="G34" s="9">
        <f si="1" t="shared"/>
        <v>4.0393535814381865E-3</v>
      </c>
    </row>
    <row r="35" spans="1:7" x14ac:dyDescent="0.25">
      <c r="A35">
        <v>24</v>
      </c>
      <c r="B35" s="6" t="n">
        <v>882.355225</v>
      </c>
      <c r="C35" s="9">
        <f si="0" t="shared"/>
        <v>1.4808628386814896E-3</v>
      </c>
      <c r="E35" s="371">
        <v>24</v>
      </c>
      <c r="F35" s="371" t="n">
        <v>2363.0</v>
      </c>
      <c r="G35" s="9">
        <f si="1" t="shared"/>
        <v>3.4797300388229304E-3</v>
      </c>
    </row>
    <row r="36" spans="1:7" x14ac:dyDescent="0.25">
      <c r="A36">
        <v>25</v>
      </c>
      <c r="B36" s="6" t="n">
        <v>1445.419413</v>
      </c>
      <c r="C36" s="9">
        <f si="0" t="shared"/>
        <v>2.4258573354291775E-3</v>
      </c>
      <c r="E36" s="371">
        <v>25</v>
      </c>
      <c r="F36" s="371" t="n">
        <v>2148.0</v>
      </c>
      <c r="G36" s="9">
        <f si="1" t="shared"/>
        <v>3.1869569593075916E-3</v>
      </c>
    </row>
    <row r="37" spans="1:7" x14ac:dyDescent="0.25">
      <c r="A37">
        <v>26</v>
      </c>
      <c r="B37" s="6" t="n">
        <v>1908.333862</v>
      </c>
      <c r="C37" s="9">
        <f si="0" t="shared"/>
        <v>3.2027698368685131E-3</v>
      </c>
      <c r="E37" s="371">
        <v>26</v>
      </c>
      <c r="F37" s="371" t="n">
        <v>1937.0</v>
      </c>
      <c r="G37" s="9">
        <f si="1" t="shared"/>
        <v>3.090890792591621E-3</v>
      </c>
    </row>
    <row r="38" spans="1:7" x14ac:dyDescent="0.25">
      <c r="A38">
        <v>27</v>
      </c>
      <c r="B38" s="6" t="n">
        <v>1998.1084660000001</v>
      </c>
      <c r="C38" s="9">
        <f si="0" t="shared"/>
        <v>3.3534391717964574E-3</v>
      </c>
      <c r="E38" s="371">
        <v>27</v>
      </c>
      <c r="F38" s="371" t="n">
        <v>1682.0</v>
      </c>
      <c r="G38" s="9">
        <f si="1" t="shared"/>
        <v>2.7782945358174314E-3</v>
      </c>
    </row>
    <row r="39" spans="1:7" x14ac:dyDescent="0.25">
      <c r="A39">
        <v>28</v>
      </c>
      <c r="B39" s="6" t="n">
        <v>2605.191889</v>
      </c>
      <c r="C39" s="9">
        <f si="0" t="shared"/>
        <v>4.3723114531956592E-3</v>
      </c>
      <c r="E39" s="371">
        <v>28</v>
      </c>
      <c r="F39" s="371" t="n">
        <v>1546.0</v>
      </c>
      <c r="G39" s="9">
        <f si="1" t="shared"/>
        <v>2.3787812710621258E-3</v>
      </c>
    </row>
    <row r="40" spans="1:7" x14ac:dyDescent="0.25">
      <c r="A40">
        <v>29</v>
      </c>
      <c r="B40" s="6" t="n">
        <v>1516.3761439999998</v>
      </c>
      <c r="C40" s="9">
        <f si="0" t="shared"/>
        <v>2.5449445047630685E-3</v>
      </c>
      <c r="E40" s="371">
        <v>29</v>
      </c>
      <c r="F40" s="371" t="n">
        <v>1446.0</v>
      </c>
      <c r="G40" s="9">
        <f si="1" t="shared"/>
        <v>2.2034223953107512E-3</v>
      </c>
    </row>
    <row r="41" spans="1:7" x14ac:dyDescent="0.25">
      <c r="A41">
        <v>30</v>
      </c>
      <c r="B41" s="6" t="n">
        <v>1120.074673</v>
      </c>
      <c r="C41" s="9">
        <f si="0" t="shared"/>
        <v>1.8798290221424387E-3</v>
      </c>
      <c r="E41" s="371">
        <v>30</v>
      </c>
      <c r="F41" s="371" t="n">
        <v>1243.0</v>
      </c>
      <c r="G41" s="9">
        <f si="1" t="shared"/>
        <v>1.9533453898913995E-3</v>
      </c>
    </row>
    <row r="42" spans="1:7" x14ac:dyDescent="0.25">
      <c r="A42">
        <v>31</v>
      </c>
      <c r="B42" s="6" t="n">
        <v>1319.490429</v>
      </c>
      <c r="C42" s="9">
        <f si="0" t="shared"/>
        <v>2.2145098560525851E-3</v>
      </c>
      <c r="E42" s="371">
        <v>31</v>
      </c>
      <c r="F42" s="371" t="n">
        <v>1108.0</v>
      </c>
      <c r="G42" s="9">
        <f si="1" t="shared"/>
        <v>1.6529480114303491E-3</v>
      </c>
    </row>
    <row r="43" spans="1:7" x14ac:dyDescent="0.25">
      <c r="A43">
        <v>32</v>
      </c>
      <c r="B43" s="6" t="n">
        <v>1887.740251</v>
      </c>
      <c r="C43" s="9">
        <f si="0" t="shared"/>
        <v>3.1682074379841382E-3</v>
      </c>
      <c r="E43" s="371">
        <v>32</v>
      </c>
      <c r="F43" s="371" t="n">
        <v>867.0</v>
      </c>
      <c r="G43" s="9">
        <f si="1" t="shared"/>
        <v>1.373898670017292E-3</v>
      </c>
    </row>
    <row r="44" spans="1:7" x14ac:dyDescent="0.25">
      <c r="A44">
        <v>33</v>
      </c>
      <c r="B44" s="6" t="n">
        <v>1670.300584</v>
      </c>
      <c r="C44" s="9">
        <f si="0" t="shared"/>
        <v>2.8032769503615624E-3</v>
      </c>
      <c r="E44" s="371">
        <v>33</v>
      </c>
      <c r="F44" s="371" t="n">
        <v>824.0</v>
      </c>
      <c r="G44" s="9">
        <f si="1" t="shared"/>
        <v>1.1787166170070661E-3</v>
      </c>
    </row>
    <row r="45" spans="1:7" x14ac:dyDescent="0.25">
      <c r="A45">
        <v>34</v>
      </c>
      <c r="B45" s="6" t="n">
        <v>307.563687</v>
      </c>
      <c r="C45" s="9">
        <f si="0" t="shared"/>
        <v>5.1618624982491062E-4</v>
      </c>
      <c r="E45" s="371">
        <v>34</v>
      </c>
      <c r="F45" s="371" t="n">
        <v>654.0</v>
      </c>
      <c r="G45" s="9">
        <f si="1" t="shared"/>
        <v>9.6066166715970468E-4</v>
      </c>
    </row>
    <row r="46" spans="1:7" x14ac:dyDescent="0.25">
      <c r="A46">
        <v>35</v>
      </c>
      <c r="B46" s="6" t="n">
        <v>479.689517</v>
      </c>
      <c r="C46" s="9">
        <f si="0" t="shared"/>
        <v>8.050662133613735E-4</v>
      </c>
      <c r="E46" s="371">
        <v>35</v>
      </c>
      <c r="F46" s="371" t="n">
        <v>597.0</v>
      </c>
      <c r="G46" s="9">
        <f si="1" t="shared"/>
        <v>9.1949045285286016E-4</v>
      </c>
    </row>
    <row r="47" spans="1:7" x14ac:dyDescent="0.25">
      <c r="A47">
        <v>36</v>
      </c>
      <c r="B47" s="6" t="n">
        <v>388.744167</v>
      </c>
      <c r="C47" s="9">
        <f si="0" t="shared"/>
        <v>6.5243200737491079E-4</v>
      </c>
      <c r="E47" s="371">
        <v>36</v>
      </c>
      <c r="F47" s="371" t="n">
        <v>511.0</v>
      </c>
      <c r="G47" s="9">
        <f si="1" t="shared"/>
        <v>7.8377793161918765E-4</v>
      </c>
    </row>
    <row r="48" spans="1:7" x14ac:dyDescent="0.25">
      <c r="A48">
        <v>37</v>
      </c>
      <c r="B48" s="6" t="n">
        <v>219.66054699999998</v>
      </c>
      <c r="C48" s="9">
        <f si="0" t="shared"/>
        <v>3.6865780579102791E-4</v>
      </c>
      <c r="E48" s="371">
        <v>37</v>
      </c>
      <c r="F48" s="371" t="n">
        <v>386.0</v>
      </c>
      <c r="G48" s="9">
        <f si="1" t="shared"/>
        <v>6.2976709291580639E-4</v>
      </c>
    </row>
    <row r="49" spans="1:7" x14ac:dyDescent="0.25">
      <c r="A49">
        <v>38</v>
      </c>
      <c r="B49" s="6" t="n">
        <v>186.003902</v>
      </c>
      <c r="C49" s="9">
        <f si="0" t="shared"/>
        <v>3.1217162716019913E-4</v>
      </c>
      <c r="E49" s="371">
        <v>38</v>
      </c>
      <c r="F49" s="371" t="n">
        <v>391.0</v>
      </c>
      <c r="G49" s="9">
        <f si="1" t="shared"/>
        <v>5.9164559818724672E-4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318.0</v>
      </c>
      <c r="G50" s="9">
        <f si="1" t="shared"/>
        <v>4.6355737589928606E-4</v>
      </c>
    </row>
    <row r="51" spans="1:7" x14ac:dyDescent="0.25">
      <c r="A51">
        <v>40</v>
      </c>
      <c r="B51" s="6" t="n">
        <v>848.544177</v>
      </c>
      <c r="C51" s="9">
        <f si="0" t="shared"/>
        <v>1.424117524434525E-3</v>
      </c>
      <c r="E51" s="371">
        <v>40</v>
      </c>
      <c r="F51" s="371" t="n">
        <v>283.0</v>
      </c>
      <c r="G51" s="9">
        <f si="1" t="shared"/>
        <v>4.2086130180329917E-4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248.0</v>
      </c>
      <c r="G52" s="9">
        <f si="1" t="shared"/>
        <v>3.903641060204514E-4</v>
      </c>
    </row>
    <row r="53" spans="1:7" x14ac:dyDescent="0.25">
      <c r="A53">
        <v>42</v>
      </c>
      <c r="B53" s="6" t="n">
        <v>82.539782</v>
      </c>
      <c r="C53" s="9">
        <f si="0" t="shared"/>
        <v>1.385270834392932E-4</v>
      </c>
      <c r="E53" s="371">
        <v>42</v>
      </c>
      <c r="F53" s="371" t="n">
        <v>214.0</v>
      </c>
      <c r="G53" s="9">
        <f si="1" t="shared"/>
        <v>3.3851887318961019E-4</v>
      </c>
    </row>
    <row r="54" spans="1:7" x14ac:dyDescent="0.25">
      <c r="A54">
        <v>43</v>
      </c>
      <c r="B54" s="6" t="n">
        <v>414.739348</v>
      </c>
      <c r="C54" s="9">
        <f si="0" t="shared"/>
        <v>6.960598983161121E-4</v>
      </c>
      <c r="E54" s="371">
        <v>43</v>
      </c>
      <c r="F54" s="371" t="n">
        <v>180.0</v>
      </c>
      <c r="G54" s="9">
        <f si="1" t="shared"/>
        <v>2.6990018267820275E-4</v>
      </c>
    </row>
    <row r="55" spans="1:7" x14ac:dyDescent="0.25">
      <c r="A55">
        <v>44</v>
      </c>
      <c r="B55" s="6" t="n">
        <v>280.249728</v>
      </c>
      <c r="C55" s="9">
        <f si="0" t="shared"/>
        <v>4.7034504470214406E-4</v>
      </c>
      <c r="E55" s="371">
        <v>44</v>
      </c>
      <c r="F55" s="371" t="n">
        <v>144.0</v>
      </c>
      <c r="G55" s="9">
        <f si="1" t="shared"/>
        <v>2.0890579111250722E-4</v>
      </c>
    </row>
    <row r="56" spans="1:7" x14ac:dyDescent="0.25">
      <c r="A56">
        <v>45</v>
      </c>
      <c r="B56" s="6" t="n">
        <v>28.166385</v>
      </c>
      <c r="C56" s="9">
        <f si="0" t="shared"/>
        <v>4.7271837537422332E-5</v>
      </c>
      <c r="E56" s="371">
        <v>45</v>
      </c>
      <c r="F56" s="371" t="n">
        <v>141.0</v>
      </c>
      <c r="G56" s="9">
        <f si="1" t="shared"/>
        <v>1.7840859532965945E-4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133.0</v>
      </c>
      <c r="G57" s="9">
        <f si="1" t="shared"/>
        <v>1.7078429638394749E-4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93.0</v>
      </c>
      <c r="G58" s="9">
        <f si="1" t="shared"/>
        <v>1.2656336249881824E-4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76.0</v>
      </c>
      <c r="G59" s="9">
        <f si="1" t="shared"/>
        <v>1.29613082077103E-4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71.0</v>
      </c>
      <c r="G60" s="9">
        <f si="1" t="shared"/>
        <v>1.1131476460739435E-4</v>
      </c>
    </row>
    <row r="61" spans="1:7" x14ac:dyDescent="0.25">
      <c r="A61">
        <v>50</v>
      </c>
      <c r="B61" s="6" t="n">
        <v>34.524483</v>
      </c>
      <c r="C61" s="9">
        <f si="0" t="shared"/>
        <v>5.7942677111013684E-5</v>
      </c>
      <c r="E61" s="371">
        <v>50</v>
      </c>
      <c r="F61" s="371" t="n">
        <v>69.0</v>
      </c>
      <c r="G61" s="9">
        <f si="1" t="shared"/>
        <v>9.9115886294255247E-5</v>
      </c>
    </row>
    <row r="62" spans="1:7" x14ac:dyDescent="0.25">
      <c r="A62">
        <v>51</v>
      </c>
      <c r="B62" s="6" t="n">
        <v>120.926358</v>
      </c>
      <c r="C62" s="9">
        <f si="0" t="shared"/>
        <v>2.0295153777696965E-4</v>
      </c>
      <c r="E62" s="371">
        <v>51</v>
      </c>
      <c r="F62" s="371" t="n">
        <v>67.0</v>
      </c>
      <c r="G62" s="9">
        <f si="1" t="shared"/>
        <v>7.0143550300549862E-5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37.0</v>
      </c>
      <c r="G63" s="9">
        <f si="1" t="shared"/>
        <v>5.0320373041698815E-5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31.0</v>
      </c>
      <c r="G64" s="9">
        <f si="1" t="shared"/>
        <v>6.5568970933122699E-5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25.0</v>
      </c>
      <c r="G65" s="9">
        <f si="1" t="shared"/>
        <v>3.5071775150274931E-5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27.0</v>
      </c>
      <c r="G66" s="9">
        <f si="1" t="shared"/>
        <v>4.2696074095986873E-5</v>
      </c>
    </row>
    <row r="67" spans="1:7" x14ac:dyDescent="0.25">
      <c r="A67">
        <v>56</v>
      </c>
      <c r="B67" s="6" t="n">
        <v>78.567796</v>
      </c>
      <c r="C67" s="9">
        <f si="0" t="shared"/>
        <v>1.3186087203541884E-4</v>
      </c>
      <c r="E67" s="371">
        <v>56</v>
      </c>
      <c r="F67" s="371" t="n">
        <v>22.0</v>
      </c>
      <c r="G67" s="9">
        <f si="1" t="shared"/>
        <v>3.2022055571990158E-5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14.0</v>
      </c>
      <c r="G68" s="9">
        <f si="1" t="shared"/>
        <v>2.2872896837135826E-5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18.0</v>
      </c>
      <c r="G69" s="9">
        <f si="1" t="shared"/>
        <v>1.6773457680566271E-5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18.0</v>
      </c>
      <c r="G70" s="9">
        <f si="1" t="shared"/>
        <v>1.829831746970866E-5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7.0</v>
      </c>
      <c r="G71" s="9">
        <f si="1" t="shared"/>
        <v>7.6242989457119421E-6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12.0</v>
      </c>
      <c r="G72" s="9">
        <f si="1" t="shared"/>
        <v>3.0497195782847766E-6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3.0</v>
      </c>
      <c r="G73" s="9">
        <f si="1" t="shared"/>
        <v>1.5248597891423883E-6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5.0</v>
      </c>
      <c r="G74" s="9">
        <f si="1" t="shared"/>
        <v>7.6242989457119421E-6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7.0</v>
      </c>
      <c r="G75" s="9">
        <f si="1" t="shared"/>
        <v>6.0994391565695532E-6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3.0497195782847766E-6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11.0</v>
      </c>
      <c r="G77" s="9">
        <f ref="G77:G102" si="3" t="shared">F77/F$102</f>
        <v>2.1348037047993436E-5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1.5248597891423883E-6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1.0</v>
      </c>
      <c r="G79" s="9">
        <f si="3" t="shared"/>
        <v>1.5248597891423883E-6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3.0497195782847766E-6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4.5745793674271651E-6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1.5248597891423883E-6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1.5248597891423883E-6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1.5248597891423883E-6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1.5248597891423883E-6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1.5248597891423883E-6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3.0497195782847766E-6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1.5248597891423883E-6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1.5248597891423883E-6</v>
      </c>
    </row>
    <row r="102" spans="1:7" x14ac:dyDescent="0.25">
      <c r="B102" s="6">
        <f>SUM(B11:B101)</f>
        <v>595838.58947100013</v>
      </c>
      <c r="C102" s="9">
        <f si="2" t="shared"/>
        <v>1</v>
      </c>
      <c r="F102" s="6">
        <f>SUM(F11:F101)</f>
        <v>655798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M102"/>
  <sheetViews>
    <sheetView topLeftCell="A61" workbookViewId="0">
      <selection activeCell="T17" sqref="T17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4410.0</v>
      </c>
      <c r="G11" s="9">
        <f>F11/F$102</f>
        <v>6.9381120405978668E-3</v>
      </c>
      <c r="K11" s="6" t="n">
        <v>13.677376595118524</v>
      </c>
      <c r="L11" s="6" t="n">
        <v>15.28669010310222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30971.0</v>
      </c>
      <c r="G12" s="9">
        <f>F12/F$102</f>
        <v>4.2792140262702845E-2</v>
      </c>
      <c r="K12" s="6"/>
      <c r="L12" s="371"/>
    </row>
    <row r="13" spans="1:12" x14ac:dyDescent="0.25">
      <c r="A13">
        <v>2</v>
      </c>
      <c r="B13" s="6" t="n">
        <v>3503.550013</v>
      </c>
      <c r="C13" s="9">
        <f ref="C13:C76" si="0" t="shared">B13/B$102</f>
        <v>5.8800320672592454E-3</v>
      </c>
      <c r="E13" s="371">
        <v>2</v>
      </c>
      <c r="F13" s="371" t="n">
        <v>13443.0</v>
      </c>
      <c r="G13" s="9">
        <f ref="G13:G76" si="1" t="shared">F13/F$102</f>
        <v>2.0552060238061109E-2</v>
      </c>
    </row>
    <row r="14" spans="1:12" x14ac:dyDescent="0.25">
      <c r="A14">
        <v>3</v>
      </c>
      <c r="B14" s="6" t="n">
        <v>38115.563242</v>
      </c>
      <c r="C14" s="9">
        <f si="0" t="shared"/>
        <v>6.3969611763212406E-2</v>
      </c>
      <c r="E14" s="371">
        <v>3</v>
      </c>
      <c r="F14" s="371" t="n">
        <v>21499.0</v>
      </c>
      <c r="G14" s="9">
        <f si="1" t="shared"/>
        <v>3.2041878749249006E-2</v>
      </c>
    </row>
    <row r="15" spans="1:12" x14ac:dyDescent="0.25">
      <c r="A15">
        <v>4</v>
      </c>
      <c r="B15" s="6" t="n">
        <v>42380.251885</v>
      </c>
      <c r="C15" s="9">
        <f si="0" t="shared"/>
        <v>7.1127068024624221E-2</v>
      </c>
      <c r="E15" s="371">
        <v>4</v>
      </c>
      <c r="F15" s="371" t="n">
        <v>31848.0</v>
      </c>
      <c r="G15" s="9">
        <f si="1" t="shared"/>
        <v>4.8374651950753127E-2</v>
      </c>
    </row>
    <row r="16" spans="1:12" x14ac:dyDescent="0.25">
      <c r="A16">
        <v>5</v>
      </c>
      <c r="B16" s="6" t="n">
        <v>54370.556131</v>
      </c>
      <c r="C16" s="9">
        <f si="0" t="shared"/>
        <v>9.1250478051902367E-2</v>
      </c>
      <c r="E16" s="371">
        <v>5</v>
      </c>
      <c r="F16" s="371" t="n">
        <v>40330.0</v>
      </c>
      <c r="G16" s="9">
        <f si="1" t="shared"/>
        <v>6.1358833055300564E-2</v>
      </c>
    </row>
    <row r="17" spans="1:7" x14ac:dyDescent="0.25">
      <c r="A17">
        <v>6</v>
      </c>
      <c r="B17" s="6" t="n">
        <v>50855.567374</v>
      </c>
      <c r="C17" s="9">
        <f si="0" t="shared"/>
        <v>8.5351248261967674E-2</v>
      </c>
      <c r="E17" s="371">
        <v>6</v>
      </c>
      <c r="F17" s="371" t="n">
        <v>44683.0</v>
      </c>
      <c r="G17" s="9">
        <f si="1" t="shared"/>
        <v>6.7491819127231248E-2</v>
      </c>
    </row>
    <row r="18" spans="1:7" x14ac:dyDescent="0.25">
      <c r="A18">
        <v>7</v>
      </c>
      <c r="B18" s="6" t="n">
        <v>43074.659443</v>
      </c>
      <c r="C18" s="9">
        <f si="0" t="shared"/>
        <v>7.2292497001986214E-2</v>
      </c>
      <c r="E18" s="371">
        <v>7</v>
      </c>
      <c r="F18" s="371" t="n">
        <v>43643.0</v>
      </c>
      <c r="G18" s="9">
        <f si="1" t="shared"/>
        <v>6.6784284185069182E-2</v>
      </c>
    </row>
    <row r="19" spans="1:7" x14ac:dyDescent="0.25">
      <c r="A19">
        <v>8</v>
      </c>
      <c r="B19" s="6" t="n">
        <v>44047.43591</v>
      </c>
      <c r="C19" s="9">
        <f si="0" t="shared"/>
        <v>7.3925114432595501E-2</v>
      </c>
      <c r="E19" s="371">
        <v>8</v>
      </c>
      <c r="F19" s="371" t="n">
        <v>38924.0</v>
      </c>
      <c r="G19" s="9">
        <f si="1" t="shared"/>
        <v>6.0439342602447703E-2</v>
      </c>
    </row>
    <row r="20" spans="1:7" x14ac:dyDescent="0.25">
      <c r="A20">
        <v>9</v>
      </c>
      <c r="B20" s="6" t="n">
        <v>31038.369358</v>
      </c>
      <c r="C20" s="9">
        <f si="0" t="shared"/>
        <v>5.2091908625046583E-2</v>
      </c>
      <c r="E20" s="371">
        <v>9</v>
      </c>
      <c r="F20" s="371" t="n">
        <v>35108.0</v>
      </c>
      <c r="G20" s="9">
        <f si="1" t="shared"/>
        <v>5.4045605506573668E-2</v>
      </c>
    </row>
    <row r="21" spans="1:7" x14ac:dyDescent="0.25">
      <c r="A21">
        <v>10</v>
      </c>
      <c r="B21" s="6" t="n">
        <v>26267.340508</v>
      </c>
      <c r="C21" s="9">
        <f si="0" t="shared"/>
        <v>4.4084658114072077E-2</v>
      </c>
      <c r="E21" s="371">
        <v>10</v>
      </c>
      <c r="F21" s="371" t="n">
        <v>31521.0</v>
      </c>
      <c r="G21" s="9">
        <f si="1" t="shared"/>
        <v>4.9323114739599695E-2</v>
      </c>
    </row>
    <row r="22" spans="1:7" x14ac:dyDescent="0.25">
      <c r="A22">
        <v>11</v>
      </c>
      <c r="B22" s="6" t="n">
        <v>29640.406368</v>
      </c>
      <c r="C22" s="9">
        <f si="0" t="shared"/>
        <v>4.9745697730513648E-2</v>
      </c>
      <c r="E22" s="371">
        <v>11</v>
      </c>
      <c r="F22" s="371" t="n">
        <v>28547.0</v>
      </c>
      <c r="G22" s="9">
        <f si="1" t="shared"/>
        <v>4.385496753573509E-2</v>
      </c>
    </row>
    <row r="23" spans="1:7" x14ac:dyDescent="0.25">
      <c r="A23">
        <v>12</v>
      </c>
      <c r="B23" s="6" t="n">
        <v>21525.643683</v>
      </c>
      <c r="C23" s="9">
        <f si="0" t="shared"/>
        <v>3.6126635742258606E-2</v>
      </c>
      <c r="E23" s="371">
        <v>12</v>
      </c>
      <c r="F23" s="371" t="n">
        <v>24906.0</v>
      </c>
      <c r="G23" s="9">
        <f si="1" t="shared"/>
        <v>3.8609449861085277E-2</v>
      </c>
    </row>
    <row r="24" spans="1:7" x14ac:dyDescent="0.25">
      <c r="A24">
        <v>13</v>
      </c>
      <c r="B24" s="6" t="n">
        <v>17832.6342</v>
      </c>
      <c r="C24" s="9">
        <f si="0" t="shared"/>
        <v>2.9928632544314111E-2</v>
      </c>
      <c r="E24" s="371">
        <v>13</v>
      </c>
      <c r="F24" s="371" t="n">
        <v>22373.0</v>
      </c>
      <c r="G24" s="9">
        <f si="1" t="shared"/>
        <v>3.4602118335219076E-2</v>
      </c>
    </row>
    <row r="25" spans="1:7" x14ac:dyDescent="0.25">
      <c r="A25">
        <v>14</v>
      </c>
      <c r="B25" s="6" t="n">
        <v>13470.632292</v>
      </c>
      <c r="C25" s="9">
        <f si="0" t="shared"/>
        <v>2.2607854761403662E-2</v>
      </c>
      <c r="E25" s="371">
        <v>14</v>
      </c>
      <c r="F25" s="371" t="n">
        <v>19940.0</v>
      </c>
      <c r="G25" s="9">
        <f si="1" t="shared"/>
        <v>3.08509632539288E-2</v>
      </c>
    </row>
    <row r="26" spans="1:7" x14ac:dyDescent="0.25">
      <c r="A26">
        <v>15</v>
      </c>
      <c r="B26" s="6" t="n">
        <v>17351.661045</v>
      </c>
      <c r="C26" s="9">
        <f si="0" t="shared"/>
        <v>2.9121411992474696E-2</v>
      </c>
      <c r="E26" s="371">
        <v>15</v>
      </c>
      <c r="F26" s="371" t="n">
        <v>18010.0</v>
      </c>
      <c r="G26" s="9">
        <f si="1" t="shared"/>
        <v>2.7610636202001226E-2</v>
      </c>
    </row>
    <row r="27" spans="1:7" x14ac:dyDescent="0.25">
      <c r="A27">
        <v>16</v>
      </c>
      <c r="B27" s="6" t="n">
        <v>16127.274979</v>
      </c>
      <c r="C27" s="9">
        <f si="0" t="shared"/>
        <v>2.7066516442512012E-2</v>
      </c>
      <c r="E27" s="371">
        <v>16</v>
      </c>
      <c r="F27" s="371" t="n">
        <v>15850.0</v>
      </c>
      <c r="G27" s="9">
        <f si="1" t="shared"/>
        <v>2.4579214941186159E-2</v>
      </c>
    </row>
    <row r="28" spans="1:7" x14ac:dyDescent="0.25">
      <c r="A28">
        <v>17</v>
      </c>
      <c r="B28" s="6" t="n">
        <v>15684.661073</v>
      </c>
      <c r="C28" s="9">
        <f si="0" t="shared"/>
        <v>2.6323674481918351E-2</v>
      </c>
      <c r="E28" s="371">
        <v>17</v>
      </c>
      <c r="F28" s="371" t="n">
        <v>14065.0</v>
      </c>
      <c r="G28" s="9">
        <f si="1" t="shared"/>
        <v>2.1933583207024113E-2</v>
      </c>
    </row>
    <row r="29" spans="1:7" x14ac:dyDescent="0.25">
      <c r="A29">
        <v>18</v>
      </c>
      <c r="B29" s="6" t="n">
        <v>14224.943467</v>
      </c>
      <c r="C29" s="9">
        <f si="0" t="shared"/>
        <v>2.3873820390903581E-2</v>
      </c>
      <c r="E29" s="371">
        <v>18</v>
      </c>
      <c r="F29" s="371" t="n">
        <v>12647.0</v>
      </c>
      <c r="G29" s="9">
        <f si="1" t="shared"/>
        <v>1.9254404557500937E-2</v>
      </c>
    </row>
    <row r="30" spans="1:7" x14ac:dyDescent="0.25">
      <c r="A30">
        <v>19</v>
      </c>
      <c r="B30" s="6" t="n">
        <v>7623.139097</v>
      </c>
      <c r="C30" s="9">
        <f si="0" t="shared"/>
        <v>1.2793966741509647E-2</v>
      </c>
      <c r="E30" s="371">
        <v>19</v>
      </c>
      <c r="F30" s="371" t="n">
        <v>11368.0</v>
      </c>
      <c r="G30" s="9">
        <f si="1" t="shared"/>
        <v>1.7692948133419133E-2</v>
      </c>
    </row>
    <row r="31" spans="1:7" x14ac:dyDescent="0.25">
      <c r="A31">
        <v>20</v>
      </c>
      <c r="B31" s="6" t="n">
        <v>7048.1302239999995</v>
      </c>
      <c r="C31" s="9">
        <f si="0" t="shared"/>
        <v>1.182892539782879E-2</v>
      </c>
      <c r="E31" s="371">
        <v>20</v>
      </c>
      <c r="F31" s="371" t="n">
        <v>10536.0</v>
      </c>
      <c r="G31" s="9">
        <f si="1" t="shared"/>
        <v>1.5878364984339689E-2</v>
      </c>
    </row>
    <row r="32" spans="1:7" x14ac:dyDescent="0.25">
      <c r="A32">
        <v>21</v>
      </c>
      <c r="B32" s="6" t="n">
        <v>7448.730677</v>
      </c>
      <c r="C32" s="9">
        <f si="0" t="shared"/>
        <v>1.250125589148759E-2</v>
      </c>
      <c r="E32" s="371">
        <v>21</v>
      </c>
      <c r="F32" s="371" t="n">
        <v>9528.0</v>
      </c>
      <c r="G32" s="9">
        <f si="1" t="shared"/>
        <v>1.50549406982028E-2</v>
      </c>
    </row>
    <row r="33" spans="1:7" x14ac:dyDescent="0.25">
      <c r="A33">
        <v>22</v>
      </c>
      <c r="B33" s="6" t="n">
        <v>8867.364817</v>
      </c>
      <c r="C33" s="9">
        <f si="0" t="shared"/>
        <v>1.4882159319141539E-2</v>
      </c>
      <c r="E33" s="371">
        <v>22</v>
      </c>
      <c r="F33" s="371" t="n">
        <v>8654.0</v>
      </c>
      <c r="G33" s="9">
        <f si="1" t="shared"/>
        <v>1.3302876800478196E-2</v>
      </c>
    </row>
    <row r="34" spans="1:7" x14ac:dyDescent="0.25">
      <c r="A34">
        <v>23</v>
      </c>
      <c r="B34" s="6" t="n">
        <v>7553.252498</v>
      </c>
      <c r="C34" s="9">
        <f si="0" t="shared"/>
        <v>1.2676675582066537E-2</v>
      </c>
      <c r="E34" s="371">
        <v>23</v>
      </c>
      <c r="F34" s="371" t="n">
        <v>8250.0</v>
      </c>
      <c r="G34" s="9">
        <f si="1" t="shared"/>
        <v>1.2609065596418409E-2</v>
      </c>
    </row>
    <row r="35" spans="1:7" x14ac:dyDescent="0.25">
      <c r="A35">
        <v>24</v>
      </c>
      <c r="B35" s="6" t="n">
        <v>7240.328681</v>
      </c>
      <c r="C35" s="9">
        <f si="0" t="shared"/>
        <v>1.2151493389221625E-2</v>
      </c>
      <c r="E35" s="371">
        <v>24</v>
      </c>
      <c r="F35" s="371" t="n">
        <v>7632.0</v>
      </c>
      <c r="G35" s="9">
        <f si="1" t="shared"/>
        <v>1.1488293651398754E-2</v>
      </c>
    </row>
    <row r="36" spans="1:7" x14ac:dyDescent="0.25">
      <c r="A36">
        <v>25</v>
      </c>
      <c r="B36" s="6" t="n">
        <v>3090.572021</v>
      </c>
      <c r="C36" s="9">
        <f si="0" t="shared"/>
        <v>5.186928264824006E-3</v>
      </c>
      <c r="E36" s="371">
        <v>25</v>
      </c>
      <c r="F36" s="371" t="n">
        <v>7022.0</v>
      </c>
      <c r="G36" s="9">
        <f si="1" t="shared"/>
        <v>1.0759410672188692E-2</v>
      </c>
    </row>
    <row r="37" spans="1:7" x14ac:dyDescent="0.25">
      <c r="A37">
        <v>26</v>
      </c>
      <c r="B37" s="6" t="n">
        <v>6108.794661999999</v>
      </c>
      <c r="C37" s="9">
        <f si="0" t="shared"/>
        <v>1.0252432067925529E-2</v>
      </c>
      <c r="E37" s="371">
        <v>26</v>
      </c>
      <c r="F37" s="371" t="n">
        <v>6517.0</v>
      </c>
      <c r="G37" s="9">
        <f si="1" t="shared"/>
        <v>9.8322959203901196E-3</v>
      </c>
    </row>
    <row r="38" spans="1:7" x14ac:dyDescent="0.25">
      <c r="A38">
        <v>27</v>
      </c>
      <c r="B38" s="6" t="n">
        <v>3534.038577</v>
      </c>
      <c r="C38" s="9">
        <f si="0" t="shared"/>
        <v>5.9312012337730631E-3</v>
      </c>
      <c r="E38" s="371">
        <v>27</v>
      </c>
      <c r="F38" s="371" t="n">
        <v>6003.0</v>
      </c>
      <c r="G38" s="9">
        <f si="1" t="shared"/>
        <v>9.1018880813909155E-3</v>
      </c>
    </row>
    <row r="39" spans="1:7" x14ac:dyDescent="0.25">
      <c r="A39">
        <v>28</v>
      </c>
      <c r="B39" s="6" t="n">
        <v>3436.271436</v>
      </c>
      <c r="C39" s="9">
        <f si="0" t="shared"/>
        <v>5.7671179690640759E-3</v>
      </c>
      <c r="E39" s="371">
        <v>28</v>
      </c>
      <c r="F39" s="371" t="n">
        <v>5461.0</v>
      </c>
      <c r="G39" s="9">
        <f si="1" t="shared"/>
        <v>8.3592813640785725E-3</v>
      </c>
    </row>
    <row r="40" spans="1:7" x14ac:dyDescent="0.25">
      <c r="A40">
        <v>29</v>
      </c>
      <c r="B40" s="6" t="n">
        <v>3165.779636</v>
      </c>
      <c r="C40" s="9">
        <f si="0" t="shared"/>
        <v>5.3131497219920812E-3</v>
      </c>
      <c r="E40" s="371">
        <v>29</v>
      </c>
      <c r="F40" s="371" t="n">
        <v>5003.0</v>
      </c>
      <c r="G40" s="9">
        <f si="1" t="shared"/>
        <v>7.7371385701084788E-3</v>
      </c>
    </row>
    <row r="41" spans="1:7" x14ac:dyDescent="0.25">
      <c r="A41">
        <v>30</v>
      </c>
      <c r="B41" s="6" t="n">
        <v>2613.404914</v>
      </c>
      <c r="C41" s="9">
        <f si="0" t="shared"/>
        <v>4.3860954295025477E-3</v>
      </c>
      <c r="E41" s="371">
        <v>30</v>
      </c>
      <c r="F41" s="371" t="n">
        <v>4793.0</v>
      </c>
      <c r="G41" s="9">
        <f si="1" t="shared"/>
        <v>7.2095370830652121E-3</v>
      </c>
    </row>
    <row r="42" spans="1:7" x14ac:dyDescent="0.25">
      <c r="A42">
        <v>31</v>
      </c>
      <c r="B42" s="6" t="n">
        <v>2956.76124</v>
      </c>
      <c r="C42" s="9">
        <f si="0" t="shared"/>
        <v>4.9623527113695038E-3</v>
      </c>
      <c r="E42" s="371">
        <v>31</v>
      </c>
      <c r="F42" s="371" t="n">
        <v>4373.0</v>
      </c>
      <c r="G42" s="9">
        <f si="1" t="shared"/>
        <v>6.8633939109298903E-3</v>
      </c>
    </row>
    <row r="43" spans="1:7" x14ac:dyDescent="0.25">
      <c r="A43">
        <v>32</v>
      </c>
      <c r="B43" s="6" t="n">
        <v>2504.801086</v>
      </c>
      <c r="C43" s="9">
        <f si="0" t="shared"/>
        <v>4.2038248785192332E-3</v>
      </c>
      <c r="E43" s="371">
        <v>32</v>
      </c>
      <c r="F43" s="371" t="n">
        <v>4048.0</v>
      </c>
      <c r="G43" s="9">
        <f si="1" t="shared"/>
        <v>6.2976709291580639E-3</v>
      </c>
    </row>
    <row r="44" spans="1:7" x14ac:dyDescent="0.25">
      <c r="A44">
        <v>33</v>
      </c>
      <c r="B44" s="6" t="n">
        <v>3073.848639</v>
      </c>
      <c r="C44" s="9">
        <f si="0" t="shared"/>
        <v>5.1588612978710141E-3</v>
      </c>
      <c r="E44" s="371">
        <v>33</v>
      </c>
      <c r="F44" s="371" t="n">
        <v>3723.0</v>
      </c>
      <c r="G44" s="9">
        <f si="1" t="shared"/>
        <v>6.0308204660581462E-3</v>
      </c>
    </row>
    <row r="45" spans="1:7" x14ac:dyDescent="0.25">
      <c r="A45">
        <v>34</v>
      </c>
      <c r="B45" s="6" t="n">
        <v>2060.756997</v>
      </c>
      <c r="C45" s="9">
        <f si="0" t="shared"/>
        <v>3.4585826319668026E-3</v>
      </c>
      <c r="E45" s="371">
        <v>34</v>
      </c>
      <c r="F45" s="371" t="n">
        <v>3549.0</v>
      </c>
      <c r="G45" s="9">
        <f si="1" t="shared"/>
        <v>5.4635726244971778E-3</v>
      </c>
    </row>
    <row r="46" spans="1:7" x14ac:dyDescent="0.25">
      <c r="A46">
        <v>35</v>
      </c>
      <c r="B46" s="6" t="n">
        <v>2856.334178</v>
      </c>
      <c r="C46" s="9">
        <f si="0" t="shared"/>
        <v>4.7938052829641677E-3</v>
      </c>
      <c r="E46" s="371">
        <v>35</v>
      </c>
      <c r="F46" s="371" t="n">
        <v>3370.0</v>
      </c>
      <c r="G46" s="9">
        <f si="1" t="shared"/>
        <v>5.1799487037166936E-3</v>
      </c>
    </row>
    <row r="47" spans="1:7" x14ac:dyDescent="0.25">
      <c r="A47">
        <v>36</v>
      </c>
      <c r="B47" s="6" t="n">
        <v>2031.099438</v>
      </c>
      <c r="C47" s="9">
        <f si="0" t="shared"/>
        <v>3.4088081468561108E-3</v>
      </c>
      <c r="E47" s="371">
        <v>36</v>
      </c>
      <c r="F47" s="371" t="n">
        <v>3067.0</v>
      </c>
      <c r="G47" s="9">
        <f si="1" t="shared"/>
        <v>4.6233748806797214E-3</v>
      </c>
    </row>
    <row r="48" spans="1:7" x14ac:dyDescent="0.25">
      <c r="A48">
        <v>37</v>
      </c>
      <c r="B48" s="6" t="n">
        <v>2470.823243</v>
      </c>
      <c r="C48" s="9">
        <f si="0" t="shared"/>
        <v>4.146799631077361E-3</v>
      </c>
      <c r="E48" s="371">
        <v>37</v>
      </c>
      <c r="F48" s="371" t="n">
        <v>2899.0</v>
      </c>
      <c r="G48" s="9">
        <f si="1" t="shared"/>
        <v>4.7102918886608378E-3</v>
      </c>
    </row>
    <row r="49" spans="1:7" x14ac:dyDescent="0.25">
      <c r="A49">
        <v>38</v>
      </c>
      <c r="B49" s="6" t="n">
        <v>2742.756141</v>
      </c>
      <c r="C49" s="9">
        <f si="0" t="shared"/>
        <v>4.6031864828276455E-3</v>
      </c>
      <c r="E49" s="371">
        <v>38</v>
      </c>
      <c r="F49" s="371" t="n">
        <v>2732.0</v>
      </c>
      <c r="G49" s="9">
        <f si="1" t="shared"/>
        <v>4.1720163830935748E-3</v>
      </c>
    </row>
    <row r="50" spans="1:7" x14ac:dyDescent="0.25">
      <c r="A50">
        <v>39</v>
      </c>
      <c r="B50" s="6" t="n">
        <v>2357.782392</v>
      </c>
      <c r="C50" s="9">
        <f si="0" t="shared"/>
        <v>3.9570823938968012E-3</v>
      </c>
      <c r="E50" s="371">
        <v>39</v>
      </c>
      <c r="F50" s="371" t="n">
        <v>2590.0</v>
      </c>
      <c r="G50" s="9">
        <f si="1" t="shared"/>
        <v>4.068325917431892E-3</v>
      </c>
    </row>
    <row r="51" spans="1:7" x14ac:dyDescent="0.25">
      <c r="A51">
        <v>40</v>
      </c>
      <c r="B51" s="6" t="n">
        <v>1716.102394</v>
      </c>
      <c r="C51" s="9">
        <f si="0" t="shared"/>
        <v>2.8801464428874876E-3</v>
      </c>
      <c r="E51" s="371">
        <v>40</v>
      </c>
      <c r="F51" s="371" t="n">
        <v>2433.0</v>
      </c>
      <c r="G51" s="9">
        <f si="1" t="shared"/>
        <v>3.7557296606577023E-3</v>
      </c>
    </row>
    <row r="52" spans="1:7" x14ac:dyDescent="0.25">
      <c r="A52">
        <v>41</v>
      </c>
      <c r="B52" s="6" t="n">
        <v>1899.297261</v>
      </c>
      <c r="C52" s="9">
        <f si="0" t="shared"/>
        <v>3.187603647300254E-3</v>
      </c>
      <c r="E52" s="371">
        <v>41</v>
      </c>
      <c r="F52" s="371" t="n">
        <v>2274.0</v>
      </c>
      <c r="G52" s="9">
        <f si="1" t="shared"/>
        <v>3.4492328430400826E-3</v>
      </c>
    </row>
    <row r="53" spans="1:7" x14ac:dyDescent="0.25">
      <c r="A53">
        <v>42</v>
      </c>
      <c r="B53" s="6" t="n">
        <v>1650.2582009999999</v>
      </c>
      <c r="C53" s="9">
        <f si="0" t="shared"/>
        <v>2.7696396812182606E-3</v>
      </c>
      <c r="E53" s="371">
        <v>42</v>
      </c>
      <c r="F53" s="371" t="n">
        <v>2209.0</v>
      </c>
      <c r="G53" s="9">
        <f si="1" t="shared"/>
        <v>3.1640840624704556E-3</v>
      </c>
    </row>
    <row r="54" spans="1:7" x14ac:dyDescent="0.25">
      <c r="A54">
        <v>43</v>
      </c>
      <c r="B54" s="6" t="n">
        <v>574.65575</v>
      </c>
      <c r="C54" s="9">
        <f si="0" t="shared"/>
        <v>9.6444869492288662E-4</v>
      </c>
      <c r="E54" s="371">
        <v>43</v>
      </c>
      <c r="F54" s="371" t="n">
        <v>2002.0</v>
      </c>
      <c r="G54" s="9">
        <f si="1" t="shared"/>
        <v>3.074117334911055E-3</v>
      </c>
    </row>
    <row r="55" spans="1:7" x14ac:dyDescent="0.25">
      <c r="A55">
        <v>44</v>
      </c>
      <c r="B55" s="6" t="n">
        <v>497.30641</v>
      </c>
      <c r="C55" s="9">
        <f si="0" t="shared"/>
        <v>8.3463276596690446E-4</v>
      </c>
      <c r="E55" s="371">
        <v>44</v>
      </c>
      <c r="F55" s="371" t="n">
        <v>1913.0</v>
      </c>
      <c r="G55" s="9">
        <f si="1" t="shared"/>
        <v>2.8728358427442596E-3</v>
      </c>
    </row>
    <row r="56" spans="1:7" x14ac:dyDescent="0.25">
      <c r="A56">
        <v>45</v>
      </c>
      <c r="B56" s="6" t="n">
        <v>684.777825</v>
      </c>
      <c r="C56" s="9">
        <f si="0" t="shared"/>
        <v>1.1492673302814474E-3</v>
      </c>
      <c r="E56" s="371">
        <v>45</v>
      </c>
      <c r="F56" s="371" t="n">
        <v>1823.0</v>
      </c>
      <c r="G56" s="9">
        <f si="1" t="shared"/>
        <v>2.8697861231659749E-3</v>
      </c>
    </row>
    <row r="57" spans="1:7" x14ac:dyDescent="0.25">
      <c r="A57">
        <v>46</v>
      </c>
      <c r="B57" s="6" t="n">
        <v>965.310432</v>
      </c>
      <c r="C57" s="9">
        <f si="0" t="shared"/>
        <v>1.6200871327535621E-3</v>
      </c>
      <c r="E57" s="371">
        <v>46</v>
      </c>
      <c r="F57" s="371" t="n">
        <v>1667.0</v>
      </c>
      <c r="G57" s="9">
        <f si="1" t="shared"/>
        <v>2.5648141653374971E-3</v>
      </c>
    </row>
    <row r="58" spans="1:7" x14ac:dyDescent="0.25">
      <c r="A58">
        <v>47</v>
      </c>
      <c r="B58" s="6" t="n">
        <v>421.72686</v>
      </c>
      <c r="C58" s="9">
        <f si="0" t="shared"/>
        <v>7.0778708773196284E-4</v>
      </c>
      <c r="E58" s="371">
        <v>47</v>
      </c>
      <c r="F58" s="371" t="n">
        <v>1513.0</v>
      </c>
      <c r="G58" s="9">
        <f si="1" t="shared"/>
        <v>2.3681072525381292E-3</v>
      </c>
    </row>
    <row r="59" spans="1:7" x14ac:dyDescent="0.25">
      <c r="A59">
        <v>48</v>
      </c>
      <c r="B59" s="6" t="n">
        <v>1997.336098</v>
      </c>
      <c r="C59" s="9">
        <f si="0" t="shared"/>
        <v>3.3521429012734506E-3</v>
      </c>
      <c r="E59" s="371">
        <v>48</v>
      </c>
      <c r="F59" s="371" t="n">
        <v>1400.0</v>
      </c>
      <c r="G59" s="9">
        <f si="1" t="shared"/>
        <v>2.0829584719685027E-3</v>
      </c>
    </row>
    <row r="60" spans="1:7" x14ac:dyDescent="0.25">
      <c r="A60">
        <v>49</v>
      </c>
      <c r="B60" s="6" t="n">
        <v>1548.480311</v>
      </c>
      <c r="C60" s="9">
        <f si="0" t="shared"/>
        <v>2.5988251488960746E-3</v>
      </c>
      <c r="E60" s="371">
        <v>49</v>
      </c>
      <c r="F60" s="371" t="n">
        <v>1310.0</v>
      </c>
      <c r="G60" s="9">
        <f si="1" t="shared"/>
        <v>2.0829584719685027E-3</v>
      </c>
    </row>
    <row r="61" spans="1:7" x14ac:dyDescent="0.25">
      <c r="A61">
        <v>50</v>
      </c>
      <c r="B61" s="6" t="n">
        <v>848.190152</v>
      </c>
      <c r="C61" s="9">
        <f si="0" t="shared"/>
        <v>1.4235233618437556E-3</v>
      </c>
      <c r="E61" s="371">
        <v>50</v>
      </c>
      <c r="F61" s="371" t="n">
        <v>1235.0</v>
      </c>
      <c r="G61" s="9">
        <f si="1" t="shared"/>
        <v>1.9563951094696843E-3</v>
      </c>
    </row>
    <row r="62" spans="1:7" x14ac:dyDescent="0.25">
      <c r="A62">
        <v>51</v>
      </c>
      <c r="B62" s="6" t="n">
        <v>1202.526615</v>
      </c>
      <c r="C62" s="9">
        <f si="0" t="shared"/>
        <v>2.0182086831059924E-3</v>
      </c>
      <c r="E62" s="371">
        <v>51</v>
      </c>
      <c r="F62" s="371" t="n">
        <v>1169.0</v>
      </c>
      <c r="G62" s="9">
        <f si="1" t="shared"/>
        <v>1.864903522121141E-3</v>
      </c>
    </row>
    <row r="63" spans="1:7" x14ac:dyDescent="0.25">
      <c r="A63">
        <v>52</v>
      </c>
      <c r="B63" s="6" t="n">
        <v>1066.222968</v>
      </c>
      <c r="C63" s="9">
        <f si="0" t="shared"/>
        <v>1.7894493355098365E-3</v>
      </c>
      <c r="E63" s="371">
        <v>52</v>
      </c>
      <c r="F63" s="371" t="n">
        <v>1142.0</v>
      </c>
      <c r="G63" s="9">
        <f si="1" t="shared"/>
        <v>1.74291473898975E-3</v>
      </c>
    </row>
    <row r="64" spans="1:7" x14ac:dyDescent="0.25">
      <c r="A64">
        <v>53</v>
      </c>
      <c r="B64" s="6" t="n">
        <v>402.014199</v>
      </c>
      <c r="C64" s="9">
        <f si="0" t="shared"/>
        <v>6.7470319328749367E-4</v>
      </c>
      <c r="E64" s="371">
        <v>53</v>
      </c>
      <c r="F64" s="371" t="n">
        <v>1058.0</v>
      </c>
      <c r="G64" s="9">
        <f si="1" t="shared"/>
        <v>1.6498982918520641E-3</v>
      </c>
    </row>
    <row r="65" spans="1:7" x14ac:dyDescent="0.25">
      <c r="A65">
        <v>54</v>
      </c>
      <c r="B65" s="6" t="n">
        <v>727.538422</v>
      </c>
      <c r="C65" s="9">
        <f si="0" t="shared"/>
        <v>1.2210327341267467E-3</v>
      </c>
      <c r="E65" s="371">
        <v>54</v>
      </c>
      <c r="F65" s="371" t="n">
        <v>988.0</v>
      </c>
      <c r="G65" s="9">
        <f si="1" t="shared"/>
        <v>1.4760642758898318E-3</v>
      </c>
    </row>
    <row r="66" spans="1:7" x14ac:dyDescent="0.25">
      <c r="A66">
        <v>55</v>
      </c>
      <c r="B66" s="6" t="n">
        <v>1338.194741</v>
      </c>
      <c r="C66" s="9">
        <f si="0" t="shared"/>
        <v>2.2459014314398147E-3</v>
      </c>
      <c r="E66" s="371">
        <v>55</v>
      </c>
      <c r="F66" s="371" t="n">
        <v>935.0</v>
      </c>
      <c r="G66" s="9">
        <f si="1" t="shared"/>
        <v>1.3723738102281496E-3</v>
      </c>
    </row>
    <row r="67" spans="1:7" x14ac:dyDescent="0.25">
      <c r="A67">
        <v>56</v>
      </c>
      <c r="B67" s="6" t="n">
        <v>337.691807</v>
      </c>
      <c r="C67" s="9">
        <f si="0" t="shared"/>
        <v>5.6675048069614075E-4</v>
      </c>
      <c r="E67" s="371">
        <v>56</v>
      </c>
      <c r="F67" s="371" t="n">
        <v>853.0</v>
      </c>
      <c r="G67" s="9">
        <f si="1" t="shared"/>
        <v>1.370848950439007E-3</v>
      </c>
    </row>
    <row r="68" spans="1:7" x14ac:dyDescent="0.25">
      <c r="A68">
        <v>57</v>
      </c>
      <c r="B68" s="6" t="n">
        <v>506.377991</v>
      </c>
      <c r="C68" s="9">
        <f si="0" t="shared"/>
        <v>8.4985766270958434E-4</v>
      </c>
      <c r="E68" s="371">
        <v>57</v>
      </c>
      <c r="F68" s="371" t="n">
        <v>840.0</v>
      </c>
      <c r="G68" s="9">
        <f si="1" t="shared"/>
        <v>1.3174788578190235E-3</v>
      </c>
    </row>
    <row r="69" spans="1:7" x14ac:dyDescent="0.25">
      <c r="A69">
        <v>58</v>
      </c>
      <c r="B69" s="6" t="n">
        <v>190.40770899999998</v>
      </c>
      <c r="C69" s="9">
        <f si="0" t="shared"/>
        <v>3.1956256671634585E-4</v>
      </c>
      <c r="E69" s="371">
        <v>58</v>
      </c>
      <c r="F69" s="371" t="n">
        <v>790.0</v>
      </c>
      <c r="G69" s="9">
        <f si="1" t="shared"/>
        <v>1.2107386725790563E-3</v>
      </c>
    </row>
    <row r="70" spans="1:7" x14ac:dyDescent="0.25">
      <c r="A70">
        <v>59</v>
      </c>
      <c r="B70" s="6" t="n">
        <v>378.58215600000005</v>
      </c>
      <c r="C70" s="9">
        <f si="0" t="shared"/>
        <v>6.3537703446853654E-4</v>
      </c>
      <c r="E70" s="371">
        <v>59</v>
      </c>
      <c r="F70" s="371" t="n">
        <v>698.0</v>
      </c>
      <c r="G70" s="9">
        <f si="1" t="shared"/>
        <v>1.1085730667065162E-3</v>
      </c>
    </row>
    <row r="71" spans="1:7" x14ac:dyDescent="0.25">
      <c r="A71">
        <v>60</v>
      </c>
      <c r="B71" s="6" t="n">
        <v>641.488446</v>
      </c>
      <c r="C71" s="9">
        <f si="0" t="shared"/>
        <v>1.0766144679711471E-3</v>
      </c>
      <c r="E71" s="371">
        <v>60</v>
      </c>
      <c r="F71" s="371" t="n">
        <v>712.0</v>
      </c>
      <c r="G71" s="9">
        <f si="1" t="shared"/>
        <v>1.0323300772493969E-3</v>
      </c>
    </row>
    <row r="72" spans="1:7" x14ac:dyDescent="0.25">
      <c r="A72">
        <v>61</v>
      </c>
      <c r="B72" s="6" t="n">
        <v>92.983749</v>
      </c>
      <c r="C72" s="9">
        <f si="0" t="shared"/>
        <v>1.560552650383943E-4</v>
      </c>
      <c r="E72" s="371">
        <v>61</v>
      </c>
      <c r="F72" s="371" t="n">
        <v>599.0</v>
      </c>
      <c r="G72" s="9">
        <f si="1" t="shared"/>
        <v>9.5913680737056231E-4</v>
      </c>
    </row>
    <row r="73" spans="1:7" x14ac:dyDescent="0.25">
      <c r="A73">
        <v>62</v>
      </c>
      <c r="B73" s="6" t="n">
        <v>295.694318</v>
      </c>
      <c r="C73" s="9">
        <f si="0" t="shared"/>
        <v>4.962658062522006E-4</v>
      </c>
      <c r="E73" s="371">
        <v>62</v>
      </c>
      <c r="F73" s="371" t="n">
        <v>585.0</v>
      </c>
      <c r="G73" s="9">
        <f si="1" t="shared"/>
        <v>9.118661539071482E-4</v>
      </c>
    </row>
    <row r="74" spans="1:7" x14ac:dyDescent="0.25">
      <c r="A74">
        <v>63</v>
      </c>
      <c r="B74" s="6" t="n">
        <v>1936.065349</v>
      </c>
      <c r="C74" s="9">
        <f si="0" t="shared"/>
        <v>3.2493117821034124E-3</v>
      </c>
      <c r="E74" s="371">
        <v>63</v>
      </c>
      <c r="F74" s="371" t="n">
        <v>602.0</v>
      </c>
      <c r="G74" s="9">
        <f si="1" t="shared"/>
        <v>8.6917007981116132E-4</v>
      </c>
    </row>
    <row r="75" spans="1:7" x14ac:dyDescent="0.25">
      <c r="A75">
        <v>64</v>
      </c>
      <c r="B75" s="6" t="n">
        <v>34.524483</v>
      </c>
      <c r="C75" s="9">
        <f si="0" t="shared"/>
        <v>5.794267711101365E-5</v>
      </c>
      <c r="E75" s="371">
        <v>64</v>
      </c>
      <c r="F75" s="371" t="n">
        <v>486.0</v>
      </c>
      <c r="G75" s="9">
        <f si="1" t="shared"/>
        <v>7.3803213794491592E-4</v>
      </c>
    </row>
    <row r="76" spans="1:7" x14ac:dyDescent="0.25">
      <c r="A76">
        <v>65</v>
      </c>
      <c r="B76" s="6" t="n">
        <v>378.222329</v>
      </c>
      <c r="C76" s="9">
        <f si="0" t="shared"/>
        <v>6.3477313434128976E-4</v>
      </c>
      <c r="E76" s="371">
        <v>65</v>
      </c>
      <c r="F76" s="371" t="n">
        <v>499.0</v>
      </c>
      <c r="G76" s="9">
        <f si="1" t="shared"/>
        <v>7.0601008237292583E-4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484.0</v>
      </c>
      <c r="G77" s="9">
        <f ref="G77:G102" si="3" t="shared">F77/F$102</f>
        <v>6.4959027017465741E-4</v>
      </c>
    </row>
    <row r="78" spans="1:7" x14ac:dyDescent="0.25">
      <c r="A78">
        <v>67</v>
      </c>
      <c r="B78" s="6" t="n">
        <v>86.443646</v>
      </c>
      <c r="C78" s="9">
        <f si="2" t="shared"/>
        <v>1.4507896522235445E-4</v>
      </c>
      <c r="E78" s="371">
        <v>67</v>
      </c>
      <c r="F78" s="371" t="n">
        <v>477.0</v>
      </c>
      <c r="G78" s="9">
        <f si="3" t="shared"/>
        <v>6.4959027017465741E-4</v>
      </c>
    </row>
    <row r="79" spans="1:7" x14ac:dyDescent="0.25">
      <c r="A79">
        <v>68</v>
      </c>
      <c r="B79" s="6" t="n">
        <v>380.838781</v>
      </c>
      <c r="C79" s="9">
        <f si="2" t="shared"/>
        <v>6.3916434371616925E-4</v>
      </c>
      <c r="E79" s="371">
        <v>68</v>
      </c>
      <c r="F79" s="371" t="n">
        <v>423.0</v>
      </c>
      <c r="G79" s="9">
        <f si="3" t="shared"/>
        <v>5.6877270135011085E-4</v>
      </c>
    </row>
    <row r="80" spans="1:7" x14ac:dyDescent="0.25">
      <c r="A80">
        <v>69</v>
      </c>
      <c r="B80" s="6" t="n">
        <v>380.838781</v>
      </c>
      <c r="C80" s="9">
        <f si="2" t="shared"/>
        <v>6.3916434371616925E-4</v>
      </c>
      <c r="E80" s="371">
        <v>69</v>
      </c>
      <c r="F80" s="371" t="n">
        <v>412.0</v>
      </c>
      <c r="G80" s="9">
        <f si="3" t="shared"/>
        <v>5.6419812198268374E-4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403.0</v>
      </c>
      <c r="G81" s="9">
        <f si="3" t="shared"/>
        <v>5.9317045797638909E-4</v>
      </c>
    </row>
    <row r="82" spans="1:7" x14ac:dyDescent="0.25">
      <c r="A82">
        <v>71</v>
      </c>
      <c r="B82" s="6" t="n">
        <v>65.52827099999999</v>
      </c>
      <c r="C82" s="9">
        <f si="2" t="shared"/>
        <v>1.099765476052458E-4</v>
      </c>
      <c r="E82" s="371">
        <v>71</v>
      </c>
      <c r="F82" s="371" t="n">
        <v>363.0</v>
      </c>
      <c r="G82" s="9">
        <f si="3" t="shared"/>
        <v>5.0777830978441531E-4</v>
      </c>
    </row>
    <row r="83" spans="1:7" x14ac:dyDescent="0.25">
      <c r="A83">
        <v>72</v>
      </c>
      <c r="B83" s="6" t="n">
        <v>402.993255</v>
      </c>
      <c r="C83" s="9">
        <f si="2" t="shared"/>
        <v>6.7634634970149701E-4</v>
      </c>
      <c r="E83" s="371">
        <v>72</v>
      </c>
      <c r="F83" s="371" t="n">
        <v>333.0</v>
      </c>
      <c r="G83" s="9">
        <f si="3" t="shared"/>
        <v>5.4589980451297498E-4</v>
      </c>
    </row>
    <row r="84" spans="1:7" x14ac:dyDescent="0.25">
      <c r="A84">
        <v>73</v>
      </c>
      <c r="B84" s="6" t="n">
        <v>252.485084</v>
      </c>
      <c r="C84" s="9">
        <f si="2" t="shared"/>
        <v>4.2374745184624952E-4</v>
      </c>
      <c r="E84" s="371">
        <v>73</v>
      </c>
      <c r="F84" s="371" t="n">
        <v>320.0</v>
      </c>
      <c r="G84" s="9">
        <f si="3" t="shared"/>
        <v>4.3763475948386545E-4</v>
      </c>
    </row>
    <row r="85" spans="1:7" x14ac:dyDescent="0.25">
      <c r="A85">
        <v>74</v>
      </c>
      <c r="B85" s="6" t="n">
        <v>34.524483</v>
      </c>
      <c r="C85" s="9">
        <f si="2" t="shared"/>
        <v>5.794267711101365E-5</v>
      </c>
      <c r="E85" s="371">
        <v>74</v>
      </c>
      <c r="F85" s="371" t="n">
        <v>274.0</v>
      </c>
      <c r="G85" s="9">
        <f si="3" t="shared"/>
        <v>4.193364420141568E-4</v>
      </c>
    </row>
    <row r="86" spans="1:7" x14ac:dyDescent="0.25">
      <c r="A86">
        <v>75</v>
      </c>
      <c r="B86" s="6" t="n">
        <v>870.42512</v>
      </c>
      <c r="C86" s="9">
        <f si="2" t="shared"/>
        <v>1.4608404614625311E-3</v>
      </c>
      <c r="E86" s="371">
        <v>75</v>
      </c>
      <c r="F86" s="371" t="n">
        <v>296.0</v>
      </c>
      <c r="G86" s="9">
        <f si="3" t="shared"/>
        <v>3.7511550812902755E-4</v>
      </c>
    </row>
    <row r="87" spans="1:7" x14ac:dyDescent="0.25">
      <c r="A87">
        <v>76</v>
      </c>
      <c r="B87" s="6" t="n">
        <v>181.65561</v>
      </c>
      <c r="C87" s="9">
        <f si="2" t="shared"/>
        <v>3.0487385881011519E-4</v>
      </c>
      <c r="E87" s="371">
        <v>76</v>
      </c>
      <c r="F87" s="371" t="n">
        <v>269.0</v>
      </c>
      <c r="G87" s="9">
        <f si="3" t="shared"/>
        <v>3.7359064833988512E-4</v>
      </c>
    </row>
    <row r="88" spans="1:7" x14ac:dyDescent="0.25">
      <c r="A88">
        <v>77</v>
      </c>
      <c r="B88" s="6" t="n">
        <v>159.623356</v>
      </c>
      <c r="C88" s="9">
        <f si="2" t="shared"/>
        <v>2.678969754908244E-4</v>
      </c>
      <c r="E88" s="371">
        <v>77</v>
      </c>
      <c r="F88" s="371" t="n">
        <v>232.0</v>
      </c>
      <c r="G88" s="9">
        <f si="3" t="shared"/>
        <v>3.6901606897245796E-4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244.0</v>
      </c>
      <c r="G89" s="9">
        <f si="3" t="shared"/>
        <v>3.8121494728559708E-4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197.0</v>
      </c>
      <c r="G90" s="9">
        <f si="3" t="shared"/>
        <v>3.7206578855074275E-4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203.0</v>
      </c>
      <c r="G91" s="9">
        <f si="3" t="shared"/>
        <v>3.6596634939417322E-4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214.0</v>
      </c>
      <c r="G92" s="9">
        <f si="3" t="shared"/>
        <v>3.0344709803933526E-4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241.0</v>
      </c>
      <c r="G93" s="9">
        <f si="3" t="shared"/>
        <v>2.7904934141305708E-4</v>
      </c>
    </row>
    <row r="94" spans="1:7" x14ac:dyDescent="0.25">
      <c r="A94">
        <v>83</v>
      </c>
      <c r="B94" s="6" t="n">
        <v>316.766747</v>
      </c>
      <c r="C94" s="9">
        <f si="2" t="shared"/>
        <v>5.3163180867696563E-4</v>
      </c>
      <c r="E94" s="371">
        <v>83</v>
      </c>
      <c r="F94" s="371" t="n">
        <v>176.0</v>
      </c>
      <c r="G94" s="9">
        <f si="3" t="shared"/>
        <v>2.7447476204562991E-4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169.0</v>
      </c>
      <c r="G95" s="9">
        <f si="3" t="shared"/>
        <v>2.4092784668449735E-4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162.0</v>
      </c>
      <c r="G96" s="9">
        <f si="3" t="shared"/>
        <v>2.6532560331077559E-4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183.0</v>
      </c>
      <c r="G97" s="9">
        <f si="3" t="shared"/>
        <v>2.4855214563020931E-4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112.0</v>
      </c>
      <c r="G98" s="9">
        <f si="3" t="shared"/>
        <v>2.0585607153422242E-4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141.0</v>
      </c>
      <c r="G99" s="9">
        <f si="3" t="shared"/>
        <v>2.4092784668449735E-4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119.0</v>
      </c>
      <c r="G100" s="9">
        <f si="3" t="shared"/>
        <v>1.7535887575137465E-4</v>
      </c>
    </row>
    <row ht="15.75" r="101" spans="1:7" thickBot="1" x14ac:dyDescent="0.3">
      <c r="A101" s="1">
        <v>90</v>
      </c>
      <c r="B101" s="7" t="n">
        <v>78.567796</v>
      </c>
      <c r="C101" s="9">
        <f si="2" t="shared"/>
        <v>1.3186087203541876E-4</v>
      </c>
      <c r="E101" s="372">
        <v>90</v>
      </c>
      <c r="F101" s="372" t="n">
        <v>2837.0</v>
      </c>
      <c r="G101" s="9">
        <f si="3" t="shared"/>
        <v>4.1491434862564389E-3</v>
      </c>
    </row>
    <row r="102" spans="1:7" x14ac:dyDescent="0.25">
      <c r="B102" s="6">
        <f>SUM(B11:B101)</f>
        <v>595838.58947100048</v>
      </c>
      <c r="C102" s="9">
        <f si="2" t="shared"/>
        <v>1</v>
      </c>
      <c r="F102" s="6">
        <f>SUM(F11:F101)</f>
        <v>655798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M102"/>
  <sheetViews>
    <sheetView workbookViewId="0">
      <selection activeCell="F11" sqref="F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68277.349739</v>
      </c>
      <c r="C11" s="9">
        <f>B11/B$102</f>
        <v>0.16217582429932312</v>
      </c>
      <c r="E11" s="371">
        <v>0</v>
      </c>
      <c r="F11" s="371" t="n">
        <v>73530.0</v>
      </c>
      <c r="G11" s="9">
        <f>F11/F$102</f>
        <v>0.16612690081337131</v>
      </c>
      <c r="K11" s="6" t="n">
        <v>4.687055971151954</v>
      </c>
      <c r="L11" s="6" t="n">
        <v>4.807560484554646</v>
      </c>
    </row>
    <row r="12" spans="1:12" x14ac:dyDescent="0.25">
      <c r="A12">
        <v>1</v>
      </c>
      <c r="B12" s="6" t="n">
        <v>83823.999707</v>
      </c>
      <c r="C12" s="9">
        <f>B12/B$102</f>
        <v>0.1991030158685835</v>
      </c>
      <c r="E12" s="371">
        <v>1</v>
      </c>
      <c r="F12" s="371" t="n">
        <v>70220.0</v>
      </c>
      <c r="G12" s="9">
        <f>F12/F$102</f>
        <v>0.16329778323747837</v>
      </c>
      <c r="K12" s="6"/>
      <c r="L12" s="371"/>
    </row>
    <row r="13" spans="1:12" x14ac:dyDescent="0.25">
      <c r="A13">
        <v>2</v>
      </c>
      <c r="B13" s="6" t="n">
        <v>63368.09163</v>
      </c>
      <c r="C13" s="9">
        <f ref="C13:C76" si="0" t="shared">B13/B$102</f>
        <v>0.1505151054288828</v>
      </c>
      <c r="E13" s="371">
        <v>2</v>
      </c>
      <c r="F13" s="371" t="n">
        <v>61120.0</v>
      </c>
      <c r="G13" s="9">
        <f ref="G13:G76" si="1" t="shared">F13/F$102</f>
        <v>0.1436754332086288</v>
      </c>
    </row>
    <row r="14" spans="1:12" x14ac:dyDescent="0.25">
      <c r="A14">
        <v>3</v>
      </c>
      <c r="B14" s="6" t="n">
        <v>48057.526573</v>
      </c>
      <c r="C14" s="9">
        <f si="0" t="shared"/>
        <v>0.11414867471505125</v>
      </c>
      <c r="E14" s="371">
        <v>3</v>
      </c>
      <c r="F14" s="371" t="n">
        <v>50917.0</v>
      </c>
      <c r="G14" s="9">
        <f si="1" t="shared"/>
        <v>0.1192742941165522</v>
      </c>
    </row>
    <row r="15" spans="1:12" x14ac:dyDescent="0.25">
      <c r="A15">
        <v>4</v>
      </c>
      <c r="B15" s="6" t="n">
        <v>30581.882095</v>
      </c>
      <c r="C15" s="9">
        <f si="0" t="shared"/>
        <v>7.2639637542175867E-2</v>
      </c>
      <c r="E15" s="371">
        <v>4</v>
      </c>
      <c r="F15" s="371" t="n">
        <v>38003.0</v>
      </c>
      <c r="G15" s="9">
        <f si="1" t="shared"/>
        <v>8.8856627021795379E-2</v>
      </c>
    </row>
    <row r="16" spans="1:12" x14ac:dyDescent="0.25">
      <c r="A16">
        <v>5</v>
      </c>
      <c r="B16" s="6" t="n">
        <v>25868.862331</v>
      </c>
      <c r="C16" s="9">
        <f si="0" t="shared"/>
        <v>6.1445033942482949E-2</v>
      </c>
      <c r="E16" s="371">
        <v>5</v>
      </c>
      <c r="F16" s="371" t="n">
        <v>28392.0</v>
      </c>
      <c r="G16" s="9">
        <f si="1" t="shared"/>
        <v>6.7256686582165395E-2</v>
      </c>
    </row>
    <row r="17" spans="1:7" x14ac:dyDescent="0.25">
      <c r="A17">
        <v>6</v>
      </c>
      <c r="B17" s="6" t="n">
        <v>19169.564176</v>
      </c>
      <c r="C17" s="9">
        <f si="0" t="shared"/>
        <v>4.5532521159441057E-2</v>
      </c>
      <c r="E17" s="371">
        <v>6</v>
      </c>
      <c r="F17" s="371" t="n">
        <v>20439.0</v>
      </c>
      <c r="G17" s="9">
        <f si="1" t="shared"/>
        <v>4.8304390716027323E-2</v>
      </c>
    </row>
    <row r="18" spans="1:7" x14ac:dyDescent="0.25">
      <c r="A18">
        <v>7</v>
      </c>
      <c r="B18" s="6" t="n">
        <v>10912.516228</v>
      </c>
      <c r="C18" s="9">
        <f si="0" t="shared"/>
        <v>2.5919962055070245E-2</v>
      </c>
      <c r="E18" s="371">
        <v>7</v>
      </c>
      <c r="F18" s="371" t="n">
        <v>14750.0</v>
      </c>
      <c r="G18" s="9">
        <f si="1" t="shared"/>
        <v>3.4568280380441865E-2</v>
      </c>
    </row>
    <row r="19" spans="1:7" x14ac:dyDescent="0.25">
      <c r="A19">
        <v>8</v>
      </c>
      <c r="B19" s="6" t="n">
        <v>12304.418398</v>
      </c>
      <c r="C19" s="9">
        <f si="0" t="shared"/>
        <v>2.9226078690040156E-2</v>
      </c>
      <c r="E19" s="371">
        <v>8</v>
      </c>
      <c r="F19" s="371" t="n">
        <v>11437.0</v>
      </c>
      <c r="G19" s="9">
        <f si="1" t="shared"/>
        <v>2.7062743127291677E-2</v>
      </c>
    </row>
    <row r="20" spans="1:7" x14ac:dyDescent="0.25">
      <c r="A20">
        <v>9</v>
      </c>
      <c r="B20" s="6" t="n">
        <v>6452.872762</v>
      </c>
      <c r="C20" s="9">
        <f si="0" t="shared"/>
        <v>1.5327190690271322E-2</v>
      </c>
      <c r="E20" s="371">
        <v>9</v>
      </c>
      <c r="F20" s="371" t="n">
        <v>9626.0</v>
      </c>
      <c r="G20" s="9">
        <f si="1" t="shared"/>
        <v>2.215599233160236E-2</v>
      </c>
    </row>
    <row r="21" spans="1:7" x14ac:dyDescent="0.25">
      <c r="A21">
        <v>10</v>
      </c>
      <c r="B21" s="6" t="n">
        <v>8099.715372</v>
      </c>
      <c r="C21" s="9">
        <f si="0" t="shared"/>
        <v>1.9238854789550848E-2</v>
      </c>
      <c r="E21" s="371">
        <v>10</v>
      </c>
      <c r="F21" s="371" t="n">
        <v>7990.0</v>
      </c>
      <c r="G21" s="9">
        <f si="1" t="shared"/>
        <v>1.8154279970964318E-2</v>
      </c>
    </row>
    <row r="22" spans="1:7" x14ac:dyDescent="0.25">
      <c r="A22">
        <v>11</v>
      </c>
      <c r="B22" s="6" t="n">
        <v>7803.999041</v>
      </c>
      <c r="C22" s="9">
        <f si="0" t="shared"/>
        <v>1.8536454360682082E-2</v>
      </c>
      <c r="E22" s="371">
        <v>11</v>
      </c>
      <c r="F22" s="371" t="n">
        <v>6788.0</v>
      </c>
      <c r="G22" s="9">
        <f si="1" t="shared"/>
        <v>1.5871907979228321E-2</v>
      </c>
    </row>
    <row r="23" spans="1:7" x14ac:dyDescent="0.25">
      <c r="A23">
        <v>12</v>
      </c>
      <c r="B23" s="6" t="n">
        <v>4086.507435</v>
      </c>
      <c r="C23" s="9">
        <f si="0" t="shared"/>
        <v>9.706479737567858E-3</v>
      </c>
      <c r="E23" s="371">
        <v>12</v>
      </c>
      <c r="F23" s="371" t="n">
        <v>6105.0</v>
      </c>
      <c r="G23" s="9">
        <f si="1" t="shared"/>
        <v>1.4220038341988199E-2</v>
      </c>
    </row>
    <row r="24" spans="1:7" x14ac:dyDescent="0.25">
      <c r="A24">
        <v>13</v>
      </c>
      <c r="B24" s="6" t="n">
        <v>3719.522153</v>
      </c>
      <c r="C24" s="9">
        <f si="0" t="shared"/>
        <v>8.8347976813430845E-3</v>
      </c>
      <c r="E24" s="371">
        <v>13</v>
      </c>
      <c r="F24" s="371" t="n">
        <v>4695.0</v>
      </c>
      <c r="G24" s="9">
        <f si="1" t="shared"/>
        <v>1.1062873415601094E-2</v>
      </c>
    </row>
    <row r="25" spans="1:7" x14ac:dyDescent="0.25">
      <c r="A25">
        <v>14</v>
      </c>
      <c r="B25" s="6" t="n">
        <v>5390.37744</v>
      </c>
      <c r="C25" s="9">
        <f si="0" t="shared"/>
        <v>1.2803497909016505E-2</v>
      </c>
      <c r="E25" s="371">
        <v>14</v>
      </c>
      <c r="F25" s="371" t="n">
        <v>3974.0</v>
      </c>
      <c r="G25" s="9">
        <f si="1" t="shared"/>
        <v>9.2527965454985393E-3</v>
      </c>
    </row>
    <row r="26" spans="1:7" x14ac:dyDescent="0.25">
      <c r="A26">
        <v>15</v>
      </c>
      <c r="B26" s="6" t="n">
        <v>3621.907425</v>
      </c>
      <c r="C26" s="9">
        <f si="0" t="shared"/>
        <v>8.6029382281324722E-3</v>
      </c>
      <c r="E26" s="371">
        <v>15</v>
      </c>
      <c r="F26" s="371" t="n">
        <v>3429.0</v>
      </c>
      <c r="G26" s="9">
        <f si="1" t="shared"/>
        <v>7.7917062184748821E-3</v>
      </c>
    </row>
    <row r="27" spans="1:7" x14ac:dyDescent="0.25">
      <c r="A27">
        <v>16</v>
      </c>
      <c r="B27" s="6" t="n">
        <v>3856.89976</v>
      </c>
      <c r="C27" s="9">
        <f si="0" t="shared"/>
        <v>9.161103941627927E-3</v>
      </c>
      <c r="E27" s="371">
        <v>16</v>
      </c>
      <c r="F27" s="371" t="n">
        <v>2717.0</v>
      </c>
      <c r="G27" s="9">
        <f si="1" t="shared"/>
        <v>6.5213952016676905E-3</v>
      </c>
    </row>
    <row r="28" spans="1:7" x14ac:dyDescent="0.25">
      <c r="A28">
        <v>17</v>
      </c>
      <c r="B28" s="6" t="n">
        <v>2173.906171</v>
      </c>
      <c r="C28" s="9">
        <f si="0" t="shared"/>
        <v>5.1635722033588393E-3</v>
      </c>
      <c r="E28" s="371">
        <v>17</v>
      </c>
      <c r="F28" s="371" t="n">
        <v>2200.0</v>
      </c>
      <c r="G28" s="9">
        <f si="1" t="shared"/>
        <v>5.4046382638152143E-3</v>
      </c>
    </row>
    <row r="29" spans="1:7" x14ac:dyDescent="0.25">
      <c r="A29">
        <v>18</v>
      </c>
      <c r="B29" s="6" t="n">
        <v>1848.165284</v>
      </c>
      <c r="C29" s="9">
        <f si="0" t="shared"/>
        <v>4.3898559261577224E-3</v>
      </c>
      <c r="E29" s="371">
        <v>18</v>
      </c>
      <c r="F29" s="371" t="n">
        <v>1969.0</v>
      </c>
      <c r="G29" s="9">
        <f si="1" t="shared"/>
        <v>4.3181268263629089E-3</v>
      </c>
    </row>
    <row r="30" spans="1:7" x14ac:dyDescent="0.25">
      <c r="A30">
        <v>19</v>
      </c>
      <c r="B30" s="6" t="n">
        <v>2687.056175</v>
      </c>
      <c r="C30" s="9">
        <f si="0" t="shared"/>
        <v>6.3824321211210754E-3</v>
      </c>
      <c r="E30" s="371">
        <v>19</v>
      </c>
      <c r="F30" s="371" t="n">
        <v>1611.0</v>
      </c>
      <c r="G30" s="9">
        <f si="1" t="shared"/>
        <v>3.5480298546354721E-3</v>
      </c>
    </row>
    <row r="31" spans="1:7" x14ac:dyDescent="0.25">
      <c r="A31">
        <v>20</v>
      </c>
      <c r="B31" s="6" t="n">
        <v>1020.264168</v>
      </c>
      <c r="C31" s="9">
        <f si="0" t="shared"/>
        <v>2.4233832022034557E-3</v>
      </c>
      <c r="E31" s="371">
        <v>20</v>
      </c>
      <c r="F31" s="371" t="n">
        <v>1369.0</v>
      </c>
      <c r="G31" s="9">
        <f si="1" t="shared"/>
        <v>3.1152865412176372E-3</v>
      </c>
    </row>
    <row r="32" spans="1:7" x14ac:dyDescent="0.25">
      <c r="A32">
        <v>21</v>
      </c>
      <c r="B32" s="6" t="n">
        <v>558.8578229999999</v>
      </c>
      <c r="C32" s="9">
        <f si="0" t="shared"/>
        <v>1.3274274478668076E-3</v>
      </c>
      <c r="E32" s="371">
        <v>21</v>
      </c>
      <c r="F32" s="371" t="n">
        <v>1159.0</v>
      </c>
      <c r="G32" s="9">
        <f si="1" t="shared"/>
        <v>2.5918067265992889E-3</v>
      </c>
    </row>
    <row r="33" spans="1:7" x14ac:dyDescent="0.25">
      <c r="A33">
        <v>22</v>
      </c>
      <c r="B33" s="6" t="n">
        <v>792.020029</v>
      </c>
      <c r="C33" s="9">
        <f si="0" t="shared"/>
        <v>1.881246146132708E-3</v>
      </c>
      <c r="E33" s="371">
        <v>22</v>
      </c>
      <c r="F33" s="371" t="n">
        <v>972.0</v>
      </c>
      <c r="G33" s="9">
        <f si="1" t="shared"/>
        <v>2.2730656839205616E-3</v>
      </c>
    </row>
    <row r="34" spans="1:7" x14ac:dyDescent="0.25">
      <c r="A34">
        <v>23</v>
      </c>
      <c r="B34" s="6" t="n">
        <v>1404.279213</v>
      </c>
      <c r="C34" s="9">
        <f si="0" t="shared"/>
        <v>3.3355152152983267E-3</v>
      </c>
      <c r="E34" s="371">
        <v>23</v>
      </c>
      <c r="F34" s="371" t="n">
        <v>843.0</v>
      </c>
      <c r="G34" s="9">
        <f si="1" t="shared"/>
        <v>1.9287322947493812E-3</v>
      </c>
    </row>
    <row r="35" spans="1:7" x14ac:dyDescent="0.25">
      <c r="A35">
        <v>24</v>
      </c>
      <c r="B35" s="6" t="n">
        <v>342.504268</v>
      </c>
      <c r="C35" s="9">
        <f si="0" t="shared"/>
        <v>8.1353351003324715E-4</v>
      </c>
      <c r="E35" s="371">
        <v>24</v>
      </c>
      <c r="F35" s="371" t="n">
        <v>788.0</v>
      </c>
      <c r="G35" s="9">
        <f si="1" t="shared"/>
        <v>1.8310160626872894E-3</v>
      </c>
    </row>
    <row r="36" spans="1:7" x14ac:dyDescent="0.25">
      <c r="A36">
        <v>25</v>
      </c>
      <c r="B36" s="6" t="n">
        <v>556.100633</v>
      </c>
      <c r="C36" s="9">
        <f si="0" t="shared"/>
        <v>1.3208784303271822E-3</v>
      </c>
      <c r="E36" s="371">
        <v>25</v>
      </c>
      <c r="F36" s="371" t="n">
        <v>651.0</v>
      </c>
      <c r="G36" s="9">
        <f si="1" t="shared"/>
        <v>1.5099484430547024E-3</v>
      </c>
    </row>
    <row r="37" spans="1:7" x14ac:dyDescent="0.25">
      <c r="A37">
        <v>26</v>
      </c>
      <c r="B37" s="6" t="n">
        <v>823.491606</v>
      </c>
      <c r="C37" s="9">
        <f si="0" t="shared"/>
        <v>1.9559990321408077E-3</v>
      </c>
      <c r="E37" s="371">
        <v>26</v>
      </c>
      <c r="F37" s="371" t="n">
        <v>667.0</v>
      </c>
      <c r="G37" s="9">
        <f si="1" t="shared"/>
        <v>1.4448042883466413E-3</v>
      </c>
    </row>
    <row r="38" spans="1:7" x14ac:dyDescent="0.25">
      <c r="A38">
        <v>27</v>
      </c>
      <c r="B38" s="6" t="n">
        <v>330.126508</v>
      </c>
      <c r="C38" s="9">
        <f si="0" t="shared"/>
        <v>7.8413322665006559E-4</v>
      </c>
      <c r="E38" s="371">
        <v>27</v>
      </c>
      <c r="F38" s="371" t="n">
        <v>603.0</v>
      </c>
      <c r="G38" s="9">
        <f si="1" t="shared"/>
        <v>1.3191691328382378E-3</v>
      </c>
    </row>
    <row r="39" spans="1:7" x14ac:dyDescent="0.25">
      <c r="A39">
        <v>28</v>
      </c>
      <c r="B39" s="6" t="n">
        <v>794.377782</v>
      </c>
      <c r="C39" s="9">
        <f si="0" t="shared"/>
        <v>1.8868464006494821E-3</v>
      </c>
      <c r="E39" s="371">
        <v>28</v>
      </c>
      <c r="F39" s="371" t="n">
        <v>523.0</v>
      </c>
      <c r="G39" s="9">
        <f si="1" t="shared"/>
        <v>1.2028402851452715E-3</v>
      </c>
    </row>
    <row r="40" spans="1:7" x14ac:dyDescent="0.25">
      <c r="A40">
        <v>29</v>
      </c>
      <c r="B40" s="6" t="n">
        <v>415.15047699999997</v>
      </c>
      <c r="C40" s="9">
        <f si="0" t="shared"/>
        <v>9.8608647044884932E-4</v>
      </c>
      <c r="E40" s="371">
        <v>29</v>
      </c>
      <c r="F40" s="371" t="n">
        <v>396.0</v>
      </c>
      <c r="G40" s="9">
        <f si="1" t="shared"/>
        <v>9.9810151320565087E-4</v>
      </c>
    </row>
    <row r="41" spans="1:7" x14ac:dyDescent="0.25">
      <c r="A41">
        <v>30</v>
      </c>
      <c r="B41" s="6" t="n">
        <v>140.97439</v>
      </c>
      <c r="C41" s="9">
        <f si="0" t="shared"/>
        <v>3.3484952170434234E-4</v>
      </c>
      <c r="E41" s="371">
        <v>30</v>
      </c>
      <c r="F41" s="371" t="n">
        <v>411.0</v>
      </c>
      <c r="G41" s="9">
        <f si="1" t="shared"/>
        <v>8.5850689597409123E-4</v>
      </c>
    </row>
    <row r="42" spans="1:7" x14ac:dyDescent="0.25">
      <c r="A42">
        <v>31</v>
      </c>
      <c r="B42" s="6" t="n">
        <v>109.70388700000001</v>
      </c>
      <c r="C42" s="9">
        <f si="0" t="shared"/>
        <v>2.6057423686002277E-4</v>
      </c>
      <c r="E42" s="371">
        <v>31</v>
      </c>
      <c r="F42" s="371" t="n">
        <v>307.0</v>
      </c>
      <c r="G42" s="9">
        <f si="1" t="shared"/>
        <v>6.2817577754201799E-4</v>
      </c>
    </row>
    <row r="43" spans="1:7" x14ac:dyDescent="0.25">
      <c r="A43">
        <v>32</v>
      </c>
      <c r="B43" s="6" t="n">
        <v>166.929782</v>
      </c>
      <c r="C43" s="9">
        <f si="0" t="shared"/>
        <v>3.9650008530563695E-4</v>
      </c>
      <c r="E43" s="371">
        <v>32</v>
      </c>
      <c r="F43" s="371" t="n">
        <v>267.0</v>
      </c>
      <c r="G43" s="9">
        <f si="1" t="shared"/>
        <v>5.4209243024922295E-4</v>
      </c>
    </row>
    <row r="44" spans="1:7" x14ac:dyDescent="0.25">
      <c r="A44">
        <v>33</v>
      </c>
      <c r="B44" s="6" t="n">
        <v>204.47250499999998</v>
      </c>
      <c r="C44" s="9">
        <f si="0" t="shared"/>
        <v>4.8567346523676209E-4</v>
      </c>
      <c r="E44" s="371">
        <v>33</v>
      </c>
      <c r="F44" s="371" t="n">
        <v>207.0</v>
      </c>
      <c r="G44" s="9">
        <f si="1" t="shared"/>
        <v>4.1180412083310068E-4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161.0</v>
      </c>
      <c r="G45" s="9">
        <f si="1" t="shared"/>
        <v>3.7923204347907013E-4</v>
      </c>
    </row>
    <row r="46" spans="1:7" x14ac:dyDescent="0.25">
      <c r="A46">
        <v>35</v>
      </c>
      <c r="B46" s="6" t="n">
        <v>76.719834</v>
      </c>
      <c r="C46" s="9">
        <f si="0" t="shared"/>
        <v>1.8222884114012868E-4</v>
      </c>
      <c r="E46" s="371">
        <v>35</v>
      </c>
      <c r="F46" s="371" t="n">
        <v>139.0</v>
      </c>
      <c r="G46" s="9">
        <f si="1" t="shared"/>
        <v>2.7686265750925977E-4</v>
      </c>
    </row>
    <row r="47" spans="1:7" x14ac:dyDescent="0.25">
      <c r="A47">
        <v>36</v>
      </c>
      <c r="B47" s="6" t="n">
        <v>288.496806</v>
      </c>
      <c r="C47" s="9">
        <f si="0" t="shared"/>
        <v>6.852522468962656E-4</v>
      </c>
      <c r="E47" s="371">
        <v>36</v>
      </c>
      <c r="F47" s="371" t="n">
        <v>114.0</v>
      </c>
      <c r="G47" s="9">
        <f si="1" t="shared"/>
        <v>2.8151581141697845E-4</v>
      </c>
    </row>
    <row r="48" spans="1:7" x14ac:dyDescent="0.25">
      <c r="A48">
        <v>37</v>
      </c>
      <c r="B48" s="6" t="n">
        <v>214.449621</v>
      </c>
      <c r="C48" s="9">
        <f si="0" t="shared"/>
        <v>5.0937161722442988E-4</v>
      </c>
      <c r="E48" s="371">
        <v>37</v>
      </c>
      <c r="F48" s="371" t="n">
        <v>84.0</v>
      </c>
      <c r="G48" s="9">
        <f si="1" t="shared"/>
        <v>1.977590410780427E-4</v>
      </c>
    </row>
    <row r="49" spans="1:7" x14ac:dyDescent="0.25">
      <c r="A49">
        <v>38</v>
      </c>
      <c r="B49" s="6" t="n">
        <v>33.362385</v>
      </c>
      <c r="C49" s="9">
        <f si="0" t="shared"/>
        <v>7.9244029076246594E-5</v>
      </c>
      <c r="E49" s="371">
        <v>38</v>
      </c>
      <c r="F49" s="371" t="n">
        <v>97.0</v>
      </c>
      <c r="G49" s="9">
        <f si="1" t="shared"/>
        <v>1.7449327153944944E-4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73.0</v>
      </c>
      <c r="G50" s="9">
        <f si="1" t="shared"/>
        <v>2.3033111843207327E-4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59.0</v>
      </c>
      <c r="G51" s="9">
        <f si="1" t="shared"/>
        <v>1.3726804027770022E-4</v>
      </c>
    </row>
    <row r="52" spans="1:7" x14ac:dyDescent="0.25">
      <c r="A52">
        <v>41</v>
      </c>
      <c r="B52" s="6" t="n">
        <v>566.384514</v>
      </c>
      <c r="C52" s="9">
        <f si="0" t="shared"/>
        <v>1.3453052261027437E-3</v>
      </c>
      <c r="E52" s="371">
        <v>41</v>
      </c>
      <c r="F52" s="371" t="n">
        <v>145.0</v>
      </c>
      <c r="G52" s="9">
        <f si="1" t="shared"/>
        <v>2.3265769538593258E-4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57.0</v>
      </c>
      <c r="G53" s="9">
        <f si="1" t="shared"/>
        <v>1.0004280901595101E-4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43.0</v>
      </c>
      <c r="G54" s="9">
        <f si="1" t="shared"/>
        <v>9.3063078154373028E-5</v>
      </c>
    </row>
    <row r="55" spans="1:7" x14ac:dyDescent="0.25">
      <c r="A55">
        <v>44</v>
      </c>
      <c r="B55" s="6" t="n">
        <v>64.380723</v>
      </c>
      <c r="C55" s="9">
        <f si="0" t="shared"/>
        <v>1.5292035882212191E-4</v>
      </c>
      <c r="E55" s="371">
        <v>44</v>
      </c>
      <c r="F55" s="371" t="n">
        <v>24.0</v>
      </c>
      <c r="G55" s="9">
        <f si="1" t="shared"/>
        <v>5.8164423846483146E-5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29.0</v>
      </c>
      <c r="G56" s="9">
        <f si="1" t="shared"/>
        <v>5.8164423846483146E-5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25.0</v>
      </c>
      <c r="G57" s="9">
        <f si="1" t="shared"/>
        <v>6.0491000800342473E-5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18.0</v>
      </c>
      <c r="G58" s="9">
        <f si="1" t="shared"/>
        <v>2.5592346492452584E-5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11.0</v>
      </c>
      <c r="G59" s="9">
        <f si="1" t="shared"/>
        <v>2.5592346492452584E-5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10.0</v>
      </c>
      <c r="G60" s="9">
        <f si="1" t="shared"/>
        <v>3.7225231261749215E-5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7.0</v>
      </c>
      <c r="G61" s="9">
        <f si="1" t="shared"/>
        <v>5.1184692984905167E-5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9.0</v>
      </c>
      <c r="G62" s="9">
        <f si="1" t="shared"/>
        <v>9.3063078154373039E-6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6.0</v>
      </c>
      <c r="G63" s="9">
        <f si="1" t="shared"/>
        <v>1.1632884769296629E-5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6.0</v>
      </c>
      <c r="G64" s="9">
        <f si="1" t="shared"/>
        <v>9.3063078154373039E-6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8.0</v>
      </c>
      <c r="G65" s="9">
        <f si="1" t="shared"/>
        <v>1.1632884769296629E-5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4.0</v>
      </c>
      <c r="G66" s="9">
        <f si="1" t="shared"/>
        <v>1.3959461723155955E-5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5.0</v>
      </c>
      <c r="G67" s="9">
        <f si="1" t="shared"/>
        <v>9.3063078154373039E-6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1.0</v>
      </c>
      <c r="G68" s="9">
        <f si="1" t="shared"/>
        <v>4.6531539077186519E-6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4.0</v>
      </c>
      <c r="G70" s="9">
        <f si="1" t="shared"/>
        <v>2.0939192584733934E-5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6.9797308615779775E-6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2.0</v>
      </c>
      <c r="G72" s="9">
        <f si="1" t="shared"/>
        <v>2.326576953859326E-6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2.326576953859326E-6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2.326576953859326E-6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5.0</v>
      </c>
      <c r="G75" s="9">
        <f si="1" t="shared"/>
        <v>6.9797308615779775E-6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59.0</v>
      </c>
      <c r="G77" s="9">
        <f ref="G77:G102" si="3" t="shared">F77/F$102</f>
        <v>7.4450462523498431E-5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4.0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2.0</v>
      </c>
      <c r="G84" s="9">
        <f si="3" t="shared"/>
        <v>4.6531539077186519E-6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2.326576953859326E-6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2.326576953859326E-6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7.0</v>
      </c>
      <c r="G92" s="9">
        <f si="3" t="shared"/>
        <v>2.326576953859326E-6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3.0</v>
      </c>
      <c r="G101" s="9">
        <f si="3" t="shared"/>
        <v>2.326576953859326E-6</v>
      </c>
    </row>
    <row r="102" spans="1:7" x14ac:dyDescent="0.25">
      <c r="B102" s="6">
        <f>SUM(B11:B101)</f>
        <v>421008.18684899987</v>
      </c>
      <c r="C102" s="9">
        <f si="2" t="shared"/>
        <v>1</v>
      </c>
      <c r="F102" s="6">
        <f>SUM(F11:F101)</f>
        <v>429816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M102"/>
  <sheetViews>
    <sheetView workbookViewId="0">
      <selection activeCell="O30" sqref="O3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3259.0</v>
      </c>
      <c r="G11" s="9">
        <f>F11/F$102</f>
        <v>8.2337558397081543E-3</v>
      </c>
      <c r="K11" s="6" t="n">
        <v>11.561422390249957</v>
      </c>
      <c r="L11" s="6" t="n">
        <v>13.388913051793779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19543.0</v>
      </c>
      <c r="G12" s="9">
        <f>F12/F$102</f>
        <v>4.1131553967279022E-2</v>
      </c>
      <c r="K12" s="6"/>
      <c r="L12" s="371"/>
    </row>
    <row r="13" spans="1:12" x14ac:dyDescent="0.25">
      <c r="A13">
        <v>2</v>
      </c>
      <c r="B13" s="6" t="n">
        <v>4369.863634</v>
      </c>
      <c r="C13" s="9">
        <f ref="C13:C76" si="0" t="shared">B13/B$102</f>
        <v>1.037952175397318E-2</v>
      </c>
      <c r="E13" s="371">
        <v>2</v>
      </c>
      <c r="F13" s="371" t="n">
        <v>10203.0</v>
      </c>
      <c r="G13" s="9">
        <f ref="G13:G76" si="1" t="shared">F13/F$102</f>
        <v>2.3416997040594113E-2</v>
      </c>
    </row>
    <row r="14" spans="1:12" x14ac:dyDescent="0.25">
      <c r="A14">
        <v>3</v>
      </c>
      <c r="B14" s="6" t="n">
        <v>41066.444527</v>
      </c>
      <c r="C14" s="9">
        <f si="0" t="shared"/>
        <v>9.7543102034091833E-2</v>
      </c>
      <c r="E14" s="371">
        <v>3</v>
      </c>
      <c r="F14" s="371" t="n">
        <v>15508.0</v>
      </c>
      <c r="G14" s="9">
        <f si="1" t="shared"/>
        <v>3.6571463137714741E-2</v>
      </c>
    </row>
    <row r="15" spans="1:12" x14ac:dyDescent="0.25">
      <c r="A15">
        <v>4</v>
      </c>
      <c r="B15" s="6" t="n">
        <v>40952.078723</v>
      </c>
      <c r="C15" s="9">
        <f si="0" t="shared"/>
        <v>9.7271454575509231E-2</v>
      </c>
      <c r="E15" s="371">
        <v>4</v>
      </c>
      <c r="F15" s="371" t="n">
        <v>23038.0</v>
      </c>
      <c r="G15" s="9">
        <f si="1" t="shared"/>
        <v>5.2608558080667077E-2</v>
      </c>
    </row>
    <row r="16" spans="1:12" x14ac:dyDescent="0.25">
      <c r="A16">
        <v>5</v>
      </c>
      <c r="B16" s="6" t="n">
        <v>40317.793201</v>
      </c>
      <c r="C16" s="9">
        <f si="0" t="shared"/>
        <v>9.5764867431094636E-2</v>
      </c>
      <c r="E16" s="371">
        <v>5</v>
      </c>
      <c r="F16" s="371" t="n">
        <v>28761.0</v>
      </c>
      <c r="G16" s="9">
        <f si="1" t="shared"/>
        <v>6.6847209038286157E-2</v>
      </c>
    </row>
    <row r="17" spans="1:7" x14ac:dyDescent="0.25">
      <c r="A17">
        <v>6</v>
      </c>
      <c r="B17" s="6" t="n">
        <v>35260.79324</v>
      </c>
      <c r="C17" s="9">
        <f si="0" t="shared"/>
        <v>8.3753224619944847E-2</v>
      </c>
      <c r="E17" s="371">
        <v>6</v>
      </c>
      <c r="F17" s="371" t="n">
        <v>30804.0</v>
      </c>
      <c r="G17" s="9">
        <f si="1" t="shared"/>
        <v>7.1891227874253172E-2</v>
      </c>
    </row>
    <row r="18" spans="1:7" x14ac:dyDescent="0.25">
      <c r="A18">
        <v>7</v>
      </c>
      <c r="B18" s="6" t="n">
        <v>39344.790738</v>
      </c>
      <c r="C18" s="9">
        <f si="0" t="shared"/>
        <v>9.3453742627839981E-2</v>
      </c>
      <c r="E18" s="371">
        <v>7</v>
      </c>
      <c r="F18" s="371" t="n">
        <v>30699.0</v>
      </c>
      <c r="G18" s="9">
        <f si="1" t="shared"/>
        <v>7.1995923837176845E-2</v>
      </c>
    </row>
    <row r="19" spans="1:7" x14ac:dyDescent="0.25">
      <c r="A19">
        <v>8</v>
      </c>
      <c r="B19" s="6" t="n">
        <v>25144.038999</v>
      </c>
      <c r="C19" s="9">
        <f si="0" t="shared"/>
        <v>5.9723396799450448E-2</v>
      </c>
      <c r="E19" s="371">
        <v>8</v>
      </c>
      <c r="F19" s="371" t="n">
        <v>28514.0</v>
      </c>
      <c r="G19" s="9">
        <f si="1" t="shared"/>
        <v>6.6844882461332286E-2</v>
      </c>
    </row>
    <row r="20" spans="1:7" x14ac:dyDescent="0.25">
      <c r="A20">
        <v>9</v>
      </c>
      <c r="B20" s="6" t="n">
        <v>22002.252821</v>
      </c>
      <c r="C20" s="9">
        <f si="0" t="shared"/>
        <v>5.2260866910152019E-2</v>
      </c>
      <c r="E20" s="371">
        <v>9</v>
      </c>
      <c r="F20" s="371" t="n">
        <v>26449.0</v>
      </c>
      <c r="G20" s="9">
        <f si="1" t="shared"/>
        <v>6.0800435535205762E-2</v>
      </c>
    </row>
    <row r="21" spans="1:7" x14ac:dyDescent="0.25">
      <c r="A21">
        <v>10</v>
      </c>
      <c r="B21" s="6" t="n">
        <v>17552.847638</v>
      </c>
      <c r="C21" s="9">
        <f si="0" t="shared"/>
        <v>4.1692414034446214E-2</v>
      </c>
      <c r="E21" s="371">
        <v>10</v>
      </c>
      <c r="F21" s="371" t="n">
        <v>23056.0</v>
      </c>
      <c r="G21" s="9">
        <f si="1" t="shared"/>
        <v>5.48723174567722E-2</v>
      </c>
    </row>
    <row r="22" spans="1:7" x14ac:dyDescent="0.25">
      <c r="A22">
        <v>11</v>
      </c>
      <c r="B22" s="6" t="n">
        <v>19238.277922</v>
      </c>
      <c r="C22" s="9">
        <f si="0" t="shared"/>
        <v>4.569573353427462E-2</v>
      </c>
      <c r="E22" s="371">
        <v>11</v>
      </c>
      <c r="F22" s="371" t="n">
        <v>20406.0</v>
      </c>
      <c r="G22" s="9">
        <f si="1" t="shared"/>
        <v>4.851610921882852E-2</v>
      </c>
    </row>
    <row r="23" spans="1:7" x14ac:dyDescent="0.25">
      <c r="A23">
        <v>12</v>
      </c>
      <c r="B23" s="6" t="n">
        <v>14850.945545</v>
      </c>
      <c r="C23" s="9">
        <f si="0" t="shared"/>
        <v>3.5274719135869166E-2</v>
      </c>
      <c r="E23" s="371">
        <v>12</v>
      </c>
      <c r="F23" s="371" t="n">
        <v>18207.0</v>
      </c>
      <c r="G23" s="9">
        <f si="1" t="shared"/>
        <v>4.2646155564241443E-2</v>
      </c>
    </row>
    <row r="24" spans="1:7" x14ac:dyDescent="0.25">
      <c r="A24">
        <v>13</v>
      </c>
      <c r="B24" s="6" t="n">
        <v>14076.223941</v>
      </c>
      <c r="C24" s="9">
        <f si="0" t="shared"/>
        <v>3.3434561086216175E-2</v>
      </c>
      <c r="E24" s="371">
        <v>13</v>
      </c>
      <c r="F24" s="371" t="n">
        <v>15979.0</v>
      </c>
      <c r="G24" s="9">
        <f si="1" t="shared"/>
        <v>3.7844100731475795E-2</v>
      </c>
    </row>
    <row r="25" spans="1:7" x14ac:dyDescent="0.25">
      <c r="A25">
        <v>14</v>
      </c>
      <c r="B25" s="6" t="n">
        <v>12689.921149</v>
      </c>
      <c r="C25" s="9">
        <f si="0" t="shared"/>
        <v>3.0141744377886422E-2</v>
      </c>
      <c r="E25" s="371">
        <v>14</v>
      </c>
      <c r="F25" s="371" t="n">
        <v>14111.0</v>
      </c>
      <c r="G25" s="9">
        <f si="1" t="shared"/>
        <v>3.3007147244402256E-2</v>
      </c>
    </row>
    <row r="26" spans="1:7" x14ac:dyDescent="0.25">
      <c r="A26">
        <v>15</v>
      </c>
      <c r="B26" s="6" t="n">
        <v>12381.04362</v>
      </c>
      <c r="C26" s="9">
        <f si="0" t="shared"/>
        <v>2.9408082803958922E-2</v>
      </c>
      <c r="E26" s="371">
        <v>15</v>
      </c>
      <c r="F26" s="371" t="n">
        <v>12468.0</v>
      </c>
      <c r="G26" s="9">
        <f si="1" t="shared"/>
        <v>2.9226459694380851E-2</v>
      </c>
    </row>
    <row r="27" spans="1:7" x14ac:dyDescent="0.25">
      <c r="A27">
        <v>16</v>
      </c>
      <c r="B27" s="6" t="n">
        <v>7695.029567</v>
      </c>
      <c r="C27" s="9">
        <f si="0" t="shared"/>
        <v>1.8277624538830934E-2</v>
      </c>
      <c r="E27" s="371">
        <v>16</v>
      </c>
      <c r="F27" s="371" t="n">
        <v>10763.0</v>
      </c>
      <c r="G27" s="9">
        <f si="1" t="shared"/>
        <v>2.5445772144359446E-2</v>
      </c>
    </row>
    <row r="28" spans="1:7" x14ac:dyDescent="0.25">
      <c r="A28">
        <v>17</v>
      </c>
      <c r="B28" s="6" t="n">
        <v>6425.388217</v>
      </c>
      <c r="C28" s="9">
        <f si="0" t="shared"/>
        <v>1.5261908004901931E-2</v>
      </c>
      <c r="E28" s="371">
        <v>17</v>
      </c>
      <c r="F28" s="371" t="n">
        <v>9450.0</v>
      </c>
      <c r="G28" s="9">
        <f si="1" t="shared"/>
        <v>2.2065255830401847E-2</v>
      </c>
    </row>
    <row r="29" spans="1:7" x14ac:dyDescent="0.25">
      <c r="A29">
        <v>18</v>
      </c>
      <c r="B29" s="6" t="n">
        <v>4132.172279</v>
      </c>
      <c r="C29" s="9">
        <f si="0" t="shared"/>
        <v>9.8149451912726282E-3</v>
      </c>
      <c r="E29" s="371">
        <v>18</v>
      </c>
      <c r="F29" s="371" t="n">
        <v>8251.0</v>
      </c>
      <c r="G29" s="9">
        <f si="1" t="shared"/>
        <v>1.9273363485770655E-2</v>
      </c>
    </row>
    <row r="30" spans="1:7" x14ac:dyDescent="0.25">
      <c r="A30">
        <v>19</v>
      </c>
      <c r="B30" s="6" t="n">
        <v>4227.452875</v>
      </c>
      <c r="C30" s="9">
        <f si="0" t="shared"/>
        <v>1.0041260495763782E-2</v>
      </c>
      <c r="E30" s="371">
        <v>19</v>
      </c>
      <c r="F30" s="371" t="n">
        <v>7251.0</v>
      </c>
      <c r="G30" s="9">
        <f si="1" t="shared"/>
        <v>1.7225975766374448E-2</v>
      </c>
    </row>
    <row r="31" spans="1:7" x14ac:dyDescent="0.25">
      <c r="A31">
        <v>20</v>
      </c>
      <c r="B31" s="6" t="n">
        <v>6089.505449</v>
      </c>
      <c r="C31" s="9">
        <f si="0" t="shared"/>
        <v>1.4464102217527853E-2</v>
      </c>
      <c r="E31" s="371">
        <v>20</v>
      </c>
      <c r="F31" s="371" t="n">
        <v>6484.0</v>
      </c>
      <c r="G31" s="9">
        <f si="1" t="shared"/>
        <v>1.5180914623932101E-2</v>
      </c>
    </row>
    <row r="32" spans="1:7" x14ac:dyDescent="0.25">
      <c r="A32">
        <v>21</v>
      </c>
      <c r="B32" s="6" t="n">
        <v>3574.017002</v>
      </c>
      <c r="C32" s="9">
        <f si="0" t="shared"/>
        <v>8.489186466299925E-3</v>
      </c>
      <c r="E32" s="371">
        <v>21</v>
      </c>
      <c r="F32" s="371" t="n">
        <v>5862.0</v>
      </c>
      <c r="G32" s="9">
        <f si="1" t="shared"/>
        <v>1.3463900831983918E-2</v>
      </c>
    </row>
    <row r="33" spans="1:7" x14ac:dyDescent="0.25">
      <c r="A33">
        <v>22</v>
      </c>
      <c r="B33" s="6" t="n">
        <v>3248.715354</v>
      </c>
      <c r="C33" s="9">
        <f si="0" t="shared"/>
        <v>7.7165134918509171E-3</v>
      </c>
      <c r="E33" s="371">
        <v>22</v>
      </c>
      <c r="F33" s="371" t="n">
        <v>5183.0</v>
      </c>
      <c r="G33" s="9">
        <f si="1" t="shared"/>
        <v>1.2049342044037448E-2</v>
      </c>
    </row>
    <row r="34" spans="1:7" x14ac:dyDescent="0.25">
      <c r="A34">
        <v>23</v>
      </c>
      <c r="B34" s="6" t="n">
        <v>4509.483775</v>
      </c>
      <c r="C34" s="9">
        <f si="0" t="shared"/>
        <v>1.0711154594761799E-2</v>
      </c>
      <c r="E34" s="371">
        <v>23</v>
      </c>
      <c r="F34" s="371" t="n">
        <v>4829.0</v>
      </c>
      <c r="G34" s="9">
        <f si="1" t="shared"/>
        <v>1.0944217990954269E-2</v>
      </c>
    </row>
    <row r="35" spans="1:7" x14ac:dyDescent="0.25">
      <c r="A35">
        <v>24</v>
      </c>
      <c r="B35" s="6" t="n">
        <v>3501.0492</v>
      </c>
      <c r="C35" s="9">
        <f si="0" t="shared"/>
        <v>8.3158696418787151E-3</v>
      </c>
      <c r="E35" s="371">
        <v>24</v>
      </c>
      <c r="F35" s="371" t="n">
        <v>4097.0</v>
      </c>
      <c r="G35" s="9">
        <f si="1" t="shared"/>
        <v>9.6878664358702321E-3</v>
      </c>
    </row>
    <row r="36" spans="1:7" x14ac:dyDescent="0.25">
      <c r="A36">
        <v>25</v>
      </c>
      <c r="B36" s="6" t="n">
        <v>2135.235253</v>
      </c>
      <c r="C36" s="9">
        <f si="0" t="shared"/>
        <v>5.071719077438819E-3</v>
      </c>
      <c r="E36" s="371">
        <v>25</v>
      </c>
      <c r="F36" s="371" t="n">
        <v>3814.0</v>
      </c>
      <c r="G36" s="9">
        <f si="1" t="shared"/>
        <v>9.1015690434976832E-3</v>
      </c>
    </row>
    <row r="37" spans="1:7" x14ac:dyDescent="0.25">
      <c r="A37">
        <v>26</v>
      </c>
      <c r="B37" s="6" t="n">
        <v>2604.034604</v>
      </c>
      <c r="C37" s="9">
        <f si="0" t="shared"/>
        <v>6.1852350746185629E-3</v>
      </c>
      <c r="E37" s="371">
        <v>26</v>
      </c>
      <c r="F37" s="371" t="n">
        <v>3562.0</v>
      </c>
      <c r="G37" s="9">
        <f si="1" t="shared"/>
        <v>8.0639157220764226E-3</v>
      </c>
    </row>
    <row r="38" spans="1:7" x14ac:dyDescent="0.25">
      <c r="A38">
        <v>27</v>
      </c>
      <c r="B38" s="6" t="n">
        <v>4363.112301</v>
      </c>
      <c r="C38" s="9">
        <f si="0" t="shared"/>
        <v>1.0363485645386956E-2</v>
      </c>
      <c r="E38" s="371">
        <v>27</v>
      </c>
      <c r="F38" s="371" t="n">
        <v>3099.0</v>
      </c>
      <c r="G38" s="9">
        <f si="1" t="shared"/>
        <v>7.1774899026560207E-3</v>
      </c>
    </row>
    <row r="39" spans="1:7" x14ac:dyDescent="0.25">
      <c r="A39">
        <v>28</v>
      </c>
      <c r="B39" s="6" t="n">
        <v>3579.5702309999997</v>
      </c>
      <c r="C39" s="9">
        <f si="0" t="shared"/>
        <v>8.5023767774944931E-3</v>
      </c>
      <c r="E39" s="371">
        <v>28</v>
      </c>
      <c r="F39" s="371" t="n">
        <v>2783.0</v>
      </c>
      <c r="G39" s="9">
        <f si="1" t="shared"/>
        <v>6.4120460848363023E-3</v>
      </c>
    </row>
    <row r="40" spans="1:7" x14ac:dyDescent="0.25">
      <c r="A40">
        <v>29</v>
      </c>
      <c r="B40" s="6" t="n">
        <v>6321.182132</v>
      </c>
      <c r="C40" s="9">
        <f si="0" t="shared"/>
        <v>1.5014392426214681E-2</v>
      </c>
      <c r="E40" s="371">
        <v>29</v>
      </c>
      <c r="F40" s="371" t="n">
        <v>2634.0</v>
      </c>
      <c r="G40" s="9">
        <f si="1" t="shared"/>
        <v>5.6698680365551771E-3</v>
      </c>
    </row>
    <row r="41" spans="1:7" x14ac:dyDescent="0.25">
      <c r="A41">
        <v>30</v>
      </c>
      <c r="B41" s="6" t="n">
        <v>956.69653</v>
      </c>
      <c r="C41" s="9">
        <f si="0" t="shared"/>
        <v>2.2723941241150538E-3</v>
      </c>
      <c r="E41" s="371">
        <v>30</v>
      </c>
      <c r="F41" s="371" t="n">
        <v>2282.0</v>
      </c>
      <c r="G41" s="9">
        <f si="1" t="shared"/>
        <v>5.3976585329536357E-3</v>
      </c>
    </row>
    <row r="42" spans="1:7" x14ac:dyDescent="0.25">
      <c r="A42">
        <v>31</v>
      </c>
      <c r="B42" s="6" t="n">
        <v>1491.382585</v>
      </c>
      <c r="C42" s="9">
        <f si="0" t="shared"/>
        <v>3.5424075625752707E-3</v>
      </c>
      <c r="E42" s="371">
        <v>31</v>
      </c>
      <c r="F42" s="371" t="n">
        <v>2120.0</v>
      </c>
      <c r="G42" s="9">
        <f si="1" t="shared"/>
        <v>4.6996854467958385E-3</v>
      </c>
    </row>
    <row r="43" spans="1:7" x14ac:dyDescent="0.25">
      <c r="A43">
        <v>32</v>
      </c>
      <c r="B43" s="6" t="n">
        <v>2324.176646</v>
      </c>
      <c r="C43" s="9">
        <f si="0" t="shared"/>
        <v>5.5205022576760394E-3</v>
      </c>
      <c r="E43" s="371">
        <v>32</v>
      </c>
      <c r="F43" s="371" t="n">
        <v>1822.0</v>
      </c>
      <c r="G43" s="9">
        <f si="1" t="shared"/>
        <v>4.5182124443948106E-3</v>
      </c>
    </row>
    <row r="44" spans="1:7" x14ac:dyDescent="0.25">
      <c r="A44">
        <v>33</v>
      </c>
      <c r="B44" s="6" t="n">
        <v>887.189112</v>
      </c>
      <c r="C44" s="9">
        <f si="0" t="shared"/>
        <v>2.1072965792900411E-3</v>
      </c>
      <c r="E44" s="371">
        <v>33</v>
      </c>
      <c r="F44" s="371" t="n">
        <v>1676.0</v>
      </c>
      <c r="G44" s="9">
        <f si="1" t="shared"/>
        <v>3.9505276676531356E-3</v>
      </c>
    </row>
    <row r="45" spans="1:7" x14ac:dyDescent="0.25">
      <c r="A45">
        <v>34</v>
      </c>
      <c r="B45" s="6" t="n">
        <v>788.67997</v>
      </c>
      <c r="C45" s="9">
        <f si="0" t="shared"/>
        <v>1.8733126685796977E-3</v>
      </c>
      <c r="E45" s="371">
        <v>34</v>
      </c>
      <c r="F45" s="371" t="n">
        <v>1553.0</v>
      </c>
      <c r="G45" s="9">
        <f si="1" t="shared"/>
        <v>3.6480726636514229E-3</v>
      </c>
    </row>
    <row r="46" spans="1:7" x14ac:dyDescent="0.25">
      <c r="A46">
        <v>35</v>
      </c>
      <c r="B46" s="6" t="n">
        <v>363.730605</v>
      </c>
      <c r="C46" s="9">
        <f si="0" t="shared"/>
        <v>8.6395138232895393E-4</v>
      </c>
      <c r="E46" s="371">
        <v>35</v>
      </c>
      <c r="F46" s="371" t="n">
        <v>1411.0</v>
      </c>
      <c r="G46" s="9">
        <f si="1" t="shared"/>
        <v>3.5154577772814415E-3</v>
      </c>
    </row>
    <row r="47" spans="1:7" x14ac:dyDescent="0.25">
      <c r="A47">
        <v>36</v>
      </c>
      <c r="B47" s="6" t="n">
        <v>1020.4617460000001</v>
      </c>
      <c r="C47" s="9">
        <f si="0" t="shared"/>
        <v>2.4238524994907094E-3</v>
      </c>
      <c r="E47" s="371">
        <v>36</v>
      </c>
      <c r="F47" s="371" t="n">
        <v>1381.0</v>
      </c>
      <c r="G47" s="9">
        <f si="1" t="shared"/>
        <v>3.0361829247864203E-3</v>
      </c>
    </row>
    <row r="48" spans="1:7" x14ac:dyDescent="0.25">
      <c r="A48">
        <v>37</v>
      </c>
      <c r="B48" s="6" t="n">
        <v>1107.027961</v>
      </c>
      <c r="C48" s="9">
        <f si="0" t="shared"/>
        <v>2.6294689642152968E-3</v>
      </c>
      <c r="E48" s="371">
        <v>37</v>
      </c>
      <c r="F48" s="371" t="n">
        <v>1246.0</v>
      </c>
      <c r="G48" s="9">
        <f si="1" t="shared"/>
        <v>2.6918495356152402E-3</v>
      </c>
    </row>
    <row r="49" spans="1:7" x14ac:dyDescent="0.25">
      <c r="A49">
        <v>38</v>
      </c>
      <c r="B49" s="6" t="n">
        <v>805.979139</v>
      </c>
      <c r="C49" s="9">
        <f si="0" t="shared"/>
        <v>1.9144025322459465E-3</v>
      </c>
      <c r="E49" s="371">
        <v>38</v>
      </c>
      <c r="F49" s="371" t="n">
        <v>1168.0</v>
      </c>
      <c r="G49" s="9">
        <f si="1" t="shared"/>
        <v>2.6871963817075213E-3</v>
      </c>
    </row>
    <row r="50" spans="1:7" x14ac:dyDescent="0.25">
      <c r="A50">
        <v>39</v>
      </c>
      <c r="B50" s="6" t="n">
        <v>694.025415</v>
      </c>
      <c r="C50" s="9">
        <f si="0" t="shared"/>
        <v>1.648484368426121E-3</v>
      </c>
      <c r="E50" s="371">
        <v>39</v>
      </c>
      <c r="F50" s="371" t="n">
        <v>994.0</v>
      </c>
      <c r="G50" s="9">
        <f si="1" t="shared"/>
        <v>2.4359260706907143E-3</v>
      </c>
    </row>
    <row r="51" spans="1:7" x14ac:dyDescent="0.25">
      <c r="A51">
        <v>40</v>
      </c>
      <c r="B51" s="6" t="n">
        <v>1223.49043</v>
      </c>
      <c r="C51" s="9">
        <f si="0" t="shared"/>
        <v>2.9060965278540317E-3</v>
      </c>
      <c r="E51" s="371">
        <v>40</v>
      </c>
      <c r="F51" s="371" t="n">
        <v>955.0</v>
      </c>
      <c r="G51" s="9">
        <f si="1" t="shared"/>
        <v>2.421966608967558E-3</v>
      </c>
    </row>
    <row r="52" spans="1:7" x14ac:dyDescent="0.25">
      <c r="A52">
        <v>41</v>
      </c>
      <c r="B52" s="6" t="n">
        <v>143.214387</v>
      </c>
      <c r="C52" s="9">
        <f si="0" t="shared"/>
        <v>3.4017007619703533E-4</v>
      </c>
      <c r="E52" s="371">
        <v>41</v>
      </c>
      <c r="F52" s="371" t="n">
        <v>898.0</v>
      </c>
      <c r="G52" s="9">
        <f si="1" t="shared"/>
        <v>2.0660003350270813E-3</v>
      </c>
    </row>
    <row r="53" spans="1:7" x14ac:dyDescent="0.25">
      <c r="A53">
        <v>42</v>
      </c>
      <c r="B53" s="6" t="n">
        <v>999.586787</v>
      </c>
      <c r="C53" s="9">
        <f si="0" t="shared"/>
        <v>2.3742692380433797E-3</v>
      </c>
      <c r="E53" s="371">
        <v>42</v>
      </c>
      <c r="F53" s="371" t="n">
        <v>858.0</v>
      </c>
      <c r="G53" s="9">
        <f si="1" t="shared"/>
        <v>1.8496286783181641E-3</v>
      </c>
    </row>
    <row r="54" spans="1:7" x14ac:dyDescent="0.25">
      <c r="A54">
        <v>43</v>
      </c>
      <c r="B54" s="6" t="n">
        <v>1749.786272</v>
      </c>
      <c r="C54" s="9">
        <f si="0" t="shared"/>
        <v>4.1561811068239005E-3</v>
      </c>
      <c r="E54" s="371">
        <v>43</v>
      </c>
      <c r="F54" s="371" t="n">
        <v>748.0</v>
      </c>
      <c r="G54" s="9">
        <f si="1" t="shared"/>
        <v>1.6565227911478401E-3</v>
      </c>
    </row>
    <row r="55" spans="1:7" x14ac:dyDescent="0.25">
      <c r="A55">
        <v>44</v>
      </c>
      <c r="B55" s="6" t="n">
        <v>110.94200899999998</v>
      </c>
      <c r="C55" s="9">
        <f si="0" t="shared"/>
        <v>2.635150870350908E-4</v>
      </c>
      <c r="E55" s="371">
        <v>44</v>
      </c>
      <c r="F55" s="371" t="n">
        <v>734.0</v>
      </c>
      <c r="G55" s="9">
        <f si="1" t="shared"/>
        <v>1.6146444059783722E-3</v>
      </c>
    </row>
    <row r="56" spans="1:7" x14ac:dyDescent="0.25">
      <c r="A56">
        <v>45</v>
      </c>
      <c r="B56" s="6" t="n">
        <v>476.08815200000004</v>
      </c>
      <c r="C56" s="9">
        <f si="0" t="shared"/>
        <v>1.1308287270212997E-3</v>
      </c>
      <c r="E56" s="371">
        <v>45</v>
      </c>
      <c r="F56" s="371" t="n">
        <v>697.0</v>
      </c>
      <c r="G56" s="9">
        <f si="1" t="shared"/>
        <v>1.6588493681016993E-3</v>
      </c>
    </row>
    <row r="57" spans="1:7" x14ac:dyDescent="0.25">
      <c r="A57">
        <v>46</v>
      </c>
      <c r="B57" s="6" t="n">
        <v>143.573975</v>
      </c>
      <c r="C57" s="9">
        <f si="0" t="shared"/>
        <v>3.4102418785384489E-4</v>
      </c>
      <c r="E57" s="371">
        <v>46</v>
      </c>
      <c r="F57" s="371" t="n">
        <v>633.0</v>
      </c>
      <c r="G57" s="9">
        <f si="1" t="shared"/>
        <v>1.3401083254229718E-3</v>
      </c>
    </row>
    <row r="58" spans="1:7" x14ac:dyDescent="0.25">
      <c r="A58">
        <v>47</v>
      </c>
      <c r="B58" s="6" t="n">
        <v>279.936464</v>
      </c>
      <c r="C58" s="9">
        <f si="0" t="shared"/>
        <v>6.6491928837574563E-4</v>
      </c>
      <c r="E58" s="371">
        <v>47</v>
      </c>
      <c r="F58" s="371" t="n">
        <v>589.0</v>
      </c>
      <c r="G58" s="9">
        <f si="1" t="shared"/>
        <v>1.4122322109926108E-3</v>
      </c>
    </row>
    <row r="59" spans="1:7" x14ac:dyDescent="0.25">
      <c r="A59">
        <v>48</v>
      </c>
      <c r="B59" s="6" t="n">
        <v>42.7073</v>
      </c>
      <c r="C59" s="9">
        <f si="0" t="shared"/>
        <v>1.0144054518188628E-4</v>
      </c>
      <c r="E59" s="371">
        <v>48</v>
      </c>
      <c r="F59" s="371" t="n">
        <v>493.0</v>
      </c>
      <c r="G59" s="9">
        <f si="1" t="shared"/>
        <v>1.1260632456679138E-3</v>
      </c>
    </row>
    <row r="60" spans="1:7" x14ac:dyDescent="0.25">
      <c r="A60">
        <v>49</v>
      </c>
      <c r="B60" s="6" t="n">
        <v>108.904293</v>
      </c>
      <c r="C60" s="9">
        <f si="0" t="shared"/>
        <v>2.5867500063379986E-4</v>
      </c>
      <c r="E60" s="371">
        <v>49</v>
      </c>
      <c r="F60" s="371" t="n">
        <v>464.0</v>
      </c>
      <c r="G60" s="9">
        <f si="1" t="shared"/>
        <v>1.0678988218214306E-3</v>
      </c>
    </row>
    <row r="61" spans="1:7" x14ac:dyDescent="0.25">
      <c r="A61">
        <v>50</v>
      </c>
      <c r="B61" s="6" t="n">
        <v>474.458937</v>
      </c>
      <c r="C61" s="9">
        <f si="0" t="shared"/>
        <v>1.1269589329154087E-3</v>
      </c>
      <c r="E61" s="371">
        <v>50</v>
      </c>
      <c r="F61" s="371" t="n">
        <v>425.0</v>
      </c>
      <c r="G61" s="9">
        <f si="1" t="shared"/>
        <v>9.2132447372829309E-4</v>
      </c>
    </row>
    <row r="62" spans="1:7" x14ac:dyDescent="0.25">
      <c r="A62">
        <v>51</v>
      </c>
      <c r="B62" s="6" t="n">
        <v>295.272282</v>
      </c>
      <c r="C62" s="9">
        <f si="0" t="shared"/>
        <v>7.013457011606838E-4</v>
      </c>
      <c r="E62" s="371">
        <v>51</v>
      </c>
      <c r="F62" s="371" t="n">
        <v>445.0</v>
      </c>
      <c r="G62" s="9">
        <f si="1" t="shared"/>
        <v>9.5622312803618297E-4</v>
      </c>
    </row>
    <row r="63" spans="1:7" x14ac:dyDescent="0.25">
      <c r="A63">
        <v>52</v>
      </c>
      <c r="B63" s="6" t="n">
        <v>231.730191</v>
      </c>
      <c r="C63" s="9">
        <f si="0" t="shared"/>
        <v>5.5041730360249036E-4</v>
      </c>
      <c r="E63" s="371">
        <v>52</v>
      </c>
      <c r="F63" s="371" t="n">
        <v>336.0</v>
      </c>
      <c r="G63" s="9">
        <f si="1" t="shared"/>
        <v>9.0271185809741848E-4</v>
      </c>
    </row>
    <row r="64" spans="1:7" x14ac:dyDescent="0.25">
      <c r="A64">
        <v>53</v>
      </c>
      <c r="B64" s="6" t="n">
        <v>152.343186</v>
      </c>
      <c r="C64" s="9">
        <f si="0" t="shared"/>
        <v>3.6185326261752688E-4</v>
      </c>
      <c r="E64" s="371">
        <v>53</v>
      </c>
      <c r="F64" s="371" t="n">
        <v>355.0</v>
      </c>
      <c r="G64" s="9">
        <f si="1" t="shared"/>
        <v>8.2826139557392003E-4</v>
      </c>
    </row>
    <row r="65" spans="1:7" x14ac:dyDescent="0.25">
      <c r="A65">
        <v>54</v>
      </c>
      <c r="B65" s="6" t="n">
        <v>180.195544</v>
      </c>
      <c r="C65" s="9">
        <f si="0" t="shared"/>
        <v>4.2800959608091778E-4</v>
      </c>
      <c r="E65" s="371">
        <v>54</v>
      </c>
      <c r="F65" s="371" t="n">
        <v>327.0</v>
      </c>
      <c r="G65" s="9">
        <f si="1" t="shared"/>
        <v>7.1658570178867237E-4</v>
      </c>
    </row>
    <row r="66" spans="1:7" x14ac:dyDescent="0.25">
      <c r="A66">
        <v>55</v>
      </c>
      <c r="B66" s="6" t="n">
        <v>179.929108</v>
      </c>
      <c r="C66" s="9">
        <f si="0" t="shared"/>
        <v>4.2737674377941239E-4</v>
      </c>
      <c r="E66" s="371">
        <v>55</v>
      </c>
      <c r="F66" s="371" t="n">
        <v>330.0</v>
      </c>
      <c r="G66" s="9">
        <f si="1" t="shared"/>
        <v>7.3752489437340632E-4</v>
      </c>
    </row>
    <row r="67" spans="1:7" x14ac:dyDescent="0.25">
      <c r="A67">
        <v>56</v>
      </c>
      <c r="B67" s="6" t="n">
        <v>116.138376</v>
      </c>
      <c r="C67" s="9">
        <f si="0" t="shared"/>
        <v>2.7585776150632085E-4</v>
      </c>
      <c r="E67" s="371">
        <v>56</v>
      </c>
      <c r="F67" s="371" t="n">
        <v>309.0</v>
      </c>
      <c r="G67" s="9">
        <f si="1" t="shared"/>
        <v>6.6307443184990787E-4</v>
      </c>
    </row>
    <row r="68" spans="1:7" x14ac:dyDescent="0.25">
      <c r="A68">
        <v>57</v>
      </c>
      <c r="B68" s="6" t="n">
        <v>630.272266</v>
      </c>
      <c r="C68" s="9">
        <f si="0" t="shared"/>
        <v>1.4970546552009339E-3</v>
      </c>
      <c r="E68" s="371">
        <v>57</v>
      </c>
      <c r="F68" s="371" t="n">
        <v>258.0</v>
      </c>
      <c r="G68" s="9">
        <f si="1" t="shared"/>
        <v>6.7005416271148589E-4</v>
      </c>
    </row>
    <row r="69" spans="1:7" x14ac:dyDescent="0.25">
      <c r="A69">
        <v>58</v>
      </c>
      <c r="B69" s="6" t="n">
        <v>368.594243</v>
      </c>
      <c r="C69" s="9">
        <f si="0" t="shared"/>
        <v>8.7550374200253051E-4</v>
      </c>
      <c r="E69" s="371">
        <v>58</v>
      </c>
      <c r="F69" s="371" t="n">
        <v>293.0</v>
      </c>
      <c r="G69" s="9">
        <f si="1" t="shared"/>
        <v>5.9095054628026877E-4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262.0</v>
      </c>
      <c r="G70" s="9">
        <f si="1" t="shared"/>
        <v>5.2580639157220768E-4</v>
      </c>
    </row>
    <row r="71" spans="1:7" x14ac:dyDescent="0.25">
      <c r="A71">
        <v>60</v>
      </c>
      <c r="B71" s="6" t="n">
        <v>45.690895</v>
      </c>
      <c r="C71" s="9">
        <f si="0" t="shared"/>
        <v>1.0852733136134388E-4</v>
      </c>
      <c r="E71" s="371">
        <v>60</v>
      </c>
      <c r="F71" s="371" t="n">
        <v>212.0</v>
      </c>
      <c r="G71" s="9">
        <f si="1" t="shared"/>
        <v>4.6298881381800583E-4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206.0</v>
      </c>
      <c r="G72" s="9">
        <f si="1" t="shared"/>
        <v>4.4204962123327193E-4</v>
      </c>
    </row>
    <row r="73" spans="1:7" x14ac:dyDescent="0.25">
      <c r="A73">
        <v>62</v>
      </c>
      <c r="B73" s="6" t="n">
        <v>76.719834</v>
      </c>
      <c r="C73" s="9">
        <f si="0" t="shared"/>
        <v>1.8222884114012865E-4</v>
      </c>
      <c r="E73" s="371">
        <v>62</v>
      </c>
      <c r="F73" s="371" t="n">
        <v>174.0</v>
      </c>
      <c r="G73" s="9">
        <f si="1" t="shared"/>
        <v>4.583356599102872E-4</v>
      </c>
    </row>
    <row r="74" spans="1:7" x14ac:dyDescent="0.25">
      <c r="A74">
        <v>63</v>
      </c>
      <c r="B74" s="6" t="n">
        <v>71.965201</v>
      </c>
      <c r="C74" s="9">
        <f si="0" t="shared"/>
        <v>1.7093539567156031E-4</v>
      </c>
      <c r="E74" s="371">
        <v>63</v>
      </c>
      <c r="F74" s="371" t="n">
        <v>164.0</v>
      </c>
      <c r="G74" s="9">
        <f si="1" t="shared"/>
        <v>5.2347981461834834E-4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163.0</v>
      </c>
      <c r="G75" s="9">
        <f si="1" t="shared"/>
        <v>3.6992573566363283E-4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170.0</v>
      </c>
      <c r="G76" s="9">
        <f si="1" t="shared"/>
        <v>3.7457888957135145E-4</v>
      </c>
    </row>
    <row r="77" spans="1:7" x14ac:dyDescent="0.25">
      <c r="A77">
        <v>66</v>
      </c>
      <c r="B77" s="6" t="n">
        <v>91.06761900000001</v>
      </c>
      <c r="C77" s="9">
        <f ref="C77:C102" si="2" t="shared">B77/B$102</f>
        <v>2.163084278279429E-4</v>
      </c>
      <c r="E77" s="371">
        <v>66</v>
      </c>
      <c r="F77" s="371" t="n">
        <v>155.0</v>
      </c>
      <c r="G77" s="9">
        <f ref="G77:G102" si="3" t="shared">F77/F$102</f>
        <v>3.2106761963258696E-4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150.0</v>
      </c>
      <c r="G78" s="9">
        <f si="3" t="shared"/>
        <v>3.4665996612503954E-4</v>
      </c>
    </row>
    <row r="79" spans="1:7" x14ac:dyDescent="0.25">
      <c r="A79">
        <v>68</v>
      </c>
      <c r="B79" s="6" t="n">
        <v>34.460798</v>
      </c>
      <c r="C79" s="9">
        <f si="2" t="shared"/>
        <v>8.1853035348122125E-5</v>
      </c>
      <c r="E79" s="371">
        <v>68</v>
      </c>
      <c r="F79" s="371" t="n">
        <v>124.0</v>
      </c>
      <c r="G79" s="9">
        <f si="3" t="shared"/>
        <v>3.536396969866175E-4</v>
      </c>
    </row>
    <row r="80" spans="1:7" x14ac:dyDescent="0.25">
      <c r="A80">
        <v>69</v>
      </c>
      <c r="B80" s="6" t="n">
        <v>40.752751</v>
      </c>
      <c r="C80" s="9">
        <f si="2" t="shared"/>
        <v>9.6798001257435186E-5</v>
      </c>
      <c r="E80" s="371">
        <v>69</v>
      </c>
      <c r="F80" s="371" t="n">
        <v>154.0</v>
      </c>
      <c r="G80" s="9">
        <f si="3" t="shared"/>
        <v>2.9082211923241576E-4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146.0</v>
      </c>
      <c r="G81" s="9">
        <f si="3" t="shared"/>
        <v>3.1874104267872762E-4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136.0</v>
      </c>
      <c r="G82" s="9">
        <f si="3" t="shared"/>
        <v>2.9314869618627504E-4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99.0</v>
      </c>
      <c r="G83" s="9">
        <f si="3" t="shared"/>
        <v>2.9780185009399372E-4</v>
      </c>
    </row>
    <row r="84" spans="1:7" x14ac:dyDescent="0.25">
      <c r="A84">
        <v>73</v>
      </c>
      <c r="B84" s="6" t="n">
        <v>47.062368</v>
      </c>
      <c r="C84" s="9">
        <f si="2" t="shared"/>
        <v>1.1178492359551082E-4</v>
      </c>
      <c r="E84" s="371">
        <v>73</v>
      </c>
      <c r="F84" s="371" t="n">
        <v>128.0</v>
      </c>
      <c r="G84" s="9">
        <f si="3" t="shared"/>
        <v>2.1171850280119866E-4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125.0</v>
      </c>
      <c r="G85" s="9">
        <f si="3" t="shared"/>
        <v>2.2800454147821393E-4</v>
      </c>
    </row>
    <row r="86" spans="1:7" x14ac:dyDescent="0.25">
      <c r="A86">
        <v>75</v>
      </c>
      <c r="B86" s="6" t="n">
        <v>64.380723</v>
      </c>
      <c r="C86" s="9">
        <f si="2" t="shared"/>
        <v>1.5292035882212188E-4</v>
      </c>
      <c r="E86" s="371">
        <v>75</v>
      </c>
      <c r="F86" s="371" t="n">
        <v>93.0</v>
      </c>
      <c r="G86" s="9">
        <f si="3" t="shared"/>
        <v>2.2567796452435462E-4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96.0</v>
      </c>
      <c r="G87" s="9">
        <f si="3" t="shared"/>
        <v>2.3033111843207327E-4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91.0</v>
      </c>
      <c r="G88" s="9">
        <f si="3" t="shared"/>
        <v>1.8612615630874606E-4</v>
      </c>
    </row>
    <row r="89" spans="1:7" x14ac:dyDescent="0.25">
      <c r="A89">
        <v>78</v>
      </c>
      <c r="B89" s="6" t="n">
        <v>288.496806</v>
      </c>
      <c r="C89" s="9">
        <f si="2" t="shared"/>
        <v>6.8525224689626549E-4</v>
      </c>
      <c r="E89" s="371">
        <v>78</v>
      </c>
      <c r="F89" s="371" t="n">
        <v>94.0</v>
      </c>
      <c r="G89" s="9">
        <f si="3" t="shared"/>
        <v>2.2102481061663597E-4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84.0</v>
      </c>
      <c r="G90" s="9">
        <f si="3" t="shared"/>
        <v>1.6518696372401213E-4</v>
      </c>
    </row>
    <row r="91" spans="1:7" x14ac:dyDescent="0.25">
      <c r="A91">
        <v>80</v>
      </c>
      <c r="B91" s="6" t="n">
        <v>247.812006</v>
      </c>
      <c r="C91" s="9">
        <f si="2" t="shared"/>
        <v>5.8861564630067629E-4</v>
      </c>
      <c r="E91" s="371">
        <v>80</v>
      </c>
      <c r="F91" s="371" t="n">
        <v>70.0</v>
      </c>
      <c r="G91" s="9">
        <f si="3" t="shared"/>
        <v>1.4192119418541887E-4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67.0</v>
      </c>
      <c r="G92" s="9">
        <f si="3" t="shared"/>
        <v>1.9310588717032405E-4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78.0</v>
      </c>
      <c r="G93" s="9">
        <f si="3" t="shared"/>
        <v>1.3726804027770022E-4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64.0</v>
      </c>
      <c r="G94" s="9">
        <f si="3" t="shared"/>
        <v>1.2330857855454426E-4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63.0</v>
      </c>
      <c r="G95" s="9">
        <f si="3" t="shared"/>
        <v>1.1632884769296629E-4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67.0</v>
      </c>
      <c r="G96" s="9">
        <f si="3" t="shared"/>
        <v>1.2330857855454426E-4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59.0</v>
      </c>
      <c r="G97" s="9">
        <f si="3" t="shared"/>
        <v>1.2330857855454426E-4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45.0</v>
      </c>
      <c r="G98" s="9">
        <f si="3" t="shared"/>
        <v>1.7449327153944944E-4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59.0</v>
      </c>
      <c r="G99" s="9">
        <f si="3" t="shared"/>
        <v>7.9103616431217084E-5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31.0</v>
      </c>
      <c r="G100" s="9">
        <f si="3" t="shared"/>
        <v>1.0702253987752899E-4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1814.0</v>
      </c>
      <c r="G101" s="9">
        <f si="3" t="shared"/>
        <v>3.8365253969140285E-3</v>
      </c>
    </row>
    <row r="102" spans="1:7" x14ac:dyDescent="0.25">
      <c r="B102" s="6">
        <f>SUM(B11:B101)</f>
        <v>421008.18684899993</v>
      </c>
      <c r="C102" s="9">
        <f si="2" t="shared"/>
        <v>1</v>
      </c>
      <c r="F102" s="6">
        <f>SUM(F11:F101)</f>
        <v>429816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M102"/>
  <sheetViews>
    <sheetView workbookViewId="0">
      <selection activeCell="T17" sqref="T17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35772.532445</v>
      </c>
      <c r="C11" s="9">
        <f>B11/B$102</f>
        <v>0.15899101937076016</v>
      </c>
      <c r="E11" s="371">
        <v>0</v>
      </c>
      <c r="F11" s="371" t="n">
        <v>41166.0</v>
      </c>
      <c r="G11" s="9">
        <f>F11/F$102</f>
        <v>0.15192946050147979</v>
      </c>
      <c r="K11" s="6" t="n">
        <v>4.941245361534956</v>
      </c>
      <c r="L11" s="6" t="n">
        <v>5.084640145871055</v>
      </c>
    </row>
    <row r="12" spans="1:12" x14ac:dyDescent="0.25">
      <c r="A12">
        <v>1</v>
      </c>
      <c r="B12" s="6" t="n">
        <v>45458.904564</v>
      </c>
      <c r="C12" s="9">
        <f>B12/B$102</f>
        <v>0.20204209996093447</v>
      </c>
      <c r="E12" s="371">
        <v>1</v>
      </c>
      <c r="F12" s="371" t="n">
        <v>36220.0</v>
      </c>
      <c r="G12" s="9">
        <f>F12/F$102</f>
        <v>0.13898471210282287</v>
      </c>
      <c r="K12" s="6"/>
      <c r="L12" s="371"/>
    </row>
    <row r="13" spans="1:12" x14ac:dyDescent="0.25">
      <c r="A13">
        <v>2</v>
      </c>
      <c r="B13" s="6" t="n">
        <v>34046.036795</v>
      </c>
      <c r="C13" s="9">
        <f ref="C13:C76" si="0" t="shared">B13/B$102</f>
        <v>0.15131760950650969</v>
      </c>
      <c r="E13" s="371">
        <v>2</v>
      </c>
      <c r="F13" s="371" t="n">
        <v>34495.0</v>
      </c>
      <c r="G13" s="9">
        <f ref="G13:G76" si="1" t="shared">F13/F$102</f>
        <v>0.13632761201744345</v>
      </c>
    </row>
    <row r="14" spans="1:12" x14ac:dyDescent="0.25">
      <c r="A14">
        <v>3</v>
      </c>
      <c r="B14" s="6" t="n">
        <v>22327.419642</v>
      </c>
      <c r="C14" s="9">
        <f si="0" t="shared"/>
        <v>9.9234215924136629E-2</v>
      </c>
      <c r="E14" s="371">
        <v>3</v>
      </c>
      <c r="F14" s="371" t="n">
        <v>30778.0</v>
      </c>
      <c r="G14" s="9">
        <f si="1" t="shared"/>
        <v>0.12113160302771578</v>
      </c>
    </row>
    <row r="15" spans="1:12" x14ac:dyDescent="0.25">
      <c r="A15">
        <v>4</v>
      </c>
      <c r="B15" s="6" t="n">
        <v>15212.38101</v>
      </c>
      <c r="C15" s="9">
        <f si="0" t="shared"/>
        <v>6.7611426939228378E-2</v>
      </c>
      <c r="E15" s="371">
        <v>4</v>
      </c>
      <c r="F15" s="371" t="n">
        <v>24054.0</v>
      </c>
      <c r="G15" s="9">
        <f si="1" t="shared"/>
        <v>9.3270338875977743E-2</v>
      </c>
    </row>
    <row r="16" spans="1:12" x14ac:dyDescent="0.25">
      <c r="A16">
        <v>5</v>
      </c>
      <c r="B16" s="6" t="n">
        <v>13293.330324</v>
      </c>
      <c r="C16" s="9">
        <f si="0" t="shared"/>
        <v>5.9082206223294895E-2</v>
      </c>
      <c r="E16" s="371">
        <v>5</v>
      </c>
      <c r="F16" s="371" t="n">
        <v>19078.0</v>
      </c>
      <c r="G16" s="9">
        <f si="1" t="shared"/>
        <v>7.3273172095088962E-2</v>
      </c>
    </row>
    <row r="17" spans="1:7" x14ac:dyDescent="0.25">
      <c r="A17">
        <v>6</v>
      </c>
      <c r="B17" s="6" t="n">
        <v>16116.779696</v>
      </c>
      <c r="C17" s="9">
        <f si="0" t="shared"/>
        <v>7.163102687182453E-2</v>
      </c>
      <c r="E17" s="371">
        <v>6</v>
      </c>
      <c r="F17" s="371" t="n">
        <v>14200.0</v>
      </c>
      <c r="G17" s="9">
        <f si="1" t="shared"/>
        <v>5.3754589623526437E-2</v>
      </c>
    </row>
    <row r="18" spans="1:7" x14ac:dyDescent="0.25">
      <c r="A18">
        <v>7</v>
      </c>
      <c r="B18" s="6" t="n">
        <v>6448.16822</v>
      </c>
      <c r="C18" s="9">
        <f si="0" t="shared"/>
        <v>2.8658883458927004E-2</v>
      </c>
      <c r="E18" s="371">
        <v>7</v>
      </c>
      <c r="F18" s="371" t="n">
        <v>10705.0</v>
      </c>
      <c r="G18" s="9">
        <f si="1" t="shared"/>
        <v>4.084429929514103E-2</v>
      </c>
    </row>
    <row r="19" spans="1:7" x14ac:dyDescent="0.25">
      <c r="A19">
        <v>8</v>
      </c>
      <c r="B19" s="6" t="n">
        <v>6217.587645</v>
      </c>
      <c r="C19" s="9">
        <f si="0" t="shared"/>
        <v>2.7634068100307625E-2</v>
      </c>
      <c r="E19" s="371">
        <v>8</v>
      </c>
      <c r="F19" s="371" t="n">
        <v>8319.0</v>
      </c>
      <c r="G19" s="9">
        <f si="1" t="shared"/>
        <v>3.2019204631164644E-2</v>
      </c>
    </row>
    <row r="20" spans="1:7" x14ac:dyDescent="0.25">
      <c r="A20">
        <v>9</v>
      </c>
      <c r="B20" s="6" t="n">
        <v>4392.607634</v>
      </c>
      <c r="C20" s="9">
        <f si="0" t="shared"/>
        <v>1.9522944496568839E-2</v>
      </c>
      <c r="E20" s="371">
        <v>9</v>
      </c>
      <c r="F20" s="371" t="n">
        <v>7146.0</v>
      </c>
      <c r="G20" s="9">
        <f si="1" t="shared"/>
        <v>2.7325249725292607E-2</v>
      </c>
    </row>
    <row r="21" spans="1:7" x14ac:dyDescent="0.25">
      <c r="A21">
        <v>10</v>
      </c>
      <c r="B21" s="6" t="n">
        <v>2849.446816</v>
      </c>
      <c r="C21" s="9">
        <f si="0" t="shared"/>
        <v>1.2664366287602005E-2</v>
      </c>
      <c r="E21" s="371">
        <v>10</v>
      </c>
      <c r="F21" s="371" t="n">
        <v>5989.0</v>
      </c>
      <c r="G21" s="9">
        <f si="1" t="shared"/>
        <v>2.2259913395383385E-2</v>
      </c>
    </row>
    <row r="22" spans="1:7" x14ac:dyDescent="0.25">
      <c r="A22">
        <v>11</v>
      </c>
      <c r="B22" s="6" t="n">
        <v>1391.903347</v>
      </c>
      <c r="C22" s="9">
        <f si="0" t="shared"/>
        <v>6.1863143836783209E-3</v>
      </c>
      <c r="E22" s="371">
        <v>11</v>
      </c>
      <c r="F22" s="371" t="n">
        <v>4972.0</v>
      </c>
      <c r="G22" s="9">
        <f si="1" t="shared"/>
        <v>1.8863879136404187E-2</v>
      </c>
    </row>
    <row r="23" spans="1:7" x14ac:dyDescent="0.25">
      <c r="A23">
        <v>12</v>
      </c>
      <c r="B23" s="6" t="n">
        <v>1388.316843</v>
      </c>
      <c r="C23" s="9">
        <f si="0" t="shared"/>
        <v>6.1703741667587051E-3</v>
      </c>
      <c r="E23" s="371">
        <v>12</v>
      </c>
      <c r="F23" s="371" t="n">
        <v>4250.0</v>
      </c>
      <c r="G23" s="9">
        <f si="1" t="shared"/>
        <v>1.6972513945946774E-2</v>
      </c>
    </row>
    <row r="24" spans="1:7" x14ac:dyDescent="0.25">
      <c r="A24">
        <v>13</v>
      </c>
      <c r="B24" s="6" t="n">
        <v>1939.186212</v>
      </c>
      <c r="C24" s="9">
        <f si="0" t="shared"/>
        <v>8.6187130606319873E-3</v>
      </c>
      <c r="E24" s="371">
        <v>13</v>
      </c>
      <c r="F24" s="371" t="n">
        <v>3254.0</v>
      </c>
      <c r="G24" s="9">
        <f si="1" t="shared"/>
        <v>1.2581024323568937E-2</v>
      </c>
    </row>
    <row r="25" spans="1:7" x14ac:dyDescent="0.25">
      <c r="A25">
        <v>14</v>
      </c>
      <c r="B25" s="6" t="n">
        <v>3838.384132</v>
      </c>
      <c r="C25" s="9">
        <f si="0" t="shared"/>
        <v>1.7059698158678419E-2</v>
      </c>
      <c r="E25" s="371">
        <v>14</v>
      </c>
      <c r="F25" s="371" t="n">
        <v>2553.0</v>
      </c>
      <c r="G25" s="9">
        <f si="1" t="shared"/>
        <v>1.0138330008767665E-2</v>
      </c>
    </row>
    <row r="26" spans="1:7" x14ac:dyDescent="0.25">
      <c r="A26">
        <v>15</v>
      </c>
      <c r="B26" s="6" t="n">
        <v>2550.784793</v>
      </c>
      <c r="C26" s="9">
        <f si="0" t="shared"/>
        <v>1.133696293540404E-2</v>
      </c>
      <c r="E26" s="371">
        <v>15</v>
      </c>
      <c r="F26" s="371" t="n">
        <v>2113.0</v>
      </c>
      <c r="G26" s="9">
        <f si="1" t="shared"/>
        <v>8.2393074693610322E-3</v>
      </c>
    </row>
    <row r="27" spans="1:7" x14ac:dyDescent="0.25">
      <c r="A27">
        <v>16</v>
      </c>
      <c r="B27" s="6" t="n">
        <v>1101.534132</v>
      </c>
      <c r="C27" s="9">
        <f si="0" t="shared"/>
        <v>4.8957684163857497E-3</v>
      </c>
      <c r="E27" s="371">
        <v>16</v>
      </c>
      <c r="F27" s="371" t="n">
        <v>1782.0</v>
      </c>
      <c r="G27" s="9">
        <f si="1" t="shared"/>
        <v>7.0103029630111755E-3</v>
      </c>
    </row>
    <row r="28" spans="1:7" x14ac:dyDescent="0.25">
      <c r="A28">
        <v>17</v>
      </c>
      <c r="B28" s="6" t="n">
        <v>924.730123</v>
      </c>
      <c r="C28" s="9">
        <f si="0" t="shared"/>
        <v>4.1099630037282489E-3</v>
      </c>
      <c r="E28" s="371">
        <v>17</v>
      </c>
      <c r="F28" s="371" t="n">
        <v>1347.0</v>
      </c>
      <c r="G28" s="9">
        <f si="1" t="shared"/>
        <v>5.4750044986925078E-3</v>
      </c>
    </row>
    <row r="29" spans="1:7" x14ac:dyDescent="0.25">
      <c r="A29">
        <v>18</v>
      </c>
      <c r="B29" s="6" t="n">
        <v>1974.821445</v>
      </c>
      <c r="C29" s="9">
        <f si="0" t="shared"/>
        <v>8.7770938526235947E-3</v>
      </c>
      <c r="E29" s="371">
        <v>18</v>
      </c>
      <c r="F29" s="371" t="n">
        <v>1161.0</v>
      </c>
      <c r="G29" s="9">
        <f si="1" t="shared"/>
        <v>4.4336050415985486E-3</v>
      </c>
    </row>
    <row r="30" spans="1:7" x14ac:dyDescent="0.25">
      <c r="A30">
        <v>19</v>
      </c>
      <c r="B30" s="6" t="n">
        <v>79.06275600000001</v>
      </c>
      <c r="C30" s="9">
        <f si="0" t="shared"/>
        <v>3.5139441665273151E-4</v>
      </c>
      <c r="E30" s="371">
        <v>19</v>
      </c>
      <c r="F30" s="371" t="n">
        <v>936.0</v>
      </c>
      <c r="G30" s="9">
        <f si="1" t="shared"/>
        <v>3.4113489568776394E-3</v>
      </c>
    </row>
    <row r="31" spans="1:7" x14ac:dyDescent="0.25">
      <c r="A31">
        <v>20</v>
      </c>
      <c r="B31" s="6" t="n">
        <v>835.782728</v>
      </c>
      <c r="C31" s="9">
        <f si="0" t="shared"/>
        <v>3.7146363093387303E-3</v>
      </c>
      <c r="E31" s="371">
        <v>20</v>
      </c>
      <c r="F31" s="371" t="n">
        <v>754.0</v>
      </c>
      <c r="G31" s="9">
        <f si="1" t="shared"/>
        <v>2.9557366943990322E-3</v>
      </c>
    </row>
    <row r="32" spans="1:7" x14ac:dyDescent="0.25">
      <c r="A32">
        <v>21</v>
      </c>
      <c r="B32" s="6" t="n">
        <v>561.440565</v>
      </c>
      <c r="C32" s="9">
        <f si="0" t="shared"/>
        <v>2.4953225741758227E-3</v>
      </c>
      <c r="E32" s="371">
        <v>21</v>
      </c>
      <c r="F32" s="371" t="n">
        <v>645.0</v>
      </c>
      <c r="G32" s="9">
        <f si="1" t="shared"/>
        <v>2.5345825021919162E-3</v>
      </c>
    </row>
    <row r="33" spans="1:7" x14ac:dyDescent="0.25">
      <c r="A33">
        <v>22</v>
      </c>
      <c r="B33" s="6" t="n">
        <v>383.47380699999997</v>
      </c>
      <c r="C33" s="9">
        <f si="0" t="shared"/>
        <v>1.70434932362296E-3</v>
      </c>
      <c r="E33" s="371">
        <v>22</v>
      </c>
      <c r="F33" s="371" t="n">
        <v>594.0</v>
      </c>
      <c r="G33" s="9">
        <f si="1" t="shared"/>
        <v>2.1364003568324608E-3</v>
      </c>
    </row>
    <row r="34" spans="1:7" x14ac:dyDescent="0.25">
      <c r="A34">
        <v>23</v>
      </c>
      <c r="B34" s="6" t="n">
        <v>316.33241300000003</v>
      </c>
      <c r="C34" s="9">
        <f si="0" t="shared"/>
        <v>1.4059394000189664E-3</v>
      </c>
      <c r="E34" s="371">
        <v>23</v>
      </c>
      <c r="F34" s="371" t="n">
        <v>498.0</v>
      </c>
      <c r="G34" s="9">
        <f si="1" t="shared"/>
        <v>1.7535329093714466E-3</v>
      </c>
    </row>
    <row r="35" spans="1:7" x14ac:dyDescent="0.25">
      <c r="A35">
        <v>24</v>
      </c>
      <c r="B35" s="6" t="n">
        <v>273.515133</v>
      </c>
      <c r="C35" s="9">
        <f si="0" t="shared"/>
        <v>1.2156380003529002E-3</v>
      </c>
      <c r="E35" s="371">
        <v>24</v>
      </c>
      <c r="F35" s="371" t="n">
        <v>455.0</v>
      </c>
      <c r="G35" s="9">
        <f si="1" t="shared"/>
        <v>1.6080432793362609E-3</v>
      </c>
    </row>
    <row r="36" spans="1:7" x14ac:dyDescent="0.25">
      <c r="A36">
        <v>25</v>
      </c>
      <c r="B36" s="6" t="n">
        <v>181.395689</v>
      </c>
      <c r="C36" s="9">
        <f si="0" t="shared"/>
        <v>8.0621313427874054E-4</v>
      </c>
      <c r="E36" s="371">
        <v>25</v>
      </c>
      <c r="F36" s="371" t="n">
        <v>387.0</v>
      </c>
      <c r="G36" s="9">
        <f si="1" t="shared"/>
        <v>1.5276411153694479E-3</v>
      </c>
    </row>
    <row r="37" spans="1:7" x14ac:dyDescent="0.25">
      <c r="A37">
        <v>26</v>
      </c>
      <c r="B37" s="6" t="n">
        <v>882.8042</v>
      </c>
      <c r="C37" s="9">
        <f si="0" t="shared"/>
        <v>3.9236232402217464E-3</v>
      </c>
      <c r="E37" s="371">
        <v>26</v>
      </c>
      <c r="F37" s="371" t="n">
        <v>424.0</v>
      </c>
      <c r="G37" s="9">
        <f si="1" t="shared"/>
        <v>1.3476934150627711E-3</v>
      </c>
    </row>
    <row r="38" spans="1:7" x14ac:dyDescent="0.25">
      <c r="A38">
        <v>27</v>
      </c>
      <c r="B38" s="6" t="n">
        <v>390.04584800000003</v>
      </c>
      <c r="C38" s="9">
        <f si="0" t="shared"/>
        <v>1.7335587596488539E-3</v>
      </c>
      <c r="E38" s="371">
        <v>27</v>
      </c>
      <c r="F38" s="371" t="n">
        <v>298.0</v>
      </c>
      <c r="G38" s="9">
        <f si="1" t="shared"/>
        <v>1.2251758318752464E-3</v>
      </c>
    </row>
    <row r="39" spans="1:7" x14ac:dyDescent="0.25">
      <c r="A39">
        <v>28</v>
      </c>
      <c r="B39" s="6" t="n">
        <v>134.248838</v>
      </c>
      <c r="C39" s="9">
        <f si="0" t="shared"/>
        <v>5.9666895643401365E-4</v>
      </c>
      <c r="E39" s="371">
        <v>28</v>
      </c>
      <c r="F39" s="371" t="n">
        <v>301.0</v>
      </c>
      <c r="G39" s="9">
        <f si="1" t="shared"/>
        <v>1.0605428294670103E-3</v>
      </c>
    </row>
    <row r="40" spans="1:7" x14ac:dyDescent="0.25">
      <c r="A40">
        <v>29</v>
      </c>
      <c r="B40" s="6" t="n">
        <v>1234.66379</v>
      </c>
      <c r="C40" s="9">
        <f si="0" t="shared"/>
        <v>5.4874631773435848E-3</v>
      </c>
      <c r="E40" s="371">
        <v>29</v>
      </c>
      <c r="F40" s="371" t="n">
        <v>252.0</v>
      </c>
      <c r="G40" s="9">
        <f si="1" t="shared"/>
        <v>9.1122452495721461E-4</v>
      </c>
    </row>
    <row r="41" spans="1:7" x14ac:dyDescent="0.25">
      <c r="A41">
        <v>30</v>
      </c>
      <c r="B41" s="6" t="n">
        <v>257.922462</v>
      </c>
      <c r="C41" s="9">
        <f si="0" t="shared"/>
        <v>1.1463363745646091E-3</v>
      </c>
      <c r="E41" s="371">
        <v>30</v>
      </c>
      <c r="F41" s="371" t="n">
        <v>217.0</v>
      </c>
      <c r="G41" s="9">
        <f si="1" t="shared"/>
        <v>8.3082236099040147E-4</v>
      </c>
    </row>
    <row r="42" spans="1:7" x14ac:dyDescent="0.25">
      <c r="A42">
        <v>31</v>
      </c>
      <c r="B42" s="6" t="n">
        <v>251.979787</v>
      </c>
      <c r="C42" s="9">
        <f si="0" t="shared"/>
        <v>1.119924155706696E-3</v>
      </c>
      <c r="E42" s="371">
        <v>31</v>
      </c>
      <c r="F42" s="371" t="n">
        <v>164.0</v>
      </c>
      <c r="G42" s="9">
        <f si="1" t="shared"/>
        <v>5.7430117119152183E-4</v>
      </c>
    </row>
    <row r="43" spans="1:7" x14ac:dyDescent="0.25">
      <c r="A43">
        <v>32</v>
      </c>
      <c r="B43" s="6" t="n">
        <v>423.670425</v>
      </c>
      <c r="C43" s="9">
        <f si="0" t="shared"/>
        <v>1.8830031911092225E-3</v>
      </c>
      <c r="E43" s="371">
        <v>32</v>
      </c>
      <c r="F43" s="371" t="n">
        <v>145.0</v>
      </c>
      <c r="G43" s="9">
        <f si="1" t="shared"/>
        <v>4.9772768169931885E-4</v>
      </c>
    </row>
    <row r="44" spans="1:7" x14ac:dyDescent="0.25">
      <c r="A44">
        <v>33</v>
      </c>
      <c r="B44" s="6" t="n">
        <v>533.142304</v>
      </c>
      <c r="C44" s="9">
        <f si="0" t="shared"/>
        <v>2.3695509540164932E-3</v>
      </c>
      <c r="E44" s="371">
        <v>33</v>
      </c>
      <c r="F44" s="371" t="n">
        <v>104.0</v>
      </c>
      <c r="G44" s="9">
        <f si="1" t="shared"/>
        <v>4.0583949430867539E-4</v>
      </c>
    </row>
    <row r="45" spans="1:7" x14ac:dyDescent="0.25">
      <c r="A45">
        <v>34</v>
      </c>
      <c r="B45" s="6" t="n">
        <v>234.247244</v>
      </c>
      <c r="C45" s="9">
        <f si="0" t="shared"/>
        <v>1.0411118688790717E-3</v>
      </c>
      <c r="E45" s="371">
        <v>34</v>
      </c>
      <c r="F45" s="371" t="n">
        <v>99.0</v>
      </c>
      <c r="G45" s="9">
        <f si="1" t="shared"/>
        <v>3.8286744746101454E-4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91.0</v>
      </c>
      <c r="G46" s="9">
        <f si="1" t="shared"/>
        <v>2.9480793454498118E-4</v>
      </c>
    </row>
    <row r="47" spans="1:7" x14ac:dyDescent="0.25">
      <c r="A47">
        <v>36</v>
      </c>
      <c r="B47" s="6" t="n">
        <v>34.524483</v>
      </c>
      <c r="C47" s="9">
        <f si="0" t="shared"/>
        <v>1.5344406365017357E-4</v>
      </c>
      <c r="E47" s="371">
        <v>36</v>
      </c>
      <c r="F47" s="371" t="n">
        <v>63.0</v>
      </c>
      <c r="G47" s="9">
        <f si="1" t="shared"/>
        <v>2.794932366465406E-4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53.0</v>
      </c>
      <c r="G48" s="9">
        <f si="1" t="shared"/>
        <v>1.9909107267972756E-4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40.0</v>
      </c>
      <c r="G49" s="9">
        <f si="1" t="shared"/>
        <v>1.952623982051174E-4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49.0</v>
      </c>
      <c r="G50" s="9">
        <f si="1" t="shared"/>
        <v>1.531469789844058E-4</v>
      </c>
    </row>
    <row r="51" spans="1:7" x14ac:dyDescent="0.25">
      <c r="A51">
        <v>40</v>
      </c>
      <c r="B51" s="6" t="n">
        <v>462.366312</v>
      </c>
      <c r="C51" s="9">
        <f si="0" t="shared"/>
        <v>2.0549870597113364E-3</v>
      </c>
      <c r="E51" s="371">
        <v>40</v>
      </c>
      <c r="F51" s="371" t="n">
        <v>37.0</v>
      </c>
      <c r="G51" s="9">
        <f si="1" t="shared"/>
        <v>1.0337421081447393E-4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32.0</v>
      </c>
      <c r="G52" s="9">
        <f si="1" t="shared"/>
        <v>1.6463300240823626E-4</v>
      </c>
    </row>
    <row r="53" spans="1:7" x14ac:dyDescent="0.25">
      <c r="A53">
        <v>42</v>
      </c>
      <c r="B53" s="6" t="n">
        <v>233.699164</v>
      </c>
      <c r="C53" s="9">
        <f si="0" t="shared"/>
        <v>1.0386759273356347E-3</v>
      </c>
      <c r="E53" s="371">
        <v>42</v>
      </c>
      <c r="F53" s="371" t="n">
        <v>18.0</v>
      </c>
      <c r="G53" s="9">
        <f si="1" t="shared"/>
        <v>8.0402163966813048E-5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22.0</v>
      </c>
      <c r="G54" s="9">
        <f si="1" t="shared"/>
        <v>8.0402163966813048E-5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9.0</v>
      </c>
      <c r="G55" s="9">
        <f si="1" t="shared"/>
        <v>6.5087466068372462E-5</v>
      </c>
    </row>
    <row r="56" spans="1:7" x14ac:dyDescent="0.25">
      <c r="A56">
        <v>45</v>
      </c>
      <c r="B56" s="6" t="n">
        <v>48.015299</v>
      </c>
      <c r="C56" s="9">
        <f si="0" t="shared"/>
        <v>2.1340399495448249E-4</v>
      </c>
      <c r="E56" s="371">
        <v>45</v>
      </c>
      <c r="F56" s="371" t="n">
        <v>16.0</v>
      </c>
      <c r="G56" s="9">
        <f si="1" t="shared"/>
        <v>8.8059512916033341E-5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16.0</v>
      </c>
      <c r="G57" s="9">
        <f si="1" t="shared"/>
        <v>4.5944093695321744E-5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12.0</v>
      </c>
      <c r="G58" s="9">
        <f si="1" t="shared"/>
        <v>3.4458070271491304E-5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7.0</v>
      </c>
      <c r="G59" s="9">
        <f si="1" t="shared"/>
        <v>4.977276816993189E-5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6.0</v>
      </c>
      <c r="G60" s="9">
        <f si="1" t="shared"/>
        <v>1.9143372373050725E-5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10.0</v>
      </c>
      <c r="G61" s="9">
        <f si="1" t="shared"/>
        <v>1.5314697898440582E-5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4.0</v>
      </c>
      <c r="G62" s="9">
        <f si="1" t="shared"/>
        <v>1.5314697898440582E-5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1.0</v>
      </c>
      <c r="G63" s="9">
        <f si="1" t="shared"/>
        <v>1.1486023423830436E-5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1.0</v>
      </c>
      <c r="G64" s="9">
        <f si="1" t="shared"/>
        <v>0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6.0</v>
      </c>
      <c r="G65" s="9">
        <f si="1" t="shared"/>
        <v>3.8286744746101456E-6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1.0</v>
      </c>
      <c r="G66" s="9">
        <f si="1" t="shared"/>
        <v>7.6573489492202912E-6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0.0</v>
      </c>
      <c r="G67" s="9">
        <f si="1" t="shared"/>
        <v>1.5314697898440582E-5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1.0</v>
      </c>
      <c r="G68" s="9">
        <f si="1" t="shared"/>
        <v>7.6573489492202912E-6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3.0</v>
      </c>
      <c r="G69" s="9">
        <f si="1" t="shared"/>
        <v>1.1486023423830436E-5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4.0</v>
      </c>
      <c r="G70" s="9">
        <f si="1" t="shared"/>
        <v>7.6573489492202912E-6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1.1486023423830436E-5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3.8286744746101456E-6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19.0</v>
      </c>
      <c r="G77" s="9">
        <f ref="G77:G102" si="3" t="shared">F77/F$102</f>
        <v>1.9143372373050725E-5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3.8286744746101456E-6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3.8286744746101456E-6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3.8286744746101456E-6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1.0</v>
      </c>
      <c r="G92" s="9">
        <f si="3" t="shared"/>
        <v>3.8286744746101456E-6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3.8286744746101456E-6</v>
      </c>
    </row>
    <row r="102" spans="1:7" x14ac:dyDescent="0.25">
      <c r="B102" s="6">
        <f>SUM(B11:B101)</f>
        <v>224997.18906499998</v>
      </c>
      <c r="C102" s="9">
        <f si="2" t="shared"/>
        <v>1</v>
      </c>
      <c r="F102" s="6">
        <f>SUM(F11:F101)</f>
        <v>261187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M102"/>
  <sheetViews>
    <sheetView workbookViewId="0">
      <selection activeCell="T20" sqref="T2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1641.0</v>
      </c>
      <c r="G11" s="9">
        <f>F11/F$102</f>
        <v>5.8999873653742341E-3</v>
      </c>
      <c r="K11" s="6" t="n">
        <v>12.300238656293047</v>
      </c>
      <c r="L11" s="6" t="n">
        <v>13.639463327261092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11285.0</v>
      </c>
      <c r="G12" s="9">
        <f>F12/F$102</f>
        <v>3.9638266835638834E-2</v>
      </c>
      <c r="K12" s="6"/>
      <c r="L12" s="371"/>
    </row>
    <row r="13" spans="1:12" x14ac:dyDescent="0.25">
      <c r="A13">
        <v>2</v>
      </c>
      <c r="B13" s="6" t="n">
        <v>947.173875</v>
      </c>
      <c r="C13" s="9">
        <f ref="C13:C76" si="0" t="shared">B13/B$102</f>
        <v>4.2097142588139996E-3</v>
      </c>
      <c r="E13" s="371">
        <v>2</v>
      </c>
      <c r="F13" s="371" t="n">
        <v>5297.0</v>
      </c>
      <c r="G13" s="9">
        <f ref="G13:G76" si="1" t="shared">F13/F$102</f>
        <v>1.9759788963462959E-2</v>
      </c>
    </row>
    <row r="14" spans="1:12" x14ac:dyDescent="0.25">
      <c r="A14">
        <v>3</v>
      </c>
      <c r="B14" s="6" t="n">
        <v>15159.672554</v>
      </c>
      <c r="C14" s="9">
        <f si="0" t="shared"/>
        <v>6.7377164208129212E-2</v>
      </c>
      <c r="E14" s="371">
        <v>3</v>
      </c>
      <c r="F14" s="371" t="n">
        <v>8228.0</v>
      </c>
      <c r="G14" s="9">
        <f si="1" t="shared"/>
        <v>3.1062036012512107E-2</v>
      </c>
    </row>
    <row r="15" spans="1:12" x14ac:dyDescent="0.25">
      <c r="A15">
        <v>4</v>
      </c>
      <c r="B15" s="6" t="n">
        <v>19680.163863</v>
      </c>
      <c r="C15" s="9">
        <f si="0" t="shared"/>
        <v>8.7468487694370919E-2</v>
      </c>
      <c r="E15" s="371">
        <v>4</v>
      </c>
      <c r="F15" s="371" t="n">
        <v>11477.0</v>
      </c>
      <c r="G15" s="9">
        <f si="1" t="shared"/>
        <v>4.4918008936126221E-2</v>
      </c>
    </row>
    <row r="16" spans="1:12" x14ac:dyDescent="0.25">
      <c r="A16">
        <v>5</v>
      </c>
      <c r="B16" s="6" t="n">
        <v>25245.932826</v>
      </c>
      <c r="C16" s="9">
        <f si="0" t="shared"/>
        <v>0.11220554768222743</v>
      </c>
      <c r="E16" s="371">
        <v>5</v>
      </c>
      <c r="F16" s="371" t="n">
        <v>14609.0</v>
      </c>
      <c r="G16" s="9">
        <f si="1" t="shared"/>
        <v>5.7081707741962653E-2</v>
      </c>
    </row>
    <row r="17" spans="1:7" x14ac:dyDescent="0.25">
      <c r="A17">
        <v>6</v>
      </c>
      <c r="B17" s="6" t="n">
        <v>17982.738574</v>
      </c>
      <c r="C17" s="9">
        <f si="0" t="shared"/>
        <v>7.9924281048706428E-2</v>
      </c>
      <c r="E17" s="371">
        <v>6</v>
      </c>
      <c r="F17" s="371" t="n">
        <v>16787.0</v>
      </c>
      <c r="G17" s="9">
        <f si="1" t="shared"/>
        <v>6.4696941271962238E-2</v>
      </c>
    </row>
    <row r="18" spans="1:7" x14ac:dyDescent="0.25">
      <c r="A18">
        <v>7</v>
      </c>
      <c r="B18" s="6" t="n">
        <v>24305.773854</v>
      </c>
      <c r="C18" s="9">
        <f si="0" t="shared"/>
        <v>0.10802701115958493</v>
      </c>
      <c r="E18" s="371">
        <v>7</v>
      </c>
      <c r="F18" s="371" t="n">
        <v>17876.0</v>
      </c>
      <c r="G18" s="9">
        <f si="1" t="shared"/>
        <v>6.762587724503899E-2</v>
      </c>
    </row>
    <row r="19" spans="1:7" x14ac:dyDescent="0.25">
      <c r="A19">
        <v>8</v>
      </c>
      <c r="B19" s="6" t="n">
        <v>15550.950712</v>
      </c>
      <c r="C19" s="9">
        <f si="0" t="shared"/>
        <v>6.911619996953583E-2</v>
      </c>
      <c r="E19" s="371">
        <v>8</v>
      </c>
      <c r="F19" s="371" t="n">
        <v>16740.0</v>
      </c>
      <c r="G19" s="9">
        <f si="1" t="shared"/>
        <v>6.466248320169074E-2</v>
      </c>
    </row>
    <row r="20" spans="1:7" x14ac:dyDescent="0.25">
      <c r="A20">
        <v>9</v>
      </c>
      <c r="B20" s="6" t="n">
        <v>11870.222494</v>
      </c>
      <c r="C20" s="9">
        <f si="0" t="shared"/>
        <v>5.2757203515866061E-2</v>
      </c>
      <c r="E20" s="371">
        <v>9</v>
      </c>
      <c r="F20" s="371" t="n">
        <v>15354.0</v>
      </c>
      <c r="G20" s="9">
        <f si="1" t="shared"/>
        <v>6.004510178531091E-2</v>
      </c>
    </row>
    <row r="21" spans="1:7" x14ac:dyDescent="0.25">
      <c r="A21">
        <v>10</v>
      </c>
      <c r="B21" s="6" t="n">
        <v>8923.951556</v>
      </c>
      <c r="C21" s="9">
        <f si="0" t="shared"/>
        <v>3.9662502420961074E-2</v>
      </c>
      <c r="E21" s="371">
        <v>10</v>
      </c>
      <c r="F21" s="371" t="n">
        <v>14497.0</v>
      </c>
      <c r="G21" s="9">
        <f si="1" t="shared"/>
        <v>5.7962302871122987E-2</v>
      </c>
    </row>
    <row r="22" spans="1:7" x14ac:dyDescent="0.25">
      <c r="A22">
        <v>11</v>
      </c>
      <c r="B22" s="6" t="n">
        <v>6533.836302</v>
      </c>
      <c r="C22" s="9">
        <f si="0" t="shared"/>
        <v>2.903963524678712E-2</v>
      </c>
      <c r="E22" s="371">
        <v>11</v>
      </c>
      <c r="F22" s="371" t="n">
        <v>13383.0</v>
      </c>
      <c r="G22" s="9">
        <f si="1" t="shared"/>
        <v>5.3184117126809524E-2</v>
      </c>
    </row>
    <row r="23" spans="1:7" x14ac:dyDescent="0.25">
      <c r="A23">
        <v>12</v>
      </c>
      <c r="B23" s="6" t="n">
        <v>9068.089313</v>
      </c>
      <c r="C23" s="9">
        <f si="0" t="shared"/>
        <v>4.030312267759175E-2</v>
      </c>
      <c r="E23" s="371">
        <v>12</v>
      </c>
      <c r="F23" s="371" t="n">
        <v>12204.0</v>
      </c>
      <c r="G23" s="9">
        <f si="1" t="shared"/>
        <v>4.7138640131400109E-2</v>
      </c>
    </row>
    <row r="24" spans="1:7" x14ac:dyDescent="0.25">
      <c r="A24">
        <v>13</v>
      </c>
      <c r="B24" s="6" t="n">
        <v>7688.922449</v>
      </c>
      <c r="C24" s="9">
        <f si="0" t="shared"/>
        <v>3.4173415592222034E-2</v>
      </c>
      <c r="E24" s="371">
        <v>13</v>
      </c>
      <c r="F24" s="371" t="n">
        <v>10684.0</v>
      </c>
      <c r="G24" s="9">
        <f si="1" t="shared"/>
        <v>4.0993617599650825E-2</v>
      </c>
    </row>
    <row r="25" spans="1:7" x14ac:dyDescent="0.25">
      <c r="A25">
        <v>14</v>
      </c>
      <c r="B25" s="6" t="n">
        <v>5881.010872</v>
      </c>
      <c r="C25" s="9">
        <f si="0" t="shared"/>
        <v>2.6138152642880438E-2</v>
      </c>
      <c r="E25" s="371">
        <v>14</v>
      </c>
      <c r="F25" s="371" t="n">
        <v>9692.0</v>
      </c>
      <c r="G25" s="9">
        <f si="1" t="shared"/>
        <v>3.7030939518429326E-2</v>
      </c>
    </row>
    <row r="26" spans="1:7" x14ac:dyDescent="0.25">
      <c r="A26">
        <v>15</v>
      </c>
      <c r="B26" s="6" t="n">
        <v>8113.527787</v>
      </c>
      <c r="C26" s="9">
        <f si="0" t="shared"/>
        <v>3.6060574004131499E-2</v>
      </c>
      <c r="E26" s="371">
        <v>15</v>
      </c>
      <c r="F26" s="371" t="n">
        <v>8598.0</v>
      </c>
      <c r="G26" s="9">
        <f si="1" t="shared"/>
        <v>3.2834712294256607E-2</v>
      </c>
    </row>
    <row r="27" spans="1:7" x14ac:dyDescent="0.25">
      <c r="A27">
        <v>16</v>
      </c>
      <c r="B27" s="6" t="n">
        <v>3688.649818</v>
      </c>
      <c r="C27" s="9">
        <f si="0" t="shared"/>
        <v>1.6394204004630372E-2</v>
      </c>
      <c r="E27" s="371">
        <v>16</v>
      </c>
      <c r="F27" s="371" t="n">
        <v>7389.0</v>
      </c>
      <c r="G27" s="9">
        <f si="1" t="shared"/>
        <v>2.903283854096873E-2</v>
      </c>
    </row>
    <row r="28" spans="1:7" x14ac:dyDescent="0.25">
      <c r="A28">
        <v>17</v>
      </c>
      <c r="B28" s="6" t="n">
        <v>5633.568397</v>
      </c>
      <c r="C28" s="9">
        <f si="0" t="shared"/>
        <v>2.5038394570220626E-2</v>
      </c>
      <c r="E28" s="371">
        <v>17</v>
      </c>
      <c r="F28" s="371" t="n">
        <v>6767.0</v>
      </c>
      <c r="G28" s="9">
        <f si="1" t="shared"/>
        <v>2.5460685256157467E-2</v>
      </c>
    </row>
    <row r="29" spans="1:7" x14ac:dyDescent="0.25">
      <c r="A29">
        <v>18</v>
      </c>
      <c r="B29" s="6" t="n">
        <v>4088.499395</v>
      </c>
      <c r="C29" s="9">
        <f si="0" t="shared"/>
        <v>1.8171335437523455E-2</v>
      </c>
      <c r="E29" s="371">
        <v>18</v>
      </c>
      <c r="F29" s="371" t="n">
        <v>5790.0</v>
      </c>
      <c r="G29" s="9">
        <f si="1" t="shared"/>
        <v>2.190384666924464E-2</v>
      </c>
    </row>
    <row r="30" spans="1:7" x14ac:dyDescent="0.25">
      <c r="A30">
        <v>19</v>
      </c>
      <c r="B30" s="6" t="n">
        <v>3521.18156</v>
      </c>
      <c r="C30" s="9">
        <f si="0" t="shared"/>
        <v>1.5649891337010245E-2</v>
      </c>
      <c r="E30" s="371">
        <v>19</v>
      </c>
      <c r="F30" s="371" t="n">
        <v>5170.0</v>
      </c>
      <c r="G30" s="9">
        <f si="1" t="shared"/>
        <v>2.0127341713025534E-2</v>
      </c>
    </row>
    <row r="31" spans="1:7" x14ac:dyDescent="0.25">
      <c r="A31">
        <v>20</v>
      </c>
      <c r="B31" s="6" t="n">
        <v>2985.662231</v>
      </c>
      <c r="C31" s="9">
        <f si="0" t="shared"/>
        <v>1.3269775695453085E-2</v>
      </c>
      <c r="E31" s="371">
        <v>20</v>
      </c>
      <c r="F31" s="371" t="n">
        <v>4476.0</v>
      </c>
      <c r="G31" s="9">
        <f si="1" t="shared"/>
        <v>1.7676990049275039E-2</v>
      </c>
    </row>
    <row r="32" spans="1:7" x14ac:dyDescent="0.25">
      <c r="A32">
        <v>21</v>
      </c>
      <c r="B32" s="6" t="n">
        <v>1916.274674</v>
      </c>
      <c r="C32" s="9">
        <f si="0" t="shared"/>
        <v>8.5168827306833714E-3</v>
      </c>
      <c r="E32" s="371">
        <v>21</v>
      </c>
      <c r="F32" s="371" t="n">
        <v>4101.0</v>
      </c>
      <c r="G32" s="9">
        <f si="1" t="shared"/>
        <v>1.5326183921864411E-2</v>
      </c>
    </row>
    <row r="33" spans="1:7" x14ac:dyDescent="0.25">
      <c r="A33">
        <v>22</v>
      </c>
      <c r="B33" s="6" t="n">
        <v>2840.058887</v>
      </c>
      <c r="C33" s="9">
        <f si="0" t="shared"/>
        <v>1.2622641637445205E-2</v>
      </c>
      <c r="E33" s="371">
        <v>22</v>
      </c>
      <c r="F33" s="371" t="n">
        <v>3601.0</v>
      </c>
      <c r="G33" s="9">
        <f si="1" t="shared"/>
        <v>1.3568822338018354E-2</v>
      </c>
    </row>
    <row r="34" spans="1:7" x14ac:dyDescent="0.25">
      <c r="A34">
        <v>23</v>
      </c>
      <c r="B34" s="6" t="n">
        <v>446.95778</v>
      </c>
      <c r="C34" s="9">
        <f si="0" t="shared"/>
        <v>1.9865038397029805E-3</v>
      </c>
      <c r="E34" s="371">
        <v>23</v>
      </c>
      <c r="F34" s="371" t="n">
        <v>3389.0</v>
      </c>
      <c r="G34" s="9">
        <f si="1" t="shared"/>
        <v>1.2071810618445788E-2</v>
      </c>
    </row>
    <row r="35" spans="1:7" x14ac:dyDescent="0.25">
      <c r="A35">
        <v>24</v>
      </c>
      <c r="B35" s="6" t="n">
        <v>1939.999834</v>
      </c>
      <c r="C35" s="9">
        <f si="0" t="shared"/>
        <v>8.6223292035863992E-3</v>
      </c>
      <c r="E35" s="371">
        <v>24</v>
      </c>
      <c r="F35" s="371" t="n">
        <v>2851.0</v>
      </c>
      <c r="G35" s="9">
        <f si="1" t="shared"/>
        <v>1.1175900791387014E-2</v>
      </c>
    </row>
    <row r="36" spans="1:7" x14ac:dyDescent="0.25">
      <c r="A36">
        <v>25</v>
      </c>
      <c r="B36" s="6" t="n">
        <v>906.8812479999999</v>
      </c>
      <c r="C36" s="9">
        <f si="0" t="shared"/>
        <v>4.0306336793301386E-3</v>
      </c>
      <c r="E36" s="371">
        <v>25</v>
      </c>
      <c r="F36" s="371" t="n">
        <v>2592.0</v>
      </c>
      <c r="G36" s="9">
        <f si="1" t="shared"/>
        <v>1.0096214589546952E-2</v>
      </c>
    </row>
    <row r="37" spans="1:7" x14ac:dyDescent="0.25">
      <c r="A37">
        <v>26</v>
      </c>
      <c r="B37" s="6" t="n">
        <v>1282.30045</v>
      </c>
      <c r="C37" s="9">
        <f si="0" t="shared"/>
        <v>5.6991843112740087E-3</v>
      </c>
      <c r="E37" s="371">
        <v>26</v>
      </c>
      <c r="F37" s="371" t="n">
        <v>2402.0</v>
      </c>
      <c r="G37" s="9">
        <f si="1" t="shared"/>
        <v>9.0663011558768242E-3</v>
      </c>
    </row>
    <row r="38" spans="1:7" x14ac:dyDescent="0.25">
      <c r="A38">
        <v>27</v>
      </c>
      <c r="B38" s="6" t="n">
        <v>1267.599167</v>
      </c>
      <c r="C38" s="9">
        <f si="0" t="shared"/>
        <v>5.6338444594247802E-3</v>
      </c>
      <c r="E38" s="371">
        <v>27</v>
      </c>
      <c r="F38" s="371" t="n">
        <v>2080.0</v>
      </c>
      <c r="G38" s="9">
        <f si="1" t="shared"/>
        <v>7.8181532771539157E-3</v>
      </c>
    </row>
    <row r="39" spans="1:7" x14ac:dyDescent="0.25">
      <c r="A39">
        <v>28</v>
      </c>
      <c r="B39" s="6" t="n">
        <v>1887.5833890000001</v>
      </c>
      <c r="C39" s="9">
        <f si="0" t="shared"/>
        <v>8.3893643153679191E-3</v>
      </c>
      <c r="E39" s="371">
        <v>28</v>
      </c>
      <c r="F39" s="371" t="n">
        <v>1829.0</v>
      </c>
      <c r="G39" s="9">
        <f si="1" t="shared"/>
        <v>7.0141316374857862E-3</v>
      </c>
    </row>
    <row r="40" spans="1:7" x14ac:dyDescent="0.25">
      <c r="A40">
        <v>29</v>
      </c>
      <c r="B40" s="6" t="n">
        <v>94.306513</v>
      </c>
      <c r="C40" s="9">
        <f si="0" t="shared"/>
        <v>4.191452941785666E-4</v>
      </c>
      <c r="E40" s="371">
        <v>29</v>
      </c>
      <c r="F40" s="371" t="n">
        <v>1644.0</v>
      </c>
      <c r="G40" s="9">
        <f si="1" t="shared"/>
        <v>6.1411938572746728E-3</v>
      </c>
    </row>
    <row r="41" spans="1:7" x14ac:dyDescent="0.25">
      <c r="A41">
        <v>30</v>
      </c>
      <c r="B41" s="6" t="n">
        <v>540.6124609999999</v>
      </c>
      <c r="C41" s="9">
        <f si="0" t="shared"/>
        <v>2.4027520665772452E-3</v>
      </c>
      <c r="E41" s="371">
        <v>30</v>
      </c>
      <c r="F41" s="371" t="n">
        <v>1416.0</v>
      </c>
      <c r="G41" s="9">
        <f si="1" t="shared"/>
        <v>5.7468403863898277E-3</v>
      </c>
    </row>
    <row r="42" spans="1:7" x14ac:dyDescent="0.25">
      <c r="A42">
        <v>31</v>
      </c>
      <c r="B42" s="6" t="n">
        <v>792.885935</v>
      </c>
      <c r="C42" s="9">
        <f si="0" t="shared"/>
        <v>3.5239815141465663E-3</v>
      </c>
      <c r="E42" s="371">
        <v>31</v>
      </c>
      <c r="F42" s="371" t="n">
        <v>1278.0</v>
      </c>
      <c r="G42" s="9">
        <f si="1" t="shared"/>
        <v>5.1916825875713566E-3</v>
      </c>
    </row>
    <row r="43" spans="1:7" x14ac:dyDescent="0.25">
      <c r="A43">
        <v>32</v>
      </c>
      <c r="B43" s="6" t="n">
        <v>212.169418</v>
      </c>
      <c r="C43" s="9">
        <f si="0" t="shared"/>
        <v>9.4298697188926139E-4</v>
      </c>
      <c r="E43" s="371">
        <v>32</v>
      </c>
      <c r="F43" s="371" t="n">
        <v>1187.0</v>
      </c>
      <c r="G43" s="9">
        <f si="1" t="shared"/>
        <v>4.4297763671239379E-3</v>
      </c>
    </row>
    <row r="44" spans="1:7" x14ac:dyDescent="0.25">
      <c r="A44">
        <v>33</v>
      </c>
      <c r="B44" s="6" t="n">
        <v>1843.919686</v>
      </c>
      <c r="C44" s="9">
        <f si="0" t="shared"/>
        <v>8.1953009887039321E-3</v>
      </c>
      <c r="E44" s="371">
        <v>33</v>
      </c>
      <c r="F44" s="371" t="n">
        <v>1022.0</v>
      </c>
      <c r="G44" s="9">
        <f si="1" t="shared"/>
        <v>4.0162795238660428E-3</v>
      </c>
    </row>
    <row r="45" spans="1:7" x14ac:dyDescent="0.25">
      <c r="A45">
        <v>34</v>
      </c>
      <c r="B45" s="6" t="n">
        <v>2861.48376</v>
      </c>
      <c r="C45" s="9">
        <f si="0" t="shared"/>
        <v>1.2717864484846247E-2</v>
      </c>
      <c r="E45" s="371">
        <v>34</v>
      </c>
      <c r="F45" s="371" t="n">
        <v>995.0</v>
      </c>
      <c r="G45" s="9">
        <f si="1" t="shared"/>
        <v>3.7176429148464509E-3</v>
      </c>
    </row>
    <row r="46" spans="1:7" x14ac:dyDescent="0.25">
      <c r="A46">
        <v>35</v>
      </c>
      <c r="B46" s="6" t="n">
        <v>445.707057</v>
      </c>
      <c r="C46" s="9">
        <f si="0" t="shared"/>
        <v>1.9809450013672774E-3</v>
      </c>
      <c r="E46" s="371">
        <v>35</v>
      </c>
      <c r="F46" s="371" t="n">
        <v>897.0</v>
      </c>
      <c r="G46" s="9">
        <f si="1" t="shared"/>
        <v>3.4611217250475712E-3</v>
      </c>
    </row>
    <row r="47" spans="1:7" x14ac:dyDescent="0.25">
      <c r="A47">
        <v>36</v>
      </c>
      <c r="B47" s="6" t="n">
        <v>377.429077</v>
      </c>
      <c r="C47" s="9">
        <f si="0" t="shared"/>
        <v>1.677483521320631E-3</v>
      </c>
      <c r="E47" s="371">
        <v>36</v>
      </c>
      <c r="F47" s="371" t="n">
        <v>811.0</v>
      </c>
      <c r="G47" s="9">
        <f si="1" t="shared"/>
        <v>3.1280270457564887E-3</v>
      </c>
    </row>
    <row r="48" spans="1:7" x14ac:dyDescent="0.25">
      <c r="A48">
        <v>37</v>
      </c>
      <c r="B48" s="6" t="n">
        <v>673.977191</v>
      </c>
      <c r="C48" s="9">
        <f si="0" t="shared"/>
        <v>2.9954916050319766E-3</v>
      </c>
      <c r="E48" s="371">
        <v>37</v>
      </c>
      <c r="F48" s="371" t="n">
        <v>704.0</v>
      </c>
      <c r="G48" s="9">
        <f si="1" t="shared"/>
        <v>2.7681316451431352E-3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733.0</v>
      </c>
      <c r="G49" s="9">
        <f si="1" t="shared"/>
        <v>2.6226420151079493E-3</v>
      </c>
    </row>
    <row r="50" spans="1:7" x14ac:dyDescent="0.25">
      <c r="A50">
        <v>39</v>
      </c>
      <c r="B50" s="6" t="n">
        <v>65.654455</v>
      </c>
      <c r="C50" s="9">
        <f si="0" t="shared"/>
        <v>2.9180122326342891E-4</v>
      </c>
      <c r="E50" s="371">
        <v>39</v>
      </c>
      <c r="F50" s="371" t="n">
        <v>651.0</v>
      </c>
      <c r="G50" s="9">
        <f si="1" t="shared"/>
        <v>2.5460685256157465E-3</v>
      </c>
    </row>
    <row r="51" spans="1:7" x14ac:dyDescent="0.25">
      <c r="A51">
        <v>40</v>
      </c>
      <c r="B51" s="6" t="n">
        <v>604.821425</v>
      </c>
      <c r="C51" s="9">
        <f si="0" t="shared"/>
        <v>2.6881288051348569E-3</v>
      </c>
      <c r="E51" s="371">
        <v>40</v>
      </c>
      <c r="F51" s="371" t="n">
        <v>580.0</v>
      </c>
      <c r="G51" s="9">
        <f si="1" t="shared"/>
        <v>2.2244598697484944E-3</v>
      </c>
    </row>
    <row r="52" spans="1:7" x14ac:dyDescent="0.25">
      <c r="A52">
        <v>41</v>
      </c>
      <c r="B52" s="6" t="n">
        <v>374.399546</v>
      </c>
      <c r="C52" s="9">
        <f si="0" t="shared"/>
        <v>1.6640187708826832E-3</v>
      </c>
      <c r="E52" s="371">
        <v>41</v>
      </c>
      <c r="F52" s="371" t="n">
        <v>527.0</v>
      </c>
      <c r="G52" s="9">
        <f si="1" t="shared"/>
        <v>1.9832533778480553E-3</v>
      </c>
    </row>
    <row r="53" spans="1:7" x14ac:dyDescent="0.25">
      <c r="A53">
        <v>42</v>
      </c>
      <c r="B53" s="6" t="n">
        <v>45.577711</v>
      </c>
      <c r="C53" s="9">
        <f si="0" t="shared"/>
        <v>2.0257013516214613E-4</v>
      </c>
      <c r="E53" s="371">
        <v>42</v>
      </c>
      <c r="F53" s="371" t="n">
        <v>506.0</v>
      </c>
      <c r="G53" s="9">
        <f si="1" t="shared"/>
        <v>1.6961027922522943E-3</v>
      </c>
    </row>
    <row r="54" spans="1:7" x14ac:dyDescent="0.25">
      <c r="A54">
        <v>43</v>
      </c>
      <c r="B54" s="6" t="n">
        <v>1221.462775</v>
      </c>
      <c r="C54" s="9">
        <f si="0" t="shared"/>
        <v>5.4287912665750169E-3</v>
      </c>
      <c r="E54" s="371">
        <v>43</v>
      </c>
      <c r="F54" s="371" t="n">
        <v>409.0</v>
      </c>
      <c r="G54" s="9">
        <f si="1" t="shared"/>
        <v>1.7267321880491755E-3</v>
      </c>
    </row>
    <row r="55" spans="1:7" x14ac:dyDescent="0.25">
      <c r="A55">
        <v>44</v>
      </c>
      <c r="B55" s="6" t="n">
        <v>242.943668</v>
      </c>
      <c r="C55" s="9">
        <f si="0" t="shared"/>
        <v>1.0797631250842666E-3</v>
      </c>
      <c r="E55" s="371">
        <v>44</v>
      </c>
      <c r="F55" s="371" t="n">
        <v>412.0</v>
      </c>
      <c r="G55" s="9">
        <f si="1" t="shared"/>
        <v>1.6348440006585319E-3</v>
      </c>
    </row>
    <row r="56" spans="1:7" x14ac:dyDescent="0.25">
      <c r="A56">
        <v>45</v>
      </c>
      <c r="B56" s="6" t="n">
        <v>366.016038</v>
      </c>
      <c r="C56" s="9">
        <f si="0" t="shared"/>
        <v>1.6267582698300319E-3</v>
      </c>
      <c r="E56" s="371">
        <v>45</v>
      </c>
      <c r="F56" s="371" t="n">
        <v>362.0</v>
      </c>
      <c r="G56" s="9">
        <f si="1" t="shared"/>
        <v>1.5506131622171088E-3</v>
      </c>
    </row>
    <row r="57" spans="1:7" x14ac:dyDescent="0.25">
      <c r="A57">
        <v>46</v>
      </c>
      <c r="B57" s="6" t="n">
        <v>33.485045</v>
      </c>
      <c r="C57" s="9">
        <f si="0" t="shared"/>
        <v>1.4882428149058527E-4</v>
      </c>
      <c r="E57" s="371">
        <v>46</v>
      </c>
      <c r="F57" s="371" t="n">
        <v>378.0</v>
      </c>
      <c r="G57" s="9">
        <f si="1" t="shared"/>
        <v>1.2136898084514161E-3</v>
      </c>
    </row>
    <row r="58" spans="1:7" x14ac:dyDescent="0.25">
      <c r="A58">
        <v>47</v>
      </c>
      <c r="B58" s="6" t="n">
        <v>775.500654</v>
      </c>
      <c r="C58" s="9">
        <f si="0" t="shared"/>
        <v>3.4467126332674478E-3</v>
      </c>
      <c r="E58" s="371">
        <v>47</v>
      </c>
      <c r="F58" s="371" t="n">
        <v>303.0</v>
      </c>
      <c r="G58" s="9">
        <f si="1" t="shared"/>
        <v>1.1715743892307044E-3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300.0</v>
      </c>
      <c r="G59" s="9">
        <f si="1" t="shared"/>
        <v>1.0758575273654507E-3</v>
      </c>
    </row>
    <row r="60" spans="1:7" x14ac:dyDescent="0.25">
      <c r="A60">
        <v>49</v>
      </c>
      <c r="B60" s="6" t="n">
        <v>268.767678</v>
      </c>
      <c r="C60" s="9">
        <f si="0" t="shared"/>
        <v>1.1945379367488676E-3</v>
      </c>
      <c r="E60" s="371">
        <v>49</v>
      </c>
      <c r="F60" s="371" t="n">
        <v>261.0</v>
      </c>
      <c r="G60" s="9">
        <f si="1" t="shared"/>
        <v>1.0873435507892813E-3</v>
      </c>
    </row>
    <row r="61" spans="1:7" x14ac:dyDescent="0.25">
      <c r="A61">
        <v>50</v>
      </c>
      <c r="B61" s="6" t="n">
        <v>310.604034</v>
      </c>
      <c r="C61" s="9">
        <f si="0" t="shared"/>
        <v>1.3804796197265771E-3</v>
      </c>
      <c r="E61" s="371">
        <v>50</v>
      </c>
      <c r="F61" s="371" t="n">
        <v>257.0</v>
      </c>
      <c r="G61" s="9">
        <f si="1" t="shared"/>
        <v>9.2271054838104498E-4</v>
      </c>
    </row>
    <row r="62" spans="1:7" x14ac:dyDescent="0.25">
      <c r="A62">
        <v>51</v>
      </c>
      <c r="B62" s="6" t="n">
        <v>352.647108</v>
      </c>
      <c r="C62" s="9">
        <f si="0" t="shared"/>
        <v>1.5673400608490397E-3</v>
      </c>
      <c r="E62" s="371">
        <v>51</v>
      </c>
      <c r="F62" s="371" t="n">
        <v>217.0</v>
      </c>
      <c r="G62" s="9">
        <f si="1" t="shared"/>
        <v>8.9973850153338413E-4</v>
      </c>
    </row>
    <row r="63" spans="1:7" x14ac:dyDescent="0.25">
      <c r="A63">
        <v>52</v>
      </c>
      <c r="B63" s="6" t="n">
        <v>503.68322500000005</v>
      </c>
      <c r="C63" s="9">
        <f si="0" t="shared"/>
        <v>2.2386200782912435E-3</v>
      </c>
      <c r="E63" s="371">
        <v>52</v>
      </c>
      <c r="F63" s="371" t="n">
        <v>224.0</v>
      </c>
      <c r="G63" s="9">
        <f si="1" t="shared"/>
        <v>8.5762308231267248E-4</v>
      </c>
    </row>
    <row r="64" spans="1:7" x14ac:dyDescent="0.25">
      <c r="A64">
        <v>53</v>
      </c>
      <c r="B64" s="6" t="n">
        <v>61.441094</v>
      </c>
      <c r="C64" s="9">
        <f si="0" t="shared"/>
        <v>2.7307494042625629E-4</v>
      </c>
      <c r="E64" s="371">
        <v>53</v>
      </c>
      <c r="F64" s="371" t="n">
        <v>201.0</v>
      </c>
      <c r="G64" s="9">
        <f si="1" t="shared"/>
        <v>7.5807754597280875E-4</v>
      </c>
    </row>
    <row r="65" spans="1:7" x14ac:dyDescent="0.25">
      <c r="A65">
        <v>54</v>
      </c>
      <c r="B65" s="6" t="n">
        <v>80.21537799999999</v>
      </c>
      <c r="C65" s="9">
        <f si="0" t="shared"/>
        <v>3.5651724509689925E-4</v>
      </c>
      <c r="E65" s="371">
        <v>54</v>
      </c>
      <c r="F65" s="371" t="n">
        <v>191.0</v>
      </c>
      <c r="G65" s="9">
        <f si="1" t="shared"/>
        <v>7.810495928204696E-4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169.0</v>
      </c>
      <c r="G66" s="9">
        <f si="1" t="shared"/>
        <v>5.8961586908996236E-4</v>
      </c>
    </row>
    <row r="67" spans="1:7" x14ac:dyDescent="0.25">
      <c r="A67">
        <v>56</v>
      </c>
      <c r="B67" s="6" t="n">
        <v>570.712884</v>
      </c>
      <c r="C67" s="9">
        <f si="0" t="shared"/>
        <v>2.5365333956911137E-3</v>
      </c>
      <c r="E67" s="371">
        <v>56</v>
      </c>
      <c r="F67" s="371" t="n">
        <v>176.0</v>
      </c>
      <c r="G67" s="9">
        <f si="1" t="shared"/>
        <v>6.2024526488684353E-4</v>
      </c>
    </row>
    <row r="68" spans="1:7" x14ac:dyDescent="0.25">
      <c r="A68">
        <v>57</v>
      </c>
      <c r="B68" s="6" t="n">
        <v>295.654074</v>
      </c>
      <c r="C68" s="9">
        <f si="0" t="shared"/>
        <v>1.3140345229583634E-3</v>
      </c>
      <c r="E68" s="371">
        <v>57</v>
      </c>
      <c r="F68" s="371" t="n">
        <v>160.0</v>
      </c>
      <c r="G68" s="9">
        <f si="1" t="shared"/>
        <v>5.857871946153522E-4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145.0</v>
      </c>
      <c r="G69" s="9">
        <f si="1" t="shared"/>
        <v>4.6326961142782757E-4</v>
      </c>
    </row>
    <row r="70" spans="1:7" x14ac:dyDescent="0.25">
      <c r="A70">
        <v>59</v>
      </c>
      <c r="B70" s="6" t="n">
        <v>462.366312</v>
      </c>
      <c r="C70" s="9">
        <f si="0" t="shared"/>
        <v>2.0549870597113364E-3</v>
      </c>
      <c r="E70" s="371">
        <v>59</v>
      </c>
      <c r="F70" s="371" t="n">
        <v>132.0</v>
      </c>
      <c r="G70" s="9">
        <f si="1" t="shared"/>
        <v>4.9007033275009864E-4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109.0</v>
      </c>
      <c r="G71" s="9">
        <f si="1" t="shared"/>
        <v>4.8241298380087832E-4</v>
      </c>
    </row>
    <row r="72" spans="1:7" x14ac:dyDescent="0.25">
      <c r="A72">
        <v>61</v>
      </c>
      <c r="B72" s="6" t="n">
        <v>222.426854</v>
      </c>
      <c r="C72" s="9">
        <f si="0" t="shared"/>
        <v>9.8857614588128266E-4</v>
      </c>
      <c r="E72" s="371">
        <v>61</v>
      </c>
      <c r="F72" s="371" t="n">
        <v>114.0</v>
      </c>
      <c r="G72" s="9">
        <f si="1" t="shared"/>
        <v>4.0583949430867539E-4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100.0</v>
      </c>
      <c r="G73" s="9">
        <f si="1" t="shared"/>
        <v>4.1349684325789571E-4</v>
      </c>
    </row>
    <row r="74" spans="1:7" x14ac:dyDescent="0.25">
      <c r="A74">
        <v>63</v>
      </c>
      <c r="B74" s="6" t="n">
        <v>238.136848</v>
      </c>
      <c r="C74" s="9">
        <f si="0" t="shared"/>
        <v>1.0583992137395283E-3</v>
      </c>
      <c r="E74" s="371">
        <v>63</v>
      </c>
      <c r="F74" s="371" t="n">
        <v>75.0</v>
      </c>
      <c r="G74" s="9">
        <f si="1" t="shared"/>
        <v>3.7521009851179422E-4</v>
      </c>
    </row>
    <row r="75" spans="1:7" x14ac:dyDescent="0.25">
      <c r="A75">
        <v>64</v>
      </c>
      <c r="B75" s="6" t="n">
        <v>135.37043</v>
      </c>
      <c r="C75" s="9">
        <f si="0" t="shared"/>
        <v>6.0165387204411916E-4</v>
      </c>
      <c r="E75" s="371">
        <v>64</v>
      </c>
      <c r="F75" s="371" t="n">
        <v>94.0</v>
      </c>
      <c r="G75" s="9">
        <f si="1" t="shared"/>
        <v>3.9818214535945512E-4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100.0</v>
      </c>
      <c r="G76" s="9">
        <f si="1" t="shared"/>
        <v>3.4458070271491304E-4</v>
      </c>
    </row>
    <row r="77" spans="1:7" x14ac:dyDescent="0.25">
      <c r="A77">
        <v>66</v>
      </c>
      <c r="B77" s="6" t="n">
        <v>163.550678</v>
      </c>
      <c r="C77" s="9">
        <f ref="C77:C102" si="2" t="shared">B77/B$102</f>
        <v>7.2690098342851489E-4</v>
      </c>
      <c r="E77" s="371">
        <v>66</v>
      </c>
      <c r="F77" s="371" t="n">
        <v>100.0</v>
      </c>
      <c r="G77" s="9">
        <f ref="G77:G102" si="3" t="shared">F77/F$102</f>
        <v>3.7138142403718411E-4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90.0</v>
      </c>
      <c r="G78" s="9">
        <f si="3" t="shared"/>
        <v>3.2926600481647251E-4</v>
      </c>
    </row>
    <row r="79" spans="1:7" x14ac:dyDescent="0.25">
      <c r="A79">
        <v>68</v>
      </c>
      <c r="B79" s="6" t="n">
        <v>233.699164</v>
      </c>
      <c r="C79" s="9">
        <f si="2" t="shared"/>
        <v>1.0386759273356347E-3</v>
      </c>
      <c r="E79" s="371">
        <v>68</v>
      </c>
      <c r="F79" s="371" t="n">
        <v>59.0</v>
      </c>
      <c r="G79" s="9">
        <f si="3" t="shared"/>
        <v>3.1012263244342177E-4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78.0</v>
      </c>
      <c r="G80" s="9">
        <f si="3" t="shared"/>
        <v>2.1823444505277828E-4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77.0</v>
      </c>
      <c r="G81" s="9">
        <f si="3" t="shared"/>
        <v>2.5269251532426958E-4</v>
      </c>
    </row>
    <row r="82" spans="1:7" x14ac:dyDescent="0.25">
      <c r="A82">
        <v>71</v>
      </c>
      <c r="B82" s="6" t="n">
        <v>78.567796</v>
      </c>
      <c r="C82" s="9">
        <f si="2" t="shared"/>
        <v>3.4919456694768909E-4</v>
      </c>
      <c r="E82" s="371">
        <v>71</v>
      </c>
      <c r="F82" s="371" t="n">
        <v>65.0</v>
      </c>
      <c r="G82" s="9">
        <f si="3" t="shared"/>
        <v>2.8715058559576092E-4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65.0</v>
      </c>
      <c r="G83" s="9">
        <f si="3" t="shared"/>
        <v>2.4503516637504932E-4</v>
      </c>
    </row>
    <row r="84" spans="1:7" x14ac:dyDescent="0.25">
      <c r="A84">
        <v>73</v>
      </c>
      <c r="B84" s="6" t="n">
        <v>41.793933</v>
      </c>
      <c r="C84" s="9">
        <f si="2" t="shared"/>
        <v>1.8575313395549154E-4</v>
      </c>
      <c r="E84" s="371">
        <v>73</v>
      </c>
      <c r="F84" s="371" t="n">
        <v>63.0</v>
      </c>
      <c r="G84" s="9">
        <f si="3" t="shared"/>
        <v>2.0674842162894785E-4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47.0</v>
      </c>
      <c r="G85" s="9">
        <f si="3" t="shared"/>
        <v>1.4548963003518551E-4</v>
      </c>
    </row>
    <row r="86" spans="1:7" x14ac:dyDescent="0.25">
      <c r="A86">
        <v>75</v>
      </c>
      <c r="B86" s="6" t="n">
        <v>48.015299</v>
      </c>
      <c r="C86" s="9">
        <f si="2" t="shared"/>
        <v>2.1340399495448247E-4</v>
      </c>
      <c r="E86" s="371">
        <v>75</v>
      </c>
      <c r="F86" s="371" t="n">
        <v>43.0</v>
      </c>
      <c r="G86" s="9">
        <f si="3" t="shared"/>
        <v>1.5697565345901596E-4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43.0</v>
      </c>
      <c r="G87" s="9">
        <f si="3" t="shared"/>
        <v>1.1103155976369421E-4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46.0</v>
      </c>
      <c r="G88" s="9">
        <f si="3" t="shared"/>
        <v>1.3017493213674492E-4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30.0</v>
      </c>
      <c r="G89" s="9">
        <f si="3" t="shared"/>
        <v>1.531469789844058E-4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29.0</v>
      </c>
      <c r="G90" s="9">
        <f si="3" t="shared"/>
        <v>1.7611902583206668E-4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40.0</v>
      </c>
      <c r="G91" s="9">
        <f si="3" t="shared"/>
        <v>1.608043279336261E-4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31.0</v>
      </c>
      <c r="G92" s="9">
        <f si="3" t="shared"/>
        <v>1.3783228108596522E-4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32.0</v>
      </c>
      <c r="G93" s="9">
        <f si="3" t="shared"/>
        <v>1.6463300240823626E-4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24.0</v>
      </c>
      <c r="G94" s="9">
        <f si="3" t="shared"/>
        <v>7.6573489492202902E-5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34.0</v>
      </c>
      <c r="G95" s="9">
        <f si="3" t="shared"/>
        <v>1.3400360661135508E-4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21.0</v>
      </c>
      <c r="G96" s="9">
        <f si="3" t="shared"/>
        <v>1.186889087129145E-4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32.0</v>
      </c>
      <c r="G97" s="9">
        <f si="3" t="shared"/>
        <v>1.3783228108596522E-4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21.0</v>
      </c>
      <c r="G98" s="9">
        <f si="3" t="shared"/>
        <v>9.954553633986378E-5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18.0</v>
      </c>
      <c r="G99" s="9">
        <f si="3" t="shared"/>
        <v>8.0402163966813048E-5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30.0</v>
      </c>
      <c r="G100" s="9">
        <f si="3" t="shared"/>
        <v>8.4230838441423195E-5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637.0</v>
      </c>
      <c r="G101" s="9">
        <f si="3" t="shared"/>
        <v>2.3163480571391378E-3</v>
      </c>
    </row>
    <row r="102" spans="1:7" x14ac:dyDescent="0.25">
      <c r="B102" s="6">
        <f>SUM(B11:B101)</f>
        <v>224997.18906500001</v>
      </c>
      <c r="C102" s="9">
        <f si="2" t="shared"/>
        <v>1</v>
      </c>
      <c r="F102" s="6">
        <f>SUM(F11:F101)</f>
        <v>261187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M102"/>
  <sheetViews>
    <sheetView workbookViewId="0">
      <selection activeCell="B11" sqref="B11:B10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12.0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35500.89803</v>
      </c>
      <c r="C11" s="9">
        <f>B11/B$102</f>
        <v>0.10498034790787446</v>
      </c>
      <c r="E11" s="371">
        <v>0</v>
      </c>
      <c r="F11" s="371" t="n">
        <v>54220.0</v>
      </c>
      <c r="G11" s="9">
        <f>F11/F$102</f>
        <v>0.14702916504886912</v>
      </c>
      <c r="K11" s="6" t="n">
        <v>5.926108329955904</v>
      </c>
      <c r="L11" s="6" t="n">
        <v>5.666737742141517</v>
      </c>
    </row>
    <row r="12" spans="1:12" x14ac:dyDescent="0.25">
      <c r="A12">
        <v>1</v>
      </c>
      <c r="B12" s="6" t="n">
        <v>50651.99851</v>
      </c>
      <c r="C12" s="9">
        <f>B12/B$102</f>
        <v>0.14978394127707476</v>
      </c>
      <c r="E12" s="371">
        <v>1</v>
      </c>
      <c r="F12" s="371" t="n">
        <v>50424.0</v>
      </c>
      <c r="G12" s="9">
        <f>F12/F$102</f>
        <v>0.14226934862582646</v>
      </c>
      <c r="K12" s="6"/>
      <c r="L12" s="371"/>
    </row>
    <row r="13" spans="1:12" x14ac:dyDescent="0.25">
      <c r="A13">
        <v>2</v>
      </c>
      <c r="B13" s="6" t="n">
        <v>50601.285845</v>
      </c>
      <c r="C13" s="9">
        <f ref="C13:C76" si="0" t="shared">B13/B$102</f>
        <v>0.14963397793782243</v>
      </c>
      <c r="E13" s="371">
        <v>2</v>
      </c>
      <c r="F13" s="371" t="n">
        <v>47635.0</v>
      </c>
      <c r="G13" s="9">
        <f ref="G13:G76" si="1" t="shared">F13/F$102</f>
        <v>0.13396760308047273</v>
      </c>
    </row>
    <row r="14" spans="1:12" x14ac:dyDescent="0.25">
      <c r="A14">
        <v>3</v>
      </c>
      <c r="B14" s="6" t="n">
        <v>38796.359699</v>
      </c>
      <c r="C14" s="9">
        <f si="0" t="shared"/>
        <v>0.11472541723643997</v>
      </c>
      <c r="E14" s="371">
        <v>3</v>
      </c>
      <c r="F14" s="371" t="n">
        <v>41037.0</v>
      </c>
      <c r="G14" s="9">
        <f si="1" t="shared"/>
        <v>0.11861831244395903</v>
      </c>
    </row>
    <row r="15" spans="1:12" x14ac:dyDescent="0.25">
      <c r="A15">
        <v>4</v>
      </c>
      <c r="B15" s="6" t="n">
        <v>29887.901782</v>
      </c>
      <c r="C15" s="9">
        <f si="0" t="shared"/>
        <v>8.8382055142922855E-2</v>
      </c>
      <c r="E15" s="371">
        <v>4</v>
      </c>
      <c r="F15" s="371" t="n">
        <v>32527.0</v>
      </c>
      <c r="G15" s="9">
        <f si="1" t="shared"/>
        <v>9.0436512037810377E-2</v>
      </c>
    </row>
    <row r="16" spans="1:12" x14ac:dyDescent="0.25">
      <c r="A16">
        <v>5</v>
      </c>
      <c r="B16" s="6" t="n">
        <v>20023.750552</v>
      </c>
      <c r="C16" s="9">
        <f si="0" t="shared"/>
        <v>5.9212595061484803E-2</v>
      </c>
      <c r="E16" s="371">
        <v>5</v>
      </c>
      <c r="F16" s="371" t="n">
        <v>25098.0</v>
      </c>
      <c r="G16" s="9">
        <f si="1" t="shared"/>
        <v>7.0106732737983832E-2</v>
      </c>
    </row>
    <row r="17" spans="1:7" x14ac:dyDescent="0.25">
      <c r="A17">
        <v>6</v>
      </c>
      <c r="B17" s="6" t="n">
        <v>20880.601051</v>
      </c>
      <c r="C17" s="9">
        <f si="0" t="shared"/>
        <v>6.1746403175691987E-2</v>
      </c>
      <c r="E17" s="371">
        <v>6</v>
      </c>
      <c r="F17" s="371" t="n">
        <v>18294.0</v>
      </c>
      <c r="G17" s="9">
        <f si="1" t="shared"/>
        <v>5.0341203976569639E-2</v>
      </c>
    </row>
    <row r="18" spans="1:7" x14ac:dyDescent="0.25">
      <c r="A18">
        <v>7</v>
      </c>
      <c r="B18" s="6" t="n">
        <v>12299.629363</v>
      </c>
      <c r="C18" s="9">
        <f si="0" t="shared"/>
        <v>3.6371456535395377E-2</v>
      </c>
      <c r="E18" s="371">
        <v>7</v>
      </c>
      <c r="F18" s="371" t="n">
        <v>13654.0</v>
      </c>
      <c r="G18" s="9">
        <f si="1" t="shared"/>
        <v>3.756456059687651E-2</v>
      </c>
    </row>
    <row r="19" spans="1:7" x14ac:dyDescent="0.25">
      <c r="A19">
        <v>8</v>
      </c>
      <c r="B19" s="6" t="n">
        <v>13045.58132</v>
      </c>
      <c r="C19" s="9">
        <f si="0" t="shared"/>
        <v>3.857732456448703E-2</v>
      </c>
      <c r="E19" s="371">
        <v>8</v>
      </c>
      <c r="F19" s="371" t="n">
        <v>9576.0</v>
      </c>
      <c r="G19" s="9">
        <f si="1" t="shared"/>
        <v>2.7106372399768715E-2</v>
      </c>
    </row>
    <row r="20" spans="1:7" x14ac:dyDescent="0.25">
      <c r="A20">
        <v>9</v>
      </c>
      <c r="B20" s="6" t="n">
        <v>10063.581207</v>
      </c>
      <c r="C20" s="9">
        <f si="0" t="shared"/>
        <v>2.9759198074855213E-2</v>
      </c>
      <c r="E20" s="371">
        <v>9</v>
      </c>
      <c r="F20" s="371" t="n">
        <v>7952.0</v>
      </c>
      <c r="G20" s="9">
        <f si="1" t="shared"/>
        <v>2.2600748050961322E-2</v>
      </c>
    </row>
    <row r="21" spans="1:7" x14ac:dyDescent="0.25">
      <c r="A21">
        <v>10</v>
      </c>
      <c r="B21" s="6" t="n">
        <v>9463.598341</v>
      </c>
      <c r="C21" s="9">
        <f si="0" t="shared"/>
        <v>2.7984977885883743E-2</v>
      </c>
      <c r="E21" s="371">
        <v>10</v>
      </c>
      <c r="F21" s="371" t="n">
        <v>7042.0</v>
      </c>
      <c r="G21" s="9">
        <f si="1" t="shared"/>
        <v>1.9980614362690191E-2</v>
      </c>
    </row>
    <row r="22" spans="1:7" x14ac:dyDescent="0.25">
      <c r="A22">
        <v>11</v>
      </c>
      <c r="B22" s="6" t="n">
        <v>5700.386383</v>
      </c>
      <c r="C22" s="9">
        <f si="0" t="shared"/>
        <v>1.6856715714372878E-2</v>
      </c>
      <c r="E22" s="371">
        <v>11</v>
      </c>
      <c r="F22" s="371" t="n">
        <v>6389.0</v>
      </c>
      <c r="G22" s="9">
        <f si="1" t="shared"/>
        <v>1.7547633080724139E-2</v>
      </c>
    </row>
    <row r="23" spans="1:7" x14ac:dyDescent="0.25">
      <c r="A23">
        <v>12</v>
      </c>
      <c r="B23" s="6" t="n">
        <v>4378.127122</v>
      </c>
      <c r="C23" s="9">
        <f si="0" t="shared"/>
        <v>1.2946638929078977E-2</v>
      </c>
      <c r="E23" s="371">
        <v>12</v>
      </c>
      <c r="F23" s="371" t="n">
        <v>5789.0</v>
      </c>
      <c r="G23" s="9">
        <f si="1" t="shared"/>
        <v>1.6081140344751492E-2</v>
      </c>
    </row>
    <row r="24" spans="1:7" x14ac:dyDescent="0.25">
      <c r="A24">
        <v>13</v>
      </c>
      <c r="B24" s="6" t="n">
        <v>6308.915478</v>
      </c>
      <c r="C24" s="9">
        <f si="0" t="shared"/>
        <v>1.865620811175334E-2</v>
      </c>
      <c r="E24" s="371">
        <v>13</v>
      </c>
      <c r="F24" s="371" t="n">
        <v>4805.0</v>
      </c>
      <c r="G24" s="9">
        <f si="1" t="shared"/>
        <v>1.353083964390763E-2</v>
      </c>
    </row>
    <row r="25" spans="1:7" x14ac:dyDescent="0.25">
      <c r="A25">
        <v>14</v>
      </c>
      <c r="B25" s="6" t="n">
        <v>4414.617047</v>
      </c>
      <c r="C25" s="9">
        <f si="0" t="shared"/>
        <v>1.3054543946535017E-2</v>
      </c>
      <c r="E25" s="371">
        <v>14</v>
      </c>
      <c r="F25" s="371" t="n">
        <v>4089.0</v>
      </c>
      <c r="G25" s="9">
        <f si="1" t="shared"/>
        <v>1.164814230286846E-2</v>
      </c>
    </row>
    <row r="26" spans="1:7" x14ac:dyDescent="0.25">
      <c r="A26">
        <v>15</v>
      </c>
      <c r="B26" s="6" t="n">
        <v>3455.479745</v>
      </c>
      <c r="C26" s="9">
        <f si="0" t="shared"/>
        <v>1.0218261676427608E-2</v>
      </c>
      <c r="E26" s="371">
        <v>15</v>
      </c>
      <c r="F26" s="371" t="n">
        <v>3688.0</v>
      </c>
      <c r="G26" s="9">
        <f si="1" t="shared"/>
        <v>1.0301762305270714E-2</v>
      </c>
    </row>
    <row r="27" spans="1:7" x14ac:dyDescent="0.25">
      <c r="A27">
        <v>16</v>
      </c>
      <c r="B27" s="6" t="n">
        <v>1515.173188</v>
      </c>
      <c r="C27" s="9">
        <f si="0" t="shared"/>
        <v>4.480546049356467E-3</v>
      </c>
      <c r="E27" s="371">
        <v>16</v>
      </c>
      <c r="F27" s="371" t="n">
        <v>3243.0</v>
      </c>
      <c r="G27" s="9">
        <f si="1" t="shared"/>
        <v>8.7039835529348006E-3</v>
      </c>
    </row>
    <row r="28" spans="1:7" x14ac:dyDescent="0.25">
      <c r="A28">
        <v>17</v>
      </c>
      <c r="B28" s="6" t="n">
        <v>1531.103514</v>
      </c>
      <c r="C28" s="9">
        <f si="0" t="shared"/>
        <v>4.527653904609949E-3</v>
      </c>
      <c r="E28" s="371">
        <v>17</v>
      </c>
      <c r="F28" s="371" t="n">
        <v>2785.0</v>
      </c>
      <c r="G28" s="9">
        <f si="1" t="shared"/>
        <v>7.4330231817585062E-3</v>
      </c>
    </row>
    <row r="29" spans="1:7" x14ac:dyDescent="0.25">
      <c r="A29">
        <v>18</v>
      </c>
      <c r="B29" s="6" t="n">
        <v>2842.587913</v>
      </c>
      <c r="C29" s="9">
        <f si="0" t="shared"/>
        <v>8.4058681505262984E-3</v>
      </c>
      <c r="E29" s="371">
        <v>18</v>
      </c>
      <c r="F29" s="371" t="n">
        <v>2429.0</v>
      </c>
      <c r="G29" s="9">
        <f si="1" t="shared"/>
        <v>6.6089939301167324E-3</v>
      </c>
    </row>
    <row r="30" spans="1:7" x14ac:dyDescent="0.25">
      <c r="A30">
        <v>19</v>
      </c>
      <c r="B30" s="6" t="n">
        <v>1838.207103</v>
      </c>
      <c r="C30" s="9">
        <f si="0" t="shared"/>
        <v>5.4357954842886554E-3</v>
      </c>
      <c r="E30" s="371">
        <v>19</v>
      </c>
      <c r="F30" s="371" t="n">
        <v>2079.0</v>
      </c>
      <c r="G30" s="9">
        <f si="1" t="shared"/>
        <v>6.0307767942189457E-3</v>
      </c>
    </row>
    <row r="31" spans="1:7" x14ac:dyDescent="0.25">
      <c r="A31">
        <v>20</v>
      </c>
      <c r="B31" s="6" t="n">
        <v>1743.549874</v>
      </c>
      <c r="C31" s="9">
        <f si="0" t="shared"/>
        <v>5.1558828797112176E-3</v>
      </c>
      <c r="E31" s="371">
        <v>20</v>
      </c>
      <c r="F31" s="371" t="n">
        <v>1807.0</v>
      </c>
      <c r="G31" s="9">
        <f si="1" t="shared"/>
        <v>5.2626139325189876E-3</v>
      </c>
    </row>
    <row r="32" spans="1:7" x14ac:dyDescent="0.25">
      <c r="A32">
        <v>21</v>
      </c>
      <c r="B32" s="6" t="n">
        <v>1459.212167</v>
      </c>
      <c r="C32" s="9">
        <f si="0" t="shared"/>
        <v>4.3150627016142386E-3</v>
      </c>
      <c r="E32" s="371">
        <v>21</v>
      </c>
      <c r="F32" s="371" t="n">
        <v>1587.0</v>
      </c>
      <c r="G32" s="9">
        <f si="1" t="shared"/>
        <v>4.34919845697031E-3</v>
      </c>
    </row>
    <row r="33" spans="1:7" x14ac:dyDescent="0.25">
      <c r="A33">
        <v>22</v>
      </c>
      <c r="B33" s="6" t="n">
        <v>1880.011942</v>
      </c>
      <c r="C33" s="9">
        <f si="0" t="shared"/>
        <v>5.5594173301006695E-3</v>
      </c>
      <c r="E33" s="371">
        <v>22</v>
      </c>
      <c r="F33" s="371" t="n">
        <v>1437.0</v>
      </c>
      <c r="G33" s="9">
        <f si="1" t="shared"/>
        <v>4.1341128556943215E-3</v>
      </c>
    </row>
    <row r="34" spans="1:7" x14ac:dyDescent="0.25">
      <c r="A34">
        <v>23</v>
      </c>
      <c r="B34" s="6" t="n">
        <v>1353.447011</v>
      </c>
      <c r="C34" s="9">
        <f si="0" t="shared"/>
        <v>4.0023026451213636E-3</v>
      </c>
      <c r="E34" s="371">
        <v>23</v>
      </c>
      <c r="F34" s="371" t="n">
        <v>1355.0</v>
      </c>
      <c r="G34" s="9">
        <f si="1" t="shared"/>
        <v>3.3715366329885445E-3</v>
      </c>
    </row>
    <row r="35" spans="1:7" x14ac:dyDescent="0.25">
      <c r="A35">
        <v>24</v>
      </c>
      <c r="B35" s="6" t="n">
        <v>1445.946166</v>
      </c>
      <c r="C35" s="9">
        <f si="0" t="shared"/>
        <v>4.2758335700258119E-3</v>
      </c>
      <c r="E35" s="371">
        <v>24</v>
      </c>
      <c r="F35" s="371" t="n">
        <v>1159.0</v>
      </c>
      <c r="G35" s="9">
        <f si="1" t="shared"/>
        <v>3.2598038531049143E-3</v>
      </c>
    </row>
    <row r="36" spans="1:7" x14ac:dyDescent="0.25">
      <c r="A36">
        <v>25</v>
      </c>
      <c r="B36" s="6" t="n">
        <v>1067.948231</v>
      </c>
      <c r="C36" s="9">
        <f si="0" t="shared"/>
        <v>3.1580490370479537E-3</v>
      </c>
      <c r="E36" s="371">
        <v>25</v>
      </c>
      <c r="F36" s="371" t="n">
        <v>1016.0</v>
      </c>
      <c r="G36" s="9">
        <f si="1" t="shared"/>
        <v>2.7933194970907577E-3</v>
      </c>
    </row>
    <row r="37" spans="1:7" x14ac:dyDescent="0.25">
      <c r="A37">
        <v>26</v>
      </c>
      <c r="B37" s="6" t="n">
        <v>722.016088</v>
      </c>
      <c r="C37" s="9">
        <f si="0" t="shared"/>
        <v>2.135086837782805E-3</v>
      </c>
      <c r="E37" s="371">
        <v>26</v>
      </c>
      <c r="F37" s="371" t="n">
        <v>972.0</v>
      </c>
      <c r="G37" s="9">
        <f si="1" t="shared"/>
        <v>2.6341002857565845E-3</v>
      </c>
    </row>
    <row r="38" spans="1:7" x14ac:dyDescent="0.25">
      <c r="A38">
        <v>27</v>
      </c>
      <c r="B38" s="6" t="n">
        <v>312.543428</v>
      </c>
      <c r="C38" s="9">
        <f si="0" t="shared"/>
        <v>9.2422782601253865E-4</v>
      </c>
      <c r="E38" s="371">
        <v>27</v>
      </c>
      <c r="F38" s="371" t="n">
        <v>915.0</v>
      </c>
      <c r="G38" s="9">
        <f si="1" t="shared"/>
        <v>2.3100752240940567E-3</v>
      </c>
    </row>
    <row r="39" spans="1:7" x14ac:dyDescent="0.25">
      <c r="A39">
        <v>28</v>
      </c>
      <c r="B39" s="6" t="n">
        <v>268.801576</v>
      </c>
      <c r="C39" s="9">
        <f si="0" t="shared"/>
        <v>7.9487800401045132E-4</v>
      </c>
      <c r="E39" s="371">
        <v>28</v>
      </c>
      <c r="F39" s="371" t="n">
        <v>805.0</v>
      </c>
      <c r="G39" s="9">
        <f si="1" t="shared"/>
        <v>1.9776702039402566E-3</v>
      </c>
    </row>
    <row r="40" spans="1:7" x14ac:dyDescent="0.25">
      <c r="A40">
        <v>29</v>
      </c>
      <c r="B40" s="6" t="n">
        <v>115.739951</v>
      </c>
      <c r="C40" s="9">
        <f si="0" t="shared"/>
        <v>3.4225670326853828E-4</v>
      </c>
      <c r="E40" s="371">
        <v>29</v>
      </c>
      <c r="F40" s="371" t="n">
        <v>642.0</v>
      </c>
      <c r="G40" s="9">
        <f si="1" t="shared"/>
        <v>1.7486180051788144E-3</v>
      </c>
    </row>
    <row r="41" spans="1:7" x14ac:dyDescent="0.25">
      <c r="A41">
        <v>30</v>
      </c>
      <c r="B41" s="6" t="n">
        <v>102.628638</v>
      </c>
      <c r="C41" s="9">
        <f si="0" t="shared"/>
        <v>3.0348500236379247E-4</v>
      </c>
      <c r="E41" s="371">
        <v>30</v>
      </c>
      <c r="F41" s="371" t="n">
        <v>598.0</v>
      </c>
      <c r="G41" s="9">
        <f si="1" t="shared"/>
        <v>1.6061587108271856E-3</v>
      </c>
    </row>
    <row r="42" spans="1:7" x14ac:dyDescent="0.25">
      <c r="A42">
        <v>31</v>
      </c>
      <c r="B42" s="6" t="n">
        <v>330.804191</v>
      </c>
      <c r="C42" s="9">
        <f si="0" t="shared"/>
        <v>9.782270586849984E-4</v>
      </c>
      <c r="E42" s="371">
        <v>31</v>
      </c>
      <c r="F42" s="371" t="n">
        <v>482.0</v>
      </c>
      <c r="G42" s="9">
        <f si="1" t="shared"/>
        <v>1.4748726944639201E-3</v>
      </c>
    </row>
    <row r="43" spans="1:7" x14ac:dyDescent="0.25">
      <c r="A43">
        <v>32</v>
      </c>
      <c r="B43" s="6" t="n">
        <v>359.173598</v>
      </c>
      <c r="C43" s="9">
        <f si="0" t="shared"/>
        <v>1.0621187454328475E-3</v>
      </c>
      <c r="E43" s="371">
        <v>32</v>
      </c>
      <c r="F43" s="371" t="n">
        <v>412.0</v>
      </c>
      <c r="G43" s="9">
        <f si="1" t="shared"/>
        <v>1.14246767431012E-3</v>
      </c>
    </row>
    <row r="44" spans="1:7" x14ac:dyDescent="0.25">
      <c r="A44">
        <v>33</v>
      </c>
      <c r="B44" s="6" t="n">
        <v>37.361886</v>
      </c>
      <c r="C44" s="9">
        <f si="0" t="shared"/>
        <v>1.1048350910615948E-4</v>
      </c>
      <c r="E44" s="371">
        <v>33</v>
      </c>
      <c r="F44" s="371" t="n">
        <v>357.0</v>
      </c>
      <c r="G44" s="9">
        <f si="1" t="shared"/>
        <v>8.5196244661268114E-4</v>
      </c>
    </row>
    <row r="45" spans="1:7" x14ac:dyDescent="0.25">
      <c r="A45">
        <v>34</v>
      </c>
      <c r="B45" s="6" t="n">
        <v>873.046523</v>
      </c>
      <c r="C45" s="9">
        <f si="0" t="shared"/>
        <v>2.5817016698239316E-3</v>
      </c>
      <c r="E45" s="371">
        <v>34</v>
      </c>
      <c r="F45" s="371" t="n">
        <v>303.0</v>
      </c>
      <c r="G45" s="9">
        <f si="1" t="shared"/>
        <v>7.4022966672905078E-4</v>
      </c>
    </row>
    <row r="46" spans="1:7" x14ac:dyDescent="0.25">
      <c r="A46">
        <v>35</v>
      </c>
      <c r="B46" s="6" t="n">
        <v>161.236286</v>
      </c>
      <c r="C46" s="9">
        <f si="0" t="shared"/>
        <v>4.767947386950524E-4</v>
      </c>
      <c r="E46" s="371">
        <v>35</v>
      </c>
      <c r="F46" s="371" t="n">
        <v>265.0</v>
      </c>
      <c r="G46" s="9">
        <f si="1" t="shared"/>
        <v>6.5643008181632807E-4</v>
      </c>
    </row>
    <row r="47" spans="1:7" x14ac:dyDescent="0.25">
      <c r="A47">
        <v>36</v>
      </c>
      <c r="B47" s="6" t="n">
        <v>683.699354</v>
      </c>
      <c r="C47" s="9">
        <f si="0" t="shared"/>
        <v>2.0217797303790914E-3</v>
      </c>
      <c r="E47" s="371">
        <v>36</v>
      </c>
      <c r="F47" s="371" t="n">
        <v>185.0</v>
      </c>
      <c r="G47" s="9">
        <f si="1" t="shared"/>
        <v>5.7542381640069611E-4</v>
      </c>
    </row>
    <row r="48" spans="1:7" x14ac:dyDescent="0.25">
      <c r="A48">
        <v>37</v>
      </c>
      <c r="B48" s="6" t="n">
        <v>590.580614</v>
      </c>
      <c r="C48" s="9">
        <f si="0" t="shared"/>
        <v>1.7464166194605449E-3</v>
      </c>
      <c r="E48" s="371">
        <v>37</v>
      </c>
      <c r="F48" s="371" t="n">
        <v>185.0</v>
      </c>
      <c r="G48" s="9">
        <f si="1" t="shared"/>
        <v>4.5251775852870273E-4</v>
      </c>
    </row>
    <row r="49" spans="1:7" x14ac:dyDescent="0.25">
      <c r="A49">
        <v>38</v>
      </c>
      <c r="B49" s="6" t="n">
        <v>24.04211</v>
      </c>
      <c r="C49" s="9">
        <f si="0" t="shared"/>
        <v>7.109535849224229E-5</v>
      </c>
      <c r="E49" s="371">
        <v>38</v>
      </c>
      <c r="F49" s="371" t="n">
        <v>145.0</v>
      </c>
      <c r="G49" s="9">
        <f si="1" t="shared"/>
        <v>4.441378000374305E-4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138.0</v>
      </c>
      <c r="G50" s="9">
        <f si="1" t="shared"/>
        <v>2.9609186669162034E-4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120.0</v>
      </c>
      <c r="G51" s="9">
        <f si="1" t="shared"/>
        <v>3.3240502015380015E-4</v>
      </c>
    </row>
    <row r="52" spans="1:7" x14ac:dyDescent="0.25">
      <c r="A52">
        <v>41</v>
      </c>
      <c r="B52" s="6" t="n">
        <v>706.229286</v>
      </c>
      <c r="C52" s="9">
        <f si="0" t="shared"/>
        <v>2.0884033999466066E-3</v>
      </c>
      <c r="E52" s="371">
        <v>41</v>
      </c>
      <c r="F52" s="371" t="n">
        <v>105.0</v>
      </c>
      <c r="G52" s="9">
        <f si="1" t="shared"/>
        <v>2.6815867172071275E-4</v>
      </c>
    </row>
    <row r="53" spans="1:7" x14ac:dyDescent="0.25">
      <c r="A53">
        <v>42</v>
      </c>
      <c r="B53" s="6" t="n">
        <v>131.939256</v>
      </c>
      <c r="C53" s="9">
        <f si="0" t="shared"/>
        <v>3.9015996118975117E-4</v>
      </c>
      <c r="E53" s="371">
        <v>42</v>
      </c>
      <c r="F53" s="371" t="n">
        <v>84.0</v>
      </c>
      <c r="G53" s="9">
        <f si="1" t="shared"/>
        <v>2.2067224027016985E-4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75.0</v>
      </c>
      <c r="G54" s="9">
        <f si="1" t="shared"/>
        <v>1.8994572580217152E-4</v>
      </c>
    </row>
    <row r="55" spans="1:7" x14ac:dyDescent="0.25">
      <c r="A55">
        <v>44</v>
      </c>
      <c r="B55" s="6" t="n">
        <v>251.979787</v>
      </c>
      <c r="C55" s="9">
        <f si="0" t="shared"/>
        <v>7.4513398738978618E-4</v>
      </c>
      <c r="E55" s="371">
        <v>44</v>
      </c>
      <c r="F55" s="371" t="n">
        <v>62.0</v>
      </c>
      <c r="G55" s="9">
        <f si="1" t="shared"/>
        <v>1.3687265535744712E-4</v>
      </c>
    </row>
    <row r="56" spans="1:7" x14ac:dyDescent="0.25">
      <c r="A56">
        <v>45</v>
      </c>
      <c r="B56" s="6" t="n">
        <v>161.236286</v>
      </c>
      <c r="C56" s="9">
        <f si="0" t="shared"/>
        <v>4.767947386950524E-4</v>
      </c>
      <c r="E56" s="371">
        <v>45</v>
      </c>
      <c r="F56" s="371" t="n">
        <v>54.0</v>
      </c>
      <c r="G56" s="9">
        <f si="1" t="shared"/>
        <v>1.6201253083126396E-4</v>
      </c>
    </row>
    <row r="57" spans="1:7" x14ac:dyDescent="0.25">
      <c r="A57">
        <v>46</v>
      </c>
      <c r="B57" s="6" t="n">
        <v>61.176273</v>
      </c>
      <c r="C57" s="9">
        <f si="0" t="shared"/>
        <v>1.8090546379474523E-4</v>
      </c>
      <c r="E57" s="371">
        <v>46</v>
      </c>
      <c r="F57" s="371" t="n">
        <v>45.0</v>
      </c>
      <c r="G57" s="9">
        <f si="1" t="shared"/>
        <v>1.2290605787199335E-4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35.0</v>
      </c>
      <c r="G58" s="9">
        <f si="1" t="shared"/>
        <v>1.1173277988363031E-4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45.0</v>
      </c>
      <c r="G59" s="9">
        <f si="1" t="shared"/>
        <v>7.5419626421450455E-5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27.0</v>
      </c>
      <c r="G60" s="9">
        <f si="1" t="shared"/>
        <v>7.5419626421450455E-5</v>
      </c>
    </row>
    <row r="61" spans="1:7" x14ac:dyDescent="0.25">
      <c r="A61">
        <v>50</v>
      </c>
      <c r="B61" s="6" t="n">
        <v>122.949339</v>
      </c>
      <c r="C61" s="9">
        <f si="0" t="shared"/>
        <v>3.635757149679968E-4</v>
      </c>
      <c r="E61" s="371">
        <v>50</v>
      </c>
      <c r="F61" s="371" t="n">
        <v>26.0</v>
      </c>
      <c r="G61" s="9">
        <f si="1" t="shared"/>
        <v>4.1899792456361368E-5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17.0</v>
      </c>
      <c r="G62" s="9">
        <f si="1" t="shared"/>
        <v>4.4693111953452125E-5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17.0</v>
      </c>
      <c r="G63" s="9">
        <f si="1" t="shared"/>
        <v>4.4693111953452125E-5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10.0</v>
      </c>
      <c r="G64" s="9">
        <f si="1" t="shared"/>
        <v>8.3799584912722734E-6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13.0</v>
      </c>
      <c r="G65" s="9">
        <f si="1" t="shared"/>
        <v>3.3519833965089093E-5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9.0</v>
      </c>
      <c r="G66" s="9">
        <f si="1" t="shared"/>
        <v>2.2346555976726062E-5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8.0</v>
      </c>
      <c r="G67" s="9">
        <f si="1" t="shared"/>
        <v>1.6759916982544547E-5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2.0</v>
      </c>
      <c r="G68" s="9">
        <f si="1" t="shared"/>
        <v>1.6759916982544547E-5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9.0</v>
      </c>
      <c r="G69" s="9">
        <f si="1" t="shared"/>
        <v>1.3966597485453789E-5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5.0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5.5866389941815156E-6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3.0</v>
      </c>
      <c r="G73" s="9">
        <f si="1" t="shared"/>
        <v>8.3799584912722734E-6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3.0</v>
      </c>
      <c r="G74" s="9">
        <f si="1" t="shared"/>
        <v>8.3799584912722734E-6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5.5866389941815156E-6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2.0</v>
      </c>
      <c r="G76" s="9">
        <f si="1" t="shared"/>
        <v>5.5866389941815156E-6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9.0</v>
      </c>
      <c r="G77" s="9">
        <f ref="G77:G102" si="3" t="shared">F77/F$102</f>
        <v>1.9553236479635303E-5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2.7933194970907578E-6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2.7933194970907578E-6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2.7933194970907578E-6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2.7933194970907578E-6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5.5866389941815156E-6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2.7933194970907578E-6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338167.08305399999</v>
      </c>
      <c r="C102" s="9">
        <f si="2" t="shared"/>
        <v>1</v>
      </c>
      <c r="F102" s="6">
        <f>SUM(F11:F101)</f>
        <v>357997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M102"/>
  <sheetViews>
    <sheetView workbookViewId="0">
      <selection activeCell="T17" sqref="T17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1983.0</v>
      </c>
      <c r="G11" s="9">
        <f>F11/F$102</f>
        <v>5.5754657161931525E-3</v>
      </c>
      <c r="K11" s="6" t="n">
        <v>13.755531650873817</v>
      </c>
      <c r="L11" s="6" t="n">
        <v>14.760581899533596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18065.0</v>
      </c>
      <c r="G12" s="9">
        <f>F12/F$102</f>
        <v>4.6709888630351651E-2</v>
      </c>
      <c r="K12" s="6"/>
      <c r="L12" s="371"/>
    </row>
    <row r="13" spans="1:12" x14ac:dyDescent="0.25">
      <c r="A13">
        <v>2</v>
      </c>
      <c r="B13" s="6" t="n">
        <v>3059.013944</v>
      </c>
      <c r="C13" s="9">
        <f ref="C13:C76" si="0" t="shared">B13/B$102</f>
        <v>9.0458654827487248E-3</v>
      </c>
      <c r="E13" s="371">
        <v>2</v>
      </c>
      <c r="F13" s="371" t="n">
        <v>6275.0</v>
      </c>
      <c r="G13" s="9">
        <f ref="G13:G76" si="1" t="shared">F13/F$102</f>
        <v>1.8008530797744116E-2</v>
      </c>
    </row>
    <row r="14" spans="1:12" x14ac:dyDescent="0.25">
      <c r="A14">
        <v>3</v>
      </c>
      <c r="B14" s="6" t="n">
        <v>23789.874984</v>
      </c>
      <c r="C14" s="9">
        <f si="0" t="shared"/>
        <v>7.0349469762558556E-2</v>
      </c>
      <c r="E14" s="371">
        <v>3</v>
      </c>
      <c r="F14" s="371" t="n">
        <v>10258.0</v>
      </c>
      <c r="G14" s="9">
        <f si="1" t="shared"/>
        <v>2.7927608331913396E-2</v>
      </c>
    </row>
    <row r="15" spans="1:12" x14ac:dyDescent="0.25">
      <c r="A15">
        <v>4</v>
      </c>
      <c r="B15" s="6" t="n">
        <v>21703.474915</v>
      </c>
      <c r="C15" s="9">
        <f si="0" t="shared"/>
        <v>6.4179738367776892E-2</v>
      </c>
      <c r="E15" s="371">
        <v>4</v>
      </c>
      <c r="F15" s="371" t="n">
        <v>15436.0</v>
      </c>
      <c r="G15" s="9">
        <f si="1" t="shared"/>
        <v>4.335231859484856E-2</v>
      </c>
    </row>
    <row r="16" spans="1:12" x14ac:dyDescent="0.25">
      <c r="A16">
        <v>5</v>
      </c>
      <c r="B16" s="6" t="n">
        <v>23026.069359</v>
      </c>
      <c r="C16" s="9">
        <f si="0" t="shared"/>
        <v>6.8090806328784809E-2</v>
      </c>
      <c r="E16" s="371">
        <v>5</v>
      </c>
      <c r="F16" s="371" t="n">
        <v>19823.0</v>
      </c>
      <c r="G16" s="9">
        <f si="1" t="shared"/>
        <v>5.6045162389628964E-2</v>
      </c>
    </row>
    <row r="17" spans="1:7" x14ac:dyDescent="0.25">
      <c r="A17">
        <v>6</v>
      </c>
      <c r="B17" s="6" t="n">
        <v>21651.855907</v>
      </c>
      <c r="C17" s="9">
        <f si="0" t="shared"/>
        <v>6.402709486524015E-2</v>
      </c>
      <c r="E17" s="371">
        <v>6</v>
      </c>
      <c r="F17" s="371" t="n">
        <v>22769.0</v>
      </c>
      <c r="G17" s="9">
        <f si="1" t="shared"/>
        <v>6.3196060302181306E-2</v>
      </c>
    </row>
    <row r="18" spans="1:7" x14ac:dyDescent="0.25">
      <c r="A18">
        <v>7</v>
      </c>
      <c r="B18" s="6" t="n">
        <v>26258.921281</v>
      </c>
      <c r="C18" s="9">
        <f si="0" t="shared"/>
        <v>7.7650731241653281E-2</v>
      </c>
      <c r="E18" s="371">
        <v>7</v>
      </c>
      <c r="F18" s="371" t="n">
        <v>23224.0</v>
      </c>
      <c r="G18" s="9">
        <f si="1" t="shared"/>
        <v>6.5215630298577923E-2</v>
      </c>
    </row>
    <row r="19" spans="1:7" x14ac:dyDescent="0.25">
      <c r="A19">
        <v>8</v>
      </c>
      <c r="B19" s="6" t="n">
        <v>26333.971203</v>
      </c>
      <c r="C19" s="9">
        <f si="0" t="shared"/>
        <v>7.7872662723931882E-2</v>
      </c>
      <c r="E19" s="371">
        <v>8</v>
      </c>
      <c r="F19" s="371" t="n">
        <v>22320.0</v>
      </c>
      <c r="G19" s="9">
        <f si="1" t="shared"/>
        <v>6.2461417274446436E-2</v>
      </c>
    </row>
    <row r="20" spans="1:7" x14ac:dyDescent="0.25">
      <c r="A20">
        <v>9</v>
      </c>
      <c r="B20" s="6" t="n">
        <v>25115.196173</v>
      </c>
      <c r="C20" s="9">
        <f si="0" t="shared"/>
        <v>7.4268601030542933E-2</v>
      </c>
      <c r="E20" s="371">
        <v>9</v>
      </c>
      <c r="F20" s="371" t="n">
        <v>20961.0</v>
      </c>
      <c r="G20" s="9">
        <f si="1" t="shared"/>
        <v>5.8154118609932484E-2</v>
      </c>
    </row>
    <row r="21" spans="1:7" x14ac:dyDescent="0.25">
      <c r="A21">
        <v>10</v>
      </c>
      <c r="B21" s="6" t="n">
        <v>16287.107756</v>
      </c>
      <c r="C21" s="9">
        <f si="0" t="shared"/>
        <v>4.8162901039659152E-2</v>
      </c>
      <c r="E21" s="371">
        <v>10</v>
      </c>
      <c r="F21" s="371" t="n">
        <v>18935.0</v>
      </c>
      <c r="G21" s="9">
        <f si="1" t="shared"/>
        <v>5.3352402394433472E-2</v>
      </c>
    </row>
    <row r="22" spans="1:7" x14ac:dyDescent="0.25">
      <c r="A22">
        <v>11</v>
      </c>
      <c r="B22" s="6" t="n">
        <v>12957.033596</v>
      </c>
      <c r="C22" s="9">
        <f si="0" t="shared"/>
        <v>3.8315478487688771E-2</v>
      </c>
      <c r="E22" s="371">
        <v>11</v>
      </c>
      <c r="F22" s="371" t="n">
        <v>17327.0</v>
      </c>
      <c r="G22" s="9">
        <f si="1" t="shared"/>
        <v>4.9022757173942798E-2</v>
      </c>
    </row>
    <row r="23" spans="1:7" x14ac:dyDescent="0.25">
      <c r="A23">
        <v>12</v>
      </c>
      <c r="B23" s="6" t="n">
        <v>13936.642827</v>
      </c>
      <c r="C23" s="9">
        <f si="0" t="shared"/>
        <v>4.1212298669455465E-2</v>
      </c>
      <c r="E23" s="371">
        <v>12</v>
      </c>
      <c r="F23" s="371" t="n">
        <v>15053.0</v>
      </c>
      <c r="G23" s="9">
        <f si="1" t="shared"/>
        <v>4.3723830087961629E-2</v>
      </c>
    </row>
    <row r="24" spans="1:7" x14ac:dyDescent="0.25">
      <c r="A24">
        <v>13</v>
      </c>
      <c r="B24" s="6" t="n">
        <v>13344.555615</v>
      </c>
      <c r="C24" s="9">
        <f si="0" t="shared"/>
        <v>3.9461426861789155E-2</v>
      </c>
      <c r="E24" s="371">
        <v>13</v>
      </c>
      <c r="F24" s="371" t="n">
        <v>13873.0</v>
      </c>
      <c r="G24" s="9">
        <f si="1" t="shared"/>
        <v>3.8355070014553197E-2</v>
      </c>
    </row>
    <row r="25" spans="1:7" x14ac:dyDescent="0.25">
      <c r="A25">
        <v>14</v>
      </c>
      <c r="B25" s="6" t="n">
        <v>10061.064479</v>
      </c>
      <c r="C25" s="9">
        <f si="0" t="shared"/>
        <v>2.9751755812949442E-2</v>
      </c>
      <c r="E25" s="371">
        <v>14</v>
      </c>
      <c r="F25" s="371" t="n">
        <v>12098.0</v>
      </c>
      <c r="G25" s="9">
        <f si="1" t="shared"/>
        <v>3.5058953007986102E-2</v>
      </c>
    </row>
    <row r="26" spans="1:7" x14ac:dyDescent="0.25">
      <c r="A26">
        <v>15</v>
      </c>
      <c r="B26" s="6" t="n">
        <v>6937.197366</v>
      </c>
      <c r="C26" s="9">
        <f si="0" t="shared"/>
        <v>2.0514111850715638E-2</v>
      </c>
      <c r="E26" s="371">
        <v>15</v>
      </c>
      <c r="F26" s="371" t="n">
        <v>11046.0</v>
      </c>
      <c r="G26" s="9">
        <f si="1" t="shared"/>
        <v>3.0514222186219436E-2</v>
      </c>
    </row>
    <row r="27" spans="1:7" x14ac:dyDescent="0.25">
      <c r="A27">
        <v>16</v>
      </c>
      <c r="B27" s="6" t="n">
        <v>10583.67594</v>
      </c>
      <c r="C27" s="9">
        <f si="0" t="shared"/>
        <v>3.1297179620258755E-2</v>
      </c>
      <c r="E27" s="371">
        <v>16</v>
      </c>
      <c r="F27" s="371" t="n">
        <v>9362.0</v>
      </c>
      <c r="G27" s="9">
        <f si="1" t="shared"/>
        <v>2.6550501819847652E-2</v>
      </c>
    </row>
    <row r="28" spans="1:7" x14ac:dyDescent="0.25">
      <c r="A28">
        <v>17</v>
      </c>
      <c r="B28" s="6" t="n">
        <v>8551.924435</v>
      </c>
      <c r="C28" s="9">
        <f si="0" t="shared"/>
        <v>2.5289050482877402E-2</v>
      </c>
      <c r="E28" s="371">
        <v>17</v>
      </c>
      <c r="F28" s="371" t="n">
        <v>8186.0</v>
      </c>
      <c r="G28" s="9">
        <f si="1" t="shared"/>
        <v>2.3198518423338744E-2</v>
      </c>
    </row>
    <row r="29" spans="1:7" x14ac:dyDescent="0.25">
      <c r="A29">
        <v>18</v>
      </c>
      <c r="B29" s="6" t="n">
        <v>8340.144894000001</v>
      </c>
      <c r="C29" s="9">
        <f si="0" t="shared"/>
        <v>2.4662793370306271E-2</v>
      </c>
      <c r="E29" s="371">
        <v>18</v>
      </c>
      <c r="F29" s="371" t="n">
        <v>7130.0</v>
      </c>
      <c r="G29" s="9">
        <f si="1" t="shared"/>
        <v>2.0787883697349418E-2</v>
      </c>
    </row>
    <row r="30" spans="1:7" x14ac:dyDescent="0.25">
      <c r="A30">
        <v>19</v>
      </c>
      <c r="B30" s="6" t="n">
        <v>6030.513487</v>
      </c>
      <c r="C30" s="9">
        <f si="0" t="shared"/>
        <v>1.7832940546839152E-2</v>
      </c>
      <c r="E30" s="371">
        <v>19</v>
      </c>
      <c r="F30" s="371" t="n">
        <v>6358.0</v>
      </c>
      <c r="G30" s="9">
        <f si="1" t="shared"/>
        <v>1.8056017229194657E-2</v>
      </c>
    </row>
    <row r="31" spans="1:7" x14ac:dyDescent="0.25">
      <c r="A31">
        <v>20</v>
      </c>
      <c r="B31" s="6" t="n">
        <v>4599.850847</v>
      </c>
      <c r="C31" s="9">
        <f si="0" t="shared"/>
        <v>1.3602302168083804E-2</v>
      </c>
      <c r="E31" s="371">
        <v>20</v>
      </c>
      <c r="F31" s="371" t="n">
        <v>5969.0</v>
      </c>
      <c r="G31" s="9">
        <f si="1" t="shared"/>
        <v>1.6511311547303471E-2</v>
      </c>
    </row>
    <row r="32" spans="1:7" x14ac:dyDescent="0.25">
      <c r="A32">
        <v>21</v>
      </c>
      <c r="B32" s="6" t="n">
        <v>3836.8511829999998</v>
      </c>
      <c r="C32" s="9">
        <f si="0" t="shared"/>
        <v>1.1346022056165989E-2</v>
      </c>
      <c r="E32" s="371">
        <v>21</v>
      </c>
      <c r="F32" s="371" t="n">
        <v>5391.0</v>
      </c>
      <c r="G32" s="9">
        <f si="1" t="shared"/>
        <v>1.5391190428970076E-2</v>
      </c>
    </row>
    <row r="33" spans="1:7" x14ac:dyDescent="0.25">
      <c r="A33">
        <v>22</v>
      </c>
      <c r="B33" s="6" t="n">
        <v>3728.665767</v>
      </c>
      <c r="C33" s="9">
        <f si="0" t="shared"/>
        <v>1.1026105005035603E-2</v>
      </c>
      <c r="E33" s="371">
        <v>22</v>
      </c>
      <c r="F33" s="371" t="n">
        <v>4844.0</v>
      </c>
      <c r="G33" s="9">
        <f si="1" t="shared"/>
        <v>1.3287820847660734E-2</v>
      </c>
    </row>
    <row r="34" spans="1:7" x14ac:dyDescent="0.25">
      <c r="A34">
        <v>23</v>
      </c>
      <c r="B34" s="6" t="n">
        <v>2965.389574</v>
      </c>
      <c r="C34" s="9">
        <f si="0" t="shared"/>
        <v>8.7690071642084495E-3</v>
      </c>
      <c r="E34" s="371">
        <v>23</v>
      </c>
      <c r="F34" s="371" t="n">
        <v>4440.0</v>
      </c>
      <c r="G34" s="9">
        <f si="1" t="shared"/>
        <v>1.2474964874007325E-2</v>
      </c>
    </row>
    <row r="35" spans="1:7" x14ac:dyDescent="0.25">
      <c r="A35">
        <v>24</v>
      </c>
      <c r="B35" s="6" t="n">
        <v>2400.834039</v>
      </c>
      <c r="C35" s="9">
        <f si="0" t="shared"/>
        <v>7.099549776749336E-3</v>
      </c>
      <c r="E35" s="371">
        <v>24</v>
      </c>
      <c r="F35" s="371" t="n">
        <v>4098.0</v>
      </c>
      <c r="G35" s="9">
        <f si="1" t="shared"/>
        <v>1.1472163174551742E-2</v>
      </c>
    </row>
    <row r="36" spans="1:7" x14ac:dyDescent="0.25">
      <c r="A36">
        <v>25</v>
      </c>
      <c r="B36" s="6" t="n">
        <v>3255.440141</v>
      </c>
      <c r="C36" s="9">
        <f si="0" t="shared"/>
        <v>9.6267209439783261E-3</v>
      </c>
      <c r="E36" s="371">
        <v>25</v>
      </c>
      <c r="F36" s="371" t="n">
        <v>3842.0</v>
      </c>
      <c r="G36" s="9">
        <f si="1" t="shared"/>
        <v>1.0586680893973972E-2</v>
      </c>
    </row>
    <row r="37" spans="1:7" x14ac:dyDescent="0.25">
      <c r="A37">
        <v>26</v>
      </c>
      <c r="B37" s="6" t="n">
        <v>2627.915458</v>
      </c>
      <c r="C37" s="9">
        <f si="0" t="shared"/>
        <v>7.7710563496221864E-3</v>
      </c>
      <c r="E37" s="371">
        <v>26</v>
      </c>
      <c r="F37" s="371" t="n">
        <v>3562.0</v>
      </c>
      <c r="G37" s="9">
        <f si="1" t="shared"/>
        <v>9.5224261655823938E-3</v>
      </c>
    </row>
    <row r="38" spans="1:7" x14ac:dyDescent="0.25">
      <c r="A38">
        <v>27</v>
      </c>
      <c r="B38" s="6" t="n">
        <v>1672.8316849999999</v>
      </c>
      <c r="C38" s="9">
        <f si="0" t="shared"/>
        <v>4.9467608434641012E-3</v>
      </c>
      <c r="E38" s="371">
        <v>27</v>
      </c>
      <c r="F38" s="371" t="n">
        <v>3337.0</v>
      </c>
      <c r="G38" s="9">
        <f si="1" t="shared"/>
        <v>9.2263342988907725E-3</v>
      </c>
    </row>
    <row r="39" spans="1:7" x14ac:dyDescent="0.25">
      <c r="A39">
        <v>28</v>
      </c>
      <c r="B39" s="6" t="n">
        <v>3261.680652</v>
      </c>
      <c r="C39" s="9">
        <f si="0" t="shared"/>
        <v>9.6451748719704952E-3</v>
      </c>
      <c r="E39" s="371">
        <v>28</v>
      </c>
      <c r="F39" s="371" t="n">
        <v>2966.0</v>
      </c>
      <c r="G39" s="9">
        <f si="1" t="shared"/>
        <v>8.0503467906155642E-3</v>
      </c>
    </row>
    <row r="40" spans="1:7" x14ac:dyDescent="0.25">
      <c r="A40">
        <v>29</v>
      </c>
      <c r="B40" s="6" t="n">
        <v>2464.130121</v>
      </c>
      <c r="C40" s="9">
        <f si="0" t="shared"/>
        <v>7.2867237660932159E-3</v>
      </c>
      <c r="E40" s="371">
        <v>29</v>
      </c>
      <c r="F40" s="371" t="n">
        <v>2807.0</v>
      </c>
      <c r="G40" s="9">
        <f si="1" t="shared"/>
        <v>7.5419626421450456E-3</v>
      </c>
    </row>
    <row r="41" spans="1:7" x14ac:dyDescent="0.25">
      <c r="A41">
        <v>30</v>
      </c>
      <c r="B41" s="6" t="n">
        <v>3193.023685</v>
      </c>
      <c r="C41" s="9">
        <f si="0" t="shared"/>
        <v>9.4421481125947556E-3</v>
      </c>
      <c r="E41" s="371">
        <v>30</v>
      </c>
      <c r="F41" s="371" t="n">
        <v>2478.0</v>
      </c>
      <c r="G41" s="9">
        <f si="1" t="shared"/>
        <v>7.3436369578516025E-3</v>
      </c>
    </row>
    <row r="42" spans="1:7" x14ac:dyDescent="0.25">
      <c r="A42">
        <v>31</v>
      </c>
      <c r="B42" s="6" t="n">
        <v>2471.167751</v>
      </c>
      <c r="C42" s="9">
        <f si="0" t="shared"/>
        <v>7.3075348691031324E-3</v>
      </c>
      <c r="E42" s="371">
        <v>31</v>
      </c>
      <c r="F42" s="371" t="n">
        <v>2344.0</v>
      </c>
      <c r="G42" s="9">
        <f si="1" t="shared"/>
        <v>6.4330148018000152E-3</v>
      </c>
    </row>
    <row r="43" spans="1:7" x14ac:dyDescent="0.25">
      <c r="A43">
        <v>32</v>
      </c>
      <c r="B43" s="6" t="n">
        <v>329.158729</v>
      </c>
      <c r="C43" s="9">
        <f si="0" t="shared"/>
        <v>9.7336123323226733E-4</v>
      </c>
      <c r="E43" s="371">
        <v>32</v>
      </c>
      <c r="F43" s="371" t="n">
        <v>2217.0</v>
      </c>
      <c r="G43" s="9">
        <f si="1" t="shared"/>
        <v>5.9358039313178604E-3</v>
      </c>
    </row>
    <row r="44" spans="1:7" x14ac:dyDescent="0.25">
      <c r="A44">
        <v>33</v>
      </c>
      <c r="B44" s="6" t="n">
        <v>1994.4325549999999</v>
      </c>
      <c r="C44" s="9">
        <f si="0" t="shared"/>
        <v>5.8977725950976733E-3</v>
      </c>
      <c r="E44" s="371">
        <v>33</v>
      </c>
      <c r="F44" s="371" t="n">
        <v>2002.0</v>
      </c>
      <c r="G44" s="9">
        <f si="1" t="shared"/>
        <v>5.5978122721698784E-3</v>
      </c>
    </row>
    <row r="45" spans="1:7" x14ac:dyDescent="0.25">
      <c r="A45">
        <v>34</v>
      </c>
      <c r="B45" s="6" t="n">
        <v>1348.576705</v>
      </c>
      <c r="C45" s="9">
        <f si="0" t="shared"/>
        <v>3.9879005751268029E-3</v>
      </c>
      <c r="E45" s="371">
        <v>34</v>
      </c>
      <c r="F45" s="371" t="n">
        <v>1925.0</v>
      </c>
      <c r="G45" s="9">
        <f si="1" t="shared"/>
        <v>5.1760210281091741E-3</v>
      </c>
    </row>
    <row r="46" spans="1:7" x14ac:dyDescent="0.25">
      <c r="A46">
        <v>35</v>
      </c>
      <c r="B46" s="6" t="n">
        <v>2135.986579</v>
      </c>
      <c r="C46" s="9">
        <f si="0" t="shared"/>
        <v>6.3163645607071583E-3</v>
      </c>
      <c r="E46" s="371">
        <v>35</v>
      </c>
      <c r="F46" s="371" t="n">
        <v>1812.0</v>
      </c>
      <c r="G46" s="9">
        <f si="1" t="shared"/>
        <v>4.9525554683419138E-3</v>
      </c>
    </row>
    <row r="47" spans="1:7" x14ac:dyDescent="0.25">
      <c r="A47">
        <v>36</v>
      </c>
      <c r="B47" s="6" t="n">
        <v>847.0665</v>
      </c>
      <c r="C47" s="9">
        <f si="0" t="shared"/>
        <v>2.5048756737353316E-3</v>
      </c>
      <c r="E47" s="371">
        <v>36</v>
      </c>
      <c r="F47" s="371" t="n">
        <v>1747.0</v>
      </c>
      <c r="G47" s="9">
        <f si="1" t="shared"/>
        <v>4.6452903236619304E-3</v>
      </c>
    </row>
    <row r="48" spans="1:7" x14ac:dyDescent="0.25">
      <c r="A48">
        <v>37</v>
      </c>
      <c r="B48" s="6" t="n">
        <v>1010.944445</v>
      </c>
      <c r="C48" s="9">
        <f si="0" t="shared"/>
        <v>2.9894821100567258E-3</v>
      </c>
      <c r="E48" s="371">
        <v>37</v>
      </c>
      <c r="F48" s="371" t="n">
        <v>1530.0</v>
      </c>
      <c r="G48" s="9">
        <f si="1" t="shared"/>
        <v>4.2151191211099535E-3</v>
      </c>
    </row>
    <row r="49" spans="1:7" x14ac:dyDescent="0.25">
      <c r="A49">
        <v>38</v>
      </c>
      <c r="B49" s="6" t="n">
        <v>2465.733775</v>
      </c>
      <c r="C49" s="9">
        <f si="0" t="shared"/>
        <v>7.291465960352685E-3</v>
      </c>
      <c r="E49" s="371">
        <v>38</v>
      </c>
      <c r="F49" s="371" t="n">
        <v>1414.0</v>
      </c>
      <c r="G49" s="9">
        <f si="1" t="shared"/>
        <v>4.1033863412263229E-3</v>
      </c>
    </row>
    <row r="50" spans="1:7" x14ac:dyDescent="0.25">
      <c r="A50">
        <v>39</v>
      </c>
      <c r="B50" s="6" t="n">
        <v>1404.984996</v>
      </c>
      <c r="C50" s="9">
        <f si="0" t="shared"/>
        <v>4.1547065530788095E-3</v>
      </c>
      <c r="E50" s="371">
        <v>39</v>
      </c>
      <c r="F50" s="371" t="n">
        <v>1272.0</v>
      </c>
      <c r="G50" s="9">
        <f si="1" t="shared"/>
        <v>3.5251692053285362E-3</v>
      </c>
    </row>
    <row r="51" spans="1:7" x14ac:dyDescent="0.25">
      <c r="A51">
        <v>40</v>
      </c>
      <c r="B51" s="6" t="n">
        <v>777.791764</v>
      </c>
      <c r="C51" s="9">
        <f si="0" t="shared"/>
        <v>2.300022098471952E-3</v>
      </c>
      <c r="E51" s="371">
        <v>40</v>
      </c>
      <c r="F51" s="371" t="n">
        <v>1136.0</v>
      </c>
      <c r="G51" s="9">
        <f si="1" t="shared"/>
        <v>3.4078497864507245E-3</v>
      </c>
    </row>
    <row r="52" spans="1:7" x14ac:dyDescent="0.25">
      <c r="A52">
        <v>41</v>
      </c>
      <c r="B52" s="6" t="n">
        <v>484.80023</v>
      </c>
      <c r="C52" s="9">
        <f si="0" t="shared"/>
        <v>1.4336115319733382E-3</v>
      </c>
      <c r="E52" s="371">
        <v>41</v>
      </c>
      <c r="F52" s="371" t="n">
        <v>1145.0</v>
      </c>
      <c r="G52" s="9">
        <f si="1" t="shared"/>
        <v>3.1620376707067379E-3</v>
      </c>
    </row>
    <row r="53" spans="1:7" x14ac:dyDescent="0.25">
      <c r="A53">
        <v>42</v>
      </c>
      <c r="B53" s="6" t="n">
        <v>182.901751</v>
      </c>
      <c r="C53" s="9">
        <f si="0" t="shared"/>
        <v>5.4086207725544198E-4</v>
      </c>
      <c r="E53" s="371">
        <v>42</v>
      </c>
      <c r="F53" s="371" t="n">
        <v>1056.0</v>
      </c>
      <c r="G53" s="9">
        <f si="1" t="shared"/>
        <v>2.8799124015005712E-3</v>
      </c>
    </row>
    <row r="54" spans="1:7" x14ac:dyDescent="0.25">
      <c r="A54">
        <v>43</v>
      </c>
      <c r="B54" s="6" t="n">
        <v>801.582938</v>
      </c>
      <c r="C54" s="9">
        <f si="0" t="shared"/>
        <v>2.3703754095782286E-3</v>
      </c>
      <c r="E54" s="371">
        <v>43</v>
      </c>
      <c r="F54" s="371" t="n">
        <v>1007.0</v>
      </c>
      <c r="G54" s="9">
        <f si="1" t="shared"/>
        <v>2.6313069662594938E-3</v>
      </c>
    </row>
    <row r="55" spans="1:7" x14ac:dyDescent="0.25">
      <c r="A55">
        <v>44</v>
      </c>
      <c r="B55" s="6" t="n">
        <v>543.736905</v>
      </c>
      <c r="C55" s="9">
        <f si="0" t="shared"/>
        <v>1.6078942399996208E-3</v>
      </c>
      <c r="E55" s="371">
        <v>44</v>
      </c>
      <c r="F55" s="371" t="n">
        <v>968.0</v>
      </c>
      <c r="G55" s="9">
        <f si="1" t="shared"/>
        <v>2.2681754316376951E-3</v>
      </c>
    </row>
    <row r="56" spans="1:7" x14ac:dyDescent="0.25">
      <c r="A56">
        <v>45</v>
      </c>
      <c r="B56" s="6" t="n">
        <v>165.94209700000002</v>
      </c>
      <c r="C56" s="9">
        <f si="0" t="shared"/>
        <v>4.9071037754878607E-4</v>
      </c>
      <c r="E56" s="371">
        <v>45</v>
      </c>
      <c r="F56" s="371" t="n">
        <v>832.0</v>
      </c>
      <c r="G56" s="9">
        <f si="1" t="shared"/>
        <v>2.3463883775562363E-3</v>
      </c>
    </row>
    <row r="57" spans="1:7" x14ac:dyDescent="0.25">
      <c r="A57">
        <v>46</v>
      </c>
      <c r="B57" s="6" t="n">
        <v>378.46810800000003</v>
      </c>
      <c r="C57" s="9">
        <f si="0" t="shared"/>
        <v>1.1191748900633376E-3</v>
      </c>
      <c r="E57" s="371">
        <v>46</v>
      </c>
      <c r="F57" s="371" t="n">
        <v>789.0</v>
      </c>
      <c r="G57" s="9">
        <f si="1" t="shared"/>
        <v>2.1843758467249724E-3</v>
      </c>
    </row>
    <row r="58" spans="1:7" x14ac:dyDescent="0.25">
      <c r="A58">
        <v>47</v>
      </c>
      <c r="B58" s="6" t="n">
        <v>502.521882</v>
      </c>
      <c r="C58" s="9">
        <f si="0" t="shared"/>
        <v>1.4860165497531737E-3</v>
      </c>
      <c r="E58" s="371">
        <v>47</v>
      </c>
      <c r="F58" s="371" t="n">
        <v>685.0</v>
      </c>
      <c r="G58" s="9">
        <f si="1" t="shared"/>
        <v>2.0502965108646163E-3</v>
      </c>
    </row>
    <row r="59" spans="1:7" x14ac:dyDescent="0.25">
      <c r="A59">
        <v>48</v>
      </c>
      <c r="B59" s="6" t="n">
        <v>477.391739</v>
      </c>
      <c r="C59" s="9">
        <f si="0" t="shared"/>
        <v>1.4117037491900653E-3</v>
      </c>
      <c r="E59" s="371">
        <v>48</v>
      </c>
      <c r="F59" s="371" t="n">
        <v>660.0</v>
      </c>
      <c r="G59" s="9">
        <f si="1" t="shared"/>
        <v>1.6871649762428176E-3</v>
      </c>
    </row>
    <row r="60" spans="1:7" x14ac:dyDescent="0.25">
      <c r="A60">
        <v>49</v>
      </c>
      <c r="B60" s="6" t="n">
        <v>1222.211792</v>
      </c>
      <c r="C60" s="9">
        <f si="0" t="shared"/>
        <v>3.614224604482962E-3</v>
      </c>
      <c r="E60" s="371">
        <v>49</v>
      </c>
      <c r="F60" s="371" t="n">
        <v>626.0</v>
      </c>
      <c r="G60" s="9">
        <f si="1" t="shared"/>
        <v>1.6676117397631824E-3</v>
      </c>
    </row>
    <row r="61" spans="1:7" x14ac:dyDescent="0.25">
      <c r="A61">
        <v>50</v>
      </c>
      <c r="B61" s="6" t="n">
        <v>946.1432590000001</v>
      </c>
      <c r="C61" s="9">
        <f si="0" t="shared"/>
        <v>2.7978573504415147E-3</v>
      </c>
      <c r="E61" s="371">
        <v>50</v>
      </c>
      <c r="F61" s="371" t="n">
        <v>548.0</v>
      </c>
      <c r="G61" s="9">
        <f si="1" t="shared"/>
        <v>1.4944259309435555E-3</v>
      </c>
    </row>
    <row r="62" spans="1:7" x14ac:dyDescent="0.25">
      <c r="A62">
        <v>51</v>
      </c>
      <c r="B62" s="6" t="n">
        <v>598.469292</v>
      </c>
      <c r="C62" s="9">
        <f si="0" t="shared"/>
        <v>1.7697443719098876E-3</v>
      </c>
      <c r="E62" s="371">
        <v>51</v>
      </c>
      <c r="F62" s="371" t="n">
        <v>571.0</v>
      </c>
      <c r="G62" s="9">
        <f si="1" t="shared"/>
        <v>1.4860459724522831E-3</v>
      </c>
    </row>
    <row r="63" spans="1:7" x14ac:dyDescent="0.25">
      <c r="A63">
        <v>52</v>
      </c>
      <c r="B63" s="6" t="n">
        <v>102.628638</v>
      </c>
      <c r="C63" s="9">
        <f si="0" t="shared"/>
        <v>3.0348500236379247E-4</v>
      </c>
      <c r="E63" s="371">
        <v>52</v>
      </c>
      <c r="F63" s="371" t="n">
        <v>485.0</v>
      </c>
      <c r="G63" s="9">
        <f si="1" t="shared"/>
        <v>1.4273862630133772E-3</v>
      </c>
    </row>
    <row r="64" spans="1:7" x14ac:dyDescent="0.25">
      <c r="A64">
        <v>53</v>
      </c>
      <c r="B64" s="6" t="n">
        <v>500.351064</v>
      </c>
      <c r="C64" s="9">
        <f si="0" t="shared"/>
        <v>1.4795971845671975E-3</v>
      </c>
      <c r="E64" s="371">
        <v>53</v>
      </c>
      <c r="F64" s="371" t="n">
        <v>436.0</v>
      </c>
      <c r="G64" s="9">
        <f si="1" t="shared"/>
        <v>1.3240334416210191E-3</v>
      </c>
    </row>
    <row r="65" spans="1:7" x14ac:dyDescent="0.25">
      <c r="A65">
        <v>54</v>
      </c>
      <c r="B65" s="6" t="n">
        <v>176.576013</v>
      </c>
      <c r="C65" s="9">
        <f si="0" t="shared"/>
        <v>5.221561229595004E-4</v>
      </c>
      <c r="E65" s="371">
        <v>54</v>
      </c>
      <c r="F65" s="371" t="n">
        <v>443.0</v>
      </c>
      <c r="G65" s="9">
        <f si="1" t="shared"/>
        <v>1.2039207032461165E-3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427.0</v>
      </c>
      <c r="G66" s="9">
        <f si="1" t="shared"/>
        <v>1.14246767431012E-3</v>
      </c>
    </row>
    <row r="67" spans="1:7" x14ac:dyDescent="0.25">
      <c r="A67">
        <v>56</v>
      </c>
      <c r="B67" s="6" t="n">
        <v>578.529643</v>
      </c>
      <c r="C67" s="9">
        <f si="0" t="shared"/>
        <v>1.710780475069532E-3</v>
      </c>
      <c r="E67" s="371">
        <v>56</v>
      </c>
      <c r="F67" s="371" t="n">
        <v>359.0</v>
      </c>
      <c r="G67" s="9">
        <f si="1" t="shared"/>
        <v>1.083807964871214E-3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355.0</v>
      </c>
      <c r="G68" s="9">
        <f si="1" t="shared"/>
        <v>9.4693530951376692E-4</v>
      </c>
    </row>
    <row r="69" spans="1:7" x14ac:dyDescent="0.25">
      <c r="A69">
        <v>58</v>
      </c>
      <c r="B69" s="6" t="n">
        <v>61.176273</v>
      </c>
      <c r="C69" s="9">
        <f si="0" t="shared"/>
        <v>1.8090546379474523E-4</v>
      </c>
      <c r="E69" s="371">
        <v>58</v>
      </c>
      <c r="F69" s="371" t="n">
        <v>319.0</v>
      </c>
      <c r="G69" s="9">
        <f si="1" t="shared"/>
        <v>8.3520252963013657E-4</v>
      </c>
    </row>
    <row r="70" spans="1:7" x14ac:dyDescent="0.25">
      <c r="A70">
        <v>59</v>
      </c>
      <c r="B70" s="6" t="n">
        <v>722.136987</v>
      </c>
      <c r="C70" s="9">
        <f si="0" t="shared"/>
        <v>2.1354443504032175E-3</v>
      </c>
      <c r="E70" s="371">
        <v>59</v>
      </c>
      <c r="F70" s="371" t="n">
        <v>289.0</v>
      </c>
      <c r="G70" s="9">
        <f si="1" t="shared"/>
        <v>8.4078916862431806E-4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284.0</v>
      </c>
      <c r="G71" s="9">
        <f si="1" t="shared"/>
        <v>7.8212945918541214E-4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253.0</v>
      </c>
      <c r="G72" s="9">
        <f si="1" t="shared"/>
        <v>6.7877663779305412E-4</v>
      </c>
    </row>
    <row r="73" spans="1:7" x14ac:dyDescent="0.25">
      <c r="A73">
        <v>62</v>
      </c>
      <c r="B73" s="6" t="n">
        <v>54.563678</v>
      </c>
      <c r="C73" s="9">
        <f si="0" t="shared"/>
        <v>1.6135123947379302E-4</v>
      </c>
      <c r="E73" s="371">
        <v>62</v>
      </c>
      <c r="F73" s="371" t="n">
        <v>233.0</v>
      </c>
      <c r="G73" s="9">
        <f si="1" t="shared"/>
        <v>6.8715659628432646E-4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208.0</v>
      </c>
      <c r="G74" s="9">
        <f si="1" t="shared"/>
        <v>6.45256803827965E-4</v>
      </c>
    </row>
    <row r="75" spans="1:7" x14ac:dyDescent="0.25">
      <c r="A75">
        <v>64</v>
      </c>
      <c r="B75" s="6" t="n">
        <v>412.986437</v>
      </c>
      <c r="C75" s="9">
        <f si="0" t="shared"/>
        <v>1.2212496653142687E-3</v>
      </c>
      <c r="E75" s="371">
        <v>64</v>
      </c>
      <c r="F75" s="371" t="n">
        <v>201.0</v>
      </c>
      <c r="G75" s="9">
        <f si="1" t="shared"/>
        <v>5.8380377489196833E-4</v>
      </c>
    </row>
    <row r="76" spans="1:7" x14ac:dyDescent="0.25">
      <c r="A76">
        <v>65</v>
      </c>
      <c r="B76" s="6" t="n">
        <v>251.979787</v>
      </c>
      <c r="C76" s="9">
        <f si="0" t="shared"/>
        <v>7.4513398738978618E-4</v>
      </c>
      <c r="E76" s="371">
        <v>65</v>
      </c>
      <c r="F76" s="371" t="n">
        <v>202.0</v>
      </c>
      <c r="G76" s="9">
        <f si="1" t="shared"/>
        <v>4.2737788305488594E-4</v>
      </c>
    </row>
    <row r="77" spans="1:7" x14ac:dyDescent="0.25">
      <c r="A77">
        <v>66</v>
      </c>
      <c r="B77" s="6" t="n">
        <v>35.398008</v>
      </c>
      <c r="C77" s="9">
        <f ref="C77:C102" si="2" t="shared">B77/B$102</f>
        <v>1.0467608993849792E-4</v>
      </c>
      <c r="E77" s="371">
        <v>66</v>
      </c>
      <c r="F77" s="371" t="n">
        <v>164.0</v>
      </c>
      <c r="G77" s="9">
        <f ref="G77:G102" si="3" t="shared">F77/F$102</f>
        <v>5.0279750947633637E-4</v>
      </c>
    </row>
    <row r="78" spans="1:7" x14ac:dyDescent="0.25">
      <c r="A78">
        <v>67</v>
      </c>
      <c r="B78" s="6" t="n">
        <v>94.917119</v>
      </c>
      <c r="C78" s="9">
        <f si="2" t="shared"/>
        <v>2.806811299988155E-4</v>
      </c>
      <c r="E78" s="371">
        <v>67</v>
      </c>
      <c r="F78" s="371" t="n">
        <v>205.0</v>
      </c>
      <c r="G78" s="9">
        <f si="3" t="shared"/>
        <v>4.6648435601415655E-4</v>
      </c>
    </row>
    <row r="79" spans="1:7" x14ac:dyDescent="0.25">
      <c r="A79">
        <v>68</v>
      </c>
      <c r="B79" s="6" t="n">
        <v>85.218383</v>
      </c>
      <c r="C79" s="9">
        <f si="2" t="shared"/>
        <v>2.5200082228698752E-4</v>
      </c>
      <c r="E79" s="371">
        <v>68</v>
      </c>
      <c r="F79" s="371" t="n">
        <v>148.0</v>
      </c>
      <c r="G79" s="9">
        <f si="3" t="shared"/>
        <v>4.441378000374305E-4</v>
      </c>
    </row>
    <row r="80" spans="1:7" x14ac:dyDescent="0.25">
      <c r="A80">
        <v>69</v>
      </c>
      <c r="B80" s="6" t="n">
        <v>489.62784</v>
      </c>
      <c r="C80" s="9">
        <f si="2" t="shared"/>
        <v>1.4478873448537689E-3</v>
      </c>
      <c r="E80" s="371">
        <v>69</v>
      </c>
      <c r="F80" s="371" t="n">
        <v>141.0</v>
      </c>
      <c r="G80" s="9">
        <f si="3" t="shared"/>
        <v>3.8827141009561533E-4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156.0</v>
      </c>
      <c r="G81" s="9">
        <f si="3" t="shared"/>
        <v>4.0223800758106909E-4</v>
      </c>
    </row>
    <row r="82" spans="1:7" x14ac:dyDescent="0.25">
      <c r="A82">
        <v>71</v>
      </c>
      <c r="B82" s="6" t="n">
        <v>546.362548</v>
      </c>
      <c r="C82" s="9">
        <f si="2" t="shared"/>
        <v>1.615658576422574E-3</v>
      </c>
      <c r="E82" s="371">
        <v>71</v>
      </c>
      <c r="F82" s="371" t="n">
        <v>144.0</v>
      </c>
      <c r="G82" s="9">
        <f si="3" t="shared"/>
        <v>3.3240502015380015E-4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119.0</v>
      </c>
      <c r="G83" s="9">
        <f si="3" t="shared"/>
        <v>2.9329854719452954E-4</v>
      </c>
    </row>
    <row r="84" spans="1:7" x14ac:dyDescent="0.25">
      <c r="A84">
        <v>73</v>
      </c>
      <c r="B84" s="6" t="n">
        <v>37.361886</v>
      </c>
      <c r="C84" s="9">
        <f si="2" t="shared"/>
        <v>1.1048350910615948E-4</v>
      </c>
      <c r="E84" s="371">
        <v>73</v>
      </c>
      <c r="F84" s="371" t="n">
        <v>107.0</v>
      </c>
      <c r="G84" s="9">
        <f si="3" t="shared"/>
        <v>3.3240502015380015E-4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102.0</v>
      </c>
      <c r="G85" s="9">
        <f si="3" t="shared"/>
        <v>2.7095199121780349E-4</v>
      </c>
    </row>
    <row r="86" spans="1:7" x14ac:dyDescent="0.25">
      <c r="A86">
        <v>75</v>
      </c>
      <c r="B86" s="6" t="n">
        <v>314.725454</v>
      </c>
      <c r="C86" s="9">
        <f si="2" t="shared"/>
        <v>9.3068033457810939E-4</v>
      </c>
      <c r="E86" s="371">
        <v>75</v>
      </c>
      <c r="F86" s="371" t="n">
        <v>114.0</v>
      </c>
      <c r="G86" s="9">
        <f si="3" t="shared"/>
        <v>2.122922817788976E-4</v>
      </c>
    </row>
    <row r="87" spans="1:7" x14ac:dyDescent="0.25">
      <c r="A87">
        <v>76</v>
      </c>
      <c r="B87" s="6" t="n">
        <v>193.55729300000002</v>
      </c>
      <c r="C87" s="9">
        <f si="2" t="shared"/>
        <v>5.723717733020512E-4</v>
      </c>
      <c r="E87" s="371">
        <v>76</v>
      </c>
      <c r="F87" s="371" t="n">
        <v>87.0</v>
      </c>
      <c r="G87" s="9">
        <f si="3" t="shared"/>
        <v>2.7653863021198503E-4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93.0</v>
      </c>
      <c r="G88" s="9">
        <f si="3" t="shared"/>
        <v>2.1508560127598834E-4</v>
      </c>
    </row>
    <row r="89" spans="1:7" x14ac:dyDescent="0.25">
      <c r="A89">
        <v>78</v>
      </c>
      <c r="B89" s="6" t="n">
        <v>149.633111</v>
      </c>
      <c r="C89" s="9">
        <f si="2" t="shared"/>
        <v>4.424827799579356E-4</v>
      </c>
      <c r="E89" s="371">
        <v>78</v>
      </c>
      <c r="F89" s="371" t="n">
        <v>81.0</v>
      </c>
      <c r="G89" s="9">
        <f si="3" t="shared"/>
        <v>2.1508560127598834E-4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81.0</v>
      </c>
      <c r="G90" s="9">
        <f si="3" t="shared"/>
        <v>2.3463883775562365E-4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71.0</v>
      </c>
      <c r="G91" s="9">
        <f si="3" t="shared"/>
        <v>2.0949896228180683E-4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59.0</v>
      </c>
      <c r="G92" s="9">
        <f si="3" t="shared"/>
        <v>2.0949896228180683E-4</v>
      </c>
    </row>
    <row r="93" spans="1:7" x14ac:dyDescent="0.25">
      <c r="A93">
        <v>82</v>
      </c>
      <c r="B93" s="6" t="n">
        <v>294.487787</v>
      </c>
      <c r="C93" s="9">
        <f si="2" t="shared"/>
        <v>8.7083516331769924E-4</v>
      </c>
      <c r="E93" s="371">
        <v>82</v>
      </c>
      <c r="F93" s="371" t="n">
        <v>71.0</v>
      </c>
      <c r="G93" s="9">
        <f si="3" t="shared"/>
        <v>1.8715240630508078E-4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80.0</v>
      </c>
      <c r="G94" s="9">
        <f si="3" t="shared"/>
        <v>1.2849269686617486E-4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70.0</v>
      </c>
      <c r="G95" s="9">
        <f si="3" t="shared"/>
        <v>1.7597912831671773E-4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50.0</v>
      </c>
      <c r="G96" s="9">
        <f si="3" t="shared"/>
        <v>1.6201253083126396E-4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55.0</v>
      </c>
      <c r="G97" s="9">
        <f si="3" t="shared"/>
        <v>1.452526138487194E-4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50.0</v>
      </c>
      <c r="G98" s="9">
        <f si="3" t="shared"/>
        <v>1.2290605787199335E-4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41.0</v>
      </c>
      <c r="G99" s="9">
        <f si="3" t="shared"/>
        <v>1.0055950189526727E-4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54.0</v>
      </c>
      <c r="G100" s="9">
        <f si="3" t="shared"/>
        <v>1.061461408894488E-4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974.0</v>
      </c>
      <c r="G101" s="9">
        <f si="3" t="shared"/>
        <v>2.7318664681547609E-3</v>
      </c>
    </row>
    <row r="102" spans="1:7" x14ac:dyDescent="0.25">
      <c r="B102" s="6">
        <f>SUM(B11:B101)</f>
        <v>338167.08305399999</v>
      </c>
      <c r="C102" s="9">
        <f si="2" t="shared"/>
        <v>1</v>
      </c>
      <c r="F102" s="6">
        <f>SUM(F11:F101)</f>
        <v>357997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baseType="lpstr" size="36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2020-05-18T17:40:16Z</dcterms:modified>
</cp:coreProperties>
</file>